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CORITEC S.R.L\02. COMPRAS Y VENTAS\CPRA-VTAS 2026-2027\"/>
    </mc:Choice>
  </mc:AlternateContent>
  <xr:revisionPtr revIDLastSave="0" documentId="13_ncr:1_{CEC8669B-351F-406F-95DF-E8B3303F211A}" xr6:coauthVersionLast="47" xr6:coauthVersionMax="47" xr10:uidLastSave="{00000000-0000-0000-0000-000000000000}"/>
  <bookViews>
    <workbookView xWindow="28995" yWindow="15" windowWidth="19845" windowHeight="15600" activeTab="1" xr2:uid="{00000000-000D-0000-FFFF-FFFF00000000}"/>
  </bookViews>
  <sheets>
    <sheet name="Lista_CUIT" sheetId="1" r:id="rId1"/>
    <sheet name="Abr-26" sheetId="2" r:id="rId2"/>
    <sheet name="May-26" sheetId="3" r:id="rId3"/>
    <sheet name="Jun-26" sheetId="4" r:id="rId4"/>
    <sheet name="Jul-26" sheetId="5" r:id="rId5"/>
    <sheet name="Ago-26" sheetId="6" r:id="rId6"/>
    <sheet name="Sept-26" sheetId="7" r:id="rId7"/>
    <sheet name="Oct-26" sheetId="8" r:id="rId8"/>
    <sheet name="Nov-26" sheetId="9" r:id="rId9"/>
    <sheet name="Dic-26" sheetId="10" r:id="rId10"/>
    <sheet name="Ene-27" sheetId="11" r:id="rId11"/>
    <sheet name="Feb-27" sheetId="12" r:id="rId12"/>
    <sheet name="Mar-27" sheetId="13" r:id="rId13"/>
    <sheet name="Asto-Cpras" sheetId="14" r:id="rId14"/>
    <sheet name="Asto-Vtas" sheetId="15" r:id="rId1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3VbcjQYzpCOrkla3fptGIxn1A//3yTUCtkRpjOeRgg8="/>
    </ext>
  </extLst>
</workbook>
</file>

<file path=xl/calcChain.xml><?xml version="1.0" encoding="utf-8"?>
<calcChain xmlns="http://schemas.openxmlformats.org/spreadsheetml/2006/main">
  <c r="G47" i="2" l="1"/>
  <c r="I28" i="2"/>
  <c r="I27" i="2"/>
  <c r="I26" i="2"/>
  <c r="P26" i="2" s="1"/>
  <c r="P28" i="2"/>
  <c r="P27" i="2"/>
  <c r="R28" i="2"/>
  <c r="Q28" i="2"/>
  <c r="R27" i="2"/>
  <c r="Q27" i="2"/>
  <c r="R26" i="2"/>
  <c r="Q26" i="2"/>
  <c r="G28" i="2"/>
  <c r="G27" i="2"/>
  <c r="G26" i="2"/>
  <c r="I15" i="2"/>
  <c r="G46" i="13"/>
  <c r="L106" i="13"/>
  <c r="L105" i="13"/>
  <c r="L104" i="13"/>
  <c r="L103" i="13"/>
  <c r="L102" i="13"/>
  <c r="G106" i="13"/>
  <c r="G105" i="13"/>
  <c r="G104" i="13"/>
  <c r="G103" i="13"/>
  <c r="K68" i="13"/>
  <c r="J68" i="13"/>
  <c r="H68" i="13"/>
  <c r="I16" i="13"/>
  <c r="G36" i="12"/>
  <c r="L105" i="12"/>
  <c r="L103" i="12"/>
  <c r="G103" i="12"/>
  <c r="L103" i="11"/>
  <c r="L102" i="11"/>
  <c r="H103" i="11"/>
  <c r="G92" i="11"/>
  <c r="J78" i="11"/>
  <c r="I78" i="11"/>
  <c r="L77" i="11"/>
  <c r="L78" i="11"/>
  <c r="H44" i="11"/>
  <c r="H43" i="11"/>
  <c r="H42" i="11"/>
  <c r="H41" i="11"/>
  <c r="H40" i="11"/>
  <c r="K36" i="10" l="1"/>
  <c r="I93" i="10"/>
  <c r="J84" i="10"/>
  <c r="J80" i="10"/>
  <c r="L80" i="9"/>
  <c r="L86" i="9" s="1"/>
  <c r="L75" i="9"/>
  <c r="H86" i="9"/>
  <c r="L21" i="9" l="1"/>
  <c r="G35" i="9"/>
  <c r="K28" i="9"/>
  <c r="J28" i="9"/>
  <c r="O25" i="9"/>
  <c r="H36" i="8"/>
  <c r="G36" i="8" s="1"/>
  <c r="I26" i="8"/>
  <c r="I14" i="8"/>
  <c r="I22" i="8"/>
  <c r="G62" i="7"/>
  <c r="I49" i="7"/>
  <c r="R32" i="7"/>
  <c r="Q32" i="7"/>
  <c r="I32" i="7"/>
  <c r="P32" i="7" s="1"/>
  <c r="G32" i="7"/>
  <c r="R31" i="7"/>
  <c r="Q31" i="7"/>
  <c r="I31" i="7"/>
  <c r="P31" i="7" s="1"/>
  <c r="G31" i="7"/>
  <c r="R30" i="7"/>
  <c r="Q30" i="7"/>
  <c r="P30" i="7"/>
  <c r="I30" i="7"/>
  <c r="G30" i="7"/>
  <c r="R29" i="7"/>
  <c r="Q29" i="7"/>
  <c r="I29" i="7"/>
  <c r="P29" i="7" s="1"/>
  <c r="G29" i="7"/>
  <c r="R28" i="7"/>
  <c r="Q28" i="7"/>
  <c r="I28" i="7"/>
  <c r="P28" i="7" s="1"/>
  <c r="G28" i="7"/>
  <c r="R27" i="7"/>
  <c r="Q27" i="7"/>
  <c r="P27" i="7"/>
  <c r="I27" i="7"/>
  <c r="G27" i="7"/>
  <c r="R26" i="7"/>
  <c r="Q26" i="7"/>
  <c r="I26" i="7"/>
  <c r="P26" i="7" s="1"/>
  <c r="G26" i="7"/>
  <c r="R25" i="7"/>
  <c r="Q25" i="7"/>
  <c r="I25" i="7"/>
  <c r="P25" i="7" s="1"/>
  <c r="G25" i="7"/>
  <c r="R24" i="7"/>
  <c r="Q24" i="7"/>
  <c r="P24" i="7"/>
  <c r="G24" i="7"/>
  <c r="R23" i="7"/>
  <c r="Q23" i="7"/>
  <c r="P23" i="7"/>
  <c r="G23" i="7"/>
  <c r="R22" i="7"/>
  <c r="Q22" i="7"/>
  <c r="I22" i="7"/>
  <c r="P22" i="7" s="1"/>
  <c r="G22" i="7"/>
  <c r="R21" i="7"/>
  <c r="Q21" i="7"/>
  <c r="I21" i="7"/>
  <c r="P21" i="7" s="1"/>
  <c r="G21" i="7"/>
  <c r="R20" i="7"/>
  <c r="Q20" i="7"/>
  <c r="I20" i="7"/>
  <c r="P20" i="7" s="1"/>
  <c r="G20" i="7"/>
  <c r="J94" i="7"/>
  <c r="I101" i="7"/>
  <c r="L101" i="7" s="1"/>
  <c r="I100" i="7"/>
  <c r="L100" i="7" s="1"/>
  <c r="G100" i="7"/>
  <c r="G101" i="7"/>
  <c r="I87" i="6"/>
  <c r="I86" i="6"/>
  <c r="I85" i="6"/>
  <c r="I84" i="6"/>
  <c r="I83" i="6"/>
  <c r="I82" i="6"/>
  <c r="G44" i="6"/>
  <c r="Q24" i="6"/>
  <c r="R24" i="6"/>
  <c r="I24" i="6"/>
  <c r="G24" i="6"/>
  <c r="I15" i="6"/>
  <c r="G10" i="5"/>
  <c r="I10" i="5"/>
  <c r="G42" i="5"/>
  <c r="K59" i="5"/>
  <c r="J59" i="5"/>
  <c r="H59" i="5"/>
  <c r="K58" i="5"/>
  <c r="J58" i="5"/>
  <c r="H58" i="5"/>
  <c r="K57" i="5"/>
  <c r="J57" i="5"/>
  <c r="H57" i="5"/>
  <c r="K56" i="5"/>
  <c r="J56" i="5"/>
  <c r="H56" i="5"/>
  <c r="I18" i="5"/>
  <c r="J81" i="5"/>
  <c r="J82" i="5"/>
  <c r="J80" i="5"/>
  <c r="J86" i="4"/>
  <c r="I86" i="4"/>
  <c r="H44" i="4"/>
  <c r="I22" i="4"/>
  <c r="K63" i="4" l="1"/>
  <c r="J63" i="4"/>
  <c r="H63" i="4"/>
  <c r="K62" i="4"/>
  <c r="J62" i="4"/>
  <c r="H62" i="4"/>
  <c r="K61" i="4"/>
  <c r="J61" i="4"/>
  <c r="H61" i="4"/>
  <c r="H87" i="4" l="1"/>
  <c r="H86" i="4"/>
  <c r="H85" i="4"/>
  <c r="J85" i="4" s="1"/>
  <c r="H84" i="4"/>
  <c r="J84" i="4" s="1"/>
  <c r="I86" i="13"/>
  <c r="I87" i="13"/>
  <c r="I88" i="13"/>
  <c r="I89" i="13"/>
  <c r="I90" i="13"/>
  <c r="L90" i="13" s="1"/>
  <c r="I91" i="13"/>
  <c r="I92" i="13"/>
  <c r="I93" i="13"/>
  <c r="I94" i="13"/>
  <c r="I95" i="13"/>
  <c r="I77" i="12"/>
  <c r="L77" i="12" s="1"/>
  <c r="I78" i="12"/>
  <c r="I79" i="12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4" i="11"/>
  <c r="I25" i="11"/>
  <c r="I26" i="11"/>
  <c r="I27" i="11"/>
  <c r="I79" i="11"/>
  <c r="I81" i="11"/>
  <c r="I82" i="11"/>
  <c r="I83" i="11"/>
  <c r="I84" i="11"/>
  <c r="I85" i="11"/>
  <c r="G101" i="11"/>
  <c r="I81" i="10"/>
  <c r="I82" i="10"/>
  <c r="I83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66" i="9"/>
  <c r="I67" i="9"/>
  <c r="H36" i="9"/>
  <c r="H37" i="9"/>
  <c r="I102" i="7"/>
  <c r="I103" i="7"/>
  <c r="I104" i="7"/>
  <c r="I95" i="7"/>
  <c r="I96" i="7"/>
  <c r="I97" i="7"/>
  <c r="I98" i="7"/>
  <c r="I99" i="7"/>
  <c r="I88" i="6"/>
  <c r="I89" i="6"/>
  <c r="I86" i="5"/>
  <c r="I87" i="5"/>
  <c r="I88" i="5"/>
  <c r="I89" i="5"/>
  <c r="I83" i="5"/>
  <c r="I84" i="5"/>
  <c r="I85" i="5"/>
  <c r="I10" i="4"/>
  <c r="I11" i="4"/>
  <c r="I12" i="4"/>
  <c r="I13" i="4"/>
  <c r="I14" i="4"/>
  <c r="I15" i="4"/>
  <c r="I16" i="4"/>
  <c r="I17" i="4"/>
  <c r="I18" i="4"/>
  <c r="I19" i="4"/>
  <c r="I20" i="4"/>
  <c r="I21" i="4"/>
  <c r="H50" i="4"/>
  <c r="I87" i="4"/>
  <c r="I88" i="4"/>
  <c r="I89" i="4"/>
  <c r="I90" i="4"/>
  <c r="I91" i="4"/>
  <c r="I92" i="4"/>
  <c r="J79" i="3"/>
  <c r="I79" i="3"/>
  <c r="J78" i="3"/>
  <c r="I78" i="3"/>
  <c r="J72" i="3"/>
  <c r="I72" i="3"/>
  <c r="J73" i="3"/>
  <c r="I73" i="3"/>
  <c r="O22" i="3"/>
  <c r="I23" i="3"/>
  <c r="I74" i="3"/>
  <c r="I75" i="3"/>
  <c r="I76" i="3"/>
  <c r="I77" i="3"/>
  <c r="I80" i="3"/>
  <c r="K66" i="2"/>
  <c r="K67" i="2"/>
  <c r="K68" i="2"/>
  <c r="K69" i="2"/>
  <c r="K70" i="2"/>
  <c r="J66" i="2"/>
  <c r="J67" i="2"/>
  <c r="J68" i="2"/>
  <c r="J69" i="2"/>
  <c r="J70" i="2"/>
  <c r="H66" i="2"/>
  <c r="H67" i="2"/>
  <c r="H68" i="2"/>
  <c r="H69" i="2"/>
  <c r="H70" i="2"/>
  <c r="I32" i="2"/>
  <c r="I33" i="2"/>
  <c r="I34" i="2"/>
  <c r="I35" i="2"/>
  <c r="I34" i="13"/>
  <c r="I18" i="13"/>
  <c r="I19" i="13"/>
  <c r="P19" i="13" s="1"/>
  <c r="I20" i="13"/>
  <c r="P20" i="13" s="1"/>
  <c r="I21" i="13"/>
  <c r="P18" i="13"/>
  <c r="Q18" i="13"/>
  <c r="R18" i="13"/>
  <c r="Q19" i="13"/>
  <c r="R19" i="13"/>
  <c r="Q20" i="13"/>
  <c r="R20" i="13"/>
  <c r="J65" i="13"/>
  <c r="K65" i="13"/>
  <c r="J66" i="13"/>
  <c r="K66" i="13"/>
  <c r="J67" i="13"/>
  <c r="K67" i="13"/>
  <c r="H65" i="13"/>
  <c r="H66" i="13"/>
  <c r="H67" i="13"/>
  <c r="G18" i="13"/>
  <c r="G19" i="13"/>
  <c r="G20" i="13"/>
  <c r="L91" i="13"/>
  <c r="G90" i="13"/>
  <c r="G91" i="13"/>
  <c r="R26" i="12"/>
  <c r="R27" i="12"/>
  <c r="Q26" i="12"/>
  <c r="Q27" i="12"/>
  <c r="P27" i="12"/>
  <c r="P26" i="12"/>
  <c r="G26" i="12"/>
  <c r="G27" i="12"/>
  <c r="L78" i="12"/>
  <c r="J55" i="12"/>
  <c r="J56" i="12"/>
  <c r="H55" i="12"/>
  <c r="H56" i="12"/>
  <c r="I80" i="12"/>
  <c r="I81" i="12"/>
  <c r="I10" i="12"/>
  <c r="I11" i="12"/>
  <c r="I12" i="12"/>
  <c r="I13" i="12"/>
  <c r="I14" i="12"/>
  <c r="I15" i="12"/>
  <c r="I16" i="12"/>
  <c r="I17" i="12"/>
  <c r="P18" i="12"/>
  <c r="I19" i="12"/>
  <c r="I20" i="12"/>
  <c r="I21" i="12"/>
  <c r="I22" i="12"/>
  <c r="I23" i="12"/>
  <c r="I24" i="12"/>
  <c r="I28" i="12"/>
  <c r="J103" i="11"/>
  <c r="I103" i="11"/>
  <c r="M102" i="11"/>
  <c r="G102" i="11"/>
  <c r="L101" i="11"/>
  <c r="R26" i="11" l="1"/>
  <c r="Q26" i="11"/>
  <c r="P26" i="11"/>
  <c r="G26" i="11"/>
  <c r="H60" i="11"/>
  <c r="J60" i="11"/>
  <c r="I29" i="11"/>
  <c r="I30" i="11"/>
  <c r="I31" i="11"/>
  <c r="I59" i="9"/>
  <c r="J55" i="9" l="1"/>
  <c r="J56" i="9"/>
  <c r="J57" i="9"/>
  <c r="J58" i="9"/>
  <c r="Q27" i="9"/>
  <c r="J39" i="10"/>
  <c r="K39" i="10"/>
  <c r="L39" i="10"/>
  <c r="M39" i="10"/>
  <c r="N39" i="10"/>
  <c r="O39" i="10"/>
  <c r="H39" i="10"/>
  <c r="B4" i="10" s="1"/>
  <c r="M89" i="10"/>
  <c r="K89" i="10"/>
  <c r="H89" i="10"/>
  <c r="L104" i="10"/>
  <c r="L103" i="10"/>
  <c r="Q20" i="10" l="1"/>
  <c r="R20" i="10"/>
  <c r="Q21" i="10"/>
  <c r="R21" i="10"/>
  <c r="Q22" i="10"/>
  <c r="R22" i="10"/>
  <c r="Q23" i="10"/>
  <c r="R23" i="10"/>
  <c r="Q24" i="10"/>
  <c r="R24" i="10"/>
  <c r="Q25" i="10"/>
  <c r="R25" i="10"/>
  <c r="Q26" i="10"/>
  <c r="R26" i="10"/>
  <c r="Q27" i="10"/>
  <c r="R27" i="10"/>
  <c r="Q28" i="10"/>
  <c r="R28" i="10"/>
  <c r="Q29" i="10"/>
  <c r="R29" i="10"/>
  <c r="Q30" i="10"/>
  <c r="R30" i="10"/>
  <c r="Q31" i="10"/>
  <c r="R31" i="10"/>
  <c r="Q32" i="10"/>
  <c r="R32" i="10"/>
  <c r="P21" i="10"/>
  <c r="P29" i="10"/>
  <c r="I37" i="10"/>
  <c r="I38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I9" i="9"/>
  <c r="G9" i="9"/>
  <c r="K39" i="9"/>
  <c r="J39" i="9"/>
  <c r="H28" i="9"/>
  <c r="I11" i="9"/>
  <c r="G10" i="9"/>
  <c r="O28" i="9"/>
  <c r="N28" i="9"/>
  <c r="M28" i="9"/>
  <c r="L28" i="9"/>
  <c r="I27" i="9"/>
  <c r="G27" i="9"/>
  <c r="I22" i="9"/>
  <c r="I12" i="9"/>
  <c r="G11" i="9"/>
  <c r="H56" i="9"/>
  <c r="H57" i="9"/>
  <c r="H58" i="9"/>
  <c r="G80" i="9"/>
  <c r="G81" i="9"/>
  <c r="G82" i="9"/>
  <c r="M86" i="9"/>
  <c r="J86" i="9"/>
  <c r="I86" i="9"/>
  <c r="G86" i="9"/>
  <c r="L85" i="9"/>
  <c r="G85" i="9"/>
  <c r="L84" i="9"/>
  <c r="G84" i="9"/>
  <c r="L83" i="9"/>
  <c r="G83" i="9"/>
  <c r="L82" i="9"/>
  <c r="L81" i="9"/>
  <c r="H38" i="9"/>
  <c r="J89" i="10" l="1"/>
  <c r="P31" i="10"/>
  <c r="P22" i="10"/>
  <c r="P27" i="10"/>
  <c r="P32" i="10"/>
  <c r="P20" i="10"/>
  <c r="P25" i="10"/>
  <c r="P24" i="10"/>
  <c r="P30" i="10"/>
  <c r="P26" i="10"/>
  <c r="P23" i="10"/>
  <c r="H55" i="9"/>
  <c r="J52" i="9"/>
  <c r="J53" i="9"/>
  <c r="J54" i="9"/>
  <c r="H52" i="9"/>
  <c r="H53" i="9"/>
  <c r="H54" i="9"/>
  <c r="G67" i="9"/>
  <c r="L67" i="9"/>
  <c r="L66" i="9"/>
  <c r="H46" i="9"/>
  <c r="J46" i="9"/>
  <c r="K46" i="9"/>
  <c r="H47" i="9"/>
  <c r="J47" i="9"/>
  <c r="K47" i="9"/>
  <c r="H48" i="9"/>
  <c r="J48" i="9"/>
  <c r="K48" i="9"/>
  <c r="H49" i="9"/>
  <c r="J49" i="9"/>
  <c r="K49" i="9"/>
  <c r="H50" i="9"/>
  <c r="J50" i="9"/>
  <c r="K50" i="9"/>
  <c r="H51" i="9"/>
  <c r="J51" i="9"/>
  <c r="K51" i="9"/>
  <c r="I10" i="9"/>
  <c r="Q10" i="9"/>
  <c r="R10" i="9"/>
  <c r="P11" i="9"/>
  <c r="Q11" i="9"/>
  <c r="R11" i="9"/>
  <c r="G12" i="9"/>
  <c r="Q12" i="9"/>
  <c r="R12" i="9"/>
  <c r="G13" i="9"/>
  <c r="P13" i="9"/>
  <c r="Q13" i="9"/>
  <c r="R13" i="9"/>
  <c r="G14" i="9"/>
  <c r="I14" i="9"/>
  <c r="P14" i="9" s="1"/>
  <c r="Q14" i="9"/>
  <c r="R14" i="9"/>
  <c r="G15" i="9"/>
  <c r="I15" i="9"/>
  <c r="P15" i="9" s="1"/>
  <c r="Q15" i="9"/>
  <c r="R15" i="9"/>
  <c r="G16" i="9"/>
  <c r="I16" i="9"/>
  <c r="P16" i="9" s="1"/>
  <c r="Q16" i="9"/>
  <c r="R16" i="9"/>
  <c r="G17" i="9"/>
  <c r="I17" i="9"/>
  <c r="P17" i="9" s="1"/>
  <c r="Q17" i="9"/>
  <c r="R17" i="9"/>
  <c r="G18" i="9"/>
  <c r="I18" i="9"/>
  <c r="P18" i="9" s="1"/>
  <c r="Q18" i="9"/>
  <c r="R18" i="9"/>
  <c r="G19" i="9"/>
  <c r="I19" i="9"/>
  <c r="P19" i="9" s="1"/>
  <c r="Q19" i="9"/>
  <c r="R19" i="9"/>
  <c r="G20" i="9"/>
  <c r="I20" i="9"/>
  <c r="P20" i="9" s="1"/>
  <c r="Q20" i="9"/>
  <c r="R20" i="9"/>
  <c r="G21" i="9"/>
  <c r="P21" i="9"/>
  <c r="Q21" i="9"/>
  <c r="R21" i="9"/>
  <c r="G22" i="9"/>
  <c r="P22" i="9"/>
  <c r="Q22" i="9"/>
  <c r="R22" i="9"/>
  <c r="G23" i="9"/>
  <c r="I23" i="9"/>
  <c r="Q23" i="9"/>
  <c r="R23" i="9"/>
  <c r="G24" i="9"/>
  <c r="P24" i="9"/>
  <c r="Q24" i="9"/>
  <c r="R24" i="9"/>
  <c r="G25" i="9"/>
  <c r="I25" i="9"/>
  <c r="P25" i="9" s="1"/>
  <c r="Q25" i="9"/>
  <c r="R25" i="9"/>
  <c r="G26" i="9"/>
  <c r="I26" i="9"/>
  <c r="P26" i="9" s="1"/>
  <c r="Q26" i="9"/>
  <c r="R26" i="9"/>
  <c r="I66" i="8"/>
  <c r="J64" i="8"/>
  <c r="K64" i="8"/>
  <c r="H64" i="8"/>
  <c r="J63" i="8"/>
  <c r="K63" i="8"/>
  <c r="H63" i="8"/>
  <c r="J62" i="8"/>
  <c r="K62" i="8"/>
  <c r="H62" i="8"/>
  <c r="I18" i="8"/>
  <c r="P18" i="8" s="1"/>
  <c r="P9" i="8"/>
  <c r="P26" i="8"/>
  <c r="P22" i="8"/>
  <c r="L91" i="8"/>
  <c r="L92" i="8"/>
  <c r="L93" i="8"/>
  <c r="L94" i="8"/>
  <c r="L95" i="8"/>
  <c r="L90" i="8"/>
  <c r="L119" i="7"/>
  <c r="G84" i="8"/>
  <c r="G83" i="8"/>
  <c r="G82" i="8"/>
  <c r="G81" i="8"/>
  <c r="G80" i="8"/>
  <c r="G79" i="8"/>
  <c r="G90" i="8"/>
  <c r="G91" i="8"/>
  <c r="G92" i="8"/>
  <c r="G93" i="8"/>
  <c r="G94" i="8"/>
  <c r="G95" i="8"/>
  <c r="G96" i="8"/>
  <c r="I102" i="8"/>
  <c r="L102" i="8" s="1"/>
  <c r="I103" i="8"/>
  <c r="L103" i="8" s="1"/>
  <c r="I104" i="8"/>
  <c r="L104" i="8" s="1"/>
  <c r="I105" i="8"/>
  <c r="L105" i="8" s="1"/>
  <c r="I106" i="8"/>
  <c r="L106" i="8" s="1"/>
  <c r="I101" i="8"/>
  <c r="L101" i="8" s="1"/>
  <c r="G102" i="8"/>
  <c r="G103" i="8"/>
  <c r="G104" i="8"/>
  <c r="G105" i="8"/>
  <c r="G106" i="8"/>
  <c r="G101" i="8"/>
  <c r="H107" i="8"/>
  <c r="J107" i="8"/>
  <c r="K107" i="8"/>
  <c r="C107" i="8"/>
  <c r="G10" i="8"/>
  <c r="I10" i="8"/>
  <c r="P10" i="8" s="1"/>
  <c r="Q10" i="8"/>
  <c r="R10" i="8"/>
  <c r="G11" i="8"/>
  <c r="I11" i="8"/>
  <c r="P11" i="8" s="1"/>
  <c r="Q11" i="8"/>
  <c r="R11" i="8"/>
  <c r="G12" i="8"/>
  <c r="I12" i="8"/>
  <c r="P12" i="8" s="1"/>
  <c r="Q12" i="8"/>
  <c r="R12" i="8"/>
  <c r="G13" i="8"/>
  <c r="I13" i="8"/>
  <c r="P13" i="8" s="1"/>
  <c r="Q13" i="8"/>
  <c r="R13" i="8"/>
  <c r="G14" i="8"/>
  <c r="Q14" i="8"/>
  <c r="R14" i="8"/>
  <c r="G15" i="8"/>
  <c r="I15" i="8"/>
  <c r="P15" i="8" s="1"/>
  <c r="Q15" i="8"/>
  <c r="R15" i="8"/>
  <c r="G16" i="8"/>
  <c r="I16" i="8"/>
  <c r="P16" i="8" s="1"/>
  <c r="Q16" i="8"/>
  <c r="R16" i="8"/>
  <c r="G17" i="8"/>
  <c r="P17" i="8"/>
  <c r="Q17" i="8"/>
  <c r="R17" i="8"/>
  <c r="G18" i="8"/>
  <c r="Q18" i="8"/>
  <c r="R18" i="8"/>
  <c r="G19" i="8"/>
  <c r="I19" i="8"/>
  <c r="P19" i="8" s="1"/>
  <c r="Q19" i="8"/>
  <c r="R19" i="8"/>
  <c r="G20" i="8"/>
  <c r="I20" i="8"/>
  <c r="P20" i="8" s="1"/>
  <c r="Q20" i="8"/>
  <c r="R20" i="8"/>
  <c r="G21" i="8"/>
  <c r="I21" i="8"/>
  <c r="P21" i="8" s="1"/>
  <c r="Q21" i="8"/>
  <c r="R21" i="8"/>
  <c r="G22" i="8"/>
  <c r="Q22" i="8"/>
  <c r="R22" i="8"/>
  <c r="G23" i="8"/>
  <c r="I23" i="8"/>
  <c r="P23" i="8" s="1"/>
  <c r="Q23" i="8"/>
  <c r="R23" i="8"/>
  <c r="G24" i="8"/>
  <c r="I24" i="8"/>
  <c r="P24" i="8" s="1"/>
  <c r="Q24" i="8"/>
  <c r="R24" i="8"/>
  <c r="G25" i="8"/>
  <c r="I25" i="8"/>
  <c r="P25" i="8" s="1"/>
  <c r="Q25" i="8"/>
  <c r="R25" i="8"/>
  <c r="G26" i="8"/>
  <c r="Q26" i="8"/>
  <c r="R26" i="8"/>
  <c r="G27" i="8"/>
  <c r="I27" i="8"/>
  <c r="P27" i="8" s="1"/>
  <c r="Q27" i="8"/>
  <c r="R27" i="8"/>
  <c r="G28" i="8"/>
  <c r="I28" i="8"/>
  <c r="P28" i="8" s="1"/>
  <c r="Q28" i="8"/>
  <c r="R28" i="8"/>
  <c r="G9" i="8"/>
  <c r="Q9" i="8"/>
  <c r="R9" i="8"/>
  <c r="G76" i="8"/>
  <c r="I76" i="8"/>
  <c r="L76" i="8" s="1"/>
  <c r="G77" i="8"/>
  <c r="I77" i="8"/>
  <c r="L77" i="8" s="1"/>
  <c r="G78" i="8"/>
  <c r="I78" i="8"/>
  <c r="L78" i="8" s="1"/>
  <c r="I79" i="8"/>
  <c r="L79" i="8" s="1"/>
  <c r="H47" i="8"/>
  <c r="J47" i="8"/>
  <c r="K47" i="8"/>
  <c r="H48" i="8"/>
  <c r="J48" i="8"/>
  <c r="K48" i="8"/>
  <c r="H49" i="8"/>
  <c r="J49" i="8"/>
  <c r="K49" i="8"/>
  <c r="H50" i="8"/>
  <c r="J50" i="8"/>
  <c r="K50" i="8"/>
  <c r="H51" i="8"/>
  <c r="J51" i="8"/>
  <c r="K51" i="8"/>
  <c r="H52" i="8"/>
  <c r="J52" i="8"/>
  <c r="K52" i="8"/>
  <c r="H53" i="8"/>
  <c r="J53" i="8"/>
  <c r="K53" i="8"/>
  <c r="H54" i="8"/>
  <c r="J54" i="8"/>
  <c r="K54" i="8"/>
  <c r="H55" i="8"/>
  <c r="J55" i="8"/>
  <c r="K55" i="8"/>
  <c r="H56" i="8"/>
  <c r="J56" i="8"/>
  <c r="K56" i="8"/>
  <c r="H57" i="8"/>
  <c r="J57" i="8"/>
  <c r="K57" i="8"/>
  <c r="H58" i="8"/>
  <c r="J58" i="8"/>
  <c r="K58" i="8"/>
  <c r="H59" i="8"/>
  <c r="J59" i="8"/>
  <c r="K59" i="8"/>
  <c r="H37" i="8"/>
  <c r="M37" i="8" s="1"/>
  <c r="H38" i="8"/>
  <c r="M38" i="8" s="1"/>
  <c r="H39" i="8"/>
  <c r="M39" i="8" s="1"/>
  <c r="B4" i="15"/>
  <c r="L25" i="15" s="1"/>
  <c r="M105" i="14"/>
  <c r="L105" i="14"/>
  <c r="H105" i="14"/>
  <c r="G105" i="14"/>
  <c r="C105" i="14"/>
  <c r="B105" i="14"/>
  <c r="M104" i="14"/>
  <c r="L104" i="14"/>
  <c r="H104" i="14"/>
  <c r="G104" i="14"/>
  <c r="C104" i="14"/>
  <c r="B104" i="14"/>
  <c r="M103" i="14"/>
  <c r="L103" i="14"/>
  <c r="H103" i="14"/>
  <c r="G103" i="14"/>
  <c r="C103" i="14"/>
  <c r="B103" i="14"/>
  <c r="M102" i="14"/>
  <c r="L102" i="14"/>
  <c r="H102" i="14"/>
  <c r="G102" i="14"/>
  <c r="C102" i="14"/>
  <c r="B102" i="14"/>
  <c r="M101" i="14"/>
  <c r="L101" i="14"/>
  <c r="H101" i="14"/>
  <c r="G101" i="14"/>
  <c r="C101" i="14"/>
  <c r="B101" i="14"/>
  <c r="M100" i="14"/>
  <c r="L100" i="14"/>
  <c r="H100" i="14"/>
  <c r="G100" i="14"/>
  <c r="C100" i="14"/>
  <c r="B100" i="14"/>
  <c r="M99" i="14"/>
  <c r="L99" i="14"/>
  <c r="H99" i="14"/>
  <c r="G99" i="14"/>
  <c r="C99" i="14"/>
  <c r="B99" i="14"/>
  <c r="M98" i="14"/>
  <c r="L98" i="14"/>
  <c r="H98" i="14"/>
  <c r="G98" i="14"/>
  <c r="C98" i="14"/>
  <c r="B98" i="14"/>
  <c r="M97" i="14"/>
  <c r="L97" i="14"/>
  <c r="H97" i="14"/>
  <c r="G97" i="14"/>
  <c r="C97" i="14"/>
  <c r="B97" i="14"/>
  <c r="M96" i="14"/>
  <c r="L96" i="14"/>
  <c r="H96" i="14"/>
  <c r="G96" i="14"/>
  <c r="C96" i="14"/>
  <c r="B96" i="14"/>
  <c r="M95" i="14"/>
  <c r="L95" i="14"/>
  <c r="H95" i="14"/>
  <c r="G95" i="14"/>
  <c r="C95" i="14"/>
  <c r="B95" i="14"/>
  <c r="M94" i="14"/>
  <c r="L94" i="14"/>
  <c r="H94" i="14"/>
  <c r="G94" i="14"/>
  <c r="C94" i="14"/>
  <c r="B94" i="14"/>
  <c r="M93" i="14"/>
  <c r="L93" i="14"/>
  <c r="H93" i="14"/>
  <c r="G93" i="14"/>
  <c r="C93" i="14"/>
  <c r="B93" i="14"/>
  <c r="M92" i="14"/>
  <c r="L92" i="14"/>
  <c r="H92" i="14"/>
  <c r="G92" i="14"/>
  <c r="C92" i="14"/>
  <c r="B92" i="14"/>
  <c r="M91" i="14"/>
  <c r="L91" i="14"/>
  <c r="H91" i="14"/>
  <c r="G91" i="14"/>
  <c r="C91" i="14"/>
  <c r="B91" i="14"/>
  <c r="M90" i="14"/>
  <c r="L90" i="14"/>
  <c r="H90" i="14"/>
  <c r="G90" i="14"/>
  <c r="C90" i="14"/>
  <c r="B90" i="14"/>
  <c r="M89" i="14"/>
  <c r="L89" i="14"/>
  <c r="H89" i="14"/>
  <c r="G89" i="14"/>
  <c r="C89" i="14"/>
  <c r="B89" i="14"/>
  <c r="M88" i="14"/>
  <c r="L88" i="14"/>
  <c r="H88" i="14"/>
  <c r="G88" i="14"/>
  <c r="C88" i="14"/>
  <c r="B88" i="14"/>
  <c r="M87" i="14"/>
  <c r="L87" i="14"/>
  <c r="H87" i="14"/>
  <c r="G87" i="14"/>
  <c r="C87" i="14"/>
  <c r="B87" i="14"/>
  <c r="M86" i="14"/>
  <c r="L86" i="14"/>
  <c r="H86" i="14"/>
  <c r="G86" i="14"/>
  <c r="C86" i="14"/>
  <c r="B86" i="14"/>
  <c r="M85" i="14"/>
  <c r="L85" i="14"/>
  <c r="H85" i="14"/>
  <c r="G85" i="14"/>
  <c r="C85" i="14"/>
  <c r="B85" i="14"/>
  <c r="M84" i="14"/>
  <c r="L84" i="14"/>
  <c r="H84" i="14"/>
  <c r="G84" i="14"/>
  <c r="C84" i="14"/>
  <c r="B84" i="14"/>
  <c r="M83" i="14"/>
  <c r="L83" i="14"/>
  <c r="H83" i="14"/>
  <c r="G83" i="14"/>
  <c r="C83" i="14"/>
  <c r="B83" i="14"/>
  <c r="M79" i="14"/>
  <c r="L79" i="14"/>
  <c r="H79" i="14"/>
  <c r="G79" i="14"/>
  <c r="C79" i="14"/>
  <c r="B79" i="14"/>
  <c r="M78" i="14"/>
  <c r="L78" i="14"/>
  <c r="H78" i="14"/>
  <c r="G78" i="14"/>
  <c r="C78" i="14"/>
  <c r="B78" i="14"/>
  <c r="M77" i="14"/>
  <c r="L77" i="14"/>
  <c r="H77" i="14"/>
  <c r="G77" i="14"/>
  <c r="C77" i="14"/>
  <c r="B77" i="14"/>
  <c r="M76" i="14"/>
  <c r="L76" i="14"/>
  <c r="H76" i="14"/>
  <c r="G76" i="14"/>
  <c r="C76" i="14"/>
  <c r="B76" i="14"/>
  <c r="M75" i="14"/>
  <c r="L75" i="14"/>
  <c r="H75" i="14"/>
  <c r="G75" i="14"/>
  <c r="C75" i="14"/>
  <c r="B75" i="14"/>
  <c r="M74" i="14"/>
  <c r="L74" i="14"/>
  <c r="H74" i="14"/>
  <c r="G74" i="14"/>
  <c r="C74" i="14"/>
  <c r="B74" i="14"/>
  <c r="M73" i="14"/>
  <c r="L73" i="14"/>
  <c r="H73" i="14"/>
  <c r="G73" i="14"/>
  <c r="C73" i="14"/>
  <c r="B73" i="14"/>
  <c r="M72" i="14"/>
  <c r="L72" i="14"/>
  <c r="H72" i="14"/>
  <c r="G72" i="14"/>
  <c r="C72" i="14"/>
  <c r="B72" i="14"/>
  <c r="M71" i="14"/>
  <c r="L71" i="14"/>
  <c r="H71" i="14"/>
  <c r="G71" i="14"/>
  <c r="C71" i="14"/>
  <c r="B71" i="14"/>
  <c r="M70" i="14"/>
  <c r="L70" i="14"/>
  <c r="H70" i="14"/>
  <c r="G70" i="14"/>
  <c r="C70" i="14"/>
  <c r="B70" i="14"/>
  <c r="M69" i="14"/>
  <c r="L69" i="14"/>
  <c r="H69" i="14"/>
  <c r="G69" i="14"/>
  <c r="C69" i="14"/>
  <c r="B69" i="14"/>
  <c r="M68" i="14"/>
  <c r="L68" i="14"/>
  <c r="H68" i="14"/>
  <c r="G68" i="14"/>
  <c r="C68" i="14"/>
  <c r="B68" i="14"/>
  <c r="M67" i="14"/>
  <c r="L67" i="14"/>
  <c r="H67" i="14"/>
  <c r="G67" i="14"/>
  <c r="C67" i="14"/>
  <c r="B67" i="14"/>
  <c r="M66" i="14"/>
  <c r="L66" i="14"/>
  <c r="H66" i="14"/>
  <c r="G66" i="14"/>
  <c r="C66" i="14"/>
  <c r="B66" i="14"/>
  <c r="M65" i="14"/>
  <c r="L65" i="14"/>
  <c r="H65" i="14"/>
  <c r="G65" i="14"/>
  <c r="C65" i="14"/>
  <c r="B65" i="14"/>
  <c r="M64" i="14"/>
  <c r="L64" i="14"/>
  <c r="H64" i="14"/>
  <c r="G64" i="14"/>
  <c r="C64" i="14"/>
  <c r="B64" i="14"/>
  <c r="M63" i="14"/>
  <c r="L63" i="14"/>
  <c r="H63" i="14"/>
  <c r="G63" i="14"/>
  <c r="C63" i="14"/>
  <c r="B63" i="14"/>
  <c r="M62" i="14"/>
  <c r="L62" i="14"/>
  <c r="H62" i="14"/>
  <c r="G62" i="14"/>
  <c r="C62" i="14"/>
  <c r="B62" i="14"/>
  <c r="M61" i="14"/>
  <c r="L61" i="14"/>
  <c r="H61" i="14"/>
  <c r="G61" i="14"/>
  <c r="C61" i="14"/>
  <c r="B61" i="14"/>
  <c r="M60" i="14"/>
  <c r="L60" i="14"/>
  <c r="H60" i="14"/>
  <c r="G60" i="14"/>
  <c r="C60" i="14"/>
  <c r="B60" i="14"/>
  <c r="M59" i="14"/>
  <c r="L59" i="14"/>
  <c r="H59" i="14"/>
  <c r="G59" i="14"/>
  <c r="C59" i="14"/>
  <c r="B59" i="14"/>
  <c r="M58" i="14"/>
  <c r="L58" i="14"/>
  <c r="H58" i="14"/>
  <c r="G58" i="14"/>
  <c r="C58" i="14"/>
  <c r="B58" i="14"/>
  <c r="M57" i="14"/>
  <c r="L57" i="14"/>
  <c r="H57" i="14"/>
  <c r="G57" i="14"/>
  <c r="C57" i="14"/>
  <c r="B57" i="14"/>
  <c r="M53" i="14"/>
  <c r="L53" i="14"/>
  <c r="H53" i="14"/>
  <c r="G53" i="14"/>
  <c r="C53" i="14"/>
  <c r="B53" i="14"/>
  <c r="M52" i="14"/>
  <c r="L52" i="14"/>
  <c r="H52" i="14"/>
  <c r="G52" i="14"/>
  <c r="C52" i="14"/>
  <c r="B52" i="14"/>
  <c r="M51" i="14"/>
  <c r="L51" i="14"/>
  <c r="H51" i="14"/>
  <c r="G51" i="14"/>
  <c r="C51" i="14"/>
  <c r="B51" i="14"/>
  <c r="M50" i="14"/>
  <c r="L50" i="14"/>
  <c r="H50" i="14"/>
  <c r="G50" i="14"/>
  <c r="C50" i="14"/>
  <c r="B50" i="14"/>
  <c r="M49" i="14"/>
  <c r="L49" i="14"/>
  <c r="H49" i="14"/>
  <c r="G49" i="14"/>
  <c r="C49" i="14"/>
  <c r="B49" i="14"/>
  <c r="M48" i="14"/>
  <c r="L48" i="14"/>
  <c r="H48" i="14"/>
  <c r="G48" i="14"/>
  <c r="C48" i="14"/>
  <c r="B48" i="14"/>
  <c r="M47" i="14"/>
  <c r="L47" i="14"/>
  <c r="H47" i="14"/>
  <c r="G47" i="14"/>
  <c r="C47" i="14"/>
  <c r="B47" i="14"/>
  <c r="M46" i="14"/>
  <c r="L46" i="14"/>
  <c r="H46" i="14"/>
  <c r="G46" i="14"/>
  <c r="C46" i="14"/>
  <c r="B46" i="14"/>
  <c r="M45" i="14"/>
  <c r="L45" i="14"/>
  <c r="H45" i="14"/>
  <c r="G45" i="14"/>
  <c r="C45" i="14"/>
  <c r="B45" i="14"/>
  <c r="M44" i="14"/>
  <c r="L44" i="14"/>
  <c r="H44" i="14"/>
  <c r="G44" i="14"/>
  <c r="C44" i="14"/>
  <c r="B44" i="14"/>
  <c r="M43" i="14"/>
  <c r="L43" i="14"/>
  <c r="H43" i="14"/>
  <c r="G43" i="14"/>
  <c r="C43" i="14"/>
  <c r="B43" i="14"/>
  <c r="M42" i="14"/>
  <c r="L42" i="14"/>
  <c r="H42" i="14"/>
  <c r="G42" i="14"/>
  <c r="C42" i="14"/>
  <c r="B42" i="14"/>
  <c r="M41" i="14"/>
  <c r="L41" i="14"/>
  <c r="H41" i="14"/>
  <c r="G41" i="14"/>
  <c r="C41" i="14"/>
  <c r="B41" i="14"/>
  <c r="M40" i="14"/>
  <c r="L40" i="14"/>
  <c r="H40" i="14"/>
  <c r="G40" i="14"/>
  <c r="C40" i="14"/>
  <c r="B40" i="14"/>
  <c r="M39" i="14"/>
  <c r="L39" i="14"/>
  <c r="H39" i="14"/>
  <c r="G39" i="14"/>
  <c r="C39" i="14"/>
  <c r="B39" i="14"/>
  <c r="M38" i="14"/>
  <c r="L38" i="14"/>
  <c r="H38" i="14"/>
  <c r="G38" i="14"/>
  <c r="C38" i="14"/>
  <c r="B38" i="14"/>
  <c r="M37" i="14"/>
  <c r="L37" i="14"/>
  <c r="H37" i="14"/>
  <c r="G37" i="14"/>
  <c r="C37" i="14"/>
  <c r="B37" i="14"/>
  <c r="M36" i="14"/>
  <c r="L36" i="14"/>
  <c r="H36" i="14"/>
  <c r="G36" i="14"/>
  <c r="C36" i="14"/>
  <c r="B36" i="14"/>
  <c r="M35" i="14"/>
  <c r="L35" i="14"/>
  <c r="H35" i="14"/>
  <c r="G35" i="14"/>
  <c r="C35" i="14"/>
  <c r="B35" i="14"/>
  <c r="M34" i="14"/>
  <c r="L34" i="14"/>
  <c r="H34" i="14"/>
  <c r="G34" i="14"/>
  <c r="C34" i="14"/>
  <c r="B34" i="14"/>
  <c r="M33" i="14"/>
  <c r="L33" i="14"/>
  <c r="H33" i="14"/>
  <c r="G33" i="14"/>
  <c r="C33" i="14"/>
  <c r="B33" i="14"/>
  <c r="M32" i="14"/>
  <c r="L32" i="14"/>
  <c r="H32" i="14"/>
  <c r="G32" i="14"/>
  <c r="C32" i="14"/>
  <c r="B32" i="14"/>
  <c r="M31" i="14"/>
  <c r="L31" i="14"/>
  <c r="H31" i="14"/>
  <c r="G31" i="14"/>
  <c r="C31" i="14"/>
  <c r="B31" i="14"/>
  <c r="M27" i="14"/>
  <c r="L27" i="14"/>
  <c r="H27" i="14"/>
  <c r="G27" i="14"/>
  <c r="M26" i="14"/>
  <c r="L26" i="14"/>
  <c r="H26" i="14"/>
  <c r="G26" i="14"/>
  <c r="M25" i="14"/>
  <c r="L25" i="14"/>
  <c r="H25" i="14"/>
  <c r="G25" i="14"/>
  <c r="M24" i="14"/>
  <c r="L24" i="14"/>
  <c r="H24" i="14"/>
  <c r="G24" i="14"/>
  <c r="M23" i="14"/>
  <c r="L23" i="14"/>
  <c r="H23" i="14"/>
  <c r="G23" i="14"/>
  <c r="M22" i="14"/>
  <c r="L22" i="14"/>
  <c r="H22" i="14"/>
  <c r="G22" i="14"/>
  <c r="M21" i="14"/>
  <c r="L21" i="14"/>
  <c r="H21" i="14"/>
  <c r="G21" i="14"/>
  <c r="M20" i="14"/>
  <c r="L20" i="14"/>
  <c r="H20" i="14"/>
  <c r="G20" i="14"/>
  <c r="M19" i="14"/>
  <c r="L19" i="14"/>
  <c r="H19" i="14"/>
  <c r="G19" i="14"/>
  <c r="M18" i="14"/>
  <c r="L18" i="14"/>
  <c r="H18" i="14"/>
  <c r="G18" i="14"/>
  <c r="M17" i="14"/>
  <c r="L17" i="14"/>
  <c r="H17" i="14"/>
  <c r="G17" i="14"/>
  <c r="M16" i="14"/>
  <c r="L16" i="14"/>
  <c r="H16" i="14"/>
  <c r="G16" i="14"/>
  <c r="M15" i="14"/>
  <c r="L15" i="14"/>
  <c r="H15" i="14"/>
  <c r="G15" i="14"/>
  <c r="M14" i="14"/>
  <c r="L14" i="14"/>
  <c r="H14" i="14"/>
  <c r="G14" i="14"/>
  <c r="M13" i="14"/>
  <c r="L13" i="14"/>
  <c r="H13" i="14"/>
  <c r="G13" i="14"/>
  <c r="M12" i="14"/>
  <c r="L12" i="14"/>
  <c r="H12" i="14"/>
  <c r="G12" i="14"/>
  <c r="M11" i="14"/>
  <c r="L11" i="14"/>
  <c r="H11" i="14"/>
  <c r="G11" i="14"/>
  <c r="M10" i="14"/>
  <c r="L10" i="14"/>
  <c r="H10" i="14"/>
  <c r="G10" i="14"/>
  <c r="M9" i="14"/>
  <c r="L9" i="14"/>
  <c r="H9" i="14"/>
  <c r="G9" i="14"/>
  <c r="M8" i="14"/>
  <c r="L8" i="14"/>
  <c r="H8" i="14"/>
  <c r="G8" i="14"/>
  <c r="M7" i="14"/>
  <c r="L7" i="14"/>
  <c r="H7" i="14"/>
  <c r="G7" i="14"/>
  <c r="M6" i="14"/>
  <c r="L6" i="14"/>
  <c r="H6" i="14"/>
  <c r="G6" i="14"/>
  <c r="M5" i="14"/>
  <c r="L5" i="14"/>
  <c r="H5" i="14"/>
  <c r="G5" i="14"/>
  <c r="B4" i="14"/>
  <c r="G4" i="14" s="1"/>
  <c r="L4" i="14" s="1"/>
  <c r="B30" i="14" s="1"/>
  <c r="G30" i="14" s="1"/>
  <c r="L30" i="14" s="1"/>
  <c r="B56" i="14" s="1"/>
  <c r="G56" i="14" s="1"/>
  <c r="L56" i="14" s="1"/>
  <c r="B82" i="14" s="1"/>
  <c r="G82" i="14" s="1"/>
  <c r="L82" i="14" s="1"/>
  <c r="G122" i="13"/>
  <c r="G121" i="13"/>
  <c r="G120" i="13"/>
  <c r="G119" i="13"/>
  <c r="G118" i="13"/>
  <c r="M108" i="13"/>
  <c r="K108" i="13"/>
  <c r="J108" i="13"/>
  <c r="I108" i="13"/>
  <c r="H108" i="13"/>
  <c r="L107" i="13"/>
  <c r="G102" i="13"/>
  <c r="M97" i="13"/>
  <c r="K97" i="13"/>
  <c r="J97" i="13"/>
  <c r="H97" i="13"/>
  <c r="I96" i="13"/>
  <c r="L96" i="13" s="1"/>
  <c r="G96" i="13"/>
  <c r="L95" i="13"/>
  <c r="G95" i="13"/>
  <c r="L94" i="13"/>
  <c r="G94" i="13"/>
  <c r="L93" i="13"/>
  <c r="G93" i="13"/>
  <c r="L92" i="13"/>
  <c r="G92" i="13"/>
  <c r="L89" i="13"/>
  <c r="G89" i="13"/>
  <c r="L88" i="13"/>
  <c r="G88" i="13"/>
  <c r="L87" i="13"/>
  <c r="G87" i="13"/>
  <c r="L86" i="13"/>
  <c r="G86" i="13"/>
  <c r="I77" i="13"/>
  <c r="K76" i="13"/>
  <c r="J76" i="13"/>
  <c r="H76" i="13"/>
  <c r="K75" i="13"/>
  <c r="J75" i="13"/>
  <c r="H75" i="13"/>
  <c r="K74" i="13"/>
  <c r="J74" i="13"/>
  <c r="H74" i="13"/>
  <c r="K73" i="13"/>
  <c r="J73" i="13"/>
  <c r="H73" i="13"/>
  <c r="K72" i="13"/>
  <c r="J72" i="13"/>
  <c r="H72" i="13"/>
  <c r="K71" i="13"/>
  <c r="J71" i="13"/>
  <c r="H71" i="13"/>
  <c r="K70" i="13"/>
  <c r="J70" i="13"/>
  <c r="H70" i="13"/>
  <c r="K69" i="13"/>
  <c r="J69" i="13"/>
  <c r="H69" i="13"/>
  <c r="K64" i="13"/>
  <c r="J64" i="13"/>
  <c r="H64" i="13"/>
  <c r="K63" i="13"/>
  <c r="J63" i="13"/>
  <c r="H63" i="13"/>
  <c r="K62" i="13"/>
  <c r="J62" i="13"/>
  <c r="H62" i="13"/>
  <c r="K61" i="13"/>
  <c r="J61" i="13"/>
  <c r="H61" i="13"/>
  <c r="K60" i="13"/>
  <c r="J60" i="13"/>
  <c r="H60" i="13"/>
  <c r="L54" i="13"/>
  <c r="K54" i="13"/>
  <c r="J54" i="13"/>
  <c r="I54" i="13"/>
  <c r="G54" i="13"/>
  <c r="H53" i="13"/>
  <c r="H52" i="13"/>
  <c r="H51" i="13"/>
  <c r="H50" i="13"/>
  <c r="H49" i="13"/>
  <c r="H48" i="13"/>
  <c r="H47" i="13"/>
  <c r="H46" i="13"/>
  <c r="O39" i="13"/>
  <c r="N39" i="13"/>
  <c r="M39" i="13"/>
  <c r="L39" i="13"/>
  <c r="K39" i="13"/>
  <c r="J39" i="13"/>
  <c r="H39" i="13"/>
  <c r="R38" i="13"/>
  <c r="Q38" i="13"/>
  <c r="I38" i="13"/>
  <c r="P38" i="13" s="1"/>
  <c r="G38" i="13"/>
  <c r="R37" i="13"/>
  <c r="Q37" i="13"/>
  <c r="I37" i="13"/>
  <c r="P37" i="13" s="1"/>
  <c r="G37" i="13"/>
  <c r="R36" i="13"/>
  <c r="Q36" i="13"/>
  <c r="I36" i="13"/>
  <c r="P36" i="13" s="1"/>
  <c r="G36" i="13"/>
  <c r="R35" i="13"/>
  <c r="Q35" i="13"/>
  <c r="I35" i="13"/>
  <c r="P35" i="13" s="1"/>
  <c r="G35" i="13"/>
  <c r="R34" i="13"/>
  <c r="Q34" i="13"/>
  <c r="P34" i="13"/>
  <c r="G34" i="13"/>
  <c r="R33" i="13"/>
  <c r="Q33" i="13"/>
  <c r="I33" i="13"/>
  <c r="P33" i="13" s="1"/>
  <c r="G33" i="13"/>
  <c r="R32" i="13"/>
  <c r="Q32" i="13"/>
  <c r="I32" i="13"/>
  <c r="P32" i="13" s="1"/>
  <c r="G32" i="13"/>
  <c r="R31" i="13"/>
  <c r="Q31" i="13"/>
  <c r="I31" i="13"/>
  <c r="P31" i="13" s="1"/>
  <c r="G31" i="13"/>
  <c r="R30" i="13"/>
  <c r="Q30" i="13"/>
  <c r="I30" i="13"/>
  <c r="P30" i="13" s="1"/>
  <c r="G30" i="13"/>
  <c r="R29" i="13"/>
  <c r="Q29" i="13"/>
  <c r="I29" i="13"/>
  <c r="P29" i="13" s="1"/>
  <c r="G29" i="13"/>
  <c r="R28" i="13"/>
  <c r="Q28" i="13"/>
  <c r="I28" i="13"/>
  <c r="P28" i="13" s="1"/>
  <c r="G28" i="13"/>
  <c r="R27" i="13"/>
  <c r="Q27" i="13"/>
  <c r="I27" i="13"/>
  <c r="P27" i="13" s="1"/>
  <c r="G27" i="13"/>
  <c r="R26" i="13"/>
  <c r="Q26" i="13"/>
  <c r="I26" i="13"/>
  <c r="P26" i="13" s="1"/>
  <c r="G26" i="13"/>
  <c r="R25" i="13"/>
  <c r="Q25" i="13"/>
  <c r="I25" i="13"/>
  <c r="P25" i="13" s="1"/>
  <c r="G25" i="13"/>
  <c r="R24" i="13"/>
  <c r="Q24" i="13"/>
  <c r="I24" i="13"/>
  <c r="P24" i="13" s="1"/>
  <c r="G24" i="13"/>
  <c r="R23" i="13"/>
  <c r="Q23" i="13"/>
  <c r="I23" i="13"/>
  <c r="P23" i="13" s="1"/>
  <c r="G23" i="13"/>
  <c r="R22" i="13"/>
  <c r="Q22" i="13"/>
  <c r="I22" i="13"/>
  <c r="P22" i="13" s="1"/>
  <c r="G22" i="13"/>
  <c r="R21" i="13"/>
  <c r="Q21" i="13"/>
  <c r="P21" i="13"/>
  <c r="G21" i="13"/>
  <c r="R17" i="13"/>
  <c r="Q17" i="13"/>
  <c r="I17" i="13"/>
  <c r="P17" i="13" s="1"/>
  <c r="G17" i="13"/>
  <c r="R16" i="13"/>
  <c r="Q16" i="13"/>
  <c r="P16" i="13"/>
  <c r="G16" i="13"/>
  <c r="R15" i="13"/>
  <c r="Q15" i="13"/>
  <c r="P15" i="13"/>
  <c r="G15" i="13"/>
  <c r="R14" i="13"/>
  <c r="Q14" i="13"/>
  <c r="P14" i="13"/>
  <c r="G14" i="13"/>
  <c r="R13" i="13"/>
  <c r="Q13" i="13"/>
  <c r="I13" i="13"/>
  <c r="P13" i="13" s="1"/>
  <c r="G13" i="13"/>
  <c r="R12" i="13"/>
  <c r="Q12" i="13"/>
  <c r="I12" i="13"/>
  <c r="P12" i="13" s="1"/>
  <c r="G12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G9" i="13"/>
  <c r="N1" i="13"/>
  <c r="K82" i="13" s="1"/>
  <c r="G1" i="13"/>
  <c r="G117" i="12"/>
  <c r="G116" i="12"/>
  <c r="G115" i="12"/>
  <c r="G114" i="12"/>
  <c r="G113" i="12"/>
  <c r="K106" i="12"/>
  <c r="J106" i="12"/>
  <c r="I106" i="12"/>
  <c r="H106" i="12"/>
  <c r="M105" i="12"/>
  <c r="M106" i="12" s="1"/>
  <c r="G105" i="12"/>
  <c r="L104" i="12"/>
  <c r="G104" i="12"/>
  <c r="L102" i="12"/>
  <c r="G102" i="12"/>
  <c r="M96" i="12"/>
  <c r="K96" i="12"/>
  <c r="J96" i="12"/>
  <c r="I96" i="12"/>
  <c r="H96" i="12"/>
  <c r="L95" i="12"/>
  <c r="L94" i="12"/>
  <c r="L93" i="12"/>
  <c r="L92" i="12"/>
  <c r="L91" i="12"/>
  <c r="L90" i="12"/>
  <c r="G90" i="12"/>
  <c r="M85" i="12"/>
  <c r="K85" i="12"/>
  <c r="H85" i="12"/>
  <c r="I84" i="12"/>
  <c r="L84" i="12" s="1"/>
  <c r="G84" i="12"/>
  <c r="I83" i="12"/>
  <c r="L83" i="12" s="1"/>
  <c r="G83" i="12"/>
  <c r="I82" i="12"/>
  <c r="L82" i="12" s="1"/>
  <c r="G82" i="12"/>
  <c r="L81" i="12"/>
  <c r="G81" i="12"/>
  <c r="L80" i="12"/>
  <c r="G80" i="12"/>
  <c r="L79" i="12"/>
  <c r="G79" i="12"/>
  <c r="G78" i="12"/>
  <c r="G77" i="12"/>
  <c r="L76" i="12"/>
  <c r="G76" i="12"/>
  <c r="I66" i="12"/>
  <c r="K65" i="12"/>
  <c r="J65" i="12"/>
  <c r="H65" i="12"/>
  <c r="K64" i="12"/>
  <c r="J64" i="12"/>
  <c r="H64" i="12"/>
  <c r="K63" i="12"/>
  <c r="J63" i="12"/>
  <c r="H63" i="12"/>
  <c r="K62" i="12"/>
  <c r="J62" i="12"/>
  <c r="H62" i="12"/>
  <c r="K61" i="12"/>
  <c r="J61" i="12"/>
  <c r="H61" i="12"/>
  <c r="K60" i="12"/>
  <c r="J60" i="12"/>
  <c r="H60" i="12"/>
  <c r="K59" i="12"/>
  <c r="J59" i="12"/>
  <c r="H59" i="12"/>
  <c r="K58" i="12"/>
  <c r="J58" i="12"/>
  <c r="H58" i="12"/>
  <c r="K57" i="12"/>
  <c r="J57" i="12"/>
  <c r="H57" i="12"/>
  <c r="K54" i="12"/>
  <c r="J54" i="12"/>
  <c r="H54" i="12"/>
  <c r="K53" i="12"/>
  <c r="J53" i="12"/>
  <c r="H53" i="12"/>
  <c r="K52" i="12"/>
  <c r="J52" i="12"/>
  <c r="H52" i="12"/>
  <c r="K51" i="12"/>
  <c r="J51" i="12"/>
  <c r="H51" i="12"/>
  <c r="L45" i="12"/>
  <c r="J45" i="12"/>
  <c r="I45" i="12"/>
  <c r="K45" i="12"/>
  <c r="O29" i="12"/>
  <c r="N29" i="12"/>
  <c r="M29" i="12"/>
  <c r="L29" i="12"/>
  <c r="K29" i="12"/>
  <c r="J29" i="12"/>
  <c r="H29" i="12"/>
  <c r="R28" i="12"/>
  <c r="Q28" i="12"/>
  <c r="P28" i="12"/>
  <c r="G28" i="12"/>
  <c r="R25" i="12"/>
  <c r="Q25" i="12"/>
  <c r="P25" i="12"/>
  <c r="G25" i="12"/>
  <c r="R24" i="12"/>
  <c r="Q24" i="12"/>
  <c r="P24" i="12"/>
  <c r="G24" i="12"/>
  <c r="R23" i="12"/>
  <c r="Q23" i="12"/>
  <c r="P23" i="12"/>
  <c r="G23" i="12"/>
  <c r="R22" i="12"/>
  <c r="Q22" i="12"/>
  <c r="P22" i="12"/>
  <c r="G22" i="12"/>
  <c r="R21" i="12"/>
  <c r="Q21" i="12"/>
  <c r="P21" i="12"/>
  <c r="G21" i="12"/>
  <c r="R20" i="12"/>
  <c r="Q20" i="12"/>
  <c r="P20" i="12"/>
  <c r="G20" i="12"/>
  <c r="R19" i="12"/>
  <c r="Q19" i="12"/>
  <c r="P19" i="12"/>
  <c r="G19" i="12"/>
  <c r="R18" i="12"/>
  <c r="Q18" i="12"/>
  <c r="G18" i="12"/>
  <c r="R17" i="12"/>
  <c r="Q17" i="12"/>
  <c r="P17" i="12"/>
  <c r="G17" i="12"/>
  <c r="R16" i="12"/>
  <c r="Q16" i="12"/>
  <c r="P16" i="12"/>
  <c r="G16" i="12"/>
  <c r="R15" i="12"/>
  <c r="Q15" i="12"/>
  <c r="P15" i="12"/>
  <c r="G15" i="12"/>
  <c r="R14" i="12"/>
  <c r="Q14" i="12"/>
  <c r="P14" i="12"/>
  <c r="G14" i="12"/>
  <c r="R13" i="12"/>
  <c r="Q13" i="12"/>
  <c r="P13" i="12"/>
  <c r="G13" i="12"/>
  <c r="R12" i="12"/>
  <c r="Q12" i="12"/>
  <c r="P12" i="12"/>
  <c r="G12" i="12"/>
  <c r="R11" i="12"/>
  <c r="Q11" i="12"/>
  <c r="P11" i="12"/>
  <c r="G11" i="12"/>
  <c r="R10" i="12"/>
  <c r="Q10" i="12"/>
  <c r="P10" i="12"/>
  <c r="G10" i="12"/>
  <c r="R9" i="12"/>
  <c r="Q9" i="12"/>
  <c r="I9" i="12"/>
  <c r="P9" i="12" s="1"/>
  <c r="G9" i="12"/>
  <c r="N1" i="12"/>
  <c r="K72" i="12" s="1"/>
  <c r="G1" i="12"/>
  <c r="G122" i="11"/>
  <c r="G121" i="11"/>
  <c r="G120" i="11"/>
  <c r="G119" i="11"/>
  <c r="G118" i="11"/>
  <c r="M97" i="11"/>
  <c r="K97" i="11"/>
  <c r="J97" i="11"/>
  <c r="I97" i="11"/>
  <c r="H97" i="11"/>
  <c r="L96" i="11"/>
  <c r="L95" i="11"/>
  <c r="L94" i="11"/>
  <c r="L93" i="11"/>
  <c r="L92" i="11"/>
  <c r="L91" i="11"/>
  <c r="G91" i="11"/>
  <c r="M86" i="11"/>
  <c r="K86" i="11"/>
  <c r="H86" i="11"/>
  <c r="L85" i="11"/>
  <c r="G85" i="11"/>
  <c r="L84" i="11"/>
  <c r="G84" i="11"/>
  <c r="L83" i="11"/>
  <c r="G83" i="11"/>
  <c r="L82" i="11"/>
  <c r="G82" i="11"/>
  <c r="L81" i="11"/>
  <c r="G81" i="11"/>
  <c r="L80" i="11"/>
  <c r="G80" i="11"/>
  <c r="L79" i="11"/>
  <c r="G79" i="11"/>
  <c r="G78" i="11"/>
  <c r="J86" i="11"/>
  <c r="G77" i="11"/>
  <c r="I67" i="11"/>
  <c r="K66" i="11"/>
  <c r="J66" i="11"/>
  <c r="H66" i="11"/>
  <c r="K65" i="11"/>
  <c r="J65" i="11"/>
  <c r="H65" i="11"/>
  <c r="K64" i="11"/>
  <c r="J64" i="11"/>
  <c r="H64" i="11"/>
  <c r="K63" i="11"/>
  <c r="J63" i="11"/>
  <c r="H63" i="11"/>
  <c r="K62" i="11"/>
  <c r="J62" i="11"/>
  <c r="H62" i="11"/>
  <c r="K61" i="11"/>
  <c r="J61" i="11"/>
  <c r="H61" i="11"/>
  <c r="K59" i="11"/>
  <c r="J59" i="11"/>
  <c r="H59" i="11"/>
  <c r="K58" i="11"/>
  <c r="J58" i="11"/>
  <c r="H58" i="11"/>
  <c r="K57" i="11"/>
  <c r="J57" i="11"/>
  <c r="H57" i="11"/>
  <c r="K56" i="11"/>
  <c r="J56" i="11"/>
  <c r="H56" i="11"/>
  <c r="K55" i="11"/>
  <c r="J55" i="11"/>
  <c r="H55" i="11"/>
  <c r="K54" i="11"/>
  <c r="J54" i="11"/>
  <c r="H54" i="11"/>
  <c r="K53" i="11"/>
  <c r="J53" i="11"/>
  <c r="H53" i="11"/>
  <c r="L47" i="11"/>
  <c r="K47" i="11"/>
  <c r="J47" i="11"/>
  <c r="I47" i="11"/>
  <c r="H46" i="11"/>
  <c r="H45" i="11"/>
  <c r="G47" i="11"/>
  <c r="O32" i="11"/>
  <c r="N32" i="11"/>
  <c r="M32" i="11"/>
  <c r="L32" i="11"/>
  <c r="K32" i="11"/>
  <c r="J32" i="11"/>
  <c r="H32" i="11"/>
  <c r="R31" i="11"/>
  <c r="Q31" i="11"/>
  <c r="P31" i="11"/>
  <c r="G31" i="11"/>
  <c r="R30" i="11"/>
  <c r="Q30" i="11"/>
  <c r="P30" i="11"/>
  <c r="G30" i="11"/>
  <c r="R29" i="11"/>
  <c r="Q29" i="11"/>
  <c r="P29" i="11"/>
  <c r="G29" i="11"/>
  <c r="R28" i="11"/>
  <c r="Q28" i="11"/>
  <c r="P28" i="11"/>
  <c r="G28" i="11"/>
  <c r="R27" i="11"/>
  <c r="Q27" i="11"/>
  <c r="P27" i="11"/>
  <c r="G27" i="11"/>
  <c r="R25" i="11"/>
  <c r="Q25" i="11"/>
  <c r="P25" i="11"/>
  <c r="G25" i="11"/>
  <c r="R24" i="11"/>
  <c r="Q24" i="11"/>
  <c r="P24" i="11"/>
  <c r="G24" i="11"/>
  <c r="R23" i="11"/>
  <c r="Q23" i="11"/>
  <c r="P23" i="11"/>
  <c r="G23" i="11"/>
  <c r="R22" i="11"/>
  <c r="Q22" i="11"/>
  <c r="P22" i="11"/>
  <c r="G22" i="11"/>
  <c r="R21" i="11"/>
  <c r="Q21" i="11"/>
  <c r="P21" i="11"/>
  <c r="G21" i="11"/>
  <c r="R20" i="11"/>
  <c r="Q20" i="11"/>
  <c r="P20" i="11"/>
  <c r="G20" i="11"/>
  <c r="R19" i="11"/>
  <c r="Q19" i="11"/>
  <c r="P19" i="11"/>
  <c r="G19" i="11"/>
  <c r="R18" i="11"/>
  <c r="Q18" i="11"/>
  <c r="P18" i="11"/>
  <c r="G18" i="11"/>
  <c r="R17" i="11"/>
  <c r="Q17" i="11"/>
  <c r="P17" i="11"/>
  <c r="G17" i="11"/>
  <c r="R16" i="11"/>
  <c r="Q16" i="11"/>
  <c r="P16" i="11"/>
  <c r="G16" i="11"/>
  <c r="R15" i="11"/>
  <c r="Q15" i="11"/>
  <c r="P15" i="11"/>
  <c r="G15" i="11"/>
  <c r="R14" i="11"/>
  <c r="Q14" i="11"/>
  <c r="P14" i="11"/>
  <c r="G14" i="11"/>
  <c r="R13" i="11"/>
  <c r="Q13" i="11"/>
  <c r="P13" i="11"/>
  <c r="G13" i="11"/>
  <c r="R12" i="11"/>
  <c r="Q12" i="11"/>
  <c r="P12" i="11"/>
  <c r="G12" i="11"/>
  <c r="R11" i="11"/>
  <c r="Q11" i="11"/>
  <c r="P11" i="11"/>
  <c r="G11" i="11"/>
  <c r="R10" i="11"/>
  <c r="Q10" i="11"/>
  <c r="P10" i="11"/>
  <c r="G10" i="11"/>
  <c r="R9" i="11"/>
  <c r="Q9" i="11"/>
  <c r="I9" i="11"/>
  <c r="G9" i="11"/>
  <c r="N1" i="11"/>
  <c r="K73" i="11" s="1"/>
  <c r="G1" i="11"/>
  <c r="G119" i="10"/>
  <c r="G118" i="10"/>
  <c r="G117" i="10"/>
  <c r="G116" i="10"/>
  <c r="G115" i="10"/>
  <c r="L106" i="10"/>
  <c r="K106" i="10"/>
  <c r="J106" i="10"/>
  <c r="I106" i="10"/>
  <c r="H106" i="10"/>
  <c r="M105" i="10"/>
  <c r="G105" i="10"/>
  <c r="M99" i="10"/>
  <c r="K99" i="10"/>
  <c r="J99" i="10"/>
  <c r="I99" i="10"/>
  <c r="H99" i="10"/>
  <c r="J4" i="10" s="1"/>
  <c r="L98" i="10"/>
  <c r="G98" i="10"/>
  <c r="L97" i="10"/>
  <c r="G97" i="10"/>
  <c r="L96" i="10"/>
  <c r="G96" i="10"/>
  <c r="L95" i="10"/>
  <c r="G95" i="10"/>
  <c r="L94" i="10"/>
  <c r="G94" i="10"/>
  <c r="L93" i="10"/>
  <c r="G93" i="10"/>
  <c r="I88" i="10"/>
  <c r="L88" i="10" s="1"/>
  <c r="G88" i="10"/>
  <c r="I87" i="10"/>
  <c r="L87" i="10" s="1"/>
  <c r="G87" i="10"/>
  <c r="I86" i="10"/>
  <c r="L86" i="10" s="1"/>
  <c r="G86" i="10"/>
  <c r="I85" i="10"/>
  <c r="L85" i="10" s="1"/>
  <c r="G85" i="10"/>
  <c r="L84" i="10"/>
  <c r="G84" i="10"/>
  <c r="L83" i="10"/>
  <c r="G83" i="10"/>
  <c r="L82" i="10"/>
  <c r="G82" i="10"/>
  <c r="L81" i="10"/>
  <c r="G81" i="10"/>
  <c r="L80" i="10"/>
  <c r="G80" i="10"/>
  <c r="I70" i="10"/>
  <c r="K69" i="10"/>
  <c r="J69" i="10"/>
  <c r="H69" i="10"/>
  <c r="K68" i="10"/>
  <c r="J68" i="10"/>
  <c r="H68" i="10"/>
  <c r="K67" i="10"/>
  <c r="J67" i="10"/>
  <c r="H67" i="10"/>
  <c r="K66" i="10"/>
  <c r="J66" i="10"/>
  <c r="H66" i="10"/>
  <c r="K65" i="10"/>
  <c r="J65" i="10"/>
  <c r="H65" i="10"/>
  <c r="K64" i="10"/>
  <c r="J64" i="10"/>
  <c r="H64" i="10"/>
  <c r="K63" i="10"/>
  <c r="J63" i="10"/>
  <c r="H63" i="10"/>
  <c r="K62" i="10"/>
  <c r="J62" i="10"/>
  <c r="H62" i="10"/>
  <c r="K61" i="10"/>
  <c r="J61" i="10"/>
  <c r="H61" i="10"/>
  <c r="K60" i="10"/>
  <c r="J60" i="10"/>
  <c r="H60" i="10"/>
  <c r="K59" i="10"/>
  <c r="J59" i="10"/>
  <c r="H59" i="10"/>
  <c r="K58" i="10"/>
  <c r="J58" i="10"/>
  <c r="H58" i="10"/>
  <c r="K57" i="10"/>
  <c r="J57" i="10"/>
  <c r="H57" i="10"/>
  <c r="K56" i="10"/>
  <c r="J56" i="10"/>
  <c r="H56" i="10"/>
  <c r="K55" i="10"/>
  <c r="J55" i="10"/>
  <c r="H55" i="10"/>
  <c r="K54" i="10"/>
  <c r="J54" i="10"/>
  <c r="H54" i="10"/>
  <c r="L48" i="10"/>
  <c r="K48" i="10"/>
  <c r="J48" i="10"/>
  <c r="I48" i="10"/>
  <c r="G48" i="10"/>
  <c r="H47" i="10"/>
  <c r="H46" i="10"/>
  <c r="H45" i="10"/>
  <c r="R38" i="10"/>
  <c r="Q38" i="10"/>
  <c r="P38" i="10"/>
  <c r="G38" i="10"/>
  <c r="R37" i="10"/>
  <c r="Q37" i="10"/>
  <c r="P37" i="10"/>
  <c r="G37" i="10"/>
  <c r="R36" i="10"/>
  <c r="Q36" i="10"/>
  <c r="P36" i="10"/>
  <c r="G36" i="10"/>
  <c r="R35" i="10"/>
  <c r="Q35" i="10"/>
  <c r="P35" i="10"/>
  <c r="G35" i="10"/>
  <c r="R34" i="10"/>
  <c r="Q34" i="10"/>
  <c r="P34" i="10"/>
  <c r="G34" i="10"/>
  <c r="R33" i="10"/>
  <c r="Q33" i="10"/>
  <c r="P33" i="10"/>
  <c r="G33" i="10"/>
  <c r="R19" i="10"/>
  <c r="Q19" i="10"/>
  <c r="P19" i="10"/>
  <c r="G19" i="10"/>
  <c r="R18" i="10"/>
  <c r="Q18" i="10"/>
  <c r="P18" i="10"/>
  <c r="G18" i="10"/>
  <c r="R17" i="10"/>
  <c r="Q17" i="10"/>
  <c r="P17" i="10"/>
  <c r="G17" i="10"/>
  <c r="R16" i="10"/>
  <c r="Q16" i="10"/>
  <c r="P16" i="10"/>
  <c r="G16" i="10"/>
  <c r="R15" i="10"/>
  <c r="Q15" i="10"/>
  <c r="G15" i="10"/>
  <c r="R14" i="10"/>
  <c r="Q14" i="10"/>
  <c r="P14" i="10"/>
  <c r="G14" i="10"/>
  <c r="R13" i="10"/>
  <c r="Q13" i="10"/>
  <c r="P13" i="10"/>
  <c r="G13" i="10"/>
  <c r="R12" i="10"/>
  <c r="Q12" i="10"/>
  <c r="P12" i="10"/>
  <c r="G12" i="10"/>
  <c r="R11" i="10"/>
  <c r="Q11" i="10"/>
  <c r="P11" i="10"/>
  <c r="G11" i="10"/>
  <c r="R10" i="10"/>
  <c r="Q10" i="10"/>
  <c r="G10" i="10"/>
  <c r="R9" i="10"/>
  <c r="Q9" i="10"/>
  <c r="I9" i="10"/>
  <c r="P28" i="10" s="1"/>
  <c r="G9" i="10"/>
  <c r="N1" i="10"/>
  <c r="K76" i="10" s="1"/>
  <c r="G1" i="10"/>
  <c r="G112" i="9"/>
  <c r="G111" i="9"/>
  <c r="G110" i="9"/>
  <c r="G109" i="9"/>
  <c r="G108" i="9"/>
  <c r="M98" i="9"/>
  <c r="K98" i="9"/>
  <c r="J98" i="9"/>
  <c r="I98" i="9"/>
  <c r="H98" i="9"/>
  <c r="L97" i="9"/>
  <c r="L96" i="9"/>
  <c r="L95" i="9"/>
  <c r="L94" i="9"/>
  <c r="L93" i="9"/>
  <c r="L92" i="9"/>
  <c r="G92" i="9"/>
  <c r="M75" i="9"/>
  <c r="K75" i="9"/>
  <c r="J75" i="9"/>
  <c r="H75" i="9"/>
  <c r="I74" i="9"/>
  <c r="L74" i="9" s="1"/>
  <c r="G74" i="9"/>
  <c r="I73" i="9"/>
  <c r="L73" i="9" s="1"/>
  <c r="G73" i="9"/>
  <c r="I72" i="9"/>
  <c r="L72" i="9" s="1"/>
  <c r="G72" i="9"/>
  <c r="I71" i="9"/>
  <c r="L71" i="9" s="1"/>
  <c r="G71" i="9"/>
  <c r="I70" i="9"/>
  <c r="L70" i="9" s="1"/>
  <c r="G70" i="9"/>
  <c r="I69" i="9"/>
  <c r="L69" i="9" s="1"/>
  <c r="G69" i="9"/>
  <c r="I68" i="9"/>
  <c r="L68" i="9" s="1"/>
  <c r="G68" i="9"/>
  <c r="G66" i="9"/>
  <c r="K45" i="9"/>
  <c r="J45" i="9"/>
  <c r="H45" i="9"/>
  <c r="L39" i="9"/>
  <c r="I39" i="9"/>
  <c r="G39" i="9"/>
  <c r="R9" i="9"/>
  <c r="Q9" i="9"/>
  <c r="P9" i="9"/>
  <c r="N1" i="9"/>
  <c r="K62" i="9" s="1"/>
  <c r="G1" i="9"/>
  <c r="M96" i="8"/>
  <c r="K96" i="8"/>
  <c r="J96" i="8"/>
  <c r="I96" i="8"/>
  <c r="H96" i="8"/>
  <c r="M85" i="8"/>
  <c r="K85" i="8"/>
  <c r="J85" i="8"/>
  <c r="H85" i="8"/>
  <c r="I84" i="8"/>
  <c r="L84" i="8" s="1"/>
  <c r="I83" i="8"/>
  <c r="L83" i="8" s="1"/>
  <c r="I82" i="8"/>
  <c r="L82" i="8" s="1"/>
  <c r="I81" i="8"/>
  <c r="L81" i="8" s="1"/>
  <c r="I80" i="8"/>
  <c r="L80" i="8" s="1"/>
  <c r="K61" i="8"/>
  <c r="J61" i="8"/>
  <c r="H61" i="8"/>
  <c r="K60" i="8"/>
  <c r="J60" i="8"/>
  <c r="H60" i="8"/>
  <c r="K46" i="8"/>
  <c r="J46" i="8"/>
  <c r="H46" i="8"/>
  <c r="L40" i="8"/>
  <c r="J40" i="8"/>
  <c r="I40" i="8"/>
  <c r="K40" i="8"/>
  <c r="G40" i="8"/>
  <c r="M36" i="8"/>
  <c r="O29" i="8"/>
  <c r="N29" i="8"/>
  <c r="M29" i="8"/>
  <c r="L29" i="8"/>
  <c r="J29" i="8"/>
  <c r="H29" i="8"/>
  <c r="N1" i="8"/>
  <c r="K72" i="8" s="1"/>
  <c r="G1" i="8"/>
  <c r="G135" i="7"/>
  <c r="G134" i="7"/>
  <c r="G133" i="7"/>
  <c r="G132" i="7"/>
  <c r="G131" i="7"/>
  <c r="K127" i="7"/>
  <c r="J127" i="7"/>
  <c r="H127" i="7"/>
  <c r="I126" i="7"/>
  <c r="I127" i="7" s="1"/>
  <c r="L122" i="7"/>
  <c r="M127" i="7"/>
  <c r="L121" i="7"/>
  <c r="L120" i="7"/>
  <c r="M115" i="7"/>
  <c r="K115" i="7"/>
  <c r="J115" i="7"/>
  <c r="I115" i="7"/>
  <c r="H115" i="7"/>
  <c r="L114" i="7"/>
  <c r="L113" i="7"/>
  <c r="L112" i="7"/>
  <c r="L111" i="7"/>
  <c r="L110" i="7"/>
  <c r="L109" i="7"/>
  <c r="G109" i="7"/>
  <c r="M105" i="7"/>
  <c r="K105" i="7"/>
  <c r="H105" i="7"/>
  <c r="L104" i="7"/>
  <c r="G104" i="7"/>
  <c r="L103" i="7"/>
  <c r="G103" i="7"/>
  <c r="L102" i="7"/>
  <c r="G102" i="7"/>
  <c r="L99" i="7"/>
  <c r="G99" i="7"/>
  <c r="L98" i="7"/>
  <c r="G98" i="7"/>
  <c r="L97" i="7"/>
  <c r="G97" i="7"/>
  <c r="L96" i="7"/>
  <c r="G96" i="7"/>
  <c r="L95" i="7"/>
  <c r="G95" i="7"/>
  <c r="L94" i="7"/>
  <c r="G94" i="7"/>
  <c r="I93" i="7"/>
  <c r="G93" i="7"/>
  <c r="I83" i="7"/>
  <c r="K82" i="7"/>
  <c r="J82" i="7"/>
  <c r="H82" i="7"/>
  <c r="K81" i="7"/>
  <c r="J81" i="7"/>
  <c r="H81" i="7"/>
  <c r="K80" i="7"/>
  <c r="J80" i="7"/>
  <c r="H80" i="7"/>
  <c r="K79" i="7"/>
  <c r="J79" i="7"/>
  <c r="H79" i="7"/>
  <c r="K78" i="7"/>
  <c r="J78" i="7"/>
  <c r="H78" i="7"/>
  <c r="K77" i="7"/>
  <c r="J77" i="7"/>
  <c r="H77" i="7"/>
  <c r="K76" i="7"/>
  <c r="J76" i="7"/>
  <c r="H76" i="7"/>
  <c r="K75" i="7"/>
  <c r="J75" i="7"/>
  <c r="H75" i="7"/>
  <c r="K74" i="7"/>
  <c r="J74" i="7"/>
  <c r="H74" i="7"/>
  <c r="K73" i="7"/>
  <c r="J73" i="7"/>
  <c r="H73" i="7"/>
  <c r="K72" i="7"/>
  <c r="J72" i="7"/>
  <c r="H72" i="7"/>
  <c r="K71" i="7"/>
  <c r="J71" i="7"/>
  <c r="H71" i="7"/>
  <c r="K70" i="7"/>
  <c r="J70" i="7"/>
  <c r="H70" i="7"/>
  <c r="K69" i="7"/>
  <c r="J69" i="7"/>
  <c r="H69" i="7"/>
  <c r="L65" i="7"/>
  <c r="K65" i="7"/>
  <c r="J65" i="7"/>
  <c r="I65" i="7"/>
  <c r="G65" i="7"/>
  <c r="H64" i="7"/>
  <c r="H63" i="7"/>
  <c r="H62" i="7"/>
  <c r="H61" i="7"/>
  <c r="O54" i="7"/>
  <c r="N54" i="7"/>
  <c r="M54" i="7"/>
  <c r="L54" i="7"/>
  <c r="K54" i="7"/>
  <c r="H54" i="7"/>
  <c r="R53" i="7"/>
  <c r="Q53" i="7"/>
  <c r="I53" i="7"/>
  <c r="P53" i="7" s="1"/>
  <c r="G53" i="7"/>
  <c r="R52" i="7"/>
  <c r="Q52" i="7"/>
  <c r="I52" i="7"/>
  <c r="P52" i="7" s="1"/>
  <c r="G52" i="7"/>
  <c r="R51" i="7"/>
  <c r="Q51" i="7"/>
  <c r="I51" i="7"/>
  <c r="P51" i="7" s="1"/>
  <c r="G51" i="7"/>
  <c r="R50" i="7"/>
  <c r="Q50" i="7"/>
  <c r="I50" i="7"/>
  <c r="P50" i="7" s="1"/>
  <c r="G50" i="7"/>
  <c r="R49" i="7"/>
  <c r="Q49" i="7"/>
  <c r="P49" i="7"/>
  <c r="G49" i="7"/>
  <c r="R48" i="7"/>
  <c r="Q48" i="7"/>
  <c r="I48" i="7"/>
  <c r="P48" i="7" s="1"/>
  <c r="G48" i="7"/>
  <c r="R47" i="7"/>
  <c r="Q47" i="7"/>
  <c r="I47" i="7"/>
  <c r="P47" i="7" s="1"/>
  <c r="G47" i="7"/>
  <c r="R46" i="7"/>
  <c r="Q46" i="7"/>
  <c r="I46" i="7"/>
  <c r="P46" i="7" s="1"/>
  <c r="G46" i="7"/>
  <c r="R45" i="7"/>
  <c r="Q45" i="7"/>
  <c r="I45" i="7"/>
  <c r="P45" i="7" s="1"/>
  <c r="G45" i="7"/>
  <c r="R44" i="7"/>
  <c r="Q44" i="7"/>
  <c r="I44" i="7"/>
  <c r="P44" i="7" s="1"/>
  <c r="G44" i="7"/>
  <c r="R43" i="7"/>
  <c r="Q43" i="7"/>
  <c r="I43" i="7"/>
  <c r="P43" i="7" s="1"/>
  <c r="G43" i="7"/>
  <c r="R42" i="7"/>
  <c r="Q42" i="7"/>
  <c r="P42" i="7"/>
  <c r="G42" i="7"/>
  <c r="R41" i="7"/>
  <c r="Q41" i="7"/>
  <c r="I41" i="7"/>
  <c r="P41" i="7" s="1"/>
  <c r="G41" i="7"/>
  <c r="R40" i="7"/>
  <c r="Q40" i="7"/>
  <c r="I40" i="7"/>
  <c r="P40" i="7" s="1"/>
  <c r="G40" i="7"/>
  <c r="R39" i="7"/>
  <c r="Q39" i="7"/>
  <c r="I39" i="7"/>
  <c r="P39" i="7" s="1"/>
  <c r="G39" i="7"/>
  <c r="R38" i="7"/>
  <c r="Q38" i="7"/>
  <c r="I38" i="7"/>
  <c r="P38" i="7" s="1"/>
  <c r="G38" i="7"/>
  <c r="R37" i="7"/>
  <c r="Q37" i="7"/>
  <c r="I37" i="7"/>
  <c r="P37" i="7" s="1"/>
  <c r="G37" i="7"/>
  <c r="R36" i="7"/>
  <c r="Q36" i="7"/>
  <c r="I36" i="7"/>
  <c r="P36" i="7" s="1"/>
  <c r="G36" i="7"/>
  <c r="R35" i="7"/>
  <c r="Q35" i="7"/>
  <c r="I35" i="7"/>
  <c r="P35" i="7" s="1"/>
  <c r="G35" i="7"/>
  <c r="R34" i="7"/>
  <c r="Q34" i="7"/>
  <c r="I34" i="7"/>
  <c r="P34" i="7" s="1"/>
  <c r="G34" i="7"/>
  <c r="R33" i="7"/>
  <c r="Q33" i="7"/>
  <c r="I33" i="7"/>
  <c r="P33" i="7" s="1"/>
  <c r="G33" i="7"/>
  <c r="R19" i="7"/>
  <c r="Q19" i="7"/>
  <c r="I19" i="7"/>
  <c r="P19" i="7" s="1"/>
  <c r="G19" i="7"/>
  <c r="R18" i="7"/>
  <c r="Q18" i="7"/>
  <c r="I18" i="7"/>
  <c r="P18" i="7" s="1"/>
  <c r="G18" i="7"/>
  <c r="R17" i="7"/>
  <c r="Q17" i="7"/>
  <c r="I17" i="7"/>
  <c r="P17" i="7" s="1"/>
  <c r="G17" i="7"/>
  <c r="R16" i="7"/>
  <c r="Q16" i="7"/>
  <c r="P16" i="7"/>
  <c r="G16" i="7"/>
  <c r="R15" i="7"/>
  <c r="Q15" i="7"/>
  <c r="I15" i="7"/>
  <c r="P15" i="7" s="1"/>
  <c r="G15" i="7"/>
  <c r="R14" i="7"/>
  <c r="Q14" i="7"/>
  <c r="P14" i="7"/>
  <c r="G14" i="7"/>
  <c r="R13" i="7"/>
  <c r="Q13" i="7"/>
  <c r="P13" i="7"/>
  <c r="G13" i="7"/>
  <c r="R12" i="7"/>
  <c r="Q12" i="7"/>
  <c r="I12" i="7"/>
  <c r="P12" i="7" s="1"/>
  <c r="G12" i="7"/>
  <c r="R11" i="7"/>
  <c r="Q11" i="7"/>
  <c r="I11" i="7"/>
  <c r="P11" i="7" s="1"/>
  <c r="G11" i="7"/>
  <c r="R10" i="7"/>
  <c r="Q10" i="7"/>
  <c r="I10" i="7"/>
  <c r="P10" i="7" s="1"/>
  <c r="G10" i="7"/>
  <c r="R9" i="7"/>
  <c r="Q9" i="7"/>
  <c r="I9" i="7"/>
  <c r="G9" i="7"/>
  <c r="N1" i="7"/>
  <c r="K89" i="7" s="1"/>
  <c r="G1" i="7"/>
  <c r="G127" i="6"/>
  <c r="G126" i="6"/>
  <c r="G125" i="6"/>
  <c r="G124" i="6"/>
  <c r="G123" i="6"/>
  <c r="K117" i="6"/>
  <c r="H117" i="6"/>
  <c r="J116" i="6"/>
  <c r="G116" i="6"/>
  <c r="J115" i="6"/>
  <c r="G115" i="6"/>
  <c r="J114" i="6"/>
  <c r="G114" i="6"/>
  <c r="J113" i="6"/>
  <c r="G113" i="6"/>
  <c r="J112" i="6"/>
  <c r="G112" i="6"/>
  <c r="J111" i="6"/>
  <c r="G111" i="6"/>
  <c r="J110" i="6"/>
  <c r="G110" i="6"/>
  <c r="J109" i="6"/>
  <c r="G109" i="6"/>
  <c r="J108" i="6"/>
  <c r="G108" i="6"/>
  <c r="J107" i="6"/>
  <c r="G107" i="6"/>
  <c r="M102" i="6"/>
  <c r="L102" i="6"/>
  <c r="K102" i="6"/>
  <c r="J102" i="6"/>
  <c r="H101" i="6"/>
  <c r="I101" i="6" s="1"/>
  <c r="H100" i="6"/>
  <c r="I100" i="6" s="1"/>
  <c r="H99" i="6"/>
  <c r="I99" i="6" s="1"/>
  <c r="H98" i="6"/>
  <c r="I98" i="6" s="1"/>
  <c r="H97" i="6"/>
  <c r="I97" i="6" s="1"/>
  <c r="H96" i="6"/>
  <c r="I96" i="6" s="1"/>
  <c r="G96" i="6"/>
  <c r="M91" i="6"/>
  <c r="K91" i="6"/>
  <c r="H91" i="6"/>
  <c r="I90" i="6"/>
  <c r="L90" i="6" s="1"/>
  <c r="G90" i="6"/>
  <c r="L89" i="6"/>
  <c r="G89" i="6"/>
  <c r="L88" i="6"/>
  <c r="G88" i="6"/>
  <c r="G87" i="6"/>
  <c r="L86" i="6"/>
  <c r="G86" i="6"/>
  <c r="L85" i="6"/>
  <c r="G85" i="6"/>
  <c r="L84" i="6"/>
  <c r="G84" i="6"/>
  <c r="L83" i="6"/>
  <c r="G83" i="6"/>
  <c r="L82" i="6"/>
  <c r="G82" i="6"/>
  <c r="I72" i="6"/>
  <c r="K71" i="6"/>
  <c r="J71" i="6"/>
  <c r="H71" i="6"/>
  <c r="K70" i="6"/>
  <c r="J70" i="6"/>
  <c r="H70" i="6"/>
  <c r="K69" i="6"/>
  <c r="J69" i="6"/>
  <c r="H69" i="6"/>
  <c r="K68" i="6"/>
  <c r="J68" i="6"/>
  <c r="H68" i="6"/>
  <c r="K67" i="6"/>
  <c r="J67" i="6"/>
  <c r="H67" i="6"/>
  <c r="K66" i="6"/>
  <c r="J66" i="6"/>
  <c r="H66" i="6"/>
  <c r="K65" i="6"/>
  <c r="J65" i="6"/>
  <c r="H65" i="6"/>
  <c r="K64" i="6"/>
  <c r="J64" i="6"/>
  <c r="H64" i="6"/>
  <c r="K63" i="6"/>
  <c r="J63" i="6"/>
  <c r="H63" i="6"/>
  <c r="K62" i="6"/>
  <c r="J62" i="6"/>
  <c r="H62" i="6"/>
  <c r="K61" i="6"/>
  <c r="J61" i="6"/>
  <c r="H61" i="6"/>
  <c r="K60" i="6"/>
  <c r="J60" i="6"/>
  <c r="H60" i="6"/>
  <c r="K59" i="6"/>
  <c r="J59" i="6"/>
  <c r="H59" i="6"/>
  <c r="K58" i="6"/>
  <c r="J58" i="6"/>
  <c r="H58" i="6"/>
  <c r="K57" i="6"/>
  <c r="J57" i="6"/>
  <c r="H57" i="6"/>
  <c r="K56" i="6"/>
  <c r="J56" i="6"/>
  <c r="H56" i="6"/>
  <c r="K55" i="6"/>
  <c r="J55" i="6"/>
  <c r="H55" i="6"/>
  <c r="K54" i="6"/>
  <c r="J54" i="6"/>
  <c r="H54" i="6"/>
  <c r="L48" i="6"/>
  <c r="K48" i="6"/>
  <c r="J48" i="6"/>
  <c r="I48" i="6"/>
  <c r="G48" i="6"/>
  <c r="H47" i="6"/>
  <c r="M47" i="6" s="1"/>
  <c r="H46" i="6"/>
  <c r="M46" i="6" s="1"/>
  <c r="H45" i="6"/>
  <c r="M45" i="6" s="1"/>
  <c r="H44" i="6"/>
  <c r="M44" i="6" s="1"/>
  <c r="H43" i="6"/>
  <c r="O36" i="6"/>
  <c r="N36" i="6"/>
  <c r="M36" i="6"/>
  <c r="L36" i="6"/>
  <c r="H36" i="6"/>
  <c r="R35" i="6"/>
  <c r="Q35" i="6"/>
  <c r="I35" i="6"/>
  <c r="G35" i="6"/>
  <c r="J36" i="6"/>
  <c r="R34" i="6"/>
  <c r="Q34" i="6"/>
  <c r="I34" i="6"/>
  <c r="G34" i="6"/>
  <c r="R33" i="6"/>
  <c r="Q33" i="6"/>
  <c r="G33" i="6"/>
  <c r="R32" i="6"/>
  <c r="Q32" i="6"/>
  <c r="I32" i="6"/>
  <c r="G32" i="6"/>
  <c r="R31" i="6"/>
  <c r="Q31" i="6"/>
  <c r="I31" i="6"/>
  <c r="P31" i="6" s="1"/>
  <c r="G31" i="6"/>
  <c r="R30" i="6"/>
  <c r="Q30" i="6"/>
  <c r="I30" i="6"/>
  <c r="P30" i="6" s="1"/>
  <c r="G30" i="6"/>
  <c r="R29" i="6"/>
  <c r="Q29" i="6"/>
  <c r="I29" i="6"/>
  <c r="P29" i="6" s="1"/>
  <c r="G29" i="6"/>
  <c r="R28" i="6"/>
  <c r="Q28" i="6"/>
  <c r="I28" i="6"/>
  <c r="G28" i="6"/>
  <c r="R27" i="6"/>
  <c r="Q27" i="6"/>
  <c r="I27" i="6"/>
  <c r="P27" i="6" s="1"/>
  <c r="G27" i="6"/>
  <c r="R26" i="6"/>
  <c r="Q26" i="6"/>
  <c r="P26" i="6"/>
  <c r="G26" i="6"/>
  <c r="R25" i="6"/>
  <c r="Q25" i="6"/>
  <c r="I25" i="6"/>
  <c r="G25" i="6"/>
  <c r="R23" i="6"/>
  <c r="Q23" i="6"/>
  <c r="I23" i="6"/>
  <c r="G23" i="6"/>
  <c r="R22" i="6"/>
  <c r="Q22" i="6"/>
  <c r="G22" i="6"/>
  <c r="R21" i="6"/>
  <c r="Q21" i="6"/>
  <c r="I21" i="6"/>
  <c r="P21" i="6" s="1"/>
  <c r="G21" i="6"/>
  <c r="R20" i="6"/>
  <c r="Q20" i="6"/>
  <c r="I20" i="6"/>
  <c r="G20" i="6"/>
  <c r="R19" i="6"/>
  <c r="Q19" i="6"/>
  <c r="G19" i="6"/>
  <c r="R18" i="6"/>
  <c r="Q18" i="6"/>
  <c r="I18" i="6"/>
  <c r="G18" i="6"/>
  <c r="R17" i="6"/>
  <c r="Q17" i="6"/>
  <c r="I17" i="6"/>
  <c r="G17" i="6"/>
  <c r="R16" i="6"/>
  <c r="Q16" i="6"/>
  <c r="I16" i="6"/>
  <c r="G16" i="6"/>
  <c r="R15" i="6"/>
  <c r="Q15" i="6"/>
  <c r="K36" i="6"/>
  <c r="G15" i="6"/>
  <c r="R14" i="6"/>
  <c r="Q14" i="6"/>
  <c r="I14" i="6"/>
  <c r="P14" i="6" s="1"/>
  <c r="G14" i="6"/>
  <c r="R13" i="6"/>
  <c r="Q13" i="6"/>
  <c r="I13" i="6"/>
  <c r="P13" i="6" s="1"/>
  <c r="G13" i="6"/>
  <c r="R12" i="6"/>
  <c r="Q12" i="6"/>
  <c r="I12" i="6"/>
  <c r="P12" i="6" s="1"/>
  <c r="G12" i="6"/>
  <c r="R11" i="6"/>
  <c r="Q11" i="6"/>
  <c r="I11" i="6"/>
  <c r="P11" i="6" s="1"/>
  <c r="G11" i="6"/>
  <c r="R10" i="6"/>
  <c r="Q10" i="6"/>
  <c r="I10" i="6"/>
  <c r="P10" i="6" s="1"/>
  <c r="G10" i="6"/>
  <c r="R9" i="6"/>
  <c r="Q9" i="6"/>
  <c r="I9" i="6"/>
  <c r="G9" i="6"/>
  <c r="N1" i="6"/>
  <c r="K78" i="6" s="1"/>
  <c r="G1" i="6"/>
  <c r="G117" i="5"/>
  <c r="G116" i="5"/>
  <c r="G115" i="5"/>
  <c r="G114" i="5"/>
  <c r="G113" i="5"/>
  <c r="K107" i="5"/>
  <c r="I107" i="5"/>
  <c r="H107" i="5"/>
  <c r="J106" i="5"/>
  <c r="G106" i="5"/>
  <c r="J105" i="5"/>
  <c r="G105" i="5"/>
  <c r="M100" i="5"/>
  <c r="K100" i="5"/>
  <c r="J100" i="5"/>
  <c r="H100" i="5"/>
  <c r="I99" i="5"/>
  <c r="L99" i="5" s="1"/>
  <c r="I98" i="5"/>
  <c r="L98" i="5" s="1"/>
  <c r="I97" i="5"/>
  <c r="L97" i="5" s="1"/>
  <c r="I96" i="5"/>
  <c r="L96" i="5" s="1"/>
  <c r="I95" i="5"/>
  <c r="L95" i="5" s="1"/>
  <c r="I94" i="5"/>
  <c r="G94" i="5"/>
  <c r="M90" i="5"/>
  <c r="K90" i="5"/>
  <c r="H90" i="5"/>
  <c r="G89" i="5"/>
  <c r="L88" i="5"/>
  <c r="G88" i="5"/>
  <c r="L87" i="5"/>
  <c r="G87" i="5"/>
  <c r="L86" i="5"/>
  <c r="G86" i="5"/>
  <c r="L85" i="5"/>
  <c r="G85" i="5"/>
  <c r="L84" i="5"/>
  <c r="G84" i="5"/>
  <c r="L83" i="5"/>
  <c r="G83" i="5"/>
  <c r="L82" i="5"/>
  <c r="G82" i="5"/>
  <c r="G81" i="5"/>
  <c r="G80" i="5"/>
  <c r="I70" i="5"/>
  <c r="K69" i="5"/>
  <c r="J69" i="5"/>
  <c r="H69" i="5"/>
  <c r="K68" i="5"/>
  <c r="J68" i="5"/>
  <c r="H68" i="5"/>
  <c r="K67" i="5"/>
  <c r="J67" i="5"/>
  <c r="H67" i="5"/>
  <c r="K66" i="5"/>
  <c r="J66" i="5"/>
  <c r="H66" i="5"/>
  <c r="K65" i="5"/>
  <c r="J65" i="5"/>
  <c r="H65" i="5"/>
  <c r="K64" i="5"/>
  <c r="J64" i="5"/>
  <c r="H64" i="5"/>
  <c r="K63" i="5"/>
  <c r="J63" i="5"/>
  <c r="H63" i="5"/>
  <c r="K62" i="5"/>
  <c r="J62" i="5"/>
  <c r="H62" i="5"/>
  <c r="K61" i="5"/>
  <c r="J61" i="5"/>
  <c r="H61" i="5"/>
  <c r="K60" i="5"/>
  <c r="J60" i="5"/>
  <c r="H60" i="5"/>
  <c r="K55" i="5"/>
  <c r="J55" i="5"/>
  <c r="H55" i="5"/>
  <c r="K54" i="5"/>
  <c r="J54" i="5"/>
  <c r="H54" i="5"/>
  <c r="K53" i="5"/>
  <c r="J53" i="5"/>
  <c r="H53" i="5"/>
  <c r="L47" i="5"/>
  <c r="K47" i="5"/>
  <c r="J47" i="5"/>
  <c r="I47" i="5"/>
  <c r="G47" i="5"/>
  <c r="H46" i="5"/>
  <c r="H45" i="5"/>
  <c r="H44" i="5"/>
  <c r="H43" i="5"/>
  <c r="O35" i="5"/>
  <c r="N35" i="5"/>
  <c r="M35" i="5"/>
  <c r="L35" i="5"/>
  <c r="K35" i="5"/>
  <c r="H35" i="5"/>
  <c r="R34" i="5"/>
  <c r="Q34" i="5"/>
  <c r="I34" i="5"/>
  <c r="P34" i="5" s="1"/>
  <c r="G34" i="5"/>
  <c r="R33" i="5"/>
  <c r="Q33" i="5"/>
  <c r="I33" i="5"/>
  <c r="P33" i="5" s="1"/>
  <c r="G33" i="5"/>
  <c r="R32" i="5"/>
  <c r="Q32" i="5"/>
  <c r="I32" i="5"/>
  <c r="P32" i="5" s="1"/>
  <c r="G32" i="5"/>
  <c r="R31" i="5"/>
  <c r="Q31" i="5"/>
  <c r="I31" i="5"/>
  <c r="P31" i="5" s="1"/>
  <c r="G31" i="5"/>
  <c r="R30" i="5"/>
  <c r="Q30" i="5"/>
  <c r="I30" i="5"/>
  <c r="P30" i="5" s="1"/>
  <c r="G30" i="5"/>
  <c r="R29" i="5"/>
  <c r="Q29" i="5"/>
  <c r="P29" i="5"/>
  <c r="G29" i="5"/>
  <c r="R28" i="5"/>
  <c r="Q28" i="5"/>
  <c r="P28" i="5"/>
  <c r="G28" i="5"/>
  <c r="R27" i="5"/>
  <c r="Q27" i="5"/>
  <c r="I27" i="5"/>
  <c r="P27" i="5" s="1"/>
  <c r="G27" i="5"/>
  <c r="R26" i="5"/>
  <c r="Q26" i="5"/>
  <c r="I26" i="5"/>
  <c r="P26" i="5" s="1"/>
  <c r="G26" i="5"/>
  <c r="R25" i="5"/>
  <c r="Q25" i="5"/>
  <c r="I25" i="5"/>
  <c r="P25" i="5" s="1"/>
  <c r="G25" i="5"/>
  <c r="R24" i="5"/>
  <c r="Q24" i="5"/>
  <c r="I24" i="5"/>
  <c r="P24" i="5" s="1"/>
  <c r="G24" i="5"/>
  <c r="R23" i="5"/>
  <c r="Q23" i="5"/>
  <c r="I23" i="5"/>
  <c r="P23" i="5" s="1"/>
  <c r="G23" i="5"/>
  <c r="R22" i="5"/>
  <c r="Q22" i="5"/>
  <c r="I22" i="5"/>
  <c r="P22" i="5" s="1"/>
  <c r="G22" i="5"/>
  <c r="R21" i="5"/>
  <c r="Q21" i="5"/>
  <c r="I21" i="5"/>
  <c r="P21" i="5" s="1"/>
  <c r="G21" i="5"/>
  <c r="R20" i="5"/>
  <c r="Q20" i="5"/>
  <c r="I20" i="5"/>
  <c r="P20" i="5" s="1"/>
  <c r="G20" i="5"/>
  <c r="R19" i="5"/>
  <c r="Q19" i="5"/>
  <c r="I19" i="5"/>
  <c r="P19" i="5" s="1"/>
  <c r="G19" i="5"/>
  <c r="R18" i="5"/>
  <c r="Q18" i="5"/>
  <c r="P18" i="5"/>
  <c r="G18" i="5"/>
  <c r="R17" i="5"/>
  <c r="Q17" i="5"/>
  <c r="I17" i="5"/>
  <c r="P17" i="5" s="1"/>
  <c r="G17" i="5"/>
  <c r="R16" i="5"/>
  <c r="Q16" i="5"/>
  <c r="I16" i="5"/>
  <c r="P16" i="5" s="1"/>
  <c r="G16" i="5"/>
  <c r="R15" i="5"/>
  <c r="Q15" i="5"/>
  <c r="I15" i="5"/>
  <c r="P15" i="5" s="1"/>
  <c r="G15" i="5"/>
  <c r="R14" i="5"/>
  <c r="Q14" i="5"/>
  <c r="I14" i="5"/>
  <c r="P14" i="5" s="1"/>
  <c r="G14" i="5"/>
  <c r="R13" i="5"/>
  <c r="Q13" i="5"/>
  <c r="I13" i="5"/>
  <c r="P13" i="5" s="1"/>
  <c r="G13" i="5"/>
  <c r="R12" i="5"/>
  <c r="Q12" i="5"/>
  <c r="I12" i="5"/>
  <c r="P12" i="5" s="1"/>
  <c r="G12" i="5"/>
  <c r="R11" i="5"/>
  <c r="Q11" i="5"/>
  <c r="I11" i="5"/>
  <c r="P11" i="5" s="1"/>
  <c r="G11" i="5"/>
  <c r="R10" i="5"/>
  <c r="Q10" i="5"/>
  <c r="P10" i="5"/>
  <c r="R9" i="5"/>
  <c r="Q9" i="5"/>
  <c r="I9" i="5"/>
  <c r="G9" i="5"/>
  <c r="N1" i="5"/>
  <c r="K76" i="5" s="1"/>
  <c r="G1" i="5"/>
  <c r="M129" i="4"/>
  <c r="J129" i="4"/>
  <c r="H129" i="4"/>
  <c r="K128" i="4"/>
  <c r="L128" i="4" s="1"/>
  <c r="I128" i="4"/>
  <c r="G128" i="4"/>
  <c r="K127" i="4"/>
  <c r="L127" i="4" s="1"/>
  <c r="I127" i="4"/>
  <c r="G127" i="4"/>
  <c r="K126" i="4"/>
  <c r="L126" i="4" s="1"/>
  <c r="I126" i="4"/>
  <c r="G126" i="4"/>
  <c r="K125" i="4"/>
  <c r="L125" i="4" s="1"/>
  <c r="I125" i="4"/>
  <c r="G125" i="4"/>
  <c r="K124" i="4"/>
  <c r="I124" i="4"/>
  <c r="G124" i="4"/>
  <c r="K123" i="4"/>
  <c r="L123" i="4" s="1"/>
  <c r="I123" i="4"/>
  <c r="G123" i="4"/>
  <c r="K122" i="4"/>
  <c r="L122" i="4" s="1"/>
  <c r="I122" i="4"/>
  <c r="G122" i="4"/>
  <c r="K121" i="4"/>
  <c r="L121" i="4" s="1"/>
  <c r="I121" i="4"/>
  <c r="G121" i="4"/>
  <c r="K120" i="4"/>
  <c r="L120" i="4" s="1"/>
  <c r="I120" i="4"/>
  <c r="G120" i="4"/>
  <c r="K119" i="4"/>
  <c r="L119" i="4" s="1"/>
  <c r="I119" i="4"/>
  <c r="G119" i="4"/>
  <c r="K118" i="4"/>
  <c r="L118" i="4" s="1"/>
  <c r="I118" i="4"/>
  <c r="G118" i="4"/>
  <c r="K117" i="4"/>
  <c r="L117" i="4" s="1"/>
  <c r="I117" i="4"/>
  <c r="G117" i="4"/>
  <c r="K116" i="4"/>
  <c r="L116" i="4" s="1"/>
  <c r="I116" i="4"/>
  <c r="G116" i="4"/>
  <c r="K115" i="4"/>
  <c r="L115" i="4" s="1"/>
  <c r="I115" i="4"/>
  <c r="G115" i="4"/>
  <c r="K114" i="4"/>
  <c r="L114" i="4" s="1"/>
  <c r="I114" i="4"/>
  <c r="G114" i="4"/>
  <c r="K113" i="4"/>
  <c r="L113" i="4" s="1"/>
  <c r="I113" i="4"/>
  <c r="G113" i="4"/>
  <c r="K112" i="4"/>
  <c r="L112" i="4" s="1"/>
  <c r="I112" i="4"/>
  <c r="G112" i="4"/>
  <c r="K111" i="4"/>
  <c r="L111" i="4" s="1"/>
  <c r="I111" i="4"/>
  <c r="G111" i="4"/>
  <c r="L110" i="4"/>
  <c r="G110" i="4"/>
  <c r="L109" i="4"/>
  <c r="G109" i="4"/>
  <c r="M104" i="4"/>
  <c r="K104" i="4"/>
  <c r="J104" i="4"/>
  <c r="I104" i="4"/>
  <c r="H104" i="4"/>
  <c r="L103" i="4"/>
  <c r="L102" i="4"/>
  <c r="L101" i="4"/>
  <c r="L100" i="4"/>
  <c r="L99" i="4"/>
  <c r="L98" i="4"/>
  <c r="G98" i="4"/>
  <c r="M93" i="4"/>
  <c r="K93" i="4"/>
  <c r="H93" i="4"/>
  <c r="L92" i="4"/>
  <c r="G92" i="4"/>
  <c r="L91" i="4"/>
  <c r="G91" i="4"/>
  <c r="L90" i="4"/>
  <c r="G90" i="4"/>
  <c r="L89" i="4"/>
  <c r="G89" i="4"/>
  <c r="L88" i="4"/>
  <c r="G88" i="4"/>
  <c r="L87" i="4"/>
  <c r="G87" i="4"/>
  <c r="L86" i="4"/>
  <c r="G86" i="4"/>
  <c r="L85" i="4"/>
  <c r="G85" i="4"/>
  <c r="G84" i="4"/>
  <c r="I74" i="4"/>
  <c r="K73" i="4"/>
  <c r="J73" i="4"/>
  <c r="H73" i="4"/>
  <c r="K72" i="4"/>
  <c r="J72" i="4"/>
  <c r="H72" i="4"/>
  <c r="K71" i="4"/>
  <c r="J71" i="4"/>
  <c r="H71" i="4"/>
  <c r="K70" i="4"/>
  <c r="J70" i="4"/>
  <c r="H70" i="4"/>
  <c r="K69" i="4"/>
  <c r="J69" i="4"/>
  <c r="H69" i="4"/>
  <c r="K68" i="4"/>
  <c r="J68" i="4"/>
  <c r="H68" i="4"/>
  <c r="K67" i="4"/>
  <c r="J67" i="4"/>
  <c r="H67" i="4"/>
  <c r="K66" i="4"/>
  <c r="J66" i="4"/>
  <c r="H66" i="4"/>
  <c r="K65" i="4"/>
  <c r="J65" i="4"/>
  <c r="H65" i="4"/>
  <c r="K64" i="4"/>
  <c r="J64" i="4"/>
  <c r="H64" i="4"/>
  <c r="K60" i="4"/>
  <c r="J60" i="4"/>
  <c r="H60" i="4"/>
  <c r="K59" i="4"/>
  <c r="J59" i="4"/>
  <c r="H59" i="4"/>
  <c r="K58" i="4"/>
  <c r="J58" i="4"/>
  <c r="H58" i="4"/>
  <c r="K57" i="4"/>
  <c r="J57" i="4"/>
  <c r="H57" i="4"/>
  <c r="L53" i="4"/>
  <c r="K53" i="4"/>
  <c r="J53" i="4"/>
  <c r="I53" i="4"/>
  <c r="H52" i="4"/>
  <c r="H51" i="4"/>
  <c r="G53" i="4"/>
  <c r="O44" i="4"/>
  <c r="N44" i="4"/>
  <c r="M44" i="4"/>
  <c r="L44" i="4"/>
  <c r="R43" i="4"/>
  <c r="Q43" i="4"/>
  <c r="I43" i="4"/>
  <c r="P43" i="4" s="1"/>
  <c r="G43" i="4"/>
  <c r="R42" i="4"/>
  <c r="Q42" i="4"/>
  <c r="I42" i="4"/>
  <c r="P42" i="4" s="1"/>
  <c r="G42" i="4"/>
  <c r="R41" i="4"/>
  <c r="Q41" i="4"/>
  <c r="I41" i="4"/>
  <c r="P41" i="4" s="1"/>
  <c r="G41" i="4"/>
  <c r="R40" i="4"/>
  <c r="Q40" i="4"/>
  <c r="I40" i="4"/>
  <c r="P40" i="4" s="1"/>
  <c r="G40" i="4"/>
  <c r="R39" i="4"/>
  <c r="Q39" i="4"/>
  <c r="I39" i="4"/>
  <c r="P39" i="4" s="1"/>
  <c r="G39" i="4"/>
  <c r="R38" i="4"/>
  <c r="Q38" i="4"/>
  <c r="I38" i="4"/>
  <c r="P38" i="4" s="1"/>
  <c r="G38" i="4"/>
  <c r="R37" i="4"/>
  <c r="Q37" i="4"/>
  <c r="I37" i="4"/>
  <c r="P37" i="4" s="1"/>
  <c r="G37" i="4"/>
  <c r="R36" i="4"/>
  <c r="Q36" i="4"/>
  <c r="I36" i="4"/>
  <c r="P36" i="4" s="1"/>
  <c r="G36" i="4"/>
  <c r="R35" i="4"/>
  <c r="Q35" i="4"/>
  <c r="I35" i="4"/>
  <c r="P35" i="4" s="1"/>
  <c r="G35" i="4"/>
  <c r="R34" i="4"/>
  <c r="Q34" i="4"/>
  <c r="I34" i="4"/>
  <c r="P34" i="4" s="1"/>
  <c r="G34" i="4"/>
  <c r="R33" i="4"/>
  <c r="Q33" i="4"/>
  <c r="I33" i="4"/>
  <c r="P33" i="4" s="1"/>
  <c r="G33" i="4"/>
  <c r="R32" i="4"/>
  <c r="Q32" i="4"/>
  <c r="I32" i="4"/>
  <c r="P32" i="4" s="1"/>
  <c r="G32" i="4"/>
  <c r="R31" i="4"/>
  <c r="Q31" i="4"/>
  <c r="I31" i="4"/>
  <c r="P31" i="4" s="1"/>
  <c r="G31" i="4"/>
  <c r="R30" i="4"/>
  <c r="Q30" i="4"/>
  <c r="I30" i="4"/>
  <c r="P30" i="4" s="1"/>
  <c r="G30" i="4"/>
  <c r="R29" i="4"/>
  <c r="Q29" i="4"/>
  <c r="I29" i="4"/>
  <c r="P29" i="4" s="1"/>
  <c r="G29" i="4"/>
  <c r="R28" i="4"/>
  <c r="Q28" i="4"/>
  <c r="I28" i="4"/>
  <c r="P28" i="4" s="1"/>
  <c r="G28" i="4"/>
  <c r="R27" i="4"/>
  <c r="Q27" i="4"/>
  <c r="I27" i="4"/>
  <c r="P27" i="4" s="1"/>
  <c r="G27" i="4"/>
  <c r="R26" i="4"/>
  <c r="Q26" i="4"/>
  <c r="I26" i="4"/>
  <c r="P26" i="4" s="1"/>
  <c r="G26" i="4"/>
  <c r="R25" i="4"/>
  <c r="Q25" i="4"/>
  <c r="I25" i="4"/>
  <c r="P25" i="4" s="1"/>
  <c r="G25" i="4"/>
  <c r="R24" i="4"/>
  <c r="Q24" i="4"/>
  <c r="I24" i="4"/>
  <c r="P24" i="4" s="1"/>
  <c r="G24" i="4"/>
  <c r="R23" i="4"/>
  <c r="Q23" i="4"/>
  <c r="I23" i="4"/>
  <c r="P23" i="4" s="1"/>
  <c r="G23" i="4"/>
  <c r="R22" i="4"/>
  <c r="Q22" i="4"/>
  <c r="J44" i="4"/>
  <c r="G22" i="4"/>
  <c r="R21" i="4"/>
  <c r="Q21" i="4"/>
  <c r="P21" i="4"/>
  <c r="G21" i="4"/>
  <c r="R20" i="4"/>
  <c r="Q20" i="4"/>
  <c r="P20" i="4"/>
  <c r="G20" i="4"/>
  <c r="R19" i="4"/>
  <c r="Q19" i="4"/>
  <c r="P19" i="4"/>
  <c r="G19" i="4"/>
  <c r="R18" i="4"/>
  <c r="Q18" i="4"/>
  <c r="P18" i="4"/>
  <c r="G18" i="4"/>
  <c r="R17" i="4"/>
  <c r="Q17" i="4"/>
  <c r="K44" i="4"/>
  <c r="G17" i="4"/>
  <c r="R16" i="4"/>
  <c r="Q16" i="4"/>
  <c r="P16" i="4"/>
  <c r="G16" i="4"/>
  <c r="R15" i="4"/>
  <c r="Q15" i="4"/>
  <c r="P15" i="4"/>
  <c r="G15" i="4"/>
  <c r="R14" i="4"/>
  <c r="Q14" i="4"/>
  <c r="P14" i="4"/>
  <c r="G14" i="4"/>
  <c r="R13" i="4"/>
  <c r="Q13" i="4"/>
  <c r="P13" i="4"/>
  <c r="G13" i="4"/>
  <c r="R12" i="4"/>
  <c r="Q12" i="4"/>
  <c r="P12" i="4"/>
  <c r="G12" i="4"/>
  <c r="R11" i="4"/>
  <c r="Q11" i="4"/>
  <c r="P11" i="4"/>
  <c r="G11" i="4"/>
  <c r="R10" i="4"/>
  <c r="Q10" i="4"/>
  <c r="P10" i="4"/>
  <c r="G10" i="4"/>
  <c r="R9" i="4"/>
  <c r="Q9" i="4"/>
  <c r="I9" i="4"/>
  <c r="P9" i="4" s="1"/>
  <c r="G9" i="4"/>
  <c r="N1" i="4"/>
  <c r="K80" i="4" s="1"/>
  <c r="G1" i="4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M101" i="3"/>
  <c r="J101" i="3"/>
  <c r="H101" i="3"/>
  <c r="L100" i="3"/>
  <c r="G100" i="3"/>
  <c r="L99" i="3"/>
  <c r="G99" i="3"/>
  <c r="L98" i="3"/>
  <c r="G98" i="3"/>
  <c r="M93" i="3"/>
  <c r="K93" i="3"/>
  <c r="J93" i="3"/>
  <c r="H93" i="3"/>
  <c r="I92" i="3"/>
  <c r="L92" i="3" s="1"/>
  <c r="G92" i="3"/>
  <c r="I91" i="3"/>
  <c r="L91" i="3" s="1"/>
  <c r="G91" i="3"/>
  <c r="I90" i="3"/>
  <c r="L90" i="3" s="1"/>
  <c r="G90" i="3"/>
  <c r="I89" i="3"/>
  <c r="L89" i="3" s="1"/>
  <c r="G89" i="3"/>
  <c r="I88" i="3"/>
  <c r="L88" i="3" s="1"/>
  <c r="G88" i="3"/>
  <c r="K81" i="3"/>
  <c r="H81" i="3"/>
  <c r="L80" i="3"/>
  <c r="G80" i="3"/>
  <c r="L79" i="3"/>
  <c r="G79" i="3"/>
  <c r="L78" i="3"/>
  <c r="G78" i="3"/>
  <c r="L77" i="3"/>
  <c r="G77" i="3"/>
  <c r="L76" i="3"/>
  <c r="G76" i="3"/>
  <c r="G75" i="3"/>
  <c r="L74" i="3"/>
  <c r="G74" i="3"/>
  <c r="L73" i="3"/>
  <c r="G73" i="3"/>
  <c r="G72" i="3"/>
  <c r="K68" i="3"/>
  <c r="I62" i="3"/>
  <c r="K61" i="3"/>
  <c r="J61" i="3"/>
  <c r="H61" i="3"/>
  <c r="K60" i="3"/>
  <c r="J60" i="3"/>
  <c r="H60" i="3"/>
  <c r="K59" i="3"/>
  <c r="J59" i="3"/>
  <c r="H59" i="3"/>
  <c r="K58" i="3"/>
  <c r="J58" i="3"/>
  <c r="H58" i="3"/>
  <c r="K57" i="3"/>
  <c r="J57" i="3"/>
  <c r="H57" i="3"/>
  <c r="K56" i="3"/>
  <c r="J56" i="3"/>
  <c r="H56" i="3"/>
  <c r="K55" i="3"/>
  <c r="J55" i="3"/>
  <c r="H55" i="3"/>
  <c r="K54" i="3"/>
  <c r="J54" i="3"/>
  <c r="H54" i="3"/>
  <c r="K53" i="3"/>
  <c r="J53" i="3"/>
  <c r="H53" i="3"/>
  <c r="K52" i="3"/>
  <c r="J52" i="3"/>
  <c r="H52" i="3"/>
  <c r="K51" i="3"/>
  <c r="J51" i="3"/>
  <c r="H51" i="3"/>
  <c r="K50" i="3"/>
  <c r="J50" i="3"/>
  <c r="H50" i="3"/>
  <c r="K49" i="3"/>
  <c r="J49" i="3"/>
  <c r="H49" i="3"/>
  <c r="L43" i="3"/>
  <c r="K43" i="3"/>
  <c r="J43" i="3"/>
  <c r="I43" i="3"/>
  <c r="G43" i="3"/>
  <c r="H42" i="3"/>
  <c r="H41" i="3"/>
  <c r="H40" i="3"/>
  <c r="H39" i="3"/>
  <c r="H38" i="3"/>
  <c r="H37" i="3"/>
  <c r="O30" i="3"/>
  <c r="N30" i="3"/>
  <c r="M30" i="3"/>
  <c r="L30" i="3"/>
  <c r="K30" i="3"/>
  <c r="H30" i="3"/>
  <c r="R29" i="3"/>
  <c r="Q29" i="3"/>
  <c r="I29" i="3"/>
  <c r="P29" i="3" s="1"/>
  <c r="G29" i="3"/>
  <c r="R28" i="3"/>
  <c r="Q28" i="3"/>
  <c r="I28" i="3"/>
  <c r="P28" i="3" s="1"/>
  <c r="G28" i="3"/>
  <c r="R27" i="3"/>
  <c r="Q27" i="3"/>
  <c r="I27" i="3"/>
  <c r="P27" i="3" s="1"/>
  <c r="G27" i="3"/>
  <c r="R26" i="3"/>
  <c r="Q26" i="3"/>
  <c r="I26" i="3"/>
  <c r="P26" i="3" s="1"/>
  <c r="G26" i="3"/>
  <c r="R25" i="3"/>
  <c r="Q25" i="3"/>
  <c r="I25" i="3"/>
  <c r="P25" i="3" s="1"/>
  <c r="G25" i="3"/>
  <c r="R24" i="3"/>
  <c r="Q24" i="3"/>
  <c r="I24" i="3"/>
  <c r="P24" i="3" s="1"/>
  <c r="G24" i="3"/>
  <c r="R23" i="3"/>
  <c r="Q23" i="3"/>
  <c r="J30" i="3"/>
  <c r="G23" i="3"/>
  <c r="R22" i="3"/>
  <c r="Q22" i="3"/>
  <c r="I22" i="3"/>
  <c r="P22" i="3" s="1"/>
  <c r="G22" i="3"/>
  <c r="R21" i="3"/>
  <c r="Q21" i="3"/>
  <c r="I21" i="3"/>
  <c r="P21" i="3" s="1"/>
  <c r="G21" i="3"/>
  <c r="R20" i="3"/>
  <c r="Q20" i="3"/>
  <c r="I20" i="3"/>
  <c r="P20" i="3" s="1"/>
  <c r="G20" i="3"/>
  <c r="R19" i="3"/>
  <c r="Q19" i="3"/>
  <c r="I19" i="3"/>
  <c r="P19" i="3" s="1"/>
  <c r="G19" i="3"/>
  <c r="R18" i="3"/>
  <c r="Q18" i="3"/>
  <c r="I18" i="3"/>
  <c r="P18" i="3" s="1"/>
  <c r="G18" i="3"/>
  <c r="R17" i="3"/>
  <c r="Q17" i="3"/>
  <c r="I17" i="3"/>
  <c r="P17" i="3" s="1"/>
  <c r="G17" i="3"/>
  <c r="R16" i="3"/>
  <c r="Q16" i="3"/>
  <c r="I16" i="3"/>
  <c r="P16" i="3" s="1"/>
  <c r="G16" i="3"/>
  <c r="R15" i="3"/>
  <c r="Q15" i="3"/>
  <c r="I15" i="3"/>
  <c r="P15" i="3" s="1"/>
  <c r="G15" i="3"/>
  <c r="R14" i="3"/>
  <c r="Q14" i="3"/>
  <c r="I14" i="3"/>
  <c r="P14" i="3" s="1"/>
  <c r="G14" i="3"/>
  <c r="R13" i="3"/>
  <c r="Q13" i="3"/>
  <c r="P13" i="3"/>
  <c r="G13" i="3"/>
  <c r="R12" i="3"/>
  <c r="Q12" i="3"/>
  <c r="I12" i="3"/>
  <c r="P12" i="3" s="1"/>
  <c r="G12" i="3"/>
  <c r="R11" i="3"/>
  <c r="Q11" i="3"/>
  <c r="I11" i="3"/>
  <c r="P11" i="3" s="1"/>
  <c r="G11" i="3"/>
  <c r="R10" i="3"/>
  <c r="Q10" i="3"/>
  <c r="I10" i="3"/>
  <c r="G10" i="3"/>
  <c r="R9" i="3"/>
  <c r="Q9" i="3"/>
  <c r="I9" i="3"/>
  <c r="P9" i="3" s="1"/>
  <c r="G9" i="3"/>
  <c r="G1" i="3"/>
  <c r="G123" i="2"/>
  <c r="G122" i="2"/>
  <c r="G121" i="2"/>
  <c r="G120" i="2"/>
  <c r="G119" i="2"/>
  <c r="M115" i="2"/>
  <c r="K115" i="2"/>
  <c r="J115" i="2"/>
  <c r="H115" i="2"/>
  <c r="I114" i="2"/>
  <c r="I115" i="2" s="1"/>
  <c r="G114" i="2"/>
  <c r="G113" i="2"/>
  <c r="L112" i="2"/>
  <c r="G112" i="2"/>
  <c r="L111" i="2"/>
  <c r="G111" i="2"/>
  <c r="M106" i="2"/>
  <c r="L106" i="2"/>
  <c r="K106" i="2"/>
  <c r="J106" i="2"/>
  <c r="I106" i="2"/>
  <c r="H106" i="2"/>
  <c r="G100" i="2"/>
  <c r="M96" i="2"/>
  <c r="K96" i="2"/>
  <c r="J96" i="2"/>
  <c r="H96" i="2"/>
  <c r="L95" i="2"/>
  <c r="G95" i="2"/>
  <c r="L94" i="2"/>
  <c r="G94" i="2"/>
  <c r="L93" i="2"/>
  <c r="G93" i="2"/>
  <c r="L92" i="2"/>
  <c r="G92" i="2"/>
  <c r="L91" i="2"/>
  <c r="G91" i="2"/>
  <c r="L90" i="2"/>
  <c r="G90" i="2"/>
  <c r="L89" i="2"/>
  <c r="G89" i="2"/>
  <c r="L88" i="2"/>
  <c r="G88" i="2"/>
  <c r="L87" i="2"/>
  <c r="G87" i="2"/>
  <c r="L86" i="2"/>
  <c r="G86" i="2"/>
  <c r="K82" i="2"/>
  <c r="I80" i="2"/>
  <c r="K79" i="2"/>
  <c r="J79" i="2"/>
  <c r="H79" i="2"/>
  <c r="K78" i="2"/>
  <c r="J78" i="2"/>
  <c r="H78" i="2"/>
  <c r="K77" i="2"/>
  <c r="J77" i="2"/>
  <c r="H77" i="2"/>
  <c r="K76" i="2"/>
  <c r="J76" i="2"/>
  <c r="H76" i="2"/>
  <c r="K75" i="2"/>
  <c r="J75" i="2"/>
  <c r="H75" i="2"/>
  <c r="K74" i="2"/>
  <c r="J74" i="2"/>
  <c r="H74" i="2"/>
  <c r="K73" i="2"/>
  <c r="J73" i="2"/>
  <c r="H73" i="2"/>
  <c r="K72" i="2"/>
  <c r="J72" i="2"/>
  <c r="H72" i="2"/>
  <c r="K71" i="2"/>
  <c r="J71" i="2"/>
  <c r="H71" i="2"/>
  <c r="K65" i="2"/>
  <c r="J65" i="2"/>
  <c r="H65" i="2"/>
  <c r="K64" i="2"/>
  <c r="J64" i="2"/>
  <c r="H64" i="2"/>
  <c r="K63" i="2"/>
  <c r="J63" i="2"/>
  <c r="H63" i="2"/>
  <c r="L57" i="2"/>
  <c r="K57" i="2"/>
  <c r="J57" i="2"/>
  <c r="I57" i="2"/>
  <c r="G57" i="2"/>
  <c r="H56" i="2"/>
  <c r="M56" i="2" s="1"/>
  <c r="H55" i="2"/>
  <c r="M55" i="2" s="1"/>
  <c r="H54" i="2"/>
  <c r="M54" i="2" s="1"/>
  <c r="H53" i="2"/>
  <c r="M53" i="2" s="1"/>
  <c r="H52" i="2"/>
  <c r="M52" i="2" s="1"/>
  <c r="H51" i="2"/>
  <c r="M51" i="2" s="1"/>
  <c r="H50" i="2"/>
  <c r="M50" i="2" s="1"/>
  <c r="H49" i="2"/>
  <c r="M49" i="2" s="1"/>
  <c r="H48" i="2"/>
  <c r="M48" i="2" s="1"/>
  <c r="H47" i="2"/>
  <c r="M47" i="2" s="1"/>
  <c r="O40" i="2"/>
  <c r="N40" i="2"/>
  <c r="M40" i="2"/>
  <c r="L40" i="2"/>
  <c r="H40" i="2"/>
  <c r="R39" i="2"/>
  <c r="Q39" i="2"/>
  <c r="I39" i="2"/>
  <c r="P39" i="2" s="1"/>
  <c r="G39" i="2"/>
  <c r="R38" i="2"/>
  <c r="Q38" i="2"/>
  <c r="I38" i="2"/>
  <c r="G38" i="2"/>
  <c r="R37" i="2"/>
  <c r="Q37" i="2"/>
  <c r="I37" i="2"/>
  <c r="G37" i="2"/>
  <c r="R36" i="2"/>
  <c r="Q36" i="2"/>
  <c r="G36" i="2"/>
  <c r="R35" i="2"/>
  <c r="Q35" i="2"/>
  <c r="G35" i="2"/>
  <c r="R34" i="2"/>
  <c r="Q34" i="2"/>
  <c r="K40" i="2"/>
  <c r="G34" i="2"/>
  <c r="R33" i="2"/>
  <c r="Q33" i="2"/>
  <c r="G33" i="2"/>
  <c r="R32" i="2"/>
  <c r="Q32" i="2"/>
  <c r="G32" i="2"/>
  <c r="R31" i="2"/>
  <c r="Q31" i="2"/>
  <c r="I31" i="2"/>
  <c r="G31" i="2"/>
  <c r="R30" i="2"/>
  <c r="Q30" i="2"/>
  <c r="I30" i="2"/>
  <c r="G30" i="2"/>
  <c r="R29" i="2"/>
  <c r="Q29" i="2"/>
  <c r="I29" i="2"/>
  <c r="G29" i="2"/>
  <c r="R25" i="2"/>
  <c r="Q25" i="2"/>
  <c r="I25" i="2"/>
  <c r="G25" i="2"/>
  <c r="R24" i="2"/>
  <c r="Q24" i="2"/>
  <c r="I24" i="2"/>
  <c r="P24" i="2" s="1"/>
  <c r="G24" i="2"/>
  <c r="R23" i="2"/>
  <c r="Q23" i="2"/>
  <c r="I23" i="2"/>
  <c r="G23" i="2"/>
  <c r="R22" i="2"/>
  <c r="Q22" i="2"/>
  <c r="I22" i="2"/>
  <c r="P22" i="2" s="1"/>
  <c r="G22" i="2"/>
  <c r="R21" i="2"/>
  <c r="Q21" i="2"/>
  <c r="I21" i="2"/>
  <c r="G21" i="2"/>
  <c r="R20" i="2"/>
  <c r="Q20" i="2"/>
  <c r="I20" i="2"/>
  <c r="G20" i="2"/>
  <c r="R19" i="2"/>
  <c r="Q19" i="2"/>
  <c r="I19" i="2"/>
  <c r="G19" i="2"/>
  <c r="R18" i="2"/>
  <c r="Q18" i="2"/>
  <c r="I18" i="2"/>
  <c r="P18" i="2" s="1"/>
  <c r="G18" i="2"/>
  <c r="R17" i="2"/>
  <c r="Q17" i="2"/>
  <c r="I17" i="2"/>
  <c r="G17" i="2"/>
  <c r="R16" i="2"/>
  <c r="Q16" i="2"/>
  <c r="P16" i="2"/>
  <c r="G16" i="2"/>
  <c r="R15" i="2"/>
  <c r="Q15" i="2"/>
  <c r="P15" i="2"/>
  <c r="G15" i="2"/>
  <c r="R14" i="2"/>
  <c r="Q14" i="2"/>
  <c r="I14" i="2"/>
  <c r="P14" i="2" s="1"/>
  <c r="G14" i="2"/>
  <c r="R13" i="2"/>
  <c r="Q13" i="2"/>
  <c r="I13" i="2"/>
  <c r="P13" i="2" s="1"/>
  <c r="G13" i="2"/>
  <c r="R12" i="2"/>
  <c r="Q12" i="2"/>
  <c r="I12" i="2"/>
  <c r="P12" i="2" s="1"/>
  <c r="G12" i="2"/>
  <c r="R11" i="2"/>
  <c r="Q11" i="2"/>
  <c r="I11" i="2"/>
  <c r="P11" i="2" s="1"/>
  <c r="G11" i="2"/>
  <c r="R10" i="2"/>
  <c r="Q10" i="2"/>
  <c r="I10" i="2"/>
  <c r="P10" i="2" s="1"/>
  <c r="G10" i="2"/>
  <c r="R9" i="2"/>
  <c r="Q9" i="2"/>
  <c r="I9" i="2"/>
  <c r="G9" i="2"/>
  <c r="L127" i="7" l="1"/>
  <c r="L108" i="13"/>
  <c r="P17" i="2"/>
  <c r="P19" i="2"/>
  <c r="P20" i="2"/>
  <c r="P21" i="2"/>
  <c r="P23" i="2"/>
  <c r="P25" i="2"/>
  <c r="P29" i="2"/>
  <c r="P30" i="2"/>
  <c r="P31" i="2"/>
  <c r="P32" i="2"/>
  <c r="P33" i="2"/>
  <c r="P35" i="2"/>
  <c r="P36" i="2"/>
  <c r="P37" i="2"/>
  <c r="P38" i="2"/>
  <c r="P16" i="6"/>
  <c r="P17" i="6"/>
  <c r="P18" i="6"/>
  <c r="P19" i="6"/>
  <c r="P20" i="6"/>
  <c r="P22" i="6"/>
  <c r="P23" i="6"/>
  <c r="P25" i="6"/>
  <c r="P24" i="6"/>
  <c r="P28" i="6"/>
  <c r="P32" i="6"/>
  <c r="P33" i="6"/>
  <c r="P34" i="6"/>
  <c r="P35" i="6"/>
  <c r="B4" i="4"/>
  <c r="H65" i="7"/>
  <c r="H53" i="4"/>
  <c r="J4" i="13"/>
  <c r="P10" i="9"/>
  <c r="P27" i="9"/>
  <c r="P23" i="9"/>
  <c r="P12" i="9"/>
  <c r="P17" i="4"/>
  <c r="B4" i="7"/>
  <c r="J117" i="6"/>
  <c r="M106" i="10"/>
  <c r="M103" i="11"/>
  <c r="I28" i="9"/>
  <c r="B4" i="11"/>
  <c r="J4" i="11"/>
  <c r="P10" i="10"/>
  <c r="Q39" i="10"/>
  <c r="R39" i="10"/>
  <c r="I39" i="10"/>
  <c r="L89" i="10"/>
  <c r="I89" i="10"/>
  <c r="M4" i="10" s="1"/>
  <c r="I81" i="3"/>
  <c r="J4" i="4"/>
  <c r="J107" i="5"/>
  <c r="H48" i="6"/>
  <c r="J4" i="7"/>
  <c r="H39" i="9"/>
  <c r="L97" i="11"/>
  <c r="B4" i="13"/>
  <c r="J4" i="2"/>
  <c r="B4" i="3"/>
  <c r="M43" i="6"/>
  <c r="J105" i="7"/>
  <c r="P22" i="4"/>
  <c r="J4" i="9"/>
  <c r="B4" i="9"/>
  <c r="L98" i="9"/>
  <c r="L104" i="4"/>
  <c r="L86" i="11"/>
  <c r="L115" i="7"/>
  <c r="J4" i="12"/>
  <c r="P34" i="2"/>
  <c r="I30" i="3"/>
  <c r="H43" i="3"/>
  <c r="J4" i="3"/>
  <c r="I35" i="5"/>
  <c r="P10" i="3"/>
  <c r="I129" i="4"/>
  <c r="I36" i="6"/>
  <c r="I40" i="2"/>
  <c r="J81" i="3"/>
  <c r="P9" i="5"/>
  <c r="P35" i="5" s="1"/>
  <c r="P9" i="6"/>
  <c r="P9" i="2"/>
  <c r="B4" i="2"/>
  <c r="L115" i="2"/>
  <c r="P23" i="3"/>
  <c r="L75" i="3"/>
  <c r="B4" i="6"/>
  <c r="L96" i="12"/>
  <c r="L106" i="12"/>
  <c r="H57" i="2"/>
  <c r="I58" i="2" s="1"/>
  <c r="I101" i="3"/>
  <c r="H48" i="10"/>
  <c r="H54" i="13"/>
  <c r="L89" i="5"/>
  <c r="J4" i="5"/>
  <c r="L99" i="10"/>
  <c r="L93" i="3"/>
  <c r="P29" i="12"/>
  <c r="L81" i="5"/>
  <c r="P15" i="6"/>
  <c r="H39" i="11"/>
  <c r="H47" i="11" s="1"/>
  <c r="K29" i="8"/>
  <c r="B4" i="8"/>
  <c r="P14" i="8"/>
  <c r="L107" i="8"/>
  <c r="I107" i="8"/>
  <c r="H40" i="8"/>
  <c r="L96" i="8"/>
  <c r="I85" i="8"/>
  <c r="J4" i="8"/>
  <c r="L96" i="2"/>
  <c r="L101" i="3"/>
  <c r="J40" i="2"/>
  <c r="I96" i="2"/>
  <c r="M4" i="2" s="1"/>
  <c r="I93" i="3"/>
  <c r="L72" i="3"/>
  <c r="I93" i="4"/>
  <c r="L84" i="4"/>
  <c r="L93" i="4" s="1"/>
  <c r="J93" i="4"/>
  <c r="J35" i="5"/>
  <c r="H47" i="5"/>
  <c r="B4" i="5"/>
  <c r="I91" i="6"/>
  <c r="I102" i="6"/>
  <c r="I54" i="7"/>
  <c r="P9" i="7"/>
  <c r="P54" i="7" s="1"/>
  <c r="J54" i="7"/>
  <c r="L85" i="8"/>
  <c r="J85" i="12"/>
  <c r="J90" i="5"/>
  <c r="L80" i="5"/>
  <c r="I44" i="4"/>
  <c r="L129" i="4"/>
  <c r="L97" i="13"/>
  <c r="I90" i="5"/>
  <c r="I100" i="5"/>
  <c r="L94" i="5"/>
  <c r="L100" i="5" s="1"/>
  <c r="J91" i="6"/>
  <c r="L87" i="6"/>
  <c r="L91" i="6" s="1"/>
  <c r="H102" i="6"/>
  <c r="J4" i="6" s="1"/>
  <c r="I105" i="7"/>
  <c r="M4" i="7" s="1"/>
  <c r="L93" i="7"/>
  <c r="L105" i="7" s="1"/>
  <c r="I29" i="8"/>
  <c r="P9" i="10"/>
  <c r="I29" i="12"/>
  <c r="P15" i="10"/>
  <c r="I39" i="13"/>
  <c r="P9" i="13"/>
  <c r="P39" i="13" s="1"/>
  <c r="I97" i="13"/>
  <c r="M4" i="13" s="1"/>
  <c r="I75" i="9"/>
  <c r="M4" i="9" s="1"/>
  <c r="I32" i="11"/>
  <c r="P9" i="11"/>
  <c r="P32" i="11" s="1"/>
  <c r="I85" i="12"/>
  <c r="G11" i="15"/>
  <c r="L18" i="15"/>
  <c r="I86" i="11"/>
  <c r="M4" i="11" s="1"/>
  <c r="G4" i="15"/>
  <c r="L11" i="15"/>
  <c r="B25" i="15"/>
  <c r="L4" i="15"/>
  <c r="B18" i="15"/>
  <c r="G25" i="15"/>
  <c r="B11" i="15"/>
  <c r="G18" i="15"/>
  <c r="P29" i="8" l="1"/>
  <c r="P44" i="4"/>
  <c r="P40" i="2"/>
  <c r="G4" i="10"/>
  <c r="P4" i="10" s="1"/>
  <c r="G4" i="6"/>
  <c r="L90" i="5"/>
  <c r="G4" i="4"/>
  <c r="L81" i="3"/>
  <c r="G4" i="3"/>
  <c r="P30" i="3"/>
  <c r="G4" i="2"/>
  <c r="P4" i="2" s="1"/>
  <c r="G4" i="13"/>
  <c r="P4" i="13" s="1"/>
  <c r="L85" i="12"/>
  <c r="P36" i="6"/>
  <c r="M4" i="3"/>
  <c r="P39" i="10"/>
  <c r="P28" i="9"/>
  <c r="G4" i="11"/>
  <c r="P4" i="11" s="1"/>
  <c r="G4" i="9"/>
  <c r="P4" i="9" s="1"/>
  <c r="G4" i="5"/>
  <c r="M4" i="5"/>
  <c r="M4" i="8"/>
  <c r="G4" i="8"/>
  <c r="P4" i="8" s="1"/>
  <c r="M40" i="8"/>
  <c r="G4" i="7"/>
  <c r="P4" i="7" s="1"/>
  <c r="M4" i="4"/>
  <c r="M4" i="12"/>
  <c r="M4" i="6"/>
  <c r="P4" i="6" l="1"/>
  <c r="P4" i="4"/>
  <c r="P4" i="3"/>
  <c r="P4" i="5"/>
  <c r="H45" i="12"/>
  <c r="G4" i="12" s="1"/>
  <c r="P4" i="12" s="1"/>
  <c r="G45" i="12"/>
  <c r="B4" i="12" s="1"/>
</calcChain>
</file>

<file path=xl/sharedStrings.xml><?xml version="1.0" encoding="utf-8"?>
<sst xmlns="http://schemas.openxmlformats.org/spreadsheetml/2006/main" count="3500" uniqueCount="1620">
  <si>
    <t>CUIT</t>
  </si>
  <si>
    <t>RAZON SOCIAL</t>
  </si>
  <si>
    <t>Tipo de Gasto</t>
  </si>
  <si>
    <t>PROVINCIA</t>
  </si>
  <si>
    <t>100000 LAMPARAS SRL</t>
  </si>
  <si>
    <t>Mercaderia</t>
  </si>
  <si>
    <t>4KRC SA</t>
  </si>
  <si>
    <t>Mantenimiento</t>
  </si>
  <si>
    <t>Servicios Gas, Luz, etc.</t>
  </si>
  <si>
    <t>5 CEPAS S.R.L.</t>
  </si>
  <si>
    <t>MERCADERIA</t>
  </si>
  <si>
    <t>Gastos catering</t>
  </si>
  <si>
    <t>60 LIBRAS SRL</t>
  </si>
  <si>
    <t>Combustibe</t>
  </si>
  <si>
    <t>A R C CONSTRUCCIONES S.A.</t>
  </si>
  <si>
    <t>Gastos Varios</t>
  </si>
  <si>
    <t>A. RUSSONIELLO SA</t>
  </si>
  <si>
    <t>SERVICIOS</t>
  </si>
  <si>
    <t>Gastos seguridad</t>
  </si>
  <si>
    <t>A.M. PESCIO S.C.A</t>
  </si>
  <si>
    <t>Librería</t>
  </si>
  <si>
    <t>ABBS POINT DESING S.A.</t>
  </si>
  <si>
    <t xml:space="preserve">Gastos mantenimiento </t>
  </si>
  <si>
    <t>ABEL JAVIER KLAINER</t>
  </si>
  <si>
    <t xml:space="preserve">Gastos comercializacion </t>
  </si>
  <si>
    <t>ABELSON SA</t>
  </si>
  <si>
    <t>Alquiler</t>
  </si>
  <si>
    <t>ACCESOR SRL</t>
  </si>
  <si>
    <t>Honorarios contables</t>
  </si>
  <si>
    <t>ACEROSALFA SA</t>
  </si>
  <si>
    <t>Gastos administrativos</t>
  </si>
  <si>
    <t>ACLOS ASOC. CIVIL PARA LA LONG</t>
  </si>
  <si>
    <t>Seguro</t>
  </si>
  <si>
    <t>ADSE S.A</t>
  </si>
  <si>
    <t>Extracto</t>
  </si>
  <si>
    <t>ADUEARDO FRANCISCO NARDOMARINO</t>
  </si>
  <si>
    <t>Flete</t>
  </si>
  <si>
    <t>AGH S.A</t>
  </si>
  <si>
    <t>Honorarios Legales</t>
  </si>
  <si>
    <t>AGRACO S.A</t>
  </si>
  <si>
    <t>Insumo</t>
  </si>
  <si>
    <t>AGUA Y SANEAMIENTOS ARG SA</t>
  </si>
  <si>
    <t>Muebles y Utiles</t>
  </si>
  <si>
    <t>AKIAN GRAFICA EDITORA SA</t>
  </si>
  <si>
    <t>Otros</t>
  </si>
  <si>
    <t>ALANAR S.R.L.</t>
  </si>
  <si>
    <t>Telefonia</t>
  </si>
  <si>
    <t xml:space="preserve">ALEJANDRO DARIO LOPEZ </t>
  </si>
  <si>
    <t>Alojamiento-Varios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</si>
  <si>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</si>
  <si>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</si>
  <si>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</si>
  <si>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</si>
  <si>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</si>
  <si>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ALKO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</si>
  <si>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</si>
  <si>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</si>
  <si>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</si>
  <si>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</si>
  <si>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</si>
  <si>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</si>
  <si>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</si>
  <si>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</si>
  <si>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</si>
  <si>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</si>
  <si>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</si>
  <si>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AQUALAF S.A.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</si>
  <si>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</si>
  <si>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</si>
  <si>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</si>
  <si>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</si>
  <si>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</si>
  <si>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</si>
  <si>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</si>
  <si>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</si>
  <si>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</si>
  <si>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</si>
  <si>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</si>
  <si>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</si>
  <si>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</si>
  <si>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</si>
  <si>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</si>
  <si>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</si>
  <si>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</si>
  <si>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</si>
  <si>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</si>
  <si>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</si>
  <si>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</si>
  <si>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</si>
  <si>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</si>
  <si>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 30607371799</t>
  </si>
  <si>
    <t>AUTOSERVICIO DIARCO SA</t>
  </si>
  <si>
    <t>VARAS TOLEDO SEBASTIAN</t>
  </si>
  <si>
    <t>MARAKANA SRL</t>
  </si>
  <si>
    <t>AVANCE-MAG</t>
  </si>
  <si>
    <t>AVILA MARTIN LEONARDO</t>
  </si>
  <si>
    <t>AXION ENERGY ARG SA</t>
  </si>
  <si>
    <t>COMBUSTIBLE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</si>
  <si>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</si>
  <si>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</si>
  <si>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</si>
  <si>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</si>
  <si>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</si>
  <si>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</si>
  <si>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</si>
  <si>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</si>
  <si>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</si>
  <si>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</si>
  <si>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</si>
  <si>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</si>
  <si>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</si>
  <si>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</si>
  <si>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</si>
  <si>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</si>
  <si>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</si>
  <si>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</si>
  <si>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</si>
  <si>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>BODEGA DON BOSCO</t>
  </si>
  <si>
    <t>body group feliz srl</t>
  </si>
  <si>
    <t xml:space="preserve">BOECHI JUAN </t>
  </si>
  <si>
    <t>BOSAN SA</t>
  </si>
  <si>
    <t>BOTINDARI JUAN IGNACIO</t>
  </si>
  <si>
    <t>HONORARIOS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</si>
  <si>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</si>
  <si>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</si>
  <si>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</si>
  <si>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</si>
  <si>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</si>
  <si>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</si>
  <si>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</si>
  <si>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LIBRERÍA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</si>
  <si>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</si>
  <si>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</si>
  <si>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</si>
  <si>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</si>
  <si>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</si>
  <si>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</si>
  <si>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</si>
  <si>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</si>
  <si>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</si>
  <si>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</si>
  <si>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</si>
  <si>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</si>
  <si>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</si>
  <si>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</si>
  <si>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</si>
  <si>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</si>
  <si>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</si>
  <si>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CENCOSUD S.A.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</si>
  <si>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</si>
  <si>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</si>
  <si>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</si>
  <si>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</si>
  <si>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</si>
  <si>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</si>
  <si>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CIERRES ABROJO &amp; HERRAJES SRL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</si>
  <si>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</si>
  <si>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</si>
  <si>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</si>
  <si>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</si>
  <si>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</si>
  <si>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</si>
  <si>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</si>
  <si>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COCA COLA FEMSA DE BS AS SA</t>
  </si>
  <si>
    <t>COHUI SA</t>
  </si>
  <si>
    <t>COLAFRANCESCO RICARDO DANIEL</t>
  </si>
  <si>
    <t>COLTEX SRL</t>
  </si>
  <si>
    <t>COMERCIAL  ALPACA SA</t>
  </si>
  <si>
    <t>COMERCIAL ALPACA SA</t>
  </si>
  <si>
    <t>Comercial e Industrial SRL</t>
  </si>
  <si>
    <t>27-14744212-8</t>
  </si>
  <si>
    <t>como lo soñe</t>
  </si>
  <si>
    <t>COMPAÑÍA AMERICANA DE LAPICES S.R.L.</t>
  </si>
  <si>
    <t>COMPUMUNDO</t>
  </si>
  <si>
    <t>CONFITERIA GRAN CORDOBA</t>
  </si>
  <si>
    <t>CONSORCIO BTOME MITRE 2466</t>
  </si>
  <si>
    <t>ALQUILER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</si>
  <si>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</si>
  <si>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</si>
  <si>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</si>
  <si>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</si>
  <si>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</si>
  <si>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</si>
  <si>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</si>
  <si>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</si>
  <si>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</si>
  <si>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COTO CICSA</t>
  </si>
  <si>
    <t>CPDD SRL</t>
  </si>
  <si>
    <t>CRISTALERIA MARIA LUJAN S.R.L.</t>
  </si>
  <si>
    <t>CRYSLAN SA</t>
  </si>
  <si>
    <t>CSKY S.A</t>
  </si>
  <si>
    <t>CUELLAR OMAR EDGARDO</t>
  </si>
  <si>
    <t>CUEROSUR</t>
  </si>
  <si>
    <t>D ACCORD SA</t>
  </si>
  <si>
    <t>DALAMY S.A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</si>
  <si>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</si>
  <si>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</si>
  <si>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</si>
  <si>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</si>
  <si>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</si>
  <si>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</si>
  <si>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</si>
  <si>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</si>
  <si>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</si>
  <si>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</si>
  <si>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</si>
  <si>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DEHEZA SAICF E I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</si>
  <si>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</si>
  <si>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</si>
  <si>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</si>
  <si>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</si>
  <si>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</si>
  <si>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</si>
  <si>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</si>
  <si>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</si>
  <si>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</si>
  <si>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</si>
  <si>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</si>
  <si>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</si>
  <si>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</si>
  <si>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</si>
  <si>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</si>
  <si>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</si>
  <si>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</si>
  <si>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</si>
  <si>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</si>
  <si>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</si>
  <si>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</si>
  <si>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</si>
  <si>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</si>
  <si>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</si>
  <si>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</si>
  <si>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</si>
  <si>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</si>
  <si>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</si>
  <si>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</si>
  <si>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</si>
  <si>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</si>
  <si>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</si>
  <si>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</si>
  <si>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</si>
  <si>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GRAFICA Y FOTOGRABADOS LA PLAZA SRL</t>
  </si>
  <si>
    <t>MATERIALES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</si>
  <si>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</si>
  <si>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</si>
  <si>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</si>
  <si>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</si>
  <si>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</si>
  <si>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</si>
  <si>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</si>
  <si>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</si>
  <si>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</si>
  <si>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</si>
  <si>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</si>
  <si>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</si>
  <si>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</si>
  <si>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ESTACION DE SERVICIO</t>
  </si>
  <si>
    <t>ESTEBAN URRESTI</t>
  </si>
  <si>
    <t>ESTUDIO BOTINDARI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</si>
  <si>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</si>
  <si>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</si>
  <si>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</si>
  <si>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</si>
  <si>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</si>
  <si>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</si>
  <si>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</si>
  <si>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</si>
  <si>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FAMILIA GRION S.R.L.</t>
  </si>
  <si>
    <t>FAVICUR ICSA</t>
  </si>
  <si>
    <t>FEDERAC. PATRONAL SEG. SA</t>
  </si>
  <si>
    <t>SEGURO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</si>
  <si>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</si>
  <si>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</si>
  <si>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</si>
  <si>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</si>
  <si>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</si>
  <si>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</si>
  <si>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</si>
  <si>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</si>
  <si>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MercaderiaS</t>
  </si>
  <si>
    <t>FERRT.INDUS.ONCE SRL</t>
  </si>
  <si>
    <t>FERRUM SA</t>
  </si>
  <si>
    <t>FHAVILL SA</t>
  </si>
  <si>
    <t>FIAMINGOLEANDRO MARTIN</t>
  </si>
  <si>
    <t>Servicios</t>
  </si>
  <si>
    <t>FINCAS DEL LIMAY S.A.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</si>
  <si>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</si>
  <si>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</si>
  <si>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</si>
  <si>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</si>
  <si>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</si>
  <si>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</si>
  <si>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</si>
  <si>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</si>
  <si>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</si>
  <si>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</si>
  <si>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</si>
  <si>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</si>
  <si>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OTROS</t>
  </si>
  <si>
    <t>GABRIEL GONZALEZ SAGASETA</t>
  </si>
  <si>
    <t>GAED S.H.</t>
  </si>
  <si>
    <t>GALANDER SA</t>
  </si>
  <si>
    <t>GALENO ARGENTINA S.A</t>
  </si>
  <si>
    <t>GALENO ART S.A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</si>
  <si>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</si>
  <si>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</si>
  <si>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</si>
  <si>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</si>
  <si>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</si>
  <si>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</si>
  <si>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</si>
  <si>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</si>
  <si>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</si>
  <si>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</si>
  <si>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</si>
  <si>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</si>
  <si>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>GLOBAL BRANDS DEVELOPMENT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</si>
  <si>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</si>
  <si>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</si>
  <si>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</si>
  <si>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</si>
  <si>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</si>
  <si>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</si>
  <si>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</si>
  <si>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</si>
  <si>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</si>
  <si>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</si>
  <si>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BAIO S.A.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</si>
  <si>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</si>
  <si>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</si>
  <si>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</si>
  <si>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</si>
  <si>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</si>
  <si>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</si>
  <si>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</si>
  <si>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</si>
  <si>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</si>
  <si>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</si>
  <si>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</si>
  <si>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</si>
  <si>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</si>
  <si>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</si>
  <si>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</si>
  <si>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</si>
  <si>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</si>
  <si>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</si>
  <si>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</si>
  <si>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</si>
  <si>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</si>
  <si>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</si>
  <si>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</si>
  <si>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</si>
  <si>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</si>
  <si>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</si>
  <si>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</si>
  <si>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</si>
  <si>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</si>
  <si>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</si>
  <si>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</si>
  <si>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IFM ELECTRONIC 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</si>
  <si>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</si>
  <si>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</si>
  <si>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</si>
  <si>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</si>
  <si>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</si>
  <si>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</si>
  <si>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</si>
  <si>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</si>
  <si>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</si>
  <si>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</si>
  <si>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</si>
  <si>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INV. MINORISTA SA</t>
  </si>
  <si>
    <t>IPANCO S.R.L.</t>
  </si>
  <si>
    <t xml:space="preserve">IRAOLA Y CIA SA </t>
  </si>
  <si>
    <t>IRIME SRL</t>
  </si>
  <si>
    <t>ITALOMED PRODUCTOS</t>
  </si>
  <si>
    <t>ITALSUR S.A.</t>
  </si>
  <si>
    <t xml:space="preserve">ITAR AMOBLAMIENTOS SRL </t>
  </si>
  <si>
    <t>JANET W SA</t>
  </si>
  <si>
    <t>JARSE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</si>
  <si>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</si>
  <si>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</si>
  <si>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</si>
  <si>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</si>
  <si>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</si>
  <si>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</si>
  <si>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</si>
  <si>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</si>
  <si>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</si>
  <si>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</si>
  <si>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</si>
  <si>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</si>
  <si>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</si>
  <si>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</si>
  <si>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</si>
  <si>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</si>
  <si>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</si>
  <si>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KTL S.A.</t>
  </si>
  <si>
    <t>LA CAMIONERA MENDOCINA SRL</t>
  </si>
  <si>
    <t>LA INDUSTRIAL ELECT. SA</t>
  </si>
  <si>
    <t>LA MERIDIONAL SEG. SA</t>
  </si>
  <si>
    <t xml:space="preserve">LAFONT SRL </t>
  </si>
  <si>
    <t>LANDRO RICARDO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</si>
  <si>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</si>
  <si>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</si>
  <si>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</si>
  <si>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</si>
  <si>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</si>
  <si>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</si>
  <si>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</si>
  <si>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</si>
  <si>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</si>
  <si>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</si>
  <si>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</si>
  <si>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</si>
  <si>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</si>
  <si>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</si>
  <si>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</si>
  <si>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LIN XINYONG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</si>
  <si>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</si>
  <si>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</si>
  <si>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</si>
  <si>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</si>
  <si>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</si>
  <si>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</si>
  <si>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</si>
  <si>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</si>
  <si>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</si>
  <si>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</si>
  <si>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</si>
  <si>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</si>
  <si>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</si>
  <si>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MAKRO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</si>
  <si>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</si>
  <si>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</si>
  <si>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</si>
  <si>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</si>
  <si>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</si>
  <si>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</si>
  <si>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</si>
  <si>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</si>
  <si>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</si>
  <si>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</si>
  <si>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</si>
  <si>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MASSUAR</t>
  </si>
  <si>
    <t>MAYCAR S.A</t>
  </si>
  <si>
    <t>MB Papeles SRL</t>
  </si>
  <si>
    <t>MBP PROVEEDORES INDUSTRIALES</t>
  </si>
  <si>
    <t>MD CARGAS</t>
  </si>
  <si>
    <t>FLETE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</si>
  <si>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</si>
  <si>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</si>
  <si>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</si>
  <si>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</si>
  <si>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</si>
  <si>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</si>
  <si>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MEGAH SRL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</si>
  <si>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</si>
  <si>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</si>
  <si>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</si>
  <si>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</si>
  <si>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</si>
  <si>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</si>
  <si>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</si>
  <si>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</si>
  <si>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</si>
  <si>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GASTO DE COMERCIALIZACION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</si>
  <si>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</si>
  <si>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</si>
  <si>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</si>
  <si>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</si>
  <si>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</si>
  <si>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</si>
  <si>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</si>
  <si>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</si>
  <si>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</si>
  <si>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</si>
  <si>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</si>
  <si>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</si>
  <si>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</si>
  <si>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MOLINOS RIO DE LA PLATA SA</t>
  </si>
  <si>
    <t>MONDOVINO S.A.</t>
  </si>
  <si>
    <t>MONTENEGRO LUCIO FANDOR</t>
  </si>
  <si>
    <t xml:space="preserve">MORON GOMA A </t>
  </si>
  <si>
    <t>MOTORVILLE SA</t>
  </si>
  <si>
    <t>MR ALTER CORPORATION SRL</t>
  </si>
  <si>
    <t>MR CAVALIERI SA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</si>
  <si>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</si>
  <si>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</si>
  <si>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</si>
  <si>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</si>
  <si>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</si>
  <si>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</si>
  <si>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</si>
  <si>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</si>
  <si>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</si>
  <si>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</si>
  <si>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</si>
  <si>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</si>
  <si>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</si>
  <si>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</si>
  <si>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</si>
  <si>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</si>
  <si>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</si>
  <si>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</si>
  <si>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</si>
  <si>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</si>
  <si>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</si>
  <si>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</si>
  <si>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</si>
  <si>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</si>
  <si>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</si>
  <si>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</si>
  <si>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</si>
  <si>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</si>
  <si>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</si>
  <si>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</si>
  <si>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</si>
  <si>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</si>
  <si>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</si>
  <si>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</si>
  <si>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</si>
  <si>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</si>
  <si>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</si>
  <si>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</si>
  <si>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</si>
  <si>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</si>
  <si>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</si>
  <si>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>OLIVARES HNOS SA</t>
  </si>
  <si>
    <t>OMINT ART SA</t>
  </si>
  <si>
    <t>OMINT SA</t>
  </si>
  <si>
    <t>ONS SRL</t>
  </si>
  <si>
    <t>OPER. DE EST. DE SERV. SA</t>
  </si>
  <si>
    <t>ORBIS MERTIG SAIC</t>
  </si>
  <si>
    <t>ORG COORDINADORA ARG SRL</t>
  </si>
  <si>
    <t>ORIGEN BEBE S.A.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</si>
  <si>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</si>
  <si>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</si>
  <si>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</si>
  <si>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</si>
  <si>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</si>
  <si>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</si>
  <si>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</si>
  <si>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OYOLI SA</t>
  </si>
  <si>
    <t>PABLO DANIEL SPADAVACCHIA</t>
  </si>
  <si>
    <t>PAESANO CARLOS CHAVEZ RUBEN SH</t>
  </si>
  <si>
    <t>PAN AMERICAN ENERGY LLC</t>
  </si>
  <si>
    <t>PANTYMED S.A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</si>
  <si>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</si>
  <si>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</si>
  <si>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</si>
  <si>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</si>
  <si>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</si>
  <si>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</si>
  <si>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</si>
  <si>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</si>
  <si>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</si>
  <si>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</si>
  <si>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</si>
  <si>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</si>
  <si>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</si>
  <si>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</si>
  <si>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PEUGEOT CITROEN ARG SA</t>
  </si>
  <si>
    <t>PIETRUSZKA ALBERTO</t>
  </si>
  <si>
    <t>PILKINGTON AUTOMOTIVE SA</t>
  </si>
  <si>
    <t xml:space="preserve">PINDELEC SA </t>
  </si>
  <si>
    <t>PINTO LEONEL EMILIANO</t>
  </si>
  <si>
    <t>PINTURERIA REX S.A.</t>
  </si>
  <si>
    <t>PINTURERIAS PRESTIGIO SA</t>
  </si>
  <si>
    <t>PINTURERIAS SAGITARIO SA</t>
  </si>
  <si>
    <t>PLASTIFERRO INFRAESTRUCTURA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</si>
  <si>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</si>
  <si>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</si>
  <si>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</si>
  <si>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</si>
  <si>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</si>
  <si>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</si>
  <si>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</si>
  <si>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</si>
  <si>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</si>
  <si>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</si>
  <si>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</si>
  <si>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</si>
  <si>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</si>
  <si>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</si>
  <si>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>PUEYRREDON 2042</t>
  </si>
  <si>
    <t xml:space="preserve">PYFER SA </t>
  </si>
  <si>
    <t>QUAGLIA EDIT LUJAN</t>
  </si>
  <si>
    <t>QUEIJA S.A.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</si>
  <si>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</si>
  <si>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</si>
  <si>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</si>
  <si>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</si>
  <si>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</si>
  <si>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</si>
  <si>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</si>
  <si>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MUEBLES Y UTILES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</si>
  <si>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</si>
  <si>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</si>
  <si>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</si>
  <si>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</si>
  <si>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</si>
  <si>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</si>
  <si>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</si>
  <si>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</si>
  <si>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</si>
  <si>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</si>
  <si>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</si>
  <si>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</si>
  <si>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</si>
  <si>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REPUESTOS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</si>
  <si>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</si>
  <si>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</si>
  <si>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</si>
  <si>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</si>
  <si>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</si>
  <si>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</si>
  <si>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</si>
  <si>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</si>
  <si>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</si>
  <si>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</si>
  <si>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</si>
  <si>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</si>
  <si>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</si>
  <si>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</si>
  <si>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</si>
  <si>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</si>
  <si>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</si>
  <si>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</si>
  <si>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</si>
  <si>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</si>
  <si>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ROLLS Y EMPANADAS SA</t>
  </si>
  <si>
    <t>CATERING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</si>
  <si>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</si>
  <si>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</si>
  <si>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</si>
  <si>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</si>
  <si>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</si>
  <si>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</si>
  <si>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</si>
  <si>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</si>
  <si>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</si>
  <si>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</si>
  <si>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</si>
  <si>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SALADILLO S.A.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</si>
  <si>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</si>
  <si>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</si>
  <si>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</si>
  <si>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</si>
  <si>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</si>
  <si>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</si>
  <si>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</si>
  <si>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</si>
  <si>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</si>
  <si>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</si>
  <si>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</si>
  <si>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</si>
  <si>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</si>
  <si>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</si>
  <si>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</si>
  <si>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</si>
  <si>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</si>
  <si>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</si>
  <si>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</si>
  <si>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</si>
  <si>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</si>
  <si>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</si>
  <si>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</si>
  <si>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</si>
  <si>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</si>
  <si>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</si>
  <si>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</si>
  <si>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</si>
  <si>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</si>
  <si>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</si>
  <si>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</si>
  <si>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</si>
  <si>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</si>
  <si>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</si>
  <si>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</si>
  <si>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</si>
  <si>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</si>
  <si>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</si>
  <si>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</si>
  <si>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</si>
  <si>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</si>
  <si>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</si>
  <si>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</si>
  <si>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</si>
  <si>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</si>
  <si>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</si>
  <si>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SUTIL SILVIA EDITH</t>
  </si>
  <si>
    <t>SWISS MEDICAL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</si>
  <si>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</si>
  <si>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</si>
  <si>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</si>
  <si>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</si>
  <si>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</si>
  <si>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</si>
  <si>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</si>
  <si>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</si>
  <si>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TECNIPRAX S.R.L.</t>
  </si>
  <si>
    <t>TEKNOVENTILACION SRL</t>
  </si>
  <si>
    <t>TELECENTRO SA</t>
  </si>
  <si>
    <t>TELECOM ARG SA</t>
  </si>
  <si>
    <t>TELEFONICA DE ARG S.A.</t>
  </si>
  <si>
    <t>TELEFONICA MOVILES ARG</t>
  </si>
  <si>
    <t>TELMEX ARGENTINA S.A.</t>
  </si>
  <si>
    <t>TERMINACIONES GRAFICAS SA</t>
  </si>
  <si>
    <t>TEXTIL ESPARTILLO SA.</t>
  </si>
  <si>
    <t>TEXTIL PANDA S.A.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</si>
  <si>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</si>
  <si>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</si>
  <si>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</si>
  <si>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</si>
  <si>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</si>
  <si>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</si>
  <si>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</si>
  <si>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</si>
  <si>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</si>
  <si>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</si>
  <si>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</si>
  <si>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</si>
  <si>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</si>
  <si>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</si>
  <si>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</si>
  <si>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</si>
  <si>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</si>
  <si>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</si>
  <si>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</si>
  <si>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</si>
  <si>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</si>
  <si>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</si>
  <si>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</si>
  <si>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</si>
  <si>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</si>
  <si>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</si>
  <si>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</si>
  <si>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</si>
  <si>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</si>
  <si>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</si>
  <si>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</si>
  <si>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</si>
  <si>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</si>
  <si>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</si>
  <si>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</si>
  <si>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</si>
  <si>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</si>
  <si>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</si>
  <si>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</si>
  <si>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</si>
  <si>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</si>
  <si>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</si>
  <si>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</si>
  <si>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VERGARA COMBUSTIBLES SRL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</si>
  <si>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</si>
  <si>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</si>
  <si>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</si>
  <si>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</si>
  <si>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</si>
  <si>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</si>
  <si>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</si>
  <si>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</si>
  <si>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</si>
  <si>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</si>
  <si>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</si>
  <si>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</si>
  <si>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</si>
  <si>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</si>
  <si>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</si>
  <si>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</si>
  <si>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</si>
  <si>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</si>
  <si>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WESTAFLEX SA ARGENTINA</t>
  </si>
  <si>
    <t>YAGMOUR SRL</t>
  </si>
  <si>
    <t>YAPAY SRL</t>
  </si>
  <si>
    <t>YOCARANT S.A.</t>
  </si>
  <si>
    <t>YPF SA</t>
  </si>
  <si>
    <t>YURREBASO NATALIA GISELE</t>
  </si>
  <si>
    <t>ZEITPLAN SRL</t>
  </si>
  <si>
    <t>KEPUCHE NEHUEN S.R.L.</t>
  </si>
  <si>
    <t>ALIMENTOS DE MENDOZA S.A.</t>
  </si>
  <si>
    <t>SERVICIOS LOGISTICA</t>
  </si>
  <si>
    <t>SUR BODEGAS Y VIÑEDOS S.A.</t>
  </si>
  <si>
    <t>MONTANA CONSULTORES S.R.L.</t>
  </si>
  <si>
    <t>PATRITTI S.A.</t>
  </si>
  <si>
    <t>TRANSPORTE EL FARO S.A.</t>
  </si>
  <si>
    <t>MAGNUS AGRICOLAE S.A.</t>
  </si>
  <si>
    <t>GEACOM S.R.L.</t>
  </si>
  <si>
    <t>CÁMARA ARGENTINA VINOTECAS Y AFINES</t>
  </si>
  <si>
    <t>CUOTA SOCIAL</t>
  </si>
  <si>
    <t>TIERRAS ALTAS S.A.</t>
  </si>
  <si>
    <t xml:space="preserve">MERCADERIA </t>
  </si>
  <si>
    <t xml:space="preserve">NIMO GUERRA MANUEL </t>
  </si>
  <si>
    <t>JAWORSKY PABLO ALBERTO</t>
  </si>
  <si>
    <t>DONATO ALFREDO ENRIQUE Y PENSEL FRANCISCO JAVIER SOCIEDAD DE HECHO</t>
  </si>
  <si>
    <t>MARIA FEDELE S.R.L.</t>
  </si>
  <si>
    <t>MARTINASCHI FERNANDO NICOLAS</t>
  </si>
  <si>
    <t>SUCESION DE LIBONATI FRANCISCO</t>
  </si>
  <si>
    <t>DOS CORTADOS S.R.L.</t>
  </si>
  <si>
    <t>QUILES FLAVIO GABRIEL</t>
  </si>
  <si>
    <t xml:space="preserve">AMADO MONICA CRISTINA </t>
  </si>
  <si>
    <t>ZARBO CARNIEL PABLO</t>
  </si>
  <si>
    <t>FERRETTI CLAUDIO HERNAN</t>
  </si>
  <si>
    <t>ZABALA ALBA NOEMI</t>
  </si>
  <si>
    <t>TIERRA DE VIÑAS Y OLIVOS</t>
  </si>
  <si>
    <t>CRISTAL SAN MARTIN S.R.L.</t>
  </si>
  <si>
    <t>LA RURAL VIÑEDOS Y BODEGAS S.A.</t>
  </si>
  <si>
    <t>EL GARAGE DE ALDO S.R.L.</t>
  </si>
  <si>
    <t>CENTRAL DE COMERCIOS S.R.L.</t>
  </si>
  <si>
    <t xml:space="preserve">AUTOMOTORES DEL SUR S A C I F I Y A G </t>
  </si>
  <si>
    <t>OLD ROPE S.R.L.</t>
  </si>
  <si>
    <t>AKITANIA SRL</t>
  </si>
  <si>
    <t>ISOLSE SRL</t>
  </si>
  <si>
    <t>LIN WEN HUA</t>
  </si>
  <si>
    <t>PARADA LINIERS SA</t>
  </si>
  <si>
    <t xml:space="preserve">SARSY SRL </t>
  </si>
  <si>
    <t>PREMIER WINES SA</t>
  </si>
  <si>
    <t>BANCO GALICIA S.A.</t>
  </si>
  <si>
    <t>EXTRACTO</t>
  </si>
  <si>
    <t>BANCO SUPERVIELLE S.A.</t>
  </si>
  <si>
    <t>REJOVIZKY ALEJANDRA</t>
  </si>
  <si>
    <t xml:space="preserve">ELDAR SRL </t>
  </si>
  <si>
    <t xml:space="preserve">DIAGNOS MED SRL </t>
  </si>
  <si>
    <t>VILAPLANA Y GONZALEZ S.R.L.</t>
  </si>
  <si>
    <t>CUVELIER LOS ANDES S.A.</t>
  </si>
  <si>
    <t>POL PACK S.R.L.</t>
  </si>
  <si>
    <t>AMERICAN EXPRESS</t>
  </si>
  <si>
    <t>VANESA MARGARIÑOS</t>
  </si>
  <si>
    <t>LIBRERÍA SAN LUIS S.R.L.</t>
  </si>
  <si>
    <t>MADERA MARIANA PAULA</t>
  </si>
  <si>
    <t>FREIXENET ARGENTINA S.A.</t>
  </si>
  <si>
    <t>30-57481687-0</t>
  </si>
  <si>
    <t>PAPELERA BERTOLIN SA</t>
  </si>
  <si>
    <t>ESTRAME SA</t>
  </si>
  <si>
    <t>MASANA JOSE ALBERTO</t>
  </si>
  <si>
    <t>OLIVA GERLI GERMAN</t>
  </si>
  <si>
    <t>ESPACIOVINO SRL</t>
  </si>
  <si>
    <t>ACOSTA SILVIA ADRIANA</t>
  </si>
  <si>
    <t>BARSZCZUK HUGO DANIEL</t>
  </si>
  <si>
    <t>SUCESION DE SEVESO ROSA MARINA</t>
  </si>
  <si>
    <t>YACOMELLI GLADYS B</t>
  </si>
  <si>
    <t>MERCADE IGNACIO ESTEBAN</t>
  </si>
  <si>
    <t>CANAIMA ESPACIO DE SABORES S.R.L.</t>
  </si>
  <si>
    <t>POTENZA LEONOR BEATRIZ</t>
  </si>
  <si>
    <t>GLOBALGATE S.R.L.</t>
  </si>
  <si>
    <t>PANIFICADORA BETA'S S.R.L.</t>
  </si>
  <si>
    <t>CREDIDIO MARIA CELESTE</t>
  </si>
  <si>
    <t>SOTTANO S.A.</t>
  </si>
  <si>
    <t>BATTISTINI ALEJANDRO ARMANDO</t>
  </si>
  <si>
    <t>CHI CHOCOLATES INDUSTRIALES S.A.</t>
  </si>
  <si>
    <t>NT CONSULTING S.A.</t>
  </si>
  <si>
    <t>SUAREZ SILVERA VICTOR ANDRES</t>
  </si>
  <si>
    <t>I VINI S.R.L.</t>
  </si>
  <si>
    <t>CORITEC SRL</t>
  </si>
  <si>
    <t>BALAMA S.A.</t>
  </si>
  <si>
    <t>JIA GRAF SRL</t>
  </si>
  <si>
    <t>LA ASTURIANA SAIC</t>
  </si>
  <si>
    <t>ABEI CONSULTORA S.A.</t>
  </si>
  <si>
    <t>TRANS GLASS S.R.L.</t>
  </si>
  <si>
    <t>PONTECORVO RICARDO JAVIER</t>
  </si>
  <si>
    <t>QIU CHUNYUN</t>
  </si>
  <si>
    <t>POSITECH S.R.L.</t>
  </si>
  <si>
    <t>POZZO AGUSTINA MARIEL</t>
  </si>
  <si>
    <t>SOCIEDAD ARGENTINA DE MEDICINA FISICA Y REHABILITACION</t>
  </si>
  <si>
    <t>AGROVIT RURAL S.A.</t>
  </si>
  <si>
    <t>COMPAÑÍA DE MONTAJES SA</t>
  </si>
  <si>
    <t>SILKSTONE SA</t>
  </si>
  <si>
    <t>TRACK LOGISTICA SRL</t>
  </si>
  <si>
    <t>MONTEVIEJO S.A.</t>
  </si>
  <si>
    <t>LEY SECA S.A.</t>
  </si>
  <si>
    <t>PROWINES S.A.</t>
  </si>
  <si>
    <t>CORREO ANDREANI SA</t>
  </si>
  <si>
    <t>BODEGA DIAMANDES SA</t>
  </si>
  <si>
    <t>HELENICA GROUP S.A.</t>
  </si>
  <si>
    <t>TALLERES TRUANOVSKY S A</t>
  </si>
  <si>
    <t>DEMENTES DIGITALES S.R.L.</t>
  </si>
  <si>
    <t>JIANG XIUJUAN</t>
  </si>
  <si>
    <t>YAO YAZHU</t>
  </si>
  <si>
    <t>RICARDO FRADEANI Y OCTAVIO LERENA ASOCIACION SIMPLE</t>
  </si>
  <si>
    <t>GRUPO RIDIGAS S.R.L.</t>
  </si>
  <si>
    <t>GABAK SYSTEM SA</t>
  </si>
  <si>
    <t>CRISTALES HURLINGHAM SRL</t>
  </si>
  <si>
    <t>LISTORTI DISTRIBUCION S.R.L.</t>
  </si>
  <si>
    <t>BODEGAS ESMERALDA SOCIEDAD ANONIMA</t>
  </si>
  <si>
    <t>MeRCADERIA</t>
  </si>
  <si>
    <t>WARNEKE KURT HERMAN</t>
  </si>
  <si>
    <t>SAN MARTIN NICOLAS PABLO</t>
  </si>
  <si>
    <t xml:space="preserve">ALTOS DE SAN CARLOS </t>
  </si>
  <si>
    <t>DREAMKERS S.A.</t>
  </si>
  <si>
    <t>LUNFA VERMU S.R.L</t>
  </si>
  <si>
    <t>RIO DULCE SA</t>
  </si>
  <si>
    <t>RICARDO CELA</t>
  </si>
  <si>
    <t>LA RIOJANA</t>
  </si>
  <si>
    <t>ARGENTINA SPECIALITY SRL</t>
  </si>
  <si>
    <t>CARRALME S.R.L.</t>
  </si>
  <si>
    <t>GRAFICA PINTER SA</t>
  </si>
  <si>
    <t>FITNESAS SRL</t>
  </si>
  <si>
    <t>WINE CO SA</t>
  </si>
  <si>
    <t>FECOVITA FEDERACION DE COOPERATIVAS</t>
  </si>
  <si>
    <t>BODEGAS SALENTEIN SA</t>
  </si>
  <si>
    <t>KARDENT SAS</t>
  </si>
  <si>
    <t>DRIMER DIANA CELIA</t>
  </si>
  <si>
    <t>AGGGROUP SOLUCIONES TACTICAS SRL</t>
  </si>
  <si>
    <t>GASTRONOMIA EN MOVIMIENTO SRL</t>
  </si>
  <si>
    <t>BERALDI MARIANO LUIS</t>
  </si>
  <si>
    <t>REPARACIONES</t>
  </si>
  <si>
    <t>TRANSPORTES SAN JOSE SRL</t>
  </si>
  <si>
    <t>FLETE-LOGISTICA</t>
  </si>
  <si>
    <t>BILOTTA GUIDO MAXIMILIANO</t>
  </si>
  <si>
    <t>MITCHELL ERIC</t>
  </si>
  <si>
    <t>ARYTZA S.R.L.</t>
  </si>
  <si>
    <t>DISTRIBUIDORA LA AMISTAD S.R.L.</t>
  </si>
  <si>
    <t>DIELO S A</t>
  </si>
  <si>
    <t>LEDO JULIAN HUGO</t>
  </si>
  <si>
    <t>CZUDNOWSKY PEDRO ANDRES</t>
  </si>
  <si>
    <t>DRIVECOM S.A.</t>
  </si>
  <si>
    <t>BRUNO SCHILLIG S.A</t>
  </si>
  <si>
    <t>KIDS CORP S.R.L</t>
  </si>
  <si>
    <t>SCHMIDT ALVAREZ ROMINA SOLANGE</t>
  </si>
  <si>
    <t>GASTOS VARIOS</t>
  </si>
  <si>
    <t xml:space="preserve">EL BAZAR DIGITAL </t>
  </si>
  <si>
    <t xml:space="preserve">COOPERATIVA DE TRABAJO FRIGORIFICO TORGELON 58 LTDA </t>
  </si>
  <si>
    <t xml:space="preserve">FRIGORIFICO CÁRDENAS S.R.L </t>
  </si>
  <si>
    <t>SANTAGIULIANA ANGEL ALEJANDRO</t>
  </si>
  <si>
    <t>FERNANDEZ LUIS ALBERTO</t>
  </si>
  <si>
    <t>DISTRIBUIDORA VICARI S.A.</t>
  </si>
  <si>
    <t>CERVECERIA Y MALTERIA QUILMES S.A.I.C.A.Y G.</t>
  </si>
  <si>
    <t>KERVIN MARIA CRISTINA</t>
  </si>
  <si>
    <t xml:space="preserve">LACTEOS SANTA FE </t>
  </si>
  <si>
    <t xml:space="preserve">GASTRONOMIA GONZALEZ SRL </t>
  </si>
  <si>
    <t>DYPACK SRL</t>
  </si>
  <si>
    <t>CENTRALFER S.A</t>
  </si>
  <si>
    <t>MEGATEN S.A.</t>
  </si>
  <si>
    <t>VAL MAIRA SOCIEDAD ANONIMA</t>
  </si>
  <si>
    <t>MANFIYA SOCIEDAD ANONIMA</t>
  </si>
  <si>
    <t>LACTEOS VIDAL S A</t>
  </si>
  <si>
    <t>LABORATORIO CUENCA S A</t>
  </si>
  <si>
    <t>SENCHEK EDGARDO ARIEL</t>
  </si>
  <si>
    <t>INSUMOS Y PRESTACIONES TRENQUE SRL</t>
  </si>
  <si>
    <t>PAPELERA DELMAR SRL</t>
  </si>
  <si>
    <t xml:space="preserve">BODEGA DONZO BERLANGA </t>
  </si>
  <si>
    <t>INSUMO</t>
  </si>
  <si>
    <t>CALIBER S.R.L.</t>
  </si>
  <si>
    <t>EL CIMBRON SRL</t>
  </si>
  <si>
    <t>AITOR IDER BALBO SAACI</t>
  </si>
  <si>
    <t>PASIVO</t>
  </si>
  <si>
    <t>DANA LUIS MARIANO</t>
  </si>
  <si>
    <t>ARTE Y BURBUJAS S.A.</t>
  </si>
  <si>
    <t>ELECTRICIDAD TRIBUNALES SA</t>
  </si>
  <si>
    <t>BUMERAN.COM ARGENTINA SA</t>
  </si>
  <si>
    <t>MASTELLONE HNOS S A</t>
  </si>
  <si>
    <t>ZURICH ASEGURADORA ARGENTINA S.A</t>
  </si>
  <si>
    <t>AUNCLICK SRL</t>
  </si>
  <si>
    <t>ROEDELSPERGER ARIEL HERNAN</t>
  </si>
  <si>
    <t>DISTRIBUIDORA RAICES S.R.L.</t>
  </si>
  <si>
    <t>IT BROKERS S.A.</t>
  </si>
  <si>
    <t>LAZZARIN LIMA MARTIN IGNACIO</t>
  </si>
  <si>
    <t>ARCHMAR S.R.L.</t>
  </si>
  <si>
    <t>GALA GOURMET SA</t>
  </si>
  <si>
    <t>BASILE GASTON HECTOR</t>
  </si>
  <si>
    <t>ALTO CAMPO SUCURSAL</t>
  </si>
  <si>
    <t>DISTRIBUIDORA SEMAS SA</t>
  </si>
  <si>
    <t>SALVIO LORENA BEATRIZ</t>
  </si>
  <si>
    <t>NAVA JUAN CARLOS MIGUEL</t>
  </si>
  <si>
    <t>DE URQUIETA JORGE LUIS</t>
  </si>
  <si>
    <t>MUCHNIK DESIGN SRL</t>
  </si>
  <si>
    <t>DAMVILLE S.A</t>
  </si>
  <si>
    <t>ANDAHI S.R.L.</t>
  </si>
  <si>
    <t>NOVO CARS SA</t>
  </si>
  <si>
    <t>FARIAS JORGE A</t>
  </si>
  <si>
    <t>SAN ISIDRO S.R.L</t>
  </si>
  <si>
    <t>NSQNP S.A.</t>
  </si>
  <si>
    <t>LAS DINAS SRL</t>
  </si>
  <si>
    <t>INTRADAT S.R.L.</t>
  </si>
  <si>
    <t>CURA BERNARDO</t>
  </si>
  <si>
    <t>LINKEDSTORE ARGENTINA S.R.L.</t>
  </si>
  <si>
    <t>POTIGIAN GOLOSINAS SACIF E I</t>
  </si>
  <si>
    <t>ESCUELA ARGENTINA SOCIEDAD DE RESPONSABILIDAD LIMITADA</t>
  </si>
  <si>
    <t>DOLINSKY IRMA</t>
  </si>
  <si>
    <t>RICOBENE DIEGO ARIEL</t>
  </si>
  <si>
    <t>PASION DISTRIBUCIONES SRL</t>
  </si>
  <si>
    <t>IMEFENG PULCU</t>
  </si>
  <si>
    <t>VIDAL GABRIEL</t>
  </si>
  <si>
    <t>MALC BRIAN S R L</t>
  </si>
  <si>
    <t>GUIDO TOMAS GIORDANO Y KEVIN BALCKER</t>
  </si>
  <si>
    <t>SIMON SEBASTIAN</t>
  </si>
  <si>
    <t>NORFRIG SRL</t>
  </si>
  <si>
    <t>ELECTRICIDAD AREV S R L</t>
  </si>
  <si>
    <t>VML ONLINE S.R.L</t>
  </si>
  <si>
    <t>F2 GAMING</t>
  </si>
  <si>
    <t>VALCEREAL SA</t>
  </si>
  <si>
    <t>LIBRERIA WELCOME S.R.L.</t>
  </si>
  <si>
    <t>EURO JAMONES SRL</t>
  </si>
  <si>
    <t>PEER CIDER BREWERY S.R.L.</t>
  </si>
  <si>
    <t>BORCA JUAN MANUEL</t>
  </si>
  <si>
    <t>VALDEZ PEDRO ALBERTO</t>
  </si>
  <si>
    <t>GOLF CORPORATION SRL</t>
  </si>
  <si>
    <t>POSITIVA SALUDABLE</t>
  </si>
  <si>
    <t>ASOCIACION COOPERADORA DE LA ESCUELA DE PRODUCCION E INDUSTRIALIZACION DE LECHE DR RAMON SANTAMARINA</t>
  </si>
  <si>
    <t>SARGA S A</t>
  </si>
  <si>
    <t>COORDINACION ECOLOGICA AREA METROPOLITANA SOCIEDAD DEL ESTADO</t>
  </si>
  <si>
    <t>ABELEDO AGUSTIN ENRIQUE</t>
  </si>
  <si>
    <t>CABA</t>
  </si>
  <si>
    <t>CASTIGLIONI MATIAS EZEQUIEL</t>
  </si>
  <si>
    <t>ASESORAMIENTO</t>
  </si>
  <si>
    <t>BUENOS AIRES</t>
  </si>
  <si>
    <t>FREIER SANDRA DANIELA</t>
  </si>
  <si>
    <t>KENNEL SEBASTIAN</t>
  </si>
  <si>
    <t>FIORENTINO JORGE IGNACIO</t>
  </si>
  <si>
    <t>DE BONIS IGNACIO LUIS</t>
  </si>
  <si>
    <t>FERABOLI OSPAL SANTIAGO HERNAN</t>
  </si>
  <si>
    <t>HONRE S.A</t>
  </si>
  <si>
    <t>FIDO ARGENTINA SRL</t>
  </si>
  <si>
    <t>CITILAN ARGENTINA S.A.</t>
  </si>
  <si>
    <t>RIO 265 S.R.L.</t>
  </si>
  <si>
    <t>FEDERAL EXPRESS CORPORATION</t>
  </si>
  <si>
    <t>GOMEZ FERNANDO ALBERTO</t>
  </si>
  <si>
    <t>SIRTAUTAS ALBERTO IVAN</t>
  </si>
  <si>
    <t>MOROLDO EMILIANO DANIEL</t>
  </si>
  <si>
    <t>ELECTROCOMPONENTES SA</t>
  </si>
  <si>
    <t>FIGUEIRAS KARINA BEATRIZ</t>
  </si>
  <si>
    <t>REA PABLO</t>
  </si>
  <si>
    <t>D LED SOCIEDAD DE HECHO DE DIEGO NICOLAS BARSKY Y DAMIAN DANEL SPIVAK</t>
  </si>
  <si>
    <t>KURIABE S. A.</t>
  </si>
  <si>
    <t>EMELINT S.R.L.</t>
  </si>
  <si>
    <t>PINTOS SCHMIDT ALDANA MARCELA Y SACK ADRIANA CRISTINA SH</t>
  </si>
  <si>
    <t>PONCE JUAN MANUEL</t>
  </si>
  <si>
    <t>DHL EXPRESS (ARGENTINA) S.A.</t>
  </si>
  <si>
    <t>INDUSTRIAS FEMAN S.R.L.</t>
  </si>
  <si>
    <t>SEMICONDUCTORES Y COMPONENTES SRL</t>
  </si>
  <si>
    <t>DIGAS SRL</t>
  </si>
  <si>
    <t>TELEFONICA MOVILES ARGENTINA SOCIEDAD ANONIMA</t>
  </si>
  <si>
    <t>HERRERO ANZORENA MATIAS</t>
  </si>
  <si>
    <t>FEDERICI NICOLAS JOSE</t>
  </si>
  <si>
    <t>OLIVEAR S. R. L.</t>
  </si>
  <si>
    <t>DUAITEK SRL</t>
  </si>
  <si>
    <t>COSTA DIEGO ALEJANDRO</t>
  </si>
  <si>
    <t>PAZ CLAUDIA SILVIA</t>
  </si>
  <si>
    <t>SERVICIO INTEGRAL DE LIMPIEZA SRL</t>
  </si>
  <si>
    <t>BIRD COMERCIALIZACION IMPORTACION Y SERVICIOS S.R.L.</t>
  </si>
  <si>
    <t>TERGEN SRL</t>
  </si>
  <si>
    <t>ALAMTEC SRL</t>
  </si>
  <si>
    <t>J Y M COMPONENTES ELECTRICOS S.A.</t>
  </si>
  <si>
    <t>AGIRA  S A</t>
  </si>
  <si>
    <t>NEXT SERVICE GNC S.R.L.</t>
  </si>
  <si>
    <t>COMPRESORES SERVICIO TECNICO S A</t>
  </si>
  <si>
    <t>PEREZ EMILIA EUGENIA</t>
  </si>
  <si>
    <t>INGENIERIA GAMAR SOCIEDAD ANONIMA</t>
  </si>
  <si>
    <t>DELTA COMPRESION S R L</t>
  </si>
  <si>
    <t>LEPORT SH DE PORTELA JORGE FERNANDO Y LEAL JORGE ANGEL</t>
  </si>
  <si>
    <t>SUTEL SRL</t>
  </si>
  <si>
    <t>BRACCO ROSANA</t>
  </si>
  <si>
    <t>RIOS GOMEZ JOSE ANTONIO</t>
  </si>
  <si>
    <t>LITORAL TRADING SAS</t>
  </si>
  <si>
    <t>SUMINISTROS WHITE S.A.</t>
  </si>
  <si>
    <t>ACPLIND SRL</t>
  </si>
  <si>
    <t>MAV GROUP S.A.</t>
  </si>
  <si>
    <t>GIOVO JUAN SEBASTIAN Y GIOVO JORGE DIEGO SOC. DE HECHO</t>
  </si>
  <si>
    <t>POTENZA SHOP S.A.S.</t>
  </si>
  <si>
    <t>MEIJOMIN PABLO MARTIN</t>
  </si>
  <si>
    <t>SPOT VISION S.A.S.</t>
  </si>
  <si>
    <t>ELECTRONICA ELEMON S A</t>
  </si>
  <si>
    <t>IMPORTADORA FOTOGRAFICA SOCIEDAD ANONIMA</t>
  </si>
  <si>
    <t>FUNK MATIAS NICOLAS</t>
  </si>
  <si>
    <t>JORVICAL ACEROS S A</t>
  </si>
  <si>
    <t>BROCATTO SRL</t>
  </si>
  <si>
    <t>GLOBANS S.R.L.</t>
  </si>
  <si>
    <t>ANTONIO LUQUIN S A C I F E I</t>
  </si>
  <si>
    <t>INITIUM SRL</t>
  </si>
  <si>
    <t>BIANCHI CRISTIAN MAXIMILIANO</t>
  </si>
  <si>
    <t>LIPANOVICH JUAN CRUZ</t>
  </si>
  <si>
    <t>SOFTWARE</t>
  </si>
  <si>
    <t>ASOCIACION DE IMPORTADORES Y EXPORTADORES DE LA REPUBLICA ARGENTINA</t>
  </si>
  <si>
    <t>FUERTES DAMIAN MATIAS</t>
  </si>
  <si>
    <t>RODRIGUEZ DE LA FUEN HECTOR MARCELO</t>
  </si>
  <si>
    <t>LIPANOVICH MARIA SOL</t>
  </si>
  <si>
    <t>consultoria informatica</t>
  </si>
  <si>
    <t>LOPEZ MOLINA MARIA</t>
  </si>
  <si>
    <t>FONDO DE COOPERACION TECNICA Y FINANCIERA - CECBA - SL Y T - LEY 23.412</t>
  </si>
  <si>
    <t>DANSKY ULLMANN VIVIANA EVA YOLANDA</t>
  </si>
  <si>
    <t>Solution Supply SAC</t>
  </si>
  <si>
    <t>BRAIN S.A.</t>
  </si>
  <si>
    <t>JURO S A</t>
  </si>
  <si>
    <t>VULPIANI S.A.</t>
  </si>
  <si>
    <t>EXA COMPRESION S.R.L.</t>
  </si>
  <si>
    <t>CONSORCIO DE PROPIETARIOS YATAY 138</t>
  </si>
  <si>
    <t>ACACIA Y LENGA S R L</t>
  </si>
  <si>
    <t>SAENZ GERMAN</t>
  </si>
  <si>
    <t>ADATTO MARCELO ADRIAN</t>
  </si>
  <si>
    <t>ELINDAR SRL</t>
  </si>
  <si>
    <t>MASTER LEADER MUNDIAL S.A.</t>
  </si>
  <si>
    <t>SERCAP INSUMOS S.R.L.</t>
  </si>
  <si>
    <t xml:space="preserve"> </t>
  </si>
  <si>
    <t>LA JUNIO SRL</t>
  </si>
  <si>
    <t>AM STUDIOS SRL</t>
  </si>
  <si>
    <t>ULTRALIGHT SRL</t>
  </si>
  <si>
    <t>ELECTROMINGO S.R.L.</t>
  </si>
  <si>
    <t>BULONERA VIETRI SOCIEDAD DE RESPONSABILIDAD LIMITADA</t>
  </si>
  <si>
    <t>DABUL NICOLAS ADRIAN</t>
  </si>
  <si>
    <t>WARD IVAN NICOLAS</t>
  </si>
  <si>
    <t>AM STUDIOS S.R.L.</t>
  </si>
  <si>
    <t>BOHERDI ELECTRONICA S R L</t>
  </si>
  <si>
    <t>SBARRA GABRIELA BEATRIZ</t>
  </si>
  <si>
    <t>BARRAGAN FEDERICO ANDRES</t>
  </si>
  <si>
    <t>NITRO BIKES S.R.L.</t>
  </si>
  <si>
    <t>NEUMATICOS CORRAL S.A.</t>
  </si>
  <si>
    <t>SOMMARIO TURONI GUSTAVO</t>
  </si>
  <si>
    <t>ORTUÑO ALVAREZ HECTOR MANUEL</t>
  </si>
  <si>
    <t>STENFAR S. A. U.</t>
  </si>
  <si>
    <t>MAESTROJUAN DEL VILLAR MAXIMILIANO</t>
  </si>
  <si>
    <t>CAMAUER GUSTAVO MAXIMILIANO</t>
  </si>
  <si>
    <t>CINT BROC S A</t>
  </si>
  <si>
    <t>BLUE STAR ONLINE S.R.L.</t>
  </si>
  <si>
    <t>UNIMACO S.A.</t>
  </si>
  <si>
    <t>PUGLIESE GUSTAVO HERNAN</t>
  </si>
  <si>
    <t>AGUILAR DIANA ANGELA</t>
  </si>
  <si>
    <t>LO PRIMO S A</t>
  </si>
  <si>
    <t>LAKAUT S.A.</t>
  </si>
  <si>
    <t>GAS FUTURO SISTEMAS DE COMPRESSÃO LTDA</t>
  </si>
  <si>
    <t>2 IN FLOW COMPAÑIA DE SERVICIOS S. A.</t>
  </si>
  <si>
    <t>ALLISING</t>
  </si>
  <si>
    <t>ALGABO SA</t>
  </si>
  <si>
    <t>FARMACIA GRAN FERRARI SA</t>
  </si>
  <si>
    <t>SIMPLEX VILLI SA</t>
  </si>
  <si>
    <t>NGA SRL</t>
  </si>
  <si>
    <t>BATERIAS PRO-BAT</t>
  </si>
  <si>
    <t>LOMIR SA</t>
  </si>
  <si>
    <t>LAVADERO BLANCANIEVES</t>
  </si>
  <si>
    <t>LOPEZ DAIANA BELEN</t>
  </si>
  <si>
    <t>GIFEL SRL</t>
  </si>
  <si>
    <t>FRANCISCO JAVIER LEAL FUENTES</t>
  </si>
  <si>
    <t>PINTURERIAS YANINA SA</t>
  </si>
  <si>
    <t>JULIAN FELIPE</t>
  </si>
  <si>
    <t>MUVIN SRL</t>
  </si>
  <si>
    <t>MTB A TODO EL PAIS SRL</t>
  </si>
  <si>
    <t>PINALLI PABLO GABRIEL</t>
  </si>
  <si>
    <t>CASELLA TRADING SRL</t>
  </si>
  <si>
    <t>FAMIQ SRL</t>
  </si>
  <si>
    <t>ACCESORIOS Y HERRAMIENTAS SRL</t>
  </si>
  <si>
    <t>INTERCONTINENTAL CARGAS SRL</t>
  </si>
  <si>
    <t>CASATI ENRIQUE ARIEL</t>
  </si>
  <si>
    <t>ELECTRO IND S.R.L</t>
  </si>
  <si>
    <t>COMPRESURT S.A.</t>
  </si>
  <si>
    <t>SAFIT SPORT S.R.L.</t>
  </si>
  <si>
    <t>AQUADELTA OUTDOORS S.R.L.</t>
  </si>
  <si>
    <t>ALFEST S.R.L.</t>
  </si>
  <si>
    <t>CONVERTI HNOS  S R L</t>
  </si>
  <si>
    <t>HOGAR ACTUAL SRL</t>
  </si>
  <si>
    <t>GALLEGO ANDRES MARIANO</t>
  </si>
  <si>
    <t>DI PALMA S.R.L.</t>
  </si>
  <si>
    <t>LUCERO MARIO ALFREDO</t>
  </si>
  <si>
    <t>BULONERA MITRE SA</t>
  </si>
  <si>
    <t>TEBY SRL</t>
  </si>
  <si>
    <t>D WEINSTOCK S R L</t>
  </si>
  <si>
    <t>SYTE S.A.</t>
  </si>
  <si>
    <t>COMEX MARIA SA</t>
  </si>
  <si>
    <t>SPENA FERNANDO ARIEL</t>
  </si>
  <si>
    <t>VAZQUEZ CABRAL WANDA MILENA</t>
  </si>
  <si>
    <t>MICROELECTRONICA COMPONENTES S.R.L.</t>
  </si>
  <si>
    <t>LASARTE HNOS SRL</t>
  </si>
  <si>
    <t>MERCURIUS S.A.S.</t>
  </si>
  <si>
    <t>ESPACIO MARKETING S.R.L.</t>
  </si>
  <si>
    <t>NUBBEO S.R.L.</t>
  </si>
  <si>
    <t>CHERRO NICOLAS</t>
  </si>
  <si>
    <t>FRACCHIA GRACIELA LILIANA</t>
  </si>
  <si>
    <t>IMPRENTA24 S.R.L.</t>
  </si>
  <si>
    <t>GONZALEZ MATIAS LIONEL</t>
  </si>
  <si>
    <t>GUSU S A</t>
  </si>
  <si>
    <t>MORINIGO ESTELA MERCEDE</t>
  </si>
  <si>
    <t>AEROPUERTOS ARGENTINA 2000 S A</t>
  </si>
  <si>
    <t>LIBECOM S.R.L</t>
  </si>
  <si>
    <t>DELTAGAS SA</t>
  </si>
  <si>
    <t>SELTAGAS S.A.</t>
  </si>
  <si>
    <t>ASENSIO E HIJO Y PULLEY SOCIEDAD DE RESP</t>
  </si>
  <si>
    <t>LOS TRILLIZOS PERAZOLI S.R.L.</t>
  </si>
  <si>
    <t>ACCESORIOS TEO SRL</t>
  </si>
  <si>
    <t>BOJORGE ROMINA VALERIA</t>
  </si>
  <si>
    <t>D'ALBENAS PEYRONEL SILVANA ELISABET</t>
  </si>
  <si>
    <t>MOCOROA SOCIEDAD ANONIMA</t>
  </si>
  <si>
    <t>ABAC S R L</t>
  </si>
  <si>
    <t>DELFINO LUIS ADOLFO</t>
  </si>
  <si>
    <t>LOPEZ LOPEZ FLAVIA</t>
  </si>
  <si>
    <t>COMERCIAL MGM S.R.L</t>
  </si>
  <si>
    <t>SANTA FE COMERCIAL SOCIEDAD DE RESPONSABILIDAD LIMITADA</t>
  </si>
  <si>
    <t>SANCHEZ DI MARE DANIEL FERNANDO</t>
  </si>
  <si>
    <t>O A FERNANDEZ E HIJOS SRL</t>
  </si>
  <si>
    <t>CDP AUTOMATION  S.R.L.</t>
  </si>
  <si>
    <t>DESSINS CARTELERIA S.R.L.</t>
  </si>
  <si>
    <t>SK DISTRIBUTORS S.R.L.</t>
  </si>
  <si>
    <t>GARCIA JUAN IGNACIO</t>
  </si>
  <si>
    <t>GRILLI ROMINA WANDA</t>
  </si>
  <si>
    <t>HAPPY BUY ARGENTINA S.R.L.</t>
  </si>
  <si>
    <t>SOSTRE FERNANDO</t>
  </si>
  <si>
    <t>GRIDEL WALTER DIEGO</t>
  </si>
  <si>
    <t>2001 GRUPO ELECTRO S.R.L.</t>
  </si>
  <si>
    <t>DE GISI ANTONIO LUIS</t>
  </si>
  <si>
    <t>N2M SOCIEDAD DE RESPONSABILIDAD LIMITADA</t>
  </si>
  <si>
    <t>FIDALGO LA FALCE EZEQUIEL ERNESTO</t>
  </si>
  <si>
    <t>SYS IMPORTACIONES S.R.L.</t>
  </si>
  <si>
    <t>VICDA ARGENTINA S R L</t>
  </si>
  <si>
    <t>POSITIF PLANIFIER S.A.</t>
  </si>
  <si>
    <t>GIMENEZ DAMIAN ANGEL</t>
  </si>
  <si>
    <t>RAIMONDI FACUNDO ALBERTO</t>
  </si>
  <si>
    <t>MAGGESE JORGE LUIS</t>
  </si>
  <si>
    <t>MITSUKO ARGENTINA S R L</t>
  </si>
  <si>
    <t>ACOSTA MARIA EUGENIA</t>
  </si>
  <si>
    <t>ROVLAN S.A.</t>
  </si>
  <si>
    <t>LASERTEC INGENIERIA SOCIEDAD ANONIMA</t>
  </si>
  <si>
    <t>WORLD ONE TRADE</t>
  </si>
  <si>
    <t>INSUMOS SERVICOMP S.A.</t>
  </si>
  <si>
    <t>MOTORES ELECTROMECANICA ATLAS S.A.</t>
  </si>
  <si>
    <t>BAGUI S A</t>
  </si>
  <si>
    <t>MOSCOSO SANTIAGO JULIAN</t>
  </si>
  <si>
    <t>BASSO HNOS S. A.</t>
  </si>
  <si>
    <t>DOMINGUEZ LAGANA GONZALO FABIAN</t>
  </si>
  <si>
    <t>FLORES CECILIA NOEMI</t>
  </si>
  <si>
    <t>ABELEDO ENRIQUE JUAN</t>
  </si>
  <si>
    <t>POLINORTE S A</t>
  </si>
  <si>
    <t>DISTRI AIRES S.R.L</t>
  </si>
  <si>
    <t>STENDEL ELIANA JUDITH</t>
  </si>
  <si>
    <t>K Y G MILENIUM S.R.L.</t>
  </si>
  <si>
    <t>BONFIGLI ARMANDO DANIEL</t>
  </si>
  <si>
    <t>IGNISMOTORREDUCTORES S. A.</t>
  </si>
  <si>
    <t>AVENIDA MAIPU 4199 S C S</t>
  </si>
  <si>
    <t>ASTRONIC SRL</t>
  </si>
  <si>
    <t>D AGOSTINO LAURA ROSA</t>
  </si>
  <si>
    <t>BLASCO MARIA GUADALUPE</t>
  </si>
  <si>
    <t>ITURAN DE ARGENTINA S A</t>
  </si>
  <si>
    <t>BISIO DE ANGELO MARIA AGOSTINA</t>
  </si>
  <si>
    <t>ALDO MOVILE S. CAP I SECC IV</t>
  </si>
  <si>
    <t>BULONERA SUR SA</t>
  </si>
  <si>
    <t>MATECH IMPORT ARGENTINA SAS</t>
  </si>
  <si>
    <t>AGROCENTRAL SRL</t>
  </si>
  <si>
    <t>ANZUATTE ARIADNA GINETTE</t>
  </si>
  <si>
    <t>FERNANDEZ MARCELA ELIZABETH</t>
  </si>
  <si>
    <t>CLOVER TEAM SA</t>
  </si>
  <si>
    <t>LOKER MARISA TERESITA</t>
  </si>
  <si>
    <t>POLYTECH S A</t>
  </si>
  <si>
    <t>SANTORO FRANCO TOMAS</t>
  </si>
  <si>
    <t>GRAZIANO TAMARA NATALIA</t>
  </si>
  <si>
    <t>MALATEX S.R.L.</t>
  </si>
  <si>
    <t>LA MADRILEÑA SOCIEDAD ANONIMA COMERCIAL INDUSTRIAL AGROPECUARIA  FINANCIERA E INMOBILIARIA</t>
  </si>
  <si>
    <t>PREVENSIS S.R.L.</t>
  </si>
  <si>
    <t>SIFEGA COMPANY</t>
  </si>
  <si>
    <t>HERRAMIENTAS DALI SRL</t>
  </si>
  <si>
    <t>MAQUINAS Y CONSUMIBLES S.A.</t>
  </si>
  <si>
    <t>HEREDIA LEONARDO ADRIAN</t>
  </si>
  <si>
    <t>MAJUBEN MDP SERVICIOS S.R.L.</t>
  </si>
  <si>
    <t>TVAJA Servisní s.r.o.</t>
  </si>
  <si>
    <t>TIENDA OHANA SRL</t>
  </si>
  <si>
    <t>PEDIDOS FARMA SA</t>
  </si>
  <si>
    <t>FIVELEC S.R.L.</t>
  </si>
  <si>
    <t>PERFU FAN S.R.L</t>
  </si>
  <si>
    <t>QUIROGA ARIEL ALEJANDRO</t>
  </si>
  <si>
    <t>BUREAU VERITAS ARGENTINA SA</t>
  </si>
  <si>
    <t>VICTOR MASSON TRANSPORTES CRUZ DEL SUR S A</t>
  </si>
  <si>
    <t>DECOR ALUM SRL</t>
  </si>
  <si>
    <t>MARCO AURELIO DE SOUZA ALUGUEIS DE EQUIPAMENTOS DE MEDICAO E CONTROLE LTDA</t>
  </si>
  <si>
    <t>MAQUINAS E INSUMOS S.R.L.</t>
  </si>
  <si>
    <t>CASTIÑEIRA NATALIA CLAUDIA</t>
  </si>
  <si>
    <t>HERAS MARCELO GABRIEL</t>
  </si>
  <si>
    <t>CHICO ALEJANDRO</t>
  </si>
  <si>
    <t>LEVIN JACOBO BERNARDO</t>
  </si>
  <si>
    <t>MONTELEONE LUCIANO EDUARDO</t>
  </si>
  <si>
    <t>MIRANDA LAGES JORGE MARCELO</t>
  </si>
  <si>
    <t>PEREZ HORACIO HUGO</t>
  </si>
  <si>
    <t>LIBRENTA LIBROS S. A. U.</t>
  </si>
  <si>
    <t>LLANTAY SRL</t>
  </si>
  <si>
    <t>SUAREZ MATIAS IVAN</t>
  </si>
  <si>
    <t>PETRO GRUTA S.R.L.</t>
  </si>
  <si>
    <t>POWER TEKNIC SA</t>
  </si>
  <si>
    <t>BASSO INDEPENDENCIA SA</t>
  </si>
  <si>
    <t>BRUNETTO LUCAS GASTON</t>
  </si>
  <si>
    <t>PARQUE CONSTITUCION SRL</t>
  </si>
  <si>
    <t>BULCOR SRL</t>
  </si>
  <si>
    <t>BOTIX SRL</t>
  </si>
  <si>
    <t>COSENZA CONSTRUCCIONES S.A.</t>
  </si>
  <si>
    <t>D ANGELO ANDREA FABIANA</t>
  </si>
  <si>
    <t>KASAMI S.A.</t>
  </si>
  <si>
    <t>PINTURERIA ROSMAR  S A</t>
  </si>
  <si>
    <t>GONZALEZ FERNANDO ARIEL</t>
  </si>
  <si>
    <t>CASSINI MARTIN</t>
  </si>
  <si>
    <t>SISTEMAS GAFF S.A.</t>
  </si>
  <si>
    <t>BALDYGA MARTIN OSCAR</t>
  </si>
  <si>
    <t>TIMARO SRL</t>
  </si>
  <si>
    <t>RIFENHOLZ MARCELA ROXANA</t>
  </si>
  <si>
    <t>ROLLS Y EMPANADAS S.A.</t>
  </si>
  <si>
    <t>PATERNAL S R L</t>
  </si>
  <si>
    <t>BAIGORRIA DIEGO JORGE</t>
  </si>
  <si>
    <t>VISUAR S.A.</t>
  </si>
  <si>
    <t>DIMALACK S.R.L.</t>
  </si>
  <si>
    <t>PHONEMARK S R L</t>
  </si>
  <si>
    <t>GARCIA DIEGO OMAR</t>
  </si>
  <si>
    <t>ELECTRONICA BOUSA</t>
  </si>
  <si>
    <t>SZNEIBERG HERNAN GASTON</t>
  </si>
  <si>
    <t>ARIEL NACACH</t>
  </si>
  <si>
    <t>EBOX SA</t>
  </si>
  <si>
    <t>LAROCCA JUAN MARTIN</t>
  </si>
  <si>
    <t>SOLUCIONES TECNOLOGICAS INTEGRALES SRL</t>
  </si>
  <si>
    <t>GRACIELA MONICA NUBELMAN</t>
  </si>
  <si>
    <t>MARANSI SA</t>
  </si>
  <si>
    <t>ONE CIRCLE SA</t>
  </si>
  <si>
    <t>LABEL TRAX</t>
  </si>
  <si>
    <t>FIRSTLABEL SRL</t>
  </si>
  <si>
    <t>GRUPO MEXX SRL</t>
  </si>
  <si>
    <t>DOUBLE G SA</t>
  </si>
  <si>
    <t>ZETABURGOS SRL</t>
  </si>
  <si>
    <t>FIRST RATE SA</t>
  </si>
  <si>
    <t>TRADING SUD SRL</t>
  </si>
  <si>
    <t>UTILAR SRL</t>
  </si>
  <si>
    <t>DE ELECTRICIDAD OSNI SRL</t>
  </si>
  <si>
    <t>CIUDAD DE EZEIZA SRL</t>
  </si>
  <si>
    <t>EMBOM RODRIGO NICOLAS</t>
  </si>
  <si>
    <t>AYALA COLMAN OSCAR</t>
  </si>
  <si>
    <t>LIBRO IVA COMPRAS</t>
  </si>
  <si>
    <t>CORITEC S. R. L.</t>
  </si>
  <si>
    <t>TOTAL COMPRAS NETAS</t>
  </si>
  <si>
    <t xml:space="preserve">TOTAL CREDITO FISCAL </t>
  </si>
  <si>
    <t>TOTAL VENTAS NETAS</t>
  </si>
  <si>
    <t>TOTAL DEBITO FISCAL</t>
  </si>
  <si>
    <t>RESULTADO</t>
  </si>
  <si>
    <t>FECHA</t>
  </si>
  <si>
    <t>TIPO</t>
  </si>
  <si>
    <t>PTO VTA</t>
  </si>
  <si>
    <t>NRO. CPTE</t>
  </si>
  <si>
    <t>NETO GRAVADO</t>
  </si>
  <si>
    <t>IVA 21 %</t>
  </si>
  <si>
    <t>IVA 27%</t>
  </si>
  <si>
    <t>IVA 10,5%</t>
  </si>
  <si>
    <t>PERC. IVA</t>
  </si>
  <si>
    <t>PERC IIBB 
BS AS</t>
  </si>
  <si>
    <t>PERC. IIBB CABA</t>
  </si>
  <si>
    <t>Otros / No Grav.</t>
  </si>
  <si>
    <t>TOTAL</t>
  </si>
  <si>
    <t>Provincia</t>
  </si>
  <si>
    <t>Total</t>
  </si>
  <si>
    <t>LIQUIDACION EXTRACTOS BANCARIOS-TARJETAS</t>
  </si>
  <si>
    <t>NRO CPTE</t>
  </si>
  <si>
    <t>BANCO</t>
  </si>
  <si>
    <t>NETO</t>
  </si>
  <si>
    <t>IVA 21%</t>
  </si>
  <si>
    <t>RET IIBB CABA</t>
  </si>
  <si>
    <t>PERC IVA</t>
  </si>
  <si>
    <t>PERC IIBB</t>
  </si>
  <si>
    <t>total</t>
  </si>
  <si>
    <t>TOTAL:</t>
  </si>
  <si>
    <t>&gt; ya esta sumado al total</t>
  </si>
  <si>
    <t>FACTURAS C</t>
  </si>
  <si>
    <t>FC Nº</t>
  </si>
  <si>
    <t>TIPO DE GASTO</t>
  </si>
  <si>
    <t xml:space="preserve">LIBRO IVA VENTAS  </t>
  </si>
  <si>
    <t>VENTAS "A"</t>
  </si>
  <si>
    <t>PTO VENTA</t>
  </si>
  <si>
    <t>Nº FACTURA</t>
  </si>
  <si>
    <t>IMPORTE NETO</t>
  </si>
  <si>
    <t>EXENTO</t>
  </si>
  <si>
    <t>VENTAS "B"</t>
  </si>
  <si>
    <t>VENTAS "E"</t>
  </si>
  <si>
    <t>USD</t>
  </si>
  <si>
    <t>Columna2</t>
  </si>
  <si>
    <t>Columna1</t>
  </si>
  <si>
    <t>TIPO DE CAMBIO2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</si>
  <si>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</si>
  <si>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</si>
  <si>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</si>
  <si>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</si>
  <si>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</si>
  <si>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</si>
  <si>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</si>
  <si>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</si>
  <si>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 xml:space="preserve">TOTAL COMPRAS </t>
  </si>
  <si>
    <t>CREDICOOP</t>
  </si>
  <si>
    <t>COD 5</t>
  </si>
  <si>
    <t>COD 05</t>
  </si>
  <si>
    <t>COD 81</t>
  </si>
  <si>
    <t>Pais</t>
  </si>
  <si>
    <t>PAIS</t>
  </si>
  <si>
    <t>Otros - No Grav.</t>
  </si>
  <si>
    <t>FAC EXPORTACION</t>
  </si>
  <si>
    <t>BALANCE GRUPO RIDIGAS 2022 - CPRAS S/LIBRO IVA</t>
  </si>
  <si>
    <t xml:space="preserve">GTOS COMERCIALIZACION </t>
  </si>
  <si>
    <t>GTOS ADMINISTRATIVOS</t>
  </si>
  <si>
    <t>SERVICIOS GAS, LUZ, ETC</t>
  </si>
  <si>
    <t xml:space="preserve">GTOS MANTENIMIENTO </t>
  </si>
  <si>
    <t>GTOS CATERING</t>
  </si>
  <si>
    <t>HONORARIOS CONTABLES</t>
  </si>
  <si>
    <t>HONORARIOS JURIDICOS</t>
  </si>
  <si>
    <t>GTOS SEGURIDAD</t>
  </si>
  <si>
    <t>Regalos Empresariales</t>
  </si>
  <si>
    <t>EQ DE COMPUTACION</t>
  </si>
  <si>
    <t>500,260</t>
  </si>
  <si>
    <t>Fletes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</si>
  <si>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</si>
  <si>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</si>
  <si>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</si>
  <si>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</si>
  <si>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</si>
  <si>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</si>
  <si>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BALANCE GRUPO RIDIGAS 2021 - VENTAS S/LIBRO IVA</t>
  </si>
  <si>
    <t>Caja</t>
  </si>
  <si>
    <t>Iva DF</t>
  </si>
  <si>
    <t>Ventas "A"</t>
  </si>
  <si>
    <t>Ventas "B"</t>
  </si>
  <si>
    <t>MAARE S.R.L.</t>
  </si>
  <si>
    <t>PEREZ ADRIANA MARINA</t>
  </si>
  <si>
    <t>MALETTI ALEJANDRO ARTURO</t>
  </si>
  <si>
    <t>MOMA FOOD S.R.L.</t>
  </si>
  <si>
    <t>LBH HOME &amp; HOTEL S.A.</t>
  </si>
  <si>
    <t>TAICHURE LAILA YAMILA</t>
  </si>
  <si>
    <t>GRUPOBELL S.R.L.</t>
  </si>
  <si>
    <t>MASIVOS S A</t>
  </si>
  <si>
    <t>PHANTOM S. A. S.</t>
  </si>
  <si>
    <t>DISTRIBUIDORA MULTIMARCA S.A.</t>
  </si>
  <si>
    <t>BALANCINES S.R.L.</t>
  </si>
  <si>
    <t>DISTRIBUIDORA ALCAR S.R.L.</t>
  </si>
  <si>
    <t>ELECTRO SERVICE M&amp;E SRL.</t>
  </si>
  <si>
    <t>BURGER GROUP S.R.L</t>
  </si>
  <si>
    <t>SIMILON S.A.</t>
  </si>
  <si>
    <t>FRAGA FERNANDO LEOPOLDO</t>
  </si>
  <si>
    <t>GOLONOR S.A.</t>
  </si>
  <si>
    <t>SEDAFE</t>
  </si>
  <si>
    <t>SAN MIGUEL JOSE MARCELO</t>
  </si>
  <si>
    <t>TIPO DE CAMBIO</t>
  </si>
  <si>
    <t>ZG MULTITEC SRL</t>
  </si>
  <si>
    <t>UPS DE ARGENTINA SA</t>
  </si>
  <si>
    <t>GULLO GASPAR</t>
  </si>
  <si>
    <t>ZANGARI CESAR DAVID</t>
  </si>
  <si>
    <t>DISPERO SA</t>
  </si>
  <si>
    <t>TC TIENDAS AR SRL</t>
  </si>
  <si>
    <t>ALBANO SEBASTIAN LUPONE</t>
  </si>
  <si>
    <t>GRUPO FELIPA  SAS</t>
  </si>
  <si>
    <t>RODRIGUEZ MATIAS ALEJANDRO</t>
  </si>
  <si>
    <t>EQ DIGITAL SRL</t>
  </si>
  <si>
    <t>CURRAO JOSE ANTONIO DAVID</t>
  </si>
  <si>
    <t>TBBD SAS</t>
  </si>
  <si>
    <t>GLADYS GEORGELY MORIN LICON</t>
  </si>
  <si>
    <t>TORIKOS SAS</t>
  </si>
  <si>
    <t>FLORESTA LIGHTING</t>
  </si>
  <si>
    <t>DE SERGIO DANIEL ALVAREZ</t>
  </si>
  <si>
    <t>COMERCIALIZADORA DE BEBIDAS SRL</t>
  </si>
  <si>
    <t>GONZALEZ BRAIAN EZEQUIEL</t>
  </si>
  <si>
    <t>CHERRO HERNAN FEDERICO</t>
  </si>
  <si>
    <t>IACOPETTI FLORENCIA</t>
  </si>
  <si>
    <t>TIDONI SILVANA GRACIELA</t>
  </si>
  <si>
    <t>LIOTTA TIDONI FRANCO</t>
  </si>
  <si>
    <t>ABAL FERNANDO CRISTIAN</t>
  </si>
  <si>
    <t>MARANO LEANDRO MARTIN</t>
  </si>
  <si>
    <t>GOLOSINAR SA</t>
  </si>
  <si>
    <t>AGUJUL SRL</t>
  </si>
  <si>
    <t>NAVARRO PEÑA DANIELA KARINA</t>
  </si>
  <si>
    <t>Catering</t>
  </si>
  <si>
    <t>Materiales Electricos</t>
  </si>
  <si>
    <t>Gastos Importacion</t>
  </si>
  <si>
    <t>Papeleria</t>
  </si>
  <si>
    <t>Seg e Higiene</t>
  </si>
  <si>
    <t>Honorarios Prof</t>
  </si>
  <si>
    <t>Honorarios Admin</t>
  </si>
  <si>
    <t>Honorarios Contables</t>
  </si>
  <si>
    <t>Ferreteria</t>
  </si>
  <si>
    <t>Gastos Oficina</t>
  </si>
  <si>
    <t>Software Mantenimiento</t>
  </si>
  <si>
    <t>Servicios Informaticos</t>
  </si>
  <si>
    <t>Ropa de Trabajo</t>
  </si>
  <si>
    <t>Mat. Prima</t>
  </si>
  <si>
    <t>Electronica</t>
  </si>
  <si>
    <t>mercaderia</t>
  </si>
  <si>
    <t>software</t>
  </si>
  <si>
    <t>pintureria</t>
  </si>
  <si>
    <t>Gastos de Comercializacion</t>
  </si>
  <si>
    <t>mant vehiculos</t>
  </si>
  <si>
    <t>ASPRO SERVICIOS PETROLEROS S.A.</t>
  </si>
  <si>
    <t>PIEROTTI GERMAN JOSE</t>
  </si>
  <si>
    <t>POMPIDOU BERSEL SA</t>
  </si>
  <si>
    <t>AGUACA MANA S. A.</t>
  </si>
  <si>
    <t>TOULON S. A.</t>
  </si>
  <si>
    <t>CANTON METALWORK  SA</t>
  </si>
  <si>
    <t>RIO DE JANEIRO SA</t>
  </si>
  <si>
    <t>SANTANDREA S.A.</t>
  </si>
  <si>
    <t>BOLLINI CLAUDIO DANIEL</t>
  </si>
  <si>
    <t>ELECTRO UNIVERSO - PLIN METAL S A</t>
  </si>
  <si>
    <t>SATDJIAN GUSTAVO ARTURO</t>
  </si>
  <si>
    <t>TORRE CRISTIAN HERNAN</t>
  </si>
  <si>
    <t>QUE PAQUETE! SOCIEDAD ANONIMA</t>
  </si>
  <si>
    <t>JALOS ARIEL SALOMON</t>
  </si>
  <si>
    <t>GONZALEZ ROBERTO OSCAR</t>
  </si>
  <si>
    <t>QUIRINO CARLOS ALBERTO</t>
  </si>
  <si>
    <t>SUELOCOR S.R.L.</t>
  </si>
  <si>
    <t>CRAFTERS ARG  SAS</t>
  </si>
  <si>
    <t>GALAN FACUNDO</t>
  </si>
  <si>
    <t>DISTRIBUIDORA MEI S.R.L.</t>
  </si>
  <si>
    <t>BOUZOS JOSE ANTONIO</t>
  </si>
  <si>
    <t>LUMENPOL SRL</t>
  </si>
  <si>
    <t>NOUGUEZ CARLOS M MARIA ALEJANDRA NOUGUEZ NOUGUEZ MARIA GABRIELA NOUGUEZ MARIA CRISTINA ECHEVARRIA DO</t>
  </si>
  <si>
    <t>LOS KOVAS S.R.L</t>
  </si>
  <si>
    <t>REBORN SRL</t>
  </si>
  <si>
    <t>TUTTO CERAMICAS SRL</t>
  </si>
  <si>
    <t>HERRERA GASTON ADRIAN</t>
  </si>
  <si>
    <t>TROLLI ALICIA ANGELA</t>
  </si>
  <si>
    <t>ABELEDO HORACIO MIGUEL</t>
  </si>
  <si>
    <t>INTEGRAL COMPRESION S.R.L.</t>
  </si>
  <si>
    <t>ESTACION DE SERVICIOS LAURENCENA S R L</t>
  </si>
  <si>
    <t>DISTRIBUIDORA JUANCO S.R.L</t>
  </si>
  <si>
    <t>SOUTO DARIO PABLO</t>
  </si>
  <si>
    <t>PIRILLI DARIO MARCELO</t>
  </si>
  <si>
    <t>WAREHOUSE ARGENTINA S.A.S.</t>
  </si>
  <si>
    <t>SEDEX ARGENTINA SA</t>
  </si>
  <si>
    <t>S V A SACIFI</t>
  </si>
  <si>
    <t>AGUIRRE GABRIEL ADRIAN</t>
  </si>
  <si>
    <t>Mant. Vehiculo</t>
  </si>
  <si>
    <t>SEG EMBQ</t>
  </si>
  <si>
    <t>GUGLIELMI GUSTAVO FABIAN</t>
  </si>
  <si>
    <t>SERVICIO ESCALADA SA</t>
  </si>
  <si>
    <t>GOLDEN CAN ARGENTINA S.A.S.</t>
  </si>
  <si>
    <t>LUXONO S. R. L.</t>
  </si>
  <si>
    <t>RODRIGUEZ ADRIAN EZEQUIEL</t>
  </si>
  <si>
    <t>WARDON S. R. L.</t>
  </si>
  <si>
    <t>CENTRO DE DISTRIBUCION SUR S R L</t>
  </si>
  <si>
    <t>NOVARCHEM SA</t>
  </si>
  <si>
    <t>LIMPIEZA</t>
  </si>
  <si>
    <t>SPRENGLER FERNANDO JAVIER</t>
  </si>
  <si>
    <t>WEBSITE</t>
  </si>
  <si>
    <t>NICKNAT S.R.L.</t>
  </si>
  <si>
    <t>SCHMITZ PABLO ALEJANDRO</t>
  </si>
  <si>
    <t>MASUMA INTERNACIONAL S A</t>
  </si>
  <si>
    <t>HZ ELECTRICIDAD SRL</t>
  </si>
  <si>
    <t>FEDRIGO TOMAS</t>
  </si>
  <si>
    <t>RAMIREZ DIAZ FEDERICO NAHUEL</t>
  </si>
  <si>
    <t>TAU DANIELA LEONOR</t>
  </si>
  <si>
    <t>LANDES SRL</t>
  </si>
  <si>
    <t>AWARE SOLUTIONS S.R.L.</t>
  </si>
  <si>
    <t>COLLINS INDUSTRIAL SRL</t>
  </si>
  <si>
    <t>CIOCCA SANTINO</t>
  </si>
  <si>
    <t>JUAREZ MANUEL ROBERTO</t>
  </si>
  <si>
    <t>MAR IMPEX S.R.L.</t>
  </si>
  <si>
    <t>VOLPI FERNANDO ERNESTO</t>
  </si>
  <si>
    <t>JFC HACELA  FACIL SRL</t>
  </si>
  <si>
    <t>GUGAGAS ENERGY S.R.L.</t>
  </si>
  <si>
    <t>seg emb</t>
  </si>
  <si>
    <t>extrc</t>
  </si>
  <si>
    <t>PASTORIZA ALEJANDRO JAVIER</t>
  </si>
  <si>
    <t>AMV-TIENDA ONLINE S.A.</t>
  </si>
  <si>
    <t>COMPAÑIA INTRODUCTORA DE COMPONENTES EQUIPOS Y MAQUINARIAS SRL</t>
  </si>
  <si>
    <t>OFFIPLAST</t>
  </si>
  <si>
    <t>MULTIPLES S R L</t>
  </si>
  <si>
    <t>GHERTNER SEBASTIAN</t>
  </si>
  <si>
    <t>GODOY JORGE LUIS</t>
  </si>
  <si>
    <t>MILEO VICENTE SAMUEL</t>
  </si>
  <si>
    <t>BAZOKA S. A. S.</t>
  </si>
  <si>
    <t>BERASALUCE JOSE IGNACIO</t>
  </si>
  <si>
    <t>C&amp;G LATAM</t>
  </si>
  <si>
    <t>ABRECHT JUAN FRANCISCO JORGE</t>
  </si>
  <si>
    <t>VALYRIA SRL</t>
  </si>
  <si>
    <t>LICROPANI LUCAS IVAN</t>
  </si>
  <si>
    <t>ANIAMITO S.R.L</t>
  </si>
  <si>
    <t>SCIARILLO NICOLAS DANIEL</t>
  </si>
  <si>
    <t>STELKIC FEDERICO</t>
  </si>
  <si>
    <t>URBIETA MARIO CESAR</t>
  </si>
  <si>
    <t>LIQ</t>
  </si>
  <si>
    <t>EXTRC</t>
  </si>
  <si>
    <t>VOIP EXPERTS SOCIEDAD DE RESPONSABILIDAD LIMITADA</t>
  </si>
  <si>
    <t>PIERETTO RICARDO, PIERETTO JULIAN Y PIERETTO MAURICIO CAPITULO I SECCION IV LEY 19550</t>
  </si>
  <si>
    <t>KARTELACRIL</t>
  </si>
  <si>
    <t>INFOSTYLE  S.R.L.</t>
  </si>
  <si>
    <t>UNAMUNO ANDRES IGNACIO</t>
  </si>
  <si>
    <t>SEG.EMB</t>
  </si>
  <si>
    <t>MAVISUR SA</t>
  </si>
  <si>
    <t>COMBUSTIBLES PILAR S.A.S.</t>
  </si>
  <si>
    <t>CAMPAGNA SEBASTIAN PABLO</t>
  </si>
  <si>
    <t>VALDMAN OMAR JULIAN</t>
  </si>
  <si>
    <t>MERCADO EN LINEA S.A.S.</t>
  </si>
  <si>
    <t>CFV</t>
  </si>
  <si>
    <t>IMPONT DB</t>
  </si>
  <si>
    <t>ABALLAY ÑANCUPIL CAMILO ERNESTO</t>
  </si>
  <si>
    <t>POGGI PABLO MARTIN</t>
  </si>
  <si>
    <t>MINDEO S A</t>
  </si>
  <si>
    <t>SEYCO SACIF</t>
  </si>
  <si>
    <t>ELJA NUN S.R.L.</t>
  </si>
  <si>
    <t>BONPLAND 1631  S.R.L.</t>
  </si>
  <si>
    <t>FERNANDO A CHIESA S A</t>
  </si>
  <si>
    <t>ESKANDER FARID PETER</t>
  </si>
  <si>
    <t>VOFCHUK LILIAN VERONICA</t>
  </si>
  <si>
    <t>LO GUZZO LA FICO JUAN</t>
  </si>
  <si>
    <t>Gtos. Comercializacion</t>
  </si>
  <si>
    <t>SEG. EMB</t>
  </si>
  <si>
    <t>INOXALUM SRL</t>
  </si>
  <si>
    <t>MIX-57 S.A.S.</t>
  </si>
  <si>
    <t>NOCQUET GABRIEL OSCAR</t>
  </si>
  <si>
    <t>TEKBAIRES</t>
  </si>
  <si>
    <t>RUIZ JOSE MARIA</t>
  </si>
  <si>
    <t>CARRION NEMESIO DE LA CRUZ</t>
  </si>
  <si>
    <t>CIMMA NOELIA XIMENA</t>
  </si>
  <si>
    <t>GDO SRL</t>
  </si>
  <si>
    <t>PAPELERA TODOPLASTIC S. R. L.</t>
  </si>
  <si>
    <t>CANDY HO S. R. L.</t>
  </si>
  <si>
    <t>JALUX S. R. L.</t>
  </si>
  <si>
    <t>EDUARDO J BACIGALUPO SA</t>
  </si>
  <si>
    <t>PERALTA CARLOS ALBERTO</t>
  </si>
  <si>
    <t>MIJELSON EZEQUIEL MARTIN</t>
  </si>
  <si>
    <t>NATURAL GAS SERVICE SRL</t>
  </si>
  <si>
    <t>GALLARDO LILIANA SOLEDAD</t>
  </si>
  <si>
    <t>NACACHIAN RUBEN EDUARDO</t>
  </si>
  <si>
    <t>WALD SA</t>
  </si>
  <si>
    <t>BERNSTEIN FERNANDO GABRIEL</t>
  </si>
  <si>
    <t>2 N S.R.L.</t>
  </si>
  <si>
    <t>ESCOBAR AYLLON SUSANA SANDRA</t>
  </si>
  <si>
    <t>SABELLI ARIEL OSCAR</t>
  </si>
  <si>
    <t>TOSSO DANIEL OSCAR</t>
  </si>
  <si>
    <t>TIPO CAMBIO</t>
  </si>
  <si>
    <t>KITA S.R.L.</t>
  </si>
  <si>
    <t>GIANGIU S.A.</t>
  </si>
  <si>
    <t>COLOMBO LORENA ALEJANDRA</t>
  </si>
  <si>
    <t>HUNG HSI  PAO</t>
  </si>
  <si>
    <t>C C AGRO  &amp; TEC S.A.</t>
  </si>
  <si>
    <t>FULL HOUSE TIENDA S.R.L.</t>
  </si>
  <si>
    <t>MTL3</t>
  </si>
  <si>
    <t>MORIXE HERMANOS SOCIEDAD ANONIMA COMERCIAL E INDUSTRIAL</t>
  </si>
  <si>
    <t>ALTIUS S.R.L.</t>
  </si>
  <si>
    <t>PONCE CECILIA LEONOR</t>
  </si>
  <si>
    <t>DIAGONALES Y BOULEVARES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</si>
</sst>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##\-########\-#"/>
    <numFmt numFmtId="165" formatCode="[$-C0A]mmmm\-yy"/>
    <numFmt numFmtId="166" formatCode="[$$-2C0A]\ #,##0.00;\-[$$-2C0A]\ #,##0.00"/>
    <numFmt numFmtId="167" formatCode="_-[$$-2C0A]\ * #,##0.00_-;\-[$$-2C0A]\ * #,##0.00_-;_-[$$-2C0A]\ * &quot;-&quot;??_-;_-@"/>
    <numFmt numFmtId="168" formatCode="&quot;$&quot;\ #,##0.00;&quot;$&quot;\ \-#,##0.00"/>
    <numFmt numFmtId="169" formatCode="dd\-mm\-yy"/>
    <numFmt numFmtId="170" formatCode="000"/>
    <numFmt numFmtId="171" formatCode="0000"/>
    <numFmt numFmtId="172" formatCode="00000000"/>
    <numFmt numFmtId="173" formatCode="_-* #,##0.00\ _€_-;\-* #,##0.00\ _€_-;_-* &quot;-&quot;??\ _€_-;_-@"/>
    <numFmt numFmtId="174" formatCode="dd/mm/yy"/>
    <numFmt numFmtId="175" formatCode="#,##0.00_ ;[Red]\-#,##0.00\ "/>
    <numFmt numFmtId="176" formatCode="#,##0.000"/>
    <numFmt numFmtId="177" formatCode="_ * #,##0.00_ ;_ * \-#,##0.00_ ;_ * &quot;-&quot;??_ ;_ @_ "/>
    <numFmt numFmtId="178" formatCode="0.000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sz val="11"/>
      <name val="Calibri"/>
      <family val="2"/>
    </font>
    <font>
      <b/>
      <sz val="22"/>
      <color theme="0"/>
      <name val="Calibri"/>
      <family val="2"/>
    </font>
    <font>
      <b/>
      <sz val="13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sz val="11"/>
      <color theme="5"/>
      <name val="Calibri"/>
      <family val="2"/>
    </font>
    <font>
      <b/>
      <sz val="24"/>
      <color theme="0"/>
      <name val="Calibri"/>
      <family val="2"/>
    </font>
    <font>
      <b/>
      <sz val="22"/>
      <color theme="1"/>
      <name val="Arial"/>
      <family val="2"/>
    </font>
    <font>
      <b/>
      <sz val="14"/>
      <color theme="0"/>
      <name val="Calibri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10"/>
      <color theme="6" tint="-0.499984740745262"/>
      <name val="Times New Roman"/>
      <family val="1"/>
    </font>
    <font>
      <sz val="10"/>
      <color theme="6" tint="-0.499984740745262"/>
      <name val="Calibri"/>
      <family val="2"/>
    </font>
    <font>
      <b/>
      <sz val="10"/>
      <color theme="6" tint="-0.499984740745262"/>
      <name val="Calibri"/>
      <family val="2"/>
    </font>
    <font>
      <b/>
      <sz val="12"/>
      <color theme="6" tint="-0.499984740745262"/>
      <name val="Calibri"/>
      <family val="2"/>
    </font>
    <font>
      <b/>
      <sz val="11"/>
      <color theme="6" tint="-0.499984740745262"/>
      <name val="Calibri"/>
      <family val="2"/>
    </font>
    <font>
      <sz val="9"/>
      <color theme="6" tint="-0.499984740745262"/>
      <name val="Calibri"/>
      <family val="2"/>
    </font>
    <font>
      <sz val="11"/>
      <color theme="6" tint="-0.49998474074526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6C09"/>
        <bgColor rgb="FFE36C09"/>
      </patternFill>
    </fill>
    <fill>
      <patternFill patternType="solid">
        <fgColor rgb="FF76923C"/>
        <bgColor rgb="FF76923C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CCC0D9"/>
        <bgColor rgb="FFCCC0D9"/>
      </patternFill>
    </fill>
    <fill>
      <patternFill patternType="solid">
        <fgColor rgb="FF4F6128"/>
        <bgColor rgb="FF4F6128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A5A5A5"/>
      </patternFill>
    </fill>
    <fill>
      <patternFill patternType="solid">
        <fgColor theme="6" tint="0.39997558519241921"/>
        <bgColor rgb="FFBFBFB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59999389629810485"/>
        <bgColor rgb="FFE5DFE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rgb="FFC2D69B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/>
      <right/>
      <top/>
      <bottom/>
      <diagonal/>
    </border>
    <border>
      <left/>
      <right style="double">
        <color rgb="FF3F3F3F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89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1" xfId="0" applyFont="1" applyFill="1" applyBorder="1"/>
    <xf numFmtId="0" fontId="7" fillId="0" borderId="0" xfId="0" applyFont="1"/>
    <xf numFmtId="0" fontId="9" fillId="0" borderId="0" xfId="0" applyFont="1"/>
    <xf numFmtId="4" fontId="2" fillId="0" borderId="0" xfId="0" applyNumberFormat="1" applyFont="1"/>
    <xf numFmtId="0" fontId="2" fillId="10" borderId="1" xfId="0" applyFont="1" applyFill="1" applyBorder="1"/>
    <xf numFmtId="0" fontId="2" fillId="0" borderId="0" xfId="0" applyFont="1" applyAlignment="1">
      <alignment wrapText="1"/>
    </xf>
    <xf numFmtId="169" fontId="10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17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0" fontId="11" fillId="0" borderId="0" xfId="0" applyNumberFormat="1" applyFont="1" applyAlignment="1">
      <alignment horizontal="right" vertical="center"/>
    </xf>
    <xf numFmtId="40" fontId="10" fillId="0" borderId="0" xfId="0" applyNumberFormat="1" applyFont="1" applyAlignment="1">
      <alignment horizontal="right" vertical="center"/>
    </xf>
    <xf numFmtId="40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40" fontId="11" fillId="0" borderId="0" xfId="0" applyNumberFormat="1" applyFont="1" applyAlignment="1">
      <alignment vertical="center"/>
    </xf>
    <xf numFmtId="14" fontId="13" fillId="13" borderId="5" xfId="0" applyNumberFormat="1" applyFont="1" applyFill="1" applyBorder="1" applyAlignment="1">
      <alignment horizontal="center" vertical="center"/>
    </xf>
    <xf numFmtId="14" fontId="13" fillId="13" borderId="6" xfId="0" applyNumberFormat="1" applyFont="1" applyFill="1" applyBorder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14" fillId="13" borderId="7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3" fillId="14" borderId="9" xfId="0" applyFont="1" applyFill="1" applyBorder="1" applyAlignment="1">
      <alignment horizontal="right"/>
    </xf>
    <xf numFmtId="173" fontId="13" fillId="14" borderId="10" xfId="0" applyNumberFormat="1" applyFont="1" applyFill="1" applyBorder="1"/>
    <xf numFmtId="0" fontId="12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174" fontId="15" fillId="0" borderId="0" xfId="0" applyNumberFormat="1" applyFont="1" applyAlignment="1">
      <alignment horizontal="center"/>
    </xf>
    <xf numFmtId="172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4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3" fillId="8" borderId="13" xfId="0" applyFont="1" applyFill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left"/>
    </xf>
    <xf numFmtId="175" fontId="10" fillId="0" borderId="16" xfId="0" applyNumberFormat="1" applyFont="1" applyBorder="1"/>
    <xf numFmtId="175" fontId="10" fillId="0" borderId="16" xfId="0" applyNumberFormat="1" applyFont="1" applyBorder="1" applyAlignment="1">
      <alignment horizontal="right"/>
    </xf>
    <xf numFmtId="175" fontId="10" fillId="0" borderId="16" xfId="0" applyNumberFormat="1" applyFont="1" applyBorder="1" applyAlignment="1">
      <alignment horizontal="right" vertical="center"/>
    </xf>
    <xf numFmtId="40" fontId="10" fillId="0" borderId="17" xfId="0" applyNumberFormat="1" applyFont="1" applyBorder="1" applyAlignment="1">
      <alignment horizontal="right" vertical="center"/>
    </xf>
    <xf numFmtId="40" fontId="10" fillId="0" borderId="18" xfId="0" applyNumberFormat="1" applyFont="1" applyBorder="1" applyAlignment="1">
      <alignment horizontal="right" vertical="center"/>
    </xf>
    <xf numFmtId="169" fontId="10" fillId="0" borderId="19" xfId="0" applyNumberFormat="1" applyFont="1" applyBorder="1" applyAlignment="1">
      <alignment horizontal="center"/>
    </xf>
    <xf numFmtId="170" fontId="10" fillId="0" borderId="20" xfId="0" applyNumberFormat="1" applyFont="1" applyBorder="1" applyAlignment="1">
      <alignment horizontal="center"/>
    </xf>
    <xf numFmtId="171" fontId="10" fillId="0" borderId="20" xfId="0" applyNumberFormat="1" applyFont="1" applyBorder="1" applyAlignment="1">
      <alignment horizontal="center"/>
    </xf>
    <xf numFmtId="172" fontId="10" fillId="0" borderId="20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75" fontId="10" fillId="0" borderId="20" xfId="0" applyNumberFormat="1" applyFont="1" applyBorder="1"/>
    <xf numFmtId="175" fontId="10" fillId="0" borderId="20" xfId="0" applyNumberFormat="1" applyFont="1" applyBorder="1" applyAlignment="1">
      <alignment horizontal="right"/>
    </xf>
    <xf numFmtId="175" fontId="10" fillId="0" borderId="20" xfId="0" applyNumberFormat="1" applyFont="1" applyBorder="1" applyAlignment="1">
      <alignment horizontal="right" vertical="center"/>
    </xf>
    <xf numFmtId="169" fontId="10" fillId="0" borderId="21" xfId="0" applyNumberFormat="1" applyFont="1" applyBorder="1" applyAlignment="1">
      <alignment horizontal="center"/>
    </xf>
    <xf numFmtId="170" fontId="10" fillId="0" borderId="16" xfId="0" applyNumberFormat="1" applyFont="1" applyBorder="1" applyAlignment="1">
      <alignment horizontal="center"/>
    </xf>
    <xf numFmtId="171" fontId="10" fillId="0" borderId="16" xfId="0" applyNumberFormat="1" applyFont="1" applyBorder="1" applyAlignment="1">
      <alignment horizontal="center"/>
    </xf>
    <xf numFmtId="172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10" fillId="0" borderId="20" xfId="0" applyNumberFormat="1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175" fontId="15" fillId="0" borderId="20" xfId="0" applyNumberFormat="1" applyFont="1" applyBorder="1"/>
    <xf numFmtId="175" fontId="2" fillId="0" borderId="20" xfId="0" applyNumberFormat="1" applyFont="1" applyBorder="1" applyAlignment="1">
      <alignment horizontal="right"/>
    </xf>
    <xf numFmtId="0" fontId="10" fillId="0" borderId="18" xfId="0" applyFont="1" applyBorder="1" applyAlignment="1">
      <alignment horizontal="right" vertical="center"/>
    </xf>
    <xf numFmtId="164" fontId="15" fillId="0" borderId="16" xfId="0" applyNumberFormat="1" applyFont="1" applyBorder="1" applyAlignment="1">
      <alignment horizontal="center"/>
    </xf>
    <xf numFmtId="175" fontId="15" fillId="0" borderId="16" xfId="0" applyNumberFormat="1" applyFont="1" applyBorder="1"/>
    <xf numFmtId="40" fontId="2" fillId="0" borderId="20" xfId="0" applyNumberFormat="1" applyFont="1" applyBorder="1" applyAlignment="1">
      <alignment horizontal="right"/>
    </xf>
    <xf numFmtId="40" fontId="10" fillId="0" borderId="20" xfId="0" applyNumberFormat="1" applyFont="1" applyBorder="1" applyAlignment="1">
      <alignment horizontal="right" vertical="center"/>
    </xf>
    <xf numFmtId="175" fontId="15" fillId="0" borderId="22" xfId="0" applyNumberFormat="1" applyFont="1" applyBorder="1" applyAlignment="1">
      <alignment horizontal="right" vertical="center"/>
    </xf>
    <xf numFmtId="169" fontId="15" fillId="0" borderId="23" xfId="0" applyNumberFormat="1" applyFont="1" applyBorder="1" applyAlignment="1">
      <alignment horizontal="center"/>
    </xf>
    <xf numFmtId="170" fontId="15" fillId="0" borderId="16" xfId="0" applyNumberFormat="1" applyFont="1" applyBorder="1" applyAlignment="1">
      <alignment horizontal="center"/>
    </xf>
    <xf numFmtId="171" fontId="15" fillId="0" borderId="21" xfId="0" applyNumberFormat="1" applyFont="1" applyBorder="1" applyAlignment="1">
      <alignment horizontal="center"/>
    </xf>
    <xf numFmtId="172" fontId="15" fillId="0" borderId="1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75" fontId="15" fillId="0" borderId="16" xfId="0" applyNumberFormat="1" applyFont="1" applyBorder="1" applyAlignment="1">
      <alignment horizontal="right"/>
    </xf>
    <xf numFmtId="175" fontId="15" fillId="0" borderId="16" xfId="0" applyNumberFormat="1" applyFont="1" applyBorder="1" applyAlignment="1">
      <alignment horizontal="right" vertical="center"/>
    </xf>
    <xf numFmtId="4" fontId="13" fillId="10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40" fontId="2" fillId="0" borderId="0" xfId="0" applyNumberFormat="1" applyFont="1" applyAlignment="1">
      <alignment horizontal="right"/>
    </xf>
    <xf numFmtId="0" fontId="18" fillId="0" borderId="0" xfId="0" applyFont="1"/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40" fontId="15" fillId="0" borderId="0" xfId="0" applyNumberFormat="1" applyFont="1" applyAlignment="1">
      <alignment horizontal="right"/>
    </xf>
    <xf numFmtId="169" fontId="10" fillId="16" borderId="1" xfId="0" applyNumberFormat="1" applyFont="1" applyFill="1" applyBorder="1" applyAlignment="1">
      <alignment horizontal="center" vertical="center"/>
    </xf>
    <xf numFmtId="171" fontId="10" fillId="16" borderId="1" xfId="0" applyNumberFormat="1" applyFont="1" applyFill="1" applyBorder="1" applyAlignment="1">
      <alignment horizontal="center" vertical="center"/>
    </xf>
    <xf numFmtId="172" fontId="10" fillId="16" borderId="1" xfId="0" applyNumberFormat="1" applyFont="1" applyFill="1" applyBorder="1" applyAlignment="1">
      <alignment horizontal="center" vertical="center"/>
    </xf>
    <xf numFmtId="164" fontId="10" fillId="16" borderId="1" xfId="0" applyNumberFormat="1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172" fontId="10" fillId="10" borderId="16" xfId="0" applyNumberFormat="1" applyFont="1" applyFill="1" applyBorder="1" applyAlignment="1">
      <alignment horizontal="center"/>
    </xf>
    <xf numFmtId="175" fontId="15" fillId="0" borderId="0" xfId="0" applyNumberFormat="1" applyFont="1"/>
    <xf numFmtId="175" fontId="2" fillId="0" borderId="0" xfId="0" applyNumberFormat="1" applyFont="1" applyAlignment="1">
      <alignment horizontal="right"/>
    </xf>
    <xf numFmtId="175" fontId="10" fillId="0" borderId="0" xfId="0" applyNumberFormat="1" applyFont="1" applyAlignment="1">
      <alignment horizontal="right" vertical="center"/>
    </xf>
    <xf numFmtId="2" fontId="15" fillId="0" borderId="16" xfId="0" applyNumberFormat="1" applyFont="1" applyBorder="1" applyAlignment="1">
      <alignment horizontal="right" vertical="center"/>
    </xf>
    <xf numFmtId="0" fontId="2" fillId="17" borderId="1" xfId="0" applyFont="1" applyFill="1" applyBorder="1"/>
    <xf numFmtId="0" fontId="11" fillId="0" borderId="0" xfId="0" applyFont="1" applyAlignment="1">
      <alignment horizontal="right" vertical="center"/>
    </xf>
    <xf numFmtId="175" fontId="2" fillId="0" borderId="0" xfId="0" applyNumberFormat="1" applyFont="1"/>
    <xf numFmtId="171" fontId="10" fillId="10" borderId="1" xfId="0" applyNumberFormat="1" applyFont="1" applyFill="1" applyBorder="1" applyAlignment="1">
      <alignment horizontal="center" vertical="center"/>
    </xf>
    <xf numFmtId="40" fontId="2" fillId="0" borderId="0" xfId="0" applyNumberFormat="1" applyFont="1"/>
    <xf numFmtId="0" fontId="2" fillId="10" borderId="1" xfId="0" applyFont="1" applyFill="1" applyBorder="1" applyAlignment="1">
      <alignment vertical="center"/>
    </xf>
    <xf numFmtId="0" fontId="20" fillId="12" borderId="1" xfId="0" applyFont="1" applyFill="1" applyBorder="1"/>
    <xf numFmtId="175" fontId="10" fillId="10" borderId="16" xfId="0" applyNumberFormat="1" applyFont="1" applyFill="1" applyBorder="1" applyAlignment="1">
      <alignment horizontal="right" vertical="center"/>
    </xf>
    <xf numFmtId="164" fontId="15" fillId="0" borderId="16" xfId="0" applyNumberFormat="1" applyFont="1" applyBorder="1" applyAlignment="1">
      <alignment horizontal="left"/>
    </xf>
    <xf numFmtId="2" fontId="3" fillId="0" borderId="0" xfId="0" applyNumberFormat="1" applyFont="1"/>
    <xf numFmtId="172" fontId="15" fillId="16" borderId="1" xfId="0" applyNumberFormat="1" applyFont="1" applyFill="1" applyBorder="1" applyAlignment="1">
      <alignment horizontal="center"/>
    </xf>
    <xf numFmtId="164" fontId="15" fillId="16" borderId="1" xfId="0" applyNumberFormat="1" applyFont="1" applyFill="1" applyBorder="1" applyAlignment="1">
      <alignment horizontal="center"/>
    </xf>
    <xf numFmtId="0" fontId="15" fillId="16" borderId="1" xfId="0" applyFont="1" applyFill="1" applyBorder="1" applyAlignment="1">
      <alignment horizontal="left"/>
    </xf>
    <xf numFmtId="4" fontId="15" fillId="16" borderId="1" xfId="0" applyNumberFormat="1" applyFont="1" applyFill="1" applyBorder="1" applyAlignment="1">
      <alignment horizontal="right" vertical="center"/>
    </xf>
    <xf numFmtId="0" fontId="15" fillId="16" borderId="1" xfId="0" applyFont="1" applyFill="1" applyBorder="1" applyAlignment="1">
      <alignment horizontal="center" vertical="center"/>
    </xf>
    <xf numFmtId="4" fontId="10" fillId="16" borderId="1" xfId="0" applyNumberFormat="1" applyFont="1" applyFill="1" applyBorder="1" applyAlignment="1">
      <alignment horizontal="right" vertical="center"/>
    </xf>
    <xf numFmtId="0" fontId="13" fillId="8" borderId="16" xfId="0" applyFont="1" applyFill="1" applyBorder="1" applyAlignment="1">
      <alignment horizontal="center" vertical="center" wrapText="1"/>
    </xf>
    <xf numFmtId="169" fontId="10" fillId="0" borderId="16" xfId="0" applyNumberFormat="1" applyFont="1" applyBorder="1" applyAlignment="1">
      <alignment horizontal="center" vertical="center"/>
    </xf>
    <xf numFmtId="170" fontId="10" fillId="0" borderId="16" xfId="0" applyNumberFormat="1" applyFont="1" applyBorder="1" applyAlignment="1">
      <alignment horizontal="center" vertical="center"/>
    </xf>
    <xf numFmtId="171" fontId="10" fillId="0" borderId="16" xfId="0" applyNumberFormat="1" applyFont="1" applyBorder="1" applyAlignment="1">
      <alignment horizontal="center" vertical="center"/>
    </xf>
    <xf numFmtId="172" fontId="10" fillId="0" borderId="16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40" fontId="10" fillId="0" borderId="16" xfId="0" applyNumberFormat="1" applyFont="1" applyBorder="1" applyAlignment="1">
      <alignment horizontal="right" vertical="center"/>
    </xf>
    <xf numFmtId="169" fontId="10" fillId="0" borderId="16" xfId="0" applyNumberFormat="1" applyFont="1" applyBorder="1" applyAlignment="1">
      <alignment horizontal="center"/>
    </xf>
    <xf numFmtId="40" fontId="2" fillId="0" borderId="16" xfId="0" applyNumberFormat="1" applyFont="1" applyBorder="1" applyAlignment="1">
      <alignment horizontal="right"/>
    </xf>
    <xf numFmtId="0" fontId="10" fillId="0" borderId="16" xfId="0" applyFont="1" applyBorder="1" applyAlignment="1">
      <alignment horizontal="right" vertical="center"/>
    </xf>
    <xf numFmtId="0" fontId="3" fillId="0" borderId="16" xfId="0" applyFont="1" applyBorder="1"/>
    <xf numFmtId="169" fontId="15" fillId="0" borderId="16" xfId="0" applyNumberFormat="1" applyFont="1" applyBorder="1" applyAlignment="1">
      <alignment horizontal="center"/>
    </xf>
    <xf numFmtId="171" fontId="15" fillId="0" borderId="16" xfId="0" applyNumberFormat="1" applyFont="1" applyBorder="1" applyAlignment="1">
      <alignment horizontal="center"/>
    </xf>
    <xf numFmtId="0" fontId="3" fillId="18" borderId="0" xfId="0" applyFont="1" applyFill="1"/>
    <xf numFmtId="0" fontId="14" fillId="18" borderId="0" xfId="0" applyFont="1" applyFill="1" applyAlignment="1">
      <alignment horizontal="center" vertical="center"/>
    </xf>
    <xf numFmtId="0" fontId="18" fillId="18" borderId="0" xfId="0" applyFont="1" applyFill="1"/>
    <xf numFmtId="164" fontId="15" fillId="0" borderId="20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176" fontId="24" fillId="2" borderId="33" xfId="0" applyNumberFormat="1" applyFont="1" applyFill="1" applyBorder="1" applyAlignment="1">
      <alignment horizontal="center"/>
    </xf>
    <xf numFmtId="0" fontId="24" fillId="2" borderId="34" xfId="0" applyFont="1" applyFill="1" applyBorder="1" applyAlignment="1">
      <alignment horizontal="left"/>
    </xf>
    <xf numFmtId="177" fontId="18" fillId="0" borderId="35" xfId="0" applyNumberFormat="1" applyFont="1" applyBorder="1" applyAlignment="1">
      <alignment horizontal="center"/>
    </xf>
    <xf numFmtId="4" fontId="18" fillId="0" borderId="36" xfId="0" applyNumberFormat="1" applyFont="1" applyBorder="1" applyAlignment="1">
      <alignment horizontal="center"/>
    </xf>
    <xf numFmtId="176" fontId="24" fillId="2" borderId="37" xfId="0" applyNumberFormat="1" applyFont="1" applyFill="1" applyBorder="1" applyAlignment="1">
      <alignment horizontal="center"/>
    </xf>
    <xf numFmtId="0" fontId="24" fillId="2" borderId="38" xfId="0" applyFont="1" applyFill="1" applyBorder="1" applyAlignment="1">
      <alignment horizontal="left"/>
    </xf>
    <xf numFmtId="177" fontId="18" fillId="0" borderId="22" xfId="0" applyNumberFormat="1" applyFont="1" applyBorder="1" applyAlignment="1">
      <alignment horizontal="center"/>
    </xf>
    <xf numFmtId="4" fontId="18" fillId="0" borderId="39" xfId="0" applyNumberFormat="1" applyFont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177" fontId="18" fillId="0" borderId="16" xfId="0" applyNumberFormat="1" applyFont="1" applyBorder="1" applyAlignment="1">
      <alignment horizontal="center"/>
    </xf>
    <xf numFmtId="4" fontId="18" fillId="0" borderId="40" xfId="0" applyNumberFormat="1" applyFont="1" applyBorder="1" applyAlignment="1">
      <alignment horizontal="center"/>
    </xf>
    <xf numFmtId="177" fontId="18" fillId="0" borderId="17" xfId="0" applyNumberFormat="1" applyFont="1" applyBorder="1" applyAlignment="1">
      <alignment horizontal="center"/>
    </xf>
    <xf numFmtId="176" fontId="24" fillId="2" borderId="41" xfId="0" applyNumberFormat="1" applyFont="1" applyFill="1" applyBorder="1" applyAlignment="1">
      <alignment horizontal="center"/>
    </xf>
    <xf numFmtId="0" fontId="24" fillId="2" borderId="42" xfId="0" applyFont="1" applyFill="1" applyBorder="1" applyAlignment="1">
      <alignment horizontal="left"/>
    </xf>
    <xf numFmtId="4" fontId="18" fillId="20" borderId="1" xfId="0" applyNumberFormat="1" applyFont="1" applyFill="1" applyBorder="1" applyAlignment="1">
      <alignment horizontal="center"/>
    </xf>
    <xf numFmtId="176" fontId="24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178" fontId="19" fillId="2" borderId="42" xfId="0" applyNumberFormat="1" applyFont="1" applyFill="1" applyBorder="1" applyAlignment="1">
      <alignment horizontal="center"/>
    </xf>
    <xf numFmtId="178" fontId="19" fillId="2" borderId="16" xfId="0" applyNumberFormat="1" applyFont="1" applyFill="1" applyBorder="1" applyAlignment="1">
      <alignment horizontal="left"/>
    </xf>
    <xf numFmtId="4" fontId="15" fillId="0" borderId="16" xfId="0" applyNumberFormat="1" applyFont="1" applyBorder="1"/>
    <xf numFmtId="4" fontId="15" fillId="0" borderId="40" xfId="0" applyNumberFormat="1" applyFont="1" applyBorder="1"/>
    <xf numFmtId="178" fontId="19" fillId="2" borderId="44" xfId="0" applyNumberFormat="1" applyFont="1" applyFill="1" applyBorder="1" applyAlignment="1">
      <alignment horizontal="center"/>
    </xf>
    <xf numFmtId="178" fontId="19" fillId="2" borderId="45" xfId="0" applyNumberFormat="1" applyFont="1" applyFill="1" applyBorder="1" applyAlignment="1">
      <alignment horizontal="left"/>
    </xf>
    <xf numFmtId="4" fontId="15" fillId="0" borderId="46" xfId="0" applyNumberFormat="1" applyFont="1" applyBorder="1"/>
    <xf numFmtId="178" fontId="26" fillId="0" borderId="0" xfId="0" applyNumberFormat="1" applyFont="1"/>
    <xf numFmtId="0" fontId="26" fillId="20" borderId="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69" fontId="10" fillId="0" borderId="51" xfId="0" applyNumberFormat="1" applyFont="1" applyBorder="1" applyAlignment="1">
      <alignment horizontal="center" vertical="center"/>
    </xf>
    <xf numFmtId="170" fontId="10" fillId="0" borderId="47" xfId="0" applyNumberFormat="1" applyFont="1" applyBorder="1" applyAlignment="1">
      <alignment horizontal="center" vertical="center"/>
    </xf>
    <xf numFmtId="171" fontId="10" fillId="0" borderId="47" xfId="0" applyNumberFormat="1" applyFont="1" applyBorder="1" applyAlignment="1">
      <alignment horizontal="center" vertical="center"/>
    </xf>
    <xf numFmtId="172" fontId="10" fillId="0" borderId="47" xfId="0" applyNumberFormat="1" applyFont="1" applyBorder="1" applyAlignment="1">
      <alignment horizontal="center" vertical="center"/>
    </xf>
    <xf numFmtId="164" fontId="10" fillId="0" borderId="47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left" vertical="center"/>
    </xf>
    <xf numFmtId="40" fontId="11" fillId="0" borderId="47" xfId="0" applyNumberFormat="1" applyFont="1" applyBorder="1" applyAlignment="1">
      <alignment horizontal="right" vertical="center"/>
    </xf>
    <xf numFmtId="40" fontId="11" fillId="0" borderId="47" xfId="0" applyNumberFormat="1" applyFont="1" applyBorder="1" applyAlignment="1">
      <alignment vertical="center"/>
    </xf>
    <xf numFmtId="40" fontId="11" fillId="0" borderId="47" xfId="0" applyNumberFormat="1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22" borderId="53" xfId="0" applyFont="1" applyFill="1" applyBorder="1" applyAlignment="1">
      <alignment horizontal="center" vertical="center"/>
    </xf>
    <xf numFmtId="0" fontId="10" fillId="22" borderId="54" xfId="0" applyFont="1" applyFill="1" applyBorder="1" applyAlignment="1">
      <alignment horizontal="center" vertical="center"/>
    </xf>
    <xf numFmtId="0" fontId="10" fillId="22" borderId="54" xfId="0" applyFont="1" applyFill="1" applyBorder="1" applyAlignment="1">
      <alignment horizontal="left" vertical="center"/>
    </xf>
    <xf numFmtId="40" fontId="11" fillId="22" borderId="54" xfId="0" applyNumberFormat="1" applyFont="1" applyFill="1" applyBorder="1" applyAlignment="1">
      <alignment horizontal="right" vertical="center"/>
    </xf>
    <xf numFmtId="0" fontId="10" fillId="22" borderId="55" xfId="0" applyFont="1" applyFill="1" applyBorder="1" applyAlignment="1">
      <alignment horizontal="center" vertical="center"/>
    </xf>
    <xf numFmtId="0" fontId="12" fillId="23" borderId="48" xfId="0" applyFont="1" applyFill="1" applyBorder="1" applyAlignment="1">
      <alignment horizontal="center" vertical="center" wrapText="1"/>
    </xf>
    <xf numFmtId="0" fontId="12" fillId="23" borderId="49" xfId="0" applyFont="1" applyFill="1" applyBorder="1" applyAlignment="1">
      <alignment horizontal="center" vertical="center" wrapText="1"/>
    </xf>
    <xf numFmtId="0" fontId="12" fillId="23" borderId="50" xfId="0" applyFont="1" applyFill="1" applyBorder="1" applyAlignment="1">
      <alignment horizontal="center" vertical="center" wrapText="1"/>
    </xf>
    <xf numFmtId="14" fontId="13" fillId="24" borderId="48" xfId="0" applyNumberFormat="1" applyFont="1" applyFill="1" applyBorder="1" applyAlignment="1">
      <alignment horizontal="center" vertical="center"/>
    </xf>
    <xf numFmtId="14" fontId="13" fillId="24" borderId="49" xfId="0" applyNumberFormat="1" applyFont="1" applyFill="1" applyBorder="1" applyAlignment="1">
      <alignment horizontal="center" vertical="center"/>
    </xf>
    <xf numFmtId="0" fontId="14" fillId="24" borderId="49" xfId="0" applyFont="1" applyFill="1" applyBorder="1" applyAlignment="1">
      <alignment horizontal="center" vertical="center"/>
    </xf>
    <xf numFmtId="0" fontId="14" fillId="24" borderId="50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/>
    </xf>
    <xf numFmtId="4" fontId="10" fillId="0" borderId="47" xfId="0" applyNumberFormat="1" applyFont="1" applyBorder="1" applyAlignment="1">
      <alignment horizontal="right" vertical="center"/>
    </xf>
    <xf numFmtId="4" fontId="10" fillId="0" borderId="52" xfId="0" applyNumberFormat="1" applyFont="1" applyBorder="1" applyAlignment="1">
      <alignment horizontal="right" vertical="center"/>
    </xf>
    <xf numFmtId="0" fontId="10" fillId="22" borderId="54" xfId="0" applyFont="1" applyFill="1" applyBorder="1" applyAlignment="1">
      <alignment horizontal="center"/>
    </xf>
    <xf numFmtId="4" fontId="10" fillId="22" borderId="54" xfId="0" applyNumberFormat="1" applyFont="1" applyFill="1" applyBorder="1" applyAlignment="1">
      <alignment horizontal="right" vertical="center"/>
    </xf>
    <xf numFmtId="4" fontId="10" fillId="22" borderId="55" xfId="0" applyNumberFormat="1" applyFont="1" applyFill="1" applyBorder="1" applyAlignment="1">
      <alignment horizontal="right" vertical="center"/>
    </xf>
    <xf numFmtId="0" fontId="12" fillId="22" borderId="48" xfId="0" applyFont="1" applyFill="1" applyBorder="1" applyAlignment="1">
      <alignment horizontal="center" vertical="center"/>
    </xf>
    <xf numFmtId="0" fontId="12" fillId="22" borderId="49" xfId="0" applyFont="1" applyFill="1" applyBorder="1" applyAlignment="1">
      <alignment horizontal="center" vertical="center"/>
    </xf>
    <xf numFmtId="4" fontId="12" fillId="22" borderId="49" xfId="0" applyNumberFormat="1" applyFont="1" applyFill="1" applyBorder="1" applyAlignment="1">
      <alignment horizontal="center" vertical="center"/>
    </xf>
    <xf numFmtId="0" fontId="12" fillId="22" borderId="5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left"/>
    </xf>
    <xf numFmtId="173" fontId="15" fillId="0" borderId="47" xfId="0" applyNumberFormat="1" applyFont="1" applyBorder="1" applyAlignment="1">
      <alignment horizontal="right" vertical="center"/>
    </xf>
    <xf numFmtId="0" fontId="15" fillId="0" borderId="47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22" borderId="53" xfId="0" applyFont="1" applyFill="1" applyBorder="1" applyAlignment="1">
      <alignment horizontal="center" vertical="center"/>
    </xf>
    <xf numFmtId="0" fontId="15" fillId="22" borderId="54" xfId="0" applyFont="1" applyFill="1" applyBorder="1" applyAlignment="1">
      <alignment horizontal="center" vertical="center"/>
    </xf>
    <xf numFmtId="0" fontId="15" fillId="22" borderId="54" xfId="0" applyFont="1" applyFill="1" applyBorder="1" applyAlignment="1">
      <alignment horizontal="left" vertical="center"/>
    </xf>
    <xf numFmtId="4" fontId="15" fillId="22" borderId="54" xfId="0" applyNumberFormat="1" applyFont="1" applyFill="1" applyBorder="1" applyAlignment="1">
      <alignment horizontal="right" vertical="center"/>
    </xf>
    <xf numFmtId="0" fontId="15" fillId="22" borderId="55" xfId="0" applyFont="1" applyFill="1" applyBorder="1" applyAlignment="1">
      <alignment horizontal="center" vertical="center"/>
    </xf>
    <xf numFmtId="0" fontId="0" fillId="0" borderId="28" xfId="0" applyBorder="1"/>
    <xf numFmtId="0" fontId="13" fillId="8" borderId="48" xfId="0" applyFont="1" applyFill="1" applyBorder="1" applyAlignment="1">
      <alignment horizontal="center" vertical="center" wrapText="1"/>
    </xf>
    <xf numFmtId="0" fontId="13" fillId="8" borderId="49" xfId="0" applyFont="1" applyFill="1" applyBorder="1" applyAlignment="1">
      <alignment horizontal="center" vertical="center" wrapText="1"/>
    </xf>
    <xf numFmtId="0" fontId="13" fillId="8" borderId="50" xfId="0" applyFont="1" applyFill="1" applyBorder="1" applyAlignment="1">
      <alignment horizontal="center" vertical="center" wrapText="1"/>
    </xf>
    <xf numFmtId="164" fontId="10" fillId="0" borderId="47" xfId="0" applyNumberFormat="1" applyFont="1" applyBorder="1" applyAlignment="1">
      <alignment horizontal="center"/>
    </xf>
    <xf numFmtId="175" fontId="10" fillId="0" borderId="47" xfId="0" applyNumberFormat="1" applyFont="1" applyBorder="1"/>
    <xf numFmtId="175" fontId="10" fillId="0" borderId="47" xfId="0" applyNumberFormat="1" applyFont="1" applyBorder="1" applyAlignment="1">
      <alignment horizontal="right"/>
    </xf>
    <xf numFmtId="175" fontId="10" fillId="0" borderId="47" xfId="0" applyNumberFormat="1" applyFont="1" applyBorder="1" applyAlignment="1">
      <alignment horizontal="right" vertical="center"/>
    </xf>
    <xf numFmtId="40" fontId="10" fillId="0" borderId="52" xfId="0" applyNumberFormat="1" applyFont="1" applyBorder="1" applyAlignment="1">
      <alignment horizontal="right" vertical="center"/>
    </xf>
    <xf numFmtId="169" fontId="10" fillId="0" borderId="51" xfId="0" applyNumberFormat="1" applyFont="1" applyBorder="1" applyAlignment="1">
      <alignment horizontal="center"/>
    </xf>
    <xf numFmtId="170" fontId="10" fillId="0" borderId="47" xfId="0" applyNumberFormat="1" applyFont="1" applyBorder="1" applyAlignment="1">
      <alignment horizontal="center"/>
    </xf>
    <xf numFmtId="171" fontId="10" fillId="0" borderId="47" xfId="0" applyNumberFormat="1" applyFont="1" applyBorder="1" applyAlignment="1">
      <alignment horizontal="center"/>
    </xf>
    <xf numFmtId="172" fontId="10" fillId="0" borderId="47" xfId="0" applyNumberFormat="1" applyFont="1" applyBorder="1" applyAlignment="1">
      <alignment horizontal="center"/>
    </xf>
    <xf numFmtId="0" fontId="15" fillId="22" borderId="53" xfId="0" applyFont="1" applyFill="1" applyBorder="1" applyAlignment="1">
      <alignment horizontal="center"/>
    </xf>
    <xf numFmtId="0" fontId="15" fillId="22" borderId="54" xfId="0" applyFont="1" applyFill="1" applyBorder="1" applyAlignment="1">
      <alignment horizontal="center"/>
    </xf>
    <xf numFmtId="0" fontId="10" fillId="22" borderId="55" xfId="0" applyFont="1" applyFill="1" applyBorder="1" applyAlignment="1">
      <alignment horizontal="right" vertical="center"/>
    </xf>
    <xf numFmtId="164" fontId="15" fillId="0" borderId="47" xfId="0" applyNumberFormat="1" applyFont="1" applyBorder="1" applyAlignment="1">
      <alignment horizontal="center"/>
    </xf>
    <xf numFmtId="175" fontId="15" fillId="0" borderId="47" xfId="0" applyNumberFormat="1" applyFont="1" applyBorder="1"/>
    <xf numFmtId="40" fontId="2" fillId="22" borderId="54" xfId="0" applyNumberFormat="1" applyFont="1" applyFill="1" applyBorder="1" applyAlignment="1">
      <alignment horizontal="right"/>
    </xf>
    <xf numFmtId="40" fontId="10" fillId="22" borderId="54" xfId="0" applyNumberFormat="1" applyFont="1" applyFill="1" applyBorder="1" applyAlignment="1">
      <alignment horizontal="right" vertical="center"/>
    </xf>
    <xf numFmtId="0" fontId="0" fillId="25" borderId="0" xfId="0" applyFill="1"/>
    <xf numFmtId="2" fontId="0" fillId="22" borderId="54" xfId="0" applyNumberFormat="1" applyFill="1" applyBorder="1"/>
    <xf numFmtId="2" fontId="0" fillId="0" borderId="49" xfId="0" applyNumberFormat="1" applyBorder="1"/>
    <xf numFmtId="172" fontId="10" fillId="26" borderId="47" xfId="0" applyNumberFormat="1" applyFont="1" applyFill="1" applyBorder="1" applyAlignment="1">
      <alignment horizontal="center" vertical="center"/>
    </xf>
    <xf numFmtId="43" fontId="15" fillId="22" borderId="54" xfId="1" applyFont="1" applyFill="1" applyBorder="1" applyAlignment="1">
      <alignment horizontal="center" vertical="center"/>
    </xf>
    <xf numFmtId="43" fontId="2" fillId="22" borderId="54" xfId="1" applyFont="1" applyFill="1" applyBorder="1" applyAlignment="1">
      <alignment horizontal="center" vertical="center"/>
    </xf>
    <xf numFmtId="43" fontId="10" fillId="22" borderId="54" xfId="1" applyFont="1" applyFill="1" applyBorder="1" applyAlignment="1">
      <alignment horizontal="center" vertical="center"/>
    </xf>
    <xf numFmtId="40" fontId="10" fillId="0" borderId="47" xfId="0" applyNumberFormat="1" applyFont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 wrapText="1"/>
    </xf>
    <xf numFmtId="169" fontId="10" fillId="0" borderId="47" xfId="0" applyNumberFormat="1" applyFont="1" applyBorder="1" applyAlignment="1">
      <alignment horizontal="center" vertical="center"/>
    </xf>
    <xf numFmtId="0" fontId="15" fillId="22" borderId="47" xfId="0" applyFont="1" applyFill="1" applyBorder="1" applyAlignment="1">
      <alignment horizontal="center"/>
    </xf>
    <xf numFmtId="0" fontId="10" fillId="22" borderId="47" xfId="0" applyFont="1" applyFill="1" applyBorder="1" applyAlignment="1">
      <alignment horizontal="right" vertical="center"/>
    </xf>
    <xf numFmtId="0" fontId="0" fillId="22" borderId="47" xfId="0" applyFill="1" applyBorder="1"/>
    <xf numFmtId="175" fontId="0" fillId="22" borderId="47" xfId="0" applyNumberFormat="1" applyFill="1" applyBorder="1"/>
    <xf numFmtId="1" fontId="0" fillId="0" borderId="0" xfId="0" applyNumberFormat="1"/>
    <xf numFmtId="164" fontId="10" fillId="21" borderId="47" xfId="0" applyNumberFormat="1" applyFont="1" applyFill="1" applyBorder="1" applyAlignment="1">
      <alignment horizontal="center"/>
    </xf>
    <xf numFmtId="164" fontId="15" fillId="22" borderId="54" xfId="0" applyNumberFormat="1" applyFont="1" applyFill="1" applyBorder="1" applyAlignment="1">
      <alignment horizontal="center"/>
    </xf>
    <xf numFmtId="4" fontId="0" fillId="0" borderId="0" xfId="0" applyNumberFormat="1"/>
    <xf numFmtId="0" fontId="10" fillId="0" borderId="54" xfId="0" applyFont="1" applyBorder="1" applyAlignment="1">
      <alignment horizontal="left" vertical="center"/>
    </xf>
    <xf numFmtId="169" fontId="10" fillId="0" borderId="48" xfId="0" applyNumberFormat="1" applyFont="1" applyBorder="1" applyAlignment="1">
      <alignment horizontal="center" vertical="center"/>
    </xf>
    <xf numFmtId="170" fontId="10" fillId="0" borderId="49" xfId="0" applyNumberFormat="1" applyFont="1" applyBorder="1" applyAlignment="1">
      <alignment horizontal="center" vertical="center"/>
    </xf>
    <xf numFmtId="171" fontId="10" fillId="0" borderId="49" xfId="0" applyNumberFormat="1" applyFont="1" applyBorder="1" applyAlignment="1">
      <alignment horizontal="center" vertical="center"/>
    </xf>
    <xf numFmtId="172" fontId="10" fillId="0" borderId="49" xfId="0" applyNumberFormat="1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left" vertical="center"/>
    </xf>
    <xf numFmtId="40" fontId="11" fillId="0" borderId="49" xfId="0" applyNumberFormat="1" applyFont="1" applyBorder="1" applyAlignment="1">
      <alignment horizontal="right" vertical="center"/>
    </xf>
    <xf numFmtId="40" fontId="11" fillId="0" borderId="49" xfId="0" applyNumberFormat="1" applyFont="1" applyBorder="1" applyAlignment="1">
      <alignment vertical="center"/>
    </xf>
    <xf numFmtId="40" fontId="11" fillId="0" borderId="49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28" fillId="23" borderId="56" xfId="0" applyFont="1" applyFill="1" applyBorder="1" applyAlignment="1">
      <alignment horizontal="center" vertical="center" wrapText="1"/>
    </xf>
    <xf numFmtId="0" fontId="28" fillId="23" borderId="57" xfId="0" applyFont="1" applyFill="1" applyBorder="1" applyAlignment="1">
      <alignment horizontal="center" vertical="center" wrapText="1"/>
    </xf>
    <xf numFmtId="0" fontId="28" fillId="23" borderId="58" xfId="0" applyFont="1" applyFill="1" applyBorder="1" applyAlignment="1">
      <alignment horizontal="center" vertical="center" wrapText="1"/>
    </xf>
    <xf numFmtId="169" fontId="10" fillId="0" borderId="53" xfId="0" applyNumberFormat="1" applyFont="1" applyBorder="1" applyAlignment="1">
      <alignment horizontal="center" vertical="center"/>
    </xf>
    <xf numFmtId="170" fontId="10" fillId="0" borderId="54" xfId="0" applyNumberFormat="1" applyFont="1" applyBorder="1" applyAlignment="1">
      <alignment horizontal="center" vertical="center"/>
    </xf>
    <xf numFmtId="171" fontId="10" fillId="0" borderId="54" xfId="0" applyNumberFormat="1" applyFont="1" applyBorder="1" applyAlignment="1">
      <alignment horizontal="center" vertical="center"/>
    </xf>
    <xf numFmtId="172" fontId="10" fillId="0" borderId="54" xfId="0" applyNumberFormat="1" applyFont="1" applyBorder="1" applyAlignment="1">
      <alignment horizontal="center" vertical="center"/>
    </xf>
    <xf numFmtId="164" fontId="10" fillId="0" borderId="54" xfId="0" applyNumberFormat="1" applyFont="1" applyBorder="1" applyAlignment="1">
      <alignment horizontal="center" vertical="center"/>
    </xf>
    <xf numFmtId="40" fontId="11" fillId="0" borderId="54" xfId="0" applyNumberFormat="1" applyFont="1" applyBorder="1" applyAlignment="1">
      <alignment horizontal="center" vertical="center"/>
    </xf>
    <xf numFmtId="0" fontId="29" fillId="22" borderId="56" xfId="0" applyFont="1" applyFill="1" applyBorder="1" applyAlignment="1">
      <alignment horizontal="center" vertical="center"/>
    </xf>
    <xf numFmtId="0" fontId="29" fillId="22" borderId="57" xfId="0" applyFont="1" applyFill="1" applyBorder="1" applyAlignment="1">
      <alignment horizontal="center" vertical="center"/>
    </xf>
    <xf numFmtId="0" fontId="29" fillId="22" borderId="57" xfId="0" applyFont="1" applyFill="1" applyBorder="1" applyAlignment="1">
      <alignment horizontal="left" vertical="center"/>
    </xf>
    <xf numFmtId="40" fontId="30" fillId="22" borderId="57" xfId="0" applyNumberFormat="1" applyFont="1" applyFill="1" applyBorder="1" applyAlignment="1">
      <alignment horizontal="right" vertical="center"/>
    </xf>
    <xf numFmtId="0" fontId="29" fillId="22" borderId="58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/>
    </xf>
    <xf numFmtId="4" fontId="10" fillId="0" borderId="54" xfId="0" applyNumberFormat="1" applyFont="1" applyBorder="1" applyAlignment="1">
      <alignment horizontal="right" vertical="center"/>
    </xf>
    <xf numFmtId="4" fontId="10" fillId="0" borderId="55" xfId="0" applyNumberFormat="1" applyFont="1" applyBorder="1" applyAlignment="1">
      <alignment horizontal="right" vertical="center"/>
    </xf>
    <xf numFmtId="0" fontId="10" fillId="0" borderId="49" xfId="0" applyFont="1" applyBorder="1" applyAlignment="1">
      <alignment horizontal="center"/>
    </xf>
    <xf numFmtId="4" fontId="10" fillId="0" borderId="49" xfId="0" applyNumberFormat="1" applyFont="1" applyBorder="1" applyAlignment="1">
      <alignment horizontal="right" vertical="center"/>
    </xf>
    <xf numFmtId="4" fontId="10" fillId="0" borderId="50" xfId="0" applyNumberFormat="1" applyFont="1" applyBorder="1" applyAlignment="1">
      <alignment horizontal="right" vertical="center"/>
    </xf>
    <xf numFmtId="14" fontId="31" fillId="24" borderId="56" xfId="0" applyNumberFormat="1" applyFont="1" applyFill="1" applyBorder="1" applyAlignment="1">
      <alignment horizontal="center" vertical="center"/>
    </xf>
    <xf numFmtId="14" fontId="31" fillId="24" borderId="57" xfId="0" applyNumberFormat="1" applyFont="1" applyFill="1" applyBorder="1" applyAlignment="1">
      <alignment horizontal="center" vertical="center"/>
    </xf>
    <xf numFmtId="0" fontId="32" fillId="24" borderId="57" xfId="0" applyFont="1" applyFill="1" applyBorder="1" applyAlignment="1">
      <alignment horizontal="center" vertical="center"/>
    </xf>
    <xf numFmtId="0" fontId="32" fillId="24" borderId="58" xfId="0" applyFont="1" applyFill="1" applyBorder="1" applyAlignment="1">
      <alignment horizontal="center" vertical="center"/>
    </xf>
    <xf numFmtId="14" fontId="10" fillId="0" borderId="54" xfId="0" applyNumberFormat="1" applyFont="1" applyBorder="1" applyAlignment="1">
      <alignment horizontal="center"/>
    </xf>
    <xf numFmtId="0" fontId="29" fillId="22" borderId="57" xfId="0" applyFont="1" applyFill="1" applyBorder="1" applyAlignment="1">
      <alignment horizontal="center"/>
    </xf>
    <xf numFmtId="4" fontId="29" fillId="22" borderId="57" xfId="0" applyNumberFormat="1" applyFont="1" applyFill="1" applyBorder="1" applyAlignment="1">
      <alignment horizontal="right" vertical="center"/>
    </xf>
    <xf numFmtId="4" fontId="29" fillId="22" borderId="58" xfId="0" applyNumberFormat="1" applyFont="1" applyFill="1" applyBorder="1" applyAlignment="1">
      <alignment horizontal="right" vertical="center"/>
    </xf>
    <xf numFmtId="0" fontId="15" fillId="0" borderId="49" xfId="0" applyFont="1" applyBorder="1" applyAlignment="1">
      <alignment horizontal="left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28" fillId="22" borderId="56" xfId="0" applyFont="1" applyFill="1" applyBorder="1" applyAlignment="1">
      <alignment horizontal="center" vertical="center"/>
    </xf>
    <xf numFmtId="0" fontId="28" fillId="22" borderId="57" xfId="0" applyFont="1" applyFill="1" applyBorder="1" applyAlignment="1">
      <alignment horizontal="center" vertical="center"/>
    </xf>
    <xf numFmtId="4" fontId="28" fillId="22" borderId="57" xfId="0" applyNumberFormat="1" applyFont="1" applyFill="1" applyBorder="1" applyAlignment="1">
      <alignment horizontal="center" vertical="center"/>
    </xf>
    <xf numFmtId="0" fontId="28" fillId="22" borderId="58" xfId="0" applyFont="1" applyFill="1" applyBorder="1" applyAlignment="1">
      <alignment horizontal="center" vertical="center"/>
    </xf>
    <xf numFmtId="0" fontId="33" fillId="22" borderId="56" xfId="0" applyFont="1" applyFill="1" applyBorder="1" applyAlignment="1">
      <alignment horizontal="center" vertical="center"/>
    </xf>
    <xf numFmtId="0" fontId="33" fillId="22" borderId="57" xfId="0" applyFont="1" applyFill="1" applyBorder="1" applyAlignment="1">
      <alignment horizontal="center" vertical="center"/>
    </xf>
    <xf numFmtId="0" fontId="33" fillId="22" borderId="57" xfId="0" applyFont="1" applyFill="1" applyBorder="1" applyAlignment="1">
      <alignment horizontal="left" vertical="center"/>
    </xf>
    <xf numFmtId="4" fontId="33" fillId="22" borderId="57" xfId="0" applyNumberFormat="1" applyFont="1" applyFill="1" applyBorder="1" applyAlignment="1">
      <alignment horizontal="right" vertical="center"/>
    </xf>
    <xf numFmtId="0" fontId="33" fillId="22" borderId="58" xfId="0" applyFont="1" applyFill="1" applyBorder="1" applyAlignment="1">
      <alignment horizontal="center" vertical="center"/>
    </xf>
    <xf numFmtId="175" fontId="15" fillId="0" borderId="54" xfId="0" applyNumberFormat="1" applyFont="1" applyBorder="1"/>
    <xf numFmtId="175" fontId="10" fillId="0" borderId="54" xfId="0" applyNumberFormat="1" applyFont="1" applyBorder="1" applyAlignment="1">
      <alignment horizontal="right" vertical="center"/>
    </xf>
    <xf numFmtId="164" fontId="10" fillId="0" borderId="49" xfId="0" applyNumberFormat="1" applyFont="1" applyBorder="1" applyAlignment="1">
      <alignment horizontal="center"/>
    </xf>
    <xf numFmtId="175" fontId="10" fillId="0" borderId="49" xfId="0" applyNumberFormat="1" applyFont="1" applyBorder="1"/>
    <xf numFmtId="175" fontId="10" fillId="0" borderId="49" xfId="0" applyNumberFormat="1" applyFont="1" applyBorder="1" applyAlignment="1">
      <alignment horizontal="right" vertical="center"/>
    </xf>
    <xf numFmtId="40" fontId="10" fillId="0" borderId="50" xfId="0" applyNumberFormat="1" applyFont="1" applyBorder="1" applyAlignment="1">
      <alignment horizontal="right" vertical="center"/>
    </xf>
    <xf numFmtId="0" fontId="31" fillId="29" borderId="56" xfId="0" applyFont="1" applyFill="1" applyBorder="1" applyAlignment="1">
      <alignment horizontal="center" vertical="center" wrapText="1"/>
    </xf>
    <xf numFmtId="0" fontId="31" fillId="29" borderId="57" xfId="0" applyFont="1" applyFill="1" applyBorder="1" applyAlignment="1">
      <alignment horizontal="center" vertical="center" wrapText="1"/>
    </xf>
    <xf numFmtId="0" fontId="31" fillId="29" borderId="58" xfId="0" applyFont="1" applyFill="1" applyBorder="1" applyAlignment="1">
      <alignment horizontal="center" vertical="center" wrapText="1"/>
    </xf>
    <xf numFmtId="169" fontId="10" fillId="0" borderId="53" xfId="0" applyNumberFormat="1" applyFont="1" applyBorder="1" applyAlignment="1">
      <alignment horizontal="center"/>
    </xf>
    <xf numFmtId="170" fontId="10" fillId="0" borderId="54" xfId="0" applyNumberFormat="1" applyFont="1" applyBorder="1" applyAlignment="1">
      <alignment horizontal="center"/>
    </xf>
    <xf numFmtId="171" fontId="10" fillId="0" borderId="54" xfId="0" applyNumberFormat="1" applyFont="1" applyBorder="1" applyAlignment="1">
      <alignment horizontal="center"/>
    </xf>
    <xf numFmtId="172" fontId="10" fillId="0" borderId="54" xfId="0" applyNumberFormat="1" applyFont="1" applyBorder="1" applyAlignment="1">
      <alignment horizontal="center"/>
    </xf>
    <xf numFmtId="164" fontId="10" fillId="0" borderId="54" xfId="0" applyNumberFormat="1" applyFont="1" applyBorder="1" applyAlignment="1">
      <alignment horizontal="center"/>
    </xf>
    <xf numFmtId="175" fontId="10" fillId="0" borderId="54" xfId="0" applyNumberFormat="1" applyFont="1" applyBorder="1"/>
    <xf numFmtId="175" fontId="10" fillId="0" borderId="54" xfId="0" applyNumberFormat="1" applyFont="1" applyBorder="1" applyAlignment="1">
      <alignment horizontal="right"/>
    </xf>
    <xf numFmtId="40" fontId="10" fillId="0" borderId="55" xfId="0" applyNumberFormat="1" applyFont="1" applyBorder="1" applyAlignment="1">
      <alignment horizontal="right" vertical="center"/>
    </xf>
    <xf numFmtId="0" fontId="33" fillId="22" borderId="56" xfId="0" applyFont="1" applyFill="1" applyBorder="1" applyAlignment="1">
      <alignment horizontal="center"/>
    </xf>
    <xf numFmtId="0" fontId="33" fillId="22" borderId="57" xfId="0" applyFont="1" applyFill="1" applyBorder="1" applyAlignment="1">
      <alignment horizontal="center"/>
    </xf>
    <xf numFmtId="175" fontId="33" fillId="22" borderId="57" xfId="0" applyNumberFormat="1" applyFont="1" applyFill="1" applyBorder="1"/>
    <xf numFmtId="175" fontId="34" fillId="22" borderId="57" xfId="0" applyNumberFormat="1" applyFont="1" applyFill="1" applyBorder="1" applyAlignment="1">
      <alignment horizontal="right"/>
    </xf>
    <xf numFmtId="175" fontId="29" fillId="22" borderId="57" xfId="0" applyNumberFormat="1" applyFont="1" applyFill="1" applyBorder="1" applyAlignment="1">
      <alignment horizontal="right" vertical="center"/>
    </xf>
    <xf numFmtId="0" fontId="29" fillId="22" borderId="58" xfId="0" applyFont="1" applyFill="1" applyBorder="1" applyAlignment="1">
      <alignment horizontal="right" vertical="center"/>
    </xf>
    <xf numFmtId="164" fontId="15" fillId="0" borderId="49" xfId="0" applyNumberFormat="1" applyFont="1" applyBorder="1" applyAlignment="1">
      <alignment horizontal="center"/>
    </xf>
    <xf numFmtId="175" fontId="15" fillId="0" borderId="49" xfId="0" applyNumberFormat="1" applyFont="1" applyBorder="1"/>
    <xf numFmtId="164" fontId="15" fillId="0" borderId="54" xfId="0" applyNumberFormat="1" applyFont="1" applyBorder="1" applyAlignment="1">
      <alignment horizontal="center"/>
    </xf>
    <xf numFmtId="40" fontId="34" fillId="22" borderId="57" xfId="0" applyNumberFormat="1" applyFont="1" applyFill="1" applyBorder="1" applyAlignment="1">
      <alignment horizontal="right"/>
    </xf>
    <xf numFmtId="40" fontId="29" fillId="22" borderId="57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4" fontId="10" fillId="0" borderId="47" xfId="0" applyNumberFormat="1" applyFont="1" applyBorder="1" applyAlignment="1">
      <alignment horizontal="center"/>
    </xf>
    <xf numFmtId="0" fontId="33" fillId="0" borderId="28" xfId="0" applyFont="1" applyBorder="1" applyAlignment="1">
      <alignment horizontal="center"/>
    </xf>
    <xf numFmtId="175" fontId="33" fillId="0" borderId="28" xfId="0" applyNumberFormat="1" applyFont="1" applyBorder="1"/>
    <xf numFmtId="175" fontId="34" fillId="0" borderId="28" xfId="0" applyNumberFormat="1" applyFont="1" applyBorder="1" applyAlignment="1">
      <alignment horizontal="right"/>
    </xf>
    <xf numFmtId="175" fontId="29" fillId="0" borderId="28" xfId="0" applyNumberFormat="1" applyFont="1" applyBorder="1" applyAlignment="1">
      <alignment horizontal="right" vertical="center"/>
    </xf>
    <xf numFmtId="0" fontId="29" fillId="0" borderId="28" xfId="0" applyFont="1" applyBorder="1" applyAlignment="1">
      <alignment horizontal="right" vertical="center"/>
    </xf>
    <xf numFmtId="172" fontId="10" fillId="30" borderId="47" xfId="0" applyNumberFormat="1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72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172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75" fontId="0" fillId="0" borderId="0" xfId="0" applyNumberFormat="1"/>
    <xf numFmtId="40" fontId="0" fillId="0" borderId="0" xfId="0" applyNumberFormat="1"/>
    <xf numFmtId="43" fontId="0" fillId="0" borderId="0" xfId="1" applyFont="1"/>
    <xf numFmtId="0" fontId="12" fillId="0" borderId="1" xfId="0" applyFont="1" applyBorder="1" applyAlignment="1">
      <alignment horizontal="center" vertical="center" wrapText="1"/>
    </xf>
    <xf numFmtId="43" fontId="11" fillId="0" borderId="0" xfId="1" applyFont="1" applyAlignment="1">
      <alignment horizontal="right" vertical="center"/>
    </xf>
    <xf numFmtId="43" fontId="11" fillId="0" borderId="0" xfId="1" applyFont="1" applyAlignment="1">
      <alignment vertical="center"/>
    </xf>
    <xf numFmtId="43" fontId="11" fillId="0" borderId="0" xfId="1" applyFont="1" applyAlignment="1">
      <alignment horizontal="center" vertical="center"/>
    </xf>
    <xf numFmtId="43" fontId="11" fillId="0" borderId="0" xfId="1" applyFont="1" applyBorder="1" applyAlignment="1">
      <alignment horizontal="right" vertical="center"/>
    </xf>
    <xf numFmtId="43" fontId="11" fillId="0" borderId="0" xfId="1" applyFont="1" applyBorder="1" applyAlignment="1">
      <alignment vertical="center"/>
    </xf>
    <xf numFmtId="43" fontId="11" fillId="0" borderId="0" xfId="1" applyFont="1" applyBorder="1" applyAlignment="1">
      <alignment horizontal="center" vertical="center"/>
    </xf>
    <xf numFmtId="43" fontId="11" fillId="0" borderId="1" xfId="1" applyFont="1" applyBorder="1" applyAlignment="1">
      <alignment horizontal="right" vertical="center"/>
    </xf>
    <xf numFmtId="43" fontId="11" fillId="0" borderId="1" xfId="1" applyFont="1" applyBorder="1" applyAlignment="1">
      <alignment vertical="center"/>
    </xf>
    <xf numFmtId="43" fontId="11" fillId="0" borderId="1" xfId="1" applyFont="1" applyBorder="1" applyAlignment="1">
      <alignment horizontal="center" vertical="center"/>
    </xf>
    <xf numFmtId="40" fontId="11" fillId="0" borderId="1" xfId="0" applyNumberFormat="1" applyFont="1" applyBorder="1" applyAlignment="1">
      <alignment horizontal="right" vertical="center"/>
    </xf>
    <xf numFmtId="40" fontId="11" fillId="0" borderId="1" xfId="0" applyNumberFormat="1" applyFont="1" applyBorder="1" applyAlignment="1">
      <alignment vertical="center"/>
    </xf>
    <xf numFmtId="40" fontId="11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right" vertical="center"/>
    </xf>
    <xf numFmtId="0" fontId="10" fillId="0" borderId="54" xfId="0" applyFont="1" applyBorder="1" applyAlignment="1">
      <alignment horizontal="center" vertical="center"/>
    </xf>
    <xf numFmtId="40" fontId="11" fillId="0" borderId="54" xfId="0" applyNumberFormat="1" applyFont="1" applyBorder="1" applyAlignment="1">
      <alignment horizontal="right" vertical="center"/>
    </xf>
    <xf numFmtId="0" fontId="10" fillId="0" borderId="55" xfId="0" applyFont="1" applyBorder="1" applyAlignment="1">
      <alignment horizontal="center" vertical="center"/>
    </xf>
    <xf numFmtId="40" fontId="11" fillId="0" borderId="54" xfId="0" applyNumberFormat="1" applyFont="1" applyBorder="1" applyAlignment="1">
      <alignment vertical="center"/>
    </xf>
    <xf numFmtId="0" fontId="28" fillId="23" borderId="59" xfId="0" applyFont="1" applyFill="1" applyBorder="1" applyAlignment="1">
      <alignment horizontal="center" vertical="center" wrapText="1"/>
    </xf>
    <xf numFmtId="0" fontId="28" fillId="23" borderId="60" xfId="0" applyFont="1" applyFill="1" applyBorder="1" applyAlignment="1">
      <alignment horizontal="center" vertical="center" wrapText="1"/>
    </xf>
    <xf numFmtId="0" fontId="28" fillId="23" borderId="61" xfId="0" applyFont="1" applyFill="1" applyBorder="1" applyAlignment="1">
      <alignment horizontal="center" vertical="center" wrapText="1"/>
    </xf>
    <xf numFmtId="0" fontId="29" fillId="22" borderId="62" xfId="0" applyFont="1" applyFill="1" applyBorder="1" applyAlignment="1">
      <alignment horizontal="center" vertical="center"/>
    </xf>
    <xf numFmtId="0" fontId="29" fillId="22" borderId="63" xfId="0" applyFont="1" applyFill="1" applyBorder="1" applyAlignment="1">
      <alignment horizontal="center" vertical="center"/>
    </xf>
    <xf numFmtId="0" fontId="29" fillId="22" borderId="63" xfId="0" applyFont="1" applyFill="1" applyBorder="1" applyAlignment="1">
      <alignment horizontal="left" vertical="center"/>
    </xf>
    <xf numFmtId="40" fontId="30" fillId="22" borderId="63" xfId="0" applyNumberFormat="1" applyFont="1" applyFill="1" applyBorder="1" applyAlignment="1">
      <alignment horizontal="right" vertical="center"/>
    </xf>
    <xf numFmtId="0" fontId="29" fillId="22" borderId="64" xfId="0" applyFont="1" applyFill="1" applyBorder="1" applyAlignment="1">
      <alignment horizontal="center" vertical="center"/>
    </xf>
    <xf numFmtId="14" fontId="10" fillId="0" borderId="49" xfId="0" applyNumberFormat="1" applyFont="1" applyBorder="1" applyAlignment="1">
      <alignment horizontal="center"/>
    </xf>
    <xf numFmtId="14" fontId="31" fillId="24" borderId="59" xfId="0" applyNumberFormat="1" applyFont="1" applyFill="1" applyBorder="1" applyAlignment="1">
      <alignment horizontal="center" vertical="center"/>
    </xf>
    <xf numFmtId="14" fontId="31" fillId="24" borderId="60" xfId="0" applyNumberFormat="1" applyFont="1" applyFill="1" applyBorder="1" applyAlignment="1">
      <alignment horizontal="center" vertical="center"/>
    </xf>
    <xf numFmtId="0" fontId="32" fillId="24" borderId="60" xfId="0" applyFont="1" applyFill="1" applyBorder="1" applyAlignment="1">
      <alignment horizontal="center" vertical="center"/>
    </xf>
    <xf numFmtId="0" fontId="32" fillId="24" borderId="61" xfId="0" applyFont="1" applyFill="1" applyBorder="1" applyAlignment="1">
      <alignment horizontal="center" vertical="center"/>
    </xf>
    <xf numFmtId="0" fontId="29" fillId="22" borderId="63" xfId="0" applyFont="1" applyFill="1" applyBorder="1" applyAlignment="1">
      <alignment horizontal="center"/>
    </xf>
    <xf numFmtId="4" fontId="29" fillId="22" borderId="63" xfId="0" applyNumberFormat="1" applyFont="1" applyFill="1" applyBorder="1" applyAlignment="1">
      <alignment horizontal="right" vertical="center"/>
    </xf>
    <xf numFmtId="4" fontId="29" fillId="22" borderId="64" xfId="0" applyNumberFormat="1" applyFont="1" applyFill="1" applyBorder="1" applyAlignment="1">
      <alignment horizontal="right" vertical="center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54" xfId="0" applyFont="1" applyBorder="1" applyAlignment="1">
      <alignment horizontal="left"/>
    </xf>
    <xf numFmtId="0" fontId="28" fillId="22" borderId="59" xfId="0" applyFont="1" applyFill="1" applyBorder="1" applyAlignment="1">
      <alignment horizontal="center" vertical="center"/>
    </xf>
    <xf numFmtId="0" fontId="28" fillId="22" borderId="60" xfId="0" applyFont="1" applyFill="1" applyBorder="1" applyAlignment="1">
      <alignment horizontal="center" vertical="center"/>
    </xf>
    <xf numFmtId="4" fontId="28" fillId="22" borderId="60" xfId="0" applyNumberFormat="1" applyFont="1" applyFill="1" applyBorder="1" applyAlignment="1">
      <alignment horizontal="center" vertical="center"/>
    </xf>
    <xf numFmtId="0" fontId="28" fillId="22" borderId="61" xfId="0" applyFont="1" applyFill="1" applyBorder="1" applyAlignment="1">
      <alignment horizontal="center" vertical="center"/>
    </xf>
    <xf numFmtId="0" fontId="33" fillId="22" borderId="62" xfId="0" applyFont="1" applyFill="1" applyBorder="1" applyAlignment="1">
      <alignment horizontal="center" vertical="center"/>
    </xf>
    <xf numFmtId="0" fontId="33" fillId="22" borderId="63" xfId="0" applyFont="1" applyFill="1" applyBorder="1" applyAlignment="1">
      <alignment horizontal="center" vertical="center"/>
    </xf>
    <xf numFmtId="0" fontId="33" fillId="22" borderId="63" xfId="0" applyFont="1" applyFill="1" applyBorder="1" applyAlignment="1">
      <alignment horizontal="left" vertical="center"/>
    </xf>
    <xf numFmtId="4" fontId="33" fillId="22" borderId="63" xfId="0" applyNumberFormat="1" applyFont="1" applyFill="1" applyBorder="1" applyAlignment="1">
      <alignment horizontal="right" vertical="center"/>
    </xf>
    <xf numFmtId="0" fontId="33" fillId="22" borderId="64" xfId="0" applyFont="1" applyFill="1" applyBorder="1" applyAlignment="1">
      <alignment horizontal="center" vertical="center"/>
    </xf>
    <xf numFmtId="0" fontId="31" fillId="29" borderId="59" xfId="0" applyFont="1" applyFill="1" applyBorder="1" applyAlignment="1">
      <alignment horizontal="center" vertical="center" wrapText="1"/>
    </xf>
    <xf numFmtId="0" fontId="31" fillId="29" borderId="60" xfId="0" applyFont="1" applyFill="1" applyBorder="1" applyAlignment="1">
      <alignment horizontal="center" vertical="center" wrapText="1"/>
    </xf>
    <xf numFmtId="0" fontId="31" fillId="29" borderId="61" xfId="0" applyFont="1" applyFill="1" applyBorder="1" applyAlignment="1">
      <alignment horizontal="center" vertical="center" wrapText="1"/>
    </xf>
    <xf numFmtId="0" fontId="33" fillId="22" borderId="62" xfId="0" applyFont="1" applyFill="1" applyBorder="1" applyAlignment="1">
      <alignment horizontal="center"/>
    </xf>
    <xf numFmtId="0" fontId="33" fillId="22" borderId="63" xfId="0" applyFont="1" applyFill="1" applyBorder="1" applyAlignment="1">
      <alignment horizontal="center"/>
    </xf>
    <xf numFmtId="40" fontId="34" fillId="22" borderId="63" xfId="0" applyNumberFormat="1" applyFont="1" applyFill="1" applyBorder="1" applyAlignment="1">
      <alignment horizontal="right"/>
    </xf>
    <xf numFmtId="40" fontId="29" fillId="22" borderId="63" xfId="0" applyNumberFormat="1" applyFont="1" applyFill="1" applyBorder="1" applyAlignment="1">
      <alignment horizontal="right" vertical="center"/>
    </xf>
    <xf numFmtId="0" fontId="29" fillId="22" borderId="64" xfId="0" applyFont="1" applyFill="1" applyBorder="1" applyAlignment="1">
      <alignment horizontal="right" vertical="center"/>
    </xf>
    <xf numFmtId="0" fontId="31" fillId="8" borderId="59" xfId="0" applyFont="1" applyFill="1" applyBorder="1" applyAlignment="1">
      <alignment horizontal="center" vertical="center" wrapText="1"/>
    </xf>
    <xf numFmtId="0" fontId="31" fillId="8" borderId="60" xfId="0" applyFont="1" applyFill="1" applyBorder="1" applyAlignment="1">
      <alignment horizontal="center" vertical="center" wrapText="1"/>
    </xf>
    <xf numFmtId="0" fontId="31" fillId="8" borderId="61" xfId="0" applyFont="1" applyFill="1" applyBorder="1" applyAlignment="1">
      <alignment horizontal="center" vertical="center" wrapText="1"/>
    </xf>
    <xf numFmtId="175" fontId="33" fillId="22" borderId="63" xfId="0" applyNumberFormat="1" applyFont="1" applyFill="1" applyBorder="1"/>
    <xf numFmtId="175" fontId="34" fillId="22" borderId="63" xfId="0" applyNumberFormat="1" applyFont="1" applyFill="1" applyBorder="1" applyAlignment="1">
      <alignment horizontal="right"/>
    </xf>
    <xf numFmtId="175" fontId="29" fillId="22" borderId="63" xfId="0" applyNumberFormat="1" applyFont="1" applyFill="1" applyBorder="1" applyAlignment="1">
      <alignment horizontal="right" vertical="center"/>
    </xf>
    <xf numFmtId="175" fontId="15" fillId="0" borderId="49" xfId="0" applyNumberFormat="1" applyFont="1" applyBorder="1" applyAlignment="1">
      <alignment horizontal="right" vertical="center"/>
    </xf>
    <xf numFmtId="1" fontId="0" fillId="31" borderId="28" xfId="0" applyNumberFormat="1" applyFill="1" applyBorder="1"/>
    <xf numFmtId="1" fontId="0" fillId="2" borderId="28" xfId="0" applyNumberFormat="1" applyFill="1" applyBorder="1"/>
    <xf numFmtId="4" fontId="19" fillId="0" borderId="1" xfId="0" applyNumberFormat="1" applyFont="1" applyBorder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center" vertical="center"/>
    </xf>
    <xf numFmtId="0" fontId="2" fillId="10" borderId="28" xfId="0" applyFont="1" applyFill="1" applyBorder="1"/>
    <xf numFmtId="0" fontId="12" fillId="11" borderId="47" xfId="0" applyFont="1" applyFill="1" applyBorder="1" applyAlignment="1">
      <alignment horizontal="center" vertical="center" wrapText="1"/>
    </xf>
    <xf numFmtId="169" fontId="10" fillId="32" borderId="47" xfId="0" applyNumberFormat="1" applyFont="1" applyFill="1" applyBorder="1" applyAlignment="1">
      <alignment horizontal="center" vertical="center"/>
    </xf>
    <xf numFmtId="170" fontId="10" fillId="32" borderId="47" xfId="0" applyNumberFormat="1" applyFont="1" applyFill="1" applyBorder="1" applyAlignment="1">
      <alignment horizontal="center" vertical="center"/>
    </xf>
    <xf numFmtId="171" fontId="10" fillId="32" borderId="47" xfId="0" applyNumberFormat="1" applyFont="1" applyFill="1" applyBorder="1" applyAlignment="1">
      <alignment horizontal="center" vertical="center"/>
    </xf>
    <xf numFmtId="172" fontId="10" fillId="32" borderId="47" xfId="0" applyNumberFormat="1" applyFont="1" applyFill="1" applyBorder="1" applyAlignment="1">
      <alignment horizontal="center" vertical="center"/>
    </xf>
    <xf numFmtId="164" fontId="10" fillId="32" borderId="47" xfId="0" applyNumberFormat="1" applyFont="1" applyFill="1" applyBorder="1" applyAlignment="1">
      <alignment horizontal="center" vertical="center"/>
    </xf>
    <xf numFmtId="40" fontId="11" fillId="32" borderId="47" xfId="0" applyNumberFormat="1" applyFont="1" applyFill="1" applyBorder="1" applyAlignment="1">
      <alignment horizontal="right" vertical="center"/>
    </xf>
    <xf numFmtId="40" fontId="11" fillId="32" borderId="47" xfId="0" applyNumberFormat="1" applyFont="1" applyFill="1" applyBorder="1" applyAlignment="1">
      <alignment vertical="center"/>
    </xf>
    <xf numFmtId="169" fontId="10" fillId="28" borderId="47" xfId="0" applyNumberFormat="1" applyFont="1" applyFill="1" applyBorder="1" applyAlignment="1">
      <alignment horizontal="center" vertical="center"/>
    </xf>
    <xf numFmtId="171" fontId="10" fillId="28" borderId="47" xfId="0" applyNumberFormat="1" applyFont="1" applyFill="1" applyBorder="1" applyAlignment="1">
      <alignment horizontal="center" vertical="center"/>
    </xf>
    <xf numFmtId="172" fontId="10" fillId="28" borderId="47" xfId="0" applyNumberFormat="1" applyFont="1" applyFill="1" applyBorder="1" applyAlignment="1">
      <alignment horizontal="center" vertical="center"/>
    </xf>
    <xf numFmtId="164" fontId="10" fillId="28" borderId="47" xfId="0" applyNumberFormat="1" applyFont="1" applyFill="1" applyBorder="1" applyAlignment="1">
      <alignment horizontal="center" vertical="center"/>
    </xf>
    <xf numFmtId="0" fontId="10" fillId="28" borderId="47" xfId="0" applyFont="1" applyFill="1" applyBorder="1" applyAlignment="1">
      <alignment horizontal="left" vertical="center"/>
    </xf>
    <xf numFmtId="40" fontId="11" fillId="28" borderId="47" xfId="0" applyNumberFormat="1" applyFont="1" applyFill="1" applyBorder="1" applyAlignment="1">
      <alignment horizontal="right" vertical="center"/>
    </xf>
    <xf numFmtId="40" fontId="11" fillId="28" borderId="47" xfId="0" applyNumberFormat="1" applyFont="1" applyFill="1" applyBorder="1" applyAlignment="1">
      <alignment vertical="center"/>
    </xf>
    <xf numFmtId="40" fontId="11" fillId="28" borderId="47" xfId="0" applyNumberFormat="1" applyFont="1" applyFill="1" applyBorder="1" applyAlignment="1">
      <alignment horizontal="center" vertical="center"/>
    </xf>
    <xf numFmtId="0" fontId="10" fillId="28" borderId="47" xfId="0" applyFont="1" applyFill="1" applyBorder="1" applyAlignment="1">
      <alignment horizontal="center" vertical="center"/>
    </xf>
    <xf numFmtId="40" fontId="11" fillId="32" borderId="47" xfId="0" applyNumberFormat="1" applyFont="1" applyFill="1" applyBorder="1" applyAlignment="1">
      <alignment horizontal="center" vertical="center"/>
    </xf>
    <xf numFmtId="43" fontId="0" fillId="0" borderId="49" xfId="1" applyFont="1" applyBorder="1"/>
    <xf numFmtId="0" fontId="1" fillId="0" borderId="0" xfId="0" applyFont="1"/>
    <xf numFmtId="14" fontId="10" fillId="0" borderId="48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/>
    </xf>
    <xf numFmtId="175" fontId="15" fillId="0" borderId="47" xfId="0" applyNumberFormat="1" applyFont="1" applyBorder="1" applyAlignment="1">
      <alignment horizontal="right" vertical="center"/>
    </xf>
    <xf numFmtId="0" fontId="13" fillId="8" borderId="65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5" fillId="0" borderId="65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40" fontId="2" fillId="0" borderId="8" xfId="0" applyNumberFormat="1" applyFont="1" applyBorder="1" applyAlignment="1">
      <alignment horizontal="right"/>
    </xf>
    <xf numFmtId="40" fontId="10" fillId="0" borderId="8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7" fontId="9" fillId="9" borderId="2" xfId="0" applyNumberFormat="1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5" fillId="0" borderId="12" xfId="0" applyFont="1" applyBorder="1"/>
    <xf numFmtId="0" fontId="14" fillId="11" borderId="24" xfId="0" applyFont="1" applyFill="1" applyBorder="1" applyAlignment="1">
      <alignment horizontal="center" vertical="center"/>
    </xf>
    <xf numFmtId="0" fontId="5" fillId="0" borderId="25" xfId="0" applyFont="1" applyBorder="1"/>
    <xf numFmtId="0" fontId="5" fillId="0" borderId="26" xfId="0" applyFont="1" applyBorder="1"/>
    <xf numFmtId="166" fontId="8" fillId="7" borderId="2" xfId="0" applyNumberFormat="1" applyFont="1" applyFill="1" applyBorder="1" applyAlignment="1">
      <alignment horizontal="center" vertical="center"/>
    </xf>
    <xf numFmtId="167" fontId="8" fillId="7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165" fontId="17" fillId="15" borderId="2" xfId="0" applyNumberFormat="1" applyFont="1" applyFill="1" applyBorder="1" applyAlignment="1">
      <alignment horizontal="center" vertical="center"/>
    </xf>
    <xf numFmtId="168" fontId="8" fillId="8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4" fillId="11" borderId="27" xfId="0" applyFont="1" applyFill="1" applyBorder="1" applyAlignment="1">
      <alignment horizontal="center" vertical="center"/>
    </xf>
    <xf numFmtId="0" fontId="5" fillId="0" borderId="28" xfId="0" applyFont="1" applyBorder="1"/>
    <xf numFmtId="0" fontId="5" fillId="0" borderId="29" xfId="0" applyFont="1" applyBorder="1"/>
    <xf numFmtId="167" fontId="9" fillId="27" borderId="2" xfId="0" applyNumberFormat="1" applyFont="1" applyFill="1" applyBorder="1" applyAlignment="1">
      <alignment horizontal="center"/>
    </xf>
    <xf numFmtId="0" fontId="5" fillId="28" borderId="3" xfId="0" applyFont="1" applyFill="1" applyBorder="1"/>
    <xf numFmtId="0" fontId="5" fillId="28" borderId="4" xfId="0" applyFont="1" applyFill="1" applyBorder="1"/>
    <xf numFmtId="0" fontId="4" fillId="15" borderId="2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4" fillId="11" borderId="25" xfId="0" applyFont="1" applyFill="1" applyBorder="1" applyAlignment="1">
      <alignment horizontal="center" vertical="center"/>
    </xf>
    <xf numFmtId="0" fontId="14" fillId="11" borderId="26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17" fontId="23" fillId="19" borderId="30" xfId="0" applyNumberFormat="1" applyFont="1" applyFill="1" applyBorder="1" applyAlignment="1">
      <alignment horizontal="center" vertical="center"/>
    </xf>
    <xf numFmtId="0" fontId="5" fillId="0" borderId="31" xfId="0" applyFont="1" applyBorder="1"/>
    <xf numFmtId="0" fontId="5" fillId="0" borderId="32" xfId="0" applyFont="1" applyBorder="1"/>
    <xf numFmtId="176" fontId="24" fillId="0" borderId="43" xfId="0" applyNumberFormat="1" applyFont="1" applyBorder="1" applyAlignment="1">
      <alignment horizontal="center"/>
    </xf>
    <xf numFmtId="0" fontId="5" fillId="0" borderId="43" xfId="0" applyFont="1" applyBorder="1"/>
    <xf numFmtId="0" fontId="25" fillId="0" borderId="0" xfId="0" applyFont="1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6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6" tint="-0.499984740745262"/>
        <name val="Calibri"/>
        <scheme val="none"/>
      </font>
      <fill>
        <patternFill patternType="solid">
          <fgColor rgb="FFBFBFBF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rgb="FFA5A5A5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8" formatCode="#,##0.00;[Red]\-#,##0.00"/>
    </dxf>
    <dxf>
      <numFmt numFmtId="175" formatCode="#,##0.00_ ;[Red]\-#,##0.00\ "/>
    </dxf>
    <dxf>
      <numFmt numFmtId="175" formatCode="#,##0.00_ ;[Red]\-#,##0.00\ "/>
    </dxf>
    <dxf>
      <numFmt numFmtId="175" formatCode="#,##0.00_ ;[Red]\-#,##0.00\ "/>
    </dxf>
    <dxf>
      <numFmt numFmtId="175" formatCode="#,##0.00_ ;[Red]\-#,##0.00\ "/>
    </dxf>
    <dxf>
      <numFmt numFmtId="175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##\-########\-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1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0" formatCode="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9" formatCode="dd\-mm\-yy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#\-########\-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6" tint="-0.499984740745262"/>
        <name val="Calibri"/>
        <scheme val="none"/>
      </font>
      <fill>
        <patternFill patternType="solid">
          <fgColor rgb="FFC2D69B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6" tint="-0.499984740745262"/>
        <name val="Calibri"/>
        <scheme val="none"/>
      </font>
      <fill>
        <patternFill patternType="solid">
          <fgColor rgb="FFBFBFBF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Times New Roman"/>
        <scheme val="none"/>
      </font>
      <fill>
        <patternFill patternType="solid">
          <fgColor rgb="FFA5A5A5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#\-########\-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BFBFBF"/>
          <bgColor theme="6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A5A5A5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##\-########\-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2" formatCode="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0" formatCode="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dd\-mm\-yy"/>
      <alignment horizontal="center" vertical="center" textRotation="0" wrapText="0" indent="0" justifyLastLine="0" shrinkToFit="0" readingOrder="0"/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7"/>
          <bgColor theme="7"/>
        </patternFill>
      </fill>
    </dxf>
  </dxfs>
  <tableStyles count="80">
    <tableStyle name="Lista_CUIT-style" pivot="0" count="3" xr9:uid="{00000000-0011-0000-FFFF-FFFF00000000}">
      <tableStyleElement type="headerRow" dxfId="615"/>
      <tableStyleElement type="firstRowStripe" dxfId="614"/>
      <tableStyleElement type="secondRowStripe" dxfId="613"/>
    </tableStyle>
    <tableStyle name="Abr-24-style" pivot="0" count="4" xr9:uid="{00000000-0011-0000-FFFF-FFFF01000000}">
      <tableStyleElement type="headerRow" dxfId="612"/>
      <tableStyleElement type="totalRow" dxfId="611"/>
      <tableStyleElement type="firstRowStripe" dxfId="610"/>
      <tableStyleElement type="secondRowStripe" dxfId="609"/>
    </tableStyle>
    <tableStyle name="Abr-24-style 2" pivot="0" count="4" xr9:uid="{00000000-0011-0000-FFFF-FFFF02000000}">
      <tableStyleElement type="headerRow" dxfId="608"/>
      <tableStyleElement type="totalRow" dxfId="607"/>
      <tableStyleElement type="firstRowStripe" dxfId="606"/>
      <tableStyleElement type="secondRowStripe" dxfId="605"/>
    </tableStyle>
    <tableStyle name="Abr-24-style 3" pivot="0" count="4" xr9:uid="{00000000-0011-0000-FFFF-FFFF03000000}">
      <tableStyleElement type="headerRow" dxfId="604"/>
      <tableStyleElement type="totalRow" dxfId="603"/>
      <tableStyleElement type="firstRowStripe" dxfId="602"/>
      <tableStyleElement type="secondRowStripe" dxfId="601"/>
    </tableStyle>
    <tableStyle name="Abr-24-style 4" pivot="0" count="4" xr9:uid="{00000000-0011-0000-FFFF-FFFF04000000}">
      <tableStyleElement type="headerRow" dxfId="600"/>
      <tableStyleElement type="totalRow" dxfId="599"/>
      <tableStyleElement type="firstRowStripe" dxfId="598"/>
      <tableStyleElement type="secondRowStripe" dxfId="597"/>
    </tableStyle>
    <tableStyle name="Abr-24-style 5" pivot="0" count="4" xr9:uid="{00000000-0011-0000-FFFF-FFFF05000000}">
      <tableStyleElement type="headerRow" dxfId="596"/>
      <tableStyleElement type="totalRow" dxfId="595"/>
      <tableStyleElement type="firstRowStripe" dxfId="594"/>
      <tableStyleElement type="secondRowStripe" dxfId="593"/>
    </tableStyle>
    <tableStyle name="Abr-24-style 6" pivot="0" count="4" xr9:uid="{00000000-0011-0000-FFFF-FFFF06000000}">
      <tableStyleElement type="headerRow" dxfId="592"/>
      <tableStyleElement type="totalRow" dxfId="591"/>
      <tableStyleElement type="firstRowStripe" dxfId="590"/>
      <tableStyleElement type="secondRowStripe" dxfId="589"/>
    </tableStyle>
    <tableStyle name="Abr-24-style 7" pivot="0" count="3" xr9:uid="{00000000-0011-0000-FFFF-FFFF07000000}">
      <tableStyleElement type="headerRow" dxfId="588"/>
      <tableStyleElement type="firstRowStripe" dxfId="587"/>
      <tableStyleElement type="secondRowStripe" dxfId="586"/>
    </tableStyle>
    <tableStyle name="May-24-style" pivot="0" count="4" xr9:uid="{00000000-0011-0000-FFFF-FFFF08000000}">
      <tableStyleElement type="headerRow" dxfId="585"/>
      <tableStyleElement type="totalRow" dxfId="584"/>
      <tableStyleElement type="firstRowStripe" dxfId="583"/>
      <tableStyleElement type="secondRowStripe" dxfId="582"/>
    </tableStyle>
    <tableStyle name="May-24-style 2" pivot="0" count="4" xr9:uid="{00000000-0011-0000-FFFF-FFFF09000000}">
      <tableStyleElement type="headerRow" dxfId="581"/>
      <tableStyleElement type="totalRow" dxfId="580"/>
      <tableStyleElement type="firstRowStripe" dxfId="579"/>
      <tableStyleElement type="secondRowStripe" dxfId="578"/>
    </tableStyle>
    <tableStyle name="May-24-style 3" pivot="0" count="4" xr9:uid="{00000000-0011-0000-FFFF-FFFF0A000000}">
      <tableStyleElement type="headerRow" dxfId="577"/>
      <tableStyleElement type="totalRow" dxfId="576"/>
      <tableStyleElement type="firstRowStripe" dxfId="575"/>
      <tableStyleElement type="secondRowStripe" dxfId="574"/>
    </tableStyle>
    <tableStyle name="May-24-style 4" pivot="0" count="4" xr9:uid="{00000000-0011-0000-FFFF-FFFF0B000000}">
      <tableStyleElement type="headerRow" dxfId="573"/>
      <tableStyleElement type="totalRow" dxfId="572"/>
      <tableStyleElement type="firstRowStripe" dxfId="571"/>
      <tableStyleElement type="secondRowStripe" dxfId="570"/>
    </tableStyle>
    <tableStyle name="May-24-style 5" pivot="0" count="4" xr9:uid="{00000000-0011-0000-FFFF-FFFF0C000000}">
      <tableStyleElement type="headerRow" dxfId="569"/>
      <tableStyleElement type="totalRow" dxfId="568"/>
      <tableStyleElement type="firstRowStripe" dxfId="567"/>
      <tableStyleElement type="secondRowStripe" dxfId="566"/>
    </tableStyle>
    <tableStyle name="May-24-style 6" pivot="0" count="4" xr9:uid="{00000000-0011-0000-FFFF-FFFF0D000000}">
      <tableStyleElement type="headerRow" dxfId="565"/>
      <tableStyleElement type="totalRow" dxfId="564"/>
      <tableStyleElement type="firstRowStripe" dxfId="563"/>
      <tableStyleElement type="secondRowStripe" dxfId="562"/>
    </tableStyle>
    <tableStyle name="May-24-style 7" pivot="0" count="3" xr9:uid="{00000000-0011-0000-FFFF-FFFF0E000000}">
      <tableStyleElement type="headerRow" dxfId="561"/>
      <tableStyleElement type="firstRowStripe" dxfId="560"/>
      <tableStyleElement type="secondRowStripe" dxfId="559"/>
    </tableStyle>
    <tableStyle name="Jun-24-style" pivot="0" count="4" xr9:uid="{00000000-0011-0000-FFFF-FFFF0F000000}">
      <tableStyleElement type="headerRow" dxfId="558"/>
      <tableStyleElement type="totalRow" dxfId="557"/>
      <tableStyleElement type="firstRowStripe" dxfId="556"/>
      <tableStyleElement type="secondRowStripe" dxfId="555"/>
    </tableStyle>
    <tableStyle name="Jun-24-style 2" pivot="0" count="4" xr9:uid="{00000000-0011-0000-FFFF-FFFF10000000}">
      <tableStyleElement type="headerRow" dxfId="554"/>
      <tableStyleElement type="totalRow" dxfId="553"/>
      <tableStyleElement type="firstRowStripe" dxfId="552"/>
      <tableStyleElement type="secondRowStripe" dxfId="551"/>
    </tableStyle>
    <tableStyle name="Jun-24-style 3" pivot="0" count="4" xr9:uid="{00000000-0011-0000-FFFF-FFFF11000000}">
      <tableStyleElement type="headerRow" dxfId="550"/>
      <tableStyleElement type="totalRow" dxfId="549"/>
      <tableStyleElement type="firstRowStripe" dxfId="548"/>
      <tableStyleElement type="secondRowStripe" dxfId="547"/>
    </tableStyle>
    <tableStyle name="Jun-24-style 4" pivot="0" count="4" xr9:uid="{00000000-0011-0000-FFFF-FFFF12000000}">
      <tableStyleElement type="headerRow" dxfId="546"/>
      <tableStyleElement type="totalRow" dxfId="545"/>
      <tableStyleElement type="firstRowStripe" dxfId="544"/>
      <tableStyleElement type="secondRowStripe" dxfId="543"/>
    </tableStyle>
    <tableStyle name="Jun-24-style 5" pivot="0" count="4" xr9:uid="{00000000-0011-0000-FFFF-FFFF13000000}">
      <tableStyleElement type="headerRow" dxfId="542"/>
      <tableStyleElement type="totalRow" dxfId="541"/>
      <tableStyleElement type="firstRowStripe" dxfId="540"/>
      <tableStyleElement type="secondRowStripe" dxfId="539"/>
    </tableStyle>
    <tableStyle name="Jun-24-style 6" pivot="0" count="4" xr9:uid="{00000000-0011-0000-FFFF-FFFF14000000}">
      <tableStyleElement type="headerRow" dxfId="538"/>
      <tableStyleElement type="totalRow" dxfId="537"/>
      <tableStyleElement type="firstRowStripe" dxfId="536"/>
      <tableStyleElement type="secondRowStripe" dxfId="535"/>
    </tableStyle>
    <tableStyle name="Jul-24-style" pivot="0" count="4" xr9:uid="{00000000-0011-0000-FFFF-FFFF15000000}">
      <tableStyleElement type="headerRow" dxfId="534"/>
      <tableStyleElement type="totalRow" dxfId="533"/>
      <tableStyleElement type="firstRowStripe" dxfId="532"/>
      <tableStyleElement type="secondRowStripe" dxfId="531"/>
    </tableStyle>
    <tableStyle name="Jul-24-style 2" pivot="0" count="4" xr9:uid="{00000000-0011-0000-FFFF-FFFF16000000}">
      <tableStyleElement type="headerRow" dxfId="530"/>
      <tableStyleElement type="totalRow" dxfId="529"/>
      <tableStyleElement type="firstRowStripe" dxfId="528"/>
      <tableStyleElement type="secondRowStripe" dxfId="527"/>
    </tableStyle>
    <tableStyle name="Jul-24-style 3" pivot="0" count="4" xr9:uid="{00000000-0011-0000-FFFF-FFFF17000000}">
      <tableStyleElement type="headerRow" dxfId="526"/>
      <tableStyleElement type="totalRow" dxfId="525"/>
      <tableStyleElement type="firstRowStripe" dxfId="524"/>
      <tableStyleElement type="secondRowStripe" dxfId="523"/>
    </tableStyle>
    <tableStyle name="Jul-24-style 4" pivot="0" count="4" xr9:uid="{00000000-0011-0000-FFFF-FFFF18000000}">
      <tableStyleElement type="headerRow" dxfId="522"/>
      <tableStyleElement type="totalRow" dxfId="521"/>
      <tableStyleElement type="firstRowStripe" dxfId="520"/>
      <tableStyleElement type="secondRowStripe" dxfId="519"/>
    </tableStyle>
    <tableStyle name="Jul-24-style 5" pivot="0" count="4" xr9:uid="{00000000-0011-0000-FFFF-FFFF19000000}">
      <tableStyleElement type="headerRow" dxfId="518"/>
      <tableStyleElement type="totalRow" dxfId="517"/>
      <tableStyleElement type="firstRowStripe" dxfId="516"/>
      <tableStyleElement type="secondRowStripe" dxfId="515"/>
    </tableStyle>
    <tableStyle name="Jul-24-style 6" pivot="0" count="4" xr9:uid="{00000000-0011-0000-FFFF-FFFF1A000000}">
      <tableStyleElement type="headerRow" dxfId="514"/>
      <tableStyleElement type="totalRow" dxfId="513"/>
      <tableStyleElement type="firstRowStripe" dxfId="512"/>
      <tableStyleElement type="secondRowStripe" dxfId="511"/>
    </tableStyle>
    <tableStyle name="Jul-24-style 7" pivot="0" count="3" xr9:uid="{00000000-0011-0000-FFFF-FFFF1B000000}">
      <tableStyleElement type="headerRow" dxfId="510"/>
      <tableStyleElement type="firstRowStripe" dxfId="509"/>
      <tableStyleElement type="secondRowStripe" dxfId="508"/>
    </tableStyle>
    <tableStyle name="Ago-24-style" pivot="0" count="4" xr9:uid="{00000000-0011-0000-FFFF-FFFF1C000000}">
      <tableStyleElement type="headerRow" dxfId="507"/>
      <tableStyleElement type="totalRow" dxfId="506"/>
      <tableStyleElement type="firstRowStripe" dxfId="505"/>
      <tableStyleElement type="secondRowStripe" dxfId="504"/>
    </tableStyle>
    <tableStyle name="Ago-24-style 2" pivot="0" count="4" xr9:uid="{00000000-0011-0000-FFFF-FFFF1D000000}">
      <tableStyleElement type="headerRow" dxfId="503"/>
      <tableStyleElement type="totalRow" dxfId="502"/>
      <tableStyleElement type="firstRowStripe" dxfId="501"/>
      <tableStyleElement type="secondRowStripe" dxfId="500"/>
    </tableStyle>
    <tableStyle name="Ago-24-style 3" pivot="0" count="4" xr9:uid="{00000000-0011-0000-FFFF-FFFF1E000000}">
      <tableStyleElement type="headerRow" dxfId="499"/>
      <tableStyleElement type="totalRow" dxfId="498"/>
      <tableStyleElement type="firstRowStripe" dxfId="497"/>
      <tableStyleElement type="secondRowStripe" dxfId="496"/>
    </tableStyle>
    <tableStyle name="Ago-24-style 4" pivot="0" count="4" xr9:uid="{00000000-0011-0000-FFFF-FFFF1F000000}">
      <tableStyleElement type="headerRow" dxfId="495"/>
      <tableStyleElement type="totalRow" dxfId="494"/>
      <tableStyleElement type="firstRowStripe" dxfId="493"/>
      <tableStyleElement type="secondRowStripe" dxfId="492"/>
    </tableStyle>
    <tableStyle name="Ago-24-style 5" pivot="0" count="4" xr9:uid="{00000000-0011-0000-FFFF-FFFF20000000}">
      <tableStyleElement type="headerRow" dxfId="491"/>
      <tableStyleElement type="totalRow" dxfId="490"/>
      <tableStyleElement type="firstRowStripe" dxfId="489"/>
      <tableStyleElement type="secondRowStripe" dxfId="488"/>
    </tableStyle>
    <tableStyle name="Ago-24-style 6" pivot="0" count="4" xr9:uid="{00000000-0011-0000-FFFF-FFFF21000000}">
      <tableStyleElement type="headerRow" dxfId="487"/>
      <tableStyleElement type="totalRow" dxfId="486"/>
      <tableStyleElement type="firstRowStripe" dxfId="485"/>
      <tableStyleElement type="secondRowStripe" dxfId="484"/>
    </tableStyle>
    <tableStyle name="Ago-24-style 7" pivot="0" count="3" xr9:uid="{00000000-0011-0000-FFFF-FFFF22000000}">
      <tableStyleElement type="headerRow" dxfId="483"/>
      <tableStyleElement type="firstRowStripe" dxfId="482"/>
      <tableStyleElement type="secondRowStripe" dxfId="481"/>
    </tableStyle>
    <tableStyle name="Sept-24-style" pivot="0" count="4" xr9:uid="{00000000-0011-0000-FFFF-FFFF23000000}">
      <tableStyleElement type="headerRow" dxfId="480"/>
      <tableStyleElement type="totalRow" dxfId="479"/>
      <tableStyleElement type="firstRowStripe" dxfId="478"/>
      <tableStyleElement type="secondRowStripe" dxfId="477"/>
    </tableStyle>
    <tableStyle name="Sept-24-style 2" pivot="0" count="4" xr9:uid="{00000000-0011-0000-FFFF-FFFF24000000}">
      <tableStyleElement type="headerRow" dxfId="476"/>
      <tableStyleElement type="totalRow" dxfId="475"/>
      <tableStyleElement type="firstRowStripe" dxfId="474"/>
      <tableStyleElement type="secondRowStripe" dxfId="473"/>
    </tableStyle>
    <tableStyle name="Sept-24-style 3" pivot="0" count="4" xr9:uid="{00000000-0011-0000-FFFF-FFFF25000000}">
      <tableStyleElement type="headerRow" dxfId="472"/>
      <tableStyleElement type="totalRow" dxfId="471"/>
      <tableStyleElement type="firstRowStripe" dxfId="470"/>
      <tableStyleElement type="secondRowStripe" dxfId="469"/>
    </tableStyle>
    <tableStyle name="Sept-24-style 4" pivot="0" count="4" xr9:uid="{00000000-0011-0000-FFFF-FFFF26000000}">
      <tableStyleElement type="headerRow" dxfId="468"/>
      <tableStyleElement type="totalRow" dxfId="467"/>
      <tableStyleElement type="firstRowStripe" dxfId="466"/>
      <tableStyleElement type="secondRowStripe" dxfId="465"/>
    </tableStyle>
    <tableStyle name="Sept-24-style 5" pivot="0" count="4" xr9:uid="{00000000-0011-0000-FFFF-FFFF27000000}">
      <tableStyleElement type="headerRow" dxfId="464"/>
      <tableStyleElement type="totalRow" dxfId="463"/>
      <tableStyleElement type="firstRowStripe" dxfId="462"/>
      <tableStyleElement type="secondRowStripe" dxfId="461"/>
    </tableStyle>
    <tableStyle name="Sept-24-style 6" pivot="0" count="4" xr9:uid="{00000000-0011-0000-FFFF-FFFF28000000}">
      <tableStyleElement type="headerRow" dxfId="460"/>
      <tableStyleElement type="totalRow" dxfId="459"/>
      <tableStyleElement type="firstRowStripe" dxfId="458"/>
      <tableStyleElement type="secondRowStripe" dxfId="457"/>
    </tableStyle>
    <tableStyle name="Sept-24-style 7" pivot="0" count="3" xr9:uid="{00000000-0011-0000-FFFF-FFFF29000000}">
      <tableStyleElement type="headerRow" dxfId="456"/>
      <tableStyleElement type="firstRowStripe" dxfId="455"/>
      <tableStyleElement type="secondRowStripe" dxfId="454"/>
    </tableStyle>
    <tableStyle name="Oct-24-style" pivot="0" count="4" xr9:uid="{00000000-0011-0000-FFFF-FFFF2A000000}">
      <tableStyleElement type="headerRow" dxfId="453"/>
      <tableStyleElement type="totalRow" dxfId="452"/>
      <tableStyleElement type="firstRowStripe" dxfId="451"/>
      <tableStyleElement type="secondRowStripe" dxfId="450"/>
    </tableStyle>
    <tableStyle name="Oct-24-style 2" pivot="0" count="4" xr9:uid="{00000000-0011-0000-FFFF-FFFF2B000000}">
      <tableStyleElement type="headerRow" dxfId="449"/>
      <tableStyleElement type="totalRow" dxfId="448"/>
      <tableStyleElement type="firstRowStripe" dxfId="447"/>
      <tableStyleElement type="secondRowStripe" dxfId="446"/>
    </tableStyle>
    <tableStyle name="Oct-24-style 3" pivot="0" count="4" xr9:uid="{00000000-0011-0000-FFFF-FFFF2C000000}">
      <tableStyleElement type="headerRow" dxfId="445"/>
      <tableStyleElement type="totalRow" dxfId="444"/>
      <tableStyleElement type="firstRowStripe" dxfId="443"/>
      <tableStyleElement type="secondRowStripe" dxfId="442"/>
    </tableStyle>
    <tableStyle name="Oct-24-style 4" pivot="0" count="4" xr9:uid="{00000000-0011-0000-FFFF-FFFF2D000000}">
      <tableStyleElement type="headerRow" dxfId="441"/>
      <tableStyleElement type="totalRow" dxfId="440"/>
      <tableStyleElement type="firstRowStripe" dxfId="439"/>
      <tableStyleElement type="secondRowStripe" dxfId="438"/>
    </tableStyle>
    <tableStyle name="Oct-24-style 5" pivot="0" count="4" xr9:uid="{00000000-0011-0000-FFFF-FFFF2E000000}">
      <tableStyleElement type="headerRow" dxfId="437"/>
      <tableStyleElement type="totalRow" dxfId="436"/>
      <tableStyleElement type="firstRowStripe" dxfId="435"/>
      <tableStyleElement type="secondRowStripe" dxfId="434"/>
    </tableStyle>
    <tableStyle name="Oct-24-style 6" pivot="0" count="3" xr9:uid="{00000000-0011-0000-FFFF-FFFF2F000000}">
      <tableStyleElement type="headerRow" dxfId="433"/>
      <tableStyleElement type="firstRowStripe" dxfId="432"/>
      <tableStyleElement type="secondRowStripe" dxfId="431"/>
    </tableStyle>
    <tableStyle name="Nov-24-style" pivot="0" count="4" xr9:uid="{00000000-0011-0000-FFFF-FFFF30000000}">
      <tableStyleElement type="headerRow" dxfId="430"/>
      <tableStyleElement type="totalRow" dxfId="429"/>
      <tableStyleElement type="firstRowStripe" dxfId="428"/>
      <tableStyleElement type="secondRowStripe" dxfId="427"/>
    </tableStyle>
    <tableStyle name="Nov-24-style 2" pivot="0" count="4" xr9:uid="{00000000-0011-0000-FFFF-FFFF31000000}">
      <tableStyleElement type="headerRow" dxfId="426"/>
      <tableStyleElement type="totalRow" dxfId="425"/>
      <tableStyleElement type="firstRowStripe" dxfId="424"/>
      <tableStyleElement type="secondRowStripe" dxfId="423"/>
    </tableStyle>
    <tableStyle name="Nov-24-style 3" pivot="0" count="4" xr9:uid="{00000000-0011-0000-FFFF-FFFF32000000}">
      <tableStyleElement type="headerRow" dxfId="422"/>
      <tableStyleElement type="totalRow" dxfId="421"/>
      <tableStyleElement type="firstRowStripe" dxfId="420"/>
      <tableStyleElement type="secondRowStripe" dxfId="419"/>
    </tableStyle>
    <tableStyle name="Nov-24-style 4" pivot="0" count="4" xr9:uid="{00000000-0011-0000-FFFF-FFFF33000000}">
      <tableStyleElement type="headerRow" dxfId="418"/>
      <tableStyleElement type="totalRow" dxfId="417"/>
      <tableStyleElement type="firstRowStripe" dxfId="416"/>
      <tableStyleElement type="secondRowStripe" dxfId="415"/>
    </tableStyle>
    <tableStyle name="Nov-24-style 5" pivot="0" count="4" xr9:uid="{00000000-0011-0000-FFFF-FFFF34000000}">
      <tableStyleElement type="headerRow" dxfId="414"/>
      <tableStyleElement type="totalRow" dxfId="413"/>
      <tableStyleElement type="firstRowStripe" dxfId="412"/>
      <tableStyleElement type="secondRowStripe" dxfId="411"/>
    </tableStyle>
    <tableStyle name="Nov-24-style 6" pivot="0" count="3" xr9:uid="{00000000-0011-0000-FFFF-FFFF35000000}">
      <tableStyleElement type="headerRow" dxfId="410"/>
      <tableStyleElement type="firstRowStripe" dxfId="409"/>
      <tableStyleElement type="secondRowStripe" dxfId="408"/>
    </tableStyle>
    <tableStyle name="Dic-24-style" pivot="0" count="4" xr9:uid="{00000000-0011-0000-FFFF-FFFF36000000}">
      <tableStyleElement type="headerRow" dxfId="407"/>
      <tableStyleElement type="totalRow" dxfId="406"/>
      <tableStyleElement type="firstRowStripe" dxfId="405"/>
      <tableStyleElement type="secondRowStripe" dxfId="404"/>
    </tableStyle>
    <tableStyle name="Dic-24-style 2" pivot="0" count="4" xr9:uid="{00000000-0011-0000-FFFF-FFFF37000000}">
      <tableStyleElement type="headerRow" dxfId="403"/>
      <tableStyleElement type="totalRow" dxfId="402"/>
      <tableStyleElement type="firstRowStripe" dxfId="401"/>
      <tableStyleElement type="secondRowStripe" dxfId="400"/>
    </tableStyle>
    <tableStyle name="Dic-24-style 3" pivot="0" count="4" xr9:uid="{00000000-0011-0000-FFFF-FFFF38000000}">
      <tableStyleElement type="headerRow" dxfId="399"/>
      <tableStyleElement type="totalRow" dxfId="398"/>
      <tableStyleElement type="firstRowStripe" dxfId="397"/>
      <tableStyleElement type="secondRowStripe" dxfId="396"/>
    </tableStyle>
    <tableStyle name="Dic-24-style 4" pivot="0" count="4" xr9:uid="{00000000-0011-0000-FFFF-FFFF39000000}">
      <tableStyleElement type="headerRow" dxfId="395"/>
      <tableStyleElement type="totalRow" dxfId="394"/>
      <tableStyleElement type="firstRowStripe" dxfId="393"/>
      <tableStyleElement type="secondRowStripe" dxfId="392"/>
    </tableStyle>
    <tableStyle name="Dic-24-style 5" pivot="0" count="4" xr9:uid="{00000000-0011-0000-FFFF-FFFF3A000000}">
      <tableStyleElement type="headerRow" dxfId="391"/>
      <tableStyleElement type="totalRow" dxfId="390"/>
      <tableStyleElement type="firstRowStripe" dxfId="389"/>
      <tableStyleElement type="secondRowStripe" dxfId="388"/>
    </tableStyle>
    <tableStyle name="Dic-24-style 6" pivot="0" count="4" xr9:uid="{00000000-0011-0000-FFFF-FFFF3B000000}">
      <tableStyleElement type="headerRow" dxfId="387"/>
      <tableStyleElement type="totalRow" dxfId="386"/>
      <tableStyleElement type="firstRowStripe" dxfId="385"/>
      <tableStyleElement type="secondRowStripe" dxfId="384"/>
    </tableStyle>
    <tableStyle name="Dic-24-style 7" pivot="0" count="3" xr9:uid="{00000000-0011-0000-FFFF-FFFF3C000000}">
      <tableStyleElement type="headerRow" dxfId="383"/>
      <tableStyleElement type="firstRowStripe" dxfId="382"/>
      <tableStyleElement type="secondRowStripe" dxfId="381"/>
    </tableStyle>
    <tableStyle name="Ene-25-style" pivot="0" count="4" xr9:uid="{00000000-0011-0000-FFFF-FFFF3D000000}">
      <tableStyleElement type="headerRow" dxfId="380"/>
      <tableStyleElement type="totalRow" dxfId="379"/>
      <tableStyleElement type="firstRowStripe" dxfId="378"/>
      <tableStyleElement type="secondRowStripe" dxfId="377"/>
    </tableStyle>
    <tableStyle name="Ene-25-style 2" pivot="0" count="4" xr9:uid="{00000000-0011-0000-FFFF-FFFF3E000000}">
      <tableStyleElement type="headerRow" dxfId="376"/>
      <tableStyleElement type="totalRow" dxfId="375"/>
      <tableStyleElement type="firstRowStripe" dxfId="374"/>
      <tableStyleElement type="secondRowStripe" dxfId="373"/>
    </tableStyle>
    <tableStyle name="Ene-25-style 3" pivot="0" count="4" xr9:uid="{00000000-0011-0000-FFFF-FFFF3F000000}">
      <tableStyleElement type="headerRow" dxfId="372"/>
      <tableStyleElement type="totalRow" dxfId="371"/>
      <tableStyleElement type="firstRowStripe" dxfId="370"/>
      <tableStyleElement type="secondRowStripe" dxfId="369"/>
    </tableStyle>
    <tableStyle name="Ene-25-style 4" pivot="0" count="4" xr9:uid="{00000000-0011-0000-FFFF-FFFF40000000}">
      <tableStyleElement type="headerRow" dxfId="368"/>
      <tableStyleElement type="totalRow" dxfId="367"/>
      <tableStyleElement type="firstRowStripe" dxfId="366"/>
      <tableStyleElement type="secondRowStripe" dxfId="365"/>
    </tableStyle>
    <tableStyle name="Ene-25-style 5" pivot="0" count="4" xr9:uid="{00000000-0011-0000-FFFF-FFFF41000000}">
      <tableStyleElement type="headerRow" dxfId="364"/>
      <tableStyleElement type="totalRow" dxfId="363"/>
      <tableStyleElement type="firstRowStripe" dxfId="362"/>
      <tableStyleElement type="secondRowStripe" dxfId="361"/>
    </tableStyle>
    <tableStyle name="Ene-25-style 6" pivot="0" count="3" xr9:uid="{00000000-0011-0000-FFFF-FFFF42000000}">
      <tableStyleElement type="headerRow" dxfId="360"/>
      <tableStyleElement type="firstRowStripe" dxfId="359"/>
      <tableStyleElement type="secondRowStripe" dxfId="358"/>
    </tableStyle>
    <tableStyle name="Feb-25-style" pivot="0" count="4" xr9:uid="{00000000-0011-0000-FFFF-FFFF43000000}">
      <tableStyleElement type="headerRow" dxfId="357"/>
      <tableStyleElement type="totalRow" dxfId="356"/>
      <tableStyleElement type="firstRowStripe" dxfId="355"/>
      <tableStyleElement type="secondRowStripe" dxfId="354"/>
    </tableStyle>
    <tableStyle name="Feb-25-style 2" pivot="0" count="4" xr9:uid="{00000000-0011-0000-FFFF-FFFF44000000}">
      <tableStyleElement type="headerRow" dxfId="353"/>
      <tableStyleElement type="totalRow" dxfId="352"/>
      <tableStyleElement type="firstRowStripe" dxfId="351"/>
      <tableStyleElement type="secondRowStripe" dxfId="350"/>
    </tableStyle>
    <tableStyle name="Feb-25-style 3" pivot="0" count="4" xr9:uid="{00000000-0011-0000-FFFF-FFFF45000000}">
      <tableStyleElement type="headerRow" dxfId="349"/>
      <tableStyleElement type="totalRow" dxfId="348"/>
      <tableStyleElement type="firstRowStripe" dxfId="347"/>
      <tableStyleElement type="secondRowStripe" dxfId="346"/>
    </tableStyle>
    <tableStyle name="Feb-25-style 4" pivot="0" count="4" xr9:uid="{00000000-0011-0000-FFFF-FFFF46000000}">
      <tableStyleElement type="headerRow" dxfId="345"/>
      <tableStyleElement type="totalRow" dxfId="344"/>
      <tableStyleElement type="firstRowStripe" dxfId="343"/>
      <tableStyleElement type="secondRowStripe" dxfId="342"/>
    </tableStyle>
    <tableStyle name="Feb-25-style 5" pivot="0" count="4" xr9:uid="{00000000-0011-0000-FFFF-FFFF47000000}">
      <tableStyleElement type="headerRow" dxfId="341"/>
      <tableStyleElement type="totalRow" dxfId="340"/>
      <tableStyleElement type="firstRowStripe" dxfId="339"/>
      <tableStyleElement type="secondRowStripe" dxfId="338"/>
    </tableStyle>
    <tableStyle name="Feb-25-style 6" pivot="0" count="4" xr9:uid="{00000000-0011-0000-FFFF-FFFF48000000}">
      <tableStyleElement type="headerRow" dxfId="337"/>
      <tableStyleElement type="totalRow" dxfId="336"/>
      <tableStyleElement type="firstRowStripe" dxfId="335"/>
      <tableStyleElement type="secondRowStripe" dxfId="334"/>
    </tableStyle>
    <tableStyle name="Feb-25-style 7" pivot="0" count="3" xr9:uid="{00000000-0011-0000-FFFF-FFFF49000000}">
      <tableStyleElement type="headerRow" dxfId="333"/>
      <tableStyleElement type="firstRowStripe" dxfId="332"/>
      <tableStyleElement type="secondRowStripe" dxfId="331"/>
    </tableStyle>
    <tableStyle name="Mar-25-style" pivot="0" count="4" xr9:uid="{00000000-0011-0000-FFFF-FFFF4A000000}">
      <tableStyleElement type="headerRow" dxfId="330"/>
      <tableStyleElement type="totalRow" dxfId="329"/>
      <tableStyleElement type="firstRowStripe" dxfId="328"/>
      <tableStyleElement type="secondRowStripe" dxfId="327"/>
    </tableStyle>
    <tableStyle name="Mar-25-style 2" pivot="0" count="4" xr9:uid="{00000000-0011-0000-FFFF-FFFF4B000000}">
      <tableStyleElement type="headerRow" dxfId="326"/>
      <tableStyleElement type="totalRow" dxfId="325"/>
      <tableStyleElement type="firstRowStripe" dxfId="324"/>
      <tableStyleElement type="secondRowStripe" dxfId="323"/>
    </tableStyle>
    <tableStyle name="Mar-25-style 3" pivot="0" count="4" xr9:uid="{00000000-0011-0000-FFFF-FFFF4C000000}">
      <tableStyleElement type="headerRow" dxfId="322"/>
      <tableStyleElement type="totalRow" dxfId="321"/>
      <tableStyleElement type="firstRowStripe" dxfId="320"/>
      <tableStyleElement type="secondRowStripe" dxfId="319"/>
    </tableStyle>
    <tableStyle name="Mar-25-style 4" pivot="0" count="4" xr9:uid="{00000000-0011-0000-FFFF-FFFF4D000000}">
      <tableStyleElement type="headerRow" dxfId="318"/>
      <tableStyleElement type="totalRow" dxfId="317"/>
      <tableStyleElement type="firstRowStripe" dxfId="316"/>
      <tableStyleElement type="secondRowStripe" dxfId="315"/>
    </tableStyle>
    <tableStyle name="Mar-25-style 5" pivot="0" count="4" xr9:uid="{00000000-0011-0000-FFFF-FFFF4E000000}">
      <tableStyleElement type="headerRow" dxfId="314"/>
      <tableStyleElement type="totalRow" dxfId="313"/>
      <tableStyleElement type="firstRowStripe" dxfId="312"/>
      <tableStyleElement type="secondRowStripe" dxfId="311"/>
    </tableStyle>
    <tableStyle name="Mar-25-style 6" pivot="0" count="3" xr9:uid="{00000000-0011-0000-FFFF-FFFF4F000000}">
      <tableStyleElement type="headerRow" dxfId="310"/>
      <tableStyleElement type="firstRowStripe" dxfId="309"/>
      <tableStyleElement type="secondRowStripe" dxfId="3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228600</xdr:colOff>
      <xdr:row>2</xdr:row>
      <xdr:rowOff>38100</xdr:rowOff>
    </xdr:from>
    <xdr:ext cx="2162175" cy="1790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200025</xdr:colOff>
      <xdr:row>11</xdr:row>
      <xdr:rowOff>133350</xdr:rowOff>
    </xdr:from>
    <xdr:ext cx="2143125" cy="3714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481">
  <autoFilter ref="A1:D1481" xr:uid="{00000000-0009-0000-0100-000001000000}"/>
  <sortState xmlns:xlrd2="http://schemas.microsoft.com/office/spreadsheetml/2017/richdata2" ref="A1107:D1251">
    <sortCondition ref="B1:B1481"/>
  </sortState>
  <tableColumns count="4">
    <tableColumn id="1" xr3:uid="{00000000-0010-0000-0000-000001000000}" name="CUIT"/>
    <tableColumn id="2" xr3:uid="{00000000-0010-0000-0000-000002000000}" name="RAZON SOCIAL"/>
    <tableColumn id="3" xr3:uid="{00000000-0010-0000-0000-000003000000}" name="Tipo de Gasto"/>
    <tableColumn id="4" xr3:uid="{00000000-0010-0000-0000-000004000000}" name="PROVINCIA"/>
  </tableColumns>
  <tableStyleInfo name="Lista_CU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8:R40">
  <autoFilter ref="B8:R40" xr:uid="{00000000-0009-0000-0100-000002000000}"/>
  <tableColumns count="17">
    <tableColumn id="1" xr3:uid="{00000000-0010-0000-0100-000001000000}" name="FECHA"/>
    <tableColumn id="2" xr3:uid="{00000000-0010-0000-0100-000002000000}" name="TIPO"/>
    <tableColumn id="3" xr3:uid="{00000000-0010-0000-0100-000003000000}" name="PTO VTA"/>
    <tableColumn id="4" xr3:uid="{00000000-0010-0000-0100-000004000000}" name="NRO. CPTE"/>
    <tableColumn id="5" xr3:uid="{00000000-0010-0000-0100-000005000000}" name="CUIT"/>
    <tableColumn id="6" xr3:uid="{00000000-0010-0000-0100-000006000000}" name="RAZON SOCIAL"/>
    <tableColumn id="7" xr3:uid="{00000000-0010-0000-0100-000007000000}" name="NETO GRAVADO"/>
    <tableColumn id="8" xr3:uid="{00000000-0010-0000-0100-000008000000}" name="IVA 21 %"/>
    <tableColumn id="9" xr3:uid="{00000000-0010-0000-0100-000009000000}" name="IVA 27%"/>
    <tableColumn id="10" xr3:uid="{00000000-0010-0000-0100-00000A000000}" name="IVA 10,5%"/>
    <tableColumn id="11" xr3:uid="{00000000-0010-0000-0100-00000B000000}" name="PERC. IVA"/>
    <tableColumn id="12" xr3:uid="{00000000-0010-0000-0100-00000C000000}" name="PERC IIBB _x000a_BS AS"/>
    <tableColumn id="13" xr3:uid="{00000000-0010-0000-0100-00000D000000}" name="PERC. IIBB CABA"/>
    <tableColumn id="14" xr3:uid="{00000000-0010-0000-0100-00000E000000}" name="Otros / No Grav."/>
    <tableColumn id="15" xr3:uid="{00000000-0010-0000-0100-00000F000000}" name="TOTAL"/>
    <tableColumn id="16" xr3:uid="{00000000-0010-0000-0100-000010000000}" name="Tipo de Gasto"/>
    <tableColumn id="17" xr3:uid="{00000000-0010-0000-0100-000011000000}" name="Provincia"/>
  </tableColumns>
  <tableStyleInfo name="Abr-2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46:M57">
  <tableColumns count="10">
    <tableColumn id="1" xr3:uid="{00000000-0010-0000-0200-000001000000}" name="FECHA"/>
    <tableColumn id="2" xr3:uid="{00000000-0010-0000-0200-000002000000}" name="NRO CPTE"/>
    <tableColumn id="3" xr3:uid="{00000000-0010-0000-0200-000003000000}" name="BANCO"/>
    <tableColumn id="4" xr3:uid="{00000000-0010-0000-0200-000004000000}" name="NETO"/>
    <tableColumn id="5" xr3:uid="{00000000-0010-0000-0200-000005000000}" name="IVA 21%"/>
    <tableColumn id="6" xr3:uid="{00000000-0010-0000-0200-000006000000}" name="IVA 10,5%"/>
    <tableColumn id="7" xr3:uid="{00000000-0010-0000-0200-000007000000}" name="RET IIBB CABA"/>
    <tableColumn id="8" xr3:uid="{00000000-0010-0000-0200-000008000000}" name="PERC IVA"/>
    <tableColumn id="9" xr3:uid="{00000000-0010-0000-0200-000009000000}" name="PERC IIBB"/>
    <tableColumn id="10" xr3:uid="{00000000-0010-0000-0200-00000A000000}" name="total"/>
  </tableColumns>
  <tableStyleInfo name="Abr-24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62:K80">
  <tableColumns count="8">
    <tableColumn id="1" xr3:uid="{00000000-0010-0000-0300-000001000000}" name="FECHA"/>
    <tableColumn id="2" xr3:uid="{00000000-0010-0000-0300-000002000000}" name="PTO VTA"/>
    <tableColumn id="3" xr3:uid="{00000000-0010-0000-0300-000003000000}" name="FC Nº"/>
    <tableColumn id="4" xr3:uid="{00000000-0010-0000-0300-000004000000}" name="CUIT"/>
    <tableColumn id="5" xr3:uid="{00000000-0010-0000-0300-000005000000}" name="RAZON SOCIAL"/>
    <tableColumn id="6" xr3:uid="{00000000-0010-0000-0300-000006000000}" name="TOTAL"/>
    <tableColumn id="7" xr3:uid="{00000000-0010-0000-0300-000007000000}" name="TIPO DE GASTO"/>
    <tableColumn id="8" xr3:uid="{00000000-0010-0000-0300-000008000000}" name="Provincia"/>
  </tableColumns>
  <tableStyleInfo name="Abr-24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85:M96">
  <tableColumns count="12">
    <tableColumn id="1" xr3:uid="{00000000-0010-0000-0400-000001000000}" name="FECHA"/>
    <tableColumn id="2" xr3:uid="{00000000-0010-0000-0400-000002000000}" name="TIPO"/>
    <tableColumn id="3" xr3:uid="{00000000-0010-0000-0400-000003000000}" name="PTO VENTA"/>
    <tableColumn id="4" xr3:uid="{00000000-0010-0000-0400-000004000000}" name="Nº FACTURA"/>
    <tableColumn id="5" xr3:uid="{00000000-0010-0000-0400-000005000000}" name="CUIT"/>
    <tableColumn id="6" xr3:uid="{00000000-0010-0000-0400-000006000000}" name="RAZON SOCIAL"/>
    <tableColumn id="7" xr3:uid="{00000000-0010-0000-0400-000007000000}" name="IMPORTE NETO"/>
    <tableColumn id="8" xr3:uid="{00000000-0010-0000-0400-000008000000}" name="IVA 21%"/>
    <tableColumn id="9" xr3:uid="{00000000-0010-0000-0400-000009000000}" name="IVA 10,5%"/>
    <tableColumn id="10" xr3:uid="{00000000-0010-0000-0400-00000A000000}" name="EXENTO"/>
    <tableColumn id="11" xr3:uid="{00000000-0010-0000-0400-00000B000000}" name="TOTAL"/>
    <tableColumn id="12" xr3:uid="{00000000-0010-0000-0400-00000C000000}" name="Provincia"/>
  </tableColumns>
  <tableStyleInfo name="Abr-24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99:M106">
  <tableColumns count="12">
    <tableColumn id="1" xr3:uid="{00000000-0010-0000-0500-000001000000}" name="FECHA"/>
    <tableColumn id="2" xr3:uid="{00000000-0010-0000-0500-000002000000}" name="TIPO"/>
    <tableColumn id="3" xr3:uid="{00000000-0010-0000-0500-000003000000}" name="PTO VENTA"/>
    <tableColumn id="4" xr3:uid="{00000000-0010-0000-0500-000004000000}" name="Nº FACTURA"/>
    <tableColumn id="5" xr3:uid="{00000000-0010-0000-0500-000005000000}" name="CUIT"/>
    <tableColumn id="6" xr3:uid="{00000000-0010-0000-0500-000006000000}" name="RAZON SOCIAL"/>
    <tableColumn id="7" xr3:uid="{00000000-0010-0000-0500-000007000000}" name="IMPORTE NETO"/>
    <tableColumn id="8" xr3:uid="{00000000-0010-0000-0500-000008000000}" name="IVA 21%"/>
    <tableColumn id="9" xr3:uid="{00000000-0010-0000-0500-000009000000}" name="IVA 10,5%"/>
    <tableColumn id="10" xr3:uid="{00000000-0010-0000-0500-00000A000000}" name="EXENTO"/>
    <tableColumn id="11" xr3:uid="{00000000-0010-0000-0500-00000B000000}" name="TOTAL"/>
    <tableColumn id="12" xr3:uid="{00000000-0010-0000-0500-00000C000000}" name="Provincia"/>
  </tableColumns>
  <tableStyleInfo name="Abr-24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10:M115">
  <tableColumns count="12">
    <tableColumn id="1" xr3:uid="{00000000-0010-0000-0600-000001000000}" name="FECHA"/>
    <tableColumn id="2" xr3:uid="{00000000-0010-0000-0600-000002000000}" name="TIPO"/>
    <tableColumn id="3" xr3:uid="{00000000-0010-0000-0600-000003000000}" name="PTO VENTA"/>
    <tableColumn id="4" xr3:uid="{00000000-0010-0000-0600-000004000000}" name="Nº FACTURA"/>
    <tableColumn id="5" xr3:uid="{00000000-0010-0000-0600-000005000000}" name="CUIT"/>
    <tableColumn id="6" xr3:uid="{00000000-0010-0000-0600-000006000000}" name="RAZON SOCIAL"/>
    <tableColumn id="7" xr3:uid="{00000000-0010-0000-0600-000007000000}" name="USD"/>
    <tableColumn id="8" xr3:uid="{00000000-0010-0000-0600-000008000000}" name="Columna2"/>
    <tableColumn id="9" xr3:uid="{00000000-0010-0000-0600-000009000000}" name="Columna1"/>
    <tableColumn id="10" xr3:uid="{00000000-0010-0000-0600-00000A000000}" name="TIPO DE CAMBIO2"/>
    <tableColumn id="11" xr3:uid="{00000000-0010-0000-0600-00000B000000}" name="TOTAL"/>
    <tableColumn id="12" xr3:uid="{00000000-0010-0000-0600-00000C000000}" name="Provincia"/>
  </tableColumns>
  <tableStyleInfo name="Abr-24-style 6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18:L123">
  <tableColumns count="10">
    <tableColumn id="1" xr3:uid="{00000000-0010-0000-0700-000001000000}" name="FECHA "/>
    <tableColumn id="2" xr3:uid="{00000000-0010-0000-0700-000002000000}" name="COMP Nº"/>
    <tableColumn id="3" xr3:uid="{00000000-0010-0000-0700-000003000000}" name="Columna1"/>
    <tableColumn id="4" xr3:uid="{00000000-0010-0000-0700-000004000000}" name="CUIT"/>
    <tableColumn id="5" xr3:uid="{00000000-0010-0000-0700-000005000000}" name="RAZON SOCIAL"/>
    <tableColumn id="6" xr3:uid="{00000000-0010-0000-0700-000006000000}" name="Ganancias"/>
    <tableColumn id="7" xr3:uid="{00000000-0010-0000-0700-000007000000}" name="IVA"/>
    <tableColumn id="8" xr3:uid="{00000000-0010-0000-0700-000008000000}" name="SUSS"/>
    <tableColumn id="9" xr3:uid="{00000000-0010-0000-0700-000009000000}" name="IIBB BSAS"/>
    <tableColumn id="10" xr3:uid="{00000000-0010-0000-0700-00000A000000}" name="IIBB CABA"/>
  </tableColumns>
  <tableStyleInfo name="Abr-24-style 7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8:R30">
  <autoFilter ref="B8:R30" xr:uid="{00000000-0009-0000-0100-000009000000}"/>
  <tableColumns count="17">
    <tableColumn id="1" xr3:uid="{00000000-0010-0000-0800-000001000000}" name="FECHA"/>
    <tableColumn id="2" xr3:uid="{00000000-0010-0000-0800-000002000000}" name="TIPO"/>
    <tableColumn id="3" xr3:uid="{00000000-0010-0000-0800-000003000000}" name="PTO VTA"/>
    <tableColumn id="4" xr3:uid="{00000000-0010-0000-0800-000004000000}" name="NRO. CPTE"/>
    <tableColumn id="5" xr3:uid="{00000000-0010-0000-0800-000005000000}" name="CUIT"/>
    <tableColumn id="6" xr3:uid="{00000000-0010-0000-0800-000006000000}" name="RAZON SOCIAL"/>
    <tableColumn id="7" xr3:uid="{00000000-0010-0000-0800-000007000000}" name="NETO GRAVADO"/>
    <tableColumn id="8" xr3:uid="{00000000-0010-0000-0800-000008000000}" name="IVA 21 %"/>
    <tableColumn id="9" xr3:uid="{00000000-0010-0000-0800-000009000000}" name="IVA 27%"/>
    <tableColumn id="10" xr3:uid="{00000000-0010-0000-0800-00000A000000}" name="IVA 10,5%"/>
    <tableColumn id="11" xr3:uid="{00000000-0010-0000-0800-00000B000000}" name="PERC. IVA"/>
    <tableColumn id="12" xr3:uid="{00000000-0010-0000-0800-00000C000000}" name="PERC IIBB _x000a_BS AS"/>
    <tableColumn id="13" xr3:uid="{00000000-0010-0000-0800-00000D000000}" name="PERC. IIBB CABA"/>
    <tableColumn id="14" xr3:uid="{00000000-0010-0000-0800-00000E000000}" name="Otros / No Grav."/>
    <tableColumn id="15" xr3:uid="{00000000-0010-0000-0800-00000F000000}" name="TOTAL"/>
    <tableColumn id="16" xr3:uid="{00000000-0010-0000-0800-000010000000}" name="Tipo de Gasto"/>
    <tableColumn id="17" xr3:uid="{00000000-0010-0000-0800-000011000000}" name="Provincia"/>
  </tableColumns>
  <tableStyleInfo name="May-24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D36:L43">
  <tableColumns count="9">
    <tableColumn id="1" xr3:uid="{00000000-0010-0000-0900-000001000000}" name="FECHA"/>
    <tableColumn id="2" xr3:uid="{00000000-0010-0000-0900-000002000000}" name="NRO CPTE"/>
    <tableColumn id="3" xr3:uid="{00000000-0010-0000-0900-000003000000}" name="BANCO"/>
    <tableColumn id="4" xr3:uid="{00000000-0010-0000-0900-000004000000}" name="NETO"/>
    <tableColumn id="5" xr3:uid="{00000000-0010-0000-0900-000005000000}" name="IVA 21%"/>
    <tableColumn id="6" xr3:uid="{00000000-0010-0000-0900-000006000000}" name="IVA 10,5%"/>
    <tableColumn id="7" xr3:uid="{00000000-0010-0000-0900-000007000000}" name="RET IIBB CABA"/>
    <tableColumn id="8" xr3:uid="{00000000-0010-0000-0900-000008000000}" name="PERC IVA"/>
    <tableColumn id="9" xr3:uid="{00000000-0010-0000-0900-000009000000}" name="PERC IIBB"/>
  </tableColumns>
  <tableStyleInfo name="May-24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D48:K62">
  <tableColumns count="8">
    <tableColumn id="1" xr3:uid="{00000000-0010-0000-0A00-000001000000}" name="FECHA"/>
    <tableColumn id="2" xr3:uid="{00000000-0010-0000-0A00-000002000000}" name="PTO VTA"/>
    <tableColumn id="3" xr3:uid="{00000000-0010-0000-0A00-000003000000}" name="FC Nº"/>
    <tableColumn id="4" xr3:uid="{00000000-0010-0000-0A00-000004000000}" name="CUIT"/>
    <tableColumn id="5" xr3:uid="{00000000-0010-0000-0A00-000005000000}" name="RAZON SOCIAL"/>
    <tableColumn id="6" xr3:uid="{00000000-0010-0000-0A00-000006000000}" name="TOTAL"/>
    <tableColumn id="7" xr3:uid="{00000000-0010-0000-0A00-000007000000}" name="TIPO DE GASTO"/>
    <tableColumn id="8" xr3:uid="{00000000-0010-0000-0A00-000008000000}" name="Provincia"/>
  </tableColumns>
  <tableStyleInfo name="May-24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71:M81">
  <tableColumns count="12">
    <tableColumn id="1" xr3:uid="{00000000-0010-0000-0B00-000001000000}" name="FECHA"/>
    <tableColumn id="2" xr3:uid="{00000000-0010-0000-0B00-000002000000}" name="TIPO"/>
    <tableColumn id="3" xr3:uid="{00000000-0010-0000-0B00-000003000000}" name="PTO VENTA"/>
    <tableColumn id="4" xr3:uid="{00000000-0010-0000-0B00-000004000000}" name="Nº FACTURA"/>
    <tableColumn id="5" xr3:uid="{00000000-0010-0000-0B00-000005000000}" name="CUIT"/>
    <tableColumn id="6" xr3:uid="{00000000-0010-0000-0B00-000006000000}" name="RAZON SOCIAL"/>
    <tableColumn id="7" xr3:uid="{00000000-0010-0000-0B00-000007000000}" name="IMPORTE NETO"/>
    <tableColumn id="8" xr3:uid="{00000000-0010-0000-0B00-000008000000}" name="IVA 21%"/>
    <tableColumn id="9" xr3:uid="{00000000-0010-0000-0B00-000009000000}" name="IVA 10,5%"/>
    <tableColumn id="10" xr3:uid="{00000000-0010-0000-0B00-00000A000000}" name="EXENTO"/>
    <tableColumn id="11" xr3:uid="{00000000-0010-0000-0B00-00000B000000}" name="TOTAL"/>
    <tableColumn id="12" xr3:uid="{00000000-0010-0000-0B00-00000C000000}" name="Provincia"/>
  </tableColumns>
  <tableStyleInfo name="May-24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87:M93">
  <tableColumns count="12">
    <tableColumn id="1" xr3:uid="{00000000-0010-0000-0C00-000001000000}" name="FECHA"/>
    <tableColumn id="2" xr3:uid="{00000000-0010-0000-0C00-000002000000}" name="TIPO"/>
    <tableColumn id="3" xr3:uid="{00000000-0010-0000-0C00-000003000000}" name="PTO VENTA"/>
    <tableColumn id="4" xr3:uid="{00000000-0010-0000-0C00-000004000000}" name="Nº FACTURA"/>
    <tableColumn id="5" xr3:uid="{00000000-0010-0000-0C00-000005000000}" name="CUIT"/>
    <tableColumn id="6" xr3:uid="{00000000-0010-0000-0C00-000006000000}" name="RAZON SOCIAL"/>
    <tableColumn id="7" xr3:uid="{00000000-0010-0000-0C00-000007000000}" name="IMPORTE NETO"/>
    <tableColumn id="8" xr3:uid="{00000000-0010-0000-0C00-000008000000}" name="IVA 21%"/>
    <tableColumn id="9" xr3:uid="{00000000-0010-0000-0C00-000009000000}" name="IVA 10,5%"/>
    <tableColumn id="10" xr3:uid="{00000000-0010-0000-0C00-00000A000000}" name="EXENTO"/>
    <tableColumn id="11" xr3:uid="{00000000-0010-0000-0C00-00000B000000}" name="TOTAL"/>
    <tableColumn id="12" xr3:uid="{00000000-0010-0000-0C00-00000C000000}" name="Provincia"/>
  </tableColumns>
  <tableStyleInfo name="May-24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97:M101">
  <tableColumns count="12">
    <tableColumn id="1" xr3:uid="{00000000-0010-0000-0D00-000001000000}" name="FECHA"/>
    <tableColumn id="2" xr3:uid="{00000000-0010-0000-0D00-000002000000}" name="TIPO"/>
    <tableColumn id="3" xr3:uid="{00000000-0010-0000-0D00-000003000000}" name="PTO VENTA"/>
    <tableColumn id="4" xr3:uid="{00000000-0010-0000-0D00-000004000000}" name="Nº FACTURA"/>
    <tableColumn id="5" xr3:uid="{00000000-0010-0000-0D00-000005000000}" name="CUIT"/>
    <tableColumn id="6" xr3:uid="{00000000-0010-0000-0D00-000006000000}" name="RAZON SOCIAL"/>
    <tableColumn id="7" xr3:uid="{00000000-0010-0000-0D00-000007000000}" name="USD"/>
    <tableColumn id="8" xr3:uid="{00000000-0010-0000-0D00-000008000000}" name="Columna2"/>
    <tableColumn id="9" xr3:uid="{00000000-0010-0000-0D00-000009000000}" name="Columna1"/>
    <tableColumn id="10" xr3:uid="{00000000-0010-0000-0D00-00000A000000}" name="TIPO DE CAMBIO2"/>
    <tableColumn id="11" xr3:uid="{00000000-0010-0000-0D00-00000B000000}" name="TOTAL"/>
    <tableColumn id="12" xr3:uid="{00000000-0010-0000-0D00-00000C000000}" name="Provincia"/>
  </tableColumns>
  <tableStyleInfo name="May-24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107:L134">
  <tableColumns count="10">
    <tableColumn id="1" xr3:uid="{00000000-0010-0000-0E00-000001000000}" name="FECHA "/>
    <tableColumn id="2" xr3:uid="{00000000-0010-0000-0E00-000002000000}" name="COMP Nº"/>
    <tableColumn id="3" xr3:uid="{00000000-0010-0000-0E00-000003000000}" name="Columna1"/>
    <tableColumn id="4" xr3:uid="{00000000-0010-0000-0E00-000004000000}" name="CUIT"/>
    <tableColumn id="5" xr3:uid="{00000000-0010-0000-0E00-000005000000}" name="RAZON SOCIAL"/>
    <tableColumn id="6" xr3:uid="{00000000-0010-0000-0E00-000006000000}" name="Ganancias"/>
    <tableColumn id="7" xr3:uid="{00000000-0010-0000-0E00-000007000000}" name="IVA"/>
    <tableColumn id="8" xr3:uid="{00000000-0010-0000-0E00-000008000000}" name="SUSS"/>
    <tableColumn id="9" xr3:uid="{00000000-0010-0000-0E00-000009000000}" name="IIBB BSAS"/>
    <tableColumn id="10" xr3:uid="{00000000-0010-0000-0E00-00000A000000}" name="IIBB CABA"/>
  </tableColumns>
  <tableStyleInfo name="May-24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8:R44" totalsRowShown="0">
  <tableColumns count="17">
    <tableColumn id="1" xr3:uid="{00000000-0010-0000-0F00-000001000000}" name="FECHA" totalsRowDxfId="307"/>
    <tableColumn id="2" xr3:uid="{00000000-0010-0000-0F00-000002000000}" name="TIPO" totalsRowDxfId="306"/>
    <tableColumn id="3" xr3:uid="{00000000-0010-0000-0F00-000003000000}" name="PTO VTA" totalsRowDxfId="305"/>
    <tableColumn id="4" xr3:uid="{00000000-0010-0000-0F00-000004000000}" name="NRO. CPTE" totalsRowDxfId="304"/>
    <tableColumn id="5" xr3:uid="{00000000-0010-0000-0F00-000005000000}" name="CUIT" totalsRowDxfId="303"/>
    <tableColumn id="6" xr3:uid="{00000000-0010-0000-0F00-000006000000}" name="RAZON SOCIAL" totalsRowDxfId="302"/>
    <tableColumn id="7" xr3:uid="{00000000-0010-0000-0F00-000007000000}" name="NETO GRAVADO" totalsRowDxfId="301"/>
    <tableColumn id="8" xr3:uid="{00000000-0010-0000-0F00-000008000000}" name="IVA 21 %" totalsRowDxfId="300"/>
    <tableColumn id="9" xr3:uid="{00000000-0010-0000-0F00-000009000000}" name="IVA 27%" totalsRowDxfId="299"/>
    <tableColumn id="10" xr3:uid="{00000000-0010-0000-0F00-00000A000000}" name="IVA 10,5%" totalsRowDxfId="298"/>
    <tableColumn id="11" xr3:uid="{00000000-0010-0000-0F00-00000B000000}" name="PERC. IVA" totalsRowDxfId="297"/>
    <tableColumn id="12" xr3:uid="{00000000-0010-0000-0F00-00000C000000}" name="PERC IIBB _x000a_BS AS" totalsRowDxfId="296"/>
    <tableColumn id="13" xr3:uid="{00000000-0010-0000-0F00-00000D000000}" name="PERC. IIBB CABA" totalsRowDxfId="295"/>
    <tableColumn id="14" xr3:uid="{00000000-0010-0000-0F00-00000E000000}" name="Otros / No Grav." totalsRowDxfId="294"/>
    <tableColumn id="15" xr3:uid="{00000000-0010-0000-0F00-00000F000000}" name="TOTAL" totalsRowDxfId="293"/>
    <tableColumn id="16" xr3:uid="{00000000-0010-0000-0F00-000010000000}" name="Tipo de Gasto" totalsRowDxfId="292"/>
    <tableColumn id="17" xr3:uid="{00000000-0010-0000-0F00-000011000000}" name="Provincia" totalsRowDxfId="291"/>
  </tableColumns>
  <tableStyleInfo name="Jun-24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49:L53">
  <tableColumns count="9">
    <tableColumn id="1" xr3:uid="{00000000-0010-0000-1000-000001000000}" name="FECHA"/>
    <tableColumn id="2" xr3:uid="{00000000-0010-0000-1000-000002000000}" name="NRO CPTE"/>
    <tableColumn id="3" xr3:uid="{00000000-0010-0000-1000-000003000000}" name="BANCO"/>
    <tableColumn id="4" xr3:uid="{00000000-0010-0000-1000-000004000000}" name="NETO"/>
    <tableColumn id="5" xr3:uid="{00000000-0010-0000-1000-000005000000}" name="IVA 21%"/>
    <tableColumn id="6" xr3:uid="{00000000-0010-0000-1000-000006000000}" name="IVA 10,5%"/>
    <tableColumn id="7" xr3:uid="{00000000-0010-0000-1000-000007000000}" name="RET IIBB CABA"/>
    <tableColumn id="8" xr3:uid="{00000000-0010-0000-1000-000008000000}" name="PERC IVA"/>
    <tableColumn id="9" xr3:uid="{00000000-0010-0000-1000-000009000000}" name="PERC IIBB"/>
  </tableColumns>
  <tableStyleInfo name="Jun-24-style 2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56:K74">
  <tableColumns count="8">
    <tableColumn id="1" xr3:uid="{00000000-0010-0000-1100-000001000000}" name="FECHA"/>
    <tableColumn id="2" xr3:uid="{00000000-0010-0000-1100-000002000000}" name="PTO VTA"/>
    <tableColumn id="3" xr3:uid="{00000000-0010-0000-1100-000003000000}" name="FC Nº"/>
    <tableColumn id="4" xr3:uid="{00000000-0010-0000-1100-000004000000}" name="CUIT"/>
    <tableColumn id="5" xr3:uid="{00000000-0010-0000-1100-000005000000}" name="RAZON SOCIAL"/>
    <tableColumn id="6" xr3:uid="{00000000-0010-0000-1100-000006000000}" name="TOTAL"/>
    <tableColumn id="7" xr3:uid="{00000000-0010-0000-1100-000007000000}" name="TIPO DE GASTO"/>
    <tableColumn id="8" xr3:uid="{00000000-0010-0000-1100-000008000000}" name="Provincia"/>
  </tableColumns>
  <tableStyleInfo name="Jun-24-style 3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83:M93">
  <tableColumns count="12">
    <tableColumn id="1" xr3:uid="{00000000-0010-0000-1200-000001000000}" name="FECHA"/>
    <tableColumn id="2" xr3:uid="{00000000-0010-0000-1200-000002000000}" name="TIPO"/>
    <tableColumn id="3" xr3:uid="{00000000-0010-0000-1200-000003000000}" name="PTO VENTA"/>
    <tableColumn id="4" xr3:uid="{00000000-0010-0000-1200-000004000000}" name="Nº FACTURA"/>
    <tableColumn id="5" xr3:uid="{00000000-0010-0000-1200-000005000000}" name="CUIT"/>
    <tableColumn id="6" xr3:uid="{00000000-0010-0000-1200-000006000000}" name="RAZON SOCIAL"/>
    <tableColumn id="7" xr3:uid="{00000000-0010-0000-1200-000007000000}" name="IMPORTE NETO"/>
    <tableColumn id="8" xr3:uid="{00000000-0010-0000-1200-000008000000}" name="IVA 21%"/>
    <tableColumn id="9" xr3:uid="{00000000-0010-0000-1200-000009000000}" name="IVA 10,5%"/>
    <tableColumn id="10" xr3:uid="{00000000-0010-0000-1200-00000A000000}" name="EXENTO"/>
    <tableColumn id="11" xr3:uid="{00000000-0010-0000-1200-00000B000000}" name="TOTAL"/>
    <tableColumn id="12" xr3:uid="{00000000-0010-0000-1200-00000C000000}" name="Provincia"/>
  </tableColumns>
  <tableStyleInfo name="Jun-24-style 4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97:M104">
  <tableColumns count="12">
    <tableColumn id="1" xr3:uid="{00000000-0010-0000-1300-000001000000}" name="FECHA"/>
    <tableColumn id="2" xr3:uid="{00000000-0010-0000-1300-000002000000}" name="TIPO"/>
    <tableColumn id="3" xr3:uid="{00000000-0010-0000-1300-000003000000}" name="PTO VENTA"/>
    <tableColumn id="4" xr3:uid="{00000000-0010-0000-1300-000004000000}" name="Nº FACTURA"/>
    <tableColumn id="5" xr3:uid="{00000000-0010-0000-1300-000005000000}" name="CUIT"/>
    <tableColumn id="6" xr3:uid="{00000000-0010-0000-1300-000006000000}" name="RAZON SOCIAL"/>
    <tableColumn id="7" xr3:uid="{00000000-0010-0000-1300-000007000000}" name="IMPORTE NETO"/>
    <tableColumn id="8" xr3:uid="{00000000-0010-0000-1300-000008000000}" name="IVA 21%"/>
    <tableColumn id="9" xr3:uid="{00000000-0010-0000-1300-000009000000}" name="IVA 10,5%"/>
    <tableColumn id="10" xr3:uid="{00000000-0010-0000-1300-00000A000000}" name="EXENTO"/>
    <tableColumn id="11" xr3:uid="{00000000-0010-0000-1300-00000B000000}" name="TOTAL"/>
    <tableColumn id="12" xr3:uid="{00000000-0010-0000-1300-00000C000000}" name="Provincia"/>
  </tableColumns>
  <tableStyleInfo name="Jun-24-style 5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108:M129">
  <tableColumns count="12">
    <tableColumn id="1" xr3:uid="{00000000-0010-0000-1400-000001000000}" name="FECHA"/>
    <tableColumn id="2" xr3:uid="{00000000-0010-0000-1400-000002000000}" name="TIPO"/>
    <tableColumn id="3" xr3:uid="{00000000-0010-0000-1400-000003000000}" name="PTO VENTA"/>
    <tableColumn id="4" xr3:uid="{00000000-0010-0000-1400-000004000000}" name="Nº FACTURA"/>
    <tableColumn id="5" xr3:uid="{00000000-0010-0000-1400-000005000000}" name="CUIT"/>
    <tableColumn id="6" xr3:uid="{00000000-0010-0000-1400-000006000000}" name="RAZON SOCIAL"/>
    <tableColumn id="7" xr3:uid="{00000000-0010-0000-1400-000007000000}" name="USD"/>
    <tableColumn id="8" xr3:uid="{00000000-0010-0000-1400-000008000000}" name="Columna2"/>
    <tableColumn id="9" xr3:uid="{00000000-0010-0000-1400-000009000000}" name="Columna1"/>
    <tableColumn id="10" xr3:uid="{00000000-0010-0000-1400-00000A000000}" name="TIPO DE CAMBIO2"/>
    <tableColumn id="11" xr3:uid="{00000000-0010-0000-1400-00000B000000}" name="TOTAL"/>
    <tableColumn id="12" xr3:uid="{00000000-0010-0000-1400-00000C000000}" name="Provincia"/>
  </tableColumns>
  <tableStyleInfo name="Jun-24-style 6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8:R35">
  <autoFilter ref="B8:R35" xr:uid="{00000000-0009-0000-0100-000016000000}"/>
  <tableColumns count="17">
    <tableColumn id="1" xr3:uid="{00000000-0010-0000-1500-000001000000}" name="FECHA"/>
    <tableColumn id="2" xr3:uid="{00000000-0010-0000-1500-000002000000}" name="TIPO"/>
    <tableColumn id="3" xr3:uid="{00000000-0010-0000-1500-000003000000}" name="PTO VTA"/>
    <tableColumn id="4" xr3:uid="{00000000-0010-0000-1500-000004000000}" name="NRO. CPTE"/>
    <tableColumn id="5" xr3:uid="{00000000-0010-0000-1500-000005000000}" name="CUIT"/>
    <tableColumn id="6" xr3:uid="{00000000-0010-0000-1500-000006000000}" name="RAZON SOCIAL"/>
    <tableColumn id="7" xr3:uid="{00000000-0010-0000-1500-000007000000}" name="NETO GRAVADO"/>
    <tableColumn id="8" xr3:uid="{00000000-0010-0000-1500-000008000000}" name="IVA 21 %"/>
    <tableColumn id="9" xr3:uid="{00000000-0010-0000-1500-000009000000}" name="IVA 27%"/>
    <tableColumn id="10" xr3:uid="{00000000-0010-0000-1500-00000A000000}" name="IVA 10,5%"/>
    <tableColumn id="11" xr3:uid="{00000000-0010-0000-1500-00000B000000}" name="PERC. IVA"/>
    <tableColumn id="12" xr3:uid="{00000000-0010-0000-1500-00000C000000}" name="PERC IIBB _x000a_BS AS"/>
    <tableColumn id="13" xr3:uid="{00000000-0010-0000-1500-00000D000000}" name="PERC. IIBB CABA"/>
    <tableColumn id="14" xr3:uid="{00000000-0010-0000-1500-00000E000000}" name="Otros / No Grav."/>
    <tableColumn id="15" xr3:uid="{00000000-0010-0000-1500-00000F000000}" name="TOTAL"/>
    <tableColumn id="16" xr3:uid="{00000000-0010-0000-1500-000010000000}" name="Tipo de Gasto"/>
    <tableColumn id="17" xr3:uid="{00000000-0010-0000-1500-000011000000}" name="Provincia"/>
  </tableColumns>
  <tableStyleInfo name="Jul-24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D41:L47">
  <tableColumns count="9">
    <tableColumn id="1" xr3:uid="{00000000-0010-0000-1600-000001000000}" name="FECHA"/>
    <tableColumn id="2" xr3:uid="{00000000-0010-0000-1600-000002000000}" name="NRO CPTE"/>
    <tableColumn id="3" xr3:uid="{00000000-0010-0000-1600-000003000000}" name="BANCO"/>
    <tableColumn id="4" xr3:uid="{00000000-0010-0000-1600-000004000000}" name="NETO"/>
    <tableColumn id="5" xr3:uid="{00000000-0010-0000-1600-000005000000}" name="IVA 21%"/>
    <tableColumn id="6" xr3:uid="{00000000-0010-0000-1600-000006000000}" name="IVA 10,5%"/>
    <tableColumn id="7" xr3:uid="{00000000-0010-0000-1600-000007000000}" name="RET IIBB CABA"/>
    <tableColumn id="8" xr3:uid="{00000000-0010-0000-1600-000008000000}" name="PERC IVA"/>
    <tableColumn id="9" xr3:uid="{00000000-0010-0000-1600-000009000000}" name="PERC IIBB"/>
  </tableColumns>
  <tableStyleInfo name="Jul-24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D52:K70">
  <tableColumns count="8">
    <tableColumn id="1" xr3:uid="{00000000-0010-0000-1700-000001000000}" name="FECHA"/>
    <tableColumn id="2" xr3:uid="{00000000-0010-0000-1700-000002000000}" name="PTO VTA"/>
    <tableColumn id="3" xr3:uid="{00000000-0010-0000-1700-000003000000}" name="FC Nº"/>
    <tableColumn id="4" xr3:uid="{00000000-0010-0000-1700-000004000000}" name="CUIT"/>
    <tableColumn id="5" xr3:uid="{00000000-0010-0000-1700-000005000000}" name="RAZON SOCIAL"/>
    <tableColumn id="6" xr3:uid="{00000000-0010-0000-1700-000006000000}" name="TOTAL"/>
    <tableColumn id="7" xr3:uid="{00000000-0010-0000-1700-000007000000}" name="TIPO DE GASTO"/>
    <tableColumn id="8" xr3:uid="{00000000-0010-0000-1700-000008000000}" name="Provincia"/>
  </tableColumns>
  <tableStyleInfo name="Jul-24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79:M90">
  <tableColumns count="12">
    <tableColumn id="1" xr3:uid="{00000000-0010-0000-1800-000001000000}" name="FECHA"/>
    <tableColumn id="2" xr3:uid="{00000000-0010-0000-1800-000002000000}" name="TIPO"/>
    <tableColumn id="3" xr3:uid="{00000000-0010-0000-1800-000003000000}" name="PTO VENTA"/>
    <tableColumn id="4" xr3:uid="{00000000-0010-0000-1800-000004000000}" name="Nº FACTURA"/>
    <tableColumn id="5" xr3:uid="{00000000-0010-0000-1800-000005000000}" name="CUIT"/>
    <tableColumn id="6" xr3:uid="{00000000-0010-0000-1800-000006000000}" name="RAZON SOCIAL"/>
    <tableColumn id="7" xr3:uid="{00000000-0010-0000-1800-000007000000}" name="IMPORTE NETO"/>
    <tableColumn id="8" xr3:uid="{00000000-0010-0000-1800-000008000000}" name="IVA 21%"/>
    <tableColumn id="9" xr3:uid="{00000000-0010-0000-1800-000009000000}" name="IVA 10,5%"/>
    <tableColumn id="10" xr3:uid="{00000000-0010-0000-1800-00000A000000}" name="EXENTO"/>
    <tableColumn id="11" xr3:uid="{00000000-0010-0000-1800-00000B000000}" name="TOTAL"/>
    <tableColumn id="12" xr3:uid="{00000000-0010-0000-1800-00000C000000}" name="Provincia"/>
  </tableColumns>
  <tableStyleInfo name="Jul-24-style 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93:M100">
  <tableColumns count="12">
    <tableColumn id="1" xr3:uid="{00000000-0010-0000-1900-000001000000}" name="FECHA"/>
    <tableColumn id="2" xr3:uid="{00000000-0010-0000-1900-000002000000}" name="TIPO"/>
    <tableColumn id="3" xr3:uid="{00000000-0010-0000-1900-000003000000}" name="PTO VENTA"/>
    <tableColumn id="4" xr3:uid="{00000000-0010-0000-1900-000004000000}" name="Nº FACTURA"/>
    <tableColumn id="5" xr3:uid="{00000000-0010-0000-1900-000005000000}" name="CUIT"/>
    <tableColumn id="6" xr3:uid="{00000000-0010-0000-1900-000006000000}" name="RAZON SOCIAL"/>
    <tableColumn id="7" xr3:uid="{00000000-0010-0000-1900-000007000000}" name="IMPORTE NETO"/>
    <tableColumn id="8" xr3:uid="{00000000-0010-0000-1900-000008000000}" name="IVA 21%"/>
    <tableColumn id="9" xr3:uid="{00000000-0010-0000-1900-000009000000}" name="IVA 10,5%"/>
    <tableColumn id="10" xr3:uid="{00000000-0010-0000-1900-00000A000000}" name="EXENTO"/>
    <tableColumn id="11" xr3:uid="{00000000-0010-0000-1900-00000B000000}" name="TOTAL"/>
    <tableColumn id="12" xr3:uid="{00000000-0010-0000-1900-00000C000000}" name="Provincia"/>
  </tableColumns>
  <tableStyleInfo name="Jul-24-style 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104:K107">
  <tableColumns count="10">
    <tableColumn id="1" xr3:uid="{00000000-0010-0000-1A00-000001000000}" name="FECHA"/>
    <tableColumn id="2" xr3:uid="{00000000-0010-0000-1A00-000002000000}" name="TIPO"/>
    <tableColumn id="3" xr3:uid="{00000000-0010-0000-1A00-000003000000}" name="PTO VENTA"/>
    <tableColumn id="4" xr3:uid="{00000000-0010-0000-1A00-000004000000}" name="Nº FACTURA"/>
    <tableColumn id="5" xr3:uid="{00000000-0010-0000-1A00-000005000000}" name="CUIT"/>
    <tableColumn id="6" xr3:uid="{00000000-0010-0000-1A00-000006000000}" name="RAZON SOCIAL"/>
    <tableColumn id="7" xr3:uid="{00000000-0010-0000-1A00-000007000000}" name="USD"/>
    <tableColumn id="8" xr3:uid="{00000000-0010-0000-1A00-000008000000}" name="TIPO DE CAMBIO2"/>
    <tableColumn id="9" xr3:uid="{00000000-0010-0000-1A00-000009000000}" name="TOTAL"/>
    <tableColumn id="10" xr3:uid="{00000000-0010-0000-1A00-00000A000000}" name="Pais"/>
  </tableColumns>
  <tableStyleInfo name="Jul-24-style 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112:L117">
  <tableColumns count="10">
    <tableColumn id="1" xr3:uid="{00000000-0010-0000-1B00-000001000000}" name="FECHA "/>
    <tableColumn id="2" xr3:uid="{00000000-0010-0000-1B00-000002000000}" name="COMP Nº"/>
    <tableColumn id="3" xr3:uid="{00000000-0010-0000-1B00-000003000000}" name="Columna1"/>
    <tableColumn id="4" xr3:uid="{00000000-0010-0000-1B00-000004000000}" name="CUIT"/>
    <tableColumn id="5" xr3:uid="{00000000-0010-0000-1B00-000005000000}" name="RAZON SOCIAL"/>
    <tableColumn id="6" xr3:uid="{00000000-0010-0000-1B00-000006000000}" name="Ganancias"/>
    <tableColumn id="7" xr3:uid="{00000000-0010-0000-1B00-000007000000}" name="IVA"/>
    <tableColumn id="8" xr3:uid="{00000000-0010-0000-1B00-000008000000}" name="SUSS"/>
    <tableColumn id="9" xr3:uid="{00000000-0010-0000-1B00-000009000000}" name="IIBB BSAS"/>
    <tableColumn id="10" xr3:uid="{00000000-0010-0000-1B00-00000A000000}" name="IIBB CABA"/>
  </tableColumns>
  <tableStyleInfo name="Jul-24-style 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8:R36">
  <tableColumns count="17">
    <tableColumn id="1" xr3:uid="{00000000-0010-0000-1C00-000001000000}" name="FECHA"/>
    <tableColumn id="2" xr3:uid="{00000000-0010-0000-1C00-000002000000}" name="TIPO"/>
    <tableColumn id="3" xr3:uid="{00000000-0010-0000-1C00-000003000000}" name="PTO VTA"/>
    <tableColumn id="4" xr3:uid="{00000000-0010-0000-1C00-000004000000}" name="NRO. CPTE"/>
    <tableColumn id="5" xr3:uid="{00000000-0010-0000-1C00-000005000000}" name="CUIT"/>
    <tableColumn id="6" xr3:uid="{00000000-0010-0000-1C00-000006000000}" name="RAZON SOCIAL"/>
    <tableColumn id="7" xr3:uid="{00000000-0010-0000-1C00-000007000000}" name="NETO GRAVADO"/>
    <tableColumn id="8" xr3:uid="{00000000-0010-0000-1C00-000008000000}" name="IVA 21 %"/>
    <tableColumn id="9" xr3:uid="{00000000-0010-0000-1C00-000009000000}" name="IVA 27%"/>
    <tableColumn id="10" xr3:uid="{00000000-0010-0000-1C00-00000A000000}" name="IVA 10,5%"/>
    <tableColumn id="11" xr3:uid="{00000000-0010-0000-1C00-00000B000000}" name="PERC. IVA"/>
    <tableColumn id="12" xr3:uid="{00000000-0010-0000-1C00-00000C000000}" name="PERC IIBB _x000a_BS AS"/>
    <tableColumn id="13" xr3:uid="{00000000-0010-0000-1C00-00000D000000}" name="PERC. IIBB CABA"/>
    <tableColumn id="14" xr3:uid="{00000000-0010-0000-1C00-00000E000000}" name="Otros / No Grav."/>
    <tableColumn id="15" xr3:uid="{00000000-0010-0000-1C00-00000F000000}" name="TOTAL"/>
    <tableColumn id="16" xr3:uid="{00000000-0010-0000-1C00-000010000000}" name="Tipo de Gasto"/>
    <tableColumn id="17" xr3:uid="{00000000-0010-0000-1C00-000011000000}" name="Provincia"/>
  </tableColumns>
  <tableStyleInfo name="Ago-24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D42:M48">
  <tableColumns count="10">
    <tableColumn id="1" xr3:uid="{00000000-0010-0000-1D00-000001000000}" name="FECHA"/>
    <tableColumn id="2" xr3:uid="{00000000-0010-0000-1D00-000002000000}" name="NRO CPTE"/>
    <tableColumn id="3" xr3:uid="{00000000-0010-0000-1D00-000003000000}" name="BANCO"/>
    <tableColumn id="4" xr3:uid="{00000000-0010-0000-1D00-000004000000}" name="NETO"/>
    <tableColumn id="5" xr3:uid="{00000000-0010-0000-1D00-000005000000}" name="IVA 21%"/>
    <tableColumn id="6" xr3:uid="{00000000-0010-0000-1D00-000006000000}" name="IVA 10,5%"/>
    <tableColumn id="7" xr3:uid="{00000000-0010-0000-1D00-000007000000}" name="RET IIBB CABA"/>
    <tableColumn id="8" xr3:uid="{00000000-0010-0000-1D00-000008000000}" name="PERC IVA"/>
    <tableColumn id="9" xr3:uid="{00000000-0010-0000-1D00-000009000000}" name="PERC IIBB"/>
    <tableColumn id="10" xr3:uid="{00000000-0010-0000-1D00-00000A000000}" name="TOTAL"/>
  </tableColumns>
  <tableStyleInfo name="Ago-24-style 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D53:K72">
  <tableColumns count="8">
    <tableColumn id="1" xr3:uid="{00000000-0010-0000-1E00-000001000000}" name="FECHA"/>
    <tableColumn id="2" xr3:uid="{00000000-0010-0000-1E00-000002000000}" name="PTO VTA"/>
    <tableColumn id="3" xr3:uid="{00000000-0010-0000-1E00-000003000000}" name="FC Nº"/>
    <tableColumn id="4" xr3:uid="{00000000-0010-0000-1E00-000004000000}" name="CUIT"/>
    <tableColumn id="5" xr3:uid="{00000000-0010-0000-1E00-000005000000}" name="RAZON SOCIAL"/>
    <tableColumn id="6" xr3:uid="{00000000-0010-0000-1E00-000006000000}" name="TOTAL"/>
    <tableColumn id="7" xr3:uid="{00000000-0010-0000-1E00-000007000000}" name="TIPO DE GASTO"/>
    <tableColumn id="8" xr3:uid="{00000000-0010-0000-1E00-000008000000}" name="Provincia"/>
  </tableColumns>
  <tableStyleInfo name="Ago-24-style 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81:M91">
  <tableColumns count="12">
    <tableColumn id="1" xr3:uid="{00000000-0010-0000-1F00-000001000000}" name="FECHA"/>
    <tableColumn id="2" xr3:uid="{00000000-0010-0000-1F00-000002000000}" name="TIPO"/>
    <tableColumn id="3" xr3:uid="{00000000-0010-0000-1F00-000003000000}" name="PTO VENTA"/>
    <tableColumn id="4" xr3:uid="{00000000-0010-0000-1F00-000004000000}" name="Nº FACTURA"/>
    <tableColumn id="5" xr3:uid="{00000000-0010-0000-1F00-000005000000}" name="CUIT"/>
    <tableColumn id="6" xr3:uid="{00000000-0010-0000-1F00-000006000000}" name="RAZON SOCIAL"/>
    <tableColumn id="7" xr3:uid="{00000000-0010-0000-1F00-000007000000}" name="IMPORTE NETO"/>
    <tableColumn id="8" xr3:uid="{00000000-0010-0000-1F00-000008000000}" name="IVA 21%"/>
    <tableColumn id="9" xr3:uid="{00000000-0010-0000-1F00-000009000000}" name="IVA 10,5%"/>
    <tableColumn id="10" xr3:uid="{00000000-0010-0000-1F00-00000A000000}" name="EXENTO"/>
    <tableColumn id="11" xr3:uid="{00000000-0010-0000-1F00-00000B000000}" name="TOTAL"/>
    <tableColumn id="12" xr3:uid="{00000000-0010-0000-1F00-00000C000000}" name="Provincia"/>
  </tableColumns>
  <tableStyleInfo name="Ago-24-style 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95:M102">
  <tableColumns count="12">
    <tableColumn id="1" xr3:uid="{00000000-0010-0000-2000-000001000000}" name="FECHA"/>
    <tableColumn id="2" xr3:uid="{00000000-0010-0000-2000-000002000000}" name="TIPO"/>
    <tableColumn id="3" xr3:uid="{00000000-0010-0000-2000-000003000000}" name="PTO VENTA"/>
    <tableColumn id="4" xr3:uid="{00000000-0010-0000-2000-000004000000}" name="Nº FACTURA"/>
    <tableColumn id="5" xr3:uid="{00000000-0010-0000-2000-000005000000}" name="CUIT"/>
    <tableColumn id="6" xr3:uid="{00000000-0010-0000-2000-000006000000}" name="RAZON SOCIAL"/>
    <tableColumn id="7" xr3:uid="{00000000-0010-0000-2000-000007000000}" name="IMPORTE NETO"/>
    <tableColumn id="8" xr3:uid="{00000000-0010-0000-2000-000008000000}" name="IVA 21%"/>
    <tableColumn id="9" xr3:uid="{00000000-0010-0000-2000-000009000000}" name="IVA 10,5%"/>
    <tableColumn id="10" xr3:uid="{00000000-0010-0000-2000-00000A000000}" name="EXENTO"/>
    <tableColumn id="11" xr3:uid="{00000000-0010-0000-2000-00000B000000}" name="TOTAL"/>
    <tableColumn id="12" xr3:uid="{00000000-0010-0000-2000-00000C000000}" name="Provincia"/>
  </tableColumns>
  <tableStyleInfo name="Ago-24-style 5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106:K117">
  <tableColumns count="10">
    <tableColumn id="1" xr3:uid="{00000000-0010-0000-2100-000001000000}" name="FECHA"/>
    <tableColumn id="2" xr3:uid="{00000000-0010-0000-2100-000002000000}" name="TIPO"/>
    <tableColumn id="3" xr3:uid="{00000000-0010-0000-2100-000003000000}" name="PTO VENTA"/>
    <tableColumn id="4" xr3:uid="{00000000-0010-0000-2100-000004000000}" name="Nº FACTURA"/>
    <tableColumn id="5" xr3:uid="{00000000-0010-0000-2100-000005000000}" name="CUIT"/>
    <tableColumn id="6" xr3:uid="{00000000-0010-0000-2100-000006000000}" name="RAZON SOCIAL"/>
    <tableColumn id="7" xr3:uid="{00000000-0010-0000-2100-000007000000}" name="USD"/>
    <tableColumn id="8" xr3:uid="{00000000-0010-0000-2100-000008000000}" name="TIPO DE CAMBIO2"/>
    <tableColumn id="9" xr3:uid="{00000000-0010-0000-2100-000009000000}" name="TOTAL"/>
    <tableColumn id="10" xr3:uid="{00000000-0010-0000-2100-00000A000000}" name="Pais"/>
  </tableColumns>
  <tableStyleInfo name="Ago-24-style 6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C122:L127">
  <tableColumns count="10">
    <tableColumn id="1" xr3:uid="{00000000-0010-0000-2200-000001000000}" name="FECHA "/>
    <tableColumn id="2" xr3:uid="{00000000-0010-0000-2200-000002000000}" name="COMP Nº"/>
    <tableColumn id="3" xr3:uid="{00000000-0010-0000-2200-000003000000}" name="Columna1"/>
    <tableColumn id="4" xr3:uid="{00000000-0010-0000-2200-000004000000}" name="CUIT"/>
    <tableColumn id="5" xr3:uid="{00000000-0010-0000-2200-000005000000}" name="RAZON SOCIAL"/>
    <tableColumn id="6" xr3:uid="{00000000-0010-0000-2200-000006000000}" name="Ganancias"/>
    <tableColumn id="7" xr3:uid="{00000000-0010-0000-2200-000007000000}" name="IVA"/>
    <tableColumn id="8" xr3:uid="{00000000-0010-0000-2200-000008000000}" name="SUSS"/>
    <tableColumn id="9" xr3:uid="{00000000-0010-0000-2200-000009000000}" name="IIBB BSAS"/>
    <tableColumn id="10" xr3:uid="{00000000-0010-0000-2200-00000A000000}" name="IIBB CABA"/>
  </tableColumns>
  <tableStyleInfo name="Ago-24-style 7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8:R54">
  <tableColumns count="17">
    <tableColumn id="1" xr3:uid="{00000000-0010-0000-2300-000001000000}" name="FECHA"/>
    <tableColumn id="2" xr3:uid="{00000000-0010-0000-2300-000002000000}" name="TIPO"/>
    <tableColumn id="3" xr3:uid="{00000000-0010-0000-2300-000003000000}" name="PTO VTA"/>
    <tableColumn id="4" xr3:uid="{00000000-0010-0000-2300-000004000000}" name="NRO. CPTE"/>
    <tableColumn id="5" xr3:uid="{00000000-0010-0000-2300-000005000000}" name="CUIT"/>
    <tableColumn id="6" xr3:uid="{00000000-0010-0000-2300-000006000000}" name="RAZON SOCIAL"/>
    <tableColumn id="7" xr3:uid="{00000000-0010-0000-2300-000007000000}" name="NETO GRAVADO"/>
    <tableColumn id="8" xr3:uid="{00000000-0010-0000-2300-000008000000}" name="IVA 21 %"/>
    <tableColumn id="9" xr3:uid="{00000000-0010-0000-2300-000009000000}" name="IVA 27%"/>
    <tableColumn id="10" xr3:uid="{00000000-0010-0000-2300-00000A000000}" name="IVA 10,5%"/>
    <tableColumn id="11" xr3:uid="{00000000-0010-0000-2300-00000B000000}" name="PERC. IVA"/>
    <tableColumn id="12" xr3:uid="{00000000-0010-0000-2300-00000C000000}" name="PERC IIBB _x000a_BS AS"/>
    <tableColumn id="13" xr3:uid="{00000000-0010-0000-2300-00000D000000}" name="PERC. IIBB CABA"/>
    <tableColumn id="14" xr3:uid="{00000000-0010-0000-2300-00000E000000}" name="Otros / No Grav."/>
    <tableColumn id="15" xr3:uid="{00000000-0010-0000-2300-00000F000000}" name="TOTAL"/>
    <tableColumn id="16" xr3:uid="{00000000-0010-0000-2300-000010000000}" name="Tipo de Gasto"/>
    <tableColumn id="17" xr3:uid="{00000000-0010-0000-2300-000011000000}" name="Provincia"/>
  </tableColumns>
  <tableStyleInfo name="Sept-24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D60:L65">
  <tableColumns count="9">
    <tableColumn id="1" xr3:uid="{00000000-0010-0000-2400-000001000000}" name="FECHA"/>
    <tableColumn id="2" xr3:uid="{00000000-0010-0000-2400-000002000000}" name="NRO CPTE"/>
    <tableColumn id="3" xr3:uid="{00000000-0010-0000-2400-000003000000}" name="BANCO"/>
    <tableColumn id="4" xr3:uid="{00000000-0010-0000-2400-000004000000}" name="NETO"/>
    <tableColumn id="5" xr3:uid="{00000000-0010-0000-2400-000005000000}" name="IVA 21%"/>
    <tableColumn id="6" xr3:uid="{00000000-0010-0000-2400-000006000000}" name="IVA 10,5%"/>
    <tableColumn id="7" xr3:uid="{00000000-0010-0000-2400-000007000000}" name="RET IIBB CABA"/>
    <tableColumn id="8" xr3:uid="{00000000-0010-0000-2400-000008000000}" name="PERC IVA"/>
    <tableColumn id="9" xr3:uid="{00000000-0010-0000-2400-000009000000}" name="PERC IIBB"/>
  </tableColumns>
  <tableStyleInfo name="Sept-24-style 2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D68:K83">
  <tableColumns count="8">
    <tableColumn id="1" xr3:uid="{00000000-0010-0000-2500-000001000000}" name="FECHA"/>
    <tableColumn id="2" xr3:uid="{00000000-0010-0000-2500-000002000000}" name="PTO VTA"/>
    <tableColumn id="3" xr3:uid="{00000000-0010-0000-2500-000003000000}" name="FC Nº"/>
    <tableColumn id="4" xr3:uid="{00000000-0010-0000-2500-000004000000}" name="CUIT"/>
    <tableColumn id="5" xr3:uid="{00000000-0010-0000-2500-000005000000}" name="RAZON SOCIAL"/>
    <tableColumn id="6" xr3:uid="{00000000-0010-0000-2500-000006000000}" name="TOTAL"/>
    <tableColumn id="7" xr3:uid="{00000000-0010-0000-2500-000007000000}" name="TIPO DE GASTO"/>
    <tableColumn id="8" xr3:uid="{00000000-0010-0000-2500-000008000000}" name="Provincia"/>
  </tableColumns>
  <tableStyleInfo name="Sept-24-style 3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92:M105">
  <tableColumns count="12">
    <tableColumn id="1" xr3:uid="{00000000-0010-0000-2600-000001000000}" name="FECHA"/>
    <tableColumn id="2" xr3:uid="{00000000-0010-0000-2600-000002000000}" name="TIPO"/>
    <tableColumn id="3" xr3:uid="{00000000-0010-0000-2600-000003000000}" name="PTO VENTA"/>
    <tableColumn id="4" xr3:uid="{00000000-0010-0000-2600-000004000000}" name="Nº FACTURA"/>
    <tableColumn id="5" xr3:uid="{00000000-0010-0000-2600-000005000000}" name="CUIT"/>
    <tableColumn id="6" xr3:uid="{00000000-0010-0000-2600-000006000000}" name="RAZON SOCIAL"/>
    <tableColumn id="7" xr3:uid="{00000000-0010-0000-2600-000007000000}" name="IMPORTE NETO"/>
    <tableColumn id="8" xr3:uid="{00000000-0010-0000-2600-000008000000}" name="IVA 21%"/>
    <tableColumn id="9" xr3:uid="{00000000-0010-0000-2600-000009000000}" name="IVA 10,5%"/>
    <tableColumn id="10" xr3:uid="{00000000-0010-0000-2600-00000A000000}" name="EXENTO"/>
    <tableColumn id="11" xr3:uid="{00000000-0010-0000-2600-00000B000000}" name="TOTAL"/>
    <tableColumn id="12" xr3:uid="{00000000-0010-0000-2600-00000C000000}" name="Provincia"/>
  </tableColumns>
  <tableStyleInfo name="Sept-24-style 4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108:M115">
  <tableColumns count="12">
    <tableColumn id="1" xr3:uid="{00000000-0010-0000-2700-000001000000}" name="FECHA"/>
    <tableColumn id="2" xr3:uid="{00000000-0010-0000-2700-000002000000}" name="TIPO"/>
    <tableColumn id="3" xr3:uid="{00000000-0010-0000-2700-000003000000}" name="PTO VENTA"/>
    <tableColumn id="4" xr3:uid="{00000000-0010-0000-2700-000004000000}" name="Nº FACTURA"/>
    <tableColumn id="5" xr3:uid="{00000000-0010-0000-2700-000005000000}" name="CUIT"/>
    <tableColumn id="6" xr3:uid="{00000000-0010-0000-2700-000006000000}" name="RAZON SOCIAL"/>
    <tableColumn id="7" xr3:uid="{00000000-0010-0000-2700-000007000000}" name="IMPORTE NETO"/>
    <tableColumn id="8" xr3:uid="{00000000-0010-0000-2700-000008000000}" name="IVA 21%"/>
    <tableColumn id="9" xr3:uid="{00000000-0010-0000-2700-000009000000}" name="IVA 10,5%"/>
    <tableColumn id="10" xr3:uid="{00000000-0010-0000-2700-00000A000000}" name="EXENTO"/>
    <tableColumn id="11" xr3:uid="{00000000-0010-0000-2700-00000B000000}" name="TOTAL"/>
    <tableColumn id="12" xr3:uid="{00000000-0010-0000-2700-00000C000000}" name="Provincia"/>
  </tableColumns>
  <tableStyleInfo name="Sept-24-style 5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118:M127">
  <tableColumns count="12">
    <tableColumn id="1" xr3:uid="{00000000-0010-0000-2800-000001000000}" name="FECHA"/>
    <tableColumn id="2" xr3:uid="{00000000-0010-0000-2800-000002000000}" name="TIPO"/>
    <tableColumn id="3" xr3:uid="{00000000-0010-0000-2800-000003000000}" name="PTO VENTA"/>
    <tableColumn id="4" xr3:uid="{00000000-0010-0000-2800-000004000000}" name="Nº FACTURA"/>
    <tableColumn id="5" xr3:uid="{00000000-0010-0000-2800-000005000000}" name="CUIT"/>
    <tableColumn id="6" xr3:uid="{00000000-0010-0000-2800-000006000000}" name="RAZON SOCIAL"/>
    <tableColumn id="7" xr3:uid="{00000000-0010-0000-2800-000007000000}" name="USD"/>
    <tableColumn id="8" xr3:uid="{00000000-0010-0000-2800-000008000000}" name="IVA 21%"/>
    <tableColumn id="9" xr3:uid="{00000000-0010-0000-2800-000009000000}" name="Columna1"/>
    <tableColumn id="10" xr3:uid="{00000000-0010-0000-2800-00000A000000}" name="TIPO DE CAMBIO2"/>
    <tableColumn id="11" xr3:uid="{00000000-0010-0000-2800-00000B000000}" name="TOTAL"/>
    <tableColumn id="12" xr3:uid="{00000000-0010-0000-2800-00000C000000}" name="PAIS"/>
  </tableColumns>
  <tableStyleInfo name="Sept-24-style 6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C130:L135">
  <tableColumns count="10">
    <tableColumn id="1" xr3:uid="{00000000-0010-0000-2900-000001000000}" name="FECHA "/>
    <tableColumn id="2" xr3:uid="{00000000-0010-0000-2900-000002000000}" name="COMP Nº"/>
    <tableColumn id="3" xr3:uid="{00000000-0010-0000-2900-000003000000}" name="Columna1"/>
    <tableColumn id="4" xr3:uid="{00000000-0010-0000-2900-000004000000}" name="CUIT"/>
    <tableColumn id="5" xr3:uid="{00000000-0010-0000-2900-000005000000}" name="RAZON SOCIAL"/>
    <tableColumn id="6" xr3:uid="{00000000-0010-0000-2900-000006000000}" name="Ganancias"/>
    <tableColumn id="7" xr3:uid="{00000000-0010-0000-2900-000007000000}" name="IVA"/>
    <tableColumn id="8" xr3:uid="{00000000-0010-0000-2900-000008000000}" name="SUSS"/>
    <tableColumn id="9" xr3:uid="{00000000-0010-0000-2900-000009000000}" name="IIBB BSAS"/>
    <tableColumn id="10" xr3:uid="{00000000-0010-0000-2900-00000A000000}" name="IIBB CABA"/>
  </tableColumns>
  <tableStyleInfo name="Sept-24-style 7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8:R29" headerRowDxfId="290" totalsRowDxfId="287" headerRowBorderDxfId="289" tableBorderDxfId="288">
  <autoFilter ref="B8:R29" xr:uid="{00000000-0009-0000-0100-00002B000000}"/>
  <tableColumns count="17">
    <tableColumn id="1" xr3:uid="{00000000-0010-0000-2A00-000001000000}" name="FECHA" dataDxfId="286"/>
    <tableColumn id="2" xr3:uid="{00000000-0010-0000-2A00-000002000000}" name="TIPO" dataDxfId="285"/>
    <tableColumn id="3" xr3:uid="{00000000-0010-0000-2A00-000003000000}" name="PTO VTA" dataDxfId="284"/>
    <tableColumn id="4" xr3:uid="{00000000-0010-0000-2A00-000004000000}" name="NRO. CPTE" dataDxfId="283"/>
    <tableColumn id="5" xr3:uid="{00000000-0010-0000-2A00-000005000000}" name="CUIT" dataDxfId="282"/>
    <tableColumn id="6" xr3:uid="{00000000-0010-0000-2A00-000006000000}" name="RAZON SOCIAL" dataDxfId="281"/>
    <tableColumn id="7" xr3:uid="{00000000-0010-0000-2A00-000007000000}" name="NETO GRAVADO" dataDxfId="280"/>
    <tableColumn id="8" xr3:uid="{00000000-0010-0000-2A00-000008000000}" name="IVA 21 %" dataDxfId="279"/>
    <tableColumn id="9" xr3:uid="{00000000-0010-0000-2A00-000009000000}" name="IVA 27%" dataDxfId="278"/>
    <tableColumn id="10" xr3:uid="{00000000-0010-0000-2A00-00000A000000}" name="IVA 10,5%" dataDxfId="277"/>
    <tableColumn id="11" xr3:uid="{00000000-0010-0000-2A00-00000B000000}" name="PERC. IVA" dataDxfId="276"/>
    <tableColumn id="12" xr3:uid="{00000000-0010-0000-2A00-00000C000000}" name="PERC IIBB _x000a_BS AS" dataDxfId="275"/>
    <tableColumn id="13" xr3:uid="{00000000-0010-0000-2A00-00000D000000}" name="PERC. IIBB CABA" dataDxfId="274"/>
    <tableColumn id="14" xr3:uid="{00000000-0010-0000-2A00-00000E000000}" name="Otros / No Grav." dataDxfId="273"/>
    <tableColumn id="15" xr3:uid="{00000000-0010-0000-2A00-00000F000000}" name="TOTAL" dataDxfId="272"/>
    <tableColumn id="16" xr3:uid="{00000000-0010-0000-2A00-000010000000}" name="Tipo de Gasto" dataDxfId="271"/>
    <tableColumn id="17" xr3:uid="{00000000-0010-0000-2A00-000011000000}" name="Provincia" dataDxfId="270"/>
  </tableColumns>
  <tableStyleInfo name="Oct-24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D35:M40" headerRowDxfId="269" totalsRowDxfId="266" headerRowBorderDxfId="268" tableBorderDxfId="267">
  <tableColumns count="10">
    <tableColumn id="1" xr3:uid="{00000000-0010-0000-2B00-000001000000}" name="FECHA" dataDxfId="265"/>
    <tableColumn id="2" xr3:uid="{00000000-0010-0000-2B00-000002000000}" name="NRO CPTE" dataDxfId="264"/>
    <tableColumn id="3" xr3:uid="{00000000-0010-0000-2B00-000003000000}" name="BANCO" dataDxfId="263"/>
    <tableColumn id="4" xr3:uid="{00000000-0010-0000-2B00-000004000000}" name="NETO" dataDxfId="262"/>
    <tableColumn id="5" xr3:uid="{00000000-0010-0000-2B00-000005000000}" name="IVA 21%" dataDxfId="261"/>
    <tableColumn id="6" xr3:uid="{00000000-0010-0000-2B00-000006000000}" name="IVA 10,5%" dataDxfId="260"/>
    <tableColumn id="7" xr3:uid="{00000000-0010-0000-2B00-000007000000}" name="RET IIBB CABA" dataDxfId="259"/>
    <tableColumn id="8" xr3:uid="{00000000-0010-0000-2B00-000008000000}" name="PERC IVA" dataDxfId="258"/>
    <tableColumn id="9" xr3:uid="{00000000-0010-0000-2B00-000009000000}" name="PERC IIBB" dataDxfId="257"/>
    <tableColumn id="10" xr3:uid="{00000000-0010-0000-2B00-00000A000000}" name="TOTAL" dataDxfId="256">
      <calculatedColumnFormula>SUM(Table_44[[#This Row],[NETO]:[PERC IIBB]])</calculatedColumnFormula>
    </tableColumn>
  </tableColumns>
  <tableStyleInfo name="Oct-24-style 2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D45:K66" headerRowDxfId="255" totalsRowDxfId="252" headerRowBorderDxfId="254" tableBorderDxfId="253">
  <tableColumns count="8">
    <tableColumn id="1" xr3:uid="{00000000-0010-0000-2C00-000001000000}" name="FECHA" dataDxfId="251"/>
    <tableColumn id="2" xr3:uid="{00000000-0010-0000-2C00-000002000000}" name="PTO VTA" dataDxfId="250"/>
    <tableColumn id="3" xr3:uid="{00000000-0010-0000-2C00-000003000000}" name="FC Nº" dataDxfId="249"/>
    <tableColumn id="4" xr3:uid="{00000000-0010-0000-2C00-000004000000}" name="CUIT" dataDxfId="248"/>
    <tableColumn id="5" xr3:uid="{00000000-0010-0000-2C00-000005000000}" name="RAZON SOCIAL" dataDxfId="247"/>
    <tableColumn id="6" xr3:uid="{00000000-0010-0000-2C00-000006000000}" name="TOTAL" dataDxfId="246"/>
    <tableColumn id="7" xr3:uid="{00000000-0010-0000-2C00-000007000000}" name="TIPO DE GASTO" dataDxfId="245"/>
    <tableColumn id="8" xr3:uid="{00000000-0010-0000-2C00-000008000000}" name="Provincia" dataDxfId="244"/>
  </tableColumns>
  <tableStyleInfo name="Oct-24-style 3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75:M85" headerRowDxfId="243" totalsRowDxfId="240" headerRowBorderDxfId="242" tableBorderDxfId="241">
  <tableColumns count="12">
    <tableColumn id="1" xr3:uid="{00000000-0010-0000-2D00-000001000000}" name="FECHA" dataDxfId="239"/>
    <tableColumn id="2" xr3:uid="{00000000-0010-0000-2D00-000002000000}" name="TIPO" dataDxfId="238"/>
    <tableColumn id="3" xr3:uid="{00000000-0010-0000-2D00-000003000000}" name="PTO VENTA" dataDxfId="237"/>
    <tableColumn id="4" xr3:uid="{00000000-0010-0000-2D00-000004000000}" name="Nº FACTURA" dataDxfId="236"/>
    <tableColumn id="5" xr3:uid="{00000000-0010-0000-2D00-000005000000}" name="CUIT" dataDxfId="235"/>
    <tableColumn id="6" xr3:uid="{00000000-0010-0000-2D00-000006000000}" name="RAZON SOCIAL" dataDxfId="234"/>
    <tableColumn id="7" xr3:uid="{00000000-0010-0000-2D00-000007000000}" name="IMPORTE NETO" dataDxfId="233"/>
    <tableColumn id="8" xr3:uid="{00000000-0010-0000-2D00-000008000000}" name="IVA 21%" dataDxfId="232"/>
    <tableColumn id="9" xr3:uid="{00000000-0010-0000-2D00-000009000000}" name="IVA 10,5%" dataDxfId="231"/>
    <tableColumn id="10" xr3:uid="{00000000-0010-0000-2D00-00000A000000}" name="EXENTO" dataDxfId="230"/>
    <tableColumn id="11" xr3:uid="{00000000-0010-0000-2D00-00000B000000}" name="TOTAL" dataDxfId="229"/>
    <tableColumn id="12" xr3:uid="{00000000-0010-0000-2D00-00000C000000}" name="Provincia" dataDxfId="228"/>
  </tableColumns>
  <tableStyleInfo name="Oct-24-style 4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89:M96" headerRowDxfId="227" totalsRowDxfId="224" headerRowBorderDxfId="226" tableBorderDxfId="225">
  <tableColumns count="12">
    <tableColumn id="1" xr3:uid="{00000000-0010-0000-2E00-000001000000}" name="FECHA" dataDxfId="223"/>
    <tableColumn id="2" xr3:uid="{00000000-0010-0000-2E00-000002000000}" name="TIPO" dataDxfId="222"/>
    <tableColumn id="3" xr3:uid="{00000000-0010-0000-2E00-000003000000}" name="PTO VENTA" dataDxfId="221"/>
    <tableColumn id="4" xr3:uid="{00000000-0010-0000-2E00-000004000000}" name="Nº FACTURA" dataDxfId="220"/>
    <tableColumn id="5" xr3:uid="{00000000-0010-0000-2E00-000005000000}" name="CUIT" dataDxfId="219"/>
    <tableColumn id="6" xr3:uid="{00000000-0010-0000-2E00-000006000000}" name="RAZON SOCIAL" dataDxfId="218">
      <calculatedColumnFormula>IFERROR(IF('Oct-26'!$F90="","-",VLOOKUP('Oct-26'!$F90,Lista_CUIT!$A$1:$D$2241,2,0)),"CUIT NO CARGADO")</calculatedColumnFormula>
    </tableColumn>
    <tableColumn id="7" xr3:uid="{00000000-0010-0000-2E00-000007000000}" name="USD" dataDxfId="217"/>
    <tableColumn id="8" xr3:uid="{00000000-0010-0000-2E00-000008000000}" name="IVA 21%" dataDxfId="216"/>
    <tableColumn id="9" xr3:uid="{00000000-0010-0000-2E00-000009000000}" name="IVA 10,5%" dataDxfId="215"/>
    <tableColumn id="10" xr3:uid="{00000000-0010-0000-2E00-00000A000000}" name="TIPO DE CAMBIO" dataDxfId="214"/>
    <tableColumn id="11" xr3:uid="{00000000-0010-0000-2E00-00000B000000}" name="TOTAL" dataDxfId="213"/>
    <tableColumn id="12" xr3:uid="{00000000-0010-0000-2E00-00000C000000}" name="Provincia" dataDxfId="212"/>
  </tableColumns>
  <tableStyleInfo name="Oct-24-style 5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F000000}" name="Table_49" displayName="Table_49" ref="B8:R28" headerRowDxfId="211" totalsRowDxfId="208" headerRowBorderDxfId="210" tableBorderDxfId="209">
  <autoFilter ref="B8:R28" xr:uid="{00000000-0009-0000-0100-000031000000}"/>
  <tableColumns count="17">
    <tableColumn id="1" xr3:uid="{00000000-0010-0000-2F00-000001000000}" name="FECHA" dataDxfId="207"/>
    <tableColumn id="2" xr3:uid="{00000000-0010-0000-2F00-000002000000}" name="TIPO" dataDxfId="206"/>
    <tableColumn id="3" xr3:uid="{00000000-0010-0000-2F00-000003000000}" name="PTO VTA" dataDxfId="205"/>
    <tableColumn id="4" xr3:uid="{00000000-0010-0000-2F00-000004000000}" name="NRO. CPTE" dataDxfId="204"/>
    <tableColumn id="5" xr3:uid="{00000000-0010-0000-2F00-000005000000}" name="CUIT" dataDxfId="203"/>
    <tableColumn id="6" xr3:uid="{00000000-0010-0000-2F00-000006000000}" name="RAZON SOCIAL" dataDxfId="202"/>
    <tableColumn id="7" xr3:uid="{00000000-0010-0000-2F00-000007000000}" name="NETO GRAVADO" dataDxfId="201"/>
    <tableColumn id="8" xr3:uid="{00000000-0010-0000-2F00-000008000000}" name="IVA 21 %" dataDxfId="200"/>
    <tableColumn id="9" xr3:uid="{00000000-0010-0000-2F00-000009000000}" name="IVA 27%" dataDxfId="199"/>
    <tableColumn id="10" xr3:uid="{00000000-0010-0000-2F00-00000A000000}" name="IVA 10,5%" dataDxfId="198"/>
    <tableColumn id="11" xr3:uid="{00000000-0010-0000-2F00-00000B000000}" name="PERC. IVA" dataDxfId="197"/>
    <tableColumn id="12" xr3:uid="{00000000-0010-0000-2F00-00000C000000}" name="PERC IIBB _x000a_BS AS" dataDxfId="196"/>
    <tableColumn id="13" xr3:uid="{00000000-0010-0000-2F00-00000D000000}" name="PERC. IIBB CABA" dataDxfId="195"/>
    <tableColumn id="14" xr3:uid="{00000000-0010-0000-2F00-00000E000000}" name="Otros / No Grav." dataDxfId="194"/>
    <tableColumn id="15" xr3:uid="{00000000-0010-0000-2F00-00000F000000}" name="TOTAL" dataDxfId="193"/>
    <tableColumn id="16" xr3:uid="{00000000-0010-0000-2F00-000010000000}" name="Tipo de Gasto" dataDxfId="192"/>
    <tableColumn id="17" xr3:uid="{00000000-0010-0000-2F00-000011000000}" name="Provincia" dataDxfId="191"/>
  </tableColumns>
  <tableStyleInfo name="Nov-24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Table_50" displayName="Table_50" ref="D34:L39" headerRowDxfId="190" totalsRowDxfId="187" headerRowBorderDxfId="189" tableBorderDxfId="188">
  <tableColumns count="9">
    <tableColumn id="1" xr3:uid="{00000000-0010-0000-3000-000001000000}" name="FECHA" dataDxfId="186"/>
    <tableColumn id="2" xr3:uid="{00000000-0010-0000-3000-000002000000}" name="NRO CPTE" dataDxfId="185"/>
    <tableColumn id="3" xr3:uid="{00000000-0010-0000-3000-000003000000}" name="BANCO" dataDxfId="184"/>
    <tableColumn id="4" xr3:uid="{00000000-0010-0000-3000-000004000000}" name="NETO" dataDxfId="183"/>
    <tableColumn id="5" xr3:uid="{00000000-0010-0000-3000-000005000000}" name="IVA 21%" dataDxfId="182"/>
    <tableColumn id="6" xr3:uid="{00000000-0010-0000-3000-000006000000}" name="IVA 10,5%" dataDxfId="181"/>
    <tableColumn id="7" xr3:uid="{00000000-0010-0000-3000-000007000000}" name="RET IIBB CABA" dataDxfId="180"/>
    <tableColumn id="8" xr3:uid="{00000000-0010-0000-3000-000008000000}" name="PERC IVA" dataDxfId="179"/>
    <tableColumn id="9" xr3:uid="{00000000-0010-0000-3000-000009000000}" name="PERC IIBB" dataDxfId="178"/>
  </tableColumns>
  <tableStyleInfo name="Nov-24-style 2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Table_51" displayName="Table_51" ref="D44:K59" headerRowDxfId="177" totalsRowDxfId="174" headerRowBorderDxfId="176" tableBorderDxfId="175">
  <tableColumns count="8">
    <tableColumn id="1" xr3:uid="{00000000-0010-0000-3100-000001000000}" name="FECHA" dataDxfId="173"/>
    <tableColumn id="2" xr3:uid="{00000000-0010-0000-3100-000002000000}" name="PTO VTA" dataDxfId="172"/>
    <tableColumn id="3" xr3:uid="{00000000-0010-0000-3100-000003000000}" name="FC Nº" dataDxfId="171"/>
    <tableColumn id="4" xr3:uid="{00000000-0010-0000-3100-000004000000}" name="CUIT" dataDxfId="170"/>
    <tableColumn id="5" xr3:uid="{00000000-0010-0000-3100-000005000000}" name="RAZON SOCIAL" dataDxfId="169"/>
    <tableColumn id="6" xr3:uid="{00000000-0010-0000-3100-000006000000}" name="TOTAL" dataDxfId="168"/>
    <tableColumn id="7" xr3:uid="{00000000-0010-0000-3100-000007000000}" name="TIPO DE GASTO" dataDxfId="167"/>
    <tableColumn id="8" xr3:uid="{00000000-0010-0000-3100-000008000000}" name="Provincia" dataDxfId="166"/>
  </tableColumns>
  <tableStyleInfo name="Nov-24-style 3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Table_52" displayName="Table_52" ref="B65:M75" headerRowDxfId="165" totalsRowDxfId="162" headerRowBorderDxfId="164" tableBorderDxfId="163">
  <tableColumns count="12">
    <tableColumn id="1" xr3:uid="{00000000-0010-0000-3200-000001000000}" name="FECHA" dataDxfId="161"/>
    <tableColumn id="2" xr3:uid="{00000000-0010-0000-3200-000002000000}" name="TIPO" dataDxfId="160"/>
    <tableColumn id="3" xr3:uid="{00000000-0010-0000-3200-000003000000}" name="PTO VENTA" dataDxfId="159"/>
    <tableColumn id="4" xr3:uid="{00000000-0010-0000-3200-000004000000}" name="Nº FACTURA" dataDxfId="158"/>
    <tableColumn id="5" xr3:uid="{00000000-0010-0000-3200-000005000000}" name="CUIT" dataDxfId="157"/>
    <tableColumn id="6" xr3:uid="{00000000-0010-0000-3200-000006000000}" name="RAZON SOCIAL" dataDxfId="156"/>
    <tableColumn id="7" xr3:uid="{00000000-0010-0000-3200-000007000000}" name="IMPORTE NETO" dataDxfId="155"/>
    <tableColumn id="8" xr3:uid="{00000000-0010-0000-3200-000008000000}" name="IVA 21%" dataDxfId="154"/>
    <tableColumn id="9" xr3:uid="{00000000-0010-0000-3200-000009000000}" name="IVA 10,5%" dataDxfId="153"/>
    <tableColumn id="10" xr3:uid="{00000000-0010-0000-3200-00000A000000}" name="EXENTO" dataDxfId="152"/>
    <tableColumn id="11" xr3:uid="{00000000-0010-0000-3200-00000B000000}" name="TOTAL" dataDxfId="151"/>
    <tableColumn id="12" xr3:uid="{00000000-0010-0000-3200-00000C000000}" name="Provincia" dataDxfId="150"/>
  </tableColumns>
  <tableStyleInfo name="Nov-24-style 4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Table_53" displayName="Table_53" ref="B91:M98" headerRowDxfId="149" totalsRowDxfId="146" headerRowBorderDxfId="148" tableBorderDxfId="147">
  <tableColumns count="12">
    <tableColumn id="1" xr3:uid="{00000000-0010-0000-3300-000001000000}" name="FECHA" dataDxfId="145"/>
    <tableColumn id="2" xr3:uid="{00000000-0010-0000-3300-000002000000}" name="TIPO" dataDxfId="144"/>
    <tableColumn id="3" xr3:uid="{00000000-0010-0000-3300-000003000000}" name="PTO VENTA" dataDxfId="143"/>
    <tableColumn id="4" xr3:uid="{00000000-0010-0000-3300-000004000000}" name="Nº FACTURA" dataDxfId="142"/>
    <tableColumn id="5" xr3:uid="{00000000-0010-0000-3300-000005000000}" name="CUIT" dataDxfId="141"/>
    <tableColumn id="6" xr3:uid="{00000000-0010-0000-3300-000006000000}" name="RAZON SOCIAL" dataDxfId="140"/>
    <tableColumn id="7" xr3:uid="{00000000-0010-0000-3300-000007000000}" name="IMPORTE NETO" dataDxfId="139"/>
    <tableColumn id="8" xr3:uid="{00000000-0010-0000-3300-000008000000}" name="IVA 21%" dataDxfId="138"/>
    <tableColumn id="9" xr3:uid="{00000000-0010-0000-3300-000009000000}" name="IVA 10,5%" dataDxfId="137"/>
    <tableColumn id="10" xr3:uid="{00000000-0010-0000-3300-00000A000000}" name="EXENTO" dataDxfId="136"/>
    <tableColumn id="11" xr3:uid="{00000000-0010-0000-3300-00000B000000}" name="TOTAL" dataDxfId="135"/>
    <tableColumn id="12" xr3:uid="{00000000-0010-0000-3300-00000C000000}" name="Provincia" dataDxfId="134"/>
  </tableColumns>
  <tableStyleInfo name="Nov-24-style 5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Table_54" displayName="Table_54" ref="C107:L112">
  <tableColumns count="10">
    <tableColumn id="1" xr3:uid="{00000000-0010-0000-3400-000001000000}" name="FECHA "/>
    <tableColumn id="2" xr3:uid="{00000000-0010-0000-3400-000002000000}" name="COMP Nº"/>
    <tableColumn id="3" xr3:uid="{00000000-0010-0000-3400-000003000000}" name="Columna1"/>
    <tableColumn id="4" xr3:uid="{00000000-0010-0000-3400-000004000000}" name="CUIT"/>
    <tableColumn id="5" xr3:uid="{00000000-0010-0000-3400-000005000000}" name="RAZON SOCIAL"/>
    <tableColumn id="6" xr3:uid="{00000000-0010-0000-3400-000006000000}" name="Ganancias"/>
    <tableColumn id="7" xr3:uid="{00000000-0010-0000-3400-000007000000}" name="IVA"/>
    <tableColumn id="8" xr3:uid="{00000000-0010-0000-3400-000008000000}" name="SUSS"/>
    <tableColumn id="9" xr3:uid="{00000000-0010-0000-3400-000009000000}" name="IIBB BSAS"/>
    <tableColumn id="10" xr3:uid="{00000000-0010-0000-3400-00000A000000}" name="IIBB CABA"/>
  </tableColumns>
  <tableStyleInfo name="Nov-24-style 6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5000000}" name="Table_4749" displayName="Table_4749" ref="B79:M86" headerRowDxfId="133" totalsRowDxfId="130" headerRowBorderDxfId="132" tableBorderDxfId="131">
  <tableColumns count="12">
    <tableColumn id="1" xr3:uid="{00000000-0010-0000-3500-000001000000}" name="FECHA" dataDxfId="129"/>
    <tableColumn id="2" xr3:uid="{00000000-0010-0000-3500-000002000000}" name="TIPO" dataDxfId="128"/>
    <tableColumn id="3" xr3:uid="{00000000-0010-0000-3500-000003000000}" name="PTO VENTA" dataDxfId="127"/>
    <tableColumn id="4" xr3:uid="{00000000-0010-0000-3500-000004000000}" name="Nº FACTURA" dataDxfId="126"/>
    <tableColumn id="5" xr3:uid="{00000000-0010-0000-3500-000005000000}" name="CUIT" dataDxfId="125"/>
    <tableColumn id="6" xr3:uid="{00000000-0010-0000-3500-000006000000}" name="RAZON SOCIAL" dataDxfId="124">
      <calculatedColumnFormula>IFERROR(IF('Oct-26'!$F62="","-",VLOOKUP('Oct-26'!$F62,Lista_CUIT!$A$1:$D$2241,2,0)),"CUIT NO CARGADO")</calculatedColumnFormula>
    </tableColumn>
    <tableColumn id="7" xr3:uid="{00000000-0010-0000-3500-000007000000}" name="USD" dataDxfId="123"/>
    <tableColumn id="8" xr3:uid="{00000000-0010-0000-3500-000008000000}" name="IVA 21%" dataDxfId="122"/>
    <tableColumn id="9" xr3:uid="{00000000-0010-0000-3500-000009000000}" name="IVA 10,5%" dataDxfId="121"/>
    <tableColumn id="10" xr3:uid="{00000000-0010-0000-3500-00000A000000}" name="TIPO DE CAMBIO" dataDxfId="120"/>
    <tableColumn id="11" xr3:uid="{00000000-0010-0000-3500-00000B000000}" name="TOTAL" dataDxfId="119"/>
    <tableColumn id="12" xr3:uid="{00000000-0010-0000-3500-00000C000000}" name="Provincia" dataDxfId="118"/>
  </tableColumns>
  <tableStyleInfo name="Oct-24-style 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8:R39" totalsRowCount="1" headerRowDxfId="117">
  <autoFilter ref="B8:R38" xr:uid="{00000000-0009-0000-0100-000037000000}"/>
  <tableColumns count="17">
    <tableColumn id="1" xr3:uid="{00000000-0010-0000-3600-000001000000}" name="FECHA" totalsRowDxfId="116"/>
    <tableColumn id="2" xr3:uid="{00000000-0010-0000-3600-000002000000}" name="TIPO" totalsRowDxfId="115"/>
    <tableColumn id="3" xr3:uid="{00000000-0010-0000-3600-000003000000}" name="PTO VTA" totalsRowDxfId="114"/>
    <tableColumn id="4" xr3:uid="{00000000-0010-0000-3600-000004000000}" name="NRO. CPTE" totalsRowDxfId="113"/>
    <tableColumn id="5" xr3:uid="{00000000-0010-0000-3600-000005000000}" name="CUIT" totalsRowDxfId="112"/>
    <tableColumn id="6" xr3:uid="{00000000-0010-0000-3600-000006000000}" name="RAZON SOCIAL" totalsRowDxfId="111"/>
    <tableColumn id="7" xr3:uid="{00000000-0010-0000-3600-000007000000}" name="NETO GRAVADO" totalsRowFunction="sum" totalsRowDxfId="110" dataCellStyle="Millares"/>
    <tableColumn id="8" xr3:uid="{00000000-0010-0000-3600-000008000000}" name="IVA 21 %" totalsRowFunction="sum" totalsRowDxfId="109" dataCellStyle="Millares"/>
    <tableColumn id="9" xr3:uid="{00000000-0010-0000-3600-000009000000}" name="IVA 27%" totalsRowFunction="sum" totalsRowDxfId="108" dataCellStyle="Millares"/>
    <tableColumn id="10" xr3:uid="{00000000-0010-0000-3600-00000A000000}" name="IVA 10,5%" totalsRowFunction="sum" totalsRowDxfId="107" dataCellStyle="Millares"/>
    <tableColumn id="11" xr3:uid="{00000000-0010-0000-3600-00000B000000}" name="PERC. IVA" totalsRowFunction="sum" totalsRowDxfId="106" dataCellStyle="Millares"/>
    <tableColumn id="12" xr3:uid="{00000000-0010-0000-3600-00000C000000}" name="PERC IIBB _x000a_BS AS" totalsRowFunction="sum" totalsRowDxfId="105" dataCellStyle="Millares"/>
    <tableColumn id="13" xr3:uid="{00000000-0010-0000-3600-00000D000000}" name="PERC. IIBB CABA" totalsRowFunction="sum" totalsRowDxfId="104" dataCellStyle="Millares"/>
    <tableColumn id="14" xr3:uid="{00000000-0010-0000-3600-00000E000000}" name="Otros / No Grav." totalsRowFunction="sum" totalsRowDxfId="103" dataCellStyle="Millares"/>
    <tableColumn id="15" xr3:uid="{00000000-0010-0000-3600-00000F000000}" name="TOTAL" totalsRowFunction="sum" totalsRowDxfId="102" dataCellStyle="Millares"/>
    <tableColumn id="16" xr3:uid="{00000000-0010-0000-3600-000010000000}" name="Tipo de Gasto" totalsRowFunction="sum" totalsRowDxfId="101"/>
    <tableColumn id="17" xr3:uid="{00000000-0010-0000-3600-000011000000}" name="Provincia" totalsRowFunction="sum" totalsRowDxfId="100"/>
  </tableColumns>
  <tableStyleInfo name="TableStyleLight8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D44:L48">
  <tableColumns count="9">
    <tableColumn id="1" xr3:uid="{00000000-0010-0000-3700-000001000000}" name="FECHA"/>
    <tableColumn id="2" xr3:uid="{00000000-0010-0000-3700-000002000000}" name="NRO CPTE"/>
    <tableColumn id="3" xr3:uid="{00000000-0010-0000-3700-000003000000}" name="BANCO"/>
    <tableColumn id="4" xr3:uid="{00000000-0010-0000-3700-000004000000}" name="NETO"/>
    <tableColumn id="5" xr3:uid="{00000000-0010-0000-3700-000005000000}" name="IVA 21%"/>
    <tableColumn id="6" xr3:uid="{00000000-0010-0000-3700-000006000000}" name="IVA 10,5%"/>
    <tableColumn id="7" xr3:uid="{00000000-0010-0000-3700-000007000000}" name="RET IIBB CABA"/>
    <tableColumn id="8" xr3:uid="{00000000-0010-0000-3700-000008000000}" name="PERC IVA"/>
    <tableColumn id="9" xr3:uid="{00000000-0010-0000-3700-000009000000}" name="PERC IIBB"/>
  </tableColumns>
  <tableStyleInfo name="Dic-24-style 2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D53:K70">
  <tableColumns count="8">
    <tableColumn id="1" xr3:uid="{00000000-0010-0000-3800-000001000000}" name="FECHA"/>
    <tableColumn id="2" xr3:uid="{00000000-0010-0000-3800-000002000000}" name="PTO VTA"/>
    <tableColumn id="3" xr3:uid="{00000000-0010-0000-3800-000003000000}" name="FC Nº"/>
    <tableColumn id="4" xr3:uid="{00000000-0010-0000-3800-000004000000}" name="CUIT"/>
    <tableColumn id="5" xr3:uid="{00000000-0010-0000-3800-000005000000}" name="RAZON SOCIAL"/>
    <tableColumn id="6" xr3:uid="{00000000-0010-0000-3800-000006000000}" name="TOTAL"/>
    <tableColumn id="7" xr3:uid="{00000000-0010-0000-3800-000007000000}" name="TIPO DE GASTO"/>
    <tableColumn id="8" xr3:uid="{00000000-0010-0000-3800-000008000000}" name="Provincia"/>
  </tableColumns>
  <tableStyleInfo name="Dic-24-style 3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79:M89" totalsRowCount="1">
  <tableColumns count="12">
    <tableColumn id="1" xr3:uid="{00000000-0010-0000-3900-000001000000}" name="FECHA"/>
    <tableColumn id="2" xr3:uid="{00000000-0010-0000-3900-000002000000}" name="TIPO"/>
    <tableColumn id="3" xr3:uid="{00000000-0010-0000-3900-000003000000}" name="PTO VENTA"/>
    <tableColumn id="4" xr3:uid="{00000000-0010-0000-3900-000004000000}" name="Nº FACTURA"/>
    <tableColumn id="5" xr3:uid="{00000000-0010-0000-3900-000005000000}" name="CUIT"/>
    <tableColumn id="6" xr3:uid="{00000000-0010-0000-3900-000006000000}" name="RAZON SOCIAL"/>
    <tableColumn id="7" xr3:uid="{00000000-0010-0000-3900-000007000000}" name="IMPORTE NETO" totalsRowFunction="sum" totalsRowDxfId="99"/>
    <tableColumn id="8" xr3:uid="{00000000-0010-0000-3900-000008000000}" name="IVA 21%" totalsRowFunction="sum" totalsRowDxfId="98"/>
    <tableColumn id="9" xr3:uid="{00000000-0010-0000-3900-000009000000}" name="IVA 10,5%" totalsRowFunction="sum" totalsRowDxfId="97"/>
    <tableColumn id="10" xr3:uid="{00000000-0010-0000-3900-00000A000000}" name="EXENTO" totalsRowFunction="sum" totalsRowDxfId="96"/>
    <tableColumn id="11" xr3:uid="{00000000-0010-0000-3900-00000B000000}" name="TOTAL" totalsRowFunction="sum" totalsRowDxfId="95"/>
    <tableColumn id="12" xr3:uid="{00000000-0010-0000-3900-00000C000000}" name="Provincia" totalsRowFunction="sum" totalsRowDxfId="94"/>
  </tableColumns>
  <tableStyleInfo name="Dic-24-style 4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92:M99">
  <tableColumns count="12">
    <tableColumn id="1" xr3:uid="{00000000-0010-0000-3A00-000001000000}" name="FECHA"/>
    <tableColumn id="2" xr3:uid="{00000000-0010-0000-3A00-000002000000}" name="TIPO"/>
    <tableColumn id="3" xr3:uid="{00000000-0010-0000-3A00-000003000000}" name="PTO VENTA"/>
    <tableColumn id="4" xr3:uid="{00000000-0010-0000-3A00-000004000000}" name="Nº FACTURA"/>
    <tableColumn id="5" xr3:uid="{00000000-0010-0000-3A00-000005000000}" name="CUIT"/>
    <tableColumn id="6" xr3:uid="{00000000-0010-0000-3A00-000006000000}" name="RAZON SOCIAL"/>
    <tableColumn id="7" xr3:uid="{00000000-0010-0000-3A00-000007000000}" name="IMPORTE NETO"/>
    <tableColumn id="8" xr3:uid="{00000000-0010-0000-3A00-000008000000}" name="IVA 21%"/>
    <tableColumn id="9" xr3:uid="{00000000-0010-0000-3A00-000009000000}" name="IVA 10,5%"/>
    <tableColumn id="10" xr3:uid="{00000000-0010-0000-3A00-00000A000000}" name="EXENTO"/>
    <tableColumn id="11" xr3:uid="{00000000-0010-0000-3A00-00000B000000}" name="TOTAL"/>
    <tableColumn id="12" xr3:uid="{00000000-0010-0000-3A00-00000C000000}" name="Provincia"/>
  </tableColumns>
  <tableStyleInfo name="Dic-24-style 5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102:M106">
  <tableColumns count="12">
    <tableColumn id="1" xr3:uid="{00000000-0010-0000-3B00-000001000000}" name="FECHA"/>
    <tableColumn id="2" xr3:uid="{00000000-0010-0000-3B00-000002000000}" name="TIPO"/>
    <tableColumn id="3" xr3:uid="{00000000-0010-0000-3B00-000003000000}" name="PTO VENTA"/>
    <tableColumn id="4" xr3:uid="{00000000-0010-0000-3B00-000004000000}" name="Nº FACTURA"/>
    <tableColumn id="5" xr3:uid="{00000000-0010-0000-3B00-000005000000}" name="CUIT"/>
    <tableColumn id="6" xr3:uid="{00000000-0010-0000-3B00-000006000000}" name="RAZON SOCIAL"/>
    <tableColumn id="7" xr3:uid="{00000000-0010-0000-3B00-000007000000}" name="USD"/>
    <tableColumn id="8" xr3:uid="{00000000-0010-0000-3B00-000008000000}" name="IVA 21%"/>
    <tableColumn id="9" xr3:uid="{00000000-0010-0000-3B00-000009000000}" name="Columna1"/>
    <tableColumn id="10" xr3:uid="{00000000-0010-0000-3B00-00000A000000}" name="TIPO DE CAMBIO2"/>
    <tableColumn id="11" xr3:uid="{00000000-0010-0000-3B00-00000B000000}" name="TOTAL"/>
    <tableColumn id="12" xr3:uid="{00000000-0010-0000-3B00-00000C000000}" name="PAIS"/>
  </tableColumns>
  <tableStyleInfo name="Dic-24-style 6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C114:L119">
  <tableColumns count="10">
    <tableColumn id="1" xr3:uid="{00000000-0010-0000-3C00-000001000000}" name="FECHA "/>
    <tableColumn id="2" xr3:uid="{00000000-0010-0000-3C00-000002000000}" name="COMP Nº"/>
    <tableColumn id="3" xr3:uid="{00000000-0010-0000-3C00-000003000000}" name="Columna1"/>
    <tableColumn id="4" xr3:uid="{00000000-0010-0000-3C00-000004000000}" name="CUIT"/>
    <tableColumn id="5" xr3:uid="{00000000-0010-0000-3C00-000005000000}" name="RAZON SOCIAL"/>
    <tableColumn id="6" xr3:uid="{00000000-0010-0000-3C00-000006000000}" name="Ganancias"/>
    <tableColumn id="7" xr3:uid="{00000000-0010-0000-3C00-000007000000}" name="IVA"/>
    <tableColumn id="8" xr3:uid="{00000000-0010-0000-3C00-000008000000}" name="SUSS"/>
    <tableColumn id="9" xr3:uid="{00000000-0010-0000-3C00-000009000000}" name="IIBB BSAS"/>
    <tableColumn id="10" xr3:uid="{00000000-0010-0000-3C00-00000A000000}" name="IIBB CABA"/>
  </tableColumns>
  <tableStyleInfo name="Dic-24-style 7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8:R32">
  <autoFilter ref="B8:R32" xr:uid="{00000000-0009-0000-0100-00003E000000}"/>
  <tableColumns count="17">
    <tableColumn id="1" xr3:uid="{00000000-0010-0000-3D00-000001000000}" name="FECHA"/>
    <tableColumn id="2" xr3:uid="{00000000-0010-0000-3D00-000002000000}" name="TIPO"/>
    <tableColumn id="3" xr3:uid="{00000000-0010-0000-3D00-000003000000}" name="PTO VTA"/>
    <tableColumn id="4" xr3:uid="{00000000-0010-0000-3D00-000004000000}" name="NRO. CPTE"/>
    <tableColumn id="5" xr3:uid="{00000000-0010-0000-3D00-000005000000}" name="CUIT"/>
    <tableColumn id="6" xr3:uid="{00000000-0010-0000-3D00-000006000000}" name="RAZON SOCIAL"/>
    <tableColumn id="7" xr3:uid="{00000000-0010-0000-3D00-000007000000}" name="NETO GRAVADO"/>
    <tableColumn id="8" xr3:uid="{00000000-0010-0000-3D00-000008000000}" name="IVA 21 %"/>
    <tableColumn id="9" xr3:uid="{00000000-0010-0000-3D00-000009000000}" name="IVA 27%"/>
    <tableColumn id="10" xr3:uid="{00000000-0010-0000-3D00-00000A000000}" name="IVA 10,5%"/>
    <tableColumn id="11" xr3:uid="{00000000-0010-0000-3D00-00000B000000}" name="PERC. IVA"/>
    <tableColumn id="12" xr3:uid="{00000000-0010-0000-3D00-00000C000000}" name="PERC IIBB _x000a_BS AS"/>
    <tableColumn id="13" xr3:uid="{00000000-0010-0000-3D00-00000D000000}" name="PERC. IIBB CABA"/>
    <tableColumn id="14" xr3:uid="{00000000-0010-0000-3D00-00000E000000}" name="Otros / No Grav."/>
    <tableColumn id="15" xr3:uid="{00000000-0010-0000-3D00-00000F000000}" name="TOTAL"/>
    <tableColumn id="16" xr3:uid="{00000000-0010-0000-3D00-000010000000}" name="Tipo de Gasto"/>
    <tableColumn id="17" xr3:uid="{00000000-0010-0000-3D00-000011000000}" name="Provincia"/>
  </tableColumns>
  <tableStyleInfo name="Ene-25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D38:L47">
  <tableColumns count="9">
    <tableColumn id="1" xr3:uid="{00000000-0010-0000-3E00-000001000000}" name="FECHA"/>
    <tableColumn id="2" xr3:uid="{00000000-0010-0000-3E00-000002000000}" name="NRO CPTE"/>
    <tableColumn id="3" xr3:uid="{00000000-0010-0000-3E00-000003000000}" name="BANCO"/>
    <tableColumn id="4" xr3:uid="{00000000-0010-0000-3E00-000004000000}" name="NETO"/>
    <tableColumn id="5" xr3:uid="{00000000-0010-0000-3E00-000005000000}" name="IVA 21%"/>
    <tableColumn id="6" xr3:uid="{00000000-0010-0000-3E00-000006000000}" name="IVA 10,5%"/>
    <tableColumn id="7" xr3:uid="{00000000-0010-0000-3E00-000007000000}" name="RET IIBB CABA"/>
    <tableColumn id="8" xr3:uid="{00000000-0010-0000-3E00-000008000000}" name="PERC IVA"/>
    <tableColumn id="9" xr3:uid="{00000000-0010-0000-3E00-000009000000}" name="PERC IIBB"/>
  </tableColumns>
  <tableStyleInfo name="Ene-25-style 2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D52:K67">
  <tableColumns count="8">
    <tableColumn id="1" xr3:uid="{00000000-0010-0000-3F00-000001000000}" name="FECHA"/>
    <tableColumn id="2" xr3:uid="{00000000-0010-0000-3F00-000002000000}" name="PTO VTA"/>
    <tableColumn id="3" xr3:uid="{00000000-0010-0000-3F00-000003000000}" name="FC Nº"/>
    <tableColumn id="4" xr3:uid="{00000000-0010-0000-3F00-000004000000}" name="CUIT"/>
    <tableColumn id="5" xr3:uid="{00000000-0010-0000-3F00-000005000000}" name="RAZON SOCIAL"/>
    <tableColumn id="6" xr3:uid="{00000000-0010-0000-3F00-000006000000}" name="TOTAL"/>
    <tableColumn id="7" xr3:uid="{00000000-0010-0000-3F00-000007000000}" name="TIPO DE GASTO"/>
    <tableColumn id="8" xr3:uid="{00000000-0010-0000-3F00-000008000000}" name="Provincia"/>
  </tableColumns>
  <tableStyleInfo name="Ene-25-style 3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76:M86">
  <tableColumns count="12">
    <tableColumn id="1" xr3:uid="{00000000-0010-0000-4000-000001000000}" name="FECHA"/>
    <tableColumn id="2" xr3:uid="{00000000-0010-0000-4000-000002000000}" name="TIPO"/>
    <tableColumn id="3" xr3:uid="{00000000-0010-0000-4000-000003000000}" name="PTO VENTA"/>
    <tableColumn id="4" xr3:uid="{00000000-0010-0000-4000-000004000000}" name="Nº FACTURA"/>
    <tableColumn id="5" xr3:uid="{00000000-0010-0000-4000-000005000000}" name="CUIT"/>
    <tableColumn id="6" xr3:uid="{00000000-0010-0000-4000-000006000000}" name="RAZON SOCIAL"/>
    <tableColumn id="7" xr3:uid="{00000000-0010-0000-4000-000007000000}" name="IMPORTE NETO"/>
    <tableColumn id="8" xr3:uid="{00000000-0010-0000-4000-000008000000}" name="IVA 21%"/>
    <tableColumn id="9" xr3:uid="{00000000-0010-0000-4000-000009000000}" name="IVA 10,5%"/>
    <tableColumn id="10" xr3:uid="{00000000-0010-0000-4000-00000A000000}" name="EXENTO"/>
    <tableColumn id="11" xr3:uid="{00000000-0010-0000-4000-00000B000000}" name="TOTAL"/>
    <tableColumn id="12" xr3:uid="{00000000-0010-0000-4000-00000C000000}" name="Provincia"/>
  </tableColumns>
  <tableStyleInfo name="Ene-25-style 4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90:M97">
  <tableColumns count="12">
    <tableColumn id="1" xr3:uid="{00000000-0010-0000-4100-000001000000}" name="FECHA"/>
    <tableColumn id="2" xr3:uid="{00000000-0010-0000-4100-000002000000}" name="TIPO"/>
    <tableColumn id="3" xr3:uid="{00000000-0010-0000-4100-000003000000}" name="PTO VENTA"/>
    <tableColumn id="4" xr3:uid="{00000000-0010-0000-4100-000004000000}" name="Nº FACTURA"/>
    <tableColumn id="5" xr3:uid="{00000000-0010-0000-4100-000005000000}" name="CUIT"/>
    <tableColumn id="6" xr3:uid="{00000000-0010-0000-4100-000006000000}" name="RAZON SOCIAL"/>
    <tableColumn id="7" xr3:uid="{00000000-0010-0000-4100-000007000000}" name="IMPORTE NETO"/>
    <tableColumn id="8" xr3:uid="{00000000-0010-0000-4100-000008000000}" name="IVA 21%"/>
    <tableColumn id="9" xr3:uid="{00000000-0010-0000-4100-000009000000}" name="IVA 10,5%"/>
    <tableColumn id="10" xr3:uid="{00000000-0010-0000-4100-00000A000000}" name="EXENTO"/>
    <tableColumn id="11" xr3:uid="{00000000-0010-0000-4100-00000B000000}" name="TOTAL"/>
    <tableColumn id="12" xr3:uid="{00000000-0010-0000-4100-00000C000000}" name="Provincia"/>
  </tableColumns>
  <tableStyleInfo name="Ene-25-style 5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C117:L122">
  <tableColumns count="10">
    <tableColumn id="1" xr3:uid="{00000000-0010-0000-4200-000001000000}" name="FECHA "/>
    <tableColumn id="2" xr3:uid="{00000000-0010-0000-4200-000002000000}" name="COMP Nº"/>
    <tableColumn id="3" xr3:uid="{00000000-0010-0000-4200-000003000000}" name="Columna1"/>
    <tableColumn id="4" xr3:uid="{00000000-0010-0000-4200-000004000000}" name="CUIT"/>
    <tableColumn id="5" xr3:uid="{00000000-0010-0000-4200-000005000000}" name="RAZON SOCIAL"/>
    <tableColumn id="6" xr3:uid="{00000000-0010-0000-4200-000006000000}" name="Ganancias"/>
    <tableColumn id="7" xr3:uid="{00000000-0010-0000-4200-000007000000}" name="IVA"/>
    <tableColumn id="8" xr3:uid="{00000000-0010-0000-4200-000008000000}" name="SUSS"/>
    <tableColumn id="9" xr3:uid="{00000000-0010-0000-4200-000009000000}" name="IIBB BSAS"/>
    <tableColumn id="10" xr3:uid="{00000000-0010-0000-4200-00000A000000}" name="IIBB CABA"/>
  </tableColumns>
  <tableStyleInfo name="Ene-25-style 6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Table_6083" displayName="Table_6083" ref="B100:M103">
  <tableColumns count="12">
    <tableColumn id="1" xr3:uid="{00000000-0010-0000-4300-000001000000}" name="FECHA"/>
    <tableColumn id="2" xr3:uid="{00000000-0010-0000-4300-000002000000}" name="TIPO"/>
    <tableColumn id="3" xr3:uid="{00000000-0010-0000-4300-000003000000}" name="PTO VENTA"/>
    <tableColumn id="4" xr3:uid="{00000000-0010-0000-4300-000004000000}" name="Nº FACTURA"/>
    <tableColumn id="5" xr3:uid="{00000000-0010-0000-4300-000005000000}" name="CUIT"/>
    <tableColumn id="6" xr3:uid="{00000000-0010-0000-4300-000006000000}" name="RAZON SOCIAL"/>
    <tableColumn id="7" xr3:uid="{00000000-0010-0000-4300-000007000000}" name="USD"/>
    <tableColumn id="8" xr3:uid="{00000000-0010-0000-4300-000008000000}" name="IVA 21%"/>
    <tableColumn id="9" xr3:uid="{00000000-0010-0000-4300-000009000000}" name="Columna1"/>
    <tableColumn id="10" xr3:uid="{00000000-0010-0000-4300-00000A000000}" name="TIPO DE CAMBIO2"/>
    <tableColumn id="11" xr3:uid="{00000000-0010-0000-4300-00000B000000}" name="TOTAL"/>
    <tableColumn id="12" xr3:uid="{00000000-0010-0000-4300-00000C000000}" name="PAIS"/>
  </tableColumns>
  <tableStyleInfo name="Dic-24-style 6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4000000}" name="Table_68" displayName="Table_68" ref="B8:R29" headerRowDxfId="93" totalsRowDxfId="90" headerRowBorderDxfId="92" tableBorderDxfId="91">
  <autoFilter ref="B8:R29" xr:uid="{00000000-0009-0000-0100-000044000000}"/>
  <tableColumns count="17">
    <tableColumn id="1" xr3:uid="{00000000-0010-0000-4400-000001000000}" name="FECHA" dataDxfId="89"/>
    <tableColumn id="2" xr3:uid="{00000000-0010-0000-4400-000002000000}" name="TIPO" dataDxfId="88"/>
    <tableColumn id="3" xr3:uid="{00000000-0010-0000-4400-000003000000}" name="PTO VTA" dataDxfId="87"/>
    <tableColumn id="4" xr3:uid="{00000000-0010-0000-4400-000004000000}" name="NRO. CPTE" dataDxfId="86"/>
    <tableColumn id="5" xr3:uid="{00000000-0010-0000-4400-000005000000}" name="CUIT" dataDxfId="85"/>
    <tableColumn id="6" xr3:uid="{00000000-0010-0000-4400-000006000000}" name="RAZON SOCIAL" dataDxfId="84"/>
    <tableColumn id="7" xr3:uid="{00000000-0010-0000-4400-000007000000}" name="NETO GRAVADO" dataDxfId="83"/>
    <tableColumn id="8" xr3:uid="{00000000-0010-0000-4400-000008000000}" name="IVA 21 %" dataDxfId="82"/>
    <tableColumn id="9" xr3:uid="{00000000-0010-0000-4400-000009000000}" name="IVA 27%" dataDxfId="81"/>
    <tableColumn id="10" xr3:uid="{00000000-0010-0000-4400-00000A000000}" name="IVA 10,5%" dataDxfId="80"/>
    <tableColumn id="11" xr3:uid="{00000000-0010-0000-4400-00000B000000}" name="PERC. IVA" dataDxfId="79"/>
    <tableColumn id="12" xr3:uid="{00000000-0010-0000-4400-00000C000000}" name="PERC IIBB _x000a_BS AS" dataDxfId="78"/>
    <tableColumn id="13" xr3:uid="{00000000-0010-0000-4400-00000D000000}" name="PERC. IIBB CABA" dataDxfId="77"/>
    <tableColumn id="14" xr3:uid="{00000000-0010-0000-4400-00000E000000}" name="Otros / No Grav." dataDxfId="76"/>
    <tableColumn id="15" xr3:uid="{00000000-0010-0000-4400-00000F000000}" name="TOTAL" dataDxfId="75"/>
    <tableColumn id="16" xr3:uid="{00000000-0010-0000-4400-000010000000}" name="Tipo de Gasto" dataDxfId="74"/>
    <tableColumn id="17" xr3:uid="{00000000-0010-0000-4400-000011000000}" name="Provincia" dataDxfId="73"/>
  </tableColumns>
  <tableStyleInfo name="Feb-25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5000000}" name="Table_69" displayName="Table_69" ref="D35:L45" headerRowDxfId="72" totalsRowDxfId="69" headerRowBorderDxfId="71" tableBorderDxfId="70">
  <tableColumns count="9">
    <tableColumn id="1" xr3:uid="{00000000-0010-0000-4500-000001000000}" name="FECHA" dataDxfId="68"/>
    <tableColumn id="2" xr3:uid="{00000000-0010-0000-4500-000002000000}" name="NRO CPTE" dataDxfId="67"/>
    <tableColumn id="3" xr3:uid="{00000000-0010-0000-4500-000003000000}" name="BANCO" dataDxfId="66"/>
    <tableColumn id="4" xr3:uid="{00000000-0010-0000-4500-000004000000}" name="NETO" dataDxfId="65"/>
    <tableColumn id="5" xr3:uid="{00000000-0010-0000-4500-000005000000}" name="IVA 21%" dataDxfId="64"/>
    <tableColumn id="6" xr3:uid="{00000000-0010-0000-4500-000006000000}" name="IVA 10,5%" dataDxfId="63"/>
    <tableColumn id="7" xr3:uid="{00000000-0010-0000-4500-000007000000}" name="RET IIBB CABA" dataDxfId="62"/>
    <tableColumn id="8" xr3:uid="{00000000-0010-0000-4500-000008000000}" name="PERC IVA" dataDxfId="61"/>
    <tableColumn id="9" xr3:uid="{00000000-0010-0000-4500-000009000000}" name="PERC IIBB" dataDxfId="60"/>
  </tableColumns>
  <tableStyleInfo name="Feb-25-style 2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6000000}" name="Table_70" displayName="Table_70" ref="D50:K66" headerRowDxfId="59" totalsRowDxfId="56" headerRowBorderDxfId="58" tableBorderDxfId="57">
  <autoFilter ref="D50:K66" xr:uid="{00000000-0009-0000-0100-000046000000}"/>
  <tableColumns count="8">
    <tableColumn id="1" xr3:uid="{00000000-0010-0000-4600-000001000000}" name="FECHA" dataDxfId="55"/>
    <tableColumn id="2" xr3:uid="{00000000-0010-0000-4600-000002000000}" name="PTO VTA" dataDxfId="54"/>
    <tableColumn id="3" xr3:uid="{00000000-0010-0000-4600-000003000000}" name="FC Nº" dataDxfId="53"/>
    <tableColumn id="4" xr3:uid="{00000000-0010-0000-4600-000004000000}" name="CUIT" dataDxfId="52"/>
    <tableColumn id="5" xr3:uid="{00000000-0010-0000-4600-000005000000}" name="RAZON SOCIAL" dataDxfId="51"/>
    <tableColumn id="6" xr3:uid="{00000000-0010-0000-4600-000006000000}" name="TOTAL" dataDxfId="50"/>
    <tableColumn id="7" xr3:uid="{00000000-0010-0000-4600-000007000000}" name="TIPO DE GASTO" dataDxfId="49"/>
    <tableColumn id="8" xr3:uid="{00000000-0010-0000-4600-000008000000}" name="Provincia" dataDxfId="48"/>
  </tableColumns>
  <tableStyleInfo name="Feb-25-style 3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7000000}" name="Table_71" displayName="Table_71" ref="B75:M85" headerRowDxfId="47" totalsRowDxfId="44" headerRowBorderDxfId="46" tableBorderDxfId="45">
  <tableColumns count="12">
    <tableColumn id="1" xr3:uid="{00000000-0010-0000-4700-000001000000}" name="FECHA" dataDxfId="43"/>
    <tableColumn id="2" xr3:uid="{00000000-0010-0000-4700-000002000000}" name="TIPO" dataDxfId="42"/>
    <tableColumn id="3" xr3:uid="{00000000-0010-0000-4700-000003000000}" name="PTO VENTA" dataDxfId="41"/>
    <tableColumn id="4" xr3:uid="{00000000-0010-0000-4700-000004000000}" name="Nº FACTURA" dataDxfId="40"/>
    <tableColumn id="5" xr3:uid="{00000000-0010-0000-4700-000005000000}" name="CUIT" dataDxfId="39"/>
    <tableColumn id="6" xr3:uid="{00000000-0010-0000-4700-000006000000}" name="RAZON SOCIAL" dataDxfId="38"/>
    <tableColumn id="7" xr3:uid="{00000000-0010-0000-4700-000007000000}" name="IMPORTE NETO" dataDxfId="37"/>
    <tableColumn id="8" xr3:uid="{00000000-0010-0000-4700-000008000000}" name="IVA 21%" dataDxfId="36"/>
    <tableColumn id="9" xr3:uid="{00000000-0010-0000-4700-000009000000}" name="IVA 10,5%" dataDxfId="35"/>
    <tableColumn id="10" xr3:uid="{00000000-0010-0000-4700-00000A000000}" name="EXENTO" dataDxfId="34"/>
    <tableColumn id="11" xr3:uid="{00000000-0010-0000-4700-00000B000000}" name="TOTAL" dataDxfId="33"/>
    <tableColumn id="12" xr3:uid="{00000000-0010-0000-4700-00000C000000}" name="Provincia" dataDxfId="32"/>
  </tableColumns>
  <tableStyleInfo name="Feb-25-style 4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8000000}" name="Table_72" displayName="Table_72" ref="B89:M96" headerRowDxfId="31" totalsRowDxfId="28" headerRowBorderDxfId="30" tableBorderDxfId="29">
  <tableColumns count="12">
    <tableColumn id="1" xr3:uid="{00000000-0010-0000-4800-000001000000}" name="FECHA" dataDxfId="27"/>
    <tableColumn id="2" xr3:uid="{00000000-0010-0000-4800-000002000000}" name="TIPO" dataDxfId="26"/>
    <tableColumn id="3" xr3:uid="{00000000-0010-0000-4800-000003000000}" name="PTO VENTA" dataDxfId="25"/>
    <tableColumn id="4" xr3:uid="{00000000-0010-0000-4800-000004000000}" name="Nº FACTURA" dataDxfId="24"/>
    <tableColumn id="5" xr3:uid="{00000000-0010-0000-4800-000005000000}" name="CUIT" dataDxfId="23"/>
    <tableColumn id="6" xr3:uid="{00000000-0010-0000-4800-000006000000}" name="RAZON SOCIAL" dataDxfId="22"/>
    <tableColumn id="7" xr3:uid="{00000000-0010-0000-4800-000007000000}" name="IMPORTE NETO" dataDxfId="21"/>
    <tableColumn id="8" xr3:uid="{00000000-0010-0000-4800-000008000000}" name="IVA 21%" dataDxfId="20"/>
    <tableColumn id="9" xr3:uid="{00000000-0010-0000-4800-000009000000}" name="IVA 10,5%" dataDxfId="19"/>
    <tableColumn id="10" xr3:uid="{00000000-0010-0000-4800-00000A000000}" name="EXENTO" dataDxfId="18"/>
    <tableColumn id="11" xr3:uid="{00000000-0010-0000-4800-00000B000000}" name="TOTAL" dataDxfId="17"/>
    <tableColumn id="12" xr3:uid="{00000000-0010-0000-4800-00000C000000}" name="Provincia" dataDxfId="16"/>
  </tableColumns>
  <tableStyleInfo name="Feb-25-style 5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9000000}" name="Table_73" displayName="Table_73" ref="B101:M106" headerRowDxfId="15" totalsRowDxfId="12" headerRowBorderDxfId="14" tableBorderDxfId="13">
  <tableColumns count="12">
    <tableColumn id="1" xr3:uid="{00000000-0010-0000-4900-000001000000}" name="FECHA" dataDxfId="11"/>
    <tableColumn id="2" xr3:uid="{00000000-0010-0000-4900-000002000000}" name="TIPO" dataDxfId="10"/>
    <tableColumn id="3" xr3:uid="{00000000-0010-0000-4900-000003000000}" name="PTO VENTA" dataDxfId="9"/>
    <tableColumn id="4" xr3:uid="{00000000-0010-0000-4900-000004000000}" name="Nº FACTURA" dataDxfId="8"/>
    <tableColumn id="5" xr3:uid="{00000000-0010-0000-4900-000005000000}" name="CUIT" dataDxfId="7"/>
    <tableColumn id="6" xr3:uid="{00000000-0010-0000-4900-000006000000}" name="RAZON SOCIAL" dataDxfId="6"/>
    <tableColumn id="7" xr3:uid="{00000000-0010-0000-4900-000007000000}" name="USD" dataDxfId="5"/>
    <tableColumn id="8" xr3:uid="{00000000-0010-0000-4900-000008000000}" name="IVA 21%" dataDxfId="4"/>
    <tableColumn id="9" xr3:uid="{00000000-0010-0000-4900-000009000000}" name="Columna1" dataDxfId="3"/>
    <tableColumn id="10" xr3:uid="{00000000-0010-0000-4900-00000A000000}" name="TIPO DE CAMBIO2" dataDxfId="2"/>
    <tableColumn id="11" xr3:uid="{00000000-0010-0000-4900-00000B000000}" name="TOTAL" dataDxfId="1"/>
    <tableColumn id="12" xr3:uid="{00000000-0010-0000-4900-00000C000000}" name="PAIS" dataDxfId="0"/>
  </tableColumns>
  <tableStyleInfo name="Feb-25-style 6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A000000}" name="Table_74" displayName="Table_74" ref="C112:L117">
  <tableColumns count="10">
    <tableColumn id="1" xr3:uid="{00000000-0010-0000-4A00-000001000000}" name="FECHA "/>
    <tableColumn id="2" xr3:uid="{00000000-0010-0000-4A00-000002000000}" name="COMP Nº"/>
    <tableColumn id="3" xr3:uid="{00000000-0010-0000-4A00-000003000000}" name="Columna1"/>
    <tableColumn id="4" xr3:uid="{00000000-0010-0000-4A00-000004000000}" name="CUIT"/>
    <tableColumn id="5" xr3:uid="{00000000-0010-0000-4A00-000005000000}" name="RAZON SOCIAL"/>
    <tableColumn id="6" xr3:uid="{00000000-0010-0000-4A00-000006000000}" name="Ganancias"/>
    <tableColumn id="7" xr3:uid="{00000000-0010-0000-4A00-000007000000}" name="IVA"/>
    <tableColumn id="8" xr3:uid="{00000000-0010-0000-4A00-000008000000}" name="SUSS"/>
    <tableColumn id="9" xr3:uid="{00000000-0010-0000-4A00-000009000000}" name="IIBB BSAS"/>
    <tableColumn id="10" xr3:uid="{00000000-0010-0000-4A00-00000A000000}" name="IIBB CABA"/>
  </tableColumns>
  <tableStyleInfo name="Feb-25-style 7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B000000}" name="Table_75" displayName="Table_75" ref="B8:R39">
  <autoFilter ref="B8:R39" xr:uid="{00000000-0009-0000-0100-00004B000000}"/>
  <tableColumns count="17">
    <tableColumn id="1" xr3:uid="{00000000-0010-0000-4B00-000001000000}" name="FECHA"/>
    <tableColumn id="2" xr3:uid="{00000000-0010-0000-4B00-000002000000}" name="TIPO"/>
    <tableColumn id="3" xr3:uid="{00000000-0010-0000-4B00-000003000000}" name="PTO VTA"/>
    <tableColumn id="4" xr3:uid="{00000000-0010-0000-4B00-000004000000}" name="NRO. CPTE"/>
    <tableColumn id="5" xr3:uid="{00000000-0010-0000-4B00-000005000000}" name="CUIT"/>
    <tableColumn id="6" xr3:uid="{00000000-0010-0000-4B00-000006000000}" name="RAZON SOCIAL"/>
    <tableColumn id="7" xr3:uid="{00000000-0010-0000-4B00-000007000000}" name="NETO GRAVADO"/>
    <tableColumn id="8" xr3:uid="{00000000-0010-0000-4B00-000008000000}" name="IVA 21 %"/>
    <tableColumn id="9" xr3:uid="{00000000-0010-0000-4B00-000009000000}" name="IVA 27%"/>
    <tableColumn id="10" xr3:uid="{00000000-0010-0000-4B00-00000A000000}" name="IVA 10,5%"/>
    <tableColumn id="11" xr3:uid="{00000000-0010-0000-4B00-00000B000000}" name="PERC. IVA"/>
    <tableColumn id="12" xr3:uid="{00000000-0010-0000-4B00-00000C000000}" name="PERC IIBB _x000a_BS AS"/>
    <tableColumn id="13" xr3:uid="{00000000-0010-0000-4B00-00000D000000}" name="PERC. IIBB CABA"/>
    <tableColumn id="14" xr3:uid="{00000000-0010-0000-4B00-00000E000000}" name="Otros - No Grav."/>
    <tableColumn id="15" xr3:uid="{00000000-0010-0000-4B00-00000F000000}" name="TOTAL"/>
    <tableColumn id="16" xr3:uid="{00000000-0010-0000-4B00-000010000000}" name="Tipo de Gasto"/>
    <tableColumn id="17" xr3:uid="{00000000-0010-0000-4B00-000011000000}" name="Provincia"/>
  </tableColumns>
  <tableStyleInfo name="Mar-25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C000000}" name="Table_76" displayName="Table_76" ref="D45:L54">
  <tableColumns count="9">
    <tableColumn id="1" xr3:uid="{00000000-0010-0000-4C00-000001000000}" name="FECHA"/>
    <tableColumn id="2" xr3:uid="{00000000-0010-0000-4C00-000002000000}" name="NRO CPTE"/>
    <tableColumn id="3" xr3:uid="{00000000-0010-0000-4C00-000003000000}" name="BANCO"/>
    <tableColumn id="4" xr3:uid="{00000000-0010-0000-4C00-000004000000}" name="NETO"/>
    <tableColumn id="5" xr3:uid="{00000000-0010-0000-4C00-000005000000}" name="IVA 21%"/>
    <tableColumn id="6" xr3:uid="{00000000-0010-0000-4C00-000006000000}" name="IVA 10,5%"/>
    <tableColumn id="7" xr3:uid="{00000000-0010-0000-4C00-000007000000}" name="RET IIBB CABA"/>
    <tableColumn id="8" xr3:uid="{00000000-0010-0000-4C00-000008000000}" name="PERC IVA"/>
    <tableColumn id="9" xr3:uid="{00000000-0010-0000-4C00-000009000000}" name="PERC IIBB"/>
  </tableColumns>
  <tableStyleInfo name="Mar-25-style 2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D000000}" name="Table_77" displayName="Table_77" ref="D59:K77">
  <autoFilter ref="D59:K77" xr:uid="{00000000-0009-0000-0100-00004D000000}"/>
  <tableColumns count="8">
    <tableColumn id="1" xr3:uid="{00000000-0010-0000-4D00-000001000000}" name="FECHA"/>
    <tableColumn id="2" xr3:uid="{00000000-0010-0000-4D00-000002000000}" name="PTO VTA"/>
    <tableColumn id="3" xr3:uid="{00000000-0010-0000-4D00-000003000000}" name="FC Nº"/>
    <tableColumn id="4" xr3:uid="{00000000-0010-0000-4D00-000004000000}" name="CUIT"/>
    <tableColumn id="5" xr3:uid="{00000000-0010-0000-4D00-000005000000}" name="RAZON SOCIAL"/>
    <tableColumn id="6" xr3:uid="{00000000-0010-0000-4D00-000006000000}" name="TOTAL"/>
    <tableColumn id="7" xr3:uid="{00000000-0010-0000-4D00-000007000000}" name="TIPO DE GASTO"/>
    <tableColumn id="8" xr3:uid="{00000000-0010-0000-4D00-000008000000}" name="Provincia"/>
  </tableColumns>
  <tableStyleInfo name="Mar-25-style 3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E000000}" name="Table_78" displayName="Table_78" ref="B85:M97">
  <tableColumns count="12">
    <tableColumn id="1" xr3:uid="{00000000-0010-0000-4E00-000001000000}" name="FECHA"/>
    <tableColumn id="2" xr3:uid="{00000000-0010-0000-4E00-000002000000}" name="TIPO"/>
    <tableColumn id="3" xr3:uid="{00000000-0010-0000-4E00-000003000000}" name="PTO VENTA"/>
    <tableColumn id="4" xr3:uid="{00000000-0010-0000-4E00-000004000000}" name="Nº FACTURA"/>
    <tableColumn id="5" xr3:uid="{00000000-0010-0000-4E00-000005000000}" name="CUIT"/>
    <tableColumn id="6" xr3:uid="{00000000-0010-0000-4E00-000006000000}" name="RAZON SOCIAL"/>
    <tableColumn id="7" xr3:uid="{00000000-0010-0000-4E00-000007000000}" name="IMPORTE NETO"/>
    <tableColumn id="8" xr3:uid="{00000000-0010-0000-4E00-000008000000}" name="IVA 21%"/>
    <tableColumn id="9" xr3:uid="{00000000-0010-0000-4E00-000009000000}" name="IVA 10,5%"/>
    <tableColumn id="10" xr3:uid="{00000000-0010-0000-4E00-00000A000000}" name="EXENTO"/>
    <tableColumn id="11" xr3:uid="{00000000-0010-0000-4E00-00000B000000}" name="TOTAL"/>
    <tableColumn id="12" xr3:uid="{00000000-0010-0000-4E00-00000C000000}" name="Provincia"/>
  </tableColumns>
  <tableStyleInfo name="Mar-25-style 4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F000000}" name="Table_79" displayName="Table_79" ref="B101:M108">
  <tableColumns count="12">
    <tableColumn id="1" xr3:uid="{00000000-0010-0000-4F00-000001000000}" name="FECHA"/>
    <tableColumn id="2" xr3:uid="{00000000-0010-0000-4F00-000002000000}" name="TIPO"/>
    <tableColumn id="3" xr3:uid="{00000000-0010-0000-4F00-000003000000}" name="PTO VENTA"/>
    <tableColumn id="4" xr3:uid="{00000000-0010-0000-4F00-000004000000}" name="Nº FACTURA"/>
    <tableColumn id="5" xr3:uid="{00000000-0010-0000-4F00-000005000000}" name="CUIT"/>
    <tableColumn id="6" xr3:uid="{00000000-0010-0000-4F00-000006000000}" name="RAZON SOCIAL"/>
    <tableColumn id="7" xr3:uid="{00000000-0010-0000-4F00-000007000000}" name="USD"/>
    <tableColumn id="8" xr3:uid="{00000000-0010-0000-4F00-000008000000}" name="IVA 21%"/>
    <tableColumn id="9" xr3:uid="{00000000-0010-0000-4F00-000009000000}" name="IVA 10,5%"/>
    <tableColumn id="10" xr3:uid="{00000000-0010-0000-4F00-00000A000000}" name="TIPO CAMBIO"/>
    <tableColumn id="11" xr3:uid="{00000000-0010-0000-4F00-00000B000000}" name="TOTAL"/>
    <tableColumn id="12" xr3:uid="{00000000-0010-0000-4F00-00000C000000}" name="Provincia"/>
  </tableColumns>
  <tableStyleInfo name="Mar-25-style 5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50000000}" name="Table_80" displayName="Table_80" ref="C117:L122">
  <tableColumns count="10">
    <tableColumn id="1" xr3:uid="{00000000-0010-0000-5000-000001000000}" name="FECHA "/>
    <tableColumn id="2" xr3:uid="{00000000-0010-0000-5000-000002000000}" name="COMP Nº"/>
    <tableColumn id="3" xr3:uid="{00000000-0010-0000-5000-000003000000}" name="Columna1"/>
    <tableColumn id="4" xr3:uid="{00000000-0010-0000-5000-000004000000}" name="CUIT"/>
    <tableColumn id="5" xr3:uid="{00000000-0010-0000-5000-000005000000}" name="RAZON SOCIAL"/>
    <tableColumn id="6" xr3:uid="{00000000-0010-0000-5000-000006000000}" name="Ganancias"/>
    <tableColumn id="7" xr3:uid="{00000000-0010-0000-5000-000007000000}" name="IVA"/>
    <tableColumn id="8" xr3:uid="{00000000-0010-0000-5000-000008000000}" name="SUSS"/>
    <tableColumn id="9" xr3:uid="{00000000-0010-0000-5000-000009000000}" name="IIBB BSAS"/>
    <tableColumn id="10" xr3:uid="{00000000-0010-0000-5000-00000A000000}" name="IIBB CABA"/>
  </tableColumns>
  <tableStyleInfo name="Mar-25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table" Target="../tables/table55.xml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7" Type="http://schemas.openxmlformats.org/officeDocument/2006/relationships/table" Target="../tables/table68.xml"/><Relationship Id="rId2" Type="http://schemas.openxmlformats.org/officeDocument/2006/relationships/table" Target="../tables/table63.xml"/><Relationship Id="rId1" Type="http://schemas.openxmlformats.org/officeDocument/2006/relationships/table" Target="../tables/table62.xml"/><Relationship Id="rId6" Type="http://schemas.openxmlformats.org/officeDocument/2006/relationships/table" Target="../tables/table67.xml"/><Relationship Id="rId5" Type="http://schemas.openxmlformats.org/officeDocument/2006/relationships/table" Target="../tables/table66.xml"/><Relationship Id="rId4" Type="http://schemas.openxmlformats.org/officeDocument/2006/relationships/table" Target="../tables/table6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table" Target="../tables/table76.xml"/><Relationship Id="rId6" Type="http://schemas.openxmlformats.org/officeDocument/2006/relationships/table" Target="../tables/table81.xml"/><Relationship Id="rId5" Type="http://schemas.openxmlformats.org/officeDocument/2006/relationships/table" Target="../tables/table80.xml"/><Relationship Id="rId4" Type="http://schemas.openxmlformats.org/officeDocument/2006/relationships/table" Target="../tables/table7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1"/>
  <sheetViews>
    <sheetView topLeftCell="A1442" workbookViewId="0">
      <selection activeCell="B1471" sqref="B1471"/>
    </sheetView>
  </sheetViews>
  <sheetFormatPr baseColWidth="10" defaultColWidth="14.42578125" defaultRowHeight="15" customHeight="1" x14ac:dyDescent="0.25"/>
  <cols>
    <col min="1" max="1" width="13.28515625" customWidth="1"/>
    <col min="2" max="2" width="80.85546875" customWidth="1"/>
    <col min="3" max="3" width="20" customWidth="1"/>
    <col min="4" max="4" width="15" customWidth="1"/>
    <col min="5" max="6" width="10.7109375" customWidth="1"/>
    <col min="7" max="7" width="20.5703125" customWidth="1"/>
    <col min="8" max="26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>
        <v>30575019524</v>
      </c>
      <c r="B2" s="3" t="s">
        <v>4</v>
      </c>
      <c r="C2" s="1"/>
      <c r="D2" s="3"/>
      <c r="G2" s="4" t="s">
        <v>5</v>
      </c>
    </row>
    <row r="3" spans="1:7" x14ac:dyDescent="0.25">
      <c r="A3" s="2">
        <v>30709829730</v>
      </c>
      <c r="B3" s="3" t="s">
        <v>6</v>
      </c>
      <c r="C3" s="1" t="s">
        <v>7</v>
      </c>
      <c r="D3" s="3"/>
      <c r="G3" s="5" t="s">
        <v>8</v>
      </c>
    </row>
    <row r="4" spans="1:7" x14ac:dyDescent="0.25">
      <c r="A4" s="2">
        <v>30715223704</v>
      </c>
      <c r="B4" s="3" t="s">
        <v>9</v>
      </c>
      <c r="C4" s="1" t="s">
        <v>10</v>
      </c>
      <c r="D4" s="3"/>
      <c r="G4" s="4" t="s">
        <v>11</v>
      </c>
    </row>
    <row r="5" spans="1:7" x14ac:dyDescent="0.25">
      <c r="A5" s="2">
        <v>30714869937</v>
      </c>
      <c r="B5" s="3" t="s">
        <v>12</v>
      </c>
      <c r="C5" s="1"/>
      <c r="D5" s="3"/>
      <c r="G5" s="5" t="s">
        <v>13</v>
      </c>
    </row>
    <row r="6" spans="1:7" x14ac:dyDescent="0.25">
      <c r="A6" s="2">
        <v>30692212130</v>
      </c>
      <c r="B6" s="3" t="s">
        <v>14</v>
      </c>
      <c r="C6" s="1"/>
      <c r="D6" s="3"/>
      <c r="G6" s="4" t="s">
        <v>15</v>
      </c>
    </row>
    <row r="7" spans="1:7" x14ac:dyDescent="0.25">
      <c r="A7" s="2">
        <v>30687722007</v>
      </c>
      <c r="B7" s="3" t="s">
        <v>16</v>
      </c>
      <c r="C7" s="1" t="s">
        <v>17</v>
      </c>
      <c r="D7" s="3"/>
      <c r="G7" s="5" t="s">
        <v>18</v>
      </c>
    </row>
    <row r="8" spans="1:7" x14ac:dyDescent="0.25">
      <c r="A8" s="2">
        <v>30503874497</v>
      </c>
      <c r="B8" s="3" t="s">
        <v>19</v>
      </c>
      <c r="C8" s="1" t="s">
        <v>5</v>
      </c>
      <c r="D8" s="3"/>
      <c r="G8" s="4" t="s">
        <v>20</v>
      </c>
    </row>
    <row r="9" spans="1:7" x14ac:dyDescent="0.25">
      <c r="A9" s="2">
        <v>30702017498</v>
      </c>
      <c r="B9" s="3" t="s">
        <v>21</v>
      </c>
      <c r="C9" s="1"/>
      <c r="D9" s="3"/>
      <c r="G9" s="5" t="s">
        <v>22</v>
      </c>
    </row>
    <row r="10" spans="1:7" x14ac:dyDescent="0.25">
      <c r="A10" s="2">
        <v>20182999661</v>
      </c>
      <c r="B10" s="3" t="s">
        <v>23</v>
      </c>
      <c r="C10" s="1" t="s">
        <v>5</v>
      </c>
      <c r="D10" s="3"/>
      <c r="G10" s="4" t="s">
        <v>24</v>
      </c>
    </row>
    <row r="11" spans="1:7" x14ac:dyDescent="0.25">
      <c r="A11" s="2">
        <v>30652000076</v>
      </c>
      <c r="B11" s="3" t="s">
        <v>25</v>
      </c>
      <c r="C11" s="1" t="s">
        <v>5</v>
      </c>
      <c r="D11" s="3"/>
      <c r="G11" s="5" t="s">
        <v>26</v>
      </c>
    </row>
    <row r="12" spans="1:7" x14ac:dyDescent="0.25">
      <c r="A12" s="2">
        <v>30690536079</v>
      </c>
      <c r="B12" s="3" t="s">
        <v>27</v>
      </c>
      <c r="C12" s="1" t="s">
        <v>15</v>
      </c>
      <c r="D12" s="3"/>
      <c r="G12" s="4" t="s">
        <v>28</v>
      </c>
    </row>
    <row r="13" spans="1:7" x14ac:dyDescent="0.25">
      <c r="A13" s="2">
        <v>30515585415</v>
      </c>
      <c r="B13" s="3" t="s">
        <v>29</v>
      </c>
      <c r="C13" s="1" t="s">
        <v>5</v>
      </c>
      <c r="D13" s="3"/>
      <c r="G13" s="5" t="s">
        <v>30</v>
      </c>
    </row>
    <row r="14" spans="1:7" x14ac:dyDescent="0.25">
      <c r="A14" s="2">
        <v>33711942659</v>
      </c>
      <c r="B14" s="3" t="s">
        <v>31</v>
      </c>
      <c r="C14" s="1" t="s">
        <v>5</v>
      </c>
      <c r="D14" s="3"/>
      <c r="G14" s="4" t="s">
        <v>32</v>
      </c>
    </row>
    <row r="15" spans="1:7" x14ac:dyDescent="0.25">
      <c r="A15" s="2">
        <v>30715243349</v>
      </c>
      <c r="B15" s="3" t="s">
        <v>33</v>
      </c>
      <c r="C15" s="1"/>
      <c r="D15" s="3"/>
      <c r="G15" s="5" t="s">
        <v>34</v>
      </c>
    </row>
    <row r="16" spans="1:7" x14ac:dyDescent="0.25">
      <c r="A16" s="2">
        <v>20174004146</v>
      </c>
      <c r="B16" s="3" t="s">
        <v>35</v>
      </c>
      <c r="C16" s="1" t="s">
        <v>5</v>
      </c>
      <c r="D16" s="3"/>
      <c r="G16" s="4" t="s">
        <v>36</v>
      </c>
    </row>
    <row r="17" spans="1:7" x14ac:dyDescent="0.25">
      <c r="A17" s="2">
        <v>30708555548</v>
      </c>
      <c r="B17" s="3" t="s">
        <v>37</v>
      </c>
      <c r="C17" s="1" t="s">
        <v>5</v>
      </c>
      <c r="D17" s="3"/>
      <c r="G17" s="5" t="s">
        <v>38</v>
      </c>
    </row>
    <row r="18" spans="1:7" x14ac:dyDescent="0.25">
      <c r="A18" s="2">
        <v>30708263342</v>
      </c>
      <c r="B18" s="3" t="s">
        <v>39</v>
      </c>
      <c r="C18" s="1" t="s">
        <v>10</v>
      </c>
      <c r="D18" s="3"/>
      <c r="G18" s="4" t="s">
        <v>40</v>
      </c>
    </row>
    <row r="19" spans="1:7" x14ac:dyDescent="0.25">
      <c r="A19" s="2">
        <v>30709565075</v>
      </c>
      <c r="B19" s="3" t="s">
        <v>41</v>
      </c>
      <c r="C19" s="1" t="s">
        <v>17</v>
      </c>
      <c r="D19" s="3"/>
      <c r="G19" s="5" t="s">
        <v>42</v>
      </c>
    </row>
    <row r="20" spans="1:7" x14ac:dyDescent="0.25">
      <c r="A20" s="2">
        <v>30500229973</v>
      </c>
      <c r="B20" s="3" t="s">
        <v>43</v>
      </c>
      <c r="C20" s="1" t="s">
        <v>5</v>
      </c>
      <c r="D20" s="3"/>
      <c r="G20" s="4" t="s">
        <v>44</v>
      </c>
    </row>
    <row r="21" spans="1:7" ht="15.75" customHeight="1" x14ac:dyDescent="0.25">
      <c r="A21" s="2">
        <v>30710799241</v>
      </c>
      <c r="B21" s="3" t="s">
        <v>45</v>
      </c>
      <c r="C21" s="1"/>
      <c r="D21" s="3"/>
      <c r="G21" s="5" t="s">
        <v>46</v>
      </c>
    </row>
    <row r="22" spans="1:7" ht="15.75" customHeight="1" x14ac:dyDescent="0.25">
      <c r="A22" s="2">
        <v>20236101127</v>
      </c>
      <c r="B22" s="3" t="s">
        <v>47</v>
      </c>
      <c r="C22" s="1"/>
      <c r="D22" s="3"/>
      <c r="G22" s="4" t="s">
        <v>48</v>
      </c>
    </row>
    <row r="23" spans="1:7" ht="15.75" customHeight="1" x14ac:dyDescent="0.25">
      <c r="A23" s="2">
        <v>20291929126</v>
      </c>
      <c r="B23" s="3" t="s">
        <v>49</v>
      </c>
      <c r="C23" s="1"/>
      <c r="D23" s="3"/>
    </row>
    <row r="24" spans="1:7" ht="15.75" customHeight="1" x14ac:dyDescent="0.25">
      <c r="A24" s="2">
        <v>30709604887</v>
      </c>
      <c r="B24" s="3" t="s">
        <v>50</v>
      </c>
      <c r="C24" s="1" t="s">
        <v>7</v>
      </c>
      <c r="D24" s="3"/>
    </row>
    <row r="25" spans="1:7" ht="15.75" customHeight="1" x14ac:dyDescent="0.25">
      <c r="A25" s="2">
        <v>20083925680</v>
      </c>
      <c r="B25" s="3" t="s">
        <v>51</v>
      </c>
      <c r="C25" s="1" t="s">
        <v>15</v>
      </c>
      <c r="D25" s="3"/>
    </row>
    <row r="26" spans="1:7" ht="15.75" customHeight="1" x14ac:dyDescent="0.25">
      <c r="A26" s="2">
        <v>30656038752</v>
      </c>
      <c r="B26" s="3" t="s">
        <v>52</v>
      </c>
      <c r="C26" s="1" t="s">
        <v>5</v>
      </c>
      <c r="D26" s="3"/>
    </row>
    <row r="27" spans="1:7" ht="15.75" customHeight="1" x14ac:dyDescent="0.25">
      <c r="A27" s="2">
        <v>30504563894</v>
      </c>
      <c r="B27" s="3" t="s">
        <v>53</v>
      </c>
      <c r="C27" s="1" t="s">
        <v>5</v>
      </c>
      <c r="D27" s="3"/>
    </row>
    <row r="28" spans="1:7" ht="15.75" customHeight="1" x14ac:dyDescent="0.25">
      <c r="A28" s="2">
        <v>30602699826</v>
      </c>
      <c r="B28" s="3" t="s">
        <v>54</v>
      </c>
      <c r="C28" s="1"/>
      <c r="D28" s="3"/>
    </row>
    <row r="29" spans="1:7" ht="15.75" customHeight="1" x14ac:dyDescent="0.25">
      <c r="A29" s="2">
        <v>30715190385</v>
      </c>
      <c r="B29" s="3" t="s">
        <v>55</v>
      </c>
      <c r="C29" s="1"/>
      <c r="D29" s="3"/>
    </row>
    <row r="30" spans="1:7" ht="15.75" customHeight="1" x14ac:dyDescent="0.25">
      <c r="A30" s="2">
        <v>23945042079</v>
      </c>
      <c r="B30" s="3" t="s">
        <v>56</v>
      </c>
      <c r="C30" s="1" t="s">
        <v>15</v>
      </c>
      <c r="D30" s="3"/>
    </row>
    <row r="31" spans="1:7" ht="15.75" customHeight="1" x14ac:dyDescent="0.25">
      <c r="A31" s="2">
        <v>20040616498</v>
      </c>
      <c r="B31" s="3" t="s">
        <v>57</v>
      </c>
      <c r="C31" s="1"/>
      <c r="D31" s="3"/>
    </row>
    <row r="32" spans="1:7" ht="15.75" customHeight="1" x14ac:dyDescent="0.25">
      <c r="A32" s="2">
        <v>30710587147</v>
      </c>
      <c r="B32" s="3" t="s">
        <v>58</v>
      </c>
      <c r="C32" s="1" t="s">
        <v>17</v>
      </c>
      <c r="D32" s="3"/>
    </row>
    <row r="33" spans="1:4" ht="15.75" customHeight="1" x14ac:dyDescent="0.25">
      <c r="A33" s="2">
        <v>30663288497</v>
      </c>
      <c r="B33" s="3" t="s">
        <v>59</v>
      </c>
      <c r="C33" s="1"/>
      <c r="D33" s="3"/>
    </row>
    <row r="34" spans="1:4" ht="15.75" customHeight="1" x14ac:dyDescent="0.25">
      <c r="A34" s="2">
        <v>27108310559</v>
      </c>
      <c r="B34" s="3" t="s">
        <v>60</v>
      </c>
      <c r="C34" s="1"/>
      <c r="D34" s="3"/>
    </row>
    <row r="35" spans="1:4" ht="15.75" customHeight="1" x14ac:dyDescent="0.25">
      <c r="A35" s="2">
        <v>30502375535</v>
      </c>
      <c r="B35" s="3" t="s">
        <v>61</v>
      </c>
      <c r="C35" s="1"/>
      <c r="D35" s="3"/>
    </row>
    <row r="36" spans="1:4" ht="15.75" customHeight="1" x14ac:dyDescent="0.25">
      <c r="A36" s="2">
        <v>30709251739</v>
      </c>
      <c r="B36" s="3" t="s">
        <v>62</v>
      </c>
      <c r="C36" s="1"/>
      <c r="D36" s="3"/>
    </row>
    <row r="37" spans="1:4" ht="15.75" customHeight="1" x14ac:dyDescent="0.25">
      <c r="A37" s="2">
        <v>30709948667</v>
      </c>
      <c r="B37" s="3" t="s">
        <v>63</v>
      </c>
      <c r="C37" s="1" t="s">
        <v>5</v>
      </c>
      <c r="D37" s="3"/>
    </row>
    <row r="38" spans="1:4" ht="15.75" customHeight="1" x14ac:dyDescent="0.25">
      <c r="A38" s="2">
        <v>30683702060</v>
      </c>
      <c r="B38" s="3" t="s">
        <v>64</v>
      </c>
      <c r="C38" s="1" t="s">
        <v>5</v>
      </c>
      <c r="D38" s="3"/>
    </row>
    <row r="39" spans="1:4" ht="15.75" customHeight="1" x14ac:dyDescent="0.25">
      <c r="A39" s="2">
        <v>30715985124</v>
      </c>
      <c r="B39" s="3" t="s">
        <v>65</v>
      </c>
      <c r="C39" s="1"/>
      <c r="D39" s="3"/>
    </row>
    <row r="40" spans="1:4" ht="15.75" customHeight="1" x14ac:dyDescent="0.25">
      <c r="A40" s="2">
        <v>30714344656</v>
      </c>
      <c r="B40" s="3" t="s">
        <v>66</v>
      </c>
      <c r="C40" s="1" t="s">
        <v>5</v>
      </c>
      <c r="D40" s="3"/>
    </row>
    <row r="41" spans="1:4" ht="15.75" customHeight="1" x14ac:dyDescent="0.25">
      <c r="A41" s="2">
        <v>30712000372</v>
      </c>
      <c r="B41" s="3" t="s">
        <v>67</v>
      </c>
      <c r="C41" s="1" t="s">
        <v>5</v>
      </c>
      <c r="D41" s="3"/>
    </row>
    <row r="42" spans="1:4" ht="15.75" customHeight="1" x14ac:dyDescent="0.25">
      <c r="A42" s="2">
        <v>30714741167</v>
      </c>
      <c r="B42" s="3" t="s">
        <v>68</v>
      </c>
      <c r="C42" s="1"/>
      <c r="D42" s="3"/>
    </row>
    <row r="43" spans="1:4" ht="15.75" customHeight="1" x14ac:dyDescent="0.25">
      <c r="A43" s="2">
        <v>20927832136</v>
      </c>
      <c r="B43" s="3" t="s">
        <v>69</v>
      </c>
      <c r="C43" s="1" t="s">
        <v>15</v>
      </c>
      <c r="D43" s="3"/>
    </row>
    <row r="44" spans="1:4" ht="15.75" customHeight="1" x14ac:dyDescent="0.25">
      <c r="A44" s="2">
        <v>27135302835</v>
      </c>
      <c r="B44" s="3" t="s">
        <v>70</v>
      </c>
      <c r="C44" s="1"/>
      <c r="D44" s="3"/>
    </row>
    <row r="45" spans="1:4" ht="15.75" customHeight="1" x14ac:dyDescent="0.25">
      <c r="A45" s="2">
        <v>27276671109</v>
      </c>
      <c r="B45" s="3" t="s">
        <v>71</v>
      </c>
      <c r="C45" s="1" t="s">
        <v>5</v>
      </c>
      <c r="D45" s="3"/>
    </row>
    <row r="46" spans="1:4" ht="15.75" customHeight="1" x14ac:dyDescent="0.25">
      <c r="A46" s="2">
        <v>30711597499</v>
      </c>
      <c r="B46" s="3" t="s">
        <v>72</v>
      </c>
      <c r="C46" s="1"/>
      <c r="D46" s="3"/>
    </row>
    <row r="47" spans="1:4" ht="15.75" customHeight="1" x14ac:dyDescent="0.25">
      <c r="A47" s="2">
        <v>30600907553</v>
      </c>
      <c r="B47" s="3" t="s">
        <v>73</v>
      </c>
      <c r="C47" s="1"/>
      <c r="D47" s="3"/>
    </row>
    <row r="48" spans="1:4" ht="15.75" customHeight="1" x14ac:dyDescent="0.25">
      <c r="A48" s="2">
        <v>30709585262</v>
      </c>
      <c r="B48" s="3" t="s">
        <v>74</v>
      </c>
      <c r="C48" s="1" t="s">
        <v>7</v>
      </c>
      <c r="D48" s="3"/>
    </row>
    <row r="49" spans="1:4" ht="15.75" customHeight="1" x14ac:dyDescent="0.25">
      <c r="A49" s="2">
        <v>30614941509</v>
      </c>
      <c r="B49" s="3" t="s">
        <v>75</v>
      </c>
      <c r="C49" s="1"/>
      <c r="D49" s="3"/>
    </row>
    <row r="50" spans="1:4" ht="15.75" customHeight="1" x14ac:dyDescent="0.25">
      <c r="A50" s="2">
        <v>30560443648</v>
      </c>
      <c r="B50" s="3" t="s">
        <v>76</v>
      </c>
      <c r="C50" s="1"/>
      <c r="D50" s="3"/>
    </row>
    <row r="51" spans="1:4" ht="15.75" customHeight="1" x14ac:dyDescent="0.25">
      <c r="A51" s="2">
        <v>30708547790</v>
      </c>
      <c r="B51" s="3" t="s">
        <v>77</v>
      </c>
      <c r="C51" s="1"/>
      <c r="D51" s="3"/>
    </row>
    <row r="52" spans="1:4" ht="15.75" customHeight="1" x14ac:dyDescent="0.25">
      <c r="A52" s="2">
        <v>30711624402</v>
      </c>
      <c r="B52" s="3" t="s">
        <v>78</v>
      </c>
      <c r="C52" s="1"/>
      <c r="D52" s="3"/>
    </row>
    <row r="53" spans="1:4" ht="15.75" customHeight="1" x14ac:dyDescent="0.25">
      <c r="A53" s="2">
        <v>20045180620</v>
      </c>
      <c r="B53" s="3" t="s">
        <v>79</v>
      </c>
      <c r="C53" s="1" t="s">
        <v>15</v>
      </c>
      <c r="D53" s="3"/>
    </row>
    <row r="54" spans="1:4" ht="15.75" customHeight="1" x14ac:dyDescent="0.25">
      <c r="A54" s="2">
        <v>30692175243</v>
      </c>
      <c r="B54" s="3" t="s">
        <v>80</v>
      </c>
      <c r="C54" s="1"/>
      <c r="D54" s="3"/>
    </row>
    <row r="55" spans="1:4" ht="15.75" customHeight="1" x14ac:dyDescent="0.25">
      <c r="A55" s="2">
        <v>30708973501</v>
      </c>
      <c r="B55" s="3" t="s">
        <v>81</v>
      </c>
      <c r="C55" s="1" t="s">
        <v>5</v>
      </c>
      <c r="D55" s="3"/>
    </row>
    <row r="56" spans="1:4" ht="15.75" customHeight="1" x14ac:dyDescent="0.25">
      <c r="A56" s="2">
        <v>30590354798</v>
      </c>
      <c r="B56" s="3" t="s">
        <v>82</v>
      </c>
      <c r="C56" s="1"/>
      <c r="D56" s="3"/>
    </row>
    <row r="57" spans="1:4" ht="15.75" customHeight="1" x14ac:dyDescent="0.25">
      <c r="A57" s="2">
        <v>30709860840</v>
      </c>
      <c r="B57" s="3" t="s">
        <v>83</v>
      </c>
      <c r="C57" s="1"/>
      <c r="D57" s="3"/>
    </row>
    <row r="58" spans="1:4" ht="15.75" customHeight="1" x14ac:dyDescent="0.25">
      <c r="A58" s="2">
        <v>30544712833</v>
      </c>
      <c r="B58" s="3" t="s">
        <v>84</v>
      </c>
      <c r="C58" s="1" t="s">
        <v>5</v>
      </c>
      <c r="D58" s="3"/>
    </row>
    <row r="59" spans="1:4" ht="15.75" customHeight="1" x14ac:dyDescent="0.25">
      <c r="A59" s="2">
        <v>30715031252</v>
      </c>
      <c r="B59" s="3" t="s">
        <v>85</v>
      </c>
      <c r="C59" s="1"/>
      <c r="D59" s="3"/>
    </row>
    <row r="60" spans="1:4" ht="15.75" customHeight="1" x14ac:dyDescent="0.25">
      <c r="A60" s="2">
        <v>30711934754</v>
      </c>
      <c r="B60" s="3" t="s">
        <v>86</v>
      </c>
      <c r="C60" s="1"/>
      <c r="D60" s="3"/>
    </row>
    <row r="61" spans="1:4" ht="15.75" customHeight="1" x14ac:dyDescent="0.25">
      <c r="A61" s="2">
        <v>30670528592</v>
      </c>
      <c r="B61" s="3" t="s">
        <v>87</v>
      </c>
      <c r="C61" s="1"/>
      <c r="D61" s="3"/>
    </row>
    <row r="62" spans="1:4" ht="15.75" customHeight="1" x14ac:dyDescent="0.25">
      <c r="A62" s="2">
        <v>30574876474</v>
      </c>
      <c r="B62" s="3" t="s">
        <v>88</v>
      </c>
      <c r="C62" s="1"/>
      <c r="D62" s="3"/>
    </row>
    <row r="63" spans="1:4" ht="15.75" customHeight="1" x14ac:dyDescent="0.25">
      <c r="A63" s="2">
        <v>30677237119</v>
      </c>
      <c r="B63" s="3" t="s">
        <v>89</v>
      </c>
      <c r="C63" s="1"/>
      <c r="D63" s="3"/>
    </row>
    <row r="64" spans="1:4" ht="15.75" customHeight="1" x14ac:dyDescent="0.25">
      <c r="A64" s="2" t="s">
        <v>90</v>
      </c>
      <c r="B64" s="3" t="s">
        <v>91</v>
      </c>
      <c r="C64" s="1"/>
      <c r="D64" s="3"/>
    </row>
    <row r="65" spans="1:4" ht="15.75" customHeight="1" x14ac:dyDescent="0.25">
      <c r="A65" s="2">
        <v>20278462790</v>
      </c>
      <c r="B65" s="3" t="s">
        <v>92</v>
      </c>
      <c r="C65" s="1"/>
      <c r="D65" s="3"/>
    </row>
    <row r="66" spans="1:4" ht="15.75" customHeight="1" x14ac:dyDescent="0.25">
      <c r="A66" s="2">
        <v>30715963872</v>
      </c>
      <c r="B66" s="3" t="s">
        <v>93</v>
      </c>
      <c r="C66" s="1"/>
      <c r="D66" s="3"/>
    </row>
    <row r="67" spans="1:4" ht="15.75" customHeight="1" x14ac:dyDescent="0.25">
      <c r="A67" s="2">
        <v>20083762102</v>
      </c>
      <c r="B67" s="3" t="s">
        <v>94</v>
      </c>
      <c r="C67" s="1"/>
      <c r="D67" s="3"/>
    </row>
    <row r="68" spans="1:4" ht="15.75" customHeight="1" x14ac:dyDescent="0.25">
      <c r="A68" s="2">
        <v>20287830980</v>
      </c>
      <c r="B68" s="3" t="s">
        <v>95</v>
      </c>
      <c r="C68" s="1"/>
      <c r="D68" s="3"/>
    </row>
    <row r="69" spans="1:4" ht="15.75" customHeight="1" x14ac:dyDescent="0.25">
      <c r="A69" s="2">
        <v>30506919009</v>
      </c>
      <c r="B69" s="3" t="s">
        <v>96</v>
      </c>
      <c r="C69" s="1" t="s">
        <v>97</v>
      </c>
      <c r="D69" s="3"/>
    </row>
    <row r="70" spans="1:4" ht="15.75" customHeight="1" x14ac:dyDescent="0.25">
      <c r="A70" s="2">
        <v>30535612117</v>
      </c>
      <c r="B70" s="3" t="s">
        <v>98</v>
      </c>
      <c r="C70" s="1"/>
      <c r="D70" s="3"/>
    </row>
    <row r="71" spans="1:4" ht="15.75" customHeight="1" x14ac:dyDescent="0.25">
      <c r="A71" s="2">
        <v>33711430879</v>
      </c>
      <c r="B71" s="3" t="s">
        <v>99</v>
      </c>
      <c r="C71" s="1" t="s">
        <v>5</v>
      </c>
      <c r="D71" s="3"/>
    </row>
    <row r="72" spans="1:4" ht="15.75" customHeight="1" x14ac:dyDescent="0.25">
      <c r="A72" s="2">
        <v>20179619483</v>
      </c>
      <c r="B72" s="3" t="s">
        <v>100</v>
      </c>
      <c r="C72" s="1"/>
      <c r="D72" s="3"/>
    </row>
    <row r="73" spans="1:4" ht="15.75" customHeight="1" x14ac:dyDescent="0.25">
      <c r="A73" s="2">
        <v>30711941718</v>
      </c>
      <c r="B73" s="3" t="s">
        <v>101</v>
      </c>
      <c r="C73" s="1" t="s">
        <v>5</v>
      </c>
      <c r="D73" s="3"/>
    </row>
    <row r="74" spans="1:4" ht="15.75" customHeight="1" x14ac:dyDescent="0.25">
      <c r="A74" s="2">
        <v>30580189411</v>
      </c>
      <c r="B74" s="3" t="s">
        <v>102</v>
      </c>
      <c r="C74" s="1"/>
      <c r="D74" s="3"/>
    </row>
    <row r="75" spans="1:4" ht="15.75" customHeight="1" x14ac:dyDescent="0.25">
      <c r="A75" s="2">
        <v>30500008454</v>
      </c>
      <c r="B75" s="3" t="s">
        <v>103</v>
      </c>
      <c r="C75" s="1" t="s">
        <v>34</v>
      </c>
      <c r="D75" s="3"/>
    </row>
    <row r="76" spans="1:4" ht="15.75" customHeight="1" x14ac:dyDescent="0.25">
      <c r="A76" s="2">
        <v>30646362675</v>
      </c>
      <c r="B76" s="3" t="s">
        <v>104</v>
      </c>
      <c r="C76" s="1"/>
      <c r="D76" s="3"/>
    </row>
    <row r="77" spans="1:4" ht="15.75" customHeight="1" x14ac:dyDescent="0.25">
      <c r="A77" s="2">
        <v>30712458468</v>
      </c>
      <c r="B77" s="3" t="s">
        <v>105</v>
      </c>
      <c r="C77" s="1" t="s">
        <v>15</v>
      </c>
      <c r="D77" s="3"/>
    </row>
    <row r="78" spans="1:4" ht="15.75" customHeight="1" x14ac:dyDescent="0.25">
      <c r="A78" s="2">
        <v>30714675601</v>
      </c>
      <c r="B78" s="3" t="s">
        <v>106</v>
      </c>
      <c r="C78" s="1"/>
      <c r="D78" s="3"/>
    </row>
    <row r="79" spans="1:4" ht="15.75" customHeight="1" x14ac:dyDescent="0.25">
      <c r="A79" s="2">
        <v>30568222187</v>
      </c>
      <c r="B79" s="3" t="s">
        <v>107</v>
      </c>
      <c r="C79" s="1"/>
      <c r="D79" s="3"/>
    </row>
    <row r="80" spans="1:4" ht="15.75" customHeight="1" x14ac:dyDescent="0.25">
      <c r="A80" s="2">
        <v>27248212646</v>
      </c>
      <c r="B80" s="3" t="s">
        <v>108</v>
      </c>
      <c r="C80" s="1"/>
      <c r="D80" s="3"/>
    </row>
    <row r="81" spans="1:4" ht="15.75" customHeight="1" x14ac:dyDescent="0.25">
      <c r="A81" s="2">
        <v>27115740666</v>
      </c>
      <c r="B81" s="3" t="s">
        <v>109</v>
      </c>
      <c r="C81" s="1"/>
      <c r="D81" s="3"/>
    </row>
    <row r="82" spans="1:4" ht="15.75" customHeight="1" x14ac:dyDescent="0.25">
      <c r="A82" s="2">
        <v>27129411010</v>
      </c>
      <c r="B82" s="3" t="s">
        <v>110</v>
      </c>
      <c r="C82" s="1"/>
      <c r="D82" s="3"/>
    </row>
    <row r="83" spans="1:4" ht="15.75" customHeight="1" x14ac:dyDescent="0.25">
      <c r="A83" s="2">
        <v>23301961944</v>
      </c>
      <c r="B83" s="3" t="s">
        <v>111</v>
      </c>
      <c r="C83" s="1"/>
      <c r="D83" s="3"/>
    </row>
    <row r="84" spans="1:4" ht="15.75" customHeight="1" x14ac:dyDescent="0.25">
      <c r="A84" s="2">
        <v>30710067763</v>
      </c>
      <c r="B84" s="3" t="s">
        <v>112</v>
      </c>
      <c r="C84" s="1"/>
      <c r="D84" s="3"/>
    </row>
    <row r="85" spans="1:4" ht="15.75" customHeight="1" x14ac:dyDescent="0.25">
      <c r="A85" s="2">
        <v>30712387315</v>
      </c>
      <c r="B85" s="3" t="s">
        <v>113</v>
      </c>
      <c r="C85" s="1" t="s">
        <v>15</v>
      </c>
      <c r="D85" s="3"/>
    </row>
    <row r="86" spans="1:4" ht="15.75" customHeight="1" x14ac:dyDescent="0.25">
      <c r="A86" s="2">
        <v>30715210637</v>
      </c>
      <c r="B86" s="3" t="s">
        <v>114</v>
      </c>
      <c r="C86" s="1" t="s">
        <v>5</v>
      </c>
      <c r="D86" s="3"/>
    </row>
    <row r="87" spans="1:4" ht="15.75" customHeight="1" x14ac:dyDescent="0.25">
      <c r="A87" s="2">
        <v>30712230459</v>
      </c>
      <c r="B87" s="3" t="s">
        <v>115</v>
      </c>
      <c r="C87" s="1" t="s">
        <v>5</v>
      </c>
      <c r="D87" s="3"/>
    </row>
    <row r="88" spans="1:4" ht="15.75" customHeight="1" x14ac:dyDescent="0.25">
      <c r="A88" s="2">
        <v>30697652694</v>
      </c>
      <c r="B88" s="3" t="s">
        <v>116</v>
      </c>
      <c r="C88" s="1"/>
      <c r="D88" s="3"/>
    </row>
    <row r="89" spans="1:4" ht="15.75" customHeight="1" x14ac:dyDescent="0.25">
      <c r="A89" s="2">
        <v>30712476857</v>
      </c>
      <c r="B89" s="3" t="s">
        <v>117</v>
      </c>
      <c r="C89" s="1" t="s">
        <v>10</v>
      </c>
      <c r="D89" s="3"/>
    </row>
    <row r="90" spans="1:4" ht="15.75" customHeight="1" x14ac:dyDescent="0.25">
      <c r="A90" s="2">
        <v>30708270462</v>
      </c>
      <c r="B90" s="3" t="s">
        <v>118</v>
      </c>
      <c r="C90" s="1"/>
      <c r="D90" s="3"/>
    </row>
    <row r="91" spans="1:4" ht="15.75" customHeight="1" x14ac:dyDescent="0.25">
      <c r="A91" s="2">
        <v>23253931159</v>
      </c>
      <c r="B91" s="3" t="s">
        <v>119</v>
      </c>
      <c r="C91" s="1"/>
      <c r="D91" s="3"/>
    </row>
    <row r="92" spans="1:4" ht="15.75" customHeight="1" x14ac:dyDescent="0.25">
      <c r="A92" s="2">
        <v>30655186693</v>
      </c>
      <c r="B92" s="3" t="s">
        <v>120</v>
      </c>
      <c r="C92" s="1"/>
      <c r="D92" s="3"/>
    </row>
    <row r="93" spans="1:4" ht="15.75" customHeight="1" x14ac:dyDescent="0.25">
      <c r="A93" s="2">
        <v>20389908569</v>
      </c>
      <c r="B93" s="3" t="s">
        <v>121</v>
      </c>
      <c r="C93" s="1" t="s">
        <v>1458</v>
      </c>
      <c r="D93" s="3"/>
    </row>
    <row r="94" spans="1:4" ht="15.75" customHeight="1" x14ac:dyDescent="0.25">
      <c r="A94" s="2">
        <v>30515676178</v>
      </c>
      <c r="B94" s="3" t="s">
        <v>123</v>
      </c>
      <c r="C94" s="1" t="s">
        <v>5</v>
      </c>
      <c r="D94" s="3"/>
    </row>
    <row r="95" spans="1:4" ht="15.75" customHeight="1" x14ac:dyDescent="0.25">
      <c r="A95" s="2">
        <v>33711821649</v>
      </c>
      <c r="B95" s="3" t="s">
        <v>124</v>
      </c>
      <c r="C95" s="1"/>
      <c r="D95" s="3"/>
    </row>
    <row r="96" spans="1:4" ht="15.75" customHeight="1" x14ac:dyDescent="0.25">
      <c r="A96" s="2">
        <v>30715122657</v>
      </c>
      <c r="B96" s="3" t="s">
        <v>125</v>
      </c>
      <c r="C96" s="1"/>
      <c r="D96" s="3"/>
    </row>
    <row r="97" spans="1:4" ht="15.75" customHeight="1" x14ac:dyDescent="0.25">
      <c r="A97" s="2">
        <v>30715549871</v>
      </c>
      <c r="B97" s="3" t="s">
        <v>126</v>
      </c>
      <c r="C97" s="1"/>
      <c r="D97" s="3"/>
    </row>
    <row r="98" spans="1:4" ht="15.75" customHeight="1" x14ac:dyDescent="0.25">
      <c r="A98" s="2">
        <v>20085280512</v>
      </c>
      <c r="B98" s="3" t="s">
        <v>127</v>
      </c>
      <c r="C98" s="1" t="s">
        <v>5</v>
      </c>
      <c r="D98" s="3"/>
    </row>
    <row r="99" spans="1:4" ht="15.75" customHeight="1" x14ac:dyDescent="0.25">
      <c r="A99" s="2">
        <v>30595442369</v>
      </c>
      <c r="B99" s="3" t="s">
        <v>128</v>
      </c>
      <c r="C99" s="1" t="s">
        <v>5</v>
      </c>
      <c r="D99" s="3"/>
    </row>
    <row r="100" spans="1:4" ht="15.75" customHeight="1" x14ac:dyDescent="0.25">
      <c r="A100" s="2">
        <v>27289847141</v>
      </c>
      <c r="B100" s="3" t="s">
        <v>129</v>
      </c>
      <c r="C100" s="1" t="s">
        <v>130</v>
      </c>
      <c r="D100" s="3"/>
    </row>
    <row r="101" spans="1:4" ht="15.75" customHeight="1" x14ac:dyDescent="0.25">
      <c r="A101" s="2">
        <v>30715920502</v>
      </c>
      <c r="B101" s="3" t="s">
        <v>131</v>
      </c>
      <c r="C101" s="1"/>
      <c r="D101" s="3"/>
    </row>
    <row r="102" spans="1:4" ht="15.75" customHeight="1" x14ac:dyDescent="0.25">
      <c r="A102" s="2">
        <v>30573652084</v>
      </c>
      <c r="B102" s="3" t="s">
        <v>132</v>
      </c>
      <c r="C102" s="1" t="s">
        <v>17</v>
      </c>
      <c r="D102" s="3"/>
    </row>
    <row r="103" spans="1:4" ht="15.75" customHeight="1" x14ac:dyDescent="0.25">
      <c r="A103" s="2">
        <v>30606248519</v>
      </c>
      <c r="B103" s="3" t="s">
        <v>133</v>
      </c>
      <c r="C103" s="1" t="s">
        <v>5</v>
      </c>
      <c r="D103" s="3"/>
    </row>
    <row r="104" spans="1:4" ht="15.75" customHeight="1" x14ac:dyDescent="0.25">
      <c r="A104" s="2">
        <v>20265226664</v>
      </c>
      <c r="B104" s="3" t="s">
        <v>134</v>
      </c>
      <c r="C104" s="1"/>
      <c r="D104" s="3"/>
    </row>
    <row r="105" spans="1:4" ht="15.75" customHeight="1" x14ac:dyDescent="0.25">
      <c r="A105" s="2">
        <v>27178101647</v>
      </c>
      <c r="B105" s="3" t="s">
        <v>135</v>
      </c>
      <c r="C105" s="1"/>
      <c r="D105" s="3"/>
    </row>
    <row r="106" spans="1:4" ht="15.75" customHeight="1" x14ac:dyDescent="0.25">
      <c r="A106" s="2">
        <v>30685020633</v>
      </c>
      <c r="B106" s="3" t="s">
        <v>136</v>
      </c>
      <c r="C106" s="1" t="s">
        <v>5</v>
      </c>
      <c r="D106" s="3"/>
    </row>
    <row r="107" spans="1:4" ht="15.75" customHeight="1" x14ac:dyDescent="0.25">
      <c r="A107" s="2">
        <v>30709876135</v>
      </c>
      <c r="B107" s="3" t="s">
        <v>137</v>
      </c>
      <c r="C107" s="1" t="s">
        <v>5</v>
      </c>
      <c r="D107" s="3"/>
    </row>
    <row r="108" spans="1:4" ht="15.75" customHeight="1" x14ac:dyDescent="0.25">
      <c r="A108" s="2">
        <v>20182721787</v>
      </c>
      <c r="B108" s="3" t="s">
        <v>138</v>
      </c>
      <c r="C108" s="1" t="s">
        <v>5</v>
      </c>
      <c r="D108" s="3"/>
    </row>
    <row r="109" spans="1:4" ht="15.75" customHeight="1" x14ac:dyDescent="0.25">
      <c r="A109" s="2">
        <v>20271174803</v>
      </c>
      <c r="B109" s="3" t="s">
        <v>139</v>
      </c>
      <c r="C109" s="1"/>
      <c r="D109" s="3"/>
    </row>
    <row r="110" spans="1:4" ht="15.75" customHeight="1" x14ac:dyDescent="0.25">
      <c r="A110" s="2">
        <v>20101384412</v>
      </c>
      <c r="B110" s="3" t="s">
        <v>140</v>
      </c>
      <c r="C110" s="1" t="s">
        <v>5</v>
      </c>
      <c r="D110" s="3"/>
    </row>
    <row r="111" spans="1:4" ht="15.75" customHeight="1" x14ac:dyDescent="0.25">
      <c r="A111" s="2">
        <v>20129871947</v>
      </c>
      <c r="B111" s="3" t="s">
        <v>141</v>
      </c>
      <c r="C111" s="1" t="s">
        <v>5</v>
      </c>
      <c r="D111" s="3"/>
    </row>
    <row r="112" spans="1:4" ht="15.75" customHeight="1" x14ac:dyDescent="0.25">
      <c r="A112" s="2">
        <v>33503921249</v>
      </c>
      <c r="B112" s="3" t="s">
        <v>142</v>
      </c>
      <c r="C112" s="1" t="s">
        <v>5</v>
      </c>
      <c r="D112" s="3"/>
    </row>
    <row r="113" spans="1:4" ht="15.75" customHeight="1" x14ac:dyDescent="0.25">
      <c r="A113" s="2">
        <v>30525517094</v>
      </c>
      <c r="B113" s="3" t="s">
        <v>143</v>
      </c>
      <c r="C113" s="1"/>
      <c r="D113" s="3"/>
    </row>
    <row r="114" spans="1:4" ht="15.75" customHeight="1" x14ac:dyDescent="0.25">
      <c r="A114" s="2">
        <v>33712276539</v>
      </c>
      <c r="B114" s="3" t="s">
        <v>144</v>
      </c>
      <c r="C114" s="1" t="s">
        <v>5</v>
      </c>
      <c r="D114" s="3"/>
    </row>
    <row r="115" spans="1:4" ht="15.75" customHeight="1" x14ac:dyDescent="0.25">
      <c r="A115" s="2">
        <v>30710176325</v>
      </c>
      <c r="B115" s="3" t="s">
        <v>145</v>
      </c>
      <c r="C115" s="1"/>
      <c r="D115" s="3"/>
    </row>
    <row r="116" spans="1:4" ht="15.75" customHeight="1" x14ac:dyDescent="0.25">
      <c r="A116" s="2">
        <v>30697574480</v>
      </c>
      <c r="B116" s="3" t="s">
        <v>146</v>
      </c>
      <c r="C116" s="1"/>
      <c r="D116" s="3"/>
    </row>
    <row r="117" spans="1:4" ht="15.75" customHeight="1" x14ac:dyDescent="0.25">
      <c r="A117" s="2">
        <v>30568463591</v>
      </c>
      <c r="B117" s="3" t="s">
        <v>147</v>
      </c>
      <c r="C117" s="1"/>
      <c r="D117" s="3"/>
    </row>
    <row r="118" spans="1:4" ht="15.75" customHeight="1" x14ac:dyDescent="0.25">
      <c r="A118" s="2">
        <v>30590360763</v>
      </c>
      <c r="B118" s="3" t="s">
        <v>148</v>
      </c>
      <c r="C118" s="1" t="s">
        <v>15</v>
      </c>
      <c r="D118" s="3"/>
    </row>
    <row r="119" spans="1:4" ht="15.75" customHeight="1" x14ac:dyDescent="0.25">
      <c r="A119" s="2">
        <v>30707612971</v>
      </c>
      <c r="B119" s="3" t="s">
        <v>149</v>
      </c>
      <c r="C119" s="1"/>
      <c r="D119" s="3"/>
    </row>
    <row r="120" spans="1:4" ht="15.75" customHeight="1" x14ac:dyDescent="0.25">
      <c r="A120" s="2">
        <v>20182095215</v>
      </c>
      <c r="B120" s="3" t="s">
        <v>150</v>
      </c>
      <c r="C120" s="1"/>
      <c r="D120" s="3"/>
    </row>
    <row r="121" spans="1:4" ht="15.75" customHeight="1" x14ac:dyDescent="0.25">
      <c r="A121" s="2">
        <v>30708741562</v>
      </c>
      <c r="B121" s="3" t="s">
        <v>151</v>
      </c>
      <c r="C121" s="1" t="s">
        <v>5</v>
      </c>
      <c r="D121" s="3"/>
    </row>
    <row r="122" spans="1:4" ht="15.75" customHeight="1" x14ac:dyDescent="0.25">
      <c r="A122" s="2">
        <v>30712192735</v>
      </c>
      <c r="B122" s="3" t="s">
        <v>152</v>
      </c>
      <c r="C122" s="1"/>
      <c r="D122" s="3"/>
    </row>
    <row r="123" spans="1:4" ht="15.75" customHeight="1" x14ac:dyDescent="0.25">
      <c r="A123" s="2">
        <v>30656459677</v>
      </c>
      <c r="B123" s="3" t="s">
        <v>153</v>
      </c>
      <c r="C123" s="1"/>
      <c r="D123" s="3"/>
    </row>
    <row r="124" spans="1:4" ht="15.75" customHeight="1" x14ac:dyDescent="0.25">
      <c r="A124" s="2">
        <v>27945274110</v>
      </c>
      <c r="B124" s="3" t="s">
        <v>154</v>
      </c>
      <c r="C124" s="1" t="s">
        <v>5</v>
      </c>
      <c r="D124" s="3"/>
    </row>
    <row r="125" spans="1:4" ht="15.75" customHeight="1" x14ac:dyDescent="0.25">
      <c r="A125" s="2">
        <v>30707986189</v>
      </c>
      <c r="B125" s="3" t="s">
        <v>155</v>
      </c>
      <c r="C125" s="1" t="s">
        <v>5</v>
      </c>
      <c r="D125" s="3"/>
    </row>
    <row r="126" spans="1:4" ht="15.75" customHeight="1" x14ac:dyDescent="0.25">
      <c r="A126" s="2">
        <v>30714500933</v>
      </c>
      <c r="B126" s="3" t="s">
        <v>156</v>
      </c>
      <c r="C126" s="1"/>
      <c r="D126" s="3"/>
    </row>
    <row r="127" spans="1:4" ht="15.75" customHeight="1" x14ac:dyDescent="0.25">
      <c r="A127" s="2">
        <v>30702286987</v>
      </c>
      <c r="B127" s="3" t="s">
        <v>157</v>
      </c>
      <c r="C127" s="1" t="s">
        <v>15</v>
      </c>
      <c r="D127" s="3"/>
    </row>
    <row r="128" spans="1:4" ht="15.75" customHeight="1" x14ac:dyDescent="0.25">
      <c r="A128" s="2">
        <v>30708651644</v>
      </c>
      <c r="B128" s="3" t="s">
        <v>158</v>
      </c>
      <c r="C128" s="1"/>
      <c r="D128" s="3"/>
    </row>
    <row r="129" spans="1:4" ht="15.75" customHeight="1" x14ac:dyDescent="0.25">
      <c r="A129" s="2">
        <v>27172039036</v>
      </c>
      <c r="B129" s="3" t="s">
        <v>159</v>
      </c>
      <c r="C129" s="1"/>
      <c r="D129" s="3"/>
    </row>
    <row r="130" spans="1:4" ht="15.75" customHeight="1" x14ac:dyDescent="0.25">
      <c r="A130" s="2">
        <v>20927573483</v>
      </c>
      <c r="B130" s="3" t="s">
        <v>160</v>
      </c>
      <c r="C130" s="1"/>
      <c r="D130" s="3"/>
    </row>
    <row r="131" spans="1:4" ht="15.75" customHeight="1" x14ac:dyDescent="0.25">
      <c r="A131" s="2">
        <v>30628878966</v>
      </c>
      <c r="B131" s="3" t="s">
        <v>161</v>
      </c>
      <c r="C131" s="1"/>
      <c r="D131" s="3"/>
    </row>
    <row r="132" spans="1:4" ht="15.75" customHeight="1" x14ac:dyDescent="0.25">
      <c r="A132" s="2">
        <v>30530328348</v>
      </c>
      <c r="B132" s="3" t="s">
        <v>162</v>
      </c>
      <c r="C132" s="1"/>
      <c r="D132" s="3"/>
    </row>
    <row r="133" spans="1:4" ht="15.75" customHeight="1" x14ac:dyDescent="0.25">
      <c r="A133" s="2">
        <v>30525390086</v>
      </c>
      <c r="B133" s="3" t="s">
        <v>163</v>
      </c>
      <c r="C133" s="1"/>
      <c r="D133" s="3"/>
    </row>
    <row r="134" spans="1:4" ht="15.75" customHeight="1" x14ac:dyDescent="0.25">
      <c r="A134" s="2">
        <v>30638177826</v>
      </c>
      <c r="B134" s="3" t="s">
        <v>164</v>
      </c>
      <c r="C134" s="1"/>
      <c r="D134" s="3"/>
    </row>
    <row r="135" spans="1:4" ht="15.75" customHeight="1" x14ac:dyDescent="0.25">
      <c r="A135" s="2">
        <v>23117888169</v>
      </c>
      <c r="B135" s="3" t="s">
        <v>165</v>
      </c>
      <c r="C135" s="1" t="s">
        <v>5</v>
      </c>
      <c r="D135" s="3"/>
    </row>
    <row r="136" spans="1:4" ht="15.75" customHeight="1" x14ac:dyDescent="0.25">
      <c r="A136" s="2">
        <v>30688140923</v>
      </c>
      <c r="B136" s="3" t="s">
        <v>166</v>
      </c>
      <c r="C136" s="1" t="s">
        <v>5</v>
      </c>
      <c r="D136" s="3"/>
    </row>
    <row r="137" spans="1:4" ht="15.75" customHeight="1" x14ac:dyDescent="0.25">
      <c r="A137" s="2">
        <v>30707212698</v>
      </c>
      <c r="B137" s="3" t="s">
        <v>167</v>
      </c>
      <c r="C137" s="1" t="s">
        <v>15</v>
      </c>
      <c r="D137" s="3"/>
    </row>
    <row r="138" spans="1:4" ht="15.75" customHeight="1" x14ac:dyDescent="0.25">
      <c r="A138" s="2">
        <v>30707212698</v>
      </c>
      <c r="B138" s="3" t="s">
        <v>168</v>
      </c>
      <c r="C138" s="1" t="s">
        <v>5</v>
      </c>
      <c r="D138" s="3"/>
    </row>
    <row r="139" spans="1:4" ht="15.75" customHeight="1" x14ac:dyDescent="0.25">
      <c r="A139" s="2">
        <v>30519492136</v>
      </c>
      <c r="B139" s="3" t="s">
        <v>169</v>
      </c>
      <c r="C139" s="1" t="s">
        <v>5</v>
      </c>
      <c r="D139" s="3"/>
    </row>
    <row r="140" spans="1:4" ht="15.75" customHeight="1" x14ac:dyDescent="0.25">
      <c r="A140" s="2" t="s">
        <v>170</v>
      </c>
      <c r="B140" s="3" t="s">
        <v>171</v>
      </c>
      <c r="C140" s="1"/>
      <c r="D140" s="3"/>
    </row>
    <row r="141" spans="1:4" ht="15.75" customHeight="1" x14ac:dyDescent="0.25">
      <c r="A141" s="2">
        <v>30518455970</v>
      </c>
      <c r="B141" s="3" t="s">
        <v>172</v>
      </c>
      <c r="C141" s="1"/>
      <c r="D141" s="3"/>
    </row>
    <row r="142" spans="1:4" ht="15.75" customHeight="1" x14ac:dyDescent="0.25">
      <c r="A142" s="2">
        <v>30682115722</v>
      </c>
      <c r="B142" s="3" t="s">
        <v>173</v>
      </c>
      <c r="C142" s="1"/>
      <c r="D142" s="3"/>
    </row>
    <row r="143" spans="1:4" ht="15.75" customHeight="1" x14ac:dyDescent="0.25">
      <c r="A143" s="2">
        <v>30649331916</v>
      </c>
      <c r="B143" s="3" t="s">
        <v>174</v>
      </c>
      <c r="C143" s="1"/>
      <c r="D143" s="3"/>
    </row>
    <row r="144" spans="1:4" ht="15.75" customHeight="1" x14ac:dyDescent="0.25">
      <c r="A144" s="2">
        <v>30605344352</v>
      </c>
      <c r="B144" s="3" t="s">
        <v>175</v>
      </c>
      <c r="C144" s="1" t="s">
        <v>176</v>
      </c>
      <c r="D144" s="3"/>
    </row>
    <row r="145" spans="1:4" ht="15.75" customHeight="1" x14ac:dyDescent="0.25">
      <c r="A145" s="2">
        <v>30714510092</v>
      </c>
      <c r="B145" s="3" t="s">
        <v>177</v>
      </c>
      <c r="C145" s="1" t="s">
        <v>5</v>
      </c>
      <c r="D145" s="3"/>
    </row>
    <row r="146" spans="1:4" ht="15.75" customHeight="1" x14ac:dyDescent="0.25">
      <c r="A146" s="2">
        <v>30715904868</v>
      </c>
      <c r="B146" s="3" t="s">
        <v>178</v>
      </c>
      <c r="C146" s="1"/>
      <c r="D146" s="3"/>
    </row>
    <row r="147" spans="1:4" ht="15.75" customHeight="1" x14ac:dyDescent="0.25">
      <c r="A147" s="2">
        <v>33714788219</v>
      </c>
      <c r="B147" s="3" t="s">
        <v>179</v>
      </c>
      <c r="C147" s="1"/>
      <c r="D147" s="3"/>
    </row>
    <row r="148" spans="1:4" ht="15.75" customHeight="1" x14ac:dyDescent="0.25">
      <c r="A148" s="2">
        <v>20134281783</v>
      </c>
      <c r="B148" s="3" t="s">
        <v>180</v>
      </c>
      <c r="C148" s="1" t="s">
        <v>5</v>
      </c>
      <c r="D148" s="3"/>
    </row>
    <row r="149" spans="1:4" ht="15.75" customHeight="1" x14ac:dyDescent="0.25">
      <c r="A149" s="2">
        <v>30519678205</v>
      </c>
      <c r="B149" s="3" t="s">
        <v>181</v>
      </c>
      <c r="C149" s="1"/>
      <c r="D149" s="3"/>
    </row>
    <row r="150" spans="1:4" ht="15.75" customHeight="1" x14ac:dyDescent="0.25">
      <c r="A150" s="2">
        <v>30548345525</v>
      </c>
      <c r="B150" s="3" t="s">
        <v>182</v>
      </c>
      <c r="C150" s="1" t="s">
        <v>15</v>
      </c>
      <c r="D150" s="3"/>
    </row>
    <row r="151" spans="1:4" ht="15.75" customHeight="1" x14ac:dyDescent="0.25">
      <c r="A151" s="2">
        <v>30549345525</v>
      </c>
      <c r="B151" s="3" t="s">
        <v>182</v>
      </c>
      <c r="C151" s="1" t="s">
        <v>17</v>
      </c>
      <c r="D151" s="3"/>
    </row>
    <row r="152" spans="1:4" ht="15.75" customHeight="1" x14ac:dyDescent="0.25">
      <c r="A152" s="2">
        <v>30693761421</v>
      </c>
      <c r="B152" s="3" t="s">
        <v>183</v>
      </c>
      <c r="C152" s="1"/>
      <c r="D152" s="3"/>
    </row>
    <row r="153" spans="1:4" ht="15.75" customHeight="1" x14ac:dyDescent="0.25">
      <c r="A153" s="2">
        <v>30709479624</v>
      </c>
      <c r="B153" s="3" t="s">
        <v>184</v>
      </c>
      <c r="C153" s="1"/>
      <c r="D153" s="3"/>
    </row>
    <row r="154" spans="1:4" ht="15.75" customHeight="1" x14ac:dyDescent="0.25">
      <c r="A154" s="2">
        <v>23115425099</v>
      </c>
      <c r="B154" s="3" t="s">
        <v>185</v>
      </c>
      <c r="C154" s="1"/>
      <c r="D154" s="3"/>
    </row>
    <row r="155" spans="1:4" ht="15.75" customHeight="1" x14ac:dyDescent="0.25">
      <c r="A155" s="2">
        <v>30548083156</v>
      </c>
      <c r="B155" s="3" t="s">
        <v>186</v>
      </c>
      <c r="C155" s="1" t="s">
        <v>15</v>
      </c>
      <c r="D155" s="3"/>
    </row>
    <row r="156" spans="1:4" ht="15.75" customHeight="1" x14ac:dyDescent="0.25">
      <c r="A156" s="2">
        <v>30714436437</v>
      </c>
      <c r="B156" s="3" t="s">
        <v>187</v>
      </c>
      <c r="C156" s="1"/>
      <c r="D156" s="3"/>
    </row>
    <row r="157" spans="1:4" ht="15.75" customHeight="1" x14ac:dyDescent="0.25">
      <c r="A157" s="2">
        <v>33709258619</v>
      </c>
      <c r="B157" s="3" t="s">
        <v>188</v>
      </c>
      <c r="C157" s="1" t="s">
        <v>10</v>
      </c>
      <c r="D157" s="3"/>
    </row>
    <row r="158" spans="1:4" ht="15.75" customHeight="1" x14ac:dyDescent="0.25">
      <c r="A158" s="2">
        <v>30610255783</v>
      </c>
      <c r="B158" s="3" t="s">
        <v>189</v>
      </c>
      <c r="C158" s="1" t="s">
        <v>5</v>
      </c>
      <c r="D158" s="3"/>
    </row>
    <row r="159" spans="1:4" ht="15.75" customHeight="1" x14ac:dyDescent="0.25">
      <c r="A159" s="2">
        <v>30715406043</v>
      </c>
      <c r="B159" s="3" t="s">
        <v>190</v>
      </c>
      <c r="C159" s="1" t="s">
        <v>15</v>
      </c>
      <c r="D159" s="3"/>
    </row>
    <row r="160" spans="1:4" ht="15.75" customHeight="1" x14ac:dyDescent="0.25">
      <c r="A160" s="2">
        <v>20224565314</v>
      </c>
      <c r="B160" s="3" t="s">
        <v>191</v>
      </c>
      <c r="C160" s="1"/>
      <c r="D160" s="3"/>
    </row>
    <row r="161" spans="1:4" ht="15.75" customHeight="1" x14ac:dyDescent="0.25">
      <c r="A161" s="2">
        <v>30710986416</v>
      </c>
      <c r="B161" s="3" t="s">
        <v>192</v>
      </c>
      <c r="C161" s="1" t="s">
        <v>5</v>
      </c>
      <c r="D161" s="3"/>
    </row>
    <row r="162" spans="1:4" ht="15.75" customHeight="1" x14ac:dyDescent="0.25">
      <c r="A162" s="2">
        <v>30648270417</v>
      </c>
      <c r="B162" s="3" t="s">
        <v>193</v>
      </c>
      <c r="C162" s="1" t="s">
        <v>5</v>
      </c>
      <c r="D162" s="3"/>
    </row>
    <row r="163" spans="1:4" ht="15.75" customHeight="1" x14ac:dyDescent="0.25">
      <c r="A163" s="2">
        <v>30710335008</v>
      </c>
      <c r="B163" s="3" t="s">
        <v>194</v>
      </c>
      <c r="C163" s="1"/>
      <c r="D163" s="3"/>
    </row>
    <row r="164" spans="1:4" ht="15.75" customHeight="1" x14ac:dyDescent="0.25">
      <c r="A164" s="2">
        <v>20125815511</v>
      </c>
      <c r="B164" s="3" t="s">
        <v>195</v>
      </c>
      <c r="C164" s="1"/>
      <c r="D164" s="3"/>
    </row>
    <row r="165" spans="1:4" ht="15.75" customHeight="1" x14ac:dyDescent="0.25">
      <c r="A165" s="2">
        <v>30712070133</v>
      </c>
      <c r="B165" s="3" t="s">
        <v>196</v>
      </c>
      <c r="C165" s="1"/>
      <c r="D165" s="3"/>
    </row>
    <row r="166" spans="1:4" ht="15.75" customHeight="1" x14ac:dyDescent="0.25">
      <c r="A166" s="2">
        <v>23172107559</v>
      </c>
      <c r="B166" s="3" t="s">
        <v>197</v>
      </c>
      <c r="C166" s="1"/>
      <c r="D166" s="3"/>
    </row>
    <row r="167" spans="1:4" ht="15.75" customHeight="1" x14ac:dyDescent="0.25">
      <c r="A167" s="2">
        <v>30597228984</v>
      </c>
      <c r="B167" s="3" t="s">
        <v>198</v>
      </c>
      <c r="C167" s="1"/>
      <c r="D167" s="3"/>
    </row>
    <row r="168" spans="1:4" ht="15.75" customHeight="1" x14ac:dyDescent="0.25">
      <c r="A168" s="2">
        <v>30710984332</v>
      </c>
      <c r="B168" s="3" t="s">
        <v>199</v>
      </c>
      <c r="C168" s="1"/>
      <c r="D168" s="3"/>
    </row>
    <row r="169" spans="1:4" ht="15.75" customHeight="1" x14ac:dyDescent="0.25">
      <c r="A169" s="2">
        <v>27216710253</v>
      </c>
      <c r="B169" s="3" t="s">
        <v>200</v>
      </c>
      <c r="C169" s="1" t="s">
        <v>5</v>
      </c>
      <c r="D169" s="3"/>
    </row>
    <row r="170" spans="1:4" ht="15.75" customHeight="1" x14ac:dyDescent="0.25">
      <c r="A170" s="2">
        <v>27308260440</v>
      </c>
      <c r="B170" s="3" t="s">
        <v>201</v>
      </c>
      <c r="C170" s="1" t="s">
        <v>15</v>
      </c>
      <c r="D170" s="3"/>
    </row>
    <row r="171" spans="1:4" ht="15.75" customHeight="1" x14ac:dyDescent="0.25">
      <c r="A171" s="2">
        <v>30710513895</v>
      </c>
      <c r="B171" s="3" t="s">
        <v>202</v>
      </c>
      <c r="C171" s="1"/>
      <c r="D171" s="3"/>
    </row>
    <row r="172" spans="1:4" ht="15.75" customHeight="1" x14ac:dyDescent="0.25">
      <c r="A172" s="2">
        <v>30522798106</v>
      </c>
      <c r="B172" s="3" t="s">
        <v>203</v>
      </c>
      <c r="C172" s="1"/>
      <c r="D172" s="3"/>
    </row>
    <row r="173" spans="1:4" ht="15.75" customHeight="1" x14ac:dyDescent="0.25">
      <c r="A173" s="2">
        <v>33715370269</v>
      </c>
      <c r="B173" s="3" t="s">
        <v>204</v>
      </c>
      <c r="C173" s="1" t="s">
        <v>5</v>
      </c>
      <c r="D173" s="3"/>
    </row>
    <row r="174" spans="1:4" ht="15.75" customHeight="1" x14ac:dyDescent="0.25">
      <c r="A174" s="2">
        <v>30710988109</v>
      </c>
      <c r="B174" s="3" t="s">
        <v>205</v>
      </c>
      <c r="C174" s="1"/>
      <c r="D174" s="3"/>
    </row>
    <row r="175" spans="1:4" ht="15.75" customHeight="1" x14ac:dyDescent="0.25">
      <c r="A175" s="2">
        <v>30516186670</v>
      </c>
      <c r="B175" s="3" t="s">
        <v>206</v>
      </c>
      <c r="C175" s="1" t="s">
        <v>5</v>
      </c>
      <c r="D175" s="3"/>
    </row>
    <row r="176" spans="1:4" ht="15.75" customHeight="1" x14ac:dyDescent="0.25">
      <c r="A176" s="2">
        <v>27340766445</v>
      </c>
      <c r="B176" s="3" t="s">
        <v>207</v>
      </c>
      <c r="C176" s="1" t="s">
        <v>5</v>
      </c>
      <c r="D176" s="3"/>
    </row>
    <row r="177" spans="1:4" ht="15.75" customHeight="1" x14ac:dyDescent="0.25">
      <c r="A177" s="2">
        <v>20222786054</v>
      </c>
      <c r="B177" s="3" t="s">
        <v>208</v>
      </c>
      <c r="C177" s="1"/>
      <c r="D177" s="3"/>
    </row>
    <row r="178" spans="1:4" ht="15.75" customHeight="1" x14ac:dyDescent="0.25">
      <c r="A178" s="2">
        <v>33700851279</v>
      </c>
      <c r="B178" s="3" t="s">
        <v>209</v>
      </c>
      <c r="C178" s="1" t="s">
        <v>5</v>
      </c>
      <c r="D178" s="3"/>
    </row>
    <row r="179" spans="1:4" ht="15.75" customHeight="1" x14ac:dyDescent="0.25">
      <c r="A179" s="2">
        <v>20045615473</v>
      </c>
      <c r="B179" s="3" t="s">
        <v>210</v>
      </c>
      <c r="C179" s="1" t="s">
        <v>5</v>
      </c>
      <c r="D179" s="3"/>
    </row>
    <row r="180" spans="1:4" ht="15.75" customHeight="1" x14ac:dyDescent="0.25">
      <c r="A180" s="2">
        <v>30685849751</v>
      </c>
      <c r="B180" s="3" t="s">
        <v>211</v>
      </c>
      <c r="C180" s="1"/>
      <c r="D180" s="3"/>
    </row>
    <row r="181" spans="1:4" ht="15.75" customHeight="1" x14ac:dyDescent="0.25">
      <c r="A181" s="2">
        <v>20271532483</v>
      </c>
      <c r="B181" s="3" t="s">
        <v>212</v>
      </c>
      <c r="C181" s="1" t="s">
        <v>5</v>
      </c>
      <c r="D181" s="3"/>
    </row>
    <row r="182" spans="1:4" ht="15.75" customHeight="1" x14ac:dyDescent="0.25">
      <c r="A182" s="2">
        <v>30522536748</v>
      </c>
      <c r="B182" s="3" t="s">
        <v>213</v>
      </c>
      <c r="C182" s="1" t="s">
        <v>5</v>
      </c>
      <c r="D182" s="3"/>
    </row>
    <row r="183" spans="1:4" ht="15.75" customHeight="1" x14ac:dyDescent="0.25">
      <c r="A183" s="2">
        <v>20273758063</v>
      </c>
      <c r="B183" s="3" t="s">
        <v>214</v>
      </c>
      <c r="C183" s="1"/>
      <c r="D183" s="3"/>
    </row>
    <row r="184" spans="1:4" ht="15.75" customHeight="1" x14ac:dyDescent="0.25">
      <c r="A184" s="2">
        <v>20181701820</v>
      </c>
      <c r="B184" s="3" t="s">
        <v>215</v>
      </c>
      <c r="C184" s="1"/>
      <c r="D184" s="3"/>
    </row>
    <row r="185" spans="1:4" ht="15.75" customHeight="1" x14ac:dyDescent="0.25">
      <c r="A185" s="2">
        <v>30505345793</v>
      </c>
      <c r="B185" s="3" t="s">
        <v>216</v>
      </c>
      <c r="C185" s="1" t="s">
        <v>5</v>
      </c>
      <c r="D185" s="3"/>
    </row>
    <row r="186" spans="1:4" ht="15.75" customHeight="1" x14ac:dyDescent="0.25">
      <c r="A186" s="2">
        <v>30663011746</v>
      </c>
      <c r="B186" s="3" t="s">
        <v>217</v>
      </c>
      <c r="C186" s="1" t="s">
        <v>5</v>
      </c>
      <c r="D186" s="3"/>
    </row>
    <row r="187" spans="1:4" ht="15.75" customHeight="1" x14ac:dyDescent="0.25">
      <c r="A187" s="2">
        <v>30694549817</v>
      </c>
      <c r="B187" s="3" t="s">
        <v>218</v>
      </c>
      <c r="C187" s="1" t="s">
        <v>5</v>
      </c>
      <c r="D187" s="3"/>
    </row>
    <row r="188" spans="1:4" ht="15.75" customHeight="1" x14ac:dyDescent="0.25">
      <c r="A188" s="2">
        <v>23117702529</v>
      </c>
      <c r="B188" s="3" t="s">
        <v>219</v>
      </c>
      <c r="C188" s="1" t="s">
        <v>5</v>
      </c>
      <c r="D188" s="3"/>
    </row>
    <row r="189" spans="1:4" ht="15.75" customHeight="1" x14ac:dyDescent="0.25">
      <c r="A189" s="2">
        <v>30709410144</v>
      </c>
      <c r="B189" s="3" t="s">
        <v>220</v>
      </c>
      <c r="C189" s="1" t="s">
        <v>5</v>
      </c>
      <c r="D189" s="3"/>
    </row>
    <row r="190" spans="1:4" ht="15.75" customHeight="1" x14ac:dyDescent="0.25">
      <c r="A190" s="2">
        <v>30683009195</v>
      </c>
      <c r="B190" s="3" t="s">
        <v>221</v>
      </c>
      <c r="C190" s="1"/>
      <c r="D190" s="3"/>
    </row>
    <row r="191" spans="1:4" ht="15.75" customHeight="1" x14ac:dyDescent="0.25">
      <c r="A191" s="2">
        <v>33714212589</v>
      </c>
      <c r="B191" s="3" t="s">
        <v>222</v>
      </c>
      <c r="C191" s="1" t="s">
        <v>5</v>
      </c>
      <c r="D191" s="3"/>
    </row>
    <row r="192" spans="1:4" ht="15.75" customHeight="1" x14ac:dyDescent="0.25">
      <c r="A192" s="2">
        <v>27206941419</v>
      </c>
      <c r="B192" s="3" t="s">
        <v>223</v>
      </c>
      <c r="C192" s="1"/>
      <c r="D192" s="3"/>
    </row>
    <row r="193" spans="1:4" ht="15.75" customHeight="1" x14ac:dyDescent="0.25">
      <c r="A193" s="2">
        <v>27185433736</v>
      </c>
      <c r="B193" s="3" t="s">
        <v>224</v>
      </c>
      <c r="C193" s="1"/>
      <c r="D193" s="3"/>
    </row>
    <row r="194" spans="1:4" ht="15.75" customHeight="1" x14ac:dyDescent="0.25">
      <c r="A194" s="2">
        <v>20291523626</v>
      </c>
      <c r="B194" s="3" t="s">
        <v>225</v>
      </c>
      <c r="C194" s="1"/>
      <c r="D194" s="3"/>
    </row>
    <row r="195" spans="1:4" ht="15.75" customHeight="1" x14ac:dyDescent="0.25">
      <c r="A195" s="2">
        <v>30711974268</v>
      </c>
      <c r="B195" s="3" t="s">
        <v>226</v>
      </c>
      <c r="C195" s="1"/>
      <c r="D195" s="3"/>
    </row>
    <row r="196" spans="1:4" ht="15.75" customHeight="1" x14ac:dyDescent="0.25">
      <c r="A196" s="2">
        <v>30702966066</v>
      </c>
      <c r="B196" s="3" t="s">
        <v>227</v>
      </c>
      <c r="C196" s="1" t="s">
        <v>5</v>
      </c>
      <c r="D196" s="3"/>
    </row>
    <row r="197" spans="1:4" ht="15.75" customHeight="1" x14ac:dyDescent="0.25">
      <c r="A197" s="2">
        <v>27149042488</v>
      </c>
      <c r="B197" s="3" t="s">
        <v>228</v>
      </c>
      <c r="C197" s="1" t="s">
        <v>15</v>
      </c>
      <c r="D197" s="3"/>
    </row>
    <row r="198" spans="1:4" ht="15.75" customHeight="1" x14ac:dyDescent="0.25">
      <c r="A198" s="2">
        <v>30711727236</v>
      </c>
      <c r="B198" s="3" t="s">
        <v>229</v>
      </c>
      <c r="C198" s="1" t="s">
        <v>15</v>
      </c>
      <c r="D198" s="3"/>
    </row>
    <row r="199" spans="1:4" ht="15.75" customHeight="1" x14ac:dyDescent="0.25">
      <c r="A199" s="2">
        <v>30707791728</v>
      </c>
      <c r="B199" s="3" t="s">
        <v>230</v>
      </c>
      <c r="C199" s="1" t="s">
        <v>15</v>
      </c>
      <c r="D199" s="3"/>
    </row>
    <row r="200" spans="1:4" ht="15.75" customHeight="1" x14ac:dyDescent="0.25">
      <c r="A200" s="2">
        <v>30655116202</v>
      </c>
      <c r="B200" s="3" t="s">
        <v>231</v>
      </c>
      <c r="C200" s="1"/>
      <c r="D200" s="3"/>
    </row>
    <row r="201" spans="1:4" ht="15.75" customHeight="1" x14ac:dyDescent="0.25">
      <c r="A201" s="2">
        <v>30655116512</v>
      </c>
      <c r="B201" s="3" t="s">
        <v>232</v>
      </c>
      <c r="C201" s="1" t="s">
        <v>17</v>
      </c>
      <c r="D201" s="3"/>
    </row>
    <row r="202" spans="1:4" ht="15.75" customHeight="1" x14ac:dyDescent="0.25">
      <c r="A202" s="2">
        <v>20045397506</v>
      </c>
      <c r="B202" s="3" t="s">
        <v>233</v>
      </c>
      <c r="C202" s="1" t="s">
        <v>5</v>
      </c>
      <c r="D202" s="3"/>
    </row>
    <row r="203" spans="1:4" ht="15.75" customHeight="1" x14ac:dyDescent="0.25">
      <c r="A203" s="2">
        <v>30555405428</v>
      </c>
      <c r="B203" s="3" t="s">
        <v>234</v>
      </c>
      <c r="C203" s="1"/>
      <c r="D203" s="3"/>
    </row>
    <row r="204" spans="1:4" ht="15.75" customHeight="1" x14ac:dyDescent="0.25">
      <c r="A204" s="2">
        <v>30500039430</v>
      </c>
      <c r="B204" s="3" t="s">
        <v>235</v>
      </c>
      <c r="C204" s="1"/>
      <c r="D204" s="3"/>
    </row>
    <row r="205" spans="1:4" ht="15.75" customHeight="1" x14ac:dyDescent="0.25">
      <c r="A205" s="2">
        <v>30709363944</v>
      </c>
      <c r="B205" s="3" t="s">
        <v>236</v>
      </c>
      <c r="C205" s="1"/>
      <c r="D205" s="3"/>
    </row>
    <row r="206" spans="1:4" ht="15.75" customHeight="1" x14ac:dyDescent="0.25">
      <c r="A206" s="2">
        <v>30543659734</v>
      </c>
      <c r="B206" s="3" t="s">
        <v>237</v>
      </c>
      <c r="C206" s="1" t="s">
        <v>7</v>
      </c>
      <c r="D206" s="3"/>
    </row>
    <row r="207" spans="1:4" ht="15.75" customHeight="1" x14ac:dyDescent="0.25">
      <c r="A207" s="2">
        <v>27290073419</v>
      </c>
      <c r="B207" s="3" t="s">
        <v>238</v>
      </c>
      <c r="C207" s="1" t="s">
        <v>15</v>
      </c>
      <c r="D207" s="3"/>
    </row>
    <row r="208" spans="1:4" ht="15.75" customHeight="1" x14ac:dyDescent="0.25">
      <c r="A208" s="2">
        <v>30709641073</v>
      </c>
      <c r="B208" s="3" t="s">
        <v>239</v>
      </c>
      <c r="C208" s="1"/>
      <c r="D208" s="3"/>
    </row>
    <row r="209" spans="1:4" ht="15.75" customHeight="1" x14ac:dyDescent="0.25">
      <c r="A209" s="2">
        <v>30709131865</v>
      </c>
      <c r="B209" s="3" t="s">
        <v>240</v>
      </c>
      <c r="C209" s="1"/>
      <c r="D209" s="3"/>
    </row>
    <row r="210" spans="1:4" ht="15.75" customHeight="1" x14ac:dyDescent="0.25">
      <c r="A210" s="2">
        <v>30707397256</v>
      </c>
      <c r="B210" s="3" t="s">
        <v>241</v>
      </c>
      <c r="C210" s="1" t="s">
        <v>242</v>
      </c>
      <c r="D210" s="3"/>
    </row>
    <row r="211" spans="1:4" ht="15.75" customHeight="1" x14ac:dyDescent="0.25">
      <c r="A211" s="2">
        <v>23136548719</v>
      </c>
      <c r="B211" s="3" t="s">
        <v>243</v>
      </c>
      <c r="C211" s="1"/>
      <c r="D211" s="3"/>
    </row>
    <row r="212" spans="1:4" ht="15.75" customHeight="1" x14ac:dyDescent="0.25">
      <c r="A212" s="2">
        <v>30517613165</v>
      </c>
      <c r="B212" s="3" t="s">
        <v>244</v>
      </c>
      <c r="C212" s="1" t="s">
        <v>5</v>
      </c>
      <c r="D212" s="3"/>
    </row>
    <row r="213" spans="1:4" ht="15.75" customHeight="1" x14ac:dyDescent="0.25">
      <c r="A213" s="2">
        <v>30709368067</v>
      </c>
      <c r="B213" s="3" t="s">
        <v>245</v>
      </c>
      <c r="C213" s="1" t="s">
        <v>130</v>
      </c>
      <c r="D213" s="3"/>
    </row>
    <row r="214" spans="1:4" ht="15.75" customHeight="1" x14ac:dyDescent="0.25">
      <c r="A214" s="2">
        <v>30614104712</v>
      </c>
      <c r="B214" s="3" t="s">
        <v>246</v>
      </c>
      <c r="C214" s="1" t="s">
        <v>15</v>
      </c>
      <c r="D214" s="3"/>
    </row>
    <row r="215" spans="1:4" ht="15.75" customHeight="1" x14ac:dyDescent="0.25">
      <c r="A215" s="2">
        <v>30711861552</v>
      </c>
      <c r="B215" s="3" t="s">
        <v>247</v>
      </c>
      <c r="C215" s="1" t="s">
        <v>5</v>
      </c>
      <c r="D215" s="3"/>
    </row>
    <row r="216" spans="1:4" ht="15.75" customHeight="1" x14ac:dyDescent="0.25">
      <c r="A216" s="2">
        <v>33714662819</v>
      </c>
      <c r="B216" s="3" t="s">
        <v>248</v>
      </c>
      <c r="C216" s="1" t="s">
        <v>5</v>
      </c>
      <c r="D216" s="3"/>
    </row>
    <row r="217" spans="1:4" ht="15.75" customHeight="1" x14ac:dyDescent="0.25">
      <c r="A217" s="2">
        <v>33502734259</v>
      </c>
      <c r="B217" s="3" t="s">
        <v>249</v>
      </c>
      <c r="C217" s="1" t="s">
        <v>5</v>
      </c>
      <c r="D217" s="3"/>
    </row>
    <row r="218" spans="1:4" ht="15.75" customHeight="1" x14ac:dyDescent="0.25">
      <c r="A218" s="2">
        <v>30503255533</v>
      </c>
      <c r="B218" s="3" t="s">
        <v>250</v>
      </c>
      <c r="C218" s="1" t="s">
        <v>5</v>
      </c>
      <c r="D218" s="3"/>
    </row>
    <row r="219" spans="1:4" ht="15.75" customHeight="1" x14ac:dyDescent="0.25">
      <c r="A219" s="2">
        <v>20140958213</v>
      </c>
      <c r="B219" s="3" t="s">
        <v>251</v>
      </c>
      <c r="C219" s="1" t="s">
        <v>5</v>
      </c>
      <c r="D219" s="3"/>
    </row>
    <row r="220" spans="1:4" ht="15.75" customHeight="1" x14ac:dyDescent="0.25">
      <c r="A220" s="2">
        <v>30659276964</v>
      </c>
      <c r="B220" s="3" t="s">
        <v>252</v>
      </c>
      <c r="C220" s="1"/>
      <c r="D220" s="3"/>
    </row>
    <row r="221" spans="1:4" ht="15.75" customHeight="1" x14ac:dyDescent="0.25">
      <c r="A221" s="2">
        <v>20333309433</v>
      </c>
      <c r="B221" s="3" t="s">
        <v>253</v>
      </c>
      <c r="C221" s="1"/>
      <c r="D221" s="3"/>
    </row>
    <row r="222" spans="1:4" ht="15.75" customHeight="1" x14ac:dyDescent="0.25">
      <c r="A222" s="2">
        <v>27134817858</v>
      </c>
      <c r="B222" s="3" t="s">
        <v>254</v>
      </c>
      <c r="C222" s="1" t="s">
        <v>15</v>
      </c>
      <c r="D222" s="3"/>
    </row>
    <row r="223" spans="1:4" ht="15.75" customHeight="1" x14ac:dyDescent="0.25">
      <c r="A223" s="2">
        <v>27134817856</v>
      </c>
      <c r="B223" s="3" t="s">
        <v>254</v>
      </c>
      <c r="C223" s="1" t="s">
        <v>15</v>
      </c>
      <c r="D223" s="3"/>
    </row>
    <row r="224" spans="1:4" ht="15.75" customHeight="1" x14ac:dyDescent="0.25">
      <c r="A224" s="2">
        <v>30709440515</v>
      </c>
      <c r="B224" s="3" t="s">
        <v>255</v>
      </c>
      <c r="C224" s="1"/>
      <c r="D224" s="3"/>
    </row>
    <row r="225" spans="1:4" ht="15.75" customHeight="1" x14ac:dyDescent="0.25">
      <c r="A225" s="2">
        <v>33649668029</v>
      </c>
      <c r="B225" s="3" t="s">
        <v>256</v>
      </c>
      <c r="C225" s="1"/>
      <c r="D225" s="3"/>
    </row>
    <row r="226" spans="1:4" ht="15.75" customHeight="1" x14ac:dyDescent="0.25">
      <c r="A226" s="2">
        <v>20075959134</v>
      </c>
      <c r="B226" s="3" t="s">
        <v>257</v>
      </c>
      <c r="C226" s="1" t="s">
        <v>122</v>
      </c>
      <c r="D226" s="3"/>
    </row>
    <row r="227" spans="1:4" ht="15.75" customHeight="1" x14ac:dyDescent="0.25">
      <c r="A227" s="2">
        <v>20086277523</v>
      </c>
      <c r="B227" s="3" t="s">
        <v>258</v>
      </c>
      <c r="C227" s="1" t="s">
        <v>1458</v>
      </c>
      <c r="D227" s="3"/>
    </row>
    <row r="228" spans="1:4" ht="15.75" customHeight="1" x14ac:dyDescent="0.25">
      <c r="A228" s="2">
        <v>30716109158</v>
      </c>
      <c r="B228" s="3" t="s">
        <v>259</v>
      </c>
      <c r="C228" s="1"/>
      <c r="D228" s="3"/>
    </row>
    <row r="229" spans="1:4" ht="15.75" customHeight="1" x14ac:dyDescent="0.25">
      <c r="A229" s="2">
        <v>33714956049</v>
      </c>
      <c r="B229" s="3" t="s">
        <v>260</v>
      </c>
      <c r="C229" s="1"/>
      <c r="D229" s="3"/>
    </row>
    <row r="230" spans="1:4" ht="15.75" customHeight="1" x14ac:dyDescent="0.25">
      <c r="A230" s="2">
        <v>30526582884</v>
      </c>
      <c r="B230" s="3" t="s">
        <v>261</v>
      </c>
      <c r="C230" s="1"/>
      <c r="D230" s="3"/>
    </row>
    <row r="231" spans="1:4" ht="15.75" customHeight="1" x14ac:dyDescent="0.25">
      <c r="A231" s="2">
        <v>30708007761</v>
      </c>
      <c r="B231" s="3" t="s">
        <v>262</v>
      </c>
      <c r="C231" s="1" t="s">
        <v>5</v>
      </c>
      <c r="D231" s="3"/>
    </row>
    <row r="232" spans="1:4" ht="15.75" customHeight="1" x14ac:dyDescent="0.25">
      <c r="A232" s="2">
        <v>30709001554</v>
      </c>
      <c r="B232" s="3" t="s">
        <v>263</v>
      </c>
      <c r="C232" s="1" t="s">
        <v>5</v>
      </c>
      <c r="D232" s="3"/>
    </row>
    <row r="233" spans="1:4" ht="15.75" customHeight="1" x14ac:dyDescent="0.25">
      <c r="A233" s="2">
        <v>30715980807</v>
      </c>
      <c r="B233" s="3" t="s">
        <v>264</v>
      </c>
      <c r="C233" s="1"/>
      <c r="D233" s="3"/>
    </row>
    <row r="234" spans="1:4" ht="15.75" customHeight="1" x14ac:dyDescent="0.25">
      <c r="A234" s="2">
        <v>30502443719</v>
      </c>
      <c r="B234" s="3" t="s">
        <v>265</v>
      </c>
      <c r="C234" s="1" t="s">
        <v>5</v>
      </c>
      <c r="D234" s="3"/>
    </row>
    <row r="235" spans="1:4" ht="15.75" customHeight="1" x14ac:dyDescent="0.25">
      <c r="A235" s="2">
        <v>30655725829</v>
      </c>
      <c r="B235" s="3" t="s">
        <v>266</v>
      </c>
      <c r="C235" s="1"/>
      <c r="D235" s="3"/>
    </row>
    <row r="236" spans="1:4" ht="15.75" customHeight="1" x14ac:dyDescent="0.25">
      <c r="A236" s="2">
        <v>33709432279</v>
      </c>
      <c r="B236" s="3" t="s">
        <v>267</v>
      </c>
      <c r="C236" s="1" t="s">
        <v>10</v>
      </c>
      <c r="D236" s="3"/>
    </row>
    <row r="237" spans="1:4" ht="15.75" customHeight="1" x14ac:dyDescent="0.25">
      <c r="A237" s="2">
        <v>30517914874</v>
      </c>
      <c r="B237" s="3" t="s">
        <v>268</v>
      </c>
      <c r="C237" s="1" t="s">
        <v>5</v>
      </c>
      <c r="D237" s="3"/>
    </row>
    <row r="238" spans="1:4" ht="15.75" customHeight="1" x14ac:dyDescent="0.25">
      <c r="A238" s="2">
        <v>33707366589</v>
      </c>
      <c r="B238" s="3" t="s">
        <v>269</v>
      </c>
      <c r="C238" s="1" t="s">
        <v>270</v>
      </c>
      <c r="D238" s="3"/>
    </row>
    <row r="239" spans="1:4" ht="15.75" customHeight="1" x14ac:dyDescent="0.25">
      <c r="A239" s="2">
        <v>20400104094</v>
      </c>
      <c r="B239" s="3" t="s">
        <v>271</v>
      </c>
      <c r="C239" s="1" t="s">
        <v>1458</v>
      </c>
      <c r="D239" s="3"/>
    </row>
    <row r="240" spans="1:4" ht="15.75" customHeight="1" x14ac:dyDescent="0.25">
      <c r="A240" s="2">
        <v>20317075430</v>
      </c>
      <c r="B240" s="3" t="s">
        <v>272</v>
      </c>
      <c r="C240" s="1"/>
      <c r="D240" s="3"/>
    </row>
    <row r="241" spans="1:4" ht="15.75" customHeight="1" x14ac:dyDescent="0.25">
      <c r="A241" s="2">
        <v>30712231595</v>
      </c>
      <c r="B241" s="3" t="s">
        <v>273</v>
      </c>
      <c r="C241" s="1"/>
      <c r="D241" s="3"/>
    </row>
    <row r="242" spans="1:4" ht="15.75" customHeight="1" x14ac:dyDescent="0.25">
      <c r="A242" s="2">
        <v>20173651172</v>
      </c>
      <c r="B242" s="3" t="s">
        <v>274</v>
      </c>
      <c r="C242" s="1"/>
      <c r="D242" s="3"/>
    </row>
    <row r="243" spans="1:4" ht="15.75" customHeight="1" x14ac:dyDescent="0.25">
      <c r="A243" s="2">
        <v>30661667822</v>
      </c>
      <c r="B243" s="3" t="s">
        <v>275</v>
      </c>
      <c r="C243" s="1" t="s">
        <v>5</v>
      </c>
      <c r="D243" s="3"/>
    </row>
    <row r="244" spans="1:4" ht="15.75" customHeight="1" x14ac:dyDescent="0.25">
      <c r="A244" s="2">
        <v>30540918364</v>
      </c>
      <c r="B244" s="3" t="s">
        <v>276</v>
      </c>
      <c r="C244" s="1" t="s">
        <v>15</v>
      </c>
      <c r="D244" s="3"/>
    </row>
    <row r="245" spans="1:4" ht="15.75" customHeight="1" x14ac:dyDescent="0.25">
      <c r="A245" s="2">
        <v>20082650424</v>
      </c>
      <c r="B245" s="3" t="s">
        <v>277</v>
      </c>
      <c r="C245" s="1"/>
      <c r="D245" s="3"/>
    </row>
    <row r="246" spans="1:4" ht="15.75" customHeight="1" x14ac:dyDescent="0.25">
      <c r="A246" s="2">
        <v>30716243946</v>
      </c>
      <c r="B246" s="3" t="s">
        <v>278</v>
      </c>
      <c r="C246" s="1" t="s">
        <v>279</v>
      </c>
      <c r="D246" s="3"/>
    </row>
    <row r="247" spans="1:4" ht="15.75" customHeight="1" x14ac:dyDescent="0.25">
      <c r="A247" s="2">
        <v>30709453293</v>
      </c>
      <c r="B247" s="3" t="s">
        <v>280</v>
      </c>
      <c r="C247" s="1"/>
      <c r="D247" s="3"/>
    </row>
    <row r="248" spans="1:4" ht="15.75" customHeight="1" x14ac:dyDescent="0.25">
      <c r="A248" s="2">
        <v>30525341263</v>
      </c>
      <c r="B248" s="3" t="s">
        <v>281</v>
      </c>
      <c r="C248" s="1" t="s">
        <v>5</v>
      </c>
      <c r="D248" s="3"/>
    </row>
    <row r="249" spans="1:4" ht="15.75" customHeight="1" x14ac:dyDescent="0.25">
      <c r="A249" s="2">
        <v>33707529879</v>
      </c>
      <c r="B249" s="3" t="s">
        <v>282</v>
      </c>
      <c r="C249" s="1" t="s">
        <v>5</v>
      </c>
      <c r="D249" s="3"/>
    </row>
    <row r="250" spans="1:4" ht="15.75" customHeight="1" x14ac:dyDescent="0.25">
      <c r="A250" s="2">
        <v>20287501588</v>
      </c>
      <c r="B250" s="3" t="s">
        <v>283</v>
      </c>
      <c r="C250" s="1" t="s">
        <v>284</v>
      </c>
      <c r="D250" s="3"/>
    </row>
    <row r="251" spans="1:4" ht="15.75" customHeight="1" x14ac:dyDescent="0.25">
      <c r="A251" s="2">
        <v>30708854456</v>
      </c>
      <c r="B251" s="3" t="s">
        <v>285</v>
      </c>
      <c r="C251" s="1" t="s">
        <v>10</v>
      </c>
      <c r="D251" s="3"/>
    </row>
    <row r="252" spans="1:4" ht="15.75" customHeight="1" x14ac:dyDescent="0.25">
      <c r="A252" s="2">
        <v>20111225304</v>
      </c>
      <c r="B252" s="3" t="s">
        <v>286</v>
      </c>
      <c r="C252" s="1"/>
      <c r="D252" s="3"/>
    </row>
    <row r="253" spans="1:4" ht="15.75" customHeight="1" x14ac:dyDescent="0.25">
      <c r="A253" s="2">
        <v>30516348727</v>
      </c>
      <c r="B253" s="3" t="s">
        <v>287</v>
      </c>
      <c r="C253" s="1" t="s">
        <v>5</v>
      </c>
      <c r="D253" s="3"/>
    </row>
    <row r="254" spans="1:4" ht="15.75" customHeight="1" x14ac:dyDescent="0.25">
      <c r="A254" s="2">
        <v>30695097596</v>
      </c>
      <c r="B254" s="3" t="s">
        <v>288</v>
      </c>
      <c r="C254" s="1"/>
      <c r="D254" s="3"/>
    </row>
    <row r="255" spans="1:4" ht="15.75" customHeight="1" x14ac:dyDescent="0.25">
      <c r="A255" s="2">
        <v>30708363126</v>
      </c>
      <c r="B255" s="3" t="s">
        <v>289</v>
      </c>
      <c r="C255" s="1" t="s">
        <v>7</v>
      </c>
      <c r="D255" s="3"/>
    </row>
    <row r="256" spans="1:4" ht="15.75" customHeight="1" x14ac:dyDescent="0.25">
      <c r="A256" s="2">
        <v>30711166927</v>
      </c>
      <c r="B256" s="3" t="s">
        <v>290</v>
      </c>
      <c r="C256" s="1"/>
      <c r="D256" s="3"/>
    </row>
    <row r="257" spans="1:4" ht="15.75" customHeight="1" x14ac:dyDescent="0.25">
      <c r="A257" s="2">
        <v>20934275218</v>
      </c>
      <c r="B257" s="3" t="s">
        <v>291</v>
      </c>
      <c r="C257" s="1"/>
      <c r="D257" s="3"/>
    </row>
    <row r="258" spans="1:4" ht="15.75" customHeight="1" x14ac:dyDescent="0.25">
      <c r="A258" s="2">
        <v>33714230129</v>
      </c>
      <c r="B258" s="3" t="s">
        <v>292</v>
      </c>
      <c r="C258" s="1"/>
      <c r="D258" s="3"/>
    </row>
    <row r="259" spans="1:4" ht="15.75" customHeight="1" x14ac:dyDescent="0.25">
      <c r="A259" s="2">
        <v>30526874249</v>
      </c>
      <c r="B259" s="3" t="s">
        <v>293</v>
      </c>
      <c r="C259" s="1" t="s">
        <v>15</v>
      </c>
      <c r="D259" s="3"/>
    </row>
    <row r="260" spans="1:4" ht="15.75" customHeight="1" x14ac:dyDescent="0.25">
      <c r="A260" s="2">
        <v>30711491801</v>
      </c>
      <c r="B260" s="3" t="s">
        <v>294</v>
      </c>
      <c r="C260" s="1"/>
      <c r="D260" s="3"/>
    </row>
    <row r="261" spans="1:4" ht="15.75" customHeight="1" x14ac:dyDescent="0.25">
      <c r="A261" s="2">
        <v>30657418877</v>
      </c>
      <c r="B261" s="3" t="s">
        <v>295</v>
      </c>
      <c r="C261" s="1"/>
      <c r="D261" s="3"/>
    </row>
    <row r="262" spans="1:4" ht="15.75" customHeight="1" x14ac:dyDescent="0.25">
      <c r="A262" s="2">
        <v>30535302606</v>
      </c>
      <c r="B262" s="3" t="s">
        <v>296</v>
      </c>
      <c r="C262" s="1" t="s">
        <v>5</v>
      </c>
      <c r="D262" s="3"/>
    </row>
    <row r="263" spans="1:4" ht="15.75" customHeight="1" x14ac:dyDescent="0.25">
      <c r="A263" s="2">
        <v>30500987878</v>
      </c>
      <c r="B263" s="3" t="s">
        <v>297</v>
      </c>
      <c r="C263" s="1" t="s">
        <v>298</v>
      </c>
      <c r="D263" s="3"/>
    </row>
    <row r="264" spans="1:4" ht="15.75" customHeight="1" x14ac:dyDescent="0.25">
      <c r="A264" s="2">
        <v>23920485979</v>
      </c>
      <c r="B264" s="3" t="s">
        <v>299</v>
      </c>
      <c r="C264" s="1" t="s">
        <v>15</v>
      </c>
      <c r="D264" s="3"/>
    </row>
    <row r="265" spans="1:4" ht="15.75" customHeight="1" x14ac:dyDescent="0.25">
      <c r="A265" s="2">
        <v>30699695242</v>
      </c>
      <c r="B265" s="3" t="s">
        <v>300</v>
      </c>
      <c r="C265" s="1"/>
      <c r="D265" s="3"/>
    </row>
    <row r="266" spans="1:4" ht="15.75" customHeight="1" x14ac:dyDescent="0.25">
      <c r="A266" s="2">
        <v>30698914277</v>
      </c>
      <c r="B266" s="3" t="s">
        <v>301</v>
      </c>
      <c r="C266" s="1"/>
      <c r="D266" s="3"/>
    </row>
    <row r="267" spans="1:4" ht="15.75" customHeight="1" x14ac:dyDescent="0.25">
      <c r="A267" s="2">
        <v>30522428163</v>
      </c>
      <c r="B267" s="3" t="s">
        <v>302</v>
      </c>
      <c r="C267" s="1"/>
      <c r="D267" s="3"/>
    </row>
    <row r="268" spans="1:4" ht="15.75" customHeight="1" x14ac:dyDescent="0.25">
      <c r="A268" s="2">
        <v>30685228501</v>
      </c>
      <c r="B268" s="3" t="s">
        <v>303</v>
      </c>
      <c r="C268" s="1"/>
      <c r="D268" s="3"/>
    </row>
    <row r="269" spans="1:4" ht="15.75" customHeight="1" x14ac:dyDescent="0.25">
      <c r="A269" s="2">
        <v>20214688590</v>
      </c>
      <c r="B269" s="3" t="s">
        <v>304</v>
      </c>
      <c r="C269" s="1" t="s">
        <v>15</v>
      </c>
      <c r="D269" s="3"/>
    </row>
    <row r="270" spans="1:4" ht="15.75" customHeight="1" x14ac:dyDescent="0.25">
      <c r="A270" s="2">
        <v>30639782383</v>
      </c>
      <c r="B270" s="3" t="s">
        <v>305</v>
      </c>
      <c r="C270" s="1" t="s">
        <v>15</v>
      </c>
      <c r="D270" s="3"/>
    </row>
    <row r="271" spans="1:4" ht="15.75" customHeight="1" x14ac:dyDescent="0.25">
      <c r="A271" s="2">
        <v>20101268897</v>
      </c>
      <c r="B271" s="3" t="s">
        <v>306</v>
      </c>
      <c r="C271" s="1"/>
      <c r="D271" s="3"/>
    </row>
    <row r="272" spans="1:4" ht="15.75" customHeight="1" x14ac:dyDescent="0.25">
      <c r="A272" s="2">
        <v>30544052027</v>
      </c>
      <c r="B272" s="3" t="s">
        <v>307</v>
      </c>
      <c r="C272" s="1" t="s">
        <v>5</v>
      </c>
      <c r="D272" s="3"/>
    </row>
    <row r="273" spans="1:4" ht="15.75" customHeight="1" x14ac:dyDescent="0.25">
      <c r="A273" s="2">
        <v>30709737348</v>
      </c>
      <c r="B273" s="3" t="s">
        <v>308</v>
      </c>
      <c r="C273" s="1" t="s">
        <v>15</v>
      </c>
      <c r="D273" s="3"/>
    </row>
    <row r="274" spans="1:4" ht="15.75" customHeight="1" x14ac:dyDescent="0.25">
      <c r="A274" s="2">
        <v>30708855975</v>
      </c>
      <c r="B274" s="3" t="s">
        <v>309</v>
      </c>
      <c r="C274" s="1" t="s">
        <v>5</v>
      </c>
      <c r="D274" s="3"/>
    </row>
    <row r="275" spans="1:4" ht="15.75" customHeight="1" x14ac:dyDescent="0.25">
      <c r="A275" s="2">
        <v>20225327638</v>
      </c>
      <c r="B275" s="3" t="s">
        <v>310</v>
      </c>
      <c r="C275" s="1" t="s">
        <v>5</v>
      </c>
      <c r="D275" s="3"/>
    </row>
    <row r="276" spans="1:4" ht="15.75" customHeight="1" x14ac:dyDescent="0.25">
      <c r="A276" s="2">
        <v>30546694263</v>
      </c>
      <c r="B276" s="3" t="s">
        <v>311</v>
      </c>
      <c r="C276" s="1"/>
      <c r="D276" s="3"/>
    </row>
    <row r="277" spans="1:4" ht="15.75" customHeight="1" x14ac:dyDescent="0.25">
      <c r="A277" s="2">
        <v>27217642464</v>
      </c>
      <c r="B277" s="3" t="s">
        <v>312</v>
      </c>
      <c r="C277" s="1" t="s">
        <v>15</v>
      </c>
      <c r="D277" s="3"/>
    </row>
    <row r="278" spans="1:4" ht="15.75" customHeight="1" x14ac:dyDescent="0.25">
      <c r="A278" s="2">
        <v>30711950113</v>
      </c>
      <c r="B278" s="3" t="s">
        <v>313</v>
      </c>
      <c r="C278" s="1" t="s">
        <v>5</v>
      </c>
      <c r="D278" s="3"/>
    </row>
    <row r="279" spans="1:4" ht="15.75" customHeight="1" x14ac:dyDescent="0.25">
      <c r="A279" s="2">
        <v>30626885981</v>
      </c>
      <c r="B279" s="3" t="s">
        <v>314</v>
      </c>
      <c r="C279" s="1" t="s">
        <v>5</v>
      </c>
      <c r="D279" s="3"/>
    </row>
    <row r="280" spans="1:4" ht="15.75" customHeight="1" x14ac:dyDescent="0.25">
      <c r="A280" s="2">
        <v>30711069573</v>
      </c>
      <c r="B280" s="3" t="s">
        <v>315</v>
      </c>
      <c r="C280" s="1" t="s">
        <v>5</v>
      </c>
      <c r="D280" s="3"/>
    </row>
    <row r="281" spans="1:4" ht="15.75" customHeight="1" x14ac:dyDescent="0.25">
      <c r="A281" s="2">
        <v>30715003666</v>
      </c>
      <c r="B281" s="3" t="s">
        <v>316</v>
      </c>
      <c r="C281" s="1" t="s">
        <v>10</v>
      </c>
      <c r="D281" s="3"/>
    </row>
    <row r="282" spans="1:4" ht="15.75" customHeight="1" x14ac:dyDescent="0.25">
      <c r="A282" s="2">
        <v>20361501722</v>
      </c>
      <c r="B282" s="3" t="s">
        <v>317</v>
      </c>
      <c r="C282" s="1" t="s">
        <v>15</v>
      </c>
      <c r="D282" s="3"/>
    </row>
    <row r="283" spans="1:4" ht="15.75" customHeight="1" x14ac:dyDescent="0.25">
      <c r="A283" s="2">
        <v>23258555333</v>
      </c>
      <c r="B283" s="3" t="s">
        <v>318</v>
      </c>
      <c r="C283" s="1"/>
      <c r="D283" s="3"/>
    </row>
    <row r="284" spans="1:4" ht="15.75" customHeight="1" x14ac:dyDescent="0.25">
      <c r="A284" s="2">
        <v>30715303791</v>
      </c>
      <c r="B284" s="3" t="s">
        <v>319</v>
      </c>
      <c r="C284" s="1"/>
      <c r="D284" s="3"/>
    </row>
    <row r="285" spans="1:4" ht="15.75" customHeight="1" x14ac:dyDescent="0.25">
      <c r="A285" s="2">
        <v>3368716053.9000001</v>
      </c>
      <c r="B285" s="3" t="s">
        <v>320</v>
      </c>
      <c r="C285" s="1" t="s">
        <v>5</v>
      </c>
      <c r="D285" s="3"/>
    </row>
    <row r="286" spans="1:4" ht="15.75" customHeight="1" x14ac:dyDescent="0.25">
      <c r="A286" s="2">
        <v>33687160539</v>
      </c>
      <c r="B286" s="3" t="s">
        <v>320</v>
      </c>
      <c r="C286" s="1" t="s">
        <v>5</v>
      </c>
      <c r="D286" s="3"/>
    </row>
    <row r="287" spans="1:4" ht="15.75" customHeight="1" x14ac:dyDescent="0.25">
      <c r="A287" s="2">
        <v>30707867325</v>
      </c>
      <c r="B287" s="3" t="s">
        <v>321</v>
      </c>
      <c r="C287" s="1"/>
      <c r="D287" s="3"/>
    </row>
    <row r="288" spans="1:4" ht="15.75" customHeight="1" x14ac:dyDescent="0.25">
      <c r="A288" s="2">
        <v>20050719864</v>
      </c>
      <c r="B288" s="3" t="s">
        <v>322</v>
      </c>
      <c r="C288" s="1"/>
      <c r="D288" s="3"/>
    </row>
    <row r="289" spans="1:4" ht="15.75" customHeight="1" x14ac:dyDescent="0.25">
      <c r="A289" s="2">
        <v>30633217803</v>
      </c>
      <c r="B289" s="3" t="s">
        <v>323</v>
      </c>
      <c r="C289" s="1"/>
      <c r="D289" s="3"/>
    </row>
    <row r="290" spans="1:4" ht="15.75" customHeight="1" x14ac:dyDescent="0.25">
      <c r="A290" s="2">
        <v>30712776403</v>
      </c>
      <c r="B290" s="3" t="s">
        <v>324</v>
      </c>
      <c r="C290" s="1"/>
      <c r="D290" s="3"/>
    </row>
    <row r="291" spans="1:4" ht="15.75" customHeight="1" x14ac:dyDescent="0.25">
      <c r="A291" s="2">
        <v>30712778403</v>
      </c>
      <c r="B291" s="3" t="s">
        <v>325</v>
      </c>
      <c r="C291" s="1" t="s">
        <v>130</v>
      </c>
      <c r="D291" s="3"/>
    </row>
    <row r="292" spans="1:4" ht="15.75" customHeight="1" x14ac:dyDescent="0.25">
      <c r="A292" s="2">
        <v>33695089789</v>
      </c>
      <c r="B292" s="3" t="s">
        <v>326</v>
      </c>
      <c r="C292" s="1"/>
      <c r="D292" s="3"/>
    </row>
    <row r="293" spans="1:4" ht="15.75" customHeight="1" x14ac:dyDescent="0.25">
      <c r="A293" s="2">
        <v>30712460969</v>
      </c>
      <c r="B293" s="3" t="s">
        <v>327</v>
      </c>
      <c r="C293" s="1" t="s">
        <v>10</v>
      </c>
      <c r="D293" s="3"/>
    </row>
    <row r="294" spans="1:4" ht="15.75" customHeight="1" x14ac:dyDescent="0.25">
      <c r="A294" s="2">
        <v>30663498513</v>
      </c>
      <c r="B294" s="3" t="s">
        <v>328</v>
      </c>
      <c r="C294" s="1"/>
      <c r="D294" s="3"/>
    </row>
    <row r="295" spans="1:4" ht="15.75" customHeight="1" x14ac:dyDescent="0.25">
      <c r="A295" s="2">
        <v>30715775014</v>
      </c>
      <c r="B295" s="3" t="s">
        <v>329</v>
      </c>
      <c r="C295" s="1"/>
      <c r="D295" s="3"/>
    </row>
    <row r="296" spans="1:4" ht="15.75" customHeight="1" x14ac:dyDescent="0.25">
      <c r="A296" s="2">
        <v>30709227161</v>
      </c>
      <c r="B296" s="3" t="s">
        <v>330</v>
      </c>
      <c r="C296" s="1"/>
      <c r="D296" s="3"/>
    </row>
    <row r="297" spans="1:4" ht="15.75" customHeight="1" x14ac:dyDescent="0.25">
      <c r="A297" s="2">
        <v>20940658609</v>
      </c>
      <c r="B297" s="3" t="s">
        <v>331</v>
      </c>
      <c r="C297" s="1"/>
      <c r="D297" s="3"/>
    </row>
    <row r="298" spans="1:4" ht="15.75" customHeight="1" x14ac:dyDescent="0.25">
      <c r="A298" s="2">
        <v>30541849307</v>
      </c>
      <c r="B298" s="3" t="s">
        <v>332</v>
      </c>
      <c r="C298" s="1" t="s">
        <v>5</v>
      </c>
      <c r="D298" s="3"/>
    </row>
    <row r="299" spans="1:4" ht="15.75" customHeight="1" x14ac:dyDescent="0.25">
      <c r="A299" s="2">
        <v>30582876661</v>
      </c>
      <c r="B299" s="3" t="s">
        <v>333</v>
      </c>
      <c r="C299" s="1"/>
      <c r="D299" s="3"/>
    </row>
    <row r="300" spans="1:4" ht="15.75" customHeight="1" x14ac:dyDescent="0.25">
      <c r="A300" s="2">
        <v>20270084304</v>
      </c>
      <c r="B300" s="3" t="s">
        <v>334</v>
      </c>
      <c r="C300" s="1" t="s">
        <v>5</v>
      </c>
      <c r="D300" s="3"/>
    </row>
    <row r="301" spans="1:4" ht="15.75" customHeight="1" x14ac:dyDescent="0.25">
      <c r="A301" s="2">
        <v>20144078188</v>
      </c>
      <c r="B301" s="3" t="s">
        <v>335</v>
      </c>
      <c r="C301" s="1"/>
      <c r="D301" s="3"/>
    </row>
    <row r="302" spans="1:4" ht="15.75" customHeight="1" x14ac:dyDescent="0.25">
      <c r="A302" s="2">
        <v>20108381508</v>
      </c>
      <c r="B302" s="3" t="s">
        <v>336</v>
      </c>
      <c r="C302" s="1" t="s">
        <v>5</v>
      </c>
      <c r="D302" s="3"/>
    </row>
    <row r="303" spans="1:4" ht="15.75" customHeight="1" x14ac:dyDescent="0.25">
      <c r="A303" s="2">
        <v>20253264390</v>
      </c>
      <c r="B303" s="3" t="s">
        <v>337</v>
      </c>
      <c r="C303" s="1" t="s">
        <v>5</v>
      </c>
      <c r="D303" s="3"/>
    </row>
    <row r="304" spans="1:4" ht="15.75" customHeight="1" x14ac:dyDescent="0.25">
      <c r="A304" s="2">
        <v>30570945285</v>
      </c>
      <c r="B304" s="3" t="s">
        <v>338</v>
      </c>
      <c r="C304" s="1"/>
      <c r="D304" s="3"/>
    </row>
    <row r="305" spans="1:4" ht="15.75" customHeight="1" x14ac:dyDescent="0.25">
      <c r="A305" s="2">
        <v>30593410354</v>
      </c>
      <c r="B305" s="3" t="s">
        <v>339</v>
      </c>
      <c r="C305" s="1"/>
      <c r="D305" s="3"/>
    </row>
    <row r="306" spans="1:4" ht="15.75" customHeight="1" x14ac:dyDescent="0.25">
      <c r="A306" s="2">
        <v>20275447057</v>
      </c>
      <c r="B306" s="3" t="s">
        <v>340</v>
      </c>
      <c r="C306" s="1" t="s">
        <v>15</v>
      </c>
      <c r="D306" s="3"/>
    </row>
    <row r="307" spans="1:4" ht="15.75" customHeight="1" x14ac:dyDescent="0.25">
      <c r="A307" s="2">
        <v>23219640269</v>
      </c>
      <c r="B307" s="3" t="s">
        <v>341</v>
      </c>
      <c r="C307" s="1" t="s">
        <v>5</v>
      </c>
      <c r="D307" s="3"/>
    </row>
    <row r="308" spans="1:4" ht="15.75" customHeight="1" x14ac:dyDescent="0.25">
      <c r="A308" s="2">
        <v>30699407476</v>
      </c>
      <c r="B308" s="3" t="s">
        <v>342</v>
      </c>
      <c r="C308" s="1" t="s">
        <v>5</v>
      </c>
      <c r="D308" s="3"/>
    </row>
    <row r="309" spans="1:4" ht="15.75" customHeight="1" x14ac:dyDescent="0.25">
      <c r="A309" s="2">
        <v>30708508221</v>
      </c>
      <c r="B309" s="3" t="s">
        <v>343</v>
      </c>
      <c r="C309" s="1" t="s">
        <v>1466</v>
      </c>
      <c r="D309" s="3"/>
    </row>
    <row r="310" spans="1:4" ht="15.75" customHeight="1" x14ac:dyDescent="0.25">
      <c r="A310" s="2">
        <v>30551450445</v>
      </c>
      <c r="B310" s="3" t="s">
        <v>344</v>
      </c>
      <c r="C310" s="1" t="s">
        <v>5</v>
      </c>
      <c r="D310" s="3"/>
    </row>
    <row r="311" spans="1:4" ht="15.75" customHeight="1" x14ac:dyDescent="0.25">
      <c r="A311" s="2">
        <v>27171152610</v>
      </c>
      <c r="B311" s="3" t="s">
        <v>345</v>
      </c>
      <c r="C311" s="1"/>
      <c r="D311" s="3"/>
    </row>
    <row r="312" spans="1:4" ht="15.75" customHeight="1" x14ac:dyDescent="0.25">
      <c r="A312" s="2">
        <v>20255683595</v>
      </c>
      <c r="B312" s="3" t="s">
        <v>346</v>
      </c>
      <c r="C312" s="1"/>
      <c r="D312" s="3"/>
    </row>
    <row r="313" spans="1:4" ht="15.75" customHeight="1" x14ac:dyDescent="0.25">
      <c r="A313" s="2">
        <v>30631285038</v>
      </c>
      <c r="B313" s="3" t="s">
        <v>347</v>
      </c>
      <c r="C313" s="1"/>
      <c r="D313" s="3"/>
    </row>
    <row r="314" spans="1:4" ht="15.75" customHeight="1" x14ac:dyDescent="0.25">
      <c r="A314" s="2">
        <v>30714254533</v>
      </c>
      <c r="B314" s="3" t="s">
        <v>348</v>
      </c>
      <c r="C314" s="1" t="s">
        <v>5</v>
      </c>
      <c r="D314" s="3"/>
    </row>
    <row r="315" spans="1:4" ht="15.75" customHeight="1" x14ac:dyDescent="0.25">
      <c r="A315" s="2">
        <v>30712354409</v>
      </c>
      <c r="B315" s="3" t="s">
        <v>349</v>
      </c>
      <c r="C315" s="1" t="s">
        <v>5</v>
      </c>
      <c r="D315" s="3"/>
    </row>
    <row r="316" spans="1:4" ht="15.75" customHeight="1" x14ac:dyDescent="0.25">
      <c r="A316" s="2">
        <v>30576631665</v>
      </c>
      <c r="B316" s="3" t="s">
        <v>350</v>
      </c>
      <c r="C316" s="1" t="s">
        <v>5</v>
      </c>
      <c r="D316" s="3"/>
    </row>
    <row r="317" spans="1:4" ht="15.75" customHeight="1" x14ac:dyDescent="0.25">
      <c r="A317" s="2">
        <v>30691712350</v>
      </c>
      <c r="B317" s="3" t="s">
        <v>351</v>
      </c>
      <c r="C317" s="1"/>
      <c r="D317" s="3"/>
    </row>
    <row r="318" spans="1:4" ht="15.75" customHeight="1" x14ac:dyDescent="0.25">
      <c r="A318" s="2">
        <v>30714696153</v>
      </c>
      <c r="B318" s="3" t="s">
        <v>352</v>
      </c>
      <c r="C318" s="1" t="s">
        <v>5</v>
      </c>
      <c r="D318" s="3"/>
    </row>
    <row r="319" spans="1:4" ht="15.75" customHeight="1" x14ac:dyDescent="0.25">
      <c r="A319" s="2">
        <v>30711017697</v>
      </c>
      <c r="B319" s="3" t="s">
        <v>353</v>
      </c>
      <c r="C319" s="1"/>
      <c r="D319" s="3"/>
    </row>
    <row r="320" spans="1:4" ht="15.75" customHeight="1" x14ac:dyDescent="0.25">
      <c r="A320" s="2">
        <v>23940960509</v>
      </c>
      <c r="B320" s="3" t="s">
        <v>354</v>
      </c>
      <c r="C320" s="1" t="s">
        <v>7</v>
      </c>
      <c r="D320" s="3"/>
    </row>
    <row r="321" spans="1:4" ht="15.75" customHeight="1" x14ac:dyDescent="0.25">
      <c r="A321" s="2">
        <v>30715578154</v>
      </c>
      <c r="B321" s="3" t="s">
        <v>355</v>
      </c>
      <c r="C321" s="1"/>
      <c r="D321" s="3"/>
    </row>
    <row r="322" spans="1:4" ht="15.75" customHeight="1" x14ac:dyDescent="0.25">
      <c r="A322" s="2">
        <v>30643827197</v>
      </c>
      <c r="B322" s="3" t="s">
        <v>356</v>
      </c>
      <c r="C322" s="1" t="s">
        <v>97</v>
      </c>
      <c r="D322" s="3"/>
    </row>
    <row r="323" spans="1:4" ht="15.75" customHeight="1" x14ac:dyDescent="0.25">
      <c r="A323" s="2">
        <v>30667805283</v>
      </c>
      <c r="B323" s="3" t="s">
        <v>357</v>
      </c>
      <c r="C323" s="1"/>
      <c r="D323" s="3"/>
    </row>
    <row r="324" spans="1:4" ht="15.75" customHeight="1" x14ac:dyDescent="0.25">
      <c r="A324" s="2">
        <v>30709443220</v>
      </c>
      <c r="B324" s="3" t="s">
        <v>358</v>
      </c>
      <c r="C324" s="1" t="s">
        <v>5</v>
      </c>
      <c r="D324" s="3"/>
    </row>
    <row r="325" spans="1:4" ht="15.75" customHeight="1" x14ac:dyDescent="0.25">
      <c r="A325" s="2">
        <v>30710457162</v>
      </c>
      <c r="B325" s="3" t="s">
        <v>359</v>
      </c>
      <c r="C325" s="1"/>
      <c r="D325" s="3"/>
    </row>
    <row r="326" spans="1:4" ht="15.75" customHeight="1" x14ac:dyDescent="0.25">
      <c r="A326" s="2">
        <v>33714935009</v>
      </c>
      <c r="B326" s="3" t="s">
        <v>360</v>
      </c>
      <c r="C326" s="1" t="s">
        <v>7</v>
      </c>
      <c r="D326" s="3"/>
    </row>
    <row r="327" spans="1:4" ht="15.75" customHeight="1" x14ac:dyDescent="0.25">
      <c r="A327" s="2">
        <v>30715237071</v>
      </c>
      <c r="B327" s="3" t="s">
        <v>361</v>
      </c>
      <c r="C327" s="1"/>
      <c r="D327" s="3"/>
    </row>
    <row r="328" spans="1:4" ht="15.75" customHeight="1" x14ac:dyDescent="0.25">
      <c r="A328" s="2">
        <v>20104571507</v>
      </c>
      <c r="B328" s="3" t="s">
        <v>362</v>
      </c>
      <c r="C328" s="1"/>
      <c r="D328" s="3"/>
    </row>
    <row r="329" spans="1:4" ht="15.75" customHeight="1" x14ac:dyDescent="0.25">
      <c r="A329" s="2">
        <v>30651822021</v>
      </c>
      <c r="B329" s="3" t="s">
        <v>363</v>
      </c>
      <c r="C329" s="1" t="s">
        <v>5</v>
      </c>
      <c r="D329" s="3"/>
    </row>
    <row r="330" spans="1:4" ht="15.75" customHeight="1" x14ac:dyDescent="0.25">
      <c r="A330" s="2">
        <v>30627739571</v>
      </c>
      <c r="B330" s="3" t="s">
        <v>364</v>
      </c>
      <c r="C330" s="1"/>
      <c r="D330" s="3"/>
    </row>
    <row r="331" spans="1:4" ht="15.75" customHeight="1" x14ac:dyDescent="0.25">
      <c r="A331" s="2">
        <v>30710149468</v>
      </c>
      <c r="B331" s="3" t="s">
        <v>365</v>
      </c>
      <c r="C331" s="1" t="s">
        <v>5</v>
      </c>
      <c r="D331" s="3"/>
    </row>
    <row r="332" spans="1:4" ht="15.75" customHeight="1" x14ac:dyDescent="0.25">
      <c r="A332" s="2">
        <v>30688241614</v>
      </c>
      <c r="B332" s="3" t="s">
        <v>366</v>
      </c>
      <c r="C332" s="1"/>
      <c r="D332" s="3"/>
    </row>
    <row r="333" spans="1:4" ht="15.75" customHeight="1" x14ac:dyDescent="0.25">
      <c r="A333" s="2">
        <v>30712479945</v>
      </c>
      <c r="B333" s="3" t="s">
        <v>367</v>
      </c>
      <c r="C333" s="1"/>
      <c r="D333" s="3"/>
    </row>
    <row r="334" spans="1:4" ht="15.75" customHeight="1" x14ac:dyDescent="0.25">
      <c r="A334" s="2">
        <v>30711738130</v>
      </c>
      <c r="B334" s="3" t="s">
        <v>368</v>
      </c>
      <c r="C334" s="1"/>
      <c r="D334" s="3"/>
    </row>
    <row r="335" spans="1:4" ht="15.75" customHeight="1" x14ac:dyDescent="0.25">
      <c r="A335" s="2">
        <v>30697770069</v>
      </c>
      <c r="B335" s="3" t="s">
        <v>369</v>
      </c>
      <c r="C335" s="1" t="s">
        <v>5</v>
      </c>
      <c r="D335" s="3"/>
    </row>
    <row r="336" spans="1:4" ht="15.75" customHeight="1" x14ac:dyDescent="0.25">
      <c r="A336" s="2">
        <v>33715678689</v>
      </c>
      <c r="B336" s="3" t="s">
        <v>370</v>
      </c>
      <c r="C336" s="1" t="s">
        <v>5</v>
      </c>
      <c r="D336" s="3"/>
    </row>
    <row r="337" spans="1:4" ht="15.75" customHeight="1" x14ac:dyDescent="0.25">
      <c r="A337" s="2">
        <v>30699010983</v>
      </c>
      <c r="B337" s="3" t="s">
        <v>371</v>
      </c>
      <c r="C337" s="1"/>
      <c r="D337" s="3"/>
    </row>
    <row r="338" spans="1:4" ht="15.75" customHeight="1" x14ac:dyDescent="0.25">
      <c r="A338" s="2">
        <v>30701498875</v>
      </c>
      <c r="B338" s="3" t="s">
        <v>372</v>
      </c>
      <c r="C338" s="1" t="s">
        <v>10</v>
      </c>
      <c r="D338" s="3"/>
    </row>
    <row r="339" spans="1:4" ht="15.75" customHeight="1" x14ac:dyDescent="0.25">
      <c r="A339" s="2">
        <v>30559807970</v>
      </c>
      <c r="B339" s="3" t="s">
        <v>373</v>
      </c>
      <c r="C339" s="1" t="s">
        <v>5</v>
      </c>
      <c r="D339" s="3"/>
    </row>
    <row r="340" spans="1:4" ht="15.75" customHeight="1" x14ac:dyDescent="0.25">
      <c r="A340" s="2">
        <v>30708214813</v>
      </c>
      <c r="B340" s="3" t="s">
        <v>374</v>
      </c>
      <c r="C340" s="1" t="s">
        <v>5</v>
      </c>
      <c r="D340" s="3"/>
    </row>
    <row r="341" spans="1:4" ht="15.75" customHeight="1" x14ac:dyDescent="0.25">
      <c r="A341" s="2">
        <v>30712187316</v>
      </c>
      <c r="B341" s="3" t="s">
        <v>375</v>
      </c>
      <c r="C341" s="1"/>
      <c r="D341" s="3"/>
    </row>
    <row r="342" spans="1:4" ht="15.75" customHeight="1" x14ac:dyDescent="0.25">
      <c r="A342" s="2">
        <v>30547076679</v>
      </c>
      <c r="B342" s="3" t="s">
        <v>376</v>
      </c>
      <c r="C342" s="1"/>
      <c r="D342" s="3"/>
    </row>
    <row r="343" spans="1:4" ht="15.75" customHeight="1" x14ac:dyDescent="0.25">
      <c r="A343" s="2">
        <v>30709267821</v>
      </c>
      <c r="B343" s="3" t="s">
        <v>377</v>
      </c>
      <c r="C343" s="1" t="s">
        <v>5</v>
      </c>
      <c r="D343" s="3"/>
    </row>
    <row r="344" spans="1:4" ht="15.75" customHeight="1" x14ac:dyDescent="0.25">
      <c r="A344" s="2">
        <v>30707249001</v>
      </c>
      <c r="B344" s="3" t="s">
        <v>378</v>
      </c>
      <c r="C344" s="1" t="s">
        <v>5</v>
      </c>
      <c r="D344" s="3"/>
    </row>
    <row r="345" spans="1:4" ht="15.75" customHeight="1" x14ac:dyDescent="0.25">
      <c r="A345" s="2">
        <v>30709273465</v>
      </c>
      <c r="B345" s="3" t="s">
        <v>379</v>
      </c>
      <c r="C345" s="1" t="s">
        <v>5</v>
      </c>
      <c r="D345" s="3"/>
    </row>
    <row r="346" spans="1:4" ht="15.75" customHeight="1" x14ac:dyDescent="0.25">
      <c r="A346" s="2">
        <v>30550095714</v>
      </c>
      <c r="B346" s="3" t="s">
        <v>379</v>
      </c>
      <c r="C346" s="1" t="s">
        <v>5</v>
      </c>
      <c r="D346" s="3"/>
    </row>
    <row r="347" spans="1:4" ht="15.75" customHeight="1" x14ac:dyDescent="0.25">
      <c r="A347" s="2">
        <v>30636074280</v>
      </c>
      <c r="B347" s="3" t="s">
        <v>380</v>
      </c>
      <c r="C347" s="1"/>
      <c r="D347" s="3"/>
    </row>
    <row r="348" spans="1:4" ht="15.75" customHeight="1" x14ac:dyDescent="0.25">
      <c r="A348" s="2">
        <v>30714306355</v>
      </c>
      <c r="B348" s="3" t="s">
        <v>381</v>
      </c>
      <c r="C348" s="1"/>
      <c r="D348" s="3"/>
    </row>
    <row r="349" spans="1:4" ht="15.75" customHeight="1" x14ac:dyDescent="0.25">
      <c r="A349" s="2">
        <v>30506357841</v>
      </c>
      <c r="B349" s="3" t="s">
        <v>382</v>
      </c>
      <c r="C349" s="1"/>
      <c r="D349" s="3"/>
    </row>
    <row r="350" spans="1:4" ht="15.75" customHeight="1" x14ac:dyDescent="0.25">
      <c r="A350" s="2">
        <v>24931553247</v>
      </c>
      <c r="B350" s="3" t="s">
        <v>383</v>
      </c>
      <c r="C350" s="1"/>
      <c r="D350" s="3"/>
    </row>
    <row r="351" spans="1:4" ht="15.75" customHeight="1" x14ac:dyDescent="0.25">
      <c r="A351" s="2">
        <v>33649669029</v>
      </c>
      <c r="B351" s="3" t="s">
        <v>384</v>
      </c>
      <c r="C351" s="1"/>
      <c r="D351" s="3"/>
    </row>
    <row r="352" spans="1:4" ht="15.75" customHeight="1" x14ac:dyDescent="0.25">
      <c r="A352" s="2">
        <v>20929018347</v>
      </c>
      <c r="B352" s="3" t="s">
        <v>385</v>
      </c>
      <c r="C352" s="1" t="s">
        <v>279</v>
      </c>
      <c r="D352" s="3"/>
    </row>
    <row r="353" spans="1:4" ht="15.75" customHeight="1" x14ac:dyDescent="0.25">
      <c r="A353" s="2">
        <v>20183380231</v>
      </c>
      <c r="B353" s="3" t="s">
        <v>386</v>
      </c>
      <c r="C353" s="1" t="s">
        <v>15</v>
      </c>
      <c r="D353" s="3"/>
    </row>
    <row r="354" spans="1:4" ht="15.75" customHeight="1" x14ac:dyDescent="0.25">
      <c r="A354" s="2">
        <v>20236755526</v>
      </c>
      <c r="B354" s="3" t="s">
        <v>387</v>
      </c>
      <c r="C354" s="1" t="s">
        <v>5</v>
      </c>
      <c r="D354" s="3"/>
    </row>
    <row r="355" spans="1:4" ht="15.75" customHeight="1" x14ac:dyDescent="0.25">
      <c r="A355" s="2">
        <v>20165471491</v>
      </c>
      <c r="B355" s="3" t="s">
        <v>388</v>
      </c>
      <c r="C355" s="1"/>
      <c r="D355" s="3"/>
    </row>
    <row r="356" spans="1:4" ht="15.75" customHeight="1" x14ac:dyDescent="0.25">
      <c r="A356" s="2">
        <v>30678264969</v>
      </c>
      <c r="B356" s="3" t="s">
        <v>389</v>
      </c>
      <c r="C356" s="1" t="s">
        <v>5</v>
      </c>
      <c r="D356" s="3"/>
    </row>
    <row r="357" spans="1:4" ht="15.75" customHeight="1" x14ac:dyDescent="0.25">
      <c r="A357" s="2">
        <v>30707682279</v>
      </c>
      <c r="B357" s="3" t="s">
        <v>390</v>
      </c>
      <c r="C357" s="1" t="s">
        <v>5</v>
      </c>
      <c r="D357" s="3"/>
    </row>
    <row r="358" spans="1:4" ht="15.75" customHeight="1" x14ac:dyDescent="0.25">
      <c r="A358" s="2">
        <v>30631965284</v>
      </c>
      <c r="B358" s="3" t="s">
        <v>391</v>
      </c>
      <c r="C358" s="1"/>
      <c r="D358" s="3"/>
    </row>
    <row r="359" spans="1:4" ht="15.75" customHeight="1" x14ac:dyDescent="0.25">
      <c r="A359" s="2">
        <v>30500805222</v>
      </c>
      <c r="B359" s="3" t="s">
        <v>392</v>
      </c>
      <c r="C359" s="1" t="s">
        <v>5</v>
      </c>
      <c r="D359" s="3"/>
    </row>
    <row r="360" spans="1:4" ht="15.75" customHeight="1" x14ac:dyDescent="0.25">
      <c r="A360" s="2">
        <v>33709050589</v>
      </c>
      <c r="B360" s="3" t="s">
        <v>393</v>
      </c>
      <c r="C360" s="1" t="s">
        <v>5</v>
      </c>
      <c r="D360" s="3"/>
    </row>
    <row r="361" spans="1:4" ht="15.75" customHeight="1" x14ac:dyDescent="0.25">
      <c r="A361" s="2">
        <v>23220104389</v>
      </c>
      <c r="B361" s="3" t="s">
        <v>394</v>
      </c>
      <c r="C361" s="1"/>
      <c r="D361" s="3"/>
    </row>
    <row r="362" spans="1:4" ht="15.75" customHeight="1" x14ac:dyDescent="0.25">
      <c r="A362" s="2">
        <v>30714185574</v>
      </c>
      <c r="B362" s="3" t="s">
        <v>395</v>
      </c>
      <c r="C362" s="1"/>
      <c r="D362" s="3"/>
    </row>
    <row r="363" spans="1:4" ht="15.75" customHeight="1" x14ac:dyDescent="0.25">
      <c r="A363" s="2">
        <v>30707918914</v>
      </c>
      <c r="B363" s="3" t="s">
        <v>396</v>
      </c>
      <c r="C363" s="1"/>
      <c r="D363" s="3"/>
    </row>
    <row r="364" spans="1:4" ht="15.75" customHeight="1" x14ac:dyDescent="0.25">
      <c r="A364" s="2">
        <v>33708853459</v>
      </c>
      <c r="B364" s="3" t="s">
        <v>397</v>
      </c>
      <c r="C364" s="1" t="s">
        <v>10</v>
      </c>
      <c r="D364" s="3"/>
    </row>
    <row r="365" spans="1:4" ht="15.75" customHeight="1" x14ac:dyDescent="0.25">
      <c r="A365" s="2">
        <v>33531122599</v>
      </c>
      <c r="B365" s="3" t="s">
        <v>398</v>
      </c>
      <c r="C365" s="1" t="s">
        <v>15</v>
      </c>
      <c r="D365" s="3"/>
    </row>
    <row r="366" spans="1:4" ht="15.75" customHeight="1" x14ac:dyDescent="0.25">
      <c r="A366" s="2">
        <v>30645614735</v>
      </c>
      <c r="B366" s="3" t="s">
        <v>399</v>
      </c>
      <c r="C366" s="1"/>
      <c r="D366" s="3"/>
    </row>
    <row r="367" spans="1:4" ht="15.75" customHeight="1" x14ac:dyDescent="0.25">
      <c r="A367" s="2">
        <v>30500051163</v>
      </c>
      <c r="B367" s="3" t="s">
        <v>400</v>
      </c>
      <c r="C367" s="1"/>
      <c r="D367" s="3"/>
    </row>
    <row r="368" spans="1:4" ht="15.75" customHeight="1" x14ac:dyDescent="0.25">
      <c r="A368" s="2">
        <v>30585254297</v>
      </c>
      <c r="B368" s="3" t="s">
        <v>401</v>
      </c>
      <c r="C368" s="1"/>
      <c r="D368" s="3"/>
    </row>
    <row r="369" spans="1:4" ht="15.75" customHeight="1" x14ac:dyDescent="0.25">
      <c r="A369" s="2">
        <v>20043924312</v>
      </c>
      <c r="B369" s="3" t="s">
        <v>402</v>
      </c>
      <c r="C369" s="1"/>
      <c r="D369" s="3"/>
    </row>
    <row r="370" spans="1:4" ht="15.75" customHeight="1" x14ac:dyDescent="0.25">
      <c r="A370" s="2">
        <v>20121778042</v>
      </c>
      <c r="B370" s="3" t="s">
        <v>403</v>
      </c>
      <c r="C370" s="1"/>
      <c r="D370" s="3"/>
    </row>
    <row r="371" spans="1:4" ht="15.75" customHeight="1" x14ac:dyDescent="0.25">
      <c r="A371" s="2">
        <v>27249631413</v>
      </c>
      <c r="B371" s="3" t="s">
        <v>404</v>
      </c>
      <c r="C371" s="1"/>
      <c r="D371" s="3"/>
    </row>
    <row r="372" spans="1:4" ht="15.75" customHeight="1" x14ac:dyDescent="0.25">
      <c r="A372" s="2">
        <v>30679107220</v>
      </c>
      <c r="B372" s="3" t="s">
        <v>405</v>
      </c>
      <c r="C372" s="1"/>
      <c r="D372" s="3"/>
    </row>
    <row r="373" spans="1:4" ht="15.75" customHeight="1" x14ac:dyDescent="0.25">
      <c r="A373" s="2">
        <v>30709153095</v>
      </c>
      <c r="B373" s="3" t="s">
        <v>406</v>
      </c>
      <c r="C373" s="1" t="s">
        <v>5</v>
      </c>
      <c r="D373" s="3"/>
    </row>
    <row r="374" spans="1:4" ht="15.75" customHeight="1" x14ac:dyDescent="0.25">
      <c r="A374" s="2">
        <v>30710374801</v>
      </c>
      <c r="B374" s="3" t="s">
        <v>407</v>
      </c>
      <c r="C374" s="1" t="s">
        <v>15</v>
      </c>
      <c r="D374" s="3"/>
    </row>
    <row r="375" spans="1:4" ht="15.75" customHeight="1" x14ac:dyDescent="0.25">
      <c r="A375" s="2">
        <v>30710386559</v>
      </c>
      <c r="B375" s="3" t="s">
        <v>408</v>
      </c>
      <c r="C375" s="1" t="s">
        <v>5</v>
      </c>
      <c r="D375" s="3"/>
    </row>
    <row r="376" spans="1:4" ht="15.75" customHeight="1" x14ac:dyDescent="0.25">
      <c r="A376" s="2">
        <v>3079881767</v>
      </c>
      <c r="B376" s="3" t="s">
        <v>409</v>
      </c>
      <c r="C376" s="1"/>
      <c r="D376" s="3"/>
    </row>
    <row r="377" spans="1:4" ht="15.75" customHeight="1" x14ac:dyDescent="0.25">
      <c r="A377" s="2">
        <v>20162031326</v>
      </c>
      <c r="B377" s="3" t="s">
        <v>410</v>
      </c>
      <c r="C377" s="1" t="s">
        <v>5</v>
      </c>
      <c r="D377" s="3"/>
    </row>
    <row r="378" spans="1:4" ht="15.75" customHeight="1" x14ac:dyDescent="0.25">
      <c r="A378" s="2">
        <v>20041802082</v>
      </c>
      <c r="B378" s="3" t="s">
        <v>411</v>
      </c>
      <c r="C378" s="1" t="s">
        <v>15</v>
      </c>
      <c r="D378" s="3"/>
    </row>
    <row r="379" spans="1:4" ht="15.75" customHeight="1" x14ac:dyDescent="0.25">
      <c r="A379" s="2">
        <v>23223377734</v>
      </c>
      <c r="B379" s="3" t="s">
        <v>412</v>
      </c>
      <c r="C379" s="1"/>
      <c r="D379" s="3"/>
    </row>
    <row r="380" spans="1:4" ht="15.75" customHeight="1" x14ac:dyDescent="0.25">
      <c r="A380" s="2">
        <v>30661041486</v>
      </c>
      <c r="B380" s="3" t="s">
        <v>413</v>
      </c>
      <c r="C380" s="1"/>
      <c r="D380" s="3"/>
    </row>
    <row r="381" spans="1:4" ht="15.75" customHeight="1" x14ac:dyDescent="0.25">
      <c r="A381" s="2">
        <v>30715723871</v>
      </c>
      <c r="B381" s="3" t="s">
        <v>414</v>
      </c>
      <c r="C381" s="1"/>
      <c r="D381" s="3"/>
    </row>
    <row r="382" spans="1:4" ht="15.75" customHeight="1" x14ac:dyDescent="0.25">
      <c r="A382" s="2">
        <v>20115545397</v>
      </c>
      <c r="B382" s="3" t="s">
        <v>415</v>
      </c>
      <c r="C382" s="1" t="s">
        <v>5</v>
      </c>
      <c r="D382" s="3"/>
    </row>
    <row r="383" spans="1:4" ht="15.75" customHeight="1" x14ac:dyDescent="0.25">
      <c r="A383" s="2">
        <v>30715148958</v>
      </c>
      <c r="B383" s="3" t="s">
        <v>416</v>
      </c>
      <c r="C383" s="1" t="s">
        <v>15</v>
      </c>
      <c r="D383" s="3"/>
    </row>
    <row r="384" spans="1:4" ht="15.75" customHeight="1" x14ac:dyDescent="0.25">
      <c r="A384" s="2">
        <v>30679067431</v>
      </c>
      <c r="B384" s="3" t="s">
        <v>417</v>
      </c>
      <c r="C384" s="1" t="s">
        <v>5</v>
      </c>
      <c r="D384" s="3"/>
    </row>
    <row r="385" spans="1:4" ht="15.75" customHeight="1" x14ac:dyDescent="0.25">
      <c r="A385" s="2">
        <v>20942259744</v>
      </c>
      <c r="B385" s="3" t="s">
        <v>418</v>
      </c>
      <c r="C385" s="1" t="s">
        <v>15</v>
      </c>
      <c r="D385" s="3"/>
    </row>
    <row r="386" spans="1:4" ht="15.75" customHeight="1" x14ac:dyDescent="0.25">
      <c r="A386" s="2">
        <v>20262808557</v>
      </c>
      <c r="B386" s="3" t="s">
        <v>419</v>
      </c>
      <c r="C386" s="1" t="s">
        <v>15</v>
      </c>
      <c r="D386" s="3"/>
    </row>
    <row r="387" spans="1:4" ht="15.75" customHeight="1" x14ac:dyDescent="0.25">
      <c r="A387" s="2">
        <v>27129657710</v>
      </c>
      <c r="B387" s="3" t="s">
        <v>420</v>
      </c>
      <c r="C387" s="1"/>
      <c r="D387" s="3"/>
    </row>
    <row r="388" spans="1:4" ht="15.75" customHeight="1" x14ac:dyDescent="0.25">
      <c r="A388" s="2">
        <v>30708326794</v>
      </c>
      <c r="B388" s="3" t="s">
        <v>421</v>
      </c>
      <c r="C388" s="1"/>
      <c r="D388" s="3"/>
    </row>
    <row r="389" spans="1:4" ht="15.75" customHeight="1" x14ac:dyDescent="0.25">
      <c r="A389" s="2">
        <v>30708035633</v>
      </c>
      <c r="B389" s="3" t="s">
        <v>422</v>
      </c>
      <c r="C389" s="1"/>
      <c r="D389" s="3"/>
    </row>
    <row r="390" spans="1:4" ht="15.75" customHeight="1" x14ac:dyDescent="0.25">
      <c r="A390" s="2">
        <v>30714647594</v>
      </c>
      <c r="B390" s="3" t="s">
        <v>423</v>
      </c>
      <c r="C390" s="1"/>
      <c r="D390" s="3"/>
    </row>
    <row r="391" spans="1:4" ht="15.75" customHeight="1" x14ac:dyDescent="0.25">
      <c r="A391" s="2">
        <v>30710265425</v>
      </c>
      <c r="B391" s="3" t="s">
        <v>424</v>
      </c>
      <c r="C391" s="1"/>
      <c r="D391" s="3"/>
    </row>
    <row r="392" spans="1:4" ht="15.75" customHeight="1" x14ac:dyDescent="0.25">
      <c r="A392" s="2">
        <v>30500833781</v>
      </c>
      <c r="B392" s="3" t="s">
        <v>425</v>
      </c>
      <c r="C392" s="1" t="s">
        <v>5</v>
      </c>
      <c r="D392" s="3"/>
    </row>
    <row r="393" spans="1:4" ht="15.75" customHeight="1" x14ac:dyDescent="0.25">
      <c r="A393" s="2">
        <v>27345827841</v>
      </c>
      <c r="B393" s="3" t="s">
        <v>426</v>
      </c>
      <c r="C393" s="1" t="s">
        <v>5</v>
      </c>
      <c r="D393" s="3"/>
    </row>
    <row r="394" spans="1:4" ht="15.75" customHeight="1" x14ac:dyDescent="0.25">
      <c r="A394" s="2">
        <v>20345836404</v>
      </c>
      <c r="B394" s="3" t="s">
        <v>427</v>
      </c>
      <c r="C394" s="1" t="s">
        <v>15</v>
      </c>
      <c r="D394" s="3"/>
    </row>
    <row r="395" spans="1:4" ht="15.75" customHeight="1" x14ac:dyDescent="0.25">
      <c r="A395" s="2">
        <v>20932821851</v>
      </c>
      <c r="B395" s="3" t="s">
        <v>428</v>
      </c>
      <c r="C395" s="1" t="s">
        <v>15</v>
      </c>
      <c r="D395" s="3"/>
    </row>
    <row r="396" spans="1:4" ht="15.75" customHeight="1" x14ac:dyDescent="0.25">
      <c r="A396" s="2">
        <v>23084885029</v>
      </c>
      <c r="B396" s="3" t="s">
        <v>429</v>
      </c>
      <c r="C396" s="1"/>
      <c r="D396" s="3"/>
    </row>
    <row r="397" spans="1:4" ht="15.75" customHeight="1" x14ac:dyDescent="0.25">
      <c r="A397" s="2">
        <v>30711561494</v>
      </c>
      <c r="B397" s="3" t="s">
        <v>430</v>
      </c>
      <c r="C397" s="1" t="s">
        <v>15</v>
      </c>
      <c r="D397" s="3"/>
    </row>
    <row r="398" spans="1:4" ht="15.75" customHeight="1" x14ac:dyDescent="0.25">
      <c r="A398" s="2">
        <v>30651861299</v>
      </c>
      <c r="B398" s="3" t="s">
        <v>431</v>
      </c>
      <c r="C398" s="1" t="s">
        <v>5</v>
      </c>
      <c r="D398" s="3"/>
    </row>
    <row r="399" spans="1:4" ht="15.75" customHeight="1" x14ac:dyDescent="0.25">
      <c r="A399" s="2">
        <v>30589621499</v>
      </c>
      <c r="B399" s="3" t="s">
        <v>432</v>
      </c>
      <c r="C399" s="1"/>
      <c r="D399" s="3"/>
    </row>
    <row r="400" spans="1:4" ht="15.75" customHeight="1" x14ac:dyDescent="0.25">
      <c r="A400" s="2">
        <v>20120338529</v>
      </c>
      <c r="B400" s="3" t="s">
        <v>433</v>
      </c>
      <c r="C400" s="1"/>
      <c r="D400" s="3"/>
    </row>
    <row r="401" spans="1:4" ht="15.75" customHeight="1" x14ac:dyDescent="0.25">
      <c r="A401" s="2">
        <v>20182873277</v>
      </c>
      <c r="B401" s="3" t="s">
        <v>434</v>
      </c>
      <c r="C401" s="1" t="s">
        <v>5</v>
      </c>
      <c r="D401" s="3"/>
    </row>
    <row r="402" spans="1:4" ht="15.75" customHeight="1" x14ac:dyDescent="0.25">
      <c r="A402" s="2">
        <v>20044258898</v>
      </c>
      <c r="B402" s="3" t="s">
        <v>435</v>
      </c>
      <c r="C402" s="1"/>
      <c r="D402" s="3"/>
    </row>
    <row r="403" spans="1:4" ht="15.75" customHeight="1" x14ac:dyDescent="0.25">
      <c r="A403" s="2">
        <v>27101420391</v>
      </c>
      <c r="B403" s="3" t="s">
        <v>436</v>
      </c>
      <c r="C403" s="1" t="s">
        <v>5</v>
      </c>
      <c r="D403" s="3"/>
    </row>
    <row r="404" spans="1:4" ht="15.75" customHeight="1" x14ac:dyDescent="0.25">
      <c r="A404" s="2">
        <v>27228778937</v>
      </c>
      <c r="B404" s="3" t="s">
        <v>437</v>
      </c>
      <c r="C404" s="1"/>
      <c r="D404" s="3"/>
    </row>
    <row r="405" spans="1:4" ht="15.75" customHeight="1" x14ac:dyDescent="0.25">
      <c r="A405" s="2">
        <v>20202134700</v>
      </c>
      <c r="B405" s="3" t="s">
        <v>438</v>
      </c>
      <c r="C405" s="1"/>
      <c r="D405" s="3"/>
    </row>
    <row r="406" spans="1:4" ht="15.75" customHeight="1" x14ac:dyDescent="0.25">
      <c r="A406" s="2">
        <v>20044447437</v>
      </c>
      <c r="B406" s="3" t="s">
        <v>439</v>
      </c>
      <c r="C406" s="1" t="s">
        <v>5</v>
      </c>
      <c r="D406" s="3"/>
    </row>
    <row r="407" spans="1:4" ht="15.75" customHeight="1" x14ac:dyDescent="0.25">
      <c r="A407" s="2">
        <v>30707963065</v>
      </c>
      <c r="B407" s="3" t="s">
        <v>440</v>
      </c>
      <c r="C407" s="1"/>
      <c r="D407" s="3"/>
    </row>
    <row r="408" spans="1:4" ht="15.75" customHeight="1" x14ac:dyDescent="0.25">
      <c r="A408" s="2">
        <v>30715009826</v>
      </c>
      <c r="B408" s="3" t="s">
        <v>441</v>
      </c>
      <c r="C408" s="1"/>
      <c r="D408" s="3"/>
    </row>
    <row r="409" spans="1:4" ht="15.75" customHeight="1" x14ac:dyDescent="0.25">
      <c r="A409" s="2">
        <v>30568557464</v>
      </c>
      <c r="B409" s="3" t="s">
        <v>442</v>
      </c>
      <c r="C409" s="1"/>
      <c r="D409" s="3"/>
    </row>
    <row r="410" spans="1:4" ht="15.75" customHeight="1" x14ac:dyDescent="0.25">
      <c r="A410" s="2">
        <v>20217165114</v>
      </c>
      <c r="B410" s="3" t="s">
        <v>443</v>
      </c>
      <c r="C410" s="1" t="s">
        <v>97</v>
      </c>
      <c r="D410" s="3"/>
    </row>
    <row r="411" spans="1:4" ht="15.75" customHeight="1" x14ac:dyDescent="0.25">
      <c r="A411" s="2">
        <v>23233422029</v>
      </c>
      <c r="B411" s="3" t="s">
        <v>444</v>
      </c>
      <c r="C411" s="1" t="s">
        <v>5</v>
      </c>
      <c r="D411" s="3"/>
    </row>
    <row r="412" spans="1:4" ht="15.75" customHeight="1" x14ac:dyDescent="0.25">
      <c r="A412" s="2">
        <v>30612865333</v>
      </c>
      <c r="B412" s="3" t="s">
        <v>445</v>
      </c>
      <c r="C412" s="1"/>
      <c r="D412" s="3"/>
    </row>
    <row r="413" spans="1:4" ht="15.75" customHeight="1" x14ac:dyDescent="0.25">
      <c r="A413" s="2">
        <v>30709982326</v>
      </c>
      <c r="B413" s="3" t="s">
        <v>446</v>
      </c>
      <c r="C413" s="1"/>
      <c r="D413" s="3"/>
    </row>
    <row r="414" spans="1:4" ht="15.75" customHeight="1" x14ac:dyDescent="0.25">
      <c r="A414" s="2">
        <v>30707518541</v>
      </c>
      <c r="B414" s="3" t="s">
        <v>447</v>
      </c>
      <c r="C414" s="1"/>
      <c r="D414" s="3"/>
    </row>
    <row r="415" spans="1:4" ht="15.75" customHeight="1" x14ac:dyDescent="0.25">
      <c r="A415" s="2">
        <v>30711731217</v>
      </c>
      <c r="B415" s="3" t="s">
        <v>448</v>
      </c>
      <c r="C415" s="1" t="s">
        <v>449</v>
      </c>
      <c r="D415" s="3"/>
    </row>
    <row r="416" spans="1:4" ht="15.75" customHeight="1" x14ac:dyDescent="0.25">
      <c r="A416" s="2">
        <v>20131581298</v>
      </c>
      <c r="B416" s="3" t="s">
        <v>450</v>
      </c>
      <c r="C416" s="1" t="s">
        <v>15</v>
      </c>
      <c r="D416" s="3"/>
    </row>
    <row r="417" spans="1:4" ht="15.75" customHeight="1" x14ac:dyDescent="0.25">
      <c r="A417" s="2">
        <v>30715672290</v>
      </c>
      <c r="B417" s="3" t="s">
        <v>451</v>
      </c>
      <c r="C417" s="1" t="s">
        <v>5</v>
      </c>
      <c r="D417" s="3"/>
    </row>
    <row r="418" spans="1:4" ht="15.75" customHeight="1" x14ac:dyDescent="0.25">
      <c r="A418" s="2">
        <v>30707042679</v>
      </c>
      <c r="B418" s="3" t="s">
        <v>452</v>
      </c>
      <c r="C418" s="1" t="s">
        <v>5</v>
      </c>
      <c r="D418" s="3"/>
    </row>
    <row r="419" spans="1:4" ht="15.75" customHeight="1" x14ac:dyDescent="0.25">
      <c r="A419" s="2">
        <v>30546771314</v>
      </c>
      <c r="B419" s="3" t="s">
        <v>453</v>
      </c>
      <c r="C419" s="1"/>
      <c r="D419" s="3"/>
    </row>
    <row r="420" spans="1:4" ht="15.75" customHeight="1" x14ac:dyDescent="0.25">
      <c r="A420" s="2">
        <v>20229907523</v>
      </c>
      <c r="B420" s="3" t="s">
        <v>454</v>
      </c>
      <c r="C420" s="1"/>
      <c r="D420" s="3"/>
    </row>
    <row r="421" spans="1:4" ht="15.75" customHeight="1" x14ac:dyDescent="0.25">
      <c r="A421" s="2">
        <v>30714352535</v>
      </c>
      <c r="B421" s="3" t="s">
        <v>455</v>
      </c>
      <c r="C421" s="1"/>
      <c r="D421" s="3"/>
    </row>
    <row r="422" spans="1:4" ht="15.75" customHeight="1" x14ac:dyDescent="0.25">
      <c r="A422" s="2">
        <v>30709319929</v>
      </c>
      <c r="B422" s="3" t="s">
        <v>456</v>
      </c>
      <c r="C422" s="1"/>
      <c r="D422" s="3"/>
    </row>
    <row r="423" spans="1:4" ht="15.75" customHeight="1" x14ac:dyDescent="0.25">
      <c r="A423" s="2">
        <v>20077901370</v>
      </c>
      <c r="B423" s="3" t="s">
        <v>457</v>
      </c>
      <c r="C423" s="1" t="s">
        <v>5</v>
      </c>
      <c r="D423" s="3"/>
    </row>
    <row r="424" spans="1:4" ht="15.75" customHeight="1" x14ac:dyDescent="0.25">
      <c r="A424" s="2">
        <v>30712800700</v>
      </c>
      <c r="B424" s="3" t="s">
        <v>458</v>
      </c>
      <c r="C424" s="1"/>
      <c r="D424" s="3"/>
    </row>
    <row r="425" spans="1:4" ht="15.75" customHeight="1" x14ac:dyDescent="0.25">
      <c r="A425" s="2">
        <v>30715686054</v>
      </c>
      <c r="B425" s="3" t="s">
        <v>459</v>
      </c>
      <c r="C425" s="1"/>
      <c r="D425" s="3"/>
    </row>
    <row r="426" spans="1:4" ht="15.75" customHeight="1" x14ac:dyDescent="0.25">
      <c r="A426" s="2">
        <v>30710816049</v>
      </c>
      <c r="B426" s="3" t="s">
        <v>460</v>
      </c>
      <c r="C426" s="1" t="s">
        <v>5</v>
      </c>
      <c r="D426" s="3"/>
    </row>
    <row r="427" spans="1:4" ht="15.75" customHeight="1" x14ac:dyDescent="0.25">
      <c r="A427" s="2">
        <v>27119872311</v>
      </c>
      <c r="B427" s="3" t="s">
        <v>461</v>
      </c>
      <c r="C427" s="1"/>
      <c r="D427" s="3"/>
    </row>
    <row r="428" spans="1:4" ht="15.75" customHeight="1" x14ac:dyDescent="0.25">
      <c r="A428" s="2">
        <v>27144787019</v>
      </c>
      <c r="B428" s="3" t="s">
        <v>462</v>
      </c>
      <c r="C428" s="1"/>
      <c r="D428" s="3"/>
    </row>
    <row r="429" spans="1:4" ht="15.75" customHeight="1" x14ac:dyDescent="0.25">
      <c r="A429" s="2">
        <v>20117741398</v>
      </c>
      <c r="B429" s="3" t="s">
        <v>463</v>
      </c>
      <c r="C429" s="1"/>
      <c r="D429" s="3"/>
    </row>
    <row r="430" spans="1:4" ht="15.75" customHeight="1" x14ac:dyDescent="0.25">
      <c r="A430" s="2">
        <v>30707661492</v>
      </c>
      <c r="B430" s="3" t="s">
        <v>464</v>
      </c>
      <c r="C430" s="1"/>
      <c r="D430" s="3"/>
    </row>
    <row r="431" spans="1:4" ht="15.75" customHeight="1" x14ac:dyDescent="0.25">
      <c r="A431" s="2">
        <v>30703088534</v>
      </c>
      <c r="B431" s="3" t="s">
        <v>465</v>
      </c>
      <c r="C431" s="1" t="s">
        <v>466</v>
      </c>
      <c r="D431" s="3"/>
    </row>
    <row r="432" spans="1:4" ht="15.75" customHeight="1" x14ac:dyDescent="0.25">
      <c r="A432" s="2">
        <v>30679139122</v>
      </c>
      <c r="B432" s="3" t="s">
        <v>467</v>
      </c>
      <c r="C432" s="1" t="s">
        <v>5</v>
      </c>
      <c r="D432" s="3"/>
    </row>
    <row r="433" spans="1:4" ht="15.75" customHeight="1" x14ac:dyDescent="0.25">
      <c r="A433" s="2">
        <v>30549180783</v>
      </c>
      <c r="B433" s="3" t="s">
        <v>468</v>
      </c>
      <c r="C433" s="1"/>
      <c r="D433" s="3"/>
    </row>
    <row r="434" spans="1:4" ht="15.75" customHeight="1" x14ac:dyDescent="0.25">
      <c r="A434" s="2">
        <v>30520045798</v>
      </c>
      <c r="B434" s="3" t="s">
        <v>469</v>
      </c>
      <c r="C434" s="1"/>
      <c r="D434" s="3"/>
    </row>
    <row r="435" spans="1:4" ht="15.75" customHeight="1" x14ac:dyDescent="0.25">
      <c r="A435" s="2">
        <v>30709016012</v>
      </c>
      <c r="B435" s="3" t="s">
        <v>470</v>
      </c>
      <c r="C435" s="1"/>
      <c r="D435" s="3"/>
    </row>
    <row r="436" spans="1:4" ht="15.75" customHeight="1" x14ac:dyDescent="0.25">
      <c r="A436" s="2">
        <v>30708469986</v>
      </c>
      <c r="B436" s="3" t="s">
        <v>471</v>
      </c>
      <c r="C436" s="1" t="s">
        <v>5</v>
      </c>
      <c r="D436" s="3"/>
    </row>
    <row r="437" spans="1:4" ht="15.75" customHeight="1" x14ac:dyDescent="0.25">
      <c r="A437" s="2">
        <v>20171635285</v>
      </c>
      <c r="B437" s="3" t="s">
        <v>472</v>
      </c>
      <c r="C437" s="1"/>
      <c r="D437" s="3"/>
    </row>
    <row r="438" spans="1:4" ht="15.75" customHeight="1" x14ac:dyDescent="0.25">
      <c r="A438" s="2">
        <v>30517306866</v>
      </c>
      <c r="B438" s="3" t="s">
        <v>473</v>
      </c>
      <c r="C438" s="1" t="s">
        <v>7</v>
      </c>
      <c r="D438" s="3"/>
    </row>
    <row r="439" spans="1:4" ht="15.75" customHeight="1" x14ac:dyDescent="0.25">
      <c r="A439" s="2">
        <v>27101205733</v>
      </c>
      <c r="B439" s="3" t="s">
        <v>474</v>
      </c>
      <c r="C439" s="1" t="s">
        <v>15</v>
      </c>
      <c r="D439" s="3"/>
    </row>
    <row r="440" spans="1:4" ht="15.75" customHeight="1" x14ac:dyDescent="0.25">
      <c r="A440" s="2">
        <v>30685116657</v>
      </c>
      <c r="B440" s="3" t="s">
        <v>475</v>
      </c>
      <c r="C440" s="1" t="s">
        <v>97</v>
      </c>
      <c r="D440" s="3"/>
    </row>
    <row r="441" spans="1:4" ht="15.75" customHeight="1" x14ac:dyDescent="0.25">
      <c r="A441" s="2">
        <v>30715772783</v>
      </c>
      <c r="B441" s="3" t="s">
        <v>476</v>
      </c>
      <c r="C441" s="1" t="s">
        <v>5</v>
      </c>
      <c r="D441" s="3"/>
    </row>
    <row r="442" spans="1:4" ht="15.75" customHeight="1" x14ac:dyDescent="0.25">
      <c r="A442" s="2">
        <v>20120766598</v>
      </c>
      <c r="B442" s="3" t="s">
        <v>477</v>
      </c>
      <c r="C442" s="1"/>
      <c r="D442" s="3"/>
    </row>
    <row r="443" spans="1:4" ht="15.75" customHeight="1" x14ac:dyDescent="0.25">
      <c r="A443" s="2">
        <v>20269013746</v>
      </c>
      <c r="B443" s="3" t="s">
        <v>478</v>
      </c>
      <c r="C443" s="1" t="s">
        <v>5</v>
      </c>
      <c r="D443" s="3"/>
    </row>
    <row r="444" spans="1:4" ht="15.75" customHeight="1" x14ac:dyDescent="0.25">
      <c r="A444" s="2">
        <v>20291935401</v>
      </c>
      <c r="B444" s="3" t="s">
        <v>479</v>
      </c>
      <c r="C444" s="1" t="s">
        <v>5</v>
      </c>
      <c r="D444" s="3"/>
    </row>
    <row r="445" spans="1:4" ht="15.75" customHeight="1" x14ac:dyDescent="0.25">
      <c r="A445" s="2">
        <v>30500858628</v>
      </c>
      <c r="B445" s="3" t="s">
        <v>480</v>
      </c>
      <c r="C445" s="1"/>
      <c r="D445" s="3"/>
    </row>
    <row r="446" spans="1:4" ht="15.75" customHeight="1" x14ac:dyDescent="0.25">
      <c r="A446" s="2">
        <v>30709676926</v>
      </c>
      <c r="B446" s="3" t="s">
        <v>481</v>
      </c>
      <c r="C446" s="1" t="s">
        <v>10</v>
      </c>
      <c r="D446" s="3"/>
    </row>
    <row r="447" spans="1:4" ht="15.75" customHeight="1" x14ac:dyDescent="0.25">
      <c r="A447" s="2">
        <v>20081262897</v>
      </c>
      <c r="B447" s="3" t="s">
        <v>482</v>
      </c>
      <c r="C447" s="1" t="s">
        <v>5</v>
      </c>
      <c r="D447" s="3"/>
    </row>
    <row r="448" spans="1:4" ht="15.75" customHeight="1" x14ac:dyDescent="0.25">
      <c r="A448" s="2">
        <v>30708608994</v>
      </c>
      <c r="B448" s="3" t="s">
        <v>483</v>
      </c>
      <c r="C448" s="1"/>
      <c r="D448" s="3"/>
    </row>
    <row r="449" spans="1:4" ht="15.75" customHeight="1" x14ac:dyDescent="0.25">
      <c r="A449" s="2">
        <v>30713713909</v>
      </c>
      <c r="B449" s="3" t="s">
        <v>484</v>
      </c>
      <c r="C449" s="1"/>
      <c r="D449" s="3"/>
    </row>
    <row r="450" spans="1:4" ht="15.75" customHeight="1" x14ac:dyDescent="0.25">
      <c r="A450" s="2">
        <v>30632563856</v>
      </c>
      <c r="B450" s="3" t="s">
        <v>485</v>
      </c>
      <c r="C450" s="1"/>
      <c r="D450" s="3"/>
    </row>
    <row r="451" spans="1:4" ht="15.75" customHeight="1" x14ac:dyDescent="0.25">
      <c r="A451" s="2">
        <v>30557676798</v>
      </c>
      <c r="B451" s="3" t="s">
        <v>486</v>
      </c>
      <c r="C451" s="1"/>
      <c r="D451" s="3"/>
    </row>
    <row r="452" spans="1:4" ht="15.75" customHeight="1" x14ac:dyDescent="0.25">
      <c r="A452" s="2">
        <v>30573785742</v>
      </c>
      <c r="B452" s="3" t="s">
        <v>487</v>
      </c>
      <c r="C452" s="1"/>
      <c r="D452" s="3"/>
    </row>
    <row r="453" spans="1:4" ht="15.75" customHeight="1" x14ac:dyDescent="0.25">
      <c r="A453" s="2">
        <v>33608724279</v>
      </c>
      <c r="B453" s="3" t="s">
        <v>488</v>
      </c>
      <c r="C453" s="1" t="s">
        <v>97</v>
      </c>
      <c r="D453" s="3"/>
    </row>
    <row r="454" spans="1:4" ht="15.75" customHeight="1" x14ac:dyDescent="0.25">
      <c r="A454" s="2">
        <v>30707983732</v>
      </c>
      <c r="B454" s="3" t="s">
        <v>489</v>
      </c>
      <c r="C454" s="1" t="s">
        <v>97</v>
      </c>
      <c r="D454" s="3"/>
    </row>
    <row r="455" spans="1:4" ht="15.75" customHeight="1" x14ac:dyDescent="0.25">
      <c r="A455" s="2">
        <v>27209563113</v>
      </c>
      <c r="B455" s="3" t="s">
        <v>490</v>
      </c>
      <c r="C455" s="1"/>
      <c r="D455" s="3"/>
    </row>
    <row r="456" spans="1:4" ht="15.75" customHeight="1" x14ac:dyDescent="0.25">
      <c r="A456" s="2">
        <v>30713979704</v>
      </c>
      <c r="B456" s="3" t="s">
        <v>491</v>
      </c>
      <c r="C456" s="1" t="s">
        <v>5</v>
      </c>
      <c r="D456" s="3"/>
    </row>
    <row r="457" spans="1:4" ht="15.75" customHeight="1" x14ac:dyDescent="0.25">
      <c r="A457" s="2">
        <v>20181837617</v>
      </c>
      <c r="B457" s="3" t="s">
        <v>492</v>
      </c>
      <c r="C457" s="1"/>
      <c r="D457" s="3"/>
    </row>
    <row r="458" spans="1:4" ht="15.75" customHeight="1" x14ac:dyDescent="0.25">
      <c r="A458" s="2">
        <v>30652010489</v>
      </c>
      <c r="B458" s="3" t="s">
        <v>493</v>
      </c>
      <c r="C458" s="1" t="s">
        <v>15</v>
      </c>
      <c r="D458" s="3"/>
    </row>
    <row r="459" spans="1:4" ht="15.75" customHeight="1" x14ac:dyDescent="0.25">
      <c r="A459" s="2">
        <v>27259489976</v>
      </c>
      <c r="B459" s="3" t="s">
        <v>494</v>
      </c>
      <c r="C459" s="1"/>
      <c r="D459" s="3"/>
    </row>
    <row r="460" spans="1:4" ht="15.75" customHeight="1" x14ac:dyDescent="0.25">
      <c r="A460" s="2">
        <v>30598946694</v>
      </c>
      <c r="B460" s="3" t="s">
        <v>495</v>
      </c>
      <c r="C460" s="1" t="s">
        <v>5</v>
      </c>
      <c r="D460" s="3"/>
    </row>
    <row r="461" spans="1:4" ht="15.75" customHeight="1" x14ac:dyDescent="0.25">
      <c r="A461" s="2">
        <v>30546764040</v>
      </c>
      <c r="B461" s="3" t="s">
        <v>496</v>
      </c>
      <c r="C461" s="1" t="s">
        <v>632</v>
      </c>
      <c r="D461" s="3"/>
    </row>
    <row r="462" spans="1:4" ht="15.75" customHeight="1" x14ac:dyDescent="0.25">
      <c r="A462" s="2">
        <v>20232991527</v>
      </c>
      <c r="B462" s="3" t="s">
        <v>497</v>
      </c>
      <c r="C462" s="1" t="s">
        <v>5</v>
      </c>
      <c r="D462" s="3"/>
    </row>
    <row r="463" spans="1:4" ht="15.75" customHeight="1" x14ac:dyDescent="0.25">
      <c r="A463" s="2">
        <v>30709822116</v>
      </c>
      <c r="B463" s="3" t="s">
        <v>498</v>
      </c>
      <c r="C463" s="1"/>
      <c r="D463" s="3"/>
    </row>
    <row r="464" spans="1:4" ht="15.75" customHeight="1" x14ac:dyDescent="0.25">
      <c r="A464" s="2">
        <v>20251270202</v>
      </c>
      <c r="B464" s="3" t="s">
        <v>499</v>
      </c>
      <c r="C464" s="1"/>
      <c r="D464" s="3"/>
    </row>
    <row r="465" spans="1:4" ht="15.75" customHeight="1" x14ac:dyDescent="0.25">
      <c r="A465" s="2">
        <v>20298653541</v>
      </c>
      <c r="B465" s="3" t="s">
        <v>500</v>
      </c>
      <c r="C465" s="1"/>
      <c r="D465" s="3"/>
    </row>
    <row r="466" spans="1:4" ht="15.75" customHeight="1" x14ac:dyDescent="0.25">
      <c r="A466" s="2">
        <v>20171082464</v>
      </c>
      <c r="B466" s="3" t="s">
        <v>501</v>
      </c>
      <c r="C466" s="1" t="s">
        <v>15</v>
      </c>
      <c r="D466" s="3"/>
    </row>
    <row r="467" spans="1:4" ht="15.75" customHeight="1" x14ac:dyDescent="0.25">
      <c r="A467" s="2">
        <v>23147243669</v>
      </c>
      <c r="B467" s="3" t="s">
        <v>502</v>
      </c>
      <c r="C467" s="1"/>
      <c r="D467" s="3"/>
    </row>
    <row r="468" spans="1:4" ht="15.75" customHeight="1" x14ac:dyDescent="0.25">
      <c r="A468" s="2">
        <v>30686222086</v>
      </c>
      <c r="B468" s="3" t="s">
        <v>503</v>
      </c>
      <c r="C468" s="1"/>
      <c r="D468" s="3"/>
    </row>
    <row r="469" spans="1:4" ht="15.75" customHeight="1" x14ac:dyDescent="0.25">
      <c r="A469" s="2">
        <v>30715564749</v>
      </c>
      <c r="B469" s="3" t="s">
        <v>504</v>
      </c>
      <c r="C469" s="1" t="s">
        <v>5</v>
      </c>
      <c r="D469" s="3"/>
    </row>
    <row r="470" spans="1:4" ht="15.75" customHeight="1" x14ac:dyDescent="0.25">
      <c r="A470" s="2">
        <v>30625911334</v>
      </c>
      <c r="B470" s="3" t="s">
        <v>505</v>
      </c>
      <c r="C470" s="1" t="s">
        <v>5</v>
      </c>
      <c r="D470" s="3"/>
    </row>
    <row r="471" spans="1:4" ht="15.75" customHeight="1" x14ac:dyDescent="0.25">
      <c r="A471" s="2">
        <v>30685437011</v>
      </c>
      <c r="B471" s="3" t="s">
        <v>506</v>
      </c>
      <c r="C471" s="1"/>
      <c r="D471" s="3"/>
    </row>
    <row r="472" spans="1:4" ht="15.75" customHeight="1" x14ac:dyDescent="0.25">
      <c r="A472" s="2">
        <v>30709318965</v>
      </c>
      <c r="B472" s="3" t="s">
        <v>507</v>
      </c>
      <c r="C472" s="1"/>
      <c r="D472" s="3"/>
    </row>
    <row r="473" spans="1:4" ht="15.75" customHeight="1" x14ac:dyDescent="0.25">
      <c r="A473" s="2">
        <v>30714113395</v>
      </c>
      <c r="B473" s="3" t="s">
        <v>508</v>
      </c>
      <c r="C473" s="1"/>
      <c r="D473" s="3"/>
    </row>
    <row r="474" spans="1:4" ht="15.75" customHeight="1" x14ac:dyDescent="0.25">
      <c r="A474" s="2">
        <v>30715263676</v>
      </c>
      <c r="B474" s="3" t="s">
        <v>509</v>
      </c>
      <c r="C474" s="1"/>
      <c r="D474" s="3"/>
    </row>
    <row r="475" spans="1:4" ht="15.75" customHeight="1" x14ac:dyDescent="0.25">
      <c r="A475" s="2">
        <v>30702652975</v>
      </c>
      <c r="B475" s="3" t="s">
        <v>510</v>
      </c>
      <c r="C475" s="1" t="s">
        <v>17</v>
      </c>
      <c r="D475" s="3"/>
    </row>
    <row r="476" spans="1:4" ht="15.75" customHeight="1" x14ac:dyDescent="0.25">
      <c r="A476" s="2">
        <v>30714187658</v>
      </c>
      <c r="B476" s="3" t="s">
        <v>511</v>
      </c>
      <c r="C476" s="1" t="s">
        <v>5</v>
      </c>
      <c r="D476" s="3"/>
    </row>
    <row r="477" spans="1:4" ht="15.75" customHeight="1" x14ac:dyDescent="0.25">
      <c r="A477" s="2">
        <v>30707215689</v>
      </c>
      <c r="B477" s="3" t="s">
        <v>512</v>
      </c>
      <c r="C477" s="1" t="s">
        <v>449</v>
      </c>
      <c r="D477" s="3"/>
    </row>
    <row r="478" spans="1:4" ht="15.75" customHeight="1" x14ac:dyDescent="0.25">
      <c r="A478" s="2">
        <v>30504854023</v>
      </c>
      <c r="B478" s="3" t="s">
        <v>513</v>
      </c>
      <c r="C478" s="1" t="s">
        <v>5</v>
      </c>
      <c r="D478" s="3"/>
    </row>
    <row r="479" spans="1:4" ht="15.75" customHeight="1" x14ac:dyDescent="0.25">
      <c r="A479" s="2">
        <v>30500053522</v>
      </c>
      <c r="B479" s="3" t="s">
        <v>514</v>
      </c>
      <c r="C479" s="1"/>
      <c r="D479" s="3"/>
    </row>
    <row r="480" spans="1:4" ht="15.75" customHeight="1" x14ac:dyDescent="0.25">
      <c r="A480" s="2">
        <v>30658137642</v>
      </c>
      <c r="B480" s="3" t="s">
        <v>515</v>
      </c>
      <c r="C480" s="1"/>
      <c r="D480" s="3"/>
    </row>
    <row r="481" spans="1:4" ht="15.75" customHeight="1" x14ac:dyDescent="0.25">
      <c r="A481" s="2">
        <v>33600011869</v>
      </c>
      <c r="B481" s="3" t="s">
        <v>516</v>
      </c>
      <c r="C481" s="1"/>
      <c r="D481" s="3"/>
    </row>
    <row r="482" spans="1:4" ht="15.75" customHeight="1" x14ac:dyDescent="0.25">
      <c r="A482" s="2">
        <v>30609521941</v>
      </c>
      <c r="B482" s="3" t="s">
        <v>517</v>
      </c>
      <c r="C482" s="1"/>
      <c r="D482" s="3"/>
    </row>
    <row r="483" spans="1:4" ht="15.75" customHeight="1" x14ac:dyDescent="0.25">
      <c r="A483" s="2">
        <v>30590412631</v>
      </c>
      <c r="B483" s="3" t="s">
        <v>518</v>
      </c>
      <c r="C483" s="1"/>
      <c r="D483" s="3"/>
    </row>
    <row r="484" spans="1:4" ht="15.75" customHeight="1" x14ac:dyDescent="0.25">
      <c r="A484" s="2">
        <v>30585412453</v>
      </c>
      <c r="B484" s="3" t="s">
        <v>519</v>
      </c>
      <c r="C484" s="1"/>
      <c r="D484" s="3"/>
    </row>
    <row r="485" spans="1:4" ht="15.75" customHeight="1" x14ac:dyDescent="0.25">
      <c r="A485" s="2">
        <v>30546846217</v>
      </c>
      <c r="B485" s="3" t="s">
        <v>520</v>
      </c>
      <c r="C485" s="1"/>
      <c r="D485" s="3"/>
    </row>
    <row r="486" spans="1:4" ht="15.75" customHeight="1" x14ac:dyDescent="0.25">
      <c r="A486" s="2">
        <v>30714911976</v>
      </c>
      <c r="B486" s="3" t="s">
        <v>521</v>
      </c>
      <c r="C486" s="1" t="s">
        <v>5</v>
      </c>
      <c r="D486" s="3"/>
    </row>
    <row r="487" spans="1:4" ht="15.75" customHeight="1" x14ac:dyDescent="0.25">
      <c r="A487" s="2">
        <v>20177474844</v>
      </c>
      <c r="B487" s="3" t="s">
        <v>522</v>
      </c>
      <c r="C487" s="1"/>
      <c r="D487" s="3"/>
    </row>
    <row r="488" spans="1:4" ht="15.75" customHeight="1" x14ac:dyDescent="0.25">
      <c r="A488" s="2">
        <v>30708387114</v>
      </c>
      <c r="B488" s="3" t="s">
        <v>523</v>
      </c>
      <c r="C488" s="1" t="s">
        <v>5</v>
      </c>
      <c r="D488" s="3"/>
    </row>
    <row r="489" spans="1:4" ht="15.75" customHeight="1" x14ac:dyDescent="0.25">
      <c r="A489" s="2">
        <v>30709059471</v>
      </c>
      <c r="B489" s="3" t="s">
        <v>524</v>
      </c>
      <c r="C489" s="1" t="s">
        <v>5</v>
      </c>
      <c r="D489" s="3"/>
    </row>
    <row r="490" spans="1:4" ht="15.75" customHeight="1" x14ac:dyDescent="0.25">
      <c r="A490" s="2">
        <v>30702843576</v>
      </c>
      <c r="B490" s="3" t="s">
        <v>525</v>
      </c>
      <c r="C490" s="1" t="s">
        <v>5</v>
      </c>
      <c r="D490" s="3"/>
    </row>
    <row r="491" spans="1:4" ht="15.75" customHeight="1" x14ac:dyDescent="0.25">
      <c r="A491" s="2">
        <v>30707092781</v>
      </c>
      <c r="B491" s="3" t="s">
        <v>526</v>
      </c>
      <c r="C491" s="1" t="s">
        <v>15</v>
      </c>
      <c r="D491" s="3"/>
    </row>
    <row r="492" spans="1:4" ht="15.75" customHeight="1" x14ac:dyDescent="0.25">
      <c r="A492" s="2">
        <v>27937907473</v>
      </c>
      <c r="B492" s="3" t="s">
        <v>527</v>
      </c>
      <c r="C492" s="1" t="s">
        <v>15</v>
      </c>
      <c r="D492" s="3"/>
    </row>
    <row r="493" spans="1:4" ht="15.75" customHeight="1" x14ac:dyDescent="0.25">
      <c r="A493" s="2">
        <v>30603810550</v>
      </c>
      <c r="B493" s="3" t="s">
        <v>528</v>
      </c>
      <c r="C493" s="1" t="s">
        <v>15</v>
      </c>
      <c r="D493" s="3"/>
    </row>
    <row r="494" spans="1:4" ht="15.75" customHeight="1" x14ac:dyDescent="0.25">
      <c r="A494" s="2">
        <v>30712341803</v>
      </c>
      <c r="B494" s="3" t="s">
        <v>529</v>
      </c>
      <c r="C494" s="1"/>
      <c r="D494" s="3"/>
    </row>
    <row r="495" spans="1:4" ht="15.75" customHeight="1" x14ac:dyDescent="0.25">
      <c r="A495" s="2">
        <v>30550245309</v>
      </c>
      <c r="B495" s="3" t="s">
        <v>530</v>
      </c>
      <c r="C495" s="1"/>
      <c r="D495" s="3"/>
    </row>
    <row r="496" spans="1:4" ht="15.75" customHeight="1" x14ac:dyDescent="0.25">
      <c r="A496" s="2">
        <v>30655042772</v>
      </c>
      <c r="B496" s="3" t="s">
        <v>531</v>
      </c>
      <c r="C496" s="1"/>
      <c r="D496" s="3"/>
    </row>
    <row r="497" spans="1:4" ht="15.75" customHeight="1" x14ac:dyDescent="0.25">
      <c r="A497" s="2">
        <v>30678774495</v>
      </c>
      <c r="B497" s="3" t="s">
        <v>532</v>
      </c>
      <c r="C497" s="1" t="s">
        <v>97</v>
      </c>
      <c r="D497" s="3"/>
    </row>
    <row r="498" spans="1:4" ht="15.75" customHeight="1" x14ac:dyDescent="0.25">
      <c r="A498" s="2">
        <v>30611371213</v>
      </c>
      <c r="B498" s="3" t="s">
        <v>533</v>
      </c>
      <c r="C498" s="1" t="s">
        <v>5</v>
      </c>
      <c r="D498" s="3"/>
    </row>
    <row r="499" spans="1:4" ht="15.75" customHeight="1" x14ac:dyDescent="0.25">
      <c r="A499" s="2">
        <v>30500597557</v>
      </c>
      <c r="B499" s="3" t="s">
        <v>533</v>
      </c>
      <c r="C499" s="1" t="s">
        <v>5</v>
      </c>
      <c r="D499" s="3"/>
    </row>
    <row r="500" spans="1:4" ht="15.75" customHeight="1" x14ac:dyDescent="0.25">
      <c r="A500" s="2">
        <v>30536259194</v>
      </c>
      <c r="B500" s="3" t="s">
        <v>534</v>
      </c>
      <c r="C500" s="1"/>
      <c r="D500" s="3"/>
    </row>
    <row r="501" spans="1:4" ht="15.75" customHeight="1" x14ac:dyDescent="0.25">
      <c r="A501" s="2">
        <v>30688264711</v>
      </c>
      <c r="B501" s="3" t="s">
        <v>535</v>
      </c>
      <c r="C501" s="1"/>
      <c r="D501" s="3"/>
    </row>
    <row r="502" spans="1:4" ht="15.75" customHeight="1" x14ac:dyDescent="0.25">
      <c r="A502" s="2">
        <v>30661498575</v>
      </c>
      <c r="B502" s="3" t="s">
        <v>536</v>
      </c>
      <c r="C502" s="1" t="s">
        <v>5</v>
      </c>
      <c r="D502" s="3"/>
    </row>
    <row r="503" spans="1:4" ht="15.75" customHeight="1" x14ac:dyDescent="0.25">
      <c r="A503" s="2">
        <v>33709738459</v>
      </c>
      <c r="B503" s="3" t="s">
        <v>537</v>
      </c>
      <c r="C503" s="1" t="s">
        <v>5</v>
      </c>
      <c r="D503" s="3"/>
    </row>
    <row r="504" spans="1:4" ht="15.75" customHeight="1" x14ac:dyDescent="0.25">
      <c r="A504" s="2">
        <v>30696246234</v>
      </c>
      <c r="B504" s="3" t="s">
        <v>538</v>
      </c>
      <c r="C504" s="1" t="s">
        <v>5</v>
      </c>
      <c r="D504" s="3"/>
    </row>
    <row r="505" spans="1:4" ht="15.75" customHeight="1" x14ac:dyDescent="0.25">
      <c r="A505" s="2">
        <v>30518922897</v>
      </c>
      <c r="B505" s="3" t="s">
        <v>539</v>
      </c>
      <c r="C505" s="1"/>
      <c r="D505" s="3"/>
    </row>
    <row r="506" spans="1:4" ht="15.75" customHeight="1" x14ac:dyDescent="0.25">
      <c r="A506" s="2">
        <v>30600271004</v>
      </c>
      <c r="B506" s="3" t="s">
        <v>540</v>
      </c>
      <c r="C506" s="1"/>
      <c r="D506" s="3"/>
    </row>
    <row r="507" spans="1:4" ht="15.75" customHeight="1" x14ac:dyDescent="0.25">
      <c r="A507" s="2">
        <v>30707080198</v>
      </c>
      <c r="B507" s="3" t="s">
        <v>541</v>
      </c>
      <c r="C507" s="1" t="s">
        <v>5</v>
      </c>
      <c r="D507" s="3"/>
    </row>
    <row r="508" spans="1:4" ht="15.75" customHeight="1" x14ac:dyDescent="0.25">
      <c r="A508" s="2">
        <v>30643862928</v>
      </c>
      <c r="B508" s="3" t="s">
        <v>542</v>
      </c>
      <c r="C508" s="1" t="s">
        <v>5</v>
      </c>
      <c r="D508" s="3"/>
    </row>
    <row r="509" spans="1:4" ht="15.75" customHeight="1" x14ac:dyDescent="0.25">
      <c r="A509" s="2">
        <v>30709517976</v>
      </c>
      <c r="B509" s="3" t="s">
        <v>543</v>
      </c>
      <c r="C509" s="1"/>
      <c r="D509" s="3"/>
    </row>
    <row r="510" spans="1:4" ht="15.75" customHeight="1" x14ac:dyDescent="0.25">
      <c r="A510" s="2">
        <v>20266254084</v>
      </c>
      <c r="B510" s="3" t="s">
        <v>544</v>
      </c>
      <c r="C510" s="1"/>
      <c r="D510" s="3"/>
    </row>
    <row r="511" spans="1:4" ht="15.75" customHeight="1" x14ac:dyDescent="0.25">
      <c r="A511" s="2">
        <v>30707801987</v>
      </c>
      <c r="B511" s="3" t="s">
        <v>545</v>
      </c>
      <c r="C511" s="1"/>
      <c r="D511" s="3"/>
    </row>
    <row r="512" spans="1:4" ht="15.75" customHeight="1" x14ac:dyDescent="0.25">
      <c r="A512" s="2">
        <v>30695542476</v>
      </c>
      <c r="B512" s="3" t="s">
        <v>546</v>
      </c>
      <c r="C512" s="1"/>
      <c r="D512" s="3"/>
    </row>
    <row r="513" spans="1:4" ht="15.75" customHeight="1" x14ac:dyDescent="0.25">
      <c r="A513" s="2">
        <v>30591633984</v>
      </c>
      <c r="B513" s="3" t="s">
        <v>547</v>
      </c>
      <c r="C513" s="1" t="s">
        <v>5</v>
      </c>
      <c r="D513" s="3"/>
    </row>
    <row r="514" spans="1:4" ht="15.75" customHeight="1" x14ac:dyDescent="0.25">
      <c r="A514" s="2">
        <v>20935729662</v>
      </c>
      <c r="B514" s="3" t="s">
        <v>548</v>
      </c>
      <c r="C514" s="1"/>
      <c r="D514" s="3"/>
    </row>
    <row r="515" spans="1:4" ht="15.75" customHeight="1" x14ac:dyDescent="0.25">
      <c r="A515" s="2">
        <v>30588917157</v>
      </c>
      <c r="B515" s="3" t="s">
        <v>549</v>
      </c>
      <c r="C515" s="1" t="s">
        <v>5</v>
      </c>
      <c r="D515" s="3"/>
    </row>
    <row r="516" spans="1:4" ht="15.75" customHeight="1" x14ac:dyDescent="0.25">
      <c r="A516" s="2">
        <v>30687255492</v>
      </c>
      <c r="B516" s="3" t="s">
        <v>550</v>
      </c>
      <c r="C516" s="1"/>
      <c r="D516" s="3"/>
    </row>
    <row r="517" spans="1:4" ht="15.75" customHeight="1" x14ac:dyDescent="0.25">
      <c r="A517" s="2">
        <v>30605041287</v>
      </c>
      <c r="B517" s="3" t="s">
        <v>551</v>
      </c>
      <c r="C517" s="1" t="s">
        <v>15</v>
      </c>
      <c r="D517" s="3"/>
    </row>
    <row r="518" spans="1:4" ht="15.75" customHeight="1" x14ac:dyDescent="0.25">
      <c r="A518" s="2">
        <v>30715401114</v>
      </c>
      <c r="B518" s="3" t="s">
        <v>552</v>
      </c>
      <c r="C518" s="1" t="s">
        <v>5</v>
      </c>
      <c r="D518" s="3"/>
    </row>
    <row r="519" spans="1:4" ht="15.75" customHeight="1" x14ac:dyDescent="0.25">
      <c r="A519" s="2">
        <v>16218369</v>
      </c>
      <c r="B519" s="3" t="s">
        <v>553</v>
      </c>
      <c r="C519" s="1"/>
      <c r="D519" s="3"/>
    </row>
    <row r="520" spans="1:4" ht="15.75" customHeight="1" x14ac:dyDescent="0.25">
      <c r="A520" s="2">
        <v>30707515232</v>
      </c>
      <c r="B520" s="3" t="s">
        <v>554</v>
      </c>
      <c r="C520" s="1"/>
      <c r="D520" s="3"/>
    </row>
    <row r="521" spans="1:4" ht="15.75" customHeight="1" x14ac:dyDescent="0.25">
      <c r="A521" s="2">
        <v>27127809521</v>
      </c>
      <c r="B521" s="3" t="s">
        <v>555</v>
      </c>
      <c r="C521" s="1"/>
      <c r="D521" s="3"/>
    </row>
    <row r="522" spans="1:4" ht="15.75" customHeight="1" x14ac:dyDescent="0.25">
      <c r="A522" s="2">
        <v>30708084944</v>
      </c>
      <c r="B522" s="3" t="s">
        <v>556</v>
      </c>
      <c r="C522" s="1"/>
      <c r="D522" s="3"/>
    </row>
    <row r="523" spans="1:4" ht="15.75" customHeight="1" x14ac:dyDescent="0.25">
      <c r="A523" s="2">
        <v>26198343</v>
      </c>
      <c r="B523" s="3" t="s">
        <v>557</v>
      </c>
      <c r="C523" s="1"/>
      <c r="D523" s="3"/>
    </row>
    <row r="524" spans="1:4" ht="15.75" customHeight="1" x14ac:dyDescent="0.25">
      <c r="A524" s="2">
        <v>23131563779</v>
      </c>
      <c r="B524" s="3" t="s">
        <v>558</v>
      </c>
      <c r="C524" s="1"/>
      <c r="D524" s="3"/>
    </row>
    <row r="525" spans="1:4" ht="15.75" customHeight="1" x14ac:dyDescent="0.25">
      <c r="A525" s="2">
        <v>20277890306</v>
      </c>
      <c r="B525" s="3" t="s">
        <v>559</v>
      </c>
      <c r="C525" s="1" t="s">
        <v>5</v>
      </c>
      <c r="D525" s="3"/>
    </row>
    <row r="526" spans="1:4" ht="15.75" customHeight="1" x14ac:dyDescent="0.25">
      <c r="A526" s="2">
        <v>30709975427</v>
      </c>
      <c r="B526" s="3" t="s">
        <v>560</v>
      </c>
      <c r="C526" s="1"/>
      <c r="D526" s="3"/>
    </row>
    <row r="527" spans="1:4" ht="15.75" customHeight="1" x14ac:dyDescent="0.25">
      <c r="A527" s="2">
        <v>33714646899</v>
      </c>
      <c r="B527" s="3" t="s">
        <v>561</v>
      </c>
      <c r="C527" s="1"/>
      <c r="D527" s="3"/>
    </row>
    <row r="528" spans="1:4" ht="15.75" customHeight="1" x14ac:dyDescent="0.25">
      <c r="A528" s="2">
        <v>30504744538</v>
      </c>
      <c r="B528" s="3" t="s">
        <v>562</v>
      </c>
      <c r="C528" s="1"/>
      <c r="D528" s="3"/>
    </row>
    <row r="529" spans="1:4" ht="15.75" customHeight="1" x14ac:dyDescent="0.25">
      <c r="A529" s="2">
        <v>20113613646</v>
      </c>
      <c r="B529" s="3" t="s">
        <v>563</v>
      </c>
      <c r="C529" s="1" t="s">
        <v>15</v>
      </c>
      <c r="D529" s="3"/>
    </row>
    <row r="530" spans="1:4" ht="15.75" customHeight="1" x14ac:dyDescent="0.25">
      <c r="A530" s="2">
        <v>30502174904</v>
      </c>
      <c r="B530" s="3" t="s">
        <v>564</v>
      </c>
      <c r="C530" s="1" t="s">
        <v>5</v>
      </c>
      <c r="D530" s="3"/>
    </row>
    <row r="531" spans="1:4" ht="15.75" customHeight="1" x14ac:dyDescent="0.25">
      <c r="A531" s="2">
        <v>30707228098</v>
      </c>
      <c r="B531" s="3" t="s">
        <v>565</v>
      </c>
      <c r="C531" s="1"/>
      <c r="D531" s="3"/>
    </row>
    <row r="532" spans="1:4" ht="15.75" customHeight="1" x14ac:dyDescent="0.25">
      <c r="A532" s="2">
        <v>20325657988</v>
      </c>
      <c r="B532" s="3" t="s">
        <v>566</v>
      </c>
      <c r="C532" s="1"/>
      <c r="D532" s="3"/>
    </row>
    <row r="533" spans="1:4" ht="15.75" customHeight="1" x14ac:dyDescent="0.25">
      <c r="A533" s="2">
        <v>30646512952</v>
      </c>
      <c r="B533" s="3" t="s">
        <v>567</v>
      </c>
      <c r="C533" s="1" t="s">
        <v>7</v>
      </c>
      <c r="D533" s="3"/>
    </row>
    <row r="534" spans="1:4" ht="15.75" customHeight="1" x14ac:dyDescent="0.25">
      <c r="A534" s="2">
        <v>30577428618</v>
      </c>
      <c r="B534" s="3" t="s">
        <v>568</v>
      </c>
      <c r="C534" s="1" t="s">
        <v>5</v>
      </c>
      <c r="D534" s="3"/>
    </row>
    <row r="535" spans="1:4" ht="15.75" customHeight="1" x14ac:dyDescent="0.25">
      <c r="A535" s="2">
        <v>30697754063</v>
      </c>
      <c r="B535" s="3" t="s">
        <v>569</v>
      </c>
      <c r="C535" s="1"/>
      <c r="D535" s="3"/>
    </row>
    <row r="536" spans="1:4" ht="15.75" customHeight="1" x14ac:dyDescent="0.25">
      <c r="A536" s="2">
        <v>30714848034</v>
      </c>
      <c r="B536" s="3" t="s">
        <v>570</v>
      </c>
      <c r="C536" s="1" t="s">
        <v>5</v>
      </c>
      <c r="D536" s="3"/>
    </row>
    <row r="537" spans="1:4" ht="15.75" customHeight="1" x14ac:dyDescent="0.25">
      <c r="A537" s="2">
        <v>30555517757</v>
      </c>
      <c r="B537" s="3" t="s">
        <v>571</v>
      </c>
      <c r="C537" s="1"/>
      <c r="D537" s="3"/>
    </row>
    <row r="538" spans="1:4" ht="15.75" customHeight="1" x14ac:dyDescent="0.25">
      <c r="A538" s="2">
        <v>20304493039</v>
      </c>
      <c r="B538" s="3" t="s">
        <v>572</v>
      </c>
      <c r="C538" s="1" t="s">
        <v>5</v>
      </c>
      <c r="D538" s="3"/>
    </row>
    <row r="539" spans="1:4" ht="15.75" customHeight="1" x14ac:dyDescent="0.25">
      <c r="A539" s="2">
        <v>30601399446</v>
      </c>
      <c r="B539" s="3" t="s">
        <v>573</v>
      </c>
      <c r="C539" s="1"/>
      <c r="D539" s="3"/>
    </row>
    <row r="540" spans="1:4" ht="15.75" customHeight="1" x14ac:dyDescent="0.25">
      <c r="A540" s="2">
        <v>30714249416</v>
      </c>
      <c r="B540" s="3" t="s">
        <v>574</v>
      </c>
      <c r="C540" s="1"/>
      <c r="D540" s="3"/>
    </row>
    <row r="541" spans="1:4" ht="15.75" customHeight="1" x14ac:dyDescent="0.25">
      <c r="A541" s="2">
        <v>33517024819</v>
      </c>
      <c r="B541" s="3" t="s">
        <v>575</v>
      </c>
      <c r="C541" s="1" t="s">
        <v>5</v>
      </c>
      <c r="D541" s="3"/>
    </row>
    <row r="542" spans="1:4" ht="15.75" customHeight="1" x14ac:dyDescent="0.25">
      <c r="A542" s="2">
        <v>27203132722</v>
      </c>
      <c r="B542" s="3" t="s">
        <v>576</v>
      </c>
      <c r="C542" s="1"/>
      <c r="D542" s="3"/>
    </row>
    <row r="543" spans="1:4" ht="15.75" customHeight="1" x14ac:dyDescent="0.25">
      <c r="A543" s="2">
        <v>30583464138</v>
      </c>
      <c r="B543" s="3" t="s">
        <v>577</v>
      </c>
      <c r="C543" s="1"/>
      <c r="D543" s="3"/>
    </row>
    <row r="544" spans="1:4" ht="15.75" customHeight="1" x14ac:dyDescent="0.25">
      <c r="A544" s="2">
        <v>30711122911</v>
      </c>
      <c r="B544" s="3" t="s">
        <v>578</v>
      </c>
      <c r="C544" s="1"/>
      <c r="D544" s="3"/>
    </row>
    <row r="545" spans="1:4" ht="15.75" customHeight="1" x14ac:dyDescent="0.25">
      <c r="A545" s="2">
        <v>30550005987</v>
      </c>
      <c r="B545" s="3" t="s">
        <v>579</v>
      </c>
      <c r="C545" s="1"/>
      <c r="D545" s="3"/>
    </row>
    <row r="546" spans="1:4" ht="15.75" customHeight="1" x14ac:dyDescent="0.25">
      <c r="A546" s="2">
        <v>30709568260</v>
      </c>
      <c r="B546" s="3" t="s">
        <v>580</v>
      </c>
      <c r="C546" s="1" t="s">
        <v>5</v>
      </c>
      <c r="D546" s="3"/>
    </row>
    <row r="547" spans="1:4" ht="15.75" customHeight="1" x14ac:dyDescent="0.25">
      <c r="A547" s="2">
        <v>30707970010</v>
      </c>
      <c r="B547" s="3" t="s">
        <v>581</v>
      </c>
      <c r="C547" s="1"/>
      <c r="D547" s="3"/>
    </row>
    <row r="548" spans="1:4" ht="15.75" customHeight="1" x14ac:dyDescent="0.25">
      <c r="A548" s="2">
        <v>33714326029</v>
      </c>
      <c r="B548" s="3" t="s">
        <v>582</v>
      </c>
      <c r="C548" s="1"/>
      <c r="D548" s="3"/>
    </row>
    <row r="549" spans="1:4" ht="15.75" customHeight="1" x14ac:dyDescent="0.25">
      <c r="A549" s="2">
        <v>30710207190</v>
      </c>
      <c r="B549" s="3" t="s">
        <v>583</v>
      </c>
      <c r="C549" s="1"/>
      <c r="D549" s="3"/>
    </row>
    <row r="550" spans="1:4" ht="15.75" customHeight="1" x14ac:dyDescent="0.25">
      <c r="A550" s="2">
        <v>30660432961</v>
      </c>
      <c r="B550" s="3" t="s">
        <v>584</v>
      </c>
      <c r="C550" s="1"/>
      <c r="D550" s="3"/>
    </row>
    <row r="551" spans="1:4" ht="15.75" customHeight="1" x14ac:dyDescent="0.25">
      <c r="A551" s="2">
        <v>20174240125</v>
      </c>
      <c r="B551" s="3" t="s">
        <v>585</v>
      </c>
      <c r="C551" s="1"/>
      <c r="D551" s="3"/>
    </row>
    <row r="552" spans="1:4" ht="15.75" customHeight="1" x14ac:dyDescent="0.25">
      <c r="A552" s="2">
        <v>30503940147</v>
      </c>
      <c r="B552" s="3" t="s">
        <v>586</v>
      </c>
      <c r="C552" s="1"/>
      <c r="D552" s="3"/>
    </row>
    <row r="553" spans="1:4" ht="15.75" customHeight="1" x14ac:dyDescent="0.25">
      <c r="A553" s="2">
        <v>27163348190</v>
      </c>
      <c r="B553" s="3" t="s">
        <v>587</v>
      </c>
      <c r="C553" s="1" t="s">
        <v>5</v>
      </c>
      <c r="D553" s="3"/>
    </row>
    <row r="554" spans="1:4" ht="15.75" customHeight="1" x14ac:dyDescent="0.25">
      <c r="A554" s="2">
        <v>30568731936</v>
      </c>
      <c r="B554" s="3" t="s">
        <v>588</v>
      </c>
      <c r="C554" s="1"/>
      <c r="D554" s="3"/>
    </row>
    <row r="555" spans="1:4" ht="15.75" customHeight="1" x14ac:dyDescent="0.25">
      <c r="A555" s="2">
        <v>30517345039</v>
      </c>
      <c r="B555" s="3" t="s">
        <v>589</v>
      </c>
      <c r="C555" s="1" t="s">
        <v>5</v>
      </c>
      <c r="D555" s="3"/>
    </row>
    <row r="556" spans="1:4" ht="15.75" customHeight="1" x14ac:dyDescent="0.25">
      <c r="A556" s="2">
        <v>12892105</v>
      </c>
      <c r="B556" s="3" t="s">
        <v>590</v>
      </c>
      <c r="C556" s="1"/>
      <c r="D556" s="3"/>
    </row>
    <row r="557" spans="1:4" ht="15.75" customHeight="1" x14ac:dyDescent="0.25">
      <c r="A557" s="2">
        <v>27233748205</v>
      </c>
      <c r="B557" s="3" t="s">
        <v>591</v>
      </c>
      <c r="C557" s="1"/>
      <c r="D557" s="3"/>
    </row>
    <row r="558" spans="1:4" ht="15.75" customHeight="1" x14ac:dyDescent="0.25">
      <c r="A558" s="2">
        <v>20082988786</v>
      </c>
      <c r="B558" s="3" t="s">
        <v>592</v>
      </c>
      <c r="C558" s="1" t="s">
        <v>5</v>
      </c>
      <c r="D558" s="3"/>
    </row>
    <row r="559" spans="1:4" ht="15.75" customHeight="1" x14ac:dyDescent="0.25">
      <c r="A559" s="2">
        <v>30707370552</v>
      </c>
      <c r="B559" s="3" t="s">
        <v>593</v>
      </c>
      <c r="C559" s="1" t="s">
        <v>5</v>
      </c>
      <c r="D559" s="3"/>
    </row>
    <row r="560" spans="1:4" ht="15.75" customHeight="1" x14ac:dyDescent="0.25">
      <c r="A560" s="2">
        <v>27179366741</v>
      </c>
      <c r="B560" s="3" t="s">
        <v>594</v>
      </c>
      <c r="C560" s="1"/>
      <c r="D560" s="3"/>
    </row>
    <row r="561" spans="1:4" ht="15.75" customHeight="1" x14ac:dyDescent="0.25">
      <c r="A561" s="2">
        <v>30711877386</v>
      </c>
      <c r="B561" s="3" t="s">
        <v>595</v>
      </c>
      <c r="C561" s="1" t="s">
        <v>596</v>
      </c>
      <c r="D561" s="3"/>
    </row>
    <row r="562" spans="1:4" ht="15.75" customHeight="1" x14ac:dyDescent="0.25">
      <c r="A562" s="2">
        <v>30715645579</v>
      </c>
      <c r="B562" s="3" t="s">
        <v>597</v>
      </c>
      <c r="C562" s="1" t="s">
        <v>5</v>
      </c>
      <c r="D562" s="3"/>
    </row>
    <row r="563" spans="1:4" ht="15.75" customHeight="1" x14ac:dyDescent="0.25">
      <c r="A563" s="2">
        <v>20043154835</v>
      </c>
      <c r="B563" s="3" t="s">
        <v>598</v>
      </c>
      <c r="C563" s="1"/>
      <c r="D563" s="3"/>
    </row>
    <row r="564" spans="1:4" ht="15.75" customHeight="1" x14ac:dyDescent="0.25">
      <c r="A564" s="2">
        <v>33708793219</v>
      </c>
      <c r="B564" s="3" t="s">
        <v>599</v>
      </c>
      <c r="C564" s="1" t="s">
        <v>15</v>
      </c>
      <c r="D564" s="3"/>
    </row>
    <row r="565" spans="1:4" ht="15.75" customHeight="1" x14ac:dyDescent="0.25">
      <c r="A565" s="2">
        <v>30709836230</v>
      </c>
      <c r="B565" s="3" t="s">
        <v>600</v>
      </c>
      <c r="C565" s="1" t="s">
        <v>5</v>
      </c>
      <c r="D565" s="3"/>
    </row>
    <row r="566" spans="1:4" ht="15.75" customHeight="1" x14ac:dyDescent="0.25">
      <c r="A566" s="2">
        <v>33711399149</v>
      </c>
      <c r="B566" s="3" t="s">
        <v>601</v>
      </c>
      <c r="C566" s="1"/>
      <c r="D566" s="3"/>
    </row>
    <row r="567" spans="1:4" ht="15.75" customHeight="1" x14ac:dyDescent="0.25">
      <c r="A567" s="2">
        <v>23181104589</v>
      </c>
      <c r="B567" s="3" t="s">
        <v>602</v>
      </c>
      <c r="C567" s="1" t="s">
        <v>5</v>
      </c>
      <c r="D567" s="3"/>
    </row>
    <row r="568" spans="1:4" ht="15.75" customHeight="1" x14ac:dyDescent="0.25">
      <c r="A568" s="2">
        <v>30711713138</v>
      </c>
      <c r="B568" s="3" t="s">
        <v>603</v>
      </c>
      <c r="C568" s="1" t="s">
        <v>5</v>
      </c>
      <c r="D568" s="3"/>
    </row>
    <row r="569" spans="1:4" ht="15.75" customHeight="1" x14ac:dyDescent="0.25">
      <c r="A569" s="2">
        <v>20085119614</v>
      </c>
      <c r="B569" s="3" t="s">
        <v>604</v>
      </c>
      <c r="C569" s="1"/>
      <c r="D569" s="3"/>
    </row>
    <row r="570" spans="1:4" ht="15.75" customHeight="1" x14ac:dyDescent="0.25">
      <c r="A570" s="2">
        <v>30663944939</v>
      </c>
      <c r="B570" s="3" t="s">
        <v>605</v>
      </c>
      <c r="C570" s="1" t="s">
        <v>5</v>
      </c>
      <c r="D570" s="3"/>
    </row>
    <row r="571" spans="1:4" ht="15.75" customHeight="1" x14ac:dyDescent="0.25">
      <c r="A571" s="2">
        <v>30715141201</v>
      </c>
      <c r="B571" s="3" t="s">
        <v>606</v>
      </c>
      <c r="C571" s="1" t="s">
        <v>5</v>
      </c>
      <c r="D571" s="3"/>
    </row>
    <row r="572" spans="1:4" ht="15.75" customHeight="1" x14ac:dyDescent="0.25">
      <c r="A572" s="2">
        <v>30709214078</v>
      </c>
      <c r="B572" s="3" t="s">
        <v>607</v>
      </c>
      <c r="C572" s="1" t="s">
        <v>5</v>
      </c>
      <c r="D572" s="3"/>
    </row>
    <row r="573" spans="1:4" ht="15.75" customHeight="1" x14ac:dyDescent="0.25">
      <c r="A573" s="2">
        <v>30501136510</v>
      </c>
      <c r="B573" s="3" t="s">
        <v>608</v>
      </c>
      <c r="C573" s="1"/>
      <c r="D573" s="3"/>
    </row>
    <row r="574" spans="1:4" ht="15.75" customHeight="1" x14ac:dyDescent="0.25">
      <c r="A574" s="2">
        <v>20217488738</v>
      </c>
      <c r="B574" s="3" t="s">
        <v>609</v>
      </c>
      <c r="C574" s="1" t="s">
        <v>610</v>
      </c>
      <c r="D574" s="3"/>
    </row>
    <row r="575" spans="1:4" ht="15.75" customHeight="1" x14ac:dyDescent="0.25">
      <c r="A575" s="2">
        <v>30708376554</v>
      </c>
      <c r="B575" s="3" t="s">
        <v>611</v>
      </c>
      <c r="C575" s="1" t="s">
        <v>5</v>
      </c>
      <c r="D575" s="3"/>
    </row>
    <row r="576" spans="1:4" ht="15.75" customHeight="1" x14ac:dyDescent="0.25">
      <c r="A576" s="2">
        <v>30612958528</v>
      </c>
      <c r="B576" s="3" t="s">
        <v>612</v>
      </c>
      <c r="C576" s="1" t="s">
        <v>5</v>
      </c>
      <c r="D576" s="3"/>
    </row>
    <row r="577" spans="1:4" ht="15.75" customHeight="1" x14ac:dyDescent="0.25">
      <c r="A577" s="2">
        <v>30525966859</v>
      </c>
      <c r="B577" s="3" t="s">
        <v>613</v>
      </c>
      <c r="C577" s="1"/>
      <c r="D577" s="3"/>
    </row>
    <row r="578" spans="1:4" ht="15.75" customHeight="1" x14ac:dyDescent="0.25">
      <c r="A578" s="2">
        <v>20210807889</v>
      </c>
      <c r="B578" s="3" t="s">
        <v>614</v>
      </c>
      <c r="C578" s="1"/>
      <c r="D578" s="3"/>
    </row>
    <row r="579" spans="1:4" ht="15.75" customHeight="1" x14ac:dyDescent="0.25">
      <c r="A579" s="2">
        <v>30714642762</v>
      </c>
      <c r="B579" s="3" t="s">
        <v>615</v>
      </c>
      <c r="C579" s="1"/>
      <c r="D579" s="3"/>
    </row>
    <row r="580" spans="1:4" ht="15.75" customHeight="1" x14ac:dyDescent="0.25">
      <c r="A580" s="2">
        <v>30608642869</v>
      </c>
      <c r="B580" s="3" t="s">
        <v>616</v>
      </c>
      <c r="C580" s="1"/>
      <c r="D580" s="3"/>
    </row>
    <row r="581" spans="1:4" ht="15.75" customHeight="1" x14ac:dyDescent="0.25">
      <c r="A581" s="2">
        <v>30712273158</v>
      </c>
      <c r="B581" s="3" t="s">
        <v>617</v>
      </c>
      <c r="C581" s="1" t="s">
        <v>298</v>
      </c>
      <c r="D581" s="3"/>
    </row>
    <row r="582" spans="1:4" ht="15.75" customHeight="1" x14ac:dyDescent="0.25">
      <c r="A582" s="2">
        <v>23106878269</v>
      </c>
      <c r="B582" s="3" t="s">
        <v>618</v>
      </c>
      <c r="C582" s="1" t="s">
        <v>5</v>
      </c>
      <c r="D582" s="3"/>
    </row>
    <row r="583" spans="1:4" ht="15.75" customHeight="1" x14ac:dyDescent="0.25">
      <c r="A583" s="2">
        <v>30709497789</v>
      </c>
      <c r="B583" s="3" t="s">
        <v>619</v>
      </c>
      <c r="C583" s="1"/>
      <c r="D583" s="3"/>
    </row>
    <row r="584" spans="1:4" ht="15.75" customHeight="1" x14ac:dyDescent="0.25">
      <c r="A584" s="2">
        <v>20162253310</v>
      </c>
      <c r="B584" s="3" t="s">
        <v>620</v>
      </c>
      <c r="C584" s="1" t="s">
        <v>15</v>
      </c>
      <c r="D584" s="3"/>
    </row>
    <row r="585" spans="1:4" ht="15.75" customHeight="1" x14ac:dyDescent="0.25">
      <c r="A585" s="2">
        <v>20078690284</v>
      </c>
      <c r="B585" s="3" t="s">
        <v>621</v>
      </c>
      <c r="C585" s="1" t="s">
        <v>5</v>
      </c>
      <c r="D585" s="3"/>
    </row>
    <row r="586" spans="1:4" ht="15.75" customHeight="1" x14ac:dyDescent="0.25">
      <c r="A586" s="2">
        <v>30714732540</v>
      </c>
      <c r="B586" s="3" t="s">
        <v>622</v>
      </c>
      <c r="C586" s="1"/>
      <c r="D586" s="3"/>
    </row>
    <row r="587" spans="1:4" ht="15.75" customHeight="1" x14ac:dyDescent="0.25">
      <c r="A587" s="2">
        <v>33715567089</v>
      </c>
      <c r="B587" s="3" t="s">
        <v>623</v>
      </c>
      <c r="C587" s="1" t="s">
        <v>5</v>
      </c>
      <c r="D587" s="3"/>
    </row>
    <row r="588" spans="1:4" ht="15.75" customHeight="1" x14ac:dyDescent="0.25">
      <c r="A588" s="2">
        <v>20120875141</v>
      </c>
      <c r="B588" s="3" t="s">
        <v>624</v>
      </c>
      <c r="C588" s="1" t="s">
        <v>5</v>
      </c>
      <c r="D588" s="3"/>
    </row>
    <row r="589" spans="1:4" ht="15.75" customHeight="1" x14ac:dyDescent="0.25">
      <c r="A589" s="2">
        <v>20049749814</v>
      </c>
      <c r="B589" s="3" t="s">
        <v>625</v>
      </c>
      <c r="C589" s="1"/>
      <c r="D589" s="3"/>
    </row>
    <row r="590" spans="1:4" ht="15.75" customHeight="1" x14ac:dyDescent="0.25">
      <c r="A590" s="2">
        <v>30708263849</v>
      </c>
      <c r="B590" s="3" t="s">
        <v>626</v>
      </c>
      <c r="C590" s="1"/>
      <c r="D590" s="3"/>
    </row>
    <row r="591" spans="1:4" ht="15.75" customHeight="1" x14ac:dyDescent="0.25">
      <c r="A591" s="2">
        <v>20110668733</v>
      </c>
      <c r="B591" s="3" t="s">
        <v>627</v>
      </c>
      <c r="C591" s="1" t="s">
        <v>5</v>
      </c>
      <c r="D591" s="3"/>
    </row>
    <row r="592" spans="1:4" ht="15.75" customHeight="1" x14ac:dyDescent="0.25">
      <c r="A592" s="2">
        <v>30576393381</v>
      </c>
      <c r="B592" s="3" t="s">
        <v>628</v>
      </c>
      <c r="C592" s="1" t="s">
        <v>17</v>
      </c>
      <c r="D592" s="3"/>
    </row>
    <row r="593" spans="1:4" ht="15.75" customHeight="1" x14ac:dyDescent="0.25">
      <c r="A593" s="2">
        <v>30714654701</v>
      </c>
      <c r="B593" s="3" t="s">
        <v>629</v>
      </c>
      <c r="C593" s="1" t="s">
        <v>7</v>
      </c>
      <c r="D593" s="3"/>
    </row>
    <row r="594" spans="1:4" ht="15.75" customHeight="1" x14ac:dyDescent="0.25">
      <c r="A594" s="2">
        <v>20233320294</v>
      </c>
      <c r="B594" s="3" t="s">
        <v>630</v>
      </c>
      <c r="C594" s="1" t="s">
        <v>5</v>
      </c>
      <c r="D594" s="3"/>
    </row>
    <row r="595" spans="1:4" ht="15.75" customHeight="1" x14ac:dyDescent="0.25">
      <c r="A595" s="2">
        <v>30715048066</v>
      </c>
      <c r="B595" s="3" t="s">
        <v>631</v>
      </c>
      <c r="C595" s="1" t="s">
        <v>632</v>
      </c>
      <c r="D595" s="3"/>
    </row>
    <row r="596" spans="1:4" ht="15.75" customHeight="1" x14ac:dyDescent="0.25">
      <c r="A596" s="2">
        <v>20043702611</v>
      </c>
      <c r="B596" s="3" t="s">
        <v>633</v>
      </c>
      <c r="C596" s="1" t="s">
        <v>5</v>
      </c>
      <c r="D596" s="3"/>
    </row>
    <row r="597" spans="1:4" ht="15.75" customHeight="1" x14ac:dyDescent="0.25">
      <c r="A597" s="2">
        <v>20229507525</v>
      </c>
      <c r="B597" s="3" t="s">
        <v>634</v>
      </c>
      <c r="C597" s="1"/>
      <c r="D597" s="3"/>
    </row>
    <row r="598" spans="1:4" ht="15.75" customHeight="1" x14ac:dyDescent="0.25">
      <c r="A598" s="2">
        <v>30521596135</v>
      </c>
      <c r="B598" s="3" t="s">
        <v>635</v>
      </c>
      <c r="C598" s="1" t="s">
        <v>5</v>
      </c>
      <c r="D598" s="3"/>
    </row>
    <row r="599" spans="1:4" ht="15.75" customHeight="1" x14ac:dyDescent="0.25">
      <c r="A599" s="2">
        <v>4829719</v>
      </c>
      <c r="B599" s="3" t="s">
        <v>636</v>
      </c>
      <c r="C599" s="1"/>
      <c r="D599" s="3"/>
    </row>
    <row r="600" spans="1:4" ht="15.75" customHeight="1" x14ac:dyDescent="0.25">
      <c r="A600" s="2">
        <v>30540721722</v>
      </c>
      <c r="B600" s="3" t="s">
        <v>637</v>
      </c>
      <c r="C600" s="1" t="s">
        <v>5</v>
      </c>
      <c r="D600" s="3"/>
    </row>
    <row r="601" spans="1:4" ht="15.75" customHeight="1" x14ac:dyDescent="0.25">
      <c r="A601" s="2">
        <v>30710444877</v>
      </c>
      <c r="B601" s="3" t="s">
        <v>638</v>
      </c>
      <c r="C601" s="1" t="s">
        <v>15</v>
      </c>
      <c r="D601" s="3"/>
    </row>
    <row r="602" spans="1:4" ht="15.75" customHeight="1" x14ac:dyDescent="0.25">
      <c r="A602" s="2">
        <v>33709108129</v>
      </c>
      <c r="B602" s="3" t="s">
        <v>639</v>
      </c>
      <c r="C602" s="1" t="s">
        <v>15</v>
      </c>
      <c r="D602" s="3"/>
    </row>
    <row r="603" spans="1:4" ht="15.75" customHeight="1" x14ac:dyDescent="0.25">
      <c r="A603" s="2">
        <v>30506730038</v>
      </c>
      <c r="B603" s="3" t="s">
        <v>640</v>
      </c>
      <c r="C603" s="1"/>
      <c r="D603" s="3"/>
    </row>
    <row r="604" spans="1:4" ht="15.75" customHeight="1" x14ac:dyDescent="0.25">
      <c r="A604" s="2">
        <v>30558706836</v>
      </c>
      <c r="B604" s="3" t="s">
        <v>641</v>
      </c>
      <c r="C604" s="1" t="s">
        <v>5</v>
      </c>
      <c r="D604" s="3"/>
    </row>
    <row r="605" spans="1:4" ht="15.75" customHeight="1" x14ac:dyDescent="0.25">
      <c r="A605" s="2">
        <v>30610511801</v>
      </c>
      <c r="B605" s="3" t="s">
        <v>642</v>
      </c>
      <c r="C605" s="1"/>
      <c r="D605" s="3"/>
    </row>
    <row r="606" spans="1:4" ht="15.75" customHeight="1" x14ac:dyDescent="0.25">
      <c r="A606" s="2">
        <v>30500529071</v>
      </c>
      <c r="B606" s="3" t="s">
        <v>643</v>
      </c>
      <c r="C606" s="1" t="s">
        <v>5</v>
      </c>
      <c r="D606" s="3"/>
    </row>
    <row r="607" spans="1:4" ht="15.75" customHeight="1" x14ac:dyDescent="0.25">
      <c r="A607" s="2">
        <v>30645922715</v>
      </c>
      <c r="B607" s="3" t="s">
        <v>644</v>
      </c>
      <c r="C607" s="1"/>
      <c r="D607" s="3"/>
    </row>
    <row r="608" spans="1:4" ht="15.75" customHeight="1" x14ac:dyDescent="0.25">
      <c r="A608" s="2">
        <v>6209031</v>
      </c>
      <c r="B608" s="3" t="s">
        <v>645</v>
      </c>
      <c r="C608" s="1"/>
      <c r="D608" s="3"/>
    </row>
    <row r="609" spans="1:4" ht="15.75" customHeight="1" x14ac:dyDescent="0.25">
      <c r="A609" s="2">
        <v>30645585654</v>
      </c>
      <c r="B609" s="3" t="s">
        <v>646</v>
      </c>
      <c r="C609" s="1"/>
      <c r="D609" s="3"/>
    </row>
    <row r="610" spans="1:4" ht="15.75" customHeight="1" x14ac:dyDescent="0.25">
      <c r="A610" s="2">
        <v>30711553564</v>
      </c>
      <c r="B610" s="3" t="s">
        <v>647</v>
      </c>
      <c r="C610" s="1" t="s">
        <v>5</v>
      </c>
      <c r="D610" s="3"/>
    </row>
    <row r="611" spans="1:4" ht="15.75" customHeight="1" x14ac:dyDescent="0.25">
      <c r="A611" s="2">
        <v>94018871</v>
      </c>
      <c r="B611" s="3" t="s">
        <v>648</v>
      </c>
      <c r="C611" s="1"/>
      <c r="D611" s="3"/>
    </row>
    <row r="612" spans="1:4" ht="15.75" customHeight="1" x14ac:dyDescent="0.25">
      <c r="A612" s="2">
        <v>30714079405</v>
      </c>
      <c r="B612" s="3" t="s">
        <v>649</v>
      </c>
      <c r="C612" s="1" t="s">
        <v>5</v>
      </c>
      <c r="D612" s="3"/>
    </row>
    <row r="613" spans="1:4" ht="15.75" customHeight="1" x14ac:dyDescent="0.25">
      <c r="A613" s="2">
        <v>27240421513</v>
      </c>
      <c r="B613" s="3" t="s">
        <v>650</v>
      </c>
      <c r="C613" s="1"/>
      <c r="D613" s="3"/>
    </row>
    <row r="614" spans="1:4" ht="15.75" customHeight="1" x14ac:dyDescent="0.25">
      <c r="A614" s="2">
        <v>30708428082</v>
      </c>
      <c r="B614" s="3" t="s">
        <v>651</v>
      </c>
      <c r="C614" s="1"/>
      <c r="D614" s="3"/>
    </row>
    <row r="615" spans="1:4" ht="15.75" customHeight="1" x14ac:dyDescent="0.25">
      <c r="A615" s="2">
        <v>30631047145</v>
      </c>
      <c r="B615" s="3" t="s">
        <v>652</v>
      </c>
      <c r="C615" s="1" t="s">
        <v>5</v>
      </c>
      <c r="D615" s="3"/>
    </row>
    <row r="616" spans="1:4" ht="15.75" customHeight="1" x14ac:dyDescent="0.25">
      <c r="A616" s="2">
        <v>30711105014</v>
      </c>
      <c r="B616" s="3" t="s">
        <v>653</v>
      </c>
      <c r="C616" s="1"/>
      <c r="D616" s="3"/>
    </row>
    <row r="617" spans="1:4" ht="15.75" customHeight="1" x14ac:dyDescent="0.25">
      <c r="A617" s="2">
        <v>30683684143</v>
      </c>
      <c r="B617" s="3" t="s">
        <v>654</v>
      </c>
      <c r="C617" s="1"/>
      <c r="D617" s="3"/>
    </row>
    <row r="618" spans="1:4" ht="15.75" customHeight="1" x14ac:dyDescent="0.25">
      <c r="A618" s="2">
        <v>30645330184</v>
      </c>
      <c r="B618" s="3" t="s">
        <v>655</v>
      </c>
      <c r="C618" s="1"/>
      <c r="D618" s="3"/>
    </row>
    <row r="619" spans="1:4" ht="15.75" customHeight="1" x14ac:dyDescent="0.25">
      <c r="A619" s="2">
        <v>30610025915</v>
      </c>
      <c r="B619" s="3" t="s">
        <v>656</v>
      </c>
      <c r="C619" s="1"/>
      <c r="D619" s="3"/>
    </row>
    <row r="620" spans="1:4" ht="15.75" customHeight="1" x14ac:dyDescent="0.25">
      <c r="A620" s="2">
        <v>30616500593</v>
      </c>
      <c r="B620" s="3" t="s">
        <v>657</v>
      </c>
      <c r="C620" s="1"/>
      <c r="D620" s="3"/>
    </row>
    <row r="621" spans="1:4" ht="15.75" customHeight="1" x14ac:dyDescent="0.25">
      <c r="A621" s="2">
        <v>30574300858</v>
      </c>
      <c r="B621" s="3" t="s">
        <v>658</v>
      </c>
      <c r="C621" s="1" t="s">
        <v>97</v>
      </c>
      <c r="D621" s="3"/>
    </row>
    <row r="622" spans="1:4" ht="15.75" customHeight="1" x14ac:dyDescent="0.25">
      <c r="A622" s="2">
        <v>30699419245</v>
      </c>
      <c r="B622" s="3" t="s">
        <v>659</v>
      </c>
      <c r="C622" s="1" t="s">
        <v>15</v>
      </c>
      <c r="D622" s="3"/>
    </row>
    <row r="623" spans="1:4" ht="15.75" customHeight="1" x14ac:dyDescent="0.25">
      <c r="A623" s="2">
        <v>31335549</v>
      </c>
      <c r="B623" s="3" t="s">
        <v>660</v>
      </c>
      <c r="C623" s="1"/>
      <c r="D623" s="3"/>
    </row>
    <row r="624" spans="1:4" ht="15.75" customHeight="1" x14ac:dyDescent="0.25">
      <c r="A624" s="2">
        <v>20184103924</v>
      </c>
      <c r="B624" s="3" t="s">
        <v>661</v>
      </c>
      <c r="C624" s="1"/>
      <c r="D624" s="3"/>
    </row>
    <row r="625" spans="1:4" ht="15.75" customHeight="1" x14ac:dyDescent="0.25">
      <c r="A625" s="2">
        <v>20926929128</v>
      </c>
      <c r="B625" s="3" t="s">
        <v>662</v>
      </c>
      <c r="C625" s="1" t="s">
        <v>15</v>
      </c>
      <c r="D625" s="3"/>
    </row>
    <row r="626" spans="1:4" ht="15.75" customHeight="1" x14ac:dyDescent="0.25">
      <c r="A626" s="2">
        <v>30663434191</v>
      </c>
      <c r="B626" s="3" t="s">
        <v>663</v>
      </c>
      <c r="C626" s="1"/>
      <c r="D626" s="3"/>
    </row>
    <row r="627" spans="1:4" ht="15.75" customHeight="1" x14ac:dyDescent="0.25">
      <c r="A627" s="2">
        <v>30598960093</v>
      </c>
      <c r="B627" s="3" t="s">
        <v>664</v>
      </c>
      <c r="C627" s="1" t="s">
        <v>5</v>
      </c>
      <c r="D627" s="3"/>
    </row>
    <row r="628" spans="1:4" ht="15.75" customHeight="1" x14ac:dyDescent="0.25">
      <c r="A628" s="2">
        <v>30707833765</v>
      </c>
      <c r="B628" s="3" t="s">
        <v>665</v>
      </c>
      <c r="C628" s="1"/>
      <c r="D628" s="3"/>
    </row>
    <row r="629" spans="1:4" ht="15.75" customHeight="1" x14ac:dyDescent="0.25">
      <c r="A629" s="2">
        <v>30528650003</v>
      </c>
      <c r="B629" s="3" t="s">
        <v>666</v>
      </c>
      <c r="C629" s="1"/>
      <c r="D629" s="3"/>
    </row>
    <row r="630" spans="1:4" ht="15.75" customHeight="1" x14ac:dyDescent="0.25">
      <c r="A630" s="2">
        <v>30715504037</v>
      </c>
      <c r="B630" s="3" t="s">
        <v>667</v>
      </c>
      <c r="C630" s="1" t="s">
        <v>5</v>
      </c>
      <c r="D630" s="3"/>
    </row>
    <row r="631" spans="1:4" ht="15.75" customHeight="1" x14ac:dyDescent="0.25">
      <c r="A631" s="2">
        <v>30665725829</v>
      </c>
      <c r="B631" s="3" t="s">
        <v>668</v>
      </c>
      <c r="C631" s="1"/>
      <c r="D631" s="3"/>
    </row>
    <row r="632" spans="1:4" ht="15.75" customHeight="1" x14ac:dyDescent="0.25">
      <c r="A632" s="2">
        <v>30715487876</v>
      </c>
      <c r="B632" s="3" t="s">
        <v>669</v>
      </c>
      <c r="C632" s="1"/>
      <c r="D632" s="3"/>
    </row>
    <row r="633" spans="1:4" ht="15.75" customHeight="1" x14ac:dyDescent="0.25">
      <c r="A633" s="2">
        <v>30654118767</v>
      </c>
      <c r="B633" s="3" t="s">
        <v>670</v>
      </c>
      <c r="C633" s="1"/>
      <c r="D633" s="3"/>
    </row>
    <row r="634" spans="1:4" ht="15.75" customHeight="1" x14ac:dyDescent="0.25">
      <c r="A634" s="2">
        <v>30709040908</v>
      </c>
      <c r="B634" s="3" t="s">
        <v>671</v>
      </c>
      <c r="C634" s="1"/>
      <c r="D634" s="3"/>
    </row>
    <row r="635" spans="1:4" ht="15.75" customHeight="1" x14ac:dyDescent="0.25">
      <c r="A635" s="2">
        <v>30688387201</v>
      </c>
      <c r="B635" s="3" t="s">
        <v>672</v>
      </c>
      <c r="C635" s="1" t="s">
        <v>5</v>
      </c>
      <c r="D635" s="3"/>
    </row>
    <row r="636" spans="1:4" ht="15.75" customHeight="1" x14ac:dyDescent="0.25">
      <c r="A636" s="2">
        <v>27066622997</v>
      </c>
      <c r="B636" s="3" t="s">
        <v>673</v>
      </c>
      <c r="C636" s="1" t="s">
        <v>5</v>
      </c>
      <c r="D636" s="3"/>
    </row>
    <row r="637" spans="1:4" ht="15.75" customHeight="1" x14ac:dyDescent="0.25">
      <c r="A637" s="2">
        <v>33711882729</v>
      </c>
      <c r="B637" s="3" t="s">
        <v>674</v>
      </c>
      <c r="C637" s="1" t="s">
        <v>5</v>
      </c>
      <c r="D637" s="3"/>
    </row>
    <row r="638" spans="1:4" ht="15.75" customHeight="1" x14ac:dyDescent="0.25">
      <c r="A638" s="2">
        <v>30643416375</v>
      </c>
      <c r="B638" s="3" t="s">
        <v>675</v>
      </c>
      <c r="C638" s="1" t="s">
        <v>5</v>
      </c>
      <c r="D638" s="3"/>
    </row>
    <row r="639" spans="1:4" ht="15.75" customHeight="1" x14ac:dyDescent="0.25">
      <c r="A639" s="2">
        <v>13740696</v>
      </c>
      <c r="B639" s="3" t="s">
        <v>676</v>
      </c>
      <c r="C639" s="1"/>
      <c r="D639" s="3"/>
    </row>
    <row r="640" spans="1:4" ht="15.75" customHeight="1" x14ac:dyDescent="0.25">
      <c r="A640" s="2">
        <v>30714710652</v>
      </c>
      <c r="B640" s="3" t="s">
        <v>677</v>
      </c>
      <c r="C640" s="1" t="s">
        <v>5</v>
      </c>
      <c r="D640" s="3"/>
    </row>
    <row r="641" spans="1:4" ht="15.75" customHeight="1" x14ac:dyDescent="0.25">
      <c r="A641" s="2">
        <v>23185808963</v>
      </c>
      <c r="B641" s="3" t="s">
        <v>678</v>
      </c>
      <c r="C641" s="1"/>
      <c r="D641" s="3"/>
    </row>
    <row r="642" spans="1:4" ht="15.75" customHeight="1" x14ac:dyDescent="0.25">
      <c r="A642" s="2">
        <v>30577797281</v>
      </c>
      <c r="B642" s="3" t="s">
        <v>679</v>
      </c>
      <c r="C642" s="1"/>
      <c r="D642" s="3"/>
    </row>
    <row r="643" spans="1:4" ht="15.75" customHeight="1" x14ac:dyDescent="0.25">
      <c r="A643" s="2">
        <v>20249295869</v>
      </c>
      <c r="B643" s="3" t="s">
        <v>680</v>
      </c>
      <c r="C643" s="1"/>
      <c r="D643" s="3"/>
    </row>
    <row r="644" spans="1:4" ht="15.75" customHeight="1" x14ac:dyDescent="0.25">
      <c r="A644" s="2">
        <v>30500221956</v>
      </c>
      <c r="B644" s="3" t="s">
        <v>681</v>
      </c>
      <c r="C644" s="1"/>
      <c r="D644" s="3"/>
    </row>
    <row r="645" spans="1:4" ht="15.75" customHeight="1" x14ac:dyDescent="0.25">
      <c r="A645" s="2">
        <v>20172324240</v>
      </c>
      <c r="B645" s="3" t="s">
        <v>682</v>
      </c>
      <c r="C645" s="1"/>
      <c r="D645" s="3"/>
    </row>
    <row r="646" spans="1:4" ht="15.75" customHeight="1" x14ac:dyDescent="0.25">
      <c r="A646" s="2">
        <v>20325751453</v>
      </c>
      <c r="B646" s="3" t="s">
        <v>683</v>
      </c>
      <c r="C646" s="1" t="s">
        <v>5</v>
      </c>
      <c r="D646" s="3"/>
    </row>
    <row r="647" spans="1:4" ht="15.75" customHeight="1" x14ac:dyDescent="0.25">
      <c r="A647" s="2">
        <v>20211427834</v>
      </c>
      <c r="B647" s="3" t="s">
        <v>684</v>
      </c>
      <c r="C647" s="1"/>
      <c r="D647" s="3"/>
    </row>
    <row r="648" spans="1:4" ht="15.75" customHeight="1" x14ac:dyDescent="0.25">
      <c r="A648" s="2">
        <v>30699425520</v>
      </c>
      <c r="B648" s="3" t="s">
        <v>685</v>
      </c>
      <c r="C648" s="1" t="s">
        <v>5</v>
      </c>
      <c r="D648" s="3"/>
    </row>
    <row r="649" spans="1:4" ht="15.75" customHeight="1" x14ac:dyDescent="0.25">
      <c r="A649" s="2">
        <v>30715701932</v>
      </c>
      <c r="B649" s="3" t="s">
        <v>686</v>
      </c>
      <c r="C649" s="1" t="s">
        <v>5</v>
      </c>
      <c r="D649" s="3"/>
    </row>
    <row r="650" spans="1:4" ht="15.75" customHeight="1" x14ac:dyDescent="0.25">
      <c r="A650" s="2">
        <v>20045279244</v>
      </c>
      <c r="B650" s="3" t="s">
        <v>687</v>
      </c>
      <c r="C650" s="1"/>
      <c r="D650" s="3"/>
    </row>
    <row r="651" spans="1:4" ht="15.75" customHeight="1" x14ac:dyDescent="0.25">
      <c r="A651" s="2">
        <v>30695303978</v>
      </c>
      <c r="B651" s="3" t="s">
        <v>688</v>
      </c>
      <c r="C651" s="1" t="s">
        <v>15</v>
      </c>
      <c r="D651" s="3"/>
    </row>
    <row r="652" spans="1:4" ht="15.75" customHeight="1" x14ac:dyDescent="0.25">
      <c r="A652" s="2">
        <v>30709981141</v>
      </c>
      <c r="B652" s="3" t="s">
        <v>689</v>
      </c>
      <c r="C652" s="1"/>
      <c r="D652" s="3"/>
    </row>
    <row r="653" spans="1:4" ht="15.75" customHeight="1" x14ac:dyDescent="0.25">
      <c r="A653" s="2">
        <v>30505459179</v>
      </c>
      <c r="B653" s="3" t="s">
        <v>690</v>
      </c>
      <c r="C653" s="1" t="s">
        <v>5</v>
      </c>
      <c r="D653" s="3"/>
    </row>
    <row r="654" spans="1:4" ht="15.75" customHeight="1" x14ac:dyDescent="0.25">
      <c r="A654" s="2">
        <v>23145783224</v>
      </c>
      <c r="B654" s="3" t="s">
        <v>691</v>
      </c>
      <c r="C654" s="1" t="s">
        <v>122</v>
      </c>
      <c r="D654" s="3"/>
    </row>
    <row r="655" spans="1:4" ht="15.75" customHeight="1" x14ac:dyDescent="0.25">
      <c r="A655" s="2">
        <v>30654855168</v>
      </c>
      <c r="B655" s="3" t="s">
        <v>692</v>
      </c>
      <c r="C655" s="1" t="s">
        <v>15</v>
      </c>
      <c r="D655" s="3"/>
    </row>
    <row r="656" spans="1:4" ht="15.75" customHeight="1" x14ac:dyDescent="0.25">
      <c r="A656" s="2">
        <v>30710114176</v>
      </c>
      <c r="B656" s="3" t="s">
        <v>693</v>
      </c>
      <c r="C656" s="1" t="s">
        <v>7</v>
      </c>
      <c r="D656" s="3"/>
    </row>
    <row r="657" spans="1:4" ht="15.75" customHeight="1" x14ac:dyDescent="0.25">
      <c r="A657" s="2">
        <v>27166041673</v>
      </c>
      <c r="B657" s="3" t="s">
        <v>694</v>
      </c>
      <c r="C657" s="1"/>
      <c r="D657" s="3"/>
    </row>
    <row r="658" spans="1:4" ht="15.75" customHeight="1" x14ac:dyDescent="0.25">
      <c r="A658" s="2">
        <v>30707057587</v>
      </c>
      <c r="B658" s="3" t="s">
        <v>695</v>
      </c>
      <c r="C658" s="1" t="s">
        <v>5</v>
      </c>
      <c r="D658" s="3"/>
    </row>
    <row r="659" spans="1:4" ht="15.75" customHeight="1" x14ac:dyDescent="0.25">
      <c r="A659" s="2">
        <v>30710177658</v>
      </c>
      <c r="B659" s="3" t="s">
        <v>696</v>
      </c>
      <c r="C659" s="1" t="s">
        <v>5</v>
      </c>
      <c r="D659" s="3"/>
    </row>
    <row r="660" spans="1:4" ht="15.75" customHeight="1" x14ac:dyDescent="0.25">
      <c r="A660" s="2">
        <v>30685376349</v>
      </c>
      <c r="B660" s="3" t="s">
        <v>697</v>
      </c>
      <c r="C660" s="1"/>
      <c r="D660" s="3"/>
    </row>
    <row r="661" spans="1:4" ht="15.75" customHeight="1" x14ac:dyDescent="0.25">
      <c r="A661" s="2">
        <v>30711451567</v>
      </c>
      <c r="B661" s="3" t="s">
        <v>698</v>
      </c>
      <c r="C661" s="1" t="s">
        <v>5</v>
      </c>
      <c r="D661" s="3"/>
    </row>
    <row r="662" spans="1:4" ht="15.75" customHeight="1" x14ac:dyDescent="0.25">
      <c r="A662" s="2">
        <v>30676683867</v>
      </c>
      <c r="B662" s="3" t="s">
        <v>699</v>
      </c>
      <c r="C662" s="1" t="s">
        <v>15</v>
      </c>
      <c r="D662" s="3"/>
    </row>
    <row r="663" spans="1:4" ht="15.75" customHeight="1" x14ac:dyDescent="0.25">
      <c r="A663" s="2">
        <v>30710725116</v>
      </c>
      <c r="B663" s="3" t="s">
        <v>700</v>
      </c>
      <c r="C663" s="1" t="s">
        <v>5</v>
      </c>
      <c r="D663" s="3"/>
    </row>
    <row r="664" spans="1:4" ht="15.75" customHeight="1" x14ac:dyDescent="0.25">
      <c r="A664" s="2">
        <v>30708960736</v>
      </c>
      <c r="B664" s="3" t="s">
        <v>701</v>
      </c>
      <c r="C664" s="1"/>
      <c r="D664" s="3"/>
    </row>
    <row r="665" spans="1:4" ht="15.75" customHeight="1" x14ac:dyDescent="0.25">
      <c r="A665" s="2">
        <v>30708447036</v>
      </c>
      <c r="B665" s="3" t="s">
        <v>702</v>
      </c>
      <c r="C665" s="1" t="s">
        <v>7</v>
      </c>
      <c r="D665" s="3"/>
    </row>
    <row r="666" spans="1:4" ht="15.75" customHeight="1" x14ac:dyDescent="0.25">
      <c r="A666" s="2">
        <v>30640897267</v>
      </c>
      <c r="B666" s="3" t="s">
        <v>703</v>
      </c>
      <c r="C666" s="1" t="s">
        <v>17</v>
      </c>
      <c r="D666" s="3"/>
    </row>
    <row r="667" spans="1:4" ht="15.75" customHeight="1" x14ac:dyDescent="0.25">
      <c r="A667" s="2">
        <v>30639453738</v>
      </c>
      <c r="B667" s="3" t="s">
        <v>704</v>
      </c>
      <c r="C667" s="1" t="s">
        <v>17</v>
      </c>
      <c r="D667" s="3"/>
    </row>
    <row r="668" spans="1:4" ht="15.75" customHeight="1" x14ac:dyDescent="0.25">
      <c r="A668" s="2">
        <v>30639453975</v>
      </c>
      <c r="B668" s="3" t="s">
        <v>705</v>
      </c>
      <c r="C668" s="1" t="s">
        <v>46</v>
      </c>
      <c r="D668" s="3"/>
    </row>
    <row r="669" spans="1:4" ht="15.75" customHeight="1" x14ac:dyDescent="0.25">
      <c r="A669" s="2">
        <v>30678814357</v>
      </c>
      <c r="B669" s="3" t="s">
        <v>706</v>
      </c>
      <c r="C669" s="1" t="s">
        <v>46</v>
      </c>
      <c r="D669" s="3"/>
    </row>
    <row r="670" spans="1:4" ht="15.75" customHeight="1" x14ac:dyDescent="0.25">
      <c r="A670" s="2">
        <v>33695098419</v>
      </c>
      <c r="B670" s="3" t="s">
        <v>707</v>
      </c>
      <c r="C670" s="1"/>
      <c r="D670" s="3"/>
    </row>
    <row r="671" spans="1:4" ht="15.75" customHeight="1" x14ac:dyDescent="0.25">
      <c r="A671" s="2">
        <v>30710092784</v>
      </c>
      <c r="B671" s="3" t="s">
        <v>708</v>
      </c>
      <c r="C671" s="1"/>
      <c r="D671" s="3"/>
    </row>
    <row r="672" spans="1:4" ht="15.75" customHeight="1" x14ac:dyDescent="0.25">
      <c r="A672" s="2">
        <v>30710718438</v>
      </c>
      <c r="B672" s="3" t="s">
        <v>709</v>
      </c>
      <c r="C672" s="1"/>
      <c r="D672" s="3"/>
    </row>
    <row r="673" spans="1:4" ht="15.75" customHeight="1" x14ac:dyDescent="0.25">
      <c r="A673" s="2">
        <v>30716296438</v>
      </c>
      <c r="B673" s="3" t="s">
        <v>710</v>
      </c>
      <c r="C673" s="1"/>
      <c r="D673" s="3"/>
    </row>
    <row r="674" spans="1:4" ht="15.75" customHeight="1" x14ac:dyDescent="0.25">
      <c r="A674" s="2">
        <v>30715259784</v>
      </c>
      <c r="B674" s="3" t="s">
        <v>711</v>
      </c>
      <c r="C674" s="1" t="s">
        <v>5</v>
      </c>
      <c r="D674" s="3"/>
    </row>
    <row r="675" spans="1:4" ht="15.75" customHeight="1" x14ac:dyDescent="0.25">
      <c r="A675" s="2">
        <v>30709305618</v>
      </c>
      <c r="B675" s="3" t="s">
        <v>712</v>
      </c>
      <c r="C675" s="1" t="s">
        <v>5</v>
      </c>
      <c r="D675" s="3"/>
    </row>
    <row r="676" spans="1:4" ht="15.75" customHeight="1" x14ac:dyDescent="0.25">
      <c r="A676" s="2">
        <v>30694592526</v>
      </c>
      <c r="B676" s="3" t="s">
        <v>713</v>
      </c>
      <c r="C676" s="1" t="s">
        <v>15</v>
      </c>
      <c r="D676" s="3"/>
    </row>
    <row r="677" spans="1:4" ht="15.75" customHeight="1" x14ac:dyDescent="0.25">
      <c r="A677" s="2">
        <v>30708491086</v>
      </c>
      <c r="B677" s="3" t="s">
        <v>714</v>
      </c>
      <c r="C677" s="1"/>
      <c r="D677" s="3"/>
    </row>
    <row r="678" spans="1:4" ht="15.75" customHeight="1" x14ac:dyDescent="0.25">
      <c r="A678" s="2">
        <v>30661685731</v>
      </c>
      <c r="B678" s="3" t="s">
        <v>715</v>
      </c>
      <c r="C678" s="1"/>
      <c r="D678" s="3"/>
    </row>
    <row r="679" spans="1:4" ht="15.75" customHeight="1" x14ac:dyDescent="0.25">
      <c r="A679" s="2">
        <v>20229914007</v>
      </c>
      <c r="B679" s="3" t="s">
        <v>716</v>
      </c>
      <c r="C679" s="1"/>
      <c r="D679" s="3"/>
    </row>
    <row r="680" spans="1:4" ht="15.75" customHeight="1" x14ac:dyDescent="0.25">
      <c r="A680" s="2">
        <v>30708847247</v>
      </c>
      <c r="B680" s="3" t="s">
        <v>717</v>
      </c>
      <c r="C680" s="1"/>
      <c r="D680" s="3"/>
    </row>
    <row r="681" spans="1:4" ht="15.75" customHeight="1" x14ac:dyDescent="0.25">
      <c r="A681" s="2">
        <v>30715169254</v>
      </c>
      <c r="B681" s="3" t="s">
        <v>718</v>
      </c>
      <c r="C681" s="1"/>
      <c r="D681" s="3"/>
    </row>
    <row r="682" spans="1:4" ht="15.75" customHeight="1" x14ac:dyDescent="0.25">
      <c r="A682" s="2">
        <v>30715168254</v>
      </c>
      <c r="B682" s="3" t="s">
        <v>719</v>
      </c>
      <c r="C682" s="1"/>
      <c r="D682" s="3"/>
    </row>
    <row r="683" spans="1:4" ht="15.75" customHeight="1" x14ac:dyDescent="0.25">
      <c r="A683" s="2">
        <v>30712317872</v>
      </c>
      <c r="B683" s="3" t="s">
        <v>720</v>
      </c>
      <c r="C683" s="1" t="s">
        <v>5</v>
      </c>
      <c r="D683" s="3"/>
    </row>
    <row r="684" spans="1:4" ht="15.75" customHeight="1" x14ac:dyDescent="0.25">
      <c r="A684" s="2">
        <v>30519102826</v>
      </c>
      <c r="B684" s="3" t="s">
        <v>721</v>
      </c>
      <c r="C684" s="1"/>
      <c r="D684" s="3"/>
    </row>
    <row r="685" spans="1:4" ht="15.75" customHeight="1" x14ac:dyDescent="0.25">
      <c r="A685" s="2">
        <v>30709063061</v>
      </c>
      <c r="B685" s="3" t="s">
        <v>722</v>
      </c>
      <c r="C685" s="1"/>
      <c r="D685" s="3"/>
    </row>
    <row r="686" spans="1:4" ht="15.75" customHeight="1" x14ac:dyDescent="0.25">
      <c r="A686" s="2">
        <v>30708765356</v>
      </c>
      <c r="B686" s="3" t="s">
        <v>723</v>
      </c>
      <c r="C686" s="1" t="s">
        <v>15</v>
      </c>
      <c r="D686" s="3"/>
    </row>
    <row r="687" spans="1:4" ht="15.75" customHeight="1" x14ac:dyDescent="0.25">
      <c r="A687" s="2">
        <v>30531602273</v>
      </c>
      <c r="B687" s="3" t="s">
        <v>724</v>
      </c>
      <c r="C687" s="1"/>
      <c r="D687" s="3"/>
    </row>
    <row r="688" spans="1:4" ht="15.75" customHeight="1" x14ac:dyDescent="0.25">
      <c r="A688" s="2">
        <v>30616031143</v>
      </c>
      <c r="B688" s="3" t="s">
        <v>725</v>
      </c>
      <c r="C688" s="1" t="s">
        <v>5</v>
      </c>
      <c r="D688" s="3"/>
    </row>
    <row r="689" spans="1:4" ht="15.75" customHeight="1" x14ac:dyDescent="0.25">
      <c r="A689" s="2">
        <v>30683612916</v>
      </c>
      <c r="B689" s="3" t="s">
        <v>726</v>
      </c>
      <c r="C689" s="1" t="s">
        <v>449</v>
      </c>
      <c r="D689" s="3"/>
    </row>
    <row r="690" spans="1:4" ht="15.75" customHeight="1" x14ac:dyDescent="0.25">
      <c r="A690" s="2">
        <v>30709361895</v>
      </c>
      <c r="B690" s="3" t="s">
        <v>727</v>
      </c>
      <c r="C690" s="1"/>
      <c r="D690" s="3"/>
    </row>
    <row r="691" spans="1:4" ht="15.75" customHeight="1" x14ac:dyDescent="0.25">
      <c r="A691" s="2">
        <v>30715585215</v>
      </c>
      <c r="B691" s="3" t="s">
        <v>728</v>
      </c>
      <c r="C691" s="1" t="s">
        <v>44</v>
      </c>
      <c r="D691" s="3"/>
    </row>
    <row r="692" spans="1:4" ht="15.75" customHeight="1" x14ac:dyDescent="0.25">
      <c r="A692" s="2">
        <v>20141513177</v>
      </c>
      <c r="B692" s="3" t="s">
        <v>729</v>
      </c>
      <c r="C692" s="1" t="s">
        <v>449</v>
      </c>
      <c r="D692" s="3"/>
    </row>
    <row r="693" spans="1:4" ht="15.75" customHeight="1" x14ac:dyDescent="0.25">
      <c r="A693" s="2">
        <v>30517264160</v>
      </c>
      <c r="B693" s="3" t="s">
        <v>730</v>
      </c>
      <c r="C693" s="1" t="s">
        <v>97</v>
      </c>
      <c r="D693" s="3"/>
    </row>
    <row r="694" spans="1:4" ht="15.75" customHeight="1" x14ac:dyDescent="0.25">
      <c r="A694" s="2">
        <v>33682571239</v>
      </c>
      <c r="B694" s="3" t="s">
        <v>731</v>
      </c>
      <c r="C694" s="1"/>
      <c r="D694" s="3"/>
    </row>
    <row r="695" spans="1:4" ht="15.75" customHeight="1" x14ac:dyDescent="0.25">
      <c r="A695" s="2">
        <v>21847097</v>
      </c>
      <c r="B695" s="3" t="s">
        <v>732</v>
      </c>
      <c r="C695" s="1"/>
      <c r="D695" s="3"/>
    </row>
    <row r="696" spans="1:4" ht="15.75" customHeight="1" x14ac:dyDescent="0.25">
      <c r="A696" s="2">
        <v>20330855038</v>
      </c>
      <c r="B696" s="3" t="s">
        <v>733</v>
      </c>
      <c r="C696" s="1" t="s">
        <v>5</v>
      </c>
      <c r="D696" s="3"/>
    </row>
    <row r="697" spans="1:4" ht="15.75" customHeight="1" x14ac:dyDescent="0.25">
      <c r="A697" s="2">
        <v>27249100019</v>
      </c>
      <c r="B697" s="3" t="s">
        <v>734</v>
      </c>
      <c r="C697" s="1"/>
      <c r="D697" s="3"/>
    </row>
    <row r="698" spans="1:4" ht="15.75" customHeight="1" x14ac:dyDescent="0.25">
      <c r="A698" s="2">
        <v>30646150406</v>
      </c>
      <c r="B698" s="3" t="s">
        <v>735</v>
      </c>
      <c r="C698" s="1" t="s">
        <v>5</v>
      </c>
      <c r="D698" s="3"/>
    </row>
    <row r="699" spans="1:4" ht="15.75" customHeight="1" x14ac:dyDescent="0.25">
      <c r="A699" s="2">
        <v>30611156045</v>
      </c>
      <c r="B699" s="3" t="s">
        <v>736</v>
      </c>
      <c r="C699" s="1" t="s">
        <v>15</v>
      </c>
      <c r="D699" s="3"/>
    </row>
    <row r="700" spans="1:4" ht="15.75" customHeight="1" x14ac:dyDescent="0.25">
      <c r="A700" s="2">
        <v>30699097884</v>
      </c>
      <c r="B700" s="3" t="s">
        <v>737</v>
      </c>
      <c r="C700" s="1" t="s">
        <v>5</v>
      </c>
      <c r="D700" s="3"/>
    </row>
    <row r="701" spans="1:4" ht="15.75" customHeight="1" x14ac:dyDescent="0.25">
      <c r="A701" s="2">
        <v>30715689045</v>
      </c>
      <c r="B701" s="3" t="s">
        <v>738</v>
      </c>
      <c r="C701" s="1" t="s">
        <v>7</v>
      </c>
      <c r="D701" s="3"/>
    </row>
    <row r="702" spans="1:4" ht="15.75" customHeight="1" x14ac:dyDescent="0.25">
      <c r="A702" s="2">
        <v>30710473168</v>
      </c>
      <c r="B702" s="3" t="s">
        <v>739</v>
      </c>
      <c r="C702" s="1"/>
      <c r="D702" s="3"/>
    </row>
    <row r="703" spans="1:4" ht="15.75" customHeight="1" x14ac:dyDescent="0.25">
      <c r="A703" s="2">
        <v>30689759684</v>
      </c>
      <c r="B703" s="3" t="s">
        <v>740</v>
      </c>
      <c r="C703" s="1" t="s">
        <v>15</v>
      </c>
      <c r="D703" s="3"/>
    </row>
    <row r="704" spans="1:4" ht="15.75" customHeight="1" x14ac:dyDescent="0.25">
      <c r="A704" s="2">
        <v>30501912405</v>
      </c>
      <c r="B704" s="3" t="s">
        <v>741</v>
      </c>
      <c r="C704" s="1"/>
      <c r="D704" s="3"/>
    </row>
    <row r="705" spans="1:4" ht="15.75" customHeight="1" x14ac:dyDescent="0.25">
      <c r="A705" s="2">
        <v>30658325104</v>
      </c>
      <c r="B705" s="3" t="s">
        <v>742</v>
      </c>
      <c r="C705" s="1" t="s">
        <v>5</v>
      </c>
      <c r="D705" s="3"/>
    </row>
    <row r="706" spans="1:4" ht="15.75" customHeight="1" x14ac:dyDescent="0.25">
      <c r="A706" s="2">
        <v>20259693609</v>
      </c>
      <c r="B706" s="3" t="s">
        <v>743</v>
      </c>
      <c r="C706" s="1" t="s">
        <v>5</v>
      </c>
      <c r="D706" s="3"/>
    </row>
    <row r="707" spans="1:4" ht="15.75" customHeight="1" x14ac:dyDescent="0.25">
      <c r="A707" s="2">
        <v>93455751</v>
      </c>
      <c r="B707" s="3" t="s">
        <v>744</v>
      </c>
      <c r="C707" s="1"/>
      <c r="D707" s="3"/>
    </row>
    <row r="708" spans="1:4" ht="15.75" customHeight="1" x14ac:dyDescent="0.25">
      <c r="A708" s="2">
        <v>30715222112</v>
      </c>
      <c r="B708" s="3" t="s">
        <v>745</v>
      </c>
      <c r="C708" s="1"/>
      <c r="D708" s="3"/>
    </row>
    <row r="709" spans="1:4" ht="15.75" customHeight="1" x14ac:dyDescent="0.25">
      <c r="A709" s="2">
        <v>27208252386</v>
      </c>
      <c r="B709" s="3" t="s">
        <v>746</v>
      </c>
      <c r="C709" s="1" t="s">
        <v>15</v>
      </c>
      <c r="D709" s="3"/>
    </row>
    <row r="710" spans="1:4" ht="15.75" customHeight="1" x14ac:dyDescent="0.25">
      <c r="A710" s="2">
        <v>23386252629</v>
      </c>
      <c r="B710" s="3" t="s">
        <v>747</v>
      </c>
      <c r="C710" s="1"/>
      <c r="D710" s="3"/>
    </row>
    <row r="711" spans="1:4" ht="15.75" customHeight="1" x14ac:dyDescent="0.25">
      <c r="A711" s="2">
        <v>16458001</v>
      </c>
      <c r="B711" s="3" t="s">
        <v>748</v>
      </c>
      <c r="C711" s="1"/>
      <c r="D711" s="3"/>
    </row>
    <row r="712" spans="1:4" ht="15.75" customHeight="1" x14ac:dyDescent="0.25">
      <c r="A712" s="2">
        <v>27036968910</v>
      </c>
      <c r="B712" s="3" t="s">
        <v>749</v>
      </c>
      <c r="C712" s="1"/>
      <c r="D712" s="3"/>
    </row>
    <row r="713" spans="1:4" ht="15.75" customHeight="1" x14ac:dyDescent="0.25">
      <c r="A713" s="2">
        <v>27003352000</v>
      </c>
      <c r="B713" s="3" t="s">
        <v>750</v>
      </c>
      <c r="C713" s="1"/>
      <c r="D713" s="3"/>
    </row>
    <row r="714" spans="1:4" ht="15.75" customHeight="1" x14ac:dyDescent="0.25">
      <c r="A714" s="2">
        <v>20247225243</v>
      </c>
      <c r="B714" s="3" t="s">
        <v>751</v>
      </c>
      <c r="C714" s="1" t="s">
        <v>5</v>
      </c>
      <c r="D714" s="3"/>
    </row>
    <row r="715" spans="1:4" ht="15.75" customHeight="1" x14ac:dyDescent="0.25">
      <c r="A715" s="2">
        <v>14287880</v>
      </c>
      <c r="B715" s="3" t="s">
        <v>752</v>
      </c>
      <c r="C715" s="1"/>
      <c r="D715" s="3"/>
    </row>
    <row r="716" spans="1:4" ht="15.75" customHeight="1" x14ac:dyDescent="0.25">
      <c r="A716" s="2">
        <v>20178221974</v>
      </c>
      <c r="B716" s="3" t="s">
        <v>753</v>
      </c>
      <c r="C716" s="1"/>
      <c r="D716" s="3"/>
    </row>
    <row r="717" spans="1:4" ht="15.75" customHeight="1" x14ac:dyDescent="0.25">
      <c r="A717" s="2">
        <v>30681830800</v>
      </c>
      <c r="B717" s="3" t="s">
        <v>754</v>
      </c>
      <c r="C717" s="1"/>
      <c r="D717" s="3"/>
    </row>
    <row r="718" spans="1:4" ht="15.75" customHeight="1" x14ac:dyDescent="0.25">
      <c r="A718" s="2">
        <v>20077107186</v>
      </c>
      <c r="B718" s="3" t="s">
        <v>755</v>
      </c>
      <c r="C718" s="1" t="s">
        <v>5</v>
      </c>
      <c r="D718" s="3"/>
    </row>
    <row r="719" spans="1:4" ht="15.75" customHeight="1" x14ac:dyDescent="0.25">
      <c r="A719" s="2">
        <v>30624872874</v>
      </c>
      <c r="B719" s="3" t="s">
        <v>756</v>
      </c>
      <c r="C719" s="1"/>
      <c r="D719" s="3"/>
    </row>
    <row r="720" spans="1:4" ht="15.75" customHeight="1" x14ac:dyDescent="0.25">
      <c r="A720" s="2">
        <v>30643922157</v>
      </c>
      <c r="B720" s="3" t="s">
        <v>757</v>
      </c>
      <c r="C720" s="1" t="s">
        <v>449</v>
      </c>
      <c r="D720" s="3"/>
    </row>
    <row r="721" spans="1:4" ht="15.75" customHeight="1" x14ac:dyDescent="0.25">
      <c r="A721" s="2">
        <v>33711043069</v>
      </c>
      <c r="B721" s="3" t="s">
        <v>758</v>
      </c>
      <c r="C721" s="1" t="s">
        <v>449</v>
      </c>
      <c r="D721" s="3"/>
    </row>
    <row r="722" spans="1:4" ht="15.75" customHeight="1" x14ac:dyDescent="0.25">
      <c r="A722" s="2">
        <v>20287832649</v>
      </c>
      <c r="B722" s="3" t="s">
        <v>759</v>
      </c>
      <c r="C722" s="1" t="s">
        <v>5</v>
      </c>
      <c r="D722" s="3"/>
    </row>
    <row r="723" spans="1:4" ht="15.75" customHeight="1" x14ac:dyDescent="0.25">
      <c r="A723" s="2">
        <v>27211421202</v>
      </c>
      <c r="B723" s="3" t="s">
        <v>760</v>
      </c>
      <c r="C723" s="1" t="s">
        <v>5</v>
      </c>
      <c r="D723" s="3"/>
    </row>
    <row r="724" spans="1:4" ht="15.75" customHeight="1" x14ac:dyDescent="0.25">
      <c r="A724" s="2">
        <v>20321447997</v>
      </c>
      <c r="B724" s="3" t="s">
        <v>761</v>
      </c>
      <c r="C724" s="1"/>
      <c r="D724" s="3"/>
    </row>
    <row r="725" spans="1:4" ht="15.75" customHeight="1" x14ac:dyDescent="0.25">
      <c r="A725" s="2">
        <v>30708648414</v>
      </c>
      <c r="B725" s="3" t="s">
        <v>762</v>
      </c>
      <c r="C725" s="1" t="s">
        <v>5</v>
      </c>
      <c r="D725" s="3"/>
    </row>
    <row r="726" spans="1:4" ht="15.75" customHeight="1" x14ac:dyDescent="0.25">
      <c r="A726" s="2">
        <v>20137229944</v>
      </c>
      <c r="B726" s="3" t="s">
        <v>763</v>
      </c>
      <c r="C726" s="1"/>
      <c r="D726" s="3"/>
    </row>
    <row r="727" spans="1:4" ht="15.75" customHeight="1" x14ac:dyDescent="0.25">
      <c r="A727" s="2">
        <v>30715609807</v>
      </c>
      <c r="B727" s="3" t="s">
        <v>764</v>
      </c>
      <c r="C727" s="1" t="s">
        <v>5</v>
      </c>
      <c r="D727" s="3"/>
    </row>
    <row r="728" spans="1:4" ht="15.75" customHeight="1" x14ac:dyDescent="0.25">
      <c r="A728" s="2">
        <v>23112144064</v>
      </c>
      <c r="B728" s="3" t="s">
        <v>765</v>
      </c>
      <c r="C728" s="1"/>
      <c r="D728" s="3"/>
    </row>
    <row r="729" spans="1:4" ht="15.75" customHeight="1" x14ac:dyDescent="0.25">
      <c r="A729" s="2">
        <v>30680297408</v>
      </c>
      <c r="B729" s="3" t="s">
        <v>766</v>
      </c>
      <c r="C729" s="1"/>
      <c r="D729" s="3"/>
    </row>
    <row r="730" spans="1:4" ht="15.75" customHeight="1" x14ac:dyDescent="0.25">
      <c r="A730" s="2">
        <v>20225501190</v>
      </c>
      <c r="B730" s="3" t="s">
        <v>767</v>
      </c>
      <c r="C730" s="1"/>
      <c r="D730" s="3"/>
    </row>
    <row r="731" spans="1:4" ht="15.75" customHeight="1" x14ac:dyDescent="0.25">
      <c r="A731" s="2">
        <v>20165292929</v>
      </c>
      <c r="B731" s="3" t="s">
        <v>768</v>
      </c>
      <c r="C731" s="1" t="s">
        <v>5</v>
      </c>
      <c r="D731" s="3"/>
    </row>
    <row r="732" spans="1:4" ht="15.75" customHeight="1" x14ac:dyDescent="0.25">
      <c r="A732" s="2">
        <v>30715581562</v>
      </c>
      <c r="B732" s="3" t="s">
        <v>769</v>
      </c>
      <c r="C732" s="1"/>
      <c r="D732" s="3"/>
    </row>
    <row r="733" spans="1:4" ht="15.75" customHeight="1" x14ac:dyDescent="0.25">
      <c r="A733" s="2">
        <v>30714995002</v>
      </c>
      <c r="B733" s="3" t="s">
        <v>770</v>
      </c>
      <c r="C733" s="1"/>
      <c r="D733" s="3"/>
    </row>
    <row r="734" spans="1:4" ht="15.75" customHeight="1" x14ac:dyDescent="0.25">
      <c r="A734" s="2">
        <v>20231247239</v>
      </c>
      <c r="B734" s="3" t="s">
        <v>771</v>
      </c>
      <c r="C734" s="1" t="s">
        <v>5</v>
      </c>
      <c r="D734" s="3"/>
    </row>
    <row r="735" spans="1:4" ht="15.75" customHeight="1" x14ac:dyDescent="0.25">
      <c r="A735" s="2">
        <v>30712383603</v>
      </c>
      <c r="B735" s="3" t="s">
        <v>772</v>
      </c>
      <c r="C735" s="1"/>
      <c r="D735" s="3"/>
    </row>
    <row r="736" spans="1:4" ht="15.75" customHeight="1" x14ac:dyDescent="0.25">
      <c r="A736" s="2">
        <v>30585558733</v>
      </c>
      <c r="B736" s="3" t="s">
        <v>773</v>
      </c>
      <c r="C736" s="1" t="s">
        <v>5</v>
      </c>
      <c r="D736" s="3"/>
    </row>
    <row r="737" spans="1:4" ht="15.75" customHeight="1" x14ac:dyDescent="0.25">
      <c r="A737" s="2">
        <v>30578204713</v>
      </c>
      <c r="B737" s="3" t="s">
        <v>774</v>
      </c>
      <c r="C737" s="1" t="s">
        <v>5</v>
      </c>
      <c r="D737" s="3"/>
    </row>
    <row r="738" spans="1:4" ht="15.75" customHeight="1" x14ac:dyDescent="0.25">
      <c r="A738" s="2">
        <v>30695243673</v>
      </c>
      <c r="B738" s="3" t="s">
        <v>775</v>
      </c>
      <c r="C738" s="1"/>
      <c r="D738" s="3"/>
    </row>
    <row r="739" spans="1:4" ht="15.75" customHeight="1" x14ac:dyDescent="0.25">
      <c r="A739" s="2">
        <v>30707512454</v>
      </c>
      <c r="B739" s="3" t="s">
        <v>776</v>
      </c>
      <c r="C739" s="1" t="s">
        <v>5</v>
      </c>
      <c r="D739" s="3"/>
    </row>
    <row r="740" spans="1:4" ht="15.75" customHeight="1" x14ac:dyDescent="0.25">
      <c r="A740" s="2">
        <v>30546689979</v>
      </c>
      <c r="B740" s="3" t="s">
        <v>777</v>
      </c>
      <c r="C740" s="1" t="s">
        <v>97</v>
      </c>
      <c r="D740" s="3"/>
    </row>
    <row r="741" spans="1:4" ht="15.75" customHeight="1" x14ac:dyDescent="0.25">
      <c r="A741" s="2">
        <v>27325577539</v>
      </c>
      <c r="B741" s="3" t="s">
        <v>778</v>
      </c>
      <c r="C741" s="1"/>
      <c r="D741" s="3"/>
    </row>
    <row r="742" spans="1:4" ht="15.75" customHeight="1" x14ac:dyDescent="0.25">
      <c r="A742" s="2">
        <v>30712352341</v>
      </c>
      <c r="B742" s="3" t="s">
        <v>779</v>
      </c>
      <c r="C742" s="1"/>
      <c r="D742" s="3"/>
    </row>
    <row r="743" spans="1:4" ht="15.75" customHeight="1" x14ac:dyDescent="0.25">
      <c r="A743" s="2">
        <v>30711811164</v>
      </c>
      <c r="B743" s="3" t="s">
        <v>780</v>
      </c>
      <c r="C743" s="1" t="s">
        <v>449</v>
      </c>
      <c r="D743" s="3"/>
    </row>
    <row r="744" spans="1:4" ht="15.75" customHeight="1" x14ac:dyDescent="0.25">
      <c r="A744" s="2">
        <v>30715039121</v>
      </c>
      <c r="B744" s="3" t="s">
        <v>781</v>
      </c>
      <c r="C744" s="1" t="s">
        <v>782</v>
      </c>
      <c r="D744" s="3"/>
    </row>
    <row r="745" spans="1:4" ht="15.75" customHeight="1" x14ac:dyDescent="0.25">
      <c r="A745" s="2">
        <v>30709389722</v>
      </c>
      <c r="B745" s="3" t="s">
        <v>783</v>
      </c>
      <c r="C745" s="1" t="s">
        <v>10</v>
      </c>
      <c r="D745" s="3"/>
    </row>
    <row r="746" spans="1:4" ht="15.75" customHeight="1" x14ac:dyDescent="0.25">
      <c r="A746" s="2">
        <v>30711891214</v>
      </c>
      <c r="B746" s="3" t="s">
        <v>784</v>
      </c>
      <c r="C746" s="1" t="s">
        <v>10</v>
      </c>
      <c r="D746" s="3"/>
    </row>
    <row r="747" spans="1:4" ht="15.75" customHeight="1" x14ac:dyDescent="0.25">
      <c r="A747" s="2">
        <v>30708507594</v>
      </c>
      <c r="B747" s="3" t="s">
        <v>785</v>
      </c>
      <c r="C747" s="1" t="s">
        <v>10</v>
      </c>
      <c r="D747" s="3"/>
    </row>
    <row r="748" spans="1:4" ht="15.75" customHeight="1" x14ac:dyDescent="0.25">
      <c r="A748" s="2">
        <v>33534279049</v>
      </c>
      <c r="B748" s="3" t="s">
        <v>786</v>
      </c>
      <c r="C748" s="1" t="s">
        <v>449</v>
      </c>
      <c r="D748" s="3"/>
    </row>
    <row r="749" spans="1:4" ht="15.75" customHeight="1" x14ac:dyDescent="0.25">
      <c r="A749" s="2">
        <v>30712319050</v>
      </c>
      <c r="B749" s="3" t="s">
        <v>787</v>
      </c>
      <c r="C749" s="1" t="s">
        <v>10</v>
      </c>
      <c r="D749" s="3"/>
    </row>
    <row r="750" spans="1:4" ht="15.75" customHeight="1" x14ac:dyDescent="0.25">
      <c r="A750" s="2">
        <v>30716386917</v>
      </c>
      <c r="B750" s="3" t="s">
        <v>788</v>
      </c>
      <c r="C750" s="1" t="s">
        <v>10</v>
      </c>
      <c r="D750" s="3"/>
    </row>
    <row r="751" spans="1:4" ht="15.75" customHeight="1" x14ac:dyDescent="0.25">
      <c r="A751" s="2">
        <v>30704957064</v>
      </c>
      <c r="B751" s="3" t="s">
        <v>789</v>
      </c>
      <c r="C751" s="1" t="s">
        <v>790</v>
      </c>
      <c r="D751" s="3"/>
    </row>
    <row r="752" spans="1:4" ht="15.75" customHeight="1" x14ac:dyDescent="0.25">
      <c r="A752" s="2">
        <v>30708290129</v>
      </c>
      <c r="B752" s="3" t="s">
        <v>791</v>
      </c>
      <c r="C752" s="1" t="s">
        <v>792</v>
      </c>
      <c r="D752" s="3"/>
    </row>
    <row r="753" spans="1:4" ht="15.75" customHeight="1" x14ac:dyDescent="0.25">
      <c r="A753" s="2">
        <v>20124638594</v>
      </c>
      <c r="B753" s="3" t="s">
        <v>793</v>
      </c>
      <c r="C753" s="1"/>
      <c r="D753" s="3"/>
    </row>
    <row r="754" spans="1:4" ht="15.75" customHeight="1" x14ac:dyDescent="0.25">
      <c r="A754" s="2">
        <v>23079299219</v>
      </c>
      <c r="B754" s="3" t="s">
        <v>794</v>
      </c>
      <c r="C754" s="1"/>
      <c r="D754" s="3"/>
    </row>
    <row r="755" spans="1:4" ht="15.75" customHeight="1" x14ac:dyDescent="0.25">
      <c r="A755" s="2">
        <v>30714712604</v>
      </c>
      <c r="B755" s="3" t="s">
        <v>795</v>
      </c>
      <c r="C755" s="1"/>
      <c r="D755" s="3"/>
    </row>
    <row r="756" spans="1:4" ht="15.75" customHeight="1" x14ac:dyDescent="0.25">
      <c r="A756" s="2">
        <v>30714436801</v>
      </c>
      <c r="B756" s="3" t="s">
        <v>796</v>
      </c>
      <c r="C756" s="1"/>
      <c r="D756" s="3"/>
    </row>
    <row r="757" spans="1:4" ht="15.75" customHeight="1" x14ac:dyDescent="0.25">
      <c r="A757" s="2">
        <v>20310110109</v>
      </c>
      <c r="B757" s="3" t="s">
        <v>797</v>
      </c>
      <c r="C757" s="1"/>
      <c r="D757" s="3"/>
    </row>
    <row r="758" spans="1:4" ht="15.75" customHeight="1" x14ac:dyDescent="0.25">
      <c r="A758" s="2">
        <v>20934859619</v>
      </c>
      <c r="B758" s="3" t="s">
        <v>798</v>
      </c>
      <c r="C758" s="1"/>
      <c r="D758" s="3"/>
    </row>
    <row r="759" spans="1:4" ht="15.75" customHeight="1" x14ac:dyDescent="0.25">
      <c r="A759" s="2">
        <v>30714846473</v>
      </c>
      <c r="B759" s="3" t="s">
        <v>799</v>
      </c>
      <c r="C759" s="1"/>
      <c r="D759" s="3"/>
    </row>
    <row r="760" spans="1:4" ht="15.75" customHeight="1" x14ac:dyDescent="0.25">
      <c r="A760" s="2">
        <v>20177449777</v>
      </c>
      <c r="B760" s="3" t="s">
        <v>800</v>
      </c>
      <c r="C760" s="1"/>
      <c r="D760" s="3"/>
    </row>
    <row r="761" spans="1:4" ht="15.75" customHeight="1" x14ac:dyDescent="0.25">
      <c r="A761" s="2">
        <v>27170358835</v>
      </c>
      <c r="B761" s="3" t="s">
        <v>801</v>
      </c>
      <c r="C761" s="1"/>
      <c r="D761" s="3"/>
    </row>
    <row r="762" spans="1:4" ht="15.75" customHeight="1" x14ac:dyDescent="0.25">
      <c r="A762" s="2">
        <v>20219573155</v>
      </c>
      <c r="B762" s="3" t="s">
        <v>802</v>
      </c>
      <c r="C762" s="1"/>
      <c r="D762" s="3"/>
    </row>
    <row r="763" spans="1:4" ht="15.75" customHeight="1" x14ac:dyDescent="0.25">
      <c r="A763" s="2">
        <v>20245354968</v>
      </c>
      <c r="B763" s="3" t="s">
        <v>803</v>
      </c>
      <c r="C763" s="1"/>
      <c r="D763" s="3"/>
    </row>
    <row r="764" spans="1:4" ht="15.75" customHeight="1" x14ac:dyDescent="0.25">
      <c r="A764" s="2">
        <v>27133302994</v>
      </c>
      <c r="B764" s="3" t="s">
        <v>804</v>
      </c>
      <c r="C764" s="1"/>
      <c r="D764" s="3"/>
    </row>
    <row r="765" spans="1:4" ht="15.75" customHeight="1" x14ac:dyDescent="0.25">
      <c r="A765" s="2">
        <v>30714238651</v>
      </c>
      <c r="B765" s="3" t="s">
        <v>805</v>
      </c>
      <c r="C765" s="1" t="s">
        <v>10</v>
      </c>
      <c r="D765" s="3"/>
    </row>
    <row r="766" spans="1:4" ht="15.75" customHeight="1" x14ac:dyDescent="0.25">
      <c r="A766" s="2">
        <v>30662444150</v>
      </c>
      <c r="B766" s="3" t="s">
        <v>806</v>
      </c>
      <c r="C766" s="1" t="s">
        <v>10</v>
      </c>
      <c r="D766" s="3"/>
    </row>
    <row r="767" spans="1:4" ht="15.75" customHeight="1" x14ac:dyDescent="0.25">
      <c r="A767" s="2">
        <v>30527196112</v>
      </c>
      <c r="B767" s="3" t="s">
        <v>807</v>
      </c>
      <c r="C767" s="1" t="s">
        <v>10</v>
      </c>
      <c r="D767" s="3"/>
    </row>
    <row r="768" spans="1:4" ht="15.75" customHeight="1" x14ac:dyDescent="0.25">
      <c r="A768" s="2">
        <v>33712752209</v>
      </c>
      <c r="B768" s="3" t="s">
        <v>808</v>
      </c>
      <c r="C768" s="1" t="s">
        <v>10</v>
      </c>
      <c r="D768" s="3"/>
    </row>
    <row r="769" spans="1:4" ht="15.75" customHeight="1" x14ac:dyDescent="0.25">
      <c r="A769" s="2">
        <v>30711469946</v>
      </c>
      <c r="B769" s="3" t="s">
        <v>809</v>
      </c>
      <c r="C769" s="1" t="s">
        <v>10</v>
      </c>
      <c r="D769" s="3"/>
    </row>
    <row r="770" spans="1:4" ht="15.75" customHeight="1" x14ac:dyDescent="0.25">
      <c r="A770" s="2">
        <v>30523214817</v>
      </c>
      <c r="B770" s="3" t="s">
        <v>810</v>
      </c>
      <c r="C770" s="1" t="s">
        <v>10</v>
      </c>
      <c r="D770" s="3"/>
    </row>
    <row r="771" spans="1:4" ht="15.75" customHeight="1" x14ac:dyDescent="0.25">
      <c r="A771" s="2">
        <v>30708436573</v>
      </c>
      <c r="B771" s="3" t="s">
        <v>811</v>
      </c>
      <c r="C771" s="1" t="s">
        <v>10</v>
      </c>
      <c r="D771" s="3"/>
    </row>
    <row r="772" spans="1:4" ht="15.75" customHeight="1" x14ac:dyDescent="0.25">
      <c r="A772" s="2">
        <v>30710453434</v>
      </c>
      <c r="B772" s="3" t="s">
        <v>812</v>
      </c>
      <c r="C772" s="1"/>
      <c r="D772" s="3"/>
    </row>
    <row r="773" spans="1:4" ht="15.75" customHeight="1" x14ac:dyDescent="0.25">
      <c r="A773" s="2">
        <v>30708328169</v>
      </c>
      <c r="B773" s="3" t="s">
        <v>813</v>
      </c>
      <c r="C773" s="1"/>
      <c r="D773" s="3"/>
    </row>
    <row r="774" spans="1:4" ht="15.75" customHeight="1" x14ac:dyDescent="0.25">
      <c r="A774" s="2">
        <v>20940143080</v>
      </c>
      <c r="B774" s="3" t="s">
        <v>814</v>
      </c>
      <c r="C774" s="1"/>
      <c r="D774" s="3"/>
    </row>
    <row r="775" spans="1:4" ht="15.75" customHeight="1" x14ac:dyDescent="0.25">
      <c r="A775" s="2">
        <v>30683663642</v>
      </c>
      <c r="B775" s="3" t="s">
        <v>815</v>
      </c>
      <c r="C775" s="1"/>
      <c r="D775" s="3"/>
    </row>
    <row r="776" spans="1:4" ht="15.75" customHeight="1" x14ac:dyDescent="0.25">
      <c r="A776" s="2">
        <v>30715293044</v>
      </c>
      <c r="B776" s="3" t="s">
        <v>816</v>
      </c>
      <c r="C776" s="1"/>
      <c r="D776" s="3"/>
    </row>
    <row r="777" spans="1:4" ht="15.75" customHeight="1" x14ac:dyDescent="0.25">
      <c r="A777" s="2">
        <v>30709155861</v>
      </c>
      <c r="B777" s="3" t="s">
        <v>817</v>
      </c>
      <c r="C777" s="1" t="s">
        <v>10</v>
      </c>
      <c r="D777" s="3"/>
    </row>
    <row r="778" spans="1:4" ht="15.75" customHeight="1" x14ac:dyDescent="0.25">
      <c r="A778" s="2">
        <v>30500001735</v>
      </c>
      <c r="B778" s="3" t="s">
        <v>818</v>
      </c>
      <c r="C778" s="1" t="s">
        <v>819</v>
      </c>
      <c r="D778" s="3"/>
    </row>
    <row r="779" spans="1:4" ht="15.75" customHeight="1" x14ac:dyDescent="0.25">
      <c r="A779" s="2">
        <v>33500005179</v>
      </c>
      <c r="B779" s="3" t="s">
        <v>820</v>
      </c>
      <c r="C779" s="1" t="s">
        <v>819</v>
      </c>
      <c r="D779" s="3"/>
    </row>
    <row r="780" spans="1:4" ht="15.75" customHeight="1" x14ac:dyDescent="0.25">
      <c r="A780" s="2">
        <v>27226853265</v>
      </c>
      <c r="B780" s="3" t="s">
        <v>821</v>
      </c>
      <c r="C780" s="1"/>
      <c r="D780" s="3"/>
    </row>
    <row r="781" spans="1:4" ht="15.75" customHeight="1" x14ac:dyDescent="0.25">
      <c r="A781" s="2">
        <v>30711143781</v>
      </c>
      <c r="B781" s="3" t="s">
        <v>822</v>
      </c>
      <c r="C781" s="1"/>
      <c r="D781" s="3"/>
    </row>
    <row r="782" spans="1:4" ht="15.75" customHeight="1" x14ac:dyDescent="0.25">
      <c r="A782" s="2">
        <v>30633184905</v>
      </c>
      <c r="B782" s="3" t="s">
        <v>823</v>
      </c>
      <c r="C782" s="1"/>
      <c r="D782" s="3"/>
    </row>
    <row r="783" spans="1:4" ht="15.75" customHeight="1" x14ac:dyDescent="0.25">
      <c r="A783" s="2">
        <v>30663069191</v>
      </c>
      <c r="B783" s="3" t="s">
        <v>824</v>
      </c>
      <c r="C783" s="1" t="s">
        <v>10</v>
      </c>
      <c r="D783" s="3"/>
    </row>
    <row r="784" spans="1:4" ht="15.75" customHeight="1" x14ac:dyDescent="0.25">
      <c r="A784" s="2">
        <v>30699576405</v>
      </c>
      <c r="B784" s="3" t="s">
        <v>825</v>
      </c>
      <c r="C784" s="1" t="s">
        <v>10</v>
      </c>
      <c r="D784" s="3"/>
    </row>
    <row r="785" spans="1:4" ht="15.75" customHeight="1" x14ac:dyDescent="0.25">
      <c r="A785" s="2">
        <v>30618973553</v>
      </c>
      <c r="B785" s="3" t="s">
        <v>826</v>
      </c>
      <c r="C785" s="1" t="s">
        <v>15</v>
      </c>
      <c r="D785" s="3"/>
    </row>
    <row r="786" spans="1:4" ht="15.75" customHeight="1" x14ac:dyDescent="0.25">
      <c r="A786" s="2">
        <v>30574816870</v>
      </c>
      <c r="B786" s="3" t="s">
        <v>827</v>
      </c>
      <c r="C786" s="1" t="s">
        <v>819</v>
      </c>
      <c r="D786" s="3"/>
    </row>
    <row r="787" spans="1:4" ht="15.75" customHeight="1" x14ac:dyDescent="0.25">
      <c r="A787" s="2">
        <v>27341012525</v>
      </c>
      <c r="B787" s="3" t="s">
        <v>828</v>
      </c>
      <c r="C787" s="1" t="s">
        <v>15</v>
      </c>
      <c r="D787" s="3"/>
    </row>
    <row r="788" spans="1:4" ht="15.75" customHeight="1" x14ac:dyDescent="0.25">
      <c r="A788" s="2">
        <v>33661213499</v>
      </c>
      <c r="B788" s="3" t="s">
        <v>829</v>
      </c>
      <c r="C788" s="1" t="s">
        <v>130</v>
      </c>
      <c r="D788" s="3"/>
    </row>
    <row r="789" spans="1:4" ht="15.75" customHeight="1" x14ac:dyDescent="0.25">
      <c r="A789" s="2">
        <v>23256466414</v>
      </c>
      <c r="B789" s="3" t="s">
        <v>830</v>
      </c>
      <c r="C789" s="1" t="s">
        <v>10</v>
      </c>
      <c r="D789" s="3"/>
    </row>
    <row r="790" spans="1:4" ht="15.75" customHeight="1" x14ac:dyDescent="0.25">
      <c r="A790" s="2">
        <v>33702050249</v>
      </c>
      <c r="B790" s="3" t="s">
        <v>831</v>
      </c>
      <c r="C790" s="1" t="s">
        <v>10</v>
      </c>
      <c r="D790" s="3"/>
    </row>
    <row r="791" spans="1:4" ht="15.75" customHeight="1" x14ac:dyDescent="0.25">
      <c r="A791" s="2" t="s">
        <v>832</v>
      </c>
      <c r="B791" s="3" t="s">
        <v>827</v>
      </c>
      <c r="C791" s="1" t="s">
        <v>819</v>
      </c>
      <c r="D791" s="3"/>
    </row>
    <row r="792" spans="1:4" ht="15.75" customHeight="1" x14ac:dyDescent="0.25">
      <c r="A792" s="2">
        <v>30661420169</v>
      </c>
      <c r="B792" s="3" t="s">
        <v>833</v>
      </c>
      <c r="C792" s="1"/>
      <c r="D792" s="3"/>
    </row>
    <row r="793" spans="1:4" ht="15.75" customHeight="1" x14ac:dyDescent="0.25">
      <c r="A793" s="2">
        <v>30656319263</v>
      </c>
      <c r="B793" s="3" t="s">
        <v>834</v>
      </c>
      <c r="C793" s="1"/>
      <c r="D793" s="3"/>
    </row>
    <row r="794" spans="1:4" ht="15.75" customHeight="1" x14ac:dyDescent="0.25">
      <c r="A794" s="2">
        <v>20169740071</v>
      </c>
      <c r="B794" s="3" t="s">
        <v>835</v>
      </c>
      <c r="C794" s="1"/>
      <c r="D794" s="3"/>
    </row>
    <row r="795" spans="1:4" ht="15.75" customHeight="1" x14ac:dyDescent="0.25">
      <c r="A795" s="2">
        <v>20200099940</v>
      </c>
      <c r="B795" s="3" t="s">
        <v>836</v>
      </c>
      <c r="C795" s="1"/>
      <c r="D795" s="3"/>
    </row>
    <row r="796" spans="1:4" ht="15.75" customHeight="1" x14ac:dyDescent="0.25">
      <c r="A796" s="2">
        <v>30715640313</v>
      </c>
      <c r="B796" s="3" t="s">
        <v>837</v>
      </c>
      <c r="C796" s="1"/>
      <c r="D796" s="3"/>
    </row>
    <row r="797" spans="1:4" ht="15.75" customHeight="1" x14ac:dyDescent="0.25">
      <c r="A797" s="2">
        <v>27143266805</v>
      </c>
      <c r="B797" s="3" t="s">
        <v>838</v>
      </c>
      <c r="C797" s="1"/>
      <c r="D797" s="3"/>
    </row>
    <row r="798" spans="1:4" ht="15.75" customHeight="1" x14ac:dyDescent="0.25">
      <c r="A798" s="2">
        <v>20178988736</v>
      </c>
      <c r="B798" s="3" t="s">
        <v>839</v>
      </c>
      <c r="C798" s="1"/>
      <c r="D798" s="3"/>
    </row>
    <row r="799" spans="1:4" ht="15.75" customHeight="1" x14ac:dyDescent="0.25">
      <c r="A799" s="2">
        <v>27145293281</v>
      </c>
      <c r="B799" s="3" t="s">
        <v>840</v>
      </c>
      <c r="C799" s="1" t="s">
        <v>10</v>
      </c>
      <c r="D799" s="3"/>
    </row>
    <row r="800" spans="1:4" ht="15.75" customHeight="1" x14ac:dyDescent="0.25">
      <c r="A800" s="2">
        <v>27174086902</v>
      </c>
      <c r="B800" s="3" t="s">
        <v>841</v>
      </c>
      <c r="C800" s="1"/>
      <c r="D800" s="3"/>
    </row>
    <row r="801" spans="1:4" ht="15.75" customHeight="1" x14ac:dyDescent="0.25">
      <c r="A801" s="2">
        <v>20205676474</v>
      </c>
      <c r="B801" s="3" t="s">
        <v>842</v>
      </c>
      <c r="C801" s="1"/>
      <c r="D801" s="3"/>
    </row>
    <row r="802" spans="1:4" ht="15.75" customHeight="1" x14ac:dyDescent="0.25">
      <c r="A802" s="2">
        <v>30716438879</v>
      </c>
      <c r="B802" s="3" t="s">
        <v>843</v>
      </c>
      <c r="C802" s="1"/>
      <c r="D802" s="3"/>
    </row>
    <row r="803" spans="1:4" ht="15.75" customHeight="1" x14ac:dyDescent="0.25">
      <c r="A803" s="2">
        <v>3930799</v>
      </c>
      <c r="B803" s="3" t="s">
        <v>844</v>
      </c>
      <c r="C803" s="1"/>
      <c r="D803" s="3"/>
    </row>
    <row r="804" spans="1:4" ht="15.75" customHeight="1" x14ac:dyDescent="0.25">
      <c r="A804" s="2">
        <v>30707836802</v>
      </c>
      <c r="B804" s="3" t="s">
        <v>845</v>
      </c>
      <c r="C804" s="1" t="s">
        <v>17</v>
      </c>
      <c r="D804" s="3"/>
    </row>
    <row r="805" spans="1:4" ht="15.75" customHeight="1" x14ac:dyDescent="0.25">
      <c r="A805" s="2">
        <v>30714270954</v>
      </c>
      <c r="B805" s="3" t="s">
        <v>846</v>
      </c>
      <c r="C805" s="1" t="s">
        <v>15</v>
      </c>
      <c r="D805" s="3"/>
    </row>
    <row r="806" spans="1:4" ht="15.75" customHeight="1" x14ac:dyDescent="0.25">
      <c r="A806" s="2">
        <v>27330044867</v>
      </c>
      <c r="B806" s="3" t="s">
        <v>847</v>
      </c>
      <c r="C806" s="1"/>
      <c r="D806" s="3"/>
    </row>
    <row r="807" spans="1:4" ht="15.75" customHeight="1" x14ac:dyDescent="0.25">
      <c r="A807" s="2">
        <v>30709033812</v>
      </c>
      <c r="B807" s="3" t="s">
        <v>848</v>
      </c>
      <c r="C807" s="1" t="s">
        <v>10</v>
      </c>
      <c r="D807" s="3"/>
    </row>
    <row r="808" spans="1:4" ht="15.75" customHeight="1" x14ac:dyDescent="0.25">
      <c r="A808" s="2">
        <v>20219037202</v>
      </c>
      <c r="B808" s="3" t="s">
        <v>849</v>
      </c>
      <c r="C808" s="1" t="s">
        <v>10</v>
      </c>
      <c r="D808" s="3"/>
    </row>
    <row r="809" spans="1:4" ht="15.75" customHeight="1" x14ac:dyDescent="0.25">
      <c r="A809" s="2">
        <v>33708069219</v>
      </c>
      <c r="B809" s="3" t="s">
        <v>850</v>
      </c>
      <c r="C809" s="1" t="s">
        <v>10</v>
      </c>
      <c r="D809" s="3"/>
    </row>
    <row r="810" spans="1:4" ht="15.75" customHeight="1" x14ac:dyDescent="0.25">
      <c r="A810" s="2">
        <v>30663332720</v>
      </c>
      <c r="B810" s="3" t="s">
        <v>851</v>
      </c>
      <c r="C810" s="1" t="s">
        <v>10</v>
      </c>
      <c r="D810" s="3"/>
    </row>
    <row r="811" spans="1:4" ht="15.75" customHeight="1" x14ac:dyDescent="0.25">
      <c r="A811" s="2">
        <v>20927474868</v>
      </c>
      <c r="B811" s="3" t="s">
        <v>852</v>
      </c>
      <c r="C811" s="1"/>
      <c r="D811" s="3"/>
    </row>
    <row r="812" spans="1:4" ht="15.75" customHeight="1" x14ac:dyDescent="0.25">
      <c r="A812" s="2">
        <v>30710283970</v>
      </c>
      <c r="B812" s="3" t="s">
        <v>853</v>
      </c>
      <c r="C812" s="1"/>
      <c r="D812" s="3"/>
    </row>
    <row r="813" spans="1:4" ht="15.75" customHeight="1" x14ac:dyDescent="0.25">
      <c r="A813" s="2">
        <v>30708340789</v>
      </c>
      <c r="B813" s="3" t="s">
        <v>854</v>
      </c>
      <c r="C813" s="1"/>
      <c r="D813" s="3"/>
    </row>
    <row r="814" spans="1:4" ht="15.75" customHeight="1" x14ac:dyDescent="0.25">
      <c r="A814" s="2">
        <v>30711083800</v>
      </c>
      <c r="B814" s="3" t="s">
        <v>855</v>
      </c>
      <c r="C814" s="1"/>
      <c r="D814" s="3"/>
    </row>
    <row r="815" spans="1:4" ht="15.75" customHeight="1" x14ac:dyDescent="0.25">
      <c r="A815" s="2">
        <v>30714200417</v>
      </c>
      <c r="B815" s="3" t="s">
        <v>856</v>
      </c>
      <c r="C815" s="1" t="s">
        <v>10</v>
      </c>
      <c r="D815" s="3"/>
    </row>
    <row r="816" spans="1:4" ht="15.75" customHeight="1" x14ac:dyDescent="0.25">
      <c r="A816" s="2">
        <v>30502515884</v>
      </c>
      <c r="B816" s="3" t="s">
        <v>857</v>
      </c>
      <c r="C816" s="1" t="s">
        <v>10</v>
      </c>
      <c r="D816" s="3"/>
    </row>
    <row r="817" spans="1:4" ht="15.75" customHeight="1" x14ac:dyDescent="0.25">
      <c r="A817" s="2">
        <v>30712783806</v>
      </c>
      <c r="B817" s="3" t="s">
        <v>858</v>
      </c>
      <c r="C817" s="1" t="s">
        <v>10</v>
      </c>
      <c r="D817" s="3"/>
    </row>
    <row r="818" spans="1:4" ht="15.75" customHeight="1" x14ac:dyDescent="0.25">
      <c r="A818" s="2">
        <v>33708200749</v>
      </c>
      <c r="B818" s="3" t="s">
        <v>859</v>
      </c>
      <c r="C818" s="1"/>
      <c r="D818" s="3"/>
    </row>
    <row r="819" spans="1:4" ht="15.75" customHeight="1" x14ac:dyDescent="0.25">
      <c r="A819" s="2">
        <v>20182671062</v>
      </c>
      <c r="B819" s="3" t="s">
        <v>860</v>
      </c>
      <c r="C819" s="1"/>
      <c r="D819" s="3"/>
    </row>
    <row r="820" spans="1:4" ht="15.75" customHeight="1" x14ac:dyDescent="0.25">
      <c r="A820" s="2">
        <v>27956824317</v>
      </c>
      <c r="B820" s="3" t="s">
        <v>861</v>
      </c>
      <c r="C820" s="1"/>
      <c r="D820" s="3"/>
    </row>
    <row r="821" spans="1:4" ht="15.75" customHeight="1" x14ac:dyDescent="0.25">
      <c r="A821" s="2">
        <v>30715282018</v>
      </c>
      <c r="B821" s="3" t="s">
        <v>862</v>
      </c>
      <c r="C821" s="1"/>
      <c r="D821" s="3"/>
    </row>
    <row r="822" spans="1:4" ht="15.75" customHeight="1" x14ac:dyDescent="0.25">
      <c r="A822" s="2">
        <v>29246296</v>
      </c>
      <c r="B822" s="3" t="s">
        <v>863</v>
      </c>
      <c r="C822" s="1"/>
      <c r="D822" s="3"/>
    </row>
    <row r="823" spans="1:4" ht="15.75" customHeight="1" x14ac:dyDescent="0.25">
      <c r="A823" s="2">
        <v>30689906512</v>
      </c>
      <c r="B823" s="3" t="s">
        <v>864</v>
      </c>
      <c r="C823" s="1"/>
      <c r="D823" s="3"/>
    </row>
    <row r="824" spans="1:4" ht="15.75" customHeight="1" x14ac:dyDescent="0.25">
      <c r="A824" s="2">
        <v>30707061029</v>
      </c>
      <c r="B824" s="3" t="s">
        <v>865</v>
      </c>
      <c r="C824" s="1"/>
      <c r="D824" s="3"/>
    </row>
    <row r="825" spans="1:4" ht="15.75" customHeight="1" x14ac:dyDescent="0.25">
      <c r="A825" s="2">
        <v>30703000335</v>
      </c>
      <c r="B825" s="3" t="s">
        <v>866</v>
      </c>
      <c r="C825" s="1"/>
      <c r="D825" s="3"/>
    </row>
    <row r="826" spans="1:4" ht="15.75" customHeight="1" x14ac:dyDescent="0.25">
      <c r="A826" s="2">
        <v>30702049225</v>
      </c>
      <c r="B826" s="3" t="s">
        <v>867</v>
      </c>
      <c r="C826" s="1"/>
      <c r="D826" s="3"/>
    </row>
    <row r="827" spans="1:4" ht="15.75" customHeight="1" x14ac:dyDescent="0.25">
      <c r="A827" s="2">
        <v>30709370207</v>
      </c>
      <c r="B827" s="3" t="s">
        <v>868</v>
      </c>
      <c r="C827" s="1"/>
      <c r="D827" s="3"/>
    </row>
    <row r="828" spans="1:4" ht="15.75" customHeight="1" x14ac:dyDescent="0.25">
      <c r="A828" s="2">
        <v>30699583533</v>
      </c>
      <c r="B828" s="3" t="s">
        <v>869</v>
      </c>
      <c r="C828" s="1"/>
      <c r="D828" s="3"/>
    </row>
    <row r="829" spans="1:4" ht="15.75" customHeight="1" x14ac:dyDescent="0.25">
      <c r="A829" s="2">
        <v>30714825069</v>
      </c>
      <c r="B829" s="3" t="s">
        <v>870</v>
      </c>
      <c r="C829" s="1"/>
      <c r="D829" s="3"/>
    </row>
    <row r="830" spans="1:4" ht="15.75" customHeight="1" x14ac:dyDescent="0.25">
      <c r="A830" s="2">
        <v>30709642835</v>
      </c>
      <c r="B830" s="3" t="s">
        <v>871</v>
      </c>
      <c r="C830" s="1" t="s">
        <v>10</v>
      </c>
      <c r="D830" s="3"/>
    </row>
    <row r="831" spans="1:4" ht="15.75" customHeight="1" x14ac:dyDescent="0.25">
      <c r="A831" s="2">
        <v>33699685459</v>
      </c>
      <c r="B831" s="3" t="s">
        <v>872</v>
      </c>
      <c r="C831" s="1"/>
      <c r="D831" s="3"/>
    </row>
    <row r="832" spans="1:4" ht="15.75" customHeight="1" x14ac:dyDescent="0.25">
      <c r="A832" s="2">
        <v>30699582855</v>
      </c>
      <c r="B832" s="3" t="s">
        <v>873</v>
      </c>
      <c r="C832" s="1"/>
      <c r="D832" s="3"/>
    </row>
    <row r="833" spans="1:4" ht="15.75" customHeight="1" x14ac:dyDescent="0.25">
      <c r="A833" s="2">
        <v>30712298355</v>
      </c>
      <c r="B833" s="3" t="s">
        <v>874</v>
      </c>
      <c r="C833" s="1"/>
      <c r="D833" s="3"/>
    </row>
    <row r="834" spans="1:4" ht="15.75" customHeight="1" x14ac:dyDescent="0.25">
      <c r="A834" s="2">
        <v>30652327547</v>
      </c>
      <c r="B834" s="3" t="s">
        <v>875</v>
      </c>
      <c r="C834" s="1"/>
      <c r="D834" s="3"/>
    </row>
    <row r="835" spans="1:4" ht="15.75" customHeight="1" x14ac:dyDescent="0.25">
      <c r="A835" s="2">
        <v>30714251127</v>
      </c>
      <c r="B835" s="3" t="s">
        <v>876</v>
      </c>
      <c r="C835" s="1"/>
      <c r="D835" s="3"/>
    </row>
    <row r="836" spans="1:4" ht="15.75" customHeight="1" x14ac:dyDescent="0.25">
      <c r="A836" s="2">
        <v>23942384394</v>
      </c>
      <c r="B836" s="3" t="s">
        <v>877</v>
      </c>
      <c r="C836" s="1"/>
      <c r="D836" s="3"/>
    </row>
    <row r="837" spans="1:4" ht="15.75" customHeight="1" x14ac:dyDescent="0.25">
      <c r="A837" s="2">
        <v>27940346067</v>
      </c>
      <c r="B837" s="3" t="s">
        <v>878</v>
      </c>
      <c r="C837" s="1"/>
      <c r="D837" s="3"/>
    </row>
    <row r="838" spans="1:4" ht="15.75" customHeight="1" x14ac:dyDescent="0.25">
      <c r="A838" s="2">
        <v>33714175209</v>
      </c>
      <c r="B838" s="3" t="s">
        <v>879</v>
      </c>
      <c r="C838" s="1"/>
      <c r="D838" s="3"/>
    </row>
    <row r="839" spans="1:4" ht="15.75" customHeight="1" x14ac:dyDescent="0.25">
      <c r="A839" s="2">
        <v>30714730548</v>
      </c>
      <c r="B839" s="3" t="s">
        <v>880</v>
      </c>
      <c r="C839" s="1"/>
      <c r="D839" s="3"/>
    </row>
    <row r="840" spans="1:4" ht="15.75" customHeight="1" x14ac:dyDescent="0.25">
      <c r="A840" s="2">
        <v>30712405240</v>
      </c>
      <c r="B840" s="3" t="s">
        <v>881</v>
      </c>
      <c r="C840" s="1"/>
      <c r="D840" s="3"/>
    </row>
    <row r="841" spans="1:4" ht="15.75" customHeight="1" x14ac:dyDescent="0.25">
      <c r="A841" s="2">
        <v>30711681880</v>
      </c>
      <c r="B841" s="3" t="s">
        <v>882</v>
      </c>
      <c r="C841" s="1"/>
      <c r="D841" s="3"/>
    </row>
    <row r="842" spans="1:4" ht="15.75" customHeight="1" x14ac:dyDescent="0.25">
      <c r="A842" s="2">
        <v>30714620920</v>
      </c>
      <c r="B842" s="3" t="s">
        <v>883</v>
      </c>
      <c r="C842" s="1" t="s">
        <v>10</v>
      </c>
      <c r="D842" s="3"/>
    </row>
    <row r="843" spans="1:4" ht="15.75" customHeight="1" x14ac:dyDescent="0.25">
      <c r="A843" s="2">
        <v>30502584428</v>
      </c>
      <c r="B843" s="3" t="s">
        <v>884</v>
      </c>
      <c r="C843" s="1" t="s">
        <v>885</v>
      </c>
      <c r="D843" s="3"/>
    </row>
    <row r="844" spans="1:4" ht="15.75" customHeight="1" x14ac:dyDescent="0.25">
      <c r="A844" s="2">
        <v>20269334097</v>
      </c>
      <c r="B844" s="3" t="s">
        <v>886</v>
      </c>
      <c r="C844" s="1"/>
      <c r="D844" s="3"/>
    </row>
    <row r="845" spans="1:4" ht="15.75" customHeight="1" x14ac:dyDescent="0.25">
      <c r="A845" s="2">
        <v>20266219114</v>
      </c>
      <c r="B845" s="3" t="s">
        <v>887</v>
      </c>
      <c r="C845" s="1"/>
      <c r="D845" s="3"/>
    </row>
    <row r="846" spans="1:4" ht="15.75" customHeight="1" x14ac:dyDescent="0.25">
      <c r="A846" s="2">
        <v>30715191039</v>
      </c>
      <c r="B846" s="3" t="s">
        <v>888</v>
      </c>
      <c r="C846" s="1" t="s">
        <v>10</v>
      </c>
      <c r="D846" s="3"/>
    </row>
    <row r="847" spans="1:4" ht="15.75" customHeight="1" x14ac:dyDescent="0.25">
      <c r="A847" s="2">
        <v>30715158465</v>
      </c>
      <c r="B847" s="3" t="s">
        <v>889</v>
      </c>
      <c r="C847" s="1" t="s">
        <v>10</v>
      </c>
      <c r="D847" s="3"/>
    </row>
    <row r="848" spans="1:4" ht="15.75" customHeight="1" x14ac:dyDescent="0.25">
      <c r="A848" s="2">
        <v>30716059967</v>
      </c>
      <c r="B848" s="3" t="s">
        <v>890</v>
      </c>
      <c r="C848" s="1"/>
      <c r="D848" s="3"/>
    </row>
    <row r="849" spans="1:4" ht="15.75" customHeight="1" x14ac:dyDescent="0.25">
      <c r="A849" s="2">
        <v>30708711566</v>
      </c>
      <c r="B849" s="3" t="s">
        <v>891</v>
      </c>
      <c r="C849" s="1" t="s">
        <v>5</v>
      </c>
      <c r="D849" s="3"/>
    </row>
    <row r="850" spans="1:4" ht="15.75" customHeight="1" x14ac:dyDescent="0.25">
      <c r="A850" s="2">
        <v>20121630797</v>
      </c>
      <c r="B850" s="3" t="s">
        <v>892</v>
      </c>
      <c r="C850" s="1" t="s">
        <v>5</v>
      </c>
      <c r="D850" s="3"/>
    </row>
    <row r="851" spans="1:4" ht="15.75" customHeight="1" x14ac:dyDescent="0.25">
      <c r="A851" s="2">
        <v>30632951716</v>
      </c>
      <c r="B851" s="3" t="s">
        <v>893</v>
      </c>
      <c r="C851" s="1" t="s">
        <v>5</v>
      </c>
      <c r="D851" s="3"/>
    </row>
    <row r="852" spans="1:4" ht="15.75" customHeight="1" x14ac:dyDescent="0.25">
      <c r="A852" s="2">
        <v>30709784257</v>
      </c>
      <c r="B852" s="3" t="s">
        <v>894</v>
      </c>
      <c r="C852" s="1"/>
      <c r="D852" s="3"/>
    </row>
    <row r="853" spans="1:4" ht="15.75" customHeight="1" x14ac:dyDescent="0.25">
      <c r="A853" s="2">
        <v>30716582716</v>
      </c>
      <c r="B853" s="3" t="s">
        <v>895</v>
      </c>
      <c r="C853" s="1" t="s">
        <v>10</v>
      </c>
      <c r="D853" s="3"/>
    </row>
    <row r="854" spans="1:4" ht="15.75" customHeight="1" x14ac:dyDescent="0.25">
      <c r="A854" s="2">
        <v>30632161146</v>
      </c>
      <c r="B854" s="3" t="s">
        <v>896</v>
      </c>
      <c r="C854" s="1"/>
      <c r="D854" s="3"/>
    </row>
    <row r="855" spans="1:4" ht="15.75" customHeight="1" x14ac:dyDescent="0.25">
      <c r="A855" s="2">
        <v>30715607529</v>
      </c>
      <c r="B855" s="3" t="s">
        <v>897</v>
      </c>
      <c r="C855" s="1"/>
      <c r="D855" s="3"/>
    </row>
    <row r="856" spans="1:4" ht="15.75" customHeight="1" x14ac:dyDescent="0.25">
      <c r="A856" s="2">
        <v>30715311913</v>
      </c>
      <c r="B856" s="3" t="s">
        <v>898</v>
      </c>
      <c r="C856" s="1" t="s">
        <v>5</v>
      </c>
      <c r="D856" s="3"/>
    </row>
    <row r="857" spans="1:4" ht="15.75" customHeight="1" x14ac:dyDescent="0.25">
      <c r="A857" s="2">
        <v>30634595623</v>
      </c>
      <c r="B857" s="3" t="s">
        <v>899</v>
      </c>
      <c r="C857" s="1" t="s">
        <v>5</v>
      </c>
      <c r="D857" s="3"/>
    </row>
    <row r="858" spans="1:4" ht="15.75" customHeight="1" x14ac:dyDescent="0.25">
      <c r="A858" s="2">
        <v>30697598711</v>
      </c>
      <c r="B858" s="3" t="s">
        <v>900</v>
      </c>
      <c r="C858" s="1" t="s">
        <v>5</v>
      </c>
      <c r="D858" s="3"/>
    </row>
    <row r="859" spans="1:4" ht="15.75" customHeight="1" x14ac:dyDescent="0.25">
      <c r="A859" s="2">
        <v>30716211831</v>
      </c>
      <c r="B859" s="3" t="s">
        <v>901</v>
      </c>
      <c r="C859" s="1" t="s">
        <v>5</v>
      </c>
      <c r="D859" s="3"/>
    </row>
    <row r="860" spans="1:4" ht="15.75" customHeight="1" x14ac:dyDescent="0.25">
      <c r="A860" s="2">
        <v>27054302644</v>
      </c>
      <c r="B860" s="3" t="s">
        <v>902</v>
      </c>
      <c r="C860" s="1"/>
      <c r="D860" s="3"/>
    </row>
    <row r="861" spans="1:4" ht="15.75" customHeight="1" x14ac:dyDescent="0.25">
      <c r="A861" s="2">
        <v>30710165250</v>
      </c>
      <c r="B861" s="3" t="s">
        <v>903</v>
      </c>
      <c r="C861" s="1" t="s">
        <v>5</v>
      </c>
      <c r="D861" s="3"/>
    </row>
    <row r="862" spans="1:4" ht="15.75" customHeight="1" x14ac:dyDescent="0.25">
      <c r="A862" s="2">
        <v>30709717541</v>
      </c>
      <c r="B862" s="3" t="s">
        <v>904</v>
      </c>
      <c r="C862" s="1"/>
      <c r="D862" s="3"/>
    </row>
    <row r="863" spans="1:4" ht="15.75" customHeight="1" x14ac:dyDescent="0.25">
      <c r="A863" s="2">
        <v>20272730521</v>
      </c>
      <c r="B863" s="3" t="s">
        <v>905</v>
      </c>
      <c r="C863" s="1" t="s">
        <v>906</v>
      </c>
      <c r="D863" s="3"/>
    </row>
    <row r="864" spans="1:4" ht="15.75" customHeight="1" x14ac:dyDescent="0.25">
      <c r="A864" s="2">
        <v>30535026692</v>
      </c>
      <c r="B864" s="3" t="s">
        <v>907</v>
      </c>
      <c r="C864" s="1" t="s">
        <v>908</v>
      </c>
      <c r="D864" s="3"/>
    </row>
    <row r="865" spans="1:4" ht="15.75" customHeight="1" x14ac:dyDescent="0.25">
      <c r="A865" s="2">
        <v>20315835411</v>
      </c>
      <c r="B865" s="3" t="s">
        <v>909</v>
      </c>
      <c r="C865" s="1" t="s">
        <v>10</v>
      </c>
      <c r="D865" s="3"/>
    </row>
    <row r="866" spans="1:4" ht="15.75" customHeight="1" x14ac:dyDescent="0.25">
      <c r="A866" s="2">
        <v>20283623271</v>
      </c>
      <c r="B866" s="3" t="s">
        <v>910</v>
      </c>
      <c r="C866" s="1" t="s">
        <v>10</v>
      </c>
      <c r="D866" s="3"/>
    </row>
    <row r="867" spans="1:4" ht="15.75" customHeight="1" x14ac:dyDescent="0.25">
      <c r="A867" s="2">
        <v>30710031939</v>
      </c>
      <c r="B867" s="3" t="s">
        <v>911</v>
      </c>
      <c r="C867" s="1" t="s">
        <v>10</v>
      </c>
      <c r="D867" s="3"/>
    </row>
    <row r="868" spans="1:4" ht="15.75" customHeight="1" x14ac:dyDescent="0.25">
      <c r="A868" s="2">
        <v>30713989904</v>
      </c>
      <c r="B868" s="3" t="s">
        <v>912</v>
      </c>
      <c r="C868" s="1" t="s">
        <v>10</v>
      </c>
      <c r="D868" s="3"/>
    </row>
    <row r="869" spans="1:4" ht="15.75" customHeight="1" x14ac:dyDescent="0.25">
      <c r="A869" s="2">
        <v>30515658269</v>
      </c>
      <c r="B869" s="3" t="s">
        <v>913</v>
      </c>
      <c r="C869" s="1"/>
      <c r="D869" s="3"/>
    </row>
    <row r="870" spans="1:4" ht="15.75" customHeight="1" x14ac:dyDescent="0.25">
      <c r="A870" s="2">
        <v>20361527896</v>
      </c>
      <c r="B870" s="3" t="s">
        <v>914</v>
      </c>
      <c r="C870" s="1"/>
      <c r="D870" s="3"/>
    </row>
    <row r="871" spans="1:4" ht="15.75" customHeight="1" x14ac:dyDescent="0.25">
      <c r="A871" s="2">
        <v>20280337235</v>
      </c>
      <c r="B871" s="3" t="s">
        <v>915</v>
      </c>
      <c r="C871" s="1"/>
      <c r="D871" s="3"/>
    </row>
    <row r="872" spans="1:4" ht="15.75" customHeight="1" x14ac:dyDescent="0.25">
      <c r="A872" s="2">
        <v>30712161767</v>
      </c>
      <c r="B872" s="3" t="s">
        <v>916</v>
      </c>
      <c r="C872" s="1"/>
      <c r="D872" s="3"/>
    </row>
    <row r="873" spans="1:4" ht="15.75" customHeight="1" x14ac:dyDescent="0.25">
      <c r="A873" s="2">
        <v>30708161566</v>
      </c>
      <c r="B873" s="3" t="s">
        <v>917</v>
      </c>
      <c r="C873" s="1"/>
      <c r="D873" s="3"/>
    </row>
    <row r="874" spans="1:4" ht="15.75" customHeight="1" x14ac:dyDescent="0.25">
      <c r="A874" s="2">
        <v>30714818615</v>
      </c>
      <c r="B874" s="3" t="s">
        <v>918</v>
      </c>
      <c r="C874" s="1"/>
      <c r="D874" s="3"/>
    </row>
    <row r="875" spans="1:4" ht="15.75" customHeight="1" x14ac:dyDescent="0.25">
      <c r="A875" s="2">
        <v>27277044027</v>
      </c>
      <c r="B875" s="3" t="s">
        <v>919</v>
      </c>
      <c r="C875" s="1" t="s">
        <v>920</v>
      </c>
      <c r="D875" s="3"/>
    </row>
    <row r="876" spans="1:4" ht="15.75" customHeight="1" x14ac:dyDescent="0.25">
      <c r="A876" s="2">
        <v>30712545549</v>
      </c>
      <c r="B876" s="3" t="s">
        <v>921</v>
      </c>
      <c r="C876" s="1" t="s">
        <v>10</v>
      </c>
      <c r="D876" s="3"/>
    </row>
    <row r="877" spans="1:4" ht="15.75" customHeight="1" x14ac:dyDescent="0.25">
      <c r="A877" s="2">
        <v>30711026939</v>
      </c>
      <c r="B877" s="3" t="s">
        <v>922</v>
      </c>
      <c r="C877" s="1" t="s">
        <v>10</v>
      </c>
      <c r="D877" s="3"/>
    </row>
    <row r="878" spans="1:4" ht="15.75" customHeight="1" x14ac:dyDescent="0.25">
      <c r="A878" s="2">
        <v>30504540177</v>
      </c>
      <c r="B878" s="3" t="s">
        <v>923</v>
      </c>
      <c r="C878" s="1" t="s">
        <v>10</v>
      </c>
      <c r="D878" s="3"/>
    </row>
    <row r="879" spans="1:4" ht="15.75" customHeight="1" x14ac:dyDescent="0.25">
      <c r="A879" s="2">
        <v>20162046447</v>
      </c>
      <c r="B879" s="3" t="s">
        <v>924</v>
      </c>
      <c r="C879" s="1" t="s">
        <v>10</v>
      </c>
      <c r="D879" s="3"/>
    </row>
    <row r="880" spans="1:4" ht="15.75" customHeight="1" x14ac:dyDescent="0.25">
      <c r="A880" s="2">
        <v>20083308088</v>
      </c>
      <c r="B880" s="3" t="s">
        <v>925</v>
      </c>
      <c r="C880" s="1" t="s">
        <v>10</v>
      </c>
      <c r="D880" s="3"/>
    </row>
    <row r="881" spans="1:4" ht="15.75" customHeight="1" x14ac:dyDescent="0.25">
      <c r="A881" s="2">
        <v>30712230351</v>
      </c>
      <c r="B881" s="3" t="s">
        <v>926</v>
      </c>
      <c r="C881" s="1" t="s">
        <v>10</v>
      </c>
      <c r="D881" s="3"/>
    </row>
    <row r="882" spans="1:4" ht="15.75" customHeight="1" x14ac:dyDescent="0.25">
      <c r="A882" s="2">
        <v>33508358259</v>
      </c>
      <c r="B882" s="3" t="s">
        <v>927</v>
      </c>
      <c r="C882" s="1" t="s">
        <v>10</v>
      </c>
      <c r="D882" s="3"/>
    </row>
    <row r="883" spans="1:4" ht="15.75" customHeight="1" x14ac:dyDescent="0.25">
      <c r="A883" s="2">
        <v>20389908569</v>
      </c>
      <c r="B883" s="3" t="s">
        <v>121</v>
      </c>
      <c r="C883" s="1" t="s">
        <v>1458</v>
      </c>
      <c r="D883" s="3"/>
    </row>
    <row r="884" spans="1:4" ht="15.75" customHeight="1" x14ac:dyDescent="0.25">
      <c r="A884" s="2">
        <v>27060319559</v>
      </c>
      <c r="B884" s="3" t="s">
        <v>928</v>
      </c>
      <c r="C884" s="1"/>
      <c r="D884" s="3"/>
    </row>
    <row r="885" spans="1:4" ht="15.75" customHeight="1" x14ac:dyDescent="0.25">
      <c r="A885" s="2">
        <v>30648926231</v>
      </c>
      <c r="B885" s="3" t="s">
        <v>929</v>
      </c>
      <c r="C885" s="1" t="s">
        <v>10</v>
      </c>
      <c r="D885" s="3"/>
    </row>
    <row r="886" spans="1:4" ht="15.75" customHeight="1" x14ac:dyDescent="0.25">
      <c r="A886" s="2">
        <v>30716260514</v>
      </c>
      <c r="B886" s="3" t="s">
        <v>930</v>
      </c>
      <c r="C886" s="1" t="s">
        <v>15</v>
      </c>
      <c r="D886" s="3"/>
    </row>
    <row r="887" spans="1:4" ht="15.75" customHeight="1" x14ac:dyDescent="0.25">
      <c r="A887" s="2">
        <v>30712170421</v>
      </c>
      <c r="B887" s="3" t="s">
        <v>931</v>
      </c>
      <c r="C887" s="1" t="s">
        <v>15</v>
      </c>
      <c r="D887" s="3"/>
    </row>
    <row r="888" spans="1:4" ht="15.75" customHeight="1" x14ac:dyDescent="0.25">
      <c r="A888" s="2">
        <v>30715060546</v>
      </c>
      <c r="B888" s="3" t="s">
        <v>932</v>
      </c>
      <c r="C888" s="1" t="s">
        <v>15</v>
      </c>
      <c r="D888" s="3"/>
    </row>
    <row r="889" spans="1:4" ht="15.75" customHeight="1" x14ac:dyDescent="0.25">
      <c r="A889" s="2">
        <v>30711012849</v>
      </c>
      <c r="B889" s="3" t="s">
        <v>933</v>
      </c>
      <c r="C889" s="1" t="s">
        <v>15</v>
      </c>
      <c r="D889" s="3"/>
    </row>
    <row r="890" spans="1:4" ht="15.75" customHeight="1" x14ac:dyDescent="0.25">
      <c r="A890" s="2">
        <v>30505544656</v>
      </c>
      <c r="B890" s="3" t="s">
        <v>934</v>
      </c>
      <c r="C890" s="1" t="s">
        <v>10</v>
      </c>
      <c r="D890" s="3"/>
    </row>
    <row r="891" spans="1:4" ht="15.75" customHeight="1" x14ac:dyDescent="0.25">
      <c r="A891" s="2">
        <v>30716256584</v>
      </c>
      <c r="B891" s="3" t="s">
        <v>935</v>
      </c>
      <c r="C891" s="1" t="s">
        <v>10</v>
      </c>
      <c r="D891" s="3"/>
    </row>
    <row r="892" spans="1:4" ht="15.75" customHeight="1" x14ac:dyDescent="0.25">
      <c r="A892" s="2">
        <v>30613660190</v>
      </c>
      <c r="B892" s="3" t="s">
        <v>936</v>
      </c>
      <c r="C892" s="1" t="s">
        <v>10</v>
      </c>
      <c r="D892" s="3"/>
    </row>
    <row r="893" spans="1:4" ht="15.75" customHeight="1" x14ac:dyDescent="0.25">
      <c r="A893" s="2">
        <v>20663332720</v>
      </c>
      <c r="B893" s="3" t="s">
        <v>851</v>
      </c>
      <c r="C893" s="1" t="s">
        <v>10</v>
      </c>
      <c r="D893" s="3"/>
    </row>
    <row r="894" spans="1:4" ht="15.75" customHeight="1" x14ac:dyDescent="0.25">
      <c r="A894" s="2">
        <v>30570007870</v>
      </c>
      <c r="B894" s="3" t="s">
        <v>937</v>
      </c>
      <c r="C894" s="1"/>
      <c r="D894" s="3"/>
    </row>
    <row r="895" spans="1:4" ht="15.75" customHeight="1" x14ac:dyDescent="0.25">
      <c r="A895" s="2">
        <v>20338126922</v>
      </c>
      <c r="B895" s="3" t="s">
        <v>938</v>
      </c>
      <c r="C895" s="1"/>
      <c r="D895" s="3"/>
    </row>
    <row r="896" spans="1:4" ht="15.75" customHeight="1" x14ac:dyDescent="0.25">
      <c r="A896" s="2">
        <v>30717042766</v>
      </c>
      <c r="B896" s="3" t="s">
        <v>939</v>
      </c>
      <c r="C896" s="1" t="s">
        <v>7</v>
      </c>
      <c r="D896" s="3"/>
    </row>
    <row r="897" spans="1:4" ht="15.75" customHeight="1" x14ac:dyDescent="0.25">
      <c r="A897" s="2">
        <v>30715204025</v>
      </c>
      <c r="B897" s="3" t="s">
        <v>940</v>
      </c>
      <c r="C897" s="1" t="s">
        <v>10</v>
      </c>
      <c r="D897" s="3"/>
    </row>
    <row r="898" spans="1:4" ht="15.75" customHeight="1" x14ac:dyDescent="0.25">
      <c r="A898" s="2">
        <v>20309652771</v>
      </c>
      <c r="B898" s="3" t="s">
        <v>941</v>
      </c>
      <c r="C898" s="1" t="s">
        <v>942</v>
      </c>
      <c r="D898" s="3"/>
    </row>
    <row r="899" spans="1:4" ht="15.75" customHeight="1" x14ac:dyDescent="0.25">
      <c r="A899" s="2">
        <v>30660153744</v>
      </c>
      <c r="B899" s="3" t="s">
        <v>943</v>
      </c>
      <c r="C899" s="1" t="s">
        <v>920</v>
      </c>
      <c r="D899" s="3"/>
    </row>
    <row r="900" spans="1:4" ht="15.75" customHeight="1" x14ac:dyDescent="0.25">
      <c r="A900" s="2">
        <v>30714288470</v>
      </c>
      <c r="B900" s="3" t="s">
        <v>944</v>
      </c>
      <c r="C900" s="1"/>
      <c r="D900" s="3"/>
    </row>
    <row r="901" spans="1:4" ht="15.75" customHeight="1" x14ac:dyDescent="0.25">
      <c r="A901" s="2">
        <v>30551667800</v>
      </c>
      <c r="B901" s="3" t="s">
        <v>945</v>
      </c>
      <c r="C901" s="1" t="s">
        <v>10</v>
      </c>
      <c r="D901" s="3"/>
    </row>
    <row r="902" spans="1:4" ht="15.75" customHeight="1" x14ac:dyDescent="0.25">
      <c r="A902" s="2">
        <v>30716987708</v>
      </c>
      <c r="B902" s="3" t="s">
        <v>946</v>
      </c>
      <c r="C902" s="1" t="s">
        <v>10</v>
      </c>
      <c r="D902" s="3"/>
    </row>
    <row r="903" spans="1:4" ht="15.75" customHeight="1" x14ac:dyDescent="0.25">
      <c r="A903" s="2">
        <v>20221724845</v>
      </c>
      <c r="B903" s="3" t="s">
        <v>947</v>
      </c>
      <c r="C903" s="1" t="s">
        <v>10</v>
      </c>
      <c r="D903" s="3"/>
    </row>
    <row r="904" spans="1:4" ht="15.75" customHeight="1" x14ac:dyDescent="0.25">
      <c r="A904" s="2">
        <v>30715348906</v>
      </c>
      <c r="B904" s="3" t="s">
        <v>948</v>
      </c>
      <c r="C904" s="1" t="s">
        <v>10</v>
      </c>
      <c r="D904" s="3"/>
    </row>
    <row r="905" spans="1:4" ht="15.75" customHeight="1" x14ac:dyDescent="0.25">
      <c r="A905" s="2">
        <v>30715658107</v>
      </c>
      <c r="B905" s="3" t="s">
        <v>949</v>
      </c>
      <c r="C905" s="1" t="s">
        <v>920</v>
      </c>
      <c r="D905" s="3"/>
    </row>
    <row r="906" spans="1:4" ht="15.75" customHeight="1" x14ac:dyDescent="0.25">
      <c r="A906" s="2">
        <v>30706053812</v>
      </c>
      <c r="B906" s="3" t="s">
        <v>950</v>
      </c>
      <c r="C906" s="1"/>
      <c r="D906" s="3"/>
    </row>
    <row r="907" spans="1:4" ht="15.75" customHeight="1" x14ac:dyDescent="0.25">
      <c r="A907" s="2">
        <v>30547242331</v>
      </c>
      <c r="B907" s="3" t="s">
        <v>951</v>
      </c>
      <c r="C907" s="1"/>
      <c r="D907" s="3"/>
    </row>
    <row r="908" spans="1:4" ht="15.75" customHeight="1" x14ac:dyDescent="0.25">
      <c r="A908" s="2">
        <v>30500036393</v>
      </c>
      <c r="B908" s="3" t="s">
        <v>952</v>
      </c>
      <c r="C908" s="1"/>
      <c r="D908" s="3"/>
    </row>
    <row r="909" spans="1:4" ht="15.75" customHeight="1" x14ac:dyDescent="0.25">
      <c r="A909" s="2">
        <v>30715143190</v>
      </c>
      <c r="B909" s="3" t="s">
        <v>953</v>
      </c>
      <c r="C909" s="1"/>
      <c r="D909" s="3"/>
    </row>
    <row r="910" spans="1:4" ht="15.75" customHeight="1" x14ac:dyDescent="0.25">
      <c r="A910" s="2">
        <v>23302230439</v>
      </c>
      <c r="B910" s="3" t="s">
        <v>954</v>
      </c>
      <c r="C910" s="1"/>
      <c r="D910" s="3"/>
    </row>
    <row r="911" spans="1:4" ht="15.75" customHeight="1" x14ac:dyDescent="0.25">
      <c r="A911" s="2">
        <v>30716132303</v>
      </c>
      <c r="B911" s="3" t="s">
        <v>955</v>
      </c>
      <c r="C911" s="1" t="s">
        <v>920</v>
      </c>
      <c r="D911" s="3"/>
    </row>
    <row r="912" spans="1:4" ht="15.75" customHeight="1" x14ac:dyDescent="0.25">
      <c r="A912" s="2">
        <v>30714295957</v>
      </c>
      <c r="B912" s="3" t="s">
        <v>956</v>
      </c>
      <c r="C912" s="1"/>
      <c r="D912" s="3"/>
    </row>
    <row r="913" spans="1:4" ht="15.75" customHeight="1" x14ac:dyDescent="0.25">
      <c r="A913" s="2">
        <v>20304940019</v>
      </c>
      <c r="B913" s="3" t="s">
        <v>957</v>
      </c>
      <c r="C913" s="1"/>
      <c r="D913" s="3"/>
    </row>
    <row r="914" spans="1:4" ht="15.75" customHeight="1" x14ac:dyDescent="0.25">
      <c r="A914" s="2">
        <v>30715267450</v>
      </c>
      <c r="B914" s="3" t="s">
        <v>958</v>
      </c>
      <c r="C914" s="1"/>
      <c r="D914" s="3"/>
    </row>
    <row r="915" spans="1:4" ht="15.75" customHeight="1" x14ac:dyDescent="0.25">
      <c r="A915" s="2">
        <v>30708338156</v>
      </c>
      <c r="B915" s="3" t="s">
        <v>959</v>
      </c>
      <c r="C915" s="1"/>
      <c r="D915" s="3"/>
    </row>
    <row r="916" spans="1:4" ht="15.75" customHeight="1" x14ac:dyDescent="0.25">
      <c r="A916" s="2">
        <v>24252578532</v>
      </c>
      <c r="B916" s="3" t="s">
        <v>960</v>
      </c>
      <c r="C916" s="1"/>
      <c r="D916" s="3"/>
    </row>
    <row r="917" spans="1:4" ht="15.75" customHeight="1" x14ac:dyDescent="0.25">
      <c r="A917" s="2">
        <v>30708332328</v>
      </c>
      <c r="B917" s="3" t="s">
        <v>961</v>
      </c>
      <c r="C917" s="1"/>
      <c r="D917" s="3"/>
    </row>
    <row r="918" spans="1:4" ht="15.75" customHeight="1" x14ac:dyDescent="0.25">
      <c r="A918" s="2">
        <v>30715153595</v>
      </c>
      <c r="B918" s="3" t="s">
        <v>962</v>
      </c>
      <c r="C918" s="1" t="s">
        <v>10</v>
      </c>
      <c r="D918" s="3"/>
    </row>
    <row r="919" spans="1:4" ht="15.75" customHeight="1" x14ac:dyDescent="0.25">
      <c r="A919" s="2">
        <v>27296000634</v>
      </c>
      <c r="B919" s="3" t="s">
        <v>963</v>
      </c>
      <c r="C919" s="1"/>
      <c r="D919" s="3"/>
    </row>
    <row r="920" spans="1:4" ht="15.75" customHeight="1" x14ac:dyDescent="0.25">
      <c r="A920" s="2">
        <v>20122776477</v>
      </c>
      <c r="B920" s="3" t="s">
        <v>964</v>
      </c>
      <c r="C920" s="1"/>
      <c r="D920" s="3"/>
    </row>
    <row r="921" spans="1:4" ht="15.75" customHeight="1" x14ac:dyDescent="0.25">
      <c r="A921" s="2">
        <v>20117730337</v>
      </c>
      <c r="B921" s="3" t="s">
        <v>965</v>
      </c>
      <c r="C921" s="1"/>
      <c r="D921" s="3"/>
    </row>
    <row r="922" spans="1:4" ht="15.75" customHeight="1" x14ac:dyDescent="0.25">
      <c r="A922" s="2">
        <v>30710255373</v>
      </c>
      <c r="B922" s="3" t="s">
        <v>966</v>
      </c>
      <c r="C922" s="1"/>
      <c r="D922" s="3"/>
    </row>
    <row r="923" spans="1:4" ht="15.75" customHeight="1" x14ac:dyDescent="0.25">
      <c r="A923" s="2">
        <v>30709273309</v>
      </c>
      <c r="B923" s="3" t="s">
        <v>967</v>
      </c>
      <c r="C923" s="1"/>
      <c r="D923" s="3"/>
    </row>
    <row r="924" spans="1:4" ht="15.75" customHeight="1" x14ac:dyDescent="0.25">
      <c r="A924" s="2">
        <v>30709218286</v>
      </c>
      <c r="B924" s="3" t="s">
        <v>968</v>
      </c>
      <c r="C924" s="1"/>
      <c r="D924" s="3"/>
    </row>
    <row r="925" spans="1:4" ht="15.75" customHeight="1" x14ac:dyDescent="0.25">
      <c r="A925" s="2">
        <v>30709793841</v>
      </c>
      <c r="B925" s="3" t="s">
        <v>969</v>
      </c>
      <c r="C925" s="1"/>
      <c r="D925" s="3"/>
    </row>
    <row r="926" spans="1:4" ht="15.75" customHeight="1" x14ac:dyDescent="0.25">
      <c r="A926" s="2">
        <v>23137564289</v>
      </c>
      <c r="B926" s="3" t="s">
        <v>970</v>
      </c>
      <c r="C926" s="1"/>
      <c r="D926" s="3"/>
    </row>
    <row r="927" spans="1:4" ht="15.75" customHeight="1" x14ac:dyDescent="0.25">
      <c r="A927" s="2">
        <v>30708717335</v>
      </c>
      <c r="B927" s="3" t="s">
        <v>971</v>
      </c>
      <c r="C927" s="1"/>
      <c r="D927" s="3"/>
    </row>
    <row r="928" spans="1:4" ht="15.75" customHeight="1" x14ac:dyDescent="0.25">
      <c r="A928" s="2">
        <v>30714947695</v>
      </c>
      <c r="B928" s="3" t="s">
        <v>972</v>
      </c>
      <c r="C928" s="1"/>
      <c r="D928" s="3"/>
    </row>
    <row r="929" spans="1:4" ht="15.75" customHeight="1" x14ac:dyDescent="0.25">
      <c r="A929" s="2">
        <v>33606956849</v>
      </c>
      <c r="B929" s="3" t="s">
        <v>973</v>
      </c>
      <c r="C929" s="1"/>
      <c r="D929" s="3"/>
    </row>
    <row r="930" spans="1:4" ht="15.75" customHeight="1" x14ac:dyDescent="0.25">
      <c r="A930" s="2">
        <v>30717053377</v>
      </c>
      <c r="B930" s="3" t="s">
        <v>974</v>
      </c>
      <c r="C930" s="1"/>
      <c r="D930" s="3"/>
    </row>
    <row r="931" spans="1:4" ht="15.75" customHeight="1" x14ac:dyDescent="0.25">
      <c r="A931" s="2">
        <v>20233336735</v>
      </c>
      <c r="B931" s="3" t="s">
        <v>975</v>
      </c>
      <c r="C931" s="1"/>
      <c r="D931" s="3"/>
    </row>
    <row r="932" spans="1:4" ht="15.75" customHeight="1" x14ac:dyDescent="0.25">
      <c r="A932" s="2">
        <v>30712019359</v>
      </c>
      <c r="B932" s="3" t="s">
        <v>976</v>
      </c>
      <c r="C932" s="1"/>
      <c r="D932" s="3"/>
    </row>
    <row r="933" spans="1:4" ht="15.75" customHeight="1" x14ac:dyDescent="0.25">
      <c r="A933" s="2">
        <v>30547751252</v>
      </c>
      <c r="B933" s="3" t="s">
        <v>977</v>
      </c>
      <c r="C933" s="1"/>
      <c r="D933" s="3"/>
    </row>
    <row r="934" spans="1:4" ht="15.75" customHeight="1" x14ac:dyDescent="0.25">
      <c r="A934" s="2">
        <v>30518878324</v>
      </c>
      <c r="B934" s="3" t="s">
        <v>978</v>
      </c>
      <c r="C934" s="1"/>
      <c r="D934" s="3"/>
    </row>
    <row r="935" spans="1:4" ht="15.75" customHeight="1" x14ac:dyDescent="0.25">
      <c r="A935" s="2">
        <v>27048204762</v>
      </c>
      <c r="B935" s="3" t="s">
        <v>979</v>
      </c>
      <c r="C935" s="1"/>
      <c r="D935" s="3"/>
    </row>
    <row r="936" spans="1:4" ht="15.75" customHeight="1" x14ac:dyDescent="0.25">
      <c r="A936" s="2">
        <v>20268252585</v>
      </c>
      <c r="B936" s="3" t="s">
        <v>980</v>
      </c>
      <c r="C936" s="1"/>
      <c r="D936" s="3"/>
    </row>
    <row r="937" spans="1:4" ht="15.75" customHeight="1" x14ac:dyDescent="0.25">
      <c r="A937" s="2">
        <v>30715413678</v>
      </c>
      <c r="B937" s="3" t="s">
        <v>981</v>
      </c>
      <c r="C937" s="1"/>
      <c r="D937" s="3"/>
    </row>
    <row r="938" spans="1:4" ht="15.75" customHeight="1" x14ac:dyDescent="0.25">
      <c r="A938" s="2">
        <v>33710384229</v>
      </c>
      <c r="B938" s="3" t="s">
        <v>982</v>
      </c>
      <c r="C938" s="1"/>
      <c r="D938" s="3"/>
    </row>
    <row r="939" spans="1:4" ht="15.75" customHeight="1" x14ac:dyDescent="0.25">
      <c r="A939" s="2">
        <v>23218331939</v>
      </c>
      <c r="B939" s="3" t="s">
        <v>983</v>
      </c>
      <c r="C939" s="1"/>
      <c r="D939" s="3"/>
    </row>
    <row r="940" spans="1:4" ht="15.75" customHeight="1" x14ac:dyDescent="0.25">
      <c r="A940" s="2">
        <v>30629246076</v>
      </c>
      <c r="B940" s="3" t="s">
        <v>984</v>
      </c>
      <c r="C940" s="1"/>
      <c r="D940" s="3"/>
    </row>
    <row r="941" spans="1:4" ht="15.75" customHeight="1" x14ac:dyDescent="0.25">
      <c r="A941" s="2">
        <v>33715657479</v>
      </c>
      <c r="B941" s="3" t="s">
        <v>985</v>
      </c>
      <c r="C941" s="1"/>
      <c r="D941" s="3"/>
    </row>
    <row r="942" spans="1:4" ht="15.75" customHeight="1" x14ac:dyDescent="0.25">
      <c r="A942" s="2">
        <v>20268893777</v>
      </c>
      <c r="B942" s="3" t="s">
        <v>986</v>
      </c>
      <c r="C942" s="1"/>
      <c r="D942" s="3"/>
    </row>
    <row r="943" spans="1:4" ht="15.75" customHeight="1" x14ac:dyDescent="0.25">
      <c r="A943" s="2">
        <v>30715891154</v>
      </c>
      <c r="B943" s="3" t="s">
        <v>987</v>
      </c>
      <c r="C943" s="1"/>
      <c r="D943" s="3"/>
    </row>
    <row r="944" spans="1:4" ht="15.75" customHeight="1" x14ac:dyDescent="0.25">
      <c r="A944" s="2">
        <v>30686489325</v>
      </c>
      <c r="B944" s="3" t="s">
        <v>988</v>
      </c>
      <c r="C944" s="1"/>
      <c r="D944" s="3"/>
    </row>
    <row r="945" spans="1:4" ht="15.75" customHeight="1" x14ac:dyDescent="0.25">
      <c r="A945" s="2">
        <v>30716995883</v>
      </c>
      <c r="B945" s="3" t="s">
        <v>989</v>
      </c>
      <c r="C945" s="1" t="s">
        <v>942</v>
      </c>
      <c r="D945" s="3"/>
    </row>
    <row r="946" spans="1:4" ht="15.75" customHeight="1" x14ac:dyDescent="0.25">
      <c r="A946" s="2">
        <v>30717544834</v>
      </c>
      <c r="B946" s="3" t="s">
        <v>990</v>
      </c>
      <c r="C946" s="1"/>
      <c r="D946" s="3"/>
    </row>
    <row r="947" spans="1:4" ht="15.75" customHeight="1" x14ac:dyDescent="0.25">
      <c r="A947" s="2">
        <v>30619020134</v>
      </c>
      <c r="B947" s="3" t="s">
        <v>991</v>
      </c>
      <c r="C947" s="1"/>
      <c r="D947" s="3"/>
    </row>
    <row r="948" spans="1:4" ht="15.75" customHeight="1" x14ac:dyDescent="0.25">
      <c r="A948" s="2">
        <v>30711421323</v>
      </c>
      <c r="B948" s="3" t="s">
        <v>992</v>
      </c>
      <c r="C948" s="1"/>
      <c r="D948" s="3"/>
    </row>
    <row r="949" spans="1:4" ht="15.75" customHeight="1" x14ac:dyDescent="0.25">
      <c r="A949" s="2">
        <v>30715523880</v>
      </c>
      <c r="B949" s="3" t="s">
        <v>993</v>
      </c>
      <c r="C949" s="1"/>
      <c r="D949" s="3"/>
    </row>
    <row r="950" spans="1:4" ht="15.75" customHeight="1" x14ac:dyDescent="0.25">
      <c r="A950" s="2">
        <v>30715111604</v>
      </c>
      <c r="B950" s="3" t="s">
        <v>994</v>
      </c>
      <c r="C950" s="1"/>
      <c r="D950" s="3"/>
    </row>
    <row r="951" spans="1:4" ht="15.75" customHeight="1" x14ac:dyDescent="0.25">
      <c r="A951" s="2">
        <v>20280218848</v>
      </c>
      <c r="B951" s="3" t="s">
        <v>995</v>
      </c>
      <c r="C951" s="1"/>
      <c r="D951" s="3"/>
    </row>
    <row r="952" spans="1:4" ht="15.75" customHeight="1" x14ac:dyDescent="0.25">
      <c r="A952" s="2">
        <v>20116347742</v>
      </c>
      <c r="B952" s="3" t="s">
        <v>996</v>
      </c>
      <c r="C952" s="1"/>
      <c r="D952" s="3"/>
    </row>
    <row r="953" spans="1:4" ht="15.75" customHeight="1" x14ac:dyDescent="0.25">
      <c r="A953" s="2">
        <v>30711541140</v>
      </c>
      <c r="B953" s="3" t="s">
        <v>997</v>
      </c>
      <c r="C953" s="1"/>
      <c r="D953" s="3"/>
    </row>
    <row r="954" spans="1:4" ht="15.75" customHeight="1" x14ac:dyDescent="0.25">
      <c r="A954" s="2">
        <v>30716885050</v>
      </c>
      <c r="B954" s="3" t="s">
        <v>998</v>
      </c>
      <c r="C954" s="1"/>
      <c r="D954" s="3"/>
    </row>
    <row r="955" spans="1:4" ht="15.75" customHeight="1" x14ac:dyDescent="0.25">
      <c r="A955" s="2">
        <v>30544711608</v>
      </c>
      <c r="B955" s="3" t="s">
        <v>999</v>
      </c>
      <c r="C955" s="1"/>
      <c r="D955" s="3"/>
    </row>
    <row r="956" spans="1:4" ht="15.75" customHeight="1" x14ac:dyDescent="0.25">
      <c r="A956" s="2">
        <v>30708218185</v>
      </c>
      <c r="B956" s="3" t="s">
        <v>1000</v>
      </c>
      <c r="C956" s="1"/>
      <c r="D956" s="3"/>
    </row>
    <row r="957" spans="1:4" ht="15.75" customHeight="1" x14ac:dyDescent="0.25">
      <c r="A957" s="2">
        <v>30577207190</v>
      </c>
      <c r="B957" s="3" t="s">
        <v>1001</v>
      </c>
      <c r="C957" s="1"/>
      <c r="D957" s="3"/>
    </row>
    <row r="958" spans="1:4" ht="15.75" customHeight="1" x14ac:dyDescent="0.25">
      <c r="A958" s="2">
        <v>20341465134</v>
      </c>
      <c r="B958" s="3" t="s">
        <v>1002</v>
      </c>
      <c r="C958" s="1" t="s">
        <v>7</v>
      </c>
      <c r="D958" s="3" t="s">
        <v>1003</v>
      </c>
    </row>
    <row r="959" spans="1:4" ht="15.75" customHeight="1" x14ac:dyDescent="0.25">
      <c r="A959" s="2">
        <v>20341462933</v>
      </c>
      <c r="B959" s="3" t="s">
        <v>1004</v>
      </c>
      <c r="C959" s="1" t="s">
        <v>1005</v>
      </c>
      <c r="D959" s="3" t="s">
        <v>1006</v>
      </c>
    </row>
    <row r="960" spans="1:4" ht="15.75" customHeight="1" x14ac:dyDescent="0.25">
      <c r="A960" s="2">
        <v>27173820866</v>
      </c>
      <c r="B960" s="3" t="s">
        <v>1007</v>
      </c>
      <c r="C960" s="1" t="s">
        <v>1456</v>
      </c>
      <c r="D960" s="3"/>
    </row>
    <row r="961" spans="1:4" ht="15.75" customHeight="1" x14ac:dyDescent="0.25">
      <c r="A961" s="2">
        <v>20244271740</v>
      </c>
      <c r="B961" s="3" t="s">
        <v>1008</v>
      </c>
      <c r="C961" s="1"/>
      <c r="D961" s="3"/>
    </row>
    <row r="962" spans="1:4" ht="15.75" customHeight="1" x14ac:dyDescent="0.25">
      <c r="A962" s="2">
        <v>20403931420</v>
      </c>
      <c r="B962" s="3" t="s">
        <v>1009</v>
      </c>
      <c r="C962" s="1" t="s">
        <v>1456</v>
      </c>
      <c r="D962" s="3"/>
    </row>
    <row r="963" spans="1:4" ht="15.75" customHeight="1" x14ac:dyDescent="0.25">
      <c r="A963" s="2">
        <v>23326777269</v>
      </c>
      <c r="B963" s="3" t="s">
        <v>1010</v>
      </c>
      <c r="C963" s="1"/>
      <c r="D963" s="3"/>
    </row>
    <row r="964" spans="1:4" ht="15.75" customHeight="1" x14ac:dyDescent="0.25">
      <c r="A964" s="2">
        <v>20417805878</v>
      </c>
      <c r="B964" s="3" t="s">
        <v>1011</v>
      </c>
      <c r="C964" s="1"/>
      <c r="D964" s="3"/>
    </row>
    <row r="965" spans="1:4" ht="15.75" customHeight="1" x14ac:dyDescent="0.25">
      <c r="A965" s="2">
        <v>30709953482</v>
      </c>
      <c r="B965" s="3" t="s">
        <v>1012</v>
      </c>
      <c r="C965" s="1" t="s">
        <v>920</v>
      </c>
      <c r="D965" s="3"/>
    </row>
    <row r="966" spans="1:4" ht="15.75" customHeight="1" x14ac:dyDescent="0.25">
      <c r="A966" s="2">
        <v>30716998718</v>
      </c>
      <c r="B966" s="3" t="s">
        <v>1013</v>
      </c>
      <c r="C966" s="1"/>
      <c r="D966" s="3"/>
    </row>
    <row r="967" spans="1:4" ht="15.75" customHeight="1" x14ac:dyDescent="0.25">
      <c r="A967" s="2">
        <v>30707135596</v>
      </c>
      <c r="B967" s="3" t="s">
        <v>1014</v>
      </c>
      <c r="C967" s="1" t="s">
        <v>46</v>
      </c>
      <c r="D967" s="3"/>
    </row>
    <row r="968" spans="1:4" ht="15.75" customHeight="1" x14ac:dyDescent="0.25">
      <c r="A968" s="2">
        <v>30715402765</v>
      </c>
      <c r="B968" s="3" t="s">
        <v>1015</v>
      </c>
      <c r="C968" s="1" t="s">
        <v>920</v>
      </c>
      <c r="D968" s="3"/>
    </row>
    <row r="969" spans="1:4" ht="15.75" customHeight="1" x14ac:dyDescent="0.25">
      <c r="A969" s="2">
        <v>30594494187</v>
      </c>
      <c r="B969" s="3" t="s">
        <v>1016</v>
      </c>
      <c r="C969" s="1" t="s">
        <v>5</v>
      </c>
      <c r="D969" s="3"/>
    </row>
    <row r="970" spans="1:4" ht="15.75" customHeight="1" x14ac:dyDescent="0.25">
      <c r="A970" s="2">
        <v>20309151489</v>
      </c>
      <c r="B970" s="3" t="s">
        <v>1017</v>
      </c>
      <c r="C970" s="1"/>
      <c r="D970" s="3"/>
    </row>
    <row r="971" spans="1:4" ht="15.75" customHeight="1" x14ac:dyDescent="0.25">
      <c r="A971" s="2">
        <v>20299039367</v>
      </c>
      <c r="B971" s="3" t="s">
        <v>1018</v>
      </c>
      <c r="C971" s="1"/>
      <c r="D971" s="3"/>
    </row>
    <row r="972" spans="1:4" ht="15.75" customHeight="1" x14ac:dyDescent="0.25">
      <c r="A972" s="2">
        <v>20284880049</v>
      </c>
      <c r="B972" s="3" t="s">
        <v>1019</v>
      </c>
      <c r="C972" s="1" t="s">
        <v>1465</v>
      </c>
      <c r="D972" s="3"/>
    </row>
    <row r="973" spans="1:4" ht="15.75" customHeight="1" x14ac:dyDescent="0.25">
      <c r="A973" s="2">
        <v>30582605021</v>
      </c>
      <c r="B973" s="3" t="s">
        <v>1020</v>
      </c>
      <c r="C973" s="1"/>
      <c r="D973" s="3"/>
    </row>
    <row r="974" spans="1:4" ht="15.75" customHeight="1" x14ac:dyDescent="0.25">
      <c r="A974" s="2">
        <v>27217954369</v>
      </c>
      <c r="B974" s="3" t="s">
        <v>1021</v>
      </c>
      <c r="C974" s="1"/>
      <c r="D974" s="3"/>
    </row>
    <row r="975" spans="1:4" ht="15.75" customHeight="1" x14ac:dyDescent="0.25">
      <c r="A975" s="2">
        <v>20319700081</v>
      </c>
      <c r="B975" s="3" t="s">
        <v>1022</v>
      </c>
      <c r="C975" s="1"/>
      <c r="D975" s="3"/>
    </row>
    <row r="976" spans="1:4" ht="15.75" customHeight="1" x14ac:dyDescent="0.25">
      <c r="A976" s="2">
        <v>30710730845</v>
      </c>
      <c r="B976" s="3" t="s">
        <v>1023</v>
      </c>
      <c r="C976" s="1" t="s">
        <v>942</v>
      </c>
      <c r="D976" s="3"/>
    </row>
    <row r="977" spans="1:4" ht="15.75" customHeight="1" x14ac:dyDescent="0.25">
      <c r="A977" s="2">
        <v>30709511846</v>
      </c>
      <c r="B977" s="3" t="s">
        <v>1024</v>
      </c>
      <c r="C977" s="1" t="s">
        <v>1462</v>
      </c>
      <c r="D977" s="3"/>
    </row>
    <row r="978" spans="1:4" ht="15.75" customHeight="1" x14ac:dyDescent="0.25">
      <c r="A978" s="2">
        <v>30709788635</v>
      </c>
      <c r="B978" s="3" t="s">
        <v>1025</v>
      </c>
      <c r="C978" s="1" t="s">
        <v>1465</v>
      </c>
      <c r="D978" s="3"/>
    </row>
    <row r="979" spans="1:4" ht="15.75" customHeight="1" x14ac:dyDescent="0.25">
      <c r="A979" s="2">
        <v>30714971782</v>
      </c>
      <c r="B979" s="3" t="s">
        <v>1026</v>
      </c>
      <c r="C979" s="1"/>
      <c r="D979" s="3"/>
    </row>
    <row r="980" spans="1:4" ht="15.75" customHeight="1" x14ac:dyDescent="0.25">
      <c r="A980" s="2">
        <v>20278028810</v>
      </c>
      <c r="B980" s="3" t="s">
        <v>1027</v>
      </c>
      <c r="C980" s="1"/>
      <c r="D980" s="3"/>
    </row>
    <row r="981" spans="1:4" ht="15.75" customHeight="1" x14ac:dyDescent="0.25">
      <c r="A981" s="2">
        <v>30580111315</v>
      </c>
      <c r="B981" s="3" t="s">
        <v>1028</v>
      </c>
      <c r="C981" s="1" t="s">
        <v>5</v>
      </c>
      <c r="D981" s="3"/>
    </row>
    <row r="982" spans="1:4" ht="15.75" customHeight="1" x14ac:dyDescent="0.25">
      <c r="A982" s="2">
        <v>30709665967</v>
      </c>
      <c r="B982" s="3" t="s">
        <v>1029</v>
      </c>
      <c r="C982" s="1" t="s">
        <v>942</v>
      </c>
      <c r="D982" s="3"/>
    </row>
    <row r="983" spans="1:4" ht="15.75" customHeight="1" x14ac:dyDescent="0.25">
      <c r="A983" s="2">
        <v>30631047145</v>
      </c>
      <c r="B983" s="3" t="s">
        <v>1030</v>
      </c>
      <c r="C983" s="1" t="s">
        <v>942</v>
      </c>
      <c r="D983" s="3"/>
    </row>
    <row r="984" spans="1:4" ht="15.75" customHeight="1" x14ac:dyDescent="0.25">
      <c r="A984" s="2">
        <v>30709131733</v>
      </c>
      <c r="B984" s="3" t="s">
        <v>1031</v>
      </c>
      <c r="C984" s="1" t="s">
        <v>942</v>
      </c>
      <c r="D984" s="3"/>
    </row>
    <row r="985" spans="1:4" ht="15.75" customHeight="1" x14ac:dyDescent="0.25">
      <c r="A985" s="2">
        <v>30678814357</v>
      </c>
      <c r="B985" s="3" t="s">
        <v>1032</v>
      </c>
      <c r="C985" s="1" t="s">
        <v>46</v>
      </c>
      <c r="D985" s="3"/>
    </row>
    <row r="986" spans="1:4" ht="15.75" customHeight="1" x14ac:dyDescent="0.25">
      <c r="A986" s="2">
        <v>20247551337</v>
      </c>
      <c r="B986" s="3" t="s">
        <v>1033</v>
      </c>
      <c r="C986" s="1"/>
      <c r="D986" s="3"/>
    </row>
    <row r="987" spans="1:4" ht="15.75" customHeight="1" x14ac:dyDescent="0.25">
      <c r="A987" s="2">
        <v>20125142851</v>
      </c>
      <c r="B987" s="3" t="s">
        <v>1034</v>
      </c>
      <c r="C987" s="1" t="s">
        <v>942</v>
      </c>
      <c r="D987" s="3"/>
    </row>
    <row r="988" spans="1:4" ht="15.75" customHeight="1" x14ac:dyDescent="0.25">
      <c r="A988" s="2">
        <v>30717334384</v>
      </c>
      <c r="B988" s="3" t="s">
        <v>1035</v>
      </c>
      <c r="C988" s="1"/>
      <c r="D988" s="3"/>
    </row>
    <row r="989" spans="1:4" ht="15.75" customHeight="1" x14ac:dyDescent="0.25">
      <c r="A989" s="2">
        <v>33715571639</v>
      </c>
      <c r="B989" s="3" t="s">
        <v>1036</v>
      </c>
      <c r="C989" s="1" t="s">
        <v>1452</v>
      </c>
      <c r="D989" s="3"/>
    </row>
    <row r="990" spans="1:4" ht="15.75" customHeight="1" x14ac:dyDescent="0.25">
      <c r="A990" s="2">
        <v>20296550184</v>
      </c>
      <c r="B990" s="3" t="s">
        <v>1037</v>
      </c>
      <c r="C990" s="1" t="s">
        <v>1464</v>
      </c>
      <c r="D990" s="3"/>
    </row>
    <row r="991" spans="1:4" ht="15.75" customHeight="1" x14ac:dyDescent="0.25">
      <c r="A991" s="2">
        <v>27148854764</v>
      </c>
      <c r="B991" s="3" t="s">
        <v>1038</v>
      </c>
      <c r="C991" s="1"/>
      <c r="D991" s="3"/>
    </row>
    <row r="992" spans="1:4" ht="15.75" customHeight="1" x14ac:dyDescent="0.25">
      <c r="A992" s="2">
        <v>30707756434</v>
      </c>
      <c r="B992" s="3" t="s">
        <v>1039</v>
      </c>
      <c r="C992" s="1" t="s">
        <v>7</v>
      </c>
      <c r="D992" s="3"/>
    </row>
    <row r="993" spans="1:4" ht="15.75" customHeight="1" x14ac:dyDescent="0.25">
      <c r="A993" s="2">
        <v>30715060759</v>
      </c>
      <c r="B993" s="3" t="s">
        <v>1040</v>
      </c>
      <c r="C993" s="1"/>
      <c r="D993" s="3"/>
    </row>
    <row r="994" spans="1:4" ht="15.75" customHeight="1" x14ac:dyDescent="0.25">
      <c r="A994" s="2">
        <v>30708622423</v>
      </c>
      <c r="B994" s="3" t="s">
        <v>1041</v>
      </c>
      <c r="C994" s="1"/>
      <c r="D994" s="3"/>
    </row>
    <row r="995" spans="1:4" ht="15.75" customHeight="1" x14ac:dyDescent="0.25">
      <c r="A995" s="2">
        <v>30535770294</v>
      </c>
      <c r="B995" s="3" t="s">
        <v>1042</v>
      </c>
      <c r="C995" s="1"/>
      <c r="D995" s="3"/>
    </row>
    <row r="996" spans="1:4" ht="15.75" customHeight="1" x14ac:dyDescent="0.25">
      <c r="A996" s="2">
        <v>30710212127</v>
      </c>
      <c r="B996" s="3" t="s">
        <v>1043</v>
      </c>
      <c r="C996" s="1" t="s">
        <v>942</v>
      </c>
      <c r="D996" s="3"/>
    </row>
    <row r="997" spans="1:4" ht="15.75" customHeight="1" x14ac:dyDescent="0.25">
      <c r="A997" s="2">
        <v>30628274327</v>
      </c>
      <c r="B997" s="3" t="s">
        <v>1044</v>
      </c>
      <c r="C997" s="1"/>
      <c r="D997" s="3"/>
    </row>
    <row r="998" spans="1:4" ht="15.75" customHeight="1" x14ac:dyDescent="0.25">
      <c r="A998" s="2">
        <v>33717088269</v>
      </c>
      <c r="B998" s="3" t="s">
        <v>1045</v>
      </c>
      <c r="C998" s="1"/>
      <c r="D998" s="3"/>
    </row>
    <row r="999" spans="1:4" ht="15.75" customHeight="1" x14ac:dyDescent="0.25">
      <c r="A999" s="2">
        <v>33708467699</v>
      </c>
      <c r="B999" s="3" t="s">
        <v>1046</v>
      </c>
      <c r="C999" s="1"/>
      <c r="D999" s="3"/>
    </row>
    <row r="1000" spans="1:4" ht="15.75" customHeight="1" x14ac:dyDescent="0.25">
      <c r="A1000" s="2">
        <v>30628274327</v>
      </c>
      <c r="B1000" s="3" t="s">
        <v>1044</v>
      </c>
      <c r="C1000" s="1"/>
      <c r="D1000" s="3"/>
    </row>
    <row r="1001" spans="1:4" ht="15.75" customHeight="1" x14ac:dyDescent="0.25">
      <c r="A1001" s="2">
        <v>27134325327</v>
      </c>
      <c r="B1001" s="3" t="s">
        <v>1047</v>
      </c>
      <c r="C1001" s="1"/>
      <c r="D1001" s="3"/>
    </row>
    <row r="1002" spans="1:4" ht="15.75" customHeight="1" x14ac:dyDescent="0.25">
      <c r="A1002" s="2">
        <v>30708844248</v>
      </c>
      <c r="B1002" s="3" t="s">
        <v>1048</v>
      </c>
      <c r="C1002" s="1"/>
      <c r="D1002" s="3"/>
    </row>
    <row r="1003" spans="1:4" ht="15.75" customHeight="1" x14ac:dyDescent="0.25">
      <c r="A1003" s="2">
        <v>30638318470</v>
      </c>
      <c r="B1003" s="3" t="s">
        <v>1049</v>
      </c>
      <c r="C1003" s="1"/>
      <c r="D1003" s="3"/>
    </row>
    <row r="1004" spans="1:4" ht="15.75" customHeight="1" x14ac:dyDescent="0.25">
      <c r="A1004" s="2">
        <v>30628274327</v>
      </c>
      <c r="B1004" s="3" t="s">
        <v>1044</v>
      </c>
      <c r="C1004" s="1"/>
      <c r="D1004" s="3"/>
    </row>
    <row r="1005" spans="1:4" ht="15.75" customHeight="1" x14ac:dyDescent="0.25">
      <c r="A1005" s="2">
        <v>30712179909</v>
      </c>
      <c r="B1005" s="3" t="s">
        <v>1050</v>
      </c>
      <c r="C1005" s="1" t="s">
        <v>908</v>
      </c>
      <c r="D1005" s="3"/>
    </row>
    <row r="1006" spans="1:4" ht="15.75" customHeight="1" x14ac:dyDescent="0.25">
      <c r="A1006" s="2">
        <v>30707835563</v>
      </c>
      <c r="B1006" s="3" t="s">
        <v>1051</v>
      </c>
      <c r="C1006" s="1"/>
      <c r="D1006" s="3"/>
    </row>
    <row r="1007" spans="1:4" ht="15.75" customHeight="1" x14ac:dyDescent="0.25">
      <c r="A1007" s="2">
        <v>27271779289</v>
      </c>
      <c r="B1007" s="3" t="s">
        <v>1052</v>
      </c>
      <c r="C1007" s="1"/>
      <c r="D1007" s="3"/>
    </row>
    <row r="1008" spans="1:4" ht="15.75" customHeight="1" x14ac:dyDescent="0.25">
      <c r="A1008" s="2">
        <v>20921575743</v>
      </c>
      <c r="B1008" s="3" t="s">
        <v>1053</v>
      </c>
      <c r="C1008" s="1" t="s">
        <v>1454</v>
      </c>
      <c r="D1008" s="3"/>
    </row>
    <row r="1009" spans="1:4" ht="15.75" customHeight="1" x14ac:dyDescent="0.25">
      <c r="A1009" s="2">
        <v>30717014754</v>
      </c>
      <c r="B1009" s="3" t="s">
        <v>1054</v>
      </c>
      <c r="C1009" s="1"/>
      <c r="D1009" s="3"/>
    </row>
    <row r="1010" spans="1:4" ht="15.75" customHeight="1" x14ac:dyDescent="0.25">
      <c r="A1010" s="2">
        <v>30708166673</v>
      </c>
      <c r="B1010" s="3" t="s">
        <v>1055</v>
      </c>
      <c r="C1010" s="1"/>
      <c r="D1010" s="3"/>
    </row>
    <row r="1011" spans="1:4" ht="15.75" customHeight="1" x14ac:dyDescent="0.25">
      <c r="A1011" s="2">
        <v>30715864262</v>
      </c>
      <c r="B1011" s="3" t="s">
        <v>1056</v>
      </c>
      <c r="C1011" s="1" t="s">
        <v>5</v>
      </c>
      <c r="D1011" s="3"/>
    </row>
    <row r="1012" spans="1:4" ht="15.75" customHeight="1" x14ac:dyDescent="0.25">
      <c r="A1012" s="2">
        <v>30711726019</v>
      </c>
      <c r="B1012" s="3" t="s">
        <v>1057</v>
      </c>
      <c r="C1012" s="1" t="s">
        <v>1453</v>
      </c>
      <c r="D1012" s="3"/>
    </row>
    <row r="1013" spans="1:4" ht="15.75" customHeight="1" x14ac:dyDescent="0.25">
      <c r="A1013" s="2">
        <v>30711782997</v>
      </c>
      <c r="B1013" s="3" t="s">
        <v>1058</v>
      </c>
      <c r="C1013" s="1"/>
      <c r="D1013" s="3"/>
    </row>
    <row r="1014" spans="1:4" ht="15.75" customHeight="1" x14ac:dyDescent="0.25">
      <c r="A1014" s="2">
        <v>30716036711</v>
      </c>
      <c r="B1014" s="3" t="s">
        <v>1059</v>
      </c>
      <c r="C1014" s="1"/>
      <c r="D1014" s="3"/>
    </row>
    <row r="1015" spans="1:4" ht="15.75" customHeight="1" x14ac:dyDescent="0.25">
      <c r="A1015" s="2">
        <v>23287538839</v>
      </c>
      <c r="B1015" s="3" t="s">
        <v>1060</v>
      </c>
      <c r="C1015" s="1"/>
      <c r="D1015" s="3"/>
    </row>
    <row r="1016" spans="1:4" ht="15.75" customHeight="1" x14ac:dyDescent="0.25">
      <c r="A1016" s="2">
        <v>30716401525</v>
      </c>
      <c r="B1016" s="3" t="s">
        <v>1061</v>
      </c>
      <c r="C1016" s="1"/>
      <c r="D1016" s="3"/>
    </row>
    <row r="1017" spans="1:4" ht="15.75" customHeight="1" x14ac:dyDescent="0.25">
      <c r="A1017" s="2">
        <v>30559932236</v>
      </c>
      <c r="B1017" s="3" t="s">
        <v>1062</v>
      </c>
      <c r="C1017" s="1" t="s">
        <v>1464</v>
      </c>
      <c r="D1017" s="3"/>
    </row>
    <row r="1018" spans="1:4" ht="15.75" customHeight="1" x14ac:dyDescent="0.25">
      <c r="A1018" s="2">
        <v>20125142851</v>
      </c>
      <c r="B1018" s="3" t="s">
        <v>1034</v>
      </c>
      <c r="C1018" s="1" t="s">
        <v>942</v>
      </c>
      <c r="D1018" s="3"/>
    </row>
    <row r="1019" spans="1:4" ht="15.75" customHeight="1" x14ac:dyDescent="0.25">
      <c r="A1019" s="2">
        <v>30604942051</v>
      </c>
      <c r="B1019" s="3" t="s">
        <v>1063</v>
      </c>
      <c r="C1019" s="1"/>
      <c r="D1019" s="3"/>
    </row>
    <row r="1020" spans="1:4" ht="15.75" customHeight="1" x14ac:dyDescent="0.25">
      <c r="A1020" s="2">
        <v>20297899830</v>
      </c>
      <c r="B1020" s="3" t="s">
        <v>1064</v>
      </c>
      <c r="C1020" s="1" t="s">
        <v>942</v>
      </c>
      <c r="D1020" s="3"/>
    </row>
    <row r="1021" spans="1:4" ht="15.75" customHeight="1" x14ac:dyDescent="0.25">
      <c r="A1021" s="2">
        <v>33606484599</v>
      </c>
      <c r="B1021" s="3" t="s">
        <v>1065</v>
      </c>
      <c r="C1021" s="1" t="s">
        <v>942</v>
      </c>
      <c r="D1021" s="3"/>
    </row>
    <row r="1022" spans="1:4" ht="15.75" customHeight="1" x14ac:dyDescent="0.25">
      <c r="A1022" s="2">
        <v>30716809893</v>
      </c>
      <c r="B1022" s="3" t="s">
        <v>1066</v>
      </c>
      <c r="C1022" s="1"/>
      <c r="D1022" s="3"/>
    </row>
    <row r="1023" spans="1:4" ht="15.75" customHeight="1" x14ac:dyDescent="0.25">
      <c r="A1023" s="2">
        <v>30717405680</v>
      </c>
      <c r="B1023" s="3" t="s">
        <v>1067</v>
      </c>
      <c r="C1023" s="1"/>
      <c r="D1023" s="3"/>
    </row>
    <row r="1024" spans="1:4" ht="15.75" customHeight="1" x14ac:dyDescent="0.25">
      <c r="A1024" s="2">
        <v>30525558246</v>
      </c>
      <c r="B1024" s="3" t="s">
        <v>1068</v>
      </c>
      <c r="C1024" s="1"/>
      <c r="D1024" s="3"/>
    </row>
    <row r="1025" spans="1:4" ht="15.75" customHeight="1" x14ac:dyDescent="0.25">
      <c r="A1025" s="2">
        <v>30714867322</v>
      </c>
      <c r="B1025" s="3" t="s">
        <v>1069</v>
      </c>
      <c r="C1025" s="1"/>
      <c r="D1025" s="3"/>
    </row>
    <row r="1026" spans="1:4" ht="15.75" customHeight="1" x14ac:dyDescent="0.25">
      <c r="A1026" s="2">
        <v>20259150249</v>
      </c>
      <c r="B1026" s="3" t="s">
        <v>1070</v>
      </c>
      <c r="C1026" s="1"/>
      <c r="D1026" s="3"/>
    </row>
    <row r="1027" spans="1:4" ht="15.75" customHeight="1" x14ac:dyDescent="0.25">
      <c r="A1027" s="2">
        <v>20365938688</v>
      </c>
      <c r="B1027" s="3" t="s">
        <v>1071</v>
      </c>
      <c r="C1027" s="1" t="s">
        <v>1072</v>
      </c>
      <c r="D1027" s="3"/>
    </row>
    <row r="1028" spans="1:4" ht="15.75" customHeight="1" x14ac:dyDescent="0.25">
      <c r="A1028" s="2">
        <v>30554466806</v>
      </c>
      <c r="B1028" s="3" t="s">
        <v>1073</v>
      </c>
      <c r="C1028" s="1" t="s">
        <v>908</v>
      </c>
      <c r="D1028" s="3"/>
    </row>
    <row r="1029" spans="1:4" ht="15.75" customHeight="1" x14ac:dyDescent="0.25">
      <c r="A1029" s="2">
        <v>20338344695</v>
      </c>
      <c r="B1029" s="3" t="s">
        <v>1074</v>
      </c>
      <c r="C1029" s="1" t="s">
        <v>942</v>
      </c>
      <c r="D1029" s="3"/>
    </row>
    <row r="1030" spans="1:4" ht="15.75" customHeight="1" x14ac:dyDescent="0.25">
      <c r="A1030" s="2">
        <v>20136544625</v>
      </c>
      <c r="B1030" s="3" t="s">
        <v>1075</v>
      </c>
      <c r="C1030" s="1" t="s">
        <v>1457</v>
      </c>
      <c r="D1030" s="3"/>
    </row>
    <row r="1031" spans="1:4" ht="15.75" customHeight="1" x14ac:dyDescent="0.25">
      <c r="A1031" s="2">
        <v>27387896150</v>
      </c>
      <c r="B1031" s="3" t="s">
        <v>1076</v>
      </c>
      <c r="C1031" s="1" t="s">
        <v>1077</v>
      </c>
      <c r="D1031" s="3"/>
    </row>
    <row r="1032" spans="1:4" ht="15.75" customHeight="1" x14ac:dyDescent="0.25">
      <c r="A1032" s="2">
        <v>27925308868</v>
      </c>
      <c r="B1032" s="3" t="s">
        <v>1078</v>
      </c>
      <c r="C1032" s="1" t="s">
        <v>920</v>
      </c>
      <c r="D1032" s="3"/>
    </row>
    <row r="1033" spans="1:4" ht="15.75" customHeight="1" x14ac:dyDescent="0.25">
      <c r="A1033" s="2">
        <v>33715179119</v>
      </c>
      <c r="B1033" s="3" t="s">
        <v>1079</v>
      </c>
      <c r="C1033" s="1" t="s">
        <v>1462</v>
      </c>
      <c r="D1033" s="3"/>
    </row>
    <row r="1034" spans="1:4" ht="15.75" customHeight="1" x14ac:dyDescent="0.25">
      <c r="A1034" s="2">
        <v>27125997835</v>
      </c>
      <c r="B1034" s="3" t="s">
        <v>1080</v>
      </c>
      <c r="C1034" s="1" t="s">
        <v>1456</v>
      </c>
      <c r="D1034" s="3"/>
    </row>
    <row r="1035" spans="1:4" ht="15.75" customHeight="1" x14ac:dyDescent="0.25">
      <c r="A1035" s="2">
        <v>55000002223</v>
      </c>
      <c r="B1035" s="3" t="s">
        <v>1081</v>
      </c>
      <c r="C1035" s="1"/>
      <c r="D1035" s="3"/>
    </row>
    <row r="1036" spans="1:4" ht="15.75" customHeight="1" x14ac:dyDescent="0.25">
      <c r="A1036" s="2">
        <v>30707462228</v>
      </c>
      <c r="B1036" s="3" t="s">
        <v>1082</v>
      </c>
      <c r="C1036" s="1"/>
      <c r="D1036" s="3"/>
    </row>
    <row r="1037" spans="1:4" ht="15.75" customHeight="1" x14ac:dyDescent="0.25">
      <c r="A1037" s="2">
        <v>30673387027</v>
      </c>
      <c r="B1037" s="3" t="s">
        <v>1083</v>
      </c>
      <c r="C1037" s="1"/>
      <c r="D1037" s="3"/>
    </row>
    <row r="1038" spans="1:4" ht="15.75" customHeight="1" x14ac:dyDescent="0.25">
      <c r="A1038" s="2">
        <v>30716244330</v>
      </c>
      <c r="B1038" s="3" t="s">
        <v>1084</v>
      </c>
      <c r="C1038" s="1"/>
      <c r="D1038" s="3"/>
    </row>
    <row r="1039" spans="1:4" ht="15.75" customHeight="1" x14ac:dyDescent="0.25">
      <c r="A1039" s="2">
        <v>30716041596</v>
      </c>
      <c r="B1039" s="3" t="s">
        <v>1085</v>
      </c>
      <c r="C1039" s="1"/>
      <c r="D1039" s="3"/>
    </row>
    <row r="1040" spans="1:4" ht="15.75" customHeight="1" x14ac:dyDescent="0.25">
      <c r="A1040" s="2">
        <v>30709917567</v>
      </c>
      <c r="B1040" s="3" t="s">
        <v>1086</v>
      </c>
      <c r="C1040" s="1" t="s">
        <v>176</v>
      </c>
      <c r="D1040" s="3" t="s">
        <v>1006</v>
      </c>
    </row>
    <row r="1041" spans="1:4" ht="15.75" customHeight="1" x14ac:dyDescent="0.25">
      <c r="A1041" s="2">
        <v>30709045632</v>
      </c>
      <c r="B1041" s="3" t="s">
        <v>1087</v>
      </c>
      <c r="C1041" s="1" t="s">
        <v>610</v>
      </c>
      <c r="D1041" s="3" t="s">
        <v>1003</v>
      </c>
    </row>
    <row r="1042" spans="1:4" ht="15.75" customHeight="1" x14ac:dyDescent="0.25">
      <c r="A1042" s="2">
        <v>20348111478</v>
      </c>
      <c r="B1042" s="3" t="s">
        <v>1088</v>
      </c>
      <c r="C1042" s="1" t="s">
        <v>942</v>
      </c>
      <c r="D1042" s="3" t="s">
        <v>1006</v>
      </c>
    </row>
    <row r="1043" spans="1:4" ht="15.75" customHeight="1" x14ac:dyDescent="0.25">
      <c r="A1043" s="2">
        <v>20261680298</v>
      </c>
      <c r="B1043" s="3" t="s">
        <v>1089</v>
      </c>
      <c r="C1043" s="1"/>
      <c r="D1043" s="3"/>
    </row>
    <row r="1044" spans="1:4" ht="15.75" customHeight="1" x14ac:dyDescent="0.25">
      <c r="A1044" s="2">
        <v>30709362875</v>
      </c>
      <c r="B1044" s="3" t="s">
        <v>1090</v>
      </c>
      <c r="C1044" s="1" t="s">
        <v>610</v>
      </c>
      <c r="D1044" s="3" t="s">
        <v>1006</v>
      </c>
    </row>
    <row r="1045" spans="1:4" ht="15.75" customHeight="1" x14ac:dyDescent="0.25">
      <c r="A1045" s="2">
        <v>30715002848</v>
      </c>
      <c r="B1045" s="3" t="s">
        <v>1091</v>
      </c>
      <c r="C1045" s="1" t="s">
        <v>942</v>
      </c>
      <c r="D1045" s="3" t="s">
        <v>1006</v>
      </c>
    </row>
    <row r="1046" spans="1:4" ht="15.75" customHeight="1" x14ac:dyDescent="0.25">
      <c r="A1046" s="2">
        <v>33708907869</v>
      </c>
      <c r="B1046" s="3" t="s">
        <v>1092</v>
      </c>
      <c r="C1046" s="1" t="s">
        <v>942</v>
      </c>
      <c r="D1046" s="3" t="s">
        <v>1093</v>
      </c>
    </row>
    <row r="1047" spans="1:4" ht="15.75" customHeight="1" x14ac:dyDescent="0.25">
      <c r="A1047" s="2">
        <v>30709459399</v>
      </c>
      <c r="B1047" s="3" t="s">
        <v>1094</v>
      </c>
      <c r="C1047" s="1" t="s">
        <v>942</v>
      </c>
      <c r="D1047" s="3" t="s">
        <v>1003</v>
      </c>
    </row>
    <row r="1048" spans="1:4" ht="15.75" customHeight="1" x14ac:dyDescent="0.25">
      <c r="A1048" s="2">
        <v>30707153142</v>
      </c>
      <c r="B1048" s="3" t="s">
        <v>1095</v>
      </c>
      <c r="C1048" s="1" t="s">
        <v>942</v>
      </c>
      <c r="D1048" s="3" t="s">
        <v>1006</v>
      </c>
    </row>
    <row r="1049" spans="1:4" ht="15.75" customHeight="1" x14ac:dyDescent="0.25">
      <c r="A1049" s="2">
        <v>30662533072</v>
      </c>
      <c r="B1049" s="3" t="s">
        <v>1096</v>
      </c>
      <c r="C1049" s="1" t="s">
        <v>942</v>
      </c>
      <c r="D1049" s="3" t="s">
        <v>1003</v>
      </c>
    </row>
    <row r="1050" spans="1:4" ht="15.75" customHeight="1" x14ac:dyDescent="0.25">
      <c r="A1050" s="2">
        <v>33711557119</v>
      </c>
      <c r="B1050" s="3" t="s">
        <v>1097</v>
      </c>
      <c r="C1050" s="1" t="s">
        <v>942</v>
      </c>
      <c r="D1050" s="3" t="s">
        <v>1006</v>
      </c>
    </row>
    <row r="1051" spans="1:4" ht="15.75" customHeight="1" x14ac:dyDescent="0.25">
      <c r="A1051" s="2">
        <v>30604413482</v>
      </c>
      <c r="B1051" s="3" t="s">
        <v>1098</v>
      </c>
      <c r="C1051" s="1" t="s">
        <v>942</v>
      </c>
      <c r="D1051" s="3"/>
    </row>
    <row r="1052" spans="1:4" ht="15.75" customHeight="1" x14ac:dyDescent="0.25">
      <c r="A1052" s="2">
        <v>20324025430</v>
      </c>
      <c r="B1052" s="3" t="s">
        <v>1099</v>
      </c>
      <c r="C1052" s="1"/>
      <c r="D1052" s="3"/>
    </row>
    <row r="1053" spans="1:4" ht="15.75" customHeight="1" x14ac:dyDescent="0.25">
      <c r="A1053" s="2">
        <v>20388544539</v>
      </c>
      <c r="B1053" s="3" t="s">
        <v>1100</v>
      </c>
      <c r="C1053" s="1"/>
      <c r="D1053" s="3"/>
    </row>
    <row r="1054" spans="1:4" ht="15.75" customHeight="1" x14ac:dyDescent="0.25">
      <c r="A1054" s="2">
        <v>30717153142</v>
      </c>
      <c r="B1054" s="3" t="s">
        <v>1101</v>
      </c>
      <c r="C1054" s="1"/>
      <c r="D1054" s="3"/>
    </row>
    <row r="1055" spans="1:4" ht="15.75" customHeight="1" x14ac:dyDescent="0.25">
      <c r="A1055" s="2">
        <v>33644262249</v>
      </c>
      <c r="B1055" s="3" t="s">
        <v>1102</v>
      </c>
      <c r="C1055" s="1"/>
      <c r="D1055" s="3"/>
    </row>
    <row r="1056" spans="1:4" ht="15.75" customHeight="1" x14ac:dyDescent="0.25">
      <c r="A1056" s="2">
        <v>23214737914</v>
      </c>
      <c r="B1056" s="3" t="s">
        <v>1103</v>
      </c>
      <c r="C1056" s="1" t="s">
        <v>1457</v>
      </c>
      <c r="D1056" s="3"/>
    </row>
    <row r="1057" spans="1:4" ht="15.75" customHeight="1" x14ac:dyDescent="0.25">
      <c r="A1057" s="2">
        <v>20347495027</v>
      </c>
      <c r="B1057" s="3" t="s">
        <v>1104</v>
      </c>
      <c r="C1057" s="1"/>
      <c r="D1057" s="3"/>
    </row>
    <row r="1058" spans="1:4" ht="15.75" customHeight="1" x14ac:dyDescent="0.25">
      <c r="A1058" s="2">
        <v>30711744653</v>
      </c>
      <c r="B1058" s="3" t="s">
        <v>1105</v>
      </c>
      <c r="C1058" s="1"/>
      <c r="D1058" s="3"/>
    </row>
    <row r="1059" spans="1:4" ht="15.75" customHeight="1" x14ac:dyDescent="0.25">
      <c r="A1059" s="2">
        <v>30709173401</v>
      </c>
      <c r="B1059" s="3" t="s">
        <v>1106</v>
      </c>
      <c r="C1059" s="1"/>
      <c r="D1059" s="3"/>
    </row>
    <row r="1060" spans="1:4" ht="15.75" customHeight="1" x14ac:dyDescent="0.25">
      <c r="A1060" s="2">
        <v>20352108635</v>
      </c>
      <c r="B1060" s="3" t="s">
        <v>1107</v>
      </c>
      <c r="C1060" s="1"/>
      <c r="D1060" s="3"/>
    </row>
    <row r="1061" spans="1:4" ht="15.75" customHeight="1" x14ac:dyDescent="0.25">
      <c r="A1061" s="2">
        <v>20294907174</v>
      </c>
      <c r="B1061" s="3" t="s">
        <v>1108</v>
      </c>
      <c r="C1061" s="1" t="s">
        <v>1463</v>
      </c>
      <c r="D1061" s="3"/>
    </row>
    <row r="1062" spans="1:4" ht="15.75" customHeight="1" x14ac:dyDescent="0.25">
      <c r="A1062" s="2">
        <v>30516336885</v>
      </c>
      <c r="B1062" s="3" t="s">
        <v>1109</v>
      </c>
      <c r="C1062" s="1"/>
      <c r="D1062" s="3"/>
    </row>
    <row r="1063" spans="1:4" ht="15.75" customHeight="1" x14ac:dyDescent="0.25">
      <c r="A1063" s="2">
        <v>20265834958</v>
      </c>
      <c r="B1063" s="3" t="s">
        <v>1110</v>
      </c>
      <c r="C1063" s="1"/>
      <c r="D1063" s="3"/>
    </row>
    <row r="1064" spans="1:4" ht="15.75" customHeight="1" x14ac:dyDescent="0.25">
      <c r="A1064" s="2">
        <v>20233272222</v>
      </c>
      <c r="B1064" s="3" t="s">
        <v>1111</v>
      </c>
      <c r="C1064" s="1"/>
      <c r="D1064" s="3"/>
    </row>
    <row r="1065" spans="1:4" ht="15.75" customHeight="1" x14ac:dyDescent="0.25">
      <c r="A1065" s="2">
        <v>30560477836</v>
      </c>
      <c r="B1065" s="3" t="s">
        <v>1112</v>
      </c>
      <c r="C1065" s="1"/>
      <c r="D1065" s="3"/>
    </row>
    <row r="1066" spans="1:4" ht="15.75" customHeight="1" x14ac:dyDescent="0.25">
      <c r="A1066" s="2">
        <v>30715544837</v>
      </c>
      <c r="B1066" s="3" t="s">
        <v>1113</v>
      </c>
      <c r="C1066" s="1"/>
      <c r="D1066" s="3"/>
    </row>
    <row r="1067" spans="1:4" ht="15.75" customHeight="1" x14ac:dyDescent="0.25">
      <c r="A1067" s="2">
        <v>30708992301</v>
      </c>
      <c r="B1067" s="3" t="s">
        <v>1114</v>
      </c>
      <c r="C1067" s="1"/>
      <c r="D1067" s="3"/>
    </row>
    <row r="1068" spans="1:4" ht="15.75" customHeight="1" x14ac:dyDescent="0.25">
      <c r="A1068" s="2">
        <v>20239395822</v>
      </c>
      <c r="B1068" s="3" t="s">
        <v>1115</v>
      </c>
      <c r="C1068" s="1"/>
      <c r="D1068" s="3"/>
    </row>
    <row r="1069" spans="1:4" ht="15.75" customHeight="1" x14ac:dyDescent="0.25">
      <c r="A1069" s="2">
        <v>23059002414</v>
      </c>
      <c r="B1069" s="3" t="s">
        <v>1116</v>
      </c>
      <c r="C1069" s="1" t="s">
        <v>1460</v>
      </c>
      <c r="D1069" s="3"/>
    </row>
    <row r="1070" spans="1:4" ht="15.75" customHeight="1" x14ac:dyDescent="0.25">
      <c r="A1070" s="2">
        <v>30625482522</v>
      </c>
      <c r="B1070" s="3" t="s">
        <v>1117</v>
      </c>
      <c r="C1070" s="1"/>
      <c r="D1070" s="3"/>
    </row>
    <row r="1071" spans="1:4" ht="15.75" customHeight="1" x14ac:dyDescent="0.25">
      <c r="A1071" s="2">
        <v>30710964277</v>
      </c>
      <c r="B1071" s="3" t="s">
        <v>1118</v>
      </c>
      <c r="C1071" s="1"/>
      <c r="D1071" s="3"/>
    </row>
    <row r="1072" spans="1:4" ht="15.75" customHeight="1" x14ac:dyDescent="0.25">
      <c r="A1072" s="2">
        <v>55000000050</v>
      </c>
      <c r="B1072" s="3" t="s">
        <v>1119</v>
      </c>
      <c r="C1072" s="1"/>
      <c r="D1072" s="3"/>
    </row>
    <row r="1073" spans="1:4" ht="15.75" customHeight="1" x14ac:dyDescent="0.25">
      <c r="A1073" s="2">
        <v>30717260968</v>
      </c>
      <c r="B1073" s="3" t="s">
        <v>1120</v>
      </c>
      <c r="C1073" s="1"/>
      <c r="D1073" s="3"/>
    </row>
    <row r="1074" spans="1:4" ht="15.75" customHeight="1" x14ac:dyDescent="0.25">
      <c r="A1074" s="2">
        <v>30716006391</v>
      </c>
      <c r="B1074" s="3" t="s">
        <v>1121</v>
      </c>
      <c r="C1074" s="1" t="s">
        <v>920</v>
      </c>
      <c r="D1074" s="3"/>
    </row>
    <row r="1075" spans="1:4" ht="15.75" customHeight="1" x14ac:dyDescent="0.25">
      <c r="A1075" s="2">
        <v>30633765827</v>
      </c>
      <c r="B1075" s="3" t="s">
        <v>1122</v>
      </c>
      <c r="C1075" s="1" t="s">
        <v>920</v>
      </c>
      <c r="D1075" s="3"/>
    </row>
    <row r="1076" spans="1:4" ht="15.75" customHeight="1" x14ac:dyDescent="0.25">
      <c r="A1076" s="2">
        <v>30556911890</v>
      </c>
      <c r="B1076" s="3" t="s">
        <v>1123</v>
      </c>
      <c r="C1076" s="1"/>
      <c r="D1076" s="3"/>
    </row>
    <row r="1077" spans="1:4" ht="15.75" customHeight="1" x14ac:dyDescent="0.25">
      <c r="A1077" s="2">
        <v>30714928577</v>
      </c>
      <c r="B1077" s="3" t="s">
        <v>1124</v>
      </c>
      <c r="C1077" s="1" t="s">
        <v>1460</v>
      </c>
      <c r="D1077" s="3"/>
    </row>
    <row r="1078" spans="1:4" ht="15.75" customHeight="1" x14ac:dyDescent="0.25">
      <c r="A1078" s="2">
        <v>30709256420</v>
      </c>
      <c r="B1078" s="3" t="s">
        <v>1125</v>
      </c>
      <c r="C1078" s="1" t="s">
        <v>920</v>
      </c>
      <c r="D1078" s="3"/>
    </row>
    <row r="1079" spans="1:4" ht="15.75" customHeight="1" x14ac:dyDescent="0.25">
      <c r="A1079" s="2">
        <v>23174046379</v>
      </c>
      <c r="B1079" s="3" t="s">
        <v>1126</v>
      </c>
      <c r="C1079" s="1"/>
      <c r="D1079" s="3"/>
    </row>
    <row r="1080" spans="1:4" ht="15.75" customHeight="1" x14ac:dyDescent="0.25">
      <c r="A1080" s="2">
        <v>30708003316</v>
      </c>
      <c r="B1080" s="3" t="s">
        <v>1127</v>
      </c>
      <c r="C1080" s="1" t="s">
        <v>1455</v>
      </c>
      <c r="D1080" s="3"/>
    </row>
    <row r="1081" spans="1:4" ht="15.75" customHeight="1" x14ac:dyDescent="0.25">
      <c r="A1081" s="2">
        <v>20357275882</v>
      </c>
      <c r="B1081" s="3" t="s">
        <v>1128</v>
      </c>
      <c r="C1081" s="1" t="s">
        <v>1455</v>
      </c>
      <c r="D1081" s="3"/>
    </row>
    <row r="1082" spans="1:4" ht="15.75" customHeight="1" x14ac:dyDescent="0.25">
      <c r="A1082" s="2">
        <v>27349373225</v>
      </c>
      <c r="B1082" s="3" t="s">
        <v>1129</v>
      </c>
      <c r="C1082" s="1"/>
      <c r="D1082" s="3"/>
    </row>
    <row r="1083" spans="1:4" ht="15.75" customHeight="1" x14ac:dyDescent="0.25">
      <c r="A1083" s="2">
        <v>30715209833</v>
      </c>
      <c r="B1083" s="3" t="s">
        <v>1130</v>
      </c>
      <c r="C1083" s="1" t="s">
        <v>1460</v>
      </c>
      <c r="D1083" s="3"/>
    </row>
    <row r="1084" spans="1:4" ht="15.75" customHeight="1" x14ac:dyDescent="0.25">
      <c r="A1084" s="2">
        <v>23957768849</v>
      </c>
      <c r="B1084" s="3" t="s">
        <v>1131</v>
      </c>
      <c r="C1084" s="1"/>
      <c r="D1084" s="3"/>
    </row>
    <row r="1085" spans="1:4" ht="15.75" customHeight="1" x14ac:dyDescent="0.25">
      <c r="A1085" s="2">
        <v>30716831198</v>
      </c>
      <c r="B1085" s="3" t="s">
        <v>1132</v>
      </c>
      <c r="C1085" s="1"/>
      <c r="D1085" s="3"/>
    </row>
    <row r="1086" spans="1:4" ht="15.75" customHeight="1" x14ac:dyDescent="0.25">
      <c r="A1086" s="2">
        <v>20382910681</v>
      </c>
      <c r="B1086" s="3" t="s">
        <v>1133</v>
      </c>
      <c r="C1086" s="1"/>
      <c r="D1086" s="3"/>
    </row>
    <row r="1087" spans="1:4" ht="15.75" customHeight="1" x14ac:dyDescent="0.25">
      <c r="A1087" s="2">
        <v>30711713278</v>
      </c>
      <c r="B1087" s="3" t="s">
        <v>1134</v>
      </c>
      <c r="C1087" s="1"/>
      <c r="D1087" s="3"/>
    </row>
    <row r="1088" spans="1:4" ht="15.75" customHeight="1" x14ac:dyDescent="0.25">
      <c r="A1088" s="2">
        <v>30715216368</v>
      </c>
      <c r="B1088" s="3" t="s">
        <v>1135</v>
      </c>
      <c r="C1088" s="1"/>
      <c r="D1088" s="3"/>
    </row>
    <row r="1089" spans="1:4" ht="15.75" customHeight="1" x14ac:dyDescent="0.25">
      <c r="A1089" s="2">
        <v>23221796209</v>
      </c>
      <c r="B1089" s="3" t="s">
        <v>1136</v>
      </c>
      <c r="C1089" s="1"/>
      <c r="D1089" s="3"/>
    </row>
    <row r="1090" spans="1:4" ht="15.75" customHeight="1" x14ac:dyDescent="0.25">
      <c r="A1090" s="2">
        <v>30708693010</v>
      </c>
      <c r="B1090" s="3" t="s">
        <v>1137</v>
      </c>
      <c r="C1090" s="1"/>
      <c r="D1090" s="3"/>
    </row>
    <row r="1091" spans="1:4" ht="15.75" customHeight="1" x14ac:dyDescent="0.25">
      <c r="A1091" s="2">
        <v>30538068841</v>
      </c>
      <c r="B1091" s="3" t="s">
        <v>1138</v>
      </c>
      <c r="C1091" s="1"/>
      <c r="D1091" s="3"/>
    </row>
    <row r="1092" spans="1:4" ht="15.75" customHeight="1" x14ac:dyDescent="0.25">
      <c r="A1092" s="2">
        <v>30711816212</v>
      </c>
      <c r="B1092" s="3" t="s">
        <v>1139</v>
      </c>
      <c r="C1092" s="1"/>
      <c r="D1092" s="3"/>
    </row>
    <row r="1093" spans="1:4" ht="15.75" customHeight="1" x14ac:dyDescent="0.25">
      <c r="A1093" s="2">
        <v>30620415606</v>
      </c>
      <c r="B1093" s="3" t="s">
        <v>1140</v>
      </c>
      <c r="C1093" s="1"/>
      <c r="D1093" s="3"/>
    </row>
    <row r="1094" spans="1:4" ht="15.75" customHeight="1" x14ac:dyDescent="0.25">
      <c r="A1094" s="2">
        <v>20103565309</v>
      </c>
      <c r="B1094" s="3" t="s">
        <v>1141</v>
      </c>
      <c r="C1094" s="1" t="s">
        <v>1454</v>
      </c>
      <c r="D1094" s="3"/>
    </row>
    <row r="1095" spans="1:4" ht="15.75" customHeight="1" x14ac:dyDescent="0.25">
      <c r="A1095" s="2">
        <v>30711569843</v>
      </c>
      <c r="B1095" s="3" t="s">
        <v>1142</v>
      </c>
      <c r="C1095" s="1"/>
      <c r="D1095" s="3"/>
    </row>
    <row r="1096" spans="1:4" ht="15.75" customHeight="1" x14ac:dyDescent="0.25">
      <c r="A1096" s="2">
        <v>33709302839</v>
      </c>
      <c r="B1096" s="3" t="s">
        <v>1143</v>
      </c>
      <c r="C1096" s="1"/>
      <c r="D1096" s="3"/>
    </row>
    <row r="1097" spans="1:4" ht="15.75" customHeight="1" x14ac:dyDescent="0.25">
      <c r="A1097" s="2">
        <v>30717406512</v>
      </c>
      <c r="B1097" s="3" t="s">
        <v>1144</v>
      </c>
      <c r="C1097" s="1"/>
      <c r="D1097" s="3"/>
    </row>
    <row r="1098" spans="1:4" ht="15.75" customHeight="1" x14ac:dyDescent="0.25">
      <c r="A1098" s="2">
        <v>30717393445</v>
      </c>
      <c r="B1098" s="3" t="s">
        <v>1145</v>
      </c>
      <c r="C1098" s="1"/>
      <c r="D1098" s="3"/>
    </row>
    <row r="1099" spans="1:4" ht="15.75" customHeight="1" x14ac:dyDescent="0.25">
      <c r="A1099" s="2">
        <v>30714977152</v>
      </c>
      <c r="B1099" s="3" t="s">
        <v>1146</v>
      </c>
      <c r="C1099" s="1"/>
      <c r="D1099" s="3"/>
    </row>
    <row r="1100" spans="1:4" ht="15.75" customHeight="1" x14ac:dyDescent="0.25">
      <c r="A1100" s="2">
        <v>30699144327</v>
      </c>
      <c r="B1100" s="3" t="s">
        <v>1147</v>
      </c>
      <c r="C1100" s="1"/>
      <c r="D1100" s="3"/>
    </row>
    <row r="1101" spans="1:4" ht="15.75" customHeight="1" x14ac:dyDescent="0.25">
      <c r="A1101" s="2">
        <v>30710571801</v>
      </c>
      <c r="B1101" s="3" t="s">
        <v>1148</v>
      </c>
      <c r="C1101" s="1" t="s">
        <v>920</v>
      </c>
      <c r="D1101" s="3"/>
    </row>
    <row r="1102" spans="1:4" ht="15.75" customHeight="1" x14ac:dyDescent="0.25">
      <c r="A1102" s="2">
        <v>23236786609</v>
      </c>
      <c r="B1102" s="3" t="s">
        <v>1149</v>
      </c>
      <c r="C1102" s="1"/>
      <c r="D1102" s="3"/>
    </row>
    <row r="1103" spans="1:4" ht="15.75" customHeight="1" x14ac:dyDescent="0.25">
      <c r="A1103" s="2">
        <v>30709581011</v>
      </c>
      <c r="B1103" s="3" t="s">
        <v>1150</v>
      </c>
      <c r="C1103" s="1"/>
      <c r="D1103" s="3"/>
    </row>
    <row r="1104" spans="1:4" ht="15.75" customHeight="1" x14ac:dyDescent="0.25">
      <c r="A1104" s="2">
        <v>20124583463</v>
      </c>
      <c r="B1104" s="3" t="s">
        <v>1151</v>
      </c>
      <c r="C1104" s="1"/>
      <c r="D1104" s="3"/>
    </row>
    <row r="1105" spans="1:4" ht="15.75" customHeight="1" x14ac:dyDescent="0.25">
      <c r="A1105" s="2">
        <v>30710548680</v>
      </c>
      <c r="B1105" s="3" t="s">
        <v>1152</v>
      </c>
      <c r="C1105" s="1"/>
      <c r="D1105" s="3"/>
    </row>
    <row r="1106" spans="1:4" ht="15.75" customHeight="1" x14ac:dyDescent="0.25">
      <c r="A1106" s="2">
        <v>30710878974</v>
      </c>
      <c r="B1106" s="3" t="s">
        <v>1153</v>
      </c>
      <c r="C1106" s="1" t="s">
        <v>1454</v>
      </c>
      <c r="D1106" s="3"/>
    </row>
    <row r="1107" spans="1:4" ht="15.75" customHeight="1" x14ac:dyDescent="0.25">
      <c r="A1107" s="2">
        <v>30528214483</v>
      </c>
      <c r="B1107" s="3" t="s">
        <v>1154</v>
      </c>
      <c r="C1107" s="1" t="s">
        <v>942</v>
      </c>
      <c r="D1107" s="3"/>
    </row>
    <row r="1108" spans="1:4" ht="15.75" customHeight="1" x14ac:dyDescent="0.25">
      <c r="A1108" s="2">
        <v>30690966790</v>
      </c>
      <c r="B1108" s="3" t="s">
        <v>1155</v>
      </c>
      <c r="C1108" s="1" t="s">
        <v>942</v>
      </c>
      <c r="D1108" s="3"/>
    </row>
    <row r="1109" spans="1:4" ht="15.75" customHeight="1" x14ac:dyDescent="0.25">
      <c r="A1109" s="2">
        <v>30717261042</v>
      </c>
      <c r="B1109" s="3" t="s">
        <v>1156</v>
      </c>
      <c r="C1109" s="1"/>
      <c r="D1109" s="3"/>
    </row>
    <row r="1110" spans="1:4" ht="15.75" customHeight="1" x14ac:dyDescent="0.25">
      <c r="A1110" s="2">
        <v>20316849823</v>
      </c>
      <c r="B1110" s="3" t="s">
        <v>1157</v>
      </c>
      <c r="C1110" s="1"/>
      <c r="D1110" s="3"/>
    </row>
    <row r="1111" spans="1:4" ht="15.75" customHeight="1" x14ac:dyDescent="0.25">
      <c r="A1111" s="2">
        <v>27424730608</v>
      </c>
      <c r="B1111" s="3" t="s">
        <v>1158</v>
      </c>
      <c r="C1111" s="1" t="s">
        <v>920</v>
      </c>
      <c r="D1111" s="3"/>
    </row>
    <row r="1112" spans="1:4" ht="15.75" customHeight="1" x14ac:dyDescent="0.25">
      <c r="A1112" s="2">
        <v>30702073657</v>
      </c>
      <c r="B1112" s="3" t="s">
        <v>1159</v>
      </c>
      <c r="C1112" s="1"/>
      <c r="D1112" s="3"/>
    </row>
    <row r="1113" spans="1:4" ht="15.75" customHeight="1" x14ac:dyDescent="0.25">
      <c r="A1113" s="2">
        <v>30646938755</v>
      </c>
      <c r="B1113" s="3" t="s">
        <v>1160</v>
      </c>
      <c r="C1113" s="1" t="s">
        <v>7</v>
      </c>
      <c r="D1113" s="3"/>
    </row>
    <row r="1114" spans="1:4" ht="15.75" customHeight="1" x14ac:dyDescent="0.25">
      <c r="A1114" s="2">
        <v>33715793909</v>
      </c>
      <c r="B1114" s="3" t="s">
        <v>1161</v>
      </c>
      <c r="C1114" s="1"/>
      <c r="D1114" s="3"/>
    </row>
    <row r="1115" spans="1:4" ht="15.75" customHeight="1" x14ac:dyDescent="0.25">
      <c r="A1115" s="2">
        <v>30712325468</v>
      </c>
      <c r="B1115" s="3" t="s">
        <v>1162</v>
      </c>
      <c r="C1115" s="1"/>
      <c r="D1115" s="3"/>
    </row>
    <row r="1116" spans="1:4" ht="15.75" customHeight="1" x14ac:dyDescent="0.25">
      <c r="A1116" s="2">
        <v>30714481513</v>
      </c>
      <c r="B1116" s="3" t="s">
        <v>1163</v>
      </c>
      <c r="C1116" s="1"/>
      <c r="D1116" s="3"/>
    </row>
    <row r="1117" spans="1:4" ht="15.75" customHeight="1" x14ac:dyDescent="0.25">
      <c r="A1117" s="2">
        <v>20330173387</v>
      </c>
      <c r="B1117" s="3" t="s">
        <v>1164</v>
      </c>
      <c r="C1117" s="1" t="s">
        <v>122</v>
      </c>
      <c r="D1117" s="3"/>
    </row>
    <row r="1118" spans="1:4" ht="15.75" customHeight="1" x14ac:dyDescent="0.25">
      <c r="A1118" s="2">
        <v>27066610018</v>
      </c>
      <c r="B1118" s="3" t="s">
        <v>1165</v>
      </c>
      <c r="C1118" s="1" t="s">
        <v>1459</v>
      </c>
      <c r="D1118" s="3"/>
    </row>
    <row r="1119" spans="1:4" ht="15.75" customHeight="1" x14ac:dyDescent="0.25">
      <c r="A1119" s="2">
        <v>30714356360</v>
      </c>
      <c r="B1119" s="3" t="s">
        <v>1166</v>
      </c>
      <c r="C1119" s="1" t="s">
        <v>1454</v>
      </c>
      <c r="D1119" s="3"/>
    </row>
    <row r="1120" spans="1:4" ht="15.75" customHeight="1" x14ac:dyDescent="0.25">
      <c r="A1120" s="2">
        <v>20282837472</v>
      </c>
      <c r="B1120" s="3" t="s">
        <v>1167</v>
      </c>
      <c r="C1120" s="1"/>
      <c r="D1120" s="3"/>
    </row>
    <row r="1121" spans="1:4" ht="15.75" customHeight="1" x14ac:dyDescent="0.25">
      <c r="A1121" s="2">
        <v>30684105597</v>
      </c>
      <c r="B1121" s="3" t="s">
        <v>1168</v>
      </c>
      <c r="C1121" s="1"/>
      <c r="D1121" s="3"/>
    </row>
    <row r="1122" spans="1:4" ht="15.75" customHeight="1" x14ac:dyDescent="0.25">
      <c r="A1122" s="2">
        <v>27948597298</v>
      </c>
      <c r="B1122" s="3" t="s">
        <v>1169</v>
      </c>
      <c r="C1122" s="1"/>
      <c r="D1122" s="3"/>
    </row>
    <row r="1123" spans="1:4" ht="15.75" customHeight="1" x14ac:dyDescent="0.25">
      <c r="A1123" s="2">
        <v>30696170580</v>
      </c>
      <c r="B1123" s="3" t="s">
        <v>1170</v>
      </c>
      <c r="C1123" s="1"/>
      <c r="D1123" s="3"/>
    </row>
    <row r="1124" spans="1:4" ht="15.75" customHeight="1" x14ac:dyDescent="0.25">
      <c r="A1124" s="2">
        <v>30715357255</v>
      </c>
      <c r="B1124" s="3" t="s">
        <v>1171</v>
      </c>
      <c r="C1124" s="1"/>
      <c r="D1124" s="3"/>
    </row>
    <row r="1125" spans="1:4" ht="15.75" customHeight="1" x14ac:dyDescent="0.25">
      <c r="A1125" s="2">
        <v>55000002053</v>
      </c>
      <c r="B1125" s="3" t="s">
        <v>1172</v>
      </c>
      <c r="C1125" s="1"/>
      <c r="D1125" s="3"/>
    </row>
    <row r="1126" spans="1:4" ht="15.75" customHeight="1" x14ac:dyDescent="0.25">
      <c r="A1126" s="2">
        <v>55000002053</v>
      </c>
      <c r="B1126" s="3" t="s">
        <v>1173</v>
      </c>
      <c r="C1126" s="1"/>
      <c r="D1126" s="3"/>
    </row>
    <row r="1127" spans="1:4" ht="15.75" customHeight="1" x14ac:dyDescent="0.25">
      <c r="A1127" s="2">
        <v>30520201048</v>
      </c>
      <c r="B1127" s="3" t="s">
        <v>1174</v>
      </c>
      <c r="C1127" s="1"/>
      <c r="D1127" s="3"/>
    </row>
    <row r="1128" spans="1:4" ht="15.75" customHeight="1" x14ac:dyDescent="0.25">
      <c r="A1128" s="2">
        <v>30712222499</v>
      </c>
      <c r="B1128" s="3" t="s">
        <v>1175</v>
      </c>
      <c r="C1128" s="1"/>
      <c r="D1128" s="3"/>
    </row>
    <row r="1129" spans="1:4" ht="15.75" customHeight="1" x14ac:dyDescent="0.25">
      <c r="A1129" s="2">
        <v>30683088907</v>
      </c>
      <c r="B1129" s="3" t="s">
        <v>1176</v>
      </c>
      <c r="C1129" s="1"/>
      <c r="D1129" s="3"/>
    </row>
    <row r="1130" spans="1:4" ht="15.75" customHeight="1" x14ac:dyDescent="0.25">
      <c r="A1130" s="2">
        <v>27332519633</v>
      </c>
      <c r="B1130" s="3" t="s">
        <v>1177</v>
      </c>
      <c r="C1130" s="1"/>
      <c r="D1130" s="3"/>
    </row>
    <row r="1131" spans="1:4" ht="15.75" customHeight="1" x14ac:dyDescent="0.25">
      <c r="A1131" s="2">
        <v>27924079008</v>
      </c>
      <c r="B1131" s="3" t="s">
        <v>1178</v>
      </c>
      <c r="C1131" s="1"/>
      <c r="D1131" s="3"/>
    </row>
    <row r="1132" spans="1:4" ht="15.75" customHeight="1" x14ac:dyDescent="0.25">
      <c r="A1132" s="2">
        <v>33715587969</v>
      </c>
      <c r="B1132" s="3" t="s">
        <v>1179</v>
      </c>
      <c r="C1132" s="1"/>
      <c r="D1132" s="3"/>
    </row>
    <row r="1133" spans="1:4" ht="15.75" customHeight="1" x14ac:dyDescent="0.25">
      <c r="A1133" s="2">
        <v>30609968792</v>
      </c>
      <c r="B1133" s="3" t="s">
        <v>1180</v>
      </c>
      <c r="C1133" s="1" t="s">
        <v>942</v>
      </c>
      <c r="D1133" s="3"/>
    </row>
    <row r="1134" spans="1:4" ht="15.75" customHeight="1" x14ac:dyDescent="0.25">
      <c r="A1134" s="2">
        <v>20254823105</v>
      </c>
      <c r="B1134" s="3" t="s">
        <v>1181</v>
      </c>
      <c r="C1134" s="1"/>
      <c r="D1134" s="3"/>
    </row>
    <row r="1135" spans="1:4" ht="15.75" customHeight="1" x14ac:dyDescent="0.25">
      <c r="A1135" s="2">
        <v>27925308884</v>
      </c>
      <c r="B1135" s="3" t="s">
        <v>1182</v>
      </c>
      <c r="C1135" s="1" t="s">
        <v>920</v>
      </c>
      <c r="D1135" s="3"/>
    </row>
    <row r="1136" spans="1:4" ht="15.75" customHeight="1" x14ac:dyDescent="0.25">
      <c r="A1136" s="2">
        <v>30716872463</v>
      </c>
      <c r="B1136" s="3" t="s">
        <v>1183</v>
      </c>
      <c r="C1136" s="1"/>
      <c r="D1136" s="3"/>
    </row>
    <row r="1137" spans="1:4" ht="15.75" customHeight="1" x14ac:dyDescent="0.25">
      <c r="A1137" s="2">
        <v>30586172308</v>
      </c>
      <c r="B1137" s="3" t="s">
        <v>1184</v>
      </c>
      <c r="C1137" s="1" t="s">
        <v>1454</v>
      </c>
      <c r="D1137" s="3"/>
    </row>
    <row r="1138" spans="1:4" ht="15.75" customHeight="1" x14ac:dyDescent="0.25">
      <c r="A1138" s="2">
        <v>20214656575</v>
      </c>
      <c r="B1138" s="3" t="s">
        <v>1185</v>
      </c>
      <c r="C1138" s="1"/>
      <c r="D1138" s="3"/>
    </row>
    <row r="1139" spans="1:4" ht="15.75" customHeight="1" x14ac:dyDescent="0.25">
      <c r="A1139" s="2">
        <v>30615304944</v>
      </c>
      <c r="B1139" s="3" t="s">
        <v>1186</v>
      </c>
      <c r="C1139" s="1"/>
      <c r="D1139" s="3"/>
    </row>
    <row r="1140" spans="1:4" ht="15.75" customHeight="1" x14ac:dyDescent="0.25">
      <c r="A1140" s="2">
        <v>30717518566</v>
      </c>
      <c r="B1140" s="3" t="s">
        <v>1187</v>
      </c>
      <c r="C1140" s="1"/>
      <c r="D1140" s="3"/>
    </row>
    <row r="1141" spans="1:4" ht="15.75" customHeight="1" x14ac:dyDescent="0.25">
      <c r="A1141" s="2">
        <v>33718184989</v>
      </c>
      <c r="B1141" s="3" t="s">
        <v>1188</v>
      </c>
      <c r="C1141" s="1"/>
      <c r="D1141" s="3"/>
    </row>
    <row r="1142" spans="1:4" ht="15.75" customHeight="1" x14ac:dyDescent="0.25">
      <c r="A1142" s="2">
        <v>30715368346</v>
      </c>
      <c r="B1142" s="3" t="s">
        <v>1189</v>
      </c>
      <c r="C1142" s="1"/>
      <c r="D1142" s="3"/>
    </row>
    <row r="1143" spans="1:4" ht="15.75" customHeight="1" x14ac:dyDescent="0.25">
      <c r="A1143" s="2">
        <v>24273099685</v>
      </c>
      <c r="B1143" s="3" t="s">
        <v>1190</v>
      </c>
      <c r="C1143" s="1"/>
      <c r="D1143" s="3"/>
    </row>
    <row r="1144" spans="1:4" ht="15.75" customHeight="1" x14ac:dyDescent="0.25">
      <c r="A1144" s="2">
        <v>27329924713</v>
      </c>
      <c r="B1144" s="3" t="s">
        <v>1191</v>
      </c>
      <c r="C1144" s="1"/>
      <c r="D1144" s="3"/>
    </row>
    <row r="1145" spans="1:4" ht="15.75" customHeight="1" x14ac:dyDescent="0.25">
      <c r="A1145" s="2">
        <v>30711379246</v>
      </c>
      <c r="B1145" s="3" t="s">
        <v>1192</v>
      </c>
      <c r="C1145" s="1"/>
      <c r="D1145" s="3"/>
    </row>
    <row r="1146" spans="1:4" ht="15.75" customHeight="1" x14ac:dyDescent="0.25">
      <c r="A1146" s="2">
        <v>20161299937</v>
      </c>
      <c r="B1146" s="3" t="s">
        <v>1193</v>
      </c>
      <c r="C1146" s="1"/>
      <c r="D1146" s="3"/>
    </row>
    <row r="1147" spans="1:4" ht="15.75" customHeight="1" x14ac:dyDescent="0.25">
      <c r="A1147" s="2">
        <v>20181426846</v>
      </c>
      <c r="B1147" s="3" t="s">
        <v>1194</v>
      </c>
      <c r="C1147" s="1" t="s">
        <v>942</v>
      </c>
      <c r="D1147" s="3"/>
    </row>
    <row r="1148" spans="1:4" ht="15.75" customHeight="1" x14ac:dyDescent="0.25">
      <c r="A1148" s="2">
        <v>30716091216</v>
      </c>
      <c r="B1148" s="3" t="s">
        <v>1195</v>
      </c>
      <c r="C1148" s="1"/>
      <c r="D1148" s="3"/>
    </row>
    <row r="1149" spans="1:4" ht="15.75" customHeight="1" x14ac:dyDescent="0.25">
      <c r="A1149" s="2">
        <v>23136956159</v>
      </c>
      <c r="B1149" s="3" t="s">
        <v>1196</v>
      </c>
      <c r="C1149" s="1"/>
      <c r="D1149" s="3"/>
    </row>
    <row r="1150" spans="1:4" ht="15.75" customHeight="1" x14ac:dyDescent="0.25">
      <c r="A1150" s="2">
        <v>33716493119</v>
      </c>
      <c r="B1150" s="3" t="s">
        <v>1197</v>
      </c>
      <c r="C1150" s="1"/>
      <c r="D1150" s="3"/>
    </row>
    <row r="1151" spans="1:4" ht="15.75" customHeight="1" x14ac:dyDescent="0.25">
      <c r="A1151" s="2">
        <v>20357254435</v>
      </c>
      <c r="B1151" s="3" t="s">
        <v>1198</v>
      </c>
      <c r="C1151" s="1"/>
      <c r="D1151" s="3"/>
    </row>
    <row r="1152" spans="1:4" ht="15.75" customHeight="1" x14ac:dyDescent="0.25">
      <c r="A1152" s="2">
        <v>30715162497</v>
      </c>
      <c r="B1152" s="3" t="s">
        <v>1199</v>
      </c>
      <c r="C1152" s="1"/>
      <c r="D1152" s="3"/>
    </row>
    <row r="1153" spans="1:4" ht="15.75" customHeight="1" x14ac:dyDescent="0.25">
      <c r="A1153" s="2">
        <v>30707591168</v>
      </c>
      <c r="B1153" s="3" t="s">
        <v>1200</v>
      </c>
      <c r="C1153" s="1"/>
      <c r="D1153" s="3"/>
    </row>
    <row r="1154" spans="1:4" ht="15.75" customHeight="1" x14ac:dyDescent="0.25">
      <c r="A1154" s="2">
        <v>30710585411</v>
      </c>
      <c r="B1154" s="3" t="s">
        <v>1201</v>
      </c>
      <c r="C1154" s="1" t="s">
        <v>1469</v>
      </c>
      <c r="D1154" s="3"/>
    </row>
    <row r="1155" spans="1:4" ht="15.75" customHeight="1" x14ac:dyDescent="0.25">
      <c r="A1155" s="2">
        <v>20279429347</v>
      </c>
      <c r="B1155" s="3" t="s">
        <v>1202</v>
      </c>
      <c r="C1155" s="1"/>
      <c r="D1155" s="3"/>
    </row>
    <row r="1156" spans="1:4" ht="15.75" customHeight="1" x14ac:dyDescent="0.25">
      <c r="A1156" s="2">
        <v>20341013691</v>
      </c>
      <c r="B1156" s="3" t="s">
        <v>1203</v>
      </c>
      <c r="C1156" s="1"/>
      <c r="D1156" s="3"/>
    </row>
    <row r="1157" spans="1:4" ht="15.75" customHeight="1" x14ac:dyDescent="0.25">
      <c r="A1157" s="2">
        <v>23205683399</v>
      </c>
      <c r="B1157" s="3" t="s">
        <v>1204</v>
      </c>
      <c r="C1157" s="1"/>
      <c r="D1157" s="3"/>
    </row>
    <row r="1158" spans="1:4" ht="15.75" customHeight="1" x14ac:dyDescent="0.25">
      <c r="A1158" s="2">
        <v>30624684628</v>
      </c>
      <c r="B1158" s="3" t="s">
        <v>1205</v>
      </c>
      <c r="C1158" s="1" t="s">
        <v>942</v>
      </c>
      <c r="D1158" s="3"/>
    </row>
    <row r="1159" spans="1:4" ht="15.75" customHeight="1" x14ac:dyDescent="0.25">
      <c r="A1159" s="2">
        <v>27325155804</v>
      </c>
      <c r="B1159" s="3" t="s">
        <v>1206</v>
      </c>
      <c r="C1159" s="1"/>
      <c r="D1159" s="3"/>
    </row>
    <row r="1160" spans="1:4" ht="15.75" customHeight="1" x14ac:dyDescent="0.25">
      <c r="A1160" s="2">
        <v>30711379521</v>
      </c>
      <c r="B1160" s="3" t="s">
        <v>1207</v>
      </c>
      <c r="C1160" s="1"/>
      <c r="D1160" s="3"/>
    </row>
    <row r="1161" spans="1:4" ht="15.75" customHeight="1" x14ac:dyDescent="0.25">
      <c r="A1161" s="2">
        <v>30707468161</v>
      </c>
      <c r="B1161" s="3" t="s">
        <v>1208</v>
      </c>
      <c r="C1161" s="1" t="s">
        <v>942</v>
      </c>
      <c r="D1161" s="3"/>
    </row>
    <row r="1162" spans="1:4" ht="15.75" customHeight="1" x14ac:dyDescent="0.25">
      <c r="A1162" s="2">
        <v>30717193926</v>
      </c>
      <c r="B1162" s="3" t="s">
        <v>1209</v>
      </c>
      <c r="C1162" s="1"/>
      <c r="D1162" s="3"/>
    </row>
    <row r="1163" spans="1:4" ht="15.75" customHeight="1" x14ac:dyDescent="0.25">
      <c r="A1163" s="2">
        <v>30710184816</v>
      </c>
      <c r="B1163" s="3" t="s">
        <v>1210</v>
      </c>
      <c r="C1163" s="1"/>
      <c r="D1163" s="3"/>
    </row>
    <row r="1164" spans="1:4" ht="15.75" customHeight="1" x14ac:dyDescent="0.25">
      <c r="A1164" s="2">
        <v>33711308429</v>
      </c>
      <c r="B1164" s="3" t="s">
        <v>1211</v>
      </c>
      <c r="C1164" s="1" t="s">
        <v>942</v>
      </c>
      <c r="D1164" s="3"/>
    </row>
    <row r="1165" spans="1:4" ht="15.75" customHeight="1" x14ac:dyDescent="0.25">
      <c r="A1165" s="2">
        <v>30692857611</v>
      </c>
      <c r="B1165" s="3" t="s">
        <v>1212</v>
      </c>
      <c r="C1165" s="1" t="s">
        <v>942</v>
      </c>
      <c r="D1165" s="3"/>
    </row>
    <row r="1166" spans="1:4" ht="15.75" customHeight="1" x14ac:dyDescent="0.25">
      <c r="A1166" s="2">
        <v>20413948968</v>
      </c>
      <c r="B1166" s="3" t="s">
        <v>1213</v>
      </c>
      <c r="C1166" s="1"/>
      <c r="D1166" s="3"/>
    </row>
    <row r="1167" spans="1:4" ht="15.75" customHeight="1" x14ac:dyDescent="0.25">
      <c r="A1167" s="2">
        <v>30559088923</v>
      </c>
      <c r="B1167" s="3" t="s">
        <v>1214</v>
      </c>
      <c r="C1167" s="1"/>
      <c r="D1167" s="3"/>
    </row>
    <row r="1168" spans="1:4" ht="15.75" customHeight="1" x14ac:dyDescent="0.25">
      <c r="A1168" s="2">
        <v>20228469492</v>
      </c>
      <c r="B1168" s="3" t="s">
        <v>1215</v>
      </c>
      <c r="C1168" s="1"/>
      <c r="D1168" s="3"/>
    </row>
    <row r="1169" spans="1:4" ht="15.75" customHeight="1" x14ac:dyDescent="0.25">
      <c r="A1169" s="2">
        <v>27330645356</v>
      </c>
      <c r="B1169" s="3" t="s">
        <v>1216</v>
      </c>
      <c r="C1169" s="1"/>
      <c r="D1169" s="3"/>
    </row>
    <row r="1170" spans="1:4" ht="15.75" customHeight="1" x14ac:dyDescent="0.25">
      <c r="A1170" s="2">
        <v>23118167279</v>
      </c>
      <c r="B1170" s="3" t="s">
        <v>1217</v>
      </c>
      <c r="C1170" s="1" t="s">
        <v>1457</v>
      </c>
      <c r="D1170" s="3"/>
    </row>
    <row r="1171" spans="1:4" ht="15.75" customHeight="1" x14ac:dyDescent="0.25">
      <c r="A1171" s="2">
        <v>30646811062</v>
      </c>
      <c r="B1171" s="3" t="s">
        <v>1218</v>
      </c>
      <c r="C1171" s="1" t="s">
        <v>942</v>
      </c>
      <c r="D1171" s="3"/>
    </row>
    <row r="1172" spans="1:4" ht="15.75" customHeight="1" x14ac:dyDescent="0.25">
      <c r="A1172" s="2">
        <v>30715819461</v>
      </c>
      <c r="B1172" s="3" t="s">
        <v>1219</v>
      </c>
      <c r="C1172" s="1"/>
      <c r="D1172" s="3"/>
    </row>
    <row r="1173" spans="1:4" ht="15.75" customHeight="1" x14ac:dyDescent="0.25">
      <c r="A1173" s="2">
        <v>27366871336</v>
      </c>
      <c r="B1173" s="3" t="s">
        <v>1220</v>
      </c>
      <c r="C1173" s="1" t="s">
        <v>942</v>
      </c>
      <c r="D1173" s="3"/>
    </row>
    <row r="1174" spans="1:4" ht="15.75" customHeight="1" x14ac:dyDescent="0.25">
      <c r="A1174" s="2">
        <v>30716067889</v>
      </c>
      <c r="B1174" s="3" t="s">
        <v>1221</v>
      </c>
      <c r="C1174" s="1"/>
      <c r="D1174" s="3"/>
    </row>
    <row r="1175" spans="1:4" ht="15.75" customHeight="1" x14ac:dyDescent="0.25">
      <c r="A1175" s="2">
        <v>20162261259</v>
      </c>
      <c r="B1175" s="3" t="s">
        <v>1222</v>
      </c>
      <c r="C1175" s="1"/>
      <c r="D1175" s="3"/>
    </row>
    <row r="1176" spans="1:4" ht="15.75" customHeight="1" x14ac:dyDescent="0.25">
      <c r="A1176" s="2">
        <v>30717763692</v>
      </c>
      <c r="B1176" s="3" t="s">
        <v>1223</v>
      </c>
      <c r="C1176" s="1" t="s">
        <v>942</v>
      </c>
      <c r="D1176" s="3"/>
    </row>
    <row r="1177" spans="1:4" ht="15.75" customHeight="1" x14ac:dyDescent="0.25">
      <c r="A1177" s="2">
        <v>30695056342</v>
      </c>
      <c r="B1177" s="3" t="s">
        <v>1224</v>
      </c>
      <c r="C1177" s="1" t="s">
        <v>1455</v>
      </c>
      <c r="D1177" s="3"/>
    </row>
    <row r="1178" spans="1:4" ht="15.75" customHeight="1" x14ac:dyDescent="0.25">
      <c r="A1178" s="2">
        <v>30716553112</v>
      </c>
      <c r="B1178" s="3" t="s">
        <v>1225</v>
      </c>
      <c r="C1178" s="1"/>
      <c r="D1178" s="3"/>
    </row>
    <row r="1179" spans="1:4" ht="15.75" customHeight="1" x14ac:dyDescent="0.25">
      <c r="A1179" s="2">
        <v>27066898127</v>
      </c>
      <c r="B1179" s="3" t="s">
        <v>1226</v>
      </c>
      <c r="C1179" s="1"/>
      <c r="D1179" s="3"/>
    </row>
    <row r="1180" spans="1:4" ht="15.75" customHeight="1" x14ac:dyDescent="0.25">
      <c r="A1180" s="2">
        <v>27265832178</v>
      </c>
      <c r="B1180" s="3" t="s">
        <v>1227</v>
      </c>
      <c r="C1180" s="1"/>
      <c r="D1180" s="3"/>
    </row>
    <row r="1181" spans="1:4" ht="15.75" customHeight="1" x14ac:dyDescent="0.25">
      <c r="A1181" s="2">
        <v>30700896621</v>
      </c>
      <c r="B1181" s="3" t="s">
        <v>1228</v>
      </c>
      <c r="C1181" s="1"/>
      <c r="D1181" s="3"/>
    </row>
    <row r="1182" spans="1:4" ht="15.75" customHeight="1" x14ac:dyDescent="0.25">
      <c r="A1182" s="2">
        <v>27328145001</v>
      </c>
      <c r="B1182" s="3" t="s">
        <v>1229</v>
      </c>
      <c r="C1182" s="1"/>
      <c r="D1182" s="3"/>
    </row>
    <row r="1183" spans="1:4" ht="15.75" customHeight="1" x14ac:dyDescent="0.25">
      <c r="A1183" s="2">
        <v>30718019814</v>
      </c>
      <c r="B1183" s="3" t="s">
        <v>1230</v>
      </c>
      <c r="C1183" s="1" t="s">
        <v>942</v>
      </c>
      <c r="D1183" s="3"/>
    </row>
    <row r="1184" spans="1:4" ht="15.75" customHeight="1" x14ac:dyDescent="0.25">
      <c r="A1184" s="2">
        <v>30715863916</v>
      </c>
      <c r="B1184" s="3" t="s">
        <v>1231</v>
      </c>
      <c r="C1184" s="1" t="s">
        <v>1459</v>
      </c>
      <c r="D1184" s="3"/>
    </row>
    <row r="1185" spans="1:4" ht="15.75" customHeight="1" x14ac:dyDescent="0.25">
      <c r="A1185" s="2">
        <v>30716952408</v>
      </c>
      <c r="B1185" s="3" t="s">
        <v>1232</v>
      </c>
      <c r="C1185" s="1" t="s">
        <v>1467</v>
      </c>
      <c r="D1185" s="3"/>
    </row>
    <row r="1186" spans="1:4" ht="15.75" customHeight="1" x14ac:dyDescent="0.25">
      <c r="A1186" s="2">
        <v>30703451310</v>
      </c>
      <c r="B1186" s="3" t="s">
        <v>1233</v>
      </c>
      <c r="C1186" s="1" t="s">
        <v>1452</v>
      </c>
      <c r="D1186" s="3"/>
    </row>
    <row r="1187" spans="1:4" ht="15.75" customHeight="1" x14ac:dyDescent="0.25">
      <c r="A1187" s="2">
        <v>27369025584</v>
      </c>
      <c r="B1187" s="3" t="s">
        <v>1234</v>
      </c>
      <c r="C1187" s="1" t="s">
        <v>920</v>
      </c>
      <c r="D1187" s="3"/>
    </row>
    <row r="1188" spans="1:4" ht="15.75" customHeight="1" x14ac:dyDescent="0.25">
      <c r="A1188" s="2">
        <v>27224574679</v>
      </c>
      <c r="B1188" s="3" t="s">
        <v>1235</v>
      </c>
      <c r="C1188" s="1" t="s">
        <v>920</v>
      </c>
      <c r="D1188" s="3"/>
    </row>
    <row r="1189" spans="1:4" ht="15.75" customHeight="1" x14ac:dyDescent="0.25">
      <c r="A1189" s="2">
        <v>33709901449</v>
      </c>
      <c r="B1189" s="3" t="s">
        <v>1236</v>
      </c>
      <c r="C1189" s="1" t="s">
        <v>1459</v>
      </c>
      <c r="D1189" s="3"/>
    </row>
    <row r="1190" spans="1:4" ht="15.75" customHeight="1" x14ac:dyDescent="0.25">
      <c r="A1190" s="2">
        <v>27236006250</v>
      </c>
      <c r="B1190" s="3" t="s">
        <v>1237</v>
      </c>
      <c r="C1190" s="1" t="s">
        <v>920</v>
      </c>
      <c r="D1190" s="3"/>
    </row>
    <row r="1191" spans="1:4" ht="15.75" customHeight="1" x14ac:dyDescent="0.25">
      <c r="A1191" s="2">
        <v>33643358749</v>
      </c>
      <c r="B1191" s="3" t="s">
        <v>1238</v>
      </c>
      <c r="C1191" s="1" t="s">
        <v>1462</v>
      </c>
      <c r="D1191" s="3"/>
    </row>
    <row r="1192" spans="1:4" ht="15.75" customHeight="1" x14ac:dyDescent="0.25">
      <c r="A1192" s="2">
        <v>20401319930</v>
      </c>
      <c r="B1192" s="3" t="s">
        <v>1239</v>
      </c>
      <c r="C1192" s="1" t="s">
        <v>1451</v>
      </c>
      <c r="D1192" s="3"/>
    </row>
    <row r="1193" spans="1:4" ht="15.75" customHeight="1" x14ac:dyDescent="0.25">
      <c r="A1193" s="2">
        <v>27249663870</v>
      </c>
      <c r="B1193" s="3" t="s">
        <v>1240</v>
      </c>
      <c r="C1193" s="1" t="s">
        <v>1462</v>
      </c>
      <c r="D1193" s="3"/>
    </row>
    <row r="1194" spans="1:4" ht="15.75" customHeight="1" x14ac:dyDescent="0.25">
      <c r="A1194" s="2">
        <v>30715247077</v>
      </c>
      <c r="B1194" s="3" t="s">
        <v>1241</v>
      </c>
      <c r="C1194" s="1" t="s">
        <v>1463</v>
      </c>
      <c r="D1194" s="3"/>
    </row>
    <row r="1195" spans="1:4" ht="15.75" customHeight="1" x14ac:dyDescent="0.25">
      <c r="A1195" s="2">
        <v>30562265844</v>
      </c>
      <c r="B1195" s="3" t="s">
        <v>1242</v>
      </c>
      <c r="C1195" s="1" t="s">
        <v>1463</v>
      </c>
      <c r="D1195" s="3"/>
    </row>
    <row r="1196" spans="1:4" ht="15.75" customHeight="1" x14ac:dyDescent="0.25">
      <c r="A1196" s="2">
        <v>33717112119</v>
      </c>
      <c r="B1196" s="3" t="s">
        <v>1243</v>
      </c>
      <c r="C1196" s="1" t="s">
        <v>920</v>
      </c>
      <c r="D1196" s="3"/>
    </row>
    <row r="1197" spans="1:4" ht="15.75" customHeight="1" x14ac:dyDescent="0.25">
      <c r="A1197" s="2">
        <v>30715235419</v>
      </c>
      <c r="B1197" s="3" t="s">
        <v>1244</v>
      </c>
      <c r="C1197" s="1" t="s">
        <v>942</v>
      </c>
      <c r="D1197" s="3"/>
    </row>
    <row r="1198" spans="1:4" ht="15.75" customHeight="1" x14ac:dyDescent="0.25">
      <c r="A1198" s="2">
        <v>30714743402</v>
      </c>
      <c r="B1198" s="3" t="s">
        <v>1245</v>
      </c>
      <c r="C1198" s="1" t="s">
        <v>610</v>
      </c>
      <c r="D1198" s="3"/>
    </row>
    <row r="1199" spans="1:4" ht="15.75" customHeight="1" x14ac:dyDescent="0.25">
      <c r="A1199" s="2">
        <v>30708600187</v>
      </c>
      <c r="B1199" s="3" t="s">
        <v>1246</v>
      </c>
      <c r="C1199" s="1" t="s">
        <v>942</v>
      </c>
      <c r="D1199" s="3"/>
    </row>
    <row r="1200" spans="1:4" ht="15.75" customHeight="1" x14ac:dyDescent="0.25">
      <c r="A1200" s="2">
        <v>20283509924</v>
      </c>
      <c r="B1200" s="3" t="s">
        <v>1247</v>
      </c>
      <c r="C1200" s="1" t="s">
        <v>942</v>
      </c>
      <c r="D1200" s="3"/>
    </row>
    <row r="1201" spans="1:4" ht="15.75" customHeight="1" x14ac:dyDescent="0.25">
      <c r="A1201" s="2">
        <v>30718512545</v>
      </c>
      <c r="B1201" s="3" t="s">
        <v>1248</v>
      </c>
      <c r="C1201" s="1"/>
      <c r="D1201" s="3"/>
    </row>
    <row r="1202" spans="1:4" ht="15.75" customHeight="1" x14ac:dyDescent="0.25">
      <c r="A1202" s="2">
        <v>55000006059</v>
      </c>
      <c r="B1202" s="3" t="s">
        <v>1249</v>
      </c>
      <c r="C1202" s="1"/>
      <c r="D1202" s="3"/>
    </row>
    <row r="1203" spans="1:4" ht="15.75" customHeight="1" x14ac:dyDescent="0.25">
      <c r="A1203" s="2">
        <v>30714265675</v>
      </c>
      <c r="B1203" s="3" t="s">
        <v>1250</v>
      </c>
      <c r="C1203" s="1" t="s">
        <v>920</v>
      </c>
      <c r="D1203" s="3"/>
    </row>
    <row r="1204" spans="1:4" ht="15.75" customHeight="1" x14ac:dyDescent="0.25">
      <c r="A1204" s="2">
        <v>30717046591</v>
      </c>
      <c r="B1204" s="3" t="s">
        <v>1251</v>
      </c>
      <c r="C1204" s="1" t="s">
        <v>920</v>
      </c>
      <c r="D1204" s="3"/>
    </row>
    <row r="1205" spans="1:4" ht="15.75" customHeight="1" x14ac:dyDescent="0.25">
      <c r="A1205" s="2">
        <v>33710719549</v>
      </c>
      <c r="B1205" s="3" t="s">
        <v>1252</v>
      </c>
      <c r="C1205" s="1" t="s">
        <v>942</v>
      </c>
      <c r="D1205" s="3"/>
    </row>
    <row r="1206" spans="1:4" ht="15.75" customHeight="1" x14ac:dyDescent="0.25">
      <c r="A1206" s="2">
        <v>33717240249</v>
      </c>
      <c r="B1206" s="3" t="s">
        <v>1253</v>
      </c>
      <c r="C1206" s="1" t="s">
        <v>1460</v>
      </c>
      <c r="D1206" s="3"/>
    </row>
    <row r="1207" spans="1:4" ht="15.75" customHeight="1" x14ac:dyDescent="0.25">
      <c r="A1207" s="2">
        <v>20309706197</v>
      </c>
      <c r="B1207" s="3" t="s">
        <v>1254</v>
      </c>
      <c r="C1207" s="1" t="s">
        <v>1463</v>
      </c>
      <c r="D1207" s="3"/>
    </row>
    <row r="1208" spans="1:4" ht="15.75" customHeight="1" x14ac:dyDescent="0.25">
      <c r="A1208" s="2">
        <v>33658043779</v>
      </c>
      <c r="B1208" s="3" t="s">
        <v>1255</v>
      </c>
      <c r="C1208" s="1" t="s">
        <v>1462</v>
      </c>
      <c r="D1208" s="3"/>
    </row>
    <row r="1209" spans="1:4" ht="15.75" customHeight="1" x14ac:dyDescent="0.25">
      <c r="A1209" s="2">
        <v>30556565798</v>
      </c>
      <c r="B1209" s="3" t="s">
        <v>1256</v>
      </c>
      <c r="C1209" s="1" t="s">
        <v>908</v>
      </c>
      <c r="D1209" s="3"/>
    </row>
    <row r="1210" spans="1:4" ht="15.75" customHeight="1" x14ac:dyDescent="0.25">
      <c r="A1210" s="2">
        <v>30694497701</v>
      </c>
      <c r="B1210" s="3" t="s">
        <v>1257</v>
      </c>
      <c r="C1210" s="1" t="s">
        <v>942</v>
      </c>
      <c r="D1210" s="3"/>
    </row>
    <row r="1211" spans="1:4" ht="15.75" customHeight="1" x14ac:dyDescent="0.25">
      <c r="A1211" s="2">
        <v>55000000050</v>
      </c>
      <c r="B1211" s="3" t="s">
        <v>1258</v>
      </c>
      <c r="C1211" s="1"/>
      <c r="D1211" s="3"/>
    </row>
    <row r="1212" spans="1:4" ht="15.75" customHeight="1" x14ac:dyDescent="0.25">
      <c r="A1212" s="2">
        <v>30707555404</v>
      </c>
      <c r="B1212" s="3" t="s">
        <v>1259</v>
      </c>
      <c r="C1212" s="1" t="s">
        <v>942</v>
      </c>
      <c r="D1212" s="3"/>
    </row>
    <row r="1213" spans="1:4" ht="15.75" customHeight="1" x14ac:dyDescent="0.25">
      <c r="A1213" s="2">
        <v>27264020773</v>
      </c>
      <c r="B1213" s="3" t="s">
        <v>1260</v>
      </c>
      <c r="C1213" s="1" t="s">
        <v>1463</v>
      </c>
      <c r="D1213" s="3"/>
    </row>
    <row r="1214" spans="1:4" ht="15.75" customHeight="1" x14ac:dyDescent="0.25">
      <c r="A1214" s="2">
        <v>20172940162</v>
      </c>
      <c r="B1214" s="3" t="s">
        <v>1261</v>
      </c>
      <c r="C1214" s="1" t="s">
        <v>1463</v>
      </c>
      <c r="D1214" s="3"/>
    </row>
    <row r="1215" spans="1:4" ht="15.75" customHeight="1" x14ac:dyDescent="0.25">
      <c r="A1215" s="2">
        <v>20148841722</v>
      </c>
      <c r="B1215" s="3" t="s">
        <v>1262</v>
      </c>
      <c r="C1215" s="1" t="s">
        <v>1454</v>
      </c>
      <c r="D1215" s="3"/>
    </row>
    <row r="1216" spans="1:4" ht="15.75" customHeight="1" x14ac:dyDescent="0.25">
      <c r="A1216" s="2">
        <v>20068864934</v>
      </c>
      <c r="B1216" s="3" t="s">
        <v>1263</v>
      </c>
      <c r="C1216" s="1" t="s">
        <v>942</v>
      </c>
      <c r="D1216" s="3"/>
    </row>
    <row r="1217" spans="1:4" ht="15.75" customHeight="1" x14ac:dyDescent="0.25">
      <c r="A1217" s="2">
        <v>20294608401</v>
      </c>
      <c r="B1217" s="3" t="s">
        <v>1264</v>
      </c>
      <c r="C1217" s="1" t="s">
        <v>942</v>
      </c>
      <c r="D1217" s="3"/>
    </row>
    <row r="1218" spans="1:4" ht="15.75" customHeight="1" x14ac:dyDescent="0.25">
      <c r="A1218" s="2">
        <v>20177459012</v>
      </c>
      <c r="B1218" s="3" t="s">
        <v>1265</v>
      </c>
      <c r="C1218" s="1" t="s">
        <v>1005</v>
      </c>
      <c r="D1218" s="3"/>
    </row>
    <row r="1219" spans="1:4" ht="15.75" customHeight="1" x14ac:dyDescent="0.25">
      <c r="A1219" s="2">
        <v>20120109449</v>
      </c>
      <c r="B1219" s="3" t="s">
        <v>1266</v>
      </c>
      <c r="C1219" s="1" t="s">
        <v>942</v>
      </c>
      <c r="D1219" s="3"/>
    </row>
    <row r="1220" spans="1:4" ht="15.75" customHeight="1" x14ac:dyDescent="0.25">
      <c r="A1220" s="2">
        <v>30715103946</v>
      </c>
      <c r="B1220" s="3" t="s">
        <v>1267</v>
      </c>
      <c r="C1220" s="1" t="s">
        <v>1457</v>
      </c>
      <c r="D1220" s="3"/>
    </row>
    <row r="1221" spans="1:4" ht="15.75" customHeight="1" x14ac:dyDescent="0.25">
      <c r="A1221" s="2">
        <v>30668033667</v>
      </c>
      <c r="B1221" s="3" t="s">
        <v>1268</v>
      </c>
      <c r="C1221" s="1"/>
      <c r="D1221" s="3"/>
    </row>
    <row r="1222" spans="1:4" ht="15.75" customHeight="1" x14ac:dyDescent="0.25">
      <c r="A1222" s="2">
        <v>20413837635</v>
      </c>
      <c r="B1222" s="3" t="s">
        <v>1269</v>
      </c>
      <c r="C1222" s="1"/>
      <c r="D1222" s="3"/>
    </row>
    <row r="1223" spans="1:4" ht="15.75" customHeight="1" x14ac:dyDescent="0.25">
      <c r="A1223" s="2">
        <v>30708548061</v>
      </c>
      <c r="B1223" s="3" t="s">
        <v>1270</v>
      </c>
      <c r="C1223" s="1"/>
      <c r="D1223" s="3"/>
    </row>
    <row r="1224" spans="1:4" ht="15.75" customHeight="1" x14ac:dyDescent="0.25">
      <c r="A1224" s="2">
        <v>30710473710</v>
      </c>
      <c r="B1224" s="3" t="s">
        <v>1271</v>
      </c>
      <c r="C1224" s="1"/>
      <c r="D1224" s="3"/>
    </row>
    <row r="1225" spans="1:4" ht="15.75" customHeight="1" x14ac:dyDescent="0.25">
      <c r="A1225" s="2">
        <v>30708592532</v>
      </c>
      <c r="B1225" s="3" t="s">
        <v>1272</v>
      </c>
      <c r="C1225" s="1"/>
      <c r="D1225" s="3"/>
    </row>
    <row r="1226" spans="1:4" ht="15.75" customHeight="1" x14ac:dyDescent="0.25">
      <c r="A1226" s="2">
        <v>20408014019</v>
      </c>
      <c r="B1226" s="3" t="s">
        <v>1273</v>
      </c>
      <c r="C1226" s="1"/>
      <c r="D1226" s="3"/>
    </row>
    <row r="1227" spans="1:4" ht="15.75" customHeight="1" x14ac:dyDescent="0.25">
      <c r="A1227" s="2">
        <v>30716403900</v>
      </c>
      <c r="B1227" s="3" t="s">
        <v>1274</v>
      </c>
      <c r="C1227" s="1"/>
      <c r="D1227" s="3"/>
    </row>
    <row r="1228" spans="1:4" ht="15.75" customHeight="1" x14ac:dyDescent="0.25">
      <c r="A1228" s="2">
        <v>30707135596</v>
      </c>
      <c r="B1228" s="3" t="s">
        <v>1014</v>
      </c>
      <c r="C1228" s="1" t="s">
        <v>46</v>
      </c>
      <c r="D1228" s="3"/>
    </row>
    <row r="1229" spans="1:4" ht="15.75" customHeight="1" x14ac:dyDescent="0.25">
      <c r="A1229" s="2">
        <v>30715402765</v>
      </c>
      <c r="B1229" s="3" t="s">
        <v>1015</v>
      </c>
      <c r="C1229" s="1" t="s">
        <v>920</v>
      </c>
      <c r="D1229" s="3"/>
    </row>
    <row r="1230" spans="1:4" ht="15.75" customHeight="1" x14ac:dyDescent="0.25">
      <c r="A1230" s="2">
        <v>30685776215</v>
      </c>
      <c r="B1230" s="3" t="s">
        <v>1275</v>
      </c>
      <c r="C1230" s="1" t="s">
        <v>942</v>
      </c>
      <c r="D1230" s="3"/>
    </row>
    <row r="1231" spans="1:4" ht="15.75" customHeight="1" x14ac:dyDescent="0.25">
      <c r="A1231" s="2">
        <v>20103565309</v>
      </c>
      <c r="B1231" s="3" t="s">
        <v>1141</v>
      </c>
      <c r="C1231" s="1" t="s">
        <v>1454</v>
      </c>
      <c r="D1231" s="3"/>
    </row>
    <row r="1232" spans="1:4" ht="15.75" customHeight="1" x14ac:dyDescent="0.25">
      <c r="A1232" s="2">
        <v>20125142851</v>
      </c>
      <c r="B1232" s="3" t="s">
        <v>1034</v>
      </c>
      <c r="C1232" s="1" t="s">
        <v>942</v>
      </c>
      <c r="D1232" s="3"/>
    </row>
    <row r="1233" spans="1:4" ht="15.75" customHeight="1" x14ac:dyDescent="0.25">
      <c r="A1233" s="2">
        <v>30708573279</v>
      </c>
      <c r="B1233" s="3" t="s">
        <v>1276</v>
      </c>
      <c r="C1233" s="1" t="s">
        <v>942</v>
      </c>
      <c r="D1233" s="3"/>
    </row>
    <row r="1234" spans="1:4" ht="15.75" customHeight="1" x14ac:dyDescent="0.25">
      <c r="A1234" s="2">
        <v>33712244629</v>
      </c>
      <c r="B1234" s="3" t="s">
        <v>1277</v>
      </c>
      <c r="C1234" s="1" t="s">
        <v>942</v>
      </c>
      <c r="D1234" s="3"/>
    </row>
    <row r="1235" spans="1:4" ht="15.75" customHeight="1" x14ac:dyDescent="0.25">
      <c r="A1235" s="2">
        <v>27214660097</v>
      </c>
      <c r="B1235" s="3" t="s">
        <v>1278</v>
      </c>
      <c r="C1235" s="1" t="s">
        <v>1456</v>
      </c>
      <c r="D1235" s="3"/>
    </row>
    <row r="1236" spans="1:4" ht="15.75" customHeight="1" x14ac:dyDescent="0.25">
      <c r="A1236" s="2">
        <v>30716661519</v>
      </c>
      <c r="B1236" s="3" t="s">
        <v>1279</v>
      </c>
      <c r="C1236" s="1" t="s">
        <v>920</v>
      </c>
      <c r="D1236" s="3"/>
    </row>
    <row r="1237" spans="1:4" ht="15.75" customHeight="1" x14ac:dyDescent="0.25">
      <c r="A1237" s="2">
        <v>30716661519</v>
      </c>
      <c r="B1237" s="3" t="s">
        <v>1279</v>
      </c>
      <c r="C1237" s="1" t="s">
        <v>920</v>
      </c>
      <c r="D1237" s="3"/>
    </row>
    <row r="1238" spans="1:4" ht="15.75" customHeight="1" x14ac:dyDescent="0.25">
      <c r="A1238" s="2">
        <v>20297899830</v>
      </c>
      <c r="B1238" s="3" t="s">
        <v>1064</v>
      </c>
      <c r="C1238" s="1" t="s">
        <v>942</v>
      </c>
      <c r="D1238" s="3"/>
    </row>
    <row r="1239" spans="1:4" ht="15.75" customHeight="1" x14ac:dyDescent="0.25">
      <c r="A1239" s="2">
        <v>30570861278</v>
      </c>
      <c r="B1239" s="3" t="s">
        <v>1280</v>
      </c>
      <c r="C1239" s="1" t="s">
        <v>1468</v>
      </c>
      <c r="D1239" s="3"/>
    </row>
    <row r="1240" spans="1:4" ht="15.75" customHeight="1" x14ac:dyDescent="0.25">
      <c r="A1240" s="2">
        <v>30678814357</v>
      </c>
      <c r="B1240" s="3" t="s">
        <v>1032</v>
      </c>
      <c r="C1240" s="1" t="s">
        <v>46</v>
      </c>
      <c r="D1240" s="3"/>
    </row>
    <row r="1241" spans="1:4" ht="15.75" customHeight="1" x14ac:dyDescent="0.25">
      <c r="A1241" s="2">
        <v>30708003316</v>
      </c>
      <c r="B1241" s="3" t="s">
        <v>1127</v>
      </c>
      <c r="C1241" s="1" t="s">
        <v>1455</v>
      </c>
      <c r="D1241" s="3"/>
    </row>
    <row r="1242" spans="1:4" ht="15.75" customHeight="1" x14ac:dyDescent="0.25">
      <c r="A1242" s="2">
        <v>30709953482</v>
      </c>
      <c r="B1242" s="3" t="s">
        <v>1012</v>
      </c>
      <c r="C1242" s="1" t="s">
        <v>920</v>
      </c>
      <c r="D1242" s="3"/>
    </row>
    <row r="1243" spans="1:4" ht="15.75" customHeight="1" x14ac:dyDescent="0.25">
      <c r="A1243" s="2">
        <v>20293627127</v>
      </c>
      <c r="B1243" s="3" t="s">
        <v>1281</v>
      </c>
      <c r="C1243" s="1" t="s">
        <v>920</v>
      </c>
      <c r="D1243" s="3"/>
    </row>
    <row r="1244" spans="1:4" ht="15.75" customHeight="1" x14ac:dyDescent="0.25">
      <c r="A1244" s="2">
        <v>20271822058</v>
      </c>
      <c r="B1244" s="3" t="s">
        <v>1282</v>
      </c>
      <c r="C1244" s="1" t="s">
        <v>1455</v>
      </c>
      <c r="D1244" s="3"/>
    </row>
    <row r="1245" spans="1:4" ht="15.75" customHeight="1" x14ac:dyDescent="0.25">
      <c r="A1245" s="2">
        <v>30709407895</v>
      </c>
      <c r="B1245" s="3" t="s">
        <v>1283</v>
      </c>
      <c r="C1245" s="1" t="s">
        <v>1455</v>
      </c>
      <c r="D1245" s="3"/>
    </row>
    <row r="1246" spans="1:4" ht="15.75" customHeight="1" x14ac:dyDescent="0.25">
      <c r="A1246" s="2">
        <v>20243751544</v>
      </c>
      <c r="B1246" s="3" t="s">
        <v>1284</v>
      </c>
      <c r="C1246" s="1" t="s">
        <v>920</v>
      </c>
      <c r="D1246" s="3"/>
    </row>
    <row r="1247" spans="1:4" ht="15.75" customHeight="1" x14ac:dyDescent="0.25">
      <c r="A1247" s="2">
        <v>30710854072</v>
      </c>
      <c r="B1247" s="3" t="s">
        <v>1285</v>
      </c>
      <c r="C1247" s="1" t="s">
        <v>1468</v>
      </c>
      <c r="D1247" s="3"/>
    </row>
    <row r="1248" spans="1:4" ht="15.75" customHeight="1" x14ac:dyDescent="0.25">
      <c r="A1248" s="2">
        <v>30594494187</v>
      </c>
      <c r="B1248" s="3" t="s">
        <v>1016</v>
      </c>
      <c r="C1248" s="1" t="s">
        <v>5</v>
      </c>
      <c r="D1248" s="3"/>
    </row>
    <row r="1249" spans="1:4" ht="15.75" customHeight="1" x14ac:dyDescent="0.25">
      <c r="A1249" s="2">
        <v>27182686641</v>
      </c>
      <c r="B1249" s="3" t="s">
        <v>1286</v>
      </c>
      <c r="C1249" s="1" t="s">
        <v>1451</v>
      </c>
      <c r="D1249" s="3"/>
    </row>
    <row r="1250" spans="1:4" ht="15.75" customHeight="1" x14ac:dyDescent="0.25">
      <c r="A1250" s="2">
        <v>30709131733</v>
      </c>
      <c r="B1250" s="3" t="s">
        <v>1031</v>
      </c>
      <c r="C1250" s="1" t="s">
        <v>942</v>
      </c>
      <c r="D1250" s="3"/>
    </row>
    <row r="1251" spans="1:4" ht="15.75" customHeight="1" x14ac:dyDescent="0.25">
      <c r="A1251" s="2">
        <v>30528214483</v>
      </c>
      <c r="B1251" s="3" t="s">
        <v>1154</v>
      </c>
      <c r="C1251" s="1" t="s">
        <v>942</v>
      </c>
      <c r="D1251" s="3"/>
    </row>
    <row r="1252" spans="1:4" ht="15.75" customHeight="1" x14ac:dyDescent="0.25">
      <c r="A1252" s="2">
        <v>30715048066</v>
      </c>
      <c r="B1252" s="3" t="s">
        <v>1287</v>
      </c>
      <c r="C1252" s="1" t="s">
        <v>632</v>
      </c>
      <c r="D1252" s="3"/>
    </row>
    <row r="1253" spans="1:4" ht="15.75" customHeight="1" x14ac:dyDescent="0.25">
      <c r="A1253" s="2">
        <v>30641121521</v>
      </c>
      <c r="B1253" s="3" t="s">
        <v>1288</v>
      </c>
      <c r="C1253" s="1" t="s">
        <v>942</v>
      </c>
      <c r="D1253" s="3"/>
    </row>
    <row r="1254" spans="1:4" ht="15.75" customHeight="1" x14ac:dyDescent="0.25">
      <c r="A1254" s="2">
        <v>20268897721</v>
      </c>
      <c r="B1254" s="3" t="s">
        <v>1289</v>
      </c>
      <c r="C1254" s="1" t="s">
        <v>1461</v>
      </c>
      <c r="D1254" s="3"/>
    </row>
    <row r="1255" spans="1:4" ht="15.75" customHeight="1" x14ac:dyDescent="0.25">
      <c r="A1255" s="2">
        <v>30586172308</v>
      </c>
      <c r="B1255" s="3" t="s">
        <v>1184</v>
      </c>
      <c r="C1255" s="1" t="s">
        <v>1454</v>
      </c>
      <c r="D1255" s="3"/>
    </row>
    <row r="1256" spans="1:4" ht="15.75" customHeight="1" x14ac:dyDescent="0.25">
      <c r="A1256" s="2">
        <v>30655534462</v>
      </c>
      <c r="B1256" s="3" t="s">
        <v>1290</v>
      </c>
      <c r="C1256" s="1" t="s">
        <v>920</v>
      </c>
      <c r="D1256" s="3"/>
    </row>
    <row r="1257" spans="1:4" ht="15.75" customHeight="1" x14ac:dyDescent="0.25">
      <c r="A1257" s="2">
        <v>20125142851</v>
      </c>
      <c r="B1257" s="3" t="s">
        <v>1034</v>
      </c>
      <c r="C1257" s="1" t="s">
        <v>942</v>
      </c>
      <c r="D1257" s="3"/>
    </row>
    <row r="1258" spans="1:4" ht="15.75" customHeight="1" x14ac:dyDescent="0.25">
      <c r="A1258" s="2">
        <v>30707756434</v>
      </c>
      <c r="B1258" s="3" t="s">
        <v>1039</v>
      </c>
      <c r="C1258" s="1" t="s">
        <v>7</v>
      </c>
      <c r="D1258" s="3"/>
    </row>
    <row r="1259" spans="1:4" ht="15.75" customHeight="1" x14ac:dyDescent="0.25">
      <c r="A1259" s="2">
        <v>33717740519</v>
      </c>
      <c r="B1259" s="3" t="s">
        <v>1291</v>
      </c>
      <c r="C1259" s="1" t="s">
        <v>1463</v>
      </c>
      <c r="D1259" s="3"/>
    </row>
    <row r="1260" spans="1:4" ht="15.75" customHeight="1" x14ac:dyDescent="0.25">
      <c r="A1260" s="2">
        <v>30693449525</v>
      </c>
      <c r="B1260" s="3" t="s">
        <v>1292</v>
      </c>
      <c r="C1260" s="1" t="s">
        <v>920</v>
      </c>
      <c r="D1260" s="3"/>
    </row>
    <row r="1261" spans="1:4" ht="15.75" customHeight="1" x14ac:dyDescent="0.25">
      <c r="A1261" s="2">
        <v>23270085679</v>
      </c>
      <c r="B1261" s="3" t="s">
        <v>1293</v>
      </c>
      <c r="C1261" s="1" t="s">
        <v>1462</v>
      </c>
      <c r="D1261" s="3"/>
    </row>
    <row r="1262" spans="1:4" ht="15.75" customHeight="1" x14ac:dyDescent="0.25">
      <c r="A1262" s="2">
        <v>30695313140</v>
      </c>
      <c r="B1262" s="3" t="s">
        <v>1294</v>
      </c>
      <c r="C1262" s="1" t="s">
        <v>942</v>
      </c>
      <c r="D1262" s="3"/>
    </row>
    <row r="1263" spans="1:4" ht="15.75" customHeight="1" x14ac:dyDescent="0.25">
      <c r="A1263" s="2">
        <v>20319259113</v>
      </c>
      <c r="B1263" s="3" t="s">
        <v>1295</v>
      </c>
      <c r="C1263" s="1" t="s">
        <v>942</v>
      </c>
      <c r="D1263" s="3"/>
    </row>
    <row r="1264" spans="1:4" ht="15.75" customHeight="1" x14ac:dyDescent="0.25">
      <c r="A1264" s="2">
        <v>20262008267</v>
      </c>
      <c r="B1264" s="3" t="s">
        <v>1296</v>
      </c>
      <c r="C1264" s="1" t="s">
        <v>1460</v>
      </c>
      <c r="D1264" s="3"/>
    </row>
    <row r="1265" spans="1:4" ht="15.75" customHeight="1" x14ac:dyDescent="0.25">
      <c r="A1265" s="2">
        <v>30714749206</v>
      </c>
      <c r="B1265" s="3" t="s">
        <v>1297</v>
      </c>
      <c r="C1265" s="1" t="s">
        <v>1460</v>
      </c>
      <c r="D1265" s="3"/>
    </row>
    <row r="1266" spans="1:4" ht="15.75" customHeight="1" x14ac:dyDescent="0.25">
      <c r="A1266" s="2">
        <v>20289190148</v>
      </c>
      <c r="B1266" s="3" t="s">
        <v>1298</v>
      </c>
      <c r="C1266" s="1" t="s">
        <v>942</v>
      </c>
      <c r="D1266" s="3"/>
    </row>
    <row r="1267" spans="1:4" ht="15.75" customHeight="1" x14ac:dyDescent="0.25">
      <c r="A1267" s="2">
        <v>30710951647</v>
      </c>
      <c r="B1267" s="3" t="s">
        <v>1299</v>
      </c>
      <c r="C1267" s="1" t="s">
        <v>920</v>
      </c>
      <c r="D1267" s="3"/>
    </row>
    <row r="1268" spans="1:4" ht="15.75" customHeight="1" x14ac:dyDescent="0.25">
      <c r="A1268" s="2">
        <v>27184156658</v>
      </c>
      <c r="B1268" s="3" t="s">
        <v>1300</v>
      </c>
      <c r="C1268" s="1" t="s">
        <v>920</v>
      </c>
      <c r="D1268" s="3"/>
    </row>
    <row r="1269" spans="1:4" ht="15.75" customHeight="1" x14ac:dyDescent="0.25">
      <c r="A1269" s="2">
        <v>33708711999</v>
      </c>
      <c r="B1269" s="3" t="s">
        <v>1301</v>
      </c>
      <c r="C1269" s="1" t="s">
        <v>920</v>
      </c>
      <c r="D1269" s="3"/>
    </row>
    <row r="1270" spans="1:4" ht="15.75" customHeight="1" x14ac:dyDescent="0.25">
      <c r="A1270" s="2">
        <v>30715491180</v>
      </c>
      <c r="B1270" s="3" t="s">
        <v>1302</v>
      </c>
      <c r="C1270" s="1" t="s">
        <v>920</v>
      </c>
      <c r="D1270" s="3"/>
    </row>
    <row r="1271" spans="1:4" ht="15.75" customHeight="1" x14ac:dyDescent="0.25">
      <c r="A1271" s="2">
        <v>20292504455</v>
      </c>
      <c r="B1271" s="3" t="s">
        <v>1303</v>
      </c>
      <c r="C1271" s="1" t="s">
        <v>1454</v>
      </c>
      <c r="D1271" s="3"/>
    </row>
    <row r="1272" spans="1:4" ht="15.75" customHeight="1" x14ac:dyDescent="0.25">
      <c r="A1272" s="2">
        <v>30716620634</v>
      </c>
      <c r="B1272" s="3" t="s">
        <v>1304</v>
      </c>
      <c r="C1272" s="1" t="s">
        <v>920</v>
      </c>
      <c r="D1272" s="3"/>
    </row>
    <row r="1273" spans="1:4" ht="15.75" customHeight="1" x14ac:dyDescent="0.25">
      <c r="A1273" s="2">
        <v>30716932245</v>
      </c>
      <c r="B1273" s="3" t="s">
        <v>1305</v>
      </c>
      <c r="C1273" s="1" t="s">
        <v>920</v>
      </c>
      <c r="D1273" s="3"/>
    </row>
    <row r="1274" spans="1:4" ht="15.75" customHeight="1" x14ac:dyDescent="0.25">
      <c r="A1274" s="2">
        <v>30716831066</v>
      </c>
      <c r="B1274" s="3" t="s">
        <v>1306</v>
      </c>
      <c r="C1274" s="1" t="s">
        <v>610</v>
      </c>
      <c r="D1274" s="3"/>
    </row>
    <row r="1275" spans="1:4" ht="15.75" customHeight="1" x14ac:dyDescent="0.25">
      <c r="A1275" s="2">
        <v>30711526419</v>
      </c>
      <c r="B1275" s="3" t="s">
        <v>1307</v>
      </c>
      <c r="C1275" s="1" t="s">
        <v>942</v>
      </c>
      <c r="D1275" s="3"/>
    </row>
    <row r="1276" spans="1:4" ht="15.75" customHeight="1" x14ac:dyDescent="0.25">
      <c r="A1276" s="2">
        <v>30690179020</v>
      </c>
      <c r="B1276" s="3" t="s">
        <v>1308</v>
      </c>
      <c r="C1276" s="1" t="s">
        <v>920</v>
      </c>
      <c r="D1276" s="3"/>
    </row>
    <row r="1277" spans="1:4" ht="15.75" customHeight="1" x14ac:dyDescent="0.25">
      <c r="A1277" s="2">
        <v>30714082317</v>
      </c>
      <c r="B1277" s="3" t="s">
        <v>1309</v>
      </c>
      <c r="C1277" s="1" t="s">
        <v>920</v>
      </c>
      <c r="D1277" s="3"/>
    </row>
    <row r="1278" spans="1:4" ht="15.75" customHeight="1" x14ac:dyDescent="0.25">
      <c r="A1278" s="2">
        <v>30717788261</v>
      </c>
      <c r="B1278" s="3" t="s">
        <v>1310</v>
      </c>
      <c r="C1278" s="1" t="s">
        <v>920</v>
      </c>
      <c r="D1278" s="3"/>
    </row>
    <row r="1279" spans="1:4" ht="15.75" customHeight="1" x14ac:dyDescent="0.25">
      <c r="A1279" s="2">
        <v>30716200244</v>
      </c>
      <c r="B1279" s="3" t="s">
        <v>1311</v>
      </c>
      <c r="C1279" s="1" t="s">
        <v>942</v>
      </c>
      <c r="D1279" s="3"/>
    </row>
    <row r="1280" spans="1:4" ht="15.75" customHeight="1" x14ac:dyDescent="0.25">
      <c r="A1280" s="2">
        <v>30687492397</v>
      </c>
      <c r="B1280" s="3" t="s">
        <v>1312</v>
      </c>
      <c r="C1280" s="1"/>
      <c r="D1280" s="3"/>
    </row>
    <row r="1281" spans="1:4" ht="15.75" customHeight="1" x14ac:dyDescent="0.25">
      <c r="A1281" s="2">
        <v>20412228627</v>
      </c>
      <c r="B1281" s="3" t="s">
        <v>1313</v>
      </c>
      <c r="C1281" s="1" t="s">
        <v>920</v>
      </c>
      <c r="D1281" s="3"/>
    </row>
    <row r="1282" spans="1:4" ht="15.75" customHeight="1" x14ac:dyDescent="0.25">
      <c r="A1282" s="2">
        <v>20367496836</v>
      </c>
      <c r="B1282" s="3" t="s">
        <v>1314</v>
      </c>
      <c r="C1282" s="1" t="s">
        <v>920</v>
      </c>
      <c r="D1282" s="3"/>
    </row>
    <row r="1283" spans="1:4" ht="15.75" customHeight="1" x14ac:dyDescent="0.25">
      <c r="A1283" s="2">
        <v>30710644809</v>
      </c>
      <c r="B1283" s="3" t="s">
        <v>1404</v>
      </c>
      <c r="C1283" s="1" t="s">
        <v>1463</v>
      </c>
      <c r="D1283" s="3"/>
    </row>
    <row r="1284" spans="1:4" ht="15.75" customHeight="1" x14ac:dyDescent="0.25">
      <c r="A1284" s="2">
        <v>27200094331</v>
      </c>
      <c r="B1284" s="3" t="s">
        <v>1405</v>
      </c>
      <c r="C1284" s="1" t="s">
        <v>1452</v>
      </c>
      <c r="D1284" s="3"/>
    </row>
    <row r="1285" spans="1:4" ht="15.75" customHeight="1" x14ac:dyDescent="0.25">
      <c r="A1285" s="2">
        <v>23342701469</v>
      </c>
      <c r="B1285" t="s">
        <v>1406</v>
      </c>
      <c r="C1285" s="1" t="s">
        <v>920</v>
      </c>
      <c r="D1285" s="3"/>
    </row>
    <row r="1286" spans="1:4" ht="15.75" customHeight="1" x14ac:dyDescent="0.25">
      <c r="A1286" s="2">
        <v>30712387390</v>
      </c>
      <c r="B1286" s="3" t="s">
        <v>1407</v>
      </c>
      <c r="C1286" s="1" t="s">
        <v>1451</v>
      </c>
      <c r="D1286" s="3"/>
    </row>
    <row r="1287" spans="1:4" ht="15.75" customHeight="1" x14ac:dyDescent="0.25">
      <c r="A1287" s="2">
        <v>30711493596</v>
      </c>
      <c r="B1287" s="3" t="s">
        <v>1408</v>
      </c>
      <c r="C1287" s="1" t="s">
        <v>1463</v>
      </c>
      <c r="D1287" s="3"/>
    </row>
    <row r="1288" spans="1:4" ht="15.75" customHeight="1" x14ac:dyDescent="0.25">
      <c r="A1288" s="2">
        <v>27270570564</v>
      </c>
      <c r="B1288" s="3" t="s">
        <v>1409</v>
      </c>
      <c r="C1288" s="1" t="s">
        <v>920</v>
      </c>
      <c r="D1288" s="3"/>
    </row>
    <row r="1289" spans="1:4" ht="15.75" customHeight="1" x14ac:dyDescent="0.25">
      <c r="A1289" s="2">
        <v>30709872911</v>
      </c>
      <c r="B1289" s="3" t="s">
        <v>1410</v>
      </c>
      <c r="C1289" s="1" t="s">
        <v>1460</v>
      </c>
      <c r="D1289" s="3"/>
    </row>
    <row r="1290" spans="1:4" ht="15.75" customHeight="1" x14ac:dyDescent="0.25">
      <c r="A1290" s="2">
        <v>30610333822</v>
      </c>
      <c r="B1290" s="3" t="s">
        <v>1411</v>
      </c>
      <c r="C1290" s="1" t="s">
        <v>920</v>
      </c>
      <c r="D1290" s="3"/>
    </row>
    <row r="1291" spans="1:4" ht="15.75" customHeight="1" x14ac:dyDescent="0.25">
      <c r="A1291" s="2">
        <v>30718293436</v>
      </c>
      <c r="B1291" s="3" t="s">
        <v>1412</v>
      </c>
      <c r="C1291" s="1" t="s">
        <v>1470</v>
      </c>
      <c r="D1291" s="3"/>
    </row>
    <row r="1292" spans="1:4" ht="15.75" customHeight="1" x14ac:dyDescent="0.25">
      <c r="A1292" s="2">
        <v>30715197509</v>
      </c>
      <c r="B1292" s="3" t="s">
        <v>1413</v>
      </c>
      <c r="C1292" s="1" t="s">
        <v>1470</v>
      </c>
      <c r="D1292" s="3"/>
    </row>
    <row r="1293" spans="1:4" ht="15.75" customHeight="1" x14ac:dyDescent="0.25">
      <c r="A1293" s="2">
        <v>30717740439</v>
      </c>
      <c r="B1293" s="3" t="s">
        <v>1414</v>
      </c>
      <c r="C1293" s="1" t="s">
        <v>908</v>
      </c>
      <c r="D1293" s="3"/>
    </row>
    <row r="1294" spans="1:4" ht="15.75" customHeight="1" x14ac:dyDescent="0.25">
      <c r="A1294" s="2">
        <v>30710567642</v>
      </c>
      <c r="B1294" s="3" t="s">
        <v>1415</v>
      </c>
      <c r="C1294" s="1" t="s">
        <v>920</v>
      </c>
      <c r="D1294" s="3"/>
    </row>
    <row r="1295" spans="1:4" ht="15.75" customHeight="1" x14ac:dyDescent="0.25">
      <c r="A1295" s="2">
        <v>30710492626</v>
      </c>
      <c r="B1295" t="s">
        <v>1416</v>
      </c>
      <c r="C1295" s="1" t="s">
        <v>7</v>
      </c>
      <c r="D1295" s="3"/>
    </row>
    <row r="1296" spans="1:4" ht="15.75" customHeight="1" x14ac:dyDescent="0.25">
      <c r="A1296" s="2">
        <v>30711125139</v>
      </c>
      <c r="B1296" s="3" t="s">
        <v>1417</v>
      </c>
      <c r="C1296" s="1" t="s">
        <v>1452</v>
      </c>
      <c r="D1296" s="3"/>
    </row>
    <row r="1297" spans="1:4" ht="15.75" customHeight="1" x14ac:dyDescent="0.25">
      <c r="A1297" s="2">
        <v>30717100308</v>
      </c>
      <c r="B1297" t="s">
        <v>1418</v>
      </c>
      <c r="C1297" s="1" t="s">
        <v>7</v>
      </c>
      <c r="D1297" s="3"/>
    </row>
    <row r="1298" spans="1:4" ht="15.75" customHeight="1" x14ac:dyDescent="0.25">
      <c r="A1298" s="2">
        <v>20104609288</v>
      </c>
      <c r="B1298" t="s">
        <v>1419</v>
      </c>
      <c r="C1298" s="1" t="s">
        <v>1454</v>
      </c>
      <c r="D1298" s="3"/>
    </row>
    <row r="1299" spans="1:4" ht="15.75" customHeight="1" x14ac:dyDescent="0.25">
      <c r="A1299" s="2">
        <v>30714769290</v>
      </c>
      <c r="B1299" s="3" t="s">
        <v>1420</v>
      </c>
      <c r="C1299" s="1" t="s">
        <v>1460</v>
      </c>
      <c r="D1299" s="3"/>
    </row>
    <row r="1300" spans="1:4" ht="15.75" customHeight="1" x14ac:dyDescent="0.25">
      <c r="A1300" s="2">
        <v>30718509552</v>
      </c>
      <c r="B1300" s="3" t="s">
        <v>1421</v>
      </c>
      <c r="C1300" s="1" t="s">
        <v>1454</v>
      </c>
      <c r="D1300" s="3"/>
    </row>
    <row r="1301" spans="1:4" ht="15.75" customHeight="1" x14ac:dyDescent="0.25">
      <c r="A1301" s="2">
        <v>23239931359</v>
      </c>
      <c r="B1301" t="s">
        <v>1422</v>
      </c>
      <c r="C1301" s="1"/>
      <c r="D1301" s="3"/>
    </row>
    <row r="1302" spans="1:4" ht="15.75" customHeight="1" x14ac:dyDescent="0.25">
      <c r="A1302" s="2">
        <v>30716559188</v>
      </c>
      <c r="B1302" s="3" t="s">
        <v>1290</v>
      </c>
      <c r="C1302" s="1" t="s">
        <v>920</v>
      </c>
      <c r="D1302" s="3"/>
    </row>
    <row r="1303" spans="1:4" ht="15.75" customHeight="1" x14ac:dyDescent="0.25">
      <c r="A1303" s="2">
        <v>30710804830</v>
      </c>
      <c r="B1303" s="3" t="s">
        <v>1424</v>
      </c>
      <c r="C1303" s="1" t="s">
        <v>1452</v>
      </c>
      <c r="D1303" s="3"/>
    </row>
    <row r="1304" spans="1:4" ht="15.75" customHeight="1" x14ac:dyDescent="0.25">
      <c r="A1304" s="2">
        <v>30700940957</v>
      </c>
      <c r="B1304" s="3" t="s">
        <v>1425</v>
      </c>
      <c r="C1304" s="1" t="s">
        <v>1453</v>
      </c>
      <c r="D1304" s="3"/>
    </row>
    <row r="1305" spans="1:4" ht="15.75" customHeight="1" x14ac:dyDescent="0.25">
      <c r="A1305" s="2">
        <v>20419155870</v>
      </c>
      <c r="B1305" s="3" t="s">
        <v>1426</v>
      </c>
      <c r="C1305" s="1" t="s">
        <v>1458</v>
      </c>
      <c r="D1305" s="3"/>
    </row>
    <row r="1306" spans="1:4" ht="15.75" customHeight="1" x14ac:dyDescent="0.25">
      <c r="A1306" s="2">
        <v>20224251263</v>
      </c>
      <c r="B1306" s="3" t="s">
        <v>1427</v>
      </c>
      <c r="C1306" s="1" t="s">
        <v>1452</v>
      </c>
      <c r="D1306" s="3"/>
    </row>
    <row r="1307" spans="1:4" ht="15.75" customHeight="1" x14ac:dyDescent="0.25">
      <c r="A1307" s="2">
        <v>30717247244</v>
      </c>
      <c r="B1307" s="3" t="s">
        <v>1428</v>
      </c>
      <c r="C1307" s="1" t="s">
        <v>1463</v>
      </c>
      <c r="D1307" s="3"/>
    </row>
    <row r="1308" spans="1:4" ht="15.75" customHeight="1" x14ac:dyDescent="0.25">
      <c r="A1308" s="2">
        <v>30716711621</v>
      </c>
      <c r="B1308" s="3" t="s">
        <v>1429</v>
      </c>
      <c r="C1308" s="1" t="s">
        <v>1460</v>
      </c>
      <c r="D1308" s="3"/>
    </row>
    <row r="1309" spans="1:4" ht="15.75" customHeight="1" x14ac:dyDescent="0.25">
      <c r="A1309" s="2">
        <v>20328816807</v>
      </c>
      <c r="B1309" s="3" t="s">
        <v>1430</v>
      </c>
      <c r="C1309" s="1" t="s">
        <v>1454</v>
      </c>
      <c r="D1309" s="3"/>
    </row>
    <row r="1310" spans="1:4" ht="15.75" customHeight="1" x14ac:dyDescent="0.25">
      <c r="A1310" s="2">
        <v>30716373475</v>
      </c>
      <c r="B1310" s="3" t="s">
        <v>1431</v>
      </c>
      <c r="C1310" s="1" t="s">
        <v>942</v>
      </c>
      <c r="D1310" s="3"/>
    </row>
    <row r="1311" spans="1:4" ht="15.75" customHeight="1" x14ac:dyDescent="0.25">
      <c r="A1311" s="2">
        <v>20315447241</v>
      </c>
      <c r="B1311" s="3" t="s">
        <v>1432</v>
      </c>
      <c r="C1311" s="1" t="s">
        <v>920</v>
      </c>
      <c r="D1311" s="3"/>
    </row>
    <row r="1312" spans="1:4" ht="15.75" customHeight="1" x14ac:dyDescent="0.25">
      <c r="A1312" s="2">
        <v>30716855909</v>
      </c>
      <c r="B1312" s="3" t="s">
        <v>1433</v>
      </c>
      <c r="C1312" s="1" t="s">
        <v>942</v>
      </c>
      <c r="D1312" s="3"/>
    </row>
    <row r="1313" spans="1:4" ht="15.75" customHeight="1" x14ac:dyDescent="0.25">
      <c r="A1313" s="2">
        <v>20268221590</v>
      </c>
      <c r="B1313" s="3" t="s">
        <v>1434</v>
      </c>
      <c r="C1313" s="1" t="s">
        <v>1452</v>
      </c>
      <c r="D1313" s="3"/>
    </row>
    <row r="1314" spans="1:4" ht="15.75" customHeight="1" x14ac:dyDescent="0.25">
      <c r="A1314" s="2">
        <v>30715907794</v>
      </c>
      <c r="B1314" s="3" t="s">
        <v>1435</v>
      </c>
      <c r="C1314" s="1" t="s">
        <v>1460</v>
      </c>
      <c r="D1314" s="3"/>
    </row>
    <row r="1315" spans="1:4" ht="15.75" customHeight="1" x14ac:dyDescent="0.25">
      <c r="A1315" s="2">
        <v>27190958464</v>
      </c>
      <c r="B1315" s="3" t="s">
        <v>1436</v>
      </c>
      <c r="C1315" s="1" t="s">
        <v>920</v>
      </c>
      <c r="D1315" s="3"/>
    </row>
    <row r="1316" spans="1:4" ht="15.75" customHeight="1" x14ac:dyDescent="0.25">
      <c r="A1316" s="2">
        <v>30716086492</v>
      </c>
      <c r="B1316" s="3" t="s">
        <v>1437</v>
      </c>
      <c r="C1316" s="1" t="s">
        <v>1451</v>
      </c>
      <c r="D1316" s="3"/>
    </row>
    <row r="1317" spans="1:4" ht="15.75" customHeight="1" x14ac:dyDescent="0.25">
      <c r="A1317" s="2">
        <v>23403990639</v>
      </c>
      <c r="B1317" s="3" t="s">
        <v>1438</v>
      </c>
      <c r="C1317" s="1" t="s">
        <v>942</v>
      </c>
      <c r="D1317" s="3"/>
    </row>
    <row r="1318" spans="1:4" ht="15.75" customHeight="1" x14ac:dyDescent="0.25">
      <c r="A1318" s="2">
        <v>20272726915</v>
      </c>
      <c r="B1318" s="3" t="s">
        <v>1439</v>
      </c>
      <c r="C1318" s="1" t="s">
        <v>942</v>
      </c>
      <c r="D1318" s="3"/>
    </row>
    <row r="1319" spans="1:4" ht="15.75" customHeight="1" x14ac:dyDescent="0.25">
      <c r="A1319" s="2">
        <v>30716160889</v>
      </c>
      <c r="B1319" s="3" t="s">
        <v>1440</v>
      </c>
      <c r="C1319" s="1" t="s">
        <v>1451</v>
      </c>
      <c r="D1319" s="3"/>
    </row>
    <row r="1320" spans="1:4" ht="15.75" customHeight="1" x14ac:dyDescent="0.25">
      <c r="A1320" s="2">
        <v>20362474737</v>
      </c>
      <c r="B1320" s="3" t="s">
        <v>1441</v>
      </c>
      <c r="C1320" s="1"/>
      <c r="D1320" s="3"/>
    </row>
    <row r="1321" spans="1:4" ht="15.75" customHeight="1" x14ac:dyDescent="0.25">
      <c r="A1321" s="2">
        <v>20247759426</v>
      </c>
      <c r="B1321" s="3" t="s">
        <v>1442</v>
      </c>
      <c r="C1321" s="1"/>
      <c r="D1321" s="3"/>
    </row>
    <row r="1322" spans="1:4" ht="15.75" customHeight="1" x14ac:dyDescent="0.25">
      <c r="A1322" s="2">
        <v>23298673614</v>
      </c>
      <c r="B1322" s="3" t="s">
        <v>1443</v>
      </c>
      <c r="C1322" s="1"/>
      <c r="D1322" s="3"/>
    </row>
    <row r="1323" spans="1:4" ht="15.75" customHeight="1" x14ac:dyDescent="0.25">
      <c r="A1323" s="2">
        <v>27164522704</v>
      </c>
      <c r="B1323" s="3" t="s">
        <v>1444</v>
      </c>
      <c r="C1323" s="1"/>
      <c r="D1323" s="3"/>
    </row>
    <row r="1324" spans="1:4" ht="15.75" customHeight="1" x14ac:dyDescent="0.25">
      <c r="A1324" s="2">
        <v>20402302462</v>
      </c>
      <c r="B1324" s="3" t="s">
        <v>1445</v>
      </c>
      <c r="C1324" s="1"/>
      <c r="D1324" s="3"/>
    </row>
    <row r="1325" spans="1:4" ht="15.75" customHeight="1" x14ac:dyDescent="0.25">
      <c r="A1325" s="2">
        <v>20166817235</v>
      </c>
      <c r="B1325" s="3" t="s">
        <v>1446</v>
      </c>
      <c r="C1325" s="1"/>
      <c r="D1325" s="3"/>
    </row>
    <row r="1326" spans="1:4" ht="15.75" customHeight="1" x14ac:dyDescent="0.25">
      <c r="A1326" s="2">
        <v>20351363283</v>
      </c>
      <c r="B1326" s="3" t="s">
        <v>1447</v>
      </c>
      <c r="C1326" s="1" t="s">
        <v>920</v>
      </c>
      <c r="D1326" s="3"/>
    </row>
    <row r="1327" spans="1:4" ht="15.75" customHeight="1" x14ac:dyDescent="0.25">
      <c r="A1327" s="2">
        <v>33716423919</v>
      </c>
      <c r="B1327" s="3" t="s">
        <v>1448</v>
      </c>
      <c r="C1327" s="1" t="s">
        <v>920</v>
      </c>
      <c r="D1327" s="3"/>
    </row>
    <row r="1328" spans="1:4" ht="15.75" customHeight="1" x14ac:dyDescent="0.25">
      <c r="A1328" s="2">
        <v>30716578077</v>
      </c>
      <c r="B1328" s="3" t="s">
        <v>1449</v>
      </c>
      <c r="C1328" s="1" t="s">
        <v>942</v>
      </c>
      <c r="D1328" s="3"/>
    </row>
    <row r="1329" spans="1:4" ht="15.75" customHeight="1" x14ac:dyDescent="0.25">
      <c r="A1329" s="2">
        <v>23958056354</v>
      </c>
      <c r="B1329" s="3" t="s">
        <v>1450</v>
      </c>
      <c r="C1329" s="1" t="s">
        <v>920</v>
      </c>
      <c r="D1329" s="3"/>
    </row>
    <row r="1330" spans="1:4" ht="15.75" customHeight="1" x14ac:dyDescent="0.25">
      <c r="A1330" s="2">
        <v>30715595105</v>
      </c>
      <c r="B1330" s="3" t="s">
        <v>1471</v>
      </c>
      <c r="C1330" s="1"/>
      <c r="D1330" s="3"/>
    </row>
    <row r="1331" spans="1:4" ht="15.75" customHeight="1" x14ac:dyDescent="0.25">
      <c r="A1331" s="2">
        <v>20272628212</v>
      </c>
      <c r="B1331" s="3" t="s">
        <v>1472</v>
      </c>
      <c r="C1331" s="1" t="s">
        <v>1454</v>
      </c>
      <c r="D1331" s="3"/>
    </row>
    <row r="1332" spans="1:4" ht="15.75" customHeight="1" x14ac:dyDescent="0.25">
      <c r="A1332" s="2">
        <v>30709800635</v>
      </c>
      <c r="B1332" s="3" t="s">
        <v>1473</v>
      </c>
      <c r="C1332" s="1" t="s">
        <v>1460</v>
      </c>
      <c r="D1332" s="3"/>
    </row>
    <row r="1333" spans="1:4" ht="15.75" customHeight="1" x14ac:dyDescent="0.25">
      <c r="A1333" s="2">
        <v>30717480666</v>
      </c>
      <c r="B1333" s="3" t="s">
        <v>1474</v>
      </c>
      <c r="C1333" s="1" t="s">
        <v>1460</v>
      </c>
      <c r="D1333" s="3"/>
    </row>
    <row r="1334" spans="1:4" ht="15.75" customHeight="1" x14ac:dyDescent="0.25">
      <c r="A1334" s="2">
        <v>33715908099</v>
      </c>
      <c r="B1334" s="3" t="s">
        <v>1475</v>
      </c>
      <c r="C1334" s="1" t="s">
        <v>1470</v>
      </c>
      <c r="D1334" s="3"/>
    </row>
    <row r="1335" spans="1:4" ht="15.75" customHeight="1" x14ac:dyDescent="0.25">
      <c r="A1335" s="2">
        <v>30692859908</v>
      </c>
      <c r="B1335" s="3" t="s">
        <v>1476</v>
      </c>
      <c r="C1335" s="1" t="s">
        <v>942</v>
      </c>
      <c r="D1335" s="3"/>
    </row>
    <row r="1336" spans="1:4" ht="15.75" customHeight="1" x14ac:dyDescent="0.25">
      <c r="A1336" s="2">
        <v>30538456876</v>
      </c>
      <c r="B1336" s="3" t="s">
        <v>1477</v>
      </c>
      <c r="C1336" s="1" t="s">
        <v>97</v>
      </c>
      <c r="D1336" s="3"/>
    </row>
    <row r="1337" spans="1:4" ht="15.75" customHeight="1" x14ac:dyDescent="0.25">
      <c r="A1337" s="2">
        <v>30710201249</v>
      </c>
      <c r="B1337" s="3" t="s">
        <v>1478</v>
      </c>
      <c r="C1337" s="1" t="s">
        <v>1460</v>
      </c>
      <c r="D1337" s="3"/>
    </row>
    <row r="1338" spans="1:4" ht="15.75" customHeight="1" x14ac:dyDescent="0.25">
      <c r="A1338" s="2">
        <v>20231333593</v>
      </c>
      <c r="B1338" s="3" t="s">
        <v>1479</v>
      </c>
      <c r="C1338" s="1" t="s">
        <v>7</v>
      </c>
      <c r="D1338" s="3"/>
    </row>
    <row r="1339" spans="1:4" ht="15.75" customHeight="1" x14ac:dyDescent="0.25">
      <c r="A1339" s="2">
        <v>30534051049</v>
      </c>
      <c r="B1339" s="3" t="s">
        <v>1480</v>
      </c>
      <c r="C1339" s="1" t="s">
        <v>942</v>
      </c>
      <c r="D1339" s="3"/>
    </row>
    <row r="1340" spans="1:4" ht="15.75" customHeight="1" x14ac:dyDescent="0.25">
      <c r="A1340" s="2">
        <v>20241271235</v>
      </c>
      <c r="B1340" s="3" t="s">
        <v>1481</v>
      </c>
      <c r="C1340" s="1" t="s">
        <v>942</v>
      </c>
      <c r="D1340" s="3"/>
    </row>
    <row r="1341" spans="1:4" ht="15.75" customHeight="1" x14ac:dyDescent="0.25">
      <c r="A1341" s="2">
        <v>20330173328</v>
      </c>
      <c r="B1341" s="3" t="s">
        <v>1482</v>
      </c>
      <c r="C1341" s="1" t="s">
        <v>942</v>
      </c>
      <c r="D1341" s="3"/>
    </row>
    <row r="1342" spans="1:4" ht="15.75" customHeight="1" x14ac:dyDescent="0.25">
      <c r="A1342" s="2">
        <v>30718387619</v>
      </c>
      <c r="B1342" s="3" t="s">
        <v>1483</v>
      </c>
      <c r="C1342" s="1" t="s">
        <v>920</v>
      </c>
      <c r="D1342" s="3"/>
    </row>
    <row r="1343" spans="1:4" ht="15.75" customHeight="1" x14ac:dyDescent="0.25">
      <c r="A1343" s="2">
        <v>20228589218</v>
      </c>
      <c r="B1343" s="3" t="s">
        <v>1484</v>
      </c>
      <c r="C1343" s="1" t="s">
        <v>920</v>
      </c>
      <c r="D1343" s="3"/>
    </row>
    <row r="1344" spans="1:4" ht="15.75" customHeight="1" x14ac:dyDescent="0.25">
      <c r="A1344" s="2">
        <v>20206466848</v>
      </c>
      <c r="B1344" s="3" t="s">
        <v>1485</v>
      </c>
      <c r="C1344" s="1" t="s">
        <v>7</v>
      </c>
      <c r="D1344" s="3"/>
    </row>
    <row r="1345" spans="1:4" ht="15.75" customHeight="1" x14ac:dyDescent="0.25">
      <c r="A1345" s="2">
        <v>20166808201</v>
      </c>
      <c r="B1345" s="3" t="s">
        <v>1486</v>
      </c>
      <c r="C1345" s="1" t="s">
        <v>1451</v>
      </c>
      <c r="D1345" s="3"/>
    </row>
    <row r="1346" spans="1:4" ht="15.75" customHeight="1" x14ac:dyDescent="0.25">
      <c r="A1346" s="2">
        <v>30707466320</v>
      </c>
      <c r="B1346" s="3" t="s">
        <v>1487</v>
      </c>
      <c r="C1346" s="1"/>
      <c r="D1346" s="3"/>
    </row>
    <row r="1347" spans="1:4" ht="15.75" customHeight="1" x14ac:dyDescent="0.25">
      <c r="A1347" s="2">
        <v>30716389681</v>
      </c>
      <c r="B1347" s="3" t="s">
        <v>1488</v>
      </c>
      <c r="C1347" s="1" t="s">
        <v>1460</v>
      </c>
      <c r="D1347" s="3"/>
    </row>
    <row r="1348" spans="1:4" ht="15.75" customHeight="1" x14ac:dyDescent="0.25">
      <c r="A1348" s="2">
        <v>20420256796</v>
      </c>
      <c r="B1348" s="3" t="s">
        <v>1489</v>
      </c>
      <c r="C1348" s="1" t="s">
        <v>1460</v>
      </c>
      <c r="D1348" s="3"/>
    </row>
    <row r="1349" spans="1:4" ht="15.75" customHeight="1" x14ac:dyDescent="0.25">
      <c r="A1349" s="2">
        <v>30717581985</v>
      </c>
      <c r="B1349" s="3" t="s">
        <v>1490</v>
      </c>
      <c r="C1349" s="1" t="s">
        <v>942</v>
      </c>
      <c r="D1349" s="3"/>
    </row>
    <row r="1350" spans="1:4" ht="15.75" customHeight="1" x14ac:dyDescent="0.25">
      <c r="A1350" s="2">
        <v>20182339564</v>
      </c>
      <c r="B1350" s="3" t="s">
        <v>1491</v>
      </c>
      <c r="C1350" s="1" t="s">
        <v>942</v>
      </c>
      <c r="D1350" s="3"/>
    </row>
    <row r="1351" spans="1:4" ht="15.75" customHeight="1" x14ac:dyDescent="0.25">
      <c r="A1351" s="2">
        <v>30715266527</v>
      </c>
      <c r="B1351" s="3" t="s">
        <v>1492</v>
      </c>
      <c r="C1351" s="1" t="s">
        <v>942</v>
      </c>
      <c r="D1351" s="3"/>
    </row>
    <row r="1352" spans="1:4" ht="15.75" customHeight="1" x14ac:dyDescent="0.25">
      <c r="A1352" s="2">
        <v>33634082129</v>
      </c>
      <c r="B1352" s="3" t="s">
        <v>1493</v>
      </c>
      <c r="C1352" s="1" t="s">
        <v>942</v>
      </c>
      <c r="D1352" s="3"/>
    </row>
    <row r="1353" spans="1:4" ht="15.75" customHeight="1" x14ac:dyDescent="0.25">
      <c r="A1353" s="2">
        <v>30715368680</v>
      </c>
      <c r="B1353" s="3" t="s">
        <v>1494</v>
      </c>
      <c r="C1353" s="1" t="s">
        <v>920</v>
      </c>
      <c r="D1353" s="3"/>
    </row>
    <row r="1354" spans="1:4" ht="15.75" customHeight="1" x14ac:dyDescent="0.25">
      <c r="A1354" s="2">
        <v>30710852762</v>
      </c>
      <c r="B1354" s="3" t="s">
        <v>1495</v>
      </c>
      <c r="C1354" s="1" t="s">
        <v>920</v>
      </c>
      <c r="D1354" s="3"/>
    </row>
    <row r="1355" spans="1:4" ht="15.75" customHeight="1" x14ac:dyDescent="0.25">
      <c r="A1355" s="2">
        <v>30715296000</v>
      </c>
      <c r="B1355" s="3" t="s">
        <v>1496</v>
      </c>
      <c r="C1355" s="1" t="s">
        <v>942</v>
      </c>
      <c r="D1355" s="3"/>
    </row>
    <row r="1356" spans="1:4" ht="15.75" customHeight="1" x14ac:dyDescent="0.25">
      <c r="A1356" s="2">
        <v>20265168478</v>
      </c>
      <c r="B1356" s="3" t="s">
        <v>1497</v>
      </c>
      <c r="C1356" s="1" t="s">
        <v>908</v>
      </c>
      <c r="D1356" s="3"/>
    </row>
    <row r="1357" spans="1:4" ht="15.75" customHeight="1" x14ac:dyDescent="0.25">
      <c r="A1357" s="2">
        <v>27200507466</v>
      </c>
      <c r="B1357" s="3" t="s">
        <v>1498</v>
      </c>
      <c r="C1357" s="1" t="s">
        <v>1460</v>
      </c>
      <c r="D1357" s="3"/>
    </row>
    <row r="1358" spans="1:4" ht="15.75" customHeight="1" x14ac:dyDescent="0.25">
      <c r="A1358" s="2">
        <v>20941496963</v>
      </c>
      <c r="B1358" s="3" t="s">
        <v>1499</v>
      </c>
      <c r="C1358" s="1" t="s">
        <v>1457</v>
      </c>
      <c r="D1358" s="3"/>
    </row>
    <row r="1359" spans="1:4" ht="15.75" customHeight="1" x14ac:dyDescent="0.25">
      <c r="A1359" s="2">
        <v>30716011786</v>
      </c>
      <c r="B1359" s="3" t="s">
        <v>1500</v>
      </c>
      <c r="C1359" s="1"/>
      <c r="D1359" s="3"/>
    </row>
    <row r="1360" spans="1:4" ht="15.75" customHeight="1" x14ac:dyDescent="0.25">
      <c r="A1360" s="2">
        <v>30574668715</v>
      </c>
      <c r="B1360" s="3" t="s">
        <v>1501</v>
      </c>
      <c r="C1360" s="1"/>
      <c r="D1360" s="3"/>
    </row>
    <row r="1361" spans="1:4" ht="15.75" customHeight="1" x14ac:dyDescent="0.25">
      <c r="A1361" s="2">
        <v>30717277879</v>
      </c>
      <c r="B1361" s="3" t="s">
        <v>1502</v>
      </c>
      <c r="C1361" s="1" t="s">
        <v>1460</v>
      </c>
      <c r="D1361" s="3"/>
    </row>
    <row r="1362" spans="1:4" ht="15.75" customHeight="1" x14ac:dyDescent="0.25">
      <c r="A1362" s="2">
        <v>20168925582</v>
      </c>
      <c r="B1362" s="3" t="s">
        <v>1503</v>
      </c>
      <c r="C1362" s="1" t="s">
        <v>942</v>
      </c>
      <c r="D1362" s="3"/>
    </row>
    <row r="1363" spans="1:4" ht="15.75" customHeight="1" x14ac:dyDescent="0.25">
      <c r="A1363" s="2">
        <v>20302535443</v>
      </c>
      <c r="B1363" s="3" t="s">
        <v>1504</v>
      </c>
      <c r="C1363" s="1"/>
      <c r="D1363" s="3"/>
    </row>
    <row r="1364" spans="1:4" ht="15.75" customHeight="1" x14ac:dyDescent="0.25">
      <c r="A1364" s="2">
        <v>30717231135</v>
      </c>
      <c r="B1364" s="3" t="s">
        <v>1505</v>
      </c>
      <c r="C1364" s="1" t="s">
        <v>942</v>
      </c>
      <c r="D1364" s="3"/>
    </row>
    <row r="1365" spans="1:4" ht="15.75" customHeight="1" x14ac:dyDescent="0.25">
      <c r="A1365" s="2">
        <v>30710276273</v>
      </c>
      <c r="B1365" s="3" t="s">
        <v>1506</v>
      </c>
      <c r="C1365" s="1" t="s">
        <v>908</v>
      </c>
      <c r="D1365" s="3"/>
    </row>
    <row r="1366" spans="1:4" ht="15.75" customHeight="1" x14ac:dyDescent="0.25">
      <c r="A1366" s="2">
        <v>30516199292</v>
      </c>
      <c r="B1366" s="3" t="s">
        <v>1507</v>
      </c>
      <c r="C1366" s="1" t="s">
        <v>1509</v>
      </c>
      <c r="D1366" s="3"/>
    </row>
    <row r="1367" spans="1:4" ht="15.75" customHeight="1" x14ac:dyDescent="0.25">
      <c r="A1367" s="2">
        <v>20332167481</v>
      </c>
      <c r="B1367" s="3" t="s">
        <v>1508</v>
      </c>
      <c r="C1367" s="1" t="s">
        <v>920</v>
      </c>
      <c r="D1367" s="3"/>
    </row>
    <row r="1368" spans="1:4" ht="15.75" customHeight="1" x14ac:dyDescent="0.25">
      <c r="A1368" s="2">
        <v>20215856314</v>
      </c>
      <c r="B1368" s="3" t="s">
        <v>1511</v>
      </c>
      <c r="C1368" s="1"/>
      <c r="D1368" s="3"/>
    </row>
    <row r="1369" spans="1:4" ht="15.75" customHeight="1" x14ac:dyDescent="0.25">
      <c r="A1369" s="2">
        <v>30571048619</v>
      </c>
      <c r="B1369" s="3" t="s">
        <v>1512</v>
      </c>
      <c r="C1369" s="1"/>
      <c r="D1369" s="3"/>
    </row>
    <row r="1370" spans="1:4" ht="15.75" customHeight="1" x14ac:dyDescent="0.25">
      <c r="A1370" s="2">
        <v>30718266420</v>
      </c>
      <c r="B1370" s="3" t="s">
        <v>1513</v>
      </c>
      <c r="C1370" s="1" t="s">
        <v>1460</v>
      </c>
      <c r="D1370" s="3"/>
    </row>
    <row r="1371" spans="1:4" ht="15.75" customHeight="1" x14ac:dyDescent="0.25">
      <c r="A1371" s="2">
        <v>30717805174</v>
      </c>
      <c r="B1371" s="3" t="s">
        <v>1514</v>
      </c>
      <c r="C1371" s="1" t="s">
        <v>942</v>
      </c>
      <c r="D1371" s="3"/>
    </row>
    <row r="1372" spans="1:4" ht="15.75" customHeight="1" x14ac:dyDescent="0.25">
      <c r="A1372" s="2">
        <v>20304916401</v>
      </c>
      <c r="B1372" s="3" t="s">
        <v>1515</v>
      </c>
      <c r="C1372" s="1" t="s">
        <v>942</v>
      </c>
      <c r="D1372" s="3"/>
    </row>
    <row r="1373" spans="1:4" ht="15.75" customHeight="1" x14ac:dyDescent="0.25">
      <c r="A1373" s="2">
        <v>30718028112</v>
      </c>
      <c r="B1373" s="3" t="s">
        <v>1516</v>
      </c>
      <c r="C1373" s="1" t="s">
        <v>1462</v>
      </c>
      <c r="D1373" s="3"/>
    </row>
    <row r="1374" spans="1:4" ht="15.75" customHeight="1" x14ac:dyDescent="0.25">
      <c r="A1374" s="2">
        <v>30709531960</v>
      </c>
      <c r="B1374" s="3" t="s">
        <v>1517</v>
      </c>
      <c r="C1374" s="1" t="s">
        <v>1519</v>
      </c>
      <c r="D1374" s="3"/>
    </row>
    <row r="1375" spans="1:4" ht="15.75" customHeight="1" x14ac:dyDescent="0.25">
      <c r="A1375" s="2">
        <v>30708855533</v>
      </c>
      <c r="B1375" s="3" t="s">
        <v>1518</v>
      </c>
      <c r="C1375" s="1" t="s">
        <v>942</v>
      </c>
      <c r="D1375" s="3"/>
    </row>
    <row r="1376" spans="1:4" ht="15.75" customHeight="1" x14ac:dyDescent="0.25">
      <c r="A1376" s="2">
        <v>20266916680</v>
      </c>
      <c r="B1376" s="3" t="s">
        <v>1520</v>
      </c>
      <c r="C1376" s="1"/>
      <c r="D1376" s="3"/>
    </row>
    <row r="1377" spans="1:4" ht="15.75" customHeight="1" x14ac:dyDescent="0.25">
      <c r="A1377" s="2">
        <v>30718507495</v>
      </c>
      <c r="B1377" s="3" t="s">
        <v>1521</v>
      </c>
      <c r="C1377" s="1"/>
      <c r="D1377" s="3"/>
    </row>
    <row r="1378" spans="1:4" ht="15.75" customHeight="1" x14ac:dyDescent="0.25">
      <c r="A1378" s="2">
        <v>30715577956</v>
      </c>
      <c r="B1378" s="3" t="s">
        <v>1522</v>
      </c>
      <c r="C1378" s="1"/>
      <c r="D1378" s="3"/>
    </row>
    <row r="1379" spans="1:4" ht="15.75" customHeight="1" x14ac:dyDescent="0.25">
      <c r="A1379" s="2">
        <v>20293838713</v>
      </c>
      <c r="B1379" s="3" t="s">
        <v>1523</v>
      </c>
      <c r="C1379" s="1"/>
      <c r="D1379" s="3"/>
    </row>
    <row r="1380" spans="1:4" ht="15.75" customHeight="1" x14ac:dyDescent="0.25">
      <c r="A1380" s="2">
        <v>30679166073</v>
      </c>
      <c r="B1380" s="3" t="s">
        <v>1524</v>
      </c>
      <c r="C1380" s="1" t="s">
        <v>942</v>
      </c>
      <c r="D1380" s="3"/>
    </row>
    <row r="1381" spans="1:4" ht="15.75" customHeight="1" x14ac:dyDescent="0.25">
      <c r="A1381" s="2">
        <v>30710552726</v>
      </c>
      <c r="B1381" s="3" t="s">
        <v>1525</v>
      </c>
      <c r="C1381" s="1"/>
      <c r="D1381" s="3"/>
    </row>
    <row r="1382" spans="1:4" ht="15.75" customHeight="1" x14ac:dyDescent="0.25">
      <c r="A1382" s="2">
        <v>20392778013</v>
      </c>
      <c r="B1382" s="3" t="s">
        <v>1526</v>
      </c>
      <c r="C1382" s="1"/>
      <c r="D1382" s="3"/>
    </row>
    <row r="1383" spans="1:4" ht="15.75" customHeight="1" x14ac:dyDescent="0.25">
      <c r="A1383" s="2">
        <v>20303333038</v>
      </c>
      <c r="B1383" s="3" t="s">
        <v>1527</v>
      </c>
      <c r="C1383" s="1" t="s">
        <v>942</v>
      </c>
      <c r="D1383" s="3"/>
    </row>
    <row r="1384" spans="1:4" ht="15.75" customHeight="1" x14ac:dyDescent="0.25">
      <c r="A1384" s="2">
        <v>27268654017</v>
      </c>
      <c r="B1384" s="3" t="s">
        <v>1528</v>
      </c>
      <c r="C1384" s="1"/>
      <c r="D1384" s="3"/>
    </row>
    <row r="1385" spans="1:4" ht="15.75" customHeight="1" x14ac:dyDescent="0.25">
      <c r="A1385" s="2">
        <v>33696073169</v>
      </c>
      <c r="B1385" s="3" t="s">
        <v>1529</v>
      </c>
      <c r="C1385" s="1" t="s">
        <v>1451</v>
      </c>
      <c r="D1385" s="3"/>
    </row>
    <row r="1386" spans="1:4" ht="15.75" customHeight="1" x14ac:dyDescent="0.25">
      <c r="A1386" s="2">
        <v>30715401467</v>
      </c>
      <c r="B1386" s="3" t="s">
        <v>1530</v>
      </c>
      <c r="C1386" s="1" t="s">
        <v>942</v>
      </c>
      <c r="D1386" s="3"/>
    </row>
    <row r="1387" spans="1:4" ht="15.75" customHeight="1" x14ac:dyDescent="0.25">
      <c r="A1387" s="2">
        <v>30715899546</v>
      </c>
      <c r="B1387" s="3" t="s">
        <v>1531</v>
      </c>
      <c r="C1387" s="1"/>
      <c r="D1387" s="3"/>
    </row>
    <row r="1388" spans="1:4" ht="15.75" customHeight="1" x14ac:dyDescent="0.25">
      <c r="A1388" s="2">
        <v>20431994942</v>
      </c>
      <c r="B1388" s="3" t="s">
        <v>1532</v>
      </c>
      <c r="C1388" s="1" t="s">
        <v>1452</v>
      </c>
      <c r="D1388" s="3"/>
    </row>
    <row r="1389" spans="1:4" ht="15.75" customHeight="1" x14ac:dyDescent="0.25">
      <c r="A1389" s="2">
        <v>20351402270</v>
      </c>
      <c r="B1389" s="3" t="s">
        <v>1533</v>
      </c>
      <c r="C1389" s="1" t="s">
        <v>920</v>
      </c>
      <c r="D1389" s="3"/>
    </row>
    <row r="1390" spans="1:4" ht="15.75" customHeight="1" x14ac:dyDescent="0.25">
      <c r="A1390" s="2">
        <v>33714584079</v>
      </c>
      <c r="B1390" s="3" t="s">
        <v>1534</v>
      </c>
      <c r="C1390" s="1" t="s">
        <v>942</v>
      </c>
      <c r="D1390" s="3"/>
    </row>
    <row r="1391" spans="1:4" ht="15.75" customHeight="1" x14ac:dyDescent="0.25">
      <c r="A1391" s="2">
        <v>20279381123</v>
      </c>
      <c r="B1391" s="3" t="s">
        <v>1535</v>
      </c>
      <c r="C1391" s="1"/>
      <c r="D1391" s="3"/>
    </row>
    <row r="1392" spans="1:4" ht="15.75" customHeight="1" x14ac:dyDescent="0.25">
      <c r="A1392" s="2">
        <v>30714430781</v>
      </c>
      <c r="B1392" s="3" t="s">
        <v>1536</v>
      </c>
      <c r="C1392" s="1" t="s">
        <v>1452</v>
      </c>
      <c r="D1392" s="3"/>
    </row>
    <row r="1393" spans="1:4" ht="15.75" customHeight="1" x14ac:dyDescent="0.25">
      <c r="A1393" s="2">
        <v>30718833112</v>
      </c>
      <c r="B1393" s="3" t="s">
        <v>1537</v>
      </c>
      <c r="C1393" s="1"/>
      <c r="D1393" s="3"/>
    </row>
    <row r="1394" spans="1:4" ht="15.75" customHeight="1" x14ac:dyDescent="0.25">
      <c r="A1394" s="2">
        <v>20316749942</v>
      </c>
      <c r="B1394" s="3" t="s">
        <v>1540</v>
      </c>
      <c r="C1394" s="1"/>
      <c r="D1394" s="3"/>
    </row>
    <row r="1395" spans="1:4" ht="15.75" customHeight="1" x14ac:dyDescent="0.25">
      <c r="A1395" s="2">
        <v>30718251040</v>
      </c>
      <c r="B1395" s="3" t="s">
        <v>1541</v>
      </c>
      <c r="C1395" s="1"/>
      <c r="D1395" s="3"/>
    </row>
    <row r="1396" spans="1:4" ht="15.75" customHeight="1" x14ac:dyDescent="0.25">
      <c r="A1396" s="2">
        <v>30715311778</v>
      </c>
      <c r="B1396" s="3" t="s">
        <v>1542</v>
      </c>
      <c r="C1396" s="1"/>
      <c r="D1396" s="3"/>
    </row>
    <row r="1397" spans="1:4" ht="15.75" customHeight="1" x14ac:dyDescent="0.25">
      <c r="A1397" s="2">
        <v>30716804360</v>
      </c>
      <c r="B1397" s="3" t="s">
        <v>1543</v>
      </c>
      <c r="C1397" s="1"/>
      <c r="D1397" s="3"/>
    </row>
    <row r="1398" spans="1:4" ht="15.75" customHeight="1" x14ac:dyDescent="0.25">
      <c r="A1398" s="2">
        <v>30708261110</v>
      </c>
      <c r="B1398" s="3" t="s">
        <v>1544</v>
      </c>
      <c r="C1398" s="1"/>
      <c r="D1398" s="3"/>
    </row>
    <row r="1399" spans="1:4" ht="15.75" customHeight="1" x14ac:dyDescent="0.25">
      <c r="A1399" s="2">
        <v>20372347296</v>
      </c>
      <c r="B1399" s="3" t="s">
        <v>1545</v>
      </c>
      <c r="C1399" s="1"/>
      <c r="D1399" s="3"/>
    </row>
    <row r="1400" spans="1:4" ht="15.75" customHeight="1" x14ac:dyDescent="0.25">
      <c r="A1400" s="2">
        <v>20346807602</v>
      </c>
      <c r="B1400" s="3" t="s">
        <v>1546</v>
      </c>
      <c r="C1400" s="1"/>
      <c r="D1400" s="3"/>
    </row>
    <row r="1401" spans="1:4" ht="15.75" customHeight="1" x14ac:dyDescent="0.25">
      <c r="A1401" s="2">
        <v>20234861973</v>
      </c>
      <c r="B1401" s="3" t="s">
        <v>1547</v>
      </c>
      <c r="C1401" s="1"/>
      <c r="D1401" s="3"/>
    </row>
    <row r="1402" spans="1:4" ht="15.75" customHeight="1" x14ac:dyDescent="0.25">
      <c r="A1402" s="2">
        <v>30718473558</v>
      </c>
      <c r="B1402" s="3" t="s">
        <v>1548</v>
      </c>
      <c r="C1402" s="1"/>
      <c r="D1402" s="3"/>
    </row>
    <row r="1403" spans="1:4" ht="15.75" customHeight="1" x14ac:dyDescent="0.25">
      <c r="A1403" s="2">
        <v>20143939740</v>
      </c>
      <c r="B1403" s="3" t="s">
        <v>1549</v>
      </c>
      <c r="C1403" s="1"/>
      <c r="D1403" s="3"/>
    </row>
    <row r="1404" spans="1:4" ht="15.75" customHeight="1" x14ac:dyDescent="0.25">
      <c r="A1404" s="2">
        <v>30718734203</v>
      </c>
      <c r="B1404" s="3" t="s">
        <v>1550</v>
      </c>
      <c r="C1404" s="1"/>
      <c r="D1404" s="3"/>
    </row>
    <row r="1405" spans="1:4" ht="15.75" customHeight="1" x14ac:dyDescent="0.25">
      <c r="A1405" s="2">
        <v>20384564373</v>
      </c>
      <c r="B1405" s="3" t="s">
        <v>1551</v>
      </c>
      <c r="C1405" s="1"/>
      <c r="D1405" s="3"/>
    </row>
    <row r="1406" spans="1:4" ht="15.75" customHeight="1" x14ac:dyDescent="0.25">
      <c r="A1406" s="2">
        <v>30715699865</v>
      </c>
      <c r="B1406" s="3" t="s">
        <v>1552</v>
      </c>
      <c r="C1406" s="1"/>
      <c r="D1406" s="3"/>
    </row>
    <row r="1407" spans="1:4" ht="15.75" customHeight="1" x14ac:dyDescent="0.25">
      <c r="A1407" s="2">
        <v>20316399909</v>
      </c>
      <c r="B1407" s="3" t="s">
        <v>1553</v>
      </c>
      <c r="C1407" s="1"/>
      <c r="D1407" s="3"/>
    </row>
    <row r="1408" spans="1:4" ht="15.75" customHeight="1" x14ac:dyDescent="0.25">
      <c r="A1408" s="2">
        <v>30718061977</v>
      </c>
      <c r="B1408" s="3" t="s">
        <v>1554</v>
      </c>
      <c r="C1408" s="1"/>
      <c r="D1408" s="3"/>
    </row>
    <row r="1409" spans="1:4" ht="15.75" customHeight="1" x14ac:dyDescent="0.25">
      <c r="A1409" s="2">
        <v>20371136046</v>
      </c>
      <c r="B1409" s="3" t="s">
        <v>1555</v>
      </c>
      <c r="C1409" s="1"/>
      <c r="D1409" s="3"/>
    </row>
    <row r="1410" spans="1:4" ht="15.75" customHeight="1" x14ac:dyDescent="0.25">
      <c r="A1410" s="2">
        <v>20272258776</v>
      </c>
      <c r="B1410" s="3" t="s">
        <v>1556</v>
      </c>
      <c r="C1410" s="1"/>
      <c r="D1410" s="3"/>
    </row>
    <row r="1411" spans="1:4" ht="15.75" customHeight="1" x14ac:dyDescent="0.25">
      <c r="A1411" s="2">
        <v>20104903844</v>
      </c>
      <c r="B1411" s="3" t="s">
        <v>1557</v>
      </c>
      <c r="C1411" s="1"/>
      <c r="D1411" s="3"/>
    </row>
    <row r="1412" spans="1:4" ht="15.75" customHeight="1" x14ac:dyDescent="0.25">
      <c r="A1412" s="2">
        <v>30712249338</v>
      </c>
      <c r="B1412" s="3" t="s">
        <v>1560</v>
      </c>
      <c r="C1412" s="1"/>
      <c r="D1412" s="3"/>
    </row>
    <row r="1413" spans="1:4" ht="15.75" customHeight="1" x14ac:dyDescent="0.25">
      <c r="A1413" s="2">
        <v>33715334319</v>
      </c>
      <c r="B1413" s="3" t="s">
        <v>1561</v>
      </c>
      <c r="C1413" s="1"/>
      <c r="D1413" s="3"/>
    </row>
    <row r="1414" spans="1:4" ht="15.75" customHeight="1" x14ac:dyDescent="0.25">
      <c r="A1414" s="2">
        <v>30717248267</v>
      </c>
      <c r="B1414" s="3" t="s">
        <v>1562</v>
      </c>
      <c r="C1414" s="1"/>
      <c r="D1414" s="3"/>
    </row>
    <row r="1415" spans="1:4" ht="15.75" customHeight="1" x14ac:dyDescent="0.25">
      <c r="A1415" s="2">
        <v>30710513100</v>
      </c>
      <c r="B1415" s="3" t="s">
        <v>1563</v>
      </c>
      <c r="C1415" s="1"/>
      <c r="D1415" s="3"/>
    </row>
    <row r="1416" spans="1:4" ht="15.75" customHeight="1" x14ac:dyDescent="0.25">
      <c r="A1416" s="2">
        <v>20160873370</v>
      </c>
      <c r="B1416" t="s">
        <v>1564</v>
      </c>
      <c r="C1416" s="1"/>
      <c r="D1416" s="3"/>
    </row>
    <row r="1417" spans="1:4" ht="15.75" customHeight="1" x14ac:dyDescent="0.25">
      <c r="A1417" s="2">
        <v>30705740670</v>
      </c>
      <c r="B1417" s="434" t="s">
        <v>1566</v>
      </c>
      <c r="C1417" s="1"/>
      <c r="D1417" s="3"/>
    </row>
    <row r="1418" spans="1:4" ht="15.75" customHeight="1" x14ac:dyDescent="0.25">
      <c r="A1418" s="2">
        <v>30716328631</v>
      </c>
      <c r="B1418" t="s">
        <v>1567</v>
      </c>
      <c r="C1418" s="1"/>
      <c r="D1418" s="3"/>
    </row>
    <row r="1419" spans="1:4" ht="15.75" customHeight="1" x14ac:dyDescent="0.25">
      <c r="A1419" s="2">
        <v>20324801236</v>
      </c>
      <c r="B1419" s="3" t="s">
        <v>1568</v>
      </c>
      <c r="C1419" s="1" t="s">
        <v>1454</v>
      </c>
      <c r="D1419" s="3"/>
    </row>
    <row r="1420" spans="1:4" ht="15.75" customHeight="1" x14ac:dyDescent="0.25">
      <c r="A1420" s="2">
        <v>20264714657</v>
      </c>
      <c r="B1420" s="3" t="s">
        <v>1569</v>
      </c>
      <c r="C1420" s="1" t="s">
        <v>1519</v>
      </c>
      <c r="D1420" s="3"/>
    </row>
    <row r="1421" spans="1:4" ht="15.75" customHeight="1" x14ac:dyDescent="0.25">
      <c r="A1421" s="2">
        <v>30716998947</v>
      </c>
      <c r="B1421" s="3" t="s">
        <v>1570</v>
      </c>
      <c r="C1421" s="1" t="s">
        <v>1583</v>
      </c>
      <c r="D1421" s="3"/>
    </row>
    <row r="1422" spans="1:4" ht="15.75" customHeight="1" x14ac:dyDescent="0.25">
      <c r="A1422" s="2">
        <v>30716542773</v>
      </c>
      <c r="B1422" s="3" t="s">
        <v>1571</v>
      </c>
      <c r="C1422" s="1" t="s">
        <v>920</v>
      </c>
      <c r="D1422" s="3"/>
    </row>
    <row r="1423" spans="1:4" ht="15.75" customHeight="1" x14ac:dyDescent="0.25">
      <c r="A1423" s="2">
        <v>30717431819</v>
      </c>
      <c r="B1423" s="3" t="s">
        <v>1572</v>
      </c>
      <c r="C1423" s="1" t="s">
        <v>5</v>
      </c>
      <c r="D1423" s="3"/>
    </row>
    <row r="1424" spans="1:4" ht="15.75" customHeight="1" x14ac:dyDescent="0.25">
      <c r="A1424" s="2">
        <v>20289076299</v>
      </c>
      <c r="B1424" s="3" t="s">
        <v>1573</v>
      </c>
      <c r="C1424" s="1" t="s">
        <v>908</v>
      </c>
      <c r="D1424" s="3"/>
    </row>
    <row r="1425" spans="1:4" ht="15.75" customHeight="1" x14ac:dyDescent="0.25">
      <c r="A1425" s="2">
        <v>20258950527</v>
      </c>
      <c r="B1425" s="3" t="s">
        <v>1574</v>
      </c>
      <c r="C1425" s="1" t="s">
        <v>7</v>
      </c>
      <c r="D1425" s="3"/>
    </row>
    <row r="1426" spans="1:4" ht="15.75" customHeight="1" x14ac:dyDescent="0.25">
      <c r="A1426" s="2">
        <v>30709370401</v>
      </c>
      <c r="B1426" s="3" t="s">
        <v>1575</v>
      </c>
      <c r="C1426" s="1" t="s">
        <v>1462</v>
      </c>
      <c r="D1426" s="3"/>
    </row>
    <row r="1427" spans="1:4" ht="15.75" customHeight="1" x14ac:dyDescent="0.25">
      <c r="A1427" s="2">
        <v>30536393257</v>
      </c>
      <c r="B1427" s="3" t="s">
        <v>1576</v>
      </c>
      <c r="C1427" s="1" t="s">
        <v>1463</v>
      </c>
      <c r="D1427" s="3"/>
    </row>
    <row r="1428" spans="1:4" ht="15.75" customHeight="1" x14ac:dyDescent="0.25">
      <c r="A1428" s="2">
        <v>30710790074</v>
      </c>
      <c r="B1428" s="3" t="s">
        <v>1577</v>
      </c>
      <c r="C1428" s="1" t="s">
        <v>1454</v>
      </c>
      <c r="D1428" s="3"/>
    </row>
    <row r="1429" spans="1:4" ht="15.75" customHeight="1" x14ac:dyDescent="0.25">
      <c r="A1429" s="2">
        <v>30709513946</v>
      </c>
      <c r="B1429" s="3" t="s">
        <v>1578</v>
      </c>
      <c r="C1429" s="1" t="s">
        <v>1519</v>
      </c>
      <c r="D1429" s="3"/>
    </row>
    <row r="1430" spans="1:4" ht="15.75" customHeight="1" x14ac:dyDescent="0.25">
      <c r="A1430" s="2">
        <v>30534924875</v>
      </c>
      <c r="B1430" s="3" t="s">
        <v>1579</v>
      </c>
      <c r="C1430" s="1" t="s">
        <v>7</v>
      </c>
      <c r="D1430" s="3"/>
    </row>
    <row r="1431" spans="1:4" ht="15.75" customHeight="1" x14ac:dyDescent="0.25">
      <c r="A1431" s="2">
        <v>20190533515</v>
      </c>
      <c r="B1431" s="3" t="s">
        <v>1580</v>
      </c>
      <c r="C1431" s="1" t="s">
        <v>920</v>
      </c>
      <c r="D1431" s="3"/>
    </row>
    <row r="1432" spans="1:4" ht="15.75" customHeight="1" x14ac:dyDescent="0.25">
      <c r="A1432" s="2">
        <v>27172555387</v>
      </c>
      <c r="B1432" s="3" t="s">
        <v>1581</v>
      </c>
      <c r="C1432" s="1" t="s">
        <v>920</v>
      </c>
      <c r="D1432" s="3"/>
    </row>
    <row r="1433" spans="1:4" ht="15.75" customHeight="1" x14ac:dyDescent="0.25">
      <c r="A1433" s="2">
        <v>20469564267</v>
      </c>
      <c r="B1433" s="3" t="s">
        <v>1582</v>
      </c>
      <c r="C1433" s="1" t="s">
        <v>920</v>
      </c>
      <c r="D1433" s="3"/>
    </row>
    <row r="1434" spans="1:4" ht="15.75" customHeight="1" x14ac:dyDescent="0.25">
      <c r="A1434" s="2">
        <v>30707932119</v>
      </c>
      <c r="B1434" s="3" t="s">
        <v>1585</v>
      </c>
      <c r="C1434" s="1"/>
      <c r="D1434" s="3"/>
    </row>
    <row r="1435" spans="1:4" ht="15.75" customHeight="1" x14ac:dyDescent="0.25">
      <c r="A1435" s="2">
        <v>30715851896</v>
      </c>
      <c r="B1435" s="3" t="s">
        <v>1586</v>
      </c>
      <c r="C1435" s="1"/>
      <c r="D1435" s="3"/>
    </row>
    <row r="1436" spans="1:4" ht="15.75" customHeight="1" x14ac:dyDescent="0.25">
      <c r="A1436" s="2">
        <v>20171484481</v>
      </c>
      <c r="B1436" s="3" t="s">
        <v>1587</v>
      </c>
      <c r="C1436" s="1"/>
      <c r="D1436" s="3"/>
    </row>
    <row r="1437" spans="1:4" ht="15.75" customHeight="1" x14ac:dyDescent="0.25">
      <c r="A1437" s="2">
        <v>30719024390</v>
      </c>
      <c r="B1437" s="3" t="s">
        <v>1588</v>
      </c>
      <c r="C1437" s="1"/>
      <c r="D1437" s="3"/>
    </row>
    <row r="1438" spans="1:4" ht="15.75" customHeight="1" x14ac:dyDescent="0.25">
      <c r="A1438" s="2">
        <v>20266214376</v>
      </c>
      <c r="B1438" s="3" t="s">
        <v>1589</v>
      </c>
      <c r="C1438" s="1"/>
      <c r="D1438" s="3"/>
    </row>
    <row r="1439" spans="1:4" ht="15.75" customHeight="1" x14ac:dyDescent="0.25">
      <c r="A1439" s="2">
        <v>20124647895</v>
      </c>
      <c r="B1439" s="3" t="s">
        <v>1590</v>
      </c>
      <c r="C1439" s="1"/>
      <c r="D1439" s="3"/>
    </row>
    <row r="1440" spans="1:4" ht="15.75" customHeight="1" x14ac:dyDescent="0.25">
      <c r="A1440" s="2">
        <v>27299214007</v>
      </c>
      <c r="B1440" s="3" t="s">
        <v>1591</v>
      </c>
      <c r="C1440" s="1"/>
      <c r="D1440" s="3"/>
    </row>
    <row r="1441" spans="1:4" ht="15.75" customHeight="1" x14ac:dyDescent="0.25">
      <c r="A1441" s="2">
        <v>30717047180</v>
      </c>
      <c r="B1441" s="3" t="s">
        <v>1592</v>
      </c>
      <c r="C1441" s="1"/>
      <c r="D1441" s="3"/>
    </row>
    <row r="1442" spans="1:4" ht="15.75" customHeight="1" x14ac:dyDescent="0.25">
      <c r="A1442" s="2">
        <v>30624066827</v>
      </c>
      <c r="B1442" s="3" t="s">
        <v>1593</v>
      </c>
      <c r="C1442" s="1"/>
      <c r="D1442" s="3"/>
    </row>
    <row r="1443" spans="1:4" ht="15.75" customHeight="1" x14ac:dyDescent="0.25">
      <c r="A1443" s="2">
        <v>30716743434</v>
      </c>
      <c r="B1443" s="3" t="s">
        <v>1594</v>
      </c>
      <c r="C1443" s="1"/>
      <c r="D1443" s="3"/>
    </row>
    <row r="1444" spans="1:4" ht="15.75" customHeight="1" x14ac:dyDescent="0.25">
      <c r="A1444" s="2">
        <v>30708240903</v>
      </c>
      <c r="B1444" s="3" t="s">
        <v>1595</v>
      </c>
      <c r="C1444" s="1"/>
      <c r="D1444" s="3"/>
    </row>
    <row r="1445" spans="1:4" ht="15.75" customHeight="1" x14ac:dyDescent="0.25">
      <c r="A1445" s="2">
        <v>30707301550</v>
      </c>
      <c r="B1445" s="3" t="s">
        <v>1596</v>
      </c>
      <c r="C1445" s="1"/>
      <c r="D1445" s="3"/>
    </row>
    <row r="1446" spans="1:4" ht="15.75" customHeight="1" x14ac:dyDescent="0.25">
      <c r="A1446" s="2">
        <v>20081113530</v>
      </c>
      <c r="B1446" s="3" t="s">
        <v>1597</v>
      </c>
      <c r="C1446" s="1"/>
      <c r="D1446" s="3"/>
    </row>
    <row r="1447" spans="1:4" ht="15.75" customHeight="1" x14ac:dyDescent="0.25">
      <c r="A1447" s="2">
        <v>20405416094</v>
      </c>
      <c r="B1447" s="3" t="s">
        <v>1598</v>
      </c>
      <c r="C1447" s="1"/>
      <c r="D1447" s="3"/>
    </row>
    <row r="1448" spans="1:4" ht="15.75" customHeight="1" x14ac:dyDescent="0.25">
      <c r="A1448" s="2">
        <v>30708984716</v>
      </c>
      <c r="B1448" s="3" t="s">
        <v>1599</v>
      </c>
      <c r="C1448" s="1"/>
      <c r="D1448" s="3"/>
    </row>
    <row r="1449" spans="1:4" ht="15.75" customHeight="1" x14ac:dyDescent="0.25">
      <c r="A1449" s="2">
        <v>27325810470</v>
      </c>
      <c r="B1449" s="3" t="s">
        <v>1600</v>
      </c>
      <c r="C1449" s="1"/>
      <c r="D1449" s="3"/>
    </row>
    <row r="1450" spans="1:4" ht="15.75" customHeight="1" x14ac:dyDescent="0.25">
      <c r="A1450" s="2">
        <v>30708984716</v>
      </c>
      <c r="B1450" s="3" t="s">
        <v>1599</v>
      </c>
      <c r="C1450" s="1"/>
      <c r="D1450" s="3"/>
    </row>
    <row r="1451" spans="1:4" ht="15.75" customHeight="1" x14ac:dyDescent="0.25">
      <c r="A1451" s="2">
        <v>20145637539</v>
      </c>
      <c r="B1451" s="3" t="s">
        <v>1601</v>
      </c>
      <c r="C1451" s="1"/>
      <c r="D1451" s="3"/>
    </row>
    <row r="1452" spans="1:4" ht="15.75" customHeight="1" x14ac:dyDescent="0.25">
      <c r="A1452" s="2">
        <v>30519427008</v>
      </c>
      <c r="B1452" s="3" t="s">
        <v>1602</v>
      </c>
      <c r="C1452" s="1"/>
      <c r="D1452" s="3"/>
    </row>
    <row r="1453" spans="1:4" ht="15.75" customHeight="1" x14ac:dyDescent="0.25">
      <c r="A1453" s="2">
        <v>20178564219</v>
      </c>
      <c r="B1453" s="3" t="s">
        <v>1603</v>
      </c>
      <c r="C1453" s="1"/>
      <c r="D1453" s="3"/>
    </row>
    <row r="1454" spans="1:4" ht="15.75" customHeight="1" x14ac:dyDescent="0.25">
      <c r="A1454" s="2">
        <v>30710641982</v>
      </c>
      <c r="B1454" s="3" t="s">
        <v>1604</v>
      </c>
      <c r="C1454" s="1"/>
      <c r="D1454" s="3"/>
    </row>
    <row r="1455" spans="1:4" ht="15.75" customHeight="1" x14ac:dyDescent="0.25">
      <c r="A1455" s="2">
        <v>27929487155</v>
      </c>
      <c r="B1455" s="3" t="s">
        <v>1605</v>
      </c>
      <c r="C1455" s="1"/>
      <c r="D1455" s="3"/>
    </row>
    <row r="1456" spans="1:4" ht="15.75" customHeight="1" x14ac:dyDescent="0.25">
      <c r="A1456" s="2">
        <v>20260499085</v>
      </c>
      <c r="B1456" s="3" t="s">
        <v>1606</v>
      </c>
      <c r="C1456" s="1"/>
      <c r="D1456" s="3"/>
    </row>
    <row r="1457" spans="1:4" ht="15.75" customHeight="1" x14ac:dyDescent="0.25">
      <c r="A1457" s="2">
        <v>20163502691</v>
      </c>
      <c r="B1457" s="3" t="s">
        <v>1607</v>
      </c>
      <c r="C1457" s="1"/>
      <c r="D1457" s="3"/>
    </row>
    <row r="1458" spans="1:4" ht="15.75" customHeight="1" x14ac:dyDescent="0.25">
      <c r="A1458" s="2">
        <v>30714440779</v>
      </c>
      <c r="B1458" s="3" t="s">
        <v>1609</v>
      </c>
      <c r="C1458" s="1"/>
      <c r="D1458" s="3"/>
    </row>
    <row r="1459" spans="1:4" ht="15.75" customHeight="1" x14ac:dyDescent="0.25">
      <c r="A1459" s="2">
        <v>30715039369</v>
      </c>
      <c r="B1459" s="3" t="s">
        <v>1610</v>
      </c>
      <c r="C1459" s="1"/>
      <c r="D1459" s="3"/>
    </row>
    <row r="1460" spans="1:4" ht="15.75" customHeight="1" x14ac:dyDescent="0.25">
      <c r="A1460" s="2">
        <v>27259980815</v>
      </c>
      <c r="B1460" s="3" t="s">
        <v>1611</v>
      </c>
      <c r="C1460" s="1"/>
      <c r="D1460" s="3"/>
    </row>
    <row r="1461" spans="1:4" ht="15.75" customHeight="1" x14ac:dyDescent="0.25">
      <c r="A1461" s="2">
        <v>20936786775</v>
      </c>
      <c r="B1461" s="3" t="s">
        <v>1612</v>
      </c>
      <c r="C1461" s="1"/>
      <c r="D1461" s="3"/>
    </row>
    <row r="1462" spans="1:4" ht="15.75" customHeight="1" x14ac:dyDescent="0.25">
      <c r="A1462" s="2">
        <v>30710879199</v>
      </c>
      <c r="B1462" s="3" t="s">
        <v>1613</v>
      </c>
      <c r="C1462" s="1"/>
      <c r="D1462" s="3"/>
    </row>
    <row r="1463" spans="1:4" ht="15.75" customHeight="1" x14ac:dyDescent="0.25">
      <c r="A1463" s="2">
        <v>30718133412</v>
      </c>
      <c r="B1463" s="3" t="s">
        <v>1614</v>
      </c>
      <c r="C1463" s="1"/>
      <c r="D1463" s="3"/>
    </row>
    <row r="1464" spans="1:4" ht="15.75" customHeight="1" x14ac:dyDescent="0.25">
      <c r="A1464" s="2">
        <v>33718350749</v>
      </c>
      <c r="B1464" s="3" t="s">
        <v>1615</v>
      </c>
      <c r="C1464" s="1"/>
      <c r="D1464" s="3"/>
    </row>
    <row r="1465" spans="1:4" ht="15.75" customHeight="1" x14ac:dyDescent="0.25">
      <c r="A1465" s="2">
        <v>30525346389</v>
      </c>
      <c r="B1465" s="3" t="s">
        <v>1616</v>
      </c>
      <c r="C1465" s="1"/>
      <c r="D1465" s="3"/>
    </row>
    <row r="1466" spans="1:4" ht="15.75" customHeight="1" x14ac:dyDescent="0.25">
      <c r="A1466" s="2">
        <v>30718629418</v>
      </c>
      <c r="B1466" s="3" t="s">
        <v>1617</v>
      </c>
      <c r="C1466" s="1"/>
      <c r="D1466" s="3"/>
    </row>
    <row r="1467" spans="1:4" ht="15.75" customHeight="1" x14ac:dyDescent="0.25">
      <c r="A1467" s="2">
        <v>27250312437</v>
      </c>
      <c r="B1467" s="3" t="s">
        <v>1618</v>
      </c>
      <c r="C1467" s="1"/>
      <c r="D1467" s="3"/>
    </row>
    <row r="1468" spans="1:4" ht="15.75" customHeight="1" x14ac:dyDescent="0.25">
      <c r="A1468" s="2">
        <v>30712459227</v>
      </c>
      <c r="B1468" s="3" t="s">
        <v>1619</v>
      </c>
      <c r="C1468" s="1"/>
      <c r="D1468" s="3"/>
    </row>
    <row r="1469" spans="1:4" ht="15.75" customHeight="1" x14ac:dyDescent="0.25">
      <c r="A1469" s="2"/>
      <c r="B1469" s="3"/>
      <c r="C1469" s="1"/>
      <c r="D1469" s="3"/>
    </row>
    <row r="1470" spans="1:4" ht="15.75" customHeight="1" x14ac:dyDescent="0.25">
      <c r="A1470" s="2"/>
      <c r="B1470" s="3"/>
      <c r="C1470" s="1"/>
      <c r="D1470" s="3"/>
    </row>
    <row r="1471" spans="1:4" ht="15.75" customHeight="1" x14ac:dyDescent="0.25">
      <c r="A1471" s="2"/>
      <c r="B1471" s="3"/>
      <c r="C1471" s="1"/>
      <c r="D1471" s="3"/>
    </row>
    <row r="1472" spans="1:4" ht="15.75" customHeight="1" x14ac:dyDescent="0.25">
      <c r="A1472" s="2"/>
      <c r="B1472" s="3"/>
      <c r="C1472" s="1"/>
      <c r="D1472" s="3"/>
    </row>
    <row r="1473" spans="1:4" ht="15.75" customHeight="1" x14ac:dyDescent="0.25">
      <c r="A1473" s="2"/>
      <c r="B1473" s="3"/>
      <c r="C1473" s="1"/>
      <c r="D1473" s="3"/>
    </row>
    <row r="1474" spans="1:4" ht="15.75" customHeight="1" x14ac:dyDescent="0.25">
      <c r="A1474" s="2"/>
      <c r="B1474" s="3"/>
      <c r="C1474" s="1"/>
      <c r="D1474" s="3"/>
    </row>
    <row r="1475" spans="1:4" ht="15.75" customHeight="1" x14ac:dyDescent="0.25">
      <c r="A1475" s="2"/>
      <c r="B1475" s="3"/>
      <c r="C1475" s="1"/>
      <c r="D1475" s="3"/>
    </row>
    <row r="1476" spans="1:4" ht="15.75" customHeight="1" x14ac:dyDescent="0.25">
      <c r="A1476" s="2"/>
      <c r="B1476" s="3"/>
      <c r="C1476" s="1"/>
      <c r="D1476" s="3"/>
    </row>
    <row r="1477" spans="1:4" ht="15.75" customHeight="1" x14ac:dyDescent="0.25">
      <c r="A1477" s="2"/>
      <c r="B1477" s="3"/>
      <c r="C1477" s="1"/>
      <c r="D1477" s="3"/>
    </row>
    <row r="1478" spans="1:4" ht="15.75" customHeight="1" x14ac:dyDescent="0.25">
      <c r="A1478" s="2"/>
      <c r="B1478" s="3"/>
      <c r="C1478" s="1"/>
      <c r="D1478" s="3"/>
    </row>
    <row r="1479" spans="1:4" ht="15.75" customHeight="1" x14ac:dyDescent="0.25">
      <c r="A1479" s="2"/>
      <c r="B1479" s="3"/>
      <c r="C1479" s="1"/>
      <c r="D1479" s="3"/>
    </row>
    <row r="1480" spans="1:4" ht="15.75" customHeight="1" x14ac:dyDescent="0.25">
      <c r="A1480" s="2"/>
      <c r="B1480" s="3"/>
      <c r="C1480" s="1"/>
      <c r="D1480" s="3"/>
    </row>
    <row r="1481" spans="1:4" ht="15.75" customHeight="1" x14ac:dyDescent="0.25">
      <c r="A1481" s="2"/>
      <c r="B1481" s="3"/>
      <c r="C1481" s="1"/>
      <c r="D1481" s="3"/>
    </row>
  </sheetData>
  <dataValidations count="1">
    <dataValidation type="decimal" allowBlank="1" showErrorMessage="1" sqref="A1157:A1159 A1162:A1164 A1167" xr:uid="{00000000-0002-0000-0000-000000000000}">
      <formula1>20000000000</formula1>
      <formula2>33999999999</formula2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36C09"/>
  </sheetPr>
  <dimension ref="A1:Z1008"/>
  <sheetViews>
    <sheetView showGridLines="0" tabSelected="1" topLeftCell="F22" zoomScale="90" zoomScaleNormal="90" workbookViewId="0">
      <selection activeCell="I96" sqref="I96:J96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8.7109375" customWidth="1"/>
    <col min="6" max="6" width="31.85546875" customWidth="1"/>
    <col min="7" max="7" width="41.42578125" customWidth="1"/>
    <col min="8" max="8" width="21" customWidth="1"/>
    <col min="9" max="9" width="17.5703125" customWidth="1"/>
    <col min="10" max="11" width="13.28515625" customWidth="1"/>
    <col min="12" max="12" width="18.28515625" customWidth="1"/>
    <col min="13" max="13" width="26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50" t="s">
        <v>1316</v>
      </c>
      <c r="H1" s="448"/>
      <c r="I1" s="448"/>
      <c r="J1" s="448"/>
      <c r="K1" s="448"/>
      <c r="L1" s="448"/>
      <c r="M1" s="449"/>
      <c r="N1" s="451">
        <v>45748</v>
      </c>
      <c r="O1" s="448"/>
      <c r="P1" s="448"/>
      <c r="Q1" s="448"/>
      <c r="R1" s="449"/>
    </row>
    <row r="3" spans="1:19" ht="26.25" customHeight="1" x14ac:dyDescent="0.25">
      <c r="B3" s="452" t="s">
        <v>1317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SUM('Abr-26'!$H$40)+'Abr-26'!$G$57</f>
        <v>4745586.5680952379</v>
      </c>
      <c r="C4" s="448"/>
      <c r="D4" s="448"/>
      <c r="E4" s="449"/>
      <c r="F4" s="8"/>
      <c r="G4" s="463">
        <f>'Abr-26'!$I$40+'Abr-26'!$J$40+'Abr-26'!$K$40+I58</f>
        <v>862296.51540000003</v>
      </c>
      <c r="H4" s="449"/>
      <c r="I4" s="8"/>
      <c r="J4" s="466">
        <f>'Abr-26'!$H$96+'Abr-26'!$H$106</f>
        <v>82452311.030000001</v>
      </c>
      <c r="K4" s="449"/>
      <c r="L4" s="8"/>
      <c r="M4" s="466">
        <f>'Abr-26'!$I$96+'Abr-26'!$J$96+'Abr-26'!$I$106+'Abr-26'!$J$106</f>
        <v>10463261.960000001</v>
      </c>
      <c r="N4" s="449"/>
      <c r="O4" s="8"/>
      <c r="P4" s="455">
        <f>G4-M4</f>
        <v>-9600965.444600001</v>
      </c>
      <c r="Q4" s="448"/>
      <c r="R4" s="449"/>
    </row>
    <row r="6" spans="1:19" x14ac:dyDescent="0.25">
      <c r="H6" s="9"/>
      <c r="I6" s="10"/>
    </row>
    <row r="7" spans="1:19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46113</v>
      </c>
      <c r="C9" s="169">
        <v>1</v>
      </c>
      <c r="D9" s="170">
        <v>5</v>
      </c>
      <c r="E9" s="171">
        <v>7888</v>
      </c>
      <c r="F9" s="172">
        <v>20231333593</v>
      </c>
      <c r="G9" s="173" t="str">
        <f>IFERROR(IF('Abr-26'!$F9="","-",VLOOKUP('Abr-26'!$F9,Lista_CUIT!$A$1:$D$2241,2,0)),"CUIT NO CARGADO")</f>
        <v>BOLLINI CLAUDIO DANIEL</v>
      </c>
      <c r="H9" s="174">
        <v>80000</v>
      </c>
      <c r="I9" s="175">
        <f>'Abr-26'!$H9*0.21</f>
        <v>16800</v>
      </c>
      <c r="J9" s="175"/>
      <c r="K9" s="175"/>
      <c r="L9" s="175"/>
      <c r="M9" s="175"/>
      <c r="N9" s="175"/>
      <c r="O9" s="175"/>
      <c r="P9" s="176">
        <f>SUM('Abr-26'!$H9:$O9)</f>
        <v>96800</v>
      </c>
      <c r="Q9" s="177" t="str">
        <f>IFERROR(IF('Abr-26'!$F9="","-",VLOOKUP('Abr-26'!$F9,Lista_CUIT!$A$1:$D$2241,3,0)),"CUIT NO CARGADO")</f>
        <v>Mantenimiento</v>
      </c>
      <c r="R9" s="177">
        <f>IFERROR(IF('Abr-26'!$F9="","-",VLOOKUP('Abr-26'!$F9,Lista_CUIT!$A$1:$D$2241,4,0)),"CUIT NO CARGADO")</f>
        <v>0</v>
      </c>
    </row>
    <row r="10" spans="1:19" x14ac:dyDescent="0.25">
      <c r="B10" s="239">
        <v>46113</v>
      </c>
      <c r="C10" s="169">
        <v>1</v>
      </c>
      <c r="D10" s="170">
        <v>3</v>
      </c>
      <c r="E10" s="171">
        <v>302589</v>
      </c>
      <c r="F10" s="172">
        <v>30707135596</v>
      </c>
      <c r="G10" s="173" t="str">
        <f>IFERROR(IF('Abr-26'!$F10="","-",VLOOKUP('Abr-26'!$F10,Lista_CUIT!$A$1:$D$2241,2,0)),"CUIT NO CARGADO")</f>
        <v>CITILAN ARGENTINA S.A.</v>
      </c>
      <c r="H10" s="174">
        <v>43155</v>
      </c>
      <c r="I10" s="175">
        <f>'Abr-26'!$H10*0.21</f>
        <v>9062.5499999999993</v>
      </c>
      <c r="J10" s="175"/>
      <c r="K10" s="175"/>
      <c r="L10" s="175"/>
      <c r="M10" s="175"/>
      <c r="N10" s="175"/>
      <c r="O10" s="175"/>
      <c r="P10" s="176">
        <f>SUM('Abr-26'!$H10:$O10)</f>
        <v>52217.55</v>
      </c>
      <c r="Q10" s="177" t="str">
        <f>IFERROR(IF('Abr-26'!$F10="","-",VLOOKUP('Abr-26'!$F10,Lista_CUIT!$A$1:$D$2241,3,0)),"CUIT NO CARGADO")</f>
        <v>Telefonia</v>
      </c>
      <c r="R10" s="177">
        <f>IFERROR(IF('Abr-26'!$F10="","-",VLOOKUP('Abr-26'!$F10,Lista_CUIT!$A$1:$D$2241,4,0)),"CUIT NO CARGADO")</f>
        <v>0</v>
      </c>
    </row>
    <row r="11" spans="1:19" x14ac:dyDescent="0.25">
      <c r="B11" s="239">
        <v>46113</v>
      </c>
      <c r="C11" s="169">
        <v>1</v>
      </c>
      <c r="D11" s="170">
        <v>3</v>
      </c>
      <c r="E11" s="171">
        <v>944</v>
      </c>
      <c r="F11" s="172">
        <v>30715402765</v>
      </c>
      <c r="G11" s="173" t="str">
        <f>IFERROR(IF('Abr-26'!$F11="","-",VLOOKUP('Abr-26'!$F11,Lista_CUIT!$A$1:$D$2241,2,0)),"CUIT NO CARGADO")</f>
        <v>RIO 265 S.R.L.</v>
      </c>
      <c r="H11" s="174">
        <v>140495.85999999999</v>
      </c>
      <c r="I11" s="175">
        <f>'Abr-26'!$H11*0.21</f>
        <v>29504.130599999997</v>
      </c>
      <c r="J11" s="175"/>
      <c r="K11" s="175"/>
      <c r="L11" s="175"/>
      <c r="M11" s="175"/>
      <c r="N11" s="175"/>
      <c r="O11" s="175"/>
      <c r="P11" s="176">
        <f>SUM('Abr-26'!$H11:$O11)</f>
        <v>169999.99059999999</v>
      </c>
      <c r="Q11" s="177" t="str">
        <f>IFERROR(IF('Abr-26'!$F11="","-",VLOOKUP('Abr-26'!$F11,Lista_CUIT!$A$1:$D$2241,3,0)),"CUIT NO CARGADO")</f>
        <v>GASTOS VARIOS</v>
      </c>
      <c r="R11" s="177">
        <f>IFERROR(IF('Abr-26'!$F11="","-",VLOOKUP('Abr-26'!$F11,Lista_CUIT!$A$1:$D$2241,4,0)),"CUIT NO CARGADO")</f>
        <v>0</v>
      </c>
    </row>
    <row r="12" spans="1:19" x14ac:dyDescent="0.25">
      <c r="B12" s="239">
        <v>46114</v>
      </c>
      <c r="C12" s="169">
        <v>1</v>
      </c>
      <c r="D12" s="170">
        <v>4</v>
      </c>
      <c r="E12" s="171">
        <v>28806</v>
      </c>
      <c r="F12" s="172">
        <v>30714440779</v>
      </c>
      <c r="G12" s="173" t="str">
        <f>IFERROR(IF('Abr-26'!$F12="","-",VLOOKUP('Abr-26'!$F12,Lista_CUIT!$A$1:$D$2241,2,0)),"CUIT NO CARGADO")</f>
        <v>KITA S.R.L.</v>
      </c>
      <c r="H12" s="174">
        <v>18165.29</v>
      </c>
      <c r="I12" s="175">
        <f>'Abr-26'!$H12*0.21</f>
        <v>3814.7109</v>
      </c>
      <c r="J12" s="175"/>
      <c r="K12" s="175"/>
      <c r="L12" s="175"/>
      <c r="M12" s="175"/>
      <c r="N12" s="175"/>
      <c r="O12" s="175"/>
      <c r="P12" s="176">
        <f>SUM('Abr-26'!$H12:$O12)</f>
        <v>21980.000899999999</v>
      </c>
      <c r="Q12" s="177">
        <f>IFERROR(IF('Abr-26'!$F12="","-",VLOOKUP('Abr-26'!$F12,Lista_CUIT!$A$1:$D$2241,3,0)),"CUIT NO CARGADO")</f>
        <v>0</v>
      </c>
      <c r="R12" s="177">
        <f>IFERROR(IF('Abr-26'!$F12="","-",VLOOKUP('Abr-26'!$F12,Lista_CUIT!$A$1:$D$2241,4,0)),"CUIT NO CARGADO")</f>
        <v>0</v>
      </c>
    </row>
    <row r="13" spans="1:19" x14ac:dyDescent="0.25">
      <c r="B13" s="239">
        <v>46117</v>
      </c>
      <c r="C13" s="169">
        <v>1</v>
      </c>
      <c r="D13" s="170">
        <v>6</v>
      </c>
      <c r="E13" s="171">
        <v>129364</v>
      </c>
      <c r="F13" s="172">
        <v>30714971782</v>
      </c>
      <c r="G13" s="173" t="str">
        <f>IFERROR(IF('Abr-26'!$F13="","-",VLOOKUP('Abr-26'!$F13,Lista_CUIT!$A$1:$D$2241,2,0)),"CUIT NO CARGADO")</f>
        <v>PINTOS SCHMIDT ALDANA MARCELA Y SACK ADRIANA CRISTINA SH</v>
      </c>
      <c r="H13" s="174">
        <v>18380.990000000002</v>
      </c>
      <c r="I13" s="175">
        <f>'Abr-26'!$H13*0.21</f>
        <v>3860.0079000000001</v>
      </c>
      <c r="J13" s="175"/>
      <c r="K13" s="175"/>
      <c r="L13" s="175"/>
      <c r="M13" s="175"/>
      <c r="N13" s="175"/>
      <c r="O13" s="175"/>
      <c r="P13" s="176">
        <f>SUM('Abr-26'!$H13:$O13)</f>
        <v>22240.997900000002</v>
      </c>
      <c r="Q13" s="177">
        <f>IFERROR(IF('Abr-26'!$F13="","-",VLOOKUP('Abr-26'!$F13,Lista_CUIT!$A$1:$D$2241,3,0)),"CUIT NO CARGADO")</f>
        <v>0</v>
      </c>
      <c r="R13" s="177">
        <f>IFERROR(IF('Abr-26'!$F13="","-",VLOOKUP('Abr-26'!$F13,Lista_CUIT!$A$1:$D$2241,4,0)),"CUIT NO CARGADO")</f>
        <v>0</v>
      </c>
    </row>
    <row r="14" spans="1:19" x14ac:dyDescent="0.25">
      <c r="B14" s="239">
        <v>46118</v>
      </c>
      <c r="C14" s="169">
        <v>1</v>
      </c>
      <c r="D14" s="170">
        <v>1</v>
      </c>
      <c r="E14" s="171">
        <v>3389</v>
      </c>
      <c r="F14" s="172">
        <v>30717248267</v>
      </c>
      <c r="G14" s="173" t="str">
        <f>IFERROR(IF('Abr-26'!$F14="","-",VLOOKUP('Abr-26'!$F14,Lista_CUIT!$A$1:$D$2241,2,0)),"CUIT NO CARGADO")</f>
        <v>KARTELACRIL</v>
      </c>
      <c r="H14" s="174">
        <v>85000</v>
      </c>
      <c r="I14" s="175">
        <f>'Abr-26'!$H14*0.21</f>
        <v>17850</v>
      </c>
      <c r="J14" s="175"/>
      <c r="K14" s="175"/>
      <c r="L14" s="175"/>
      <c r="M14" s="175"/>
      <c r="N14" s="175"/>
      <c r="O14" s="175"/>
      <c r="P14" s="176">
        <f>SUM('Abr-26'!$H14:$O14)</f>
        <v>102850</v>
      </c>
      <c r="Q14" s="177">
        <f>IFERROR(IF('Abr-26'!$F14="","-",VLOOKUP('Abr-26'!$F14,Lista_CUIT!$A$1:$D$2241,3,0)),"CUIT NO CARGADO")</f>
        <v>0</v>
      </c>
      <c r="R14" s="177">
        <f>IFERROR(IF('Abr-26'!$F14="","-",VLOOKUP('Abr-26'!$F14,Lista_CUIT!$A$1:$D$2241,4,0)),"CUIT NO CARGADO")</f>
        <v>0</v>
      </c>
    </row>
    <row r="15" spans="1:19" x14ac:dyDescent="0.25">
      <c r="B15" s="239">
        <v>46119</v>
      </c>
      <c r="C15" s="169">
        <v>1</v>
      </c>
      <c r="D15" s="170">
        <v>63</v>
      </c>
      <c r="E15" s="171">
        <v>3750571</v>
      </c>
      <c r="F15" s="172">
        <v>30640897267</v>
      </c>
      <c r="G15" s="173" t="str">
        <f>IFERROR(IF('Abr-26'!$F15="","-",VLOOKUP('Abr-26'!$F15,Lista_CUIT!$A$1:$D$2241,2,0)),"CUIT NO CARGADO")</f>
        <v>TELECENTRO SA</v>
      </c>
      <c r="H15" s="174">
        <v>75540</v>
      </c>
      <c r="I15" s="175">
        <f>'Abr-26'!$H15*0.21</f>
        <v>15863.4</v>
      </c>
      <c r="J15" s="175"/>
      <c r="K15" s="175"/>
      <c r="L15" s="175"/>
      <c r="M15" s="175"/>
      <c r="N15" s="175"/>
      <c r="O15" s="175">
        <v>2266.1999999999998</v>
      </c>
      <c r="P15" s="176">
        <f>SUM('Abr-26'!$H15:$O15)</f>
        <v>93669.599999999991</v>
      </c>
      <c r="Q15" s="177" t="str">
        <f>IFERROR(IF('Abr-26'!$F15="","-",VLOOKUP('Abr-26'!$F15,Lista_CUIT!$A$1:$D$2241,3,0)),"CUIT NO CARGADO")</f>
        <v>SERVICIOS</v>
      </c>
      <c r="R15" s="177">
        <f>IFERROR(IF('Abr-26'!$F15="","-",VLOOKUP('Abr-26'!$F15,Lista_CUIT!$A$1:$D$2241,4,0)),"CUIT NO CARGADO")</f>
        <v>0</v>
      </c>
    </row>
    <row r="16" spans="1:19" x14ac:dyDescent="0.25">
      <c r="B16" s="239">
        <v>46127</v>
      </c>
      <c r="C16" s="169">
        <v>1</v>
      </c>
      <c r="D16" s="170">
        <v>3</v>
      </c>
      <c r="E16" s="171">
        <v>443194</v>
      </c>
      <c r="F16" s="172">
        <v>33643358749</v>
      </c>
      <c r="G16" s="173" t="str">
        <f>IFERROR(IF('Abr-26'!$F16="","-",VLOOKUP('Abr-26'!$F16,Lista_CUIT!$A$1:$D$2241,2,0)),"CUIT NO CARGADO")</f>
        <v>POLYTECH S A</v>
      </c>
      <c r="H16" s="174">
        <v>1357772.5</v>
      </c>
      <c r="I16" s="175">
        <v>33370.730000000003</v>
      </c>
      <c r="J16" s="175"/>
      <c r="K16" s="175">
        <v>125880.75</v>
      </c>
      <c r="L16" s="175"/>
      <c r="M16" s="175"/>
      <c r="N16" s="175"/>
      <c r="O16" s="175"/>
      <c r="P16" s="176">
        <f>SUM('Abr-26'!$H16:$O16)</f>
        <v>1517023.98</v>
      </c>
      <c r="Q16" s="177" t="str">
        <f>IFERROR(IF('Abr-26'!$F16="","-",VLOOKUP('Abr-26'!$F16,Lista_CUIT!$A$1:$D$2241,3,0)),"CUIT NO CARGADO")</f>
        <v>Servicios Informaticos</v>
      </c>
      <c r="R16" s="177">
        <f>IFERROR(IF('Abr-26'!$F16="","-",VLOOKUP('Abr-26'!$F16,Lista_CUIT!$A$1:$D$2241,4,0)),"CUIT NO CARGADO")</f>
        <v>0</v>
      </c>
    </row>
    <row r="17" spans="2:18" x14ac:dyDescent="0.25">
      <c r="B17" s="239">
        <v>46128</v>
      </c>
      <c r="C17" s="169">
        <v>1</v>
      </c>
      <c r="D17" s="170">
        <v>4</v>
      </c>
      <c r="E17" s="171">
        <v>1821707</v>
      </c>
      <c r="F17" s="172">
        <v>30716620634</v>
      </c>
      <c r="G17" s="173" t="str">
        <f>IFERROR(IF('Abr-26'!$F17="","-",VLOOKUP('Abr-26'!$F17,Lista_CUIT!$A$1:$D$2241,2,0)),"CUIT NO CARGADO")</f>
        <v>FIRSTLABEL SRL</v>
      </c>
      <c r="H17" s="174">
        <v>8806.61</v>
      </c>
      <c r="I17" s="175">
        <f>'Abr-26'!$H17*0.21</f>
        <v>1849.3881000000001</v>
      </c>
      <c r="J17" s="175"/>
      <c r="K17" s="175"/>
      <c r="L17" s="175"/>
      <c r="M17" s="175"/>
      <c r="N17" s="175"/>
      <c r="O17" s="175"/>
      <c r="P17" s="176">
        <f>SUM('Abr-26'!$H17:$O17)</f>
        <v>10655.998100000001</v>
      </c>
      <c r="Q17" s="177" t="str">
        <f>IFERROR(IF('Abr-26'!$F17="","-",VLOOKUP('Abr-26'!$F17,Lista_CUIT!$A$1:$D$2241,3,0)),"CUIT NO CARGADO")</f>
        <v>GASTOS VARIOS</v>
      </c>
      <c r="R17" s="177">
        <f>IFERROR(IF('Abr-26'!$F17="","-",VLOOKUP('Abr-26'!$F17,Lista_CUIT!$A$1:$D$2241,4,0)),"CUIT NO CARGADO")</f>
        <v>0</v>
      </c>
    </row>
    <row r="18" spans="2:18" x14ac:dyDescent="0.25">
      <c r="B18" s="239">
        <v>46128</v>
      </c>
      <c r="C18" s="169">
        <v>1</v>
      </c>
      <c r="D18" s="170">
        <v>7</v>
      </c>
      <c r="E18" s="171">
        <v>2924</v>
      </c>
      <c r="F18" s="172">
        <v>20324801236</v>
      </c>
      <c r="G18" s="173" t="str">
        <f>IFERROR(IF('Abr-26'!$F18="","-",VLOOKUP('Abr-26'!$F18,Lista_CUIT!$A$1:$D$2241,2,0)),"CUIT NO CARGADO")</f>
        <v>CAMPAGNA SEBASTIAN PABLO</v>
      </c>
      <c r="H18" s="174">
        <v>18428.099999999999</v>
      </c>
      <c r="I18" s="175">
        <f>'Abr-26'!$H18*0.21</f>
        <v>3869.9009999999994</v>
      </c>
      <c r="J18" s="175"/>
      <c r="K18" s="175"/>
      <c r="L18" s="175"/>
      <c r="M18" s="175"/>
      <c r="N18" s="175"/>
      <c r="O18" s="175"/>
      <c r="P18" s="176">
        <f>SUM('Abr-26'!$H18:$O18)</f>
        <v>22298.000999999997</v>
      </c>
      <c r="Q18" s="177" t="str">
        <f>IFERROR(IF('Abr-26'!$F18="","-",VLOOKUP('Abr-26'!$F18,Lista_CUIT!$A$1:$D$2241,3,0)),"CUIT NO CARGADO")</f>
        <v>Papeleria</v>
      </c>
      <c r="R18" s="177">
        <f>IFERROR(IF('Abr-26'!$F18="","-",VLOOKUP('Abr-26'!$F18,Lista_CUIT!$A$1:$D$2241,4,0)),"CUIT NO CARGADO")</f>
        <v>0</v>
      </c>
    </row>
    <row r="19" spans="2:18" x14ac:dyDescent="0.25">
      <c r="B19" s="239">
        <v>46128</v>
      </c>
      <c r="C19" s="169">
        <v>1</v>
      </c>
      <c r="D19" s="170">
        <v>106</v>
      </c>
      <c r="E19" s="171">
        <v>940902</v>
      </c>
      <c r="F19" s="172">
        <v>30594494187</v>
      </c>
      <c r="G19" s="173" t="str">
        <f>IFERROR(IF('Abr-26'!$F19="","-",VLOOKUP('Abr-26'!$F19,Lista_CUIT!$A$1:$D$2241,2,0)),"CUIT NO CARGADO")</f>
        <v>FEDERAL EXPRESS CORPORATION</v>
      </c>
      <c r="H19" s="174">
        <v>0</v>
      </c>
      <c r="I19" s="175">
        <f>'Abr-26'!$H19*0.21</f>
        <v>0</v>
      </c>
      <c r="J19" s="175"/>
      <c r="K19" s="175"/>
      <c r="L19" s="175"/>
      <c r="M19" s="175"/>
      <c r="N19" s="175"/>
      <c r="O19" s="175">
        <v>1103170.99</v>
      </c>
      <c r="P19" s="176">
        <f>SUM('Abr-26'!$H19:$O19)</f>
        <v>1103170.99</v>
      </c>
      <c r="Q19" s="177" t="str">
        <f>IFERROR(IF('Abr-26'!$F19="","-",VLOOKUP('Abr-26'!$F19,Lista_CUIT!$A$1:$D$2241,3,0)),"CUIT NO CARGADO")</f>
        <v>Mercaderia</v>
      </c>
      <c r="R19" s="177">
        <f>IFERROR(IF('Abr-26'!$F19="","-",VLOOKUP('Abr-26'!$F19,Lista_CUIT!$A$1:$D$2241,4,0)),"CUIT NO CARGADO")</f>
        <v>0</v>
      </c>
    </row>
    <row r="20" spans="2:18" x14ac:dyDescent="0.25">
      <c r="B20" s="239">
        <v>46128</v>
      </c>
      <c r="C20" s="169">
        <v>1</v>
      </c>
      <c r="D20" s="170">
        <v>7</v>
      </c>
      <c r="E20" s="171">
        <v>3179</v>
      </c>
      <c r="F20" s="172">
        <v>30716542773</v>
      </c>
      <c r="G20" s="173" t="str">
        <f>IFERROR(IF('Abr-26'!$F20="","-",VLOOKUP('Abr-26'!$F20,Lista_CUIT!$A$1:$D$2241,2,0)),"CUIT NO CARGADO")</f>
        <v>CFV</v>
      </c>
      <c r="H20" s="174">
        <v>12059.5</v>
      </c>
      <c r="I20" s="175">
        <f>'Abr-26'!$H20*0.21</f>
        <v>2532.4949999999999</v>
      </c>
      <c r="J20" s="175"/>
      <c r="K20" s="175"/>
      <c r="L20" s="175"/>
      <c r="M20" s="175"/>
      <c r="N20" s="175"/>
      <c r="O20" s="175"/>
      <c r="P20" s="176">
        <f>SUM('Abr-26'!$H20:$O20)</f>
        <v>14591.994999999999</v>
      </c>
      <c r="Q20" s="177" t="str">
        <f>IFERROR(IF('Abr-26'!$F20="","-",VLOOKUP('Abr-26'!$F20,Lista_CUIT!$A$1:$D$2241,3,0)),"CUIT NO CARGADO")</f>
        <v>GASTOS VARIOS</v>
      </c>
      <c r="R20" s="177">
        <f>IFERROR(IF('Abr-26'!$F20="","-",VLOOKUP('Abr-26'!$F20,Lista_CUIT!$A$1:$D$2241,4,0)),"CUIT NO CARGADO")</f>
        <v>0</v>
      </c>
    </row>
    <row r="21" spans="2:18" ht="15.75" customHeight="1" x14ac:dyDescent="0.25">
      <c r="B21" s="239">
        <v>46129</v>
      </c>
      <c r="C21" s="169">
        <v>1</v>
      </c>
      <c r="D21" s="170">
        <v>13</v>
      </c>
      <c r="E21" s="171">
        <v>120984</v>
      </c>
      <c r="F21" s="172">
        <v>30709256420</v>
      </c>
      <c r="G21" s="173" t="str">
        <f>IFERROR(IF('Abr-26'!$F21="","-",VLOOKUP('Abr-26'!$F21,Lista_CUIT!$A$1:$D$2241,2,0)),"CUIT NO CARGADO")</f>
        <v>NGA SRL</v>
      </c>
      <c r="H21" s="174">
        <v>3490.45</v>
      </c>
      <c r="I21" s="175">
        <f>'Abr-26'!$H21*0.21</f>
        <v>732.9944999999999</v>
      </c>
      <c r="J21" s="175"/>
      <c r="K21" s="175"/>
      <c r="L21" s="175"/>
      <c r="M21" s="175"/>
      <c r="N21" s="175"/>
      <c r="O21" s="175"/>
      <c r="P21" s="176">
        <f>SUM('Abr-26'!$H21:$O21)</f>
        <v>4223.4444999999996</v>
      </c>
      <c r="Q21" s="177" t="str">
        <f>IFERROR(IF('Abr-26'!$F21="","-",VLOOKUP('Abr-26'!$F21,Lista_CUIT!$A$1:$D$2241,3,0)),"CUIT NO CARGADO")</f>
        <v>GASTOS VARIOS</v>
      </c>
      <c r="R21" s="177">
        <f>IFERROR(IF('Abr-26'!$F21="","-",VLOOKUP('Abr-26'!$F21,Lista_CUIT!$A$1:$D$2241,4,0)),"CUIT NO CARGADO")</f>
        <v>0</v>
      </c>
    </row>
    <row r="22" spans="2:18" ht="15.75" customHeight="1" x14ac:dyDescent="0.25">
      <c r="B22" s="239">
        <v>46129</v>
      </c>
      <c r="C22" s="169">
        <v>1</v>
      </c>
      <c r="D22" s="170">
        <v>3</v>
      </c>
      <c r="E22" s="171">
        <v>10961</v>
      </c>
      <c r="F22" s="172">
        <v>30715039369</v>
      </c>
      <c r="G22" s="173" t="str">
        <f>IFERROR(IF('Abr-26'!$F22="","-",VLOOKUP('Abr-26'!$F22,Lista_CUIT!$A$1:$D$2241,2,0)),"CUIT NO CARGADO")</f>
        <v>GIANGIU S.A.</v>
      </c>
      <c r="H22" s="174">
        <v>7891.74</v>
      </c>
      <c r="I22" s="175">
        <f>'Abr-26'!$H22*0.21</f>
        <v>1657.2654</v>
      </c>
      <c r="J22" s="175"/>
      <c r="K22" s="175"/>
      <c r="L22" s="175"/>
      <c r="M22" s="175"/>
      <c r="N22" s="175"/>
      <c r="O22" s="175"/>
      <c r="P22" s="176">
        <f>SUM('Abr-26'!$H22:$O22)</f>
        <v>9549.0054</v>
      </c>
      <c r="Q22" s="177">
        <f>IFERROR(IF('Abr-26'!$F22="","-",VLOOKUP('Abr-26'!$F22,Lista_CUIT!$A$1:$D$2241,3,0)),"CUIT NO CARGADO")</f>
        <v>0</v>
      </c>
      <c r="R22" s="177">
        <f>IFERROR(IF('Abr-26'!$F22="","-",VLOOKUP('Abr-26'!$F22,Lista_CUIT!$A$1:$D$2241,4,0)),"CUIT NO CARGADO")</f>
        <v>0</v>
      </c>
    </row>
    <row r="23" spans="2:18" ht="15.75" customHeight="1" x14ac:dyDescent="0.25">
      <c r="B23" s="239">
        <v>46129</v>
      </c>
      <c r="C23" s="169">
        <v>1</v>
      </c>
      <c r="D23" s="170">
        <v>50</v>
      </c>
      <c r="E23" s="171">
        <v>544339</v>
      </c>
      <c r="F23" s="172">
        <v>30610333822</v>
      </c>
      <c r="G23" s="173" t="str">
        <f>IFERROR(IF('Abr-26'!$F23="","-",VLOOKUP('Abr-26'!$F23,Lista_CUIT!$A$1:$D$2241,2,0)),"CUIT NO CARGADO")</f>
        <v>MASIVOS S A</v>
      </c>
      <c r="H23" s="174">
        <v>4475.21</v>
      </c>
      <c r="I23" s="175">
        <f>'Abr-26'!$H23*0.21</f>
        <v>939.79409999999996</v>
      </c>
      <c r="J23" s="175"/>
      <c r="K23" s="175"/>
      <c r="L23" s="175"/>
      <c r="M23" s="175"/>
      <c r="N23" s="175"/>
      <c r="O23" s="175"/>
      <c r="P23" s="176">
        <f>SUM('Abr-26'!$H23:$O23)</f>
        <v>5415.0041000000001</v>
      </c>
      <c r="Q23" s="177" t="str">
        <f>IFERROR(IF('Abr-26'!$F23="","-",VLOOKUP('Abr-26'!$F23,Lista_CUIT!$A$1:$D$2241,3,0)),"CUIT NO CARGADO")</f>
        <v>GASTOS VARIOS</v>
      </c>
      <c r="R23" s="177">
        <f>IFERROR(IF('Abr-26'!$F23="","-",VLOOKUP('Abr-26'!$F23,Lista_CUIT!$A$1:$D$2241,4,0)),"CUIT NO CARGADO")</f>
        <v>0</v>
      </c>
    </row>
    <row r="24" spans="2:18" ht="15.75" customHeight="1" x14ac:dyDescent="0.25">
      <c r="B24" s="239">
        <v>46131</v>
      </c>
      <c r="C24" s="169">
        <v>1</v>
      </c>
      <c r="D24" s="170">
        <v>30</v>
      </c>
      <c r="E24" s="171">
        <v>3215</v>
      </c>
      <c r="F24" s="172">
        <v>27259980815</v>
      </c>
      <c r="G24" s="173" t="str">
        <f>IFERROR(IF('Abr-26'!$F24="","-",VLOOKUP('Abr-26'!$F24,Lista_CUIT!$A$1:$D$2241,2,0)),"CUIT NO CARGADO")</f>
        <v>COLOMBO LORENA ALEJANDRA</v>
      </c>
      <c r="H24" s="174">
        <v>3305.79</v>
      </c>
      <c r="I24" s="175">
        <f>'Abr-26'!$H24*0.21</f>
        <v>694.21589999999992</v>
      </c>
      <c r="J24" s="175"/>
      <c r="K24" s="175"/>
      <c r="L24" s="175"/>
      <c r="M24" s="175"/>
      <c r="N24" s="175"/>
      <c r="O24" s="175"/>
      <c r="P24" s="176">
        <f>SUM('Abr-26'!$H24:$O24)</f>
        <v>4000.0059000000001</v>
      </c>
      <c r="Q24" s="177">
        <f>IFERROR(IF('Abr-26'!$F24="","-",VLOOKUP('Abr-26'!$F24,Lista_CUIT!$A$1:$D$2241,3,0)),"CUIT NO CARGADO")</f>
        <v>0</v>
      </c>
      <c r="R24" s="177">
        <f>IFERROR(IF('Abr-26'!$F24="","-",VLOOKUP('Abr-26'!$F24,Lista_CUIT!$A$1:$D$2241,4,0)),"CUIT NO CARGADO")</f>
        <v>0</v>
      </c>
    </row>
    <row r="25" spans="2:18" ht="15.75" customHeight="1" x14ac:dyDescent="0.25">
      <c r="B25" s="239">
        <v>46132</v>
      </c>
      <c r="C25" s="169">
        <v>1</v>
      </c>
      <c r="D25" s="170">
        <v>3</v>
      </c>
      <c r="E25" s="171">
        <v>382</v>
      </c>
      <c r="F25" s="172">
        <v>20921575743</v>
      </c>
      <c r="G25" s="173" t="str">
        <f>IFERROR(IF('Abr-26'!$F25="","-",VLOOKUP('Abr-26'!$F25,Lista_CUIT!$A$1:$D$2241,2,0)),"CUIT NO CARGADO")</f>
        <v>RIOS GOMEZ JOSE ANTONIO</v>
      </c>
      <c r="H25" s="174">
        <v>372500</v>
      </c>
      <c r="I25" s="175">
        <f>'Abr-26'!$H25*0.21</f>
        <v>78225</v>
      </c>
      <c r="J25" s="175"/>
      <c r="K25" s="175"/>
      <c r="L25" s="175"/>
      <c r="M25" s="175"/>
      <c r="N25" s="175"/>
      <c r="O25" s="175"/>
      <c r="P25" s="176">
        <f>SUM('Abr-26'!$H25:$O25)</f>
        <v>450725</v>
      </c>
      <c r="Q25" s="177" t="str">
        <f>IFERROR(IF('Abr-26'!$F25="","-",VLOOKUP('Abr-26'!$F25,Lista_CUIT!$A$1:$D$2241,3,0)),"CUIT NO CARGADO")</f>
        <v>Papeleria</v>
      </c>
      <c r="R25" s="177">
        <f>IFERROR(IF('Abr-26'!$F25="","-",VLOOKUP('Abr-26'!$F25,Lista_CUIT!$A$1:$D$2241,4,0)),"CUIT NO CARGADO")</f>
        <v>0</v>
      </c>
    </row>
    <row r="26" spans="2:18" ht="15.75" customHeight="1" x14ac:dyDescent="0.25">
      <c r="B26" s="239">
        <v>46133</v>
      </c>
      <c r="C26" s="169">
        <v>1</v>
      </c>
      <c r="D26" s="170">
        <v>3</v>
      </c>
      <c r="E26" s="171">
        <v>16172</v>
      </c>
      <c r="F26" s="172">
        <v>20936786775</v>
      </c>
      <c r="G26" s="173" t="str">
        <f>IFERROR(IF('Abr-26'!$F26="","-",VLOOKUP('Abr-26'!$F26,Lista_CUIT!$A$1:$D$2241,2,0)),"CUIT NO CARGADO")</f>
        <v>HUNG HSI  PAO</v>
      </c>
      <c r="H26" s="174">
        <v>15280.17</v>
      </c>
      <c r="I26" s="175">
        <f>'Abr-26'!$H26*0.21</f>
        <v>3208.8357000000001</v>
      </c>
      <c r="J26" s="175"/>
      <c r="K26" s="175"/>
      <c r="L26" s="175"/>
      <c r="M26" s="175"/>
      <c r="N26" s="175"/>
      <c r="O26" s="175"/>
      <c r="P26" s="176">
        <f>SUM('Abr-26'!$H26:$O26)</f>
        <v>18489.005700000002</v>
      </c>
      <c r="Q26" s="177">
        <f>IFERROR(IF('Abr-26'!$F26="","-",VLOOKUP('Abr-26'!$F26,Lista_CUIT!$A$1:$D$2241,3,0)),"CUIT NO CARGADO")</f>
        <v>0</v>
      </c>
      <c r="R26" s="177">
        <f>IFERROR(IF('Abr-26'!$F26="","-",VLOOKUP('Abr-26'!$F26,Lista_CUIT!$A$1:$D$2241,4,0)),"CUIT NO CARGADO")</f>
        <v>0</v>
      </c>
    </row>
    <row r="27" spans="2:18" ht="15.75" customHeight="1" x14ac:dyDescent="0.25">
      <c r="B27" s="239">
        <v>46134</v>
      </c>
      <c r="C27" s="169">
        <v>1</v>
      </c>
      <c r="D27" s="170">
        <v>122</v>
      </c>
      <c r="E27" s="171">
        <v>427147</v>
      </c>
      <c r="F27" s="172">
        <v>30594494187</v>
      </c>
      <c r="G27" s="173" t="str">
        <f>IFERROR(IF('Abr-26'!$F27="","-",VLOOKUP('Abr-26'!$F27,Lista_CUIT!$A$1:$D$2241,2,0)),"CUIT NO CARGADO")</f>
        <v>FEDERAL EXPRESS CORPORATION</v>
      </c>
      <c r="H27" s="174">
        <v>99036</v>
      </c>
      <c r="I27" s="175">
        <f>'Abr-26'!$H27*0.21</f>
        <v>20797.559999999998</v>
      </c>
      <c r="J27" s="175"/>
      <c r="K27" s="175"/>
      <c r="L27" s="175"/>
      <c r="M27" s="175"/>
      <c r="N27" s="175"/>
      <c r="O27" s="175">
        <v>495014.94</v>
      </c>
      <c r="P27" s="176">
        <f>SUM('Abr-26'!$H27:$O27)</f>
        <v>614848.5</v>
      </c>
      <c r="Q27" s="177" t="str">
        <f>IFERROR(IF('Abr-26'!$F27="","-",VLOOKUP('Abr-26'!$F27,Lista_CUIT!$A$1:$D$2241,3,0)),"CUIT NO CARGADO")</f>
        <v>Mercaderia</v>
      </c>
      <c r="R27" s="177">
        <f>IFERROR(IF('Abr-26'!$F27="","-",VLOOKUP('Abr-26'!$F27,Lista_CUIT!$A$1:$D$2241,4,0)),"CUIT NO CARGADO")</f>
        <v>0</v>
      </c>
    </row>
    <row r="28" spans="2:18" ht="15.75" customHeight="1" x14ac:dyDescent="0.25">
      <c r="B28" s="239">
        <v>46135</v>
      </c>
      <c r="C28" s="169">
        <v>1</v>
      </c>
      <c r="D28" s="170">
        <v>9</v>
      </c>
      <c r="E28" s="171">
        <v>52531</v>
      </c>
      <c r="F28" s="172">
        <v>30710879199</v>
      </c>
      <c r="G28" s="173" t="str">
        <f>IFERROR(IF('Abr-26'!$F28="","-",VLOOKUP('Abr-26'!$F28,Lista_CUIT!$A$1:$D$2241,2,0)),"CUIT NO CARGADO")</f>
        <v>C C AGRO  &amp; TEC S.A.</v>
      </c>
      <c r="H28" s="174">
        <v>113487.6</v>
      </c>
      <c r="I28" s="175">
        <f>'Abr-26'!$H28*0.21</f>
        <v>23832.396000000001</v>
      </c>
      <c r="J28" s="175"/>
      <c r="K28" s="175"/>
      <c r="L28" s="175"/>
      <c r="M28" s="175"/>
      <c r="N28" s="175"/>
      <c r="O28" s="175"/>
      <c r="P28" s="176">
        <f>SUM('Abr-26'!$H28:$O28)</f>
        <v>137319.99600000001</v>
      </c>
      <c r="Q28" s="177">
        <f>IFERROR(IF('Abr-26'!$F28="","-",VLOOKUP('Abr-26'!$F28,Lista_CUIT!$A$1:$D$2241,3,0)),"CUIT NO CARGADO")</f>
        <v>0</v>
      </c>
      <c r="R28" s="177">
        <f>IFERROR(IF('Abr-26'!$F28="","-",VLOOKUP('Abr-26'!$F28,Lista_CUIT!$A$1:$D$2241,4,0)),"CUIT NO CARGADO")</f>
        <v>0</v>
      </c>
    </row>
    <row r="29" spans="2:18" ht="15.75" customHeight="1" x14ac:dyDescent="0.25">
      <c r="B29" s="239">
        <v>46136</v>
      </c>
      <c r="C29" s="169">
        <v>1</v>
      </c>
      <c r="D29" s="170">
        <v>2</v>
      </c>
      <c r="E29" s="171">
        <v>4327</v>
      </c>
      <c r="F29" s="172">
        <v>30718133412</v>
      </c>
      <c r="G29" s="173" t="str">
        <f>IFERROR(IF('Abr-26'!$F29="","-",VLOOKUP('Abr-26'!$F29,Lista_CUIT!$A$1:$D$2241,2,0)),"CUIT NO CARGADO")</f>
        <v>FULL HOUSE TIENDA S.R.L.</v>
      </c>
      <c r="H29" s="174">
        <v>230926.29</v>
      </c>
      <c r="I29" s="175">
        <f>'Abr-26'!$H29*0.21</f>
        <v>48494.520900000003</v>
      </c>
      <c r="J29" s="175"/>
      <c r="K29" s="175"/>
      <c r="L29" s="175"/>
      <c r="M29" s="175"/>
      <c r="N29" s="175"/>
      <c r="O29" s="175"/>
      <c r="P29" s="176">
        <f>SUM('Abr-26'!$H29:$O29)</f>
        <v>279420.81090000004</v>
      </c>
      <c r="Q29" s="177">
        <f>IFERROR(IF('Abr-26'!$F29="","-",VLOOKUP('Abr-26'!$F29,Lista_CUIT!$A$1:$D$2241,3,0)),"CUIT NO CARGADO")</f>
        <v>0</v>
      </c>
      <c r="R29" s="177">
        <f>IFERROR(IF('Abr-26'!$F29="","-",VLOOKUP('Abr-26'!$F29,Lista_CUIT!$A$1:$D$2241,4,0)),"CUIT NO CARGADO")</f>
        <v>0</v>
      </c>
    </row>
    <row r="30" spans="2:18" ht="15.75" customHeight="1" x14ac:dyDescent="0.25">
      <c r="B30" s="239">
        <v>46136</v>
      </c>
      <c r="C30" s="169">
        <v>1</v>
      </c>
      <c r="D30" s="170">
        <v>2</v>
      </c>
      <c r="E30" s="171">
        <v>4328</v>
      </c>
      <c r="F30" s="172">
        <v>30718133412</v>
      </c>
      <c r="G30" s="173" t="str">
        <f>IFERROR(IF('Abr-26'!$F30="","-",VLOOKUP('Abr-26'!$F30,Lista_CUIT!$A$1:$D$2241,2,0)),"CUIT NO CARGADO")</f>
        <v>FULL HOUSE TIENDA S.R.L.</v>
      </c>
      <c r="H30" s="174">
        <v>293465.28999999998</v>
      </c>
      <c r="I30" s="175">
        <f>'Abr-26'!$H30*0.21</f>
        <v>61627.710899999991</v>
      </c>
      <c r="J30" s="175"/>
      <c r="K30" s="175"/>
      <c r="L30" s="175"/>
      <c r="M30" s="175"/>
      <c r="N30" s="175"/>
      <c r="O30" s="175"/>
      <c r="P30" s="176">
        <f>SUM('Abr-26'!$H30:$O30)</f>
        <v>355093.00089999998</v>
      </c>
      <c r="Q30" s="177">
        <f>IFERROR(IF('Abr-26'!$F30="","-",VLOOKUP('Abr-26'!$F30,Lista_CUIT!$A$1:$D$2241,3,0)),"CUIT NO CARGADO")</f>
        <v>0</v>
      </c>
      <c r="R30" s="177">
        <f>IFERROR(IF('Abr-26'!$F30="","-",VLOOKUP('Abr-26'!$F30,Lista_CUIT!$A$1:$D$2241,4,0)),"CUIT NO CARGADO")</f>
        <v>0</v>
      </c>
    </row>
    <row r="31" spans="2:18" ht="15.75" customHeight="1" x14ac:dyDescent="0.25">
      <c r="B31" s="239">
        <v>46136</v>
      </c>
      <c r="C31" s="169">
        <v>1</v>
      </c>
      <c r="D31" s="170">
        <v>100</v>
      </c>
      <c r="E31" s="171">
        <v>11979</v>
      </c>
      <c r="F31" s="172">
        <v>30562265844</v>
      </c>
      <c r="G31" s="173" t="str">
        <f>IFERROR(IF('Abr-26'!$F31="","-",VLOOKUP('Abr-26'!$F31,Lista_CUIT!$A$1:$D$2241,2,0)),"CUIT NO CARGADO")</f>
        <v>LA MADRILEÑA SOCIEDAD ANONIMA COMERCIAL INDUSTRIAL AGROPECUARIA  FINANCIERA E INMOBILIARIA</v>
      </c>
      <c r="H31" s="174">
        <v>99877.52</v>
      </c>
      <c r="I31" s="175">
        <f>'Abr-26'!$H31*0.21</f>
        <v>20974.279200000001</v>
      </c>
      <c r="J31" s="175"/>
      <c r="K31" s="175"/>
      <c r="L31" s="175"/>
      <c r="M31" s="175"/>
      <c r="N31" s="175"/>
      <c r="O31" s="175"/>
      <c r="P31" s="176">
        <f>SUM('Abr-26'!$H31:$O31)</f>
        <v>120851.79920000001</v>
      </c>
      <c r="Q31" s="177" t="str">
        <f>IFERROR(IF('Abr-26'!$F31="","-",VLOOKUP('Abr-26'!$F31,Lista_CUIT!$A$1:$D$2241,3,0)),"CUIT NO CARGADO")</f>
        <v>Ropa de Trabajo</v>
      </c>
      <c r="R31" s="177">
        <f>IFERROR(IF('Abr-26'!$F31="","-",VLOOKUP('Abr-26'!$F31,Lista_CUIT!$A$1:$D$2241,4,0)),"CUIT NO CARGADO")</f>
        <v>0</v>
      </c>
    </row>
    <row r="32" spans="2:18" ht="15.75" customHeight="1" x14ac:dyDescent="0.25">
      <c r="B32" s="239">
        <v>46136</v>
      </c>
      <c r="C32" s="169">
        <v>1</v>
      </c>
      <c r="D32" s="170">
        <v>2</v>
      </c>
      <c r="E32" s="171">
        <v>1127</v>
      </c>
      <c r="F32" s="172">
        <v>30500805222</v>
      </c>
      <c r="G32" s="173" t="str">
        <f>IFERROR(IF('Abr-26'!$F32="","-",VLOOKUP('Abr-26'!$F32,Lista_CUIT!$A$1:$D$2241,2,0)),"CUIT NO CARGADO")</f>
        <v>KAVCIC SRL</v>
      </c>
      <c r="H32" s="174">
        <v>1227160</v>
      </c>
      <c r="I32" s="175">
        <f>'Abr-26'!$H32*0.21</f>
        <v>257703.59999999998</v>
      </c>
      <c r="J32" s="175"/>
      <c r="K32" s="175"/>
      <c r="L32" s="175"/>
      <c r="M32" s="175"/>
      <c r="N32" s="175"/>
      <c r="O32" s="175"/>
      <c r="P32" s="176">
        <f>SUM('Abr-26'!$H32:$O32)</f>
        <v>1484863.6</v>
      </c>
      <c r="Q32" s="177" t="str">
        <f>IFERROR(IF('Abr-26'!$F32="","-",VLOOKUP('Abr-26'!$F32,Lista_CUIT!$A$1:$D$2241,3,0)),"CUIT NO CARGADO")</f>
        <v>Mercaderia</v>
      </c>
      <c r="R32" s="177">
        <f>IFERROR(IF('Abr-26'!$F32="","-",VLOOKUP('Abr-26'!$F32,Lista_CUIT!$A$1:$D$2241,4,0)),"CUIT NO CARGADO")</f>
        <v>0</v>
      </c>
    </row>
    <row r="33" spans="2:18" ht="15.75" customHeight="1" x14ac:dyDescent="0.25">
      <c r="B33" s="239">
        <v>46140</v>
      </c>
      <c r="C33" s="169">
        <v>1</v>
      </c>
      <c r="D33" s="170">
        <v>3</v>
      </c>
      <c r="E33" s="171">
        <v>34267</v>
      </c>
      <c r="F33" s="172">
        <v>33718350749</v>
      </c>
      <c r="G33" s="173" t="str">
        <f>IFERROR(IF('Abr-26'!$F33="","-",VLOOKUP('Abr-26'!$F33,Lista_CUIT!$A$1:$D$2241,2,0)),"CUIT NO CARGADO")</f>
        <v>MTL3</v>
      </c>
      <c r="H33" s="174">
        <v>14033.06</v>
      </c>
      <c r="I33" s="175">
        <f>'Abr-26'!$H33*0.21</f>
        <v>2946.9425999999999</v>
      </c>
      <c r="J33" s="175"/>
      <c r="K33" s="175"/>
      <c r="L33" s="175"/>
      <c r="M33" s="175"/>
      <c r="N33" s="175"/>
      <c r="O33" s="175"/>
      <c r="P33" s="176">
        <f>SUM('Abr-26'!$H33:$O33)</f>
        <v>16980.0026</v>
      </c>
      <c r="Q33" s="177">
        <f>IFERROR(IF('Abr-26'!$F33="","-",VLOOKUP('Abr-26'!$F33,Lista_CUIT!$A$1:$D$2241,3,0)),"CUIT NO CARGADO")</f>
        <v>0</v>
      </c>
      <c r="R33" s="177">
        <f>IFERROR(IF('Abr-26'!$F33="","-",VLOOKUP('Abr-26'!$F33,Lista_CUIT!$A$1:$D$2241,4,0)),"CUIT NO CARGADO")</f>
        <v>0</v>
      </c>
    </row>
    <row r="34" spans="2:18" ht="15.75" customHeight="1" x14ac:dyDescent="0.25">
      <c r="B34" s="423">
        <v>46140</v>
      </c>
      <c r="C34" s="169">
        <v>1</v>
      </c>
      <c r="D34" s="424">
        <v>106</v>
      </c>
      <c r="E34" s="425">
        <v>944699</v>
      </c>
      <c r="F34" s="426">
        <v>30594494187</v>
      </c>
      <c r="G34" s="427" t="str">
        <f>IFERROR(IF('Abr-26'!$F34="","-",VLOOKUP('Abr-26'!$F34,Lista_CUIT!$A$1:$D$2241,2,0)),"CUIT NO CARGADO")</f>
        <v>FEDERAL EXPRESS CORPORATION</v>
      </c>
      <c r="H34" s="428">
        <v>101880</v>
      </c>
      <c r="I34" s="429">
        <f>'Abr-26'!$H34*0.21</f>
        <v>21394.799999999999</v>
      </c>
      <c r="J34" s="429"/>
      <c r="K34" s="429"/>
      <c r="L34" s="429"/>
      <c r="M34" s="429"/>
      <c r="N34" s="429"/>
      <c r="O34" s="429">
        <v>495014.94</v>
      </c>
      <c r="P34" s="430">
        <f>SUM('Abr-26'!$H34:$O34)</f>
        <v>618289.74</v>
      </c>
      <c r="Q34" s="431" t="str">
        <f>IFERROR(IF('Abr-26'!$F34="","-",VLOOKUP('Abr-26'!$F34,Lista_CUIT!$A$1:$D$2241,3,0)),"CUIT NO CARGADO")</f>
        <v>Mercaderia</v>
      </c>
      <c r="R34" s="431">
        <f>IFERROR(IF('Abr-26'!$F34="","-",VLOOKUP('Abr-26'!$F34,Lista_CUIT!$A$1:$D$2241,4,0)),"CUIT NO CARGADO")</f>
        <v>0</v>
      </c>
    </row>
    <row r="35" spans="2:18" ht="15.75" customHeight="1" x14ac:dyDescent="0.25">
      <c r="B35" s="239">
        <v>46140</v>
      </c>
      <c r="C35" s="169">
        <v>1</v>
      </c>
      <c r="D35" s="170">
        <v>443</v>
      </c>
      <c r="E35" s="171">
        <v>471995</v>
      </c>
      <c r="F35" s="172">
        <v>30546764040</v>
      </c>
      <c r="G35" s="173" t="str">
        <f>IFERROR(IF('Abr-26'!$F35="","-",VLOOKUP('Abr-26'!$F35,Lista_CUIT!$A$1:$D$2241,2,0)),"CUIT NO CARGADO")</f>
        <v>NESTLE ARG S.A</v>
      </c>
      <c r="H35" s="174">
        <v>15702.48</v>
      </c>
      <c r="I35" s="175">
        <f>'Abr-26'!$H35*0.21</f>
        <v>3297.5207999999998</v>
      </c>
      <c r="J35" s="175"/>
      <c r="K35" s="175"/>
      <c r="L35" s="175"/>
      <c r="M35" s="175"/>
      <c r="N35" s="175"/>
      <c r="O35" s="175">
        <v>471.08</v>
      </c>
      <c r="P35" s="176">
        <f>SUM('Abr-26'!$H35:$O35)</f>
        <v>19471.0808</v>
      </c>
      <c r="Q35" s="177" t="str">
        <f>IFERROR(IF('Abr-26'!$F35="","-",VLOOKUP('Abr-26'!$F35,Lista_CUIT!$A$1:$D$2241,3,0)),"CUIT NO CARGADO")</f>
        <v>CATERING</v>
      </c>
      <c r="R35" s="177">
        <f>IFERROR(IF('Abr-26'!$F35="","-",VLOOKUP('Abr-26'!$F35,Lista_CUIT!$A$1:$D$2241,4,0)),"CUIT NO CARGADO")</f>
        <v>0</v>
      </c>
    </row>
    <row r="36" spans="2:18" ht="15.75" customHeight="1" x14ac:dyDescent="0.25">
      <c r="B36" s="239">
        <v>46141</v>
      </c>
      <c r="C36" s="169">
        <v>1</v>
      </c>
      <c r="D36" s="170">
        <v>7</v>
      </c>
      <c r="E36" s="171">
        <v>66133</v>
      </c>
      <c r="F36" s="172">
        <v>20372347296</v>
      </c>
      <c r="G36" s="173" t="str">
        <f>IFERROR(IF('Abr-26'!$F36="","-",VLOOKUP('Abr-26'!$F36,Lista_CUIT!$A$1:$D$2241,2,0)),"CUIT NO CARGADO")</f>
        <v>GHERTNER SEBASTIAN</v>
      </c>
      <c r="H36" s="174">
        <v>79961.09</v>
      </c>
      <c r="I36" s="175"/>
      <c r="J36" s="175"/>
      <c r="K36" s="175">
        <v>8395.91</v>
      </c>
      <c r="L36" s="175"/>
      <c r="M36" s="175"/>
      <c r="N36" s="175"/>
      <c r="O36" s="175"/>
      <c r="P36" s="176">
        <f>SUM('Abr-26'!$H36:$O36)</f>
        <v>88357</v>
      </c>
      <c r="Q36" s="177">
        <f>IFERROR(IF('Abr-26'!$F36="","-",VLOOKUP('Abr-26'!$F36,Lista_CUIT!$A$1:$D$2241,3,0)),"CUIT NO CARGADO")</f>
        <v>0</v>
      </c>
      <c r="R36" s="177">
        <f>IFERROR(IF('Abr-26'!$F36="","-",VLOOKUP('Abr-26'!$F36,Lista_CUIT!$A$1:$D$2241,4,0)),"CUIT NO CARGADO")</f>
        <v>0</v>
      </c>
    </row>
    <row r="37" spans="2:18" ht="15.75" customHeight="1" x14ac:dyDescent="0.25">
      <c r="B37" s="239">
        <v>46142</v>
      </c>
      <c r="C37" s="169">
        <v>1</v>
      </c>
      <c r="D37" s="170">
        <v>5</v>
      </c>
      <c r="E37" s="171">
        <v>114890</v>
      </c>
      <c r="F37" s="172">
        <v>30708166673</v>
      </c>
      <c r="G37" s="173" t="str">
        <f>IFERROR(IF('Abr-26'!$F37="","-",VLOOKUP('Abr-26'!$F37,Lista_CUIT!$A$1:$D$2241,2,0)),"CUIT NO CARGADO")</f>
        <v>SUMINISTROS WHITE S.A.</v>
      </c>
      <c r="H37" s="174">
        <v>28924.79</v>
      </c>
      <c r="I37" s="175">
        <f>'Abr-26'!$H37*0.21</f>
        <v>6074.2058999999999</v>
      </c>
      <c r="J37" s="175"/>
      <c r="K37" s="175"/>
      <c r="L37" s="175"/>
      <c r="M37" s="175"/>
      <c r="N37" s="175"/>
      <c r="O37" s="175"/>
      <c r="P37" s="176">
        <f>SUM('Abr-26'!$H37:$O37)</f>
        <v>34998.995900000002</v>
      </c>
      <c r="Q37" s="177">
        <f>IFERROR(IF('Abr-26'!$F37="","-",VLOOKUP('Abr-26'!$F37,Lista_CUIT!$A$1:$D$2241,3,0)),"CUIT NO CARGADO")</f>
        <v>0</v>
      </c>
      <c r="R37" s="177">
        <f>IFERROR(IF('Abr-26'!$F37="","-",VLOOKUP('Abr-26'!$F37,Lista_CUIT!$A$1:$D$2241,4,0)),"CUIT NO CARGADO")</f>
        <v>0</v>
      </c>
    </row>
    <row r="38" spans="2:18" ht="15.75" customHeight="1" x14ac:dyDescent="0.25">
      <c r="B38" s="239">
        <v>46135</v>
      </c>
      <c r="C38" s="169">
        <v>3</v>
      </c>
      <c r="D38" s="170">
        <v>122</v>
      </c>
      <c r="E38" s="171">
        <v>85443</v>
      </c>
      <c r="F38" s="172">
        <v>30594494187</v>
      </c>
      <c r="G38" s="173" t="str">
        <f>IFERROR(IF('Abr-26'!$F38="","-",VLOOKUP('Abr-26'!$F38,Lista_CUIT!$A$1:$D$2241,2,0)),"CUIT NO CARGADO")</f>
        <v>FEDERAL EXPRESS CORPORATION</v>
      </c>
      <c r="H38" s="174">
        <v>-99036</v>
      </c>
      <c r="I38" s="175">
        <f>'Abr-26'!$H38*0.21</f>
        <v>-20797.559999999998</v>
      </c>
      <c r="J38" s="175"/>
      <c r="K38" s="175"/>
      <c r="L38" s="175"/>
      <c r="M38" s="175"/>
      <c r="N38" s="175"/>
      <c r="O38" s="175">
        <v>-495014.94</v>
      </c>
      <c r="P38" s="176">
        <f>SUM('Abr-26'!$H38:$O38)</f>
        <v>-614848.5</v>
      </c>
      <c r="Q38" s="177" t="str">
        <f>IFERROR(IF('Abr-26'!$F38="","-",VLOOKUP('Abr-26'!$F38,Lista_CUIT!$A$1:$D$2241,3,0)),"CUIT NO CARGADO")</f>
        <v>Mercaderia</v>
      </c>
      <c r="R38" s="177">
        <f>IFERROR(IF('Abr-26'!$F38="","-",VLOOKUP('Abr-26'!$F38,Lista_CUIT!$A$1:$D$2241,4,0)),"CUIT NO CARGADO")</f>
        <v>0</v>
      </c>
    </row>
    <row r="39" spans="2:18" ht="15.75" customHeight="1" x14ac:dyDescent="0.25">
      <c r="B39" s="239"/>
      <c r="C39" s="169"/>
      <c r="D39" s="170"/>
      <c r="E39" s="171"/>
      <c r="F39" s="172"/>
      <c r="G39" s="173" t="str">
        <f>IFERROR(IF('Abr-26'!$F39="","-",VLOOKUP('Abr-26'!$F39,Lista_CUIT!$A$1:$D$2241,2,0)),"CUIT NO CARGADO")</f>
        <v>-</v>
      </c>
      <c r="H39" s="174"/>
      <c r="I39" s="175">
        <f>'Abr-26'!$H39*0.21</f>
        <v>0</v>
      </c>
      <c r="J39" s="175"/>
      <c r="K39" s="175"/>
      <c r="L39" s="175"/>
      <c r="M39" s="175"/>
      <c r="N39" s="175"/>
      <c r="O39" s="175"/>
      <c r="P39" s="176">
        <f>SUM('Abr-26'!$H39:$O39)</f>
        <v>0</v>
      </c>
      <c r="Q39" s="177" t="str">
        <f>IFERROR(IF('Abr-26'!$F39="","-",VLOOKUP('Abr-26'!$F39,Lista_CUIT!$A$1:$D$2241,3,0)),"CUIT NO CARGADO")</f>
        <v>-</v>
      </c>
      <c r="R39" s="177" t="str">
        <f>IFERROR(IF('Abr-26'!$F39="","-",VLOOKUP('Abr-26'!$F39,Lista_CUIT!$A$1:$D$2241,4,0)),"CUIT NO CARGADO")</f>
        <v>-</v>
      </c>
    </row>
    <row r="40" spans="2:18" ht="15.75" customHeight="1" x14ac:dyDescent="0.25">
      <c r="B40" s="21" t="s">
        <v>1336</v>
      </c>
      <c r="C40" s="21"/>
      <c r="D40" s="21"/>
      <c r="E40" s="21"/>
      <c r="F40" s="21"/>
      <c r="G40" s="17"/>
      <c r="H40" s="18">
        <f>SUBTOTAL(109,'Abr-26'!$H$9:$H$39)</f>
        <v>4470165.33</v>
      </c>
      <c r="I40" s="18">
        <f>SUBTOTAL(109,'Abr-26'!$I$9:$I$39)</f>
        <v>670181.39540000004</v>
      </c>
      <c r="J40" s="18">
        <f>SUBTOTAL(109,'Abr-26'!$J$9:$J$39)</f>
        <v>0</v>
      </c>
      <c r="K40" s="18">
        <f>SUBTOTAL(109,'Abr-26'!$K$9:$K$39)</f>
        <v>134276.66</v>
      </c>
      <c r="L40" s="18">
        <f>SUBTOTAL(109,'Abr-26'!$L$9:$L$39)</f>
        <v>0</v>
      </c>
      <c r="M40" s="18">
        <f>SUBTOTAL(109,'Abr-26'!$M$9:$M$39)</f>
        <v>0</v>
      </c>
      <c r="N40" s="18">
        <f>SUBTOTAL(109,'Abr-26'!$N$9:$N$39)</f>
        <v>0</v>
      </c>
      <c r="O40" s="18">
        <f>SUBTOTAL(109,'Abr-26'!$O$9:$O$39)</f>
        <v>1600923.21</v>
      </c>
      <c r="P40" s="18">
        <f>SUBTOTAL(109,'Abr-26'!$P$9:$P$39)</f>
        <v>6875546.5954000028</v>
      </c>
      <c r="Q40" s="21"/>
      <c r="R40" s="21"/>
    </row>
    <row r="41" spans="2:18" ht="15.75" customHeight="1" x14ac:dyDescent="0.25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  <c r="M41" s="19"/>
      <c r="N41" s="19"/>
      <c r="O41" s="19"/>
      <c r="P41" s="20"/>
      <c r="Q41" s="21"/>
      <c r="R41" s="21"/>
    </row>
    <row r="42" spans="2:18" ht="15.75" customHeight="1" x14ac:dyDescent="0.25">
      <c r="B42" s="12"/>
      <c r="C42" s="13"/>
      <c r="D42" s="14"/>
      <c r="E42" s="15"/>
      <c r="F42" s="16"/>
      <c r="G42" s="17"/>
      <c r="H42" s="18"/>
      <c r="I42" s="19"/>
      <c r="J42" s="19"/>
      <c r="K42" s="19"/>
      <c r="L42" s="19"/>
      <c r="M42" s="19"/>
      <c r="N42" s="19"/>
      <c r="O42" s="19"/>
      <c r="P42" s="20"/>
      <c r="Q42" s="21"/>
      <c r="R42" s="21"/>
    </row>
    <row r="43" spans="2:18" ht="15.75" customHeight="1" x14ac:dyDescent="0.25">
      <c r="B43" s="12"/>
      <c r="C43" s="13"/>
      <c r="D43" s="14"/>
      <c r="E43" s="15"/>
      <c r="F43" s="16"/>
      <c r="G43" s="17"/>
      <c r="H43" s="18"/>
      <c r="I43" s="19"/>
      <c r="J43" s="19"/>
      <c r="K43" s="19"/>
      <c r="L43" s="19"/>
      <c r="M43" s="19"/>
      <c r="N43" s="19"/>
      <c r="O43" s="19"/>
      <c r="P43" s="20"/>
      <c r="Q43" s="21"/>
      <c r="R43" s="21"/>
    </row>
    <row r="44" spans="2:18" ht="15.75" customHeight="1" x14ac:dyDescent="0.25">
      <c r="B44" s="12"/>
      <c r="C44" s="13"/>
      <c r="D44" s="14"/>
      <c r="E44" s="15"/>
      <c r="F44" s="16"/>
      <c r="G44" s="17"/>
      <c r="H44" s="18"/>
      <c r="I44" s="19"/>
      <c r="J44" s="19"/>
      <c r="K44" s="19"/>
      <c r="L44" s="19"/>
    </row>
    <row r="45" spans="2:18" ht="15.75" customHeight="1" x14ac:dyDescent="0.25">
      <c r="D45" s="456" t="s">
        <v>1337</v>
      </c>
      <c r="E45" s="448"/>
      <c r="F45" s="448"/>
      <c r="G45" s="448"/>
      <c r="H45" s="448"/>
      <c r="I45" s="448"/>
      <c r="J45" s="448"/>
      <c r="K45" s="448"/>
      <c r="L45" s="449"/>
    </row>
    <row r="46" spans="2:18" ht="15.75" customHeight="1" x14ac:dyDescent="0.25">
      <c r="D46" s="24" t="s">
        <v>1322</v>
      </c>
      <c r="E46" s="25" t="s">
        <v>1338</v>
      </c>
      <c r="F46" s="25" t="s">
        <v>1339</v>
      </c>
      <c r="G46" s="25" t="s">
        <v>1340</v>
      </c>
      <c r="H46" s="25" t="s">
        <v>1341</v>
      </c>
      <c r="I46" s="25" t="s">
        <v>1329</v>
      </c>
      <c r="J46" s="26" t="s">
        <v>1342</v>
      </c>
      <c r="K46" s="26" t="s">
        <v>1343</v>
      </c>
      <c r="L46" s="27" t="s">
        <v>1344</v>
      </c>
      <c r="M46" s="28" t="s">
        <v>1345</v>
      </c>
    </row>
    <row r="47" spans="2:18" ht="15.75" customHeight="1" x14ac:dyDescent="0.25">
      <c r="D47" s="12"/>
      <c r="E47" s="29"/>
      <c r="F47" s="30" t="s">
        <v>1372</v>
      </c>
      <c r="G47" s="31">
        <f>57838.46/0.21</f>
        <v>275421.23809523811</v>
      </c>
      <c r="H47" s="31">
        <f>'Abr-26'!$G47*0.21</f>
        <v>57838.46</v>
      </c>
      <c r="I47" s="31"/>
      <c r="J47" s="31"/>
      <c r="K47" s="31">
        <v>8172.64</v>
      </c>
      <c r="L47" s="31"/>
      <c r="M47" s="31">
        <f>'Abr-26'!$G47+'Abr-26'!$H47+'Abr-26'!$I47+'Abr-26'!$J47+'Abr-26'!$K47</f>
        <v>341432.33809523814</v>
      </c>
    </row>
    <row r="48" spans="2:18" ht="15.75" customHeight="1" x14ac:dyDescent="0.25">
      <c r="D48" s="12"/>
      <c r="E48" s="15"/>
      <c r="F48" s="29"/>
      <c r="G48" s="31"/>
      <c r="H48" s="31">
        <f>'Abr-26'!$G48*0.21</f>
        <v>0</v>
      </c>
      <c r="I48" s="31"/>
      <c r="J48" s="31"/>
      <c r="K48" s="31"/>
      <c r="L48" s="31"/>
      <c r="M48" s="31">
        <f>'Abr-26'!$G48+'Abr-26'!$H48+'Abr-26'!$I48+'Abr-26'!$J48+'Abr-26'!$K48</f>
        <v>0</v>
      </c>
    </row>
    <row r="49" spans="4:13" ht="15.75" customHeight="1" x14ac:dyDescent="0.25">
      <c r="D49" s="12"/>
      <c r="E49" s="15"/>
      <c r="F49" s="29"/>
      <c r="G49" s="31"/>
      <c r="H49" s="31">
        <f>'Abr-26'!$G49*0.21</f>
        <v>0</v>
      </c>
      <c r="I49" s="31"/>
      <c r="J49" s="31"/>
      <c r="K49" s="31"/>
      <c r="L49" s="31"/>
      <c r="M49" s="31">
        <f>'Abr-26'!$G49+'Abr-26'!$H49+'Abr-26'!$I49+'Abr-26'!$J49+'Abr-26'!$K49</f>
        <v>0</v>
      </c>
    </row>
    <row r="50" spans="4:13" ht="15.75" customHeight="1" x14ac:dyDescent="0.25">
      <c r="D50" s="12"/>
      <c r="E50" s="15"/>
      <c r="F50" s="29"/>
      <c r="G50" s="31"/>
      <c r="H50" s="31">
        <f>'Abr-26'!$G50*0.21</f>
        <v>0</v>
      </c>
      <c r="I50" s="31"/>
      <c r="J50" s="31"/>
      <c r="K50" s="31"/>
      <c r="L50" s="31"/>
      <c r="M50" s="31">
        <f>'Abr-26'!$G50+'Abr-26'!$H50+'Abr-26'!$I50+'Abr-26'!$J50+'Abr-26'!$K50</f>
        <v>0</v>
      </c>
    </row>
    <row r="51" spans="4:13" ht="15.75" customHeight="1" x14ac:dyDescent="0.25">
      <c r="D51" s="12"/>
      <c r="E51" s="15"/>
      <c r="F51" s="29"/>
      <c r="G51" s="31"/>
      <c r="H51" s="31">
        <f>'Abr-26'!$G51*0.21</f>
        <v>0</v>
      </c>
      <c r="I51" s="31"/>
      <c r="J51" s="31"/>
      <c r="K51" s="31"/>
      <c r="L51" s="31"/>
      <c r="M51" s="31">
        <f>'Abr-26'!$G51+'Abr-26'!$H51+'Abr-26'!$I51+'Abr-26'!$J51+'Abr-26'!$K51</f>
        <v>0</v>
      </c>
    </row>
    <row r="52" spans="4:13" ht="15.75" customHeight="1" x14ac:dyDescent="0.25">
      <c r="D52" s="12"/>
      <c r="E52" s="15"/>
      <c r="F52" s="29"/>
      <c r="G52" s="31"/>
      <c r="H52" s="31">
        <f>'Abr-26'!$G52*0.21</f>
        <v>0</v>
      </c>
      <c r="I52" s="31"/>
      <c r="J52" s="31"/>
      <c r="K52" s="31"/>
      <c r="L52" s="31"/>
      <c r="M52" s="31">
        <f>'Abr-26'!$G52+'Abr-26'!$H52+'Abr-26'!$I52+'Abr-26'!$J52+'Abr-26'!$K52</f>
        <v>0</v>
      </c>
    </row>
    <row r="53" spans="4:13" ht="15.75" customHeight="1" x14ac:dyDescent="0.25">
      <c r="D53" s="12"/>
      <c r="E53" s="15"/>
      <c r="F53" s="29"/>
      <c r="G53" s="31"/>
      <c r="H53" s="31">
        <f>'Abr-26'!$G53*0.21</f>
        <v>0</v>
      </c>
      <c r="I53" s="31"/>
      <c r="J53" s="31"/>
      <c r="K53" s="31"/>
      <c r="L53" s="31"/>
      <c r="M53" s="31">
        <f>'Abr-26'!$G53+'Abr-26'!$H53+'Abr-26'!$I53+'Abr-26'!$J53+'Abr-26'!$K53</f>
        <v>0</v>
      </c>
    </row>
    <row r="54" spans="4:13" ht="15.75" customHeight="1" x14ac:dyDescent="0.25">
      <c r="D54" s="12"/>
      <c r="E54" s="15"/>
      <c r="F54" s="29"/>
      <c r="G54" s="31"/>
      <c r="H54" s="31">
        <f>'Abr-26'!$G54*0.21</f>
        <v>0</v>
      </c>
      <c r="I54" s="31"/>
      <c r="J54" s="31"/>
      <c r="K54" s="31"/>
      <c r="L54" s="31"/>
      <c r="M54" s="31">
        <f>'Abr-26'!$G54+'Abr-26'!$H54+'Abr-26'!$I54+'Abr-26'!$J54+'Abr-26'!$K54</f>
        <v>0</v>
      </c>
    </row>
    <row r="55" spans="4:13" ht="15.75" customHeight="1" x14ac:dyDescent="0.25">
      <c r="D55" s="12"/>
      <c r="E55" s="15"/>
      <c r="F55" s="29"/>
      <c r="G55" s="31"/>
      <c r="H55" s="31">
        <f>'Abr-26'!$G55*0.21</f>
        <v>0</v>
      </c>
      <c r="I55" s="31"/>
      <c r="J55" s="31"/>
      <c r="K55" s="31"/>
      <c r="L55" s="31"/>
      <c r="M55" s="31">
        <f>'Abr-26'!$G55+'Abr-26'!$H55+'Abr-26'!$I55+'Abr-26'!$J55+'Abr-26'!$K55</f>
        <v>0</v>
      </c>
    </row>
    <row r="56" spans="4:13" ht="15.75" customHeight="1" x14ac:dyDescent="0.25">
      <c r="D56" s="12"/>
      <c r="E56" s="15"/>
      <c r="F56" s="29"/>
      <c r="G56" s="31"/>
      <c r="H56" s="31">
        <f>'Abr-26'!$G56*0.21</f>
        <v>0</v>
      </c>
      <c r="I56" s="31"/>
      <c r="J56" s="31"/>
      <c r="K56" s="31"/>
      <c r="L56" s="31"/>
      <c r="M56" s="31">
        <f>'Abr-26'!$G56+'Abr-26'!$H56+'Abr-26'!$I56+'Abr-26'!$J56+'Abr-26'!$K56</f>
        <v>0</v>
      </c>
    </row>
    <row r="57" spans="4:13" ht="15.75" customHeight="1" x14ac:dyDescent="0.25">
      <c r="D57" s="21" t="s">
        <v>1336</v>
      </c>
      <c r="E57" s="29"/>
      <c r="F57" s="29"/>
      <c r="G57" s="31">
        <f>SUBTOTAL(109,'Abr-26'!$G$47:$G$56)</f>
        <v>275421.23809523811</v>
      </c>
      <c r="H57" s="31">
        <f>SUBTOTAL(109,'Abr-26'!$H$47:$H$56)</f>
        <v>57838.46</v>
      </c>
      <c r="I57" s="31">
        <f>SUBTOTAL(109,'Abr-26'!$I$47:$I$56)</f>
        <v>0</v>
      </c>
      <c r="J57" s="31">
        <f>SUBTOTAL(109,'Abr-26'!$J$47:$J$56)</f>
        <v>0</v>
      </c>
      <c r="K57" s="31">
        <f>SUBTOTAL(109,'Abr-26'!$K$47:$K$56)</f>
        <v>8172.64</v>
      </c>
      <c r="L57" s="31">
        <f>SUBTOTAL(109,'Abr-26'!$L$47:$L$56)</f>
        <v>0</v>
      </c>
      <c r="M57" s="32"/>
    </row>
    <row r="58" spans="4:13" ht="15.75" customHeight="1" x14ac:dyDescent="0.25">
      <c r="H58" s="33" t="s">
        <v>1346</v>
      </c>
      <c r="I58" s="34">
        <f>SUM('Abr-26'!$H$57:$I$57)</f>
        <v>57838.46</v>
      </c>
      <c r="J58" s="3" t="s">
        <v>1347</v>
      </c>
    </row>
    <row r="59" spans="4:13" ht="15.75" customHeight="1" x14ac:dyDescent="0.25"/>
    <row r="60" spans="4:13" ht="15.75" customHeight="1" x14ac:dyDescent="0.25"/>
    <row r="61" spans="4:13" ht="15.75" customHeight="1" x14ac:dyDescent="0.25">
      <c r="D61" s="456" t="s">
        <v>1348</v>
      </c>
      <c r="E61" s="448"/>
      <c r="F61" s="448"/>
      <c r="G61" s="448"/>
      <c r="H61" s="448"/>
      <c r="I61" s="448"/>
      <c r="J61" s="448"/>
      <c r="K61" s="449"/>
    </row>
    <row r="62" spans="4:13" ht="15.75" customHeight="1" x14ac:dyDescent="0.25">
      <c r="D62" s="35" t="s">
        <v>1322</v>
      </c>
      <c r="E62" s="35" t="s">
        <v>1324</v>
      </c>
      <c r="F62" s="35" t="s">
        <v>1349</v>
      </c>
      <c r="G62" s="35" t="s">
        <v>0</v>
      </c>
      <c r="H62" s="35" t="s">
        <v>1</v>
      </c>
      <c r="I62" s="36" t="s">
        <v>1334</v>
      </c>
      <c r="J62" s="35" t="s">
        <v>1350</v>
      </c>
      <c r="K62" s="35" t="s">
        <v>1335</v>
      </c>
    </row>
    <row r="63" spans="4:13" ht="15.75" customHeight="1" x14ac:dyDescent="0.25">
      <c r="D63" s="37">
        <v>46113</v>
      </c>
      <c r="E63" s="38">
        <v>4</v>
      </c>
      <c r="F63" s="38">
        <v>157</v>
      </c>
      <c r="G63" s="39">
        <v>20086277523</v>
      </c>
      <c r="H63" s="40" t="str">
        <f>IFERROR(IF('Abr-26'!$G63="","-",VLOOKUP('Abr-26'!$G63,Lista_CUIT!$A$1:$D$2241,2,0)),"CUIT NO CARGADO")</f>
        <v>ESTUDIO BOTINDARI</v>
      </c>
      <c r="I63" s="41">
        <v>520000</v>
      </c>
      <c r="J63" s="42" t="str">
        <f>IFERROR(IF('Abr-26'!$G63="","-",VLOOKUP('Abr-26'!$G63,Lista_CUIT!$A$1:$D$2241,3,0)),"CUIT NO CARGADO")</f>
        <v>Honorarios Contables</v>
      </c>
      <c r="K63" s="42">
        <f>IFERROR(IF('Abr-26'!$G63="","-",VLOOKUP('Abr-26'!$G63,Lista_CUIT!$A$1:$D$2241,4,0)),"CUIT NO CARGADO")</f>
        <v>0</v>
      </c>
    </row>
    <row r="64" spans="4:13" ht="15.75" customHeight="1" x14ac:dyDescent="0.25">
      <c r="D64" s="37">
        <v>46113</v>
      </c>
      <c r="E64" s="38">
        <v>1</v>
      </c>
      <c r="F64" s="38">
        <v>193</v>
      </c>
      <c r="G64" s="39">
        <v>20389908569</v>
      </c>
      <c r="H64" s="40" t="str">
        <f>IFERROR(IF('Abr-26'!$G64="","-",VLOOKUP('Abr-26'!$G64,Lista_CUIT!$A$1:$D$2241,2,0)),"CUIT NO CARGADO")</f>
        <v>BOTINDARI JUAN IGNACIO</v>
      </c>
      <c r="I64" s="41">
        <v>150000</v>
      </c>
      <c r="J64" s="42" t="str">
        <f>IFERROR(IF('Abr-26'!$G64="","-",VLOOKUP('Abr-26'!$G64,Lista_CUIT!$A$1:$D$2241,3,0)),"CUIT NO CARGADO")</f>
        <v>Honorarios Contables</v>
      </c>
      <c r="K64" s="42">
        <f>IFERROR(IF('Abr-26'!$G64="","-",VLOOKUP('Abr-26'!$G64,Lista_CUIT!$A$1:$D$2241,4,0)),"CUIT NO CARGADO")</f>
        <v>0</v>
      </c>
    </row>
    <row r="65" spans="2:18" ht="15.75" customHeight="1" x14ac:dyDescent="0.25">
      <c r="D65" s="37">
        <v>46113</v>
      </c>
      <c r="E65" s="38">
        <v>2</v>
      </c>
      <c r="F65" s="38">
        <v>194</v>
      </c>
      <c r="G65" s="39">
        <v>20136544625</v>
      </c>
      <c r="H65" s="40" t="str">
        <f>IFERROR(IF('Abr-26'!$G65="","-",VLOOKUP('Abr-26'!$G65,Lista_CUIT!$A$1:$D$2241,2,0)),"CUIT NO CARGADO")</f>
        <v>RODRIGUEZ DE LA FUEN HECTOR MARCELO</v>
      </c>
      <c r="I65" s="41">
        <v>1395000</v>
      </c>
      <c r="J65" s="42" t="str">
        <f>IFERROR(IF('Abr-26'!$G65="","-",VLOOKUP('Abr-26'!$G65,Lista_CUIT!$A$1:$D$2241,3,0)),"CUIT NO CARGADO")</f>
        <v>Honorarios Admin</v>
      </c>
      <c r="K65" s="42">
        <f>IFERROR(IF('Abr-26'!$G65="","-",VLOOKUP('Abr-26'!$G65,Lista_CUIT!$A$1:$D$2241,4,0)),"CUIT NO CARGADO")</f>
        <v>0</v>
      </c>
    </row>
    <row r="66" spans="2:18" ht="15.75" customHeight="1" x14ac:dyDescent="0.25">
      <c r="D66" s="37">
        <v>46118</v>
      </c>
      <c r="E66" s="38">
        <v>2</v>
      </c>
      <c r="F66" s="38">
        <v>31</v>
      </c>
      <c r="G66" s="39">
        <v>23118167279</v>
      </c>
      <c r="H66" s="40" t="str">
        <f>IFERROR(IF('Abr-26'!$G66="","-",VLOOKUP('Abr-26'!$G66,Lista_CUIT!$A$1:$D$2241,2,0)),"CUIT NO CARGADO")</f>
        <v>ABELEDO ENRIQUE JUAN</v>
      </c>
      <c r="I66" s="41">
        <v>2835000</v>
      </c>
      <c r="J66" s="42" t="str">
        <f>IFERROR(IF('Abr-26'!$G66="","-",VLOOKUP('Abr-26'!$G66,Lista_CUIT!$A$1:$D$2241,3,0)),"CUIT NO CARGADO")</f>
        <v>Honorarios Admin</v>
      </c>
      <c r="K66" s="42">
        <f>IFERROR(IF('Abr-26'!$G66="","-",VLOOKUP('Abr-26'!$G66,Lista_CUIT!$A$1:$D$2241,4,0)),"CUIT NO CARGADO")</f>
        <v>0</v>
      </c>
    </row>
    <row r="67" spans="2:18" ht="15.75" customHeight="1" x14ac:dyDescent="0.25">
      <c r="D67" s="37">
        <v>46119</v>
      </c>
      <c r="E67" s="38">
        <v>2</v>
      </c>
      <c r="F67" s="38">
        <v>312</v>
      </c>
      <c r="G67" s="39">
        <v>27173820866</v>
      </c>
      <c r="H67" s="40" t="str">
        <f>IFERROR(IF('Abr-26'!$G67="","-",VLOOKUP('Abr-26'!$G67,Lista_CUIT!$A$1:$D$2241,2,0)),"CUIT NO CARGADO")</f>
        <v>FREIER SANDRA DANIELA</v>
      </c>
      <c r="I67" s="41">
        <v>1610000</v>
      </c>
      <c r="J67" s="42" t="str">
        <f>IFERROR(IF('Abr-26'!$G67="","-",VLOOKUP('Abr-26'!$G67,Lista_CUIT!$A$1:$D$2241,3,0)),"CUIT NO CARGADO")</f>
        <v>Honorarios Prof</v>
      </c>
      <c r="K67" s="42">
        <f>IFERROR(IF('Abr-26'!$G67="","-",VLOOKUP('Abr-26'!$G67,Lista_CUIT!$A$1:$D$2241,4,0)),"CUIT NO CARGADO")</f>
        <v>0</v>
      </c>
    </row>
    <row r="68" spans="2:18" ht="15.75" customHeight="1" x14ac:dyDescent="0.25">
      <c r="D68" s="37">
        <v>46125</v>
      </c>
      <c r="E68" s="38">
        <v>1</v>
      </c>
      <c r="F68" s="38">
        <v>131</v>
      </c>
      <c r="G68" s="39">
        <v>20341465134</v>
      </c>
      <c r="H68" s="40" t="str">
        <f>IFERROR(IF('Abr-26'!$G68="","-",VLOOKUP('Abr-26'!$G68,Lista_CUIT!$A$1:$D$2241,2,0)),"CUIT NO CARGADO")</f>
        <v>ABELEDO AGUSTIN ENRIQUE</v>
      </c>
      <c r="I68" s="41">
        <v>3430000</v>
      </c>
      <c r="J68" s="42" t="str">
        <f>IFERROR(IF('Abr-26'!$G68="","-",VLOOKUP('Abr-26'!$G68,Lista_CUIT!$A$1:$D$2241,3,0)),"CUIT NO CARGADO")</f>
        <v>Mantenimiento</v>
      </c>
      <c r="K68" s="42" t="str">
        <f>IFERROR(IF('Abr-26'!$G68="","-",VLOOKUP('Abr-26'!$G68,Lista_CUIT!$A$1:$D$2241,4,0)),"CUIT NO CARGADO")</f>
        <v>CABA</v>
      </c>
    </row>
    <row r="69" spans="2:18" ht="15.75" customHeight="1" x14ac:dyDescent="0.25">
      <c r="D69" s="37">
        <v>46128</v>
      </c>
      <c r="E69" s="38">
        <v>10</v>
      </c>
      <c r="F69" s="38">
        <v>95996</v>
      </c>
      <c r="G69" s="39">
        <v>30525346389</v>
      </c>
      <c r="H69" s="40" t="str">
        <f>IFERROR(IF('Abr-26'!$G69="","-",VLOOKUP('Abr-26'!$G69,Lista_CUIT!$A$1:$D$2241,2,0)),"CUIT NO CARGADO")</f>
        <v>MORIXE HERMANOS SOCIEDAD ANONIMA COMERCIAL E INDUSTRIAL</v>
      </c>
      <c r="I69" s="41">
        <v>8500</v>
      </c>
      <c r="J69" s="42">
        <f>IFERROR(IF('Abr-26'!$G69="","-",VLOOKUP('Abr-26'!$G69,Lista_CUIT!$A$1:$D$2241,3,0)),"CUIT NO CARGADO")</f>
        <v>0</v>
      </c>
      <c r="K69" s="42">
        <f>IFERROR(IF('Abr-26'!$G69="","-",VLOOKUP('Abr-26'!$G69,Lista_CUIT!$A$1:$D$2241,4,0)),"CUIT NO CARGADO")</f>
        <v>0</v>
      </c>
    </row>
    <row r="70" spans="2:18" ht="15.75" customHeight="1" x14ac:dyDescent="0.25">
      <c r="D70" s="37"/>
      <c r="E70" s="38"/>
      <c r="F70" s="38"/>
      <c r="G70" s="39"/>
      <c r="H70" s="40" t="str">
        <f>IFERROR(IF('Abr-26'!$G70="","-",VLOOKUP('Abr-26'!$G70,Lista_CUIT!$A$1:$D$2241,2,0)),"CUIT NO CARGADO")</f>
        <v>-</v>
      </c>
      <c r="I70" s="41"/>
      <c r="J70" s="42" t="str">
        <f>IFERROR(IF('Abr-26'!$G70="","-",VLOOKUP('Abr-26'!$G70,Lista_CUIT!$A$1:$D$2241,3,0)),"CUIT NO CARGADO")</f>
        <v>-</v>
      </c>
      <c r="K70" s="42" t="str">
        <f>IFERROR(IF('Abr-26'!$G70="","-",VLOOKUP('Abr-26'!$G70,Lista_CUIT!$A$1:$D$2241,4,0)),"CUIT NO CARGADO")</f>
        <v>-</v>
      </c>
    </row>
    <row r="71" spans="2:18" ht="15.75" customHeight="1" x14ac:dyDescent="0.25">
      <c r="D71" s="37"/>
      <c r="E71" s="38"/>
      <c r="F71" s="38"/>
      <c r="G71" s="39"/>
      <c r="H71" s="40" t="str">
        <f>IFERROR(IF('Abr-26'!$G71="","-",VLOOKUP('Abr-26'!$G71,Lista_CUIT!$A$1:$D$2241,2,0)),"CUIT NO CARGADO")</f>
        <v>-</v>
      </c>
      <c r="I71" s="41"/>
      <c r="J71" s="42" t="str">
        <f>IFERROR(IF('Abr-26'!$G71="","-",VLOOKUP('Abr-26'!$G71,Lista_CUIT!$A$1:$D$2241,3,0)),"CUIT NO CARGADO")</f>
        <v>-</v>
      </c>
      <c r="K71" s="42" t="str">
        <f>IFERROR(IF('Abr-26'!$G71="","-",VLOOKUP('Abr-26'!$G71,Lista_CUIT!$A$1:$D$2241,4,0)),"CUIT NO CARGADO")</f>
        <v>-</v>
      </c>
    </row>
    <row r="72" spans="2:18" ht="15.75" customHeight="1" x14ac:dyDescent="0.25">
      <c r="D72" s="37"/>
      <c r="E72" s="38"/>
      <c r="F72" s="38"/>
      <c r="G72" s="39"/>
      <c r="H72" s="40" t="str">
        <f>IFERROR(IF('Abr-26'!$G72="","-",VLOOKUP('Abr-26'!$G72,Lista_CUIT!$A$1:$D$2241,2,0)),"CUIT NO CARGADO")</f>
        <v>-</v>
      </c>
      <c r="I72" s="41"/>
      <c r="J72" s="42" t="str">
        <f>IFERROR(IF('Abr-26'!$G72="","-",VLOOKUP('Abr-26'!$G72,Lista_CUIT!$A$1:$D$2241,3,0)),"CUIT NO CARGADO")</f>
        <v>-</v>
      </c>
      <c r="K72" s="42" t="str">
        <f>IFERROR(IF('Abr-26'!$G72="","-",VLOOKUP('Abr-26'!$G72,Lista_CUIT!$A$1:$D$2241,4,0)),"CUIT NO CARGADO")</f>
        <v>-</v>
      </c>
    </row>
    <row r="73" spans="2:18" ht="15.75" customHeight="1" x14ac:dyDescent="0.25">
      <c r="D73" s="37"/>
      <c r="E73" s="38"/>
      <c r="F73" s="38"/>
      <c r="G73" s="39"/>
      <c r="H73" s="40" t="str">
        <f>IFERROR(IF('Abr-26'!$G73="","-",VLOOKUP('Abr-26'!$G73,Lista_CUIT!$A$1:$D$2241,2,0)),"CUIT NO CARGADO")</f>
        <v>-</v>
      </c>
      <c r="I73" s="41"/>
      <c r="J73" s="42" t="str">
        <f>IFERROR(IF('Abr-26'!$G73="","-",VLOOKUP('Abr-26'!$G73,Lista_CUIT!$A$1:$D$2241,3,0)),"CUIT NO CARGADO")</f>
        <v>-</v>
      </c>
      <c r="K73" s="42" t="str">
        <f>IFERROR(IF('Abr-26'!$G73="","-",VLOOKUP('Abr-26'!$G73,Lista_CUIT!$A$1:$D$2241,4,0)),"CUIT NO CARGADO")</f>
        <v>-</v>
      </c>
    </row>
    <row r="74" spans="2:18" ht="15.75" customHeight="1" x14ac:dyDescent="0.25">
      <c r="D74" s="37"/>
      <c r="E74" s="38"/>
      <c r="F74" s="38"/>
      <c r="G74" s="39"/>
      <c r="H74" s="40" t="str">
        <f>IFERROR(IF('Abr-26'!$G74="","-",VLOOKUP('Abr-26'!$G74,Lista_CUIT!$A$1:$D$2241,2,0)),"CUIT NO CARGADO")</f>
        <v>-</v>
      </c>
      <c r="I74" s="41"/>
      <c r="J74" s="42" t="str">
        <f>IFERROR(IF('Abr-26'!$G74="","-",VLOOKUP('Abr-26'!$G74,Lista_CUIT!$A$1:$D$2241,3,0)),"CUIT NO CARGADO")</f>
        <v>-</v>
      </c>
      <c r="K74" s="42" t="str">
        <f>IFERROR(IF('Abr-26'!$G74="","-",VLOOKUP('Abr-26'!$G74,Lista_CUIT!$A$1:$D$2241,4,0)),"CUIT NO CARGADO")</f>
        <v>-</v>
      </c>
    </row>
    <row r="75" spans="2:18" ht="15.75" customHeight="1" x14ac:dyDescent="0.25">
      <c r="D75" s="37"/>
      <c r="E75" s="38"/>
      <c r="F75" s="38"/>
      <c r="G75" s="39"/>
      <c r="H75" s="40" t="str">
        <f>IFERROR(IF('Abr-26'!$G75="","-",VLOOKUP('Abr-26'!$G75,Lista_CUIT!$A$1:$D$2241,2,0)),"CUIT NO CARGADO")</f>
        <v>-</v>
      </c>
      <c r="I75" s="41"/>
      <c r="J75" s="42" t="str">
        <f>IFERROR(IF('Abr-26'!$G75="","-",VLOOKUP('Abr-26'!$G75,Lista_CUIT!$A$1:$D$2241,3,0)),"CUIT NO CARGADO")</f>
        <v>-</v>
      </c>
      <c r="K75" s="42" t="str">
        <f>IFERROR(IF('Abr-26'!$G75="","-",VLOOKUP('Abr-26'!$G75,Lista_CUIT!$A$1:$D$2241,4,0)),"CUIT NO CARGADO")</f>
        <v>-</v>
      </c>
    </row>
    <row r="76" spans="2:18" ht="15.75" customHeight="1" x14ac:dyDescent="0.25">
      <c r="B76" s="43"/>
      <c r="C76" s="43"/>
      <c r="D76" s="37"/>
      <c r="E76" s="38"/>
      <c r="F76" s="38"/>
      <c r="G76" s="39"/>
      <c r="H76" s="40" t="str">
        <f>IFERROR(IF('Abr-26'!$G76="","-",VLOOKUP('Abr-26'!$G76,Lista_CUIT!$A$1:$D$2241,2,0)),"CUIT NO CARGADO")</f>
        <v>-</v>
      </c>
      <c r="I76" s="41"/>
      <c r="J76" s="42" t="str">
        <f>IFERROR(IF('Abr-26'!$G76="","-",VLOOKUP('Abr-26'!$G76,Lista_CUIT!$A$1:$D$2241,3,0)),"CUIT NO CARGADO")</f>
        <v>-</v>
      </c>
      <c r="K76" s="42" t="str">
        <f>IFERROR(IF('Abr-26'!$G76="","-",VLOOKUP('Abr-26'!$G76,Lista_CUIT!$A$1:$D$2241,4,0)),"CUIT NO CARGADO")</f>
        <v>-</v>
      </c>
      <c r="L76" s="43"/>
      <c r="M76" s="43"/>
      <c r="N76" s="43"/>
      <c r="O76" s="43"/>
      <c r="P76" s="43"/>
      <c r="Q76" s="43"/>
      <c r="R76" s="43"/>
    </row>
    <row r="77" spans="2:18" ht="15.75" customHeight="1" x14ac:dyDescent="0.25">
      <c r="D77" s="37"/>
      <c r="E77" s="38"/>
      <c r="F77" s="38"/>
      <c r="G77" s="39"/>
      <c r="H77" s="40" t="str">
        <f>IFERROR(IF('Abr-26'!$G77="","-",VLOOKUP('Abr-26'!$G77,Lista_CUIT!$A$1:$D$2241,2,0)),"CUIT NO CARGADO")</f>
        <v>-</v>
      </c>
      <c r="I77" s="41"/>
      <c r="J77" s="42" t="str">
        <f>IFERROR(IF('Abr-26'!$G77="","-",VLOOKUP('Abr-26'!$G77,Lista_CUIT!$A$1:$D$2241,3,0)),"CUIT NO CARGADO")</f>
        <v>-</v>
      </c>
      <c r="K77" s="42" t="str">
        <f>IFERROR(IF('Abr-26'!$G77="","-",VLOOKUP('Abr-26'!$G77,Lista_CUIT!$A$1:$D$2241,4,0)),"CUIT NO CARGADO")</f>
        <v>-</v>
      </c>
    </row>
    <row r="78" spans="2:18" ht="15.75" customHeight="1" x14ac:dyDescent="0.25">
      <c r="D78" s="37"/>
      <c r="E78" s="38"/>
      <c r="F78" s="38"/>
      <c r="G78" s="39"/>
      <c r="H78" s="40" t="str">
        <f>IFERROR(IF('Abr-26'!$G78="","-",VLOOKUP('Abr-26'!$G78,Lista_CUIT!$A$1:$D$2241,2,0)),"CUIT NO CARGADO")</f>
        <v>-</v>
      </c>
      <c r="I78" s="41"/>
      <c r="J78" s="42" t="str">
        <f>IFERROR(IF('Abr-26'!$G78="","-",VLOOKUP('Abr-26'!$G78,Lista_CUIT!$A$1:$D$2241,3,0)),"CUIT NO CARGADO")</f>
        <v>-</v>
      </c>
      <c r="K78" s="42" t="str">
        <f>IFERROR(IF('Abr-26'!$G78="","-",VLOOKUP('Abr-26'!$G78,Lista_CUIT!$A$1:$D$2241,4,0)),"CUIT NO CARGADO")</f>
        <v>-</v>
      </c>
    </row>
    <row r="79" spans="2:18" ht="15.75" customHeight="1" x14ac:dyDescent="0.25">
      <c r="D79" s="37"/>
      <c r="E79" s="38"/>
      <c r="F79" s="38"/>
      <c r="G79" s="39"/>
      <c r="H79" s="40" t="str">
        <f>IFERROR(IF('Abr-26'!$G79="","-",VLOOKUP('Abr-26'!$G79,Lista_CUIT!$A$1:$D$2241,2,0)),"CUIT NO CARGADO")</f>
        <v>-</v>
      </c>
      <c r="I79" s="41"/>
      <c r="J79" s="42" t="str">
        <f>IFERROR(IF('Abr-26'!$G79="","-",VLOOKUP('Abr-26'!$G79,Lista_CUIT!$A$1:$D$2241,3,0)),"CUIT NO CARGADO")</f>
        <v>-</v>
      </c>
      <c r="K79" s="42" t="str">
        <f>IFERROR(IF('Abr-26'!$G79="","-",VLOOKUP('Abr-26'!$G79,Lista_CUIT!$A$1:$D$2241,4,0)),"CUIT NO CARGADO")</f>
        <v>-</v>
      </c>
    </row>
    <row r="80" spans="2:18" ht="15.75" customHeight="1" x14ac:dyDescent="0.25">
      <c r="D80" s="42" t="s">
        <v>1336</v>
      </c>
      <c r="E80" s="42"/>
      <c r="F80" s="42"/>
      <c r="G80" s="42"/>
      <c r="H80" s="44"/>
      <c r="I80" s="41">
        <f>SUBTOTAL(109,'Abr-26'!$I$63:$I$79)</f>
        <v>9948500</v>
      </c>
      <c r="J80" s="42"/>
      <c r="K80" s="42"/>
    </row>
    <row r="81" spans="2:13" ht="15.75" customHeight="1" x14ac:dyDescent="0.25"/>
    <row r="82" spans="2:13" ht="15.75" customHeight="1" x14ac:dyDescent="0.25">
      <c r="B82" s="464" t="s">
        <v>1351</v>
      </c>
      <c r="C82" s="448"/>
      <c r="D82" s="448"/>
      <c r="E82" s="448"/>
      <c r="F82" s="448"/>
      <c r="G82" s="448"/>
      <c r="H82" s="448"/>
      <c r="I82" s="448"/>
      <c r="J82" s="449"/>
      <c r="K82" s="465">
        <f>N1</f>
        <v>45748</v>
      </c>
      <c r="L82" s="448"/>
      <c r="M82" s="449"/>
    </row>
    <row r="83" spans="2:13" ht="15.75" customHeight="1" x14ac:dyDescent="0.25"/>
    <row r="84" spans="2:13" ht="15.75" customHeight="1" x14ac:dyDescent="0.25">
      <c r="B84" s="457" t="s">
        <v>1352</v>
      </c>
      <c r="C84" s="458"/>
    </row>
    <row r="85" spans="2:13" ht="15.75" customHeight="1" x14ac:dyDescent="0.25">
      <c r="B85" s="45" t="s">
        <v>1322</v>
      </c>
      <c r="C85" s="46" t="s">
        <v>1323</v>
      </c>
      <c r="D85" s="46" t="s">
        <v>1353</v>
      </c>
      <c r="E85" s="46" t="s">
        <v>1354</v>
      </c>
      <c r="F85" s="46" t="s">
        <v>0</v>
      </c>
      <c r="G85" s="46" t="s">
        <v>1</v>
      </c>
      <c r="H85" s="46" t="s">
        <v>1355</v>
      </c>
      <c r="I85" s="46" t="s">
        <v>1341</v>
      </c>
      <c r="J85" s="46" t="s">
        <v>1329</v>
      </c>
      <c r="K85" s="46" t="s">
        <v>1356</v>
      </c>
      <c r="L85" s="46" t="s">
        <v>1334</v>
      </c>
      <c r="M85" s="47" t="s">
        <v>1335</v>
      </c>
    </row>
    <row r="86" spans="2:13" ht="15.75" customHeight="1" x14ac:dyDescent="0.25">
      <c r="B86" s="54">
        <v>46113</v>
      </c>
      <c r="C86" s="55">
        <v>1</v>
      </c>
      <c r="D86" s="56">
        <v>3</v>
      </c>
      <c r="E86" s="57">
        <v>320</v>
      </c>
      <c r="F86" s="58">
        <v>30638318470</v>
      </c>
      <c r="G86" s="48" t="str">
        <f>IFERROR(IF('Abr-26'!$F86="","-",VLOOKUP('Abr-26'!$F86,Lista_CUIT!$A$1:$D$2241,2,0)),"CUIT NO CARGADO")</f>
        <v>DELTA COMPRESION S R L</v>
      </c>
      <c r="H86" s="49">
        <v>29750875</v>
      </c>
      <c r="I86" s="50"/>
      <c r="J86" s="51">
        <v>3123848.9000000004</v>
      </c>
      <c r="K86" s="51"/>
      <c r="L86" s="51">
        <f>SUM('Abr-26'!$H86:$K86)</f>
        <v>32874723.899999999</v>
      </c>
      <c r="M86" s="52"/>
    </row>
    <row r="87" spans="2:13" ht="15.75" customHeight="1" x14ac:dyDescent="0.25">
      <c r="B87" s="54">
        <v>46113</v>
      </c>
      <c r="C87" s="55">
        <v>1</v>
      </c>
      <c r="D87" s="56">
        <v>3</v>
      </c>
      <c r="E87" s="57">
        <v>317</v>
      </c>
      <c r="F87" s="58">
        <v>33717088269</v>
      </c>
      <c r="G87" s="48" t="str">
        <f>IFERROR(IF('Abr-26'!$F87="","-",VLOOKUP('Abr-26'!$F87,Lista_CUIT!$A$1:$D$2241,2,0)),"CUIT NO CARGADO")</f>
        <v>NEXT SERVICE GNC S.R.L.</v>
      </c>
      <c r="H87" s="49">
        <v>15093861.109999999</v>
      </c>
      <c r="I87" s="50">
        <v>3169710.83</v>
      </c>
      <c r="J87" s="51"/>
      <c r="K87" s="51"/>
      <c r="L87" s="51">
        <f>SUM('Abr-26'!$H87:$K87)</f>
        <v>18263571.939999998</v>
      </c>
      <c r="M87" s="52"/>
    </row>
    <row r="88" spans="2:13" ht="15.75" customHeight="1" x14ac:dyDescent="0.25">
      <c r="B88" s="54">
        <v>46113</v>
      </c>
      <c r="C88" s="55">
        <v>1</v>
      </c>
      <c r="D88" s="56">
        <v>3</v>
      </c>
      <c r="E88" s="57">
        <v>318</v>
      </c>
      <c r="F88" s="58">
        <v>20266916680</v>
      </c>
      <c r="G88" s="48" t="str">
        <f>IFERROR(IF('Abr-26'!$F88="","-",VLOOKUP('Abr-26'!$F88,Lista_CUIT!$A$1:$D$2241,2,0)),"CUIT NO CARGADO")</f>
        <v>SPRENGLER FERNANDO JAVIER</v>
      </c>
      <c r="H88" s="49">
        <v>15033500</v>
      </c>
      <c r="I88" s="50">
        <v>88515</v>
      </c>
      <c r="J88" s="51">
        <v>1534260</v>
      </c>
      <c r="K88" s="51"/>
      <c r="L88" s="51">
        <f>SUM('Abr-26'!$H88:$K88)</f>
        <v>16656275</v>
      </c>
      <c r="M88" s="52"/>
    </row>
    <row r="89" spans="2:13" ht="15.75" customHeight="1" x14ac:dyDescent="0.25">
      <c r="B89" s="54">
        <v>46113</v>
      </c>
      <c r="C89" s="55">
        <v>1</v>
      </c>
      <c r="D89" s="56">
        <v>3</v>
      </c>
      <c r="E89" s="57">
        <v>319</v>
      </c>
      <c r="F89" s="58">
        <v>30628274327</v>
      </c>
      <c r="G89" s="48" t="str">
        <f>IFERROR(IF('Abr-26'!$F89="","-",VLOOKUP('Abr-26'!$F89,Lista_CUIT!$A$1:$D$2241,2,0)),"CUIT NO CARGADO")</f>
        <v>AGIRA  S A</v>
      </c>
      <c r="H89" s="49">
        <v>12841700</v>
      </c>
      <c r="I89" s="50"/>
      <c r="J89" s="51">
        <v>1348378.5</v>
      </c>
      <c r="K89" s="51"/>
      <c r="L89" s="51">
        <f>SUM('Abr-26'!$H89:$K89)</f>
        <v>14190078.5</v>
      </c>
      <c r="M89" s="52"/>
    </row>
    <row r="90" spans="2:13" ht="15.75" customHeight="1" x14ac:dyDescent="0.25">
      <c r="B90" s="54">
        <v>46119</v>
      </c>
      <c r="C90" s="55">
        <v>1</v>
      </c>
      <c r="D90" s="56">
        <v>3</v>
      </c>
      <c r="E90" s="57">
        <v>321</v>
      </c>
      <c r="F90" s="58">
        <v>30718629418</v>
      </c>
      <c r="G90" s="48" t="str">
        <f>IFERROR(IF('Abr-26'!$F90="","-",VLOOKUP('Abr-26'!$F90,Lista_CUIT!$A$1:$D$2241,2,0)),"CUIT NO CARGADO")</f>
        <v>ALTIUS S.R.L.</v>
      </c>
      <c r="H90" s="49">
        <v>247625</v>
      </c>
      <c r="I90" s="50">
        <v>52001.25</v>
      </c>
      <c r="J90" s="51"/>
      <c r="K90" s="51"/>
      <c r="L90" s="51">
        <f>SUM('Abr-26'!$H90:$K90)</f>
        <v>299626.25</v>
      </c>
      <c r="M90" s="52"/>
    </row>
    <row r="91" spans="2:13" ht="15.75" customHeight="1" x14ac:dyDescent="0.25">
      <c r="B91" s="54">
        <v>46120</v>
      </c>
      <c r="C91" s="55">
        <v>1</v>
      </c>
      <c r="D91" s="56">
        <v>3</v>
      </c>
      <c r="E91" s="57">
        <v>322</v>
      </c>
      <c r="F91" s="58">
        <v>27250312437</v>
      </c>
      <c r="G91" s="48" t="str">
        <f>IFERROR(IF('Abr-26'!$F91="","-",VLOOKUP('Abr-26'!$F91,Lista_CUIT!$A$1:$D$2241,2,0)),"CUIT NO CARGADO")</f>
        <v>PONCE CECILIA LEONOR</v>
      </c>
      <c r="H91" s="49">
        <v>421500</v>
      </c>
      <c r="I91" s="50">
        <v>88515</v>
      </c>
      <c r="J91" s="51"/>
      <c r="K91" s="51"/>
      <c r="L91" s="51">
        <f>SUM('Abr-26'!$H91:$K91)</f>
        <v>510015</v>
      </c>
      <c r="M91" s="52"/>
    </row>
    <row r="92" spans="2:13" ht="15.75" customHeight="1" x14ac:dyDescent="0.25">
      <c r="B92" s="54">
        <v>46129</v>
      </c>
      <c r="C92" s="55">
        <v>3</v>
      </c>
      <c r="D92" s="56">
        <v>3</v>
      </c>
      <c r="E92" s="57">
        <v>37</v>
      </c>
      <c r="F92" s="58">
        <v>30638318470</v>
      </c>
      <c r="G92" s="48" t="str">
        <f>IFERROR(IF('Abr-26'!$F92="","-",VLOOKUP('Abr-26'!$F92,Lista_CUIT!$A$1:$D$2241,2,0)),"CUIT NO CARGADO")</f>
        <v>DELTA COMPRESION S R L</v>
      </c>
      <c r="H92" s="49">
        <v>-386750.08</v>
      </c>
      <c r="I92" s="50">
        <v>-81217.52</v>
      </c>
      <c r="J92" s="51"/>
      <c r="K92" s="51"/>
      <c r="L92" s="51">
        <f>SUM('Abr-26'!$H92:$K92)</f>
        <v>-467967.60000000003</v>
      </c>
      <c r="M92" s="53"/>
    </row>
    <row r="93" spans="2:13" ht="15.75" customHeight="1" x14ac:dyDescent="0.25">
      <c r="B93" s="54">
        <v>46133</v>
      </c>
      <c r="C93" s="55">
        <v>1</v>
      </c>
      <c r="D93" s="56">
        <v>3</v>
      </c>
      <c r="E93" s="57">
        <v>323</v>
      </c>
      <c r="F93" s="58">
        <v>30712459227</v>
      </c>
      <c r="G93" s="48" t="str">
        <f>IFERROR(IF('Abr-26'!$F93="","-",VLOOKUP('Abr-26'!$F93,Lista_CUIT!$A$1:$D$2241,2,0)),"CUIT NO CARGADO")</f>
        <v>DIAGONALES Y BOULEVARES S.A.</v>
      </c>
      <c r="H93" s="59">
        <v>8050000</v>
      </c>
      <c r="I93" s="60"/>
      <c r="J93" s="61">
        <v>845250</v>
      </c>
      <c r="K93" s="61"/>
      <c r="L93" s="51">
        <f>SUM('Abr-26'!$H93:$K93)</f>
        <v>8895250</v>
      </c>
      <c r="M93" s="53"/>
    </row>
    <row r="94" spans="2:13" ht="15.75" customHeight="1" x14ac:dyDescent="0.25">
      <c r="B94" s="62">
        <v>46134</v>
      </c>
      <c r="C94" s="63">
        <v>1</v>
      </c>
      <c r="D94" s="64">
        <v>3</v>
      </c>
      <c r="E94" s="65">
        <v>324</v>
      </c>
      <c r="F94" s="66">
        <v>30716041596</v>
      </c>
      <c r="G94" s="48" t="str">
        <f>IFERROR(IF('Abr-26'!$F94="","-",VLOOKUP('Abr-26'!$F94,Lista_CUIT!$A$1:$D$2241,2,0)),"CUIT NO CARGADO")</f>
        <v>EXA COMPRESION S.R.L.</v>
      </c>
      <c r="H94" s="49">
        <v>1400000</v>
      </c>
      <c r="I94" s="60">
        <v>294000</v>
      </c>
      <c r="J94" s="51"/>
      <c r="K94" s="51"/>
      <c r="L94" s="51">
        <f>SUM('Abr-26'!$H94:$K94)</f>
        <v>1694000</v>
      </c>
      <c r="M94" s="52"/>
    </row>
    <row r="95" spans="2:13" ht="15.75" customHeight="1" x14ac:dyDescent="0.25">
      <c r="B95" s="54"/>
      <c r="C95" s="55"/>
      <c r="D95" s="56"/>
      <c r="E95" s="57"/>
      <c r="F95" s="58"/>
      <c r="G95" s="67" t="str">
        <f>IFERROR(IF('Abr-26'!$F95="","-",VLOOKUP('Abr-26'!$F95,Lista_CUIT!$A$1:$D$2241,2,0)),"CUIT NO CARGADO")</f>
        <v>-</v>
      </c>
      <c r="H95" s="59"/>
      <c r="I95" s="60"/>
      <c r="J95" s="61"/>
      <c r="K95" s="61"/>
      <c r="L95" s="51">
        <f>SUM('Abr-26'!$H95:$K95)</f>
        <v>0</v>
      </c>
      <c r="M95" s="53"/>
    </row>
    <row r="96" spans="2:13" ht="15.75" customHeight="1" x14ac:dyDescent="0.25">
      <c r="B96" s="68" t="s">
        <v>1336</v>
      </c>
      <c r="C96" s="69"/>
      <c r="D96" s="69"/>
      <c r="E96" s="69"/>
      <c r="F96" s="69"/>
      <c r="G96" s="69"/>
      <c r="H96" s="70">
        <f>SUBTOTAL(109,'Abr-26'!$H$86:$H$95)</f>
        <v>82452311.030000001</v>
      </c>
      <c r="I96" s="71">
        <f>SUBTOTAL(109,'Abr-26'!$I$86:$I$95)</f>
        <v>3611524.56</v>
      </c>
      <c r="J96" s="61">
        <f>SUBTOTAL(109,'Abr-26'!$J$86:$J$95)</f>
        <v>6851737.4000000004</v>
      </c>
      <c r="K96" s="61">
        <f>SUBTOTAL(109,'Abr-26'!$K$86:$K$95)</f>
        <v>0</v>
      </c>
      <c r="L96" s="61">
        <f>SUBTOTAL(109,'Abr-26'!$L$86:$L$95)</f>
        <v>92915572.99000001</v>
      </c>
      <c r="M96" s="72">
        <f>SUBTOTAL(103,'Abr-26'!$M$86:$M$95)</f>
        <v>0</v>
      </c>
    </row>
    <row r="97" spans="2:18" ht="15.75" customHeight="1" x14ac:dyDescent="0.25"/>
    <row r="98" spans="2:18" ht="15.75" customHeight="1" x14ac:dyDescent="0.25">
      <c r="B98" s="457" t="s">
        <v>1357</v>
      </c>
      <c r="C98" s="458"/>
    </row>
    <row r="99" spans="2:18" ht="15.75" customHeight="1" x14ac:dyDescent="0.25">
      <c r="B99" s="45" t="s">
        <v>1322</v>
      </c>
      <c r="C99" s="46" t="s">
        <v>1323</v>
      </c>
      <c r="D99" s="46" t="s">
        <v>1353</v>
      </c>
      <c r="E99" s="46" t="s">
        <v>1354</v>
      </c>
      <c r="F99" s="46" t="s">
        <v>0</v>
      </c>
      <c r="G99" s="46" t="s">
        <v>1</v>
      </c>
      <c r="H99" s="46" t="s">
        <v>1355</v>
      </c>
      <c r="I99" s="46" t="s">
        <v>1341</v>
      </c>
      <c r="J99" s="46" t="s">
        <v>1329</v>
      </c>
      <c r="K99" s="46" t="s">
        <v>1356</v>
      </c>
      <c r="L99" s="46" t="s">
        <v>1334</v>
      </c>
      <c r="M99" s="47" t="s">
        <v>1335</v>
      </c>
    </row>
    <row r="100" spans="2:18" ht="15.75" customHeight="1" x14ac:dyDescent="0.25">
      <c r="B100" s="12"/>
      <c r="C100" s="13"/>
      <c r="D100" s="14"/>
      <c r="E100" s="15"/>
      <c r="F100" s="16"/>
      <c r="G100" s="73" t="str">
        <f>IFERROR(IF('Abr-26'!$F100="","-",VLOOKUP('Abr-26'!$F100,Lista_CUIT!$A$1:$D$2241,2,0)),"CUIT NO CARGADO")</f>
        <v>-</v>
      </c>
      <c r="H100" s="74"/>
      <c r="I100" s="74"/>
      <c r="J100" s="74"/>
      <c r="K100" s="74"/>
      <c r="L100" s="74"/>
      <c r="M100" s="52"/>
    </row>
    <row r="101" spans="2:18" ht="15.75" customHeight="1" x14ac:dyDescent="0.25">
      <c r="B101" s="12"/>
      <c r="C101" s="13"/>
      <c r="D101" s="14"/>
      <c r="E101" s="15"/>
      <c r="F101" s="16"/>
      <c r="G101" s="73"/>
      <c r="H101" s="74"/>
      <c r="I101" s="74"/>
      <c r="J101" s="74"/>
      <c r="K101" s="74"/>
      <c r="L101" s="74"/>
      <c r="M101" s="52"/>
    </row>
    <row r="102" spans="2:18" ht="15.75" customHeight="1" x14ac:dyDescent="0.25">
      <c r="B102" s="12"/>
      <c r="C102" s="13"/>
      <c r="D102" s="14"/>
      <c r="E102" s="15"/>
      <c r="F102" s="16"/>
      <c r="G102" s="73"/>
      <c r="H102" s="74"/>
      <c r="I102" s="74"/>
      <c r="J102" s="74"/>
      <c r="K102" s="74"/>
      <c r="L102" s="74"/>
      <c r="M102" s="52"/>
    </row>
    <row r="103" spans="2:18" ht="15.75" customHeight="1" x14ac:dyDescent="0.25">
      <c r="B103" s="12"/>
      <c r="C103" s="13"/>
      <c r="D103" s="14"/>
      <c r="E103" s="15"/>
      <c r="F103" s="16"/>
      <c r="G103" s="73"/>
      <c r="H103" s="74"/>
      <c r="I103" s="74"/>
      <c r="J103" s="74"/>
      <c r="K103" s="74"/>
      <c r="L103" s="74"/>
      <c r="M103" s="52"/>
    </row>
    <row r="104" spans="2:18" ht="15.75" customHeight="1" x14ac:dyDescent="0.25">
      <c r="B104" s="12"/>
      <c r="C104" s="13"/>
      <c r="D104" s="14"/>
      <c r="E104" s="15"/>
      <c r="F104" s="16"/>
      <c r="G104" s="73"/>
      <c r="H104" s="74"/>
      <c r="I104" s="74"/>
      <c r="J104" s="74"/>
      <c r="K104" s="74"/>
      <c r="L104" s="74"/>
      <c r="M104" s="52"/>
    </row>
    <row r="105" spans="2:18" ht="15.75" customHeight="1" x14ac:dyDescent="0.25">
      <c r="B105" s="12"/>
      <c r="C105" s="13"/>
      <c r="D105" s="14"/>
      <c r="E105" s="15"/>
      <c r="F105" s="16"/>
      <c r="G105" s="73"/>
      <c r="H105" s="74"/>
      <c r="I105" s="74"/>
      <c r="J105" s="74"/>
      <c r="K105" s="74"/>
      <c r="L105" s="74"/>
      <c r="M105" s="52"/>
    </row>
    <row r="106" spans="2:18" ht="15.75" customHeight="1" x14ac:dyDescent="0.25">
      <c r="B106" s="68" t="s">
        <v>1336</v>
      </c>
      <c r="C106" s="69"/>
      <c r="D106" s="69"/>
      <c r="E106" s="69"/>
      <c r="F106" s="69"/>
      <c r="G106" s="69"/>
      <c r="H106" s="75">
        <f>SUBTOTAL(109,'Abr-26'!$H$100:$H$105)</f>
        <v>0</v>
      </c>
      <c r="I106" s="75">
        <f>SUBTOTAL(109,'Abr-26'!$I$100:$I$105)</f>
        <v>0</v>
      </c>
      <c r="J106" s="76">
        <f>SUBTOTAL(109,'Abr-26'!$J$100:$J$105)</f>
        <v>0</v>
      </c>
      <c r="K106" s="76">
        <f>SUBTOTAL(109,'Abr-26'!$K$100:$K$105)</f>
        <v>0</v>
      </c>
      <c r="L106" s="76">
        <f>SUBTOTAL(109,'Abr-26'!$L$100:$L$105)</f>
        <v>0</v>
      </c>
      <c r="M106" s="72">
        <f>SUBTOTAL(103,'Abr-26'!$M$100:$M$105)</f>
        <v>0</v>
      </c>
      <c r="O106" s="10"/>
      <c r="P106" s="10"/>
      <c r="Q106" s="10"/>
      <c r="R106" s="10"/>
    </row>
    <row r="107" spans="2:18" ht="15.75" customHeight="1" x14ac:dyDescent="0.25"/>
    <row r="108" spans="2:18" ht="15.75" customHeight="1" x14ac:dyDescent="0.25"/>
    <row r="109" spans="2:18" ht="15.75" customHeight="1" x14ac:dyDescent="0.25">
      <c r="B109" s="457" t="s">
        <v>1358</v>
      </c>
      <c r="C109" s="458"/>
    </row>
    <row r="110" spans="2:18" ht="15.75" customHeight="1" x14ac:dyDescent="0.25">
      <c r="B110" s="45" t="s">
        <v>1322</v>
      </c>
      <c r="C110" s="46" t="s">
        <v>1323</v>
      </c>
      <c r="D110" s="46" t="s">
        <v>1353</v>
      </c>
      <c r="E110" s="46" t="s">
        <v>1354</v>
      </c>
      <c r="F110" s="46" t="s">
        <v>0</v>
      </c>
      <c r="G110" s="46" t="s">
        <v>1</v>
      </c>
      <c r="H110" s="46" t="s">
        <v>1359</v>
      </c>
      <c r="I110" s="46" t="s">
        <v>1360</v>
      </c>
      <c r="J110" s="46" t="s">
        <v>1361</v>
      </c>
      <c r="K110" s="46" t="s">
        <v>1362</v>
      </c>
      <c r="L110" s="46" t="s">
        <v>1334</v>
      </c>
      <c r="M110" s="47" t="s">
        <v>1335</v>
      </c>
    </row>
    <row r="111" spans="2:18" ht="15.75" customHeight="1" x14ac:dyDescent="0.25">
      <c r="B111" s="78">
        <v>46139</v>
      </c>
      <c r="C111" s="79"/>
      <c r="D111" s="80">
        <v>30</v>
      </c>
      <c r="E111" s="81">
        <v>134</v>
      </c>
      <c r="F111" s="82">
        <v>55000000050</v>
      </c>
      <c r="G111" s="73" t="str">
        <f>IFERROR(IF('Abr-26'!$F111="","-",VLOOKUP('Abr-26'!$F111,Lista_CUIT!$A$1:$D$2241,2,0)),"CUIT NO CARGADO")</f>
        <v>GAS FUTURO SISTEMAS DE COMPRESSÃO LTDA</v>
      </c>
      <c r="H111" s="74">
        <v>1920</v>
      </c>
      <c r="I111" s="74"/>
      <c r="J111" s="77"/>
      <c r="K111" s="74">
        <v>1399.5</v>
      </c>
      <c r="L111" s="74">
        <f>'Abr-26'!$H111*'Abr-26'!$K111</f>
        <v>2687040</v>
      </c>
      <c r="M111" s="52"/>
      <c r="O111" s="10"/>
      <c r="P111" s="10"/>
      <c r="Q111" s="10"/>
      <c r="R111" s="10"/>
    </row>
    <row r="112" spans="2:18" ht="15.75" customHeight="1" x14ac:dyDescent="0.25">
      <c r="B112" s="78"/>
      <c r="C112" s="79"/>
      <c r="D112" s="80"/>
      <c r="E112" s="81"/>
      <c r="F112" s="82"/>
      <c r="G112" s="73" t="str">
        <f>IFERROR(IF('Abr-26'!$F112="","-",VLOOKUP('Abr-26'!$F112,Lista_CUIT!$A$1:$D$2241,2,0)),"CUIT NO CARGADO")</f>
        <v>-</v>
      </c>
      <c r="H112" s="74"/>
      <c r="I112" s="74"/>
      <c r="J112" s="74"/>
      <c r="K112" s="74"/>
      <c r="L112" s="74">
        <f>'Abr-26'!$H112*'Abr-26'!$K112</f>
        <v>0</v>
      </c>
      <c r="M112" s="52"/>
    </row>
    <row r="113" spans="2:18" ht="15.75" customHeight="1" x14ac:dyDescent="0.25">
      <c r="B113" s="78"/>
      <c r="C113" s="79"/>
      <c r="D113" s="80"/>
      <c r="E113" s="81"/>
      <c r="F113" s="82"/>
      <c r="G113" s="73" t="str">
        <f>IFERROR(IF('Abr-26'!$F113="","-",VLOOKUP('Abr-26'!$F113,Lista_CUIT!$A$1:$D$2241,2,0)),"CUIT NO CARGADO")</f>
        <v>-</v>
      </c>
      <c r="H113" s="74"/>
      <c r="I113" s="83"/>
      <c r="J113" s="84"/>
      <c r="K113" s="84"/>
      <c r="L113" s="74"/>
      <c r="M113" s="52"/>
      <c r="O113" s="85"/>
      <c r="P113" s="85"/>
      <c r="Q113" s="85"/>
      <c r="R113" s="85"/>
    </row>
    <row r="114" spans="2:18" ht="15.75" customHeight="1" x14ac:dyDescent="0.25">
      <c r="B114" s="78"/>
      <c r="C114" s="79"/>
      <c r="D114" s="80"/>
      <c r="E114" s="81"/>
      <c r="F114" s="82"/>
      <c r="G114" s="73" t="str">
        <f>IFERROR(IF('Abr-26'!$F114="","-",VLOOKUP('Abr-26'!$F114,Lista_CUIT!$A$1:$D$2241,2,0)),"CUIT NO CARGADO")</f>
        <v>-</v>
      </c>
      <c r="H114" s="74"/>
      <c r="I114" s="83">
        <f>'Abr-26'!$H114*0.21</f>
        <v>0</v>
      </c>
      <c r="J114" s="84"/>
      <c r="K114" s="84"/>
      <c r="L114" s="84"/>
      <c r="M114" s="52"/>
      <c r="O114" s="85"/>
      <c r="P114" s="85"/>
      <c r="Q114" s="85"/>
      <c r="R114" s="85"/>
    </row>
    <row r="115" spans="2:18" ht="15.75" customHeight="1" x14ac:dyDescent="0.25">
      <c r="B115" s="68" t="s">
        <v>1336</v>
      </c>
      <c r="C115" s="69"/>
      <c r="D115" s="69"/>
      <c r="E115" s="69"/>
      <c r="F115" s="69"/>
      <c r="G115" s="69"/>
      <c r="H115" s="75">
        <f>SUBTOTAL(109,'Abr-26'!$H$111:$H$114)</f>
        <v>1920</v>
      </c>
      <c r="I115" s="75">
        <f>SUBTOTAL(109,'Abr-26'!$I$111:$I$114)</f>
        <v>0</v>
      </c>
      <c r="J115" s="76">
        <f>SUBTOTAL(109,'Abr-26'!$J$111:$J$114)</f>
        <v>0</v>
      </c>
      <c r="K115" s="76">
        <f>SUBTOTAL(109,'Abr-26'!$K$111:$K$114)</f>
        <v>1399.5</v>
      </c>
      <c r="L115" s="76">
        <f>SUBTOTAL(109,'Abr-26'!$L$111:$L$114)</f>
        <v>2687040</v>
      </c>
      <c r="M115" s="72">
        <f>SUBTOTAL(103,'Abr-26'!$M$111:$M$114)</f>
        <v>0</v>
      </c>
    </row>
    <row r="116" spans="2:18" ht="15.75" customHeight="1" x14ac:dyDescent="0.25">
      <c r="B116" s="86"/>
      <c r="C116" s="86"/>
      <c r="D116" s="86"/>
      <c r="E116" s="86"/>
      <c r="F116" s="86"/>
      <c r="G116" s="86"/>
      <c r="H116" s="87"/>
      <c r="I116" s="87"/>
      <c r="J116" s="19"/>
      <c r="K116" s="19"/>
      <c r="L116" s="19"/>
      <c r="M116" s="32"/>
    </row>
    <row r="117" spans="2:18" ht="15.75" customHeight="1" x14ac:dyDescent="0.25">
      <c r="C117" s="459" t="s">
        <v>1363</v>
      </c>
      <c r="D117" s="460"/>
      <c r="E117" s="460"/>
      <c r="F117" s="460"/>
      <c r="G117" s="461"/>
      <c r="H117" s="88"/>
      <c r="I117" s="88"/>
      <c r="J117" s="88"/>
    </row>
    <row r="118" spans="2:18" ht="15.75" customHeight="1" x14ac:dyDescent="0.25">
      <c r="C118" s="89" t="s">
        <v>1364</v>
      </c>
      <c r="D118" s="90" t="s">
        <v>1365</v>
      </c>
      <c r="E118" s="90" t="s">
        <v>1361</v>
      </c>
      <c r="F118" s="90" t="s">
        <v>0</v>
      </c>
      <c r="G118" s="90" t="s">
        <v>1</v>
      </c>
      <c r="H118" s="91" t="s">
        <v>1366</v>
      </c>
      <c r="I118" s="91" t="s">
        <v>1367</v>
      </c>
      <c r="J118" s="91" t="s">
        <v>1368</v>
      </c>
      <c r="K118" s="91" t="s">
        <v>1369</v>
      </c>
      <c r="L118" s="91" t="s">
        <v>1370</v>
      </c>
    </row>
    <row r="119" spans="2:18" ht="15.75" customHeight="1" x14ac:dyDescent="0.25">
      <c r="C119" s="92"/>
      <c r="D119" s="93"/>
      <c r="E119" s="93"/>
      <c r="F119" s="39"/>
      <c r="G119" s="40" t="str">
        <f>IFERROR(IF('Abr-26'!$F119="","-",VLOOKUP('Abr-26'!$F119,Lista_CUIT!$A$1:$D$2241,2,0)),"CUIT NO CARGADO")</f>
        <v>-</v>
      </c>
      <c r="H119" s="94"/>
      <c r="I119" s="94"/>
      <c r="J119" s="94"/>
      <c r="K119" s="94"/>
      <c r="L119" s="94"/>
    </row>
    <row r="120" spans="2:18" ht="15.75" customHeight="1" x14ac:dyDescent="0.25">
      <c r="C120" s="92"/>
      <c r="D120" s="93"/>
      <c r="E120" s="93"/>
      <c r="F120" s="39"/>
      <c r="G120" s="40" t="str">
        <f>IFERROR(IF('Abr-26'!$F120="","-",VLOOKUP('Abr-26'!$F120,Lista_CUIT!$A$1:$D$2241,2,0)),"CUIT NO CARGADO")</f>
        <v>-</v>
      </c>
      <c r="H120" s="94"/>
      <c r="I120" s="94"/>
      <c r="J120" s="94"/>
      <c r="K120" s="94"/>
      <c r="L120" s="94"/>
    </row>
    <row r="121" spans="2:18" ht="15.75" customHeight="1" x14ac:dyDescent="0.25">
      <c r="C121" s="92"/>
      <c r="D121" s="93"/>
      <c r="E121" s="93"/>
      <c r="F121" s="39"/>
      <c r="G121" s="40" t="str">
        <f>IFERROR(IF('Abr-26'!$F121="","-",VLOOKUP('Abr-26'!$F121,Lista_CUIT!$A$1:$D$2241,2,0)),"CUIT NO CARGADO")</f>
        <v>-</v>
      </c>
      <c r="H121" s="94"/>
      <c r="I121" s="94"/>
      <c r="J121" s="94"/>
      <c r="K121" s="94"/>
      <c r="L121" s="94"/>
    </row>
    <row r="122" spans="2:18" ht="15.75" customHeight="1" x14ac:dyDescent="0.25">
      <c r="C122" s="92"/>
      <c r="D122" s="93"/>
      <c r="E122" s="93"/>
      <c r="F122" s="39"/>
      <c r="G122" s="40" t="str">
        <f>IFERROR(IF('Abr-26'!$F122="","-",VLOOKUP('Abr-26'!$F122,Lista_CUIT!$A$1:$D$2241,2,0)),"CUIT NO CARGADO")</f>
        <v>-</v>
      </c>
      <c r="H122" s="94"/>
      <c r="I122" s="94"/>
      <c r="J122" s="94"/>
      <c r="K122" s="94"/>
      <c r="L122" s="94"/>
    </row>
    <row r="123" spans="2:18" ht="15.75" customHeight="1" x14ac:dyDescent="0.25">
      <c r="C123" s="3"/>
      <c r="D123" s="93"/>
      <c r="E123" s="93"/>
      <c r="F123" s="3"/>
      <c r="G123" s="40" t="str">
        <f>IFERROR(IF('Abr-26'!$F123="","-",VLOOKUP('Abr-26'!$F123,Lista_CUIT!$A$1:$D$2241,2,0)),"CUIT NO CARGADO")</f>
        <v>-</v>
      </c>
      <c r="H123" s="3"/>
      <c r="I123" s="3"/>
      <c r="J123" s="3"/>
      <c r="K123" s="3"/>
      <c r="L123" s="3"/>
    </row>
    <row r="124" spans="2:18" ht="15.75" customHeight="1" x14ac:dyDescent="0.25"/>
    <row r="125" spans="2:18" ht="15.75" customHeight="1" x14ac:dyDescent="0.25"/>
    <row r="126" spans="2:18" ht="15.75" customHeight="1" x14ac:dyDescent="0.25"/>
    <row r="127" spans="2:18" ht="15.75" customHeight="1" x14ac:dyDescent="0.25"/>
    <row r="128" spans="2:1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21">
    <mergeCell ref="P4:R4"/>
    <mergeCell ref="D45:L45"/>
    <mergeCell ref="B109:C109"/>
    <mergeCell ref="C117:G117"/>
    <mergeCell ref="B3:E3"/>
    <mergeCell ref="B4:E4"/>
    <mergeCell ref="G4:H4"/>
    <mergeCell ref="D61:K61"/>
    <mergeCell ref="B82:J82"/>
    <mergeCell ref="K82:M82"/>
    <mergeCell ref="B84:C84"/>
    <mergeCell ref="B98:C98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L92" xr:uid="{00000000-0002-0000-0100-000000000000}">
      <formula1>IF(#REF!=3,#REF!&lt;0,#REF!&gt;=0)</formula1>
    </dataValidation>
    <dataValidation type="custom" allowBlank="1" showErrorMessage="1" sqref="H100:L105 H111:I111 K111:L111 H112:L112 L113:L114" xr:uid="{00000000-0002-0000-0100-000001000000}">
      <formula1>IF($C100=8,H100&lt;0,H100&gt;=0)</formula1>
    </dataValidation>
    <dataValidation type="custom" allowBlank="1" showErrorMessage="1" sqref="L93:L95" xr:uid="{00000000-0002-0000-0100-000002000000}">
      <formula1>IF($C15=3,L15&lt;0,L15&gt;=0)</formula1>
    </dataValidation>
    <dataValidation type="decimal" allowBlank="1" showErrorMessage="1" sqref="D9:D39 E63:E79 D86:D95 D100:D105 D111:D114 D116" xr:uid="{00000000-0002-0000-0100-000003000000}">
      <formula1>1</formula1>
      <formula2>9999</formula2>
    </dataValidation>
    <dataValidation type="decimal" allowBlank="1" showErrorMessage="1" sqref="C111:C114" xr:uid="{00000000-0002-0000-0100-000004000000}">
      <formula1>80</formula1>
      <formula2>80</formula2>
    </dataValidation>
    <dataValidation type="date" allowBlank="1" showErrorMessage="1" sqref="B9:B39 B41:B44 D47:D56 D63:D79 B86:B95 B100:B105 B111:B114 B116" xr:uid="{00000000-0002-0000-0100-000005000000}">
      <formula1>40179</formula1>
      <formula2>TODAY()</formula2>
    </dataValidation>
    <dataValidation type="custom" allowBlank="1" showErrorMessage="1" sqref="L86:L91" xr:uid="{00000000-0002-0000-0100-000006000000}">
      <formula1>IF($C9=3,L9&lt;0,L9&gt;=0)</formula1>
    </dataValidation>
    <dataValidation type="decimal" allowBlank="1" showErrorMessage="1" sqref="F9:F39 G63:G79 F86:F95 F100:F105 F111:F114 F116" xr:uid="{00000000-0002-0000-0100-000007000000}">
      <formula1>20000000000</formula1>
      <formula2>33999999999</formula2>
    </dataValidation>
    <dataValidation type="decimal" allowBlank="1" showErrorMessage="1" sqref="C100:C105 C116" xr:uid="{00000000-0002-0000-0100-000008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J9:L9 N9:O9 H9:H12 J10:O12" xr:uid="{00000000-0002-0000-0100-000009000000}">
      <formula1>IF($C9=3,H9&lt;0,H9&gt;=0)</formula1>
    </dataValidation>
    <dataValidation type="decimal" allowBlank="1" showErrorMessage="1" sqref="E9:E39 F63:F79 E86:E95 E100:E105 E111:E114 E116" xr:uid="{00000000-0002-0000-0100-00000A000000}">
      <formula1>1</formula1>
      <formula2>99999999</formula2>
    </dataValidation>
    <dataValidation type="decimal" allowBlank="1" showErrorMessage="1" sqref="C86:C95 C41:C44 C9:C39" xr:uid="{00000000-0002-0000-0100-00000B000000}">
      <formula1>1</formula1>
      <formula2>3</formula2>
    </dataValidation>
    <dataValidation type="custom" allowBlank="1" showErrorMessage="1" sqref="H86 J86:K86 H92:K92 H90:K90 H88 J88:K88" xr:uid="{00000000-0002-0000-0100-00000C000000}">
      <formula1>IF($C86=3,H86&lt;0,H86&gt;=0)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9D9"/>
  </sheetPr>
  <dimension ref="A1:Z960"/>
  <sheetViews>
    <sheetView showGridLines="0" topLeftCell="G43" zoomScale="80" zoomScaleNormal="80" workbookViewId="0">
      <selection activeCell="I62" sqref="I62"/>
    </sheetView>
  </sheetViews>
  <sheetFormatPr baseColWidth="10" defaultColWidth="14.42578125" defaultRowHeight="15" customHeight="1" x14ac:dyDescent="0.25"/>
  <cols>
    <col min="1" max="1" width="1.7109375" customWidth="1"/>
    <col min="2" max="2" width="17.140625" customWidth="1"/>
    <col min="3" max="3" width="13.140625" customWidth="1"/>
    <col min="4" max="4" width="16.7109375" customWidth="1"/>
    <col min="5" max="5" width="11.85546875" customWidth="1"/>
    <col min="6" max="6" width="18.28515625" customWidth="1"/>
    <col min="7" max="7" width="39" customWidth="1"/>
    <col min="8" max="8" width="26" customWidth="1"/>
    <col min="9" max="9" width="17.5703125" customWidth="1"/>
    <col min="10" max="10" width="20.28515625" customWidth="1"/>
    <col min="11" max="11" width="14" customWidth="1"/>
    <col min="12" max="12" width="18.28515625" customWidth="1"/>
    <col min="13" max="13" width="11" customWidth="1"/>
    <col min="14" max="14" width="14.42578125" customWidth="1"/>
    <col min="15" max="15" width="14.85546875" customWidth="1"/>
    <col min="16" max="16" width="23.140625" customWidth="1"/>
    <col min="17" max="17" width="16.7109375" customWidth="1"/>
    <col min="18" max="18" width="14.28515625" customWidth="1"/>
    <col min="19" max="19" width="13.425781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67" t="str">
        <f>'Abr-26'!G1:M1</f>
        <v>CORITEC S. R. L.</v>
      </c>
      <c r="H1" s="448"/>
      <c r="I1" s="448"/>
      <c r="J1" s="448"/>
      <c r="K1" s="448"/>
      <c r="L1" s="448"/>
      <c r="M1" s="449"/>
      <c r="N1" s="451">
        <v>45778</v>
      </c>
      <c r="O1" s="448"/>
      <c r="P1" s="448"/>
      <c r="Q1" s="448"/>
      <c r="R1" s="449"/>
    </row>
    <row r="3" spans="1:19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SUM('May-26'!$H$30)+'May-26'!$G$43</f>
        <v>6550641.41952381</v>
      </c>
      <c r="C4" s="448"/>
      <c r="D4" s="448"/>
      <c r="E4" s="449"/>
      <c r="F4" s="8"/>
      <c r="G4" s="463">
        <f>'May-26'!$I$30+'May-26'!$J$30+'May-26'!$K$30+'May-26'!$H$43+'May-26'!$I$43</f>
        <v>1377661.7980999995</v>
      </c>
      <c r="H4" s="449"/>
      <c r="I4" s="8"/>
      <c r="J4" s="466">
        <f>SUM('May-26'!$H$81+'May-26'!$H$93)</f>
        <v>125972294.5</v>
      </c>
      <c r="K4" s="449"/>
      <c r="L4" s="8"/>
      <c r="M4" s="466">
        <f>SUM('May-26'!$I$81+'May-26'!$J$81+'May-26'!$I$93+'May-26'!$J$93)</f>
        <v>15754767.840000002</v>
      </c>
      <c r="N4" s="449"/>
      <c r="O4" s="8"/>
      <c r="P4" s="455">
        <f>G4-M4</f>
        <v>-14377106.041900001</v>
      </c>
      <c r="Q4" s="448"/>
      <c r="R4" s="449"/>
    </row>
    <row r="5" spans="1:19" ht="12.75" customHeight="1" x14ac:dyDescent="0.25"/>
    <row r="6" spans="1:19" ht="10.5" customHeight="1" x14ac:dyDescent="0.25"/>
    <row r="7" spans="1:19" ht="18.7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45778</v>
      </c>
      <c r="C9" s="169">
        <v>1</v>
      </c>
      <c r="D9" s="170">
        <v>3</v>
      </c>
      <c r="E9" s="171">
        <v>265149</v>
      </c>
      <c r="F9" s="172">
        <v>30707135596</v>
      </c>
      <c r="G9" s="173" t="str">
        <f>IFERROR(IF('May-26'!$F9="","-",VLOOKUP('May-26'!$F9,Lista_CUIT!$A$1:$D$2241,2,0)),"CUIT NO CARGADO")</f>
        <v>CITILAN ARGENTINA S.A.</v>
      </c>
      <c r="H9" s="174">
        <v>28785</v>
      </c>
      <c r="I9" s="175">
        <f>IF('May-26'!$H9="","",'May-26'!$H9*0.21)</f>
        <v>6044.8499999999995</v>
      </c>
      <c r="J9" s="175"/>
      <c r="K9" s="175"/>
      <c r="L9" s="175"/>
      <c r="M9" s="175"/>
      <c r="N9" s="175"/>
      <c r="O9" s="175"/>
      <c r="P9" s="176">
        <f>SUM('May-26'!$H9:$O9)</f>
        <v>34829.85</v>
      </c>
      <c r="Q9" s="177" t="str">
        <f>IFERROR(IF('May-26'!$F9="","-",VLOOKUP('May-26'!$F9,Lista_CUIT!$A$1:$D$2241,3,0)),"CUIT NO CARGADO")</f>
        <v>Telefonia</v>
      </c>
      <c r="R9" s="177">
        <f>IFERROR(IF('May-26'!$F9="","-",VLOOKUP('May-26'!$F9,Lista_CUIT!$A$1:$D$2241,4,0)),"CUIT NO CARGADO")</f>
        <v>0</v>
      </c>
    </row>
    <row r="10" spans="1:19" x14ac:dyDescent="0.25">
      <c r="B10" s="239">
        <v>45778</v>
      </c>
      <c r="C10" s="169">
        <v>1</v>
      </c>
      <c r="D10" s="170">
        <v>3</v>
      </c>
      <c r="E10" s="171">
        <v>857</v>
      </c>
      <c r="F10" s="172">
        <v>30715402765</v>
      </c>
      <c r="G10" s="173" t="str">
        <f>IFERROR(IF('May-26'!$F10="","-",VLOOKUP('May-26'!$F10,Lista_CUIT!$A$1:$D$2241,2,0)),"CUIT NO CARGADO")</f>
        <v>RIO 265 S.R.L.</v>
      </c>
      <c r="H10" s="174">
        <v>90909.1</v>
      </c>
      <c r="I10" s="175">
        <f>IF('May-26'!$H10="","",'May-26'!$H10*0.21)</f>
        <v>19090.911</v>
      </c>
      <c r="J10" s="175"/>
      <c r="K10" s="175"/>
      <c r="L10" s="175"/>
      <c r="M10" s="175"/>
      <c r="N10" s="175"/>
      <c r="O10" s="175"/>
      <c r="P10" s="176">
        <f>SUM('May-26'!$H10:$O10)</f>
        <v>110000.011</v>
      </c>
      <c r="Q10" s="177" t="str">
        <f>IFERROR(IF('May-26'!$F10="","-",VLOOKUP('May-26'!$F10,Lista_CUIT!$A$1:$D$2241,3,0)),"CUIT NO CARGADO")</f>
        <v>GASTOS VARIOS</v>
      </c>
      <c r="R10" s="177">
        <f>IFERROR(IF('May-26'!$F10="","-",VLOOKUP('May-26'!$F10,Lista_CUIT!$A$1:$D$2241,4,0)),"CUIT NO CARGADO")</f>
        <v>0</v>
      </c>
    </row>
    <row r="11" spans="1:19" x14ac:dyDescent="0.25">
      <c r="B11" s="239">
        <v>45782</v>
      </c>
      <c r="C11" s="169">
        <v>1</v>
      </c>
      <c r="D11" s="170">
        <v>2</v>
      </c>
      <c r="E11" s="171">
        <v>864</v>
      </c>
      <c r="F11" s="172">
        <v>20296550184</v>
      </c>
      <c r="G11" s="173" t="str">
        <f>IFERROR(IF('May-26'!$F11="","-",VLOOKUP('May-26'!$F11,Lista_CUIT!$A$1:$D$2241,2,0)),"CUIT NO CARGADO")</f>
        <v>COSTA DIEGO ALEJANDRO</v>
      </c>
      <c r="H11" s="174">
        <v>763250</v>
      </c>
      <c r="I11" s="175">
        <f>IF('May-26'!$H11="","",'May-26'!$H11*0.21)</f>
        <v>160282.5</v>
      </c>
      <c r="J11" s="175"/>
      <c r="K11" s="175"/>
      <c r="L11" s="175"/>
      <c r="M11" s="175"/>
      <c r="N11" s="175"/>
      <c r="O11" s="175"/>
      <c r="P11" s="176">
        <f>SUM('May-26'!$H11:$O11)</f>
        <v>923532.5</v>
      </c>
      <c r="Q11" s="177" t="str">
        <f>IFERROR(IF('May-26'!$F11="","-",VLOOKUP('May-26'!$F11,Lista_CUIT!$A$1:$D$2241,3,0)),"CUIT NO CARGADO")</f>
        <v>Mat. Prima</v>
      </c>
      <c r="R11" s="177">
        <f>IFERROR(IF('May-26'!$F11="","-",VLOOKUP('May-26'!$F11,Lista_CUIT!$A$1:$D$2241,4,0)),"CUIT NO CARGADO")</f>
        <v>0</v>
      </c>
    </row>
    <row r="12" spans="1:19" x14ac:dyDescent="0.25">
      <c r="B12" s="239">
        <v>45784</v>
      </c>
      <c r="C12" s="169">
        <v>1</v>
      </c>
      <c r="D12" s="170">
        <v>2</v>
      </c>
      <c r="E12" s="171">
        <v>213</v>
      </c>
      <c r="F12" s="172">
        <v>20125142851</v>
      </c>
      <c r="G12" s="173" t="str">
        <f>IFERROR(IF('May-26'!$F12="","-",VLOOKUP('May-26'!$F12,Lista_CUIT!$A$1:$D$2241,2,0)),"CUIT NO CARGADO")</f>
        <v>FEDERICI NICOLAS JOSE</v>
      </c>
      <c r="H12" s="174">
        <v>2228424.48</v>
      </c>
      <c r="I12" s="175">
        <f>IF('May-26'!$H12="","",'May-26'!$H12*0.21)</f>
        <v>467969.14079999999</v>
      </c>
      <c r="J12" s="175"/>
      <c r="K12" s="175"/>
      <c r="L12" s="175"/>
      <c r="M12" s="175"/>
      <c r="N12" s="175"/>
      <c r="O12" s="175"/>
      <c r="P12" s="176">
        <f>SUM('May-26'!$H12:$O12)</f>
        <v>2696393.6208000001</v>
      </c>
      <c r="Q12" s="177" t="str">
        <f>IFERROR(IF('May-26'!$F12="","-",VLOOKUP('May-26'!$F12,Lista_CUIT!$A$1:$D$2241,3,0)),"CUIT NO CARGADO")</f>
        <v>INSUMO</v>
      </c>
      <c r="R12" s="177">
        <f>IFERROR(IF('May-26'!$F12="","-",VLOOKUP('May-26'!$F12,Lista_CUIT!$A$1:$D$2241,4,0)),"CUIT NO CARGADO")</f>
        <v>0</v>
      </c>
    </row>
    <row r="13" spans="1:19" x14ac:dyDescent="0.25">
      <c r="B13" s="239">
        <v>45788</v>
      </c>
      <c r="C13" s="169">
        <v>1</v>
      </c>
      <c r="D13" s="170">
        <v>2466</v>
      </c>
      <c r="E13" s="171">
        <v>789845</v>
      </c>
      <c r="F13" s="172">
        <v>30678814357</v>
      </c>
      <c r="G13" s="173" t="str">
        <f>IFERROR(IF('May-26'!$F13="","-",VLOOKUP('May-26'!$F13,Lista_CUIT!$A$1:$D$2241,2,0)),"CUIT NO CARGADO")</f>
        <v>TELEFONICA MOVILES ARG</v>
      </c>
      <c r="H13" s="174">
        <v>33785</v>
      </c>
      <c r="I13" s="175"/>
      <c r="J13" s="175">
        <v>9121.9500000000007</v>
      </c>
      <c r="K13" s="175"/>
      <c r="L13" s="175">
        <v>1013.55</v>
      </c>
      <c r="M13" s="175"/>
      <c r="N13" s="175"/>
      <c r="O13" s="175">
        <v>1778.14</v>
      </c>
      <c r="P13" s="176">
        <f>SUM('May-26'!$H13:$O13)</f>
        <v>45698.64</v>
      </c>
      <c r="Q13" s="177" t="str">
        <f>IFERROR(IF('May-26'!$F13="","-",VLOOKUP('May-26'!$F13,Lista_CUIT!$A$1:$D$2241,3,0)),"CUIT NO CARGADO")</f>
        <v>Telefonia</v>
      </c>
      <c r="R13" s="177">
        <f>IFERROR(IF('May-26'!$F13="","-",VLOOKUP('May-26'!$F13,Lista_CUIT!$A$1:$D$2241,4,0)),"CUIT NO CARGADO")</f>
        <v>0</v>
      </c>
    </row>
    <row r="14" spans="1:19" x14ac:dyDescent="0.25">
      <c r="B14" s="239">
        <v>45792</v>
      </c>
      <c r="C14" s="169">
        <v>1</v>
      </c>
      <c r="D14" s="170">
        <v>5</v>
      </c>
      <c r="E14" s="171">
        <v>23382</v>
      </c>
      <c r="F14" s="172">
        <v>30716006391</v>
      </c>
      <c r="G14" s="173" t="str">
        <f>IFERROR(IF('May-26'!$F14="","-",VLOOKUP('May-26'!$F14,Lista_CUIT!$A$1:$D$2241,2,0)),"CUIT NO CARGADO")</f>
        <v>ALLISING</v>
      </c>
      <c r="H14" s="174">
        <v>31885.95</v>
      </c>
      <c r="I14" s="175">
        <f>IF('May-26'!$H14="","",'May-26'!$H14*0.21)</f>
        <v>6696.0495000000001</v>
      </c>
      <c r="J14" s="175"/>
      <c r="K14" s="175"/>
      <c r="L14" s="175"/>
      <c r="M14" s="175"/>
      <c r="N14" s="175"/>
      <c r="O14" s="175"/>
      <c r="P14" s="176">
        <f>SUM('May-26'!$H14:$O14)</f>
        <v>38581.999499999998</v>
      </c>
      <c r="Q14" s="177" t="str">
        <f>IFERROR(IF('May-26'!$F14="","-",VLOOKUP('May-26'!$F14,Lista_CUIT!$A$1:$D$2241,3,0)),"CUIT NO CARGADO")</f>
        <v>GASTOS VARIOS</v>
      </c>
      <c r="R14" s="177">
        <f>IFERROR(IF('May-26'!$F14="","-",VLOOKUP('May-26'!$F14,Lista_CUIT!$A$1:$D$2241,4,0)),"CUIT NO CARGADO")</f>
        <v>0</v>
      </c>
    </row>
    <row r="15" spans="1:19" x14ac:dyDescent="0.25">
      <c r="B15" s="239">
        <v>45793</v>
      </c>
      <c r="C15" s="169">
        <v>1</v>
      </c>
      <c r="D15" s="170">
        <v>106</v>
      </c>
      <c r="E15" s="171">
        <v>841105</v>
      </c>
      <c r="F15" s="172">
        <v>30594494187</v>
      </c>
      <c r="G15" s="173" t="str">
        <f>IFERROR(IF('May-26'!$F15="","-",VLOOKUP('May-26'!$F15,Lista_CUIT!$A$1:$D$2241,2,0)),"CUIT NO CARGADO")</f>
        <v>FEDERAL EXPRESS CORPORATION</v>
      </c>
      <c r="H15" s="174">
        <v>0</v>
      </c>
      <c r="I15" s="175">
        <f>IF('May-26'!$H15="","",'May-26'!$H15*0.21)</f>
        <v>0</v>
      </c>
      <c r="J15" s="175"/>
      <c r="K15" s="175"/>
      <c r="L15" s="175"/>
      <c r="M15" s="175"/>
      <c r="N15" s="175"/>
      <c r="O15" s="175">
        <v>581628.9</v>
      </c>
      <c r="P15" s="176">
        <f>SUM('May-26'!$H15:$O15)</f>
        <v>581628.9</v>
      </c>
      <c r="Q15" s="177" t="str">
        <f>IFERROR(IF('May-26'!$F15="","-",VLOOKUP('May-26'!$F15,Lista_CUIT!$A$1:$D$2241,3,0)),"CUIT NO CARGADO")</f>
        <v>Mercaderia</v>
      </c>
      <c r="R15" s="177">
        <f>IFERROR(IF('May-26'!$F15="","-",VLOOKUP('May-26'!$F15,Lista_CUIT!$A$1:$D$2241,4,0)),"CUIT NO CARGADO")</f>
        <v>0</v>
      </c>
    </row>
    <row r="16" spans="1:19" x14ac:dyDescent="0.25">
      <c r="B16" s="239">
        <v>45797</v>
      </c>
      <c r="C16" s="169">
        <v>1</v>
      </c>
      <c r="D16" s="170">
        <v>4</v>
      </c>
      <c r="E16" s="171">
        <v>108370</v>
      </c>
      <c r="F16" s="172">
        <v>30559932236</v>
      </c>
      <c r="G16" s="173" t="str">
        <f>IFERROR(IF('May-26'!$F16="","-",VLOOKUP('May-26'!$F16,Lista_CUIT!$A$1:$D$2241,2,0)),"CUIT NO CARGADO")</f>
        <v>ELECTRONICA ELEMON S A</v>
      </c>
      <c r="H16" s="174">
        <v>225187.46</v>
      </c>
      <c r="I16" s="175">
        <f>IF('May-26'!$H16="","",'May-26'!$H16*0.21)</f>
        <v>47289.366599999994</v>
      </c>
      <c r="J16" s="175"/>
      <c r="K16" s="175"/>
      <c r="L16" s="175"/>
      <c r="M16" s="175"/>
      <c r="N16" s="175"/>
      <c r="O16" s="175"/>
      <c r="P16" s="176">
        <f>SUM('May-26'!$H16:$O16)</f>
        <v>272476.82659999997</v>
      </c>
      <c r="Q16" s="177" t="str">
        <f>IFERROR(IF('May-26'!$F16="","-",VLOOKUP('May-26'!$F16,Lista_CUIT!$A$1:$D$2241,3,0)),"CUIT NO CARGADO")</f>
        <v>Mat. Prima</v>
      </c>
      <c r="R16" s="177">
        <f>IFERROR(IF('May-26'!$F16="","-",VLOOKUP('May-26'!$F16,Lista_CUIT!$A$1:$D$2241,4,0)),"CUIT NO CARGADO")</f>
        <v>0</v>
      </c>
    </row>
    <row r="17" spans="2:18" x14ac:dyDescent="0.25">
      <c r="B17" s="239">
        <v>45797</v>
      </c>
      <c r="C17" s="169">
        <v>1</v>
      </c>
      <c r="D17" s="170">
        <v>1</v>
      </c>
      <c r="E17" s="171">
        <v>813</v>
      </c>
      <c r="F17" s="172">
        <v>30717231135</v>
      </c>
      <c r="G17" s="173" t="str">
        <f>IFERROR(IF('May-26'!$F17="","-",VLOOKUP('May-26'!$F17,Lista_CUIT!$A$1:$D$2241,2,0)),"CUIT NO CARGADO")</f>
        <v>WAREHOUSE ARGENTINA S.A.S.</v>
      </c>
      <c r="H17" s="174">
        <v>125619.86</v>
      </c>
      <c r="I17" s="175">
        <f>IF('May-26'!$H17="","",'May-26'!$H17*0.21)</f>
        <v>26380.170599999998</v>
      </c>
      <c r="J17" s="175"/>
      <c r="K17" s="175"/>
      <c r="L17" s="175"/>
      <c r="M17" s="175"/>
      <c r="N17" s="175"/>
      <c r="O17" s="175"/>
      <c r="P17" s="176">
        <f>SUM('May-26'!$H17:$O17)</f>
        <v>152000.0306</v>
      </c>
      <c r="Q17" s="177" t="str">
        <f>IFERROR(IF('May-26'!$F17="","-",VLOOKUP('May-26'!$F17,Lista_CUIT!$A$1:$D$2241,3,0)),"CUIT NO CARGADO")</f>
        <v>INSUMO</v>
      </c>
      <c r="R17" s="177">
        <f>IFERROR(IF('May-26'!$F17="","-",VLOOKUP('May-26'!$F17,Lista_CUIT!$A$1:$D$2241,4,0)),"CUIT NO CARGADO")</f>
        <v>0</v>
      </c>
    </row>
    <row r="18" spans="2:18" x14ac:dyDescent="0.25">
      <c r="B18" s="239">
        <v>45799</v>
      </c>
      <c r="C18" s="169">
        <v>1</v>
      </c>
      <c r="D18" s="170">
        <v>251</v>
      </c>
      <c r="E18" s="171">
        <v>4102</v>
      </c>
      <c r="F18" s="172">
        <v>30710276273</v>
      </c>
      <c r="G18" s="173" t="str">
        <f>IFERROR(IF('May-26'!$F18="","-",VLOOKUP('May-26'!$F18,Lista_CUIT!$A$1:$D$2241,2,0)),"CUIT NO CARGADO")</f>
        <v>SEDEX ARGENTINA SA</v>
      </c>
      <c r="H18" s="174">
        <v>15206.62</v>
      </c>
      <c r="I18" s="175">
        <f>IF('May-26'!$H18="","",'May-26'!$H18*0.21)</f>
        <v>3193.3901999999998</v>
      </c>
      <c r="J18" s="175"/>
      <c r="K18" s="175"/>
      <c r="L18" s="175"/>
      <c r="M18" s="175"/>
      <c r="N18" s="175"/>
      <c r="O18" s="175"/>
      <c r="P18" s="176">
        <f>SUM('May-26'!$H18:$O18)</f>
        <v>18400.010200000001</v>
      </c>
      <c r="Q18" s="177" t="str">
        <f>IFERROR(IF('May-26'!$F18="","-",VLOOKUP('May-26'!$F18,Lista_CUIT!$A$1:$D$2241,3,0)),"CUIT NO CARGADO")</f>
        <v>FLETE-LOGISTICA</v>
      </c>
      <c r="R18" s="177">
        <f>IFERROR(IF('May-26'!$F18="","-",VLOOKUP('May-26'!$F18,Lista_CUIT!$A$1:$D$2241,4,0)),"CUIT NO CARGADO")</f>
        <v>0</v>
      </c>
    </row>
    <row r="19" spans="2:18" x14ac:dyDescent="0.25">
      <c r="B19" s="239">
        <v>45799</v>
      </c>
      <c r="C19" s="169">
        <v>1</v>
      </c>
      <c r="D19" s="170">
        <v>5</v>
      </c>
      <c r="E19" s="171">
        <v>84621</v>
      </c>
      <c r="F19" s="172">
        <v>30692857611</v>
      </c>
      <c r="G19" s="173" t="str">
        <f>IFERROR(IF('May-26'!$F19="","-",VLOOKUP('May-26'!$F19,Lista_CUIT!$A$1:$D$2241,2,0)),"CUIT NO CARGADO")</f>
        <v>BAGUI S A</v>
      </c>
      <c r="H19" s="174">
        <v>1106796.6000000001</v>
      </c>
      <c r="I19" s="175">
        <f>IF('May-26'!$H19="","",'May-26'!$H19*0.21)</f>
        <v>232427.28600000002</v>
      </c>
      <c r="J19" s="175"/>
      <c r="K19" s="175"/>
      <c r="L19" s="175"/>
      <c r="M19" s="175"/>
      <c r="N19" s="175"/>
      <c r="O19" s="175"/>
      <c r="P19" s="176">
        <f>SUM('May-26'!$H19:$O19)</f>
        <v>1339223.8860000002</v>
      </c>
      <c r="Q19" s="177" t="str">
        <f>IFERROR(IF('May-26'!$F19="","-",VLOOKUP('May-26'!$F19,Lista_CUIT!$A$1:$D$2241,3,0)),"CUIT NO CARGADO")</f>
        <v>INSUMO</v>
      </c>
      <c r="R19" s="177">
        <f>IFERROR(IF('May-26'!$F19="","-",VLOOKUP('May-26'!$F19,Lista_CUIT!$A$1:$D$2241,4,0)),"CUIT NO CARGADO")</f>
        <v>0</v>
      </c>
    </row>
    <row r="20" spans="2:18" x14ac:dyDescent="0.25">
      <c r="B20" s="239">
        <v>45799</v>
      </c>
      <c r="C20" s="169">
        <v>1</v>
      </c>
      <c r="D20" s="170">
        <v>2</v>
      </c>
      <c r="E20" s="171">
        <v>17544</v>
      </c>
      <c r="F20" s="172">
        <v>30624684628</v>
      </c>
      <c r="G20" s="173" t="str">
        <f>IFERROR(IF('May-26'!$F20="","-",VLOOKUP('May-26'!$F20,Lista_CUIT!$A$1:$D$2241,2,0)),"CUIT NO CARGADO")</f>
        <v>MITSUKO ARGENTINA S R L</v>
      </c>
      <c r="H20" s="174">
        <v>844740</v>
      </c>
      <c r="I20" s="175">
        <f>IF('May-26'!$H20="","",'May-26'!$H20*0.21)</f>
        <v>177395.4</v>
      </c>
      <c r="J20" s="175"/>
      <c r="K20" s="175"/>
      <c r="L20" s="175"/>
      <c r="M20" s="175"/>
      <c r="N20" s="175"/>
      <c r="O20" s="175"/>
      <c r="P20" s="176">
        <f>SUM('May-26'!$H20:$O20)</f>
        <v>1022135.4</v>
      </c>
      <c r="Q20" s="177" t="str">
        <f>IFERROR(IF('May-26'!$F20="","-",VLOOKUP('May-26'!$F20,Lista_CUIT!$A$1:$D$2241,3,0)),"CUIT NO CARGADO")</f>
        <v>INSUMO</v>
      </c>
      <c r="R20" s="177">
        <f>IFERROR(IF('May-26'!$F20="","-",VLOOKUP('May-26'!$F20,Lista_CUIT!$A$1:$D$2241,4,0)),"CUIT NO CARGADO")</f>
        <v>0</v>
      </c>
    </row>
    <row r="21" spans="2:18" ht="15.75" customHeight="1" x14ac:dyDescent="0.25">
      <c r="B21" s="239">
        <v>45802</v>
      </c>
      <c r="C21" s="169">
        <v>1</v>
      </c>
      <c r="D21" s="170">
        <v>3326</v>
      </c>
      <c r="E21" s="171">
        <v>16665</v>
      </c>
      <c r="F21" s="172">
        <v>30526874249</v>
      </c>
      <c r="G21" s="173" t="str">
        <f>IFERROR(IF('May-26'!$F21="","-",VLOOKUP('May-26'!$F21,Lista_CUIT!$A$1:$D$2241,2,0)),"CUIT NO CARGADO")</f>
        <v>FRAVEGA</v>
      </c>
      <c r="H21" s="174">
        <v>330577.69</v>
      </c>
      <c r="I21" s="175">
        <f>IF('May-26'!$H21="","",'May-26'!$H21*0.21)</f>
        <v>69421.314899999998</v>
      </c>
      <c r="J21" s="175"/>
      <c r="K21" s="175"/>
      <c r="L21" s="175"/>
      <c r="M21" s="175"/>
      <c r="N21" s="175"/>
      <c r="O21" s="175"/>
      <c r="P21" s="176">
        <f>SUM('May-26'!$H21:$O21)</f>
        <v>399999.0049</v>
      </c>
      <c r="Q21" s="177" t="str">
        <f>IFERROR(IF('May-26'!$F21="","-",VLOOKUP('May-26'!$F21,Lista_CUIT!$A$1:$D$2241,3,0)),"CUIT NO CARGADO")</f>
        <v>Gastos Varios</v>
      </c>
      <c r="R21" s="177">
        <f>IFERROR(IF('May-26'!$F21="","-",VLOOKUP('May-26'!$F21,Lista_CUIT!$A$1:$D$2241,4,0)),"CUIT NO CARGADO")</f>
        <v>0</v>
      </c>
    </row>
    <row r="22" spans="2:18" ht="15.75" customHeight="1" x14ac:dyDescent="0.25">
      <c r="B22" s="239">
        <v>45803</v>
      </c>
      <c r="C22" s="169">
        <v>1</v>
      </c>
      <c r="D22" s="170">
        <v>700</v>
      </c>
      <c r="E22" s="171">
        <v>794725</v>
      </c>
      <c r="F22" s="172">
        <v>30580111315</v>
      </c>
      <c r="G22" s="173" t="str">
        <f>IFERROR(IF('May-26'!$F22="","-",VLOOKUP('May-26'!$F22,Lista_CUIT!$A$1:$D$2241,2,0)),"CUIT NO CARGADO")</f>
        <v>DHL EXPRESS (ARGENTINA) S.A.</v>
      </c>
      <c r="H22" s="174">
        <v>0</v>
      </c>
      <c r="I22" s="175">
        <f>IF('May-26'!$H22="","",'May-26'!$H22*0.21)</f>
        <v>0</v>
      </c>
      <c r="J22" s="175"/>
      <c r="K22" s="175"/>
      <c r="L22" s="175"/>
      <c r="M22" s="175"/>
      <c r="N22" s="175"/>
      <c r="O22" s="175">
        <f>202.59*1150</f>
        <v>232978.5</v>
      </c>
      <c r="P22" s="176">
        <f>SUM('May-26'!$H22:$O22)</f>
        <v>232978.5</v>
      </c>
      <c r="Q22" s="177" t="str">
        <f>IFERROR(IF('May-26'!$F22="","-",VLOOKUP('May-26'!$F22,Lista_CUIT!$A$1:$D$2241,3,0)),"CUIT NO CARGADO")</f>
        <v>Mercaderia</v>
      </c>
      <c r="R22" s="177">
        <f>IFERROR(IF('May-26'!$F22="","-",VLOOKUP('May-26'!$F22,Lista_CUIT!$A$1:$D$2241,4,0)),"CUIT NO CARGADO")</f>
        <v>0</v>
      </c>
    </row>
    <row r="23" spans="2:18" ht="15.75" customHeight="1" x14ac:dyDescent="0.25">
      <c r="B23" s="239">
        <v>45805</v>
      </c>
      <c r="C23" s="169">
        <v>1</v>
      </c>
      <c r="D23" s="170">
        <v>122</v>
      </c>
      <c r="E23" s="171">
        <v>368811</v>
      </c>
      <c r="F23" s="172">
        <v>30594494187</v>
      </c>
      <c r="G23" s="173" t="str">
        <f>IFERROR(IF('May-26'!$F23="","-",VLOOKUP('May-26'!$F23,Lista_CUIT!$A$1:$D$2241,2,0)),"CUIT NO CARGADO")</f>
        <v>FEDERAL EXPRESS CORPORATION</v>
      </c>
      <c r="H23" s="174">
        <v>83232</v>
      </c>
      <c r="I23" s="175">
        <f>IF('May-26'!$H23="","",'May-26'!$H23*0.21)</f>
        <v>17478.72</v>
      </c>
      <c r="J23" s="175"/>
      <c r="K23" s="175"/>
      <c r="L23" s="175"/>
      <c r="M23" s="175"/>
      <c r="N23" s="175"/>
      <c r="O23" s="175">
        <v>277532.48</v>
      </c>
      <c r="P23" s="176">
        <f>SUM('May-26'!$H23:$O23)</f>
        <v>378243.19999999995</v>
      </c>
      <c r="Q23" s="177" t="str">
        <f>IFERROR(IF('May-26'!$F23="","-",VLOOKUP('May-26'!$F23,Lista_CUIT!$A$1:$D$2241,3,0)),"CUIT NO CARGADO")</f>
        <v>Mercaderia</v>
      </c>
      <c r="R23" s="177">
        <f>IFERROR(IF('May-26'!$F23="","-",VLOOKUP('May-26'!$F23,Lista_CUIT!$A$1:$D$2241,4,0)),"CUIT NO CARGADO")</f>
        <v>0</v>
      </c>
    </row>
    <row r="24" spans="2:18" ht="15.75" customHeight="1" x14ac:dyDescent="0.25">
      <c r="B24" s="239">
        <v>45805</v>
      </c>
      <c r="C24" s="169">
        <v>1</v>
      </c>
      <c r="D24" s="170">
        <v>5</v>
      </c>
      <c r="E24" s="171">
        <v>33681</v>
      </c>
      <c r="F24" s="172">
        <v>30646938755</v>
      </c>
      <c r="G24" s="173" t="str">
        <f>IFERROR(IF('May-26'!$F24="","-",VLOOKUP('May-26'!$F24,Lista_CUIT!$A$1:$D$2241,2,0)),"CUIT NO CARGADO")</f>
        <v>LASARTE HNOS SRL</v>
      </c>
      <c r="H24" s="174">
        <v>209583</v>
      </c>
      <c r="I24" s="175">
        <f>IF('May-26'!$H24="","",'May-26'!$H24*0.21)</f>
        <v>44012.43</v>
      </c>
      <c r="J24" s="175"/>
      <c r="K24" s="175"/>
      <c r="L24" s="175"/>
      <c r="M24" s="175"/>
      <c r="N24" s="175"/>
      <c r="O24" s="175"/>
      <c r="P24" s="176">
        <f>SUM('May-26'!$H24:$O24)</f>
        <v>253595.43</v>
      </c>
      <c r="Q24" s="177" t="str">
        <f>IFERROR(IF('May-26'!$F24="","-",VLOOKUP('May-26'!$F24,Lista_CUIT!$A$1:$D$2241,3,0)),"CUIT NO CARGADO")</f>
        <v>Mantenimiento</v>
      </c>
      <c r="R24" s="177">
        <f>IFERROR(IF('May-26'!$F24="","-",VLOOKUP('May-26'!$F24,Lista_CUIT!$A$1:$D$2241,4,0)),"CUIT NO CARGADO")</f>
        <v>0</v>
      </c>
    </row>
    <row r="25" spans="2:18" ht="15.75" customHeight="1" x14ac:dyDescent="0.25">
      <c r="B25" s="239">
        <v>45807</v>
      </c>
      <c r="C25" s="169">
        <v>1</v>
      </c>
      <c r="D25" s="170">
        <v>5</v>
      </c>
      <c r="E25" s="171">
        <v>6083</v>
      </c>
      <c r="F25" s="172">
        <v>20231333593</v>
      </c>
      <c r="G25" s="173" t="str">
        <f>IFERROR(IF('May-26'!$F25="","-",VLOOKUP('May-26'!$F25,Lista_CUIT!$A$1:$D$2241,2,0)),"CUIT NO CARGADO")</f>
        <v>BOLLINI CLAUDIO DANIEL</v>
      </c>
      <c r="H25" s="174">
        <v>80000</v>
      </c>
      <c r="I25" s="175">
        <f>IF('May-26'!$H25="","",'May-26'!$H25*0.21)</f>
        <v>16800</v>
      </c>
      <c r="J25" s="175"/>
      <c r="K25" s="175"/>
      <c r="L25" s="175"/>
      <c r="M25" s="175"/>
      <c r="N25" s="175"/>
      <c r="O25" s="175"/>
      <c r="P25" s="176">
        <f>SUM('May-26'!$H25:$O25)</f>
        <v>96800</v>
      </c>
      <c r="Q25" s="177" t="str">
        <f>IFERROR(IF('May-26'!$F25="","-",VLOOKUP('May-26'!$F25,Lista_CUIT!$A$1:$D$2241,3,0)),"CUIT NO CARGADO")</f>
        <v>Mantenimiento</v>
      </c>
      <c r="R25" s="177">
        <f>IFERROR(IF('May-26'!$F25="","-",VLOOKUP('May-26'!$F25,Lista_CUIT!$A$1:$D$2241,4,0)),"CUIT NO CARGADO")</f>
        <v>0</v>
      </c>
    </row>
    <row r="26" spans="2:18" ht="15.75" customHeight="1" x14ac:dyDescent="0.25">
      <c r="B26" s="239">
        <v>45807</v>
      </c>
      <c r="C26" s="169">
        <v>1</v>
      </c>
      <c r="D26" s="170">
        <v>35</v>
      </c>
      <c r="E26" s="171">
        <v>3756</v>
      </c>
      <c r="F26" s="172">
        <v>30516199292</v>
      </c>
      <c r="G26" s="173" t="str">
        <f>IFERROR(IF('May-26'!$F26="","-",VLOOKUP('May-26'!$F26,Lista_CUIT!$A$1:$D$2241,2,0)),"CUIT NO CARGADO")</f>
        <v>S V A SACIFI</v>
      </c>
      <c r="H26" s="174">
        <v>246385.21</v>
      </c>
      <c r="I26" s="175">
        <f>IF('May-26'!$H26="","",'May-26'!$H26*0.21)</f>
        <v>51740.894099999998</v>
      </c>
      <c r="J26" s="175"/>
      <c r="K26" s="175"/>
      <c r="L26" s="175"/>
      <c r="M26" s="175"/>
      <c r="N26" s="175"/>
      <c r="O26" s="175"/>
      <c r="P26" s="176">
        <f>SUM('May-26'!$H26:$O26)</f>
        <v>298126.1041</v>
      </c>
      <c r="Q26" s="177" t="str">
        <f>IFERROR(IF('May-26'!$F26="","-",VLOOKUP('May-26'!$F26,Lista_CUIT!$A$1:$D$2241,3,0)),"CUIT NO CARGADO")</f>
        <v>Mant. Vehiculo</v>
      </c>
      <c r="R26" s="177">
        <f>IFERROR(IF('May-26'!$F26="","-",VLOOKUP('May-26'!$F26,Lista_CUIT!$A$1:$D$2241,4,0)),"CUIT NO CARGADO")</f>
        <v>0</v>
      </c>
    </row>
    <row r="27" spans="2:18" ht="15.75" customHeight="1" x14ac:dyDescent="0.25">
      <c r="B27" s="239">
        <v>45808</v>
      </c>
      <c r="C27" s="169">
        <v>1</v>
      </c>
      <c r="D27" s="170">
        <v>3</v>
      </c>
      <c r="E27" s="171">
        <v>9638</v>
      </c>
      <c r="F27" s="172">
        <v>30710585411</v>
      </c>
      <c r="G27" s="173" t="str">
        <f>IFERROR(IF('May-26'!$F27="","-",VLOOKUP('May-26'!$F27,Lista_CUIT!$A$1:$D$2241,2,0)),"CUIT NO CARGADO")</f>
        <v>POSITIF PLANIFIER S.A.</v>
      </c>
      <c r="H27" s="174">
        <v>107563.64</v>
      </c>
      <c r="I27" s="175">
        <f>IF('May-26'!$H27="","",'May-26'!$H27*0.21)</f>
        <v>22588.364399999999</v>
      </c>
      <c r="J27" s="175"/>
      <c r="K27" s="175"/>
      <c r="L27" s="175"/>
      <c r="M27" s="175"/>
      <c r="N27" s="175"/>
      <c r="O27" s="175"/>
      <c r="P27" s="176">
        <f>SUM('May-26'!$H27:$O27)</f>
        <v>130152.00440000001</v>
      </c>
      <c r="Q27" s="177" t="str">
        <f>IFERROR(IF('May-26'!$F27="","-",VLOOKUP('May-26'!$F27,Lista_CUIT!$A$1:$D$2241,3,0)),"CUIT NO CARGADO")</f>
        <v>Gastos de Comercializacion</v>
      </c>
      <c r="R27" s="177">
        <f>IFERROR(IF('May-26'!$F27="","-",VLOOKUP('May-26'!$F27,Lista_CUIT!$A$1:$D$2241,4,0)),"CUIT NO CARGADO")</f>
        <v>0</v>
      </c>
    </row>
    <row r="28" spans="2:18" ht="15.75" customHeight="1" x14ac:dyDescent="0.25">
      <c r="B28" s="239">
        <v>45806</v>
      </c>
      <c r="C28" s="169">
        <v>3</v>
      </c>
      <c r="D28" s="170">
        <v>122</v>
      </c>
      <c r="E28" s="171">
        <v>71417</v>
      </c>
      <c r="F28" s="172">
        <v>30594494187</v>
      </c>
      <c r="G28" s="173" t="str">
        <f>IFERROR(IF('May-26'!$F28="","-",VLOOKUP('May-26'!$F28,Lista_CUIT!$A$1:$D$2241,2,0)),"CUIT NO CARGADO")</f>
        <v>FEDERAL EXPRESS CORPORATION</v>
      </c>
      <c r="H28" s="174">
        <v>-83232</v>
      </c>
      <c r="I28" s="175">
        <f>IF('May-26'!$H28="","",'May-26'!$H28*0.21)</f>
        <v>-17478.72</v>
      </c>
      <c r="J28" s="175"/>
      <c r="K28" s="175"/>
      <c r="L28" s="175"/>
      <c r="M28" s="175"/>
      <c r="N28" s="175"/>
      <c r="O28" s="175">
        <v>-277532.48</v>
      </c>
      <c r="P28" s="432">
        <f>SUM('May-26'!$H28:$O28)</f>
        <v>-378243.19999999995</v>
      </c>
      <c r="Q28" s="177" t="str">
        <f>IFERROR(IF('May-26'!$F28="","-",VLOOKUP('May-26'!$F28,Lista_CUIT!$A$1:$D$2241,3,0)),"CUIT NO CARGADO")</f>
        <v>Mercaderia</v>
      </c>
      <c r="R28" s="177">
        <f>IFERROR(IF('May-26'!$F28="","-",VLOOKUP('May-26'!$F28,Lista_CUIT!$A$1:$D$2241,4,0)),"CUIT NO CARGADO")</f>
        <v>0</v>
      </c>
    </row>
    <row r="29" spans="2:18" ht="15.75" customHeight="1" x14ac:dyDescent="0.25">
      <c r="B29" s="12"/>
      <c r="C29" s="13"/>
      <c r="D29" s="14"/>
      <c r="E29" s="15"/>
      <c r="F29" s="16"/>
      <c r="G29" s="17" t="str">
        <f>IFERROR(IF('May-26'!$F29="","-",VLOOKUP('May-26'!$F29,Lista_CUIT!$A$1:$D$2241,2,0)),"CUIT NO CARGADO")</f>
        <v>-</v>
      </c>
      <c r="H29" s="18"/>
      <c r="I29" s="23" t="str">
        <f>IF('May-26'!$H29="","",'May-26'!$H29*0.21)</f>
        <v/>
      </c>
      <c r="J29" s="23"/>
      <c r="K29" s="23"/>
      <c r="L29" s="23"/>
      <c r="M29" s="23"/>
      <c r="N29" s="23"/>
      <c r="O29" s="23"/>
      <c r="P29" s="20">
        <f>SUM('May-26'!$H29:$O29)</f>
        <v>0</v>
      </c>
      <c r="Q29" s="21" t="str">
        <f>IFERROR(IF('May-26'!$F29="","-",VLOOKUP('May-26'!$F29,Lista_CUIT!$A$1:$D$2241,3,0)),"CUIT NO CARGADO")</f>
        <v>-</v>
      </c>
      <c r="R29" s="21" t="str">
        <f>IFERROR(IF('May-26'!$F29="","-",VLOOKUP('May-26'!$F29,Lista_CUIT!$A$1:$D$2241,4,0)),"CUIT NO CARGADO")</f>
        <v>-</v>
      </c>
    </row>
    <row r="30" spans="2:18" ht="15.75" customHeight="1" x14ac:dyDescent="0.25">
      <c r="B30" s="21" t="s">
        <v>1336</v>
      </c>
      <c r="C30" s="21"/>
      <c r="D30" s="21"/>
      <c r="E30" s="21"/>
      <c r="F30" s="21"/>
      <c r="G30" s="17"/>
      <c r="H30" s="18">
        <f>SUBTOTAL(109,'May-26'!$H$9:$H$29)</f>
        <v>6468699.6100000003</v>
      </c>
      <c r="I30" s="18">
        <f>SUBTOTAL(109,'May-26'!$I$9:$I$29)</f>
        <v>1351332.0680999996</v>
      </c>
      <c r="J30" s="18">
        <f>SUBTOTAL(109,'May-26'!$J$9:$J$29)</f>
        <v>9121.9500000000007</v>
      </c>
      <c r="K30" s="18">
        <f>SUBTOTAL(109,'May-26'!$K$9:$K$29)</f>
        <v>0</v>
      </c>
      <c r="L30" s="18">
        <f>SUBTOTAL(109,'May-26'!$L$9:$L$29)</f>
        <v>1013.55</v>
      </c>
      <c r="M30" s="18">
        <f>SUBTOTAL(109,'May-26'!$M$9:$M$29)</f>
        <v>0</v>
      </c>
      <c r="N30" s="18">
        <f>SUBTOTAL(109,'May-26'!$N$9:$N$29)</f>
        <v>0</v>
      </c>
      <c r="O30" s="18">
        <f>SUBTOTAL(109,'May-26'!$O$9:$O$29)</f>
        <v>816385.54</v>
      </c>
      <c r="P30" s="18">
        <f>SUBTOTAL(109,'May-26'!$P$9:$P$29)</f>
        <v>8646552.718100002</v>
      </c>
      <c r="Q30" s="21"/>
      <c r="R30" s="21"/>
    </row>
    <row r="31" spans="2:18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2:18" ht="15.7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  <c r="M32" s="19"/>
      <c r="N32" s="19"/>
      <c r="O32" s="19"/>
      <c r="P32" s="20"/>
      <c r="Q32" s="21"/>
      <c r="R32" s="21"/>
    </row>
    <row r="33" spans="2:18" ht="15.7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  <c r="M33" s="19"/>
      <c r="N33" s="19"/>
      <c r="O33" s="19"/>
      <c r="P33" s="20"/>
      <c r="Q33" s="21"/>
      <c r="R33" s="21"/>
    </row>
    <row r="34" spans="2:18" ht="15.75" customHeight="1" x14ac:dyDescent="0.25">
      <c r="B34" s="12"/>
      <c r="C34" s="13"/>
      <c r="D34" s="14"/>
      <c r="E34" s="15"/>
      <c r="F34" s="16"/>
      <c r="G34" s="17"/>
      <c r="H34" s="18"/>
      <c r="I34" s="19"/>
      <c r="J34" s="19"/>
      <c r="K34" s="19"/>
      <c r="L34" s="19"/>
    </row>
    <row r="35" spans="2:18" ht="25.5" customHeight="1" x14ac:dyDescent="0.25">
      <c r="D35" s="456" t="s">
        <v>1337</v>
      </c>
      <c r="E35" s="448"/>
      <c r="F35" s="448"/>
      <c r="G35" s="448"/>
      <c r="H35" s="448"/>
      <c r="I35" s="448"/>
      <c r="J35" s="448"/>
      <c r="K35" s="448"/>
      <c r="L35" s="449"/>
    </row>
    <row r="36" spans="2:18" ht="15.75" customHeight="1" x14ac:dyDescent="0.25">
      <c r="D36" s="24" t="s">
        <v>1322</v>
      </c>
      <c r="E36" s="25" t="s">
        <v>1338</v>
      </c>
      <c r="F36" s="25" t="s">
        <v>1339</v>
      </c>
      <c r="G36" s="25" t="s">
        <v>1340</v>
      </c>
      <c r="H36" s="25" t="s">
        <v>1341</v>
      </c>
      <c r="I36" s="25" t="s">
        <v>1329</v>
      </c>
      <c r="J36" s="26" t="s">
        <v>1342</v>
      </c>
      <c r="K36" s="26" t="s">
        <v>1343</v>
      </c>
      <c r="L36" s="27" t="s">
        <v>1344</v>
      </c>
    </row>
    <row r="37" spans="2:18" ht="17.25" customHeight="1" x14ac:dyDescent="0.25">
      <c r="D37" s="12">
        <v>45808</v>
      </c>
      <c r="E37" s="29"/>
      <c r="F37" s="29" t="s">
        <v>1372</v>
      </c>
      <c r="G37" s="31">
        <v>81941.809523809527</v>
      </c>
      <c r="H37" s="31">
        <f>'May-26'!$G37*0.21</f>
        <v>17207.78</v>
      </c>
      <c r="I37" s="31"/>
      <c r="J37" s="31"/>
      <c r="K37" s="31">
        <v>2216.75</v>
      </c>
      <c r="L37" s="31"/>
    </row>
    <row r="38" spans="2:18" ht="17.25" customHeight="1" x14ac:dyDescent="0.25">
      <c r="D38" s="12"/>
      <c r="E38" s="29"/>
      <c r="F38" s="29"/>
      <c r="G38" s="31"/>
      <c r="H38" s="31">
        <f>'May-26'!$G38*0.21</f>
        <v>0</v>
      </c>
      <c r="I38" s="31"/>
      <c r="J38" s="31"/>
      <c r="K38" s="31"/>
      <c r="L38" s="31"/>
    </row>
    <row r="39" spans="2:18" ht="17.25" customHeight="1" x14ac:dyDescent="0.25">
      <c r="D39" s="12"/>
      <c r="E39" s="29"/>
      <c r="F39" s="29"/>
      <c r="G39" s="31"/>
      <c r="H39" s="31">
        <f>'May-26'!$G39*0.21</f>
        <v>0</v>
      </c>
      <c r="I39" s="31"/>
      <c r="J39" s="31"/>
      <c r="K39" s="31"/>
      <c r="L39" s="31"/>
    </row>
    <row r="40" spans="2:18" ht="17.25" customHeight="1" x14ac:dyDescent="0.25">
      <c r="D40" s="12"/>
      <c r="E40" s="29"/>
      <c r="F40" s="29"/>
      <c r="G40" s="31"/>
      <c r="H40" s="31">
        <f>'May-26'!$G40*0.21</f>
        <v>0</v>
      </c>
      <c r="I40" s="31"/>
      <c r="J40" s="31"/>
      <c r="K40" s="31"/>
      <c r="L40" s="31"/>
      <c r="O40" s="11"/>
    </row>
    <row r="41" spans="2:18" ht="17.25" customHeight="1" x14ac:dyDescent="0.25">
      <c r="D41" s="12"/>
      <c r="E41" s="29"/>
      <c r="F41" s="29"/>
      <c r="G41" s="31"/>
      <c r="H41" s="31">
        <f>'May-26'!$G41*0.21</f>
        <v>0</v>
      </c>
      <c r="I41" s="31"/>
      <c r="J41" s="31"/>
      <c r="K41" s="31"/>
      <c r="L41" s="31"/>
    </row>
    <row r="42" spans="2:18" ht="17.25" customHeight="1" x14ac:dyDescent="0.25">
      <c r="D42" s="12"/>
      <c r="E42" s="29"/>
      <c r="F42" s="29"/>
      <c r="G42" s="31"/>
      <c r="H42" s="31">
        <f>'May-26'!$G42*0.21</f>
        <v>0</v>
      </c>
      <c r="I42" s="31"/>
      <c r="J42" s="31"/>
      <c r="K42" s="31"/>
      <c r="L42" s="31"/>
    </row>
    <row r="43" spans="2:18" ht="15.75" customHeight="1" x14ac:dyDescent="0.25">
      <c r="D43" s="21" t="s">
        <v>1336</v>
      </c>
      <c r="E43" s="29"/>
      <c r="F43" s="29"/>
      <c r="G43" s="31">
        <f>SUBTOTAL(109,'May-26'!$G$37:$G$42)</f>
        <v>81941.809523809527</v>
      </c>
      <c r="H43" s="31">
        <f>SUBTOTAL(109,'May-26'!$H$37:$H$42)</f>
        <v>17207.78</v>
      </c>
      <c r="I43" s="31">
        <f>SUBTOTAL(109,'May-26'!$I$37:$I$42)</f>
        <v>0</v>
      </c>
      <c r="J43" s="31">
        <f>SUBTOTAL(109,'May-26'!$J$37:$J$42)</f>
        <v>0</v>
      </c>
      <c r="K43" s="31">
        <f>SUBTOTAL(109,'May-26'!$K$37:$K$42)</f>
        <v>2216.75</v>
      </c>
      <c r="L43" s="31">
        <f>SUBTOTAL(109,'May-26'!$L$37:$L$42)</f>
        <v>0</v>
      </c>
    </row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>
      <c r="D47" s="456" t="s">
        <v>1348</v>
      </c>
      <c r="E47" s="448"/>
      <c r="F47" s="448"/>
      <c r="G47" s="448"/>
      <c r="H47" s="448"/>
      <c r="I47" s="448"/>
      <c r="J47" s="448"/>
      <c r="K47" s="449"/>
    </row>
    <row r="48" spans="2:18" ht="15.75" customHeight="1" x14ac:dyDescent="0.25">
      <c r="D48" s="35" t="s">
        <v>1322</v>
      </c>
      <c r="E48" s="35" t="s">
        <v>1324</v>
      </c>
      <c r="F48" s="35" t="s">
        <v>1349</v>
      </c>
      <c r="G48" s="35" t="s">
        <v>0</v>
      </c>
      <c r="H48" s="35" t="s">
        <v>1</v>
      </c>
      <c r="I48" s="36" t="s">
        <v>1334</v>
      </c>
      <c r="J48" s="35" t="s">
        <v>1350</v>
      </c>
      <c r="K48" s="35" t="s">
        <v>1335</v>
      </c>
    </row>
    <row r="49" spans="2:18" ht="15.75" customHeight="1" x14ac:dyDescent="0.25">
      <c r="D49" s="336">
        <v>45778</v>
      </c>
      <c r="E49" s="337">
        <v>4</v>
      </c>
      <c r="F49" s="343">
        <v>20</v>
      </c>
      <c r="G49" s="344">
        <v>20086277523</v>
      </c>
      <c r="H49" s="341" t="str">
        <f>IFERROR(IF('May-26'!$G49="","-",VLOOKUP('May-26'!$G49,Lista_CUIT!$A$1:$D$2241,2,0)),"CUIT NO CARGADO")</f>
        <v>ESTUDIO BOTINDARI</v>
      </c>
      <c r="I49" s="411">
        <v>335000</v>
      </c>
      <c r="J49" s="342" t="str">
        <f>IFERROR(IF('May-26'!$G49="","-",VLOOKUP('May-26'!$G49,Lista_CUIT!$A$1:$D$2241,3,0)),"CUIT NO CARGADO")</f>
        <v>Honorarios Contables</v>
      </c>
      <c r="K49" s="342">
        <f>IFERROR(IF('May-26'!$G49="","-",VLOOKUP('May-26'!$G49,Lista_CUIT!$A$1:$D$2241,4,0)),"CUIT NO CARGADO")</f>
        <v>0</v>
      </c>
    </row>
    <row r="50" spans="2:18" ht="15.75" customHeight="1" x14ac:dyDescent="0.25">
      <c r="D50" s="12">
        <v>45778</v>
      </c>
      <c r="E50" s="14">
        <v>1</v>
      </c>
      <c r="F50" s="38">
        <v>49</v>
      </c>
      <c r="G50" s="39">
        <v>20365938688</v>
      </c>
      <c r="H50" s="40" t="str">
        <f>IFERROR(IF('May-26'!$G50="","-",VLOOKUP('May-26'!$G50,Lista_CUIT!$A$1:$D$2241,2,0)),"CUIT NO CARGADO")</f>
        <v>LIPANOVICH JUAN CRUZ</v>
      </c>
      <c r="I50" s="412">
        <v>1583679</v>
      </c>
      <c r="J50" s="42" t="str">
        <f>IFERROR(IF('May-26'!$G50="","-",VLOOKUP('May-26'!$G50,Lista_CUIT!$A$1:$D$2241,3,0)),"CUIT NO CARGADO")</f>
        <v>SOFTWARE</v>
      </c>
      <c r="K50" s="42">
        <f>IFERROR(IF('May-26'!$G50="","-",VLOOKUP('May-26'!$G50,Lista_CUIT!$A$1:$D$2241,4,0)),"CUIT NO CARGADO")</f>
        <v>0</v>
      </c>
    </row>
    <row r="51" spans="2:18" ht="15.75" customHeight="1" x14ac:dyDescent="0.25">
      <c r="D51" s="12">
        <v>45778</v>
      </c>
      <c r="E51" s="14">
        <v>2</v>
      </c>
      <c r="F51" s="38">
        <v>183</v>
      </c>
      <c r="G51" s="39">
        <v>20136544625</v>
      </c>
      <c r="H51" s="40" t="str">
        <f>IFERROR(IF('May-26'!$G51="","-",VLOOKUP('May-26'!$G51,Lista_CUIT!$A$1:$D$2241,2,0)),"CUIT NO CARGADO")</f>
        <v>RODRIGUEZ DE LA FUEN HECTOR MARCELO</v>
      </c>
      <c r="I51" s="412">
        <v>1283000</v>
      </c>
      <c r="J51" s="42" t="str">
        <f>IFERROR(IF('May-26'!$G51="","-",VLOOKUP('May-26'!$G51,Lista_CUIT!$A$1:$D$2241,3,0)),"CUIT NO CARGADO")</f>
        <v>Honorarios Admin</v>
      </c>
      <c r="K51" s="42">
        <f>IFERROR(IF('May-26'!$G51="","-",VLOOKUP('May-26'!$G51,Lista_CUIT!$A$1:$D$2241,4,0)),"CUIT NO CARGADO")</f>
        <v>0</v>
      </c>
    </row>
    <row r="52" spans="2:18" ht="15.75" customHeight="1" x14ac:dyDescent="0.25">
      <c r="D52" s="12">
        <v>45778</v>
      </c>
      <c r="E52" s="14">
        <v>2</v>
      </c>
      <c r="F52" s="38">
        <v>278</v>
      </c>
      <c r="G52" s="39">
        <v>27173820866</v>
      </c>
      <c r="H52" s="40" t="str">
        <f>IFERROR(IF('May-26'!$G52="","-",VLOOKUP('May-26'!$G52,Lista_CUIT!$A$1:$D$2241,2,0)),"CUIT NO CARGADO")</f>
        <v>FREIER SANDRA DANIELA</v>
      </c>
      <c r="I52" s="412">
        <v>1120000</v>
      </c>
      <c r="J52" s="42" t="str">
        <f>IFERROR(IF('May-26'!$G52="","-",VLOOKUP('May-26'!$G52,Lista_CUIT!$A$1:$D$2241,3,0)),"CUIT NO CARGADO")</f>
        <v>Honorarios Prof</v>
      </c>
      <c r="K52" s="42">
        <f>IFERROR(IF('May-26'!$G52="","-",VLOOKUP('May-26'!$G52,Lista_CUIT!$A$1:$D$2241,4,0)),"CUIT NO CARGADO")</f>
        <v>0</v>
      </c>
    </row>
    <row r="53" spans="2:18" ht="15.75" customHeight="1" x14ac:dyDescent="0.25">
      <c r="D53" s="12">
        <v>45779</v>
      </c>
      <c r="E53" s="14">
        <v>1</v>
      </c>
      <c r="F53" s="38">
        <v>112</v>
      </c>
      <c r="G53" s="39">
        <v>20341465134</v>
      </c>
      <c r="H53" s="40" t="str">
        <f>IFERROR(IF('May-26'!$G53="","-",VLOOKUP('May-26'!$G53,Lista_CUIT!$A$1:$D$2241,2,0)),"CUIT NO CARGADO")</f>
        <v>ABELEDO AGUSTIN ENRIQUE</v>
      </c>
      <c r="I53" s="412">
        <v>2248500</v>
      </c>
      <c r="J53" s="42" t="str">
        <f>IFERROR(IF('May-26'!$G53="","-",VLOOKUP('May-26'!$G53,Lista_CUIT!$A$1:$D$2241,3,0)),"CUIT NO CARGADO")</f>
        <v>Mantenimiento</v>
      </c>
      <c r="K53" s="42" t="str">
        <f>IFERROR(IF('May-26'!$G53="","-",VLOOKUP('May-26'!$G53,Lista_CUIT!$A$1:$D$2241,4,0)),"CUIT NO CARGADO")</f>
        <v>CABA</v>
      </c>
    </row>
    <row r="54" spans="2:18" ht="15.75" customHeight="1" x14ac:dyDescent="0.25">
      <c r="D54" s="336">
        <v>45782</v>
      </c>
      <c r="E54" s="337">
        <v>1</v>
      </c>
      <c r="F54" s="343">
        <v>148</v>
      </c>
      <c r="G54" s="344">
        <v>20389908569</v>
      </c>
      <c r="H54" s="341" t="str">
        <f>IFERROR(IF('May-26'!$G54="","-",VLOOKUP('May-26'!$G54,Lista_CUIT!$A$1:$D$2241,2,0)),"CUIT NO CARGADO")</f>
        <v>BOTINDARI JUAN IGNACIO</v>
      </c>
      <c r="I54" s="411">
        <v>102700</v>
      </c>
      <c r="J54" s="342" t="str">
        <f>IFERROR(IF('May-26'!$G54="","-",VLOOKUP('May-26'!$G54,Lista_CUIT!$A$1:$D$2241,3,0)),"CUIT NO CARGADO")</f>
        <v>Honorarios Contables</v>
      </c>
      <c r="K54" s="342">
        <f>IFERROR(IF('May-26'!$G54="","-",VLOOKUP('May-26'!$G54,Lista_CUIT!$A$1:$D$2241,4,0)),"CUIT NO CARGADO")</f>
        <v>0</v>
      </c>
    </row>
    <row r="55" spans="2:18" ht="15.75" customHeight="1" x14ac:dyDescent="0.25">
      <c r="D55" s="12">
        <v>45782</v>
      </c>
      <c r="E55" s="14">
        <v>4</v>
      </c>
      <c r="F55" s="38">
        <v>92</v>
      </c>
      <c r="G55" s="39">
        <v>23214737914</v>
      </c>
      <c r="H55" s="40" t="str">
        <f>IFERROR(IF('May-26'!$G55="","-",VLOOKUP('May-26'!$G55,Lista_CUIT!$A$1:$D$2241,2,0)),"CUIT NO CARGADO")</f>
        <v>SBARRA GABRIELA BEATRIZ</v>
      </c>
      <c r="I55" s="412">
        <v>1046270</v>
      </c>
      <c r="J55" s="42" t="str">
        <f>IFERROR(IF('May-26'!$G55="","-",VLOOKUP('May-26'!$G55,Lista_CUIT!$A$1:$D$2241,3,0)),"CUIT NO CARGADO")</f>
        <v>Honorarios Admin</v>
      </c>
      <c r="K55" s="42">
        <f>IFERROR(IF('May-26'!$G55="","-",VLOOKUP('May-26'!$G55,Lista_CUIT!$A$1:$D$2241,4,0)),"CUIT NO CARGADO")</f>
        <v>0</v>
      </c>
    </row>
    <row r="56" spans="2:18" ht="15.75" customHeight="1" x14ac:dyDescent="0.25">
      <c r="D56" s="336">
        <v>45782</v>
      </c>
      <c r="E56" s="337">
        <v>1</v>
      </c>
      <c r="F56" s="343">
        <v>40</v>
      </c>
      <c r="G56" s="344">
        <v>27387896150</v>
      </c>
      <c r="H56" s="341" t="str">
        <f>IFERROR(IF('May-26'!$G56="","-",VLOOKUP('May-26'!$G56,Lista_CUIT!$A$1:$D$2241,2,0)),"CUIT NO CARGADO")</f>
        <v>LIPANOVICH MARIA SOL</v>
      </c>
      <c r="I56" s="411">
        <v>1666000</v>
      </c>
      <c r="J56" s="342" t="str">
        <f>IFERROR(IF('May-26'!$G56="","-",VLOOKUP('May-26'!$G56,Lista_CUIT!$A$1:$D$2241,3,0)),"CUIT NO CARGADO")</f>
        <v>consultoria informatica</v>
      </c>
      <c r="K56" s="342">
        <f>IFERROR(IF('May-26'!$G56="","-",VLOOKUP('May-26'!$G56,Lista_CUIT!$A$1:$D$2241,4,0)),"CUIT NO CARGADO")</f>
        <v>0</v>
      </c>
    </row>
    <row r="57" spans="2:18" ht="15.75" customHeight="1" x14ac:dyDescent="0.25">
      <c r="D57" s="12">
        <v>45783</v>
      </c>
      <c r="E57" s="14">
        <v>2</v>
      </c>
      <c r="F57" s="38">
        <v>19</v>
      </c>
      <c r="G57" s="39">
        <v>23118167279</v>
      </c>
      <c r="H57" s="40" t="str">
        <f>IFERROR(IF('May-26'!$G57="","-",VLOOKUP('May-26'!$G57,Lista_CUIT!$A$1:$D$2241,2,0)),"CUIT NO CARGADO")</f>
        <v>ABELEDO ENRIQUE JUAN</v>
      </c>
      <c r="I57" s="412">
        <v>1984000</v>
      </c>
      <c r="J57" s="42" t="str">
        <f>IFERROR(IF('May-26'!$G57="","-",VLOOKUP('May-26'!$G57,Lista_CUIT!$A$1:$D$2241,3,0)),"CUIT NO CARGADO")</f>
        <v>Honorarios Admin</v>
      </c>
      <c r="K57" s="42">
        <f>IFERROR(IF('May-26'!$G57="","-",VLOOKUP('May-26'!$G57,Lista_CUIT!$A$1:$D$2241,4,0)),"CUIT NO CARGADO")</f>
        <v>0</v>
      </c>
    </row>
    <row r="58" spans="2:18" ht="15.75" customHeight="1" x14ac:dyDescent="0.25">
      <c r="D58" s="12">
        <v>45783</v>
      </c>
      <c r="E58" s="14">
        <v>2</v>
      </c>
      <c r="F58" s="38">
        <v>190</v>
      </c>
      <c r="G58" s="39">
        <v>27125997835</v>
      </c>
      <c r="H58" s="40" t="str">
        <f>IFERROR(IF('May-26'!$G58="","-",VLOOKUP('May-26'!$G58,Lista_CUIT!$A$1:$D$2241,2,0)),"CUIT NO CARGADO")</f>
        <v>DANSKY ULLMANN VIVIANA EVA YOLANDA</v>
      </c>
      <c r="I58" s="412">
        <v>170000</v>
      </c>
      <c r="J58" s="42" t="str">
        <f>IFERROR(IF('May-26'!$G58="","-",VLOOKUP('May-26'!$G58,Lista_CUIT!$A$1:$D$2241,3,0)),"CUIT NO CARGADO")</f>
        <v>Honorarios Prof</v>
      </c>
      <c r="K58" s="42">
        <f>IFERROR(IF('May-26'!$G58="","-",VLOOKUP('May-26'!$G58,Lista_CUIT!$A$1:$D$2241,4,0)),"CUIT NO CARGADO")</f>
        <v>0</v>
      </c>
    </row>
    <row r="59" spans="2:18" ht="15.75" customHeight="1" x14ac:dyDescent="0.25">
      <c r="D59" s="336">
        <v>45790</v>
      </c>
      <c r="E59" s="337">
        <v>4</v>
      </c>
      <c r="F59" s="343">
        <v>48</v>
      </c>
      <c r="G59" s="344">
        <v>20341462933</v>
      </c>
      <c r="H59" s="341" t="str">
        <f>IFERROR(IF('May-26'!$G59="","-",VLOOKUP('May-26'!$G59,Lista_CUIT!$A$1:$D$2241,2,0)),"CUIT NO CARGADO")</f>
        <v>CASTIGLIONI MATIAS EZEQUIEL</v>
      </c>
      <c r="I59" s="411">
        <v>2558000</v>
      </c>
      <c r="J59" s="342" t="str">
        <f>IFERROR(IF('May-26'!$G59="","-",VLOOKUP('May-26'!$G59,Lista_CUIT!$A$1:$D$2241,3,0)),"CUIT NO CARGADO")</f>
        <v>ASESORAMIENTO</v>
      </c>
      <c r="K59" s="342" t="str">
        <f>IFERROR(IF('May-26'!$G59="","-",VLOOKUP('May-26'!$G59,Lista_CUIT!$A$1:$D$2241,4,0)),"CUIT NO CARGADO")</f>
        <v>BUENOS AIRES</v>
      </c>
    </row>
    <row r="60" spans="2:18" ht="15.75" customHeight="1" x14ac:dyDescent="0.25">
      <c r="D60" s="12">
        <v>45806</v>
      </c>
      <c r="E60" s="14">
        <v>1</v>
      </c>
      <c r="F60" s="38">
        <v>813</v>
      </c>
      <c r="G60" s="39">
        <v>20332167481</v>
      </c>
      <c r="H60" s="40" t="str">
        <f>IFERROR(IF('May-26'!$G60="","-",VLOOKUP('May-26'!$G60,Lista_CUIT!$A$1:$D$2241,2,0)),"CUIT NO CARGADO")</f>
        <v>AGUIRRE GABRIEL ADRIAN</v>
      </c>
      <c r="I60" s="412">
        <v>25800</v>
      </c>
      <c r="J60" s="42" t="str">
        <f>IFERROR(IF('May-26'!$G60="","-",VLOOKUP('May-26'!$G60,Lista_CUIT!$A$1:$D$2241,3,0)),"CUIT NO CARGADO")</f>
        <v>GASTOS VARIOS</v>
      </c>
      <c r="K60" s="42">
        <f>IFERROR(IF('May-26'!$G60="","-",VLOOKUP('May-26'!$G60,Lista_CUIT!$A$1:$D$2241,4,0)),"CUIT NO CARGADO")</f>
        <v>0</v>
      </c>
    </row>
    <row r="61" spans="2:18" ht="15.75" customHeight="1" x14ac:dyDescent="0.25">
      <c r="D61" s="336"/>
      <c r="E61" s="337"/>
      <c r="F61" s="343"/>
      <c r="G61" s="344"/>
      <c r="H61" s="341" t="str">
        <f>IFERROR(IF('May-26'!$G61="","-",VLOOKUP('May-26'!$G61,Lista_CUIT!$A$1:$D$2241,2,0)),"CUIT NO CARGADO")</f>
        <v>-</v>
      </c>
      <c r="I61" s="411"/>
      <c r="J61" s="342" t="str">
        <f>IFERROR(IF('May-26'!$G61="","-",VLOOKUP('May-26'!$G61,Lista_CUIT!$A$1:$D$2241,3,0)),"CUIT NO CARGADO")</f>
        <v>-</v>
      </c>
      <c r="K61" s="342" t="str">
        <f>IFERROR(IF('May-26'!$G61="","-",VLOOKUP('May-26'!$G61,Lista_CUIT!$A$1:$D$2241,4,0)),"CUIT NO CARGADO")</f>
        <v>-</v>
      </c>
    </row>
    <row r="62" spans="2:18" ht="15.75" customHeight="1" x14ac:dyDescent="0.25">
      <c r="D62" s="42" t="s">
        <v>1336</v>
      </c>
      <c r="E62" s="42"/>
      <c r="F62" s="42"/>
      <c r="G62" s="42"/>
      <c r="H62" s="44"/>
      <c r="I62" s="41">
        <f>SUBTOTAL(109,'May-26'!$I$49:$I$61)</f>
        <v>14122949</v>
      </c>
      <c r="J62" s="42"/>
      <c r="K62" s="42"/>
    </row>
    <row r="63" spans="2:18" ht="15.75" customHeight="1" x14ac:dyDescent="0.25">
      <c r="B63" s="43"/>
      <c r="C63" s="43"/>
      <c r="G63" s="1"/>
      <c r="L63" s="43"/>
      <c r="M63" s="43"/>
      <c r="N63" s="43"/>
      <c r="O63" s="43"/>
      <c r="P63" s="43"/>
      <c r="Q63" s="43"/>
      <c r="R63" s="43"/>
    </row>
    <row r="64" spans="2:18" ht="15.75" customHeight="1" x14ac:dyDescent="0.25"/>
    <row r="65" spans="2:13" ht="15.75" customHeight="1" x14ac:dyDescent="0.25"/>
    <row r="66" spans="2:13" ht="15.75" customHeight="1" x14ac:dyDescent="0.25"/>
    <row r="67" spans="2:13" ht="15.75" customHeight="1" x14ac:dyDescent="0.25"/>
    <row r="68" spans="2:13" ht="15.75" customHeight="1" x14ac:dyDescent="0.25">
      <c r="B68" s="464" t="s">
        <v>1351</v>
      </c>
      <c r="C68" s="448"/>
      <c r="D68" s="448"/>
      <c r="E68" s="448"/>
      <c r="F68" s="448"/>
      <c r="G68" s="448"/>
      <c r="H68" s="448"/>
      <c r="I68" s="448"/>
      <c r="J68" s="449"/>
      <c r="K68" s="465">
        <f>N1</f>
        <v>45778</v>
      </c>
      <c r="L68" s="448"/>
      <c r="M68" s="449"/>
    </row>
    <row r="69" spans="2:13" ht="15.75" customHeight="1" x14ac:dyDescent="0.25"/>
    <row r="70" spans="2:13" ht="15.75" customHeight="1" x14ac:dyDescent="0.25">
      <c r="B70" s="457" t="s">
        <v>1352</v>
      </c>
      <c r="C70" s="458"/>
    </row>
    <row r="71" spans="2:13" ht="15.75" customHeight="1" x14ac:dyDescent="0.25">
      <c r="B71" s="45" t="s">
        <v>1322</v>
      </c>
      <c r="C71" s="46" t="s">
        <v>1323</v>
      </c>
      <c r="D71" s="46" t="s">
        <v>1353</v>
      </c>
      <c r="E71" s="46" t="s">
        <v>1354</v>
      </c>
      <c r="F71" s="46" t="s">
        <v>0</v>
      </c>
      <c r="G71" s="46" t="s">
        <v>1</v>
      </c>
      <c r="H71" s="46" t="s">
        <v>1355</v>
      </c>
      <c r="I71" s="46" t="s">
        <v>1341</v>
      </c>
      <c r="J71" s="46" t="s">
        <v>1329</v>
      </c>
      <c r="K71" s="46" t="s">
        <v>1356</v>
      </c>
      <c r="L71" s="46" t="s">
        <v>1334</v>
      </c>
      <c r="M71" s="47" t="s">
        <v>1335</v>
      </c>
    </row>
    <row r="72" spans="2:13" ht="15.75" customHeight="1" x14ac:dyDescent="0.25">
      <c r="B72" s="62">
        <v>45782</v>
      </c>
      <c r="C72" s="63">
        <v>1</v>
      </c>
      <c r="D72" s="64">
        <v>3</v>
      </c>
      <c r="E72" s="100">
        <v>270</v>
      </c>
      <c r="F72" s="66">
        <v>30628274327</v>
      </c>
      <c r="G72" s="99" t="str">
        <f>IFERROR(IF('May-26'!$F72="","-",VLOOKUP('May-26'!$F72,Lista_CUIT!$A$1:$D$2241,2,0)),"CUIT NO CARGADO")</f>
        <v>AGIRA  S A</v>
      </c>
      <c r="H72" s="49">
        <v>20473600</v>
      </c>
      <c r="I72" s="50">
        <f>84*1120</f>
        <v>94080</v>
      </c>
      <c r="J72" s="51">
        <f>1877.4*1120</f>
        <v>2102688</v>
      </c>
      <c r="K72" s="51"/>
      <c r="L72" s="51">
        <f>SUM('May-26'!$H72:$K72)</f>
        <v>22670368</v>
      </c>
      <c r="M72" s="52"/>
    </row>
    <row r="73" spans="2:13" ht="15.75" customHeight="1" x14ac:dyDescent="0.25">
      <c r="B73" s="62">
        <v>45782</v>
      </c>
      <c r="C73" s="63">
        <v>1</v>
      </c>
      <c r="D73" s="64">
        <v>3</v>
      </c>
      <c r="E73" s="100">
        <v>269</v>
      </c>
      <c r="F73" s="66">
        <v>30638318470</v>
      </c>
      <c r="G73" s="99" t="str">
        <f>IFERROR(IF('May-26'!$F73="","-",VLOOKUP('May-26'!$F73,Lista_CUIT!$A$1:$D$2241,2,0)),"CUIT NO CARGADO")</f>
        <v>DELTA COMPRESION S R L</v>
      </c>
      <c r="H73" s="49">
        <v>57398460</v>
      </c>
      <c r="I73" s="50">
        <f>1235.64*1190</f>
        <v>1470411.6</v>
      </c>
      <c r="J73" s="51">
        <f>4446.75*1190</f>
        <v>5291632.5</v>
      </c>
      <c r="K73" s="51"/>
      <c r="L73" s="51">
        <f>SUM('May-26'!$H73:$K73)</f>
        <v>64160504.100000001</v>
      </c>
      <c r="M73" s="52"/>
    </row>
    <row r="74" spans="2:13" ht="15.75" customHeight="1" x14ac:dyDescent="0.25">
      <c r="B74" s="62">
        <v>45785</v>
      </c>
      <c r="C74" s="63">
        <v>1</v>
      </c>
      <c r="D74" s="64">
        <v>3</v>
      </c>
      <c r="E74" s="100">
        <v>271</v>
      </c>
      <c r="F74" s="66">
        <v>33717088269</v>
      </c>
      <c r="G74" s="99" t="str">
        <f>IFERROR(IF('May-26'!$F74="","-",VLOOKUP('May-26'!$F74,Lista_CUIT!$A$1:$D$2241,2,0)),"CUIT NO CARGADO")</f>
        <v>NEXT SERVICE GNC S.R.L.</v>
      </c>
      <c r="H74" s="49">
        <v>4110299</v>
      </c>
      <c r="I74" s="50">
        <f>'May-26'!$H74*0.21</f>
        <v>863162.78999999992</v>
      </c>
      <c r="J74" s="51"/>
      <c r="K74" s="51"/>
      <c r="L74" s="51">
        <f>SUM('May-26'!$H74:$K74)</f>
        <v>4973461.79</v>
      </c>
      <c r="M74" s="52"/>
    </row>
    <row r="75" spans="2:13" ht="15.75" customHeight="1" x14ac:dyDescent="0.25">
      <c r="B75" s="62">
        <v>45789</v>
      </c>
      <c r="C75" s="63">
        <v>1</v>
      </c>
      <c r="D75" s="64">
        <v>3</v>
      </c>
      <c r="E75" s="100">
        <v>272</v>
      </c>
      <c r="F75" s="66">
        <v>30638318470</v>
      </c>
      <c r="G75" s="99" t="str">
        <f>IFERROR(IF('May-26'!$F75="","-",VLOOKUP('May-26'!$F75,Lista_CUIT!$A$1:$D$2241,2,0)),"CUIT NO CARGADO")</f>
        <v>DELTA COMPRESION S R L</v>
      </c>
      <c r="H75" s="49">
        <v>6097530</v>
      </c>
      <c r="I75" s="50">
        <f>'May-26'!$H75*0.21</f>
        <v>1280481.3</v>
      </c>
      <c r="J75" s="51"/>
      <c r="K75" s="51"/>
      <c r="L75" s="51">
        <f>SUM('May-26'!$H75:$K75)</f>
        <v>7378011.2999999998</v>
      </c>
      <c r="M75" s="52"/>
    </row>
    <row r="76" spans="2:13" ht="15.75" customHeight="1" x14ac:dyDescent="0.25">
      <c r="B76" s="62">
        <v>45793</v>
      </c>
      <c r="C76" s="63">
        <v>1</v>
      </c>
      <c r="D76" s="64">
        <v>3</v>
      </c>
      <c r="E76" s="65">
        <v>273</v>
      </c>
      <c r="F76" s="66">
        <v>30638318470</v>
      </c>
      <c r="G76" s="99" t="str">
        <f>IFERROR(IF('May-26'!$F76="","-",VLOOKUP('May-26'!$F76,Lista_CUIT!$A$1:$D$2241,2,0)),"CUIT NO CARGADO")</f>
        <v>DELTA COMPRESION S R L</v>
      </c>
      <c r="H76" s="49">
        <v>91060</v>
      </c>
      <c r="I76" s="50">
        <f>'May-26'!$H76*0.21</f>
        <v>19122.599999999999</v>
      </c>
      <c r="J76" s="51"/>
      <c r="K76" s="51"/>
      <c r="L76" s="51">
        <f>SUM('May-26'!$H76:$K76)</f>
        <v>110182.6</v>
      </c>
      <c r="M76" s="52"/>
    </row>
    <row r="77" spans="2:13" ht="15.75" customHeight="1" x14ac:dyDescent="0.25">
      <c r="B77" s="62">
        <v>45799</v>
      </c>
      <c r="C77" s="63">
        <v>1</v>
      </c>
      <c r="D77" s="64">
        <v>3</v>
      </c>
      <c r="E77" s="65">
        <v>275</v>
      </c>
      <c r="F77" s="66">
        <v>30716041596</v>
      </c>
      <c r="G77" s="99" t="str">
        <f>IFERROR(IF('May-26'!$F77="","-",VLOOKUP('May-26'!$F77,Lista_CUIT!$A$1:$D$2241,2,0)),"CUIT NO CARGADO")</f>
        <v>EXA COMPRESION S.R.L.</v>
      </c>
      <c r="H77" s="49">
        <v>2829750</v>
      </c>
      <c r="I77" s="50">
        <f>'May-26'!$H77*0.21</f>
        <v>594247.5</v>
      </c>
      <c r="J77" s="51"/>
      <c r="K77" s="51"/>
      <c r="L77" s="51">
        <f>SUM('May-26'!$H77:$K77)</f>
        <v>3423997.5</v>
      </c>
      <c r="M77" s="52"/>
    </row>
    <row r="78" spans="2:13" ht="15.75" customHeight="1" x14ac:dyDescent="0.25">
      <c r="B78" s="62">
        <v>45799</v>
      </c>
      <c r="C78" s="63">
        <v>1</v>
      </c>
      <c r="D78" s="64">
        <v>3</v>
      </c>
      <c r="E78" s="65">
        <v>274</v>
      </c>
      <c r="F78" s="66">
        <v>30638318470</v>
      </c>
      <c r="G78" s="99" t="str">
        <f>IFERROR(IF('May-26'!$F78="","-",VLOOKUP('May-26'!$F78,Lista_CUIT!$A$1:$D$2241,2,0)),"CUIT NO CARGADO")</f>
        <v>DELTA COMPRESION S R L</v>
      </c>
      <c r="H78" s="49">
        <v>24851095.5</v>
      </c>
      <c r="I78" s="50">
        <f>71.63*1155</f>
        <v>82732.649999999994</v>
      </c>
      <c r="J78" s="51">
        <f>2223.38*1155</f>
        <v>2568003.9</v>
      </c>
      <c r="K78" s="51"/>
      <c r="L78" s="51">
        <f>SUM('May-26'!$H78:$K78)</f>
        <v>27501832.049999997</v>
      </c>
      <c r="M78" s="52"/>
    </row>
    <row r="79" spans="2:13" ht="15.75" customHeight="1" x14ac:dyDescent="0.25">
      <c r="B79" s="62">
        <v>45804</v>
      </c>
      <c r="C79" s="63">
        <v>1</v>
      </c>
      <c r="D79" s="64">
        <v>3</v>
      </c>
      <c r="E79" s="65">
        <v>276</v>
      </c>
      <c r="F79" s="66">
        <v>30718512545</v>
      </c>
      <c r="G79" s="99" t="str">
        <f>IFERROR(IF('May-26'!$F79="","-",VLOOKUP('May-26'!$F79,Lista_CUIT!$A$1:$D$2241,2,0)),"CUIT NO CARGADO")</f>
        <v>MAJUBEN MDP SERVICIOS S.R.L.</v>
      </c>
      <c r="H79" s="49">
        <v>8365500</v>
      </c>
      <c r="I79" s="50">
        <f>241.5*1170</f>
        <v>282555</v>
      </c>
      <c r="J79" s="51">
        <f>630*1170</f>
        <v>737100</v>
      </c>
      <c r="K79" s="51"/>
      <c r="L79" s="51">
        <f>SUM('May-26'!$H79:$K79)</f>
        <v>9385155</v>
      </c>
      <c r="M79" s="52"/>
    </row>
    <row r="80" spans="2:13" ht="15.75" customHeight="1" x14ac:dyDescent="0.25">
      <c r="B80" s="62">
        <v>45804</v>
      </c>
      <c r="C80" s="63">
        <v>1</v>
      </c>
      <c r="D80" s="64">
        <v>3</v>
      </c>
      <c r="E80" s="65">
        <v>277</v>
      </c>
      <c r="F80" s="66">
        <v>30716403900</v>
      </c>
      <c r="G80" s="99" t="str">
        <f>IFERROR(IF('May-26'!$F80="","-",VLOOKUP('May-26'!$F80,Lista_CUIT!$A$1:$D$2241,2,0)),"CUIT NO CARGADO")</f>
        <v>PARQUE CONSTITUCION SRL</v>
      </c>
      <c r="H80" s="49">
        <v>1755000</v>
      </c>
      <c r="I80" s="50">
        <f>'May-26'!$H80*0.21</f>
        <v>368550</v>
      </c>
      <c r="J80" s="51"/>
      <c r="K80" s="51"/>
      <c r="L80" s="51">
        <f>SUM('May-26'!$H80:$K80)</f>
        <v>2123550</v>
      </c>
      <c r="M80" s="52"/>
    </row>
    <row r="81" spans="2:13" ht="15.75" customHeight="1" x14ac:dyDescent="0.25">
      <c r="B81" s="68" t="s">
        <v>1336</v>
      </c>
      <c r="C81" s="69"/>
      <c r="D81" s="69"/>
      <c r="E81" s="69"/>
      <c r="F81" s="69"/>
      <c r="G81" s="69"/>
      <c r="H81" s="71">
        <f>SUBTOTAL(109,'May-26'!$H$72:$H$80)</f>
        <v>125972294.5</v>
      </c>
      <c r="I81" s="71">
        <f>SUBTOTAL(109,'May-26'!$I$72:$I$80)</f>
        <v>5055343.4400000013</v>
      </c>
      <c r="J81" s="71">
        <f>SUBTOTAL(109,'May-26'!$J$72:$J$80)</f>
        <v>10699424.4</v>
      </c>
      <c r="K81" s="71">
        <f>SUBTOTAL(109,'May-26'!$K$72:$K$80)</f>
        <v>0</v>
      </c>
      <c r="L81" s="71">
        <f>SUBTOTAL(109,'May-26'!$L$72:$L$80)</f>
        <v>141727062.33999997</v>
      </c>
      <c r="M81" s="72"/>
    </row>
    <row r="82" spans="2:13" ht="15.75" customHeight="1" x14ac:dyDescent="0.25">
      <c r="B82" s="86"/>
      <c r="C82" s="86"/>
      <c r="D82" s="86"/>
      <c r="E82" s="86"/>
      <c r="F82" s="86"/>
      <c r="G82" s="86"/>
      <c r="H82" s="101"/>
      <c r="I82" s="102"/>
      <c r="J82" s="103"/>
      <c r="K82" s="103"/>
      <c r="L82" s="103"/>
      <c r="M82" s="32"/>
    </row>
    <row r="83" spans="2:13" ht="15.75" customHeight="1" x14ac:dyDescent="0.25">
      <c r="B83" s="86"/>
      <c r="C83" s="86"/>
      <c r="D83" s="86"/>
      <c r="E83" s="86"/>
      <c r="F83" s="86"/>
      <c r="G83" s="86"/>
      <c r="H83" s="101"/>
      <c r="I83" s="102"/>
      <c r="J83" s="103"/>
      <c r="K83" s="103"/>
      <c r="L83" s="103"/>
      <c r="M83" s="32"/>
    </row>
    <row r="84" spans="2:13" ht="15.75" customHeight="1" x14ac:dyDescent="0.25">
      <c r="B84" s="86"/>
      <c r="C84" s="86"/>
      <c r="D84" s="86"/>
      <c r="E84" s="86"/>
      <c r="F84" s="86"/>
      <c r="G84" s="86"/>
      <c r="H84" s="101"/>
      <c r="I84" s="102"/>
      <c r="J84" s="103"/>
      <c r="K84" s="103"/>
      <c r="L84" s="103"/>
      <c r="M84" s="32"/>
    </row>
    <row r="85" spans="2:13" ht="15.75" customHeight="1" x14ac:dyDescent="0.25">
      <c r="B85" s="86"/>
      <c r="C85" s="86"/>
      <c r="D85" s="86"/>
      <c r="E85" s="86"/>
      <c r="F85" s="86"/>
      <c r="G85" s="86"/>
      <c r="H85" s="101"/>
      <c r="I85" s="102"/>
      <c r="J85" s="103"/>
      <c r="K85" s="103"/>
      <c r="L85" s="103"/>
      <c r="M85" s="32"/>
    </row>
    <row r="86" spans="2:13" ht="15.75" customHeight="1" x14ac:dyDescent="0.25">
      <c r="B86" s="457" t="s">
        <v>1357</v>
      </c>
      <c r="C86" s="458"/>
    </row>
    <row r="87" spans="2:13" ht="15.75" customHeight="1" x14ac:dyDescent="0.25">
      <c r="B87" s="45" t="s">
        <v>1322</v>
      </c>
      <c r="C87" s="46" t="s">
        <v>1323</v>
      </c>
      <c r="D87" s="46" t="s">
        <v>1353</v>
      </c>
      <c r="E87" s="46" t="s">
        <v>1354</v>
      </c>
      <c r="F87" s="46" t="s">
        <v>0</v>
      </c>
      <c r="G87" s="46" t="s">
        <v>1</v>
      </c>
      <c r="H87" s="46" t="s">
        <v>1355</v>
      </c>
      <c r="I87" s="46" t="s">
        <v>1341</v>
      </c>
      <c r="J87" s="46" t="s">
        <v>1329</v>
      </c>
      <c r="K87" s="46" t="s">
        <v>1356</v>
      </c>
      <c r="L87" s="46" t="s">
        <v>1334</v>
      </c>
      <c r="M87" s="47" t="s">
        <v>1335</v>
      </c>
    </row>
    <row r="88" spans="2:13" ht="15.75" customHeight="1" x14ac:dyDescent="0.25">
      <c r="B88" s="12"/>
      <c r="C88" s="13"/>
      <c r="D88" s="14"/>
      <c r="E88" s="15"/>
      <c r="F88" s="66"/>
      <c r="G88" s="73" t="str">
        <f>IFERROR(IF('May-26'!$F88="","-",VLOOKUP('May-26'!$F88,Lista_CUIT!$A$1:$D$2241,2,0)),"CUIT NO CARGADO")</f>
        <v>-</v>
      </c>
      <c r="H88" s="74"/>
      <c r="I88" s="74">
        <f>'May-26'!$H88*0.21</f>
        <v>0</v>
      </c>
      <c r="J88" s="74"/>
      <c r="K88" s="74"/>
      <c r="L88" s="74">
        <f>'May-26'!$K88+'May-26'!$J88+'May-26'!$I88+'May-26'!$H88</f>
        <v>0</v>
      </c>
      <c r="M88" s="52"/>
    </row>
    <row r="89" spans="2:13" ht="15.75" customHeight="1" x14ac:dyDescent="0.25">
      <c r="B89" s="12"/>
      <c r="C89" s="13"/>
      <c r="D89" s="14"/>
      <c r="E89" s="15"/>
      <c r="F89" s="66"/>
      <c r="G89" s="73" t="str">
        <f>IFERROR(IF('May-26'!$F89="","-",VLOOKUP('May-26'!$F89,Lista_CUIT!$A$1:$D$2241,2,0)),"CUIT NO CARGADO")</f>
        <v>-</v>
      </c>
      <c r="H89" s="74"/>
      <c r="I89" s="74">
        <f>'May-26'!$H89*0.21</f>
        <v>0</v>
      </c>
      <c r="J89" s="74"/>
      <c r="K89" s="74"/>
      <c r="L89" s="74">
        <f>'May-26'!$K89+'May-26'!$J89+'May-26'!$I89+'May-26'!$H89</f>
        <v>0</v>
      </c>
      <c r="M89" s="52"/>
    </row>
    <row r="90" spans="2:13" ht="15.75" customHeight="1" x14ac:dyDescent="0.25">
      <c r="B90" s="78"/>
      <c r="C90" s="79"/>
      <c r="D90" s="80"/>
      <c r="E90" s="81"/>
      <c r="F90" s="66"/>
      <c r="G90" s="73" t="str">
        <f>IFERROR(IF('May-26'!$F90="","-",VLOOKUP('May-26'!$F90,Lista_CUIT!$A$1:$D$2241,2,0)),"CUIT NO CARGADO")</f>
        <v>-</v>
      </c>
      <c r="H90" s="74"/>
      <c r="I90" s="83">
        <f>'May-26'!$H90*0.21</f>
        <v>0</v>
      </c>
      <c r="J90" s="84"/>
      <c r="K90" s="84"/>
      <c r="L90" s="74">
        <f>'May-26'!$K90+'May-26'!$J90+'May-26'!$I90+'May-26'!$H90</f>
        <v>0</v>
      </c>
      <c r="M90" s="52"/>
    </row>
    <row r="91" spans="2:13" ht="15.75" customHeight="1" x14ac:dyDescent="0.25">
      <c r="B91" s="78"/>
      <c r="C91" s="79"/>
      <c r="D91" s="80"/>
      <c r="E91" s="81"/>
      <c r="F91" s="66"/>
      <c r="G91" s="73" t="str">
        <f>IFERROR(IF('May-26'!$F91="","-",VLOOKUP('May-26'!$F91,Lista_CUIT!$A$1:$D$2241,2,0)),"CUIT NO CARGADO")</f>
        <v>-</v>
      </c>
      <c r="H91" s="74"/>
      <c r="I91" s="83">
        <f>'May-26'!$H91*0.21</f>
        <v>0</v>
      </c>
      <c r="J91" s="84"/>
      <c r="K91" s="104"/>
      <c r="L91" s="74">
        <f>'May-26'!$K91+'May-26'!$J91+'May-26'!$I91+'May-26'!$H91</f>
        <v>0</v>
      </c>
      <c r="M91" s="52"/>
    </row>
    <row r="92" spans="2:13" ht="15.75" customHeight="1" x14ac:dyDescent="0.25">
      <c r="B92" s="78"/>
      <c r="C92" s="79"/>
      <c r="D92" s="80"/>
      <c r="E92" s="81"/>
      <c r="F92" s="66"/>
      <c r="G92" s="73" t="str">
        <f>IFERROR(IF('May-26'!$F92="","-",VLOOKUP('May-26'!$F92,Lista_CUIT!$A$1:$D$2241,2,0)),"CUIT NO CARGADO")</f>
        <v>-</v>
      </c>
      <c r="H92" s="74"/>
      <c r="I92" s="83">
        <f>'May-26'!$H92*0.21</f>
        <v>0</v>
      </c>
      <c r="J92" s="84"/>
      <c r="K92" s="104"/>
      <c r="L92" s="74">
        <f>'May-26'!$K92+'May-26'!$J92+'May-26'!$I92+'May-26'!$H92</f>
        <v>0</v>
      </c>
      <c r="M92" s="52"/>
    </row>
    <row r="93" spans="2:13" ht="15.75" customHeight="1" x14ac:dyDescent="0.25">
      <c r="B93" s="68" t="s">
        <v>1336</v>
      </c>
      <c r="C93" s="69"/>
      <c r="D93" s="69"/>
      <c r="E93" s="69"/>
      <c r="F93" s="69"/>
      <c r="G93" s="69"/>
      <c r="H93" s="75">
        <f>SUBTOTAL(109,'May-26'!$H$88:$H$92)</f>
        <v>0</v>
      </c>
      <c r="I93" s="75">
        <f>SUBTOTAL(109,'May-26'!$I$88:$I$92)</f>
        <v>0</v>
      </c>
      <c r="J93" s="76">
        <f>SUBTOTAL(109,'May-26'!$J$88:$J$92)</f>
        <v>0</v>
      </c>
      <c r="K93" s="76">
        <f>SUBTOTAL(109,'May-26'!$K$88:$K$92)</f>
        <v>0</v>
      </c>
      <c r="L93" s="76">
        <f>SUBTOTAL(109,'May-26'!$L$88:$L$92)</f>
        <v>0</v>
      </c>
      <c r="M93" s="72">
        <f>SUBTOTAL(103,'May-26'!$M$88:$M$92)</f>
        <v>0</v>
      </c>
    </row>
    <row r="94" spans="2:13" ht="15.75" customHeight="1" x14ac:dyDescent="0.25">
      <c r="B94" s="86"/>
      <c r="C94" s="86"/>
      <c r="D94" s="86"/>
      <c r="E94" s="86"/>
      <c r="F94" s="86"/>
      <c r="G94" s="86"/>
      <c r="H94" s="101"/>
      <c r="I94" s="102"/>
      <c r="J94" s="103"/>
      <c r="K94" s="103"/>
      <c r="L94" s="103"/>
      <c r="M94" s="32"/>
    </row>
    <row r="95" spans="2:13" ht="15.75" customHeight="1" x14ac:dyDescent="0.25"/>
    <row r="96" spans="2:13" ht="15.75" customHeight="1" x14ac:dyDescent="0.25">
      <c r="B96" s="457" t="s">
        <v>1358</v>
      </c>
      <c r="C96" s="458"/>
    </row>
    <row r="97" spans="2:13" ht="15.75" customHeight="1" x14ac:dyDescent="0.25">
      <c r="B97" s="45" t="s">
        <v>1322</v>
      </c>
      <c r="C97" s="46" t="s">
        <v>1323</v>
      </c>
      <c r="D97" s="46" t="s">
        <v>1353</v>
      </c>
      <c r="E97" s="46" t="s">
        <v>1354</v>
      </c>
      <c r="F97" s="46" t="s">
        <v>0</v>
      </c>
      <c r="G97" s="46" t="s">
        <v>1</v>
      </c>
      <c r="H97" s="46" t="s">
        <v>1359</v>
      </c>
      <c r="I97" s="46" t="s">
        <v>1360</v>
      </c>
      <c r="J97" s="46" t="s">
        <v>1361</v>
      </c>
      <c r="K97" s="46" t="s">
        <v>1362</v>
      </c>
      <c r="L97" s="46" t="s">
        <v>1334</v>
      </c>
      <c r="M97" s="47" t="s">
        <v>1335</v>
      </c>
    </row>
    <row r="98" spans="2:13" ht="15.75" customHeight="1" x14ac:dyDescent="0.25">
      <c r="B98" s="78">
        <v>45784</v>
      </c>
      <c r="C98" s="79"/>
      <c r="D98" s="80">
        <v>30</v>
      </c>
      <c r="E98" s="81">
        <v>106</v>
      </c>
      <c r="F98" s="2"/>
      <c r="G98" s="73" t="str">
        <f>IFERROR(IF('May-26'!$F98="","-",VLOOKUP('May-26'!$F98,Lista_CUIT!$A$1:$D$2241,2,0)),"CUIT NO CARGADO")</f>
        <v>-</v>
      </c>
      <c r="H98" s="74">
        <v>650</v>
      </c>
      <c r="I98" s="83"/>
      <c r="J98" s="84"/>
      <c r="K98" s="84">
        <v>1194</v>
      </c>
      <c r="L98" s="84">
        <f t="shared" ref="L98:L100" si="0">H98*K98</f>
        <v>776100</v>
      </c>
      <c r="M98" s="52"/>
    </row>
    <row r="99" spans="2:13" ht="15.75" customHeight="1" x14ac:dyDescent="0.25">
      <c r="B99" s="78">
        <v>45798</v>
      </c>
      <c r="C99" s="79"/>
      <c r="D99" s="80">
        <v>30</v>
      </c>
      <c r="E99" s="81">
        <v>107</v>
      </c>
      <c r="F99" s="2"/>
      <c r="G99" s="73" t="str">
        <f>IFERROR(IF('May-26'!$F99="","-",VLOOKUP('May-26'!$F99,Lista_CUIT!$A$1:$D$2241,2,0)),"CUIT NO CARGADO")</f>
        <v>-</v>
      </c>
      <c r="H99" s="74">
        <v>1920</v>
      </c>
      <c r="I99" s="83"/>
      <c r="J99" s="84"/>
      <c r="K99" s="84">
        <v>1142.5</v>
      </c>
      <c r="L99" s="84">
        <f t="shared" si="0"/>
        <v>2193600</v>
      </c>
      <c r="M99" s="52"/>
    </row>
    <row r="100" spans="2:13" ht="15.75" customHeight="1" x14ac:dyDescent="0.25">
      <c r="B100" s="78">
        <v>45804</v>
      </c>
      <c r="C100" s="79"/>
      <c r="D100" s="80">
        <v>30</v>
      </c>
      <c r="E100" s="81">
        <v>108</v>
      </c>
      <c r="F100" s="2"/>
      <c r="G100" s="73" t="str">
        <f>IFERROR(IF('May-26'!$F100="","-",VLOOKUP('May-26'!$F100,Lista_CUIT!$A$1:$D$2241,2,0)),"CUIT NO CARGADO")</f>
        <v>-</v>
      </c>
      <c r="H100" s="74">
        <v>7215</v>
      </c>
      <c r="I100" s="83"/>
      <c r="J100" s="84"/>
      <c r="K100" s="84">
        <v>1143</v>
      </c>
      <c r="L100" s="84">
        <f t="shared" si="0"/>
        <v>8246745</v>
      </c>
      <c r="M100" s="52"/>
    </row>
    <row r="101" spans="2:13" ht="15.75" customHeight="1" x14ac:dyDescent="0.25">
      <c r="B101" s="68" t="s">
        <v>1336</v>
      </c>
      <c r="C101" s="69"/>
      <c r="D101" s="69"/>
      <c r="E101" s="69"/>
      <c r="F101" s="69"/>
      <c r="G101" s="69"/>
      <c r="H101" s="75">
        <f>SUBTOTAL(109,'May-26'!$H$98:$H$100)</f>
        <v>9785</v>
      </c>
      <c r="I101" s="75">
        <f>SUBTOTAL(109,'May-26'!$I$98:$I$100)</f>
        <v>0</v>
      </c>
      <c r="J101" s="76">
        <f>SUBTOTAL(109,'May-26'!$J$98:$J$100)</f>
        <v>0</v>
      </c>
      <c r="K101" s="76"/>
      <c r="L101" s="76">
        <f>SUBTOTAL(109,'May-26'!$L$98:$L$100)</f>
        <v>11216445</v>
      </c>
      <c r="M101" s="72">
        <f>SUBTOTAL(103,'May-26'!$M$98:$M$100)</f>
        <v>0</v>
      </c>
    </row>
    <row r="102" spans="2:13" ht="15.75" customHeight="1" x14ac:dyDescent="0.25">
      <c r="B102" s="86"/>
      <c r="C102" s="86"/>
      <c r="D102" s="86"/>
      <c r="E102" s="86"/>
      <c r="F102" s="86"/>
      <c r="G102" s="86"/>
      <c r="H102" s="87"/>
      <c r="I102" s="87"/>
      <c r="J102" s="19"/>
      <c r="K102" s="19"/>
      <c r="L102" s="19"/>
      <c r="M102" s="32"/>
    </row>
    <row r="103" spans="2:13" ht="15.75" customHeight="1" x14ac:dyDescent="0.25">
      <c r="B103" s="86"/>
      <c r="C103" s="86"/>
      <c r="D103" s="86"/>
      <c r="E103" s="86"/>
      <c r="F103" s="86"/>
      <c r="G103" s="86"/>
      <c r="H103" s="87"/>
      <c r="I103" s="87"/>
      <c r="J103" s="19"/>
      <c r="K103" s="19"/>
      <c r="L103" s="19"/>
      <c r="M103" s="32"/>
    </row>
    <row r="104" spans="2:13" ht="15.75" customHeight="1" x14ac:dyDescent="0.25">
      <c r="B104" s="86"/>
      <c r="C104" s="86"/>
      <c r="D104" s="86"/>
      <c r="E104" s="86"/>
      <c r="F104" s="86"/>
      <c r="G104" s="86"/>
      <c r="H104" s="87"/>
      <c r="I104" s="87"/>
      <c r="J104" s="19"/>
      <c r="K104" s="19"/>
      <c r="L104" s="19"/>
      <c r="M104" s="32"/>
    </row>
    <row r="105" spans="2:13" ht="15.75" customHeight="1" x14ac:dyDescent="0.25">
      <c r="B105" s="86"/>
      <c r="C105" s="86"/>
      <c r="D105" s="86"/>
      <c r="E105" s="86"/>
      <c r="F105" s="86"/>
      <c r="G105" s="86"/>
      <c r="H105" s="87"/>
      <c r="I105" s="87"/>
      <c r="J105" s="19"/>
      <c r="K105" s="19"/>
      <c r="L105" s="19"/>
      <c r="M105" s="32"/>
    </row>
    <row r="106" spans="2:13" ht="15.75" customHeight="1" x14ac:dyDescent="0.25">
      <c r="C106" s="459" t="s">
        <v>1363</v>
      </c>
      <c r="D106" s="460"/>
      <c r="E106" s="460"/>
      <c r="F106" s="460"/>
      <c r="G106" s="461"/>
      <c r="H106" s="88"/>
      <c r="I106" s="88"/>
      <c r="J106" s="88"/>
    </row>
    <row r="107" spans="2:13" ht="15.75" customHeight="1" x14ac:dyDescent="0.25">
      <c r="C107" s="89" t="s">
        <v>1364</v>
      </c>
      <c r="D107" s="90" t="s">
        <v>1365</v>
      </c>
      <c r="E107" s="90" t="s">
        <v>1361</v>
      </c>
      <c r="F107" s="90" t="s">
        <v>0</v>
      </c>
      <c r="G107" s="90" t="s">
        <v>1</v>
      </c>
      <c r="H107" s="91" t="s">
        <v>1366</v>
      </c>
      <c r="I107" s="91" t="s">
        <v>1367</v>
      </c>
      <c r="J107" s="91" t="s">
        <v>1368</v>
      </c>
      <c r="K107" s="91" t="s">
        <v>1369</v>
      </c>
      <c r="L107" s="91" t="s">
        <v>1370</v>
      </c>
    </row>
    <row r="108" spans="2:13" ht="15.75" customHeight="1" x14ac:dyDescent="0.25">
      <c r="C108" s="92"/>
      <c r="D108" s="93"/>
      <c r="E108" s="93"/>
      <c r="F108" s="39"/>
      <c r="G108" s="40" t="str">
        <f>IFERROR(IF('May-26'!$F108="","-",VLOOKUP('May-26'!$F108,Lista_CUIT!$A$1:$D$2241,2,0)),"CUIT NO CARGADO")</f>
        <v>-</v>
      </c>
      <c r="H108" s="94"/>
      <c r="I108" s="94"/>
      <c r="J108" s="94"/>
      <c r="K108" s="94"/>
      <c r="L108" s="94"/>
    </row>
    <row r="109" spans="2:13" ht="15.75" customHeight="1" x14ac:dyDescent="0.25">
      <c r="C109" s="92"/>
      <c r="D109" s="93"/>
      <c r="E109" s="93"/>
      <c r="F109" s="39"/>
      <c r="G109" s="40" t="str">
        <f>IFERROR(IF('May-26'!$F109="","-",VLOOKUP('May-26'!$F109,Lista_CUIT!$A$1:$D$2241,2,0)),"CUIT NO CARGADO")</f>
        <v>-</v>
      </c>
      <c r="H109" s="94"/>
      <c r="I109" s="94"/>
      <c r="J109" s="94"/>
      <c r="K109" s="94"/>
      <c r="L109" s="94"/>
    </row>
    <row r="110" spans="2:13" ht="15.75" customHeight="1" x14ac:dyDescent="0.25">
      <c r="C110" s="92"/>
      <c r="D110" s="93"/>
      <c r="E110" s="93"/>
      <c r="F110" s="39"/>
      <c r="G110" s="40" t="str">
        <f>IFERROR(IF('May-26'!$F110="","-",VLOOKUP('May-26'!$F110,Lista_CUIT!$A$1:$D$2241,2,0)),"CUIT NO CARGADO")</f>
        <v>-</v>
      </c>
      <c r="H110" s="94"/>
      <c r="I110" s="94"/>
      <c r="J110" s="94"/>
      <c r="K110" s="94"/>
      <c r="L110" s="94"/>
    </row>
    <row r="111" spans="2:13" ht="15.75" customHeight="1" x14ac:dyDescent="0.25">
      <c r="C111" s="92"/>
      <c r="D111" s="93"/>
      <c r="E111" s="93"/>
      <c r="F111" s="39"/>
      <c r="G111" s="40" t="str">
        <f>IFERROR(IF('May-26'!$F111="","-",VLOOKUP('May-26'!$F111,Lista_CUIT!$A$1:$D$2241,2,0)),"CUIT NO CARGADO")</f>
        <v>-</v>
      </c>
      <c r="H111" s="94"/>
      <c r="I111" s="94"/>
      <c r="J111" s="94"/>
      <c r="K111" s="94"/>
      <c r="L111" s="94"/>
    </row>
    <row r="112" spans="2:13" ht="15.75" customHeight="1" x14ac:dyDescent="0.25">
      <c r="C112" s="92"/>
      <c r="D112" s="93"/>
      <c r="E112" s="93"/>
      <c r="F112" s="39"/>
      <c r="G112" s="40" t="str">
        <f>IFERROR(IF('May-26'!$F112="","-",VLOOKUP('May-26'!$F112,Lista_CUIT!$A$1:$D$2241,2,0)),"CUIT NO CARGADO")</f>
        <v>-</v>
      </c>
      <c r="H112" s="3"/>
      <c r="I112" s="3"/>
      <c r="J112" s="3"/>
      <c r="K112" s="3"/>
      <c r="L112" s="3"/>
    </row>
    <row r="113" spans="3:12" ht="15.75" customHeight="1" x14ac:dyDescent="0.25">
      <c r="C113" s="92"/>
      <c r="D113" s="93"/>
      <c r="E113" s="93"/>
      <c r="F113" s="39"/>
      <c r="G113" s="40" t="str">
        <f>IFERROR(IF('May-26'!$F113="","-",VLOOKUP('May-26'!$F113,Lista_CUIT!$A$1:$D$2241,2,0)),"CUIT NO CARGADO")</f>
        <v>-</v>
      </c>
      <c r="H113" s="94"/>
      <c r="I113" s="94"/>
      <c r="J113" s="94"/>
      <c r="K113" s="94"/>
      <c r="L113" s="94"/>
    </row>
    <row r="114" spans="3:12" ht="15.75" customHeight="1" x14ac:dyDescent="0.25">
      <c r="C114" s="92"/>
      <c r="D114" s="93"/>
      <c r="E114" s="93"/>
      <c r="F114" s="39"/>
      <c r="G114" s="40" t="str">
        <f>IFERROR(IF('May-26'!$F114="","-",VLOOKUP('May-26'!$F114,Lista_CUIT!$A$1:$D$2241,2,0)),"CUIT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92"/>
      <c r="D115" s="93"/>
      <c r="E115" s="93"/>
      <c r="F115" s="39"/>
      <c r="G115" s="40" t="str">
        <f>IFERROR(IF('May-26'!$F115="","-",VLOOKUP('May-26'!$F115,Lista_CUIT!$A$1:$D$2241,2,0)),"CUIT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92"/>
      <c r="D116" s="93"/>
      <c r="E116" s="93"/>
      <c r="F116" s="39"/>
      <c r="G116" s="40" t="str">
        <f>IFERROR(IF('May-26'!$F116="","-",VLOOKUP('May-26'!$F116,Lista_CUIT!$A$1:$D$2241,2,0)),"CUIT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92"/>
      <c r="D117" s="93"/>
      <c r="E117" s="93"/>
      <c r="F117" s="39"/>
      <c r="G117" s="40" t="str">
        <f>IFERROR(IF('May-26'!$F117="","-",VLOOKUP('May-26'!$F117,Lista_CUIT!$A$1:$D$2241,2,0)),"CUIT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92"/>
      <c r="D118" s="93"/>
      <c r="E118" s="93"/>
      <c r="F118" s="39"/>
      <c r="G118" s="40" t="str">
        <f>IFERROR(IF('May-26'!$F118="","-",VLOOKUP('May-26'!$F118,Lista_CUIT!$A$1:$D$2241,2,0)),"CUIT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92"/>
      <c r="D119" s="93"/>
      <c r="E119" s="93"/>
      <c r="F119" s="39"/>
      <c r="G119" s="40" t="str">
        <f>IFERROR(IF('May-26'!$F119="","-",VLOOKUP('May-26'!$F119,Lista_CUIT!$A$1:$D$2241,2,0)),"CUIT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25">
      <c r="C120" s="92"/>
      <c r="D120" s="93"/>
      <c r="E120" s="93"/>
      <c r="F120" s="39"/>
      <c r="G120" s="40" t="str">
        <f>IFERROR(IF('May-26'!$F120="","-",VLOOKUP('May-26'!$F120,Lista_CUIT!$A$1:$D$2241,2,0)),"CUIT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25">
      <c r="C121" s="92"/>
      <c r="D121" s="93"/>
      <c r="E121" s="93"/>
      <c r="F121" s="39"/>
      <c r="G121" s="40" t="str">
        <f>IFERROR(IF('May-26'!$F121="","-",VLOOKUP('May-26'!$F121,Lista_CUIT!$A$1:$D$2241,2,0)),"CUIT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25">
      <c r="C122" s="92"/>
      <c r="D122" s="93"/>
      <c r="E122" s="93"/>
      <c r="F122" s="39"/>
      <c r="G122" s="40" t="str">
        <f>IFERROR(IF('May-26'!$F122="","-",VLOOKUP('May-26'!$F122,Lista_CUIT!$A$1:$D$2241,2,0)),"CUIT NO CARGADO")</f>
        <v>-</v>
      </c>
      <c r="H122" s="94"/>
      <c r="I122" s="94"/>
      <c r="J122" s="94"/>
      <c r="K122" s="94"/>
      <c r="L122" s="94"/>
    </row>
    <row r="123" spans="3:12" ht="15.75" customHeight="1" x14ac:dyDescent="0.25">
      <c r="C123" s="92"/>
      <c r="D123" s="93"/>
      <c r="E123" s="93"/>
      <c r="F123" s="39"/>
      <c r="G123" s="40" t="str">
        <f>IFERROR(IF('May-26'!$F123="","-",VLOOKUP('May-26'!$F123,Lista_CUIT!$A$1:$D$2241,2,0)),"CUIT NO CARGADO")</f>
        <v>-</v>
      </c>
      <c r="H123" s="94"/>
      <c r="I123" s="94"/>
      <c r="J123" s="94"/>
      <c r="K123" s="94"/>
      <c r="L123" s="94"/>
    </row>
    <row r="124" spans="3:12" ht="15.75" customHeight="1" x14ac:dyDescent="0.25">
      <c r="C124" s="92"/>
      <c r="D124" s="93"/>
      <c r="E124" s="93"/>
      <c r="F124" s="39"/>
      <c r="G124" s="40" t="str">
        <f>IFERROR(IF('May-26'!$F124="","-",VLOOKUP('May-26'!$F124,Lista_CUIT!$A$1:$D$2241,2,0)),"CUIT NO CARGADO")</f>
        <v>-</v>
      </c>
      <c r="H124" s="94"/>
      <c r="I124" s="94"/>
      <c r="J124" s="94"/>
      <c r="K124" s="94"/>
      <c r="L124" s="94"/>
    </row>
    <row r="125" spans="3:12" ht="15.75" customHeight="1" x14ac:dyDescent="0.25">
      <c r="C125" s="92"/>
      <c r="D125" s="93"/>
      <c r="E125" s="93"/>
      <c r="F125" s="39"/>
      <c r="G125" s="40" t="str">
        <f>IFERROR(IF('May-26'!$F125="","-",VLOOKUP('May-26'!$F125,Lista_CUIT!$A$1:$D$2241,2,0)),"CUIT NO CARGADO")</f>
        <v>-</v>
      </c>
      <c r="H125" s="94"/>
      <c r="I125" s="94"/>
      <c r="J125" s="94"/>
      <c r="K125" s="94"/>
      <c r="L125" s="94"/>
    </row>
    <row r="126" spans="3:12" ht="15.75" customHeight="1" x14ac:dyDescent="0.25">
      <c r="C126" s="92"/>
      <c r="D126" s="93"/>
      <c r="E126" s="93"/>
      <c r="F126" s="39"/>
      <c r="G126" s="40" t="str">
        <f>IFERROR(IF('May-26'!$F126="","-",VLOOKUP('May-26'!$F126,Lista_CUIT!$A$1:$D$2241,2,0)),"CUIT NO CARGADO")</f>
        <v>-</v>
      </c>
      <c r="H126" s="94"/>
      <c r="I126" s="94"/>
      <c r="J126" s="94"/>
      <c r="K126" s="94"/>
      <c r="L126" s="94"/>
    </row>
    <row r="127" spans="3:12" ht="15.75" customHeight="1" x14ac:dyDescent="0.25">
      <c r="C127" s="92"/>
      <c r="D127" s="93"/>
      <c r="E127" s="93"/>
      <c r="F127" s="39"/>
      <c r="G127" s="40" t="str">
        <f>IFERROR(IF('May-26'!$F127="","-",VLOOKUP('May-26'!$F127,Lista_CUIT!$A$1:$D$2241,2,0)),"CUIT NO CARGADO")</f>
        <v>-</v>
      </c>
      <c r="H127" s="94"/>
      <c r="I127" s="94"/>
      <c r="J127" s="94"/>
      <c r="K127" s="94"/>
      <c r="L127" s="94"/>
    </row>
    <row r="128" spans="3:12" ht="15.75" customHeight="1" x14ac:dyDescent="0.25">
      <c r="C128" s="92"/>
      <c r="D128" s="93"/>
      <c r="E128" s="93"/>
      <c r="F128" s="39"/>
      <c r="G128" s="40" t="str">
        <f>IFERROR(IF('May-26'!$F128="","-",VLOOKUP('May-26'!$F128,Lista_CUIT!$A$1:$D$2241,2,0)),"CUIT NO CARGADO")</f>
        <v>-</v>
      </c>
      <c r="H128" s="94"/>
      <c r="I128" s="94"/>
      <c r="J128" s="94"/>
      <c r="K128" s="94"/>
      <c r="L128" s="94"/>
    </row>
    <row r="129" spans="3:12" ht="15.75" customHeight="1" x14ac:dyDescent="0.25">
      <c r="C129" s="92"/>
      <c r="D129" s="93"/>
      <c r="E129" s="93"/>
      <c r="F129" s="39"/>
      <c r="G129" s="40" t="str">
        <f>IFERROR(IF('May-26'!$F129="","-",VLOOKUP('May-26'!$F129,Lista_CUIT!$A$1:$D$2241,2,0)),"CUIT NO CARGADO")</f>
        <v>-</v>
      </c>
      <c r="H129" s="94"/>
      <c r="I129" s="94"/>
      <c r="J129" s="94"/>
      <c r="K129" s="94"/>
      <c r="L129" s="94"/>
    </row>
    <row r="130" spans="3:12" ht="15.75" customHeight="1" x14ac:dyDescent="0.25">
      <c r="C130" s="92"/>
      <c r="D130" s="93"/>
      <c r="E130" s="93"/>
      <c r="F130" s="39"/>
      <c r="G130" s="40" t="str">
        <f>IFERROR(IF('May-26'!$F130="","-",VLOOKUP('May-26'!$F130,Lista_CUIT!$A$1:$D$2241,2,0)),"CUIT NO CARGADO")</f>
        <v>-</v>
      </c>
      <c r="H130" s="94"/>
      <c r="I130" s="94"/>
      <c r="J130" s="94"/>
      <c r="K130" s="94"/>
      <c r="L130" s="94"/>
    </row>
    <row r="131" spans="3:12" ht="15.75" customHeight="1" x14ac:dyDescent="0.25">
      <c r="C131" s="92"/>
      <c r="D131" s="93"/>
      <c r="E131" s="93"/>
      <c r="F131" s="39"/>
      <c r="G131" s="40" t="str">
        <f>IFERROR(IF('May-26'!$F131="","-",VLOOKUP('May-26'!$F131,Lista_CUIT!$A$1:$D$2241,2,0)),"CUIT NO CARGADO")</f>
        <v>-</v>
      </c>
      <c r="H131" s="94"/>
      <c r="I131" s="94"/>
      <c r="J131" s="94"/>
      <c r="K131" s="94"/>
      <c r="L131" s="94"/>
    </row>
    <row r="132" spans="3:12" ht="15.75" customHeight="1" x14ac:dyDescent="0.25">
      <c r="C132" s="92"/>
      <c r="D132" s="93"/>
      <c r="E132" s="93"/>
      <c r="F132" s="39"/>
      <c r="G132" s="40" t="str">
        <f>IFERROR(IF('May-26'!$F132="","-",VLOOKUP('May-26'!$F132,Lista_CUIT!$A$1:$D$2241,2,0)),"CUIT NO CARGADO")</f>
        <v>-</v>
      </c>
      <c r="H132" s="94"/>
      <c r="I132" s="94"/>
      <c r="J132" s="94"/>
      <c r="K132" s="94"/>
      <c r="L132" s="94"/>
    </row>
    <row r="133" spans="3:12" ht="15.75" customHeight="1" x14ac:dyDescent="0.25">
      <c r="C133" s="92"/>
      <c r="D133" s="93"/>
      <c r="E133" s="93"/>
      <c r="F133" s="39"/>
      <c r="G133" s="40" t="str">
        <f>IFERROR(IF('May-26'!$F133="","-",VLOOKUP('May-26'!$F133,Lista_CUIT!$A$1:$D$2241,2,0)),"CUIT NO CARGADO")</f>
        <v>-</v>
      </c>
      <c r="H133" s="94"/>
      <c r="I133" s="94"/>
      <c r="J133" s="94"/>
      <c r="K133" s="94"/>
      <c r="L133" s="94"/>
    </row>
    <row r="134" spans="3:12" ht="15.75" customHeight="1" x14ac:dyDescent="0.25">
      <c r="C134" s="92"/>
      <c r="D134" s="93"/>
      <c r="E134" s="93"/>
      <c r="F134" s="39"/>
      <c r="G134" s="40" t="str">
        <f>IFERROR(IF('May-26'!$F134="","-",VLOOKUP('May-26'!$F134,Lista_CUIT!$A$1:$D$2241,2,0)),"CUIT NO CARGADO")</f>
        <v>-</v>
      </c>
      <c r="H134" s="94"/>
      <c r="I134" s="94"/>
      <c r="J134" s="94"/>
      <c r="K134" s="94"/>
      <c r="L134" s="94"/>
    </row>
    <row r="135" spans="3:12" ht="15.75" customHeight="1" x14ac:dyDescent="0.25"/>
    <row r="136" spans="3:12" ht="15.75" customHeight="1" x14ac:dyDescent="0.25"/>
    <row r="137" spans="3:12" ht="15.75" customHeight="1" x14ac:dyDescent="0.25"/>
    <row r="138" spans="3:12" ht="15.75" customHeight="1" x14ac:dyDescent="0.25"/>
    <row r="139" spans="3:12" ht="15.75" customHeight="1" x14ac:dyDescent="0.25"/>
    <row r="140" spans="3:12" ht="15.75" customHeight="1" x14ac:dyDescent="0.25"/>
    <row r="141" spans="3:12" ht="15.75" customHeight="1" x14ac:dyDescent="0.25"/>
    <row r="142" spans="3:12" ht="15.75" customHeight="1" x14ac:dyDescent="0.25"/>
    <row r="143" spans="3:12" ht="15.75" customHeight="1" x14ac:dyDescent="0.25"/>
    <row r="144" spans="3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mergeCells count="21">
    <mergeCell ref="P4:R4"/>
    <mergeCell ref="D35:L35"/>
    <mergeCell ref="B96:C96"/>
    <mergeCell ref="C106:G106"/>
    <mergeCell ref="B3:E3"/>
    <mergeCell ref="B4:E4"/>
    <mergeCell ref="G4:H4"/>
    <mergeCell ref="D47:K47"/>
    <mergeCell ref="B68:J68"/>
    <mergeCell ref="K68:M68"/>
    <mergeCell ref="B70:C70"/>
    <mergeCell ref="B86:C86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1">
    <dataValidation type="custom" allowBlank="1" showErrorMessage="1" sqref="H88:L92" xr:uid="{00000000-0002-0000-0200-000000000000}">
      <formula1>IF($C88=8,H88&lt;0,H88&gt;=0)</formula1>
    </dataValidation>
    <dataValidation type="decimal" allowBlank="1" showErrorMessage="1" sqref="D9:D29 E49:E61 D72:D80 D88:D92 D98:D100" xr:uid="{00000000-0002-0000-0200-000001000000}">
      <formula1>1</formula1>
      <formula2>9999</formula2>
    </dataValidation>
    <dataValidation type="decimal" allowBlank="1" showErrorMessage="1" sqref="C98:C100" xr:uid="{00000000-0002-0000-0200-000002000000}">
      <formula1>80</formula1>
      <formula2>80</formula2>
    </dataValidation>
    <dataValidation type="date" allowBlank="1" showErrorMessage="1" sqref="B9:B29 B31:B34 D37:D42 D49:D61 B72:B80 B88:B92 B98:B100" xr:uid="{00000000-0002-0000-0200-000003000000}">
      <formula1>40179</formula1>
      <formula2>TODAY()</formula2>
    </dataValidation>
    <dataValidation type="custom" allowBlank="1" showErrorMessage="1" sqref="L72:L80" xr:uid="{00000000-0002-0000-0200-000004000000}">
      <formula1>IF($C9=3,L9&lt;0,L9&gt;=0)</formula1>
    </dataValidation>
    <dataValidation type="decimal" allowBlank="1" showErrorMessage="1" sqref="F9:F29 G49:G61 F72:F80 F88:F92" xr:uid="{00000000-0002-0000-0200-000005000000}">
      <formula1>20000000000</formula1>
      <formula2>33999999999</formula2>
    </dataValidation>
    <dataValidation type="decimal" allowBlank="1" showErrorMessage="1" sqref="C88:C92" xr:uid="{00000000-0002-0000-0200-000006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20 H21:M21 O21 H27:O29 H26:M26 O26 H22:O25" xr:uid="{00000000-0002-0000-0200-000007000000}">
      <formula1>IF($C9=3,H9&lt;0,H9&gt;=0)</formula1>
    </dataValidation>
    <dataValidation type="decimal" allowBlank="1" showErrorMessage="1" sqref="E9:E29 F49:F61 E72:E80 E88:E92 E98:E100" xr:uid="{00000000-0002-0000-0200-000008000000}">
      <formula1>1</formula1>
      <formula2>99999999</formula2>
    </dataValidation>
    <dataValidation type="decimal" allowBlank="1" showErrorMessage="1" sqref="C9:C29 C31:C34 C72:C80" xr:uid="{00000000-0002-0000-0200-000009000000}">
      <formula1>1</formula1>
      <formula2>3</formula2>
    </dataValidation>
    <dataValidation type="custom" allowBlank="1" showErrorMessage="1" sqref="J72:K72 H72 I72:I80 J73" xr:uid="{00000000-0002-0000-0200-00000A000000}">
      <formula1>IF($C72=3,H72&lt;0,H72&gt;=0)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9D9"/>
  </sheetPr>
  <dimension ref="A1:Z1002"/>
  <sheetViews>
    <sheetView showGridLines="0" topLeftCell="D52" zoomScale="80" zoomScaleNormal="80" workbookViewId="0">
      <selection activeCell="I74" sqref="I74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.7109375" customWidth="1"/>
    <col min="9" max="9" width="17.5703125" customWidth="1"/>
    <col min="10" max="10" width="17.85546875" customWidth="1"/>
    <col min="11" max="11" width="15.8554687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3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50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EDATE('Abr-26'!N1,2)</f>
        <v>45809</v>
      </c>
      <c r="O1" s="448"/>
      <c r="P1" s="448"/>
      <c r="Q1" s="448"/>
      <c r="R1" s="449"/>
    </row>
    <row r="3" spans="1:19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SUM('Jun-26'!$H$44)+'Jun-26'!$G$53</f>
        <v>12776358.57</v>
      </c>
      <c r="C4" s="448"/>
      <c r="D4" s="448"/>
      <c r="E4" s="449"/>
      <c r="F4" s="8"/>
      <c r="G4" s="463">
        <f>'Jun-26'!$I$44+'Jun-26'!$J$44+'Jun-26'!$K$44+'Jun-26'!$H$53+'Jun-26'!$I$53</f>
        <v>2683035.2996999999</v>
      </c>
      <c r="H4" s="449"/>
      <c r="I4" s="8"/>
      <c r="J4" s="466">
        <f>'Jun-26'!$H$93+'Jun-26'!$H$104</f>
        <v>68234426</v>
      </c>
      <c r="K4" s="449"/>
      <c r="L4" s="8"/>
      <c r="M4" s="466">
        <f>'Jun-26'!$I$93+'Jun-26'!$J$93+'Jun-26'!$I$104+'Jun-26'!$J$104</f>
        <v>8091955.9500000002</v>
      </c>
      <c r="N4" s="449"/>
      <c r="O4" s="8"/>
      <c r="P4" s="455">
        <f>G4-M4</f>
        <v>-5408920.6502999999</v>
      </c>
      <c r="Q4" s="448"/>
      <c r="R4" s="449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45809</v>
      </c>
      <c r="C9" s="169">
        <v>1</v>
      </c>
      <c r="D9" s="170">
        <v>3</v>
      </c>
      <c r="E9" s="171">
        <v>268474</v>
      </c>
      <c r="F9" s="172">
        <v>30707135596</v>
      </c>
      <c r="G9" s="173" t="str">
        <f>IFERROR(IF('Jun-26'!$F9="","-",VLOOKUP('Jun-26'!$F9,Lista_CUIT!$A$1:$D$2241,2,0)),"CUIT NO CARGADO")</f>
        <v>CITILAN ARGENTINA S.A.</v>
      </c>
      <c r="H9" s="174">
        <v>28851.11</v>
      </c>
      <c r="I9" s="175">
        <f>IF('Jun-26'!$H9="","",'Jun-26'!$H9*0.21)</f>
        <v>6058.7330999999995</v>
      </c>
      <c r="J9" s="175"/>
      <c r="K9" s="175"/>
      <c r="L9" s="175"/>
      <c r="M9" s="175"/>
      <c r="N9" s="175"/>
      <c r="O9" s="175"/>
      <c r="P9" s="176">
        <f>SUM('Jun-26'!$H9:$O9)</f>
        <v>34909.843099999998</v>
      </c>
      <c r="Q9" s="177" t="str">
        <f>IFERROR(IF('Jun-26'!$F9="","-",VLOOKUP('Jun-26'!$F9,Lista_CUIT!$A$1:$D$2241,3,0)),"CUIT NO CARGADO")</f>
        <v>Telefonia</v>
      </c>
      <c r="R9" s="177">
        <f>IFERROR(IF('Jun-26'!$F9="","-",VLOOKUP('Jun-26'!$F9,Lista_CUIT!$A$1:$D$2241,4,0)),"CUIT NO CARGADO")</f>
        <v>0</v>
      </c>
    </row>
    <row r="10" spans="1:19" x14ac:dyDescent="0.25">
      <c r="B10" s="239">
        <v>45809</v>
      </c>
      <c r="C10" s="169">
        <v>1</v>
      </c>
      <c r="D10" s="170">
        <v>3</v>
      </c>
      <c r="E10" s="171">
        <v>866</v>
      </c>
      <c r="F10" s="172">
        <v>30715402765</v>
      </c>
      <c r="G10" s="173" t="str">
        <f>IFERROR(IF('Jun-26'!$F10="","-",VLOOKUP('Jun-26'!$F10,Lista_CUIT!$A$1:$D$2241,2,0)),"CUIT NO CARGADO")</f>
        <v>RIO 265 S.R.L.</v>
      </c>
      <c r="H10" s="174">
        <v>93388.43</v>
      </c>
      <c r="I10" s="175">
        <f>IF('Jun-26'!$H10="","",'Jun-26'!$H10*0.21)</f>
        <v>19611.570299999999</v>
      </c>
      <c r="J10" s="175"/>
      <c r="K10" s="175"/>
      <c r="L10" s="175"/>
      <c r="M10" s="175"/>
      <c r="N10" s="175"/>
      <c r="O10" s="175"/>
      <c r="P10" s="176">
        <f>SUM('Jun-26'!$H10:$O10)</f>
        <v>113000.00029999999</v>
      </c>
      <c r="Q10" s="177" t="str">
        <f>IFERROR(IF('Jun-26'!$F10="","-",VLOOKUP('Jun-26'!$F10,Lista_CUIT!$A$1:$D$2241,3,0)),"CUIT NO CARGADO")</f>
        <v>GASTOS VARIOS</v>
      </c>
      <c r="R10" s="177">
        <f>IFERROR(IF('Jun-26'!$F10="","-",VLOOKUP('Jun-26'!$F10,Lista_CUIT!$A$1:$D$2241,4,0)),"CUIT NO CARGADO")</f>
        <v>0</v>
      </c>
    </row>
    <row r="11" spans="1:19" x14ac:dyDescent="0.25">
      <c r="B11" s="239">
        <v>45810</v>
      </c>
      <c r="C11" s="169">
        <v>1</v>
      </c>
      <c r="D11" s="170">
        <v>106</v>
      </c>
      <c r="E11" s="171">
        <v>846433</v>
      </c>
      <c r="F11" s="172">
        <v>30594494187</v>
      </c>
      <c r="G11" s="173" t="str">
        <f>IFERROR(IF('Jun-26'!$F11="","-",VLOOKUP('Jun-26'!$F11,Lista_CUIT!$A$1:$D$2241,2,0)),"CUIT NO CARGADO")</f>
        <v>FEDERAL EXPRESS CORPORATION</v>
      </c>
      <c r="H11" s="174">
        <v>86040</v>
      </c>
      <c r="I11" s="175">
        <f>IF('Jun-26'!$H11="","",'Jun-26'!$H11*0.21)</f>
        <v>18068.399999999998</v>
      </c>
      <c r="J11" s="175"/>
      <c r="K11" s="175"/>
      <c r="L11" s="175"/>
      <c r="M11" s="175"/>
      <c r="N11" s="175"/>
      <c r="O11" s="175">
        <v>277532.48</v>
      </c>
      <c r="P11" s="176">
        <f>SUM('Jun-26'!$H11:$O11)</f>
        <v>381640.88</v>
      </c>
      <c r="Q11" s="177" t="str">
        <f>IFERROR(IF('Jun-26'!$F11="","-",VLOOKUP('Jun-26'!$F11,Lista_CUIT!$A$1:$D$2241,3,0)),"CUIT NO CARGADO")</f>
        <v>Mercaderia</v>
      </c>
      <c r="R11" s="177">
        <f>IFERROR(IF('Jun-26'!$F11="","-",VLOOKUP('Jun-26'!$F11,Lista_CUIT!$A$1:$D$2241,4,0)),"CUIT NO CARGADO")</f>
        <v>0</v>
      </c>
    </row>
    <row r="12" spans="1:19" x14ac:dyDescent="0.25">
      <c r="B12" s="239">
        <v>45811</v>
      </c>
      <c r="C12" s="169">
        <v>1</v>
      </c>
      <c r="D12" s="170">
        <v>10</v>
      </c>
      <c r="E12" s="171">
        <v>50250</v>
      </c>
      <c r="F12" s="172">
        <v>20357275882</v>
      </c>
      <c r="G12" s="173" t="str">
        <f>IFERROR(IF('Jun-26'!$F12="","-",VLOOKUP('Jun-26'!$F12,Lista_CUIT!$A$1:$D$2241,2,0)),"CUIT NO CARGADO")</f>
        <v>LAVADERO BLANCANIEVES</v>
      </c>
      <c r="H12" s="174">
        <v>7429.75</v>
      </c>
      <c r="I12" s="175">
        <f>IF('Jun-26'!$H12="","",'Jun-26'!$H12*0.21)</f>
        <v>1560.2474999999999</v>
      </c>
      <c r="J12" s="175"/>
      <c r="K12" s="175"/>
      <c r="L12" s="175"/>
      <c r="M12" s="175"/>
      <c r="N12" s="175"/>
      <c r="O12" s="175"/>
      <c r="P12" s="176">
        <f>SUM('Jun-26'!$H12:$O12)</f>
        <v>8989.9974999999995</v>
      </c>
      <c r="Q12" s="177" t="str">
        <f>IFERROR(IF('Jun-26'!$F12="","-",VLOOKUP('Jun-26'!$F12,Lista_CUIT!$A$1:$D$2241,3,0)),"CUIT NO CARGADO")</f>
        <v>Seg e Higiene</v>
      </c>
      <c r="R12" s="177">
        <f>IFERROR(IF('Jun-26'!$F12="","-",VLOOKUP('Jun-26'!$F12,Lista_CUIT!$A$1:$D$2241,4,0)),"CUIT NO CARGADO")</f>
        <v>0</v>
      </c>
    </row>
    <row r="13" spans="1:19" x14ac:dyDescent="0.25">
      <c r="B13" s="239">
        <v>45811</v>
      </c>
      <c r="C13" s="169">
        <v>1</v>
      </c>
      <c r="D13" s="170">
        <v>3</v>
      </c>
      <c r="E13" s="171">
        <v>5326</v>
      </c>
      <c r="F13" s="172">
        <v>30718266420</v>
      </c>
      <c r="G13" s="173" t="str">
        <f>IFERROR(IF('Jun-26'!$F13="","-",VLOOKUP('Jun-26'!$F13,Lista_CUIT!$A$1:$D$2241,2,0)),"CUIT NO CARGADO")</f>
        <v>GOLDEN CAN ARGENTINA S.A.S.</v>
      </c>
      <c r="H13" s="174">
        <v>28522.31</v>
      </c>
      <c r="I13" s="175">
        <f>IF('Jun-26'!$H13="","",'Jun-26'!$H13*0.21)</f>
        <v>5989.6850999999997</v>
      </c>
      <c r="J13" s="175"/>
      <c r="K13" s="175"/>
      <c r="L13" s="175"/>
      <c r="M13" s="175"/>
      <c r="N13" s="175"/>
      <c r="O13" s="175"/>
      <c r="P13" s="176">
        <f>SUM('Jun-26'!$H13:$O13)</f>
        <v>34511.9951</v>
      </c>
      <c r="Q13" s="177" t="str">
        <f>IFERROR(IF('Jun-26'!$F13="","-",VLOOKUP('Jun-26'!$F13,Lista_CUIT!$A$1:$D$2241,3,0)),"CUIT NO CARGADO")</f>
        <v>Gastos Oficina</v>
      </c>
      <c r="R13" s="177">
        <f>IFERROR(IF('Jun-26'!$F13="","-",VLOOKUP('Jun-26'!$F13,Lista_CUIT!$A$1:$D$2241,4,0)),"CUIT NO CARGADO")</f>
        <v>0</v>
      </c>
    </row>
    <row r="14" spans="1:19" x14ac:dyDescent="0.25">
      <c r="B14" s="239">
        <v>45811</v>
      </c>
      <c r="C14" s="169">
        <v>1</v>
      </c>
      <c r="D14" s="170">
        <v>5</v>
      </c>
      <c r="E14" s="171">
        <v>85054</v>
      </c>
      <c r="F14" s="172">
        <v>30692857611</v>
      </c>
      <c r="G14" s="173" t="str">
        <f>IFERROR(IF('Jun-26'!$F14="","-",VLOOKUP('Jun-26'!$F14,Lista_CUIT!$A$1:$D$2241,2,0)),"CUIT NO CARGADO")</f>
        <v>BAGUI S A</v>
      </c>
      <c r="H14" s="174">
        <v>436035.6</v>
      </c>
      <c r="I14" s="175">
        <f>IF('Jun-26'!$H14="","",'Jun-26'!$H14*0.21)</f>
        <v>91567.475999999995</v>
      </c>
      <c r="J14" s="175"/>
      <c r="K14" s="175"/>
      <c r="L14" s="175"/>
      <c r="M14" s="175"/>
      <c r="N14" s="175"/>
      <c r="O14" s="175"/>
      <c r="P14" s="176">
        <f>SUM('Jun-26'!$H14:$O14)</f>
        <v>527603.076</v>
      </c>
      <c r="Q14" s="177" t="str">
        <f>IFERROR(IF('Jun-26'!$F14="","-",VLOOKUP('Jun-26'!$F14,Lista_CUIT!$A$1:$D$2241,3,0)),"CUIT NO CARGADO")</f>
        <v>INSUMO</v>
      </c>
      <c r="R14" s="177">
        <f>IFERROR(IF('Jun-26'!$F14="","-",VLOOKUP('Jun-26'!$F14,Lista_CUIT!$A$1:$D$2241,4,0)),"CUIT NO CARGADO")</f>
        <v>0</v>
      </c>
    </row>
    <row r="15" spans="1:19" x14ac:dyDescent="0.25">
      <c r="B15" s="239">
        <v>45812</v>
      </c>
      <c r="C15" s="169">
        <v>1</v>
      </c>
      <c r="D15" s="170">
        <v>10</v>
      </c>
      <c r="E15" s="171">
        <v>50297</v>
      </c>
      <c r="F15" s="172">
        <v>20357275882</v>
      </c>
      <c r="G15" s="173" t="str">
        <f>IFERROR(IF('Jun-26'!$F15="","-",VLOOKUP('Jun-26'!$F15,Lista_CUIT!$A$1:$D$2241,2,0)),"CUIT NO CARGADO")</f>
        <v>LAVADERO BLANCANIEVES</v>
      </c>
      <c r="H15" s="174">
        <v>7429.75</v>
      </c>
      <c r="I15" s="175">
        <f>IF('Jun-26'!$H15="","",'Jun-26'!$H15*0.21)</f>
        <v>1560.2474999999999</v>
      </c>
      <c r="J15" s="175"/>
      <c r="K15" s="175"/>
      <c r="L15" s="175"/>
      <c r="M15" s="175"/>
      <c r="N15" s="175"/>
      <c r="O15" s="175"/>
      <c r="P15" s="176">
        <f>SUM('Jun-26'!$H15:$O15)</f>
        <v>8989.9974999999995</v>
      </c>
      <c r="Q15" s="177" t="str">
        <f>IFERROR(IF('Jun-26'!$F15="","-",VLOOKUP('Jun-26'!$F15,Lista_CUIT!$A$1:$D$2241,3,0)),"CUIT NO CARGADO")</f>
        <v>Seg e Higiene</v>
      </c>
      <c r="R15" s="177">
        <f>IFERROR(IF('Jun-26'!$F15="","-",VLOOKUP('Jun-26'!$F15,Lista_CUIT!$A$1:$D$2241,4,0)),"CUIT NO CARGADO")</f>
        <v>0</v>
      </c>
    </row>
    <row r="16" spans="1:19" x14ac:dyDescent="0.25">
      <c r="B16" s="239">
        <v>45812</v>
      </c>
      <c r="C16" s="169">
        <v>1</v>
      </c>
      <c r="D16" s="170">
        <v>8</v>
      </c>
      <c r="E16" s="171">
        <v>46596</v>
      </c>
      <c r="F16" s="172">
        <v>30709953482</v>
      </c>
      <c r="G16" s="173" t="str">
        <f>IFERROR(IF('Jun-26'!$F16="","-",VLOOKUP('Jun-26'!$F16,Lista_CUIT!$A$1:$D$2241,2,0)),"CUIT NO CARGADO")</f>
        <v>HONRE S.A</v>
      </c>
      <c r="H16" s="174">
        <v>7189.26</v>
      </c>
      <c r="I16" s="175">
        <f>IF('Jun-26'!$H16="","",'Jun-26'!$H16*0.21)</f>
        <v>1509.7446</v>
      </c>
      <c r="J16" s="175"/>
      <c r="K16" s="175"/>
      <c r="L16" s="175"/>
      <c r="M16" s="175"/>
      <c r="N16" s="175"/>
      <c r="O16" s="175"/>
      <c r="P16" s="176">
        <f>SUM('Jun-26'!$H16:$O16)</f>
        <v>8699.0046000000002</v>
      </c>
      <c r="Q16" s="177" t="str">
        <f>IFERROR(IF('Jun-26'!$F16="","-",VLOOKUP('Jun-26'!$F16,Lista_CUIT!$A$1:$D$2241,3,0)),"CUIT NO CARGADO")</f>
        <v>GASTOS VARIOS</v>
      </c>
      <c r="R16" s="177">
        <f>IFERROR(IF('Jun-26'!$F16="","-",VLOOKUP('Jun-26'!$F16,Lista_CUIT!$A$1:$D$2241,4,0)),"CUIT NO CARGADO")</f>
        <v>0</v>
      </c>
    </row>
    <row r="17" spans="2:19" x14ac:dyDescent="0.25">
      <c r="B17" s="239">
        <v>45812</v>
      </c>
      <c r="C17" s="169">
        <v>1</v>
      </c>
      <c r="D17" s="170">
        <v>8</v>
      </c>
      <c r="E17" s="171">
        <v>46506</v>
      </c>
      <c r="F17" s="172">
        <v>30709953482</v>
      </c>
      <c r="G17" s="173" t="str">
        <f>IFERROR(IF('Jun-26'!$F17="","-",VLOOKUP('Jun-26'!$F17,Lista_CUIT!$A$1:$D$2241,2,0)),"CUIT NO CARGADO")</f>
        <v>HONRE S.A</v>
      </c>
      <c r="H17" s="174">
        <v>7189.26</v>
      </c>
      <c r="I17" s="175">
        <f>IF('Jun-26'!$H17="","",'Jun-26'!$H17*0.21)</f>
        <v>1509.7446</v>
      </c>
      <c r="J17" s="175"/>
      <c r="K17" s="175"/>
      <c r="L17" s="175"/>
      <c r="M17" s="175"/>
      <c r="N17" s="175"/>
      <c r="O17" s="175"/>
      <c r="P17" s="176">
        <f>SUM('Jun-26'!$H17:$O17)</f>
        <v>8699.0046000000002</v>
      </c>
      <c r="Q17" s="177" t="str">
        <f>IFERROR(IF('Jun-26'!$F17="","-",VLOOKUP('Jun-26'!$F17,Lista_CUIT!$A$1:$D$2241,3,0)),"CUIT NO CARGADO")</f>
        <v>GASTOS VARIOS</v>
      </c>
      <c r="R17" s="177">
        <f>IFERROR(IF('Jun-26'!$F17="","-",VLOOKUP('Jun-26'!$F17,Lista_CUIT!$A$1:$D$2241,4,0)),"CUIT NO CARGADO")</f>
        <v>0</v>
      </c>
    </row>
    <row r="18" spans="2:19" x14ac:dyDescent="0.25">
      <c r="B18" s="239">
        <v>45812</v>
      </c>
      <c r="C18" s="169">
        <v>1</v>
      </c>
      <c r="D18" s="170">
        <v>3</v>
      </c>
      <c r="E18" s="171">
        <v>1588</v>
      </c>
      <c r="F18" s="172">
        <v>30717805174</v>
      </c>
      <c r="G18" s="173" t="str">
        <f>IFERROR(IF('Jun-26'!$F18="","-",VLOOKUP('Jun-26'!$F18,Lista_CUIT!$A$1:$D$2241,2,0)),"CUIT NO CARGADO")</f>
        <v>LUXONO S. R. L.</v>
      </c>
      <c r="H18" s="174">
        <v>29326.83</v>
      </c>
      <c r="I18" s="175">
        <f>IF('Jun-26'!$H18="","",'Jun-26'!$H18*0.21)</f>
        <v>6158.6342999999997</v>
      </c>
      <c r="J18" s="175"/>
      <c r="K18" s="175"/>
      <c r="L18" s="175"/>
      <c r="M18" s="175"/>
      <c r="N18" s="175"/>
      <c r="O18" s="175"/>
      <c r="P18" s="176">
        <f>SUM('Jun-26'!$H18:$O18)</f>
        <v>35485.4643</v>
      </c>
      <c r="Q18" s="177" t="str">
        <f>IFERROR(IF('Jun-26'!$F18="","-",VLOOKUP('Jun-26'!$F18,Lista_CUIT!$A$1:$D$2241,3,0)),"CUIT NO CARGADO")</f>
        <v>INSUMO</v>
      </c>
      <c r="R18" s="177">
        <f>IFERROR(IF('Jun-26'!$F18="","-",VLOOKUP('Jun-26'!$F18,Lista_CUIT!$A$1:$D$2241,4,0)),"CUIT NO CARGADO")</f>
        <v>0</v>
      </c>
    </row>
    <row r="19" spans="2:19" x14ac:dyDescent="0.25">
      <c r="B19" s="239">
        <v>45812</v>
      </c>
      <c r="C19" s="169">
        <v>1</v>
      </c>
      <c r="D19" s="170">
        <v>14</v>
      </c>
      <c r="E19" s="171">
        <v>92231</v>
      </c>
      <c r="F19" s="172">
        <v>20271822058</v>
      </c>
      <c r="G19" s="173" t="str">
        <f>IFERROR(IF('Jun-26'!$F19="","-",VLOOKUP('Jun-26'!$F19,Lista_CUIT!$A$1:$D$2241,2,0)),"CUIT NO CARGADO")</f>
        <v>CASSINI MARTIN</v>
      </c>
      <c r="H19" s="174">
        <v>5697.2</v>
      </c>
      <c r="I19" s="175">
        <f>IF('Jun-26'!$H19="","",'Jun-26'!$H19*0.21)</f>
        <v>1196.4119999999998</v>
      </c>
      <c r="J19" s="175"/>
      <c r="K19" s="175"/>
      <c r="L19" s="175"/>
      <c r="M19" s="175"/>
      <c r="N19" s="175"/>
      <c r="O19" s="175"/>
      <c r="P19" s="176">
        <f>SUM('Jun-26'!$H19:$O19)</f>
        <v>6893.6119999999992</v>
      </c>
      <c r="Q19" s="177" t="str">
        <f>IFERROR(IF('Jun-26'!$F19="","-",VLOOKUP('Jun-26'!$F19,Lista_CUIT!$A$1:$D$2241,3,0)),"CUIT NO CARGADO")</f>
        <v>Seg e Higiene</v>
      </c>
      <c r="R19" s="177">
        <f>IFERROR(IF('Jun-26'!$F19="","-",VLOOKUP('Jun-26'!$F19,Lista_CUIT!$A$1:$D$2241,4,0)),"CUIT NO CARGADO")</f>
        <v>0</v>
      </c>
    </row>
    <row r="20" spans="2:19" x14ac:dyDescent="0.25">
      <c r="B20" s="239">
        <v>45813</v>
      </c>
      <c r="C20" s="169">
        <v>1</v>
      </c>
      <c r="D20" s="170">
        <v>8</v>
      </c>
      <c r="E20" s="171">
        <v>181168</v>
      </c>
      <c r="F20" s="172">
        <v>33606484599</v>
      </c>
      <c r="G20" s="173" t="str">
        <f>IFERROR(IF('Jun-26'!$F20="","-",VLOOKUP('Jun-26'!$F20,Lista_CUIT!$A$1:$D$2241,2,0)),"CUIT NO CARGADO")</f>
        <v>JORVICAL ACEROS S A</v>
      </c>
      <c r="H20" s="174">
        <v>6346990.7999999998</v>
      </c>
      <c r="I20" s="175">
        <f>IF('Jun-26'!$H20="","",'Jun-26'!$H20*0.21)</f>
        <v>1332868.068</v>
      </c>
      <c r="J20" s="175"/>
      <c r="K20" s="175"/>
      <c r="L20" s="175"/>
      <c r="M20" s="175"/>
      <c r="N20" s="175"/>
      <c r="O20" s="175"/>
      <c r="P20" s="176">
        <f>SUM('Jun-26'!$H20:$O20)</f>
        <v>7679858.8679999998</v>
      </c>
      <c r="Q20" s="177" t="str">
        <f>IFERROR(IF('Jun-26'!$F20="","-",VLOOKUP('Jun-26'!$F20,Lista_CUIT!$A$1:$D$2241,3,0)),"CUIT NO CARGADO")</f>
        <v>INSUMO</v>
      </c>
      <c r="R20" s="177">
        <f>IFERROR(IF('Jun-26'!$F20="","-",VLOOKUP('Jun-26'!$F20,Lista_CUIT!$A$1:$D$2241,4,0)),"CUIT NO CARGADO")</f>
        <v>0</v>
      </c>
    </row>
    <row r="21" spans="2:19" ht="15.75" customHeight="1" x14ac:dyDescent="0.25">
      <c r="B21" s="239">
        <v>45813</v>
      </c>
      <c r="C21" s="169">
        <v>1</v>
      </c>
      <c r="D21" s="170">
        <v>1</v>
      </c>
      <c r="E21" s="171">
        <v>947</v>
      </c>
      <c r="F21" s="172">
        <v>30715048066</v>
      </c>
      <c r="G21" s="173" t="str">
        <f>IFERROR(IF('Jun-26'!$F21="","-",VLOOKUP('Jun-26'!$F21,Lista_CUIT!$A$1:$D$2241,2,0)),"CUIT NO CARGADO")</f>
        <v>ROLLS Y EMPANADAS SA</v>
      </c>
      <c r="H21" s="174">
        <v>780930</v>
      </c>
      <c r="I21" s="175">
        <f>IF('Jun-26'!$H21="","",'Jun-26'!$H21*0.21)</f>
        <v>163995.29999999999</v>
      </c>
      <c r="J21" s="175"/>
      <c r="K21" s="175"/>
      <c r="L21" s="175"/>
      <c r="M21" s="175"/>
      <c r="N21" s="175"/>
      <c r="O21" s="175"/>
      <c r="P21" s="176">
        <f>SUM('Jun-26'!$H21:$O21)</f>
        <v>944925.3</v>
      </c>
      <c r="Q21" s="177" t="str">
        <f>IFERROR(IF('Jun-26'!$F21="","-",VLOOKUP('Jun-26'!$F21,Lista_CUIT!$A$1:$D$2241,3,0)),"CUIT NO CARGADO")</f>
        <v>CATERING</v>
      </c>
      <c r="R21" s="177">
        <f>IFERROR(IF('Jun-26'!$F21="","-",VLOOKUP('Jun-26'!$F21,Lista_CUIT!$A$1:$D$2241,4,0)),"CUIT NO CARGADO")</f>
        <v>0</v>
      </c>
    </row>
    <row r="22" spans="2:19" ht="15.75" customHeight="1" x14ac:dyDescent="0.25">
      <c r="B22" s="239">
        <v>45815</v>
      </c>
      <c r="C22" s="169">
        <v>1</v>
      </c>
      <c r="D22" s="170">
        <v>6</v>
      </c>
      <c r="E22" s="171">
        <v>14894</v>
      </c>
      <c r="F22" s="172">
        <v>20304916401</v>
      </c>
      <c r="G22" s="173" t="str">
        <f>IFERROR(IF('Jun-26'!$F22="","-",VLOOKUP('Jun-26'!$F22,Lista_CUIT!$A$1:$D$2241,2,0)),"CUIT NO CARGADO")</f>
        <v>RODRIGUEZ ADRIAN EZEQUIEL</v>
      </c>
      <c r="H22" s="174">
        <v>3694.21</v>
      </c>
      <c r="I22" s="175">
        <f>IF('Jun-26'!$H22="","",'Jun-26'!$H22*0.21)</f>
        <v>775.78409999999997</v>
      </c>
      <c r="J22" s="175"/>
      <c r="K22" s="175"/>
      <c r="L22" s="175"/>
      <c r="M22" s="175"/>
      <c r="N22" s="175"/>
      <c r="O22" s="175"/>
      <c r="P22" s="176">
        <f>SUM('Jun-26'!$H22:$O22)</f>
        <v>4469.9940999999999</v>
      </c>
      <c r="Q22" s="177" t="str">
        <f>IFERROR(IF('Jun-26'!$F22="","-",VLOOKUP('Jun-26'!$F22,Lista_CUIT!$A$1:$D$2241,3,0)),"CUIT NO CARGADO")</f>
        <v>INSUMO</v>
      </c>
      <c r="R22" s="177">
        <f>IFERROR(IF('Jun-26'!$F22="","-",VLOOKUP('Jun-26'!$F22,Lista_CUIT!$A$1:$D$2241,4,0)),"CUIT NO CARGADO")</f>
        <v>0</v>
      </c>
    </row>
    <row r="23" spans="2:19" ht="15.75" customHeight="1" x14ac:dyDescent="0.25">
      <c r="B23" s="239">
        <v>45817</v>
      </c>
      <c r="C23" s="169">
        <v>1</v>
      </c>
      <c r="D23" s="170">
        <v>2</v>
      </c>
      <c r="E23" s="171">
        <v>799</v>
      </c>
      <c r="F23" s="172">
        <v>30718028112</v>
      </c>
      <c r="G23" s="173" t="str">
        <f>IFERROR(IF('Jun-26'!$F23="","-",VLOOKUP('Jun-26'!$F23,Lista_CUIT!$A$1:$D$2241,2,0)),"CUIT NO CARGADO")</f>
        <v>WARDON S. R. L.</v>
      </c>
      <c r="H23" s="174">
        <v>3363.62</v>
      </c>
      <c r="I23" s="175">
        <f>IF('Jun-26'!$H23="","",'Jun-26'!$H23*0.21)</f>
        <v>706.36019999999996</v>
      </c>
      <c r="J23" s="175"/>
      <c r="K23" s="175"/>
      <c r="L23" s="175"/>
      <c r="M23" s="175"/>
      <c r="N23" s="175"/>
      <c r="O23" s="175"/>
      <c r="P23" s="176">
        <f>SUM('Jun-26'!$H23:$O23)</f>
        <v>4069.9802</v>
      </c>
      <c r="Q23" s="177" t="str">
        <f>IFERROR(IF('Jun-26'!$F23="","-",VLOOKUP('Jun-26'!$F23,Lista_CUIT!$A$1:$D$2241,3,0)),"CUIT NO CARGADO")</f>
        <v>Servicios Informaticos</v>
      </c>
      <c r="R23" s="177">
        <f>IFERROR(IF('Jun-26'!$F23="","-",VLOOKUP('Jun-26'!$F23,Lista_CUIT!$A$1:$D$2241,4,0)),"CUIT NO CARGADO")</f>
        <v>0</v>
      </c>
      <c r="S23" s="10"/>
    </row>
    <row r="24" spans="2:19" ht="15.75" customHeight="1" x14ac:dyDescent="0.25">
      <c r="B24" s="239">
        <v>45817</v>
      </c>
      <c r="C24" s="169">
        <v>1</v>
      </c>
      <c r="D24" s="170">
        <v>2</v>
      </c>
      <c r="E24" s="171">
        <v>214</v>
      </c>
      <c r="F24" s="172">
        <v>20125142851</v>
      </c>
      <c r="G24" s="173" t="str">
        <f>IFERROR(IF('Jun-26'!$F24="","-",VLOOKUP('Jun-26'!$F24,Lista_CUIT!$A$1:$D$2241,2,0)),"CUIT NO CARGADO")</f>
        <v>FEDERICI NICOLAS JOSE</v>
      </c>
      <c r="H24" s="174">
        <v>96536</v>
      </c>
      <c r="I24" s="175">
        <f>IF('Jun-26'!$H24="","",'Jun-26'!$H24*0.21)</f>
        <v>20272.559999999998</v>
      </c>
      <c r="J24" s="175"/>
      <c r="K24" s="175"/>
      <c r="L24" s="175"/>
      <c r="M24" s="175"/>
      <c r="N24" s="175"/>
      <c r="O24" s="175"/>
      <c r="P24" s="176">
        <f>SUM('Jun-26'!$H24:$O24)</f>
        <v>116808.56</v>
      </c>
      <c r="Q24" s="177" t="str">
        <f>IFERROR(IF('Jun-26'!$F24="","-",VLOOKUP('Jun-26'!$F24,Lista_CUIT!$A$1:$D$2241,3,0)),"CUIT NO CARGADO")</f>
        <v>INSUMO</v>
      </c>
      <c r="R24" s="177">
        <f>IFERROR(IF('Jun-26'!$F24="","-",VLOOKUP('Jun-26'!$F24,Lista_CUIT!$A$1:$D$2241,4,0)),"CUIT NO CARGADO")</f>
        <v>0</v>
      </c>
      <c r="S24" s="10"/>
    </row>
    <row r="25" spans="2:19" ht="15.75" customHeight="1" x14ac:dyDescent="0.25">
      <c r="B25" s="239">
        <v>45825</v>
      </c>
      <c r="C25" s="169">
        <v>1</v>
      </c>
      <c r="D25" s="170">
        <v>106</v>
      </c>
      <c r="E25" s="171">
        <v>849425</v>
      </c>
      <c r="F25" s="172">
        <v>30594494187</v>
      </c>
      <c r="G25" s="173" t="str">
        <f>IFERROR(IF('Jun-26'!$F25="","-",VLOOKUP('Jun-26'!$F25,Lista_CUIT!$A$1:$D$2241,2,0)),"CUIT NO CARGADO")</f>
        <v>FEDERAL EXPRESS CORPORATION</v>
      </c>
      <c r="H25" s="174">
        <v>100800</v>
      </c>
      <c r="I25" s="175">
        <f>IF('Jun-26'!$H25="","",'Jun-26'!$H25*0.21)</f>
        <v>21168</v>
      </c>
      <c r="J25" s="175"/>
      <c r="K25" s="175"/>
      <c r="L25" s="175"/>
      <c r="M25" s="175"/>
      <c r="N25" s="175"/>
      <c r="O25" s="175">
        <v>546498.30000000005</v>
      </c>
      <c r="P25" s="176">
        <f>SUM('Jun-26'!$H25:$O25)</f>
        <v>668466.30000000005</v>
      </c>
      <c r="Q25" s="177" t="str">
        <f>IFERROR(IF('Jun-26'!$F25="","-",VLOOKUP('Jun-26'!$F25,Lista_CUIT!$A$1:$D$2241,3,0)),"CUIT NO CARGADO")</f>
        <v>Mercaderia</v>
      </c>
      <c r="R25" s="177">
        <f>IFERROR(IF('Jun-26'!$F25="","-",VLOOKUP('Jun-26'!$F25,Lista_CUIT!$A$1:$D$2241,4,0)),"CUIT NO CARGADO")</f>
        <v>0</v>
      </c>
      <c r="S25" s="10"/>
    </row>
    <row r="26" spans="2:19" ht="15.75" customHeight="1" x14ac:dyDescent="0.25">
      <c r="B26" s="239">
        <v>45825</v>
      </c>
      <c r="C26" s="169">
        <v>1</v>
      </c>
      <c r="D26" s="170">
        <v>106</v>
      </c>
      <c r="E26" s="171">
        <v>850560</v>
      </c>
      <c r="F26" s="172">
        <v>30594494187</v>
      </c>
      <c r="G26" s="173" t="str">
        <f>IFERROR(IF('Jun-26'!$F26="","-",VLOOKUP('Jun-26'!$F26,Lista_CUIT!$A$1:$D$2241,2,0)),"CUIT NO CARGADO")</f>
        <v>FEDERAL EXPRESS CORPORATION</v>
      </c>
      <c r="H26" s="174">
        <v>0</v>
      </c>
      <c r="I26" s="175">
        <f>IF('Jun-26'!$H26="","",'Jun-26'!$H26*0.21)</f>
        <v>0</v>
      </c>
      <c r="J26" s="175"/>
      <c r="K26" s="175"/>
      <c r="L26" s="175"/>
      <c r="M26" s="175"/>
      <c r="N26" s="175"/>
      <c r="O26" s="175">
        <v>492360</v>
      </c>
      <c r="P26" s="176">
        <f>SUM('Jun-26'!$H26:$O26)</f>
        <v>492360</v>
      </c>
      <c r="Q26" s="177" t="str">
        <f>IFERROR(IF('Jun-26'!$F26="","-",VLOOKUP('Jun-26'!$F26,Lista_CUIT!$A$1:$D$2241,3,0)),"CUIT NO CARGADO")</f>
        <v>Mercaderia</v>
      </c>
      <c r="R26" s="177">
        <f>IFERROR(IF('Jun-26'!$F26="","-",VLOOKUP('Jun-26'!$F26,Lista_CUIT!$A$1:$D$2241,4,0)),"CUIT NO CARGADO")</f>
        <v>0</v>
      </c>
      <c r="S26" s="10"/>
    </row>
    <row r="27" spans="2:19" ht="15.75" customHeight="1" x14ac:dyDescent="0.25">
      <c r="B27" s="239">
        <v>45826</v>
      </c>
      <c r="C27" s="169">
        <v>1</v>
      </c>
      <c r="D27" s="170">
        <v>2</v>
      </c>
      <c r="E27" s="171">
        <v>215</v>
      </c>
      <c r="F27" s="172">
        <v>20125142851</v>
      </c>
      <c r="G27" s="173" t="str">
        <f>IFERROR(IF('Jun-26'!$F27="","-",VLOOKUP('Jun-26'!$F27,Lista_CUIT!$A$1:$D$2241,2,0)),"CUIT NO CARGADO")</f>
        <v>FEDERICI NICOLAS JOSE</v>
      </c>
      <c r="H27" s="174">
        <v>2285563.67</v>
      </c>
      <c r="I27" s="175">
        <f>IF('Jun-26'!$H27="","",'Jun-26'!$H27*0.21)</f>
        <v>479968.37069999997</v>
      </c>
      <c r="J27" s="175"/>
      <c r="K27" s="175"/>
      <c r="L27" s="175"/>
      <c r="M27" s="175"/>
      <c r="N27" s="175"/>
      <c r="O27" s="175"/>
      <c r="P27" s="176">
        <f>SUM('Jun-26'!$H27:$O27)</f>
        <v>2765532.0406999998</v>
      </c>
      <c r="Q27" s="177" t="str">
        <f>IFERROR(IF('Jun-26'!$F27="","-",VLOOKUP('Jun-26'!$F27,Lista_CUIT!$A$1:$D$2241,3,0)),"CUIT NO CARGADO")</f>
        <v>INSUMO</v>
      </c>
      <c r="R27" s="177">
        <f>IFERROR(IF('Jun-26'!$F27="","-",VLOOKUP('Jun-26'!$F27,Lista_CUIT!$A$1:$D$2241,4,0)),"CUIT NO CARGADO")</f>
        <v>0</v>
      </c>
      <c r="S27" s="10"/>
    </row>
    <row r="28" spans="2:19" ht="15.75" customHeight="1" x14ac:dyDescent="0.25">
      <c r="B28" s="239">
        <v>45827</v>
      </c>
      <c r="C28" s="169">
        <v>1</v>
      </c>
      <c r="D28" s="170">
        <v>9</v>
      </c>
      <c r="E28" s="171">
        <v>13627</v>
      </c>
      <c r="F28" s="172">
        <v>30709531960</v>
      </c>
      <c r="G28" s="173" t="str">
        <f>IFERROR(IF('Jun-26'!$F28="","-",VLOOKUP('Jun-26'!$F28,Lista_CUIT!$A$1:$D$2241,2,0)),"CUIT NO CARGADO")</f>
        <v>CENTRO DE DISTRIBUCION SUR S R L</v>
      </c>
      <c r="H28" s="174">
        <v>34518.43</v>
      </c>
      <c r="I28" s="175">
        <f>IF('Jun-26'!$H28="","",'Jun-26'!$H28*0.21)</f>
        <v>7248.8702999999996</v>
      </c>
      <c r="J28" s="175"/>
      <c r="K28" s="175"/>
      <c r="L28" s="175"/>
      <c r="M28" s="175"/>
      <c r="N28" s="175"/>
      <c r="O28" s="175"/>
      <c r="P28" s="176">
        <f>SUM('Jun-26'!$H28:$O28)</f>
        <v>41767.300300000003</v>
      </c>
      <c r="Q28" s="177" t="str">
        <f>IFERROR(IF('Jun-26'!$F28="","-",VLOOKUP('Jun-26'!$F28,Lista_CUIT!$A$1:$D$2241,3,0)),"CUIT NO CARGADO")</f>
        <v>LIMPIEZA</v>
      </c>
      <c r="R28" s="177">
        <f>IFERROR(IF('Jun-26'!$F28="","-",VLOOKUP('Jun-26'!$F28,Lista_CUIT!$A$1:$D$2241,4,0)),"CUIT NO CARGADO")</f>
        <v>0</v>
      </c>
      <c r="S28" s="10"/>
    </row>
    <row r="29" spans="2:19" ht="15.75" customHeight="1" x14ac:dyDescent="0.25">
      <c r="B29" s="239">
        <v>45827</v>
      </c>
      <c r="C29" s="169">
        <v>1</v>
      </c>
      <c r="D29" s="170">
        <v>9</v>
      </c>
      <c r="E29" s="171">
        <v>13628</v>
      </c>
      <c r="F29" s="172">
        <v>30709531960</v>
      </c>
      <c r="G29" s="173" t="str">
        <f>IFERROR(IF('Jun-26'!$F29="","-",VLOOKUP('Jun-26'!$F29,Lista_CUIT!$A$1:$D$2241,2,0)),"CUIT NO CARGADO")</f>
        <v>CENTRO DE DISTRIBUCION SUR S R L</v>
      </c>
      <c r="H29" s="174">
        <v>27561.59</v>
      </c>
      <c r="I29" s="175">
        <f>IF('Jun-26'!$H29="","",'Jun-26'!$H29*0.21)</f>
        <v>5787.9339</v>
      </c>
      <c r="J29" s="175"/>
      <c r="K29" s="175"/>
      <c r="L29" s="175"/>
      <c r="M29" s="175"/>
      <c r="N29" s="175"/>
      <c r="O29" s="175"/>
      <c r="P29" s="176">
        <f>SUM('Jun-26'!$H29:$O29)</f>
        <v>33349.5239</v>
      </c>
      <c r="Q29" s="177" t="str">
        <f>IFERROR(IF('Jun-26'!$F29="","-",VLOOKUP('Jun-26'!$F29,Lista_CUIT!$A$1:$D$2241,3,0)),"CUIT NO CARGADO")</f>
        <v>LIMPIEZA</v>
      </c>
      <c r="R29" s="177">
        <f>IFERROR(IF('Jun-26'!$F29="","-",VLOOKUP('Jun-26'!$F29,Lista_CUIT!$A$1:$D$2241,4,0)),"CUIT NO CARGADO")</f>
        <v>0</v>
      </c>
      <c r="S29" s="10"/>
    </row>
    <row r="30" spans="2:19" ht="15.75" customHeight="1" x14ac:dyDescent="0.25">
      <c r="B30" s="239">
        <v>45828</v>
      </c>
      <c r="C30" s="169">
        <v>1</v>
      </c>
      <c r="D30" s="170">
        <v>7002</v>
      </c>
      <c r="E30" s="171">
        <v>22393</v>
      </c>
      <c r="F30" s="172">
        <v>30678774495</v>
      </c>
      <c r="G30" s="173" t="str">
        <f>IFERROR(IF('Jun-26'!$F30="","-",VLOOKUP('Jun-26'!$F30,Lista_CUIT!$A$1:$D$2241,2,0)),"CUIT NO CARGADO")</f>
        <v>OPER. DE EST. DE SERV. SA</v>
      </c>
      <c r="H30" s="174">
        <v>32105.45</v>
      </c>
      <c r="I30" s="175">
        <f>IF('Jun-26'!$H30="","",'Jun-26'!$H30*0.21)</f>
        <v>6742.1445000000003</v>
      </c>
      <c r="J30" s="175"/>
      <c r="K30" s="175"/>
      <c r="L30" s="175"/>
      <c r="M30" s="175"/>
      <c r="N30" s="175"/>
      <c r="O30" s="175">
        <v>8962.43</v>
      </c>
      <c r="P30" s="176">
        <f>SUM('Jun-26'!$H30:$O30)</f>
        <v>47810.0245</v>
      </c>
      <c r="Q30" s="177" t="str">
        <f>IFERROR(IF('Jun-26'!$F30="","-",VLOOKUP('Jun-26'!$F30,Lista_CUIT!$A$1:$D$2241,3,0)),"CUIT NO CARGADO")</f>
        <v>COMBUSTIBLE</v>
      </c>
      <c r="R30" s="177">
        <f>IFERROR(IF('Jun-26'!$F30="","-",VLOOKUP('Jun-26'!$F30,Lista_CUIT!$A$1:$D$2241,4,0)),"CUIT NO CARGADO")</f>
        <v>0</v>
      </c>
      <c r="S30" s="10"/>
    </row>
    <row r="31" spans="2:19" ht="15.75" customHeight="1" x14ac:dyDescent="0.25">
      <c r="B31" s="239">
        <v>45831</v>
      </c>
      <c r="C31" s="169">
        <v>1</v>
      </c>
      <c r="D31" s="170">
        <v>1</v>
      </c>
      <c r="E31" s="171">
        <v>955</v>
      </c>
      <c r="F31" s="172">
        <v>30715048066</v>
      </c>
      <c r="G31" s="173" t="str">
        <f>IFERROR(IF('Jun-26'!$F31="","-",VLOOKUP('Jun-26'!$F31,Lista_CUIT!$A$1:$D$2241,2,0)),"CUIT NO CARGADO")</f>
        <v>ROLLS Y EMPANADAS SA</v>
      </c>
      <c r="H31" s="174">
        <v>845210</v>
      </c>
      <c r="I31" s="175">
        <f>IF('Jun-26'!$H31="","",'Jun-26'!$H31*0.21)</f>
        <v>177494.1</v>
      </c>
      <c r="J31" s="175"/>
      <c r="K31" s="175"/>
      <c r="L31" s="175"/>
      <c r="M31" s="175"/>
      <c r="N31" s="175"/>
      <c r="O31" s="175"/>
      <c r="P31" s="176">
        <f>SUM('Jun-26'!$H31:$O31)</f>
        <v>1022704.1</v>
      </c>
      <c r="Q31" s="177" t="str">
        <f>IFERROR(IF('Jun-26'!$F31="","-",VLOOKUP('Jun-26'!$F31,Lista_CUIT!$A$1:$D$2241,3,0)),"CUIT NO CARGADO")</f>
        <v>CATERING</v>
      </c>
      <c r="R31" s="177">
        <f>IFERROR(IF('Jun-26'!$F31="","-",VLOOKUP('Jun-26'!$F31,Lista_CUIT!$A$1:$D$2241,4,0)),"CUIT NO CARGADO")</f>
        <v>0</v>
      </c>
      <c r="S31" s="10"/>
    </row>
    <row r="32" spans="2:19" ht="15.75" customHeight="1" x14ac:dyDescent="0.25">
      <c r="B32" s="239">
        <v>45831</v>
      </c>
      <c r="C32" s="169">
        <v>1</v>
      </c>
      <c r="D32" s="170">
        <v>2</v>
      </c>
      <c r="E32" s="171">
        <v>216</v>
      </c>
      <c r="F32" s="172">
        <v>20125142851</v>
      </c>
      <c r="G32" s="173" t="str">
        <f>IFERROR(IF('Jun-26'!$F32="","-",VLOOKUP('Jun-26'!$F32,Lista_CUIT!$A$1:$D$2241,2,0)),"CUIT NO CARGADO")</f>
        <v>FEDERICI NICOLAS JOSE</v>
      </c>
      <c r="H32" s="174">
        <v>245728</v>
      </c>
      <c r="I32" s="175">
        <f>IF('Jun-26'!$H32="","",'Jun-26'!$H32*0.21)</f>
        <v>51602.879999999997</v>
      </c>
      <c r="J32" s="175"/>
      <c r="K32" s="175"/>
      <c r="L32" s="175"/>
      <c r="M32" s="175"/>
      <c r="N32" s="175"/>
      <c r="O32" s="175"/>
      <c r="P32" s="176">
        <f>SUM('Jun-26'!$H32:$O32)</f>
        <v>297330.88</v>
      </c>
      <c r="Q32" s="177" t="str">
        <f>IFERROR(IF('Jun-26'!$F32="","-",VLOOKUP('Jun-26'!$F32,Lista_CUIT!$A$1:$D$2241,3,0)),"CUIT NO CARGADO")</f>
        <v>INSUMO</v>
      </c>
      <c r="R32" s="177">
        <f>IFERROR(IF('Jun-26'!$F32="","-",VLOOKUP('Jun-26'!$F32,Lista_CUIT!$A$1:$D$2241,4,0)),"CUIT NO CARGADO")</f>
        <v>0</v>
      </c>
      <c r="S32" s="10"/>
    </row>
    <row r="33" spans="2:19" ht="15.75" customHeight="1" x14ac:dyDescent="0.25">
      <c r="B33" s="239">
        <v>45832</v>
      </c>
      <c r="C33" s="169">
        <v>1</v>
      </c>
      <c r="D33" s="170">
        <v>2</v>
      </c>
      <c r="E33" s="171">
        <v>882</v>
      </c>
      <c r="F33" s="172">
        <v>20296550184</v>
      </c>
      <c r="G33" s="173" t="str">
        <f>IFERROR(IF('Jun-26'!$F33="","-",VLOOKUP('Jun-26'!$F33,Lista_CUIT!$A$1:$D$2241,2,0)),"CUIT NO CARGADO")</f>
        <v>COSTA DIEGO ALEJANDRO</v>
      </c>
      <c r="H33" s="174">
        <v>1007200</v>
      </c>
      <c r="I33" s="175">
        <f>IF('Jun-26'!$H33="","",'Jun-26'!$H33*0.21)</f>
        <v>211512</v>
      </c>
      <c r="J33" s="175"/>
      <c r="K33" s="175"/>
      <c r="L33" s="175"/>
      <c r="M33" s="175"/>
      <c r="N33" s="175"/>
      <c r="O33" s="175"/>
      <c r="P33" s="176">
        <f>SUM('Jun-26'!$H33:$O33)</f>
        <v>1218712</v>
      </c>
      <c r="Q33" s="177" t="str">
        <f>IFERROR(IF('Jun-26'!$F33="","-",VLOOKUP('Jun-26'!$F33,Lista_CUIT!$A$1:$D$2241,3,0)),"CUIT NO CARGADO")</f>
        <v>Mat. Prima</v>
      </c>
      <c r="R33" s="177">
        <f>IFERROR(IF('Jun-26'!$F33="","-",VLOOKUP('Jun-26'!$F33,Lista_CUIT!$A$1:$D$2241,4,0)),"CUIT NO CARGADO")</f>
        <v>0</v>
      </c>
      <c r="S33" s="10"/>
    </row>
    <row r="34" spans="2:19" ht="15.75" customHeight="1" x14ac:dyDescent="0.25">
      <c r="B34" s="239">
        <v>45833</v>
      </c>
      <c r="C34" s="169">
        <v>1</v>
      </c>
      <c r="D34" s="170">
        <v>6</v>
      </c>
      <c r="E34" s="171">
        <v>33256</v>
      </c>
      <c r="F34" s="172">
        <v>30708855533</v>
      </c>
      <c r="G34" s="173" t="str">
        <f>IFERROR(IF('Jun-26'!$F34="","-",VLOOKUP('Jun-26'!$F34,Lista_CUIT!$A$1:$D$2241,2,0)),"CUIT NO CARGADO")</f>
        <v>NOVARCHEM SA</v>
      </c>
      <c r="H34" s="174">
        <v>107004</v>
      </c>
      <c r="I34" s="175">
        <f>IF('Jun-26'!$H34="","",'Jun-26'!$H34*0.21)</f>
        <v>22470.84</v>
      </c>
      <c r="J34" s="175"/>
      <c r="K34" s="175"/>
      <c r="L34" s="175"/>
      <c r="M34" s="175"/>
      <c r="N34" s="175"/>
      <c r="O34" s="175"/>
      <c r="P34" s="176">
        <f>SUM('Jun-26'!$H34:$O34)</f>
        <v>129474.84</v>
      </c>
      <c r="Q34" s="177" t="str">
        <f>IFERROR(IF('Jun-26'!$F34="","-",VLOOKUP('Jun-26'!$F34,Lista_CUIT!$A$1:$D$2241,3,0)),"CUIT NO CARGADO")</f>
        <v>INSUMO</v>
      </c>
      <c r="R34" s="177">
        <f>IFERROR(IF('Jun-26'!$F34="","-",VLOOKUP('Jun-26'!$F34,Lista_CUIT!$A$1:$D$2241,4,0)),"CUIT NO CARGADO")</f>
        <v>0</v>
      </c>
      <c r="S34" s="10"/>
    </row>
    <row r="35" spans="2:19" ht="15.75" customHeight="1" x14ac:dyDescent="0.25">
      <c r="B35" s="239">
        <v>45833</v>
      </c>
      <c r="C35" s="169">
        <v>1</v>
      </c>
      <c r="D35" s="170">
        <v>11</v>
      </c>
      <c r="E35" s="171">
        <v>4271</v>
      </c>
      <c r="F35" s="172">
        <v>30646811062</v>
      </c>
      <c r="G35" s="173" t="str">
        <f>IFERROR(IF('Jun-26'!$F35="","-",VLOOKUP('Jun-26'!$F35,Lista_CUIT!$A$1:$D$2241,2,0)),"CUIT NO CARGADO")</f>
        <v>POLINORTE S A</v>
      </c>
      <c r="H35" s="174">
        <v>107157.02</v>
      </c>
      <c r="I35" s="175">
        <f>IF('Jun-26'!$H35="","",'Jun-26'!$H35*0.21)</f>
        <v>22502.974200000001</v>
      </c>
      <c r="J35" s="175"/>
      <c r="K35" s="175"/>
      <c r="L35" s="175"/>
      <c r="M35" s="175"/>
      <c r="N35" s="175"/>
      <c r="O35" s="175"/>
      <c r="P35" s="176">
        <f>SUM('Jun-26'!$H35:$O35)</f>
        <v>129659.9942</v>
      </c>
      <c r="Q35" s="177" t="str">
        <f>IFERROR(IF('Jun-26'!$F35="","-",VLOOKUP('Jun-26'!$F35,Lista_CUIT!$A$1:$D$2241,3,0)),"CUIT NO CARGADO")</f>
        <v>INSUMO</v>
      </c>
      <c r="R35" s="177">
        <f>IFERROR(IF('Jun-26'!$F35="","-",VLOOKUP('Jun-26'!$F35,Lista_CUIT!$A$1:$D$2241,4,0)),"CUIT NO CARGADO")</f>
        <v>0</v>
      </c>
      <c r="S35" s="10"/>
    </row>
    <row r="36" spans="2:19" ht="15.75" customHeight="1" x14ac:dyDescent="0.25">
      <c r="B36" s="239">
        <v>45834</v>
      </c>
      <c r="C36" s="169">
        <v>1</v>
      </c>
      <c r="D36" s="170">
        <v>11</v>
      </c>
      <c r="E36" s="171">
        <v>4282</v>
      </c>
      <c r="F36" s="172">
        <v>30646811062</v>
      </c>
      <c r="G36" s="173" t="str">
        <f>IFERROR(IF('Jun-26'!$F36="","-",VLOOKUP('Jun-26'!$F36,Lista_CUIT!$A$1:$D$2241,2,0)),"CUIT NO CARGADO")</f>
        <v>POLINORTE S A</v>
      </c>
      <c r="H36" s="174">
        <v>107122.31</v>
      </c>
      <c r="I36" s="175">
        <f>IF('Jun-26'!$H36="","",'Jun-26'!$H36*0.21)</f>
        <v>22495.685099999999</v>
      </c>
      <c r="J36" s="175"/>
      <c r="K36" s="175"/>
      <c r="L36" s="175"/>
      <c r="M36" s="175"/>
      <c r="N36" s="175"/>
      <c r="O36" s="175"/>
      <c r="P36" s="176">
        <f>SUM('Jun-26'!$H36:$O36)</f>
        <v>129617.9951</v>
      </c>
      <c r="Q36" s="177" t="str">
        <f>IFERROR(IF('Jun-26'!$F36="","-",VLOOKUP('Jun-26'!$F36,Lista_CUIT!$A$1:$D$2241,3,0)),"CUIT NO CARGADO")</f>
        <v>INSUMO</v>
      </c>
      <c r="R36" s="177">
        <f>IFERROR(IF('Jun-26'!$F36="","-",VLOOKUP('Jun-26'!$F36,Lista_CUIT!$A$1:$D$2241,4,0)),"CUIT NO CARGADO")</f>
        <v>0</v>
      </c>
      <c r="S36" s="10"/>
    </row>
    <row r="37" spans="2:19" ht="15.75" customHeight="1" x14ac:dyDescent="0.25">
      <c r="B37" s="239">
        <v>45838</v>
      </c>
      <c r="C37" s="169">
        <v>1</v>
      </c>
      <c r="D37" s="170">
        <v>106</v>
      </c>
      <c r="E37" s="171">
        <v>854361</v>
      </c>
      <c r="F37" s="172">
        <v>30594494187</v>
      </c>
      <c r="G37" s="173" t="str">
        <f>IFERROR(IF('Jun-26'!$F37="","-",VLOOKUP('Jun-26'!$F37,Lista_CUIT!$A$1:$D$2241,2,0)),"CUIT NO CARGADO")</f>
        <v>FEDERAL EXPRESS CORPORATION</v>
      </c>
      <c r="H37" s="174">
        <v>0</v>
      </c>
      <c r="I37" s="175">
        <f>IF('Jun-26'!$H37="","",'Jun-26'!$H37*0.21)</f>
        <v>0</v>
      </c>
      <c r="J37" s="175"/>
      <c r="K37" s="175"/>
      <c r="L37" s="175"/>
      <c r="M37" s="175"/>
      <c r="N37" s="175"/>
      <c r="O37" s="175">
        <v>769778.1</v>
      </c>
      <c r="P37" s="176">
        <f>SUM('Jun-26'!$H37:$O37)</f>
        <v>769778.1</v>
      </c>
      <c r="Q37" s="177" t="str">
        <f>IFERROR(IF('Jun-26'!$F37="","-",VLOOKUP('Jun-26'!$F37,Lista_CUIT!$A$1:$D$2241,3,0)),"CUIT NO CARGADO")</f>
        <v>Mercaderia</v>
      </c>
      <c r="R37" s="177">
        <f>IFERROR(IF('Jun-26'!$F37="","-",VLOOKUP('Jun-26'!$F37,Lista_CUIT!$A$1:$D$2241,4,0)),"CUIT NO CARGADO")</f>
        <v>0</v>
      </c>
      <c r="S37" s="10"/>
    </row>
    <row r="38" spans="2:19" ht="15.75" customHeight="1" x14ac:dyDescent="0.25">
      <c r="B38" s="239">
        <v>45812</v>
      </c>
      <c r="C38" s="169">
        <v>3</v>
      </c>
      <c r="D38" s="170">
        <v>8</v>
      </c>
      <c r="E38" s="171">
        <v>6302</v>
      </c>
      <c r="F38" s="172">
        <v>30709953482</v>
      </c>
      <c r="G38" s="173" t="str">
        <f>IFERROR(IF('Jun-26'!$F38="","-",VLOOKUP('Jun-26'!$F38,Lista_CUIT!$A$1:$D$2241,2,0)),"CUIT NO CARGADO")</f>
        <v>HONRE S.A</v>
      </c>
      <c r="H38" s="174">
        <v>-7189.26</v>
      </c>
      <c r="I38" s="175">
        <f>IF('Jun-26'!$H38="","",'Jun-26'!$H38*0.21)</f>
        <v>-1509.7446</v>
      </c>
      <c r="J38" s="175"/>
      <c r="K38" s="175"/>
      <c r="L38" s="175"/>
      <c r="M38" s="175"/>
      <c r="N38" s="175"/>
      <c r="O38" s="175"/>
      <c r="P38" s="176">
        <f>SUM('Jun-26'!$H38:$O38)</f>
        <v>-8699.0046000000002</v>
      </c>
      <c r="Q38" s="177" t="str">
        <f>IFERROR(IF('Jun-26'!$F38="","-",VLOOKUP('Jun-26'!$F38,Lista_CUIT!$A$1:$D$2241,3,0)),"CUIT NO CARGADO")</f>
        <v>GASTOS VARIOS</v>
      </c>
      <c r="R38" s="177">
        <f>IFERROR(IF('Jun-26'!$F38="","-",VLOOKUP('Jun-26'!$F38,Lista_CUIT!$A$1:$D$2241,4,0)),"CUIT NO CARGADO")</f>
        <v>0</v>
      </c>
      <c r="S38" s="10"/>
    </row>
    <row r="39" spans="2:19" ht="15.75" customHeight="1" x14ac:dyDescent="0.25">
      <c r="B39" s="239">
        <v>45812</v>
      </c>
      <c r="C39" s="169">
        <v>3</v>
      </c>
      <c r="D39" s="170">
        <v>10</v>
      </c>
      <c r="E39" s="171">
        <v>4501</v>
      </c>
      <c r="F39" s="172">
        <v>20357275882</v>
      </c>
      <c r="G39" s="173" t="str">
        <f>IFERROR(IF('Jun-26'!$F39="","-",VLOOKUP('Jun-26'!$F39,Lista_CUIT!$A$1:$D$2241,2,0)),"CUIT NO CARGADO")</f>
        <v>LAVADERO BLANCANIEVES</v>
      </c>
      <c r="H39" s="174">
        <v>-7429.75</v>
      </c>
      <c r="I39" s="175">
        <f>IF('Jun-26'!$H39="","",'Jun-26'!$H39*0.21)</f>
        <v>-1560.2474999999999</v>
      </c>
      <c r="J39" s="175"/>
      <c r="K39" s="175"/>
      <c r="L39" s="175"/>
      <c r="M39" s="175"/>
      <c r="N39" s="175"/>
      <c r="O39" s="175"/>
      <c r="P39" s="176">
        <f>SUM('Jun-26'!$H39:$O39)</f>
        <v>-8989.9974999999995</v>
      </c>
      <c r="Q39" s="177" t="str">
        <f>IFERROR(IF('Jun-26'!$F39="","-",VLOOKUP('Jun-26'!$F39,Lista_CUIT!$A$1:$D$2241,3,0)),"CUIT NO CARGADO")</f>
        <v>Seg e Higiene</v>
      </c>
      <c r="R39" s="177">
        <f>IFERROR(IF('Jun-26'!$F39="","-",VLOOKUP('Jun-26'!$F39,Lista_CUIT!$A$1:$D$2241,4,0)),"CUIT NO CARGADO")</f>
        <v>0</v>
      </c>
      <c r="S39" s="10"/>
    </row>
    <row r="40" spans="2:19" ht="15.75" customHeight="1" x14ac:dyDescent="0.25">
      <c r="B40" s="239">
        <v>45834</v>
      </c>
      <c r="C40" s="169">
        <v>3</v>
      </c>
      <c r="D40" s="170">
        <v>11</v>
      </c>
      <c r="E40" s="171">
        <v>247</v>
      </c>
      <c r="F40" s="172">
        <v>30646811062</v>
      </c>
      <c r="G40" s="173" t="str">
        <f>IFERROR(IF('Jun-26'!$F40="","-",VLOOKUP('Jun-26'!$F40,Lista_CUIT!$A$1:$D$2241,2,0)),"CUIT NO CARGADO")</f>
        <v>POLINORTE S A</v>
      </c>
      <c r="H40" s="174">
        <v>-107157.02</v>
      </c>
      <c r="I40" s="175">
        <f>IF('Jun-26'!$H40="","",'Jun-26'!$H40*0.21)</f>
        <v>-22502.974200000001</v>
      </c>
      <c r="J40" s="175"/>
      <c r="K40" s="175"/>
      <c r="L40" s="175"/>
      <c r="M40" s="175"/>
      <c r="N40" s="175"/>
      <c r="O40" s="175"/>
      <c r="P40" s="176">
        <f>SUM('Jun-26'!$H40:$O40)</f>
        <v>-129659.9942</v>
      </c>
      <c r="Q40" s="177" t="str">
        <f>IFERROR(IF('Jun-26'!$F40="","-",VLOOKUP('Jun-26'!$F40,Lista_CUIT!$A$1:$D$2241,3,0)),"CUIT NO CARGADO")</f>
        <v>INSUMO</v>
      </c>
      <c r="R40" s="177">
        <f>IFERROR(IF('Jun-26'!$F40="","-",VLOOKUP('Jun-26'!$F40,Lista_CUIT!$A$1:$D$2241,4,0)),"CUIT NO CARGADO")</f>
        <v>0</v>
      </c>
      <c r="S40" s="10"/>
    </row>
    <row r="41" spans="2:19" ht="15.75" customHeight="1" x14ac:dyDescent="0.25">
      <c r="B41" s="239"/>
      <c r="C41" s="169"/>
      <c r="D41" s="170"/>
      <c r="E41" s="171"/>
      <c r="F41" s="172"/>
      <c r="G41" s="173" t="str">
        <f>IFERROR(IF('Jun-26'!$F41="","-",VLOOKUP('Jun-26'!$F41,Lista_CUIT!$A$1:$D$2241,2,0)),"CUIT NO CARGADO")</f>
        <v>-</v>
      </c>
      <c r="H41" s="174"/>
      <c r="I41" s="175" t="str">
        <f>IF('Jun-26'!$H41="","",'Jun-26'!$H41*0.21)</f>
        <v/>
      </c>
      <c r="J41" s="175"/>
      <c r="K41" s="175"/>
      <c r="L41" s="175"/>
      <c r="M41" s="175"/>
      <c r="N41" s="175"/>
      <c r="O41" s="175"/>
      <c r="P41" s="176">
        <f>SUM('Jun-26'!$H41:$O41)</f>
        <v>0</v>
      </c>
      <c r="Q41" s="177" t="str">
        <f>IFERROR(IF('Jun-26'!$F41="","-",VLOOKUP('Jun-26'!$F41,Lista_CUIT!$A$1:$D$2241,3,0)),"CUIT NO CARGADO")</f>
        <v>-</v>
      </c>
      <c r="R41" s="177" t="str">
        <f>IFERROR(IF('Jun-26'!$F41="","-",VLOOKUP('Jun-26'!$F41,Lista_CUIT!$A$1:$D$2241,4,0)),"CUIT NO CARGADO")</f>
        <v>-</v>
      </c>
      <c r="S41" s="105" t="s">
        <v>1373</v>
      </c>
    </row>
    <row r="42" spans="2:19" ht="15.75" customHeight="1" x14ac:dyDescent="0.25">
      <c r="B42" s="239"/>
      <c r="C42" s="169"/>
      <c r="D42" s="170"/>
      <c r="E42" s="171"/>
      <c r="F42" s="172"/>
      <c r="G42" s="173" t="str">
        <f>IFERROR(IF('Jun-26'!$F42="","-",VLOOKUP('Jun-26'!$F42,Lista_CUIT!$A$1:$D$2241,2,0)),"CUIT NO CARGADO")</f>
        <v>-</v>
      </c>
      <c r="H42" s="174"/>
      <c r="I42" s="175" t="str">
        <f>IF('Jun-26'!$H42="","",'Jun-26'!$H42*0.21)</f>
        <v/>
      </c>
      <c r="J42" s="175"/>
      <c r="K42" s="175"/>
      <c r="L42" s="175"/>
      <c r="M42" s="175"/>
      <c r="N42" s="175"/>
      <c r="O42" s="175"/>
      <c r="P42" s="176">
        <f>SUM('Jun-26'!$H42:$O42)</f>
        <v>0</v>
      </c>
      <c r="Q42" s="177" t="str">
        <f>IFERROR(IF('Jun-26'!$F42="","-",VLOOKUP('Jun-26'!$F42,Lista_CUIT!$A$1:$D$2241,3,0)),"CUIT NO CARGADO")</f>
        <v>-</v>
      </c>
      <c r="R42" s="177" t="str">
        <f>IFERROR(IF('Jun-26'!$F42="","-",VLOOKUP('Jun-26'!$F42,Lista_CUIT!$A$1:$D$2241,4,0)),"CUIT NO CARGADO")</f>
        <v>-</v>
      </c>
      <c r="S42" s="105" t="s">
        <v>1373</v>
      </c>
    </row>
    <row r="43" spans="2:19" ht="15.75" customHeight="1" x14ac:dyDescent="0.25">
      <c r="B43" s="239"/>
      <c r="C43" s="169"/>
      <c r="D43" s="170"/>
      <c r="E43" s="171"/>
      <c r="F43" s="172"/>
      <c r="G43" s="173" t="str">
        <f>IFERROR(IF('Jun-26'!$F43="","-",VLOOKUP('Jun-26'!$F43,Lista_CUIT!$A$1:$D$2241,2,0)),"CUIT NO CARGADO")</f>
        <v>-</v>
      </c>
      <c r="H43" s="174"/>
      <c r="I43" s="175" t="str">
        <f>IF('Jun-26'!$H43="","",'Jun-26'!$H43*0.21)</f>
        <v/>
      </c>
      <c r="J43" s="175"/>
      <c r="K43" s="175"/>
      <c r="L43" s="175"/>
      <c r="M43" s="175"/>
      <c r="N43" s="175"/>
      <c r="O43" s="175"/>
      <c r="P43" s="176">
        <f>SUM('Jun-26'!$H43:$O43)</f>
        <v>0</v>
      </c>
      <c r="Q43" s="177" t="str">
        <f>IFERROR(IF('Jun-26'!$F43="","-",VLOOKUP('Jun-26'!$F43,Lista_CUIT!$A$1:$D$2241,3,0)),"CUIT NO CARGADO")</f>
        <v>-</v>
      </c>
      <c r="R43" s="177" t="str">
        <f>IFERROR(IF('Jun-26'!$F43="","-",VLOOKUP('Jun-26'!$F43,Lista_CUIT!$A$1:$D$2241,4,0)),"CUIT NO CARGADO")</f>
        <v>-</v>
      </c>
      <c r="S43" s="10"/>
    </row>
    <row r="44" spans="2:19" ht="18" customHeight="1" x14ac:dyDescent="0.25">
      <c r="B44" s="21" t="s">
        <v>1336</v>
      </c>
      <c r="C44" s="21"/>
      <c r="D44" s="21"/>
      <c r="E44" s="21"/>
      <c r="F44" s="21"/>
      <c r="G44" s="17"/>
      <c r="H44" s="18">
        <f>SUBTOTAL(109,'Jun-26'!$H$9:$H$43)</f>
        <v>12746808.57</v>
      </c>
      <c r="I44" s="18">
        <f>SUBTOTAL(109,'Jun-26'!$I$9:$I$43)</f>
        <v>2676829.7996999999</v>
      </c>
      <c r="J44" s="18">
        <f>SUBTOTAL(109,'Jun-26'!$J$9:$J$43)</f>
        <v>0</v>
      </c>
      <c r="K44" s="18">
        <f>SUBTOTAL(109,'Jun-26'!$K$9:$K$43)</f>
        <v>0</v>
      </c>
      <c r="L44" s="18">
        <f>SUBTOTAL(109,'Jun-26'!$L$9:$L$43)</f>
        <v>0</v>
      </c>
      <c r="M44" s="18">
        <f>SUBTOTAL(109,'Jun-26'!$M$9:$M$43)</f>
        <v>0</v>
      </c>
      <c r="N44" s="18">
        <f>SUBTOTAL(109,'Jun-26'!$N$9:$N$43)</f>
        <v>0</v>
      </c>
      <c r="O44" s="18">
        <f>SUBTOTAL(109,'Jun-26'!$O$9:$O$43)</f>
        <v>2095131.31</v>
      </c>
      <c r="P44" s="18">
        <f>SUBTOTAL(109,'Jun-26'!$P$9:$P$43)</f>
        <v>17518769.67970001</v>
      </c>
      <c r="Q44" s="21"/>
      <c r="R44" s="21"/>
    </row>
    <row r="45" spans="2:19" ht="15.75" customHeight="1" x14ac:dyDescent="0.25">
      <c r="B45" s="12"/>
      <c r="C45" s="13"/>
      <c r="D45" s="14"/>
      <c r="E45" s="15"/>
      <c r="F45" s="16"/>
      <c r="G45" s="17"/>
      <c r="H45" s="106"/>
      <c r="I45" s="19"/>
      <c r="J45" s="19"/>
      <c r="K45" s="19"/>
      <c r="L45" s="19"/>
      <c r="M45" s="19"/>
      <c r="N45" s="19"/>
      <c r="O45" s="19"/>
      <c r="P45" s="20"/>
      <c r="Q45" s="21"/>
      <c r="R45" s="21"/>
    </row>
    <row r="46" spans="2:19" ht="15.75" customHeight="1" x14ac:dyDescent="0.25">
      <c r="B46" s="12"/>
      <c r="C46" s="13"/>
      <c r="D46" s="14"/>
      <c r="E46" s="15"/>
      <c r="F46" s="16"/>
      <c r="G46" s="17"/>
      <c r="H46" s="18"/>
      <c r="I46" s="19"/>
      <c r="J46" s="19"/>
      <c r="K46" s="19"/>
      <c r="L46" s="19"/>
      <c r="M46" s="19"/>
      <c r="N46" s="19"/>
      <c r="O46" s="19"/>
      <c r="P46" s="20"/>
      <c r="Q46" s="21"/>
      <c r="R46" s="21"/>
    </row>
    <row r="47" spans="2:19" ht="15.75" customHeight="1" x14ac:dyDescent="0.25">
      <c r="B47" s="12"/>
      <c r="C47" s="13"/>
      <c r="D47" s="14"/>
      <c r="E47" s="15"/>
      <c r="F47" s="16"/>
      <c r="G47" s="17"/>
      <c r="H47" s="18"/>
      <c r="I47" s="19"/>
      <c r="J47" s="19"/>
      <c r="K47" s="19"/>
      <c r="L47" s="19"/>
    </row>
    <row r="48" spans="2:19" ht="15.75" customHeight="1" x14ac:dyDescent="0.25">
      <c r="D48" s="456" t="s">
        <v>1337</v>
      </c>
      <c r="E48" s="448"/>
      <c r="F48" s="448"/>
      <c r="G48" s="448"/>
      <c r="H48" s="448"/>
      <c r="I48" s="448"/>
      <c r="J48" s="448"/>
      <c r="K48" s="448"/>
      <c r="L48" s="449"/>
    </row>
    <row r="49" spans="3:12" ht="15.75" customHeight="1" x14ac:dyDescent="0.25">
      <c r="D49" s="24" t="s">
        <v>1322</v>
      </c>
      <c r="E49" s="25" t="s">
        <v>1338</v>
      </c>
      <c r="F49" s="25" t="s">
        <v>1339</v>
      </c>
      <c r="G49" s="25" t="s">
        <v>1340</v>
      </c>
      <c r="H49" s="25" t="s">
        <v>1341</v>
      </c>
      <c r="I49" s="25" t="s">
        <v>1329</v>
      </c>
      <c r="J49" s="26" t="s">
        <v>1342</v>
      </c>
      <c r="K49" s="26" t="s">
        <v>1343</v>
      </c>
      <c r="L49" s="27" t="s">
        <v>1344</v>
      </c>
    </row>
    <row r="50" spans="3:12" ht="15.75" customHeight="1" x14ac:dyDescent="0.25">
      <c r="C50" t="s">
        <v>1510</v>
      </c>
      <c r="D50" s="12">
        <v>45821</v>
      </c>
      <c r="E50" s="15">
        <v>1119704000</v>
      </c>
      <c r="F50" s="29" t="s">
        <v>1372</v>
      </c>
      <c r="G50" s="31">
        <v>29550</v>
      </c>
      <c r="H50" s="31">
        <f>'Jun-26'!$G50*0.21</f>
        <v>6205.5</v>
      </c>
      <c r="I50" s="31"/>
      <c r="J50" s="31"/>
      <c r="K50" s="31">
        <v>886.5</v>
      </c>
      <c r="L50" s="31"/>
    </row>
    <row r="51" spans="3:12" ht="15.75" customHeight="1" x14ac:dyDescent="0.25">
      <c r="D51" s="12"/>
      <c r="E51" s="15"/>
      <c r="F51" s="29"/>
      <c r="G51" s="31"/>
      <c r="H51" s="31">
        <f>'Jun-26'!$G51*0.21</f>
        <v>0</v>
      </c>
      <c r="I51" s="31"/>
      <c r="J51" s="31"/>
      <c r="K51" s="31"/>
      <c r="L51" s="31"/>
    </row>
    <row r="52" spans="3:12" ht="15.75" customHeight="1" x14ac:dyDescent="0.25">
      <c r="D52" s="12"/>
      <c r="E52" s="15"/>
      <c r="F52" s="29"/>
      <c r="G52" s="31"/>
      <c r="H52" s="31">
        <f>'Jun-26'!$G52*0.21</f>
        <v>0</v>
      </c>
      <c r="I52" s="31"/>
      <c r="J52" s="31"/>
      <c r="K52" s="31"/>
      <c r="L52" s="31"/>
    </row>
    <row r="53" spans="3:12" ht="17.25" customHeight="1" x14ac:dyDescent="0.25">
      <c r="D53" s="21" t="s">
        <v>1336</v>
      </c>
      <c r="E53" s="29"/>
      <c r="F53" s="29"/>
      <c r="G53" s="31">
        <f>SUBTOTAL(109,'Jun-26'!$G$50:$G$52)</f>
        <v>29550</v>
      </c>
      <c r="H53" s="31">
        <f>SUBTOTAL(109,'Jun-26'!$H$50:$H$52)</f>
        <v>6205.5</v>
      </c>
      <c r="I53" s="31">
        <f>SUBTOTAL(109,'Jun-26'!$I$50:$I$52)</f>
        <v>0</v>
      </c>
      <c r="J53" s="31">
        <f>SUBTOTAL(109,'Jun-26'!$J$50:$J$52)</f>
        <v>0</v>
      </c>
      <c r="K53" s="31">
        <f>SUBTOTAL(109,'Jun-26'!$K$50:$K$52)</f>
        <v>886.5</v>
      </c>
      <c r="L53" s="31">
        <f>SUBTOTAL(109,'Jun-26'!$L$50:$L$52)</f>
        <v>0</v>
      </c>
    </row>
    <row r="54" spans="3:12" ht="15.75" customHeight="1" x14ac:dyDescent="0.25"/>
    <row r="55" spans="3:12" ht="15.75" customHeight="1" x14ac:dyDescent="0.25">
      <c r="D55" s="456" t="s">
        <v>1348</v>
      </c>
      <c r="E55" s="448"/>
      <c r="F55" s="448"/>
      <c r="G55" s="448"/>
      <c r="H55" s="448"/>
      <c r="I55" s="448"/>
      <c r="J55" s="448"/>
      <c r="K55" s="449"/>
    </row>
    <row r="56" spans="3:12" ht="15.75" customHeight="1" x14ac:dyDescent="0.25">
      <c r="D56" s="35" t="s">
        <v>1322</v>
      </c>
      <c r="E56" s="35" t="s">
        <v>1324</v>
      </c>
      <c r="F56" s="35" t="s">
        <v>1349</v>
      </c>
      <c r="G56" s="35" t="s">
        <v>0</v>
      </c>
      <c r="H56" s="35" t="s">
        <v>1</v>
      </c>
      <c r="I56" s="36" t="s">
        <v>1334</v>
      </c>
      <c r="J56" s="35" t="s">
        <v>1350</v>
      </c>
      <c r="K56" s="35" t="s">
        <v>1335</v>
      </c>
    </row>
    <row r="57" spans="3:12" ht="15.75" customHeight="1" x14ac:dyDescent="0.25">
      <c r="D57" s="12">
        <v>45809</v>
      </c>
      <c r="E57" s="13">
        <v>1</v>
      </c>
      <c r="F57" s="38">
        <v>50</v>
      </c>
      <c r="G57" s="39">
        <v>20365938688</v>
      </c>
      <c r="H57" s="40" t="str">
        <f>IFERROR(IF('Jun-26'!$G57="","-",VLOOKUP('Jun-26'!$G57,Lista_CUIT!$A$1:$D$2241,2,0)),"CUIT NO CARGADO")</f>
        <v>LIPANOVICH JUAN CRUZ</v>
      </c>
      <c r="I57" s="41">
        <v>1476679</v>
      </c>
      <c r="J57" s="42" t="str">
        <f>IFERROR(IF('Jun-26'!$G57="","-",VLOOKUP('Jun-26'!$G57,Lista_CUIT!$A$1:$D$2241,3,0)),"CUIT NO CARGADO")</f>
        <v>SOFTWARE</v>
      </c>
      <c r="K57" s="42">
        <f>IFERROR(IF('Jun-26'!$G57="","-",VLOOKUP('Jun-26'!$G57,Lista_CUIT!$A$1:$D$2241,4,0)),"CUIT NO CARGADO")</f>
        <v>0</v>
      </c>
    </row>
    <row r="58" spans="3:12" ht="15.75" customHeight="1" x14ac:dyDescent="0.25">
      <c r="D58" s="12">
        <v>45810</v>
      </c>
      <c r="E58" s="13">
        <v>4</v>
      </c>
      <c r="F58" s="38">
        <v>30</v>
      </c>
      <c r="G58" s="39">
        <v>20086277523</v>
      </c>
      <c r="H58" s="40" t="str">
        <f>IFERROR(IF('Jun-26'!$G58="","-",VLOOKUP('Jun-26'!$G58,Lista_CUIT!$A$1:$D$2241,2,0)),"CUIT NO CARGADO")</f>
        <v>ESTUDIO BOTINDARI</v>
      </c>
      <c r="I58" s="41">
        <v>335000</v>
      </c>
      <c r="J58" s="42" t="str">
        <f>IFERROR(IF('Jun-26'!$G58="","-",VLOOKUP('Jun-26'!$G58,Lista_CUIT!$A$1:$D$2241,3,0)),"CUIT NO CARGADO")</f>
        <v>Honorarios Contables</v>
      </c>
      <c r="K58" s="42">
        <f>IFERROR(IF('Jun-26'!$G58="","-",VLOOKUP('Jun-26'!$G58,Lista_CUIT!$A$1:$D$2241,4,0)),"CUIT NO CARGADO")</f>
        <v>0</v>
      </c>
    </row>
    <row r="59" spans="3:12" ht="15.75" customHeight="1" x14ac:dyDescent="0.25">
      <c r="D59" s="12">
        <v>45810</v>
      </c>
      <c r="E59" s="13">
        <v>1</v>
      </c>
      <c r="F59" s="38">
        <v>41</v>
      </c>
      <c r="G59" s="39">
        <v>27387896150</v>
      </c>
      <c r="H59" s="40" t="str">
        <f>IFERROR(IF('Jun-26'!$G59="","-",VLOOKUP('Jun-26'!$G59,Lista_CUIT!$A$1:$D$2241,2,0)),"CUIT NO CARGADO")</f>
        <v>LIPANOVICH MARIA SOL</v>
      </c>
      <c r="I59" s="41">
        <v>1722951</v>
      </c>
      <c r="J59" s="42" t="str">
        <f>IFERROR(IF('Jun-26'!$G59="","-",VLOOKUP('Jun-26'!$G59,Lista_CUIT!$A$1:$D$2241,3,0)),"CUIT NO CARGADO")</f>
        <v>consultoria informatica</v>
      </c>
      <c r="K59" s="42">
        <f>IFERROR(IF('Jun-26'!$G59="","-",VLOOKUP('Jun-26'!$G59,Lista_CUIT!$A$1:$D$2241,4,0)),"CUIT NO CARGADO")</f>
        <v>0</v>
      </c>
    </row>
    <row r="60" spans="3:12" ht="15.75" customHeight="1" x14ac:dyDescent="0.25">
      <c r="D60" s="12">
        <v>45810</v>
      </c>
      <c r="E60" s="13">
        <v>1</v>
      </c>
      <c r="F60" s="38">
        <v>113</v>
      </c>
      <c r="G60" s="39">
        <v>20341465134</v>
      </c>
      <c r="H60" s="40" t="str">
        <f>IFERROR(IF('Jun-26'!$G60="","-",VLOOKUP('Jun-26'!$G60,Lista_CUIT!$A$1:$D$2241,2,0)),"CUIT NO CARGADO")</f>
        <v>ABELEDO AGUSTIN ENRIQUE</v>
      </c>
      <c r="I60" s="41">
        <v>2248500</v>
      </c>
      <c r="J60" s="42" t="str">
        <f>IFERROR(IF('Jun-26'!$G60="","-",VLOOKUP('Jun-26'!$G60,Lista_CUIT!$A$1:$D$2241,3,0)),"CUIT NO CARGADO")</f>
        <v>Mantenimiento</v>
      </c>
      <c r="K60" s="42" t="str">
        <f>IFERROR(IF('Jun-26'!$G60="","-",VLOOKUP('Jun-26'!$G60,Lista_CUIT!$A$1:$D$2241,4,0)),"CUIT NO CARGADO")</f>
        <v>CABA</v>
      </c>
    </row>
    <row r="61" spans="3:12" ht="15.75" customHeight="1" x14ac:dyDescent="0.25">
      <c r="D61" s="12">
        <v>45810</v>
      </c>
      <c r="E61" s="13">
        <v>2</v>
      </c>
      <c r="F61" s="38">
        <v>281</v>
      </c>
      <c r="G61" s="39">
        <v>27173820866</v>
      </c>
      <c r="H61" s="40" t="str">
        <f>IFERROR(IF('Jun-26'!$G61="","-",VLOOKUP('Jun-26'!$G61,Lista_CUIT!$A$1:$D$2241,2,0)),"CUIT NO CARGADO")</f>
        <v>FREIER SANDRA DANIELA</v>
      </c>
      <c r="I61" s="41">
        <v>1120000</v>
      </c>
      <c r="J61" s="42" t="str">
        <f>IFERROR(IF('Jun-26'!$G61="","-",VLOOKUP('Jun-26'!$G61,Lista_CUIT!$A$1:$D$2241,3,0)),"CUIT NO CARGADO")</f>
        <v>Honorarios Prof</v>
      </c>
      <c r="K61" s="42">
        <f>IFERROR(IF('Jun-26'!$G61="","-",VLOOKUP('Jun-26'!$G61,Lista_CUIT!$A$1:$D$2241,4,0)),"CUIT NO CARGADO")</f>
        <v>0</v>
      </c>
    </row>
    <row r="62" spans="3:12" ht="15.75" customHeight="1" x14ac:dyDescent="0.25">
      <c r="D62" s="12">
        <v>45811</v>
      </c>
      <c r="E62" s="13">
        <v>1</v>
      </c>
      <c r="F62" s="38">
        <v>30</v>
      </c>
      <c r="G62" s="39">
        <v>20419155870</v>
      </c>
      <c r="H62" s="40" t="str">
        <f>IFERROR(IF('Jun-26'!$G62="","-",VLOOKUP('Jun-26'!$G62,Lista_CUIT!$A$1:$D$2241,2,0)),"CUIT NO CARGADO")</f>
        <v>GULLO GASPAR</v>
      </c>
      <c r="I62" s="41">
        <v>75000</v>
      </c>
      <c r="J62" s="42" t="str">
        <f>IFERROR(IF('Jun-26'!$G62="","-",VLOOKUP('Jun-26'!$G62,Lista_CUIT!$A$1:$D$2241,3,0)),"CUIT NO CARGADO")</f>
        <v>Honorarios Contables</v>
      </c>
      <c r="K62" s="42">
        <f>IFERROR(IF('Jun-26'!$G62="","-",VLOOKUP('Jun-26'!$G62,Lista_CUIT!$A$1:$D$2241,4,0)),"CUIT NO CARGADO")</f>
        <v>0</v>
      </c>
    </row>
    <row r="63" spans="3:12" ht="15.75" customHeight="1" x14ac:dyDescent="0.25">
      <c r="D63" s="12">
        <v>45811</v>
      </c>
      <c r="E63" s="13">
        <v>2</v>
      </c>
      <c r="F63" s="38">
        <v>20</v>
      </c>
      <c r="G63" s="39">
        <v>23118167279</v>
      </c>
      <c r="H63" s="40" t="str">
        <f>IFERROR(IF('Jun-26'!$G63="","-",VLOOKUP('Jun-26'!$G63,Lista_CUIT!$A$1:$D$2241,2,0)),"CUIT NO CARGADO")</f>
        <v>ABELEDO ENRIQUE JUAN</v>
      </c>
      <c r="I63" s="41">
        <v>2756000</v>
      </c>
      <c r="J63" s="42" t="str">
        <f>IFERROR(IF('Jun-26'!$G63="","-",VLOOKUP('Jun-26'!$G63,Lista_CUIT!$A$1:$D$2241,3,0)),"CUIT NO CARGADO")</f>
        <v>Honorarios Admin</v>
      </c>
      <c r="K63" s="42">
        <f>IFERROR(IF('Jun-26'!$G63="","-",VLOOKUP('Jun-26'!$G63,Lista_CUIT!$A$1:$D$2241,4,0)),"CUIT NO CARGADO")</f>
        <v>0</v>
      </c>
    </row>
    <row r="64" spans="3:12" ht="15.75" customHeight="1" x14ac:dyDescent="0.25">
      <c r="D64" s="12">
        <v>45811</v>
      </c>
      <c r="E64" s="13">
        <v>1</v>
      </c>
      <c r="F64" s="38">
        <v>152</v>
      </c>
      <c r="G64" s="39">
        <v>20389908569</v>
      </c>
      <c r="H64" s="40" t="str">
        <f>IFERROR(IF('Jun-26'!$G64="","-",VLOOKUP('Jun-26'!$G64,Lista_CUIT!$A$1:$D$2241,2,0)),"CUIT NO CARGADO")</f>
        <v>BOTINDARI JUAN IGNACIO</v>
      </c>
      <c r="I64" s="41">
        <v>102700</v>
      </c>
      <c r="J64" s="42" t="str">
        <f>IFERROR(IF('Jun-26'!$G64="","-",VLOOKUP('Jun-26'!$G64,Lista_CUIT!$A$1:$D$2241,3,0)),"CUIT NO CARGADO")</f>
        <v>Honorarios Contables</v>
      </c>
      <c r="K64" s="42">
        <f>IFERROR(IF('Jun-26'!$G64="","-",VLOOKUP('Jun-26'!$G64,Lista_CUIT!$A$1:$D$2241,4,0)),"CUIT NO CARGADO")</f>
        <v>0</v>
      </c>
    </row>
    <row r="65" spans="2:18" ht="15.75" customHeight="1" x14ac:dyDescent="0.25">
      <c r="D65" s="12">
        <v>45812</v>
      </c>
      <c r="E65" s="13">
        <v>4</v>
      </c>
      <c r="F65" s="38">
        <v>94</v>
      </c>
      <c r="G65" s="39">
        <v>23214737914</v>
      </c>
      <c r="H65" s="40" t="str">
        <f>IFERROR(IF('Jun-26'!$G65="","-",VLOOKUP('Jun-26'!$G65,Lista_CUIT!$A$1:$D$2241,2,0)),"CUIT NO CARGADO")</f>
        <v>SBARRA GABRIELA BEATRIZ</v>
      </c>
      <c r="I65" s="41">
        <v>1332330</v>
      </c>
      <c r="J65" s="42" t="str">
        <f>IFERROR(IF('Jun-26'!$G65="","-",VLOOKUP('Jun-26'!$G65,Lista_CUIT!$A$1:$D$2241,3,0)),"CUIT NO CARGADO")</f>
        <v>Honorarios Admin</v>
      </c>
      <c r="K65" s="42">
        <f>IFERROR(IF('Jun-26'!$G65="","-",VLOOKUP('Jun-26'!$G65,Lista_CUIT!$A$1:$D$2241,4,0)),"CUIT NO CARGADO")</f>
        <v>0</v>
      </c>
    </row>
    <row r="66" spans="2:18" ht="15.75" customHeight="1" x14ac:dyDescent="0.25">
      <c r="D66" s="12">
        <v>45813</v>
      </c>
      <c r="E66" s="13">
        <v>1</v>
      </c>
      <c r="F66" s="38">
        <v>137</v>
      </c>
      <c r="G66" s="39">
        <v>20307805880</v>
      </c>
      <c r="H66" s="40" t="str">
        <f>IFERROR(IF('Jun-26'!$G66="","-",VLOOKUP('Jun-26'!$G66,Lista_CUIT!$A$1:$D$2241,2,0)),"CUIT NO CARGADO")</f>
        <v>CUIT NO CARGADO</v>
      </c>
      <c r="I66" s="41">
        <v>400000</v>
      </c>
      <c r="J66" s="42" t="str">
        <f>IFERROR(IF('Jun-26'!$G66="","-",VLOOKUP('Jun-26'!$G66,Lista_CUIT!$A$1:$D$2241,3,0)),"CUIT NO CARGADO")</f>
        <v>CUIT NO CARGADO</v>
      </c>
      <c r="K66" s="42" t="str">
        <f>IFERROR(IF('Jun-26'!$G66="","-",VLOOKUP('Jun-26'!$G66,Lista_CUIT!$A$1:$D$2241,4,0)),"CUIT NO CARGADO")</f>
        <v>CUIT NO CARGADO</v>
      </c>
    </row>
    <row r="67" spans="2:18" ht="15.75" customHeight="1" x14ac:dyDescent="0.25">
      <c r="D67" s="12">
        <v>45814</v>
      </c>
      <c r="E67" s="13">
        <v>1</v>
      </c>
      <c r="F67" s="38">
        <v>829</v>
      </c>
      <c r="G67" s="39">
        <v>20332167481</v>
      </c>
      <c r="H67" s="40" t="str">
        <f>IFERROR(IF('Jun-26'!$G67="","-",VLOOKUP('Jun-26'!$G67,Lista_CUIT!$A$1:$D$2241,2,0)),"CUIT NO CARGADO")</f>
        <v>AGUIRRE GABRIEL ADRIAN</v>
      </c>
      <c r="I67" s="41">
        <v>19280</v>
      </c>
      <c r="J67" s="42" t="str">
        <f>IFERROR(IF('Jun-26'!$G67="","-",VLOOKUP('Jun-26'!$G67,Lista_CUIT!$A$1:$D$2241,3,0)),"CUIT NO CARGADO")</f>
        <v>GASTOS VARIOS</v>
      </c>
      <c r="K67" s="42">
        <f>IFERROR(IF('Jun-26'!$G67="","-",VLOOKUP('Jun-26'!$G67,Lista_CUIT!$A$1:$D$2241,4,0)),"CUIT NO CARGADO")</f>
        <v>0</v>
      </c>
    </row>
    <row r="68" spans="2:18" ht="15.75" customHeight="1" x14ac:dyDescent="0.25">
      <c r="D68" s="12">
        <v>45814</v>
      </c>
      <c r="E68" s="13">
        <v>2</v>
      </c>
      <c r="F68" s="38">
        <v>184</v>
      </c>
      <c r="G68" s="39">
        <v>20136544625</v>
      </c>
      <c r="H68" s="40" t="str">
        <f>IFERROR(IF('Jun-26'!$G68="","-",VLOOKUP('Jun-26'!$G68,Lista_CUIT!$A$1:$D$2241,2,0)),"CUIT NO CARGADO")</f>
        <v>RODRIGUEZ DE LA FUEN HECTOR MARCELO</v>
      </c>
      <c r="I68" s="41">
        <v>925000</v>
      </c>
      <c r="J68" s="42" t="str">
        <f>IFERROR(IF('Jun-26'!$G68="","-",VLOOKUP('Jun-26'!$G68,Lista_CUIT!$A$1:$D$2241,3,0)),"CUIT NO CARGADO")</f>
        <v>Honorarios Admin</v>
      </c>
      <c r="K68" s="42">
        <f>IFERROR(IF('Jun-26'!$G68="","-",VLOOKUP('Jun-26'!$G68,Lista_CUIT!$A$1:$D$2241,4,0)),"CUIT NO CARGADO")</f>
        <v>0</v>
      </c>
    </row>
    <row r="69" spans="2:18" ht="15.75" customHeight="1" x14ac:dyDescent="0.25">
      <c r="D69" s="12">
        <v>45819</v>
      </c>
      <c r="E69" s="13">
        <v>4</v>
      </c>
      <c r="F69" s="38">
        <v>50</v>
      </c>
      <c r="G69" s="39">
        <v>20341462933</v>
      </c>
      <c r="H69" s="40" t="str">
        <f>IFERROR(IF('Jun-26'!$G69="","-",VLOOKUP('Jun-26'!$G69,Lista_CUIT!$A$1:$D$2241,2,0)),"CUIT NO CARGADO")</f>
        <v>CASTIGLIONI MATIAS EZEQUIEL</v>
      </c>
      <c r="I69" s="41">
        <v>2495000</v>
      </c>
      <c r="J69" s="42" t="str">
        <f>IFERROR(IF('Jun-26'!$G69="","-",VLOOKUP('Jun-26'!$G69,Lista_CUIT!$A$1:$D$2241,3,0)),"CUIT NO CARGADO")</f>
        <v>ASESORAMIENTO</v>
      </c>
      <c r="K69" s="42" t="str">
        <f>IFERROR(IF('Jun-26'!$G69="","-",VLOOKUP('Jun-26'!$G69,Lista_CUIT!$A$1:$D$2241,4,0)),"CUIT NO CARGADO")</f>
        <v>BUENOS AIRES</v>
      </c>
    </row>
    <row r="70" spans="2:18" ht="15.75" customHeight="1" x14ac:dyDescent="0.25">
      <c r="D70" s="12">
        <v>45821</v>
      </c>
      <c r="E70" s="13">
        <v>9</v>
      </c>
      <c r="F70" s="38">
        <v>5276364</v>
      </c>
      <c r="G70" s="39">
        <v>33715179119</v>
      </c>
      <c r="H70" s="40" t="str">
        <f>IFERROR(IF('Jun-26'!$G70="","-",VLOOKUP('Jun-26'!$G70,Lista_CUIT!$A$1:$D$2241,2,0)),"CUIT NO CARGADO")</f>
        <v>FONDO DE COOPERACION TECNICA Y FINANCIERA - CECBA - SL Y T - LEY 23.412</v>
      </c>
      <c r="I70" s="41">
        <v>8500</v>
      </c>
      <c r="J70" s="42" t="str">
        <f>IFERROR(IF('Jun-26'!$G70="","-",VLOOKUP('Jun-26'!$G70,Lista_CUIT!$A$1:$D$2241,3,0)),"CUIT NO CARGADO")</f>
        <v>Servicios Informaticos</v>
      </c>
      <c r="K70" s="42">
        <f>IFERROR(IF('Jun-26'!$G70="","-",VLOOKUP('Jun-26'!$G70,Lista_CUIT!$A$1:$D$2241,4,0)),"CUIT NO CARGADO")</f>
        <v>0</v>
      </c>
    </row>
    <row r="71" spans="2:18" ht="15.75" customHeight="1" x14ac:dyDescent="0.25">
      <c r="D71" s="12">
        <v>45825</v>
      </c>
      <c r="E71" s="13">
        <v>1</v>
      </c>
      <c r="F71" s="38">
        <v>24</v>
      </c>
      <c r="G71" s="39">
        <v>20338344695</v>
      </c>
      <c r="H71" s="40" t="str">
        <f>IFERROR(IF('Jun-26'!$G71="","-",VLOOKUP('Jun-26'!$G71,Lista_CUIT!$A$1:$D$2241,2,0)),"CUIT NO CARGADO")</f>
        <v>FUERTES DAMIAN MATIAS</v>
      </c>
      <c r="I71" s="41">
        <v>264000</v>
      </c>
      <c r="J71" s="42" t="str">
        <f>IFERROR(IF('Jun-26'!$G71="","-",VLOOKUP('Jun-26'!$G71,Lista_CUIT!$A$1:$D$2241,3,0)),"CUIT NO CARGADO")</f>
        <v>INSUMO</v>
      </c>
      <c r="K71" s="42">
        <f>IFERROR(IF('Jun-26'!$G71="","-",VLOOKUP('Jun-26'!$G71,Lista_CUIT!$A$1:$D$2241,4,0)),"CUIT NO CARGADO")</f>
        <v>0</v>
      </c>
    </row>
    <row r="72" spans="2:18" ht="15.75" customHeight="1" x14ac:dyDescent="0.25">
      <c r="D72" s="12">
        <v>45838</v>
      </c>
      <c r="E72" s="13">
        <v>2</v>
      </c>
      <c r="F72" s="38">
        <v>199</v>
      </c>
      <c r="G72" s="39">
        <v>27125997835</v>
      </c>
      <c r="H72" s="40" t="str">
        <f>IFERROR(IF('Jun-26'!$G72="","-",VLOOKUP('Jun-26'!$G72,Lista_CUIT!$A$1:$D$2241,2,0)),"CUIT NO CARGADO")</f>
        <v>DANSKY ULLMANN VIVIANA EVA YOLANDA</v>
      </c>
      <c r="I72" s="41">
        <v>170000</v>
      </c>
      <c r="J72" s="42" t="str">
        <f>IFERROR(IF('Jun-26'!$G72="","-",VLOOKUP('Jun-26'!$G72,Lista_CUIT!$A$1:$D$2241,3,0)),"CUIT NO CARGADO")</f>
        <v>Honorarios Prof</v>
      </c>
      <c r="K72" s="42">
        <f>IFERROR(IF('Jun-26'!$G72="","-",VLOOKUP('Jun-26'!$G72,Lista_CUIT!$A$1:$D$2241,4,0)),"CUIT NO CARGADO")</f>
        <v>0</v>
      </c>
    </row>
    <row r="73" spans="2:18" ht="15.75" customHeight="1" x14ac:dyDescent="0.25">
      <c r="D73" s="12"/>
      <c r="E73" s="13"/>
      <c r="F73" s="15"/>
      <c r="G73" s="16"/>
      <c r="H73" s="40" t="str">
        <f>IFERROR(IF('Jun-26'!$G73="","-",VLOOKUP('Jun-26'!$G73,Lista_CUIT!$A$1:$D$2241,2,0)),"CUIT NO CARGADO")</f>
        <v>-</v>
      </c>
      <c r="I73" s="31"/>
      <c r="J73" s="42" t="str">
        <f>IFERROR(IF('Jun-26'!$G73="","-",VLOOKUP('Jun-26'!$G73,Lista_CUIT!$A$1:$D$2241,3,0)),"CUIT NO CARGADO")</f>
        <v>-</v>
      </c>
      <c r="K73" s="42" t="str">
        <f>IFERROR(IF('Jun-26'!$G73="","-",VLOOKUP('Jun-26'!$G73,Lista_CUIT!$A$1:$D$2241,4,0)),"CUIT NO CARGADO")</f>
        <v>-</v>
      </c>
    </row>
    <row r="74" spans="2:18" ht="15.75" customHeight="1" x14ac:dyDescent="0.25">
      <c r="D74" s="42" t="s">
        <v>1336</v>
      </c>
      <c r="E74" s="42"/>
      <c r="F74" s="42"/>
      <c r="G74" s="42"/>
      <c r="H74" s="44"/>
      <c r="I74" s="41">
        <f>SUBTOTAL(109,'Jun-26'!$I$57:$I$73)</f>
        <v>15450940</v>
      </c>
      <c r="J74" s="42"/>
      <c r="K74" s="42"/>
    </row>
    <row r="75" spans="2:18" ht="15.75" customHeight="1" x14ac:dyDescent="0.25">
      <c r="B75" s="43"/>
      <c r="C75" s="43"/>
      <c r="L75" s="43"/>
      <c r="M75" s="43"/>
      <c r="N75" s="43"/>
      <c r="O75" s="43"/>
      <c r="P75" s="43"/>
      <c r="Q75" s="43"/>
      <c r="R75" s="43"/>
    </row>
    <row r="76" spans="2:18" ht="15.75" customHeight="1" x14ac:dyDescent="0.25"/>
    <row r="77" spans="2:18" ht="15.75" customHeight="1" x14ac:dyDescent="0.25"/>
    <row r="78" spans="2:18" ht="15.75" customHeight="1" x14ac:dyDescent="0.25"/>
    <row r="79" spans="2:18" ht="15.75" customHeight="1" x14ac:dyDescent="0.25"/>
    <row r="80" spans="2:18" ht="15.75" customHeight="1" x14ac:dyDescent="0.25">
      <c r="B80" s="464" t="s">
        <v>1351</v>
      </c>
      <c r="C80" s="448"/>
      <c r="D80" s="448"/>
      <c r="E80" s="448"/>
      <c r="F80" s="448"/>
      <c r="G80" s="448"/>
      <c r="H80" s="448"/>
      <c r="I80" s="448"/>
      <c r="J80" s="449"/>
      <c r="K80" s="465">
        <f>N1</f>
        <v>45809</v>
      </c>
      <c r="L80" s="448"/>
      <c r="M80" s="449"/>
    </row>
    <row r="81" spans="2:13" ht="15.75" customHeight="1" x14ac:dyDescent="0.25"/>
    <row r="82" spans="2:13" ht="15.75" customHeight="1" x14ac:dyDescent="0.25">
      <c r="B82" s="457" t="s">
        <v>1352</v>
      </c>
      <c r="C82" s="458"/>
    </row>
    <row r="83" spans="2:13" ht="15.75" customHeight="1" x14ac:dyDescent="0.25">
      <c r="B83" s="45" t="s">
        <v>1322</v>
      </c>
      <c r="C83" s="46" t="s">
        <v>1323</v>
      </c>
      <c r="D83" s="46" t="s">
        <v>1353</v>
      </c>
      <c r="E83" s="46" t="s">
        <v>1354</v>
      </c>
      <c r="F83" s="46" t="s">
        <v>0</v>
      </c>
      <c r="G83" s="46" t="s">
        <v>1</v>
      </c>
      <c r="H83" s="46" t="s">
        <v>1355</v>
      </c>
      <c r="I83" s="46" t="s">
        <v>1341</v>
      </c>
      <c r="J83" s="46" t="s">
        <v>1329</v>
      </c>
      <c r="K83" s="46" t="s">
        <v>1356</v>
      </c>
      <c r="L83" s="46" t="s">
        <v>1334</v>
      </c>
      <c r="M83" s="47" t="s">
        <v>1335</v>
      </c>
    </row>
    <row r="84" spans="2:13" ht="15.75" customHeight="1" x14ac:dyDescent="0.25">
      <c r="B84" s="12">
        <v>45814</v>
      </c>
      <c r="C84" s="13">
        <v>1</v>
      </c>
      <c r="D84" s="14">
        <v>3</v>
      </c>
      <c r="E84" s="15">
        <v>278</v>
      </c>
      <c r="F84" s="16">
        <v>20215856314</v>
      </c>
      <c r="G84" s="99" t="str">
        <f>IFERROR(IF('Jun-26'!$F84="","-",VLOOKUP('Jun-26'!$F84,Lista_CUIT!$A$1:$D$2241,2,0)),"CUIT NO CARGADO")</f>
        <v>GUGLIELMI GUSTAVO FABIAN</v>
      </c>
      <c r="H84" s="49">
        <f>10400*1200</f>
        <v>12480000</v>
      </c>
      <c r="I84" s="50"/>
      <c r="J84" s="51">
        <f>Table_19[[#This Row],[IMPORTE NETO]]*0.105</f>
        <v>1310400</v>
      </c>
      <c r="K84" s="51"/>
      <c r="L84" s="51">
        <f>SUM('Jun-26'!$H84:$K84)</f>
        <v>13790400</v>
      </c>
      <c r="M84" s="52"/>
    </row>
    <row r="85" spans="2:13" ht="15.75" customHeight="1" x14ac:dyDescent="0.25">
      <c r="B85" s="12">
        <v>45821</v>
      </c>
      <c r="C85" s="13">
        <v>1</v>
      </c>
      <c r="D85" s="14">
        <v>3</v>
      </c>
      <c r="E85" s="15">
        <v>279</v>
      </c>
      <c r="F85" s="16">
        <v>30628274327</v>
      </c>
      <c r="G85" s="99" t="str">
        <f>IFERROR(IF('Jun-26'!$F85="","-",VLOOKUP('Jun-26'!$F85,Lista_CUIT!$A$1:$D$2241,2,0)),"CUIT NO CARGADO")</f>
        <v>AGIRA  S A</v>
      </c>
      <c r="H85" s="49">
        <f>22850*1175</f>
        <v>26848750</v>
      </c>
      <c r="I85" s="50"/>
      <c r="J85" s="51">
        <f>Table_19[[#This Row],[IMPORTE NETO]]*0.105</f>
        <v>2819118.75</v>
      </c>
      <c r="K85" s="51"/>
      <c r="L85" s="51">
        <f>SUM('Jun-26'!$H85:$K85)</f>
        <v>29667868.75</v>
      </c>
      <c r="M85" s="52"/>
    </row>
    <row r="86" spans="2:13" ht="15.75" customHeight="1" x14ac:dyDescent="0.25">
      <c r="B86" s="12">
        <v>45831</v>
      </c>
      <c r="C86" s="13">
        <v>1</v>
      </c>
      <c r="D86" s="14">
        <v>3</v>
      </c>
      <c r="E86" s="15">
        <v>280</v>
      </c>
      <c r="F86" s="16">
        <v>30638318470</v>
      </c>
      <c r="G86" s="99" t="str">
        <f>IFERROR(IF('Jun-26'!$F86="","-",VLOOKUP('Jun-26'!$F86,Lista_CUIT!$A$1:$D$2241,2,0)),"CUIT NO CARGADO")</f>
        <v>DELTA COMPRESION S R L</v>
      </c>
      <c r="H86" s="49">
        <f>23989.6*1185</f>
        <v>28427676</v>
      </c>
      <c r="I86" s="50">
        <f>1480.42*1185</f>
        <v>1754297.7000000002</v>
      </c>
      <c r="J86" s="51">
        <f>1778.7*1185</f>
        <v>2107759.5</v>
      </c>
      <c r="K86" s="51"/>
      <c r="L86" s="51">
        <f>SUM('Jun-26'!$H86:$K86)</f>
        <v>32289733.199999999</v>
      </c>
      <c r="M86" s="52"/>
    </row>
    <row r="87" spans="2:13" ht="15.75" customHeight="1" x14ac:dyDescent="0.25">
      <c r="B87" s="12">
        <v>45833</v>
      </c>
      <c r="C87" s="13">
        <v>1</v>
      </c>
      <c r="D87" s="14">
        <v>3</v>
      </c>
      <c r="E87" s="15">
        <v>281</v>
      </c>
      <c r="F87" s="16">
        <v>30571048619</v>
      </c>
      <c r="G87" s="99" t="str">
        <f>IFERROR(IF('Jun-26'!$F87="","-",VLOOKUP('Jun-26'!$F87,Lista_CUIT!$A$1:$D$2241,2,0)),"CUIT NO CARGADO")</f>
        <v>SERVICIO ESCALADA SA</v>
      </c>
      <c r="H87" s="49">
        <f>400*1195</f>
        <v>478000</v>
      </c>
      <c r="I87" s="50">
        <f>'Jun-26'!$H87*0.21</f>
        <v>100380</v>
      </c>
      <c r="J87" s="51"/>
      <c r="K87" s="51"/>
      <c r="L87" s="51">
        <f>SUM('Jun-26'!$H87:$K87)</f>
        <v>578380</v>
      </c>
      <c r="M87" s="52"/>
    </row>
    <row r="88" spans="2:13" ht="15.75" customHeight="1" x14ac:dyDescent="0.25">
      <c r="B88" s="12"/>
      <c r="C88" s="13"/>
      <c r="D88" s="14"/>
      <c r="E88" s="15"/>
      <c r="F88" s="16"/>
      <c r="G88" s="99" t="str">
        <f>IFERROR(IF('Jun-26'!$F88="","-",VLOOKUP('Jun-26'!$F88,Lista_CUIT!$A$1:$D$2241,2,0)),"CUIT NO CARGADO")</f>
        <v>-</v>
      </c>
      <c r="H88" s="49"/>
      <c r="I88" s="50">
        <f>'Jun-26'!$H88*0.21</f>
        <v>0</v>
      </c>
      <c r="J88" s="51"/>
      <c r="K88" s="51"/>
      <c r="L88" s="51">
        <f>SUM('Jun-26'!$H88:$K88)</f>
        <v>0</v>
      </c>
      <c r="M88" s="52"/>
    </row>
    <row r="89" spans="2:13" ht="15.75" customHeight="1" x14ac:dyDescent="0.25">
      <c r="B89" s="12"/>
      <c r="C89" s="13"/>
      <c r="D89" s="14"/>
      <c r="E89" s="15"/>
      <c r="F89" s="16"/>
      <c r="G89" s="99" t="str">
        <f>IFERROR(IF('Jun-26'!$F89="","-",VLOOKUP('Jun-26'!$F89,Lista_CUIT!$A$1:$D$2241,2,0)),"CUIT NO CARGADO")</f>
        <v>-</v>
      </c>
      <c r="H89" s="49"/>
      <c r="I89" s="50">
        <f>'Jun-26'!$H89*0.21</f>
        <v>0</v>
      </c>
      <c r="J89" s="51"/>
      <c r="K89" s="51"/>
      <c r="L89" s="51">
        <f>SUM('Jun-26'!$H89:$K89)</f>
        <v>0</v>
      </c>
      <c r="M89" s="52"/>
    </row>
    <row r="90" spans="2:13" ht="15.75" customHeight="1" x14ac:dyDescent="0.25">
      <c r="B90" s="12"/>
      <c r="C90" s="13"/>
      <c r="D90" s="14"/>
      <c r="E90" s="15"/>
      <c r="F90" s="16"/>
      <c r="G90" s="99" t="str">
        <f>IFERROR(IF('Jun-26'!$F90="","-",VLOOKUP('Jun-26'!$F90,Lista_CUIT!$A$1:$D$2241,2,0)),"CUIT NO CARGADO")</f>
        <v>-</v>
      </c>
      <c r="H90" s="49"/>
      <c r="I90" s="50">
        <f>'Jun-26'!$H90*0.21</f>
        <v>0</v>
      </c>
      <c r="J90" s="51"/>
      <c r="K90" s="51"/>
      <c r="L90" s="51">
        <f>SUM('Jun-26'!$H90:$K90)</f>
        <v>0</v>
      </c>
      <c r="M90" s="53"/>
    </row>
    <row r="91" spans="2:13" ht="15.75" customHeight="1" x14ac:dyDescent="0.25">
      <c r="B91" s="54"/>
      <c r="C91" s="55"/>
      <c r="D91" s="56"/>
      <c r="E91" s="57"/>
      <c r="F91" s="58"/>
      <c r="G91" s="99" t="str">
        <f>IFERROR(IF('Jun-26'!$F91="","-",VLOOKUP('Jun-26'!$F91,Lista_CUIT!$A$1:$D$2241,2,0)),"CUIT NO CARGADO")</f>
        <v>-</v>
      </c>
      <c r="H91" s="59"/>
      <c r="I91" s="50">
        <f>'Jun-26'!$H91*0.21</f>
        <v>0</v>
      </c>
      <c r="J91" s="61"/>
      <c r="K91" s="61"/>
      <c r="L91" s="51">
        <f>SUM('Jun-26'!$H91:$K91)</f>
        <v>0</v>
      </c>
      <c r="M91" s="53"/>
    </row>
    <row r="92" spans="2:13" ht="15.75" customHeight="1" x14ac:dyDescent="0.25">
      <c r="B92" s="62"/>
      <c r="C92" s="63"/>
      <c r="D92" s="64"/>
      <c r="E92" s="65"/>
      <c r="F92" s="66"/>
      <c r="G92" s="99" t="str">
        <f>IFERROR(IF('Jun-26'!$F92="","-",VLOOKUP('Jun-26'!$F92,Lista_CUIT!$A$1:$D$2241,2,0)),"CUIT NO CARGADO")</f>
        <v>-</v>
      </c>
      <c r="H92" s="49"/>
      <c r="I92" s="50">
        <f>'Jun-26'!$H92*0.21</f>
        <v>0</v>
      </c>
      <c r="J92" s="51"/>
      <c r="K92" s="51"/>
      <c r="L92" s="51">
        <f>SUM('Jun-26'!$H92:$K92)</f>
        <v>0</v>
      </c>
      <c r="M92" s="52"/>
    </row>
    <row r="93" spans="2:13" ht="15.75" customHeight="1" x14ac:dyDescent="0.25">
      <c r="B93" s="68" t="s">
        <v>1336</v>
      </c>
      <c r="C93" s="69"/>
      <c r="D93" s="69"/>
      <c r="E93" s="69"/>
      <c r="F93" s="69"/>
      <c r="G93" s="69"/>
      <c r="H93" s="70">
        <f>SUBTOTAL(109,'Jun-26'!$H$84:$H$92)</f>
        <v>68234426</v>
      </c>
      <c r="I93" s="71">
        <f>SUBTOTAL(109,'Jun-26'!$I$84:$I$92)</f>
        <v>1854677.7000000002</v>
      </c>
      <c r="J93" s="61">
        <f>SUBTOTAL(109,'Jun-26'!$J$84:$J$92)</f>
        <v>6237278.25</v>
      </c>
      <c r="K93" s="61">
        <f>SUBTOTAL(109,'Jun-26'!$K$84:$K$92)</f>
        <v>0</v>
      </c>
      <c r="L93" s="61">
        <f>SUBTOTAL(109,'Jun-26'!$L$84:$L$92)</f>
        <v>76326381.950000003</v>
      </c>
      <c r="M93" s="72">
        <f>SUBTOTAL(103,'Jun-26'!$M$84:$M$92)</f>
        <v>0</v>
      </c>
    </row>
    <row r="94" spans="2:13" ht="15.75" customHeight="1" x14ac:dyDescent="0.25"/>
    <row r="95" spans="2:13" ht="15.75" customHeight="1" x14ac:dyDescent="0.25">
      <c r="H95" s="107"/>
    </row>
    <row r="96" spans="2:13" ht="15.75" customHeight="1" x14ac:dyDescent="0.25">
      <c r="B96" s="457" t="s">
        <v>1357</v>
      </c>
      <c r="C96" s="458"/>
    </row>
    <row r="97" spans="2:16" ht="15.75" customHeight="1" x14ac:dyDescent="0.25">
      <c r="B97" s="45" t="s">
        <v>1322</v>
      </c>
      <c r="C97" s="46" t="s">
        <v>1323</v>
      </c>
      <c r="D97" s="46" t="s">
        <v>1353</v>
      </c>
      <c r="E97" s="46" t="s">
        <v>1354</v>
      </c>
      <c r="F97" s="46" t="s">
        <v>0</v>
      </c>
      <c r="G97" s="46" t="s">
        <v>1</v>
      </c>
      <c r="H97" s="46" t="s">
        <v>1355</v>
      </c>
      <c r="I97" s="46" t="s">
        <v>1341</v>
      </c>
      <c r="J97" s="46" t="s">
        <v>1329</v>
      </c>
      <c r="K97" s="46" t="s">
        <v>1356</v>
      </c>
      <c r="L97" s="46" t="s">
        <v>1334</v>
      </c>
      <c r="M97" s="47" t="s">
        <v>1335</v>
      </c>
    </row>
    <row r="98" spans="2:16" ht="15.75" customHeight="1" x14ac:dyDescent="0.25">
      <c r="B98" s="12"/>
      <c r="C98" s="13"/>
      <c r="D98" s="14"/>
      <c r="E98" s="15"/>
      <c r="F98" s="16"/>
      <c r="G98" s="73" t="str">
        <f>IFERROR(IF('Jun-26'!$F98="","-",VLOOKUP('Jun-26'!$F98,Lista_CUIT!$A$1:$D$2241,2,0)),"CUIT NO CARGADO")</f>
        <v>-</v>
      </c>
      <c r="H98" s="74"/>
      <c r="I98" s="74"/>
      <c r="J98" s="74"/>
      <c r="K98" s="74"/>
      <c r="L98" s="74">
        <f>SUM('Jun-26'!$H98:$K98)</f>
        <v>0</v>
      </c>
      <c r="M98" s="52"/>
    </row>
    <row r="99" spans="2:16" ht="15.75" customHeight="1" x14ac:dyDescent="0.25">
      <c r="B99" s="12"/>
      <c r="C99" s="13"/>
      <c r="D99" s="14"/>
      <c r="E99" s="15"/>
      <c r="F99" s="16"/>
      <c r="G99" s="73"/>
      <c r="H99" s="74"/>
      <c r="I99" s="74"/>
      <c r="J99" s="74"/>
      <c r="K99" s="74"/>
      <c r="L99" s="74">
        <f>SUM('Jun-26'!$H99:$K99)</f>
        <v>0</v>
      </c>
      <c r="M99" s="52"/>
    </row>
    <row r="100" spans="2:16" ht="15.75" customHeight="1" x14ac:dyDescent="0.25">
      <c r="B100" s="12"/>
      <c r="C100" s="13"/>
      <c r="D100" s="14"/>
      <c r="E100" s="15"/>
      <c r="F100" s="16"/>
      <c r="G100" s="73"/>
      <c r="H100" s="74"/>
      <c r="I100" s="74"/>
      <c r="J100" s="74"/>
      <c r="K100" s="74"/>
      <c r="L100" s="74">
        <f>SUM('Jun-26'!$H100:$K100)</f>
        <v>0</v>
      </c>
      <c r="M100" s="52"/>
    </row>
    <row r="101" spans="2:16" ht="15.75" customHeight="1" x14ac:dyDescent="0.25">
      <c r="B101" s="12"/>
      <c r="C101" s="13"/>
      <c r="D101" s="14"/>
      <c r="E101" s="15"/>
      <c r="F101" s="16"/>
      <c r="G101" s="73"/>
      <c r="H101" s="74"/>
      <c r="I101" s="74"/>
      <c r="J101" s="74"/>
      <c r="K101" s="74"/>
      <c r="L101" s="74">
        <f>SUM('Jun-26'!$H101:$K101)</f>
        <v>0</v>
      </c>
      <c r="M101" s="52"/>
    </row>
    <row r="102" spans="2:16" ht="15.75" customHeight="1" x14ac:dyDescent="0.25">
      <c r="B102" s="12"/>
      <c r="C102" s="13"/>
      <c r="D102" s="14"/>
      <c r="E102" s="15"/>
      <c r="F102" s="16"/>
      <c r="G102" s="73"/>
      <c r="H102" s="74"/>
      <c r="I102" s="74"/>
      <c r="J102" s="74"/>
      <c r="K102" s="74"/>
      <c r="L102" s="74">
        <f>SUM('Jun-26'!$H102:$K102)</f>
        <v>0</v>
      </c>
      <c r="M102" s="52"/>
    </row>
    <row r="103" spans="2:16" ht="15.75" customHeight="1" x14ac:dyDescent="0.25">
      <c r="B103" s="12"/>
      <c r="C103" s="13"/>
      <c r="D103" s="14"/>
      <c r="E103" s="15"/>
      <c r="F103" s="16"/>
      <c r="G103" s="73"/>
      <c r="H103" s="74"/>
      <c r="I103" s="74"/>
      <c r="J103" s="74"/>
      <c r="K103" s="74"/>
      <c r="L103" s="74">
        <f>SUM('Jun-26'!$H103:$K103)</f>
        <v>0</v>
      </c>
      <c r="M103" s="52"/>
    </row>
    <row r="104" spans="2:16" ht="15.75" customHeight="1" x14ac:dyDescent="0.25">
      <c r="B104" s="68" t="s">
        <v>1336</v>
      </c>
      <c r="C104" s="69"/>
      <c r="D104" s="69"/>
      <c r="E104" s="69"/>
      <c r="F104" s="69"/>
      <c r="G104" s="69"/>
      <c r="H104" s="75">
        <f>SUBTOTAL(109,'Jun-26'!$H$98:$H$103)</f>
        <v>0</v>
      </c>
      <c r="I104" s="75">
        <f>SUBTOTAL(109,'Jun-26'!$I$98:$I$103)</f>
        <v>0</v>
      </c>
      <c r="J104" s="76">
        <f>SUBTOTAL(109,'Jun-26'!$J$98:$J$103)</f>
        <v>0</v>
      </c>
      <c r="K104" s="76">
        <f>SUBTOTAL(109,'Jun-26'!$K$98:$K$103)</f>
        <v>0</v>
      </c>
      <c r="L104" s="76">
        <f>SUBTOTAL(109,'Jun-26'!$L$98:$L$103)</f>
        <v>0</v>
      </c>
      <c r="M104" s="72">
        <f>SUBTOTAL(103,'Jun-26'!$M$98:$M$103)</f>
        <v>0</v>
      </c>
    </row>
    <row r="105" spans="2:16" ht="15.75" customHeight="1" x14ac:dyDescent="0.25"/>
    <row r="106" spans="2:16" ht="15.75" customHeight="1" x14ac:dyDescent="0.25"/>
    <row r="107" spans="2:16" ht="15.75" customHeight="1" x14ac:dyDescent="0.25">
      <c r="B107" s="457" t="s">
        <v>1358</v>
      </c>
      <c r="C107" s="458"/>
    </row>
    <row r="108" spans="2:16" ht="15.75" customHeight="1" x14ac:dyDescent="0.25">
      <c r="B108" s="45" t="s">
        <v>1322</v>
      </c>
      <c r="C108" s="46" t="s">
        <v>1323</v>
      </c>
      <c r="D108" s="46" t="s">
        <v>1353</v>
      </c>
      <c r="E108" s="46" t="s">
        <v>1354</v>
      </c>
      <c r="F108" s="46" t="s">
        <v>0</v>
      </c>
      <c r="G108" s="46" t="s">
        <v>1</v>
      </c>
      <c r="H108" s="46" t="s">
        <v>1359</v>
      </c>
      <c r="I108" s="46" t="s">
        <v>1360</v>
      </c>
      <c r="J108" s="46" t="s">
        <v>1361</v>
      </c>
      <c r="K108" s="46" t="s">
        <v>1362</v>
      </c>
      <c r="L108" s="46" t="s">
        <v>1334</v>
      </c>
      <c r="M108" s="47" t="s">
        <v>1335</v>
      </c>
    </row>
    <row r="109" spans="2:16" ht="15.75" customHeight="1" x14ac:dyDescent="0.25">
      <c r="B109" s="78">
        <v>45811</v>
      </c>
      <c r="C109" s="79"/>
      <c r="D109" s="80">
        <v>30</v>
      </c>
      <c r="E109" s="81">
        <v>24</v>
      </c>
      <c r="F109" s="2">
        <v>55000000050</v>
      </c>
      <c r="G109" s="73" t="str">
        <f>IFERROR(IF('Jun-26'!$F109="","-",VLOOKUP('Jun-26'!$F109,Lista_CUIT!$A$1:$D$2241,2,0)),"CUIT NO CARGADO")</f>
        <v>GAS FUTURO SISTEMAS DE COMPRESSÃO LTDA</v>
      </c>
      <c r="H109" s="74">
        <v>-7215</v>
      </c>
      <c r="I109" s="83"/>
      <c r="J109" s="84"/>
      <c r="K109" s="84">
        <v>1180.5</v>
      </c>
      <c r="L109" s="84">
        <f t="shared" ref="L109:L123" si="0">H109*K109</f>
        <v>-8517307.5</v>
      </c>
      <c r="M109" s="52"/>
      <c r="N109" s="10"/>
      <c r="O109" s="10"/>
      <c r="P109" s="10"/>
    </row>
    <row r="110" spans="2:16" ht="15.75" customHeight="1" x14ac:dyDescent="0.25">
      <c r="B110" s="78">
        <v>45813</v>
      </c>
      <c r="C110" s="79"/>
      <c r="D110" s="80">
        <v>30</v>
      </c>
      <c r="E110" s="81">
        <v>109</v>
      </c>
      <c r="F110" s="2">
        <v>55000000050</v>
      </c>
      <c r="G110" s="73" t="str">
        <f>IFERROR(IF('Jun-26'!$F110="","-",VLOOKUP('Jun-26'!$F110,Lista_CUIT!$A$1:$D$2241,2,0)),"CUIT NO CARGADO")</f>
        <v>GAS FUTURO SISTEMAS DE COMPRESSÃO LTDA</v>
      </c>
      <c r="H110" s="74">
        <v>7215</v>
      </c>
      <c r="I110" s="83"/>
      <c r="J110" s="84"/>
      <c r="K110" s="84">
        <v>1185.5</v>
      </c>
      <c r="L110" s="84">
        <f t="shared" si="0"/>
        <v>8553382.5</v>
      </c>
      <c r="M110" s="52"/>
    </row>
    <row r="111" spans="2:16" ht="15.75" customHeight="1" x14ac:dyDescent="0.25">
      <c r="B111" s="78"/>
      <c r="C111" s="79"/>
      <c r="D111" s="80"/>
      <c r="E111" s="81"/>
      <c r="F111" s="2"/>
      <c r="G111" s="73" t="str">
        <f>IFERROR(IF('Jun-26'!$F111="","-",VLOOKUP('Jun-26'!$F111,Lista_CUIT!$A$1:$D$2241,2,0)),"CUIT NO CARGADO")</f>
        <v>-</v>
      </c>
      <c r="H111" s="74"/>
      <c r="I111" s="83">
        <f>'Jun-26'!$H111*0.21</f>
        <v>0</v>
      </c>
      <c r="J111" s="84"/>
      <c r="K111" s="84">
        <f>'Jun-26'!$H111*'Jun-26'!$J111</f>
        <v>0</v>
      </c>
      <c r="L111" s="84">
        <f t="shared" si="0"/>
        <v>0</v>
      </c>
      <c r="M111" s="52"/>
      <c r="N111" s="85"/>
      <c r="O111" s="85"/>
      <c r="P111" s="85"/>
    </row>
    <row r="112" spans="2:16" ht="15.75" customHeight="1" x14ac:dyDescent="0.25">
      <c r="B112" s="78"/>
      <c r="C112" s="79"/>
      <c r="D112" s="80"/>
      <c r="E112" s="81"/>
      <c r="F112" s="2"/>
      <c r="G112" s="73" t="str">
        <f>IFERROR(IF('Jun-26'!$F112="","-",VLOOKUP('Jun-26'!$F112,Lista_CUIT!$A$1:$D$2241,2,0)),"CUIT NO CARGADO")</f>
        <v>-</v>
      </c>
      <c r="H112" s="74"/>
      <c r="I112" s="83">
        <f>'Jun-26'!$H112*0.21</f>
        <v>0</v>
      </c>
      <c r="J112" s="84"/>
      <c r="K112" s="84">
        <f>'Jun-26'!$H112*'Jun-26'!$J112</f>
        <v>0</v>
      </c>
      <c r="L112" s="84">
        <f t="shared" si="0"/>
        <v>0</v>
      </c>
      <c r="M112" s="52"/>
    </row>
    <row r="113" spans="2:13" ht="15.75" customHeight="1" x14ac:dyDescent="0.25">
      <c r="B113" s="78"/>
      <c r="C113" s="79"/>
      <c r="D113" s="80"/>
      <c r="E113" s="81"/>
      <c r="F113" s="2"/>
      <c r="G113" s="73" t="str">
        <f>IFERROR(IF('Jun-26'!$F113="","-",VLOOKUP('Jun-26'!$F113,Lista_CUIT!$A$1:$D$2241,2,0)),"CUIT NO CARGADO")</f>
        <v>-</v>
      </c>
      <c r="H113" s="74"/>
      <c r="I113" s="83">
        <f>'Jun-26'!$H113*0.21</f>
        <v>0</v>
      </c>
      <c r="J113" s="84"/>
      <c r="K113" s="84">
        <f>'Jun-26'!$H113*'Jun-26'!$J113</f>
        <v>0</v>
      </c>
      <c r="L113" s="84">
        <f t="shared" si="0"/>
        <v>0</v>
      </c>
      <c r="M113" s="52"/>
    </row>
    <row r="114" spans="2:13" ht="15.75" customHeight="1" x14ac:dyDescent="0.25">
      <c r="B114" s="78"/>
      <c r="C114" s="79"/>
      <c r="D114" s="80"/>
      <c r="E114" s="81"/>
      <c r="F114" s="2"/>
      <c r="G114" s="73" t="str">
        <f>IFERROR(IF('Jun-26'!$F114="","-",VLOOKUP('Jun-26'!$F114,Lista_CUIT!$A$1:$D$2241,2,0)),"CUIT NO CARGADO")</f>
        <v>-</v>
      </c>
      <c r="H114" s="74"/>
      <c r="I114" s="83">
        <f>'Jun-26'!$H114*0.21</f>
        <v>0</v>
      </c>
      <c r="J114" s="84"/>
      <c r="K114" s="84">
        <f>'Jun-26'!$H114*'Jun-26'!$J114</f>
        <v>0</v>
      </c>
      <c r="L114" s="84">
        <f t="shared" si="0"/>
        <v>0</v>
      </c>
      <c r="M114" s="52"/>
    </row>
    <row r="115" spans="2:13" ht="15.75" customHeight="1" x14ac:dyDescent="0.25">
      <c r="B115" s="78"/>
      <c r="C115" s="79"/>
      <c r="D115" s="80"/>
      <c r="E115" s="81"/>
      <c r="F115" s="2"/>
      <c r="G115" s="73" t="str">
        <f>IFERROR(IF('Jun-26'!$F115="","-",VLOOKUP('Jun-26'!$F115,Lista_CUIT!$A$1:$D$2241,2,0)),"CUIT NO CARGADO")</f>
        <v>-</v>
      </c>
      <c r="H115" s="74"/>
      <c r="I115" s="83">
        <f>'Jun-26'!$H115*0.21</f>
        <v>0</v>
      </c>
      <c r="J115" s="84"/>
      <c r="K115" s="84">
        <f>'Jun-26'!$H115*'Jun-26'!$J115</f>
        <v>0</v>
      </c>
      <c r="L115" s="84">
        <f t="shared" si="0"/>
        <v>0</v>
      </c>
      <c r="M115" s="52"/>
    </row>
    <row r="116" spans="2:13" ht="15.75" customHeight="1" x14ac:dyDescent="0.25">
      <c r="B116" s="78"/>
      <c r="C116" s="79"/>
      <c r="D116" s="80"/>
      <c r="E116" s="81"/>
      <c r="F116" s="2"/>
      <c r="G116" s="73" t="str">
        <f>IFERROR(IF('Jun-26'!$F116="","-",VLOOKUP('Jun-26'!$F116,Lista_CUIT!$A$1:$D$2241,2,0)),"CUIT NO CARGADO")</f>
        <v>-</v>
      </c>
      <c r="H116" s="74"/>
      <c r="I116" s="83">
        <f>'Jun-26'!$H116*0.21</f>
        <v>0</v>
      </c>
      <c r="J116" s="84"/>
      <c r="K116" s="84">
        <f>'Jun-26'!$H116*'Jun-26'!$J116</f>
        <v>0</v>
      </c>
      <c r="L116" s="84">
        <f t="shared" si="0"/>
        <v>0</v>
      </c>
      <c r="M116" s="52"/>
    </row>
    <row r="117" spans="2:13" ht="15.75" customHeight="1" x14ac:dyDescent="0.25">
      <c r="B117" s="78"/>
      <c r="C117" s="79"/>
      <c r="D117" s="80"/>
      <c r="E117" s="81"/>
      <c r="F117" s="2"/>
      <c r="G117" s="73" t="str">
        <f>IFERROR(IF('Jun-26'!$F117="","-",VLOOKUP('Jun-26'!$F117,Lista_CUIT!$A$1:$D$2241,2,0)),"CUIT NO CARGADO")</f>
        <v>-</v>
      </c>
      <c r="H117" s="74"/>
      <c r="I117" s="83">
        <f>'Jun-26'!$H117*0.21</f>
        <v>0</v>
      </c>
      <c r="J117" s="84"/>
      <c r="K117" s="84">
        <f>'Jun-26'!$H117*'Jun-26'!$J117</f>
        <v>0</v>
      </c>
      <c r="L117" s="84">
        <f t="shared" si="0"/>
        <v>0</v>
      </c>
      <c r="M117" s="52"/>
    </row>
    <row r="118" spans="2:13" ht="15.75" customHeight="1" x14ac:dyDescent="0.25">
      <c r="B118" s="78"/>
      <c r="C118" s="79"/>
      <c r="D118" s="80"/>
      <c r="E118" s="81"/>
      <c r="F118" s="2"/>
      <c r="G118" s="73" t="str">
        <f>IFERROR(IF('Jun-26'!$F118="","-",VLOOKUP('Jun-26'!$F118,Lista_CUIT!$A$1:$D$2241,2,0)),"CUIT NO CARGADO")</f>
        <v>-</v>
      </c>
      <c r="H118" s="74"/>
      <c r="I118" s="83">
        <f>'Jun-26'!$H118*0.21</f>
        <v>0</v>
      </c>
      <c r="J118" s="84"/>
      <c r="K118" s="84">
        <f>'Jun-26'!$H118*'Jun-26'!$J118</f>
        <v>0</v>
      </c>
      <c r="L118" s="84">
        <f t="shared" si="0"/>
        <v>0</v>
      </c>
      <c r="M118" s="52"/>
    </row>
    <row r="119" spans="2:13" ht="15.75" customHeight="1" x14ac:dyDescent="0.25">
      <c r="B119" s="78"/>
      <c r="C119" s="79"/>
      <c r="D119" s="80"/>
      <c r="E119" s="81"/>
      <c r="F119" s="2"/>
      <c r="G119" s="73" t="str">
        <f>IFERROR(IF('Jun-26'!$F119="","-",VLOOKUP('Jun-26'!$F119,Lista_CUIT!$A$1:$D$2241,2,0)),"CUIT NO CARGADO")</f>
        <v>-</v>
      </c>
      <c r="H119" s="74"/>
      <c r="I119" s="83">
        <f>'Jun-26'!$H119*0.21</f>
        <v>0</v>
      </c>
      <c r="J119" s="84"/>
      <c r="K119" s="84">
        <f>'Jun-26'!$H119*'Jun-26'!$J119</f>
        <v>0</v>
      </c>
      <c r="L119" s="84">
        <f t="shared" si="0"/>
        <v>0</v>
      </c>
      <c r="M119" s="52"/>
    </row>
    <row r="120" spans="2:13" ht="15.75" customHeight="1" x14ac:dyDescent="0.25">
      <c r="B120" s="78"/>
      <c r="C120" s="79"/>
      <c r="D120" s="80"/>
      <c r="E120" s="81"/>
      <c r="F120" s="2"/>
      <c r="G120" s="73" t="str">
        <f>IFERROR(IF('Jun-26'!$F120="","-",VLOOKUP('Jun-26'!$F120,Lista_CUIT!$A$1:$D$2241,2,0)),"CUIT NO CARGADO")</f>
        <v>-</v>
      </c>
      <c r="H120" s="74"/>
      <c r="I120" s="83">
        <f>'Jun-26'!$H120*0.21</f>
        <v>0</v>
      </c>
      <c r="J120" s="84"/>
      <c r="K120" s="84">
        <f>'Jun-26'!$H120*'Jun-26'!$J120</f>
        <v>0</v>
      </c>
      <c r="L120" s="84">
        <f t="shared" si="0"/>
        <v>0</v>
      </c>
      <c r="M120" s="52"/>
    </row>
    <row r="121" spans="2:13" ht="15.75" customHeight="1" x14ac:dyDescent="0.25">
      <c r="B121" s="78"/>
      <c r="C121" s="79"/>
      <c r="D121" s="80"/>
      <c r="E121" s="81"/>
      <c r="F121" s="2"/>
      <c r="G121" s="73" t="str">
        <f>IFERROR(IF('Jun-26'!$F121="","-",VLOOKUP('Jun-26'!$F121,Lista_CUIT!$A$1:$D$2241,2,0)),"CUIT NO CARGADO")</f>
        <v>-</v>
      </c>
      <c r="H121" s="74"/>
      <c r="I121" s="83">
        <f>'Jun-26'!$H121*0.21</f>
        <v>0</v>
      </c>
      <c r="J121" s="84"/>
      <c r="K121" s="84">
        <f>'Jun-26'!$H121*'Jun-26'!$J121</f>
        <v>0</v>
      </c>
      <c r="L121" s="84">
        <f t="shared" si="0"/>
        <v>0</v>
      </c>
      <c r="M121" s="52"/>
    </row>
    <row r="122" spans="2:13" ht="15.75" customHeight="1" x14ac:dyDescent="0.25">
      <c r="B122" s="78"/>
      <c r="C122" s="79"/>
      <c r="D122" s="80"/>
      <c r="E122" s="81"/>
      <c r="F122" s="2"/>
      <c r="G122" s="73" t="str">
        <f>IFERROR(IF('Jun-26'!$F122="","-",VLOOKUP('Jun-26'!$F122,Lista_CUIT!$A$1:$D$2241,2,0)),"CUIT NO CARGADO")</f>
        <v>-</v>
      </c>
      <c r="H122" s="74"/>
      <c r="I122" s="83">
        <f>'Jun-26'!$H122*0.21</f>
        <v>0</v>
      </c>
      <c r="J122" s="84"/>
      <c r="K122" s="84">
        <f>'Jun-26'!$H122*'Jun-26'!$J122</f>
        <v>0</v>
      </c>
      <c r="L122" s="84">
        <f t="shared" si="0"/>
        <v>0</v>
      </c>
      <c r="M122" s="52"/>
    </row>
    <row r="123" spans="2:13" ht="15.75" customHeight="1" x14ac:dyDescent="0.25">
      <c r="B123" s="78"/>
      <c r="C123" s="79"/>
      <c r="D123" s="80"/>
      <c r="E123" s="81"/>
      <c r="F123" s="2"/>
      <c r="G123" s="73" t="str">
        <f>IFERROR(IF('Jun-26'!$F123="","-",VLOOKUP('Jun-26'!$F123,Lista_CUIT!$A$1:$D$2241,2,0)),"CUIT NO CARGADO")</f>
        <v>-</v>
      </c>
      <c r="H123" s="74"/>
      <c r="I123" s="83">
        <f>'Jun-26'!$H123*0.21</f>
        <v>0</v>
      </c>
      <c r="J123" s="84"/>
      <c r="K123" s="84">
        <f>'Jun-26'!$H123*'Jun-26'!$J123</f>
        <v>0</v>
      </c>
      <c r="L123" s="84">
        <f t="shared" si="0"/>
        <v>0</v>
      </c>
      <c r="M123" s="52"/>
    </row>
    <row r="124" spans="2:13" ht="15.75" customHeight="1" x14ac:dyDescent="0.25">
      <c r="B124" s="78"/>
      <c r="C124" s="79"/>
      <c r="D124" s="80"/>
      <c r="E124" s="81"/>
      <c r="F124" s="2"/>
      <c r="G124" s="73" t="str">
        <f>IFERROR(IF('Jun-26'!$F124="","-",VLOOKUP('Jun-26'!$F124,Lista_CUIT!$A$1:$D$2241,2,0)),"CUIT NO CARGADO")</f>
        <v>-</v>
      </c>
      <c r="H124" s="74"/>
      <c r="I124" s="83">
        <f>'Jun-26'!$H124*0.21</f>
        <v>0</v>
      </c>
      <c r="J124" s="84"/>
      <c r="K124" s="84">
        <f>'Jun-26'!$H124*'Jun-26'!$J124</f>
        <v>0</v>
      </c>
      <c r="L124" s="84"/>
      <c r="M124" s="52"/>
    </row>
    <row r="125" spans="2:13" ht="15.75" customHeight="1" x14ac:dyDescent="0.25">
      <c r="B125" s="12"/>
      <c r="C125" s="79"/>
      <c r="D125" s="80"/>
      <c r="E125" s="15"/>
      <c r="F125" s="2"/>
      <c r="G125" s="73" t="str">
        <f>IFERROR(IF('Jun-26'!$F125="","-",VLOOKUP('Jun-26'!$F125,Lista_CUIT!$A$1:$D$2241,2,0)),"CUIT NO CARGADO")</f>
        <v>-</v>
      </c>
      <c r="H125" s="74"/>
      <c r="I125" s="83">
        <f>'Jun-26'!$H125*0.21</f>
        <v>0</v>
      </c>
      <c r="J125" s="77"/>
      <c r="K125" s="74">
        <f>'Jun-26'!$H125*'Jun-26'!$J125</f>
        <v>0</v>
      </c>
      <c r="L125" s="74">
        <f>'Jun-26'!$H125*'Jun-26'!$K125</f>
        <v>0</v>
      </c>
      <c r="M125" s="52"/>
    </row>
    <row r="126" spans="2:13" ht="15.75" customHeight="1" x14ac:dyDescent="0.25">
      <c r="B126" s="12"/>
      <c r="C126" s="79"/>
      <c r="D126" s="80"/>
      <c r="E126" s="15"/>
      <c r="F126" s="16"/>
      <c r="G126" s="73" t="str">
        <f>IFERROR(IF('Jun-26'!$F126="","-",VLOOKUP('Jun-26'!$F126,Lista_CUIT!$A$1:$D$2241,2,0)),"CUIT NO CARGADO")</f>
        <v>-</v>
      </c>
      <c r="H126" s="74"/>
      <c r="I126" s="83">
        <f>'Jun-26'!$H126*0.21</f>
        <v>0</v>
      </c>
      <c r="J126" s="74"/>
      <c r="K126" s="74">
        <f>'Jun-26'!$H126*'Jun-26'!$J126</f>
        <v>0</v>
      </c>
      <c r="L126" s="74">
        <f>'Jun-26'!$H126*'Jun-26'!$K126</f>
        <v>0</v>
      </c>
      <c r="M126" s="52"/>
    </row>
    <row r="127" spans="2:13" ht="15.75" customHeight="1" x14ac:dyDescent="0.25">
      <c r="B127" s="78"/>
      <c r="C127" s="79"/>
      <c r="D127" s="80"/>
      <c r="E127" s="81"/>
      <c r="F127" s="82"/>
      <c r="G127" s="73" t="str">
        <f>IFERROR(IF('Jun-26'!$F127="","-",VLOOKUP('Jun-26'!$F127,Lista_CUIT!$A$1:$D$2241,2,0)),"CUIT NO CARGADO")</f>
        <v>-</v>
      </c>
      <c r="H127" s="74"/>
      <c r="I127" s="83">
        <f>'Jun-26'!$H127*0.21</f>
        <v>0</v>
      </c>
      <c r="J127" s="84"/>
      <c r="K127" s="84">
        <f>'Jun-26'!$H127*'Jun-26'!$J127</f>
        <v>0</v>
      </c>
      <c r="L127" s="74">
        <f>'Jun-26'!$H127*'Jun-26'!$K127</f>
        <v>0</v>
      </c>
      <c r="M127" s="52"/>
    </row>
    <row r="128" spans="2:13" ht="15.75" customHeight="1" x14ac:dyDescent="0.25">
      <c r="B128" s="78"/>
      <c r="C128" s="79"/>
      <c r="D128" s="80"/>
      <c r="E128" s="81"/>
      <c r="F128" s="82"/>
      <c r="G128" s="73" t="str">
        <f>IFERROR(IF('Jun-26'!$F128="","-",VLOOKUP('Jun-26'!$F128,Lista_CUIT!$A$1:$D$2241,2,0)),"CUIT NO CARGADO")</f>
        <v>-</v>
      </c>
      <c r="H128" s="74"/>
      <c r="I128" s="83">
        <f>'Jun-26'!$H128*0.21</f>
        <v>0</v>
      </c>
      <c r="J128" s="84"/>
      <c r="K128" s="84">
        <f>'Jun-26'!$H128*'Jun-26'!$J128</f>
        <v>0</v>
      </c>
      <c r="L128" s="74">
        <f>'Jun-26'!$H128*'Jun-26'!$K128</f>
        <v>0</v>
      </c>
      <c r="M128" s="52"/>
    </row>
    <row r="129" spans="2:13" ht="15.75" customHeight="1" x14ac:dyDescent="0.25">
      <c r="B129" s="68" t="s">
        <v>1336</v>
      </c>
      <c r="C129" s="69"/>
      <c r="D129" s="69"/>
      <c r="E129" s="69"/>
      <c r="F129" s="69"/>
      <c r="G129" s="69"/>
      <c r="H129" s="75">
        <f>SUBTOTAL(109,'Jun-26'!$H$109:$H$128)</f>
        <v>0</v>
      </c>
      <c r="I129" s="75">
        <f>SUBTOTAL(109,'Jun-26'!$I$109:$I$128)</f>
        <v>0</v>
      </c>
      <c r="J129" s="76">
        <f>SUBTOTAL(109,'Jun-26'!$J$109:$J$128)</f>
        <v>0</v>
      </c>
      <c r="K129" s="76"/>
      <c r="L129" s="76">
        <f>SUBTOTAL(109,'Jun-26'!$L$109:$L$128)</f>
        <v>36075</v>
      </c>
      <c r="M129" s="72">
        <f>SUBTOTAL(103,'Jun-26'!$M$109:$M$128)</f>
        <v>0</v>
      </c>
    </row>
    <row r="130" spans="2:13" ht="15.75" customHeight="1" x14ac:dyDescent="0.25"/>
    <row r="131" spans="2:13" ht="15.75" customHeight="1" x14ac:dyDescent="0.25"/>
    <row r="132" spans="2:13" ht="15.75" customHeight="1" x14ac:dyDescent="0.25"/>
    <row r="133" spans="2:13" ht="15.75" customHeight="1" x14ac:dyDescent="0.25"/>
    <row r="134" spans="2:13" ht="15.75" customHeight="1" x14ac:dyDescent="0.25"/>
    <row r="135" spans="2:13" ht="15.75" customHeight="1" x14ac:dyDescent="0.25"/>
    <row r="136" spans="2:13" ht="15.75" customHeight="1" x14ac:dyDescent="0.25"/>
    <row r="137" spans="2:13" ht="15.75" customHeight="1" x14ac:dyDescent="0.25"/>
    <row r="138" spans="2:13" ht="15.75" customHeight="1" x14ac:dyDescent="0.25"/>
    <row r="139" spans="2:13" ht="15.75" customHeight="1" x14ac:dyDescent="0.25"/>
    <row r="140" spans="2:13" ht="15.75" customHeight="1" x14ac:dyDescent="0.25"/>
    <row r="141" spans="2:13" ht="15.75" customHeight="1" x14ac:dyDescent="0.25"/>
    <row r="142" spans="2:13" ht="15.75" customHeight="1" x14ac:dyDescent="0.25"/>
    <row r="143" spans="2:13" ht="15.75" customHeight="1" x14ac:dyDescent="0.25"/>
    <row r="144" spans="2:1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0">
    <mergeCell ref="M4:N4"/>
    <mergeCell ref="P4:R4"/>
    <mergeCell ref="D48:L48"/>
    <mergeCell ref="B107:C107"/>
    <mergeCell ref="B3:E3"/>
    <mergeCell ref="B4:E4"/>
    <mergeCell ref="G4:H4"/>
    <mergeCell ref="J4:K4"/>
    <mergeCell ref="D55:K55"/>
    <mergeCell ref="B80:J80"/>
    <mergeCell ref="K80:M80"/>
    <mergeCell ref="B82:C82"/>
    <mergeCell ref="B96:C96"/>
    <mergeCell ref="B1:F1"/>
    <mergeCell ref="G1:M1"/>
    <mergeCell ref="N1:R1"/>
    <mergeCell ref="G3:H3"/>
    <mergeCell ref="J3:K3"/>
    <mergeCell ref="M3:N3"/>
    <mergeCell ref="P3:R3"/>
  </mergeCells>
  <dataValidations count="11">
    <dataValidation type="decimal" allowBlank="1" showErrorMessage="1" sqref="F9:F43 G57:G73 F84:F92 F98:F103 F126:F128" xr:uid="{00000000-0002-0000-0300-000000000000}">
      <formula1>20000000000</formula1>
      <formula2>33999999999</formula2>
    </dataValidation>
    <dataValidation type="decimal" allowBlank="1" showErrorMessage="1" sqref="C98:C103" xr:uid="{00000000-0002-0000-0300-000001000000}">
      <formula1>6</formula1>
      <formula2>8</formula2>
    </dataValidation>
    <dataValidation type="custom" allowBlank="1" showErrorMessage="1" sqref="H98:L103 K125:L125 J126:L126 L127:L128" xr:uid="{00000000-0002-0000-0300-000002000000}">
      <formula1>IF($C98=8,H98&lt;0,H98&gt;=0)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43" xr:uid="{00000000-0002-0000-0300-000003000000}">
      <formula1>IF($C9=3,H9&lt;0,H9&gt;=0)</formula1>
    </dataValidation>
    <dataValidation type="decimal" allowBlank="1" showErrorMessage="1" sqref="E9:E43 F57:F73 E84:E92 E98:E103 E109:E128" xr:uid="{00000000-0002-0000-0300-000004000000}">
      <formula1>1</formula1>
      <formula2>99999999</formula2>
    </dataValidation>
    <dataValidation type="decimal" allowBlank="1" showErrorMessage="1" sqref="D9:D43 D84:D92 D98:D103 D109:D128" xr:uid="{00000000-0002-0000-0300-000005000000}">
      <formula1>1</formula1>
      <formula2>9999</formula2>
    </dataValidation>
    <dataValidation type="decimal" allowBlank="1" showErrorMessage="1" sqref="C45:C47 C84:C92 E57:E73 C9:C43" xr:uid="{00000000-0002-0000-0300-000006000000}">
      <formula1>1</formula1>
      <formula2>3</formula2>
    </dataValidation>
    <dataValidation type="custom" allowBlank="1" showErrorMessage="1" sqref="H84 J84:K84 J88:K88 J90:K90 H90 H88 H86 J86:K86" xr:uid="{00000000-0002-0000-0300-000007000000}">
      <formula1>IF($C84=3,H84&lt;0,H84&gt;=0)</formula1>
    </dataValidation>
    <dataValidation type="custom" allowBlank="1" showErrorMessage="1" sqref="L84:L92" xr:uid="{00000000-0002-0000-0300-000008000000}">
      <formula1>IF($C9=3,L9&lt;0,L9&gt;=0)</formula1>
    </dataValidation>
    <dataValidation type="decimal" allowBlank="1" showErrorMessage="1" sqref="C109:C128" xr:uid="{00000000-0002-0000-0300-000009000000}">
      <formula1>80</formula1>
      <formula2>80</formula2>
    </dataValidation>
    <dataValidation type="date" allowBlank="1" showErrorMessage="1" sqref="B9:B43 B109:B128 D50:D52 D57:D73 B84:B92 B98:B103 B45:B47" xr:uid="{00000000-0002-0000-0300-00000A000000}">
      <formula1>40179</formula1>
      <formula2>TODAY()</formula2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DE9D9"/>
  </sheetPr>
  <dimension ref="A1:Z1004"/>
  <sheetViews>
    <sheetView showGridLines="0" topLeftCell="E52" zoomScale="80" zoomScaleNormal="80" workbookViewId="0">
      <selection activeCell="I70" sqref="I70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8.140625" customWidth="1"/>
    <col min="11" max="11" width="15.8554687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11.855468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68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EDATE('Abr-26'!N1,3)</f>
        <v>45839</v>
      </c>
      <c r="O1" s="448"/>
      <c r="P1" s="448"/>
      <c r="Q1" s="448"/>
      <c r="R1" s="449"/>
    </row>
    <row r="3" spans="1:19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SUM('Jul-26'!$H$35)+'Jul-26'!$G$47</f>
        <v>15690897.518095236</v>
      </c>
      <c r="C4" s="448"/>
      <c r="D4" s="448"/>
      <c r="E4" s="449"/>
      <c r="F4" s="8"/>
      <c r="G4" s="463">
        <f>'Jul-26'!$I$35+'Jul-26'!$J$35+'Jul-26'!$K$35+'Jul-26'!$H$47+'Jul-26'!$I$47</f>
        <v>3289065.0040000002</v>
      </c>
      <c r="H4" s="449"/>
      <c r="I4" s="8"/>
      <c r="J4" s="466">
        <f>'Jul-26'!$H$90+'Jul-26'!$H$100</f>
        <v>52120400</v>
      </c>
      <c r="K4" s="449"/>
      <c r="L4" s="8"/>
      <c r="M4" s="466">
        <f>'Jul-26'!$I$90+'Jul-26'!$J$90+'Jul-26'!$I$100+'Jul-26'!$J$100</f>
        <v>5472642</v>
      </c>
      <c r="N4" s="449"/>
      <c r="O4" s="8"/>
      <c r="P4" s="455">
        <f>G4-M4</f>
        <v>-2183576.9959999998</v>
      </c>
      <c r="Q4" s="448"/>
      <c r="R4" s="449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45839</v>
      </c>
      <c r="C9" s="169">
        <v>1</v>
      </c>
      <c r="D9" s="170">
        <v>3</v>
      </c>
      <c r="E9" s="171">
        <v>273296</v>
      </c>
      <c r="F9" s="172">
        <v>30707135596</v>
      </c>
      <c r="G9" s="173" t="str">
        <f>IFERROR(IF('Jul-26'!$F9="","-",VLOOKUP('Jul-26'!$F9,Lista_CUIT!$A$1:$D$2241,2,0)),"CUIT NO CARGADO")</f>
        <v>CITILAN ARGENTINA S.A.</v>
      </c>
      <c r="H9" s="174">
        <v>32638.02</v>
      </c>
      <c r="I9" s="175">
        <f>IF('Jul-26'!$H9="","",'Jul-26'!$H9*0.21)</f>
        <v>6853.9841999999999</v>
      </c>
      <c r="J9" s="175"/>
      <c r="K9" s="175"/>
      <c r="L9" s="175"/>
      <c r="M9" s="175"/>
      <c r="N9" s="175"/>
      <c r="O9" s="175"/>
      <c r="P9" s="176">
        <f>SUM('Jul-26'!$H9:$O9)</f>
        <v>39492.004200000003</v>
      </c>
      <c r="Q9" s="177" t="str">
        <f>IFERROR(IF('Jul-26'!$F9="","-",VLOOKUP('Jul-26'!$F9,Lista_CUIT!$A$1:$D$2241,3,0)),"CUIT NO CARGADO")</f>
        <v>Telefonia</v>
      </c>
      <c r="R9" s="177">
        <f>IFERROR(IF('Jul-26'!$F9="","-",VLOOKUP('Jul-26'!$F9,Lista_CUIT!$A$1:$D$2241,4,0)),"CUIT NO CARGADO")</f>
        <v>0</v>
      </c>
    </row>
    <row r="10" spans="1:19" x14ac:dyDescent="0.25">
      <c r="B10" s="239">
        <v>45839</v>
      </c>
      <c r="C10" s="169">
        <v>1</v>
      </c>
      <c r="D10" s="170">
        <v>3</v>
      </c>
      <c r="E10" s="171">
        <v>184</v>
      </c>
      <c r="F10" s="172">
        <v>20297899830</v>
      </c>
      <c r="G10" s="173" t="str">
        <f>IFERROR(IF('Jul-26'!$F10="","-",VLOOKUP('Jul-26'!$F10,Lista_CUIT!$A$1:$D$2241,2,0)),"CUIT NO CARGADO")</f>
        <v>FUNK MATIAS NICOLAS</v>
      </c>
      <c r="H10" s="174">
        <v>8621775</v>
      </c>
      <c r="I10" s="175">
        <f>IF('Jul-26'!$H10="","",'Jul-26'!$H10*0.21)</f>
        <v>1810572.75</v>
      </c>
      <c r="J10" s="175"/>
      <c r="K10" s="175"/>
      <c r="L10" s="175"/>
      <c r="M10" s="175"/>
      <c r="N10" s="175"/>
      <c r="O10" s="175"/>
      <c r="P10" s="176">
        <f>SUM('Jul-26'!$H10:$O10)</f>
        <v>10432347.75</v>
      </c>
      <c r="Q10" s="177" t="str">
        <f>IFERROR(IF('Jul-26'!$F10="","-",VLOOKUP('Jul-26'!$F10,Lista_CUIT!$A$1:$D$2241,3,0)),"CUIT NO CARGADO")</f>
        <v>INSUMO</v>
      </c>
      <c r="R10" s="177">
        <f>IFERROR(IF('Jul-26'!$F10="","-",VLOOKUP('Jul-26'!$F10,Lista_CUIT!$A$1:$D$2241,4,0)),"CUIT NO CARGADO")</f>
        <v>0</v>
      </c>
    </row>
    <row r="11" spans="1:19" x14ac:dyDescent="0.25">
      <c r="B11" s="239">
        <v>45839</v>
      </c>
      <c r="C11" s="169">
        <v>1</v>
      </c>
      <c r="D11" s="170">
        <v>3</v>
      </c>
      <c r="E11" s="171">
        <v>872</v>
      </c>
      <c r="F11" s="172">
        <v>30715402765</v>
      </c>
      <c r="G11" s="173" t="str">
        <f>IFERROR(IF('Jul-26'!$F11="","-",VLOOKUP('Jul-26'!$F11,Lista_CUIT!$A$1:$D$2241,2,0)),"CUIT NO CARGADO")</f>
        <v>RIO 265 S.R.L.</v>
      </c>
      <c r="H11" s="174">
        <v>95867.76</v>
      </c>
      <c r="I11" s="175">
        <f>IF('Jul-26'!$H11="","",'Jul-26'!$H11*0.21)</f>
        <v>20132.229599999999</v>
      </c>
      <c r="J11" s="175"/>
      <c r="K11" s="175"/>
      <c r="L11" s="175"/>
      <c r="M11" s="175"/>
      <c r="N11" s="175"/>
      <c r="O11" s="175"/>
      <c r="P11" s="176">
        <f>SUM('Jul-26'!$H11:$O11)</f>
        <v>115999.9896</v>
      </c>
      <c r="Q11" s="177" t="str">
        <f>IFERROR(IF('Jul-26'!$F11="","-",VLOOKUP('Jul-26'!$F11,Lista_CUIT!$A$1:$D$2241,3,0)),"CUIT NO CARGADO")</f>
        <v>GASTOS VARIOS</v>
      </c>
      <c r="R11" s="177">
        <f>IFERROR(IF('Jul-26'!$F11="","-",VLOOKUP('Jul-26'!$F11,Lista_CUIT!$A$1:$D$2241,4,0)),"CUIT NO CARGADO")</f>
        <v>0</v>
      </c>
    </row>
    <row r="12" spans="1:19" x14ac:dyDescent="0.25">
      <c r="B12" s="239">
        <v>45842</v>
      </c>
      <c r="C12" s="169">
        <v>1</v>
      </c>
      <c r="D12" s="170">
        <v>4</v>
      </c>
      <c r="E12" s="171">
        <v>14068</v>
      </c>
      <c r="F12" s="172">
        <v>33710719549</v>
      </c>
      <c r="G12" s="173" t="str">
        <f>IFERROR(IF('Jul-26'!$F12="","-",VLOOKUP('Jul-26'!$F12,Lista_CUIT!$A$1:$D$2241,2,0)),"CUIT NO CARGADO")</f>
        <v>FIVELEC S.R.L.</v>
      </c>
      <c r="H12" s="174">
        <v>45828.45</v>
      </c>
      <c r="I12" s="175">
        <f>IF('Jul-26'!$H12="","",'Jul-26'!$H12*0.21)</f>
        <v>9623.9744999999984</v>
      </c>
      <c r="J12" s="175"/>
      <c r="K12" s="175"/>
      <c r="L12" s="175"/>
      <c r="M12" s="175"/>
      <c r="N12" s="175"/>
      <c r="O12" s="175"/>
      <c r="P12" s="176">
        <f>SUM('Jul-26'!$H12:$O12)</f>
        <v>55452.424499999994</v>
      </c>
      <c r="Q12" s="177" t="str">
        <f>IFERROR(IF('Jul-26'!$F12="","-",VLOOKUP('Jul-26'!$F12,Lista_CUIT!$A$1:$D$2241,3,0)),"CUIT NO CARGADO")</f>
        <v>INSUMO</v>
      </c>
      <c r="R12" s="177">
        <f>IFERROR(IF('Jul-26'!$F12="","-",VLOOKUP('Jul-26'!$F12,Lista_CUIT!$A$1:$D$2241,4,0)),"CUIT NO CARGADO")</f>
        <v>0</v>
      </c>
    </row>
    <row r="13" spans="1:19" x14ac:dyDescent="0.25">
      <c r="B13" s="239">
        <v>45842</v>
      </c>
      <c r="C13" s="169">
        <v>1</v>
      </c>
      <c r="D13" s="170">
        <v>2</v>
      </c>
      <c r="E13" s="171">
        <v>721</v>
      </c>
      <c r="F13" s="172">
        <v>20265168478</v>
      </c>
      <c r="G13" s="173" t="str">
        <f>IFERROR(IF('Jul-26'!$F13="","-",VLOOKUP('Jul-26'!$F13,Lista_CUIT!$A$1:$D$2241,2,0)),"CUIT NO CARGADO")</f>
        <v>HERRERA GASTON ADRIAN</v>
      </c>
      <c r="H13" s="174">
        <v>80000</v>
      </c>
      <c r="I13" s="175">
        <f>IF('Jul-26'!$H13="","",'Jul-26'!$H13*0.21)</f>
        <v>16800</v>
      </c>
      <c r="J13" s="175"/>
      <c r="K13" s="175"/>
      <c r="L13" s="175"/>
      <c r="M13" s="175"/>
      <c r="N13" s="175"/>
      <c r="O13" s="175"/>
      <c r="P13" s="176">
        <f>SUM('Jul-26'!$H13:$O13)</f>
        <v>96800</v>
      </c>
      <c r="Q13" s="177" t="str">
        <f>IFERROR(IF('Jul-26'!$F13="","-",VLOOKUP('Jul-26'!$F13,Lista_CUIT!$A$1:$D$2241,3,0)),"CUIT NO CARGADO")</f>
        <v>FLETE-LOGISTICA</v>
      </c>
      <c r="R13" s="177">
        <f>IFERROR(IF('Jul-26'!$F13="","-",VLOOKUP('Jul-26'!$F13,Lista_CUIT!$A$1:$D$2241,4,0)),"CUIT NO CARGADO")</f>
        <v>0</v>
      </c>
    </row>
    <row r="14" spans="1:19" x14ac:dyDescent="0.25">
      <c r="B14" s="239">
        <v>45845</v>
      </c>
      <c r="C14" s="169">
        <v>1</v>
      </c>
      <c r="D14" s="170">
        <v>1</v>
      </c>
      <c r="E14" s="171">
        <v>312</v>
      </c>
      <c r="F14" s="172">
        <v>30718507495</v>
      </c>
      <c r="G14" s="173" t="str">
        <f>IFERROR(IF('Jul-26'!$F14="","-",VLOOKUP('Jul-26'!$F14,Lista_CUIT!$A$1:$D$2241,2,0)),"CUIT NO CARGADO")</f>
        <v>WEBSITE</v>
      </c>
      <c r="H14" s="174">
        <v>37046.28</v>
      </c>
      <c r="I14" s="175">
        <f>IF('Jul-26'!$H14="","",'Jul-26'!$H14*0.21)</f>
        <v>7779.7187999999996</v>
      </c>
      <c r="J14" s="175"/>
      <c r="K14" s="175"/>
      <c r="L14" s="175"/>
      <c r="M14" s="175"/>
      <c r="N14" s="175"/>
      <c r="O14" s="175"/>
      <c r="P14" s="176">
        <f>SUM('Jul-26'!$H14:$O14)</f>
        <v>44825.998800000001</v>
      </c>
      <c r="Q14" s="177">
        <f>IFERROR(IF('Jul-26'!$F14="","-",VLOOKUP('Jul-26'!$F14,Lista_CUIT!$A$1:$D$2241,3,0)),"CUIT NO CARGADO")</f>
        <v>0</v>
      </c>
      <c r="R14" s="177">
        <f>IFERROR(IF('Jul-26'!$F14="","-",VLOOKUP('Jul-26'!$F14,Lista_CUIT!$A$1:$D$2241,4,0)),"CUIT NO CARGADO")</f>
        <v>0</v>
      </c>
    </row>
    <row r="15" spans="1:19" x14ac:dyDescent="0.25">
      <c r="B15" s="239">
        <v>45845</v>
      </c>
      <c r="C15" s="169">
        <v>1</v>
      </c>
      <c r="D15" s="170">
        <v>5</v>
      </c>
      <c r="E15" s="171">
        <v>6333</v>
      </c>
      <c r="F15" s="172">
        <v>20231333593</v>
      </c>
      <c r="G15" s="173" t="str">
        <f>IFERROR(IF('Jul-26'!$F15="","-",VLOOKUP('Jul-26'!$F15,Lista_CUIT!$A$1:$D$2241,2,0)),"CUIT NO CARGADO")</f>
        <v>BOLLINI CLAUDIO DANIEL</v>
      </c>
      <c r="H15" s="174">
        <v>80000</v>
      </c>
      <c r="I15" s="175">
        <f>IF('Jul-26'!$H15="","",'Jul-26'!$H15*0.21)</f>
        <v>16800</v>
      </c>
      <c r="J15" s="175"/>
      <c r="K15" s="175"/>
      <c r="L15" s="175"/>
      <c r="M15" s="175"/>
      <c r="N15" s="175"/>
      <c r="O15" s="175"/>
      <c r="P15" s="176">
        <f>SUM('Jul-26'!$H15:$O15)</f>
        <v>96800</v>
      </c>
      <c r="Q15" s="177" t="str">
        <f>IFERROR(IF('Jul-26'!$F15="","-",VLOOKUP('Jul-26'!$F15,Lista_CUIT!$A$1:$D$2241,3,0)),"CUIT NO CARGADO")</f>
        <v>Mantenimiento</v>
      </c>
      <c r="R15" s="177">
        <f>IFERROR(IF('Jul-26'!$F15="","-",VLOOKUP('Jul-26'!$F15,Lista_CUIT!$A$1:$D$2241,4,0)),"CUIT NO CARGADO")</f>
        <v>0</v>
      </c>
    </row>
    <row r="16" spans="1:19" x14ac:dyDescent="0.25">
      <c r="B16" s="239">
        <v>45845</v>
      </c>
      <c r="C16" s="169">
        <v>1</v>
      </c>
      <c r="D16" s="170">
        <v>5</v>
      </c>
      <c r="E16" s="171">
        <v>86126</v>
      </c>
      <c r="F16" s="172">
        <v>30692857611</v>
      </c>
      <c r="G16" s="173" t="str">
        <f>IFERROR(IF('Jul-26'!$F16="","-",VLOOKUP('Jul-26'!$F16,Lista_CUIT!$A$1:$D$2241,2,0)),"CUIT NO CARGADO")</f>
        <v>BAGUI S A</v>
      </c>
      <c r="H16" s="174">
        <v>136972.20000000001</v>
      </c>
      <c r="I16" s="175">
        <f>IF('Jul-26'!$H16="","",'Jul-26'!$H16*0.21)</f>
        <v>28764.162</v>
      </c>
      <c r="J16" s="175"/>
      <c r="K16" s="175"/>
      <c r="L16" s="175"/>
      <c r="M16" s="175"/>
      <c r="N16" s="175"/>
      <c r="O16" s="175"/>
      <c r="P16" s="176">
        <f>SUM('Jul-26'!$H16:$O16)</f>
        <v>165736.36200000002</v>
      </c>
      <c r="Q16" s="177" t="str">
        <f>IFERROR(IF('Jul-26'!$F16="","-",VLOOKUP('Jul-26'!$F16,Lista_CUIT!$A$1:$D$2241,3,0)),"CUIT NO CARGADO")</f>
        <v>INSUMO</v>
      </c>
      <c r="R16" s="177">
        <f>IFERROR(IF('Jul-26'!$F16="","-",VLOOKUP('Jul-26'!$F16,Lista_CUIT!$A$1:$D$2241,4,0)),"CUIT NO CARGADO")</f>
        <v>0</v>
      </c>
    </row>
    <row r="17" spans="1:26" x14ac:dyDescent="0.25">
      <c r="B17" s="239">
        <v>45847</v>
      </c>
      <c r="C17" s="169">
        <v>1</v>
      </c>
      <c r="D17" s="170">
        <v>4</v>
      </c>
      <c r="E17" s="171">
        <v>123861</v>
      </c>
      <c r="F17" s="172">
        <v>30715577956</v>
      </c>
      <c r="G17" s="173" t="str">
        <f>IFERROR(IF('Jul-26'!$F17="","-",VLOOKUP('Jul-26'!$F17,Lista_CUIT!$A$1:$D$2241,2,0)),"CUIT NO CARGADO")</f>
        <v>NICKNAT S.R.L.</v>
      </c>
      <c r="H17" s="174">
        <v>27513.22</v>
      </c>
      <c r="I17" s="175">
        <f>IF('Jul-26'!$H17="","",'Jul-26'!$H17*0.21)</f>
        <v>5777.7762000000002</v>
      </c>
      <c r="J17" s="175"/>
      <c r="K17" s="175"/>
      <c r="L17" s="175"/>
      <c r="M17" s="175"/>
      <c r="N17" s="175"/>
      <c r="O17" s="175"/>
      <c r="P17" s="176">
        <f>SUM('Jul-26'!$H17:$O17)</f>
        <v>33290.996200000001</v>
      </c>
      <c r="Q17" s="177">
        <f>IFERROR(IF('Jul-26'!$F17="","-",VLOOKUP('Jul-26'!$F17,Lista_CUIT!$A$1:$D$2241,3,0)),"CUIT NO CARGADO")</f>
        <v>0</v>
      </c>
      <c r="R17" s="177">
        <f>IFERROR(IF('Jul-26'!$F17="","-",VLOOKUP('Jul-26'!$F17,Lista_CUIT!$A$1:$D$2241,4,0)),"CUIT NO CARGADO")</f>
        <v>0</v>
      </c>
    </row>
    <row r="18" spans="1:26" x14ac:dyDescent="0.25">
      <c r="B18" s="239">
        <v>45850</v>
      </c>
      <c r="C18" s="169">
        <v>1</v>
      </c>
      <c r="D18" s="170">
        <v>8</v>
      </c>
      <c r="E18" s="171">
        <v>1515</v>
      </c>
      <c r="F18" s="172">
        <v>20293838713</v>
      </c>
      <c r="G18" s="173" t="str">
        <f>IFERROR(IF('Jul-26'!$F18="","-",VLOOKUP('Jul-26'!$F18,Lista_CUIT!$A$1:$D$2241,2,0)),"CUIT NO CARGADO")</f>
        <v>SCHMITZ PABLO ALEJANDRO</v>
      </c>
      <c r="H18" s="174">
        <v>66077.11</v>
      </c>
      <c r="I18" s="175">
        <f>IF('Jul-26'!$H18="","",'Jul-26'!$H18*0.21)</f>
        <v>13876.1931</v>
      </c>
      <c r="J18" s="175"/>
      <c r="K18" s="175"/>
      <c r="L18" s="175"/>
      <c r="M18" s="175"/>
      <c r="N18" s="175"/>
      <c r="O18" s="175"/>
      <c r="P18" s="176">
        <f>SUM('Jul-26'!$H18:$O18)</f>
        <v>79953.303100000005</v>
      </c>
      <c r="Q18" s="177">
        <f>IFERROR(IF('Jul-26'!$F18="","-",VLOOKUP('Jul-26'!$F18,Lista_CUIT!$A$1:$D$2241,3,0)),"CUIT NO CARGADO")</f>
        <v>0</v>
      </c>
      <c r="R18" s="177">
        <f>IFERROR(IF('Jul-26'!$F18="","-",VLOOKUP('Jul-26'!$F18,Lista_CUIT!$A$1:$D$2241,4,0)),"CUIT NO CARGADO")</f>
        <v>0</v>
      </c>
    </row>
    <row r="19" spans="1:26" x14ac:dyDescent="0.25">
      <c r="B19" s="239">
        <v>45852</v>
      </c>
      <c r="C19" s="169">
        <v>1</v>
      </c>
      <c r="D19" s="170">
        <v>9</v>
      </c>
      <c r="E19" s="171">
        <v>4609</v>
      </c>
      <c r="F19" s="172">
        <v>33711308429</v>
      </c>
      <c r="G19" s="173" t="str">
        <f>IFERROR(IF('Jul-26'!$F19="","-",VLOOKUP('Jul-26'!$F19,Lista_CUIT!$A$1:$D$2241,2,0)),"CUIT NO CARGADO")</f>
        <v>MOTORES ELECTROMECANICA ATLAS S.A.</v>
      </c>
      <c r="H19" s="174">
        <v>183500</v>
      </c>
      <c r="I19" s="175">
        <f>IF('Jul-26'!$H19="","",'Jul-26'!$H19*0.21)</f>
        <v>38535</v>
      </c>
      <c r="J19" s="175"/>
      <c r="K19" s="175"/>
      <c r="L19" s="175"/>
      <c r="M19" s="175"/>
      <c r="N19" s="175"/>
      <c r="O19" s="175"/>
      <c r="P19" s="176">
        <f>SUM('Jul-26'!$H19:$O19)</f>
        <v>222035</v>
      </c>
      <c r="Q19" s="177" t="str">
        <f>IFERROR(IF('Jul-26'!$F19="","-",VLOOKUP('Jul-26'!$F19,Lista_CUIT!$A$1:$D$2241,3,0)),"CUIT NO CARGADO")</f>
        <v>INSUMO</v>
      </c>
      <c r="R19" s="177">
        <f>IFERROR(IF('Jul-26'!$F19="","-",VLOOKUP('Jul-26'!$F19,Lista_CUIT!$A$1:$D$2241,4,0)),"CUIT NO CARGADO")</f>
        <v>0</v>
      </c>
    </row>
    <row r="20" spans="1:26" x14ac:dyDescent="0.25">
      <c r="B20" s="239">
        <v>45852</v>
      </c>
      <c r="C20" s="169">
        <v>1</v>
      </c>
      <c r="D20" s="170">
        <v>7</v>
      </c>
      <c r="E20" s="171">
        <v>689</v>
      </c>
      <c r="F20" s="172">
        <v>30679166073</v>
      </c>
      <c r="G20" s="173" t="str">
        <f>IFERROR(IF('Jul-26'!$F20="","-",VLOOKUP('Jul-26'!$F20,Lista_CUIT!$A$1:$D$2241,2,0)),"CUIT NO CARGADO")</f>
        <v>MASUMA INTERNACIONAL S A</v>
      </c>
      <c r="H20" s="174">
        <v>493144.49999999994</v>
      </c>
      <c r="I20" s="175">
        <f>IF('Jul-26'!$H20="","",'Jul-26'!$H20*0.21)</f>
        <v>103560.34499999999</v>
      </c>
      <c r="J20" s="175"/>
      <c r="K20" s="175"/>
      <c r="L20" s="175"/>
      <c r="M20" s="175"/>
      <c r="N20" s="175"/>
      <c r="O20" s="175"/>
      <c r="P20" s="176">
        <f>SUM('Jul-26'!$H20:$O20)</f>
        <v>596704.84499999997</v>
      </c>
      <c r="Q20" s="177" t="str">
        <f>IFERROR(IF('Jul-26'!$F20="","-",VLOOKUP('Jul-26'!$F20,Lista_CUIT!$A$1:$D$2241,3,0)),"CUIT NO CARGADO")</f>
        <v>INSUMO</v>
      </c>
      <c r="R20" s="177">
        <f>IFERROR(IF('Jul-26'!$F20="","-",VLOOKUP('Jul-26'!$F20,Lista_CUIT!$A$1:$D$2241,4,0)),"CUIT NO CARGADO")</f>
        <v>0</v>
      </c>
    </row>
    <row r="21" spans="1:26" ht="15.75" customHeight="1" x14ac:dyDescent="0.25">
      <c r="B21" s="239">
        <v>45852</v>
      </c>
      <c r="C21" s="169">
        <v>1</v>
      </c>
      <c r="D21" s="170">
        <v>11</v>
      </c>
      <c r="E21" s="171">
        <v>89341</v>
      </c>
      <c r="F21" s="172">
        <v>30534051049</v>
      </c>
      <c r="G21" s="173" t="str">
        <f>IFERROR(IF('Jul-26'!$F21="","-",VLOOKUP('Jul-26'!$F21,Lista_CUIT!$A$1:$D$2241,2,0)),"CUIT NO CARGADO")</f>
        <v>ELECTRO UNIVERSO - PLIN METAL S A</v>
      </c>
      <c r="H21" s="174">
        <v>135921.70000000001</v>
      </c>
      <c r="I21" s="175">
        <f>IF('Jul-26'!$H21="","",'Jul-26'!$H21*0.21)</f>
        <v>28543.557000000001</v>
      </c>
      <c r="J21" s="175"/>
      <c r="K21" s="175"/>
      <c r="L21" s="175"/>
      <c r="M21" s="175"/>
      <c r="N21" s="175"/>
      <c r="O21" s="175"/>
      <c r="P21" s="176">
        <f>SUM('Jul-26'!$H21:$O21)</f>
        <v>164465.25700000001</v>
      </c>
      <c r="Q21" s="177" t="str">
        <f>IFERROR(IF('Jul-26'!$F21="","-",VLOOKUP('Jul-26'!$F21,Lista_CUIT!$A$1:$D$2241,3,0)),"CUIT NO CARGADO")</f>
        <v>INSUMO</v>
      </c>
      <c r="R21" s="177">
        <f>IFERROR(IF('Jul-26'!$F21="","-",VLOOKUP('Jul-26'!$F21,Lista_CUIT!$A$1:$D$2241,4,0)),"CUIT NO CARGADO")</f>
        <v>0</v>
      </c>
    </row>
    <row r="22" spans="1:26" ht="15.75" customHeight="1" x14ac:dyDescent="0.25">
      <c r="B22" s="239">
        <v>45853</v>
      </c>
      <c r="C22" s="169">
        <v>1</v>
      </c>
      <c r="D22" s="170">
        <v>3</v>
      </c>
      <c r="E22" s="171">
        <v>12683</v>
      </c>
      <c r="F22" s="172">
        <v>30710552726</v>
      </c>
      <c r="G22" s="173" t="str">
        <f>IFERROR(IF('Jul-26'!$F22="","-",VLOOKUP('Jul-26'!$F22,Lista_CUIT!$A$1:$D$2241,2,0)),"CUIT NO CARGADO")</f>
        <v>HZ ELECTRICIDAD SRL</v>
      </c>
      <c r="H22" s="174">
        <v>43347.14</v>
      </c>
      <c r="I22" s="175">
        <f>IF('Jul-26'!$H22="","",'Jul-26'!$H22*0.21)</f>
        <v>9102.8994000000002</v>
      </c>
      <c r="J22" s="175"/>
      <c r="K22" s="175"/>
      <c r="L22" s="175"/>
      <c r="M22" s="175"/>
      <c r="N22" s="175"/>
      <c r="O22" s="175"/>
      <c r="P22" s="176">
        <f>SUM('Jul-26'!$H22:$O22)</f>
        <v>52450.039400000001</v>
      </c>
      <c r="Q22" s="177">
        <f>IFERROR(IF('Jul-26'!$F22="","-",VLOOKUP('Jul-26'!$F22,Lista_CUIT!$A$1:$D$2241,3,0)),"CUIT NO CARGADO")</f>
        <v>0</v>
      </c>
      <c r="R22" s="177">
        <f>IFERROR(IF('Jul-26'!$F22="","-",VLOOKUP('Jul-26'!$F22,Lista_CUIT!$A$1:$D$2241,4,0)),"CUIT NO CARGADO")</f>
        <v>0</v>
      </c>
    </row>
    <row r="23" spans="1:26" ht="15.75" customHeight="1" x14ac:dyDescent="0.25">
      <c r="B23" s="239">
        <v>45853</v>
      </c>
      <c r="C23" s="169">
        <v>1</v>
      </c>
      <c r="D23" s="170">
        <v>6</v>
      </c>
      <c r="E23" s="171">
        <v>208</v>
      </c>
      <c r="F23" s="172">
        <v>20392778013</v>
      </c>
      <c r="G23" s="173" t="str">
        <f>IFERROR(IF('Jul-26'!$F23="","-",VLOOKUP('Jul-26'!$F23,Lista_CUIT!$A$1:$D$2241,2,0)),"CUIT NO CARGADO")</f>
        <v>FEDRIGO TOMAS</v>
      </c>
      <c r="H23" s="174">
        <v>28946</v>
      </c>
      <c r="I23" s="175">
        <f>IF('Jul-26'!$H23="","",'Jul-26'!$H23*0.21)</f>
        <v>6078.66</v>
      </c>
      <c r="J23" s="175"/>
      <c r="K23" s="175"/>
      <c r="L23" s="175"/>
      <c r="M23" s="175"/>
      <c r="N23" s="175"/>
      <c r="O23" s="175"/>
      <c r="P23" s="176">
        <f>SUM('Jul-26'!$H23:$O23)</f>
        <v>35024.660000000003</v>
      </c>
      <c r="Q23" s="177">
        <f>IFERROR(IF('Jul-26'!$F23="","-",VLOOKUP('Jul-26'!$F23,Lista_CUIT!$A$1:$D$2241,3,0)),"CUIT NO CARGADO")</f>
        <v>0</v>
      </c>
      <c r="R23" s="177">
        <f>IFERROR(IF('Jul-26'!$F23="","-",VLOOKUP('Jul-26'!$F23,Lista_CUIT!$A$1:$D$2241,4,0)),"CUIT NO CARGADO")</f>
        <v>0</v>
      </c>
    </row>
    <row r="24" spans="1:26" ht="15.75" customHeight="1" x14ac:dyDescent="0.25">
      <c r="B24" s="239">
        <v>45853</v>
      </c>
      <c r="C24" s="169">
        <v>1</v>
      </c>
      <c r="D24" s="170">
        <v>1</v>
      </c>
      <c r="E24" s="171">
        <v>968</v>
      </c>
      <c r="F24" s="172">
        <v>30715048066</v>
      </c>
      <c r="G24" s="173" t="str">
        <f>IFERROR(IF('Jul-26'!$F24="","-",VLOOKUP('Jul-26'!$F24,Lista_CUIT!$A$1:$D$2241,2,0)),"CUIT NO CARGADO")</f>
        <v>ROLLS Y EMPANADAS SA</v>
      </c>
      <c r="H24" s="174">
        <v>842310</v>
      </c>
      <c r="I24" s="175">
        <f>IF('Jul-26'!$H24="","",'Jul-26'!$H24*0.21)</f>
        <v>176885.1</v>
      </c>
      <c r="J24" s="175"/>
      <c r="K24" s="175"/>
      <c r="L24" s="175"/>
      <c r="M24" s="175"/>
      <c r="N24" s="175"/>
      <c r="O24" s="175"/>
      <c r="P24" s="176">
        <f>SUM('Jul-26'!$H24:$O24)</f>
        <v>1019195.1</v>
      </c>
      <c r="Q24" s="177" t="str">
        <f>IFERROR(IF('Jul-26'!$F24="","-",VLOOKUP('Jul-26'!$F24,Lista_CUIT!$A$1:$D$2241,3,0)),"CUIT NO CARGADO")</f>
        <v>CATERING</v>
      </c>
      <c r="R24" s="177">
        <f>IFERROR(IF('Jul-26'!$F24="","-",VLOOKUP('Jul-26'!$F24,Lista_CUIT!$A$1:$D$2241,4,0)),"CUIT NO CARGADO")</f>
        <v>0</v>
      </c>
    </row>
    <row r="25" spans="1:26" ht="15.75" customHeight="1" x14ac:dyDescent="0.25">
      <c r="B25" s="239">
        <v>45854</v>
      </c>
      <c r="C25" s="169">
        <v>1</v>
      </c>
      <c r="D25" s="170">
        <v>2</v>
      </c>
      <c r="E25" s="171">
        <v>3162</v>
      </c>
      <c r="F25" s="172">
        <v>30709131733</v>
      </c>
      <c r="G25" s="173" t="str">
        <f>IFERROR(IF('Jul-26'!$F25="","-",VLOOKUP('Jul-26'!$F25,Lista_CUIT!$A$1:$D$2241,2,0)),"CUIT NO CARGADO")</f>
        <v>DIGAS SRL</v>
      </c>
      <c r="H25" s="174">
        <v>4193280</v>
      </c>
      <c r="I25" s="175">
        <f>IF('Jul-26'!$H25="","",'Jul-26'!$H25*0.21)</f>
        <v>880588.79999999993</v>
      </c>
      <c r="J25" s="175"/>
      <c r="K25" s="175"/>
      <c r="L25" s="175"/>
      <c r="M25" s="175"/>
      <c r="N25" s="175"/>
      <c r="O25" s="175"/>
      <c r="P25" s="176">
        <f>SUM('Jul-26'!$H25:$O25)</f>
        <v>5073868.7999999998</v>
      </c>
      <c r="Q25" s="177" t="str">
        <f>IFERROR(IF('Jul-26'!$F25="","-",VLOOKUP('Jul-26'!$F25,Lista_CUIT!$A$1:$D$2241,3,0)),"CUIT NO CARGADO")</f>
        <v>INSUMO</v>
      </c>
      <c r="R25" s="177">
        <f>IFERROR(IF('Jul-26'!$F25="","-",VLOOKUP('Jul-26'!$F25,Lista_CUIT!$A$1:$D$2241,4,0)),"CUIT NO CARGADO")</f>
        <v>0</v>
      </c>
    </row>
    <row r="26" spans="1:26" ht="18" customHeight="1" x14ac:dyDescent="0.25">
      <c r="A26" s="43"/>
      <c r="B26" s="239">
        <v>45854</v>
      </c>
      <c r="C26" s="169">
        <v>1</v>
      </c>
      <c r="D26" s="170">
        <v>4</v>
      </c>
      <c r="E26" s="171">
        <v>19789</v>
      </c>
      <c r="F26" s="172">
        <v>30709362875</v>
      </c>
      <c r="G26" s="173" t="str">
        <f>IFERROR(IF('Jul-26'!$F26="","-",VLOOKUP('Jul-26'!$F26,Lista_CUIT!$A$1:$D$2241,2,0)),"CUIT NO CARGADO")</f>
        <v>ELINDAR SRL</v>
      </c>
      <c r="H26" s="174">
        <v>55682.35</v>
      </c>
      <c r="I26" s="175">
        <f>IF('Jul-26'!$H26="","",'Jul-26'!$H26*0.21)</f>
        <v>11693.2935</v>
      </c>
      <c r="J26" s="175"/>
      <c r="K26" s="175"/>
      <c r="L26" s="175"/>
      <c r="M26" s="175"/>
      <c r="N26" s="175"/>
      <c r="O26" s="175"/>
      <c r="P26" s="176">
        <f>SUM('Jul-26'!$H26:$O26)</f>
        <v>67375.643500000006</v>
      </c>
      <c r="Q26" s="177" t="str">
        <f>IFERROR(IF('Jul-26'!$F26="","-",VLOOKUP('Jul-26'!$F26,Lista_CUIT!$A$1:$D$2241,3,0)),"CUIT NO CARGADO")</f>
        <v>REPUESTOS</v>
      </c>
      <c r="R26" s="177" t="str">
        <f>IFERROR(IF('Jul-26'!$F26="","-",VLOOKUP('Jul-26'!$F26,Lista_CUIT!$A$1:$D$2241,4,0)),"CUIT NO CARGADO")</f>
        <v>BUENOS AIRES</v>
      </c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B27" s="239">
        <v>45855</v>
      </c>
      <c r="C27" s="169">
        <v>1</v>
      </c>
      <c r="D27" s="170">
        <v>5</v>
      </c>
      <c r="E27" s="171">
        <v>86570</v>
      </c>
      <c r="F27" s="172">
        <v>30692857611</v>
      </c>
      <c r="G27" s="173" t="str">
        <f>IFERROR(IF('Jul-26'!$F27="","-",VLOOKUP('Jul-26'!$F27,Lista_CUIT!$A$1:$D$2241,2,0)),"CUIT NO CARGADO")</f>
        <v>BAGUI S A</v>
      </c>
      <c r="H27" s="174">
        <v>153000</v>
      </c>
      <c r="I27" s="175">
        <f>IF('Jul-26'!$H27="","",'Jul-26'!$H27*0.21)</f>
        <v>32130</v>
      </c>
      <c r="J27" s="175"/>
      <c r="K27" s="175"/>
      <c r="L27" s="175"/>
      <c r="M27" s="175"/>
      <c r="N27" s="175"/>
      <c r="O27" s="175"/>
      <c r="P27" s="176">
        <f>SUM('Jul-26'!$H27:$O27)</f>
        <v>185130</v>
      </c>
      <c r="Q27" s="177" t="str">
        <f>IFERROR(IF('Jul-26'!$F27="","-",VLOOKUP('Jul-26'!$F27,Lista_CUIT!$A$1:$D$2241,3,0)),"CUIT NO CARGADO")</f>
        <v>INSUMO</v>
      </c>
      <c r="R27" s="177">
        <f>IFERROR(IF('Jul-26'!$F27="","-",VLOOKUP('Jul-26'!$F27,Lista_CUIT!$A$1:$D$2241,4,0)),"CUIT NO CARGADO")</f>
        <v>0</v>
      </c>
    </row>
    <row r="28" spans="1:26" ht="15.75" customHeight="1" x14ac:dyDescent="0.25">
      <c r="B28" s="239">
        <v>45860</v>
      </c>
      <c r="C28" s="169">
        <v>1</v>
      </c>
      <c r="D28" s="170">
        <v>4</v>
      </c>
      <c r="E28" s="171">
        <v>58055</v>
      </c>
      <c r="F28" s="172">
        <v>20303333038</v>
      </c>
      <c r="G28" s="173" t="str">
        <f>IFERROR(IF('Jul-26'!$F28="","-",VLOOKUP('Jul-26'!$F28,Lista_CUIT!$A$1:$D$2241,2,0)),"CUIT NO CARGADO")</f>
        <v>RAMIREZ DIAZ FEDERICO NAHUEL</v>
      </c>
      <c r="H28" s="174">
        <v>55158.75</v>
      </c>
      <c r="I28" s="175"/>
      <c r="J28" s="175"/>
      <c r="K28" s="175">
        <v>5791.67</v>
      </c>
      <c r="L28" s="175"/>
      <c r="M28" s="175"/>
      <c r="N28" s="175"/>
      <c r="O28" s="175"/>
      <c r="P28" s="176">
        <f>SUM('Jul-26'!$H28:$O28)</f>
        <v>60950.42</v>
      </c>
      <c r="Q28" s="177" t="str">
        <f>IFERROR(IF('Jul-26'!$F28="","-",VLOOKUP('Jul-26'!$F28,Lista_CUIT!$A$1:$D$2241,3,0)),"CUIT NO CARGADO")</f>
        <v>INSUMO</v>
      </c>
      <c r="R28" s="177">
        <f>IFERROR(IF('Jul-26'!$F28="","-",VLOOKUP('Jul-26'!$F28,Lista_CUIT!$A$1:$D$2241,4,0)),"CUIT NO CARGADO")</f>
        <v>0</v>
      </c>
    </row>
    <row r="29" spans="1:26" ht="15.75" customHeight="1" x14ac:dyDescent="0.25">
      <c r="B29" s="239">
        <v>45860</v>
      </c>
      <c r="C29" s="169">
        <v>1</v>
      </c>
      <c r="D29" s="170">
        <v>4</v>
      </c>
      <c r="E29" s="171">
        <v>58054</v>
      </c>
      <c r="F29" s="172">
        <v>20303333038</v>
      </c>
      <c r="G29" s="173" t="str">
        <f>IFERROR(IF('Jul-26'!$F29="","-",VLOOKUP('Jul-26'!$F29,Lista_CUIT!$A$1:$D$2241,2,0)),"CUIT NO CARGADO")</f>
        <v>RAMIREZ DIAZ FEDERICO NAHUEL</v>
      </c>
      <c r="H29" s="174">
        <v>40640.129999999997</v>
      </c>
      <c r="I29" s="175">
        <v>8070.81</v>
      </c>
      <c r="J29" s="175"/>
      <c r="K29" s="175">
        <v>231.81</v>
      </c>
      <c r="L29" s="175"/>
      <c r="M29" s="175"/>
      <c r="N29" s="175"/>
      <c r="O29" s="175"/>
      <c r="P29" s="176">
        <f>SUM('Jul-26'!$H29:$O29)</f>
        <v>48942.749999999993</v>
      </c>
      <c r="Q29" s="177" t="str">
        <f>IFERROR(IF('Jul-26'!$F29="","-",VLOOKUP('Jul-26'!$F29,Lista_CUIT!$A$1:$D$2241,3,0)),"CUIT NO CARGADO")</f>
        <v>INSUMO</v>
      </c>
      <c r="R29" s="177">
        <f>IFERROR(IF('Jul-26'!$F29="","-",VLOOKUP('Jul-26'!$F29,Lista_CUIT!$A$1:$D$2241,4,0)),"CUIT NO CARGADO")</f>
        <v>0</v>
      </c>
    </row>
    <row r="30" spans="1:26" ht="14.25" customHeight="1" x14ac:dyDescent="0.25">
      <c r="B30" s="239">
        <v>45866</v>
      </c>
      <c r="C30" s="169">
        <v>1</v>
      </c>
      <c r="D30" s="170">
        <v>7</v>
      </c>
      <c r="E30" s="171">
        <v>17686</v>
      </c>
      <c r="F30" s="172">
        <v>30709788635</v>
      </c>
      <c r="G30" s="173" t="str">
        <f>IFERROR(IF('Jul-26'!$F30="","-",VLOOKUP('Jul-26'!$F30,Lista_CUIT!$A$1:$D$2241,2,0)),"CUIT NO CARGADO")</f>
        <v>EMELINT S.R.L.</v>
      </c>
      <c r="H30" s="174">
        <v>31875.26</v>
      </c>
      <c r="I30" s="175">
        <f>IF('Jul-26'!$H30="","",'Jul-26'!$H30*0.21)</f>
        <v>6693.8045999999995</v>
      </c>
      <c r="J30" s="175"/>
      <c r="K30" s="175"/>
      <c r="L30" s="175"/>
      <c r="M30" s="175"/>
      <c r="N30" s="175"/>
      <c r="O30" s="175"/>
      <c r="P30" s="176">
        <f>SUM('Jul-26'!$H30:$O30)</f>
        <v>38569.064599999998</v>
      </c>
      <c r="Q30" s="177" t="str">
        <f>IFERROR(IF('Jul-26'!$F30="","-",VLOOKUP('Jul-26'!$F30,Lista_CUIT!$A$1:$D$2241,3,0)),"CUIT NO CARGADO")</f>
        <v>Electronica</v>
      </c>
      <c r="R30" s="177">
        <f>IFERROR(IF('Jul-26'!$F30="","-",VLOOKUP('Jul-26'!$F30,Lista_CUIT!$A$1:$D$2241,4,0)),"CUIT NO CARGADO")</f>
        <v>0</v>
      </c>
    </row>
    <row r="31" spans="1:26" ht="15.75" customHeight="1" x14ac:dyDescent="0.25">
      <c r="B31" s="239">
        <v>45867</v>
      </c>
      <c r="C31" s="169">
        <v>1</v>
      </c>
      <c r="D31" s="170">
        <v>10</v>
      </c>
      <c r="E31" s="171">
        <v>62258</v>
      </c>
      <c r="F31" s="172">
        <v>27268654017</v>
      </c>
      <c r="G31" s="173" t="str">
        <f>IFERROR(IF('Jul-26'!$F31="","-",VLOOKUP('Jul-26'!$F31,Lista_CUIT!$A$1:$D$2241,2,0)),"CUIT NO CARGADO")</f>
        <v>TAU DANIELA LEONOR</v>
      </c>
      <c r="H31" s="174">
        <v>17128.93</v>
      </c>
      <c r="I31" s="175">
        <f>IF('Jul-26'!$H31="","",'Jul-26'!$H31*0.21)</f>
        <v>3597.0753</v>
      </c>
      <c r="J31" s="175"/>
      <c r="K31" s="175"/>
      <c r="L31" s="175"/>
      <c r="M31" s="175"/>
      <c r="N31" s="175"/>
      <c r="O31" s="175"/>
      <c r="P31" s="176">
        <f>SUM('Jul-26'!$H31:$O31)</f>
        <v>20726.005300000001</v>
      </c>
      <c r="Q31" s="177">
        <f>IFERROR(IF('Jul-26'!$F31="","-",VLOOKUP('Jul-26'!$F31,Lista_CUIT!$A$1:$D$2241,3,0)),"CUIT NO CARGADO")</f>
        <v>0</v>
      </c>
      <c r="R31" s="177">
        <f>IFERROR(IF('Jul-26'!$F31="","-",VLOOKUP('Jul-26'!$F31,Lista_CUIT!$A$1:$D$2241,4,0)),"CUIT NO CARGADO")</f>
        <v>0</v>
      </c>
    </row>
    <row r="32" spans="1:26" ht="15.75" customHeight="1" x14ac:dyDescent="0.25">
      <c r="B32" s="239">
        <v>45863</v>
      </c>
      <c r="C32" s="169">
        <v>1</v>
      </c>
      <c r="D32" s="170">
        <v>11</v>
      </c>
      <c r="E32" s="171">
        <v>2400</v>
      </c>
      <c r="F32" s="172">
        <v>33696073169</v>
      </c>
      <c r="G32" s="173" t="str">
        <f>IFERROR(IF('Jul-26'!$F32="","-",VLOOKUP('Jul-26'!$F32,Lista_CUIT!$A$1:$D$2241,2,0)),"CUIT NO CARGADO")</f>
        <v>LANDES SRL</v>
      </c>
      <c r="H32" s="174">
        <v>60578.48</v>
      </c>
      <c r="I32" s="175">
        <f>IF('Jul-26'!$H32="","",'Jul-26'!$H32*0.21)</f>
        <v>12721.480799999999</v>
      </c>
      <c r="J32" s="175"/>
      <c r="K32" s="175"/>
      <c r="L32" s="175"/>
      <c r="M32" s="175"/>
      <c r="N32" s="175"/>
      <c r="O32" s="175"/>
      <c r="P32" s="176">
        <f>SUM('Jul-26'!$H32:$O32)</f>
        <v>73299.960800000001</v>
      </c>
      <c r="Q32" s="177" t="str">
        <f>IFERROR(IF('Jul-26'!$F32="","-",VLOOKUP('Jul-26'!$F32,Lista_CUIT!$A$1:$D$2241,3,0)),"CUIT NO CARGADO")</f>
        <v>Catering</v>
      </c>
      <c r="R32" s="177">
        <f>IFERROR(IF('Jul-26'!$F32="","-",VLOOKUP('Jul-26'!$F32,Lista_CUIT!$A$1:$D$2241,4,0)),"CUIT NO CARGADO")</f>
        <v>0</v>
      </c>
    </row>
    <row r="33" spans="2:19" ht="14.25" customHeight="1" x14ac:dyDescent="0.25">
      <c r="B33" s="239"/>
      <c r="C33" s="169"/>
      <c r="D33" s="170"/>
      <c r="E33" s="171"/>
      <c r="F33" s="172"/>
      <c r="G33" s="173" t="str">
        <f>IFERROR(IF('Jul-26'!$F33="","-",VLOOKUP('Jul-26'!$F33,Lista_CUIT!$A$1:$D$2241,2,0)),"CUIT NO CARGADO")</f>
        <v>-</v>
      </c>
      <c r="H33" s="174"/>
      <c r="I33" s="175" t="str">
        <f>IF('Jul-26'!$H33="","",'Jul-26'!$H33*0.21)</f>
        <v/>
      </c>
      <c r="J33" s="175"/>
      <c r="K33" s="175"/>
      <c r="L33" s="175"/>
      <c r="M33" s="175"/>
      <c r="N33" s="175"/>
      <c r="O33" s="175"/>
      <c r="P33" s="176">
        <f>SUM('Jul-26'!$H33:$O33)</f>
        <v>0</v>
      </c>
      <c r="Q33" s="177" t="str">
        <f>IFERROR(IF('Jul-26'!$F33="","-",VLOOKUP('Jul-26'!$F33,Lista_CUIT!$A$1:$D$2241,3,0)),"CUIT NO CARGADO")</f>
        <v>-</v>
      </c>
      <c r="R33" s="177" t="str">
        <f>IFERROR(IF('Jul-26'!$F33="","-",VLOOKUP('Jul-26'!$F33,Lista_CUIT!$A$1:$D$2241,4,0)),"CUIT NO CARGADO")</f>
        <v>-</v>
      </c>
      <c r="S33" s="3" t="s">
        <v>1374</v>
      </c>
    </row>
    <row r="34" spans="2:19" ht="15" customHeight="1" x14ac:dyDescent="0.25">
      <c r="B34" s="239"/>
      <c r="C34" s="169"/>
      <c r="D34" s="170"/>
      <c r="E34" s="171"/>
      <c r="F34" s="172"/>
      <c r="G34" s="173" t="str">
        <f>IFERROR(IF('Jul-26'!$F34="","-",VLOOKUP('Jul-26'!$F34,Lista_CUIT!$A$1:$D$2241,2,0)),"CUIT NO CARGADO")</f>
        <v>-</v>
      </c>
      <c r="H34" s="174"/>
      <c r="I34" s="175" t="str">
        <f>IF('Jul-26'!$H34="","",'Jul-26'!$H34*0.21)</f>
        <v/>
      </c>
      <c r="J34" s="175"/>
      <c r="K34" s="175"/>
      <c r="L34" s="175"/>
      <c r="M34" s="175"/>
      <c r="N34" s="175"/>
      <c r="O34" s="175"/>
      <c r="P34" s="176">
        <f>SUM('Jul-26'!$H34:$O34)</f>
        <v>0</v>
      </c>
      <c r="Q34" s="177" t="str">
        <f>IFERROR(IF('Jul-26'!$F34="","-",VLOOKUP('Jul-26'!$F34,Lista_CUIT!$A$1:$D$2241,3,0)),"CUIT NO CARGADO")</f>
        <v>-</v>
      </c>
      <c r="R34" s="177" t="str">
        <f>IFERROR(IF('Jul-26'!$F34="","-",VLOOKUP('Jul-26'!$F34,Lista_CUIT!$A$1:$D$2241,4,0)),"CUIT NO CARGADO")</f>
        <v>-</v>
      </c>
      <c r="S34" s="3" t="s">
        <v>1375</v>
      </c>
    </row>
    <row r="35" spans="2:19" ht="15" customHeight="1" x14ac:dyDescent="0.25">
      <c r="B35" s="21" t="s">
        <v>1336</v>
      </c>
      <c r="C35" s="21"/>
      <c r="D35" s="21"/>
      <c r="E35" s="21"/>
      <c r="F35" s="21"/>
      <c r="G35" s="17"/>
      <c r="H35" s="18">
        <f>SUBTOTAL(109,'Jul-26'!$H$9:$H$34)</f>
        <v>15558231.279999997</v>
      </c>
      <c r="I35" s="18">
        <f>SUBTOTAL(109,'Jul-26'!$I$9:$I$34)</f>
        <v>3255181.6140000001</v>
      </c>
      <c r="J35" s="18">
        <f>SUBTOTAL(109,'Jul-26'!$J$9:$J$34)</f>
        <v>0</v>
      </c>
      <c r="K35" s="18">
        <f>SUBTOTAL(109,'Jul-26'!$K$9:$K$34)</f>
        <v>6023.4800000000005</v>
      </c>
      <c r="L35" s="18">
        <f>SUBTOTAL(109,'Jul-26'!$L$9:$L$34)</f>
        <v>0</v>
      </c>
      <c r="M35" s="18">
        <f>SUBTOTAL(109,'Jul-26'!$M$9:$M$34)</f>
        <v>0</v>
      </c>
      <c r="N35" s="18">
        <f>SUBTOTAL(109,'Jul-26'!$N$9:$N$34)</f>
        <v>0</v>
      </c>
      <c r="O35" s="18">
        <f>SUBTOTAL(109,'Jul-26'!$O$9:$O$34)</f>
        <v>0</v>
      </c>
      <c r="P35" s="18">
        <f>SUBTOTAL(109,'Jul-26'!$P$9:$P$34)</f>
        <v>18819436.374000002</v>
      </c>
      <c r="Q35" s="21"/>
      <c r="R35" s="21"/>
    </row>
    <row r="36" spans="2:19" ht="15" customHeight="1" x14ac:dyDescent="0.25">
      <c r="B36" s="12"/>
      <c r="C36" s="13"/>
      <c r="D36" s="14"/>
      <c r="E36" s="15"/>
      <c r="F36" s="16"/>
      <c r="G36" s="17"/>
      <c r="H36" s="18"/>
      <c r="I36" s="19"/>
      <c r="J36" s="19"/>
      <c r="K36" s="19"/>
      <c r="L36" s="19"/>
      <c r="M36" s="19"/>
      <c r="N36" s="19"/>
      <c r="O36" s="19"/>
      <c r="P36" s="20"/>
      <c r="Q36" s="21"/>
      <c r="R36" s="21"/>
    </row>
    <row r="37" spans="2:19" ht="15" customHeight="1" x14ac:dyDescent="0.25">
      <c r="B37" s="12"/>
      <c r="C37" s="13"/>
      <c r="D37" s="14"/>
      <c r="E37" s="15"/>
      <c r="F37" s="16"/>
      <c r="G37" s="17"/>
      <c r="H37" s="18"/>
      <c r="I37" s="19"/>
      <c r="J37" s="19"/>
      <c r="K37" s="19"/>
      <c r="L37" s="19"/>
      <c r="M37" s="19"/>
      <c r="N37" s="19"/>
      <c r="O37" s="19"/>
      <c r="P37" s="20"/>
      <c r="Q37" s="21"/>
      <c r="R37" s="21"/>
    </row>
    <row r="38" spans="2:19" ht="23.25" customHeight="1" x14ac:dyDescent="0.25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2:19" ht="19.5" customHeight="1" x14ac:dyDescent="0.25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</row>
    <row r="40" spans="2:19" ht="15.75" customHeight="1" x14ac:dyDescent="0.25">
      <c r="D40" s="456" t="s">
        <v>1337</v>
      </c>
      <c r="E40" s="448"/>
      <c r="F40" s="448"/>
      <c r="G40" s="448"/>
      <c r="H40" s="448"/>
      <c r="I40" s="448"/>
      <c r="J40" s="448"/>
      <c r="K40" s="448"/>
      <c r="L40" s="449"/>
    </row>
    <row r="41" spans="2:19" ht="15.75" customHeight="1" x14ac:dyDescent="0.25">
      <c r="D41" s="24" t="s">
        <v>1322</v>
      </c>
      <c r="E41" s="25" t="s">
        <v>1338</v>
      </c>
      <c r="F41" s="25" t="s">
        <v>1339</v>
      </c>
      <c r="G41" s="25" t="s">
        <v>1340</v>
      </c>
      <c r="H41" s="25" t="s">
        <v>1341</v>
      </c>
      <c r="I41" s="25" t="s">
        <v>1329</v>
      </c>
      <c r="J41" s="26" t="s">
        <v>1342</v>
      </c>
      <c r="K41" s="26" t="s">
        <v>1343</v>
      </c>
      <c r="L41" s="27" t="s">
        <v>1344</v>
      </c>
    </row>
    <row r="42" spans="2:19" ht="15.75" customHeight="1" x14ac:dyDescent="0.25">
      <c r="D42" s="12"/>
      <c r="E42" s="29"/>
      <c r="F42" s="30" t="s">
        <v>1372</v>
      </c>
      <c r="G42" s="31">
        <f>Table_23[[#This Row],[IVA 21%]]/0.21</f>
        <v>132666.23809523811</v>
      </c>
      <c r="H42" s="31">
        <v>27859.91</v>
      </c>
      <c r="I42" s="31"/>
      <c r="J42" s="31"/>
      <c r="K42" s="31">
        <v>3853.99</v>
      </c>
      <c r="L42" s="31"/>
    </row>
    <row r="43" spans="2:19" ht="15.75" customHeight="1" x14ac:dyDescent="0.25">
      <c r="D43" s="12"/>
      <c r="E43" s="29"/>
      <c r="F43" s="30"/>
      <c r="G43" s="31"/>
      <c r="H43" s="31">
        <f>'Jul-26'!$G43*0.21</f>
        <v>0</v>
      </c>
      <c r="I43" s="31"/>
      <c r="J43" s="31"/>
      <c r="K43" s="31"/>
      <c r="L43" s="31"/>
    </row>
    <row r="44" spans="2:19" ht="15.75" customHeight="1" x14ac:dyDescent="0.25">
      <c r="D44" s="12"/>
      <c r="E44" s="29"/>
      <c r="F44" s="30"/>
      <c r="G44" s="31"/>
      <c r="H44" s="31">
        <f>'Jul-26'!$G44*0.21</f>
        <v>0</v>
      </c>
      <c r="I44" s="31"/>
      <c r="J44" s="31"/>
      <c r="K44" s="31"/>
      <c r="L44" s="31"/>
    </row>
    <row r="45" spans="2:19" ht="15.75" customHeight="1" x14ac:dyDescent="0.25">
      <c r="D45" s="12"/>
      <c r="E45" s="29"/>
      <c r="F45" s="30"/>
      <c r="G45" s="31"/>
      <c r="H45" s="31">
        <f>'Jul-26'!$G45*0.21</f>
        <v>0</v>
      </c>
      <c r="I45" s="31"/>
      <c r="J45" s="31"/>
      <c r="K45" s="31"/>
      <c r="L45" s="31"/>
    </row>
    <row r="46" spans="2:19" ht="15.75" customHeight="1" x14ac:dyDescent="0.25">
      <c r="D46" s="12"/>
      <c r="E46" s="29"/>
      <c r="F46" s="30"/>
      <c r="G46" s="31"/>
      <c r="H46" s="31">
        <f>'Jul-26'!$G46*0.21</f>
        <v>0</v>
      </c>
      <c r="I46" s="31"/>
      <c r="J46" s="31"/>
      <c r="K46" s="31"/>
      <c r="L46" s="31"/>
    </row>
    <row r="47" spans="2:19" ht="15.75" customHeight="1" x14ac:dyDescent="0.25">
      <c r="D47" s="21" t="s">
        <v>1336</v>
      </c>
      <c r="E47" s="29"/>
      <c r="F47" s="29"/>
      <c r="G47" s="31">
        <f>SUBTOTAL(109,'Jul-26'!$G$42:$G$46)</f>
        <v>132666.23809523811</v>
      </c>
      <c r="H47" s="31">
        <f>SUBTOTAL(109,'Jul-26'!$H$42:$H$46)</f>
        <v>27859.91</v>
      </c>
      <c r="I47" s="31">
        <f>SUBTOTAL(109,'Jul-26'!$I$42:$I$46)</f>
        <v>0</v>
      </c>
      <c r="J47" s="31">
        <f>SUBTOTAL(109,'Jul-26'!$J$42:$J$46)</f>
        <v>0</v>
      </c>
      <c r="K47" s="31">
        <f>SUBTOTAL(109,'Jul-26'!$K$42:$K$46)</f>
        <v>3853.99</v>
      </c>
      <c r="L47" s="31">
        <f>SUBTOTAL(109,'Jul-26'!$L$42:$L$46)</f>
        <v>0</v>
      </c>
    </row>
    <row r="48" spans="2:19" ht="15.75" customHeight="1" x14ac:dyDescent="0.25"/>
    <row r="49" spans="1:26" ht="15.75" customHeight="1" x14ac:dyDescent="0.25"/>
    <row r="50" spans="1:26" ht="15.75" customHeight="1" x14ac:dyDescent="0.25">
      <c r="H50" s="10"/>
    </row>
    <row r="51" spans="1:26" ht="15.75" customHeight="1" x14ac:dyDescent="0.25">
      <c r="D51" s="456" t="s">
        <v>1348</v>
      </c>
      <c r="E51" s="448"/>
      <c r="F51" s="448"/>
      <c r="G51" s="448"/>
      <c r="H51" s="448"/>
      <c r="I51" s="448"/>
      <c r="J51" s="448"/>
      <c r="K51" s="449"/>
    </row>
    <row r="52" spans="1:26" ht="15.75" customHeight="1" x14ac:dyDescent="0.25">
      <c r="D52" s="35" t="s">
        <v>1322</v>
      </c>
      <c r="E52" s="35" t="s">
        <v>1324</v>
      </c>
      <c r="F52" s="35" t="s">
        <v>1349</v>
      </c>
      <c r="G52" s="35" t="s">
        <v>0</v>
      </c>
      <c r="H52" s="35" t="s">
        <v>1</v>
      </c>
      <c r="I52" s="36" t="s">
        <v>1334</v>
      </c>
      <c r="J52" s="35" t="s">
        <v>1350</v>
      </c>
      <c r="K52" s="35" t="s">
        <v>1335</v>
      </c>
    </row>
    <row r="53" spans="1:26" ht="15.75" customHeight="1" x14ac:dyDescent="0.25">
      <c r="D53" s="413">
        <v>45839</v>
      </c>
      <c r="E53" s="14">
        <v>4</v>
      </c>
      <c r="F53" s="15">
        <v>98</v>
      </c>
      <c r="G53" s="16">
        <v>23214737914</v>
      </c>
      <c r="H53" s="40" t="str">
        <f>IFERROR(IF('Jul-26'!$G53="","-",VLOOKUP('Jul-26'!$G53,Lista_CUIT!$A$1:$D$2241,2,0)),"CUIT NO CARGADO")</f>
        <v>SBARRA GABRIELA BEATRIZ</v>
      </c>
      <c r="I53" s="31">
        <v>1175110</v>
      </c>
      <c r="J53" s="42" t="str">
        <f>IFERROR(IF('Jul-26'!$G53="","-",VLOOKUP('Jul-26'!$G53,Lista_CUIT!$A$1:$D$2241,3,0)),"CUIT NO CARGADO")</f>
        <v>Honorarios Admin</v>
      </c>
      <c r="K53" s="42">
        <f>IFERROR(IF('Jul-26'!$G53="","-",VLOOKUP('Jul-26'!$G53,Lista_CUIT!$A$1:$D$2241,4,0)),"CUIT NO CARGADO")</f>
        <v>0</v>
      </c>
    </row>
    <row r="54" spans="1:26" ht="15.75" customHeight="1" x14ac:dyDescent="0.25">
      <c r="D54" s="413">
        <v>45839</v>
      </c>
      <c r="E54" s="14">
        <v>1</v>
      </c>
      <c r="F54" s="15">
        <v>114</v>
      </c>
      <c r="G54" s="16">
        <v>20341465134</v>
      </c>
      <c r="H54" s="40" t="str">
        <f>IFERROR(IF('Jul-26'!$G54="","-",VLOOKUP('Jul-26'!$G54,Lista_CUIT!$A$1:$D$2241,2,0)),"CUIT NO CARGADO")</f>
        <v>ABELEDO AGUSTIN ENRIQUE</v>
      </c>
      <c r="I54" s="31">
        <v>2248500</v>
      </c>
      <c r="J54" s="42" t="str">
        <f>IFERROR(IF('Jul-26'!$G54="","-",VLOOKUP('Jul-26'!$G54,Lista_CUIT!$A$1:$D$2241,3,0)),"CUIT NO CARGADO")</f>
        <v>Mantenimiento</v>
      </c>
      <c r="K54" s="42" t="str">
        <f>IFERROR(IF('Jul-26'!$G54="","-",VLOOKUP('Jul-26'!$G54,Lista_CUIT!$A$1:$D$2241,4,0)),"CUIT NO CARGADO")</f>
        <v>CABA</v>
      </c>
    </row>
    <row r="55" spans="1:26" ht="18" customHeight="1" x14ac:dyDescent="0.25">
      <c r="A55" s="43"/>
      <c r="D55" s="413">
        <v>45839</v>
      </c>
      <c r="E55" s="14">
        <v>1</v>
      </c>
      <c r="F55" s="15">
        <v>42</v>
      </c>
      <c r="G55" s="16">
        <v>27387896150</v>
      </c>
      <c r="H55" s="40" t="str">
        <f>IFERROR(IF('Jul-26'!$G55="","-",VLOOKUP('Jul-26'!$G55,Lista_CUIT!$A$1:$D$2241,2,0)),"CUIT NO CARGADO")</f>
        <v>LIPANOVICH MARIA SOL</v>
      </c>
      <c r="I55" s="31">
        <v>1743950</v>
      </c>
      <c r="J55" s="42" t="str">
        <f>IFERROR(IF('Jul-26'!$G55="","-",VLOOKUP('Jul-26'!$G55,Lista_CUIT!$A$1:$D$2241,3,0)),"CUIT NO CARGADO")</f>
        <v>consultoria informatica</v>
      </c>
      <c r="K55" s="42">
        <f>IFERROR(IF('Jul-26'!$G55="","-",VLOOKUP('Jul-26'!$G55,Lista_CUIT!$A$1:$D$2241,4,0)),"CUIT NO CARGADO")</f>
        <v>0</v>
      </c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25">
      <c r="A56" s="43"/>
      <c r="D56" s="413">
        <v>45839</v>
      </c>
      <c r="E56" s="14">
        <v>1</v>
      </c>
      <c r="F56" s="15">
        <v>51</v>
      </c>
      <c r="G56" s="16">
        <v>20365938688</v>
      </c>
      <c r="H56" s="40" t="str">
        <f>IFERROR(IF('Jul-26'!$G56="","-",VLOOKUP('Jul-26'!$G56,Lista_CUIT!$A$1:$D$2241,2,0)),"CUIT NO CARGADO")</f>
        <v>LIPANOVICH JUAN CRUZ</v>
      </c>
      <c r="I56" s="31">
        <v>1494679</v>
      </c>
      <c r="J56" s="42" t="str">
        <f>IFERROR(IF('Jul-26'!$G56="","-",VLOOKUP('Jul-26'!$G56,Lista_CUIT!$A$1:$D$2241,3,0)),"CUIT NO CARGADO")</f>
        <v>SOFTWARE</v>
      </c>
      <c r="K56" s="42">
        <f>IFERROR(IF('Jul-26'!$G56="","-",VLOOKUP('Jul-26'!$G56,Lista_CUIT!$A$1:$D$2241,4,0)),"CUIT NO CARGADO")</f>
        <v>0</v>
      </c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25">
      <c r="A57" s="43"/>
      <c r="D57" s="413">
        <v>45839</v>
      </c>
      <c r="E57" s="14">
        <v>2</v>
      </c>
      <c r="F57" s="15">
        <v>21</v>
      </c>
      <c r="G57" s="16">
        <v>23118167279</v>
      </c>
      <c r="H57" s="40" t="str">
        <f>IFERROR(IF('Jul-26'!$G57="","-",VLOOKUP('Jul-26'!$G57,Lista_CUIT!$A$1:$D$2241,2,0)),"CUIT NO CARGADO")</f>
        <v>ABELEDO ENRIQUE JUAN</v>
      </c>
      <c r="I57" s="31">
        <v>2136000</v>
      </c>
      <c r="J57" s="42" t="str">
        <f>IFERROR(IF('Jul-26'!$G57="","-",VLOOKUP('Jul-26'!$G57,Lista_CUIT!$A$1:$D$2241,3,0)),"CUIT NO CARGADO")</f>
        <v>Honorarios Admin</v>
      </c>
      <c r="K57" s="42">
        <f>IFERROR(IF('Jul-26'!$G57="","-",VLOOKUP('Jul-26'!$G57,Lista_CUIT!$A$1:$D$2241,4,0)),"CUIT NO CARGADO")</f>
        <v>0</v>
      </c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25">
      <c r="A58" s="43"/>
      <c r="D58" s="413">
        <v>45840</v>
      </c>
      <c r="E58" s="14">
        <v>4</v>
      </c>
      <c r="F58" s="15">
        <v>40</v>
      </c>
      <c r="G58" s="16">
        <v>20086277523</v>
      </c>
      <c r="H58" s="40" t="str">
        <f>IFERROR(IF('Jul-26'!$G58="","-",VLOOKUP('Jul-26'!$G58,Lista_CUIT!$A$1:$D$2241,2,0)),"CUIT NO CARGADO")</f>
        <v>ESTUDIO BOTINDARI</v>
      </c>
      <c r="I58" s="31">
        <v>335000</v>
      </c>
      <c r="J58" s="42" t="str">
        <f>IFERROR(IF('Jul-26'!$G58="","-",VLOOKUP('Jul-26'!$G58,Lista_CUIT!$A$1:$D$2241,3,0)),"CUIT NO CARGADO")</f>
        <v>Honorarios Contables</v>
      </c>
      <c r="K58" s="42">
        <f>IFERROR(IF('Jul-26'!$G58="","-",VLOOKUP('Jul-26'!$G58,Lista_CUIT!$A$1:$D$2241,4,0)),"CUIT NO CARGADO")</f>
        <v>0</v>
      </c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25">
      <c r="A59" s="43"/>
      <c r="D59" s="413">
        <v>45841</v>
      </c>
      <c r="E59" s="14">
        <v>1</v>
      </c>
      <c r="F59" s="15">
        <v>32</v>
      </c>
      <c r="G59" s="16">
        <v>20419155870</v>
      </c>
      <c r="H59" s="40" t="str">
        <f>IFERROR(IF('Jul-26'!$G59="","-",VLOOKUP('Jul-26'!$G59,Lista_CUIT!$A$1:$D$2241,2,0)),"CUIT NO CARGADO")</f>
        <v>GULLO GASPAR</v>
      </c>
      <c r="I59" s="31">
        <v>75000</v>
      </c>
      <c r="J59" s="42" t="str">
        <f>IFERROR(IF('Jul-26'!$G59="","-",VLOOKUP('Jul-26'!$G59,Lista_CUIT!$A$1:$D$2241,3,0)),"CUIT NO CARGADO")</f>
        <v>Honorarios Contables</v>
      </c>
      <c r="K59" s="42">
        <f>IFERROR(IF('Jul-26'!$G59="","-",VLOOKUP('Jul-26'!$G59,Lista_CUIT!$A$1:$D$2241,4,0)),"CUIT NO CARGADO")</f>
        <v>0</v>
      </c>
      <c r="S59" s="43"/>
      <c r="T59" s="43"/>
      <c r="U59" s="43"/>
      <c r="V59" s="43"/>
      <c r="W59" s="43"/>
      <c r="X59" s="43"/>
      <c r="Y59" s="43"/>
      <c r="Z59" s="43"/>
    </row>
    <row r="60" spans="1:26" ht="15.75" customHeight="1" x14ac:dyDescent="0.25">
      <c r="D60" s="413">
        <v>45842</v>
      </c>
      <c r="E60" s="14">
        <v>2</v>
      </c>
      <c r="F60" s="15">
        <v>185</v>
      </c>
      <c r="G60" s="16">
        <v>20136544625</v>
      </c>
      <c r="H60" s="40" t="str">
        <f>IFERROR(IF('Jul-26'!$G60="","-",VLOOKUP('Jul-26'!$G60,Lista_CUIT!$A$1:$D$2241,2,0)),"CUIT NO CARGADO")</f>
        <v>RODRIGUEZ DE LA FUEN HECTOR MARCELO</v>
      </c>
      <c r="I60" s="31">
        <v>1050000</v>
      </c>
      <c r="J60" s="42" t="str">
        <f>IFERROR(IF('Jul-26'!$G60="","-",VLOOKUP('Jul-26'!$G60,Lista_CUIT!$A$1:$D$2241,3,0)),"CUIT NO CARGADO")</f>
        <v>Honorarios Admin</v>
      </c>
      <c r="K60" s="42">
        <f>IFERROR(IF('Jul-26'!$G60="","-",VLOOKUP('Jul-26'!$G60,Lista_CUIT!$A$1:$D$2241,4,0)),"CUIT NO CARGADO")</f>
        <v>0</v>
      </c>
    </row>
    <row r="61" spans="1:26" ht="15.75" customHeight="1" x14ac:dyDescent="0.25">
      <c r="D61" s="413">
        <v>45842</v>
      </c>
      <c r="E61" s="14">
        <v>1</v>
      </c>
      <c r="F61" s="15">
        <v>156</v>
      </c>
      <c r="G61" s="16">
        <v>20389908569</v>
      </c>
      <c r="H61" s="40" t="str">
        <f>IFERROR(IF('Jul-26'!$G61="","-",VLOOKUP('Jul-26'!$G61,Lista_CUIT!$A$1:$D$2241,2,0)),"CUIT NO CARGADO")</f>
        <v>BOTINDARI JUAN IGNACIO</v>
      </c>
      <c r="I61" s="31">
        <v>125000</v>
      </c>
      <c r="J61" s="42" t="str">
        <f>IFERROR(IF('Jul-26'!$G61="","-",VLOOKUP('Jul-26'!$G61,Lista_CUIT!$A$1:$D$2241,3,0)),"CUIT NO CARGADO")</f>
        <v>Honorarios Contables</v>
      </c>
      <c r="K61" s="42">
        <f>IFERROR(IF('Jul-26'!$G61="","-",VLOOKUP('Jul-26'!$G61,Lista_CUIT!$A$1:$D$2241,4,0)),"CUIT NO CARGADO")</f>
        <v>0</v>
      </c>
    </row>
    <row r="62" spans="1:26" ht="15.75" customHeight="1" x14ac:dyDescent="0.25">
      <c r="D62" s="413">
        <v>45842</v>
      </c>
      <c r="E62" s="14">
        <v>2</v>
      </c>
      <c r="F62" s="15">
        <v>284</v>
      </c>
      <c r="G62" s="16">
        <v>27173820866</v>
      </c>
      <c r="H62" s="40" t="str">
        <f>IFERROR(IF('Jul-26'!$G62="","-",VLOOKUP('Jul-26'!$G62,Lista_CUIT!$A$1:$D$2241,2,0)),"CUIT NO CARGADO")</f>
        <v>FREIER SANDRA DANIELA</v>
      </c>
      <c r="I62" s="31">
        <v>1120000</v>
      </c>
      <c r="J62" s="42" t="str">
        <f>IFERROR(IF('Jul-26'!$G62="","-",VLOOKUP('Jul-26'!$G62,Lista_CUIT!$A$1:$D$2241,3,0)),"CUIT NO CARGADO")</f>
        <v>Honorarios Prof</v>
      </c>
      <c r="K62" s="42">
        <f>IFERROR(IF('Jul-26'!$G62="","-",VLOOKUP('Jul-26'!$G62,Lista_CUIT!$A$1:$D$2241,4,0)),"CUIT NO CARGADO")</f>
        <v>0</v>
      </c>
    </row>
    <row r="63" spans="1:26" ht="15.75" customHeight="1" x14ac:dyDescent="0.25">
      <c r="D63" s="413">
        <v>45846</v>
      </c>
      <c r="E63" s="14">
        <v>4</v>
      </c>
      <c r="F63" s="15">
        <v>52</v>
      </c>
      <c r="G63" s="16">
        <v>20341462933</v>
      </c>
      <c r="H63" s="40" t="str">
        <f>IFERROR(IF('Jul-26'!$G63="","-",VLOOKUP('Jul-26'!$G63,Lista_CUIT!$A$1:$D$2241,2,0)),"CUIT NO CARGADO")</f>
        <v>CASTIGLIONI MATIAS EZEQUIEL</v>
      </c>
      <c r="I63" s="31">
        <v>2578000</v>
      </c>
      <c r="J63" s="42" t="str">
        <f>IFERROR(IF('Jul-26'!$G63="","-",VLOOKUP('Jul-26'!$G63,Lista_CUIT!$A$1:$D$2241,3,0)),"CUIT NO CARGADO")</f>
        <v>ASESORAMIENTO</v>
      </c>
      <c r="K63" s="42" t="str">
        <f>IFERROR(IF('Jul-26'!$G63="","-",VLOOKUP('Jul-26'!$G63,Lista_CUIT!$A$1:$D$2241,4,0)),"CUIT NO CARGADO")</f>
        <v>BUENOS AIRES</v>
      </c>
    </row>
    <row r="64" spans="1:26" ht="15.75" customHeight="1" x14ac:dyDescent="0.25">
      <c r="D64" s="413">
        <v>45852</v>
      </c>
      <c r="E64" s="14">
        <v>2</v>
      </c>
      <c r="F64" s="15">
        <v>287</v>
      </c>
      <c r="G64" s="16">
        <v>27173820866</v>
      </c>
      <c r="H64" s="40" t="str">
        <f>IFERROR(IF('Jul-26'!$G64="","-",VLOOKUP('Jul-26'!$G64,Lista_CUIT!$A$1:$D$2241,2,0)),"CUIT NO CARGADO")</f>
        <v>FREIER SANDRA DANIELA</v>
      </c>
      <c r="I64" s="31">
        <v>625000</v>
      </c>
      <c r="J64" s="42" t="str">
        <f>IFERROR(IF('Jul-26'!$G64="","-",VLOOKUP('Jul-26'!$G64,Lista_CUIT!$A$1:$D$2241,3,0)),"CUIT NO CARGADO")</f>
        <v>Honorarios Prof</v>
      </c>
      <c r="K64" s="42">
        <f>IFERROR(IF('Jul-26'!$G64="","-",VLOOKUP('Jul-26'!$G64,Lista_CUIT!$A$1:$D$2241,4,0)),"CUIT NO CARGADO")</f>
        <v>0</v>
      </c>
    </row>
    <row r="65" spans="2:18" ht="15.75" customHeight="1" x14ac:dyDescent="0.25">
      <c r="D65" s="413">
        <v>45854</v>
      </c>
      <c r="E65" s="14">
        <v>2</v>
      </c>
      <c r="F65" s="15">
        <v>204</v>
      </c>
      <c r="G65" s="16">
        <v>27125997835</v>
      </c>
      <c r="H65" s="40" t="str">
        <f>IFERROR(IF('Jul-26'!$G65="","-",VLOOKUP('Jul-26'!$G65,Lista_CUIT!$A$1:$D$2241,2,0)),"CUIT NO CARGADO")</f>
        <v>DANSKY ULLMANN VIVIANA EVA YOLANDA</v>
      </c>
      <c r="I65" s="31">
        <v>170000</v>
      </c>
      <c r="J65" s="42" t="str">
        <f>IFERROR(IF('Jul-26'!$G65="","-",VLOOKUP('Jul-26'!$G65,Lista_CUIT!$A$1:$D$2241,3,0)),"CUIT NO CARGADO")</f>
        <v>Honorarios Prof</v>
      </c>
      <c r="K65" s="42">
        <f>IFERROR(IF('Jul-26'!$G65="","-",VLOOKUP('Jul-26'!$G65,Lista_CUIT!$A$1:$D$2241,4,0)),"CUIT NO CARGADO")</f>
        <v>0</v>
      </c>
    </row>
    <row r="66" spans="2:18" ht="18.75" customHeight="1" x14ac:dyDescent="0.25">
      <c r="D66" s="413">
        <v>45856</v>
      </c>
      <c r="E66" s="14">
        <v>1</v>
      </c>
      <c r="F66" s="15">
        <v>580</v>
      </c>
      <c r="G66" s="16">
        <v>27925308884</v>
      </c>
      <c r="H66" s="40" t="str">
        <f>IFERROR(IF('Jul-26'!$G66="","-",VLOOKUP('Jul-26'!$G66,Lista_CUIT!$A$1:$D$2241,2,0)),"CUIT NO CARGADO")</f>
        <v>LOPEZ LOPEZ FLAVIA</v>
      </c>
      <c r="I66" s="31">
        <v>140000</v>
      </c>
      <c r="J66" s="42" t="str">
        <f>IFERROR(IF('Jul-26'!$G66="","-",VLOOKUP('Jul-26'!$G66,Lista_CUIT!$A$1:$D$2241,3,0)),"CUIT NO CARGADO")</f>
        <v>GASTOS VARIOS</v>
      </c>
      <c r="K66" s="42">
        <f>IFERROR(IF('Jul-26'!$G66="","-",VLOOKUP('Jul-26'!$G66,Lista_CUIT!$A$1:$D$2241,4,0)),"CUIT NO CARGADO")</f>
        <v>0</v>
      </c>
    </row>
    <row r="67" spans="2:18" ht="15.75" customHeight="1" x14ac:dyDescent="0.25">
      <c r="D67" s="413">
        <v>45860</v>
      </c>
      <c r="E67" s="14">
        <v>1</v>
      </c>
      <c r="F67" s="15">
        <v>886</v>
      </c>
      <c r="G67" s="16">
        <v>20332167481</v>
      </c>
      <c r="H67" s="40" t="str">
        <f>IFERROR(IF('Jul-26'!$G67="","-",VLOOKUP('Jul-26'!$G67,Lista_CUIT!$A$1:$D$2241,2,0)),"CUIT NO CARGADO")</f>
        <v>AGUIRRE GABRIEL ADRIAN</v>
      </c>
      <c r="I67" s="31">
        <v>28000</v>
      </c>
      <c r="J67" s="42" t="str">
        <f>IFERROR(IF('Jul-26'!$G67="","-",VLOOKUP('Jul-26'!$G67,Lista_CUIT!$A$1:$D$2241,3,0)),"CUIT NO CARGADO")</f>
        <v>GASTOS VARIOS</v>
      </c>
      <c r="K67" s="42">
        <f>IFERROR(IF('Jul-26'!$G67="","-",VLOOKUP('Jul-26'!$G67,Lista_CUIT!$A$1:$D$2241,4,0)),"CUIT NO CARGADO")</f>
        <v>0</v>
      </c>
    </row>
    <row r="68" spans="2:18" ht="18" customHeight="1" x14ac:dyDescent="0.25">
      <c r="D68" s="413">
        <v>45862</v>
      </c>
      <c r="E68" s="14">
        <v>13</v>
      </c>
      <c r="F68" s="15">
        <v>17674</v>
      </c>
      <c r="G68" s="16">
        <v>20148841722</v>
      </c>
      <c r="H68" s="40" t="str">
        <f>IFERROR(IF('Jul-26'!$G68="","-",VLOOKUP('Jul-26'!$G68,Lista_CUIT!$A$1:$D$2241,2,0)),"CUIT NO CARGADO")</f>
        <v>CHICO ALEJANDRO</v>
      </c>
      <c r="I68" s="31">
        <v>18500</v>
      </c>
      <c r="J68" s="42" t="str">
        <f>IFERROR(IF('Jul-26'!$G68="","-",VLOOKUP('Jul-26'!$G68,Lista_CUIT!$A$1:$D$2241,3,0)),"CUIT NO CARGADO")</f>
        <v>Papeleria</v>
      </c>
      <c r="K68" s="42">
        <f>IFERROR(IF('Jul-26'!$G68="","-",VLOOKUP('Jul-26'!$G68,Lista_CUIT!$A$1:$D$2241,4,0)),"CUIT NO CARGADO")</f>
        <v>0</v>
      </c>
    </row>
    <row r="69" spans="2:18" ht="15.75" customHeight="1" x14ac:dyDescent="0.25">
      <c r="D69" s="413">
        <v>45868</v>
      </c>
      <c r="E69" s="14">
        <v>12</v>
      </c>
      <c r="F69" s="15">
        <v>349</v>
      </c>
      <c r="G69" s="16">
        <v>30715401467</v>
      </c>
      <c r="H69" s="40" t="str">
        <f>IFERROR(IF('Jul-26'!$G69="","-",VLOOKUP('Jul-26'!$G69,Lista_CUIT!$A$1:$D$2241,2,0)),"CUIT NO CARGADO")</f>
        <v>AWARE SOLUTIONS S.R.L.</v>
      </c>
      <c r="I69" s="31">
        <v>204620</v>
      </c>
      <c r="J69" s="42" t="str">
        <f>IFERROR(IF('Jul-26'!$G69="","-",VLOOKUP('Jul-26'!$G69,Lista_CUIT!$A$1:$D$2241,3,0)),"CUIT NO CARGADO")</f>
        <v>INSUMO</v>
      </c>
      <c r="K69" s="42">
        <f>IFERROR(IF('Jul-26'!$G69="","-",VLOOKUP('Jul-26'!$G69,Lista_CUIT!$A$1:$D$2241,4,0)),"CUIT NO CARGADO")</f>
        <v>0</v>
      </c>
    </row>
    <row r="70" spans="2:18" ht="15.75" customHeight="1" x14ac:dyDescent="0.25">
      <c r="D70" s="42" t="s">
        <v>1336</v>
      </c>
      <c r="E70" s="42"/>
      <c r="F70" s="42"/>
      <c r="G70" s="42"/>
      <c r="H70" s="44"/>
      <c r="I70" s="41">
        <f>SUBTOTAL(109,'Jul-26'!$I$53:$I$69)</f>
        <v>15267359</v>
      </c>
      <c r="J70" s="42"/>
      <c r="K70" s="42"/>
      <c r="N70" s="43"/>
    </row>
    <row r="71" spans="2:18" ht="15.75" customHeight="1" x14ac:dyDescent="0.25">
      <c r="B71" s="43"/>
      <c r="C71" s="43"/>
      <c r="L71" s="43"/>
      <c r="M71" s="43"/>
      <c r="O71" s="43"/>
      <c r="P71" s="43"/>
      <c r="Q71" s="43"/>
      <c r="R71" s="43"/>
    </row>
    <row r="72" spans="2:18" ht="15.75" customHeight="1" x14ac:dyDescent="0.25"/>
    <row r="73" spans="2:18" ht="15.75" customHeight="1" x14ac:dyDescent="0.25"/>
    <row r="74" spans="2:18" ht="15.75" customHeight="1" x14ac:dyDescent="0.25"/>
    <row r="75" spans="2:18" ht="15.75" customHeight="1" x14ac:dyDescent="0.25"/>
    <row r="76" spans="2:18" ht="15.75" customHeight="1" x14ac:dyDescent="0.25">
      <c r="B76" s="464" t="s">
        <v>1351</v>
      </c>
      <c r="C76" s="448"/>
      <c r="D76" s="448"/>
      <c r="E76" s="448"/>
      <c r="F76" s="448"/>
      <c r="G76" s="448"/>
      <c r="H76" s="448"/>
      <c r="I76" s="448"/>
      <c r="J76" s="449"/>
      <c r="K76" s="465">
        <f>N1</f>
        <v>45839</v>
      </c>
      <c r="L76" s="448"/>
      <c r="M76" s="449"/>
    </row>
    <row r="77" spans="2:18" ht="15.75" customHeight="1" x14ac:dyDescent="0.25"/>
    <row r="78" spans="2:18" ht="25.5" customHeight="1" x14ac:dyDescent="0.25">
      <c r="B78" s="457" t="s">
        <v>1352</v>
      </c>
      <c r="C78" s="458"/>
    </row>
    <row r="79" spans="2:18" ht="15.75" customHeight="1" x14ac:dyDescent="0.25">
      <c r="B79" s="45" t="s">
        <v>1322</v>
      </c>
      <c r="C79" s="46" t="s">
        <v>1323</v>
      </c>
      <c r="D79" s="46" t="s">
        <v>1353</v>
      </c>
      <c r="E79" s="46" t="s">
        <v>1354</v>
      </c>
      <c r="F79" s="46" t="s">
        <v>0</v>
      </c>
      <c r="G79" s="46" t="s">
        <v>1</v>
      </c>
      <c r="H79" s="46" t="s">
        <v>1355</v>
      </c>
      <c r="I79" s="46" t="s">
        <v>1341</v>
      </c>
      <c r="J79" s="46" t="s">
        <v>1329</v>
      </c>
      <c r="K79" s="46" t="s">
        <v>1356</v>
      </c>
      <c r="L79" s="46" t="s">
        <v>1334</v>
      </c>
      <c r="M79" s="47" t="s">
        <v>1335</v>
      </c>
    </row>
    <row r="80" spans="2:18" ht="17.25" customHeight="1" x14ac:dyDescent="0.25">
      <c r="B80" s="12">
        <v>45839</v>
      </c>
      <c r="C80" s="13">
        <v>1</v>
      </c>
      <c r="D80" s="14">
        <v>3</v>
      </c>
      <c r="E80" s="15">
        <v>282</v>
      </c>
      <c r="F80" s="16">
        <v>30628274327</v>
      </c>
      <c r="G80" s="99" t="str">
        <f>IFERROR(IF('Jul-26'!$F80="","-",VLOOKUP('Jul-26'!$F80,Lista_CUIT!$A$1:$D$2241,2,0)),"CUIT NO CARGADO")</f>
        <v>AGIRA  S A</v>
      </c>
      <c r="H80" s="49">
        <v>21844600</v>
      </c>
      <c r="I80" s="50"/>
      <c r="J80" s="51">
        <f>Table_25[[#This Row],[IMPORTE NETO]]*0.105</f>
        <v>2293683</v>
      </c>
      <c r="K80" s="51"/>
      <c r="L80" s="51">
        <f>SUM('Jul-26'!$H80:$K80)</f>
        <v>24138283</v>
      </c>
      <c r="M80" s="52"/>
    </row>
    <row r="81" spans="2:13" ht="15.75" customHeight="1" x14ac:dyDescent="0.25">
      <c r="B81" s="12">
        <v>45846</v>
      </c>
      <c r="C81" s="13">
        <v>1</v>
      </c>
      <c r="D81" s="14">
        <v>3</v>
      </c>
      <c r="E81" s="15">
        <v>283</v>
      </c>
      <c r="F81" s="16">
        <v>30628274327</v>
      </c>
      <c r="G81" s="99" t="str">
        <f>IFERROR(IF('Jul-26'!$F81="","-",VLOOKUP('Jul-26'!$F81,Lista_CUIT!$A$1:$D$2241,2,0)),"CUIT NO CARGADO")</f>
        <v>AGIRA  S A</v>
      </c>
      <c r="H81" s="49">
        <v>23489800</v>
      </c>
      <c r="I81" s="50"/>
      <c r="J81" s="51">
        <f>Table_25[[#This Row],[IMPORTE NETO]]*0.105</f>
        <v>2466429</v>
      </c>
      <c r="K81" s="51"/>
      <c r="L81" s="51">
        <f>SUM('Jul-26'!$H81:$K81)</f>
        <v>25956229</v>
      </c>
      <c r="M81" s="52"/>
    </row>
    <row r="82" spans="2:13" ht="15.75" customHeight="1" x14ac:dyDescent="0.25">
      <c r="B82" s="12">
        <v>45866</v>
      </c>
      <c r="C82" s="13">
        <v>1</v>
      </c>
      <c r="D82" s="14">
        <v>3</v>
      </c>
      <c r="E82" s="15">
        <v>284</v>
      </c>
      <c r="F82" s="16">
        <v>20266916680</v>
      </c>
      <c r="G82" s="99" t="str">
        <f>IFERROR(IF('Jul-26'!$F82="","-",VLOOKUP('Jul-26'!$F82,Lista_CUIT!$A$1:$D$2241,2,0)),"CUIT NO CARGADO")</f>
        <v>SPRENGLER FERNANDO JAVIER</v>
      </c>
      <c r="H82" s="49">
        <v>6786000</v>
      </c>
      <c r="I82" s="50"/>
      <c r="J82" s="51">
        <f>Table_25[[#This Row],[IMPORTE NETO]]*0.105</f>
        <v>712530</v>
      </c>
      <c r="K82" s="51"/>
      <c r="L82" s="51">
        <f>SUM('Jul-26'!$H82:$K82)</f>
        <v>7498530</v>
      </c>
      <c r="M82" s="52"/>
    </row>
    <row r="83" spans="2:13" ht="15.75" customHeight="1" x14ac:dyDescent="0.25">
      <c r="B83" s="12"/>
      <c r="C83" s="13"/>
      <c r="D83" s="14"/>
      <c r="E83" s="15"/>
      <c r="F83" s="16"/>
      <c r="G83" s="99" t="str">
        <f>IFERROR(IF('Jul-26'!$F83="","-",VLOOKUP('Jul-26'!$F83,Lista_CUIT!$A$1:$D$2241,2,0)),"CUIT NO CARGADO")</f>
        <v>-</v>
      </c>
      <c r="H83" s="49"/>
      <c r="I83" s="50">
        <f>'Jul-26'!$H83*0.21</f>
        <v>0</v>
      </c>
      <c r="J83" s="51"/>
      <c r="K83" s="51"/>
      <c r="L83" s="51">
        <f>SUM('Jul-26'!$H83:$K83)</f>
        <v>0</v>
      </c>
      <c r="M83" s="52"/>
    </row>
    <row r="84" spans="2:13" ht="15.75" customHeight="1" x14ac:dyDescent="0.25">
      <c r="B84" s="12"/>
      <c r="C84" s="13"/>
      <c r="D84" s="14"/>
      <c r="E84" s="15"/>
      <c r="F84" s="16"/>
      <c r="G84" s="99" t="str">
        <f>IFERROR(IF('Jul-26'!$F84="","-",VLOOKUP('Jul-26'!$F84,Lista_CUIT!$A$1:$D$2241,2,0)),"CUIT NO CARGADO")</f>
        <v>-</v>
      </c>
      <c r="H84" s="49"/>
      <c r="I84" s="50">
        <f>'Jul-26'!$H84*0.21</f>
        <v>0</v>
      </c>
      <c r="J84" s="51"/>
      <c r="K84" s="51"/>
      <c r="L84" s="51">
        <f>SUM('Jul-26'!$H84:$K84)</f>
        <v>0</v>
      </c>
      <c r="M84" s="52"/>
    </row>
    <row r="85" spans="2:13" ht="15.75" customHeight="1" x14ac:dyDescent="0.25">
      <c r="B85" s="12"/>
      <c r="C85" s="13"/>
      <c r="D85" s="14"/>
      <c r="E85" s="15"/>
      <c r="F85" s="16"/>
      <c r="G85" s="99" t="str">
        <f>IFERROR(IF('Jul-26'!$F85="","-",VLOOKUP('Jul-26'!$F85,Lista_CUIT!$A$1:$D$2241,2,0)),"CUIT NO CARGADO")</f>
        <v>-</v>
      </c>
      <c r="H85" s="49"/>
      <c r="I85" s="50">
        <f>'Jul-26'!$H85*0.21</f>
        <v>0</v>
      </c>
      <c r="J85" s="51"/>
      <c r="K85" s="51"/>
      <c r="L85" s="51">
        <f>SUM('Jul-26'!$H85:$K85)</f>
        <v>0</v>
      </c>
      <c r="M85" s="52"/>
    </row>
    <row r="86" spans="2:13" ht="15.75" customHeight="1" x14ac:dyDescent="0.25">
      <c r="B86" s="12"/>
      <c r="C86" s="13"/>
      <c r="D86" s="14"/>
      <c r="E86" s="15"/>
      <c r="F86" s="16"/>
      <c r="G86" s="99" t="str">
        <f>IFERROR(IF('Jul-26'!$F86="","-",VLOOKUP('Jul-26'!$F86,Lista_CUIT!$A$1:$D$2241,2,0)),"CUIT NO CARGADO")</f>
        <v>-</v>
      </c>
      <c r="H86" s="49"/>
      <c r="I86" s="50">
        <f>'Jul-26'!$H86*0.21</f>
        <v>0</v>
      </c>
      <c r="J86" s="51"/>
      <c r="K86" s="51"/>
      <c r="L86" s="51">
        <f>SUM('Jul-26'!$H86:$K86)</f>
        <v>0</v>
      </c>
      <c r="M86" s="53"/>
    </row>
    <row r="87" spans="2:13" ht="15.75" customHeight="1" x14ac:dyDescent="0.25">
      <c r="B87" s="12"/>
      <c r="C87" s="13"/>
      <c r="D87" s="14"/>
      <c r="E87" s="15"/>
      <c r="F87" s="16"/>
      <c r="G87" s="99" t="str">
        <f>IFERROR(IF('Jul-26'!$F87="","-",VLOOKUP('Jul-26'!$F87,Lista_CUIT!$A$1:$D$2241,2,0)),"CUIT NO CARGADO")</f>
        <v>-</v>
      </c>
      <c r="H87" s="49"/>
      <c r="I87" s="50">
        <f>'Jul-26'!$H87*0.21</f>
        <v>0</v>
      </c>
      <c r="J87" s="51"/>
      <c r="K87" s="61"/>
      <c r="L87" s="61">
        <f>SUM('Jul-26'!$H87:$K87)</f>
        <v>0</v>
      </c>
      <c r="M87" s="53"/>
    </row>
    <row r="88" spans="2:13" ht="15.75" customHeight="1" x14ac:dyDescent="0.25">
      <c r="B88" s="12"/>
      <c r="C88" s="13"/>
      <c r="D88" s="14"/>
      <c r="E88" s="15"/>
      <c r="F88" s="16"/>
      <c r="G88" s="99" t="str">
        <f>IFERROR(IF('Jul-26'!$F88="","-",VLOOKUP('Jul-26'!$F88,Lista_CUIT!$A$1:$D$2241,2,0)),"CUIT NO CARGADO")</f>
        <v>-</v>
      </c>
      <c r="H88" s="49"/>
      <c r="I88" s="50">
        <f>'Jul-26'!$H88*0.21</f>
        <v>0</v>
      </c>
      <c r="J88" s="51"/>
      <c r="K88" s="51"/>
      <c r="L88" s="51">
        <f>SUM('Jul-26'!$H88:$K88)</f>
        <v>0</v>
      </c>
      <c r="M88" s="52"/>
    </row>
    <row r="89" spans="2:13" ht="15.75" customHeight="1" x14ac:dyDescent="0.25">
      <c r="B89" s="62"/>
      <c r="C89" s="63"/>
      <c r="D89" s="64"/>
      <c r="E89" s="65"/>
      <c r="F89" s="66"/>
      <c r="G89" s="99" t="str">
        <f>IFERROR(IF('Jul-26'!$F89="","-",VLOOKUP('Jul-26'!$F89,Lista_CUIT!$A$1:$D$2241,2,0)),"CUIT NO CARGADO")</f>
        <v>-</v>
      </c>
      <c r="H89" s="49"/>
      <c r="I89" s="50">
        <f>'Jul-26'!$H89*0.21</f>
        <v>0</v>
      </c>
      <c r="J89" s="51"/>
      <c r="K89" s="51"/>
      <c r="L89" s="51">
        <f>SUM('Jul-26'!$H89:$K89)</f>
        <v>0</v>
      </c>
      <c r="M89" s="52"/>
    </row>
    <row r="90" spans="2:13" ht="15.75" customHeight="1" x14ac:dyDescent="0.25">
      <c r="B90" s="68" t="s">
        <v>1336</v>
      </c>
      <c r="C90" s="69"/>
      <c r="D90" s="69"/>
      <c r="E90" s="69"/>
      <c r="F90" s="69"/>
      <c r="G90" s="69"/>
      <c r="H90" s="70">
        <f>SUBTOTAL(109,'Jul-26'!$H$80:$H$89)</f>
        <v>52120400</v>
      </c>
      <c r="I90" s="71">
        <f>SUBTOTAL(109,'Jul-26'!$I$80:$I$89)</f>
        <v>0</v>
      </c>
      <c r="J90" s="61">
        <f>SUBTOTAL(109,'Jul-26'!$J$80:$J$89)</f>
        <v>5472642</v>
      </c>
      <c r="K90" s="61">
        <f>SUBTOTAL(109,'Jul-26'!$K$80:$K$89)</f>
        <v>0</v>
      </c>
      <c r="L90" s="61">
        <f>SUBTOTAL(109,'Jul-26'!$L$80:$L$89)</f>
        <v>57593042</v>
      </c>
      <c r="M90" s="72">
        <f>SUBTOTAL(103,'Jul-26'!$M$80:$M$89)</f>
        <v>0</v>
      </c>
    </row>
    <row r="91" spans="2:13" ht="18.75" customHeight="1" x14ac:dyDescent="0.25">
      <c r="H91" s="107"/>
    </row>
    <row r="92" spans="2:13" ht="28.5" customHeight="1" x14ac:dyDescent="0.25">
      <c r="B92" s="457" t="s">
        <v>1357</v>
      </c>
      <c r="C92" s="458"/>
    </row>
    <row r="93" spans="2:13" ht="15.75" customHeight="1" x14ac:dyDescent="0.25">
      <c r="B93" s="45" t="s">
        <v>1322</v>
      </c>
      <c r="C93" s="46" t="s">
        <v>1323</v>
      </c>
      <c r="D93" s="46" t="s">
        <v>1353</v>
      </c>
      <c r="E93" s="46" t="s">
        <v>1354</v>
      </c>
      <c r="F93" s="46" t="s">
        <v>0</v>
      </c>
      <c r="G93" s="46" t="s">
        <v>1</v>
      </c>
      <c r="H93" s="46" t="s">
        <v>1355</v>
      </c>
      <c r="I93" s="46" t="s">
        <v>1341</v>
      </c>
      <c r="J93" s="46" t="s">
        <v>1329</v>
      </c>
      <c r="K93" s="46" t="s">
        <v>1356</v>
      </c>
      <c r="L93" s="46" t="s">
        <v>1334</v>
      </c>
      <c r="M93" s="47" t="s">
        <v>1335</v>
      </c>
    </row>
    <row r="94" spans="2:13" ht="15.75" customHeight="1" x14ac:dyDescent="0.25">
      <c r="B94" s="12"/>
      <c r="C94" s="13"/>
      <c r="D94" s="14"/>
      <c r="E94" s="15"/>
      <c r="F94" s="16"/>
      <c r="G94" s="73" t="str">
        <f>IFERROR(IF('Jul-26'!$F94="","-",VLOOKUP('Jul-26'!$F94,Lista_CUIT!$A$1:$D$2241,2,0)),"CUIT NO CARGADO")</f>
        <v>-</v>
      </c>
      <c r="H94" s="74"/>
      <c r="I94" s="74">
        <f>'Jul-26'!$H94*0.21</f>
        <v>0</v>
      </c>
      <c r="J94" s="74"/>
      <c r="K94" s="74"/>
      <c r="L94" s="74">
        <f>SUM('Jul-26'!$H94:$K94)</f>
        <v>0</v>
      </c>
      <c r="M94" s="52"/>
    </row>
    <row r="95" spans="2:13" ht="15.75" customHeight="1" x14ac:dyDescent="0.25">
      <c r="B95" s="12"/>
      <c r="C95" s="13"/>
      <c r="D95" s="14"/>
      <c r="E95" s="15"/>
      <c r="F95" s="16"/>
      <c r="G95" s="73"/>
      <c r="H95" s="74"/>
      <c r="I95" s="74">
        <f>'Jul-26'!$H95*0.21</f>
        <v>0</v>
      </c>
      <c r="J95" s="74"/>
      <c r="K95" s="74"/>
      <c r="L95" s="74">
        <f>SUM('Jul-26'!$H95:$K95)</f>
        <v>0</v>
      </c>
      <c r="M95" s="52"/>
    </row>
    <row r="96" spans="2:13" ht="15.75" customHeight="1" x14ac:dyDescent="0.25">
      <c r="B96" s="12"/>
      <c r="C96" s="13"/>
      <c r="D96" s="14"/>
      <c r="E96" s="15"/>
      <c r="F96" s="16"/>
      <c r="G96" s="73"/>
      <c r="H96" s="74"/>
      <c r="I96" s="74">
        <f>'Jul-26'!$H96*0.21</f>
        <v>0</v>
      </c>
      <c r="J96" s="74"/>
      <c r="K96" s="74"/>
      <c r="L96" s="74">
        <f>SUM('Jul-26'!$H96:$K96)</f>
        <v>0</v>
      </c>
      <c r="M96" s="52"/>
    </row>
    <row r="97" spans="2:13" ht="15.75" customHeight="1" x14ac:dyDescent="0.25">
      <c r="B97" s="12"/>
      <c r="C97" s="13"/>
      <c r="D97" s="14"/>
      <c r="E97" s="15"/>
      <c r="F97" s="16"/>
      <c r="G97" s="73"/>
      <c r="H97" s="74"/>
      <c r="I97" s="74">
        <f>'Jul-26'!$H97*0.21</f>
        <v>0</v>
      </c>
      <c r="J97" s="74"/>
      <c r="K97" s="74"/>
      <c r="L97" s="74">
        <f>SUM('Jul-26'!$H97:$K97)</f>
        <v>0</v>
      </c>
      <c r="M97" s="52"/>
    </row>
    <row r="98" spans="2:13" ht="15.75" customHeight="1" x14ac:dyDescent="0.25">
      <c r="B98" s="12"/>
      <c r="C98" s="13"/>
      <c r="D98" s="14"/>
      <c r="E98" s="15"/>
      <c r="F98" s="16"/>
      <c r="G98" s="73"/>
      <c r="H98" s="74"/>
      <c r="I98" s="74">
        <f>'Jul-26'!$H98*0.21</f>
        <v>0</v>
      </c>
      <c r="J98" s="74"/>
      <c r="K98" s="74"/>
      <c r="L98" s="74">
        <f>SUM('Jul-26'!$H98:$K98)</f>
        <v>0</v>
      </c>
      <c r="M98" s="52"/>
    </row>
    <row r="99" spans="2:13" ht="15.75" customHeight="1" x14ac:dyDescent="0.25">
      <c r="B99" s="12"/>
      <c r="C99" s="13"/>
      <c r="D99" s="14"/>
      <c r="E99" s="15"/>
      <c r="F99" s="16"/>
      <c r="G99" s="73"/>
      <c r="H99" s="74"/>
      <c r="I99" s="74">
        <f>'Jul-26'!$H99*0.21</f>
        <v>0</v>
      </c>
      <c r="J99" s="74"/>
      <c r="K99" s="74"/>
      <c r="L99" s="74">
        <f>SUM('Jul-26'!$H99:$K99)</f>
        <v>0</v>
      </c>
      <c r="M99" s="52"/>
    </row>
    <row r="100" spans="2:13" ht="15.75" customHeight="1" x14ac:dyDescent="0.25">
      <c r="B100" s="68" t="s">
        <v>1336</v>
      </c>
      <c r="C100" s="69"/>
      <c r="D100" s="69"/>
      <c r="E100" s="69"/>
      <c r="F100" s="69"/>
      <c r="G100" s="69"/>
      <c r="H100" s="75">
        <f>SUBTOTAL(109,'Jul-26'!$H$94:$H$99)</f>
        <v>0</v>
      </c>
      <c r="I100" s="75">
        <f>SUBTOTAL(109,'Jul-26'!$I$94:$I$99)</f>
        <v>0</v>
      </c>
      <c r="J100" s="76">
        <f>SUBTOTAL(109,'Jul-26'!$J$94:$J$99)</f>
        <v>0</v>
      </c>
      <c r="K100" s="76">
        <f>SUBTOTAL(109,'Jul-26'!$K$94:$K$99)</f>
        <v>0</v>
      </c>
      <c r="L100" s="76">
        <f>SUBTOTAL(109,'Jul-26'!$L$94:$L$99)</f>
        <v>0</v>
      </c>
      <c r="M100" s="72">
        <f>SUBTOTAL(103,'Jul-26'!$M$94:$M$99)</f>
        <v>0</v>
      </c>
    </row>
    <row r="101" spans="2:13" ht="15.75" customHeight="1" x14ac:dyDescent="0.25"/>
    <row r="102" spans="2:13" ht="15.75" customHeight="1" x14ac:dyDescent="0.25"/>
    <row r="103" spans="2:13" ht="15.75" customHeight="1" x14ac:dyDescent="0.25">
      <c r="B103" s="457" t="s">
        <v>1358</v>
      </c>
      <c r="C103" s="458"/>
    </row>
    <row r="104" spans="2:13" ht="15.75" customHeight="1" x14ac:dyDescent="0.25">
      <c r="B104" s="45" t="s">
        <v>1322</v>
      </c>
      <c r="C104" s="46" t="s">
        <v>1323</v>
      </c>
      <c r="D104" s="46" t="s">
        <v>1353</v>
      </c>
      <c r="E104" s="46" t="s">
        <v>1354</v>
      </c>
      <c r="F104" s="46" t="s">
        <v>0</v>
      </c>
      <c r="G104" s="46" t="s">
        <v>1</v>
      </c>
      <c r="H104" s="46" t="s">
        <v>1359</v>
      </c>
      <c r="I104" s="46" t="s">
        <v>1362</v>
      </c>
      <c r="J104" s="46" t="s">
        <v>1334</v>
      </c>
      <c r="K104" s="47" t="s">
        <v>1376</v>
      </c>
    </row>
    <row r="105" spans="2:13" ht="15.75" customHeight="1" x14ac:dyDescent="0.25">
      <c r="B105" s="12">
        <v>45855</v>
      </c>
      <c r="C105" s="13"/>
      <c r="D105" s="14">
        <v>30</v>
      </c>
      <c r="E105" s="15">
        <v>110</v>
      </c>
      <c r="F105" s="16">
        <v>55000000050</v>
      </c>
      <c r="G105" s="73" t="str">
        <f>IFERROR(IF('Jul-26'!$F105="","-",VLOOKUP('Jul-26'!$F105,Lista_CUIT!$A$1:$D$2241,2,0)),"CUIT NO CARGADO")</f>
        <v>GAS FUTURO SISTEMAS DE COMPRESSÃO LTDA</v>
      </c>
      <c r="H105" s="49">
        <v>14400</v>
      </c>
      <c r="I105" s="74">
        <v>1261</v>
      </c>
      <c r="J105" s="74">
        <f>'Jul-26'!$H105*'Jul-26'!$I105</f>
        <v>18158400</v>
      </c>
      <c r="K105" s="52"/>
    </row>
    <row r="106" spans="2:13" ht="15.75" customHeight="1" x14ac:dyDescent="0.25">
      <c r="B106" s="12"/>
      <c r="C106" s="13"/>
      <c r="D106" s="14"/>
      <c r="E106" s="15"/>
      <c r="F106" s="16"/>
      <c r="G106" s="73" t="str">
        <f>IFERROR(IF('Jul-26'!$F106="","-",VLOOKUP('Jul-26'!$F106,Lista_CUIT!$A$1:$D$2241,2,0)),"CUIT NO CARGADO")</f>
        <v>-</v>
      </c>
      <c r="H106" s="49"/>
      <c r="I106" s="74"/>
      <c r="J106" s="74">
        <f>'Jul-26'!$H106*'Jul-26'!$I106</f>
        <v>0</v>
      </c>
      <c r="K106" s="52"/>
    </row>
    <row r="107" spans="2:13" ht="15.75" customHeight="1" x14ac:dyDescent="0.25">
      <c r="B107" s="68" t="s">
        <v>1336</v>
      </c>
      <c r="C107" s="69"/>
      <c r="D107" s="69"/>
      <c r="E107" s="69"/>
      <c r="F107" s="69"/>
      <c r="G107" s="69"/>
      <c r="H107" s="75">
        <f>SUBTOTAL(109,'Jul-26'!$H$105:$H$106)</f>
        <v>14400</v>
      </c>
      <c r="I107" s="76">
        <f>SUBTOTAL(109,'Jul-26'!$I$105:$I$106)</f>
        <v>1261</v>
      </c>
      <c r="J107" s="76">
        <f>SUBTOTAL(109,'Jul-26'!$J$105:$J$106)</f>
        <v>18158400</v>
      </c>
      <c r="K107" s="72">
        <f>SUBTOTAL(103,'Jul-26'!$K$105:$K$106)</f>
        <v>0</v>
      </c>
    </row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>
      <c r="C111" s="459" t="s">
        <v>1363</v>
      </c>
      <c r="D111" s="460"/>
      <c r="E111" s="460"/>
      <c r="F111" s="460"/>
      <c r="G111" s="461"/>
      <c r="H111" s="88"/>
      <c r="I111" s="88"/>
      <c r="J111" s="88"/>
    </row>
    <row r="112" spans="2:13" ht="15.75" customHeight="1" x14ac:dyDescent="0.25">
      <c r="C112" s="89" t="s">
        <v>1364</v>
      </c>
      <c r="D112" s="90" t="s">
        <v>1365</v>
      </c>
      <c r="E112" s="90" t="s">
        <v>1361</v>
      </c>
      <c r="F112" s="90" t="s">
        <v>0</v>
      </c>
      <c r="G112" s="90" t="s">
        <v>1</v>
      </c>
      <c r="H112" s="91" t="s">
        <v>1366</v>
      </c>
      <c r="I112" s="91" t="s">
        <v>1367</v>
      </c>
      <c r="J112" s="91" t="s">
        <v>1368</v>
      </c>
      <c r="K112" s="91" t="s">
        <v>1369</v>
      </c>
      <c r="L112" s="91" t="s">
        <v>1370</v>
      </c>
    </row>
    <row r="113" spans="3:12" ht="15.75" customHeight="1" x14ac:dyDescent="0.25">
      <c r="C113" s="92"/>
      <c r="D113" s="93"/>
      <c r="E113" s="93"/>
      <c r="F113" s="39"/>
      <c r="G113" s="40" t="str">
        <f>IFERROR(IF('Jul-26'!$F113="","-",VLOOKUP('Jul-26'!$F113,Lista_CUIT!$A$1:$D$2241,2,0)),"CUIT NO CARGADO")</f>
        <v>-</v>
      </c>
      <c r="H113" s="94"/>
      <c r="I113" s="94">
        <v>9597.94</v>
      </c>
      <c r="J113" s="94">
        <v>914.09</v>
      </c>
      <c r="K113" s="94"/>
      <c r="L113" s="94"/>
    </row>
    <row r="114" spans="3:12" ht="15.75" customHeight="1" x14ac:dyDescent="0.25">
      <c r="C114" s="92"/>
      <c r="D114" s="93"/>
      <c r="E114" s="93"/>
      <c r="F114" s="39"/>
      <c r="G114" s="40" t="str">
        <f>IFERROR(IF('Jul-26'!$F114="","-",VLOOKUP('Jul-26'!$F114,Lista_CUIT!$A$1:$D$2241,2,0)),"CUIT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92"/>
      <c r="D115" s="93"/>
      <c r="E115" s="93"/>
      <c r="F115" s="39"/>
      <c r="G115" s="40" t="str">
        <f>IFERROR(IF('Jul-26'!$F115="","-",VLOOKUP('Jul-26'!$F115,Lista_CUIT!$A$1:$D$2241,2,0)),"CUIT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92"/>
      <c r="D116" s="93"/>
      <c r="E116" s="93"/>
      <c r="F116" s="39"/>
      <c r="G116" s="40" t="str">
        <f>IFERROR(IF('Jul-26'!$F116="","-",VLOOKUP('Jul-26'!$F116,Lista_CUIT!$A$1:$D$2241,2,0)),"CUIT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3"/>
      <c r="D117" s="93"/>
      <c r="E117" s="93"/>
      <c r="F117" s="3"/>
      <c r="G117" s="40" t="str">
        <f>IFERROR(IF('Jul-26'!$F117="","-",VLOOKUP('Jul-26'!$F117,Lista_CUIT!$A$1:$D$2241,2,0)),"CUIT NO CARGADO")</f>
        <v>-</v>
      </c>
      <c r="H117" s="3"/>
      <c r="I117" s="3"/>
      <c r="J117" s="3"/>
      <c r="K117" s="3"/>
      <c r="L117" s="3"/>
    </row>
    <row r="118" spans="3:12" ht="15.75" customHeight="1" x14ac:dyDescent="0.25">
      <c r="C118" s="109"/>
    </row>
    <row r="119" spans="3:12" ht="15.75" customHeight="1" x14ac:dyDescent="0.25"/>
    <row r="120" spans="3:12" ht="15.75" customHeight="1" x14ac:dyDescent="0.25"/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1">
    <mergeCell ref="P4:R4"/>
    <mergeCell ref="D40:L40"/>
    <mergeCell ref="B103:C103"/>
    <mergeCell ref="C111:G111"/>
    <mergeCell ref="B3:E3"/>
    <mergeCell ref="B4:E4"/>
    <mergeCell ref="G4:H4"/>
    <mergeCell ref="D51:K51"/>
    <mergeCell ref="B76:J76"/>
    <mergeCell ref="K76:M76"/>
    <mergeCell ref="B78:C78"/>
    <mergeCell ref="B92:C92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H94:L99 I105:J106" xr:uid="{00000000-0002-0000-0400-000000000000}">
      <formula1>IF($C94=8,H94&lt;0,H94&gt;=0)</formula1>
    </dataValidation>
    <dataValidation type="decimal" allowBlank="1" showErrorMessage="1" sqref="D9:D34 E53:E69 D80:D89 D94:D99 D105:D106" xr:uid="{00000000-0002-0000-0400-000001000000}">
      <formula1>1</formula1>
      <formula2>9999</formula2>
    </dataValidation>
    <dataValidation type="custom" allowBlank="1" showErrorMessage="1" sqref="L85:L86" xr:uid="{00000000-0002-0000-0400-000002000000}">
      <formula1>IF($C35=3,L35&lt;0,L35&gt;=0)</formula1>
    </dataValidation>
    <dataValidation type="decimal" allowBlank="1" showErrorMessage="1" sqref="C105:C106" xr:uid="{00000000-0002-0000-0400-000003000000}">
      <formula1>80</formula1>
      <formula2>80</formula2>
    </dataValidation>
    <dataValidation type="date" allowBlank="1" showErrorMessage="1" sqref="B9:B34 B36:B39 D42:D46 D53:D69 B80:B89 B94:B99 B105:B106" xr:uid="{00000000-0002-0000-0400-000004000000}">
      <formula1>40179</formula1>
      <formula2>TODAY()</formula2>
    </dataValidation>
    <dataValidation type="decimal" allowBlank="1" showErrorMessage="1" sqref="F9:F34 G53:G69 F80:F89 F94:F99 F105:F106" xr:uid="{00000000-0002-0000-0400-000005000000}">
      <formula1>20000000000</formula1>
      <formula2>33999999999</formula2>
    </dataValidation>
    <dataValidation type="custom" allowBlank="1" showErrorMessage="1" sqref="L82:L84" xr:uid="{00000000-0002-0000-0400-000006000000}">
      <formula1>IF($C23=3,L23&lt;0,L23&gt;=0)</formula1>
    </dataValidation>
    <dataValidation type="decimal" allowBlank="1" showErrorMessage="1" sqref="C94:C99" xr:uid="{00000000-0002-0000-04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4" xr:uid="{00000000-0002-0000-0400-000008000000}">
      <formula1>IF($C9=3,H9&lt;0,H9&gt;=0)</formula1>
    </dataValidation>
    <dataValidation type="decimal" allowBlank="1" showErrorMessage="1" sqref="E9:E34 F53:F69 E80:E89 E94:E99 E105:E106" xr:uid="{00000000-0002-0000-0400-000009000000}">
      <formula1>1</formula1>
      <formula2>99999999</formula2>
    </dataValidation>
    <dataValidation type="custom" allowBlank="1" showErrorMessage="1" sqref="L80:L81" xr:uid="{00000000-0002-0000-0400-00000A000000}">
      <formula1>IF($C9=3,L9&lt;0,L9&gt;=0)</formula1>
    </dataValidation>
    <dataValidation type="decimal" allowBlank="1" showErrorMessage="1" sqref="C80:C89 C36:C39 C9:C34" xr:uid="{00000000-0002-0000-0400-00000B000000}">
      <formula1>1</formula1>
      <formula2>3</formula2>
    </dataValidation>
    <dataValidation type="custom" allowBlank="1" showErrorMessage="1" sqref="J80:K80 J82:K82 H105 J83 J84:K84 J85 J86:K86 J87:J88 H80:H89 J81" xr:uid="{00000000-0002-0000-0400-00000C000000}">
      <formula1>IF($C80=3,H80&lt;0,H80&gt;=0)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DE9D9"/>
  </sheetPr>
  <dimension ref="A1:X988"/>
  <sheetViews>
    <sheetView showGridLines="0" topLeftCell="A31" zoomScale="80" zoomScaleNormal="80" workbookViewId="0">
      <selection activeCell="I72" sqref="I72"/>
    </sheetView>
  </sheetViews>
  <sheetFormatPr baseColWidth="10" defaultColWidth="14.42578125" defaultRowHeight="15" customHeight="1" x14ac:dyDescent="0.25"/>
  <cols>
    <col min="1" max="1" width="4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17.140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20" width="8.85546875" hidden="1" customWidth="1"/>
    <col min="21" max="21" width="12.28515625" hidden="1" customWidth="1"/>
    <col min="22" max="22" width="14.42578125" hidden="1" customWidth="1"/>
    <col min="23" max="24" width="10.7109375" hidden="1" customWidth="1"/>
  </cols>
  <sheetData>
    <row r="1" spans="1:24" ht="34.5" customHeight="1" x14ac:dyDescent="0.25">
      <c r="A1" s="6"/>
      <c r="B1" s="447" t="s">
        <v>1315</v>
      </c>
      <c r="C1" s="448"/>
      <c r="D1" s="448"/>
      <c r="E1" s="448"/>
      <c r="F1" s="449"/>
      <c r="G1" s="450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EDATE('Abr-26'!N1,4)</f>
        <v>45870</v>
      </c>
      <c r="O1" s="448"/>
      <c r="P1" s="448"/>
      <c r="Q1" s="448"/>
      <c r="R1" s="449"/>
    </row>
    <row r="3" spans="1:24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24" ht="24.75" customHeight="1" x14ac:dyDescent="0.35">
      <c r="B4" s="462">
        <f>SUM('Ago-26'!$H$36)+'Ago-26'!$G$48</f>
        <v>21954621.844285715</v>
      </c>
      <c r="C4" s="448"/>
      <c r="D4" s="448"/>
      <c r="E4" s="449"/>
      <c r="F4" s="8"/>
      <c r="G4" s="463">
        <f>'Ago-26'!$I$36+'Ago-26'!$J$36+'Ago-26'!$K$36+'Ago-26'!$H$48+'Ago-26'!$I$48</f>
        <v>4583461.7226999998</v>
      </c>
      <c r="H4" s="449"/>
      <c r="I4" s="8"/>
      <c r="J4" s="466">
        <f>'Ago-26'!$H$91+'Ago-26'!$H$102</f>
        <v>6749750</v>
      </c>
      <c r="K4" s="449"/>
      <c r="L4" s="8"/>
      <c r="M4" s="466">
        <f>'Ago-26'!$I$91+'Ago-26'!$J$91+'Ago-26'!$I$102+'Ago-26'!$J$102</f>
        <v>1417433.8000000007</v>
      </c>
      <c r="N4" s="449"/>
      <c r="O4" s="8"/>
      <c r="P4" s="455">
        <f>G4-M4</f>
        <v>3166027.9226999991</v>
      </c>
      <c r="Q4" s="448"/>
      <c r="R4" s="449"/>
    </row>
    <row r="7" spans="1:24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</row>
    <row r="8" spans="1:24" ht="38.25" customHeight="1" x14ac:dyDescent="0.25">
      <c r="B8" s="415" t="s">
        <v>1322</v>
      </c>
      <c r="C8" s="415" t="s">
        <v>1323</v>
      </c>
      <c r="D8" s="415" t="s">
        <v>1324</v>
      </c>
      <c r="E8" s="415" t="s">
        <v>1325</v>
      </c>
      <c r="F8" s="415" t="s">
        <v>0</v>
      </c>
      <c r="G8" s="415" t="s">
        <v>1</v>
      </c>
      <c r="H8" s="415" t="s">
        <v>1326</v>
      </c>
      <c r="I8" s="415" t="s">
        <v>1327</v>
      </c>
      <c r="J8" s="415" t="s">
        <v>1328</v>
      </c>
      <c r="K8" s="415" t="s">
        <v>1329</v>
      </c>
      <c r="L8" s="415" t="s">
        <v>1330</v>
      </c>
      <c r="M8" s="415" t="s">
        <v>1331</v>
      </c>
      <c r="N8" s="415" t="s">
        <v>1332</v>
      </c>
      <c r="O8" s="415" t="s">
        <v>1333</v>
      </c>
      <c r="P8" s="415" t="s">
        <v>1334</v>
      </c>
      <c r="Q8" s="415" t="s">
        <v>2</v>
      </c>
      <c r="R8" s="415" t="s">
        <v>1335</v>
      </c>
    </row>
    <row r="9" spans="1:24" x14ac:dyDescent="0.25">
      <c r="A9" s="10"/>
      <c r="B9" s="239">
        <v>45870</v>
      </c>
      <c r="C9" s="169">
        <v>1</v>
      </c>
      <c r="D9" s="170">
        <v>3</v>
      </c>
      <c r="E9" s="171">
        <v>275199</v>
      </c>
      <c r="F9" s="172">
        <v>30707135596</v>
      </c>
      <c r="G9" s="173" t="str">
        <f>IFERROR(IF('Ago-26'!$F9="","-",VLOOKUP('Ago-26'!$F9,Lista_CUIT!$A$1:$D$2241,2,0)),"CUIT NO CARGADO")</f>
        <v>CITILAN ARGENTINA S.A.</v>
      </c>
      <c r="H9" s="174">
        <v>32644.03</v>
      </c>
      <c r="I9" s="175">
        <f>IF('Ago-26'!$H9="","",'Ago-26'!$H9*0.21)</f>
        <v>6855.2462999999998</v>
      </c>
      <c r="J9" s="175"/>
      <c r="K9" s="175"/>
      <c r="L9" s="175"/>
      <c r="M9" s="175"/>
      <c r="N9" s="175"/>
      <c r="O9" s="175"/>
      <c r="P9" s="176">
        <f>SUM('Ago-26'!$H9:$O9)</f>
        <v>39499.276299999998</v>
      </c>
      <c r="Q9" s="177" t="str">
        <f>IFERROR(IF('Ago-26'!$F9="","-",VLOOKUP('Ago-26'!$F9,Lista_CUIT!$A$1:$D$2241,3,0)),"CUIT NO CARGADO")</f>
        <v>Telefonia</v>
      </c>
      <c r="R9" s="177">
        <f>IFERROR(IF('Ago-26'!$F9="","-",VLOOKUP('Ago-26'!$F9,Lista_CUIT!$A$1:$D$2241,4,0)),"CUIT NO CARGADO")</f>
        <v>0</v>
      </c>
      <c r="S9" s="10"/>
      <c r="T9" s="10"/>
      <c r="U9" s="10"/>
      <c r="V9" s="10"/>
      <c r="W9" s="10"/>
      <c r="X9" s="10"/>
    </row>
    <row r="10" spans="1:24" x14ac:dyDescent="0.25">
      <c r="A10" s="10"/>
      <c r="B10" s="239">
        <v>45870</v>
      </c>
      <c r="C10" s="169">
        <v>1</v>
      </c>
      <c r="D10" s="170">
        <v>3</v>
      </c>
      <c r="E10" s="171">
        <v>879</v>
      </c>
      <c r="F10" s="172">
        <v>30715402765</v>
      </c>
      <c r="G10" s="173" t="str">
        <f>IFERROR(IF('Ago-26'!$F10="","-",VLOOKUP('Ago-26'!$F10,Lista_CUIT!$A$1:$D$2241,2,0)),"CUIT NO CARGADO")</f>
        <v>RIO 265 S.R.L.</v>
      </c>
      <c r="H10" s="174">
        <v>99173.57</v>
      </c>
      <c r="I10" s="175">
        <f>IF('Ago-26'!$H10="","",'Ago-26'!$H10*0.21)</f>
        <v>20826.449700000001</v>
      </c>
      <c r="J10" s="175"/>
      <c r="K10" s="175"/>
      <c r="L10" s="175"/>
      <c r="M10" s="175"/>
      <c r="N10" s="175"/>
      <c r="O10" s="175"/>
      <c r="P10" s="176">
        <f>SUM('Ago-26'!$H10:$O10)</f>
        <v>120000.0197</v>
      </c>
      <c r="Q10" s="177" t="str">
        <f>IFERROR(IF('Ago-26'!$F10="","-",VLOOKUP('Ago-26'!$F10,Lista_CUIT!$A$1:$D$2241,3,0)),"CUIT NO CARGADO")</f>
        <v>GASTOS VARIOS</v>
      </c>
      <c r="R10" s="177">
        <f>IFERROR(IF('Ago-26'!$F10="","-",VLOOKUP('Ago-26'!$F10,Lista_CUIT!$A$1:$D$2241,4,0)),"CUIT NO CARGADO")</f>
        <v>0</v>
      </c>
      <c r="S10" s="10"/>
      <c r="T10" s="10"/>
      <c r="U10" s="10"/>
      <c r="V10" s="10"/>
      <c r="W10" s="10"/>
      <c r="X10" s="10"/>
    </row>
    <row r="11" spans="1:24" x14ac:dyDescent="0.25">
      <c r="A11" s="10"/>
      <c r="B11" s="239">
        <v>45873</v>
      </c>
      <c r="C11" s="169">
        <v>1</v>
      </c>
      <c r="D11" s="170">
        <v>2</v>
      </c>
      <c r="E11" s="171">
        <v>3181</v>
      </c>
      <c r="F11" s="172">
        <v>30709131733</v>
      </c>
      <c r="G11" s="173" t="str">
        <f>IFERROR(IF('Ago-26'!$F11="","-",VLOOKUP('Ago-26'!$F11,Lista_CUIT!$A$1:$D$2241,2,0)),"CUIT NO CARGADO")</f>
        <v>DIGAS SRL</v>
      </c>
      <c r="H11" s="174">
        <v>4504498</v>
      </c>
      <c r="I11" s="175">
        <f>IF('Ago-26'!$H11="","",'Ago-26'!$H11*0.21)</f>
        <v>945944.58</v>
      </c>
      <c r="J11" s="175"/>
      <c r="K11" s="175"/>
      <c r="L11" s="175"/>
      <c r="M11" s="175"/>
      <c r="N11" s="175"/>
      <c r="O11" s="175"/>
      <c r="P11" s="176">
        <f>SUM('Ago-26'!$H11:$O11)</f>
        <v>5450442.5800000001</v>
      </c>
      <c r="Q11" s="177" t="str">
        <f>IFERROR(IF('Ago-26'!$F11="","-",VLOOKUP('Ago-26'!$F11,Lista_CUIT!$A$1:$D$2241,3,0)),"CUIT NO CARGADO")</f>
        <v>INSUMO</v>
      </c>
      <c r="R11" s="177">
        <f>IFERROR(IF('Ago-26'!$F11="","-",VLOOKUP('Ago-26'!$F11,Lista_CUIT!$A$1:$D$2241,4,0)),"CUIT NO CARGADO")</f>
        <v>0</v>
      </c>
      <c r="S11" s="10"/>
      <c r="T11" s="10"/>
      <c r="U11" s="10"/>
      <c r="V11" s="10"/>
      <c r="W11" s="10"/>
      <c r="X11" s="10"/>
    </row>
    <row r="12" spans="1:24" x14ac:dyDescent="0.25">
      <c r="A12" s="10"/>
      <c r="B12" s="239">
        <v>45875</v>
      </c>
      <c r="C12" s="169">
        <v>1</v>
      </c>
      <c r="D12" s="170">
        <v>5</v>
      </c>
      <c r="E12" s="171">
        <v>6488</v>
      </c>
      <c r="F12" s="172">
        <v>20231333593</v>
      </c>
      <c r="G12" s="173" t="str">
        <f>IFERROR(IF('Ago-26'!$F12="","-",VLOOKUP('Ago-26'!$F12,Lista_CUIT!$A$1:$D$2241,2,0)),"CUIT NO CARGADO")</f>
        <v>BOLLINI CLAUDIO DANIEL</v>
      </c>
      <c r="H12" s="174">
        <v>80000</v>
      </c>
      <c r="I12" s="175">
        <f>IF('Ago-26'!$H12="","",'Ago-26'!$H12*0.21)</f>
        <v>16800</v>
      </c>
      <c r="J12" s="175"/>
      <c r="K12" s="175"/>
      <c r="L12" s="175"/>
      <c r="M12" s="175"/>
      <c r="N12" s="175"/>
      <c r="O12" s="175"/>
      <c r="P12" s="176">
        <f>SUM('Ago-26'!$H12:$O12)</f>
        <v>96800</v>
      </c>
      <c r="Q12" s="177" t="str">
        <f>IFERROR(IF('Ago-26'!$F12="","-",VLOOKUP('Ago-26'!$F12,Lista_CUIT!$A$1:$D$2241,3,0)),"CUIT NO CARGADO")</f>
        <v>Mantenimiento</v>
      </c>
      <c r="R12" s="177">
        <f>IFERROR(IF('Ago-26'!$F12="","-",VLOOKUP('Ago-26'!$F12,Lista_CUIT!$A$1:$D$2241,4,0)),"CUIT NO CARGADO")</f>
        <v>0</v>
      </c>
      <c r="S12" s="10"/>
      <c r="T12" s="10"/>
      <c r="U12" s="10"/>
      <c r="V12" s="10"/>
      <c r="W12" s="10"/>
      <c r="X12" s="10"/>
    </row>
    <row r="13" spans="1:24" x14ac:dyDescent="0.25">
      <c r="A13" s="10"/>
      <c r="B13" s="239">
        <v>45875</v>
      </c>
      <c r="C13" s="169">
        <v>1</v>
      </c>
      <c r="D13" s="170">
        <v>63</v>
      </c>
      <c r="E13" s="171">
        <v>3417543</v>
      </c>
      <c r="F13" s="172">
        <v>30640897267</v>
      </c>
      <c r="G13" s="173" t="str">
        <f>IFERROR(IF('Ago-26'!$F13="","-",VLOOKUP('Ago-26'!$F13,Lista_CUIT!$A$1:$D$2241,2,0)),"CUIT NO CARGADO")</f>
        <v>TELECENTRO SA</v>
      </c>
      <c r="H13" s="174">
        <v>18407.02</v>
      </c>
      <c r="I13" s="175">
        <f>IF('Ago-26'!$H13="","",'Ago-26'!$H13*0.21)</f>
        <v>3865.4742000000001</v>
      </c>
      <c r="J13" s="175"/>
      <c r="K13" s="175"/>
      <c r="L13" s="175">
        <v>552.21</v>
      </c>
      <c r="M13" s="175"/>
      <c r="N13" s="175"/>
      <c r="O13" s="175"/>
      <c r="P13" s="176">
        <f>SUM('Ago-26'!$H13:$O13)</f>
        <v>22824.7042</v>
      </c>
      <c r="Q13" s="177" t="str">
        <f>IFERROR(IF('Ago-26'!$F13="","-",VLOOKUP('Ago-26'!$F13,Lista_CUIT!$A$1:$D$2241,3,0)),"CUIT NO CARGADO")</f>
        <v>SERVICIOS</v>
      </c>
      <c r="R13" s="177">
        <f>IFERROR(IF('Ago-26'!$F13="","-",VLOOKUP('Ago-26'!$F13,Lista_CUIT!$A$1:$D$2241,4,0)),"CUIT NO CARGADO")</f>
        <v>0</v>
      </c>
      <c r="S13" s="10"/>
      <c r="T13" s="10"/>
      <c r="U13" s="10"/>
      <c r="V13" s="10"/>
      <c r="W13" s="10"/>
      <c r="X13" s="10"/>
    </row>
    <row r="14" spans="1:24" x14ac:dyDescent="0.25">
      <c r="A14" s="10"/>
      <c r="B14" s="239">
        <v>45875</v>
      </c>
      <c r="C14" s="169">
        <v>1</v>
      </c>
      <c r="D14" s="170">
        <v>9</v>
      </c>
      <c r="E14" s="171">
        <v>22463</v>
      </c>
      <c r="F14" s="172">
        <v>30715899546</v>
      </c>
      <c r="G14" s="173" t="str">
        <f>IFERROR(IF('Ago-26'!$F14="","-",VLOOKUP('Ago-26'!$F14,Lista_CUIT!$A$1:$D$2241,2,0)),"CUIT NO CARGADO")</f>
        <v>COLLINS INDUSTRIAL SRL</v>
      </c>
      <c r="H14" s="174">
        <v>67444.63</v>
      </c>
      <c r="I14" s="175">
        <f>IF('Ago-26'!$H14="","",'Ago-26'!$H14*0.21)</f>
        <v>14163.372300000001</v>
      </c>
      <c r="J14" s="175"/>
      <c r="K14" s="175"/>
      <c r="L14" s="175"/>
      <c r="M14" s="175"/>
      <c r="N14" s="175"/>
      <c r="O14" s="175"/>
      <c r="P14" s="176">
        <f>SUM('Ago-26'!$H14:$O14)</f>
        <v>81608.002300000007</v>
      </c>
      <c r="Q14" s="177">
        <f>IFERROR(IF('Ago-26'!$F14="","-",VLOOKUP('Ago-26'!$F14,Lista_CUIT!$A$1:$D$2241,3,0)),"CUIT NO CARGADO")</f>
        <v>0</v>
      </c>
      <c r="R14" s="177">
        <f>IFERROR(IF('Ago-26'!$F14="","-",VLOOKUP('Ago-26'!$F14,Lista_CUIT!$A$1:$D$2241,4,0)),"CUIT NO CARGADO")</f>
        <v>0</v>
      </c>
      <c r="S14" s="10"/>
      <c r="T14" s="10"/>
      <c r="U14" s="10"/>
      <c r="V14" s="10"/>
      <c r="W14" s="10"/>
      <c r="X14" s="10"/>
    </row>
    <row r="15" spans="1:24" x14ac:dyDescent="0.25">
      <c r="A15" s="10"/>
      <c r="B15" s="239">
        <v>45876</v>
      </c>
      <c r="C15" s="169">
        <v>1</v>
      </c>
      <c r="D15" s="170">
        <v>4</v>
      </c>
      <c r="E15" s="171">
        <v>977</v>
      </c>
      <c r="F15" s="172">
        <v>20431994942</v>
      </c>
      <c r="G15" s="173" t="str">
        <f>IFERROR(IF('Ago-26'!$F15="","-",VLOOKUP('Ago-26'!$F15,Lista_CUIT!$A$1:$D$2241,2,0)),"CUIT NO CARGADO")</f>
        <v>CIOCCA SANTINO</v>
      </c>
      <c r="H15" s="174">
        <v>23429.75</v>
      </c>
      <c r="I15" s="175">
        <f>IF('Ago-26'!$H15="","",'Ago-26'!$H15*0.21)</f>
        <v>4920.2474999999995</v>
      </c>
      <c r="J15" s="175"/>
      <c r="K15" s="175"/>
      <c r="L15" s="175"/>
      <c r="M15" s="175"/>
      <c r="N15" s="175"/>
      <c r="O15" s="175"/>
      <c r="P15" s="176">
        <f>SUM('Ago-26'!$H15:$O15)</f>
        <v>28349.997499999998</v>
      </c>
      <c r="Q15" s="177" t="str">
        <f>IFERROR(IF('Ago-26'!$F15="","-",VLOOKUP('Ago-26'!$F15,Lista_CUIT!$A$1:$D$2241,3,0)),"CUIT NO CARGADO")</f>
        <v>Materiales Electricos</v>
      </c>
      <c r="R15" s="177">
        <f>IFERROR(IF('Ago-26'!$F15="","-",VLOOKUP('Ago-26'!$F15,Lista_CUIT!$A$1:$D$2241,4,0)),"CUIT NO CARGADO")</f>
        <v>0</v>
      </c>
      <c r="S15" s="10"/>
      <c r="T15" s="10"/>
      <c r="U15" s="10"/>
      <c r="V15" s="10"/>
      <c r="W15" s="10"/>
      <c r="X15" s="10"/>
    </row>
    <row r="16" spans="1:24" x14ac:dyDescent="0.25">
      <c r="A16" s="10"/>
      <c r="B16" s="239">
        <v>45876</v>
      </c>
      <c r="C16" s="169">
        <v>1</v>
      </c>
      <c r="D16" s="170">
        <v>6</v>
      </c>
      <c r="E16" s="171">
        <v>5860</v>
      </c>
      <c r="F16" s="172">
        <v>20351402270</v>
      </c>
      <c r="G16" s="173" t="str">
        <f>IFERROR(IF('Ago-26'!$F16="","-",VLOOKUP('Ago-26'!$F16,Lista_CUIT!$A$1:$D$2241,2,0)),"CUIT NO CARGADO")</f>
        <v>JUAREZ MANUEL ROBERTO</v>
      </c>
      <c r="H16" s="174">
        <v>7437.19</v>
      </c>
      <c r="I16" s="175">
        <f>IF('Ago-26'!$H16="","",'Ago-26'!$H16*0.21)</f>
        <v>1561.8099</v>
      </c>
      <c r="J16" s="175"/>
      <c r="K16" s="175"/>
      <c r="L16" s="175"/>
      <c r="M16" s="175"/>
      <c r="N16" s="175"/>
      <c r="O16" s="175"/>
      <c r="P16" s="176">
        <f>SUM('Ago-26'!$H16:$O16)</f>
        <v>8998.9998999999989</v>
      </c>
      <c r="Q16" s="177" t="str">
        <f>IFERROR(IF('Ago-26'!$F16="","-",VLOOKUP('Ago-26'!$F16,Lista_CUIT!$A$1:$D$2241,3,0)),"CUIT NO CARGADO")</f>
        <v>GASTOS VARIOS</v>
      </c>
      <c r="R16" s="177">
        <f>IFERROR(IF('Ago-26'!$F16="","-",VLOOKUP('Ago-26'!$F16,Lista_CUIT!$A$1:$D$2241,4,0)),"CUIT NO CARGADO")</f>
        <v>0</v>
      </c>
      <c r="S16" s="10"/>
      <c r="T16" s="10"/>
      <c r="U16" s="10"/>
      <c r="V16" s="10"/>
      <c r="W16" s="10"/>
      <c r="X16" s="10"/>
    </row>
    <row r="17" spans="1:24" x14ac:dyDescent="0.25">
      <c r="A17" s="10"/>
      <c r="B17" s="239">
        <v>45880</v>
      </c>
      <c r="C17" s="169">
        <v>1</v>
      </c>
      <c r="D17" s="170">
        <v>4</v>
      </c>
      <c r="E17" s="171">
        <v>1936</v>
      </c>
      <c r="F17" s="172">
        <v>33714584079</v>
      </c>
      <c r="G17" s="173" t="str">
        <f>IFERROR(IF('Ago-26'!$F17="","-",VLOOKUP('Ago-26'!$F17,Lista_CUIT!$A$1:$D$2241,2,0)),"CUIT NO CARGADO")</f>
        <v>MAR IMPEX S.R.L.</v>
      </c>
      <c r="H17" s="174">
        <v>30837.360000000001</v>
      </c>
      <c r="I17" s="175">
        <f>IF('Ago-26'!$H17="","",'Ago-26'!$H17*0.21)</f>
        <v>6475.8455999999996</v>
      </c>
      <c r="J17" s="175"/>
      <c r="K17" s="175"/>
      <c r="L17" s="175"/>
      <c r="M17" s="175"/>
      <c r="N17" s="175"/>
      <c r="O17" s="175"/>
      <c r="P17" s="176">
        <f>SUM('Ago-26'!$H17:$O17)</f>
        <v>37313.205600000001</v>
      </c>
      <c r="Q17" s="177" t="str">
        <f>IFERROR(IF('Ago-26'!$F17="","-",VLOOKUP('Ago-26'!$F17,Lista_CUIT!$A$1:$D$2241,3,0)),"CUIT NO CARGADO")</f>
        <v>INSUMO</v>
      </c>
      <c r="R17" s="177">
        <f>IFERROR(IF('Ago-26'!$F17="","-",VLOOKUP('Ago-26'!$F17,Lista_CUIT!$A$1:$D$2241,4,0)),"CUIT NO CARGADO")</f>
        <v>0</v>
      </c>
      <c r="S17" s="10"/>
      <c r="T17" s="10"/>
      <c r="U17" s="10"/>
      <c r="V17" s="10"/>
      <c r="W17" s="10"/>
      <c r="X17" s="10"/>
    </row>
    <row r="18" spans="1:24" x14ac:dyDescent="0.25">
      <c r="A18" s="10"/>
      <c r="B18" s="239">
        <v>45880</v>
      </c>
      <c r="C18" s="169">
        <v>1</v>
      </c>
      <c r="D18" s="170">
        <v>2</v>
      </c>
      <c r="E18" s="171">
        <v>217</v>
      </c>
      <c r="F18" s="172">
        <v>20125142851</v>
      </c>
      <c r="G18" s="173" t="str">
        <f>IFERROR(IF('Ago-26'!$F18="","-",VLOOKUP('Ago-26'!$F18,Lista_CUIT!$A$1:$D$2241,2,0)),"CUIT NO CARGADO")</f>
        <v>FEDERICI NICOLAS JOSE</v>
      </c>
      <c r="H18" s="174">
        <v>388877.38</v>
      </c>
      <c r="I18" s="175">
        <f>IF('Ago-26'!$H18="","",'Ago-26'!$H18*0.21)</f>
        <v>81664.249800000005</v>
      </c>
      <c r="J18" s="175"/>
      <c r="K18" s="175"/>
      <c r="L18" s="175"/>
      <c r="M18" s="175"/>
      <c r="N18" s="175"/>
      <c r="O18" s="175"/>
      <c r="P18" s="176">
        <f>SUM('Ago-26'!$H18:$O18)</f>
        <v>470541.6298</v>
      </c>
      <c r="Q18" s="177" t="str">
        <f>IFERROR(IF('Ago-26'!$F18="","-",VLOOKUP('Ago-26'!$F18,Lista_CUIT!$A$1:$D$2241,3,0)),"CUIT NO CARGADO")</f>
        <v>INSUMO</v>
      </c>
      <c r="R18" s="177">
        <f>IFERROR(IF('Ago-26'!$F18="","-",VLOOKUP('Ago-26'!$F18,Lista_CUIT!$A$1:$D$2241,4,0)),"CUIT NO CARGADO")</f>
        <v>0</v>
      </c>
      <c r="S18" s="10"/>
      <c r="T18" s="10"/>
      <c r="U18" s="10"/>
      <c r="V18" s="10"/>
      <c r="W18" s="10"/>
      <c r="X18" s="10"/>
    </row>
    <row r="19" spans="1:24" x14ac:dyDescent="0.25">
      <c r="A19" s="10"/>
      <c r="B19" s="239">
        <v>45880</v>
      </c>
      <c r="C19" s="169">
        <v>1</v>
      </c>
      <c r="D19" s="170">
        <v>12</v>
      </c>
      <c r="E19" s="171">
        <v>335</v>
      </c>
      <c r="F19" s="172">
        <v>30715401467</v>
      </c>
      <c r="G19" s="173" t="str">
        <f>IFERROR(IF('Ago-26'!$F19="","-",VLOOKUP('Ago-26'!$F19,Lista_CUIT!$A$1:$D$2241,2,0)),"CUIT NO CARGADO")</f>
        <v>AWARE SOLUTIONS S.R.L.</v>
      </c>
      <c r="H19" s="174">
        <v>185176.47</v>
      </c>
      <c r="I19" s="175"/>
      <c r="J19" s="175"/>
      <c r="K19" s="175">
        <v>19443.53</v>
      </c>
      <c r="L19" s="175"/>
      <c r="M19" s="175"/>
      <c r="N19" s="175"/>
      <c r="O19" s="175"/>
      <c r="P19" s="176">
        <f>SUM('Ago-26'!$H19:$O19)</f>
        <v>204620</v>
      </c>
      <c r="Q19" s="177" t="str">
        <f>IFERROR(IF('Ago-26'!$F19="","-",VLOOKUP('Ago-26'!$F19,Lista_CUIT!$A$1:$D$2241,3,0)),"CUIT NO CARGADO")</f>
        <v>INSUMO</v>
      </c>
      <c r="R19" s="177">
        <f>IFERROR(IF('Ago-26'!$F19="","-",VLOOKUP('Ago-26'!$F19,Lista_CUIT!$A$1:$D$2241,4,0)),"CUIT NO CARGADO")</f>
        <v>0</v>
      </c>
      <c r="S19" s="10"/>
      <c r="T19" s="10"/>
      <c r="U19" s="10"/>
      <c r="V19" s="10"/>
      <c r="W19" s="10"/>
      <c r="X19" s="10"/>
    </row>
    <row r="20" spans="1:24" x14ac:dyDescent="0.25">
      <c r="A20" s="10"/>
      <c r="B20" s="239">
        <v>45880</v>
      </c>
      <c r="C20" s="169">
        <v>1</v>
      </c>
      <c r="D20" s="170">
        <v>5</v>
      </c>
      <c r="E20" s="171">
        <v>87478</v>
      </c>
      <c r="F20" s="172">
        <v>30692857611</v>
      </c>
      <c r="G20" s="173" t="str">
        <f>IFERROR(IF('Ago-26'!$F20="","-",VLOOKUP('Ago-26'!$F20,Lista_CUIT!$A$1:$D$2241,2,0)),"CUIT NO CARGADO")</f>
        <v>BAGUI S A</v>
      </c>
      <c r="H20" s="174">
        <v>75040</v>
      </c>
      <c r="I20" s="175">
        <f>IF('Ago-26'!$H20="","",'Ago-26'!$H20*0.21)</f>
        <v>15758.4</v>
      </c>
      <c r="J20" s="175"/>
      <c r="K20" s="175"/>
      <c r="L20" s="175"/>
      <c r="M20" s="175"/>
      <c r="N20" s="175"/>
      <c r="O20" s="175"/>
      <c r="P20" s="176">
        <f>SUM('Ago-26'!$H20:$O20)</f>
        <v>90798.399999999994</v>
      </c>
      <c r="Q20" s="177" t="str">
        <f>IFERROR(IF('Ago-26'!$F20="","-",VLOOKUP('Ago-26'!$F20,Lista_CUIT!$A$1:$D$2241,3,0)),"CUIT NO CARGADO")</f>
        <v>INSUMO</v>
      </c>
      <c r="R20" s="177">
        <f>IFERROR(IF('Ago-26'!$F20="","-",VLOOKUP('Ago-26'!$F20,Lista_CUIT!$A$1:$D$2241,4,0)),"CUIT NO CARGADO")</f>
        <v>0</v>
      </c>
      <c r="S20" s="10"/>
      <c r="T20" s="10"/>
      <c r="U20" s="10"/>
      <c r="V20" s="10"/>
      <c r="W20" s="10"/>
      <c r="X20" s="10"/>
    </row>
    <row r="21" spans="1:24" ht="15.75" customHeight="1" x14ac:dyDescent="0.25">
      <c r="A21" s="10"/>
      <c r="B21" s="239">
        <v>45881</v>
      </c>
      <c r="C21" s="169">
        <v>1</v>
      </c>
      <c r="D21" s="170">
        <v>2</v>
      </c>
      <c r="E21" s="171">
        <v>17859</v>
      </c>
      <c r="F21" s="172">
        <v>30624684628</v>
      </c>
      <c r="G21" s="173" t="str">
        <f>IFERROR(IF('Ago-26'!$F21="","-",VLOOKUP('Ago-26'!$F21,Lista_CUIT!$A$1:$D$2241,2,0)),"CUIT NO CARGADO")</f>
        <v>MITSUKO ARGENTINA S R L</v>
      </c>
      <c r="H21" s="174">
        <v>974700</v>
      </c>
      <c r="I21" s="175">
        <f>IF('Ago-26'!$H21="","",'Ago-26'!$H21*0.21)</f>
        <v>204687</v>
      </c>
      <c r="J21" s="175"/>
      <c r="K21" s="175"/>
      <c r="L21" s="175"/>
      <c r="M21" s="175"/>
      <c r="N21" s="175"/>
      <c r="O21" s="175"/>
      <c r="P21" s="176">
        <f>SUM('Ago-26'!$H21:$O21)</f>
        <v>1179387</v>
      </c>
      <c r="Q21" s="177" t="str">
        <f>IFERROR(IF('Ago-26'!$F21="","-",VLOOKUP('Ago-26'!$F21,Lista_CUIT!$A$1:$D$2241,3,0)),"CUIT NO CARGADO")</f>
        <v>INSUMO</v>
      </c>
      <c r="R21" s="177">
        <f>IFERROR(IF('Ago-26'!$F21="","-",VLOOKUP('Ago-26'!$F21,Lista_CUIT!$A$1:$D$2241,4,0)),"CUIT NO CARGADO")</f>
        <v>0</v>
      </c>
      <c r="S21" s="10"/>
      <c r="T21" s="10"/>
      <c r="U21" s="10"/>
      <c r="V21" s="10"/>
      <c r="W21" s="10"/>
      <c r="X21" s="10"/>
    </row>
    <row r="22" spans="1:24" ht="15.75" customHeight="1" x14ac:dyDescent="0.25">
      <c r="A22" s="10"/>
      <c r="B22" s="239">
        <v>45881</v>
      </c>
      <c r="C22" s="169">
        <v>1</v>
      </c>
      <c r="D22" s="170">
        <v>9</v>
      </c>
      <c r="E22" s="171">
        <v>185679</v>
      </c>
      <c r="F22" s="172">
        <v>33715571639</v>
      </c>
      <c r="G22" s="173" t="str">
        <f>IFERROR(IF('Ago-26'!$F22="","-",VLOOKUP('Ago-26'!$F22,Lista_CUIT!$A$1:$D$2241,2,0)),"CUIT NO CARGADO")</f>
        <v>DUAITEK SRL</v>
      </c>
      <c r="H22" s="174">
        <v>45245.45</v>
      </c>
      <c r="I22" s="175">
        <v>815.53</v>
      </c>
      <c r="J22" s="175"/>
      <c r="K22" s="175">
        <v>4343.01</v>
      </c>
      <c r="L22" s="175"/>
      <c r="M22" s="175"/>
      <c r="N22" s="175"/>
      <c r="O22" s="175"/>
      <c r="P22" s="176">
        <f>SUM('Ago-26'!$H22:$O22)</f>
        <v>50403.99</v>
      </c>
      <c r="Q22" s="177" t="str">
        <f>IFERROR(IF('Ago-26'!$F22="","-",VLOOKUP('Ago-26'!$F22,Lista_CUIT!$A$1:$D$2241,3,0)),"CUIT NO CARGADO")</f>
        <v>Materiales Electricos</v>
      </c>
      <c r="R22" s="177">
        <f>IFERROR(IF('Ago-26'!$F22="","-",VLOOKUP('Ago-26'!$F22,Lista_CUIT!$A$1:$D$2241,4,0)),"CUIT NO CARGADO")</f>
        <v>0</v>
      </c>
      <c r="S22" s="10"/>
      <c r="T22" s="10"/>
      <c r="U22" s="10"/>
      <c r="V22" s="10"/>
      <c r="W22" s="10"/>
      <c r="X22" s="10"/>
    </row>
    <row r="23" spans="1:24" ht="15.75" customHeight="1" x14ac:dyDescent="0.25">
      <c r="A23" s="10"/>
      <c r="B23" s="239">
        <v>45883</v>
      </c>
      <c r="C23" s="169">
        <v>1</v>
      </c>
      <c r="D23" s="170">
        <v>6992</v>
      </c>
      <c r="E23" s="171">
        <v>34643</v>
      </c>
      <c r="F23" s="172">
        <v>30678774495</v>
      </c>
      <c r="G23" s="173" t="str">
        <f>IFERROR(IF('Ago-26'!$F23="","-",VLOOKUP('Ago-26'!$F23,Lista_CUIT!$A$1:$D$2241,2,0)),"CUIT NO CARGADO")</f>
        <v>OPER. DE EST. DE SERV. SA</v>
      </c>
      <c r="H23" s="174">
        <v>48432.71</v>
      </c>
      <c r="I23" s="175">
        <f>IF('Ago-26'!$H23="","",'Ago-26'!$H23*0.21)</f>
        <v>10170.8691</v>
      </c>
      <c r="J23" s="175"/>
      <c r="K23" s="175"/>
      <c r="L23" s="175"/>
      <c r="M23" s="175"/>
      <c r="N23" s="175"/>
      <c r="O23" s="175">
        <v>15557.45</v>
      </c>
      <c r="P23" s="176">
        <f>SUM('Ago-26'!$H23:$O23)</f>
        <v>74161.0291</v>
      </c>
      <c r="Q23" s="177" t="str">
        <f>IFERROR(IF('Ago-26'!$F23="","-",VLOOKUP('Ago-26'!$F23,Lista_CUIT!$A$1:$D$2241,3,0)),"CUIT NO CARGADO")</f>
        <v>COMBUSTIBLE</v>
      </c>
      <c r="R23" s="177">
        <f>IFERROR(IF('Ago-26'!$F23="","-",VLOOKUP('Ago-26'!$F23,Lista_CUIT!$A$1:$D$2241,4,0)),"CUIT NO CARGADO")</f>
        <v>0</v>
      </c>
      <c r="S23" s="10"/>
      <c r="T23" s="10"/>
      <c r="U23" s="10"/>
      <c r="V23" s="10"/>
      <c r="W23" s="10"/>
      <c r="X23" s="10"/>
    </row>
    <row r="24" spans="1:24" ht="15.75" customHeight="1" x14ac:dyDescent="0.25">
      <c r="A24" s="414"/>
      <c r="B24" s="416">
        <v>45884</v>
      </c>
      <c r="C24" s="417">
        <v>1</v>
      </c>
      <c r="D24" s="418">
        <v>6</v>
      </c>
      <c r="E24" s="419">
        <v>39406</v>
      </c>
      <c r="F24" s="420">
        <v>30538456876</v>
      </c>
      <c r="G24" s="173" t="str">
        <f>IFERROR(IF('Ago-26'!$F24="","-",VLOOKUP('Ago-26'!$F24,Lista_CUIT!$A$1:$D$2241,2,0)),"CUIT NO CARGADO")</f>
        <v>RIO DE JANEIRO SA</v>
      </c>
      <c r="H24" s="421">
        <v>30621.11</v>
      </c>
      <c r="I24" s="175">
        <f>IF('Ago-26'!$H24="","",'Ago-26'!$H24*0.21)</f>
        <v>6430.4331000000002</v>
      </c>
      <c r="J24" s="422"/>
      <c r="K24" s="422"/>
      <c r="L24" s="422"/>
      <c r="M24" s="422"/>
      <c r="N24" s="422"/>
      <c r="O24" s="422">
        <v>8245.51</v>
      </c>
      <c r="P24" s="176">
        <f>SUM('Ago-26'!$H24:$O24)</f>
        <v>45297.053100000005</v>
      </c>
      <c r="Q24" s="177" t="str">
        <f>IFERROR(IF('Ago-26'!$F24="","-",VLOOKUP('Ago-26'!$F24,Lista_CUIT!$A$1:$D$2241,3,0)),"CUIT NO CARGADO")</f>
        <v>COMBUSTIBLE</v>
      </c>
      <c r="R24" s="177">
        <f>IFERROR(IF('Ago-26'!$F24="","-",VLOOKUP('Ago-26'!$F24,Lista_CUIT!$A$1:$D$2241,4,0)),"CUIT NO CARGADO")</f>
        <v>0</v>
      </c>
      <c r="S24" s="414"/>
      <c r="T24" s="414"/>
      <c r="U24" s="414"/>
      <c r="V24" s="414"/>
      <c r="W24" s="414"/>
      <c r="X24" s="414"/>
    </row>
    <row r="25" spans="1:24" ht="15.75" customHeight="1" x14ac:dyDescent="0.25">
      <c r="A25" s="10"/>
      <c r="B25" s="239">
        <v>45887</v>
      </c>
      <c r="C25" s="169">
        <v>1</v>
      </c>
      <c r="D25" s="170">
        <v>5</v>
      </c>
      <c r="E25" s="171">
        <v>59090</v>
      </c>
      <c r="F25" s="172">
        <v>30609968792</v>
      </c>
      <c r="G25" s="173" t="str">
        <f>IFERROR(IF('Ago-26'!$F25="","-",VLOOKUP('Ago-26'!$F25,Lista_CUIT!$A$1:$D$2241,2,0)),"CUIT NO CARGADO")</f>
        <v>ABAC S R L</v>
      </c>
      <c r="H25" s="174">
        <v>945100</v>
      </c>
      <c r="I25" s="175">
        <f>IF('Ago-26'!$H25="","",'Ago-26'!$H25*0.21)</f>
        <v>198471</v>
      </c>
      <c r="J25" s="175"/>
      <c r="K25" s="175"/>
      <c r="L25" s="175"/>
      <c r="M25" s="175"/>
      <c r="N25" s="175"/>
      <c r="O25" s="175"/>
      <c r="P25" s="176">
        <f>SUM('Ago-26'!$H25:$O25)</f>
        <v>1143571</v>
      </c>
      <c r="Q25" s="177" t="str">
        <f>IFERROR(IF('Ago-26'!$F25="","-",VLOOKUP('Ago-26'!$F25,Lista_CUIT!$A$1:$D$2241,3,0)),"CUIT NO CARGADO")</f>
        <v>INSUMO</v>
      </c>
      <c r="R25" s="177">
        <f>IFERROR(IF('Ago-26'!$F25="","-",VLOOKUP('Ago-26'!$F25,Lista_CUIT!$A$1:$D$2241,4,0)),"CUIT NO CARGADO")</f>
        <v>0</v>
      </c>
      <c r="S25" s="10"/>
      <c r="T25" s="10"/>
      <c r="U25" s="10"/>
      <c r="V25" s="10"/>
      <c r="W25" s="10"/>
      <c r="X25" s="10"/>
    </row>
    <row r="26" spans="1:24" ht="15.75" customHeight="1" x14ac:dyDescent="0.25">
      <c r="A26" s="10"/>
      <c r="B26" s="239">
        <v>45887</v>
      </c>
      <c r="C26" s="169">
        <v>1</v>
      </c>
      <c r="D26" s="170">
        <v>5</v>
      </c>
      <c r="E26" s="171">
        <v>59089</v>
      </c>
      <c r="F26" s="172">
        <v>30609968792</v>
      </c>
      <c r="G26" s="173" t="str">
        <f>IFERROR(IF('Ago-26'!$F26="","-",VLOOKUP('Ago-26'!$F26,Lista_CUIT!$A$1:$D$2241,2,0)),"CUIT NO CARGADO")</f>
        <v>ABAC S R L</v>
      </c>
      <c r="H26" s="174">
        <v>353808.00000000006</v>
      </c>
      <c r="I26" s="175">
        <v>74295</v>
      </c>
      <c r="J26" s="175"/>
      <c r="K26" s="175"/>
      <c r="L26" s="175"/>
      <c r="M26" s="175"/>
      <c r="N26" s="175"/>
      <c r="O26" s="175"/>
      <c r="P26" s="176">
        <f>SUM('Ago-26'!$H26:$O26)</f>
        <v>428103.00000000006</v>
      </c>
      <c r="Q26" s="177" t="str">
        <f>IFERROR(IF('Ago-26'!$F26="","-",VLOOKUP('Ago-26'!$F26,Lista_CUIT!$A$1:$D$2241,3,0)),"CUIT NO CARGADO")</f>
        <v>INSUMO</v>
      </c>
      <c r="R26" s="177">
        <f>IFERROR(IF('Ago-26'!$F26="","-",VLOOKUP('Ago-26'!$F26,Lista_CUIT!$A$1:$D$2241,4,0)),"CUIT NO CARGADO")</f>
        <v>0</v>
      </c>
      <c r="S26" s="10"/>
      <c r="T26" s="10"/>
      <c r="U26" s="10"/>
      <c r="V26" s="10"/>
      <c r="W26" s="10"/>
      <c r="X26" s="10"/>
    </row>
    <row r="27" spans="1:24" ht="15.75" customHeight="1" x14ac:dyDescent="0.25">
      <c r="A27" s="10"/>
      <c r="B27" s="239">
        <v>45887</v>
      </c>
      <c r="C27" s="169">
        <v>1</v>
      </c>
      <c r="D27" s="170">
        <v>106</v>
      </c>
      <c r="E27" s="171">
        <v>868588</v>
      </c>
      <c r="F27" s="172">
        <v>30594494187</v>
      </c>
      <c r="G27" s="173" t="str">
        <f>IFERROR(IF('Ago-26'!$F27="","-",VLOOKUP('Ago-26'!$F27,Lista_CUIT!$A$1:$D$2241,2,0)),"CUIT NO CARGADO")</f>
        <v>FEDERAL EXPRESS CORPORATION</v>
      </c>
      <c r="H27" s="174">
        <v>0</v>
      </c>
      <c r="I27" s="175">
        <f>IF('Ago-26'!$H27="","",'Ago-26'!$H27*0.21)</f>
        <v>0</v>
      </c>
      <c r="J27" s="175"/>
      <c r="K27" s="175"/>
      <c r="L27" s="175"/>
      <c r="M27" s="175"/>
      <c r="N27" s="175"/>
      <c r="O27" s="175">
        <v>1226932.8999999999</v>
      </c>
      <c r="P27" s="176">
        <f>SUM('Ago-26'!$H27:$O27)</f>
        <v>1226932.8999999999</v>
      </c>
      <c r="Q27" s="177" t="str">
        <f>IFERROR(IF('Ago-26'!$F27="","-",VLOOKUP('Ago-26'!$F27,Lista_CUIT!$A$1:$D$2241,3,0)),"CUIT NO CARGADO")</f>
        <v>Mercaderia</v>
      </c>
      <c r="R27" s="177">
        <f>IFERROR(IF('Ago-26'!$F27="","-",VLOOKUP('Ago-26'!$F27,Lista_CUIT!$A$1:$D$2241,4,0)),"CUIT NO CARGADO")</f>
        <v>0</v>
      </c>
      <c r="S27" s="10"/>
      <c r="T27" s="10"/>
      <c r="U27" s="10"/>
      <c r="V27" s="10"/>
      <c r="W27" s="10"/>
      <c r="X27" s="10"/>
    </row>
    <row r="28" spans="1:24" ht="15.75" customHeight="1" x14ac:dyDescent="0.25">
      <c r="A28" s="10"/>
      <c r="B28" s="239">
        <v>45890</v>
      </c>
      <c r="C28" s="169">
        <v>1</v>
      </c>
      <c r="D28" s="170">
        <v>3</v>
      </c>
      <c r="E28" s="171">
        <v>6030</v>
      </c>
      <c r="F28" s="172">
        <v>30709665967</v>
      </c>
      <c r="G28" s="173" t="str">
        <f>IFERROR(IF('Ago-26'!$F28="","-",VLOOKUP('Ago-26'!$F28,Lista_CUIT!$A$1:$D$2241,2,0)),"CUIT NO CARGADO")</f>
        <v>INDUSTRIAS FEMAN S.R.L.</v>
      </c>
      <c r="H28" s="174">
        <v>12633548</v>
      </c>
      <c r="I28" s="175">
        <f>IF('Ago-26'!$H28="","",'Ago-26'!$H28*0.21)</f>
        <v>2653045.08</v>
      </c>
      <c r="J28" s="175"/>
      <c r="K28" s="175"/>
      <c r="L28" s="175"/>
      <c r="M28" s="175"/>
      <c r="N28" s="175"/>
      <c r="O28" s="175"/>
      <c r="P28" s="176">
        <f>SUM('Ago-26'!$H28:$O28)</f>
        <v>15286593.08</v>
      </c>
      <c r="Q28" s="177" t="str">
        <f>IFERROR(IF('Ago-26'!$F28="","-",VLOOKUP('Ago-26'!$F28,Lista_CUIT!$A$1:$D$2241,3,0)),"CUIT NO CARGADO")</f>
        <v>INSUMO</v>
      </c>
      <c r="R28" s="177">
        <f>IFERROR(IF('Ago-26'!$F28="","-",VLOOKUP('Ago-26'!$F28,Lista_CUIT!$A$1:$D$2241,4,0)),"CUIT NO CARGADO")</f>
        <v>0</v>
      </c>
      <c r="S28" s="10"/>
      <c r="T28" s="10"/>
      <c r="U28" s="10"/>
      <c r="V28" s="10"/>
      <c r="W28" s="10"/>
      <c r="X28" s="10"/>
    </row>
    <row r="29" spans="1:24" ht="15.75" customHeight="1" x14ac:dyDescent="0.25">
      <c r="A29" s="10"/>
      <c r="B29" s="239">
        <v>45890</v>
      </c>
      <c r="C29" s="169">
        <v>1</v>
      </c>
      <c r="D29" s="170">
        <v>106</v>
      </c>
      <c r="E29" s="171">
        <v>870014</v>
      </c>
      <c r="F29" s="172">
        <v>30594494187</v>
      </c>
      <c r="G29" s="173" t="str">
        <f>IFERROR(IF('Ago-26'!$F29="","-",VLOOKUP('Ago-26'!$F29,Lista_CUIT!$A$1:$D$2241,2,0)),"CUIT NO CARGADO")</f>
        <v>FEDERAL EXPRESS CORPORATION</v>
      </c>
      <c r="H29" s="174">
        <v>94680</v>
      </c>
      <c r="I29" s="175">
        <f>IF('Ago-26'!$H29="","",'Ago-26'!$H29*0.21)</f>
        <v>19882.8</v>
      </c>
      <c r="J29" s="175"/>
      <c r="K29" s="175"/>
      <c r="L29" s="175"/>
      <c r="M29" s="175"/>
      <c r="N29" s="175"/>
      <c r="O29" s="175">
        <v>507357.96</v>
      </c>
      <c r="P29" s="176">
        <f>SUM('Ago-26'!$H29:$O29)</f>
        <v>621920.76</v>
      </c>
      <c r="Q29" s="177" t="str">
        <f>IFERROR(IF('Ago-26'!$F29="","-",VLOOKUP('Ago-26'!$F29,Lista_CUIT!$A$1:$D$2241,3,0)),"CUIT NO CARGADO")</f>
        <v>Mercaderia</v>
      </c>
      <c r="R29" s="177">
        <f>IFERROR(IF('Ago-26'!$F29="","-",VLOOKUP('Ago-26'!$F29,Lista_CUIT!$A$1:$D$2241,4,0)),"CUIT NO CARGADO")</f>
        <v>0</v>
      </c>
      <c r="S29" s="10"/>
      <c r="T29" s="10"/>
      <c r="U29" s="10"/>
      <c r="V29" s="10"/>
      <c r="W29" s="10"/>
      <c r="X29" s="10"/>
    </row>
    <row r="30" spans="1:24" ht="15.75" customHeight="1" x14ac:dyDescent="0.25">
      <c r="A30" s="10"/>
      <c r="B30" s="239">
        <v>45891</v>
      </c>
      <c r="C30" s="169">
        <v>1</v>
      </c>
      <c r="D30" s="170">
        <v>1</v>
      </c>
      <c r="E30" s="171">
        <v>979</v>
      </c>
      <c r="F30" s="172">
        <v>30715048066</v>
      </c>
      <c r="G30" s="173" t="str">
        <f>IFERROR(IF('Ago-26'!$F30="","-",VLOOKUP('Ago-26'!$F30,Lista_CUIT!$A$1:$D$2241,2,0)),"CUIT NO CARGADO")</f>
        <v>ROLLS Y EMPANADAS SA</v>
      </c>
      <c r="H30" s="174">
        <v>845115</v>
      </c>
      <c r="I30" s="175">
        <f>IF('Ago-26'!$H30="","",'Ago-26'!$H30*0.21)</f>
        <v>177474.15</v>
      </c>
      <c r="J30" s="175"/>
      <c r="K30" s="175"/>
      <c r="L30" s="175"/>
      <c r="M30" s="175"/>
      <c r="N30" s="175"/>
      <c r="O30" s="175"/>
      <c r="P30" s="176">
        <f>SUM('Ago-26'!$H30:$O30)</f>
        <v>1022589.15</v>
      </c>
      <c r="Q30" s="177" t="str">
        <f>IFERROR(IF('Ago-26'!$F30="","-",VLOOKUP('Ago-26'!$F30,Lista_CUIT!$A$1:$D$2241,3,0)),"CUIT NO CARGADO")</f>
        <v>CATERING</v>
      </c>
      <c r="R30" s="177">
        <f>IFERROR(IF('Ago-26'!$F30="","-",VLOOKUP('Ago-26'!$F30,Lista_CUIT!$A$1:$D$2241,4,0)),"CUIT NO CARGADO")</f>
        <v>0</v>
      </c>
      <c r="S30" s="10"/>
      <c r="T30" s="10"/>
      <c r="U30" s="10"/>
      <c r="V30" s="10"/>
      <c r="W30" s="10"/>
      <c r="X30" s="10"/>
    </row>
    <row r="31" spans="1:24" ht="15.75" customHeight="1" x14ac:dyDescent="0.25">
      <c r="A31" s="10"/>
      <c r="B31" s="239">
        <v>45895</v>
      </c>
      <c r="C31" s="169">
        <v>1</v>
      </c>
      <c r="D31" s="170">
        <v>2</v>
      </c>
      <c r="E31" s="171">
        <v>218</v>
      </c>
      <c r="F31" s="172">
        <v>20125142851</v>
      </c>
      <c r="G31" s="173" t="str">
        <f>IFERROR(IF('Ago-26'!$F31="","-",VLOOKUP('Ago-26'!$F31,Lista_CUIT!$A$1:$D$2241,2,0)),"CUIT NO CARGADO")</f>
        <v>FEDERICI NICOLAS JOSE</v>
      </c>
      <c r="H31" s="174">
        <v>183344.62</v>
      </c>
      <c r="I31" s="175">
        <f>IF('Ago-26'!$H31="","",'Ago-26'!$H31*0.21)</f>
        <v>38502.370199999998</v>
      </c>
      <c r="J31" s="175"/>
      <c r="K31" s="175"/>
      <c r="L31" s="175"/>
      <c r="M31" s="175"/>
      <c r="N31" s="175"/>
      <c r="O31" s="175"/>
      <c r="P31" s="176">
        <f>SUM('Ago-26'!$H31:$O31)</f>
        <v>221846.9902</v>
      </c>
      <c r="Q31" s="177" t="str">
        <f>IFERROR(IF('Ago-26'!$F31="","-",VLOOKUP('Ago-26'!$F31,Lista_CUIT!$A$1:$D$2241,3,0)),"CUIT NO CARGADO")</f>
        <v>INSUMO</v>
      </c>
      <c r="R31" s="177">
        <f>IFERROR(IF('Ago-26'!$F31="","-",VLOOKUP('Ago-26'!$F31,Lista_CUIT!$A$1:$D$2241,4,0)),"CUIT NO CARGADO")</f>
        <v>0</v>
      </c>
      <c r="S31" s="10"/>
      <c r="T31" s="10"/>
      <c r="U31" s="10"/>
      <c r="V31" s="10"/>
      <c r="W31" s="10"/>
      <c r="X31" s="10"/>
    </row>
    <row r="32" spans="1:24" ht="15.75" customHeight="1" x14ac:dyDescent="0.25">
      <c r="A32" s="10"/>
      <c r="B32" s="239">
        <v>45899</v>
      </c>
      <c r="C32" s="169">
        <v>1</v>
      </c>
      <c r="D32" s="170">
        <v>4</v>
      </c>
      <c r="E32" s="171">
        <v>546</v>
      </c>
      <c r="F32" s="172">
        <v>20279381123</v>
      </c>
      <c r="G32" s="173" t="str">
        <f>IFERROR(IF('Ago-26'!$F32="","-",VLOOKUP('Ago-26'!$F32,Lista_CUIT!$A$1:$D$2241,2,0)),"CUIT NO CARGADO")</f>
        <v>VOLPI FERNANDO ERNESTO</v>
      </c>
      <c r="H32" s="174">
        <v>111562</v>
      </c>
      <c r="I32" s="175">
        <f>IF('Ago-26'!$H32="","",'Ago-26'!$H32*0.21)</f>
        <v>23428.02</v>
      </c>
      <c r="J32" s="175"/>
      <c r="K32" s="175"/>
      <c r="L32" s="175"/>
      <c r="M32" s="175"/>
      <c r="N32" s="175"/>
      <c r="O32" s="175"/>
      <c r="P32" s="176">
        <f>SUM('Ago-26'!$H32:$O32)</f>
        <v>134990.01999999999</v>
      </c>
      <c r="Q32" s="177">
        <f>IFERROR(IF('Ago-26'!$F32="","-",VLOOKUP('Ago-26'!$F32,Lista_CUIT!$A$1:$D$2241,3,0)),"CUIT NO CARGADO")</f>
        <v>0</v>
      </c>
      <c r="R32" s="177">
        <f>IFERROR(IF('Ago-26'!$F32="","-",VLOOKUP('Ago-26'!$F32,Lista_CUIT!$A$1:$D$2241,4,0)),"CUIT NO CARGADO")</f>
        <v>0</v>
      </c>
      <c r="S32" s="10"/>
      <c r="T32" s="10"/>
      <c r="U32" s="10"/>
      <c r="V32" s="10"/>
      <c r="W32" s="10"/>
      <c r="X32" s="10"/>
    </row>
    <row r="33" spans="1:24" ht="15.75" customHeight="1" x14ac:dyDescent="0.25">
      <c r="A33" s="10"/>
      <c r="B33" s="239">
        <v>45899</v>
      </c>
      <c r="C33" s="169">
        <v>1</v>
      </c>
      <c r="D33" s="170">
        <v>5</v>
      </c>
      <c r="E33" s="171">
        <v>78338</v>
      </c>
      <c r="F33" s="172">
        <v>30714430781</v>
      </c>
      <c r="G33" s="173" t="str">
        <f>IFERROR(IF('Ago-26'!$F33="","-",VLOOKUP('Ago-26'!$F33,Lista_CUIT!$A$1:$D$2241,2,0)),"CUIT NO CARGADO")</f>
        <v>JFC HACELA  FACIL SRL</v>
      </c>
      <c r="H33" s="174">
        <v>30644.34</v>
      </c>
      <c r="I33" s="175"/>
      <c r="J33" s="175"/>
      <c r="K33" s="175">
        <v>3217.66</v>
      </c>
      <c r="L33" s="175"/>
      <c r="M33" s="175"/>
      <c r="N33" s="175"/>
      <c r="O33" s="175"/>
      <c r="P33" s="176">
        <f>SUM('Ago-26'!$H33:$O33)</f>
        <v>33862</v>
      </c>
      <c r="Q33" s="177" t="str">
        <f>IFERROR(IF('Ago-26'!$F33="","-",VLOOKUP('Ago-26'!$F33,Lista_CUIT!$A$1:$D$2241,3,0)),"CUIT NO CARGADO")</f>
        <v>Materiales Electricos</v>
      </c>
      <c r="R33" s="177">
        <f>IFERROR(IF('Ago-26'!$F33="","-",VLOOKUP('Ago-26'!$F33,Lista_CUIT!$A$1:$D$2241,4,0)),"CUIT NO CARGADO")</f>
        <v>0</v>
      </c>
      <c r="S33" s="10"/>
      <c r="T33" s="10"/>
      <c r="U33" s="10"/>
      <c r="V33" s="10"/>
      <c r="W33" s="10"/>
      <c r="X33" s="10"/>
    </row>
    <row r="34" spans="1:24" ht="15.75" customHeight="1" x14ac:dyDescent="0.25">
      <c r="A34" s="10"/>
      <c r="B34" s="239"/>
      <c r="C34" s="169"/>
      <c r="D34" s="170"/>
      <c r="E34" s="171"/>
      <c r="F34" s="172"/>
      <c r="G34" s="173" t="str">
        <f>IFERROR(IF('Ago-26'!$F34="","-",VLOOKUP('Ago-26'!$F34,Lista_CUIT!$A$1:$D$2241,2,0)),"CUIT NO CARGADO")</f>
        <v>-</v>
      </c>
      <c r="H34" s="174"/>
      <c r="I34" s="175" t="str">
        <f>IF('Ago-26'!$H34="","",'Ago-26'!$H34*0.21)</f>
        <v/>
      </c>
      <c r="J34" s="175"/>
      <c r="K34" s="175"/>
      <c r="L34" s="175"/>
      <c r="M34" s="175"/>
      <c r="N34" s="175"/>
      <c r="O34" s="175"/>
      <c r="P34" s="176">
        <f>SUM('Ago-26'!$H34:$O34)</f>
        <v>0</v>
      </c>
      <c r="Q34" s="177" t="str">
        <f>IFERROR(IF('Ago-26'!$F34="","-",VLOOKUP('Ago-26'!$F34,Lista_CUIT!$A$1:$D$2241,3,0)),"CUIT NO CARGADO")</f>
        <v>-</v>
      </c>
      <c r="R34" s="177" t="str">
        <f>IFERROR(IF('Ago-26'!$F34="","-",VLOOKUP('Ago-26'!$F34,Lista_CUIT!$A$1:$D$2241,4,0)),"CUIT NO CARGADO")</f>
        <v>-</v>
      </c>
      <c r="S34" s="10"/>
      <c r="T34" s="10"/>
      <c r="U34" s="10"/>
      <c r="V34" s="10"/>
      <c r="W34" s="10"/>
      <c r="X34" s="10"/>
    </row>
    <row r="35" spans="1:24" ht="18" customHeight="1" x14ac:dyDescent="0.25">
      <c r="A35" s="110"/>
      <c r="B35" s="239"/>
      <c r="C35" s="169"/>
      <c r="D35" s="170"/>
      <c r="E35" s="171"/>
      <c r="F35" s="172"/>
      <c r="G35" s="173" t="str">
        <f>IFERROR(IF('Ago-26'!$F35="","-",VLOOKUP('Ago-26'!$F35,Lista_CUIT!$A$1:$D$2241,2,0)),"CUIT NO CARGADO")</f>
        <v>-</v>
      </c>
      <c r="H35" s="174"/>
      <c r="I35" s="175" t="str">
        <f>IF('Ago-26'!$H35="","",'Ago-26'!$H35*0.21)</f>
        <v/>
      </c>
      <c r="J35" s="175"/>
      <c r="K35" s="175"/>
      <c r="L35" s="175"/>
      <c r="M35" s="175"/>
      <c r="N35" s="175"/>
      <c r="O35" s="175"/>
      <c r="P35" s="176">
        <f>SUM('Ago-26'!$H35:$O35)</f>
        <v>0</v>
      </c>
      <c r="Q35" s="177" t="str">
        <f>IFERROR(IF('Ago-26'!$F35="","-",VLOOKUP('Ago-26'!$F35,Lista_CUIT!$A$1:$D$2241,3,0)),"CUIT NO CARGADO")</f>
        <v>-</v>
      </c>
      <c r="R35" s="177" t="str">
        <f>IFERROR(IF('Ago-26'!$F35="","-",VLOOKUP('Ago-26'!$F35,Lista_CUIT!$A$1:$D$2241,4,0)),"CUIT NO CARGADO")</f>
        <v>-</v>
      </c>
      <c r="S35" s="110"/>
      <c r="T35" s="110"/>
      <c r="U35" s="110"/>
      <c r="V35" s="110"/>
      <c r="W35" s="110"/>
      <c r="X35" s="110"/>
    </row>
    <row r="36" spans="1:24" ht="15.75" customHeight="1" x14ac:dyDescent="0.25">
      <c r="A36" s="10"/>
      <c r="B36" s="21" t="s">
        <v>1336</v>
      </c>
      <c r="C36" s="21"/>
      <c r="D36" s="21"/>
      <c r="E36" s="21"/>
      <c r="F36" s="21"/>
      <c r="G36" s="17"/>
      <c r="H36" s="18">
        <f>SUBTOTAL(109,'Ago-26'!$H$9:$H$35)</f>
        <v>21809766.630000003</v>
      </c>
      <c r="I36" s="18">
        <f>SUBTOTAL(109,'Ago-26'!$I$9:$I$35)</f>
        <v>4526037.9276999999</v>
      </c>
      <c r="J36" s="18">
        <f>SUBTOTAL(109,'Ago-26'!$J$9:$J$35)</f>
        <v>0</v>
      </c>
      <c r="K36" s="18">
        <f>SUBTOTAL(109,'Ago-26'!$K$9:$K$35)</f>
        <v>27004.2</v>
      </c>
      <c r="L36" s="18">
        <f>SUBTOTAL(109,'Ago-26'!$L$9:$L$35)</f>
        <v>552.21</v>
      </c>
      <c r="M36" s="18">
        <f>SUBTOTAL(109,'Ago-26'!$M$9:$M$35)</f>
        <v>0</v>
      </c>
      <c r="N36" s="18">
        <f>SUBTOTAL(109,'Ago-26'!$N$9:$N$35)</f>
        <v>0</v>
      </c>
      <c r="O36" s="18">
        <f>SUBTOTAL(109,'Ago-26'!$O$9:$O$35)</f>
        <v>1758093.8199999998</v>
      </c>
      <c r="P36" s="18">
        <f>SUBTOTAL(109,'Ago-26'!$P$9:$P$35)</f>
        <v>28121454.787700001</v>
      </c>
      <c r="Q36" s="21"/>
      <c r="R36" s="21"/>
      <c r="S36" s="10"/>
      <c r="T36" s="10"/>
      <c r="U36" s="10"/>
      <c r="V36" s="10"/>
      <c r="W36" s="10"/>
      <c r="X36" s="10"/>
    </row>
    <row r="37" spans="1:24" ht="15.75" customHeight="1" x14ac:dyDescent="0.25">
      <c r="A37" s="10"/>
      <c r="B37" s="12"/>
      <c r="C37" s="13"/>
      <c r="D37" s="14"/>
      <c r="E37" s="15"/>
      <c r="F37" s="16"/>
      <c r="G37" s="17"/>
      <c r="H37" s="18"/>
      <c r="I37" s="19"/>
      <c r="J37" s="19"/>
      <c r="K37" s="19"/>
      <c r="L37" s="19"/>
      <c r="M37" s="19"/>
      <c r="N37" s="19"/>
      <c r="O37" s="19"/>
      <c r="P37" s="20"/>
      <c r="Q37" s="21"/>
      <c r="R37" s="21"/>
      <c r="S37" s="10"/>
      <c r="T37" s="10"/>
      <c r="U37" s="10"/>
      <c r="V37" s="10"/>
      <c r="W37" s="10"/>
      <c r="X37" s="10"/>
    </row>
    <row r="38" spans="1:24" ht="15.75" customHeight="1" x14ac:dyDescent="0.25">
      <c r="B38" s="12"/>
      <c r="C38" s="13"/>
      <c r="D38" s="14"/>
      <c r="E38" s="15"/>
      <c r="F38" s="16"/>
      <c r="G38" s="17"/>
      <c r="H38" s="18"/>
      <c r="I38" s="19"/>
      <c r="J38" s="19"/>
      <c r="K38" s="19"/>
      <c r="L38" s="19"/>
      <c r="M38" s="19"/>
      <c r="N38" s="19"/>
      <c r="O38" s="19"/>
      <c r="P38" s="20"/>
      <c r="Q38" s="21"/>
      <c r="R38" s="21"/>
    </row>
    <row r="39" spans="1:24" ht="15.75" customHeight="1" x14ac:dyDescent="0.25">
      <c r="B39" s="12"/>
      <c r="C39" s="13"/>
      <c r="D39" s="14"/>
      <c r="E39" s="15"/>
      <c r="F39" s="16"/>
      <c r="G39" s="17"/>
      <c r="H39" s="18"/>
      <c r="I39" s="19"/>
      <c r="J39" s="19"/>
      <c r="K39" s="19"/>
      <c r="L39" s="19"/>
      <c r="M39" s="19"/>
      <c r="N39" s="19"/>
      <c r="O39" s="19"/>
      <c r="P39" s="20"/>
      <c r="Q39" s="21"/>
      <c r="R39" s="21"/>
    </row>
    <row r="40" spans="1:24" ht="15.75" customHeight="1" x14ac:dyDescent="0.25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</row>
    <row r="41" spans="1:24" ht="15.75" customHeight="1" x14ac:dyDescent="0.25">
      <c r="D41" s="456" t="s">
        <v>1337</v>
      </c>
      <c r="E41" s="448"/>
      <c r="F41" s="448"/>
      <c r="G41" s="448"/>
      <c r="H41" s="448"/>
      <c r="I41" s="448"/>
      <c r="J41" s="448"/>
      <c r="K41" s="448"/>
      <c r="L41" s="449"/>
      <c r="M41" s="111"/>
    </row>
    <row r="42" spans="1:24" ht="15.75" customHeight="1" x14ac:dyDescent="0.25">
      <c r="D42" s="24" t="s">
        <v>1322</v>
      </c>
      <c r="E42" s="25" t="s">
        <v>1338</v>
      </c>
      <c r="F42" s="25" t="s">
        <v>1339</v>
      </c>
      <c r="G42" s="25" t="s">
        <v>1340</v>
      </c>
      <c r="H42" s="25" t="s">
        <v>1341</v>
      </c>
      <c r="I42" s="25" t="s">
        <v>1329</v>
      </c>
      <c r="J42" s="26" t="s">
        <v>1342</v>
      </c>
      <c r="K42" s="26" t="s">
        <v>1343</v>
      </c>
      <c r="L42" s="27" t="s">
        <v>1344</v>
      </c>
      <c r="M42" s="28" t="s">
        <v>1334</v>
      </c>
    </row>
    <row r="43" spans="1:24" ht="15.75" customHeight="1" x14ac:dyDescent="0.25">
      <c r="C43" t="s">
        <v>1538</v>
      </c>
      <c r="D43" s="12">
        <v>45888</v>
      </c>
      <c r="E43" s="108">
        <v>1125687000</v>
      </c>
      <c r="F43" s="29" t="s">
        <v>1372</v>
      </c>
      <c r="G43" s="31">
        <v>32312.5</v>
      </c>
      <c r="H43" s="31">
        <f>'Ago-26'!$G43*0.21</f>
        <v>6785.625</v>
      </c>
      <c r="I43" s="31"/>
      <c r="J43" s="31"/>
      <c r="K43" s="31">
        <v>969.38</v>
      </c>
      <c r="L43" s="31"/>
      <c r="M43" s="31">
        <f>SUM('Ago-26'!$G43:$L43)</f>
        <v>40067.504999999997</v>
      </c>
    </row>
    <row r="44" spans="1:24" ht="15.75" customHeight="1" x14ac:dyDescent="0.25">
      <c r="C44" t="s">
        <v>1539</v>
      </c>
      <c r="D44" s="12">
        <v>45900</v>
      </c>
      <c r="E44" s="108"/>
      <c r="F44" s="29" t="s">
        <v>1372</v>
      </c>
      <c r="G44" s="31">
        <f>23633.97/0.21</f>
        <v>112542.71428571429</v>
      </c>
      <c r="H44" s="31">
        <f>'Ago-26'!$G44*0.21</f>
        <v>23633.97</v>
      </c>
      <c r="I44" s="31"/>
      <c r="J44" s="31"/>
      <c r="K44" s="31">
        <v>3113.57</v>
      </c>
      <c r="L44" s="31"/>
      <c r="M44" s="31">
        <f>SUM('Ago-26'!$G44:$L44)</f>
        <v>139290.2542857143</v>
      </c>
    </row>
    <row r="45" spans="1:24" ht="15.75" customHeight="1" x14ac:dyDescent="0.25">
      <c r="D45" s="12"/>
      <c r="E45" s="108"/>
      <c r="F45" s="29"/>
      <c r="G45" s="31"/>
      <c r="H45" s="31">
        <f>'Ago-26'!$G45*0.21</f>
        <v>0</v>
      </c>
      <c r="I45" s="31"/>
      <c r="J45" s="31"/>
      <c r="K45" s="31"/>
      <c r="L45" s="31"/>
      <c r="M45" s="31">
        <f>SUM('Ago-26'!$G45:$L45)</f>
        <v>0</v>
      </c>
    </row>
    <row r="46" spans="1:24" ht="15.75" customHeight="1" x14ac:dyDescent="0.25">
      <c r="D46" s="12"/>
      <c r="E46" s="108"/>
      <c r="F46" s="29"/>
      <c r="G46" s="31"/>
      <c r="H46" s="31">
        <f>'Ago-26'!$G46*0.21</f>
        <v>0</v>
      </c>
      <c r="I46" s="31"/>
      <c r="J46" s="31"/>
      <c r="K46" s="31"/>
      <c r="L46" s="31"/>
      <c r="M46" s="31">
        <f>SUM('Ago-26'!$G46:$L46)</f>
        <v>0</v>
      </c>
    </row>
    <row r="47" spans="1:24" ht="15.75" customHeight="1" x14ac:dyDescent="0.25">
      <c r="D47" s="12"/>
      <c r="E47" s="108"/>
      <c r="F47" s="29"/>
      <c r="G47" s="31"/>
      <c r="H47" s="31">
        <f>'Ago-26'!$G47*0.21</f>
        <v>0</v>
      </c>
      <c r="I47" s="31"/>
      <c r="J47" s="31"/>
      <c r="K47" s="31"/>
      <c r="L47" s="31"/>
      <c r="M47" s="31">
        <f>SUM('Ago-26'!$G47:$L47)</f>
        <v>0</v>
      </c>
    </row>
    <row r="48" spans="1:24" ht="15.75" customHeight="1" x14ac:dyDescent="0.25">
      <c r="D48" s="21" t="s">
        <v>1336</v>
      </c>
      <c r="E48" s="29"/>
      <c r="F48" s="29"/>
      <c r="G48" s="31">
        <f>SUBTOTAL(109,'Ago-26'!$G$43:$G$47)</f>
        <v>144855.21428571429</v>
      </c>
      <c r="H48" s="31">
        <f>SUBTOTAL(109,'Ago-26'!$H$43:$H$47)</f>
        <v>30419.595000000001</v>
      </c>
      <c r="I48" s="31">
        <f>SUBTOTAL(109,'Ago-26'!$I$43:$I$47)</f>
        <v>0</v>
      </c>
      <c r="J48" s="31">
        <f>SUBTOTAL(109,'Ago-26'!$J$43:$J$47)</f>
        <v>0</v>
      </c>
      <c r="K48" s="31">
        <f>SUBTOTAL(109,'Ago-26'!$K$43:$K$47)</f>
        <v>4082.9500000000003</v>
      </c>
      <c r="L48" s="31">
        <f>SUBTOTAL(109,'Ago-26'!$L$43:$L$47)</f>
        <v>0</v>
      </c>
      <c r="M48" s="32"/>
    </row>
    <row r="49" spans="1:24" ht="18" customHeight="1" x14ac:dyDescent="0.25"/>
    <row r="50" spans="1:24" ht="15.75" customHeight="1" x14ac:dyDescent="0.25"/>
    <row r="51" spans="1:24" ht="15.75" customHeight="1" x14ac:dyDescent="0.25"/>
    <row r="52" spans="1:24" ht="15.75" customHeight="1" x14ac:dyDescent="0.25">
      <c r="D52" s="456" t="s">
        <v>1348</v>
      </c>
      <c r="E52" s="448"/>
      <c r="F52" s="448"/>
      <c r="G52" s="448"/>
      <c r="H52" s="448"/>
      <c r="I52" s="448"/>
      <c r="J52" s="448"/>
      <c r="K52" s="449"/>
    </row>
    <row r="53" spans="1:24" ht="15.75" customHeight="1" x14ac:dyDescent="0.25">
      <c r="D53" s="35" t="s">
        <v>1322</v>
      </c>
      <c r="E53" s="35" t="s">
        <v>1324</v>
      </c>
      <c r="F53" s="35" t="s">
        <v>1349</v>
      </c>
      <c r="G53" s="35" t="s">
        <v>0</v>
      </c>
      <c r="H53" s="35" t="s">
        <v>1</v>
      </c>
      <c r="I53" s="36" t="s">
        <v>1334</v>
      </c>
      <c r="J53" s="35" t="s">
        <v>1350</v>
      </c>
      <c r="K53" s="35" t="s">
        <v>1335</v>
      </c>
    </row>
    <row r="54" spans="1:24" ht="15.75" customHeight="1" x14ac:dyDescent="0.25">
      <c r="B54" s="10"/>
      <c r="C54" s="10"/>
      <c r="D54" s="336">
        <v>45870</v>
      </c>
      <c r="E54" s="337">
        <v>1</v>
      </c>
      <c r="F54" s="338">
        <v>34</v>
      </c>
      <c r="G54" s="339">
        <v>20419155870</v>
      </c>
      <c r="H54" s="341" t="str">
        <f>IFERROR(IF('Ago-26'!$G54="","-",VLOOKUP('Ago-26'!$G54,Lista_CUIT!$A$1:$D$2241,2,0)),"CUIT NO CARGADO")</f>
        <v>GULLO GASPAR</v>
      </c>
      <c r="I54" s="361">
        <v>75000</v>
      </c>
      <c r="J54" s="342" t="str">
        <f>IFERROR(IF('Ago-26'!$G54="","-",VLOOKUP('Ago-26'!$G54,Lista_CUIT!$A$1:$D$2241,3,0)),"CUIT NO CARGADO")</f>
        <v>Honorarios Contables</v>
      </c>
      <c r="K54" s="342">
        <f>IFERROR(IF('Ago-26'!$G54="","-",VLOOKUP('Ago-26'!$G54,Lista_CUIT!$A$1:$D$2241,4,0)),"CUIT NO CARGADO")</f>
        <v>0</v>
      </c>
      <c r="L54" s="10"/>
      <c r="M54" s="10"/>
      <c r="N54" s="10"/>
      <c r="O54" s="10"/>
      <c r="P54" s="10"/>
      <c r="Q54" s="10"/>
      <c r="R54" s="10"/>
    </row>
    <row r="55" spans="1:24" ht="15.75" customHeight="1" x14ac:dyDescent="0.25">
      <c r="B55" s="10"/>
      <c r="C55" s="10"/>
      <c r="D55" s="336">
        <v>45870</v>
      </c>
      <c r="E55" s="337">
        <v>1</v>
      </c>
      <c r="F55" s="338">
        <v>115</v>
      </c>
      <c r="G55" s="339">
        <v>20341465134</v>
      </c>
      <c r="H55" s="341" t="str">
        <f>IFERROR(IF('Ago-26'!$G55="","-",VLOOKUP('Ago-26'!$G55,Lista_CUIT!$A$1:$D$2241,2,0)),"CUIT NO CARGADO")</f>
        <v>ABELEDO AGUSTIN ENRIQUE</v>
      </c>
      <c r="I55" s="361">
        <v>2248500</v>
      </c>
      <c r="J55" s="342" t="str">
        <f>IFERROR(IF('Ago-26'!$G55="","-",VLOOKUP('Ago-26'!$G55,Lista_CUIT!$A$1:$D$2241,3,0)),"CUIT NO CARGADO")</f>
        <v>Mantenimiento</v>
      </c>
      <c r="K55" s="342" t="str">
        <f>IFERROR(IF('Ago-26'!$G55="","-",VLOOKUP('Ago-26'!$G55,Lista_CUIT!$A$1:$D$2241,4,0)),"CUIT NO CARGADO")</f>
        <v>CABA</v>
      </c>
      <c r="L55" s="10"/>
      <c r="M55" s="10"/>
      <c r="N55" s="10"/>
      <c r="O55" s="10"/>
      <c r="P55" s="10"/>
      <c r="Q55" s="10"/>
      <c r="R55" s="10"/>
    </row>
    <row r="56" spans="1:24" ht="15.75" customHeight="1" x14ac:dyDescent="0.25">
      <c r="A56" s="10"/>
      <c r="B56" s="10"/>
      <c r="C56" s="10"/>
      <c r="D56" s="336">
        <v>45870</v>
      </c>
      <c r="E56" s="337">
        <v>2</v>
      </c>
      <c r="F56" s="338">
        <v>22</v>
      </c>
      <c r="G56" s="339">
        <v>23118167279</v>
      </c>
      <c r="H56" s="341" t="str">
        <f>IFERROR(IF('Ago-26'!$G56="","-",VLOOKUP('Ago-26'!$G56,Lista_CUIT!$A$1:$D$2241,2,0)),"CUIT NO CARGADO")</f>
        <v>ABELEDO ENRIQUE JUAN</v>
      </c>
      <c r="I56" s="361">
        <v>2875000</v>
      </c>
      <c r="J56" s="342" t="str">
        <f>IFERROR(IF('Ago-26'!$G56="","-",VLOOKUP('Ago-26'!$G56,Lista_CUIT!$A$1:$D$2241,3,0)),"CUIT NO CARGADO")</f>
        <v>Honorarios Admin</v>
      </c>
      <c r="K56" s="342">
        <f>IFERROR(IF('Ago-26'!$G56="","-",VLOOKUP('Ago-26'!$G56,Lista_CUIT!$A$1:$D$2241,4,0)),"CUIT NO CARGADO")</f>
        <v>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5.75" customHeight="1" x14ac:dyDescent="0.25">
      <c r="A57" s="10"/>
      <c r="B57" s="10"/>
      <c r="C57" s="10"/>
      <c r="D57" s="336">
        <v>45870</v>
      </c>
      <c r="E57" s="337">
        <v>4</v>
      </c>
      <c r="F57" s="338">
        <v>51</v>
      </c>
      <c r="G57" s="339">
        <v>20086277523</v>
      </c>
      <c r="H57" s="341" t="str">
        <f>IFERROR(IF('Ago-26'!$G57="","-",VLOOKUP('Ago-26'!$G57,Lista_CUIT!$A$1:$D$2241,2,0)),"CUIT NO CARGADO")</f>
        <v>ESTUDIO BOTINDARI</v>
      </c>
      <c r="I57" s="361">
        <v>335000</v>
      </c>
      <c r="J57" s="342" t="str">
        <f>IFERROR(IF('Ago-26'!$G57="","-",VLOOKUP('Ago-26'!$G57,Lista_CUIT!$A$1:$D$2241,3,0)),"CUIT NO CARGADO")</f>
        <v>Honorarios Contables</v>
      </c>
      <c r="K57" s="342">
        <f>IFERROR(IF('Ago-26'!$G57="","-",VLOOKUP('Ago-26'!$G57,Lista_CUIT!$A$1:$D$2241,4,0)),"CUIT NO CARGADO")</f>
        <v>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5.75" customHeight="1" x14ac:dyDescent="0.25">
      <c r="A58" s="10"/>
      <c r="B58" s="10"/>
      <c r="C58" s="10"/>
      <c r="D58" s="336">
        <v>45873</v>
      </c>
      <c r="E58" s="337">
        <v>1</v>
      </c>
      <c r="F58" s="338">
        <v>43</v>
      </c>
      <c r="G58" s="339">
        <v>27387896150</v>
      </c>
      <c r="H58" s="341" t="str">
        <f>IFERROR(IF('Ago-26'!$G58="","-",VLOOKUP('Ago-26'!$G58,Lista_CUIT!$A$1:$D$2241,2,0)),"CUIT NO CARGADO")</f>
        <v>LIPANOVICH MARIA SOL</v>
      </c>
      <c r="I58" s="361">
        <v>1960951</v>
      </c>
      <c r="J58" s="342" t="str">
        <f>IFERROR(IF('Ago-26'!$G58="","-",VLOOKUP('Ago-26'!$G58,Lista_CUIT!$A$1:$D$2241,3,0)),"CUIT NO CARGADO")</f>
        <v>consultoria informatica</v>
      </c>
      <c r="K58" s="342">
        <f>IFERROR(IF('Ago-26'!$G58="","-",VLOOKUP('Ago-26'!$G58,Lista_CUIT!$A$1:$D$2241,4,0)),"CUIT NO CARGADO")</f>
        <v>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5.75" customHeight="1" x14ac:dyDescent="0.25">
      <c r="A59" s="10"/>
      <c r="B59" s="10"/>
      <c r="C59" s="10"/>
      <c r="D59" s="336">
        <v>45873</v>
      </c>
      <c r="E59" s="337">
        <v>1</v>
      </c>
      <c r="F59" s="338">
        <v>44</v>
      </c>
      <c r="G59" s="339">
        <v>27387896150</v>
      </c>
      <c r="H59" s="341" t="str">
        <f>IFERROR(IF('Ago-26'!$G59="","-",VLOOKUP('Ago-26'!$G59,Lista_CUIT!$A$1:$D$2241,2,0)),"CUIT NO CARGADO")</f>
        <v>LIPANOVICH MARIA SOL</v>
      </c>
      <c r="I59" s="361">
        <v>548000</v>
      </c>
      <c r="J59" s="342" t="str">
        <f>IFERROR(IF('Ago-26'!$G59="","-",VLOOKUP('Ago-26'!$G59,Lista_CUIT!$A$1:$D$2241,3,0)),"CUIT NO CARGADO")</f>
        <v>consultoria informatica</v>
      </c>
      <c r="K59" s="342">
        <f>IFERROR(IF('Ago-26'!$G59="","-",VLOOKUP('Ago-26'!$G59,Lista_CUIT!$A$1:$D$2241,4,0)),"CUIT NO CARGADO")</f>
        <v>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5.75" customHeight="1" x14ac:dyDescent="0.25">
      <c r="A60" s="10"/>
      <c r="B60" s="10"/>
      <c r="C60" s="10"/>
      <c r="D60" s="336">
        <v>45874</v>
      </c>
      <c r="E60" s="337">
        <v>2</v>
      </c>
      <c r="F60" s="338">
        <v>288</v>
      </c>
      <c r="G60" s="339">
        <v>27173820866</v>
      </c>
      <c r="H60" s="341" t="str">
        <f>IFERROR(IF('Ago-26'!$G60="","-",VLOOKUP('Ago-26'!$G60,Lista_CUIT!$A$1:$D$2241,2,0)),"CUIT NO CARGADO")</f>
        <v>FREIER SANDRA DANIELA</v>
      </c>
      <c r="I60" s="361">
        <v>1550000</v>
      </c>
      <c r="J60" s="342" t="str">
        <f>IFERROR(IF('Ago-26'!$G60="","-",VLOOKUP('Ago-26'!$G60,Lista_CUIT!$A$1:$D$2241,3,0)),"CUIT NO CARGADO")</f>
        <v>Honorarios Prof</v>
      </c>
      <c r="K60" s="342">
        <f>IFERROR(IF('Ago-26'!$G60="","-",VLOOKUP('Ago-26'!$G60,Lista_CUIT!$A$1:$D$2241,4,0)),"CUIT NO CARGADO")</f>
        <v>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7.25" customHeight="1" x14ac:dyDescent="0.25">
      <c r="A61" s="10"/>
      <c r="B61" s="10"/>
      <c r="C61" s="10"/>
      <c r="D61" s="336">
        <v>45874</v>
      </c>
      <c r="E61" s="337">
        <v>1</v>
      </c>
      <c r="F61" s="338">
        <v>160</v>
      </c>
      <c r="G61" s="339">
        <v>20389908569</v>
      </c>
      <c r="H61" s="341" t="str">
        <f>IFERROR(IF('Ago-26'!$G61="","-",VLOOKUP('Ago-26'!$G61,Lista_CUIT!$A$1:$D$2241,2,0)),"CUIT NO CARGADO")</f>
        <v>BOTINDARI JUAN IGNACIO</v>
      </c>
      <c r="I61" s="361">
        <v>125000</v>
      </c>
      <c r="J61" s="342" t="str">
        <f>IFERROR(IF('Ago-26'!$G61="","-",VLOOKUP('Ago-26'!$G61,Lista_CUIT!$A$1:$D$2241,3,0)),"CUIT NO CARGADO")</f>
        <v>Honorarios Contables</v>
      </c>
      <c r="K61" s="342">
        <f>IFERROR(IF('Ago-26'!$G61="","-",VLOOKUP('Ago-26'!$G61,Lista_CUIT!$A$1:$D$2241,4,0)),"CUIT NO CARGADO")</f>
        <v>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5.75" customHeight="1" x14ac:dyDescent="0.25">
      <c r="A62" s="10"/>
      <c r="B62" s="10"/>
      <c r="C62" s="10"/>
      <c r="D62" s="336">
        <v>45874</v>
      </c>
      <c r="E62" s="337">
        <v>2</v>
      </c>
      <c r="F62" s="338">
        <v>186</v>
      </c>
      <c r="G62" s="339">
        <v>20136544625</v>
      </c>
      <c r="H62" s="341" t="str">
        <f>IFERROR(IF('Ago-26'!$G62="","-",VLOOKUP('Ago-26'!$G62,Lista_CUIT!$A$1:$D$2241,2,0)),"CUIT NO CARGADO")</f>
        <v>RODRIGUEZ DE LA FUEN HECTOR MARCELO</v>
      </c>
      <c r="I62" s="361">
        <v>1201000</v>
      </c>
      <c r="J62" s="342" t="str">
        <f>IFERROR(IF('Ago-26'!$G62="","-",VLOOKUP('Ago-26'!$G62,Lista_CUIT!$A$1:$D$2241,3,0)),"CUIT NO CARGADO")</f>
        <v>Honorarios Admin</v>
      </c>
      <c r="K62" s="342">
        <f>IFERROR(IF('Ago-26'!$G62="","-",VLOOKUP('Ago-26'!$G62,Lista_CUIT!$A$1:$D$2241,4,0)),"CUIT NO CARGADO")</f>
        <v>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5.75" customHeight="1" x14ac:dyDescent="0.25">
      <c r="A63" s="10"/>
      <c r="B63" s="10"/>
      <c r="C63" s="10"/>
      <c r="D63" s="336">
        <v>45883</v>
      </c>
      <c r="E63" s="337">
        <v>4</v>
      </c>
      <c r="F63" s="338">
        <v>54</v>
      </c>
      <c r="G63" s="339">
        <v>20341462933</v>
      </c>
      <c r="H63" s="341" t="str">
        <f>IFERROR(IF('Ago-26'!$G63="","-",VLOOKUP('Ago-26'!$G63,Lista_CUIT!$A$1:$D$2241,2,0)),"CUIT NO CARGADO")</f>
        <v>CASTIGLIONI MATIAS EZEQUIEL</v>
      </c>
      <c r="I63" s="361">
        <v>2621000</v>
      </c>
      <c r="J63" s="342" t="str">
        <f>IFERROR(IF('Ago-26'!$G63="","-",VLOOKUP('Ago-26'!$G63,Lista_CUIT!$A$1:$D$2241,3,0)),"CUIT NO CARGADO")</f>
        <v>ASESORAMIENTO</v>
      </c>
      <c r="K63" s="342" t="str">
        <f>IFERROR(IF('Ago-26'!$G63="","-",VLOOKUP('Ago-26'!$G63,Lista_CUIT!$A$1:$D$2241,4,0)),"CUIT NO CARGADO")</f>
        <v>BUENOS AIRES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5.75" customHeight="1" x14ac:dyDescent="0.25">
      <c r="A64" s="10"/>
      <c r="B64" s="10"/>
      <c r="C64" s="10"/>
      <c r="D64" s="336">
        <v>45891</v>
      </c>
      <c r="E64" s="337">
        <v>1</v>
      </c>
      <c r="F64" s="338">
        <v>605</v>
      </c>
      <c r="G64" s="339">
        <v>27925308884</v>
      </c>
      <c r="H64" s="341" t="str">
        <f>IFERROR(IF('Ago-26'!$G64="","-",VLOOKUP('Ago-26'!$G64,Lista_CUIT!$A$1:$D$2241,2,0)),"CUIT NO CARGADO")</f>
        <v>LOPEZ LOPEZ FLAVIA</v>
      </c>
      <c r="I64" s="361">
        <v>60000</v>
      </c>
      <c r="J64" s="342" t="str">
        <f>IFERROR(IF('Ago-26'!$G64="","-",VLOOKUP('Ago-26'!$G64,Lista_CUIT!$A$1:$D$2241,3,0)),"CUIT NO CARGADO")</f>
        <v>GASTOS VARIOS</v>
      </c>
      <c r="K64" s="342">
        <f>IFERROR(IF('Ago-26'!$G64="","-",VLOOKUP('Ago-26'!$G64,Lista_CUIT!$A$1:$D$2241,4,0)),"CUIT NO CARGADO")</f>
        <v>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5.75" customHeight="1" x14ac:dyDescent="0.25">
      <c r="A65" s="10"/>
      <c r="B65" s="10"/>
      <c r="C65" s="10"/>
      <c r="D65" s="336">
        <v>45897</v>
      </c>
      <c r="E65" s="337">
        <v>4</v>
      </c>
      <c r="F65" s="338">
        <v>103</v>
      </c>
      <c r="G65" s="339">
        <v>23214737914</v>
      </c>
      <c r="H65" s="341" t="str">
        <f>IFERROR(IF('Ago-26'!$G65="","-",VLOOKUP('Ago-26'!$G65,Lista_CUIT!$A$1:$D$2241,2,0)),"CUIT NO CARGADO")</f>
        <v>SBARRA GABRIELA BEATRIZ</v>
      </c>
      <c r="I65" s="361">
        <v>1002210</v>
      </c>
      <c r="J65" s="342" t="str">
        <f>IFERROR(IF('Ago-26'!$G65="","-",VLOOKUP('Ago-26'!$G65,Lista_CUIT!$A$1:$D$2241,3,0)),"CUIT NO CARGADO")</f>
        <v>Honorarios Admin</v>
      </c>
      <c r="K65" s="342">
        <f>IFERROR(IF('Ago-26'!$G65="","-",VLOOKUP('Ago-26'!$G65,Lista_CUIT!$A$1:$D$2241,4,0)),"CUIT NO CARGADO")</f>
        <v>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5.75" customHeight="1" x14ac:dyDescent="0.25">
      <c r="A66" s="10"/>
      <c r="B66" s="10"/>
      <c r="C66" s="10"/>
      <c r="D66" s="336">
        <v>45889</v>
      </c>
      <c r="E66" s="337">
        <v>19</v>
      </c>
      <c r="F66" s="338">
        <v>134772</v>
      </c>
      <c r="G66" s="339">
        <v>33715179119</v>
      </c>
      <c r="H66" s="341" t="str">
        <f>IFERROR(IF('Ago-26'!$G66="","-",VLOOKUP('Ago-26'!$G66,Lista_CUIT!$A$1:$D$2241,2,0)),"CUIT NO CARGADO")</f>
        <v>FONDO DE COOPERACION TECNICA Y FINANCIERA - CECBA - SL Y T - LEY 23.412</v>
      </c>
      <c r="I66" s="361">
        <v>-8500</v>
      </c>
      <c r="J66" s="342" t="str">
        <f>IFERROR(IF('Ago-26'!$G66="","-",VLOOKUP('Ago-26'!$G66,Lista_CUIT!$A$1:$D$2241,3,0)),"CUIT NO CARGADO")</f>
        <v>Servicios Informaticos</v>
      </c>
      <c r="K66" s="342">
        <f>IFERROR(IF('Ago-26'!$G66="","-",VLOOKUP('Ago-26'!$G66,Lista_CUIT!$A$1:$D$2241,4,0)),"CUIT NO CARGADO")</f>
        <v>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5.75" customHeight="1" x14ac:dyDescent="0.25">
      <c r="A67" s="10"/>
      <c r="B67" s="10"/>
      <c r="C67" s="10"/>
      <c r="D67" s="336">
        <v>45889</v>
      </c>
      <c r="E67" s="337">
        <v>19</v>
      </c>
      <c r="F67" s="338">
        <v>134773</v>
      </c>
      <c r="G67" s="339">
        <v>33715179119</v>
      </c>
      <c r="H67" s="341" t="str">
        <f>IFERROR(IF('Ago-26'!$G67="","-",VLOOKUP('Ago-26'!$G67,Lista_CUIT!$A$1:$D$2241,2,0)),"CUIT NO CARGADO")</f>
        <v>FONDO DE COOPERACION TECNICA Y FINANCIERA - CECBA - SL Y T - LEY 23.412</v>
      </c>
      <c r="I67" s="361">
        <v>-8500</v>
      </c>
      <c r="J67" s="342" t="str">
        <f>IFERROR(IF('Ago-26'!$G67="","-",VLOOKUP('Ago-26'!$G67,Lista_CUIT!$A$1:$D$2241,3,0)),"CUIT NO CARGADO")</f>
        <v>Servicios Informaticos</v>
      </c>
      <c r="K67" s="342">
        <f>IFERROR(IF('Ago-26'!$G67="","-",VLOOKUP('Ago-26'!$G67,Lista_CUIT!$A$1:$D$2241,4,0)),"CUIT NO CARGADO")</f>
        <v>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5.75" customHeight="1" x14ac:dyDescent="0.25">
      <c r="A68" s="10"/>
      <c r="B68" s="10"/>
      <c r="C68" s="10"/>
      <c r="D68" s="336">
        <v>45889</v>
      </c>
      <c r="E68" s="337">
        <v>19</v>
      </c>
      <c r="F68" s="338">
        <v>134770</v>
      </c>
      <c r="G68" s="339">
        <v>33715179119</v>
      </c>
      <c r="H68" s="341" t="str">
        <f>IFERROR(IF('Ago-26'!$G68="","-",VLOOKUP('Ago-26'!$G68,Lista_CUIT!$A$1:$D$2241,2,0)),"CUIT NO CARGADO")</f>
        <v>FONDO DE COOPERACION TECNICA Y FINANCIERA - CECBA - SL Y T - LEY 23.412</v>
      </c>
      <c r="I68" s="361">
        <v>-8500</v>
      </c>
      <c r="J68" s="342" t="str">
        <f>IFERROR(IF('Ago-26'!$G68="","-",VLOOKUP('Ago-26'!$G68,Lista_CUIT!$A$1:$D$2241,3,0)),"CUIT NO CARGADO")</f>
        <v>Servicios Informaticos</v>
      </c>
      <c r="K68" s="342">
        <f>IFERROR(IF('Ago-26'!$G68="","-",VLOOKUP('Ago-26'!$G68,Lista_CUIT!$A$1:$D$2241,4,0)),"CUIT NO CARGADO")</f>
        <v>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5.75" customHeight="1" x14ac:dyDescent="0.25">
      <c r="A69" s="10"/>
      <c r="B69" s="10"/>
      <c r="C69" s="10"/>
      <c r="D69" s="336">
        <v>45889</v>
      </c>
      <c r="E69" s="337">
        <v>19</v>
      </c>
      <c r="F69" s="338">
        <v>134771</v>
      </c>
      <c r="G69" s="339">
        <v>33715179119</v>
      </c>
      <c r="H69" s="341" t="str">
        <f>IFERROR(IF('Ago-26'!$G69="","-",VLOOKUP('Ago-26'!$G69,Lista_CUIT!$A$1:$D$2241,2,0)),"CUIT NO CARGADO")</f>
        <v>FONDO DE COOPERACION TECNICA Y FINANCIERA - CECBA - SL Y T - LEY 23.412</v>
      </c>
      <c r="I69" s="361">
        <v>-8500</v>
      </c>
      <c r="J69" s="342" t="str">
        <f>IFERROR(IF('Ago-26'!$G69="","-",VLOOKUP('Ago-26'!$G69,Lista_CUIT!$A$1:$D$2241,3,0)),"CUIT NO CARGADO")</f>
        <v>Servicios Informaticos</v>
      </c>
      <c r="K69" s="342">
        <f>IFERROR(IF('Ago-26'!$G69="","-",VLOOKUP('Ago-26'!$G69,Lista_CUIT!$A$1:$D$2241,4,0)),"CUIT NO CARGADO")</f>
        <v>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5.75" customHeight="1" x14ac:dyDescent="0.25">
      <c r="A70" s="10"/>
      <c r="B70" s="10"/>
      <c r="C70" s="10"/>
      <c r="D70" s="336">
        <v>45889</v>
      </c>
      <c r="E70" s="337">
        <v>19</v>
      </c>
      <c r="F70" s="338">
        <v>134774</v>
      </c>
      <c r="G70" s="339">
        <v>33715179119</v>
      </c>
      <c r="H70" s="341" t="str">
        <f>IFERROR(IF('Ago-26'!$G70="","-",VLOOKUP('Ago-26'!$G70,Lista_CUIT!$A$1:$D$2241,2,0)),"CUIT NO CARGADO")</f>
        <v>FONDO DE COOPERACION TECNICA Y FINANCIERA - CECBA - SL Y T - LEY 23.412</v>
      </c>
      <c r="I70" s="361">
        <v>-8500</v>
      </c>
      <c r="J70" s="342" t="str">
        <f>IFERROR(IF('Ago-26'!$G70="","-",VLOOKUP('Ago-26'!$G70,Lista_CUIT!$A$1:$D$2241,3,0)),"CUIT NO CARGADO")</f>
        <v>Servicios Informaticos</v>
      </c>
      <c r="K70" s="342">
        <f>IFERROR(IF('Ago-26'!$G70="","-",VLOOKUP('Ago-26'!$G70,Lista_CUIT!$A$1:$D$2241,4,0)),"CUIT NO CARGADO")</f>
        <v>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5.75" customHeight="1" x14ac:dyDescent="0.25">
      <c r="A71" s="10"/>
      <c r="D71" s="336">
        <v>45880</v>
      </c>
      <c r="E71" s="337">
        <v>12</v>
      </c>
      <c r="F71" s="338">
        <v>18</v>
      </c>
      <c r="G71" s="339">
        <v>30715401467</v>
      </c>
      <c r="H71" s="341" t="str">
        <f>IFERROR(IF('Ago-26'!$G71="","-",VLOOKUP('Ago-26'!$G71,Lista_CUIT!$A$1:$D$2241,2,0)),"CUIT NO CARGADO")</f>
        <v>AWARE SOLUTIONS S.R.L.</v>
      </c>
      <c r="I71" s="361">
        <v>-204620</v>
      </c>
      <c r="J71" s="342" t="str">
        <f>IFERROR(IF('Ago-26'!$G71="","-",VLOOKUP('Ago-26'!$G71,Lista_CUIT!$A$1:$D$2241,3,0)),"CUIT NO CARGADO")</f>
        <v>INSUMO</v>
      </c>
      <c r="K71" s="342">
        <f>IFERROR(IF('Ago-26'!$G71="","-",VLOOKUP('Ago-26'!$G71,Lista_CUIT!$A$1:$D$2241,4,0)),"CUIT NO CARGADO")</f>
        <v>0</v>
      </c>
      <c r="S71" s="10"/>
      <c r="T71" s="10"/>
      <c r="U71" s="10"/>
      <c r="V71" s="10"/>
      <c r="W71" s="10"/>
      <c r="X71" s="10"/>
    </row>
    <row r="72" spans="1:24" ht="15.75" customHeight="1" x14ac:dyDescent="0.25">
      <c r="A72" s="10"/>
      <c r="D72" s="42" t="s">
        <v>1336</v>
      </c>
      <c r="E72" s="42"/>
      <c r="F72" s="42"/>
      <c r="G72" s="42"/>
      <c r="H72" s="44"/>
      <c r="I72" s="41">
        <f>SUBTOTAL(109,'Ago-26'!$I$54:$I$71)</f>
        <v>14354541</v>
      </c>
      <c r="J72" s="42"/>
      <c r="K72" s="42"/>
      <c r="S72" s="10"/>
      <c r="T72" s="10"/>
      <c r="U72" s="10"/>
      <c r="V72" s="10"/>
      <c r="W72" s="10"/>
      <c r="X72" s="10"/>
    </row>
    <row r="73" spans="1:24" ht="15.75" customHeight="1" x14ac:dyDescent="0.25">
      <c r="B73" s="43"/>
      <c r="C73" s="43"/>
      <c r="L73" s="43"/>
      <c r="M73" s="43"/>
      <c r="N73" s="43"/>
      <c r="O73" s="43"/>
      <c r="P73" s="43"/>
      <c r="Q73" s="43"/>
      <c r="R73" s="43"/>
    </row>
    <row r="74" spans="1:24" ht="15.75" customHeight="1" x14ac:dyDescent="0.25"/>
    <row r="75" spans="1:24" ht="15.75" customHeight="1" x14ac:dyDescent="0.25"/>
    <row r="76" spans="1:24" ht="15.75" customHeight="1" x14ac:dyDescent="0.25"/>
    <row r="77" spans="1:24" ht="15.75" customHeight="1" x14ac:dyDescent="0.25"/>
    <row r="78" spans="1:24" ht="15.75" customHeight="1" x14ac:dyDescent="0.25">
      <c r="B78" s="464" t="s">
        <v>1351</v>
      </c>
      <c r="C78" s="448"/>
      <c r="D78" s="448"/>
      <c r="E78" s="448"/>
      <c r="F78" s="448"/>
      <c r="G78" s="448"/>
      <c r="H78" s="448"/>
      <c r="I78" s="448"/>
      <c r="J78" s="449"/>
      <c r="K78" s="465">
        <f>N1</f>
        <v>45870</v>
      </c>
      <c r="L78" s="448"/>
      <c r="M78" s="449"/>
    </row>
    <row r="79" spans="1:24" ht="15.75" customHeight="1" x14ac:dyDescent="0.25"/>
    <row r="80" spans="1:24" ht="18.75" customHeight="1" x14ac:dyDescent="0.25">
      <c r="B80" s="457" t="s">
        <v>1352</v>
      </c>
      <c r="C80" s="458"/>
    </row>
    <row r="81" spans="2:13" ht="15.75" customHeight="1" x14ac:dyDescent="0.25">
      <c r="B81" s="45" t="s">
        <v>1322</v>
      </c>
      <c r="C81" s="46" t="s">
        <v>1323</v>
      </c>
      <c r="D81" s="46" t="s">
        <v>1353</v>
      </c>
      <c r="E81" s="46" t="s">
        <v>1354</v>
      </c>
      <c r="F81" s="46" t="s">
        <v>0</v>
      </c>
      <c r="G81" s="46" t="s">
        <v>1</v>
      </c>
      <c r="H81" s="46" t="s">
        <v>1355</v>
      </c>
      <c r="I81" s="46" t="s">
        <v>1341</v>
      </c>
      <c r="J81" s="46" t="s">
        <v>1329</v>
      </c>
      <c r="K81" s="46" t="s">
        <v>1356</v>
      </c>
      <c r="L81" s="46" t="s">
        <v>1334</v>
      </c>
      <c r="M81" s="47" t="s">
        <v>1335</v>
      </c>
    </row>
    <row r="82" spans="2:13" ht="15.75" customHeight="1" x14ac:dyDescent="0.25">
      <c r="B82" s="12">
        <v>45874</v>
      </c>
      <c r="C82" s="13">
        <v>1</v>
      </c>
      <c r="D82" s="14">
        <v>3</v>
      </c>
      <c r="E82" s="15">
        <v>285</v>
      </c>
      <c r="F82" s="16">
        <v>30638318470</v>
      </c>
      <c r="G82" s="99" t="str">
        <f>IFERROR(IF('Ago-26'!$F82="","-",VLOOKUP('Ago-26'!$F82,Lista_CUIT!$A$1:$D$2241,2,0)),"CUIT NO CARGADO")</f>
        <v>DELTA COMPRESION S R L</v>
      </c>
      <c r="H82" s="49">
        <v>154125</v>
      </c>
      <c r="I82" s="50">
        <f>23.62*1370</f>
        <v>32359.4</v>
      </c>
      <c r="J82" s="51"/>
      <c r="K82" s="51"/>
      <c r="L82" s="51">
        <f>SUM('Ago-26'!$H82:$K82)</f>
        <v>186484.4</v>
      </c>
      <c r="M82" s="52"/>
    </row>
    <row r="83" spans="2:13" ht="15.75" customHeight="1" x14ac:dyDescent="0.25">
      <c r="B83" s="12">
        <v>45874</v>
      </c>
      <c r="C83" s="13">
        <v>2</v>
      </c>
      <c r="D83" s="14">
        <v>3</v>
      </c>
      <c r="E83" s="15">
        <v>11</v>
      </c>
      <c r="F83" s="16">
        <v>30638318470</v>
      </c>
      <c r="G83" s="99" t="str">
        <f>IFERROR(IF('Ago-26'!$F83="","-",VLOOKUP('Ago-26'!$F83,Lista_CUIT!$A$1:$D$2241,2,0)),"CUIT NO CARGADO")</f>
        <v>DELTA COMPRESION S R L</v>
      </c>
      <c r="H83" s="49">
        <v>44305813.699999996</v>
      </c>
      <c r="I83" s="50">
        <f>6791.4*1370</f>
        <v>9304218</v>
      </c>
      <c r="J83" s="51"/>
      <c r="K83" s="51"/>
      <c r="L83" s="51">
        <f>SUM('Ago-26'!$H83:$K83)</f>
        <v>53610031.699999996</v>
      </c>
      <c r="M83" s="52"/>
    </row>
    <row r="84" spans="2:13" ht="15.75" customHeight="1" x14ac:dyDescent="0.25">
      <c r="B84" s="12">
        <v>45874</v>
      </c>
      <c r="C84" s="13">
        <v>3</v>
      </c>
      <c r="D84" s="14">
        <v>3</v>
      </c>
      <c r="E84" s="15">
        <v>29</v>
      </c>
      <c r="F84" s="16">
        <v>30638318470</v>
      </c>
      <c r="G84" s="99" t="str">
        <f>IFERROR(IF('Ago-26'!$F84="","-",VLOOKUP('Ago-26'!$F84,Lista_CUIT!$A$1:$D$2241,2,0)),"CUIT NO CARGADO")</f>
        <v>DELTA COMPRESION S R L</v>
      </c>
      <c r="H84" s="49">
        <v>-1147375</v>
      </c>
      <c r="I84" s="50">
        <f>-175.88*1370</f>
        <v>-240955.6</v>
      </c>
      <c r="J84" s="51"/>
      <c r="K84" s="51"/>
      <c r="L84" s="51">
        <f>SUM('Ago-26'!$H84:$K84)</f>
        <v>-1388330.6</v>
      </c>
      <c r="M84" s="52"/>
    </row>
    <row r="85" spans="2:13" ht="15.75" customHeight="1" x14ac:dyDescent="0.25">
      <c r="B85" s="12">
        <v>45881</v>
      </c>
      <c r="C85" s="13">
        <v>1</v>
      </c>
      <c r="D85" s="14">
        <v>3</v>
      </c>
      <c r="E85" s="15">
        <v>286</v>
      </c>
      <c r="F85" s="16">
        <v>30718512545</v>
      </c>
      <c r="G85" s="99" t="str">
        <f>IFERROR(IF('Ago-26'!$F85="","-",VLOOKUP('Ago-26'!$F85,Lista_CUIT!$A$1:$D$2241,2,0)),"CUIT NO CARGADO")</f>
        <v>MAJUBEN MDP SERVICIOS S.R.L.</v>
      </c>
      <c r="H85" s="49">
        <v>3204000</v>
      </c>
      <c r="I85" s="50">
        <f>504*1335</f>
        <v>672840</v>
      </c>
      <c r="J85" s="51"/>
      <c r="K85" s="51"/>
      <c r="L85" s="51">
        <f>SUM('Ago-26'!$H85:$K85)</f>
        <v>3876840</v>
      </c>
      <c r="M85" s="52"/>
    </row>
    <row r="86" spans="2:13" ht="15.75" customHeight="1" x14ac:dyDescent="0.25">
      <c r="B86" s="12">
        <v>45881</v>
      </c>
      <c r="C86" s="13">
        <v>1</v>
      </c>
      <c r="D86" s="14">
        <v>3</v>
      </c>
      <c r="E86" s="15">
        <v>287</v>
      </c>
      <c r="F86" s="16">
        <v>30718833112</v>
      </c>
      <c r="G86" s="99" t="str">
        <f>IFERROR(IF('Ago-26'!$F86="","-",VLOOKUP('Ago-26'!$F86,Lista_CUIT!$A$1:$D$2241,2,0)),"CUIT NO CARGADO")</f>
        <v>GUGAGAS ENERGY S.R.L.</v>
      </c>
      <c r="H86" s="49">
        <v>4539000</v>
      </c>
      <c r="I86" s="50">
        <f>714*1335</f>
        <v>953190</v>
      </c>
      <c r="J86" s="51"/>
      <c r="K86" s="51"/>
      <c r="L86" s="51">
        <f>SUM('Ago-26'!$H86:$K86)</f>
        <v>5492190</v>
      </c>
      <c r="M86" s="52"/>
    </row>
    <row r="87" spans="2:13" ht="15.75" customHeight="1" x14ac:dyDescent="0.25">
      <c r="B87" s="12">
        <v>45898</v>
      </c>
      <c r="C87" s="13">
        <v>3</v>
      </c>
      <c r="D87" s="14">
        <v>3</v>
      </c>
      <c r="E87" s="15">
        <v>30</v>
      </c>
      <c r="F87" s="16">
        <v>30638318470</v>
      </c>
      <c r="G87" s="99" t="str">
        <f>IFERROR(IF('Ago-26'!$F87="","-",VLOOKUP('Ago-26'!$F87,Lista_CUIT!$A$1:$D$2241,2,0)),"CUIT NO CARGADO")</f>
        <v>DELTA COMPRESION S R L</v>
      </c>
      <c r="H87" s="49">
        <v>-44305813.699999996</v>
      </c>
      <c r="I87" s="50">
        <f>-6791.4*1370</f>
        <v>-9304218</v>
      </c>
      <c r="J87" s="51"/>
      <c r="K87" s="51"/>
      <c r="L87" s="112">
        <f>SUM('Ago-26'!$H87:$K87)</f>
        <v>-53610031.699999996</v>
      </c>
      <c r="M87" s="52"/>
    </row>
    <row r="88" spans="2:13" ht="15.75" customHeight="1" x14ac:dyDescent="0.25">
      <c r="B88" s="12"/>
      <c r="C88" s="13"/>
      <c r="D88" s="14"/>
      <c r="E88" s="15"/>
      <c r="F88" s="16"/>
      <c r="G88" s="99" t="str">
        <f>IFERROR(IF('Ago-26'!$F88="","-",VLOOKUP('Ago-26'!$F88,Lista_CUIT!$A$1:$D$2241,2,0)),"CUIT NO CARGADO")</f>
        <v>-</v>
      </c>
      <c r="H88" s="49"/>
      <c r="I88" s="50">
        <f>'Ago-26'!$H88*0.21</f>
        <v>0</v>
      </c>
      <c r="J88" s="51"/>
      <c r="K88" s="51"/>
      <c r="L88" s="51">
        <f>SUM('Ago-26'!$H88:$K88)</f>
        <v>0</v>
      </c>
      <c r="M88" s="53"/>
    </row>
    <row r="89" spans="2:13" ht="15.75" customHeight="1" x14ac:dyDescent="0.25">
      <c r="B89" s="12"/>
      <c r="C89" s="13"/>
      <c r="D89" s="14"/>
      <c r="E89" s="15"/>
      <c r="F89" s="16"/>
      <c r="G89" s="99" t="str">
        <f>IFERROR(IF('Ago-26'!$F89="","-",VLOOKUP('Ago-26'!$F89,Lista_CUIT!$A$1:$D$2241,2,0)),"CUIT NO CARGADO")</f>
        <v>-</v>
      </c>
      <c r="H89" s="49"/>
      <c r="I89" s="50">
        <f>'Ago-26'!$H89*0.21</f>
        <v>0</v>
      </c>
      <c r="J89" s="51"/>
      <c r="K89" s="61"/>
      <c r="L89" s="61">
        <f>SUM('Ago-26'!$H89:$K89)</f>
        <v>0</v>
      </c>
      <c r="M89" s="53"/>
    </row>
    <row r="90" spans="2:13" ht="15.75" customHeight="1" x14ac:dyDescent="0.25">
      <c r="B90" s="12"/>
      <c r="C90" s="13"/>
      <c r="D90" s="14"/>
      <c r="E90" s="15"/>
      <c r="F90" s="16"/>
      <c r="G90" s="99" t="str">
        <f>IFERROR(IF('Ago-26'!$F90="","-",VLOOKUP('Ago-26'!$F90,Lista_CUIT!$A$1:$D$2241,2,0)),"CUIT NO CARGADO")</f>
        <v>-</v>
      </c>
      <c r="H90" s="49"/>
      <c r="I90" s="50">
        <f>'Ago-26'!$H90*0.21</f>
        <v>0</v>
      </c>
      <c r="J90" s="51"/>
      <c r="K90" s="51"/>
      <c r="L90" s="51">
        <f>SUM('Ago-26'!$H90:$K90)</f>
        <v>0</v>
      </c>
      <c r="M90" s="52"/>
    </row>
    <row r="91" spans="2:13" ht="15.75" customHeight="1" x14ac:dyDescent="0.25">
      <c r="B91" s="68" t="s">
        <v>1336</v>
      </c>
      <c r="C91" s="69"/>
      <c r="D91" s="69"/>
      <c r="E91" s="69"/>
      <c r="F91" s="69"/>
      <c r="G91" s="69"/>
      <c r="H91" s="70">
        <f>SUBTOTAL(109,'Ago-26'!$H$82:$H$90)</f>
        <v>6749750</v>
      </c>
      <c r="I91" s="71">
        <f>SUBTOTAL(109,'Ago-26'!$I$82:$I$90)</f>
        <v>1417433.8000000007</v>
      </c>
      <c r="J91" s="61">
        <f>SUBTOTAL(109,'Ago-26'!$J$82:$J$90)</f>
        <v>0</v>
      </c>
      <c r="K91" s="61">
        <f>SUBTOTAL(109,'Ago-26'!$K$82:$K$90)</f>
        <v>0</v>
      </c>
      <c r="L91" s="61">
        <f>SUBTOTAL(109,'Ago-26'!$L$82:$L$90)</f>
        <v>8167183.799999997</v>
      </c>
      <c r="M91" s="72">
        <f>SUBTOTAL(103,'Ago-26'!$M$82:$M$90)</f>
        <v>0</v>
      </c>
    </row>
    <row r="92" spans="2:13" ht="15.75" customHeight="1" x14ac:dyDescent="0.25"/>
    <row r="93" spans="2:13" ht="15.75" customHeight="1" x14ac:dyDescent="0.25"/>
    <row r="94" spans="2:13" ht="15.75" customHeight="1" x14ac:dyDescent="0.25">
      <c r="B94" s="457" t="s">
        <v>1357</v>
      </c>
      <c r="C94" s="458"/>
    </row>
    <row r="95" spans="2:13" ht="15.75" customHeight="1" x14ac:dyDescent="0.25">
      <c r="B95" s="45" t="s">
        <v>1322</v>
      </c>
      <c r="C95" s="46" t="s">
        <v>1323</v>
      </c>
      <c r="D95" s="46" t="s">
        <v>1353</v>
      </c>
      <c r="E95" s="46" t="s">
        <v>1354</v>
      </c>
      <c r="F95" s="46" t="s">
        <v>0</v>
      </c>
      <c r="G95" s="46" t="s">
        <v>1</v>
      </c>
      <c r="H95" s="46" t="s">
        <v>1355</v>
      </c>
      <c r="I95" s="46" t="s">
        <v>1341</v>
      </c>
      <c r="J95" s="46" t="s">
        <v>1329</v>
      </c>
      <c r="K95" s="46" t="s">
        <v>1356</v>
      </c>
      <c r="L95" s="46" t="s">
        <v>1334</v>
      </c>
      <c r="M95" s="47" t="s">
        <v>1335</v>
      </c>
    </row>
    <row r="96" spans="2:13" ht="15.75" customHeight="1" x14ac:dyDescent="0.25">
      <c r="B96" s="12"/>
      <c r="C96" s="13"/>
      <c r="D96" s="14"/>
      <c r="E96" s="15"/>
      <c r="F96" s="16"/>
      <c r="G96" s="73" t="str">
        <f>IFERROR(IF('Ago-26'!$F96="","-",VLOOKUP('Ago-26'!$F96,Lista_CUIT!$A$1:$D$2241,2,0)),"CUIT NO CARGADO")</f>
        <v>-</v>
      </c>
      <c r="H96" s="74">
        <f>'Ago-26'!$L96/1.21</f>
        <v>0</v>
      </c>
      <c r="I96" s="74">
        <f>'Ago-26'!$H96*0.21</f>
        <v>0</v>
      </c>
      <c r="J96" s="74"/>
      <c r="K96" s="74"/>
      <c r="L96" s="74"/>
      <c r="M96" s="52"/>
    </row>
    <row r="97" spans="2:13" ht="15.75" customHeight="1" x14ac:dyDescent="0.25">
      <c r="B97" s="12"/>
      <c r="C97" s="13"/>
      <c r="D97" s="14"/>
      <c r="E97" s="15"/>
      <c r="F97" s="16"/>
      <c r="G97" s="73"/>
      <c r="H97" s="74">
        <f>'Ago-26'!$L97/1.21</f>
        <v>0</v>
      </c>
      <c r="I97" s="74">
        <f>'Ago-26'!$H97*0.21</f>
        <v>0</v>
      </c>
      <c r="J97" s="74"/>
      <c r="K97" s="74"/>
      <c r="L97" s="74"/>
      <c r="M97" s="52"/>
    </row>
    <row r="98" spans="2:13" ht="15.75" customHeight="1" x14ac:dyDescent="0.25">
      <c r="B98" s="12"/>
      <c r="C98" s="13"/>
      <c r="D98" s="14"/>
      <c r="E98" s="15"/>
      <c r="F98" s="16"/>
      <c r="G98" s="73"/>
      <c r="H98" s="74">
        <f>'Ago-26'!$L98/1.21</f>
        <v>0</v>
      </c>
      <c r="I98" s="74">
        <f>'Ago-26'!$H98*0.21</f>
        <v>0</v>
      </c>
      <c r="J98" s="74"/>
      <c r="K98" s="74"/>
      <c r="L98" s="74"/>
      <c r="M98" s="52"/>
    </row>
    <row r="99" spans="2:13" ht="15.75" customHeight="1" x14ac:dyDescent="0.25">
      <c r="B99" s="12"/>
      <c r="C99" s="13"/>
      <c r="D99" s="14"/>
      <c r="E99" s="15"/>
      <c r="F99" s="16"/>
      <c r="G99" s="73"/>
      <c r="H99" s="74">
        <f>'Ago-26'!$L99/1.21</f>
        <v>0</v>
      </c>
      <c r="I99" s="74">
        <f>'Ago-26'!$H99*0.21</f>
        <v>0</v>
      </c>
      <c r="J99" s="74"/>
      <c r="K99" s="74"/>
      <c r="L99" s="74"/>
      <c r="M99" s="52"/>
    </row>
    <row r="100" spans="2:13" ht="15.75" customHeight="1" x14ac:dyDescent="0.25">
      <c r="B100" s="12"/>
      <c r="C100" s="13"/>
      <c r="D100" s="14"/>
      <c r="E100" s="15"/>
      <c r="F100" s="16"/>
      <c r="G100" s="73"/>
      <c r="H100" s="74">
        <f>'Ago-26'!$L100/1.21</f>
        <v>0</v>
      </c>
      <c r="I100" s="74">
        <f>'Ago-26'!$H100*0.21</f>
        <v>0</v>
      </c>
      <c r="J100" s="74"/>
      <c r="K100" s="74"/>
      <c r="L100" s="74"/>
      <c r="M100" s="52"/>
    </row>
    <row r="101" spans="2:13" ht="15.75" customHeight="1" x14ac:dyDescent="0.25">
      <c r="B101" s="12"/>
      <c r="C101" s="13"/>
      <c r="D101" s="14"/>
      <c r="E101" s="15"/>
      <c r="F101" s="16"/>
      <c r="G101" s="73"/>
      <c r="H101" s="74">
        <f>'Ago-26'!$L101/1.21</f>
        <v>0</v>
      </c>
      <c r="I101" s="74">
        <f>'Ago-26'!$H101*0.21</f>
        <v>0</v>
      </c>
      <c r="J101" s="74"/>
      <c r="K101" s="74"/>
      <c r="L101" s="74"/>
      <c r="M101" s="52"/>
    </row>
    <row r="102" spans="2:13" ht="15.75" customHeight="1" x14ac:dyDescent="0.25">
      <c r="B102" s="68" t="s">
        <v>1336</v>
      </c>
      <c r="C102" s="69"/>
      <c r="D102" s="69"/>
      <c r="E102" s="69"/>
      <c r="F102" s="69"/>
      <c r="G102" s="69"/>
      <c r="H102" s="75">
        <f>SUBTOTAL(109,'Ago-26'!$H$96:$H$101)</f>
        <v>0</v>
      </c>
      <c r="I102" s="75">
        <f>SUBTOTAL(109,'Ago-26'!$I$96:$I$101)</f>
        <v>0</v>
      </c>
      <c r="J102" s="76">
        <f>SUBTOTAL(109,'Ago-26'!$J$96:$J$101)</f>
        <v>0</v>
      </c>
      <c r="K102" s="76">
        <f>SUBTOTAL(109,'Ago-26'!$K$96:$K$101)</f>
        <v>0</v>
      </c>
      <c r="L102" s="76">
        <f>SUBTOTAL(109,'Ago-26'!$L$96:$L$101)</f>
        <v>0</v>
      </c>
      <c r="M102" s="72">
        <f>SUBTOTAL(103,'Ago-26'!$M$96:$M$101)</f>
        <v>0</v>
      </c>
    </row>
    <row r="103" spans="2:13" ht="15.75" customHeight="1" x14ac:dyDescent="0.25"/>
    <row r="104" spans="2:13" ht="15.75" customHeight="1" x14ac:dyDescent="0.25"/>
    <row r="105" spans="2:13" ht="15.75" customHeight="1" x14ac:dyDescent="0.25">
      <c r="B105" s="457" t="s">
        <v>1358</v>
      </c>
      <c r="C105" s="458"/>
    </row>
    <row r="106" spans="2:13" ht="15.75" customHeight="1" x14ac:dyDescent="0.25">
      <c r="B106" s="45" t="s">
        <v>1322</v>
      </c>
      <c r="C106" s="46" t="s">
        <v>1323</v>
      </c>
      <c r="D106" s="46" t="s">
        <v>1353</v>
      </c>
      <c r="E106" s="46" t="s">
        <v>1354</v>
      </c>
      <c r="F106" s="46" t="s">
        <v>0</v>
      </c>
      <c r="G106" s="46" t="s">
        <v>1</v>
      </c>
      <c r="H106" s="46" t="s">
        <v>1359</v>
      </c>
      <c r="I106" s="46" t="s">
        <v>1362</v>
      </c>
      <c r="J106" s="46" t="s">
        <v>1334</v>
      </c>
      <c r="K106" s="47" t="s">
        <v>1376</v>
      </c>
    </row>
    <row r="107" spans="2:13" ht="15.75" customHeight="1" x14ac:dyDescent="0.25">
      <c r="B107" s="12"/>
      <c r="C107" s="13"/>
      <c r="D107" s="14"/>
      <c r="E107" s="15"/>
      <c r="F107" s="16"/>
      <c r="G107" s="113" t="str">
        <f>IFERROR(IF('Ago-26'!$F107="","-",VLOOKUP('Ago-26'!$F107,Lista_CUIT!$A$1:$D$2241,2,0)),"CUIT NO CARGADO")</f>
        <v>-</v>
      </c>
      <c r="H107" s="49"/>
      <c r="I107" s="74"/>
      <c r="J107" s="74">
        <f>'Ago-26'!$H107*'Ago-26'!$I107</f>
        <v>0</v>
      </c>
      <c r="K107" s="52"/>
    </row>
    <row r="108" spans="2:13" ht="16.5" customHeight="1" x14ac:dyDescent="0.25">
      <c r="B108" s="12"/>
      <c r="C108" s="13"/>
      <c r="D108" s="14"/>
      <c r="E108" s="15"/>
      <c r="F108" s="16"/>
      <c r="G108" s="113" t="str">
        <f>IFERROR(IF('Ago-26'!$F108="","-",VLOOKUP('Ago-26'!$F108,Lista_CUIT!$A$1:$D$2241,2,0)),"CUIT NO CARGADO")</f>
        <v>-</v>
      </c>
      <c r="H108" s="49"/>
      <c r="I108" s="74"/>
      <c r="J108" s="74">
        <f>'Ago-26'!$H108*'Ago-26'!$I108</f>
        <v>0</v>
      </c>
      <c r="K108" s="52"/>
    </row>
    <row r="109" spans="2:13" ht="15.75" customHeight="1" x14ac:dyDescent="0.25">
      <c r="B109" s="12"/>
      <c r="C109" s="13"/>
      <c r="D109" s="14"/>
      <c r="E109" s="15"/>
      <c r="F109" s="16"/>
      <c r="G109" s="113" t="str">
        <f>IFERROR(IF('Ago-26'!$F109="","-",VLOOKUP('Ago-26'!$F109,Lista_CUIT!$A$1:$D$2241,2,0)),"CUIT NO CARGADO")</f>
        <v>-</v>
      </c>
      <c r="H109" s="49"/>
      <c r="I109" s="74"/>
      <c r="J109" s="74">
        <f>'Ago-26'!$H109*'Ago-26'!$I109</f>
        <v>0</v>
      </c>
      <c r="K109" s="52"/>
    </row>
    <row r="110" spans="2:13" ht="15.75" customHeight="1" x14ac:dyDescent="0.25">
      <c r="B110" s="12"/>
      <c r="C110" s="13"/>
      <c r="D110" s="14"/>
      <c r="E110" s="15"/>
      <c r="F110" s="16"/>
      <c r="G110" s="113" t="str">
        <f>IFERROR(IF('Ago-26'!$F110="","-",VLOOKUP('Ago-26'!$F110,Lista_CUIT!$A$1:$D$2241,2,0)),"CUIT NO CARGADO")</f>
        <v>-</v>
      </c>
      <c r="H110" s="49"/>
      <c r="I110" s="74"/>
      <c r="J110" s="74">
        <f>'Ago-26'!$H110*'Ago-26'!$I110</f>
        <v>0</v>
      </c>
      <c r="K110" s="52"/>
    </row>
    <row r="111" spans="2:13" ht="15.75" customHeight="1" x14ac:dyDescent="0.25">
      <c r="B111" s="12"/>
      <c r="C111" s="13"/>
      <c r="D111" s="14"/>
      <c r="E111" s="15"/>
      <c r="F111" s="16"/>
      <c r="G111" s="113" t="str">
        <f>IFERROR(IF('Ago-26'!$F111="","-",VLOOKUP('Ago-26'!$F111,Lista_CUIT!$A$1:$D$2241,2,0)),"CUIT NO CARGADO")</f>
        <v>-</v>
      </c>
      <c r="H111" s="49"/>
      <c r="I111" s="74"/>
      <c r="J111" s="74">
        <f>'Ago-26'!$H111*'Ago-26'!$I111</f>
        <v>0</v>
      </c>
      <c r="K111" s="52"/>
    </row>
    <row r="112" spans="2:13" ht="15.75" customHeight="1" x14ac:dyDescent="0.25">
      <c r="B112" s="12"/>
      <c r="C112" s="13"/>
      <c r="D112" s="14"/>
      <c r="E112" s="15"/>
      <c r="F112" s="16"/>
      <c r="G112" s="73" t="str">
        <f>IFERROR(IF('Ago-26'!$F112="","-",VLOOKUP('Ago-26'!$F112,Lista_CUIT!$A$1:$D$2241,2,0)),"CUIT NO CARGADO")</f>
        <v>-</v>
      </c>
      <c r="H112" s="49"/>
      <c r="I112" s="74"/>
      <c r="J112" s="74">
        <f>'Ago-26'!$H112*'Ago-26'!$I112</f>
        <v>0</v>
      </c>
      <c r="K112" s="52"/>
    </row>
    <row r="113" spans="2:12" ht="15.75" customHeight="1" x14ac:dyDescent="0.25">
      <c r="B113" s="12"/>
      <c r="C113" s="13"/>
      <c r="D113" s="14"/>
      <c r="E113" s="15"/>
      <c r="F113" s="16"/>
      <c r="G113" s="73" t="str">
        <f>IFERROR(IF('Ago-26'!$F113="","-",VLOOKUP('Ago-26'!$F113,Lista_CUIT!$A$1:$D$2241,2,0)),"CUIT NO CARGADO")</f>
        <v>-</v>
      </c>
      <c r="H113" s="49"/>
      <c r="I113" s="74"/>
      <c r="J113" s="74">
        <f>'Ago-26'!$H113*'Ago-26'!$I113</f>
        <v>0</v>
      </c>
      <c r="K113" s="52"/>
    </row>
    <row r="114" spans="2:12" ht="15.75" customHeight="1" x14ac:dyDescent="0.25">
      <c r="B114" s="12"/>
      <c r="C114" s="13"/>
      <c r="D114" s="14"/>
      <c r="E114" s="15"/>
      <c r="F114" s="16"/>
      <c r="G114" s="73" t="str">
        <f>IFERROR(IF('Ago-26'!$F114="","-",VLOOKUP('Ago-26'!$F114,Lista_CUIT!$A$1:$D$2241,2,0)),"CUIT NO CARGADO")</f>
        <v>-</v>
      </c>
      <c r="H114" s="49"/>
      <c r="I114" s="74"/>
      <c r="J114" s="74">
        <f>'Ago-26'!$H114*'Ago-26'!$I114</f>
        <v>0</v>
      </c>
      <c r="K114" s="52"/>
    </row>
    <row r="115" spans="2:12" ht="15.75" customHeight="1" x14ac:dyDescent="0.25">
      <c r="B115" s="12"/>
      <c r="C115" s="13"/>
      <c r="D115" s="14"/>
      <c r="E115" s="15"/>
      <c r="F115" s="16"/>
      <c r="G115" s="73" t="str">
        <f>IFERROR(IF('Ago-26'!$F115="","-",VLOOKUP('Ago-26'!$F115,Lista_CUIT!$A$1:$D$2241,2,0)),"CUIT NO CARGADO")</f>
        <v>-</v>
      </c>
      <c r="H115" s="49"/>
      <c r="I115" s="74"/>
      <c r="J115" s="74">
        <f>'Ago-26'!$H115*'Ago-26'!$I115</f>
        <v>0</v>
      </c>
      <c r="K115" s="52"/>
    </row>
    <row r="116" spans="2:12" ht="15.75" customHeight="1" x14ac:dyDescent="0.25">
      <c r="B116" s="12"/>
      <c r="C116" s="13"/>
      <c r="D116" s="14"/>
      <c r="E116" s="15"/>
      <c r="F116" s="16"/>
      <c r="G116" s="73" t="str">
        <f>IFERROR(IF('Ago-26'!$F116="","-",VLOOKUP('Ago-26'!$F116,Lista_CUIT!$A$1:$D$2241,2,0)),"CUIT NO CARGADO")</f>
        <v>-</v>
      </c>
      <c r="H116" s="49"/>
      <c r="I116" s="74"/>
      <c r="J116" s="74">
        <f>'Ago-26'!$H116*'Ago-26'!$I116</f>
        <v>0</v>
      </c>
      <c r="K116" s="52"/>
    </row>
    <row r="117" spans="2:12" ht="15.75" customHeight="1" x14ac:dyDescent="0.25">
      <c r="B117" s="68" t="s">
        <v>1336</v>
      </c>
      <c r="C117" s="69"/>
      <c r="D117" s="69"/>
      <c r="E117" s="69"/>
      <c r="F117" s="69"/>
      <c r="G117" s="69"/>
      <c r="H117" s="75">
        <f>SUBTOTAL(109,'Ago-26'!$H$107:$H$116)</f>
        <v>0</v>
      </c>
      <c r="I117" s="76"/>
      <c r="J117" s="76">
        <f>SUBTOTAL(109,'Ago-26'!$J$107:$J$116)</f>
        <v>0</v>
      </c>
      <c r="K117" s="72">
        <f>SUBTOTAL(103,'Ago-26'!$K$107:$K$116)</f>
        <v>0</v>
      </c>
    </row>
    <row r="118" spans="2:12" ht="15.75" customHeight="1" x14ac:dyDescent="0.25">
      <c r="B118" s="86"/>
      <c r="C118" s="86"/>
      <c r="D118" s="86"/>
      <c r="E118" s="86"/>
      <c r="F118" s="86"/>
      <c r="G118" s="86"/>
      <c r="H118" s="87"/>
      <c r="I118" s="19"/>
      <c r="J118" s="19"/>
      <c r="K118" s="32"/>
    </row>
    <row r="119" spans="2:12" ht="15.75" customHeight="1" x14ac:dyDescent="0.25">
      <c r="B119" s="86"/>
      <c r="C119" s="86"/>
      <c r="D119" s="86"/>
      <c r="E119" s="86"/>
      <c r="F119" s="86"/>
      <c r="G119" s="86"/>
      <c r="H119" s="87"/>
      <c r="I119" s="19"/>
      <c r="J119" s="19"/>
      <c r="K119" s="32"/>
    </row>
    <row r="120" spans="2:12" ht="15.75" customHeight="1" x14ac:dyDescent="0.25">
      <c r="B120" s="86"/>
      <c r="C120" s="86"/>
      <c r="D120" s="86"/>
      <c r="E120" s="86"/>
      <c r="F120" s="86"/>
      <c r="G120" s="86"/>
      <c r="H120" s="87"/>
      <c r="I120" s="19"/>
      <c r="J120" s="19"/>
      <c r="K120" s="32"/>
    </row>
    <row r="121" spans="2:12" ht="15.75" customHeight="1" x14ac:dyDescent="0.25">
      <c r="C121" s="459" t="s">
        <v>1363</v>
      </c>
      <c r="D121" s="460"/>
      <c r="E121" s="460"/>
      <c r="F121" s="460"/>
      <c r="G121" s="461"/>
      <c r="H121" s="88"/>
      <c r="I121" s="88"/>
      <c r="J121" s="88"/>
    </row>
    <row r="122" spans="2:12" ht="15.75" customHeight="1" x14ac:dyDescent="0.25">
      <c r="C122" s="89" t="s">
        <v>1364</v>
      </c>
      <c r="D122" s="90" t="s">
        <v>1365</v>
      </c>
      <c r="E122" s="90" t="s">
        <v>1361</v>
      </c>
      <c r="F122" s="90" t="s">
        <v>0</v>
      </c>
      <c r="G122" s="90" t="s">
        <v>1</v>
      </c>
      <c r="H122" s="91" t="s">
        <v>1366</v>
      </c>
      <c r="I122" s="91" t="s">
        <v>1367</v>
      </c>
      <c r="J122" s="91" t="s">
        <v>1368</v>
      </c>
      <c r="K122" s="91" t="s">
        <v>1369</v>
      </c>
      <c r="L122" s="91" t="s">
        <v>1370</v>
      </c>
    </row>
    <row r="123" spans="2:12" ht="15.75" customHeight="1" x14ac:dyDescent="0.25">
      <c r="C123" s="92"/>
      <c r="D123" s="93"/>
      <c r="E123" s="93"/>
      <c r="F123" s="39"/>
      <c r="G123" s="40" t="str">
        <f>IFERROR(IF('Ago-26'!$F123="","-",VLOOKUP('Ago-26'!$F123,Lista_CUIT!$A$1:$D$2241,2,0)),"CUIT NO CARGADO")</f>
        <v>-</v>
      </c>
      <c r="H123" s="94"/>
      <c r="I123" s="94"/>
      <c r="J123" s="94"/>
      <c r="K123" s="94"/>
      <c r="L123" s="94"/>
    </row>
    <row r="124" spans="2:12" ht="15.75" customHeight="1" x14ac:dyDescent="0.25">
      <c r="C124" s="92"/>
      <c r="D124" s="93"/>
      <c r="E124" s="93"/>
      <c r="F124" s="39"/>
      <c r="G124" s="40" t="str">
        <f>IFERROR(IF('Ago-26'!$F124="","-",VLOOKUP('Ago-26'!$F124,Lista_CUIT!$A$1:$D$2241,2,0)),"CUIT NO CARGADO")</f>
        <v>-</v>
      </c>
      <c r="H124" s="94"/>
      <c r="I124" s="94"/>
      <c r="J124" s="94"/>
      <c r="K124" s="94"/>
      <c r="L124" s="94"/>
    </row>
    <row r="125" spans="2:12" ht="15.75" customHeight="1" x14ac:dyDescent="0.25">
      <c r="C125" s="92"/>
      <c r="D125" s="93"/>
      <c r="E125" s="93"/>
      <c r="F125" s="39"/>
      <c r="G125" s="40" t="str">
        <f>IFERROR(IF('Ago-26'!$F125="","-",VLOOKUP('Ago-26'!$F125,Lista_CUIT!$A$1:$D$2241,2,0)),"CUIT NO CARGADO")</f>
        <v>-</v>
      </c>
      <c r="H125" s="94"/>
      <c r="I125" s="94"/>
      <c r="J125" s="94"/>
      <c r="K125" s="94"/>
      <c r="L125" s="94"/>
    </row>
    <row r="126" spans="2:12" ht="15.75" customHeight="1" x14ac:dyDescent="0.25">
      <c r="C126" s="92"/>
      <c r="D126" s="93"/>
      <c r="E126" s="93"/>
      <c r="F126" s="39"/>
      <c r="G126" s="40" t="str">
        <f>IFERROR(IF('Ago-26'!$F126="","-",VLOOKUP('Ago-26'!$F126,Lista_CUIT!$A$1:$D$2241,2,0)),"CUIT NO CARGADO")</f>
        <v>-</v>
      </c>
      <c r="H126" s="94"/>
      <c r="I126" s="94"/>
      <c r="J126" s="94"/>
      <c r="K126" s="94"/>
      <c r="L126" s="94"/>
    </row>
    <row r="127" spans="2:12" ht="15.75" customHeight="1" x14ac:dyDescent="0.25">
      <c r="C127" s="3"/>
      <c r="D127" s="93"/>
      <c r="E127" s="93"/>
      <c r="F127" s="3"/>
      <c r="G127" s="40" t="str">
        <f>IFERROR(IF('Ago-26'!$F127="","-",VLOOKUP('Ago-26'!$F127,Lista_CUIT!$A$1:$D$2241,2,0)),"CUIT NO CARGADO")</f>
        <v>-</v>
      </c>
      <c r="H127" s="3"/>
      <c r="I127" s="3"/>
      <c r="J127" s="3"/>
      <c r="K127" s="3"/>
      <c r="L127" s="3"/>
    </row>
    <row r="128" spans="2:12" ht="15.75" customHeight="1" x14ac:dyDescent="0.25">
      <c r="C128" s="109"/>
    </row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21">
    <mergeCell ref="P4:R4"/>
    <mergeCell ref="D41:L41"/>
    <mergeCell ref="B105:C105"/>
    <mergeCell ref="C121:G121"/>
    <mergeCell ref="B3:E3"/>
    <mergeCell ref="B4:E4"/>
    <mergeCell ref="G4:H4"/>
    <mergeCell ref="D52:K52"/>
    <mergeCell ref="B78:J78"/>
    <mergeCell ref="K78:M78"/>
    <mergeCell ref="B80:C80"/>
    <mergeCell ref="B94:C94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H96:L101 I107:J116" xr:uid="{00000000-0002-0000-0500-000000000000}">
      <formula1>IF($C96=8,H96&lt;0,H96&gt;=0)</formula1>
    </dataValidation>
    <dataValidation type="decimal" allowBlank="1" showErrorMessage="1" sqref="E54:E71 D82:D90 D96:D101 D107:D116 D9:D35" xr:uid="{00000000-0002-0000-0500-000001000000}">
      <formula1>1</formula1>
      <formula2>9999</formula2>
    </dataValidation>
    <dataValidation type="decimal" allowBlank="1" showErrorMessage="1" sqref="C107:C116" xr:uid="{00000000-0002-0000-0500-000002000000}">
      <formula1>80</formula1>
      <formula2>80</formula2>
    </dataValidation>
    <dataValidation type="date" allowBlank="1" showErrorMessage="1" sqref="B37:B40 D43:D47 D54:D71 B82:B90 B96:B101 B107:B116 B9:B35" xr:uid="{00000000-0002-0000-0500-000003000000}">
      <formula1>40179</formula1>
      <formula2>TODAY()</formula2>
    </dataValidation>
    <dataValidation type="decimal" allowBlank="1" showErrorMessage="1" sqref="G54:G71 F82:F90 F96:F101 F107:F116 F9:F35" xr:uid="{00000000-0002-0000-0500-000004000000}">
      <formula1>20000000000</formula1>
      <formula2>33999999999</formula2>
    </dataValidation>
    <dataValidation type="custom" allowBlank="1" showErrorMessage="1" sqref="L87:L88" xr:uid="{00000000-0002-0000-0500-000005000000}">
      <formula1>IF($C36=3,L36&lt;0,L36&gt;=0)</formula1>
    </dataValidation>
    <dataValidation type="decimal" allowBlank="1" showErrorMessage="1" sqref="C96:C101" xr:uid="{00000000-0002-0000-0500-000006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35:N35 H9:O34" xr:uid="{00000000-0002-0000-0500-000007000000}">
      <formula1>IF($C9=3,H9&lt;0,H9&gt;=0)</formula1>
    </dataValidation>
    <dataValidation type="decimal" allowBlank="1" showErrorMessage="1" sqref="F54:F71 E82:E90 E96:E101 E107:E116 E9:E35" xr:uid="{00000000-0002-0000-0500-000008000000}">
      <formula1>1</formula1>
      <formula2>99999999</formula2>
    </dataValidation>
    <dataValidation type="custom" allowBlank="1" showErrorMessage="1" sqref="L82:L83" xr:uid="{00000000-0002-0000-0500-000009000000}">
      <formula1>IF($C9=3,L9&lt;0,L9&gt;=0)</formula1>
    </dataValidation>
    <dataValidation type="decimal" allowBlank="1" showErrorMessage="1" sqref="C37:C40 C82:C90" xr:uid="{00000000-0002-0000-0500-00000A000000}">
      <formula1>1</formula1>
      <formula2>3</formula2>
    </dataValidation>
    <dataValidation type="custom" allowBlank="1" showErrorMessage="1" sqref="H82:K82 H83:J83 H84:K84 H85:J85 H86:K86 I88:K88 H107:H115 I89:J90 H88:H90 H87:J87" xr:uid="{00000000-0002-0000-0500-00000B000000}">
      <formula1>IF($C82=3,H82&lt;0,H82&gt;=0)</formula1>
    </dataValidation>
    <dataValidation type="custom" allowBlank="1" showErrorMessage="1" sqref="L84:L86" xr:uid="{00000000-0002-0000-0500-00000C000000}">
      <formula1>IF($C32=3,L32&lt;0,L32&gt;=0)</formula1>
    </dataValidation>
    <dataValidation type="decimal" allowBlank="1" showErrorMessage="1" sqref="C9:C35" xr:uid="{00000000-0002-0000-0500-00000D000000}">
      <formula1>1</formula1>
      <formula2>81</formula2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DE9D9"/>
  </sheetPr>
  <dimension ref="A1:Z1015"/>
  <sheetViews>
    <sheetView showGridLines="0" topLeftCell="A13" zoomScale="80" zoomScaleNormal="80" workbookViewId="0">
      <selection activeCell="G56" sqref="G56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447" t="s">
        <v>1315</v>
      </c>
      <c r="C1" s="448"/>
      <c r="D1" s="448"/>
      <c r="E1" s="448"/>
      <c r="F1" s="449"/>
      <c r="G1" s="469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EDATE('Abr-26'!N1,5)</f>
        <v>45901</v>
      </c>
      <c r="O1" s="448"/>
      <c r="P1" s="448"/>
      <c r="Q1" s="448"/>
      <c r="R1" s="449"/>
    </row>
    <row r="3" spans="1:26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26" ht="24.75" customHeight="1" x14ac:dyDescent="0.35">
      <c r="B4" s="462">
        <f>SUM('Sept-26'!$H$54)+'Sept-26'!$G$65</f>
        <v>4311230.8880952392</v>
      </c>
      <c r="C4" s="448"/>
      <c r="D4" s="448"/>
      <c r="E4" s="449"/>
      <c r="F4" s="8"/>
      <c r="G4" s="463">
        <f>'Sept-26'!$I$54+'Sept-26'!$J$54+'Sept-26'!$K$54+'Sept-26'!$H$65+'Sept-26'!$I$65</f>
        <v>786124.90809999965</v>
      </c>
      <c r="H4" s="449"/>
      <c r="I4" s="8"/>
      <c r="J4" s="466">
        <f>'Sept-26'!$H$105+'Sept-26'!$H$115</f>
        <v>29110799.999999993</v>
      </c>
      <c r="K4" s="449"/>
      <c r="L4" s="8"/>
      <c r="M4" s="466">
        <f>'Sept-26'!$I$105+'Sept-26'!$J$105+'Sept-26'!$I$115+'Sept-26'!$J$115</f>
        <v>3498085.4999999963</v>
      </c>
      <c r="N4" s="449"/>
      <c r="O4" s="8"/>
      <c r="P4" s="455">
        <f>G4-M4</f>
        <v>-2711960.5918999966</v>
      </c>
      <c r="Q4" s="448"/>
      <c r="R4" s="449"/>
    </row>
    <row r="5" spans="1:26" ht="12.75" customHeight="1" x14ac:dyDescent="0.25"/>
    <row r="7" spans="1:26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26" x14ac:dyDescent="0.25">
      <c r="B9" s="12">
        <v>45901</v>
      </c>
      <c r="C9" s="13">
        <v>1</v>
      </c>
      <c r="D9" s="14">
        <v>3</v>
      </c>
      <c r="E9" s="15">
        <v>278524</v>
      </c>
      <c r="F9" s="16">
        <v>30707135596</v>
      </c>
      <c r="G9" s="17" t="str">
        <f>IFERROR(IF('Sept-26'!$F9="","-",VLOOKUP('Sept-26'!$F9,Lista_CUIT!$A$1:$D$2241,2,0)),"CUIT NO CARGADO")</f>
        <v>CITILAN ARGENTINA S.A.</v>
      </c>
      <c r="H9" s="18">
        <v>32626</v>
      </c>
      <c r="I9" s="23">
        <f>IF('Sept-26'!$H9="","",'Sept-26'!$H9*0.21)</f>
        <v>6851.46</v>
      </c>
      <c r="J9" s="23"/>
      <c r="K9" s="23"/>
      <c r="L9" s="23"/>
      <c r="M9" s="23"/>
      <c r="N9" s="23"/>
      <c r="O9" s="23"/>
      <c r="P9" s="20">
        <f>SUM('Sept-26'!$H9:$O9)</f>
        <v>39477.46</v>
      </c>
      <c r="Q9" s="21" t="str">
        <f>IFERROR(IF('Sept-26'!$F9="","-",VLOOKUP('Sept-26'!$F9,Lista_CUIT!$A$1:$D$2241,3,0)),"CUIT NO CARGADO")</f>
        <v>Telefonia</v>
      </c>
      <c r="R9" s="21">
        <f>IFERROR(IF('Sept-26'!$F9="","-",VLOOKUP('Sept-26'!$F9,Lista_CUIT!$A$1:$D$2241,4,0)),"CUIT NO CARGADO")</f>
        <v>0</v>
      </c>
    </row>
    <row r="10" spans="1:26" x14ac:dyDescent="0.25">
      <c r="B10" s="12">
        <v>45901</v>
      </c>
      <c r="C10" s="13">
        <v>1</v>
      </c>
      <c r="D10" s="14">
        <v>106</v>
      </c>
      <c r="E10" s="15">
        <v>872838</v>
      </c>
      <c r="F10" s="16">
        <v>30594494187</v>
      </c>
      <c r="G10" s="17" t="str">
        <f>IFERROR(IF('Sept-26'!$F10="","-",VLOOKUP('Sept-26'!$F10,Lista_CUIT!$A$1:$D$2241,2,0)),"CUIT NO CARGADO")</f>
        <v>FEDERAL EXPRESS CORPORATION</v>
      </c>
      <c r="H10" s="18">
        <v>0</v>
      </c>
      <c r="I10" s="23">
        <f>IF('Sept-26'!$H10="","",'Sept-26'!$H10*0.21)</f>
        <v>0</v>
      </c>
      <c r="J10" s="23"/>
      <c r="K10" s="23"/>
      <c r="L10" s="23"/>
      <c r="M10" s="23"/>
      <c r="N10" s="23"/>
      <c r="O10" s="23">
        <v>860181.3</v>
      </c>
      <c r="P10" s="20">
        <f>SUM('Sept-26'!$H10:$O10)</f>
        <v>860181.3</v>
      </c>
      <c r="Q10" s="21" t="str">
        <f>IFERROR(IF('Sept-26'!$F10="","-",VLOOKUP('Sept-26'!$F10,Lista_CUIT!$A$1:$D$2241,3,0)),"CUIT NO CARGADO")</f>
        <v>Mercaderia</v>
      </c>
      <c r="R10" s="21">
        <f>IFERROR(IF('Sept-26'!$F10="","-",VLOOKUP('Sept-26'!$F10,Lista_CUIT!$A$1:$D$2241,4,0)),"CUIT NO CARGADO")</f>
        <v>0</v>
      </c>
    </row>
    <row r="11" spans="1:26" x14ac:dyDescent="0.25">
      <c r="B11" s="12">
        <v>45901</v>
      </c>
      <c r="C11" s="13">
        <v>1</v>
      </c>
      <c r="D11" s="14">
        <v>5</v>
      </c>
      <c r="E11" s="15">
        <v>6653</v>
      </c>
      <c r="F11" s="16">
        <v>20231333593</v>
      </c>
      <c r="G11" s="17" t="str">
        <f>IFERROR(IF('Sept-26'!$F11="","-",VLOOKUP('Sept-26'!$F11,Lista_CUIT!$A$1:$D$2241,2,0)),"CUIT NO CARGADO")</f>
        <v>BOLLINI CLAUDIO DANIEL</v>
      </c>
      <c r="H11" s="18">
        <v>80000</v>
      </c>
      <c r="I11" s="23">
        <f>IF('Sept-26'!$H11="","",'Sept-26'!$H11*0.21)</f>
        <v>16800</v>
      </c>
      <c r="J11" s="23"/>
      <c r="K11" s="23"/>
      <c r="L11" s="23"/>
      <c r="M11" s="23"/>
      <c r="N11" s="23"/>
      <c r="O11" s="23"/>
      <c r="P11" s="20">
        <f>SUM('Sept-26'!$H11:$O11)</f>
        <v>96800</v>
      </c>
      <c r="Q11" s="21" t="str">
        <f>IFERROR(IF('Sept-26'!$F11="","-",VLOOKUP('Sept-26'!$F11,Lista_CUIT!$A$1:$D$2241,3,0)),"CUIT NO CARGADO")</f>
        <v>Mantenimiento</v>
      </c>
      <c r="R11" s="21">
        <f>IFERROR(IF('Sept-26'!$F11="","-",VLOOKUP('Sept-26'!$F11,Lista_CUIT!$A$1:$D$2241,4,0)),"CUIT NO CARGADO")</f>
        <v>0</v>
      </c>
    </row>
    <row r="12" spans="1:26" x14ac:dyDescent="0.25">
      <c r="B12" s="336">
        <v>45901</v>
      </c>
      <c r="C12" s="13">
        <v>1</v>
      </c>
      <c r="D12" s="337">
        <v>3</v>
      </c>
      <c r="E12" s="338">
        <v>887</v>
      </c>
      <c r="F12" s="339">
        <v>30715402765</v>
      </c>
      <c r="G12" s="328" t="str">
        <f>IFERROR(IF('Sept-26'!$F12="","-",VLOOKUP('Sept-26'!$F12,Lista_CUIT!$A$1:$D$2241,2,0)),"CUIT NO CARGADO")</f>
        <v>RIO 265 S.R.L.</v>
      </c>
      <c r="H12" s="358">
        <v>99173.57</v>
      </c>
      <c r="I12" s="359">
        <f>IF('Sept-26'!$H12="","",'Sept-26'!$H12*0.21)</f>
        <v>20826.449700000001</v>
      </c>
      <c r="J12" s="359"/>
      <c r="K12" s="359"/>
      <c r="L12" s="359"/>
      <c r="M12" s="359"/>
      <c r="N12" s="359"/>
      <c r="O12" s="359"/>
      <c r="P12" s="360">
        <f>SUM('Sept-26'!$H12:$O12)</f>
        <v>120000.0197</v>
      </c>
      <c r="Q12" s="340" t="str">
        <f>IFERROR(IF('Sept-26'!$F12="","-",VLOOKUP('Sept-26'!$F12,Lista_CUIT!$A$1:$D$2241,3,0)),"CUIT NO CARGADO")</f>
        <v>GASTOS VARIOS</v>
      </c>
      <c r="R12" s="340">
        <f>IFERROR(IF('Sept-26'!$F12="","-",VLOOKUP('Sept-26'!$F12,Lista_CUIT!$A$1:$D$2241,4,0)),"CUIT NO CARGADO")</f>
        <v>0</v>
      </c>
    </row>
    <row r="13" spans="1:26" x14ac:dyDescent="0.25">
      <c r="B13" s="12">
        <v>45902</v>
      </c>
      <c r="C13" s="13">
        <v>1</v>
      </c>
      <c r="D13" s="14">
        <v>5</v>
      </c>
      <c r="E13" s="15">
        <v>69795</v>
      </c>
      <c r="F13" s="16">
        <v>20316749942</v>
      </c>
      <c r="G13" s="17" t="str">
        <f>IFERROR(IF('Sept-26'!$F13="","-",VLOOKUP('Sept-26'!$F13,Lista_CUIT!$A$1:$D$2241,2,0)),"CUIT NO CARGADO")</f>
        <v>PASTORIZA ALEJANDRO JAVIER</v>
      </c>
      <c r="H13" s="18">
        <v>357747.26</v>
      </c>
      <c r="I13" s="23"/>
      <c r="J13" s="23"/>
      <c r="K13" s="23">
        <v>37563.46</v>
      </c>
      <c r="L13" s="23"/>
      <c r="M13" s="23"/>
      <c r="N13" s="23"/>
      <c r="O13" s="23"/>
      <c r="P13" s="20">
        <f>SUM('Sept-26'!$H13:$O13)</f>
        <v>395310.72000000003</v>
      </c>
      <c r="Q13" s="21">
        <f>IFERROR(IF('Sept-26'!$F13="","-",VLOOKUP('Sept-26'!$F13,Lista_CUIT!$A$1:$D$2241,3,0)),"CUIT NO CARGADO")</f>
        <v>0</v>
      </c>
      <c r="R13" s="21">
        <f>IFERROR(IF('Sept-26'!$F13="","-",VLOOKUP('Sept-26'!$F13,Lista_CUIT!$A$1:$D$2241,4,0)),"CUIT NO CARGADO")</f>
        <v>0</v>
      </c>
    </row>
    <row r="14" spans="1:26" x14ac:dyDescent="0.25">
      <c r="B14" s="12">
        <v>45903</v>
      </c>
      <c r="C14" s="13">
        <v>1</v>
      </c>
      <c r="D14" s="14">
        <v>18</v>
      </c>
      <c r="E14" s="15">
        <v>29918</v>
      </c>
      <c r="F14" s="16">
        <v>30582605021</v>
      </c>
      <c r="G14" s="17" t="str">
        <f>IFERROR(IF('Sept-26'!$F14="","-",VLOOKUP('Sept-26'!$F14,Lista_CUIT!$A$1:$D$2241,2,0)),"CUIT NO CARGADO")</f>
        <v>ELECTROCOMPONENTES SA</v>
      </c>
      <c r="H14" s="18">
        <v>37013.57</v>
      </c>
      <c r="I14" s="23"/>
      <c r="J14" s="23"/>
      <c r="K14" s="23">
        <v>3886.43</v>
      </c>
      <c r="L14" s="23"/>
      <c r="M14" s="23"/>
      <c r="N14" s="23"/>
      <c r="O14" s="23"/>
      <c r="P14" s="20">
        <f>SUM('Sept-26'!$H14:$O14)</f>
        <v>40900</v>
      </c>
      <c r="Q14" s="21">
        <f>IFERROR(IF('Sept-26'!$F14="","-",VLOOKUP('Sept-26'!$F14,Lista_CUIT!$A$1:$D$2241,3,0)),"CUIT NO CARGADO")</f>
        <v>0</v>
      </c>
      <c r="R14" s="21">
        <f>IFERROR(IF('Sept-26'!$F14="","-",VLOOKUP('Sept-26'!$F14,Lista_CUIT!$A$1:$D$2241,4,0)),"CUIT NO CARGADO")</f>
        <v>0</v>
      </c>
    </row>
    <row r="15" spans="1:26" ht="18" customHeight="1" x14ac:dyDescent="0.25">
      <c r="A15" s="43"/>
      <c r="B15" s="12">
        <v>45903</v>
      </c>
      <c r="C15" s="13">
        <v>1</v>
      </c>
      <c r="D15" s="14">
        <v>3</v>
      </c>
      <c r="E15" s="15">
        <v>13024</v>
      </c>
      <c r="F15" s="16">
        <v>30718251040</v>
      </c>
      <c r="G15" s="17" t="str">
        <f>IFERROR(IF('Sept-26'!$F15="","-",VLOOKUP('Sept-26'!$F15,Lista_CUIT!$A$1:$D$2241,2,0)),"CUIT NO CARGADO")</f>
        <v>AMV-TIENDA ONLINE S.A.</v>
      </c>
      <c r="H15" s="18">
        <v>90908.26</v>
      </c>
      <c r="I15" s="23">
        <f>IF('Sept-26'!$H15="","",'Sept-26'!$H15*0.21)</f>
        <v>19090.7346</v>
      </c>
      <c r="J15" s="23"/>
      <c r="K15" s="23"/>
      <c r="L15" s="23"/>
      <c r="M15" s="23"/>
      <c r="N15" s="23"/>
      <c r="O15" s="23"/>
      <c r="P15" s="20">
        <f>SUM('Sept-26'!$H15:$O15)</f>
        <v>109998.99459999999</v>
      </c>
      <c r="Q15" s="21">
        <f>IFERROR(IF('Sept-26'!$F15="","-",VLOOKUP('Sept-26'!$F15,Lista_CUIT!$A$1:$D$2241,3,0)),"CUIT NO CARGADO")</f>
        <v>0</v>
      </c>
      <c r="R15" s="21">
        <f>IFERROR(IF('Sept-26'!$F15="","-",VLOOKUP('Sept-26'!$F15,Lista_CUIT!$A$1:$D$2241,4,0)),"CUIT NO CARGADO")</f>
        <v>0</v>
      </c>
      <c r="S15" s="43"/>
      <c r="T15" s="43"/>
      <c r="U15" s="43"/>
      <c r="V15" s="43"/>
      <c r="W15" s="43"/>
      <c r="X15" s="43"/>
      <c r="Y15" s="43"/>
      <c r="Z15" s="43"/>
    </row>
    <row r="16" spans="1:26" x14ac:dyDescent="0.25">
      <c r="B16" s="12">
        <v>45903</v>
      </c>
      <c r="C16" s="13">
        <v>1</v>
      </c>
      <c r="D16" s="14">
        <v>1</v>
      </c>
      <c r="E16" s="15">
        <v>4287</v>
      </c>
      <c r="F16" s="16">
        <v>30715311778</v>
      </c>
      <c r="G16" s="17" t="str">
        <f>IFERROR(IF('Sept-26'!$F16="","-",VLOOKUP('Sept-26'!$F16,Lista_CUIT!$A$1:$D$2241,2,0)),"CUIT NO CARGADO")</f>
        <v>COMPAÑIA INTRODUCTORA DE COMPONENTES EQUIPOS Y MAQUINARIAS SRL</v>
      </c>
      <c r="H16" s="18">
        <v>8400</v>
      </c>
      <c r="I16" s="23"/>
      <c r="J16" s="23"/>
      <c r="K16" s="23">
        <v>882</v>
      </c>
      <c r="L16" s="23"/>
      <c r="M16" s="23"/>
      <c r="N16" s="23"/>
      <c r="O16" s="23"/>
      <c r="P16" s="20">
        <f>SUM('Sept-26'!$H16:$O16)</f>
        <v>9282</v>
      </c>
      <c r="Q16" s="21">
        <f>IFERROR(IF('Sept-26'!$F16="","-",VLOOKUP('Sept-26'!$F16,Lista_CUIT!$A$1:$D$2241,3,0)),"CUIT NO CARGADO")</f>
        <v>0</v>
      </c>
      <c r="R16" s="21">
        <f>IFERROR(IF('Sept-26'!$F16="","-",VLOOKUP('Sept-26'!$F16,Lista_CUIT!$A$1:$D$2241,4,0)),"CUIT NO CARGADO")</f>
        <v>0</v>
      </c>
    </row>
    <row r="17" spans="2:18" x14ac:dyDescent="0.25">
      <c r="B17" s="12">
        <v>45904</v>
      </c>
      <c r="C17" s="13">
        <v>1</v>
      </c>
      <c r="D17" s="14">
        <v>7</v>
      </c>
      <c r="E17" s="15">
        <v>20416</v>
      </c>
      <c r="F17" s="16">
        <v>30604413482</v>
      </c>
      <c r="G17" s="17" t="str">
        <f>IFERROR(IF('Sept-26'!$F17="","-",VLOOKUP('Sept-26'!$F17,Lista_CUIT!$A$1:$D$2241,2,0)),"CUIT NO CARGADO")</f>
        <v>BULONERA VIETRI SOCIEDAD DE RESPONSABILIDAD LIMITADA</v>
      </c>
      <c r="H17" s="18">
        <v>337550.38</v>
      </c>
      <c r="I17" s="23">
        <f>IF('Sept-26'!$H17="","",'Sept-26'!$H17*0.21)</f>
        <v>70885.579799999992</v>
      </c>
      <c r="J17" s="23"/>
      <c r="K17" s="23"/>
      <c r="L17" s="23"/>
      <c r="M17" s="23"/>
      <c r="N17" s="23"/>
      <c r="O17" s="23"/>
      <c r="P17" s="20">
        <f>SUM('Sept-26'!$H17:$O17)</f>
        <v>408435.95980000001</v>
      </c>
      <c r="Q17" s="21" t="str">
        <f>IFERROR(IF('Sept-26'!$F17="","-",VLOOKUP('Sept-26'!$F17,Lista_CUIT!$A$1:$D$2241,3,0)),"CUIT NO CARGADO")</f>
        <v>INSUMO</v>
      </c>
      <c r="R17" s="21">
        <f>IFERROR(IF('Sept-26'!$F17="","-",VLOOKUP('Sept-26'!$F17,Lista_CUIT!$A$1:$D$2241,4,0)),"CUIT NO CARGADO")</f>
        <v>0</v>
      </c>
    </row>
    <row r="18" spans="2:18" x14ac:dyDescent="0.25">
      <c r="B18" s="12">
        <v>45905</v>
      </c>
      <c r="C18" s="13">
        <v>1</v>
      </c>
      <c r="D18" s="14">
        <v>6</v>
      </c>
      <c r="E18" s="15">
        <v>7376</v>
      </c>
      <c r="F18" s="16">
        <v>30716804360</v>
      </c>
      <c r="G18" s="17" t="str">
        <f>IFERROR(IF('Sept-26'!$F18="","-",VLOOKUP('Sept-26'!$F18,Lista_CUIT!$A$1:$D$2241,2,0)),"CUIT NO CARGADO")</f>
        <v>OFFIPLAST</v>
      </c>
      <c r="H18" s="18">
        <v>1392.6</v>
      </c>
      <c r="I18" s="23">
        <f>IF('Sept-26'!$H18="","",'Sept-26'!$H18*0.21)</f>
        <v>292.44599999999997</v>
      </c>
      <c r="J18" s="23"/>
      <c r="K18" s="23"/>
      <c r="L18" s="23"/>
      <c r="M18" s="23"/>
      <c r="N18" s="23"/>
      <c r="O18" s="23"/>
      <c r="P18" s="20">
        <f>SUM('Sept-26'!$H18:$O18)</f>
        <v>1685.0459999999998</v>
      </c>
      <c r="Q18" s="21">
        <f>IFERROR(IF('Sept-26'!$F18="","-",VLOOKUP('Sept-26'!$F18,Lista_CUIT!$A$1:$D$2241,3,0)),"CUIT NO CARGADO")</f>
        <v>0</v>
      </c>
      <c r="R18" s="21">
        <f>IFERROR(IF('Sept-26'!$F18="","-",VLOOKUP('Sept-26'!$F18,Lista_CUIT!$A$1:$D$2241,4,0)),"CUIT NO CARGADO")</f>
        <v>0</v>
      </c>
    </row>
    <row r="19" spans="2:18" ht="14.25" customHeight="1" x14ac:dyDescent="0.25">
      <c r="B19" s="12">
        <v>45905</v>
      </c>
      <c r="C19" s="13">
        <v>1</v>
      </c>
      <c r="D19" s="14">
        <v>1</v>
      </c>
      <c r="E19" s="15">
        <v>990</v>
      </c>
      <c r="F19" s="16">
        <v>30715048066</v>
      </c>
      <c r="G19" s="17" t="str">
        <f>IFERROR(IF('Sept-26'!$F19="","-",VLOOKUP('Sept-26'!$F19,Lista_CUIT!$A$1:$D$2241,2,0)),"CUIT NO CARGADO")</f>
        <v>ROLLS Y EMPANADAS SA</v>
      </c>
      <c r="H19" s="18">
        <v>844070</v>
      </c>
      <c r="I19" s="23">
        <f>IF('Sept-26'!$H19="","",'Sept-26'!$H19*0.21)</f>
        <v>177254.69999999998</v>
      </c>
      <c r="J19" s="23"/>
      <c r="K19" s="23"/>
      <c r="L19" s="23"/>
      <c r="M19" s="23"/>
      <c r="N19" s="23"/>
      <c r="O19" s="23"/>
      <c r="P19" s="20">
        <f>SUM('Sept-26'!$H19:$O19)</f>
        <v>1021324.7</v>
      </c>
      <c r="Q19" s="21" t="str">
        <f>IFERROR(IF('Sept-26'!$F19="","-",VLOOKUP('Sept-26'!$F19,Lista_CUIT!$A$1:$D$2241,3,0)),"CUIT NO CARGADO")</f>
        <v>CATERING</v>
      </c>
      <c r="R19" s="21">
        <f>IFERROR(IF('Sept-26'!$F19="","-",VLOOKUP('Sept-26'!$F19,Lista_CUIT!$A$1:$D$2241,4,0)),"CUIT NO CARGADO")</f>
        <v>0</v>
      </c>
    </row>
    <row r="20" spans="2:18" ht="14.25" customHeight="1" x14ac:dyDescent="0.25">
      <c r="B20" s="12">
        <v>45906</v>
      </c>
      <c r="C20" s="13">
        <v>1</v>
      </c>
      <c r="D20" s="14">
        <v>6996</v>
      </c>
      <c r="E20" s="15">
        <v>35470</v>
      </c>
      <c r="F20" s="16">
        <v>30678774495</v>
      </c>
      <c r="G20" s="17" t="str">
        <f>IFERROR(IF('Sept-26'!$F20="","-",VLOOKUP('Sept-26'!$F20,Lista_CUIT!$A$1:$D$2241,2,0)),"CUIT NO CARGADO")</f>
        <v>OPER. DE EST. DE SERV. SA</v>
      </c>
      <c r="H20" s="18">
        <v>33435.53</v>
      </c>
      <c r="I20" s="23">
        <f>IF('Sept-26'!$H20="","",'Sept-26'!$H20*0.21)</f>
        <v>7021.4612999999999</v>
      </c>
      <c r="J20" s="23"/>
      <c r="K20" s="23"/>
      <c r="L20" s="23"/>
      <c r="M20" s="23"/>
      <c r="N20" s="23"/>
      <c r="O20" s="23"/>
      <c r="P20" s="20">
        <f>SUM('Sept-26'!$H20:$O20)</f>
        <v>49009.961300000003</v>
      </c>
      <c r="Q20" s="21" t="str">
        <f>IFERROR(IF('Sept-26'!$F20="","-",VLOOKUP('Sept-26'!$F20,Lista_CUIT!$A$1:$D$2241,3,0)),"CUIT NO CARGADO")</f>
        <v>COMBUSTIBLE</v>
      </c>
      <c r="R20" s="21">
        <f>IFERROR(IF('Sept-26'!$F20="","-",VLOOKUP('Sept-26'!$F20,Lista_CUIT!$A$1:$D$2241,4,0)),"CUIT NO CARGADO")</f>
        <v>0</v>
      </c>
    </row>
    <row r="21" spans="2:18" ht="14.25" customHeight="1" x14ac:dyDescent="0.25">
      <c r="B21" s="12">
        <v>45906</v>
      </c>
      <c r="C21" s="13">
        <v>1</v>
      </c>
      <c r="D21" s="14">
        <v>63</v>
      </c>
      <c r="E21" s="15">
        <v>3459071</v>
      </c>
      <c r="F21" s="16">
        <v>30640897267</v>
      </c>
      <c r="G21" s="17" t="str">
        <f>IFERROR(IF('Sept-26'!$F21="","-",VLOOKUP('Sept-26'!$F21,Lista_CUIT!$A$1:$D$2241,2,0)),"CUIT NO CARGADO")</f>
        <v>TELECENTRO SA</v>
      </c>
      <c r="H21" s="18">
        <v>17392.52</v>
      </c>
      <c r="I21" s="23">
        <f>IF('Sept-26'!$H21="","",'Sept-26'!$H21*0.21)</f>
        <v>3652.4292</v>
      </c>
      <c r="J21" s="23"/>
      <c r="K21" s="23"/>
      <c r="L21" s="23"/>
      <c r="M21" s="23"/>
      <c r="N21" s="23"/>
      <c r="O21" s="23"/>
      <c r="P21" s="20">
        <f>SUM('Sept-26'!$H21:$O21)</f>
        <v>21566.729199999998</v>
      </c>
      <c r="Q21" s="21" t="str">
        <f>IFERROR(IF('Sept-26'!$F21="","-",VLOOKUP('Sept-26'!$F21,Lista_CUIT!$A$1:$D$2241,3,0)),"CUIT NO CARGADO")</f>
        <v>SERVICIOS</v>
      </c>
      <c r="R21" s="21">
        <f>IFERROR(IF('Sept-26'!$F21="","-",VLOOKUP('Sept-26'!$F21,Lista_CUIT!$A$1:$D$2241,4,0)),"CUIT NO CARGADO")</f>
        <v>0</v>
      </c>
    </row>
    <row r="22" spans="2:18" ht="14.25" customHeight="1" x14ac:dyDescent="0.25">
      <c r="B22" s="12">
        <v>45908</v>
      </c>
      <c r="C22" s="13">
        <v>1</v>
      </c>
      <c r="D22" s="14">
        <v>5</v>
      </c>
      <c r="E22" s="15">
        <v>35238</v>
      </c>
      <c r="F22" s="16">
        <v>30708261110</v>
      </c>
      <c r="G22" s="17" t="str">
        <f>IFERROR(IF('Sept-26'!$F22="","-",VLOOKUP('Sept-26'!$F22,Lista_CUIT!$A$1:$D$2241,2,0)),"CUIT NO CARGADO")</f>
        <v>MULTIPLES S R L</v>
      </c>
      <c r="H22" s="18">
        <v>92700</v>
      </c>
      <c r="I22" s="23">
        <f>IF('Sept-26'!$H22="","",'Sept-26'!$H22*0.21)</f>
        <v>19467</v>
      </c>
      <c r="J22" s="23"/>
      <c r="K22" s="23"/>
      <c r="L22" s="23"/>
      <c r="M22" s="23"/>
      <c r="N22" s="23"/>
      <c r="O22" s="23"/>
      <c r="P22" s="20">
        <f>SUM('Sept-26'!$H22:$O22)</f>
        <v>112167</v>
      </c>
      <c r="Q22" s="21">
        <f>IFERROR(IF('Sept-26'!$F22="","-",VLOOKUP('Sept-26'!$F22,Lista_CUIT!$A$1:$D$2241,3,0)),"CUIT NO CARGADO")</f>
        <v>0</v>
      </c>
      <c r="R22" s="21">
        <f>IFERROR(IF('Sept-26'!$F22="","-",VLOOKUP('Sept-26'!$F22,Lista_CUIT!$A$1:$D$2241,4,0)),"CUIT NO CARGADO")</f>
        <v>0</v>
      </c>
    </row>
    <row r="23" spans="2:18" ht="14.25" customHeight="1" x14ac:dyDescent="0.25">
      <c r="B23" s="12">
        <v>45910</v>
      </c>
      <c r="C23" s="13">
        <v>1</v>
      </c>
      <c r="D23" s="14">
        <v>7</v>
      </c>
      <c r="E23" s="15">
        <v>56635</v>
      </c>
      <c r="F23" s="16">
        <v>20372347296</v>
      </c>
      <c r="G23" s="17" t="str">
        <f>IFERROR(IF('Sept-26'!$F23="","-",VLOOKUP('Sept-26'!$F23,Lista_CUIT!$A$1:$D$2241,2,0)),"CUIT NO CARGADO")</f>
        <v>GHERTNER SEBASTIAN</v>
      </c>
      <c r="H23" s="18">
        <v>303320.36</v>
      </c>
      <c r="I23" s="23"/>
      <c r="J23" s="23"/>
      <c r="K23" s="23">
        <v>31848.639999999999</v>
      </c>
      <c r="L23" s="23"/>
      <c r="M23" s="23"/>
      <c r="N23" s="23"/>
      <c r="O23" s="23"/>
      <c r="P23" s="20">
        <f>SUM('Sept-26'!$H23:$O23)</f>
        <v>335169</v>
      </c>
      <c r="Q23" s="21">
        <f>IFERROR(IF('Sept-26'!$F23="","-",VLOOKUP('Sept-26'!$F23,Lista_CUIT!$A$1:$D$2241,3,0)),"CUIT NO CARGADO")</f>
        <v>0</v>
      </c>
      <c r="R23" s="21">
        <f>IFERROR(IF('Sept-26'!$F23="","-",VLOOKUP('Sept-26'!$F23,Lista_CUIT!$A$1:$D$2241,4,0)),"CUIT NO CARGADO")</f>
        <v>0</v>
      </c>
    </row>
    <row r="24" spans="2:18" ht="14.25" customHeight="1" x14ac:dyDescent="0.25">
      <c r="B24" s="12">
        <v>45910</v>
      </c>
      <c r="C24" s="13">
        <v>1</v>
      </c>
      <c r="D24" s="14">
        <v>7</v>
      </c>
      <c r="E24" s="15">
        <v>56636</v>
      </c>
      <c r="F24" s="16">
        <v>20372347296</v>
      </c>
      <c r="G24" s="17" t="str">
        <f>IFERROR(IF('Sept-26'!$F24="","-",VLOOKUP('Sept-26'!$F24,Lista_CUIT!$A$1:$D$2241,2,0)),"CUIT NO CARGADO")</f>
        <v>GHERTNER SEBASTIAN</v>
      </c>
      <c r="H24" s="18">
        <v>513513.71</v>
      </c>
      <c r="I24" s="23">
        <v>23164.39</v>
      </c>
      <c r="J24" s="23"/>
      <c r="K24" s="23">
        <v>42336.74</v>
      </c>
      <c r="L24" s="23"/>
      <c r="M24" s="23"/>
      <c r="N24" s="23"/>
      <c r="O24" s="23"/>
      <c r="P24" s="20">
        <f>SUM('Sept-26'!$H24:$O24)</f>
        <v>579014.84</v>
      </c>
      <c r="Q24" s="21">
        <f>IFERROR(IF('Sept-26'!$F24="","-",VLOOKUP('Sept-26'!$F24,Lista_CUIT!$A$1:$D$2241,3,0)),"CUIT NO CARGADO")</f>
        <v>0</v>
      </c>
      <c r="R24" s="21">
        <f>IFERROR(IF('Sept-26'!$F24="","-",VLOOKUP('Sept-26'!$F24,Lista_CUIT!$A$1:$D$2241,4,0)),"CUIT NO CARGADO")</f>
        <v>0</v>
      </c>
    </row>
    <row r="25" spans="2:18" ht="14.25" customHeight="1" x14ac:dyDescent="0.25">
      <c r="B25" s="12">
        <v>45911</v>
      </c>
      <c r="C25" s="13">
        <v>1</v>
      </c>
      <c r="D25" s="14">
        <v>13</v>
      </c>
      <c r="E25" s="15">
        <v>1237</v>
      </c>
      <c r="F25" s="16">
        <v>20346807602</v>
      </c>
      <c r="G25" s="17" t="str">
        <f>IFERROR(IF('Sept-26'!$F25="","-",VLOOKUP('Sept-26'!$F25,Lista_CUIT!$A$1:$D$2241,2,0)),"CUIT NO CARGADO")</f>
        <v>GODOY JORGE LUIS</v>
      </c>
      <c r="H25" s="18">
        <v>4256.2</v>
      </c>
      <c r="I25" s="23">
        <f>IF('Sept-26'!$H25="","",'Sept-26'!$H25*0.21)</f>
        <v>893.80199999999991</v>
      </c>
      <c r="J25" s="23"/>
      <c r="K25" s="23"/>
      <c r="L25" s="23"/>
      <c r="M25" s="23"/>
      <c r="N25" s="23"/>
      <c r="O25" s="23"/>
      <c r="P25" s="20">
        <f>SUM('Sept-26'!$H25:$O25)</f>
        <v>5150.0019999999995</v>
      </c>
      <c r="Q25" s="21">
        <f>IFERROR(IF('Sept-26'!$F25="","-",VLOOKUP('Sept-26'!$F25,Lista_CUIT!$A$1:$D$2241,3,0)),"CUIT NO CARGADO")</f>
        <v>0</v>
      </c>
      <c r="R25" s="21">
        <f>IFERROR(IF('Sept-26'!$F25="","-",VLOOKUP('Sept-26'!$F25,Lista_CUIT!$A$1:$D$2241,4,0)),"CUIT NO CARGADO")</f>
        <v>0</v>
      </c>
    </row>
    <row r="26" spans="2:18" ht="14.25" customHeight="1" x14ac:dyDescent="0.25">
      <c r="B26" s="12">
        <v>45911</v>
      </c>
      <c r="C26" s="13">
        <v>1</v>
      </c>
      <c r="D26" s="14">
        <v>4</v>
      </c>
      <c r="E26" s="15">
        <v>11789</v>
      </c>
      <c r="F26" s="16">
        <v>20234861973</v>
      </c>
      <c r="G26" s="17" t="str">
        <f>IFERROR(IF('Sept-26'!$F26="","-",VLOOKUP('Sept-26'!$F26,Lista_CUIT!$A$1:$D$2241,2,0)),"CUIT NO CARGADO")</f>
        <v>MILEO VICENTE SAMUEL</v>
      </c>
      <c r="H26" s="18">
        <v>4876.03</v>
      </c>
      <c r="I26" s="23">
        <f>IF('Sept-26'!$H26="","",'Sept-26'!$H26*0.21)</f>
        <v>1023.9662999999999</v>
      </c>
      <c r="J26" s="23"/>
      <c r="K26" s="23"/>
      <c r="L26" s="23"/>
      <c r="M26" s="23"/>
      <c r="N26" s="23"/>
      <c r="O26" s="23"/>
      <c r="P26" s="20">
        <f>SUM('Sept-26'!$H26:$O26)</f>
        <v>5899.9962999999998</v>
      </c>
      <c r="Q26" s="21">
        <f>IFERROR(IF('Sept-26'!$F26="","-",VLOOKUP('Sept-26'!$F26,Lista_CUIT!$A$1:$D$2241,3,0)),"CUIT NO CARGADO")</f>
        <v>0</v>
      </c>
      <c r="R26" s="21">
        <f>IFERROR(IF('Sept-26'!$F26="","-",VLOOKUP('Sept-26'!$F26,Lista_CUIT!$A$1:$D$2241,4,0)),"CUIT NO CARGADO")</f>
        <v>0</v>
      </c>
    </row>
    <row r="27" spans="2:18" ht="14.25" customHeight="1" x14ac:dyDescent="0.25">
      <c r="B27" s="12">
        <v>45911</v>
      </c>
      <c r="C27" s="13">
        <v>1</v>
      </c>
      <c r="D27" s="14">
        <v>3</v>
      </c>
      <c r="E27" s="15">
        <v>17804</v>
      </c>
      <c r="F27" s="16">
        <v>20293627127</v>
      </c>
      <c r="G27" s="17" t="str">
        <f>IFERROR(IF('Sept-26'!$F27="","-",VLOOKUP('Sept-26'!$F27,Lista_CUIT!$A$1:$D$2241,2,0)),"CUIT NO CARGADO")</f>
        <v>GONZALEZ FERNANDO ARIEL</v>
      </c>
      <c r="H27" s="18">
        <v>31193.43</v>
      </c>
      <c r="I27" s="23">
        <f>IF('Sept-26'!$H27="","",'Sept-26'!$H27*0.21)</f>
        <v>6550.6202999999996</v>
      </c>
      <c r="J27" s="23"/>
      <c r="K27" s="23"/>
      <c r="L27" s="23"/>
      <c r="M27" s="23"/>
      <c r="N27" s="23"/>
      <c r="O27" s="23"/>
      <c r="P27" s="20">
        <f>SUM('Sept-26'!$H27:$O27)</f>
        <v>37744.050300000003</v>
      </c>
      <c r="Q27" s="21" t="str">
        <f>IFERROR(IF('Sept-26'!$F27="","-",VLOOKUP('Sept-26'!$F27,Lista_CUIT!$A$1:$D$2241,3,0)),"CUIT NO CARGADO")</f>
        <v>GASTOS VARIOS</v>
      </c>
      <c r="R27" s="21">
        <f>IFERROR(IF('Sept-26'!$F27="","-",VLOOKUP('Sept-26'!$F27,Lista_CUIT!$A$1:$D$2241,4,0)),"CUIT NO CARGADO")</f>
        <v>0</v>
      </c>
    </row>
    <row r="28" spans="2:18" ht="14.25" customHeight="1" x14ac:dyDescent="0.25">
      <c r="B28" s="12">
        <v>45911</v>
      </c>
      <c r="C28" s="13">
        <v>1</v>
      </c>
      <c r="D28" s="14">
        <v>2</v>
      </c>
      <c r="E28" s="15">
        <v>15686</v>
      </c>
      <c r="F28" s="16">
        <v>30718473558</v>
      </c>
      <c r="G28" s="17" t="str">
        <f>IFERROR(IF('Sept-26'!$F28="","-",VLOOKUP('Sept-26'!$F28,Lista_CUIT!$A$1:$D$2241,2,0)),"CUIT NO CARGADO")</f>
        <v>BAZOKA S. A. S.</v>
      </c>
      <c r="H28" s="18">
        <v>2734.71</v>
      </c>
      <c r="I28" s="23">
        <f>IF('Sept-26'!$H28="","",'Sept-26'!$H28*0.21)</f>
        <v>574.28909999999996</v>
      </c>
      <c r="J28" s="23"/>
      <c r="K28" s="23"/>
      <c r="L28" s="23"/>
      <c r="M28" s="23"/>
      <c r="N28" s="23"/>
      <c r="O28" s="23"/>
      <c r="P28" s="20">
        <f>SUM('Sept-26'!$H28:$O28)</f>
        <v>3308.9991</v>
      </c>
      <c r="Q28" s="21">
        <f>IFERROR(IF('Sept-26'!$F28="","-",VLOOKUP('Sept-26'!$F28,Lista_CUIT!$A$1:$D$2241,3,0)),"CUIT NO CARGADO")</f>
        <v>0</v>
      </c>
      <c r="R28" s="21">
        <f>IFERROR(IF('Sept-26'!$F28="","-",VLOOKUP('Sept-26'!$F28,Lista_CUIT!$A$1:$D$2241,4,0)),"CUIT NO CARGADO")</f>
        <v>0</v>
      </c>
    </row>
    <row r="29" spans="2:18" ht="14.25" customHeight="1" x14ac:dyDescent="0.25">
      <c r="B29" s="12">
        <v>45911</v>
      </c>
      <c r="C29" s="13">
        <v>1</v>
      </c>
      <c r="D29" s="14">
        <v>13</v>
      </c>
      <c r="E29" s="15">
        <v>1247</v>
      </c>
      <c r="F29" s="16">
        <v>20346807602</v>
      </c>
      <c r="G29" s="17" t="str">
        <f>IFERROR(IF('Sept-26'!$F29="","-",VLOOKUP('Sept-26'!$F29,Lista_CUIT!$A$1:$D$2241,2,0)),"CUIT NO CARGADO")</f>
        <v>GODOY JORGE LUIS</v>
      </c>
      <c r="H29" s="18">
        <v>4256.2</v>
      </c>
      <c r="I29" s="23">
        <f>IF('Sept-26'!$H29="","",'Sept-26'!$H29*0.21)</f>
        <v>893.80199999999991</v>
      </c>
      <c r="J29" s="23"/>
      <c r="K29" s="23"/>
      <c r="L29" s="23"/>
      <c r="M29" s="23"/>
      <c r="N29" s="23"/>
      <c r="O29" s="23"/>
      <c r="P29" s="20">
        <f>SUM('Sept-26'!$H29:$O29)</f>
        <v>5150.0019999999995</v>
      </c>
      <c r="Q29" s="21">
        <f>IFERROR(IF('Sept-26'!$F29="","-",VLOOKUP('Sept-26'!$F29,Lista_CUIT!$A$1:$D$2241,3,0)),"CUIT NO CARGADO")</f>
        <v>0</v>
      </c>
      <c r="R29" s="21">
        <f>IFERROR(IF('Sept-26'!$F29="","-",VLOOKUP('Sept-26'!$F29,Lista_CUIT!$A$1:$D$2241,4,0)),"CUIT NO CARGADO")</f>
        <v>0</v>
      </c>
    </row>
    <row r="30" spans="2:18" ht="14.25" customHeight="1" x14ac:dyDescent="0.25">
      <c r="B30" s="12">
        <v>45911</v>
      </c>
      <c r="C30" s="13">
        <v>1</v>
      </c>
      <c r="D30" s="14">
        <v>2</v>
      </c>
      <c r="E30" s="15">
        <v>15669</v>
      </c>
      <c r="F30" s="16">
        <v>30718473558</v>
      </c>
      <c r="G30" s="17" t="str">
        <f>IFERROR(IF('Sept-26'!$F30="","-",VLOOKUP('Sept-26'!$F30,Lista_CUIT!$A$1:$D$2241,2,0)),"CUIT NO CARGADO")</f>
        <v>BAZOKA S. A. S.</v>
      </c>
      <c r="H30" s="18">
        <v>2734.71</v>
      </c>
      <c r="I30" s="23">
        <f>IF('Sept-26'!$H30="","",'Sept-26'!$H30*0.21)</f>
        <v>574.28909999999996</v>
      </c>
      <c r="J30" s="23"/>
      <c r="K30" s="23"/>
      <c r="L30" s="23"/>
      <c r="M30" s="23"/>
      <c r="N30" s="23"/>
      <c r="O30" s="23"/>
      <c r="P30" s="20">
        <f>SUM('Sept-26'!$H30:$O30)</f>
        <v>3308.9991</v>
      </c>
      <c r="Q30" s="21">
        <f>IFERROR(IF('Sept-26'!$F30="","-",VLOOKUP('Sept-26'!$F30,Lista_CUIT!$A$1:$D$2241,3,0)),"CUIT NO CARGADO")</f>
        <v>0</v>
      </c>
      <c r="R30" s="21">
        <f>IFERROR(IF('Sept-26'!$F30="","-",VLOOKUP('Sept-26'!$F30,Lista_CUIT!$A$1:$D$2241,4,0)),"CUIT NO CARGADO")</f>
        <v>0</v>
      </c>
    </row>
    <row r="31" spans="2:18" ht="14.25" customHeight="1" x14ac:dyDescent="0.25">
      <c r="B31" s="12">
        <v>45911</v>
      </c>
      <c r="C31" s="13">
        <v>1</v>
      </c>
      <c r="D31" s="14">
        <v>3</v>
      </c>
      <c r="E31" s="15" t="s">
        <v>920</v>
      </c>
      <c r="F31" s="16">
        <v>20921575743</v>
      </c>
      <c r="G31" s="17" t="str">
        <f>IFERROR(IF('Sept-26'!$F31="","-",VLOOKUP('Sept-26'!$F31,Lista_CUIT!$A$1:$D$2241,2,0)),"CUIT NO CARGADO")</f>
        <v>RIOS GOMEZ JOSE ANTONIO</v>
      </c>
      <c r="H31" s="18">
        <v>234000</v>
      </c>
      <c r="I31" s="23">
        <f>IF('Sept-26'!$H31="","",'Sept-26'!$H31*0.21)</f>
        <v>49140</v>
      </c>
      <c r="J31" s="23"/>
      <c r="K31" s="23"/>
      <c r="L31" s="23"/>
      <c r="M31" s="23"/>
      <c r="N31" s="23"/>
      <c r="O31" s="23"/>
      <c r="P31" s="20">
        <f>SUM('Sept-26'!$H31:$O31)</f>
        <v>283140</v>
      </c>
      <c r="Q31" s="21" t="str">
        <f>IFERROR(IF('Sept-26'!$F31="","-",VLOOKUP('Sept-26'!$F31,Lista_CUIT!$A$1:$D$2241,3,0)),"CUIT NO CARGADO")</f>
        <v>Papeleria</v>
      </c>
      <c r="R31" s="21">
        <f>IFERROR(IF('Sept-26'!$F31="","-",VLOOKUP('Sept-26'!$F31,Lista_CUIT!$A$1:$D$2241,4,0)),"CUIT NO CARGADO")</f>
        <v>0</v>
      </c>
    </row>
    <row r="32" spans="2:18" x14ac:dyDescent="0.25">
      <c r="B32" s="12">
        <v>45912</v>
      </c>
      <c r="C32" s="13">
        <v>1</v>
      </c>
      <c r="D32" s="14">
        <v>100</v>
      </c>
      <c r="E32" s="15">
        <v>1539</v>
      </c>
      <c r="F32" s="16">
        <v>20143939740</v>
      </c>
      <c r="G32" s="17" t="str">
        <f>IFERROR(IF('Sept-26'!$F32="","-",VLOOKUP('Sept-26'!$F32,Lista_CUIT!$A$1:$D$2241,2,0)),"CUIT NO CARGADO")</f>
        <v>BERASALUCE JOSE IGNACIO</v>
      </c>
      <c r="H32" s="18">
        <v>2502.44</v>
      </c>
      <c r="I32" s="23">
        <f>IF('Sept-26'!$H32="","",'Sept-26'!$H32*0.21)</f>
        <v>525.51239999999996</v>
      </c>
      <c r="J32" s="23"/>
      <c r="K32" s="23"/>
      <c r="L32" s="23"/>
      <c r="M32" s="23"/>
      <c r="N32" s="23"/>
      <c r="O32" s="23"/>
      <c r="P32" s="20">
        <f>SUM('Sept-26'!$H32:$O32)</f>
        <v>3027.9524000000001</v>
      </c>
      <c r="Q32" s="21">
        <f>IFERROR(IF('Sept-26'!$F32="","-",VLOOKUP('Sept-26'!$F32,Lista_CUIT!$A$1:$D$2241,3,0)),"CUIT NO CARGADO")</f>
        <v>0</v>
      </c>
      <c r="R32" s="21">
        <f>IFERROR(IF('Sept-26'!$F32="","-",VLOOKUP('Sept-26'!$F32,Lista_CUIT!$A$1:$D$2241,4,0)),"CUIT NO CARGADO")</f>
        <v>0</v>
      </c>
    </row>
    <row r="33" spans="2:19" ht="15.75" customHeight="1" x14ac:dyDescent="0.25">
      <c r="B33" s="12">
        <v>45912</v>
      </c>
      <c r="C33" s="13">
        <v>1</v>
      </c>
      <c r="D33" s="14">
        <v>100</v>
      </c>
      <c r="E33" s="15">
        <v>1548</v>
      </c>
      <c r="F33" s="16">
        <v>20143939740</v>
      </c>
      <c r="G33" s="17" t="str">
        <f>IFERROR(IF('Sept-26'!$F33="","-",VLOOKUP('Sept-26'!$F33,Lista_CUIT!$A$1:$D$2241,2,0)),"CUIT NO CARGADO")</f>
        <v>BERASALUCE JOSE IGNACIO</v>
      </c>
      <c r="H33" s="18">
        <v>2502.44</v>
      </c>
      <c r="I33" s="23">
        <f>IF('Sept-26'!$H33="","",'Sept-26'!$H33*0.21)</f>
        <v>525.51239999999996</v>
      </c>
      <c r="J33" s="23"/>
      <c r="K33" s="23"/>
      <c r="L33" s="23"/>
      <c r="M33" s="23"/>
      <c r="N33" s="23"/>
      <c r="O33" s="23"/>
      <c r="P33" s="20">
        <f>SUM('Sept-26'!$H33:$O33)</f>
        <v>3027.9524000000001</v>
      </c>
      <c r="Q33" s="21">
        <f>IFERROR(IF('Sept-26'!$F33="","-",VLOOKUP('Sept-26'!$F33,Lista_CUIT!$A$1:$D$2241,3,0)),"CUIT NO CARGADO")</f>
        <v>0</v>
      </c>
      <c r="R33" s="21">
        <f>IFERROR(IF('Sept-26'!$F33="","-",VLOOKUP('Sept-26'!$F33,Lista_CUIT!$A$1:$D$2241,4,0)),"CUIT NO CARGADO")</f>
        <v>0</v>
      </c>
    </row>
    <row r="34" spans="2:19" ht="14.25" customHeight="1" x14ac:dyDescent="0.25">
      <c r="B34" s="12">
        <v>45912</v>
      </c>
      <c r="C34" s="13">
        <v>1</v>
      </c>
      <c r="D34" s="14">
        <v>13</v>
      </c>
      <c r="E34" s="15">
        <v>101182</v>
      </c>
      <c r="F34" s="16">
        <v>30709256420</v>
      </c>
      <c r="G34" s="17" t="str">
        <f>IFERROR(IF('Sept-26'!$F34="","-",VLOOKUP('Sept-26'!$F34,Lista_CUIT!$A$1:$D$2241,2,0)),"CUIT NO CARGADO")</f>
        <v>NGA SRL</v>
      </c>
      <c r="H34" s="18">
        <v>1306.03</v>
      </c>
      <c r="I34" s="23">
        <f>IF('Sept-26'!$H34="","",'Sept-26'!$H34*0.21)</f>
        <v>274.2663</v>
      </c>
      <c r="J34" s="23"/>
      <c r="K34" s="23"/>
      <c r="L34" s="23"/>
      <c r="M34" s="23"/>
      <c r="N34" s="23"/>
      <c r="O34" s="23"/>
      <c r="P34" s="20">
        <f>SUM('Sept-26'!$H34:$O34)</f>
        <v>1580.2963</v>
      </c>
      <c r="Q34" s="21" t="str">
        <f>IFERROR(IF('Sept-26'!$F34="","-",VLOOKUP('Sept-26'!$F34,Lista_CUIT!$A$1:$D$2241,3,0)),"CUIT NO CARGADO")</f>
        <v>GASTOS VARIOS</v>
      </c>
      <c r="R34" s="21">
        <f>IFERROR(IF('Sept-26'!$F34="","-",VLOOKUP('Sept-26'!$F34,Lista_CUIT!$A$1:$D$2241,4,0)),"CUIT NO CARGADO")</f>
        <v>0</v>
      </c>
    </row>
    <row r="35" spans="2:19" ht="14.25" customHeight="1" x14ac:dyDescent="0.25">
      <c r="B35" s="12">
        <v>45912</v>
      </c>
      <c r="C35" s="13">
        <v>1</v>
      </c>
      <c r="D35" s="14">
        <v>13</v>
      </c>
      <c r="E35" s="15">
        <v>101183</v>
      </c>
      <c r="F35" s="16">
        <v>30709256420</v>
      </c>
      <c r="G35" s="17" t="str">
        <f>IFERROR(IF('Sept-26'!$F35="","-",VLOOKUP('Sept-26'!$F35,Lista_CUIT!$A$1:$D$2241,2,0)),"CUIT NO CARGADO")</f>
        <v>NGA SRL</v>
      </c>
      <c r="H35" s="18">
        <v>7581.16</v>
      </c>
      <c r="I35" s="23">
        <f>IF('Sept-26'!$H35="","",'Sept-26'!$H35*0.21)</f>
        <v>1592.0436</v>
      </c>
      <c r="J35" s="23"/>
      <c r="K35" s="23"/>
      <c r="L35" s="23"/>
      <c r="M35" s="23"/>
      <c r="N35" s="23"/>
      <c r="O35" s="23"/>
      <c r="P35" s="20">
        <f>SUM('Sept-26'!$H35:$O35)</f>
        <v>9173.2036000000007</v>
      </c>
      <c r="Q35" s="21" t="str">
        <f>IFERROR(IF('Sept-26'!$F35="","-",VLOOKUP('Sept-26'!$F35,Lista_CUIT!$A$1:$D$2241,3,0)),"CUIT NO CARGADO")</f>
        <v>GASTOS VARIOS</v>
      </c>
      <c r="R35" s="21">
        <f>IFERROR(IF('Sept-26'!$F35="","-",VLOOKUP('Sept-26'!$F35,Lista_CUIT!$A$1:$D$2241,4,0)),"CUIT NO CARGADO")</f>
        <v>0</v>
      </c>
    </row>
    <row r="36" spans="2:19" ht="15" customHeight="1" x14ac:dyDescent="0.25">
      <c r="B36" s="12">
        <v>45912</v>
      </c>
      <c r="C36" s="13">
        <v>1</v>
      </c>
      <c r="D36" s="14">
        <v>2</v>
      </c>
      <c r="E36" s="15">
        <v>999</v>
      </c>
      <c r="F36" s="16">
        <v>30718734203</v>
      </c>
      <c r="G36" s="17" t="str">
        <f>IFERROR(IF('Sept-26'!$F36="","-",VLOOKUP('Sept-26'!$F36,Lista_CUIT!$A$1:$D$2241,2,0)),"CUIT NO CARGADO")</f>
        <v>C&amp;G LATAM</v>
      </c>
      <c r="H36" s="18">
        <v>7759.5</v>
      </c>
      <c r="I36" s="23">
        <f>IF('Sept-26'!$H36="","",'Sept-26'!$H36*0.21)</f>
        <v>1629.4949999999999</v>
      </c>
      <c r="J36" s="23"/>
      <c r="K36" s="23"/>
      <c r="L36" s="23"/>
      <c r="M36" s="23"/>
      <c r="N36" s="23"/>
      <c r="O36" s="23"/>
      <c r="P36" s="20">
        <f>SUM('Sept-26'!$H36:$O36)</f>
        <v>9388.994999999999</v>
      </c>
      <c r="Q36" s="21">
        <f>IFERROR(IF('Sept-26'!$F36="","-",VLOOKUP('Sept-26'!$F36,Lista_CUIT!$A$1:$D$2241,3,0)),"CUIT NO CARGADO")</f>
        <v>0</v>
      </c>
      <c r="R36" s="21">
        <f>IFERROR(IF('Sept-26'!$F36="","-",VLOOKUP('Sept-26'!$F36,Lista_CUIT!$A$1:$D$2241,4,0)),"CUIT NO CARGADO")</f>
        <v>0</v>
      </c>
    </row>
    <row r="37" spans="2:19" ht="15" customHeight="1" x14ac:dyDescent="0.25">
      <c r="B37" s="12">
        <v>45912</v>
      </c>
      <c r="C37" s="13">
        <v>1</v>
      </c>
      <c r="D37" s="14">
        <v>2</v>
      </c>
      <c r="E37" s="15">
        <v>1005</v>
      </c>
      <c r="F37" s="16">
        <v>30718734203</v>
      </c>
      <c r="G37" s="17" t="str">
        <f>IFERROR(IF('Sept-26'!$F37="","-",VLOOKUP('Sept-26'!$F37,Lista_CUIT!$A$1:$D$2241,2,0)),"CUIT NO CARGADO")</f>
        <v>C&amp;G LATAM</v>
      </c>
      <c r="H37" s="18">
        <v>7759.5</v>
      </c>
      <c r="I37" s="23">
        <f>IF('Sept-26'!$H37="","",'Sept-26'!$H37*0.21)</f>
        <v>1629.4949999999999</v>
      </c>
      <c r="J37" s="23"/>
      <c r="K37" s="23"/>
      <c r="L37" s="23"/>
      <c r="M37" s="23"/>
      <c r="N37" s="23"/>
      <c r="O37" s="23"/>
      <c r="P37" s="20">
        <f>SUM('Sept-26'!$H37:$O37)</f>
        <v>9388.994999999999</v>
      </c>
      <c r="Q37" s="21">
        <f>IFERROR(IF('Sept-26'!$F37="","-",VLOOKUP('Sept-26'!$F37,Lista_CUIT!$A$1:$D$2241,3,0)),"CUIT NO CARGADO")</f>
        <v>0</v>
      </c>
      <c r="R37" s="21">
        <f>IFERROR(IF('Sept-26'!$F37="","-",VLOOKUP('Sept-26'!$F37,Lista_CUIT!$A$1:$D$2241,4,0)),"CUIT NO CARGADO")</f>
        <v>0</v>
      </c>
    </row>
    <row r="38" spans="2:19" ht="15" customHeight="1" x14ac:dyDescent="0.25">
      <c r="B38" s="12">
        <v>45912</v>
      </c>
      <c r="C38" s="13">
        <v>1</v>
      </c>
      <c r="D38" s="14">
        <v>2</v>
      </c>
      <c r="E38" s="15">
        <v>219</v>
      </c>
      <c r="F38" s="16">
        <v>20125142851</v>
      </c>
      <c r="G38" s="17" t="str">
        <f>IFERROR(IF('Sept-26'!$F38="","-",VLOOKUP('Sept-26'!$F38,Lista_CUIT!$A$1:$D$2241,2,0)),"CUIT NO CARGADO")</f>
        <v>FEDERICI NICOLAS JOSE</v>
      </c>
      <c r="H38" s="18">
        <v>151227.81</v>
      </c>
      <c r="I38" s="23">
        <f>IF('Sept-26'!$H38="","",'Sept-26'!$H38*0.21)</f>
        <v>31757.840099999998</v>
      </c>
      <c r="J38" s="23"/>
      <c r="K38" s="23"/>
      <c r="L38" s="23"/>
      <c r="M38" s="23"/>
      <c r="N38" s="23"/>
      <c r="O38" s="23"/>
      <c r="P38" s="20">
        <f>SUM('Sept-26'!$H38:$O38)</f>
        <v>182985.6501</v>
      </c>
      <c r="Q38" s="21" t="str">
        <f>IFERROR(IF('Sept-26'!$F38="","-",VLOOKUP('Sept-26'!$F38,Lista_CUIT!$A$1:$D$2241,3,0)),"CUIT NO CARGADO")</f>
        <v>INSUMO</v>
      </c>
      <c r="R38" s="21">
        <f>IFERROR(IF('Sept-26'!$F38="","-",VLOOKUP('Sept-26'!$F38,Lista_CUIT!$A$1:$D$2241,4,0)),"CUIT NO CARGADO")</f>
        <v>0</v>
      </c>
    </row>
    <row r="39" spans="2:19" ht="15" customHeight="1" x14ac:dyDescent="0.25">
      <c r="B39" s="12">
        <v>45913</v>
      </c>
      <c r="C39" s="13">
        <v>1</v>
      </c>
      <c r="D39" s="14">
        <v>50</v>
      </c>
      <c r="E39" s="15">
        <v>487524</v>
      </c>
      <c r="F39" s="16">
        <v>30610333822</v>
      </c>
      <c r="G39" s="17" t="str">
        <f>IFERROR(IF('Sept-26'!$F39="","-",VLOOKUP('Sept-26'!$F39,Lista_CUIT!$A$1:$D$2241,2,0)),"CUIT NO CARGADO")</f>
        <v>MASIVOS S A</v>
      </c>
      <c r="H39" s="18">
        <v>2001.65</v>
      </c>
      <c r="I39" s="23">
        <f>IF('Sept-26'!$H39="","",'Sept-26'!$H39*0.21)</f>
        <v>420.34649999999999</v>
      </c>
      <c r="J39" s="23"/>
      <c r="K39" s="23"/>
      <c r="L39" s="23"/>
      <c r="M39" s="23"/>
      <c r="N39" s="23"/>
      <c r="O39" s="23"/>
      <c r="P39" s="20">
        <f>SUM('Sept-26'!$H39:$O39)</f>
        <v>2421.9965000000002</v>
      </c>
      <c r="Q39" s="21" t="str">
        <f>IFERROR(IF('Sept-26'!$F39="","-",VLOOKUP('Sept-26'!$F39,Lista_CUIT!$A$1:$D$2241,3,0)),"CUIT NO CARGADO")</f>
        <v>GASTOS VARIOS</v>
      </c>
      <c r="R39" s="21">
        <f>IFERROR(IF('Sept-26'!$F39="","-",VLOOKUP('Sept-26'!$F39,Lista_CUIT!$A$1:$D$2241,4,0)),"CUIT NO CARGADO")</f>
        <v>0</v>
      </c>
    </row>
    <row r="40" spans="2:19" ht="15" customHeight="1" x14ac:dyDescent="0.25">
      <c r="B40" s="12">
        <v>45914</v>
      </c>
      <c r="C40" s="13">
        <v>1</v>
      </c>
      <c r="D40" s="14">
        <v>100</v>
      </c>
      <c r="E40" s="15">
        <v>996</v>
      </c>
      <c r="F40" s="16">
        <v>20384564373</v>
      </c>
      <c r="G40" s="17" t="str">
        <f>IFERROR(IF('Sept-26'!$F40="","-",VLOOKUP('Sept-26'!$F40,Lista_CUIT!$A$1:$D$2241,2,0)),"CUIT NO CARGADO")</f>
        <v>ABRECHT JUAN FRANCISCO JORGE</v>
      </c>
      <c r="H40" s="18">
        <v>56131.4</v>
      </c>
      <c r="I40" s="23">
        <f>IF('Sept-26'!$H40="","",'Sept-26'!$H40*0.21)</f>
        <v>11787.593999999999</v>
      </c>
      <c r="J40" s="23"/>
      <c r="K40" s="23"/>
      <c r="L40" s="23"/>
      <c r="M40" s="23"/>
      <c r="N40" s="23"/>
      <c r="O40" s="23"/>
      <c r="P40" s="20">
        <f>SUM('Sept-26'!$H40:$O40)</f>
        <v>67918.994000000006</v>
      </c>
      <c r="Q40" s="21">
        <f>IFERROR(IF('Sept-26'!$F40="","-",VLOOKUP('Sept-26'!$F40,Lista_CUIT!$A$1:$D$2241,3,0)),"CUIT NO CARGADO")</f>
        <v>0</v>
      </c>
      <c r="R40" s="21">
        <f>IFERROR(IF('Sept-26'!$F40="","-",VLOOKUP('Sept-26'!$F40,Lista_CUIT!$A$1:$D$2241,4,0)),"CUIT NO CARGADO")</f>
        <v>0</v>
      </c>
    </row>
    <row r="41" spans="2:19" ht="15.75" customHeight="1" x14ac:dyDescent="0.25">
      <c r="B41" s="12">
        <v>45915</v>
      </c>
      <c r="C41" s="13">
        <v>1</v>
      </c>
      <c r="D41" s="14">
        <v>2002</v>
      </c>
      <c r="E41" s="15">
        <v>12351</v>
      </c>
      <c r="F41" s="16">
        <v>30715699865</v>
      </c>
      <c r="G41" s="17" t="str">
        <f>IFERROR(IF('Sept-26'!$F41="","-",VLOOKUP('Sept-26'!$F41,Lista_CUIT!$A$1:$D$2241,2,0)),"CUIT NO CARGADO")</f>
        <v>VALYRIA SRL</v>
      </c>
      <c r="H41" s="18">
        <v>58920.99</v>
      </c>
      <c r="I41" s="23">
        <f>IF('Sept-26'!$H41="","",'Sept-26'!$H41*0.21)</f>
        <v>12373.407899999998</v>
      </c>
      <c r="J41" s="23"/>
      <c r="K41" s="23"/>
      <c r="L41" s="23"/>
      <c r="M41" s="23"/>
      <c r="N41" s="23"/>
      <c r="O41" s="23"/>
      <c r="P41" s="20">
        <f>SUM('Sept-26'!$H41:$O41)</f>
        <v>71294.397899999996</v>
      </c>
      <c r="Q41" s="21">
        <f>IFERROR(IF('Sept-26'!$F41="","-",VLOOKUP('Sept-26'!$F41,Lista_CUIT!$A$1:$D$2241,3,0)),"CUIT NO CARGADO")</f>
        <v>0</v>
      </c>
      <c r="R41" s="21">
        <f>IFERROR(IF('Sept-26'!$F41="","-",VLOOKUP('Sept-26'!$F41,Lista_CUIT!$A$1:$D$2241,4,0)),"CUIT NO CARGADO")</f>
        <v>0</v>
      </c>
    </row>
    <row r="42" spans="2:19" ht="15.75" customHeight="1" x14ac:dyDescent="0.25">
      <c r="B42" s="336">
        <v>45915</v>
      </c>
      <c r="C42" s="13">
        <v>1</v>
      </c>
      <c r="D42" s="337">
        <v>33</v>
      </c>
      <c r="E42" s="338">
        <v>3702</v>
      </c>
      <c r="F42" s="339">
        <v>30714295957</v>
      </c>
      <c r="G42" s="328" t="str">
        <f>IFERROR(IF('Sept-26'!$F42="","-",VLOOKUP('Sept-26'!$F42,Lista_CUIT!$A$1:$D$2241,2,0)),"CUIT NO CARGADO")</f>
        <v>IT BROKERS S.A.</v>
      </c>
      <c r="H42" s="358">
        <v>53134.14</v>
      </c>
      <c r="I42" s="359">
        <v>5725.54</v>
      </c>
      <c r="J42" s="359"/>
      <c r="K42" s="359">
        <v>2716.32</v>
      </c>
      <c r="L42" s="359"/>
      <c r="M42" s="359"/>
      <c r="N42" s="359"/>
      <c r="O42" s="359"/>
      <c r="P42" s="360">
        <f>SUM('Sept-26'!$H42:$O42)</f>
        <v>61576</v>
      </c>
      <c r="Q42" s="340">
        <f>IFERROR(IF('Sept-26'!$F42="","-",VLOOKUP('Sept-26'!$F42,Lista_CUIT!$A$1:$D$2241,3,0)),"CUIT NO CARGADO")</f>
        <v>0</v>
      </c>
      <c r="R42" s="340">
        <f>IFERROR(IF('Sept-26'!$F42="","-",VLOOKUP('Sept-26'!$F42,Lista_CUIT!$A$1:$D$2241,4,0)),"CUIT NO CARGADO")</f>
        <v>0</v>
      </c>
    </row>
    <row r="43" spans="2:19" ht="15.75" customHeight="1" x14ac:dyDescent="0.25">
      <c r="B43" s="336">
        <v>45915</v>
      </c>
      <c r="C43" s="13">
        <v>1</v>
      </c>
      <c r="D43" s="337">
        <v>6</v>
      </c>
      <c r="E43" s="338">
        <v>20367</v>
      </c>
      <c r="F43" s="339">
        <v>20316399909</v>
      </c>
      <c r="G43" s="328" t="str">
        <f>IFERROR(IF('Sept-26'!$F43="","-",VLOOKUP('Sept-26'!$F43,Lista_CUIT!$A$1:$D$2241,2,0)),"CUIT NO CARGADO")</f>
        <v>LICROPANI LUCAS IVAN</v>
      </c>
      <c r="H43" s="358">
        <v>30604.97</v>
      </c>
      <c r="I43" s="359">
        <f>IF('Sept-26'!$H43="","",'Sept-26'!$H43*0.21)</f>
        <v>6427.0437000000002</v>
      </c>
      <c r="J43" s="359"/>
      <c r="K43" s="359"/>
      <c r="L43" s="359"/>
      <c r="M43" s="359"/>
      <c r="N43" s="359"/>
      <c r="O43" s="359"/>
      <c r="P43" s="360">
        <f>SUM('Sept-26'!$H43:$O43)</f>
        <v>37032.013700000003</v>
      </c>
      <c r="Q43" s="340">
        <f>IFERROR(IF('Sept-26'!$F43="","-",VLOOKUP('Sept-26'!$F43,Lista_CUIT!$A$1:$D$2241,3,0)),"CUIT NO CARGADO")</f>
        <v>0</v>
      </c>
      <c r="R43" s="340">
        <f>IFERROR(IF('Sept-26'!$F43="","-",VLOOKUP('Sept-26'!$F43,Lista_CUIT!$A$1:$D$2241,4,0)),"CUIT NO CARGADO")</f>
        <v>0</v>
      </c>
    </row>
    <row r="44" spans="2:19" ht="15.75" customHeight="1" x14ac:dyDescent="0.25">
      <c r="B44" s="12">
        <v>45916</v>
      </c>
      <c r="C44" s="13">
        <v>1</v>
      </c>
      <c r="D44" s="14">
        <v>106</v>
      </c>
      <c r="E44" s="15">
        <v>877245</v>
      </c>
      <c r="F44" s="16">
        <v>30594494187</v>
      </c>
      <c r="G44" s="17" t="str">
        <f>IFERROR(IF('Sept-26'!$F44="","-",VLOOKUP('Sept-26'!$F44,Lista_CUIT!$A$1:$D$2241,2,0)),"CUIT NO CARGADO")</f>
        <v>FEDERAL EXPRESS CORPORATION</v>
      </c>
      <c r="H44" s="18">
        <v>0</v>
      </c>
      <c r="I44" s="23">
        <f>IF('Sept-26'!$H44="","",'Sept-26'!$H44*0.21)</f>
        <v>0</v>
      </c>
      <c r="J44" s="23"/>
      <c r="K44" s="23"/>
      <c r="L44" s="23"/>
      <c r="M44" s="23"/>
      <c r="N44" s="23"/>
      <c r="O44" s="23">
        <v>192997.55</v>
      </c>
      <c r="P44" s="20">
        <f>SUM('Sept-26'!$H44:$O44)</f>
        <v>192997.55</v>
      </c>
      <c r="Q44" s="21" t="str">
        <f>IFERROR(IF('Sept-26'!$F44="","-",VLOOKUP('Sept-26'!$F44,Lista_CUIT!$A$1:$D$2241,3,0)),"CUIT NO CARGADO")</f>
        <v>Mercaderia</v>
      </c>
      <c r="R44" s="21">
        <f>IFERROR(IF('Sept-26'!$F44="","-",VLOOKUP('Sept-26'!$F44,Lista_CUIT!$A$1:$D$2241,4,0)),"CUIT NO CARGADO")</f>
        <v>0</v>
      </c>
    </row>
    <row r="45" spans="2:19" ht="15.75" customHeight="1" x14ac:dyDescent="0.25">
      <c r="B45" s="12">
        <v>45917</v>
      </c>
      <c r="C45" s="13">
        <v>1</v>
      </c>
      <c r="D45" s="14">
        <v>2</v>
      </c>
      <c r="E45" s="15">
        <v>29098</v>
      </c>
      <c r="F45" s="16">
        <v>30718061977</v>
      </c>
      <c r="G45" s="17" t="str">
        <f>IFERROR(IF('Sept-26'!$F45="","-",VLOOKUP('Sept-26'!$F45,Lista_CUIT!$A$1:$D$2241,2,0)),"CUIT NO CARGADO")</f>
        <v>ANIAMITO S.R.L</v>
      </c>
      <c r="H45" s="18">
        <v>55374.400000000001</v>
      </c>
      <c r="I45" s="23">
        <f>IF('Sept-26'!$H45="","",'Sept-26'!$H45*0.21)</f>
        <v>11628.624</v>
      </c>
      <c r="J45" s="23"/>
      <c r="K45" s="23"/>
      <c r="L45" s="23"/>
      <c r="M45" s="23"/>
      <c r="N45" s="23"/>
      <c r="O45" s="23"/>
      <c r="P45" s="20">
        <f>SUM('Sept-26'!$H45:$O45)</f>
        <v>67003.024000000005</v>
      </c>
      <c r="Q45" s="21">
        <f>IFERROR(IF('Sept-26'!$F45="","-",VLOOKUP('Sept-26'!$F45,Lista_CUIT!$A$1:$D$2241,3,0)),"CUIT NO CARGADO")</f>
        <v>0</v>
      </c>
      <c r="R45" s="21">
        <f>IFERROR(IF('Sept-26'!$F45="","-",VLOOKUP('Sept-26'!$F45,Lista_CUIT!$A$1:$D$2241,4,0)),"CUIT NO CARGADO")</f>
        <v>0</v>
      </c>
    </row>
    <row r="46" spans="2:19" ht="15.75" customHeight="1" x14ac:dyDescent="0.25">
      <c r="B46" s="12">
        <v>45922</v>
      </c>
      <c r="C46" s="13">
        <v>1</v>
      </c>
      <c r="D46" s="14">
        <v>2</v>
      </c>
      <c r="E46" s="15">
        <v>909</v>
      </c>
      <c r="F46" s="16">
        <v>20296550184</v>
      </c>
      <c r="G46" s="17" t="str">
        <f>IFERROR(IF('Sept-26'!$F46="","-",VLOOKUP('Sept-26'!$F46,Lista_CUIT!$A$1:$D$2241,2,0)),"CUIT NO CARGADO")</f>
        <v>COSTA DIEGO ALEJANDRO</v>
      </c>
      <c r="H46" s="18">
        <v>530000</v>
      </c>
      <c r="I46" s="23">
        <f>IF('Sept-26'!$H46="","",'Sept-26'!$H46*0.21)</f>
        <v>111300</v>
      </c>
      <c r="J46" s="23"/>
      <c r="K46" s="23"/>
      <c r="L46" s="23"/>
      <c r="M46" s="23"/>
      <c r="N46" s="23"/>
      <c r="O46" s="23"/>
      <c r="P46" s="20">
        <f>SUM('Sept-26'!$H46:$O46)</f>
        <v>641300</v>
      </c>
      <c r="Q46" s="21" t="str">
        <f>IFERROR(IF('Sept-26'!$F46="","-",VLOOKUP('Sept-26'!$F46,Lista_CUIT!$A$1:$D$2241,3,0)),"CUIT NO CARGADO")</f>
        <v>Mat. Prima</v>
      </c>
      <c r="R46" s="21">
        <f>IFERROR(IF('Sept-26'!$F46="","-",VLOOKUP('Sept-26'!$F46,Lista_CUIT!$A$1:$D$2241,4,0)),"CUIT NO CARGADO")</f>
        <v>0</v>
      </c>
    </row>
    <row r="47" spans="2:19" ht="15.75" customHeight="1" x14ac:dyDescent="0.25">
      <c r="B47" s="12">
        <v>45926</v>
      </c>
      <c r="C47" s="13">
        <v>1</v>
      </c>
      <c r="D47" s="14">
        <v>7</v>
      </c>
      <c r="E47" s="15">
        <v>2304</v>
      </c>
      <c r="F47" s="16">
        <v>20371136046</v>
      </c>
      <c r="G47" s="17" t="str">
        <f>IFERROR(IF('Sept-26'!$F47="","-",VLOOKUP('Sept-26'!$F47,Lista_CUIT!$A$1:$D$2241,2,0)),"CUIT NO CARGADO")</f>
        <v>SCIARILLO NICOLAS DANIEL</v>
      </c>
      <c r="H47" s="18">
        <v>24573.45</v>
      </c>
      <c r="I47" s="23">
        <f>IF('Sept-26'!$H47="","",'Sept-26'!$H47*0.21)</f>
        <v>5160.4245000000001</v>
      </c>
      <c r="J47" s="23"/>
      <c r="K47" s="23"/>
      <c r="L47" s="23"/>
      <c r="M47" s="23"/>
      <c r="N47" s="23"/>
      <c r="O47" s="23"/>
      <c r="P47" s="20">
        <f>SUM('Sept-26'!$H47:$O47)</f>
        <v>29733.874500000002</v>
      </c>
      <c r="Q47" s="21">
        <f>IFERROR(IF('Sept-26'!$F47="","-",VLOOKUP('Sept-26'!$F47,Lista_CUIT!$A$1:$D$2241,3,0)),"CUIT NO CARGADO")</f>
        <v>0</v>
      </c>
      <c r="R47" s="21">
        <f>IFERROR(IF('Sept-26'!$F47="","-",VLOOKUP('Sept-26'!$F47,Lista_CUIT!$A$1:$D$2241,4,0)),"CUIT NO CARGADO")</f>
        <v>0</v>
      </c>
      <c r="S47" s="3" t="s">
        <v>1373</v>
      </c>
    </row>
    <row r="48" spans="2:19" ht="15.75" customHeight="1" x14ac:dyDescent="0.25">
      <c r="B48" s="12">
        <v>45930</v>
      </c>
      <c r="C48" s="13">
        <v>1</v>
      </c>
      <c r="D48" s="14">
        <v>7</v>
      </c>
      <c r="E48" s="15">
        <v>90</v>
      </c>
      <c r="F48" s="16">
        <v>20272258776</v>
      </c>
      <c r="G48" s="17" t="str">
        <f>IFERROR(IF('Sept-26'!$F48="","-",VLOOKUP('Sept-26'!$F48,Lista_CUIT!$A$1:$D$2241,2,0)),"CUIT NO CARGADO")</f>
        <v>STELKIC FEDERICO</v>
      </c>
      <c r="H48" s="18">
        <v>5619.83</v>
      </c>
      <c r="I48" s="23">
        <f>IF('Sept-26'!$H48="","",'Sept-26'!$H48*0.21)</f>
        <v>1180.1642999999999</v>
      </c>
      <c r="J48" s="23"/>
      <c r="K48" s="23"/>
      <c r="L48" s="23"/>
      <c r="M48" s="23"/>
      <c r="N48" s="23"/>
      <c r="O48" s="23"/>
      <c r="P48" s="20">
        <f>SUM('Sept-26'!$H48:$O48)</f>
        <v>6799.9943000000003</v>
      </c>
      <c r="Q48" s="21">
        <f>IFERROR(IF('Sept-26'!$F48="","-",VLOOKUP('Sept-26'!$F48,Lista_CUIT!$A$1:$D$2241,3,0)),"CUIT NO CARGADO")</f>
        <v>0</v>
      </c>
      <c r="R48" s="21">
        <f>IFERROR(IF('Sept-26'!$F48="","-",VLOOKUP('Sept-26'!$F48,Lista_CUIT!$A$1:$D$2241,4,0)),"CUIT NO CARGADO")</f>
        <v>0</v>
      </c>
    </row>
    <row r="49" spans="1:26" ht="15.75" customHeight="1" x14ac:dyDescent="0.25">
      <c r="B49" s="336">
        <v>45911</v>
      </c>
      <c r="C49" s="13">
        <v>3</v>
      </c>
      <c r="D49" s="337">
        <v>13</v>
      </c>
      <c r="E49" s="338">
        <v>325</v>
      </c>
      <c r="F49" s="339">
        <v>20346807602</v>
      </c>
      <c r="G49" s="328" t="str">
        <f>IFERROR(IF('Sept-26'!$F49="","-",VLOOKUP('Sept-26'!$F49,Lista_CUIT!$A$1:$D$2241,2,0)),"CUIT NO CARGADO")</f>
        <v>GODOY JORGE LUIS</v>
      </c>
      <c r="H49" s="358">
        <v>-4256.2</v>
      </c>
      <c r="I49" s="23">
        <f>IF('Sept-26'!$H49="","",'Sept-26'!$H49*0.21)</f>
        <v>-893.80199999999991</v>
      </c>
      <c r="J49" s="359"/>
      <c r="K49" s="359"/>
      <c r="L49" s="359"/>
      <c r="M49" s="359"/>
      <c r="N49" s="359"/>
      <c r="O49" s="359"/>
      <c r="P49" s="360">
        <f>SUM('Sept-26'!$H49:$O49)</f>
        <v>-5150.0019999999995</v>
      </c>
      <c r="Q49" s="340">
        <f>IFERROR(IF('Sept-26'!$F49="","-",VLOOKUP('Sept-26'!$F49,Lista_CUIT!$A$1:$D$2241,3,0)),"CUIT NO CARGADO")</f>
        <v>0</v>
      </c>
      <c r="R49" s="340">
        <f>IFERROR(IF('Sept-26'!$F49="","-",VLOOKUP('Sept-26'!$F49,Lista_CUIT!$A$1:$D$2241,4,0)),"CUIT NO CARGADO")</f>
        <v>0</v>
      </c>
    </row>
    <row r="50" spans="1:26" ht="15.75" customHeight="1" x14ac:dyDescent="0.25">
      <c r="B50" s="336">
        <v>45912</v>
      </c>
      <c r="C50" s="13">
        <v>3</v>
      </c>
      <c r="D50" s="337">
        <v>2</v>
      </c>
      <c r="E50" s="338">
        <v>2316</v>
      </c>
      <c r="F50" s="339">
        <v>30718473558</v>
      </c>
      <c r="G50" s="328" t="str">
        <f>IFERROR(IF('Sept-26'!$F50="","-",VLOOKUP('Sept-26'!$F50,Lista_CUIT!$A$1:$D$2241,2,0)),"CUIT NO CARGADO")</f>
        <v>BAZOKA S. A. S.</v>
      </c>
      <c r="H50" s="358">
        <v>-2734.71</v>
      </c>
      <c r="I50" s="359">
        <f>IF('Sept-26'!$H50="","",'Sept-26'!$H50*0.21)</f>
        <v>-574.28909999999996</v>
      </c>
      <c r="J50" s="359"/>
      <c r="K50" s="359"/>
      <c r="L50" s="359"/>
      <c r="M50" s="359"/>
      <c r="N50" s="359"/>
      <c r="O50" s="359"/>
      <c r="P50" s="360">
        <f>SUM('Sept-26'!$H50:$O50)</f>
        <v>-3308.9991</v>
      </c>
      <c r="Q50" s="340">
        <f>IFERROR(IF('Sept-26'!$F50="","-",VLOOKUP('Sept-26'!$F50,Lista_CUIT!$A$1:$D$2241,3,0)),"CUIT NO CARGADO")</f>
        <v>0</v>
      </c>
      <c r="R50" s="340">
        <f>IFERROR(IF('Sept-26'!$F50="","-",VLOOKUP('Sept-26'!$F50,Lista_CUIT!$A$1:$D$2241,4,0)),"CUIT NO CARGADO")</f>
        <v>0</v>
      </c>
    </row>
    <row r="51" spans="1:26" ht="15.75" customHeight="1" x14ac:dyDescent="0.25">
      <c r="B51" s="336">
        <v>45912</v>
      </c>
      <c r="C51" s="13">
        <v>3</v>
      </c>
      <c r="D51" s="337">
        <v>100</v>
      </c>
      <c r="E51" s="338">
        <v>82</v>
      </c>
      <c r="F51" s="339">
        <v>20143939740</v>
      </c>
      <c r="G51" s="328" t="str">
        <f>IFERROR(IF('Sept-26'!$F51="","-",VLOOKUP('Sept-26'!$F51,Lista_CUIT!$A$1:$D$2241,2,0)),"CUIT NO CARGADO")</f>
        <v>BERASALUCE JOSE IGNACIO</v>
      </c>
      <c r="H51" s="358">
        <v>-2502.44</v>
      </c>
      <c r="I51" s="359">
        <f>IF('Sept-26'!$H51="","",'Sept-26'!$H51*0.21)</f>
        <v>-525.51239999999996</v>
      </c>
      <c r="J51" s="359"/>
      <c r="K51" s="359"/>
      <c r="L51" s="359"/>
      <c r="M51" s="359"/>
      <c r="N51" s="359"/>
      <c r="O51" s="359"/>
      <c r="P51" s="360">
        <f>SUM('Sept-26'!$H51:$O51)</f>
        <v>-3027.9524000000001</v>
      </c>
      <c r="Q51" s="340">
        <f>IFERROR(IF('Sept-26'!$F51="","-",VLOOKUP('Sept-26'!$F51,Lista_CUIT!$A$1:$D$2241,3,0)),"CUIT NO CARGADO")</f>
        <v>0</v>
      </c>
      <c r="R51" s="340">
        <f>IFERROR(IF('Sept-26'!$F51="","-",VLOOKUP('Sept-26'!$F51,Lista_CUIT!$A$1:$D$2241,4,0)),"CUIT NO CARGADO")</f>
        <v>0</v>
      </c>
    </row>
    <row r="52" spans="1:26" ht="15.75" customHeight="1" x14ac:dyDescent="0.25">
      <c r="B52" s="336">
        <v>45912</v>
      </c>
      <c r="C52" s="13">
        <v>3</v>
      </c>
      <c r="D52" s="337">
        <v>2</v>
      </c>
      <c r="E52" s="338">
        <v>310</v>
      </c>
      <c r="F52" s="339">
        <v>30718734203</v>
      </c>
      <c r="G52" s="328" t="str">
        <f>IFERROR(IF('Sept-26'!$F52="","-",VLOOKUP('Sept-26'!$F52,Lista_CUIT!$A$1:$D$2241,2,0)),"CUIT NO CARGADO")</f>
        <v>C&amp;G LATAM</v>
      </c>
      <c r="H52" s="358">
        <v>-7759.5</v>
      </c>
      <c r="I52" s="359">
        <f>IF('Sept-26'!$H52="","",'Sept-26'!$H52*0.21)</f>
        <v>-1629.4949999999999</v>
      </c>
      <c r="J52" s="359"/>
      <c r="K52" s="359"/>
      <c r="L52" s="359"/>
      <c r="M52" s="359"/>
      <c r="N52" s="359"/>
      <c r="O52" s="359"/>
      <c r="P52" s="360">
        <f>SUM('Sept-26'!$H52:$O52)</f>
        <v>-9388.994999999999</v>
      </c>
      <c r="Q52" s="340">
        <f>IFERROR(IF('Sept-26'!$F52="","-",VLOOKUP('Sept-26'!$F52,Lista_CUIT!$A$1:$D$2241,3,0)),"CUIT NO CARGADO")</f>
        <v>0</v>
      </c>
      <c r="R52" s="340">
        <f>IFERROR(IF('Sept-26'!$F52="","-",VLOOKUP('Sept-26'!$F52,Lista_CUIT!$A$1:$D$2241,4,0)),"CUIT NO CARGADO")</f>
        <v>0</v>
      </c>
    </row>
    <row r="53" spans="1:26" ht="15.75" customHeight="1" x14ac:dyDescent="0.25">
      <c r="B53" s="12"/>
      <c r="C53" s="13"/>
      <c r="D53" s="14"/>
      <c r="E53" s="15"/>
      <c r="F53" s="16"/>
      <c r="G53" s="17" t="str">
        <f>IFERROR(IF('Sept-26'!$F53="","-",VLOOKUP('Sept-26'!$F53,Lista_CUIT!$A$1:$D$2241,2,0)),"CUIT NO CARGADO")</f>
        <v>-</v>
      </c>
      <c r="H53" s="18"/>
      <c r="I53" s="23" t="str">
        <f>IF('Sept-26'!$H53="","",'Sept-26'!$H53*0.21)</f>
        <v/>
      </c>
      <c r="J53" s="23"/>
      <c r="K53" s="23"/>
      <c r="L53" s="23"/>
      <c r="M53" s="23"/>
      <c r="N53" s="23"/>
      <c r="O53" s="23"/>
      <c r="P53" s="20">
        <f>SUM('Sept-26'!$H53:$O53)</f>
        <v>0</v>
      </c>
      <c r="Q53" s="21" t="str">
        <f>IFERROR(IF('Sept-26'!$F53="","-",VLOOKUP('Sept-26'!$F53,Lista_CUIT!$A$1:$D$2241,3,0)),"CUIT NO CARGADO")</f>
        <v>-</v>
      </c>
      <c r="R53" s="21" t="str">
        <f>IFERROR(IF('Sept-26'!$F53="","-",VLOOKUP('Sept-26'!$F53,Lista_CUIT!$A$1:$D$2241,4,0)),"CUIT NO CARGADO")</f>
        <v>-</v>
      </c>
    </row>
    <row r="54" spans="1:26" ht="15.75" customHeight="1" x14ac:dyDescent="0.25">
      <c r="B54" s="21" t="s">
        <v>1336</v>
      </c>
      <c r="C54" s="21"/>
      <c r="D54" s="21"/>
      <c r="E54" s="21"/>
      <c r="F54" s="21"/>
      <c r="G54" s="17"/>
      <c r="H54" s="18">
        <f>SUBTOTAL(109,'Sept-26'!$H$9:$H$53)</f>
        <v>4113041.9000000008</v>
      </c>
      <c r="I54" s="18">
        <f>SUBTOTAL(109,'Sept-26'!$I$9:$I$53)</f>
        <v>625271.63059999968</v>
      </c>
      <c r="J54" s="18">
        <f>SUBTOTAL(109,'Sept-26'!$J$9:$J$53)</f>
        <v>0</v>
      </c>
      <c r="K54" s="18">
        <f>SUBTOTAL(109,'Sept-26'!$K$9:$K$53)</f>
        <v>119233.59</v>
      </c>
      <c r="L54" s="18">
        <f>SUBTOTAL(109,'Sept-26'!$L$9:$L$53)</f>
        <v>521.78</v>
      </c>
      <c r="M54" s="18">
        <f>SUBTOTAL(109,'Sept-26'!$M$9:$M$53)</f>
        <v>0</v>
      </c>
      <c r="N54" s="18">
        <f>SUBTOTAL(109,'Sept-26'!$N$9:$N$53)</f>
        <v>0</v>
      </c>
      <c r="O54" s="18">
        <f>SUBTOTAL(109,'Sept-26'!$O$9:$O$53)</f>
        <v>1061731.82</v>
      </c>
      <c r="P54" s="18">
        <f>SUBTOTAL(109,'Sept-26'!$P$9:$P$53)</f>
        <v>5919800.7206000006</v>
      </c>
      <c r="Q54" s="21"/>
      <c r="R54" s="21"/>
    </row>
    <row r="55" spans="1:26" ht="18" customHeight="1" x14ac:dyDescent="0.25">
      <c r="A55" s="43"/>
      <c r="B55" s="12"/>
      <c r="C55" s="13"/>
      <c r="D55" s="14"/>
      <c r="E55" s="15"/>
      <c r="F55" s="16"/>
      <c r="G55" s="17"/>
      <c r="H55" s="18"/>
      <c r="I55" s="19"/>
      <c r="J55" s="19"/>
      <c r="K55" s="19"/>
      <c r="L55" s="19"/>
      <c r="M55" s="19"/>
      <c r="N55" s="19"/>
      <c r="O55" s="19"/>
      <c r="P55" s="20"/>
      <c r="Q55" s="21"/>
      <c r="R55" s="21"/>
      <c r="S55" s="43"/>
      <c r="T55" s="43"/>
      <c r="U55" s="43"/>
      <c r="V55" s="43"/>
      <c r="W55" s="43"/>
      <c r="X55" s="43"/>
      <c r="Y55" s="43"/>
      <c r="Z55" s="43"/>
    </row>
    <row r="56" spans="1:26" ht="15.75" customHeight="1" x14ac:dyDescent="0.25">
      <c r="B56" s="12"/>
      <c r="C56" s="13"/>
      <c r="D56" s="14"/>
      <c r="E56" s="15"/>
      <c r="F56" s="16"/>
      <c r="G56" s="17"/>
      <c r="H56" s="18"/>
      <c r="I56" s="19"/>
      <c r="J56" s="19"/>
      <c r="K56" s="19"/>
      <c r="L56" s="19"/>
      <c r="M56" s="19"/>
      <c r="N56" s="19"/>
      <c r="O56" s="19"/>
      <c r="P56" s="20"/>
      <c r="Q56" s="21"/>
      <c r="R56" s="21"/>
    </row>
    <row r="57" spans="1:26" ht="15.75" customHeight="1" x14ac:dyDescent="0.25">
      <c r="B57" s="12"/>
      <c r="C57" s="13"/>
      <c r="D57" s="14"/>
      <c r="E57" s="15"/>
      <c r="F57" s="16"/>
      <c r="G57" s="17"/>
      <c r="H57" s="18"/>
      <c r="J57" s="19"/>
      <c r="K57" s="19"/>
      <c r="L57" s="19"/>
      <c r="M57" s="19"/>
      <c r="N57" s="19"/>
      <c r="O57" s="19"/>
      <c r="P57" s="20"/>
      <c r="Q57" s="21"/>
      <c r="R57" s="21"/>
    </row>
    <row r="58" spans="1:26" ht="15.75" customHeight="1" x14ac:dyDescent="0.25">
      <c r="B58" s="12"/>
      <c r="C58" s="13"/>
      <c r="D58" s="14"/>
      <c r="E58" s="15"/>
      <c r="F58" s="16"/>
      <c r="G58" s="17"/>
      <c r="H58" s="18"/>
      <c r="I58" s="19"/>
      <c r="J58" s="19"/>
      <c r="K58" s="19"/>
      <c r="L58" s="19"/>
      <c r="N58" s="114"/>
    </row>
    <row r="59" spans="1:26" ht="15.75" customHeight="1" x14ac:dyDescent="0.25">
      <c r="D59" s="456" t="s">
        <v>1337</v>
      </c>
      <c r="E59" s="448"/>
      <c r="F59" s="448"/>
      <c r="G59" s="448"/>
      <c r="H59" s="448"/>
      <c r="I59" s="448"/>
      <c r="J59" s="448"/>
      <c r="K59" s="448"/>
      <c r="L59" s="449"/>
    </row>
    <row r="60" spans="1:26" ht="15.75" customHeight="1" x14ac:dyDescent="0.25">
      <c r="D60" s="24" t="s">
        <v>1322</v>
      </c>
      <c r="E60" s="25" t="s">
        <v>1338</v>
      </c>
      <c r="F60" s="25" t="s">
        <v>1339</v>
      </c>
      <c r="G60" s="25" t="s">
        <v>1340</v>
      </c>
      <c r="H60" s="25" t="s">
        <v>1341</v>
      </c>
      <c r="I60" s="25" t="s">
        <v>1329</v>
      </c>
      <c r="J60" s="26" t="s">
        <v>1342</v>
      </c>
      <c r="K60" s="26" t="s">
        <v>1343</v>
      </c>
      <c r="L60" s="27" t="s">
        <v>1344</v>
      </c>
    </row>
    <row r="61" spans="1:26" ht="15.75" customHeight="1" x14ac:dyDescent="0.25">
      <c r="C61" t="s">
        <v>1558</v>
      </c>
      <c r="D61" s="12">
        <v>45919</v>
      </c>
      <c r="E61" s="29">
        <v>928621000</v>
      </c>
      <c r="F61" s="29" t="s">
        <v>1372</v>
      </c>
      <c r="G61" s="31">
        <v>110568.75</v>
      </c>
      <c r="H61" s="31">
        <f>'Sept-26'!$G61*0.21</f>
        <v>23219.4375</v>
      </c>
      <c r="I61" s="31"/>
      <c r="J61" s="31"/>
      <c r="K61" s="31"/>
      <c r="L61" s="31"/>
    </row>
    <row r="62" spans="1:26" ht="15.75" customHeight="1" x14ac:dyDescent="0.25">
      <c r="C62" t="s">
        <v>1559</v>
      </c>
      <c r="D62" s="12">
        <v>45930</v>
      </c>
      <c r="E62" s="29"/>
      <c r="F62" s="29" t="s">
        <v>1372</v>
      </c>
      <c r="G62" s="31">
        <f>18400.25/0.21</f>
        <v>87620.238095238092</v>
      </c>
      <c r="H62" s="31">
        <f>'Sept-26'!$G62*0.21</f>
        <v>18400.25</v>
      </c>
      <c r="I62" s="31"/>
      <c r="J62" s="31"/>
      <c r="K62" s="31">
        <v>2547.61</v>
      </c>
      <c r="L62" s="31"/>
    </row>
    <row r="63" spans="1:26" ht="18" customHeight="1" x14ac:dyDescent="0.25">
      <c r="D63" s="12"/>
      <c r="E63" s="29"/>
      <c r="F63" s="29"/>
      <c r="G63" s="31"/>
      <c r="H63" s="31">
        <f>'Sept-26'!$G63*0.21</f>
        <v>0</v>
      </c>
      <c r="I63" s="31"/>
      <c r="J63" s="31"/>
      <c r="K63" s="31"/>
      <c r="L63" s="31"/>
    </row>
    <row r="64" spans="1:26" ht="15.75" customHeight="1" x14ac:dyDescent="0.25">
      <c r="D64" s="12"/>
      <c r="E64" s="29"/>
      <c r="F64" s="29"/>
      <c r="G64" s="31"/>
      <c r="H64" s="31">
        <f>'Sept-26'!$G64*0.21</f>
        <v>0</v>
      </c>
      <c r="I64" s="31"/>
      <c r="J64" s="31"/>
      <c r="K64" s="31"/>
      <c r="L64" s="31"/>
    </row>
    <row r="65" spans="4:12" ht="15.75" customHeight="1" x14ac:dyDescent="0.25">
      <c r="D65" s="21" t="s">
        <v>1336</v>
      </c>
      <c r="E65" s="29"/>
      <c r="F65" s="29"/>
      <c r="G65" s="31">
        <f>SUBTOTAL(109,'Sept-26'!$G$61:$G$64)</f>
        <v>198188.98809523811</v>
      </c>
      <c r="H65" s="31">
        <f>SUBTOTAL(109,'Sept-26'!$H$61:$H$64)</f>
        <v>41619.6875</v>
      </c>
      <c r="I65" s="31">
        <f>SUBTOTAL(109,'Sept-26'!$I$61:$I$64)</f>
        <v>0</v>
      </c>
      <c r="J65" s="31">
        <f>SUBTOTAL(109,'Sept-26'!$J$61:$J$64)</f>
        <v>0</v>
      </c>
      <c r="K65" s="31">
        <f>SUBTOTAL(109,'Sept-26'!$K$61:$K$64)</f>
        <v>2547.61</v>
      </c>
      <c r="L65" s="31">
        <f>SUBTOTAL(109,'Sept-26'!$L$61:$L$64)</f>
        <v>0</v>
      </c>
    </row>
    <row r="66" spans="4:12" ht="15.75" customHeight="1" x14ac:dyDescent="0.25"/>
    <row r="67" spans="4:12" ht="15.75" customHeight="1" x14ac:dyDescent="0.25">
      <c r="D67" s="456" t="s">
        <v>1348</v>
      </c>
      <c r="E67" s="448"/>
      <c r="F67" s="448"/>
      <c r="G67" s="448"/>
      <c r="H67" s="448"/>
      <c r="I67" s="448"/>
      <c r="J67" s="448"/>
      <c r="K67" s="449"/>
    </row>
    <row r="68" spans="4:12" ht="15.75" customHeight="1" x14ac:dyDescent="0.25">
      <c r="D68" s="35" t="s">
        <v>1322</v>
      </c>
      <c r="E68" s="35" t="s">
        <v>1324</v>
      </c>
      <c r="F68" s="35" t="s">
        <v>1349</v>
      </c>
      <c r="G68" s="35" t="s">
        <v>0</v>
      </c>
      <c r="H68" s="35" t="s">
        <v>1</v>
      </c>
      <c r="I68" s="36" t="s">
        <v>1334</v>
      </c>
      <c r="J68" s="35" t="s">
        <v>1350</v>
      </c>
      <c r="K68" s="35" t="s">
        <v>1335</v>
      </c>
    </row>
    <row r="69" spans="4:12" ht="15.75" customHeight="1" x14ac:dyDescent="0.25">
      <c r="D69" s="12">
        <v>45901</v>
      </c>
      <c r="E69" s="38">
        <v>4</v>
      </c>
      <c r="F69" s="38">
        <v>61</v>
      </c>
      <c r="G69" s="39">
        <v>20086277523</v>
      </c>
      <c r="H69" s="40" t="str">
        <f>IFERROR(IF('Sept-26'!$G69="","-",VLOOKUP('Sept-26'!$G69,Lista_CUIT!$A$1:$D$2241,2,0)),"CUIT NO CARGADO")</f>
        <v>ESTUDIO BOTINDARI</v>
      </c>
      <c r="I69" s="41">
        <v>400000</v>
      </c>
      <c r="J69" s="42" t="str">
        <f>IFERROR(IF('Sept-26'!$G69="","-",VLOOKUP('Sept-26'!$G69,Lista_CUIT!$A$1:$D$2241,3,0)),"CUIT NO CARGADO")</f>
        <v>Honorarios Contables</v>
      </c>
      <c r="K69" s="42">
        <f>IFERROR(IF('Sept-26'!$G69="","-",VLOOKUP('Sept-26'!$G69,Lista_CUIT!$A$1:$D$2241,4,0)),"CUIT NO CARGADO")</f>
        <v>0</v>
      </c>
    </row>
    <row r="70" spans="4:12" ht="15.75" customHeight="1" x14ac:dyDescent="0.25">
      <c r="D70" s="12">
        <v>45901</v>
      </c>
      <c r="E70" s="38">
        <v>1</v>
      </c>
      <c r="F70" s="38">
        <v>164</v>
      </c>
      <c r="G70" s="39">
        <v>20389908569</v>
      </c>
      <c r="H70" s="40" t="str">
        <f>IFERROR(IF('Sept-26'!$G70="","-",VLOOKUP('Sept-26'!$G70,Lista_CUIT!$A$1:$D$2241,2,0)),"CUIT NO CARGADO")</f>
        <v>BOTINDARI JUAN IGNACIO</v>
      </c>
      <c r="I70" s="41">
        <v>125000</v>
      </c>
      <c r="J70" s="42" t="str">
        <f>IFERROR(IF('Sept-26'!$G70="","-",VLOOKUP('Sept-26'!$G70,Lista_CUIT!$A$1:$D$2241,3,0)),"CUIT NO CARGADO")</f>
        <v>Honorarios Contables</v>
      </c>
      <c r="K70" s="42">
        <f>IFERROR(IF('Sept-26'!$G70="","-",VLOOKUP('Sept-26'!$G70,Lista_CUIT!$A$1:$D$2241,4,0)),"CUIT NO CARGADO")</f>
        <v>0</v>
      </c>
    </row>
    <row r="71" spans="4:12" ht="15.75" customHeight="1" x14ac:dyDescent="0.25">
      <c r="D71" s="12">
        <v>45901</v>
      </c>
      <c r="E71" s="38">
        <v>2</v>
      </c>
      <c r="F71" s="38">
        <v>23</v>
      </c>
      <c r="G71" s="39">
        <v>23118167279</v>
      </c>
      <c r="H71" s="40" t="str">
        <f>IFERROR(IF('Sept-26'!$G71="","-",VLOOKUP('Sept-26'!$G71,Lista_CUIT!$A$1:$D$2241,2,0)),"CUIT NO CARGADO")</f>
        <v>ABELEDO ENRIQUE JUAN</v>
      </c>
      <c r="I71" s="41">
        <v>2860000</v>
      </c>
      <c r="J71" s="42" t="str">
        <f>IFERROR(IF('Sept-26'!$G71="","-",VLOOKUP('Sept-26'!$G71,Lista_CUIT!$A$1:$D$2241,3,0)),"CUIT NO CARGADO")</f>
        <v>Honorarios Admin</v>
      </c>
      <c r="K71" s="42">
        <f>IFERROR(IF('Sept-26'!$G71="","-",VLOOKUP('Sept-26'!$G71,Lista_CUIT!$A$1:$D$2241,4,0)),"CUIT NO CARGADO")</f>
        <v>0</v>
      </c>
    </row>
    <row r="72" spans="4:12" ht="15.75" customHeight="1" x14ac:dyDescent="0.25">
      <c r="D72" s="12">
        <v>45901</v>
      </c>
      <c r="E72" s="38">
        <v>2</v>
      </c>
      <c r="F72" s="38">
        <v>187</v>
      </c>
      <c r="G72" s="39">
        <v>20136544625</v>
      </c>
      <c r="H72" s="40" t="str">
        <f>IFERROR(IF('Sept-26'!$G72="","-",VLOOKUP('Sept-26'!$G72,Lista_CUIT!$A$1:$D$2241,2,0)),"CUIT NO CARGADO")</f>
        <v>RODRIGUEZ DE LA FUEN HECTOR MARCELO</v>
      </c>
      <c r="I72" s="41">
        <v>1217000</v>
      </c>
      <c r="J72" s="42" t="str">
        <f>IFERROR(IF('Sept-26'!$G72="","-",VLOOKUP('Sept-26'!$G72,Lista_CUIT!$A$1:$D$2241,3,0)),"CUIT NO CARGADO")</f>
        <v>Honorarios Admin</v>
      </c>
      <c r="K72" s="42">
        <f>IFERROR(IF('Sept-26'!$G72="","-",VLOOKUP('Sept-26'!$G72,Lista_CUIT!$A$1:$D$2241,4,0)),"CUIT NO CARGADO")</f>
        <v>0</v>
      </c>
    </row>
    <row r="73" spans="4:12" ht="15.75" customHeight="1" x14ac:dyDescent="0.25">
      <c r="D73" s="12">
        <v>45901</v>
      </c>
      <c r="E73" s="38">
        <v>1</v>
      </c>
      <c r="F73" s="38">
        <v>116</v>
      </c>
      <c r="G73" s="39">
        <v>20341465134</v>
      </c>
      <c r="H73" s="40" t="str">
        <f>IFERROR(IF('Sept-26'!$G73="","-",VLOOKUP('Sept-26'!$G73,Lista_CUIT!$A$1:$D$2241,2,0)),"CUIT NO CARGADO")</f>
        <v>ABELEDO AGUSTIN ENRIQUE</v>
      </c>
      <c r="I73" s="41">
        <v>3147900</v>
      </c>
      <c r="J73" s="42" t="str">
        <f>IFERROR(IF('Sept-26'!$G73="","-",VLOOKUP('Sept-26'!$G73,Lista_CUIT!$A$1:$D$2241,3,0)),"CUIT NO CARGADO")</f>
        <v>Mantenimiento</v>
      </c>
      <c r="K73" s="42" t="str">
        <f>IFERROR(IF('Sept-26'!$G73="","-",VLOOKUP('Sept-26'!$G73,Lista_CUIT!$A$1:$D$2241,4,0)),"CUIT NO CARGADO")</f>
        <v>CABA</v>
      </c>
    </row>
    <row r="74" spans="4:12" ht="15.75" customHeight="1" x14ac:dyDescent="0.25">
      <c r="D74" s="12">
        <v>45903</v>
      </c>
      <c r="E74" s="38">
        <v>1</v>
      </c>
      <c r="F74" s="38">
        <v>45</v>
      </c>
      <c r="G74" s="39">
        <v>27387896150</v>
      </c>
      <c r="H74" s="40" t="str">
        <f>IFERROR(IF('Sept-26'!$G74="","-",VLOOKUP('Sept-26'!$G74,Lista_CUIT!$A$1:$D$2241,2,0)),"CUIT NO CARGADO")</f>
        <v>LIPANOVICH MARIA SOL</v>
      </c>
      <c r="I74" s="41">
        <v>613357.80000000005</v>
      </c>
      <c r="J74" s="42" t="str">
        <f>IFERROR(IF('Sept-26'!$G74="","-",VLOOKUP('Sept-26'!$G74,Lista_CUIT!$A$1:$D$2241,3,0)),"CUIT NO CARGADO")</f>
        <v>consultoria informatica</v>
      </c>
      <c r="K74" s="42">
        <f>IFERROR(IF('Sept-26'!$G74="","-",VLOOKUP('Sept-26'!$G74,Lista_CUIT!$A$1:$D$2241,4,0)),"CUIT NO CARGADO")</f>
        <v>0</v>
      </c>
    </row>
    <row r="75" spans="4:12" ht="15.75" customHeight="1" x14ac:dyDescent="0.25">
      <c r="D75" s="12">
        <v>45903</v>
      </c>
      <c r="E75" s="38">
        <v>1</v>
      </c>
      <c r="F75" s="38">
        <v>46</v>
      </c>
      <c r="G75" s="39">
        <v>27387896150</v>
      </c>
      <c r="H75" s="40" t="str">
        <f>IFERROR(IF('Sept-26'!$G75="","-",VLOOKUP('Sept-26'!$G75,Lista_CUIT!$A$1:$D$2241,2,0)),"CUIT NO CARGADO")</f>
        <v>LIPANOVICH MARIA SOL</v>
      </c>
      <c r="I75" s="41">
        <v>1925000</v>
      </c>
      <c r="J75" s="42" t="str">
        <f>IFERROR(IF('Sept-26'!$G75="","-",VLOOKUP('Sept-26'!$G75,Lista_CUIT!$A$1:$D$2241,3,0)),"CUIT NO CARGADO")</f>
        <v>consultoria informatica</v>
      </c>
      <c r="K75" s="42">
        <f>IFERROR(IF('Sept-26'!$G75="","-",VLOOKUP('Sept-26'!$G75,Lista_CUIT!$A$1:$D$2241,4,0)),"CUIT NO CARGADO")</f>
        <v>0</v>
      </c>
    </row>
    <row r="76" spans="4:12" ht="15.75" customHeight="1" x14ac:dyDescent="0.25">
      <c r="D76" s="12">
        <v>45908</v>
      </c>
      <c r="E76" s="38">
        <v>2</v>
      </c>
      <c r="F76" s="38">
        <v>1039</v>
      </c>
      <c r="G76" s="39">
        <v>20400104094</v>
      </c>
      <c r="H76" s="40" t="str">
        <f>IFERROR(IF('Sept-26'!$G76="","-",VLOOKUP('Sept-26'!$G76,Lista_CUIT!$A$1:$D$2241,2,0)),"CUIT NO CARGADO")</f>
        <v>FEDERICO BOTINDARI</v>
      </c>
      <c r="I76" s="41">
        <v>3500000</v>
      </c>
      <c r="J76" s="42" t="str">
        <f>IFERROR(IF('Sept-26'!$G76="","-",VLOOKUP('Sept-26'!$G76,Lista_CUIT!$A$1:$D$2241,3,0)),"CUIT NO CARGADO")</f>
        <v>Honorarios Contables</v>
      </c>
      <c r="K76" s="42">
        <f>IFERROR(IF('Sept-26'!$G76="","-",VLOOKUP('Sept-26'!$G76,Lista_CUIT!$A$1:$D$2241,4,0)),"CUIT NO CARGADO")</f>
        <v>0</v>
      </c>
    </row>
    <row r="77" spans="4:12" ht="15.75" customHeight="1" x14ac:dyDescent="0.25">
      <c r="D77" s="12">
        <v>45908</v>
      </c>
      <c r="E77" s="38">
        <v>2</v>
      </c>
      <c r="F77" s="38">
        <v>293</v>
      </c>
      <c r="G77" s="39">
        <v>27173820866</v>
      </c>
      <c r="H77" s="40" t="str">
        <f>IFERROR(IF('Sept-26'!$G77="","-",VLOOKUP('Sept-26'!$G77,Lista_CUIT!$A$1:$D$2241,2,0)),"CUIT NO CARGADO")</f>
        <v>FREIER SANDRA DANIELA</v>
      </c>
      <c r="I77" s="41">
        <v>1550000</v>
      </c>
      <c r="J77" s="42" t="str">
        <f>IFERROR(IF('Sept-26'!$G77="","-",VLOOKUP('Sept-26'!$G77,Lista_CUIT!$A$1:$D$2241,3,0)),"CUIT NO CARGADO")</f>
        <v>Honorarios Prof</v>
      </c>
      <c r="K77" s="42">
        <f>IFERROR(IF('Sept-26'!$G77="","-",VLOOKUP('Sept-26'!$G77,Lista_CUIT!$A$1:$D$2241,4,0)),"CUIT NO CARGADO")</f>
        <v>0</v>
      </c>
    </row>
    <row r="78" spans="4:12" ht="15.75" customHeight="1" x14ac:dyDescent="0.25">
      <c r="D78" s="95">
        <v>45923</v>
      </c>
      <c r="E78" s="115">
        <v>4</v>
      </c>
      <c r="F78" s="115">
        <v>56</v>
      </c>
      <c r="G78" s="116">
        <v>20341462933</v>
      </c>
      <c r="H78" s="117" t="str">
        <f>IFERROR(IF('Sept-26'!$G78="","-",VLOOKUP('Sept-26'!$G78,Lista_CUIT!$A$1:$D$2241,2,0)),"CUIT NO CARGADO")</f>
        <v>CASTIGLIONI MATIAS EZEQUIEL</v>
      </c>
      <c r="I78" s="118">
        <v>2628000</v>
      </c>
      <c r="J78" s="119" t="str">
        <f>IFERROR(IF('Sept-26'!$G78="","-",VLOOKUP('Sept-26'!$G78,Lista_CUIT!$A$1:$D$2241,3,0)),"CUIT NO CARGADO")</f>
        <v>ASESORAMIENTO</v>
      </c>
      <c r="K78" s="119" t="str">
        <f>IFERROR(IF('Sept-26'!$G78="","-",VLOOKUP('Sept-26'!$G78,Lista_CUIT!$A$1:$D$2241,4,0)),"CUIT NO CARGADO")</f>
        <v>BUENOS AIRES</v>
      </c>
    </row>
    <row r="79" spans="4:12" ht="15.75" customHeight="1" x14ac:dyDescent="0.25">
      <c r="D79" s="12">
        <v>45929</v>
      </c>
      <c r="E79" s="38">
        <v>4</v>
      </c>
      <c r="F79" s="38">
        <v>65</v>
      </c>
      <c r="G79" s="39">
        <v>20086277523</v>
      </c>
      <c r="H79" s="40" t="str">
        <f>IFERROR(IF('Sept-26'!$G79="","-",VLOOKUP('Sept-26'!$G79,Lista_CUIT!$A$1:$D$2241,2,0)),"CUIT NO CARGADO")</f>
        <v>ESTUDIO BOTINDARI</v>
      </c>
      <c r="I79" s="41">
        <v>1150000</v>
      </c>
      <c r="J79" s="42" t="str">
        <f>IFERROR(IF('Sept-26'!$G79="","-",VLOOKUP('Sept-26'!$G79,Lista_CUIT!$A$1:$D$2241,3,0)),"CUIT NO CARGADO")</f>
        <v>Honorarios Contables</v>
      </c>
      <c r="K79" s="42">
        <f>IFERROR(IF('Sept-26'!$G79="","-",VLOOKUP('Sept-26'!$G79,Lista_CUIT!$A$1:$D$2241,4,0)),"CUIT NO CARGADO")</f>
        <v>0</v>
      </c>
    </row>
    <row r="80" spans="4:12" ht="15.75" customHeight="1" x14ac:dyDescent="0.25">
      <c r="D80" s="12">
        <v>45930</v>
      </c>
      <c r="E80" s="38">
        <v>4</v>
      </c>
      <c r="F80" s="38">
        <v>698</v>
      </c>
      <c r="G80" s="39">
        <v>20104903844</v>
      </c>
      <c r="H80" s="40" t="str">
        <f>IFERROR(IF('Sept-26'!$G80="","-",VLOOKUP('Sept-26'!$G80,Lista_CUIT!$A$1:$D$2241,2,0)),"CUIT NO CARGADO")</f>
        <v>URBIETA MARIO CESAR</v>
      </c>
      <c r="I80" s="41">
        <v>33000</v>
      </c>
      <c r="J80" s="42">
        <f>IFERROR(IF('Sept-26'!$G80="","-",VLOOKUP('Sept-26'!$G80,Lista_CUIT!$A$1:$D$2241,3,0)),"CUIT NO CARGADO")</f>
        <v>0</v>
      </c>
      <c r="K80" s="42">
        <f>IFERROR(IF('Sept-26'!$G80="","-",VLOOKUP('Sept-26'!$G80,Lista_CUIT!$A$1:$D$2241,4,0)),"CUIT NO CARGADO")</f>
        <v>0</v>
      </c>
    </row>
    <row r="81" spans="2:18" ht="15.75" customHeight="1" x14ac:dyDescent="0.25">
      <c r="D81" s="12">
        <v>45930</v>
      </c>
      <c r="E81" s="38">
        <v>1</v>
      </c>
      <c r="F81" s="38">
        <v>36</v>
      </c>
      <c r="G81" s="39">
        <v>20419155870</v>
      </c>
      <c r="H81" s="40" t="str">
        <f>IFERROR(IF('Sept-26'!$G81="","-",VLOOKUP('Sept-26'!$G81,Lista_CUIT!$A$1:$D$2241,2,0)),"CUIT NO CARGADO")</f>
        <v>GULLO GASPAR</v>
      </c>
      <c r="I81" s="41">
        <v>75000</v>
      </c>
      <c r="J81" s="42" t="str">
        <f>IFERROR(IF('Sept-26'!$G81="","-",VLOOKUP('Sept-26'!$G81,Lista_CUIT!$A$1:$D$2241,3,0)),"CUIT NO CARGADO")</f>
        <v>Honorarios Contables</v>
      </c>
      <c r="K81" s="42">
        <f>IFERROR(IF('Sept-26'!$G81="","-",VLOOKUP('Sept-26'!$G81,Lista_CUIT!$A$1:$D$2241,4,0)),"CUIT NO CARGADO")</f>
        <v>0</v>
      </c>
    </row>
    <row r="82" spans="2:18" ht="15.75" customHeight="1" x14ac:dyDescent="0.25">
      <c r="D82" s="95">
        <v>45930</v>
      </c>
      <c r="E82" s="96">
        <v>1</v>
      </c>
      <c r="F82" s="97">
        <v>117</v>
      </c>
      <c r="G82" s="98">
        <v>20341465134</v>
      </c>
      <c r="H82" s="117" t="str">
        <f>IFERROR(IF('Sept-26'!$G82="","-",VLOOKUP('Sept-26'!$G82,Lista_CUIT!$A$1:$D$2241,2,0)),"CUIT NO CARGADO")</f>
        <v>ABELEDO AGUSTIN ENRIQUE</v>
      </c>
      <c r="I82" s="120">
        <v>3147900</v>
      </c>
      <c r="J82" s="119" t="str">
        <f>IFERROR(IF('Sept-26'!$G82="","-",VLOOKUP('Sept-26'!$G82,Lista_CUIT!$A$1:$D$2241,3,0)),"CUIT NO CARGADO")</f>
        <v>Mantenimiento</v>
      </c>
      <c r="K82" s="119" t="str">
        <f>IFERROR(IF('Sept-26'!$G82="","-",VLOOKUP('Sept-26'!$G82,Lista_CUIT!$A$1:$D$2241,4,0)),"CUIT NO CARGADO")</f>
        <v>CABA</v>
      </c>
    </row>
    <row r="83" spans="2:18" ht="15.75" customHeight="1" x14ac:dyDescent="0.25">
      <c r="D83" s="42" t="s">
        <v>1336</v>
      </c>
      <c r="E83" s="42"/>
      <c r="F83" s="42"/>
      <c r="G83" s="42"/>
      <c r="H83" s="44"/>
      <c r="I83" s="41">
        <f>SUBTOTAL(109,'Sept-26'!$I$69:$I$82)</f>
        <v>22372157.800000001</v>
      </c>
      <c r="J83" s="42"/>
      <c r="K83" s="42"/>
    </row>
    <row r="84" spans="2:18" ht="15.75" customHeight="1" x14ac:dyDescent="0.25">
      <c r="B84" s="43"/>
      <c r="C84" s="43"/>
      <c r="L84" s="43"/>
      <c r="M84" s="43"/>
      <c r="N84" s="43"/>
      <c r="O84" s="43"/>
      <c r="P84" s="43"/>
      <c r="Q84" s="43"/>
      <c r="R84" s="43"/>
    </row>
    <row r="85" spans="2:18" ht="15.75" customHeight="1" x14ac:dyDescent="0.25"/>
    <row r="86" spans="2:18" ht="15.75" customHeight="1" x14ac:dyDescent="0.25"/>
    <row r="87" spans="2:18" ht="18.75" customHeight="1" x14ac:dyDescent="0.25"/>
    <row r="88" spans="2:18" ht="15.75" customHeight="1" x14ac:dyDescent="0.25"/>
    <row r="89" spans="2:18" ht="15.75" customHeight="1" x14ac:dyDescent="0.25">
      <c r="B89" s="464" t="s">
        <v>1351</v>
      </c>
      <c r="C89" s="448"/>
      <c r="D89" s="448"/>
      <c r="E89" s="448"/>
      <c r="F89" s="448"/>
      <c r="G89" s="448"/>
      <c r="H89" s="448"/>
      <c r="I89" s="448"/>
      <c r="J89" s="449"/>
      <c r="K89" s="465">
        <f>N1</f>
        <v>45901</v>
      </c>
      <c r="L89" s="448"/>
      <c r="M89" s="449"/>
    </row>
    <row r="90" spans="2:18" ht="15.75" customHeight="1" x14ac:dyDescent="0.25"/>
    <row r="91" spans="2:18" ht="15.75" customHeight="1" x14ac:dyDescent="0.25">
      <c r="B91" s="457" t="s">
        <v>1352</v>
      </c>
      <c r="C91" s="458"/>
    </row>
    <row r="92" spans="2:18" ht="15.75" customHeight="1" x14ac:dyDescent="0.25">
      <c r="B92" s="121" t="s">
        <v>1322</v>
      </c>
      <c r="C92" s="121" t="s">
        <v>1323</v>
      </c>
      <c r="D92" s="121" t="s">
        <v>1353</v>
      </c>
      <c r="E92" s="121" t="s">
        <v>1354</v>
      </c>
      <c r="F92" s="121" t="s">
        <v>0</v>
      </c>
      <c r="G92" s="121" t="s">
        <v>1</v>
      </c>
      <c r="H92" s="121" t="s">
        <v>1355</v>
      </c>
      <c r="I92" s="121" t="s">
        <v>1341</v>
      </c>
      <c r="J92" s="121" t="s">
        <v>1329</v>
      </c>
      <c r="K92" s="121" t="s">
        <v>1356</v>
      </c>
      <c r="L92" s="121" t="s">
        <v>1334</v>
      </c>
      <c r="M92" s="121" t="s">
        <v>1335</v>
      </c>
    </row>
    <row r="93" spans="2:18" ht="15.75" customHeight="1" x14ac:dyDescent="0.25">
      <c r="B93" s="122">
        <v>45912</v>
      </c>
      <c r="C93" s="123">
        <v>1</v>
      </c>
      <c r="D93" s="124">
        <v>3</v>
      </c>
      <c r="E93" s="125">
        <v>288</v>
      </c>
      <c r="F93" s="126">
        <v>30716244330</v>
      </c>
      <c r="G93" s="99" t="str">
        <f>IFERROR(IF('Sept-26'!$F93="","-",VLOOKUP('Sept-26'!$F93,Lista_CUIT!$A$1:$D$2241,2,0)),"CUIT NO CARGADO")</f>
        <v>VULPIANI S.A.</v>
      </c>
      <c r="H93" s="49">
        <v>1450000</v>
      </c>
      <c r="I93" s="50">
        <f>'Sept-26'!$H93*0.21</f>
        <v>304500</v>
      </c>
      <c r="J93" s="51"/>
      <c r="K93" s="51"/>
      <c r="L93" s="51">
        <f>SUM('Sept-26'!$H93:$K93)</f>
        <v>1754500</v>
      </c>
      <c r="M93" s="127"/>
    </row>
    <row r="94" spans="2:18" ht="15.75" customHeight="1" x14ac:dyDescent="0.25">
      <c r="B94" s="122">
        <v>45917</v>
      </c>
      <c r="C94" s="123">
        <v>1</v>
      </c>
      <c r="D94" s="124">
        <v>3</v>
      </c>
      <c r="E94" s="125">
        <v>289</v>
      </c>
      <c r="F94" s="126">
        <v>30628274327</v>
      </c>
      <c r="G94" s="99" t="str">
        <f>IFERROR(IF('Sept-26'!$F94="","-",VLOOKUP('Sept-26'!$F94,Lista_CUIT!$A$1:$D$2241,2,0)),"CUIT NO CARGADO")</f>
        <v>AGIRA  S A</v>
      </c>
      <c r="H94" s="49">
        <v>24906500</v>
      </c>
      <c r="I94" s="50"/>
      <c r="J94" s="51">
        <f>Table_39[[#This Row],[IMPORTE NETO]]*0.105</f>
        <v>2615182.5</v>
      </c>
      <c r="K94" s="51"/>
      <c r="L94" s="51">
        <f>SUM('Sept-26'!$H94:$K94)</f>
        <v>27521682.5</v>
      </c>
      <c r="M94" s="127"/>
    </row>
    <row r="95" spans="2:18" ht="15.75" customHeight="1" x14ac:dyDescent="0.25">
      <c r="B95" s="122">
        <v>45917</v>
      </c>
      <c r="C95" s="123">
        <v>1</v>
      </c>
      <c r="D95" s="124">
        <v>3</v>
      </c>
      <c r="E95" s="125">
        <v>291</v>
      </c>
      <c r="F95" s="126">
        <v>30638318470</v>
      </c>
      <c r="G95" s="99" t="str">
        <f>IFERROR(IF('Sept-26'!$F95="","-",VLOOKUP('Sept-26'!$F95,Lista_CUIT!$A$1:$D$2241,2,0)),"CUIT NO CARGADO")</f>
        <v>DELTA COMPRESION S R L</v>
      </c>
      <c r="H95" s="49">
        <v>5190372</v>
      </c>
      <c r="I95" s="50">
        <f>'Sept-26'!$H95*0.21</f>
        <v>1089978.1199999999</v>
      </c>
      <c r="J95" s="51"/>
      <c r="K95" s="51"/>
      <c r="L95" s="51">
        <f>SUM('Sept-26'!$H95:$K95)</f>
        <v>6280350.1200000001</v>
      </c>
      <c r="M95" s="127"/>
    </row>
    <row r="96" spans="2:18" ht="15.75" customHeight="1" x14ac:dyDescent="0.25">
      <c r="B96" s="122">
        <v>45917</v>
      </c>
      <c r="C96" s="123">
        <v>1</v>
      </c>
      <c r="D96" s="124">
        <v>3</v>
      </c>
      <c r="E96" s="125">
        <v>290</v>
      </c>
      <c r="F96" s="126">
        <v>30638318470</v>
      </c>
      <c r="G96" s="99" t="str">
        <f>IFERROR(IF('Sept-26'!$F96="","-",VLOOKUP('Sept-26'!$F96,Lista_CUIT!$A$1:$D$2241,2,0)),"CUIT NO CARGADO")</f>
        <v>DELTA COMPRESION S R L</v>
      </c>
      <c r="H96" s="49">
        <v>57914495.100000001</v>
      </c>
      <c r="I96" s="50">
        <f>'Sept-26'!$H96*0.21</f>
        <v>12162043.970999999</v>
      </c>
      <c r="J96" s="51"/>
      <c r="K96" s="51"/>
      <c r="L96" s="51">
        <f>SUM('Sept-26'!$H96:$K96)</f>
        <v>70076539.070999995</v>
      </c>
      <c r="M96" s="127"/>
    </row>
    <row r="97" spans="2:13" ht="15.75" customHeight="1" x14ac:dyDescent="0.25">
      <c r="B97" s="122">
        <v>45930</v>
      </c>
      <c r="C97" s="123">
        <v>1</v>
      </c>
      <c r="D97" s="124">
        <v>3</v>
      </c>
      <c r="E97" s="125">
        <v>292</v>
      </c>
      <c r="F97" s="126">
        <v>30716041596</v>
      </c>
      <c r="G97" s="99" t="str">
        <f>IFERROR(IF('Sept-26'!$F97="","-",VLOOKUP('Sept-26'!$F97,Lista_CUIT!$A$1:$D$2241,2,0)),"CUIT NO CARGADO")</f>
        <v>EXA COMPRESION S.R.L.</v>
      </c>
      <c r="H97" s="49">
        <v>7293300</v>
      </c>
      <c r="I97" s="50">
        <f>'Sept-26'!$H97*0.21</f>
        <v>1531593</v>
      </c>
      <c r="J97" s="51"/>
      <c r="K97" s="51"/>
      <c r="L97" s="51">
        <f>SUM('Sept-26'!$H97:$K97)</f>
        <v>8824893</v>
      </c>
      <c r="M97" s="127"/>
    </row>
    <row r="98" spans="2:13" ht="15.75" customHeight="1" x14ac:dyDescent="0.25">
      <c r="B98" s="122">
        <v>45917</v>
      </c>
      <c r="C98" s="123">
        <v>2</v>
      </c>
      <c r="D98" s="124">
        <v>3</v>
      </c>
      <c r="E98" s="125">
        <v>12</v>
      </c>
      <c r="F98" s="126">
        <v>30638318470</v>
      </c>
      <c r="G98" s="99" t="str">
        <f>IFERROR(IF('Sept-26'!$F98="","-",VLOOKUP('Sept-26'!$F98,Lista_CUIT!$A$1:$D$2241,2,0)),"CUIT NO CARGADO")</f>
        <v>DELTA COMPRESION S R L</v>
      </c>
      <c r="H98" s="49">
        <v>57914495.100000001</v>
      </c>
      <c r="I98" s="50">
        <f>'Sept-26'!$H98*0.21</f>
        <v>12162043.970999999</v>
      </c>
      <c r="J98" s="51"/>
      <c r="K98" s="51"/>
      <c r="L98" s="51">
        <f>SUM('Sept-26'!$H98:$K98)</f>
        <v>70076539.070999995</v>
      </c>
      <c r="M98" s="127"/>
    </row>
    <row r="99" spans="2:13" ht="15.75" customHeight="1" x14ac:dyDescent="0.25">
      <c r="B99" s="122">
        <v>45930</v>
      </c>
      <c r="C99" s="123">
        <v>2</v>
      </c>
      <c r="D99" s="124">
        <v>3</v>
      </c>
      <c r="E99" s="125">
        <v>13</v>
      </c>
      <c r="F99" s="126">
        <v>30638318470</v>
      </c>
      <c r="G99" s="99" t="str">
        <f>IFERROR(IF('Sept-26'!$F99="","-",VLOOKUP('Sept-26'!$F99,Lista_CUIT!$A$1:$D$2241,2,0)),"CUIT NO CARGADO")</f>
        <v>DELTA COMPRESION S R L</v>
      </c>
      <c r="H99" s="49">
        <v>63104867.100000001</v>
      </c>
      <c r="I99" s="50">
        <f>'Sept-26'!$H99*0.21</f>
        <v>13252022.091</v>
      </c>
      <c r="J99" s="51"/>
      <c r="K99" s="51"/>
      <c r="L99" s="51">
        <f>SUM('Sept-26'!$H99:$K99)</f>
        <v>76356889.191</v>
      </c>
      <c r="M99" s="127"/>
    </row>
    <row r="100" spans="2:13" ht="15.75" customHeight="1" x14ac:dyDescent="0.25">
      <c r="B100" s="122">
        <v>45917</v>
      </c>
      <c r="C100" s="123">
        <v>3</v>
      </c>
      <c r="D100" s="124">
        <v>3</v>
      </c>
      <c r="E100" s="125">
        <v>31</v>
      </c>
      <c r="F100" s="126">
        <v>30638318470</v>
      </c>
      <c r="G100" s="99" t="str">
        <f>IFERROR(IF('Sept-26'!$F100="","-",VLOOKUP('Sept-26'!$F100,Lista_CUIT!$A$1:$D$2241,2,0)),"CUIT NO CARGADO")</f>
        <v>DELTA COMPRESION S R L</v>
      </c>
      <c r="H100" s="49">
        <v>-57914495.100000001</v>
      </c>
      <c r="I100" s="50">
        <f>'Sept-26'!$H100*0.21</f>
        <v>-12162043.970999999</v>
      </c>
      <c r="J100" s="51"/>
      <c r="K100" s="51"/>
      <c r="L100" s="51">
        <f>SUM('Sept-26'!$H100:$K100)</f>
        <v>-70076539.070999995</v>
      </c>
      <c r="M100" s="127"/>
    </row>
    <row r="101" spans="2:13" ht="15.75" customHeight="1" x14ac:dyDescent="0.25">
      <c r="B101" s="122">
        <v>45930</v>
      </c>
      <c r="C101" s="123">
        <v>3</v>
      </c>
      <c r="D101" s="124">
        <v>3</v>
      </c>
      <c r="E101" s="125">
        <v>35</v>
      </c>
      <c r="F101" s="126">
        <v>30718833112</v>
      </c>
      <c r="G101" s="99" t="str">
        <f>IFERROR(IF('Sept-26'!$F101="","-",VLOOKUP('Sept-26'!$F101,Lista_CUIT!$A$1:$D$2241,2,0)),"CUIT NO CARGADO")</f>
        <v>GUGAGAS ENERGY S.R.L.</v>
      </c>
      <c r="H101" s="49">
        <v>-4539000</v>
      </c>
      <c r="I101" s="50">
        <f>'Sept-26'!$H101*0.21</f>
        <v>-953190</v>
      </c>
      <c r="J101" s="51"/>
      <c r="K101" s="51"/>
      <c r="L101" s="51">
        <f>SUM('Sept-26'!$H101:$K101)</f>
        <v>-5492190</v>
      </c>
      <c r="M101" s="127"/>
    </row>
    <row r="102" spans="2:13" ht="15.75" customHeight="1" x14ac:dyDescent="0.25">
      <c r="B102" s="128">
        <v>45930</v>
      </c>
      <c r="C102" s="123">
        <v>3</v>
      </c>
      <c r="D102" s="64">
        <v>3</v>
      </c>
      <c r="E102" s="65">
        <v>33</v>
      </c>
      <c r="F102" s="66">
        <v>30638318470</v>
      </c>
      <c r="G102" s="99" t="str">
        <f>IFERROR(IF('Sept-26'!$F102="","-",VLOOKUP('Sept-26'!$F102,Lista_CUIT!$A$1:$D$2241,2,0)),"CUIT NO CARGADO")</f>
        <v>DELTA COMPRESION S R L</v>
      </c>
      <c r="H102" s="49">
        <v>-5190372</v>
      </c>
      <c r="I102" s="50">
        <f>'Sept-26'!$H102*0.21</f>
        <v>-1089978.1199999999</v>
      </c>
      <c r="J102" s="51"/>
      <c r="K102" s="51"/>
      <c r="L102" s="51">
        <f>SUM('Sept-26'!$H102:$K102)</f>
        <v>-6280350.1200000001</v>
      </c>
      <c r="M102" s="127"/>
    </row>
    <row r="103" spans="2:13" ht="15.75" customHeight="1" x14ac:dyDescent="0.25">
      <c r="B103" s="128">
        <v>45930</v>
      </c>
      <c r="C103" s="123">
        <v>3</v>
      </c>
      <c r="D103" s="64">
        <v>3</v>
      </c>
      <c r="E103" s="65">
        <v>34</v>
      </c>
      <c r="F103" s="66">
        <v>30638318470</v>
      </c>
      <c r="G103" s="99" t="str">
        <f>IFERROR(IF('Sept-26'!$F103="","-",VLOOKUP('Sept-26'!$F103,Lista_CUIT!$A$1:$D$2241,2,0)),"CUIT NO CARGADO")</f>
        <v>DELTA COMPRESION S R L</v>
      </c>
      <c r="H103" s="49">
        <v>-57914495.100000001</v>
      </c>
      <c r="I103" s="50">
        <f>'Sept-26'!$H103*0.21</f>
        <v>-12162043.970999999</v>
      </c>
      <c r="J103" s="51"/>
      <c r="K103" s="51"/>
      <c r="L103" s="51">
        <f>SUM('Sept-26'!$H103:$K103)</f>
        <v>-70076539.070999995</v>
      </c>
      <c r="M103" s="127"/>
    </row>
    <row r="104" spans="2:13" ht="15.75" customHeight="1" x14ac:dyDescent="0.25">
      <c r="B104" s="128">
        <v>45930</v>
      </c>
      <c r="C104" s="123">
        <v>3</v>
      </c>
      <c r="D104" s="64">
        <v>3</v>
      </c>
      <c r="E104" s="65">
        <v>32</v>
      </c>
      <c r="F104" s="66">
        <v>30638318470</v>
      </c>
      <c r="G104" s="99" t="str">
        <f>IFERROR(IF('Sept-26'!$F104="","-",VLOOKUP('Sept-26'!$F104,Lista_CUIT!$A$1:$D$2241,2,0)),"CUIT NO CARGADO")</f>
        <v>DELTA COMPRESION S R L</v>
      </c>
      <c r="H104" s="49">
        <v>-63104867.100000001</v>
      </c>
      <c r="I104" s="50">
        <f>'Sept-26'!$H104*0.21</f>
        <v>-13252022.091</v>
      </c>
      <c r="J104" s="51"/>
      <c r="K104" s="51"/>
      <c r="L104" s="51">
        <f>SUM('Sept-26'!$H104:$K104)</f>
        <v>-76356889.191</v>
      </c>
      <c r="M104" s="127"/>
    </row>
    <row r="105" spans="2:13" ht="15.75" customHeight="1" x14ac:dyDescent="0.25">
      <c r="B105" s="68" t="s">
        <v>1336</v>
      </c>
      <c r="C105" s="69"/>
      <c r="D105" s="69"/>
      <c r="E105" s="69"/>
      <c r="F105" s="69"/>
      <c r="G105" s="69"/>
      <c r="H105" s="70">
        <f>SUBTOTAL(109,'Sept-26'!$H$93:$H$104)</f>
        <v>29110799.999999993</v>
      </c>
      <c r="I105" s="71">
        <f>SUBTOTAL(109,'Sept-26'!$I$93:$I$104)</f>
        <v>882902.99999999627</v>
      </c>
      <c r="J105" s="61">
        <f>SUBTOTAL(109,'Sept-26'!$J$93:$J$104)</f>
        <v>2615182.5</v>
      </c>
      <c r="K105" s="61">
        <f>SUBTOTAL(109,'Sept-26'!$K$93:$K$104)</f>
        <v>0</v>
      </c>
      <c r="L105" s="61">
        <f>SUBTOTAL(109,'Sept-26'!$L$93:$L$104)</f>
        <v>32608885.49999997</v>
      </c>
      <c r="M105" s="72">
        <f>SUBTOTAL(103,'Sept-26'!$M$93:$M$104)</f>
        <v>0</v>
      </c>
    </row>
    <row r="106" spans="2:13" ht="15.75" customHeight="1" x14ac:dyDescent="0.25"/>
    <row r="107" spans="2:13" ht="15.75" customHeight="1" x14ac:dyDescent="0.25">
      <c r="B107" s="457" t="s">
        <v>1357</v>
      </c>
      <c r="C107" s="458"/>
    </row>
    <row r="108" spans="2:13" ht="15.75" customHeight="1" x14ac:dyDescent="0.25">
      <c r="B108" s="121" t="s">
        <v>1322</v>
      </c>
      <c r="C108" s="121" t="s">
        <v>1323</v>
      </c>
      <c r="D108" s="121" t="s">
        <v>1353</v>
      </c>
      <c r="E108" s="121" t="s">
        <v>1354</v>
      </c>
      <c r="F108" s="121" t="s">
        <v>0</v>
      </c>
      <c r="G108" s="121" t="s">
        <v>1</v>
      </c>
      <c r="H108" s="121" t="s">
        <v>1355</v>
      </c>
      <c r="I108" s="121" t="s">
        <v>1341</v>
      </c>
      <c r="J108" s="121" t="s">
        <v>1329</v>
      </c>
      <c r="K108" s="121" t="s">
        <v>1356</v>
      </c>
      <c r="L108" s="121" t="s">
        <v>1334</v>
      </c>
      <c r="M108" s="121" t="s">
        <v>1335</v>
      </c>
    </row>
    <row r="109" spans="2:13" ht="15.75" customHeight="1" x14ac:dyDescent="0.25">
      <c r="B109" s="122"/>
      <c r="C109" s="123"/>
      <c r="D109" s="124"/>
      <c r="E109" s="125"/>
      <c r="F109" s="126"/>
      <c r="G109" s="73" t="str">
        <f>IFERROR(IF('Sept-26'!$F109="","-",VLOOKUP('Sept-26'!$F109,Lista_CUIT!$A$1:$D$2241,2,0)),"CUIT NO CARGADO")</f>
        <v>-</v>
      </c>
      <c r="H109" s="74"/>
      <c r="I109" s="74"/>
      <c r="J109" s="74"/>
      <c r="K109" s="74"/>
      <c r="L109" s="74">
        <f>SUM('Sept-26'!$H109:$K109)</f>
        <v>0</v>
      </c>
      <c r="M109" s="127"/>
    </row>
    <row r="110" spans="2:13" ht="15.75" customHeight="1" x14ac:dyDescent="0.25">
      <c r="B110" s="122"/>
      <c r="C110" s="123"/>
      <c r="D110" s="124"/>
      <c r="E110" s="125"/>
      <c r="F110" s="126"/>
      <c r="G110" s="73"/>
      <c r="H110" s="74"/>
      <c r="I110" s="74"/>
      <c r="J110" s="74"/>
      <c r="K110" s="74"/>
      <c r="L110" s="74">
        <f>SUM('Sept-26'!$H110:$K110)</f>
        <v>0</v>
      </c>
      <c r="M110" s="127"/>
    </row>
    <row r="111" spans="2:13" ht="15.75" customHeight="1" x14ac:dyDescent="0.25">
      <c r="B111" s="122"/>
      <c r="C111" s="123"/>
      <c r="D111" s="124"/>
      <c r="E111" s="125"/>
      <c r="F111" s="126"/>
      <c r="G111" s="73"/>
      <c r="H111" s="74"/>
      <c r="I111" s="74"/>
      <c r="J111" s="74"/>
      <c r="K111" s="74"/>
      <c r="L111" s="74">
        <f>SUM('Sept-26'!$H111:$K111)</f>
        <v>0</v>
      </c>
      <c r="M111" s="127"/>
    </row>
    <row r="112" spans="2:13" ht="15.75" customHeight="1" x14ac:dyDescent="0.25">
      <c r="B112" s="122"/>
      <c r="C112" s="123"/>
      <c r="D112" s="124"/>
      <c r="E112" s="125"/>
      <c r="F112" s="126"/>
      <c r="G112" s="73"/>
      <c r="H112" s="74"/>
      <c r="I112" s="74"/>
      <c r="J112" s="74"/>
      <c r="K112" s="74"/>
      <c r="L112" s="74">
        <f>SUM('Sept-26'!$H112:$K112)</f>
        <v>0</v>
      </c>
      <c r="M112" s="127"/>
    </row>
    <row r="113" spans="1:26" ht="15.75" customHeight="1" x14ac:dyDescent="0.25">
      <c r="B113" s="122"/>
      <c r="C113" s="123"/>
      <c r="D113" s="124"/>
      <c r="E113" s="125"/>
      <c r="F113" s="126"/>
      <c r="G113" s="73"/>
      <c r="H113" s="74"/>
      <c r="I113" s="74"/>
      <c r="J113" s="74"/>
      <c r="K113" s="74"/>
      <c r="L113" s="74">
        <f>SUM('Sept-26'!$H113:$K113)</f>
        <v>0</v>
      </c>
      <c r="M113" s="127"/>
    </row>
    <row r="114" spans="1:26" ht="15.75" customHeight="1" x14ac:dyDescent="0.25">
      <c r="B114" s="122"/>
      <c r="C114" s="123"/>
      <c r="D114" s="124"/>
      <c r="E114" s="125"/>
      <c r="F114" s="126"/>
      <c r="G114" s="73"/>
      <c r="H114" s="74"/>
      <c r="I114" s="74"/>
      <c r="J114" s="74"/>
      <c r="K114" s="74"/>
      <c r="L114" s="74">
        <f>SUM('Sept-26'!$H114:$K114)</f>
        <v>0</v>
      </c>
      <c r="M114" s="127"/>
    </row>
    <row r="115" spans="1:26" ht="15.75" customHeight="1" x14ac:dyDescent="0.25">
      <c r="B115" s="82" t="s">
        <v>1336</v>
      </c>
      <c r="C115" s="82"/>
      <c r="D115" s="82"/>
      <c r="E115" s="82"/>
      <c r="F115" s="82"/>
      <c r="G115" s="82"/>
      <c r="H115" s="129">
        <f>SUBTOTAL(109,'Sept-26'!$H$109:$H$114)</f>
        <v>0</v>
      </c>
      <c r="I115" s="129">
        <f>SUBTOTAL(109,'Sept-26'!$I$109:$I$114)</f>
        <v>0</v>
      </c>
      <c r="J115" s="127">
        <f>SUBTOTAL(109,'Sept-26'!$J$109:$J$114)</f>
        <v>0</v>
      </c>
      <c r="K115" s="127">
        <f>SUBTOTAL(109,'Sept-26'!$K$109:$K$114)</f>
        <v>0</v>
      </c>
      <c r="L115" s="127">
        <f>SUBTOTAL(109,'Sept-26'!$L$109:$L$114)</f>
        <v>0</v>
      </c>
      <c r="M115" s="130">
        <f>SUBTOTAL(103,'Sept-26'!$M$109:$M$114)</f>
        <v>0</v>
      </c>
    </row>
    <row r="116" spans="1:26" ht="15.75" customHeight="1" x14ac:dyDescent="0.25"/>
    <row r="117" spans="1:26" ht="15.75" customHeight="1" x14ac:dyDescent="0.25">
      <c r="B117" s="457" t="s">
        <v>1358</v>
      </c>
      <c r="C117" s="458"/>
    </row>
    <row r="118" spans="1:26" ht="15.75" customHeight="1" x14ac:dyDescent="0.25">
      <c r="B118" s="45" t="s">
        <v>1322</v>
      </c>
      <c r="C118" s="46" t="s">
        <v>1323</v>
      </c>
      <c r="D118" s="46" t="s">
        <v>1353</v>
      </c>
      <c r="E118" s="46" t="s">
        <v>1354</v>
      </c>
      <c r="F118" s="46" t="s">
        <v>0</v>
      </c>
      <c r="G118" s="46" t="s">
        <v>1</v>
      </c>
      <c r="H118" s="46" t="s">
        <v>1359</v>
      </c>
      <c r="I118" s="46" t="s">
        <v>1341</v>
      </c>
      <c r="J118" s="46" t="s">
        <v>1361</v>
      </c>
      <c r="K118" s="46" t="s">
        <v>1362</v>
      </c>
      <c r="L118" s="46" t="s">
        <v>1334</v>
      </c>
      <c r="M118" s="47" t="s">
        <v>1377</v>
      </c>
    </row>
    <row r="119" spans="1:26" ht="15.75" customHeight="1" x14ac:dyDescent="0.25">
      <c r="B119" s="122">
        <v>45903</v>
      </c>
      <c r="C119" s="123"/>
      <c r="D119" s="124">
        <v>30</v>
      </c>
      <c r="E119" s="125">
        <v>111</v>
      </c>
      <c r="F119" s="131">
        <v>55000000050</v>
      </c>
      <c r="G119" s="73" t="s">
        <v>1258</v>
      </c>
      <c r="H119" s="74">
        <v>780</v>
      </c>
      <c r="I119" s="83"/>
      <c r="J119" s="84"/>
      <c r="K119" s="74">
        <v>1361</v>
      </c>
      <c r="L119" s="74">
        <f>+'Sept-26'!$K119*'Sept-26'!$H119</f>
        <v>1061580</v>
      </c>
      <c r="M119" s="127"/>
    </row>
    <row r="120" spans="1:26" ht="15.75" customHeight="1" x14ac:dyDescent="0.25">
      <c r="B120" s="122">
        <v>45922</v>
      </c>
      <c r="C120" s="123"/>
      <c r="D120" s="124">
        <v>30</v>
      </c>
      <c r="E120" s="125">
        <v>112</v>
      </c>
      <c r="F120" s="131">
        <v>55000000050</v>
      </c>
      <c r="G120" s="73" t="s">
        <v>1119</v>
      </c>
      <c r="H120" s="74">
        <v>13875</v>
      </c>
      <c r="I120" s="83"/>
      <c r="J120" s="74"/>
      <c r="K120" s="74">
        <v>1475</v>
      </c>
      <c r="L120" s="74">
        <f>+'Sept-26'!$K120*'Sept-26'!$H120</f>
        <v>20465625</v>
      </c>
      <c r="M120" s="127"/>
    </row>
    <row r="121" spans="1:26" ht="15.75" customHeight="1" x14ac:dyDescent="0.25">
      <c r="B121" s="122">
        <v>45922</v>
      </c>
      <c r="C121" s="123"/>
      <c r="D121" s="124">
        <v>30</v>
      </c>
      <c r="E121" s="125">
        <v>113</v>
      </c>
      <c r="F121" s="131">
        <v>55000000050</v>
      </c>
      <c r="G121" s="73" t="s">
        <v>1119</v>
      </c>
      <c r="H121" s="74">
        <v>13875</v>
      </c>
      <c r="I121" s="83"/>
      <c r="J121" s="74"/>
      <c r="K121" s="74">
        <v>1475</v>
      </c>
      <c r="L121" s="74">
        <f>+'Sept-26'!$K121*'Sept-26'!$H121</f>
        <v>20465625</v>
      </c>
      <c r="M121" s="127"/>
    </row>
    <row r="122" spans="1:26" ht="15.75" customHeight="1" x14ac:dyDescent="0.25">
      <c r="B122" s="122">
        <v>45922</v>
      </c>
      <c r="C122" s="123"/>
      <c r="D122" s="124">
        <v>30</v>
      </c>
      <c r="E122" s="125">
        <v>25</v>
      </c>
      <c r="F122" s="131">
        <v>55000000050</v>
      </c>
      <c r="G122" s="73" t="s">
        <v>1119</v>
      </c>
      <c r="H122" s="74">
        <v>-13875</v>
      </c>
      <c r="I122" s="83"/>
      <c r="J122" s="74"/>
      <c r="K122" s="74">
        <v>-1475</v>
      </c>
      <c r="L122" s="74">
        <f>+'Sept-26'!$K122*'Sept-26'!$H122</f>
        <v>20465625</v>
      </c>
      <c r="M122" s="127"/>
    </row>
    <row r="123" spans="1:26" ht="15.75" customHeight="1" x14ac:dyDescent="0.25">
      <c r="B123" s="132"/>
      <c r="C123" s="79"/>
      <c r="D123" s="133"/>
      <c r="E123" s="81"/>
      <c r="F123" s="82"/>
      <c r="G123" s="73"/>
      <c r="H123" s="74"/>
      <c r="I123" s="83"/>
      <c r="J123" s="84"/>
      <c r="K123" s="104"/>
      <c r="L123" s="84"/>
      <c r="M123" s="127"/>
    </row>
    <row r="124" spans="1:26" ht="15.75" customHeight="1" x14ac:dyDescent="0.25">
      <c r="B124" s="132"/>
      <c r="C124" s="79"/>
      <c r="D124" s="133"/>
      <c r="E124" s="81"/>
      <c r="F124" s="82"/>
      <c r="G124" s="73"/>
      <c r="H124" s="74"/>
      <c r="I124" s="83"/>
      <c r="J124" s="84"/>
      <c r="K124" s="104"/>
      <c r="L124" s="84"/>
      <c r="M124" s="127"/>
    </row>
    <row r="125" spans="1:26" ht="15.75" customHeight="1" x14ac:dyDescent="0.25">
      <c r="B125" s="132"/>
      <c r="C125" s="79"/>
      <c r="D125" s="133"/>
      <c r="E125" s="81"/>
      <c r="F125" s="82"/>
      <c r="G125" s="73"/>
      <c r="H125" s="74"/>
      <c r="I125" s="83"/>
      <c r="J125" s="84"/>
      <c r="K125" s="104"/>
      <c r="L125" s="84"/>
      <c r="M125" s="127"/>
    </row>
    <row r="126" spans="1:26" ht="15.75" customHeight="1" x14ac:dyDescent="0.25">
      <c r="B126" s="132"/>
      <c r="C126" s="79"/>
      <c r="D126" s="133"/>
      <c r="E126" s="81"/>
      <c r="F126" s="82"/>
      <c r="G126" s="73"/>
      <c r="H126" s="74"/>
      <c r="I126" s="83">
        <f>'Sept-26'!$H126*0.21</f>
        <v>0</v>
      </c>
      <c r="J126" s="84"/>
      <c r="K126" s="104"/>
      <c r="L126" s="84"/>
      <c r="M126" s="127"/>
    </row>
    <row r="127" spans="1:26" ht="15.75" customHeight="1" x14ac:dyDescent="0.25">
      <c r="B127" s="82" t="s">
        <v>1336</v>
      </c>
      <c r="C127" s="82"/>
      <c r="D127" s="82"/>
      <c r="E127" s="82"/>
      <c r="F127" s="82"/>
      <c r="G127" s="82"/>
      <c r="H127" s="129">
        <f>SUBTOTAL(109,'Sept-26'!$H$119:$H$126)</f>
        <v>14655</v>
      </c>
      <c r="I127" s="129">
        <f>SUBTOTAL(109,'Sept-26'!$I$119:$I$126)</f>
        <v>0</v>
      </c>
      <c r="J127" s="127">
        <f>SUBTOTAL(109,'Sept-26'!$J$119:$J$126)</f>
        <v>0</v>
      </c>
      <c r="K127" s="127">
        <f>SUBTOTAL(109,'Sept-26'!$K$119:$K$126)</f>
        <v>2836</v>
      </c>
      <c r="L127" s="127">
        <f>SUM(L119:L120)</f>
        <v>21527205</v>
      </c>
      <c r="M127" s="130">
        <f>SUBTOTAL(103,'Sept-26'!$M$119:$M$126)</f>
        <v>0</v>
      </c>
    </row>
    <row r="128" spans="1:26" ht="15.75" customHeight="1" x14ac:dyDescent="0.25">
      <c r="A128" s="134"/>
      <c r="B128" s="134"/>
      <c r="C128" s="135"/>
      <c r="D128" s="135"/>
      <c r="E128" s="135"/>
      <c r="F128" s="135"/>
      <c r="G128" s="135"/>
      <c r="H128" s="136"/>
      <c r="I128" s="136"/>
      <c r="J128" s="136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spans="3:12" ht="15.75" customHeight="1" x14ac:dyDescent="0.25">
      <c r="C129" s="470" t="s">
        <v>1363</v>
      </c>
      <c r="D129" s="471"/>
      <c r="E129" s="471"/>
      <c r="F129" s="471"/>
      <c r="G129" s="472"/>
      <c r="H129" s="88"/>
      <c r="I129" s="88"/>
      <c r="J129" s="88"/>
    </row>
    <row r="130" spans="3:12" ht="15.75" customHeight="1" x14ac:dyDescent="0.25">
      <c r="C130" s="89" t="s">
        <v>1364</v>
      </c>
      <c r="D130" s="90" t="s">
        <v>1365</v>
      </c>
      <c r="E130" s="90" t="s">
        <v>1361</v>
      </c>
      <c r="F130" s="90" t="s">
        <v>0</v>
      </c>
      <c r="G130" s="90" t="s">
        <v>1</v>
      </c>
      <c r="H130" s="91" t="s">
        <v>1366</v>
      </c>
      <c r="I130" s="91" t="s">
        <v>1367</v>
      </c>
      <c r="J130" s="91" t="s">
        <v>1368</v>
      </c>
      <c r="K130" s="91" t="s">
        <v>1369</v>
      </c>
      <c r="L130" s="91" t="s">
        <v>1370</v>
      </c>
    </row>
    <row r="131" spans="3:12" ht="15.75" customHeight="1" x14ac:dyDescent="0.25">
      <c r="C131" s="92"/>
      <c r="D131" s="93">
        <v>11694</v>
      </c>
      <c r="E131" s="93"/>
      <c r="F131" s="39"/>
      <c r="G131" s="40" t="str">
        <f>IFERROR(IF('Sept-26'!$F131="","-",VLOOKUP('Sept-26'!$F131,Lista_CUIT!$A$1:$D$2241,2,0)),"CUIT NO CARGADO")</f>
        <v>-</v>
      </c>
      <c r="H131" s="94"/>
      <c r="I131" s="94"/>
      <c r="J131" s="94"/>
      <c r="K131" s="94"/>
      <c r="L131" s="94"/>
    </row>
    <row r="132" spans="3:12" ht="15.75" customHeight="1" x14ac:dyDescent="0.25">
      <c r="C132" s="92"/>
      <c r="D132" s="93">
        <v>11695</v>
      </c>
      <c r="E132" s="93"/>
      <c r="F132" s="39"/>
      <c r="G132" s="40" t="str">
        <f>IFERROR(IF('Sept-26'!$F132="","-",VLOOKUP('Sept-26'!$F132,Lista_CUIT!$A$1:$D$2241,2,0)),"CUIT NO CARGADO")</f>
        <v>-</v>
      </c>
      <c r="H132" s="94"/>
      <c r="I132" s="94"/>
      <c r="J132" s="94"/>
      <c r="K132" s="94"/>
      <c r="L132" s="94"/>
    </row>
    <row r="133" spans="3:12" ht="15.75" customHeight="1" x14ac:dyDescent="0.25">
      <c r="C133" s="92"/>
      <c r="D133" s="93">
        <v>11696</v>
      </c>
      <c r="E133" s="93"/>
      <c r="F133" s="39"/>
      <c r="G133" s="40" t="str">
        <f>IFERROR(IF('Sept-26'!$F133="","-",VLOOKUP('Sept-26'!$F133,Lista_CUIT!$A$1:$D$2241,2,0)),"CUIT NO CARGADO")</f>
        <v>-</v>
      </c>
      <c r="H133" s="94"/>
      <c r="I133" s="94"/>
      <c r="J133" s="94"/>
      <c r="K133" s="94"/>
      <c r="L133" s="94"/>
    </row>
    <row r="134" spans="3:12" ht="15.75" customHeight="1" x14ac:dyDescent="0.25">
      <c r="C134" s="92"/>
      <c r="D134" s="93">
        <v>11697</v>
      </c>
      <c r="E134" s="93"/>
      <c r="F134" s="39"/>
      <c r="G134" s="40" t="str">
        <f>IFERROR(IF('Sept-26'!$F134="","-",VLOOKUP('Sept-26'!$F134,Lista_CUIT!$A$1:$D$2241,2,0)),"CUIT NO CARGADO")</f>
        <v>-</v>
      </c>
      <c r="H134" s="94"/>
      <c r="I134" s="94"/>
      <c r="J134" s="94"/>
      <c r="K134" s="94"/>
      <c r="L134" s="94"/>
    </row>
    <row r="135" spans="3:12" ht="15.75" customHeight="1" x14ac:dyDescent="0.25">
      <c r="C135" s="3"/>
      <c r="D135" s="93">
        <v>11698</v>
      </c>
      <c r="E135" s="93"/>
      <c r="F135" s="3"/>
      <c r="G135" s="40" t="str">
        <f>IFERROR(IF('Sept-26'!$F135="","-",VLOOKUP('Sept-26'!$F135,Lista_CUIT!$A$1:$D$2241,2,0)),"CUIT NO CARGADO")</f>
        <v>-</v>
      </c>
      <c r="H135" s="3"/>
      <c r="I135" s="3"/>
      <c r="J135" s="3"/>
      <c r="K135" s="3"/>
      <c r="L135" s="3"/>
    </row>
    <row r="136" spans="3:12" ht="15.75" customHeight="1" x14ac:dyDescent="0.25">
      <c r="C136" s="109"/>
    </row>
    <row r="137" spans="3:12" ht="15.75" customHeight="1" x14ac:dyDescent="0.25"/>
    <row r="138" spans="3:12" ht="15.75" customHeight="1" x14ac:dyDescent="0.25"/>
    <row r="139" spans="3:12" ht="15.75" customHeight="1" x14ac:dyDescent="0.25"/>
    <row r="140" spans="3:12" ht="15.75" customHeight="1" x14ac:dyDescent="0.25"/>
    <row r="141" spans="3:12" ht="15.75" customHeight="1" x14ac:dyDescent="0.25"/>
    <row r="142" spans="3:12" ht="15.75" customHeight="1" x14ac:dyDescent="0.25"/>
    <row r="143" spans="3:12" ht="15.75" customHeight="1" x14ac:dyDescent="0.25"/>
    <row r="144" spans="3:1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mergeCells count="21">
    <mergeCell ref="P4:R4"/>
    <mergeCell ref="D59:L59"/>
    <mergeCell ref="B117:C117"/>
    <mergeCell ref="C129:G129"/>
    <mergeCell ref="B3:E3"/>
    <mergeCell ref="B4:E4"/>
    <mergeCell ref="G4:H4"/>
    <mergeCell ref="D67:K67"/>
    <mergeCell ref="B89:J89"/>
    <mergeCell ref="K89:M89"/>
    <mergeCell ref="B91:C91"/>
    <mergeCell ref="B107:C107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H109:L114 K119:L119 H119:H120 J120:L120 L121:L122" xr:uid="{00000000-0002-0000-0600-000000000000}">
      <formula1>IF($C109=8,H109&lt;0,H109&gt;=0)</formula1>
    </dataValidation>
    <dataValidation type="custom" allowBlank="1" showErrorMessage="1" sqref="L98:L101" xr:uid="{00000000-0002-0000-0600-000001000000}">
      <formula1>IF($C54=3,L54&lt;0,L54&gt;=0)</formula1>
    </dataValidation>
    <dataValidation type="custom" allowBlank="1" showErrorMessage="1" sqref="L95:L97" xr:uid="{00000000-0002-0000-0600-000002000000}">
      <formula1>IF($C13=3,L13&lt;0,L13&gt;=0)</formula1>
    </dataValidation>
    <dataValidation type="decimal" allowBlank="1" showErrorMessage="1" sqref="D119:D120 E69:E82 D93:D104 D109:D114 D9:D53" xr:uid="{00000000-0002-0000-0600-000003000000}">
      <formula1>1</formula1>
      <formula2>9999</formula2>
    </dataValidation>
    <dataValidation type="decimal" allowBlank="1" showErrorMessage="1" sqref="C119:C120" xr:uid="{00000000-0002-0000-0600-000004000000}">
      <formula1>80</formula1>
      <formula2>80</formula2>
    </dataValidation>
    <dataValidation type="date" allowBlank="1" showErrorMessage="1" sqref="B119:B120 B55:B58 D61:D64 D69:D82 B93:B104 B109:B114 B9:B53" xr:uid="{00000000-0002-0000-0600-000005000000}">
      <formula1>40179</formula1>
      <formula2>TODAY()</formula2>
    </dataValidation>
    <dataValidation type="decimal" allowBlank="1" showErrorMessage="1" sqref="F109:F114 G69:G82 F93:F104 F9:F53" xr:uid="{00000000-0002-0000-0600-000006000000}">
      <formula1>20000000000</formula1>
      <formula2>33999999999</formula2>
    </dataValidation>
    <dataValidation type="decimal" allowBlank="1" showErrorMessage="1" sqref="C109:C114" xr:uid="{00000000-0002-0000-0600-000007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53" xr:uid="{00000000-0002-0000-0600-000008000000}">
      <formula1>IF($C9=3,H9&lt;0,H9&gt;=0)</formula1>
    </dataValidation>
    <dataValidation type="decimal" allowBlank="1" showErrorMessage="1" sqref="E119:E120 F69:F82 E93:E104 E109:E114 E9:E53" xr:uid="{00000000-0002-0000-0600-000009000000}">
      <formula1>1</formula1>
      <formula2>99999999</formula2>
    </dataValidation>
    <dataValidation type="decimal" allowBlank="1" showErrorMessage="1" sqref="C93:C104 C55:C58 C9:C53" xr:uid="{00000000-0002-0000-0600-00000A000000}">
      <formula1>1</formula1>
      <formula2>3</formula2>
    </dataValidation>
    <dataValidation type="custom" allowBlank="1" showErrorMessage="1" sqref="H93:K93 H97 J97:K97 H99:H101 J99:K101 J95:K95 H95 I94:I104" xr:uid="{00000000-0002-0000-0600-00000B000000}">
      <formula1>IF($C93=3,H93&lt;0,H93&gt;=0)</formula1>
    </dataValidation>
    <dataValidation type="custom" allowBlank="1" showErrorMessage="1" sqref="L93:L94" xr:uid="{00000000-0002-0000-0600-00000C000000}">
      <formula1>IF($C9=3,L9&lt;0,L9&gt;=0)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DE9D9"/>
  </sheetPr>
  <dimension ref="A1:Z991"/>
  <sheetViews>
    <sheetView showGridLines="0" topLeftCell="A22" zoomScale="85" zoomScaleNormal="85" workbookViewId="0">
      <selection activeCell="L96" sqref="L96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39.42578125" customWidth="1"/>
    <col min="8" max="8" width="20" customWidth="1"/>
    <col min="9" max="9" width="18.285156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2.7109375" customWidth="1"/>
    <col min="18" max="18" width="14.28515625" customWidth="1"/>
    <col min="19" max="29" width="15.7109375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69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EDATE('Abr-26'!N1,6)</f>
        <v>45931</v>
      </c>
      <c r="O1" s="448"/>
      <c r="P1" s="448"/>
      <c r="Q1" s="448"/>
      <c r="R1" s="449"/>
    </row>
    <row r="3" spans="1:19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SUM('Oct-26'!$H$29)+'Oct-26'!$G$40</f>
        <v>10905085.271904763</v>
      </c>
      <c r="C4" s="448"/>
      <c r="D4" s="448"/>
      <c r="E4" s="449"/>
      <c r="F4" s="8"/>
      <c r="G4" s="463">
        <f>'Oct-26'!$I$29+'Oct-26'!$J$29+'Oct-26'!$K$29+'Oct-26'!$H$40+'Oct-26'!$I$40</f>
        <v>2288272.9358999999</v>
      </c>
      <c r="H4" s="449"/>
      <c r="I4" s="8"/>
      <c r="J4" s="466">
        <f>'Oct-26'!$H$85+'Oct-26'!$H$96</f>
        <v>571466.30000000005</v>
      </c>
      <c r="K4" s="449"/>
      <c r="L4" s="8"/>
      <c r="M4" s="466">
        <f>'Oct-26'!$I$85+'Oct-26'!$J$85+'Oct-26'!$I$96+'Oct-26'!$J$96+I107+J107</f>
        <v>117636.75</v>
      </c>
      <c r="N4" s="449"/>
      <c r="O4" s="8"/>
      <c r="P4" s="473">
        <f>G4-M4</f>
        <v>2170636.1858999999</v>
      </c>
      <c r="Q4" s="474"/>
      <c r="R4" s="475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27.75" customHeight="1" x14ac:dyDescent="0.25">
      <c r="B8" s="184" t="s">
        <v>1322</v>
      </c>
      <c r="C8" s="185" t="s">
        <v>1323</v>
      </c>
      <c r="D8" s="185" t="s">
        <v>1324</v>
      </c>
      <c r="E8" s="185" t="s">
        <v>1325</v>
      </c>
      <c r="F8" s="185" t="s">
        <v>0</v>
      </c>
      <c r="G8" s="185" t="s">
        <v>1</v>
      </c>
      <c r="H8" s="185" t="s">
        <v>1326</v>
      </c>
      <c r="I8" s="185" t="s">
        <v>1327</v>
      </c>
      <c r="J8" s="185" t="s">
        <v>1328</v>
      </c>
      <c r="K8" s="185" t="s">
        <v>1329</v>
      </c>
      <c r="L8" s="185" t="s">
        <v>1330</v>
      </c>
      <c r="M8" s="185" t="s">
        <v>1331</v>
      </c>
      <c r="N8" s="185" t="s">
        <v>1332</v>
      </c>
      <c r="O8" s="185" t="s">
        <v>1333</v>
      </c>
      <c r="P8" s="185" t="s">
        <v>1334</v>
      </c>
      <c r="Q8" s="185" t="s">
        <v>2</v>
      </c>
      <c r="R8" s="186" t="s">
        <v>1335</v>
      </c>
    </row>
    <row r="9" spans="1:19" x14ac:dyDescent="0.25">
      <c r="B9" s="168">
        <v>45931</v>
      </c>
      <c r="C9" s="169">
        <v>1</v>
      </c>
      <c r="D9" s="170">
        <v>7</v>
      </c>
      <c r="E9" s="171">
        <v>30060</v>
      </c>
      <c r="F9" s="172">
        <v>30712249338</v>
      </c>
      <c r="G9" s="173" t="str">
        <f>IFERROR(IF('Oct-26'!$F9="","-",VLOOKUP('Oct-26'!$F9,Lista_CUIT!$A$1:$D$2241,2,0)),"CUIT NO CARGADO")</f>
        <v>VOIP EXPERTS SOCIEDAD DE RESPONSABILIDAD LIMITADA</v>
      </c>
      <c r="H9" s="174">
        <v>8250.09</v>
      </c>
      <c r="I9" s="175">
        <v>801.3</v>
      </c>
      <c r="J9" s="175"/>
      <c r="K9" s="175">
        <v>465.61</v>
      </c>
      <c r="L9" s="175"/>
      <c r="M9" s="175"/>
      <c r="N9" s="175"/>
      <c r="O9" s="175"/>
      <c r="P9" s="176">
        <f>SUM('Oct-26'!$H9:$O9)</f>
        <v>9517</v>
      </c>
      <c r="Q9" s="177">
        <f>IFERROR(IF('Oct-26'!$F9="","-",VLOOKUP('Oct-26'!$F9,Lista_CUIT!$A$1:$D$2241,3,0)),"CUIT NO CARGADO")</f>
        <v>0</v>
      </c>
      <c r="R9" s="178">
        <f>IFERROR(IF('Oct-26'!$F9="","-",VLOOKUP('Oct-26'!$F9,Lista_CUIT!$A$1:$D$2241,4,0)),"CUIT NO CARGADO")</f>
        <v>0</v>
      </c>
    </row>
    <row r="10" spans="1:19" x14ac:dyDescent="0.25">
      <c r="B10" s="168">
        <v>45931</v>
      </c>
      <c r="C10" s="169">
        <v>1</v>
      </c>
      <c r="D10" s="170">
        <v>8</v>
      </c>
      <c r="E10" s="171">
        <v>20900</v>
      </c>
      <c r="F10" s="172">
        <v>20304940019</v>
      </c>
      <c r="G10" s="173" t="str">
        <f>IFERROR(IF('Oct-26'!$F10="","-",VLOOKUP('Oct-26'!$F10,Lista_CUIT!$A$1:$D$2241,2,0)),"CUIT NO CARGADO")</f>
        <v>LAZZARIN LIMA MARTIN IGNACIO</v>
      </c>
      <c r="H10" s="174">
        <v>12264.46</v>
      </c>
      <c r="I10" s="175">
        <f>IF('Oct-26'!$H10="","",'Oct-26'!$H10*0.21)</f>
        <v>2575.5365999999999</v>
      </c>
      <c r="J10" s="175"/>
      <c r="K10" s="175"/>
      <c r="L10" s="175"/>
      <c r="M10" s="175"/>
      <c r="N10" s="175"/>
      <c r="O10" s="175"/>
      <c r="P10" s="176">
        <f>SUM('Oct-26'!$H10:$O10)</f>
        <v>14839.996599999999</v>
      </c>
      <c r="Q10" s="177">
        <f>IFERROR(IF('Oct-26'!$F10="","-",VLOOKUP('Oct-26'!$F10,Lista_CUIT!$A$1:$D$2241,3,0)),"CUIT NO CARGADO")</f>
        <v>0</v>
      </c>
      <c r="R10" s="178">
        <f>IFERROR(IF('Oct-26'!$F10="","-",VLOOKUP('Oct-26'!$F10,Lista_CUIT!$A$1:$D$2241,4,0)),"CUIT NO CARGADO")</f>
        <v>0</v>
      </c>
    </row>
    <row r="11" spans="1:19" x14ac:dyDescent="0.25">
      <c r="B11" s="168">
        <v>45931</v>
      </c>
      <c r="C11" s="169">
        <v>1</v>
      </c>
      <c r="D11" s="170">
        <v>3</v>
      </c>
      <c r="E11" s="171">
        <v>281948</v>
      </c>
      <c r="F11" s="172">
        <v>30707135596</v>
      </c>
      <c r="G11" s="173" t="str">
        <f>IFERROR(IF('Oct-26'!$F11="","-",VLOOKUP('Oct-26'!$F11,Lista_CUIT!$A$1:$D$2241,2,0)),"CUIT NO CARGADO")</f>
        <v>CITILAN ARGENTINA S.A.</v>
      </c>
      <c r="H11" s="174">
        <v>32626</v>
      </c>
      <c r="I11" s="175">
        <f>IF('Oct-26'!$H11="","",'Oct-26'!$H11*0.21)</f>
        <v>6851.46</v>
      </c>
      <c r="J11" s="175"/>
      <c r="K11" s="175"/>
      <c r="L11" s="175"/>
      <c r="M11" s="175"/>
      <c r="N11" s="175"/>
      <c r="O11" s="175"/>
      <c r="P11" s="176">
        <f>SUM('Oct-26'!$H11:$O11)</f>
        <v>39477.46</v>
      </c>
      <c r="Q11" s="177" t="str">
        <f>IFERROR(IF('Oct-26'!$F11="","-",VLOOKUP('Oct-26'!$F11,Lista_CUIT!$A$1:$D$2241,3,0)),"CUIT NO CARGADO")</f>
        <v>Telefonia</v>
      </c>
      <c r="R11" s="178">
        <f>IFERROR(IF('Oct-26'!$F11="","-",VLOOKUP('Oct-26'!$F11,Lista_CUIT!$A$1:$D$2241,4,0)),"CUIT NO CARGADO")</f>
        <v>0</v>
      </c>
    </row>
    <row r="12" spans="1:19" x14ac:dyDescent="0.25">
      <c r="B12" s="168">
        <v>45931</v>
      </c>
      <c r="C12" s="169">
        <v>1</v>
      </c>
      <c r="D12" s="170">
        <v>5</v>
      </c>
      <c r="E12" s="171">
        <v>6822</v>
      </c>
      <c r="F12" s="172">
        <v>20231333593</v>
      </c>
      <c r="G12" s="173" t="str">
        <f>IFERROR(IF('Oct-26'!$F12="","-",VLOOKUP('Oct-26'!$F12,Lista_CUIT!$A$1:$D$2241,2,0)),"CUIT NO CARGADO")</f>
        <v>BOLLINI CLAUDIO DANIEL</v>
      </c>
      <c r="H12" s="174">
        <v>80000</v>
      </c>
      <c r="I12" s="175">
        <f>IF('Oct-26'!$H12="","",'Oct-26'!$H12*0.21)</f>
        <v>16800</v>
      </c>
      <c r="J12" s="175"/>
      <c r="K12" s="175"/>
      <c r="L12" s="175"/>
      <c r="M12" s="175"/>
      <c r="N12" s="175"/>
      <c r="O12" s="175"/>
      <c r="P12" s="176">
        <f>SUM('Oct-26'!$H12:$O12)</f>
        <v>96800</v>
      </c>
      <c r="Q12" s="177" t="str">
        <f>IFERROR(IF('Oct-26'!$F12="","-",VLOOKUP('Oct-26'!$F12,Lista_CUIT!$A$1:$D$2241,3,0)),"CUIT NO CARGADO")</f>
        <v>Mantenimiento</v>
      </c>
      <c r="R12" s="178">
        <f>IFERROR(IF('Oct-26'!$F12="","-",VLOOKUP('Oct-26'!$F12,Lista_CUIT!$A$1:$D$2241,4,0)),"CUIT NO CARGADO")</f>
        <v>0</v>
      </c>
    </row>
    <row r="13" spans="1:19" x14ac:dyDescent="0.25">
      <c r="B13" s="168">
        <v>45931</v>
      </c>
      <c r="C13" s="169">
        <v>1</v>
      </c>
      <c r="D13" s="170">
        <v>3</v>
      </c>
      <c r="E13" s="171">
        <v>896</v>
      </c>
      <c r="F13" s="172">
        <v>30715402765</v>
      </c>
      <c r="G13" s="173" t="str">
        <f>IFERROR(IF('Oct-26'!$F13="","-",VLOOKUP('Oct-26'!$F13,Lista_CUIT!$A$1:$D$2241,2,0)),"CUIT NO CARGADO")</f>
        <v>RIO 265 S.R.L.</v>
      </c>
      <c r="H13" s="174">
        <v>107438</v>
      </c>
      <c r="I13" s="175">
        <f>IF('Oct-26'!$H13="","",'Oct-26'!$H13*0.21)</f>
        <v>22561.98</v>
      </c>
      <c r="J13" s="175"/>
      <c r="K13" s="175"/>
      <c r="L13" s="175"/>
      <c r="M13" s="175"/>
      <c r="N13" s="175"/>
      <c r="O13" s="175"/>
      <c r="P13" s="176">
        <f>SUM('Oct-26'!$H13:$O13)</f>
        <v>129999.98</v>
      </c>
      <c r="Q13" s="177" t="str">
        <f>IFERROR(IF('Oct-26'!$F13="","-",VLOOKUP('Oct-26'!$F13,Lista_CUIT!$A$1:$D$2241,3,0)),"CUIT NO CARGADO")</f>
        <v>GASTOS VARIOS</v>
      </c>
      <c r="R13" s="178">
        <f>IFERROR(IF('Oct-26'!$F13="","-",VLOOKUP('Oct-26'!$F13,Lista_CUIT!$A$1:$D$2241,4,0)),"CUIT NO CARGADO")</f>
        <v>0</v>
      </c>
    </row>
    <row r="14" spans="1:19" x14ac:dyDescent="0.25">
      <c r="B14" s="168">
        <v>45932</v>
      </c>
      <c r="C14" s="169">
        <v>1</v>
      </c>
      <c r="D14" s="170">
        <v>3</v>
      </c>
      <c r="E14" s="171">
        <v>196</v>
      </c>
      <c r="F14" s="172">
        <v>20297899830</v>
      </c>
      <c r="G14" s="173" t="str">
        <f>IFERROR(IF('Oct-26'!$F14="","-",VLOOKUP('Oct-26'!$F14,Lista_CUIT!$A$1:$D$2241,2,0)),"CUIT NO CARGADO")</f>
        <v>FUNK MATIAS NICOLAS</v>
      </c>
      <c r="H14" s="174">
        <v>8898019</v>
      </c>
      <c r="I14" s="175">
        <f>IF('Oct-26'!$H14="","",'Oct-26'!$H14*0.21)</f>
        <v>1868583.99</v>
      </c>
      <c r="J14" s="175"/>
      <c r="K14" s="175"/>
      <c r="L14" s="175"/>
      <c r="M14" s="175"/>
      <c r="N14" s="175"/>
      <c r="O14" s="175"/>
      <c r="P14" s="176">
        <f>SUM('Oct-26'!$H14:$O14)</f>
        <v>10766602.99</v>
      </c>
      <c r="Q14" s="177" t="str">
        <f>IFERROR(IF('Oct-26'!$F14="","-",VLOOKUP('Oct-26'!$F14,Lista_CUIT!$A$1:$D$2241,3,0)),"CUIT NO CARGADO")</f>
        <v>INSUMO</v>
      </c>
      <c r="R14" s="178">
        <f>IFERROR(IF('Oct-26'!$F14="","-",VLOOKUP('Oct-26'!$F14,Lista_CUIT!$A$1:$D$2241,4,0)),"CUIT NO CARGADO")</f>
        <v>0</v>
      </c>
    </row>
    <row r="15" spans="1:19" x14ac:dyDescent="0.25">
      <c r="B15" s="168">
        <v>45933</v>
      </c>
      <c r="C15" s="169">
        <v>1</v>
      </c>
      <c r="D15" s="170">
        <v>10</v>
      </c>
      <c r="E15" s="171">
        <v>78926</v>
      </c>
      <c r="F15" s="172">
        <v>30528214483</v>
      </c>
      <c r="G15" s="173" t="str">
        <f>IFERROR(IF('Oct-26'!$F15="","-",VLOOKUP('Oct-26'!$F15,Lista_CUIT!$A$1:$D$2241,2,0)),"CUIT NO CARGADO")</f>
        <v>D WEINSTOCK S R L</v>
      </c>
      <c r="H15" s="174">
        <v>54000</v>
      </c>
      <c r="I15" s="175">
        <f>IF('Oct-26'!$H15="","",'Oct-26'!$H15*0.21)</f>
        <v>11340</v>
      </c>
      <c r="J15" s="175"/>
      <c r="K15" s="175"/>
      <c r="L15" s="175"/>
      <c r="M15" s="175"/>
      <c r="N15" s="175"/>
      <c r="O15" s="175"/>
      <c r="P15" s="176">
        <f>SUM('Oct-26'!$H15:$O15)</f>
        <v>65340</v>
      </c>
      <c r="Q15" s="177" t="str">
        <f>IFERROR(IF('Oct-26'!$F15="","-",VLOOKUP('Oct-26'!$F15,Lista_CUIT!$A$1:$D$2241,3,0)),"CUIT NO CARGADO")</f>
        <v>INSUMO</v>
      </c>
      <c r="R15" s="178">
        <f>IFERROR(IF('Oct-26'!$F15="","-",VLOOKUP('Oct-26'!$F15,Lista_CUIT!$A$1:$D$2241,4,0)),"CUIT NO CARGADO")</f>
        <v>0</v>
      </c>
    </row>
    <row r="16" spans="1:19" x14ac:dyDescent="0.25">
      <c r="B16" s="168">
        <v>45933</v>
      </c>
      <c r="C16" s="169">
        <v>1</v>
      </c>
      <c r="D16" s="170">
        <v>122</v>
      </c>
      <c r="E16" s="171">
        <v>395079</v>
      </c>
      <c r="F16" s="172">
        <v>30594494187</v>
      </c>
      <c r="G16" s="173" t="str">
        <f>IFERROR(IF('Oct-26'!$F16="","-",VLOOKUP('Oct-26'!$F16,Lista_CUIT!$A$1:$D$2241,2,0)),"CUIT NO CARGADO")</f>
        <v>FEDERAL EXPRESS CORPORATION</v>
      </c>
      <c r="H16" s="174">
        <v>170940</v>
      </c>
      <c r="I16" s="175">
        <f>IF('Oct-26'!$H16="","",'Oct-26'!$H16*0.21)</f>
        <v>35897.4</v>
      </c>
      <c r="J16" s="175"/>
      <c r="K16" s="175"/>
      <c r="L16" s="175"/>
      <c r="M16" s="175"/>
      <c r="N16" s="175"/>
      <c r="O16" s="175">
        <v>1963758.73</v>
      </c>
      <c r="P16" s="176">
        <f>SUM('Oct-26'!$H16:$O16)</f>
        <v>2170596.13</v>
      </c>
      <c r="Q16" s="177" t="str">
        <f>IFERROR(IF('Oct-26'!$F16="","-",VLOOKUP('Oct-26'!$F16,Lista_CUIT!$A$1:$D$2241,3,0)),"CUIT NO CARGADO")</f>
        <v>Mercaderia</v>
      </c>
      <c r="R16" s="178">
        <f>IFERROR(IF('Oct-26'!$F16="","-",VLOOKUP('Oct-26'!$F16,Lista_CUIT!$A$1:$D$2241,4,0)),"CUIT NO CARGADO")</f>
        <v>0</v>
      </c>
    </row>
    <row r="17" spans="2:18" x14ac:dyDescent="0.25">
      <c r="B17" s="168">
        <v>45936</v>
      </c>
      <c r="C17" s="169">
        <v>1</v>
      </c>
      <c r="D17" s="170">
        <v>5</v>
      </c>
      <c r="E17" s="171">
        <v>71929</v>
      </c>
      <c r="F17" s="172">
        <v>30716711621</v>
      </c>
      <c r="G17" s="173" t="str">
        <f>IFERROR(IF('Oct-26'!$F17="","-",VLOOKUP('Oct-26'!$F17,Lista_CUIT!$A$1:$D$2241,2,0)),"CUIT NO CARGADO")</f>
        <v>TC TIENDAS AR SRL</v>
      </c>
      <c r="H17" s="174">
        <v>12660.63</v>
      </c>
      <c r="I17" s="175"/>
      <c r="J17" s="175"/>
      <c r="K17" s="175">
        <v>1329.37</v>
      </c>
      <c r="L17" s="175"/>
      <c r="M17" s="175"/>
      <c r="N17" s="175"/>
      <c r="O17" s="175"/>
      <c r="P17" s="176">
        <f>SUM('Oct-26'!$H17:$O17)</f>
        <v>13990</v>
      </c>
      <c r="Q17" s="177" t="str">
        <f>IFERROR(IF('Oct-26'!$F17="","-",VLOOKUP('Oct-26'!$F17,Lista_CUIT!$A$1:$D$2241,3,0)),"CUIT NO CARGADO")</f>
        <v>Gastos Oficina</v>
      </c>
      <c r="R17" s="178">
        <f>IFERROR(IF('Oct-26'!$F17="","-",VLOOKUP('Oct-26'!$F17,Lista_CUIT!$A$1:$D$2241,4,0)),"CUIT NO CARGADO")</f>
        <v>0</v>
      </c>
    </row>
    <row r="18" spans="2:18" x14ac:dyDescent="0.25">
      <c r="B18" s="168">
        <v>45936</v>
      </c>
      <c r="C18" s="169">
        <v>1</v>
      </c>
      <c r="D18" s="170">
        <v>63</v>
      </c>
      <c r="E18" s="171">
        <v>3500823</v>
      </c>
      <c r="F18" s="172">
        <v>30640897267</v>
      </c>
      <c r="G18" s="173" t="str">
        <f>IFERROR(IF('Oct-26'!$F18="","-",VLOOKUP('Oct-26'!$F18,Lista_CUIT!$A$1:$D$2241,2,0)),"CUIT NO CARGADO")</f>
        <v>TELECENTRO SA</v>
      </c>
      <c r="H18" s="174">
        <v>17999.830000000002</v>
      </c>
      <c r="I18" s="175">
        <f>IF('Oct-26'!$H18="","",'Oct-26'!$H18*0.21)</f>
        <v>3779.9643000000001</v>
      </c>
      <c r="J18" s="175"/>
      <c r="K18" s="175"/>
      <c r="L18" s="175"/>
      <c r="M18" s="175"/>
      <c r="N18" s="175"/>
      <c r="O18" s="175">
        <v>539.99</v>
      </c>
      <c r="P18" s="176">
        <f>SUM('Oct-26'!$H18:$O18)</f>
        <v>22319.784300000003</v>
      </c>
      <c r="Q18" s="177" t="str">
        <f>IFERROR(IF('Oct-26'!$F18="","-",VLOOKUP('Oct-26'!$F18,Lista_CUIT!$A$1:$D$2241,3,0)),"CUIT NO CARGADO")</f>
        <v>SERVICIOS</v>
      </c>
      <c r="R18" s="178">
        <f>IFERROR(IF('Oct-26'!$F18="","-",VLOOKUP('Oct-26'!$F18,Lista_CUIT!$A$1:$D$2241,4,0)),"CUIT NO CARGADO")</f>
        <v>0</v>
      </c>
    </row>
    <row r="19" spans="2:18" x14ac:dyDescent="0.25">
      <c r="B19" s="168">
        <v>45939</v>
      </c>
      <c r="C19" s="169">
        <v>1</v>
      </c>
      <c r="D19" s="170">
        <v>106</v>
      </c>
      <c r="E19" s="171">
        <v>884098</v>
      </c>
      <c r="F19" s="172">
        <v>30594494187</v>
      </c>
      <c r="G19" s="173" t="str">
        <f>IFERROR(IF('Oct-26'!$F19="","-",VLOOKUP('Oct-26'!$F19,Lista_CUIT!$A$1:$D$2241,2,0)),"CUIT NO CARGADO")</f>
        <v>FEDERAL EXPRESS CORPORATION</v>
      </c>
      <c r="H19" s="174">
        <v>174600</v>
      </c>
      <c r="I19" s="175">
        <f>IF('Oct-26'!$H19="","",'Oct-26'!$H19*0.21)</f>
        <v>36666</v>
      </c>
      <c r="J19" s="175"/>
      <c r="K19" s="175"/>
      <c r="L19" s="175"/>
      <c r="M19" s="175"/>
      <c r="N19" s="175"/>
      <c r="O19" s="175"/>
      <c r="P19" s="176">
        <f>SUM('Oct-26'!$H19:$O19)</f>
        <v>211266</v>
      </c>
      <c r="Q19" s="177" t="str">
        <f>IFERROR(IF('Oct-26'!$F19="","-",VLOOKUP('Oct-26'!$F19,Lista_CUIT!$A$1:$D$2241,3,0)),"CUIT NO CARGADO")</f>
        <v>Mercaderia</v>
      </c>
      <c r="R19" s="178">
        <f>IFERROR(IF('Oct-26'!$F19="","-",VLOOKUP('Oct-26'!$F19,Lista_CUIT!$A$1:$D$2241,4,0)),"CUIT NO CARGADO")</f>
        <v>0</v>
      </c>
    </row>
    <row r="20" spans="2:18" x14ac:dyDescent="0.25">
      <c r="B20" s="168">
        <v>45939</v>
      </c>
      <c r="C20" s="169">
        <v>1</v>
      </c>
      <c r="D20" s="170">
        <v>1</v>
      </c>
      <c r="E20" s="171">
        <v>1003</v>
      </c>
      <c r="F20" s="172">
        <v>30715048066</v>
      </c>
      <c r="G20" s="173" t="str">
        <f>IFERROR(IF('Oct-26'!$F20="","-",VLOOKUP('Oct-26'!$F20,Lista_CUIT!$A$1:$D$2241,2,0)),"CUIT NO CARGADO")</f>
        <v>ROLLS Y EMPANADAS SA</v>
      </c>
      <c r="H20" s="174">
        <v>932210</v>
      </c>
      <c r="I20" s="175">
        <f>IF('Oct-26'!$H20="","",'Oct-26'!$H20*0.21)</f>
        <v>195764.1</v>
      </c>
      <c r="J20" s="175"/>
      <c r="K20" s="175"/>
      <c r="L20" s="175"/>
      <c r="M20" s="175"/>
      <c r="N20" s="175"/>
      <c r="O20" s="175"/>
      <c r="P20" s="176">
        <f>SUM('Oct-26'!$H20:$O20)</f>
        <v>1127974.1000000001</v>
      </c>
      <c r="Q20" s="177" t="str">
        <f>IFERROR(IF('Oct-26'!$F20="","-",VLOOKUP('Oct-26'!$F20,Lista_CUIT!$A$1:$D$2241,3,0)),"CUIT NO CARGADO")</f>
        <v>CATERING</v>
      </c>
      <c r="R20" s="178">
        <f>IFERROR(IF('Oct-26'!$F20="","-",VLOOKUP('Oct-26'!$F20,Lista_CUIT!$A$1:$D$2241,4,0)),"CUIT NO CARGADO")</f>
        <v>0</v>
      </c>
    </row>
    <row r="21" spans="2:18" x14ac:dyDescent="0.25">
      <c r="B21" s="168">
        <v>45943</v>
      </c>
      <c r="C21" s="169">
        <v>1</v>
      </c>
      <c r="D21" s="170">
        <v>20</v>
      </c>
      <c r="E21" s="171">
        <v>3395</v>
      </c>
      <c r="F21" s="172">
        <v>33715334319</v>
      </c>
      <c r="G21" s="173" t="str">
        <f>IFERROR(IF('Oct-26'!$F21="","-",VLOOKUP('Oct-26'!$F21,Lista_CUIT!$A$1:$D$2241,2,0)),"CUIT NO CARGADO")</f>
        <v>PIERETTO RICARDO, PIERETTO JULIAN Y PIERETTO MAURICIO CAPITULO I SECCION IV LEY 19550</v>
      </c>
      <c r="H21" s="174">
        <v>22901.65</v>
      </c>
      <c r="I21" s="175">
        <f>IF('Oct-26'!$H21="","",'Oct-26'!$H21*0.21)</f>
        <v>4809.3465000000006</v>
      </c>
      <c r="J21" s="175"/>
      <c r="K21" s="175"/>
      <c r="L21" s="175"/>
      <c r="M21" s="175"/>
      <c r="N21" s="175"/>
      <c r="O21" s="175"/>
      <c r="P21" s="176">
        <f>SUM('Oct-26'!$H21:$O21)</f>
        <v>27710.996500000001</v>
      </c>
      <c r="Q21" s="177">
        <f>IFERROR(IF('Oct-26'!$F21="","-",VLOOKUP('Oct-26'!$F21,Lista_CUIT!$A$1:$D$2241,3,0)),"CUIT NO CARGADO")</f>
        <v>0</v>
      </c>
      <c r="R21" s="178">
        <f>IFERROR(IF('Oct-26'!$F21="","-",VLOOKUP('Oct-26'!$F21,Lista_CUIT!$A$1:$D$2241,4,0)),"CUIT NO CARGADO")</f>
        <v>0</v>
      </c>
    </row>
    <row r="22" spans="2:18" x14ac:dyDescent="0.25">
      <c r="B22" s="168">
        <v>45943</v>
      </c>
      <c r="C22" s="169">
        <v>1</v>
      </c>
      <c r="D22" s="170">
        <v>2</v>
      </c>
      <c r="E22" s="171">
        <v>220</v>
      </c>
      <c r="F22" s="172">
        <v>20125142851</v>
      </c>
      <c r="G22" s="173" t="str">
        <f>IFERROR(IF('Oct-26'!$F22="","-",VLOOKUP('Oct-26'!$F22,Lista_CUIT!$A$1:$D$2241,2,0)),"CUIT NO CARGADO")</f>
        <v>FEDERICI NICOLAS JOSE</v>
      </c>
      <c r="H22" s="174">
        <v>386022</v>
      </c>
      <c r="I22" s="175">
        <f>IF('Oct-26'!$H22="","",'Oct-26'!$H22*0.21)</f>
        <v>81064.62</v>
      </c>
      <c r="J22" s="175"/>
      <c r="K22" s="175"/>
      <c r="L22" s="175"/>
      <c r="M22" s="175"/>
      <c r="N22" s="175"/>
      <c r="O22" s="175"/>
      <c r="P22" s="176">
        <f>SUM('Oct-26'!$H22:$O22)</f>
        <v>467086.62</v>
      </c>
      <c r="Q22" s="177" t="str">
        <f>IFERROR(IF('Oct-26'!$F22="","-",VLOOKUP('Oct-26'!$F22,Lista_CUIT!$A$1:$D$2241,3,0)),"CUIT NO CARGADO")</f>
        <v>INSUMO</v>
      </c>
      <c r="R22" s="178">
        <f>IFERROR(IF('Oct-26'!$F22="","-",VLOOKUP('Oct-26'!$F22,Lista_CUIT!$A$1:$D$2241,4,0)),"CUIT NO CARGADO")</f>
        <v>0</v>
      </c>
    </row>
    <row r="23" spans="2:18" x14ac:dyDescent="0.25">
      <c r="B23" s="168">
        <v>45946</v>
      </c>
      <c r="C23" s="169">
        <v>1</v>
      </c>
      <c r="D23" s="170">
        <v>106</v>
      </c>
      <c r="E23" s="171">
        <v>886475</v>
      </c>
      <c r="F23" s="172">
        <v>30594494187</v>
      </c>
      <c r="G23" s="173" t="str">
        <f>IFERROR(IF('Oct-26'!$F23="","-",VLOOKUP('Oct-26'!$F23,Lista_CUIT!$A$1:$D$2241,2,0)),"CUIT NO CARGADO")</f>
        <v>FEDERAL EXPRESS CORPORATION</v>
      </c>
      <c r="H23" s="174">
        <v>0</v>
      </c>
      <c r="I23" s="175">
        <f>IF('Oct-26'!$H23="","",'Oct-26'!$H23*0.21)</f>
        <v>0</v>
      </c>
      <c r="J23" s="175"/>
      <c r="K23" s="175"/>
      <c r="L23" s="175"/>
      <c r="M23" s="175"/>
      <c r="N23" s="175"/>
      <c r="O23" s="175">
        <v>1208107.8</v>
      </c>
      <c r="P23" s="176">
        <f>SUM('Oct-26'!$H23:$O23)</f>
        <v>1208107.8</v>
      </c>
      <c r="Q23" s="177" t="str">
        <f>IFERROR(IF('Oct-26'!$F23="","-",VLOOKUP('Oct-26'!$F23,Lista_CUIT!$A$1:$D$2241,3,0)),"CUIT NO CARGADO")</f>
        <v>Mercaderia</v>
      </c>
      <c r="R23" s="178">
        <f>IFERROR(IF('Oct-26'!$F23="","-",VLOOKUP('Oct-26'!$F23,Lista_CUIT!$A$1:$D$2241,4,0)),"CUIT NO CARGADO")</f>
        <v>0</v>
      </c>
    </row>
    <row r="24" spans="2:18" x14ac:dyDescent="0.25">
      <c r="B24" s="168">
        <v>45947</v>
      </c>
      <c r="C24" s="169">
        <v>1</v>
      </c>
      <c r="D24" s="170">
        <v>3</v>
      </c>
      <c r="E24" s="171">
        <v>5843</v>
      </c>
      <c r="F24" s="172">
        <v>30717805174</v>
      </c>
      <c r="G24" s="173" t="str">
        <f>IFERROR(IF('Oct-26'!$F24="","-",VLOOKUP('Oct-26'!$F24,Lista_CUIT!$A$1:$D$2241,2,0)),"CUIT NO CARGADO")</f>
        <v>LUXONO S. R. L.</v>
      </c>
      <c r="H24" s="174">
        <v>28162.78</v>
      </c>
      <c r="I24" s="175">
        <f>IF('Oct-26'!$H24="","",'Oct-26'!$H24*0.21)</f>
        <v>5914.1837999999998</v>
      </c>
      <c r="J24" s="175"/>
      <c r="K24" s="175"/>
      <c r="L24" s="175"/>
      <c r="M24" s="175"/>
      <c r="N24" s="175"/>
      <c r="O24" s="175"/>
      <c r="P24" s="176">
        <f>SUM('Oct-26'!$H24:$O24)</f>
        <v>34076.963799999998</v>
      </c>
      <c r="Q24" s="177" t="str">
        <f>IFERROR(IF('Oct-26'!$F24="","-",VLOOKUP('Oct-26'!$F24,Lista_CUIT!$A$1:$D$2241,3,0)),"CUIT NO CARGADO")</f>
        <v>INSUMO</v>
      </c>
      <c r="R24" s="178">
        <f>IFERROR(IF('Oct-26'!$F24="","-",VLOOKUP('Oct-26'!$F24,Lista_CUIT!$A$1:$D$2241,4,0)),"CUIT NO CARGADO")</f>
        <v>0</v>
      </c>
    </row>
    <row r="25" spans="2:18" x14ac:dyDescent="0.25">
      <c r="B25" s="168">
        <v>45951</v>
      </c>
      <c r="C25" s="169">
        <v>1</v>
      </c>
      <c r="D25" s="170">
        <v>1</v>
      </c>
      <c r="E25" s="171">
        <v>3084</v>
      </c>
      <c r="F25" s="172">
        <v>30717248267</v>
      </c>
      <c r="G25" s="173" t="str">
        <f>IFERROR(IF('Oct-26'!$F25="","-",VLOOKUP('Oct-26'!$F25,Lista_CUIT!$A$1:$D$2241,2,0)),"CUIT NO CARGADO")</f>
        <v>KARTELACRIL</v>
      </c>
      <c r="H25" s="174">
        <v>40000</v>
      </c>
      <c r="I25" s="175">
        <f>IF('Oct-26'!$H25="","",'Oct-26'!$H25*0.21)</f>
        <v>8400</v>
      </c>
      <c r="J25" s="175"/>
      <c r="K25" s="175"/>
      <c r="L25" s="175"/>
      <c r="M25" s="175"/>
      <c r="N25" s="175"/>
      <c r="O25" s="175"/>
      <c r="P25" s="176">
        <f>SUM('Oct-26'!$H25:$O25)</f>
        <v>48400</v>
      </c>
      <c r="Q25" s="177">
        <f>IFERROR(IF('Oct-26'!$F25="","-",VLOOKUP('Oct-26'!$F25,Lista_CUIT!$A$1:$D$2241,3,0)),"CUIT NO CARGADO")</f>
        <v>0</v>
      </c>
      <c r="R25" s="178">
        <f>IFERROR(IF('Oct-26'!$F25="","-",VLOOKUP('Oct-26'!$F25,Lista_CUIT!$A$1:$D$2241,4,0)),"CUIT NO CARGADO")</f>
        <v>0</v>
      </c>
    </row>
    <row r="26" spans="2:18" x14ac:dyDescent="0.25">
      <c r="B26" s="168">
        <v>45954</v>
      </c>
      <c r="C26" s="169">
        <v>1</v>
      </c>
      <c r="D26" s="170">
        <v>2</v>
      </c>
      <c r="E26" s="171">
        <v>2645</v>
      </c>
      <c r="F26" s="172">
        <v>30710513100</v>
      </c>
      <c r="G26" s="173" t="str">
        <f>IFERROR(IF('Oct-26'!$F26="","-",VLOOKUP('Oct-26'!$F26,Lista_CUIT!$A$1:$D$2241,2,0)),"CUIT NO CARGADO")</f>
        <v>INFOSTYLE  S.R.L.</v>
      </c>
      <c r="H26" s="174">
        <v>3471.07</v>
      </c>
      <c r="I26" s="175">
        <f>IF('Oct-26'!$H26="","",'Oct-26'!$H26*0.21)</f>
        <v>728.92470000000003</v>
      </c>
      <c r="J26" s="175"/>
      <c r="K26" s="175"/>
      <c r="L26" s="175"/>
      <c r="M26" s="175"/>
      <c r="N26" s="175"/>
      <c r="O26" s="175"/>
      <c r="P26" s="176">
        <f>SUM('Oct-26'!$H26:$O26)</f>
        <v>4199.9947000000002</v>
      </c>
      <c r="Q26" s="177">
        <f>IFERROR(IF('Oct-26'!$F26="","-",VLOOKUP('Oct-26'!$F26,Lista_CUIT!$A$1:$D$2241,3,0)),"CUIT NO CARGADO")</f>
        <v>0</v>
      </c>
      <c r="R26" s="178">
        <f>IFERROR(IF('Oct-26'!$F26="","-",VLOOKUP('Oct-26'!$F26,Lista_CUIT!$A$1:$D$2241,4,0)),"CUIT NO CARGADO")</f>
        <v>0</v>
      </c>
    </row>
    <row r="27" spans="2:18" x14ac:dyDescent="0.25">
      <c r="B27" s="168">
        <v>45936</v>
      </c>
      <c r="C27" s="169">
        <v>3</v>
      </c>
      <c r="D27" s="170">
        <v>122</v>
      </c>
      <c r="E27" s="171">
        <v>77649</v>
      </c>
      <c r="F27" s="172">
        <v>30594494187</v>
      </c>
      <c r="G27" s="173" t="str">
        <f>IFERROR(IF('Oct-26'!$F27="","-",VLOOKUP('Oct-26'!$F27,Lista_CUIT!$A$1:$D$2241,2,0)),"CUIT NO CARGADO")</f>
        <v>FEDERAL EXPRESS CORPORATION</v>
      </c>
      <c r="H27" s="174">
        <v>-170940</v>
      </c>
      <c r="I27" s="175">
        <f>IF('Oct-26'!$H27="","",'Oct-26'!$H27*0.21)</f>
        <v>-35897.4</v>
      </c>
      <c r="J27" s="175"/>
      <c r="K27" s="175"/>
      <c r="L27" s="175"/>
      <c r="M27" s="175"/>
      <c r="N27" s="175"/>
      <c r="O27" s="175">
        <v>-1963758.73</v>
      </c>
      <c r="P27" s="176">
        <f>SUM('Oct-26'!$H27:$O27)</f>
        <v>-2170596.13</v>
      </c>
      <c r="Q27" s="177" t="str">
        <f>IFERROR(IF('Oct-26'!$F27="","-",VLOOKUP('Oct-26'!$F27,Lista_CUIT!$A$1:$D$2241,3,0)),"CUIT NO CARGADO")</f>
        <v>Mercaderia</v>
      </c>
      <c r="R27" s="178">
        <f>IFERROR(IF('Oct-26'!$F27="","-",VLOOKUP('Oct-26'!$F27,Lista_CUIT!$A$1:$D$2241,4,0)),"CUIT NO CARGADO")</f>
        <v>0</v>
      </c>
    </row>
    <row r="28" spans="2:18" x14ac:dyDescent="0.25">
      <c r="B28" s="168"/>
      <c r="C28" s="169"/>
      <c r="D28" s="170"/>
      <c r="E28" s="171"/>
      <c r="F28" s="172"/>
      <c r="G28" s="173" t="str">
        <f>IFERROR(IF('Oct-26'!$F28="","-",VLOOKUP('Oct-26'!$F28,Lista_CUIT!$A$1:$D$2241,2,0)),"CUIT NO CARGADO")</f>
        <v>-</v>
      </c>
      <c r="H28" s="174"/>
      <c r="I28" s="175" t="str">
        <f>IF('Oct-26'!$H28="","",'Oct-26'!$H28*0.21)</f>
        <v/>
      </c>
      <c r="J28" s="175"/>
      <c r="K28" s="175"/>
      <c r="L28" s="175"/>
      <c r="M28" s="175"/>
      <c r="N28" s="175"/>
      <c r="O28" s="175"/>
      <c r="P28" s="176">
        <f>SUM('Oct-26'!$H28:$O28)</f>
        <v>0</v>
      </c>
      <c r="Q28" s="177" t="str">
        <f>IFERROR(IF('Oct-26'!$F28="","-",VLOOKUP('Oct-26'!$F28,Lista_CUIT!$A$1:$D$2241,3,0)),"CUIT NO CARGADO")</f>
        <v>-</v>
      </c>
      <c r="R28" s="178" t="str">
        <f>IFERROR(IF('Oct-26'!$F28="","-",VLOOKUP('Oct-26'!$F28,Lista_CUIT!$A$1:$D$2241,4,0)),"CUIT NO CARGADO")</f>
        <v>-</v>
      </c>
    </row>
    <row r="29" spans="2:18" ht="15.75" customHeight="1" x14ac:dyDescent="0.25">
      <c r="B29" s="179" t="s">
        <v>1336</v>
      </c>
      <c r="C29" s="180"/>
      <c r="D29" s="180"/>
      <c r="E29" s="180"/>
      <c r="F29" s="180"/>
      <c r="G29" s="181"/>
      <c r="H29" s="182">
        <f>SUBTOTAL(109,'Oct-26'!$H$9:$H$28)</f>
        <v>10810625.510000002</v>
      </c>
      <c r="I29" s="182">
        <f>SUBTOTAL(109,'Oct-26'!$I$9:$I$28)</f>
        <v>2266641.4059000001</v>
      </c>
      <c r="J29" s="182">
        <f>SUBTOTAL(109,'Oct-26'!$J$9:$J$28)</f>
        <v>0</v>
      </c>
      <c r="K29" s="182">
        <f>SUBTOTAL(109,'Oct-26'!$K$9:$K$28)</f>
        <v>1794.98</v>
      </c>
      <c r="L29" s="182">
        <f>SUBTOTAL(109,'Oct-26'!$L$9:$L$28)</f>
        <v>0</v>
      </c>
      <c r="M29" s="182">
        <f>SUBTOTAL(109,'Oct-26'!$M$9:$M$28)</f>
        <v>0</v>
      </c>
      <c r="N29" s="182">
        <f>SUBTOTAL(109,'Oct-26'!$N$9:$N$28)</f>
        <v>0</v>
      </c>
      <c r="O29" s="182">
        <f>SUBTOTAL(109,'Oct-26'!$O$9:$O$28)</f>
        <v>1208647.79</v>
      </c>
      <c r="P29" s="182">
        <f>SUBTOTAL(109,'Oct-26'!$P$9:$P$28)</f>
        <v>14287709.685899999</v>
      </c>
      <c r="Q29" s="180"/>
      <c r="R29" s="183"/>
    </row>
    <row r="30" spans="2:18" ht="15.75" customHeight="1" x14ac:dyDescent="0.25">
      <c r="B30" s="12"/>
      <c r="C30" s="13"/>
      <c r="D30" s="14"/>
      <c r="E30" s="15"/>
      <c r="F30" s="16"/>
      <c r="G30" s="17"/>
      <c r="H30" s="18"/>
      <c r="I30" s="19"/>
      <c r="J30" s="19"/>
      <c r="K30" s="19"/>
      <c r="L30" s="19"/>
      <c r="M30" s="19"/>
      <c r="N30" s="19"/>
      <c r="O30" s="19"/>
      <c r="P30" s="20"/>
      <c r="Q30" s="21"/>
      <c r="R30" s="21"/>
    </row>
    <row r="31" spans="2:18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2:18" ht="14.2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  <c r="M32" s="19"/>
      <c r="N32" s="19"/>
      <c r="O32" s="19"/>
      <c r="P32" s="20"/>
      <c r="Q32" s="21"/>
      <c r="R32" s="21"/>
    </row>
    <row r="33" spans="2:15" ht="22.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</row>
    <row r="34" spans="2:15" ht="21.75" customHeight="1" x14ac:dyDescent="0.25">
      <c r="D34" s="456" t="s">
        <v>1337</v>
      </c>
      <c r="E34" s="448"/>
      <c r="F34" s="448"/>
      <c r="G34" s="448"/>
      <c r="H34" s="448"/>
      <c r="I34" s="448"/>
      <c r="J34" s="448"/>
      <c r="K34" s="448"/>
      <c r="L34" s="449"/>
      <c r="M34" s="230"/>
    </row>
    <row r="35" spans="2:15" ht="14.25" customHeight="1" x14ac:dyDescent="0.25">
      <c r="D35" s="187" t="s">
        <v>1322</v>
      </c>
      <c r="E35" s="188" t="s">
        <v>1338</v>
      </c>
      <c r="F35" s="188" t="s">
        <v>1339</v>
      </c>
      <c r="G35" s="188" t="s">
        <v>1340</v>
      </c>
      <c r="H35" s="188" t="s">
        <v>1341</v>
      </c>
      <c r="I35" s="188" t="s">
        <v>1329</v>
      </c>
      <c r="J35" s="189" t="s">
        <v>1342</v>
      </c>
      <c r="K35" s="189" t="s">
        <v>1343</v>
      </c>
      <c r="L35" s="190" t="s">
        <v>1344</v>
      </c>
      <c r="M35" s="190" t="s">
        <v>1334</v>
      </c>
    </row>
    <row r="36" spans="2:15" ht="14.25" customHeight="1" x14ac:dyDescent="0.25">
      <c r="D36" s="168"/>
      <c r="E36" s="191"/>
      <c r="F36" s="191" t="s">
        <v>1372</v>
      </c>
      <c r="G36" s="192">
        <f>Table_44[[#This Row],[IVA 21%]]/0.21</f>
        <v>94459.761904761908</v>
      </c>
      <c r="H36" s="192">
        <f>19836.55</f>
        <v>19836.55</v>
      </c>
      <c r="I36" s="192"/>
      <c r="J36" s="192"/>
      <c r="K36" s="192">
        <v>2686.79</v>
      </c>
      <c r="L36" s="193"/>
      <c r="M36" s="433">
        <f>SUM(Table_44[[#This Row],[NETO]:[PERC IIBB]])</f>
        <v>116983.1019047619</v>
      </c>
      <c r="O36" s="247"/>
    </row>
    <row r="37" spans="2:15" ht="15" customHeight="1" x14ac:dyDescent="0.25">
      <c r="D37" s="168"/>
      <c r="E37" s="191"/>
      <c r="F37" s="191"/>
      <c r="G37" s="192"/>
      <c r="H37" s="192">
        <f>'Oct-26'!$G37*0.21</f>
        <v>0</v>
      </c>
      <c r="I37" s="192"/>
      <c r="J37" s="192"/>
      <c r="K37" s="192"/>
      <c r="L37" s="193"/>
      <c r="M37" s="232">
        <f>SUM(Table_44[[#This Row],[NETO]:[PERC IIBB]])</f>
        <v>0</v>
      </c>
    </row>
    <row r="38" spans="2:15" ht="15" customHeight="1" x14ac:dyDescent="0.25">
      <c r="D38" s="168"/>
      <c r="E38" s="191"/>
      <c r="F38" s="191"/>
      <c r="G38" s="192"/>
      <c r="H38" s="192">
        <f>'Oct-26'!$G38*0.21</f>
        <v>0</v>
      </c>
      <c r="I38" s="192"/>
      <c r="J38" s="192"/>
      <c r="K38" s="192"/>
      <c r="L38" s="193"/>
      <c r="M38" s="232">
        <f>SUM(Table_44[[#This Row],[NETO]:[PERC IIBB]])</f>
        <v>0</v>
      </c>
    </row>
    <row r="39" spans="2:15" ht="15" customHeight="1" x14ac:dyDescent="0.25">
      <c r="D39" s="168"/>
      <c r="E39" s="191"/>
      <c r="F39" s="191"/>
      <c r="G39" s="192"/>
      <c r="H39" s="192">
        <f>'Oct-26'!$G39*0.21</f>
        <v>0</v>
      </c>
      <c r="I39" s="192"/>
      <c r="J39" s="192"/>
      <c r="K39" s="192"/>
      <c r="L39" s="193"/>
      <c r="M39" s="232">
        <f>SUM(Table_44[[#This Row],[NETO]:[PERC IIBB]])</f>
        <v>0</v>
      </c>
    </row>
    <row r="40" spans="2:15" ht="15" customHeight="1" x14ac:dyDescent="0.25">
      <c r="D40" s="179" t="s">
        <v>1336</v>
      </c>
      <c r="E40" s="194"/>
      <c r="F40" s="194"/>
      <c r="G40" s="195">
        <f>SUBTOTAL(109,'Oct-26'!$G$36:$G$39)</f>
        <v>94459.761904761908</v>
      </c>
      <c r="H40" s="195">
        <f>SUBTOTAL(109,'Oct-26'!$H$36:$H$39)</f>
        <v>19836.55</v>
      </c>
      <c r="I40" s="195">
        <f>SUBTOTAL(109,'Oct-26'!$I$36:$I$39)</f>
        <v>0</v>
      </c>
      <c r="J40" s="195">
        <f>SUBTOTAL(109,'Oct-26'!$J$36:$J$39)</f>
        <v>0</v>
      </c>
      <c r="K40" s="195">
        <f>SUBTOTAL(109,'Oct-26'!$K$36:$K$39)</f>
        <v>2686.79</v>
      </c>
      <c r="L40" s="196">
        <f>SUBTOTAL(109,'Oct-26'!$L$36:$L$39)</f>
        <v>0</v>
      </c>
      <c r="M40" s="231">
        <f>SUM(Table_44[[#This Row],[NETO]:[PERC IIBB]])</f>
        <v>116983.1019047619</v>
      </c>
    </row>
    <row r="42" spans="2:15" ht="15" customHeight="1" x14ac:dyDescent="0.25">
      <c r="O42" s="247"/>
    </row>
    <row r="43" spans="2:15" ht="14.25" customHeight="1" x14ac:dyDescent="0.25"/>
    <row r="44" spans="2:15" ht="24" customHeight="1" x14ac:dyDescent="0.25">
      <c r="D44" s="456" t="s">
        <v>1348</v>
      </c>
      <c r="E44" s="448"/>
      <c r="F44" s="448"/>
      <c r="G44" s="448"/>
      <c r="H44" s="448"/>
      <c r="I44" s="448"/>
      <c r="J44" s="448"/>
      <c r="K44" s="449"/>
    </row>
    <row r="45" spans="2:15" ht="15.75" customHeight="1" x14ac:dyDescent="0.25">
      <c r="D45" s="197" t="s">
        <v>1322</v>
      </c>
      <c r="E45" s="198" t="s">
        <v>1324</v>
      </c>
      <c r="F45" s="198" t="s">
        <v>1349</v>
      </c>
      <c r="G45" s="198" t="s">
        <v>0</v>
      </c>
      <c r="H45" s="198" t="s">
        <v>1</v>
      </c>
      <c r="I45" s="199" t="s">
        <v>1334</v>
      </c>
      <c r="J45" s="198" t="s">
        <v>1350</v>
      </c>
      <c r="K45" s="200" t="s">
        <v>1335</v>
      </c>
      <c r="O45" s="247"/>
    </row>
    <row r="46" spans="2:15" ht="15.75" customHeight="1" x14ac:dyDescent="0.25">
      <c r="D46" s="168">
        <v>45931</v>
      </c>
      <c r="E46" s="170">
        <v>1</v>
      </c>
      <c r="F46" s="233">
        <v>48</v>
      </c>
      <c r="G46" s="172">
        <v>27387896150</v>
      </c>
      <c r="H46" s="201" t="str">
        <f>IFERROR(IF('Oct-26'!$G46="","-",VLOOKUP('Oct-26'!$G46,Lista_CUIT!$A$1:$D$2241,2,0)),"CUIT NO CARGADO")</f>
        <v>LIPANOVICH MARIA SOL</v>
      </c>
      <c r="I46" s="202">
        <v>2104200</v>
      </c>
      <c r="J46" s="203" t="str">
        <f>IFERROR(IF('Oct-26'!$G46="","-",VLOOKUP('Oct-26'!$G46,Lista_CUIT!$A$1:$D$2241,3,0)),"CUIT NO CARGADO")</f>
        <v>consultoria informatica</v>
      </c>
      <c r="K46" s="204">
        <f>IFERROR(IF('Oct-26'!$G46="","-",VLOOKUP('Oct-26'!$G46,Lista_CUIT!$A$1:$D$2241,4,0)),"CUIT NO CARGADO")</f>
        <v>0</v>
      </c>
    </row>
    <row r="47" spans="2:15" ht="15.75" customHeight="1" x14ac:dyDescent="0.25">
      <c r="D47" s="168">
        <v>45931</v>
      </c>
      <c r="E47" s="170">
        <v>1</v>
      </c>
      <c r="F47" s="233">
        <v>47</v>
      </c>
      <c r="G47" s="172">
        <v>27387896150</v>
      </c>
      <c r="H47" s="201" t="str">
        <f>IFERROR(IF('Oct-26'!$G47="","-",VLOOKUP('Oct-26'!$G47,Lista_CUIT!$A$1:$D$2241,2,0)),"CUIT NO CARGADO")</f>
        <v>LIPANOVICH MARIA SOL</v>
      </c>
      <c r="I47" s="202">
        <v>664557</v>
      </c>
      <c r="J47" s="203" t="str">
        <f>IFERROR(IF('Oct-26'!$G47="","-",VLOOKUP('Oct-26'!$G47,Lista_CUIT!$A$1:$D$2241,3,0)),"CUIT NO CARGADO")</f>
        <v>consultoria informatica</v>
      </c>
      <c r="K47" s="204">
        <f>IFERROR(IF('Oct-26'!$G47="","-",VLOOKUP('Oct-26'!$G47,Lista_CUIT!$A$1:$D$2241,4,0)),"CUIT NO CARGADO")</f>
        <v>0</v>
      </c>
    </row>
    <row r="48" spans="2:15" ht="15.75" customHeight="1" x14ac:dyDescent="0.25">
      <c r="D48" s="168">
        <v>45932</v>
      </c>
      <c r="E48" s="170">
        <v>4</v>
      </c>
      <c r="F48" s="233">
        <v>77</v>
      </c>
      <c r="G48" s="172">
        <v>20086277523</v>
      </c>
      <c r="H48" s="201" t="str">
        <f>IFERROR(IF('Oct-26'!$G48="","-",VLOOKUP('Oct-26'!$G48,Lista_CUIT!$A$1:$D$2241,2,0)),"CUIT NO CARGADO")</f>
        <v>ESTUDIO BOTINDARI</v>
      </c>
      <c r="I48" s="202">
        <v>400000</v>
      </c>
      <c r="J48" s="203" t="str">
        <f>IFERROR(IF('Oct-26'!$G48="","-",VLOOKUP('Oct-26'!$G48,Lista_CUIT!$A$1:$D$2241,3,0)),"CUIT NO CARGADO")</f>
        <v>Honorarios Contables</v>
      </c>
      <c r="K48" s="204">
        <f>IFERROR(IF('Oct-26'!$G48="","-",VLOOKUP('Oct-26'!$G48,Lista_CUIT!$A$1:$D$2241,4,0)),"CUIT NO CARGADO")</f>
        <v>0</v>
      </c>
    </row>
    <row r="49" spans="4:15" ht="15.75" customHeight="1" x14ac:dyDescent="0.25">
      <c r="D49" s="168">
        <v>45932</v>
      </c>
      <c r="E49" s="170">
        <v>1</v>
      </c>
      <c r="F49" s="233">
        <v>168</v>
      </c>
      <c r="G49" s="172">
        <v>20389908569</v>
      </c>
      <c r="H49" s="201" t="str">
        <f>IFERROR(IF('Oct-26'!$G49="","-",VLOOKUP('Oct-26'!$G49,Lista_CUIT!$A$1:$D$2241,2,0)),"CUIT NO CARGADO")</f>
        <v>BOTINDARI JUAN IGNACIO</v>
      </c>
      <c r="I49" s="202">
        <v>125000</v>
      </c>
      <c r="J49" s="203" t="str">
        <f>IFERROR(IF('Oct-26'!$G49="","-",VLOOKUP('Oct-26'!$G49,Lista_CUIT!$A$1:$D$2241,3,0)),"CUIT NO CARGADO")</f>
        <v>Honorarios Contables</v>
      </c>
      <c r="K49" s="204">
        <f>IFERROR(IF('Oct-26'!$G49="","-",VLOOKUP('Oct-26'!$G49,Lista_CUIT!$A$1:$D$2241,4,0)),"CUIT NO CARGADO")</f>
        <v>0</v>
      </c>
    </row>
    <row r="50" spans="4:15" ht="15.75" customHeight="1" x14ac:dyDescent="0.25">
      <c r="D50" s="168">
        <v>45933</v>
      </c>
      <c r="E50" s="170">
        <v>2</v>
      </c>
      <c r="F50" s="233">
        <v>24</v>
      </c>
      <c r="G50" s="172">
        <v>23118167279</v>
      </c>
      <c r="H50" s="201" t="str">
        <f>IFERROR(IF('Oct-26'!$G50="","-",VLOOKUP('Oct-26'!$G50,Lista_CUIT!$A$1:$D$2241,2,0)),"CUIT NO CARGADO")</f>
        <v>ABELEDO ENRIQUE JUAN</v>
      </c>
      <c r="I50" s="202">
        <v>2845000</v>
      </c>
      <c r="J50" s="203" t="str">
        <f>IFERROR(IF('Oct-26'!$G50="","-",VLOOKUP('Oct-26'!$G50,Lista_CUIT!$A$1:$D$2241,3,0)),"CUIT NO CARGADO")</f>
        <v>Honorarios Admin</v>
      </c>
      <c r="K50" s="204">
        <f>IFERROR(IF('Oct-26'!$G50="","-",VLOOKUP('Oct-26'!$G50,Lista_CUIT!$A$1:$D$2241,4,0)),"CUIT NO CARGADO")</f>
        <v>0</v>
      </c>
      <c r="O50" s="247"/>
    </row>
    <row r="51" spans="4:15" ht="15.75" customHeight="1" x14ac:dyDescent="0.25">
      <c r="D51" s="168">
        <v>45935</v>
      </c>
      <c r="E51" s="170">
        <v>2</v>
      </c>
      <c r="F51" s="233">
        <v>188</v>
      </c>
      <c r="G51" s="172">
        <v>20136544625</v>
      </c>
      <c r="H51" s="201" t="str">
        <f>IFERROR(IF('Oct-26'!$G51="","-",VLOOKUP('Oct-26'!$G51,Lista_CUIT!$A$1:$D$2241,2,0)),"CUIT NO CARGADO")</f>
        <v>RODRIGUEZ DE LA FUEN HECTOR MARCELO</v>
      </c>
      <c r="I51" s="202">
        <v>1252000</v>
      </c>
      <c r="J51" s="203" t="str">
        <f>IFERROR(IF('Oct-26'!$G51="","-",VLOOKUP('Oct-26'!$G51,Lista_CUIT!$A$1:$D$2241,3,0)),"CUIT NO CARGADO")</f>
        <v>Honorarios Admin</v>
      </c>
      <c r="K51" s="204">
        <f>IFERROR(IF('Oct-26'!$G51="","-",VLOOKUP('Oct-26'!$G51,Lista_CUIT!$A$1:$D$2241,4,0)),"CUIT NO CARGADO")</f>
        <v>0</v>
      </c>
    </row>
    <row r="52" spans="4:15" ht="15.75" customHeight="1" x14ac:dyDescent="0.25">
      <c r="D52" s="168">
        <v>45935</v>
      </c>
      <c r="E52" s="170">
        <v>2</v>
      </c>
      <c r="F52" s="233">
        <v>294</v>
      </c>
      <c r="G52" s="172">
        <v>27173820866</v>
      </c>
      <c r="H52" s="201" t="str">
        <f>IFERROR(IF('Oct-26'!$G52="","-",VLOOKUP('Oct-26'!$G52,Lista_CUIT!$A$1:$D$2241,2,0)),"CUIT NO CARGADO")</f>
        <v>FREIER SANDRA DANIELA</v>
      </c>
      <c r="I52" s="202">
        <v>1590000</v>
      </c>
      <c r="J52" s="203" t="str">
        <f>IFERROR(IF('Oct-26'!$G52="","-",VLOOKUP('Oct-26'!$G52,Lista_CUIT!$A$1:$D$2241,3,0)),"CUIT NO CARGADO")</f>
        <v>Honorarios Prof</v>
      </c>
      <c r="K52" s="204">
        <f>IFERROR(IF('Oct-26'!$G52="","-",VLOOKUP('Oct-26'!$G52,Lista_CUIT!$A$1:$D$2241,4,0)),"CUIT NO CARGADO")</f>
        <v>0</v>
      </c>
    </row>
    <row r="53" spans="4:15" ht="15.75" customHeight="1" x14ac:dyDescent="0.25">
      <c r="D53" s="168">
        <v>45935</v>
      </c>
      <c r="E53" s="170">
        <v>4</v>
      </c>
      <c r="F53" s="233">
        <v>106</v>
      </c>
      <c r="G53" s="172">
        <v>23214737914</v>
      </c>
      <c r="H53" s="201" t="str">
        <f>IFERROR(IF('Oct-26'!$G53="","-",VLOOKUP('Oct-26'!$G53,Lista_CUIT!$A$1:$D$2241,2,0)),"CUIT NO CARGADO")</f>
        <v>SBARRA GABRIELA BEATRIZ</v>
      </c>
      <c r="I53" s="202">
        <v>1047660</v>
      </c>
      <c r="J53" s="203" t="str">
        <f>IFERROR(IF('Oct-26'!$G53="","-",VLOOKUP('Oct-26'!$G53,Lista_CUIT!$A$1:$D$2241,3,0)),"CUIT NO CARGADO")</f>
        <v>Honorarios Admin</v>
      </c>
      <c r="K53" s="204">
        <f>IFERROR(IF('Oct-26'!$G53="","-",VLOOKUP('Oct-26'!$G53,Lista_CUIT!$A$1:$D$2241,4,0)),"CUIT NO CARGADO")</f>
        <v>0</v>
      </c>
    </row>
    <row r="54" spans="4:15" ht="15.75" customHeight="1" x14ac:dyDescent="0.25">
      <c r="D54" s="168">
        <v>45935</v>
      </c>
      <c r="E54" s="170">
        <v>4</v>
      </c>
      <c r="F54" s="233">
        <v>107</v>
      </c>
      <c r="G54" s="172">
        <v>23214737914</v>
      </c>
      <c r="H54" s="201" t="str">
        <f>IFERROR(IF('Oct-26'!$G54="","-",VLOOKUP('Oct-26'!$G54,Lista_CUIT!$A$1:$D$2241,2,0)),"CUIT NO CARGADO")</f>
        <v>SBARRA GABRIELA BEATRIZ</v>
      </c>
      <c r="I54" s="202">
        <v>1050555</v>
      </c>
      <c r="J54" s="203" t="str">
        <f>IFERROR(IF('Oct-26'!$G54="","-",VLOOKUP('Oct-26'!$G54,Lista_CUIT!$A$1:$D$2241,3,0)),"CUIT NO CARGADO")</f>
        <v>Honorarios Admin</v>
      </c>
      <c r="K54" s="204">
        <f>IFERROR(IF('Oct-26'!$G54="","-",VLOOKUP('Oct-26'!$G54,Lista_CUIT!$A$1:$D$2241,4,0)),"CUIT NO CARGADO")</f>
        <v>0</v>
      </c>
    </row>
    <row r="55" spans="4:15" ht="15.75" customHeight="1" x14ac:dyDescent="0.25">
      <c r="D55" s="168">
        <v>45947</v>
      </c>
      <c r="E55" s="170">
        <v>1</v>
      </c>
      <c r="F55" s="233">
        <v>1017</v>
      </c>
      <c r="G55" s="172">
        <v>20332167481</v>
      </c>
      <c r="H55" s="201" t="str">
        <f>IFERROR(IF('Oct-26'!$G55="","-",VLOOKUP('Oct-26'!$G55,Lista_CUIT!$A$1:$D$2241,2,0)),"CUIT NO CARGADO")</f>
        <v>AGUIRRE GABRIEL ADRIAN</v>
      </c>
      <c r="I55" s="202">
        <v>32200</v>
      </c>
      <c r="J55" s="203" t="str">
        <f>IFERROR(IF('Oct-26'!$G55="","-",VLOOKUP('Oct-26'!$G55,Lista_CUIT!$A$1:$D$2241,3,0)),"CUIT NO CARGADO")</f>
        <v>GASTOS VARIOS</v>
      </c>
      <c r="K55" s="204">
        <f>IFERROR(IF('Oct-26'!$G55="","-",VLOOKUP('Oct-26'!$G55,Lista_CUIT!$A$1:$D$2241,4,0)),"CUIT NO CARGADO")</f>
        <v>0</v>
      </c>
    </row>
    <row r="56" spans="4:15" ht="15.75" customHeight="1" x14ac:dyDescent="0.25">
      <c r="D56" s="168">
        <v>45953</v>
      </c>
      <c r="E56" s="170">
        <v>19</v>
      </c>
      <c r="F56" s="233">
        <v>6247</v>
      </c>
      <c r="G56" s="172">
        <v>33715179119</v>
      </c>
      <c r="H56" s="201" t="str">
        <f>IFERROR(IF('Oct-26'!$G56="","-",VLOOKUP('Oct-26'!$G56,Lista_CUIT!$A$1:$D$2241,2,0)),"CUIT NO CARGADO")</f>
        <v>FONDO DE COOPERACION TECNICA Y FINANCIERA - CECBA - SL Y T - LEY 23.412</v>
      </c>
      <c r="I56" s="202">
        <v>8500</v>
      </c>
      <c r="J56" s="203" t="str">
        <f>IFERROR(IF('Oct-26'!$G56="","-",VLOOKUP('Oct-26'!$G56,Lista_CUIT!$A$1:$D$2241,3,0)),"CUIT NO CARGADO")</f>
        <v>Servicios Informaticos</v>
      </c>
      <c r="K56" s="204">
        <f>IFERROR(IF('Oct-26'!$G56="","-",VLOOKUP('Oct-26'!$G56,Lista_CUIT!$A$1:$D$2241,4,0)),"CUIT NO CARGADO")</f>
        <v>0</v>
      </c>
    </row>
    <row r="57" spans="4:15" ht="15.75" customHeight="1" x14ac:dyDescent="0.25">
      <c r="D57" s="168">
        <v>45959</v>
      </c>
      <c r="E57" s="170">
        <v>1</v>
      </c>
      <c r="F57" s="233">
        <v>1036</v>
      </c>
      <c r="G57" s="172">
        <v>20332167481</v>
      </c>
      <c r="H57" s="201" t="str">
        <f>IFERROR(IF('Oct-26'!$G57="","-",VLOOKUP('Oct-26'!$G57,Lista_CUIT!$A$1:$D$2241,2,0)),"CUIT NO CARGADO")</f>
        <v>AGUIRRE GABRIEL ADRIAN</v>
      </c>
      <c r="I57" s="202">
        <v>32200</v>
      </c>
      <c r="J57" s="203" t="str">
        <f>IFERROR(IF('Oct-26'!$G57="","-",VLOOKUP('Oct-26'!$G57,Lista_CUIT!$A$1:$D$2241,3,0)),"CUIT NO CARGADO")</f>
        <v>GASTOS VARIOS</v>
      </c>
      <c r="K57" s="204">
        <f>IFERROR(IF('Oct-26'!$G57="","-",VLOOKUP('Oct-26'!$G57,Lista_CUIT!$A$1:$D$2241,4,0)),"CUIT NO CARGADO")</f>
        <v>0</v>
      </c>
    </row>
    <row r="58" spans="4:15" ht="15.75" customHeight="1" x14ac:dyDescent="0.25">
      <c r="D58" s="168"/>
      <c r="E58" s="170"/>
      <c r="F58" s="233"/>
      <c r="G58" s="172"/>
      <c r="H58" s="201" t="str">
        <f>IFERROR(IF('Oct-26'!$G58="","-",VLOOKUP('Oct-26'!$G58,Lista_CUIT!$A$1:$D$2241,2,0)),"CUIT NO CARGADO")</f>
        <v>-</v>
      </c>
      <c r="I58" s="202"/>
      <c r="J58" s="203" t="str">
        <f>IFERROR(IF('Oct-26'!$G58="","-",VLOOKUP('Oct-26'!$G58,Lista_CUIT!$A$1:$D$2241,3,0)),"CUIT NO CARGADO")</f>
        <v>-</v>
      </c>
      <c r="K58" s="204" t="str">
        <f>IFERROR(IF('Oct-26'!$G58="","-",VLOOKUP('Oct-26'!$G58,Lista_CUIT!$A$1:$D$2241,4,0)),"CUIT NO CARGADO")</f>
        <v>-</v>
      </c>
    </row>
    <row r="59" spans="4:15" ht="15.75" customHeight="1" x14ac:dyDescent="0.25">
      <c r="D59" s="168"/>
      <c r="E59" s="170"/>
      <c r="F59" s="233"/>
      <c r="G59" s="172"/>
      <c r="H59" s="201" t="str">
        <f>IFERROR(IF('Oct-26'!$G59="","-",VLOOKUP('Oct-26'!$G59,Lista_CUIT!$A$1:$D$2241,2,0)),"CUIT NO CARGADO")</f>
        <v>-</v>
      </c>
      <c r="I59" s="202"/>
      <c r="J59" s="203" t="str">
        <f>IFERROR(IF('Oct-26'!$G59="","-",VLOOKUP('Oct-26'!$G59,Lista_CUIT!$A$1:$D$2241,3,0)),"CUIT NO CARGADO")</f>
        <v>-</v>
      </c>
      <c r="K59" s="204" t="str">
        <f>IFERROR(IF('Oct-26'!$G59="","-",VLOOKUP('Oct-26'!$G59,Lista_CUIT!$A$1:$D$2241,4,0)),"CUIT NO CARGADO")</f>
        <v>-</v>
      </c>
    </row>
    <row r="60" spans="4:15" ht="15.75" customHeight="1" x14ac:dyDescent="0.25">
      <c r="D60" s="168"/>
      <c r="E60" s="170"/>
      <c r="F60" s="171"/>
      <c r="G60" s="172"/>
      <c r="H60" s="201" t="str">
        <f>IFERROR(IF('Oct-26'!$G60="","-",VLOOKUP('Oct-26'!$G60,Lista_CUIT!$A$1:$D$2241,2,0)),"CUIT NO CARGADO")</f>
        <v>-</v>
      </c>
      <c r="I60" s="192"/>
      <c r="J60" s="203" t="str">
        <f>IFERROR(IF('Oct-26'!$G60="","-",VLOOKUP('Oct-26'!$G60,Lista_CUIT!$A$1:$D$2241,3,0)),"CUIT NO CARGADO")</f>
        <v>-</v>
      </c>
      <c r="K60" s="204" t="str">
        <f>IFERROR(IF('Oct-26'!$G60="","-",VLOOKUP('Oct-26'!$G60,Lista_CUIT!$A$1:$D$2241,4,0)),"CUIT NO CARGADO")</f>
        <v>-</v>
      </c>
    </row>
    <row r="61" spans="4:15" ht="15.75" customHeight="1" x14ac:dyDescent="0.25">
      <c r="D61" s="168"/>
      <c r="E61" s="170"/>
      <c r="F61" s="171"/>
      <c r="G61" s="172"/>
      <c r="H61" s="201" t="str">
        <f>IFERROR(IF('Oct-26'!$G61="","-",VLOOKUP('Oct-26'!$G61,Lista_CUIT!$A$1:$D$2241,2,0)),"CUIT NO CARGADO")</f>
        <v>-</v>
      </c>
      <c r="I61" s="192"/>
      <c r="J61" s="203" t="str">
        <f>IFERROR(IF('Oct-26'!$G61="","-",VLOOKUP('Oct-26'!$G61,Lista_CUIT!$A$1:$D$2241,3,0)),"CUIT NO CARGADO")</f>
        <v>-</v>
      </c>
      <c r="K61" s="204" t="str">
        <f>IFERROR(IF('Oct-26'!$G61="","-",VLOOKUP('Oct-26'!$G61,Lista_CUIT!$A$1:$D$2241,4,0)),"CUIT NO CARGADO")</f>
        <v>-</v>
      </c>
    </row>
    <row r="62" spans="4:15" ht="15.75" customHeight="1" x14ac:dyDescent="0.25">
      <c r="D62" s="168"/>
      <c r="E62" s="170"/>
      <c r="F62" s="171"/>
      <c r="G62" s="172"/>
      <c r="H62" s="201" t="str">
        <f>IFERROR(IF('Oct-26'!$G62="","-",VLOOKUP('Oct-26'!$G62,Lista_CUIT!$A$1:$D$2241,2,0)),"CUIT NO CARGADO")</f>
        <v>-</v>
      </c>
      <c r="I62" s="192"/>
      <c r="J62" s="203" t="str">
        <f>IFERROR(IF('Oct-26'!$G62="","-",VLOOKUP('Oct-26'!$G62,Lista_CUIT!$A$1:$D$2241,3,0)),"CUIT NO CARGADO")</f>
        <v>-</v>
      </c>
      <c r="K62" s="204" t="str">
        <f>IFERROR(IF('Oct-26'!$G62="","-",VLOOKUP('Oct-26'!$G62,Lista_CUIT!$A$1:$D$2241,4,0)),"CUIT NO CARGADO")</f>
        <v>-</v>
      </c>
    </row>
    <row r="63" spans="4:15" ht="15.75" customHeight="1" x14ac:dyDescent="0.25">
      <c r="D63" s="168"/>
      <c r="E63" s="170"/>
      <c r="F63" s="171"/>
      <c r="G63" s="172"/>
      <c r="H63" s="201" t="str">
        <f>IFERROR(IF('Oct-26'!$G63="","-",VLOOKUP('Oct-26'!$G63,Lista_CUIT!$A$1:$D$2241,2,0)),"CUIT NO CARGADO")</f>
        <v>-</v>
      </c>
      <c r="I63" s="192"/>
      <c r="J63" s="203" t="str">
        <f>IFERROR(IF('Oct-26'!$G63="","-",VLOOKUP('Oct-26'!$G63,Lista_CUIT!$A$1:$D$2241,3,0)),"CUIT NO CARGADO")</f>
        <v>-</v>
      </c>
      <c r="K63" s="204" t="str">
        <f>IFERROR(IF('Oct-26'!$G63="","-",VLOOKUP('Oct-26'!$G63,Lista_CUIT!$A$1:$D$2241,4,0)),"CUIT NO CARGADO")</f>
        <v>-</v>
      </c>
    </row>
    <row r="64" spans="4:15" ht="15.75" customHeight="1" x14ac:dyDescent="0.25">
      <c r="D64" s="168"/>
      <c r="E64" s="170"/>
      <c r="F64" s="171"/>
      <c r="G64" s="172"/>
      <c r="H64" s="201" t="str">
        <f>IFERROR(IF('Oct-26'!$G64="","-",VLOOKUP('Oct-26'!$G64,Lista_CUIT!$A$1:$D$2241,2,0)),"CUIT NO CARGADO")</f>
        <v>-</v>
      </c>
      <c r="I64" s="192"/>
      <c r="J64" s="203" t="str">
        <f>IFERROR(IF('Oct-26'!$G64="","-",VLOOKUP('Oct-26'!$G64,Lista_CUIT!$A$1:$D$2241,3,0)),"CUIT NO CARGADO")</f>
        <v>-</v>
      </c>
      <c r="K64" s="204" t="str">
        <f>IFERROR(IF('Oct-26'!$G64="","-",VLOOKUP('Oct-26'!$G64,Lista_CUIT!$A$1:$D$2241,4,0)),"CUIT NO CARGADO")</f>
        <v>-</v>
      </c>
    </row>
    <row r="65" spans="1:26" ht="15.75" customHeight="1" x14ac:dyDescent="0.25">
      <c r="D65" s="168"/>
      <c r="E65" s="170"/>
      <c r="F65" s="171"/>
      <c r="G65" s="172"/>
      <c r="H65" s="201"/>
      <c r="I65" s="192"/>
      <c r="J65" s="203"/>
      <c r="K65" s="204"/>
    </row>
    <row r="66" spans="1:26" ht="18" customHeight="1" x14ac:dyDescent="0.25">
      <c r="A66" s="43"/>
      <c r="D66" s="205" t="s">
        <v>1336</v>
      </c>
      <c r="E66" s="206"/>
      <c r="F66" s="206"/>
      <c r="G66" s="206"/>
      <c r="H66" s="207"/>
      <c r="I66" s="208">
        <f>SUBTOTAL(109,'Oct-26'!$I$46:$I$64)</f>
        <v>11151872</v>
      </c>
      <c r="J66" s="206"/>
      <c r="K66" s="209"/>
      <c r="S66" s="43"/>
      <c r="T66" s="43"/>
      <c r="U66" s="43"/>
      <c r="V66" s="43"/>
      <c r="W66" s="43"/>
      <c r="X66" s="43"/>
      <c r="Y66" s="43"/>
      <c r="Z66" s="43"/>
    </row>
    <row r="67" spans="1:26" ht="15.75" customHeight="1" x14ac:dyDescent="0.25">
      <c r="B67" s="43"/>
      <c r="C67" s="43"/>
      <c r="L67" s="43"/>
      <c r="M67" s="43"/>
      <c r="N67" s="43"/>
      <c r="O67" s="43"/>
      <c r="P67" s="43"/>
      <c r="Q67" s="43"/>
      <c r="R67" s="43"/>
    </row>
    <row r="68" spans="1:26" ht="15.75" customHeight="1" x14ac:dyDescent="0.25"/>
    <row r="69" spans="1:26" ht="15.75" customHeight="1" x14ac:dyDescent="0.25"/>
    <row r="70" spans="1:26" ht="15.75" customHeight="1" x14ac:dyDescent="0.25"/>
    <row r="71" spans="1:26" ht="15.75" customHeight="1" x14ac:dyDescent="0.25"/>
    <row r="72" spans="1:26" ht="15.75" customHeight="1" x14ac:dyDescent="0.25">
      <c r="B72" s="464" t="s">
        <v>1351</v>
      </c>
      <c r="C72" s="448"/>
      <c r="D72" s="448"/>
      <c r="E72" s="448"/>
      <c r="F72" s="448"/>
      <c r="G72" s="448"/>
      <c r="H72" s="448"/>
      <c r="I72" s="448"/>
      <c r="J72" s="449"/>
      <c r="K72" s="465">
        <f>N1</f>
        <v>45931</v>
      </c>
      <c r="L72" s="448"/>
      <c r="M72" s="449"/>
    </row>
    <row r="73" spans="1:26" ht="22.5" customHeight="1" x14ac:dyDescent="0.25"/>
    <row r="74" spans="1:26" ht="15.75" customHeight="1" x14ac:dyDescent="0.25">
      <c r="B74" s="476" t="s">
        <v>1352</v>
      </c>
      <c r="C74" s="471"/>
      <c r="D74" s="210"/>
      <c r="E74" s="210"/>
      <c r="F74" s="210"/>
      <c r="G74" s="210"/>
      <c r="H74" s="210"/>
      <c r="I74" s="210"/>
      <c r="J74" s="210"/>
      <c r="K74" s="210"/>
      <c r="L74" s="210"/>
      <c r="M74" s="210"/>
    </row>
    <row r="75" spans="1:26" ht="18" customHeight="1" x14ac:dyDescent="0.25">
      <c r="B75" s="211" t="s">
        <v>1322</v>
      </c>
      <c r="C75" s="212" t="s">
        <v>1323</v>
      </c>
      <c r="D75" s="212" t="s">
        <v>1353</v>
      </c>
      <c r="E75" s="212" t="s">
        <v>1354</v>
      </c>
      <c r="F75" s="212" t="s">
        <v>0</v>
      </c>
      <c r="G75" s="212" t="s">
        <v>1</v>
      </c>
      <c r="H75" s="212" t="s">
        <v>1355</v>
      </c>
      <c r="I75" s="212" t="s">
        <v>1341</v>
      </c>
      <c r="J75" s="212" t="s">
        <v>1329</v>
      </c>
      <c r="K75" s="212" t="s">
        <v>1356</v>
      </c>
      <c r="L75" s="212" t="s">
        <v>1334</v>
      </c>
      <c r="M75" s="213" t="s">
        <v>1335</v>
      </c>
    </row>
    <row r="76" spans="1:26" ht="15.75" customHeight="1" x14ac:dyDescent="0.25">
      <c r="B76" s="168">
        <v>45939</v>
      </c>
      <c r="C76" s="169">
        <v>1</v>
      </c>
      <c r="D76" s="170">
        <v>3</v>
      </c>
      <c r="E76" s="171">
        <v>293</v>
      </c>
      <c r="F76" s="172">
        <v>20124583463</v>
      </c>
      <c r="G76" s="214" t="str">
        <f>IFERROR(IF('Oct-26'!$F76="","-",VLOOKUP('Oct-26'!$F76,Lista_CUIT!$A$1:$D$2241,2,0)),"CUIT NO CARGADO")</f>
        <v>LUCERO MARIO ALFREDO</v>
      </c>
      <c r="H76" s="215">
        <v>560175</v>
      </c>
      <c r="I76" s="216">
        <f>'Oct-26'!$H76*0.21</f>
        <v>117636.75</v>
      </c>
      <c r="J76" s="217"/>
      <c r="K76" s="217"/>
      <c r="L76" s="217">
        <f>SUM('Oct-26'!$H76:$K76)</f>
        <v>677811.75</v>
      </c>
      <c r="M76" s="218"/>
    </row>
    <row r="77" spans="1:26" ht="15.75" customHeight="1" x14ac:dyDescent="0.25">
      <c r="B77" s="168"/>
      <c r="C77" s="169"/>
      <c r="D77" s="170"/>
      <c r="E77" s="171"/>
      <c r="F77" s="172"/>
      <c r="G77" s="214" t="str">
        <f>IFERROR(IF('Oct-26'!$F77="","-",VLOOKUP('Oct-26'!$F77,Lista_CUIT!$A$1:$D$2241,2,0)),"CUIT NO CARGADO")</f>
        <v>-</v>
      </c>
      <c r="H77" s="215"/>
      <c r="I77" s="216">
        <f>'Oct-26'!$H77*0.21</f>
        <v>0</v>
      </c>
      <c r="J77" s="217"/>
      <c r="K77" s="217"/>
      <c r="L77" s="217">
        <f>SUM('Oct-26'!$H77:$K77)</f>
        <v>0</v>
      </c>
      <c r="M77" s="218"/>
    </row>
    <row r="78" spans="1:26" ht="15.75" customHeight="1" x14ac:dyDescent="0.25">
      <c r="B78" s="168"/>
      <c r="C78" s="169"/>
      <c r="D78" s="170"/>
      <c r="E78" s="171"/>
      <c r="F78" s="172"/>
      <c r="G78" s="214" t="str">
        <f>IFERROR(IF('Oct-26'!$F78="","-",VLOOKUP('Oct-26'!$F78,Lista_CUIT!$A$1:$D$2241,2,0)),"CUIT NO CARGADO")</f>
        <v>-</v>
      </c>
      <c r="H78" s="215"/>
      <c r="I78" s="216">
        <f>'Oct-26'!$H78*0.21</f>
        <v>0</v>
      </c>
      <c r="J78" s="217"/>
      <c r="K78" s="217"/>
      <c r="L78" s="217">
        <f>SUM('Oct-26'!$H78:$K78)</f>
        <v>0</v>
      </c>
      <c r="M78" s="218"/>
    </row>
    <row r="79" spans="1:26" ht="15.75" customHeight="1" x14ac:dyDescent="0.25">
      <c r="B79" s="168"/>
      <c r="C79" s="169"/>
      <c r="D79" s="170"/>
      <c r="E79" s="171"/>
      <c r="F79" s="172"/>
      <c r="G79" s="214" t="str">
        <f>IFERROR(IF('Oct-26'!$F79="","-",VLOOKUP('Oct-26'!$F79,Lista_CUIT!$A$1:$D$2241,2,0)),"CUIT NO CARGADO")</f>
        <v>-</v>
      </c>
      <c r="H79" s="215"/>
      <c r="I79" s="216">
        <f>'Oct-26'!$H79*0.21</f>
        <v>0</v>
      </c>
      <c r="J79" s="217"/>
      <c r="K79" s="217"/>
      <c r="L79" s="217">
        <f>SUM('Oct-26'!$H79:$K79)</f>
        <v>0</v>
      </c>
      <c r="M79" s="218"/>
    </row>
    <row r="80" spans="1:26" ht="15.75" customHeight="1" x14ac:dyDescent="0.25">
      <c r="B80" s="168"/>
      <c r="C80" s="169"/>
      <c r="D80" s="170"/>
      <c r="E80" s="171"/>
      <c r="F80" s="244"/>
      <c r="G80" s="214" t="str">
        <f>IFERROR(IF('Oct-26'!$F80="","-",VLOOKUP('Oct-26'!$F80,Lista_CUIT!$A$1:$D$2241,2,0)),"CUIT NO CARGADO")</f>
        <v>-</v>
      </c>
      <c r="H80" s="215"/>
      <c r="I80" s="216">
        <f>'Oct-26'!$H80*0.21</f>
        <v>0</v>
      </c>
      <c r="J80" s="217"/>
      <c r="K80" s="217"/>
      <c r="L80" s="217">
        <f>SUM('Oct-26'!$H80:$K80)</f>
        <v>0</v>
      </c>
      <c r="M80" s="218"/>
    </row>
    <row r="81" spans="2:14" ht="15.75" customHeight="1" x14ac:dyDescent="0.25">
      <c r="B81" s="168"/>
      <c r="C81" s="169"/>
      <c r="D81" s="170"/>
      <c r="E81" s="171"/>
      <c r="F81" s="172"/>
      <c r="G81" s="214" t="str">
        <f>IFERROR(IF('Oct-26'!$F81="","-",VLOOKUP('Oct-26'!$F81,Lista_CUIT!$A$1:$D$2241,2,0)),"CUIT NO CARGADO")</f>
        <v>-</v>
      </c>
      <c r="H81" s="215"/>
      <c r="I81" s="216">
        <f>'Oct-26'!$H81*0.21</f>
        <v>0</v>
      </c>
      <c r="J81" s="217"/>
      <c r="K81" s="217"/>
      <c r="L81" s="217">
        <f>SUM('Oct-26'!$H81:$K81)</f>
        <v>0</v>
      </c>
      <c r="M81" s="218"/>
    </row>
    <row r="82" spans="2:14" ht="15.75" customHeight="1" x14ac:dyDescent="0.25">
      <c r="B82" s="168"/>
      <c r="C82" s="169"/>
      <c r="D82" s="170"/>
      <c r="E82" s="171"/>
      <c r="F82" s="172"/>
      <c r="G82" s="214" t="str">
        <f>IFERROR(IF('Oct-26'!$F82="","-",VLOOKUP('Oct-26'!$F82,Lista_CUIT!$A$1:$D$2241,2,0)),"CUIT NO CARGADO")</f>
        <v>-</v>
      </c>
      <c r="H82" s="215"/>
      <c r="I82" s="216">
        <f>'Oct-26'!$H82*0.21</f>
        <v>0</v>
      </c>
      <c r="J82" s="217"/>
      <c r="K82" s="217"/>
      <c r="L82" s="217">
        <f>SUM('Oct-26'!$H82:$K82)</f>
        <v>0</v>
      </c>
      <c r="M82" s="218"/>
    </row>
    <row r="83" spans="2:14" ht="15.75" customHeight="1" x14ac:dyDescent="0.25">
      <c r="B83" s="219"/>
      <c r="C83" s="220"/>
      <c r="D83" s="221"/>
      <c r="E83" s="222"/>
      <c r="F83" s="191"/>
      <c r="G83" s="214" t="str">
        <f>IFERROR(IF('Oct-26'!$F83="","-",VLOOKUP('Oct-26'!$F83,Lista_CUIT!$A$1:$D$2241,2,0)),"CUIT NO CARGADO")</f>
        <v>-</v>
      </c>
      <c r="H83" s="215"/>
      <c r="I83" s="216">
        <f>'Oct-26'!$H83*0.21</f>
        <v>0</v>
      </c>
      <c r="J83" s="217"/>
      <c r="K83" s="217"/>
      <c r="L83" s="217">
        <f>SUM('Oct-26'!$H83:$K83)</f>
        <v>0</v>
      </c>
      <c r="M83" s="218"/>
    </row>
    <row r="84" spans="2:14" ht="15.75" customHeight="1" x14ac:dyDescent="0.25">
      <c r="B84" s="219"/>
      <c r="C84" s="220"/>
      <c r="D84" s="221"/>
      <c r="E84" s="222"/>
      <c r="F84" s="191"/>
      <c r="G84" s="214" t="str">
        <f>IFERROR(IF('Oct-26'!$F84="","-",VLOOKUP('Oct-26'!$F84,Lista_CUIT!$A$1:$D$2241,2,0)),"CUIT NO CARGADO")</f>
        <v>-</v>
      </c>
      <c r="H84" s="215"/>
      <c r="I84" s="216">
        <f>'Oct-26'!$H84*0.21</f>
        <v>0</v>
      </c>
      <c r="J84" s="217"/>
      <c r="K84" s="217"/>
      <c r="L84" s="217">
        <f>SUM('Oct-26'!$H84:$K84)</f>
        <v>0</v>
      </c>
      <c r="M84" s="218"/>
    </row>
    <row r="85" spans="2:14" ht="18" customHeight="1" x14ac:dyDescent="0.25">
      <c r="B85" s="223" t="s">
        <v>1336</v>
      </c>
      <c r="C85" s="224"/>
      <c r="D85" s="224"/>
      <c r="E85" s="224"/>
      <c r="F85" s="224"/>
      <c r="G85" s="224"/>
      <c r="H85" s="234">
        <f>SUBTOTAL(109,'Oct-26'!$H$76:$H$84)</f>
        <v>560175</v>
      </c>
      <c r="I85" s="235">
        <f>SUBTOTAL(109,'Oct-26'!$I$76:$I$84)</f>
        <v>117636.75</v>
      </c>
      <c r="J85" s="236">
        <f>SUBTOTAL(109,'Oct-26'!$J$76:$J$84)</f>
        <v>0</v>
      </c>
      <c r="K85" s="236">
        <f>SUBTOTAL(109,'Oct-26'!$K$76:$K$84)</f>
        <v>0</v>
      </c>
      <c r="L85" s="236">
        <f>SUBTOTAL(109,'Oct-26'!$L$76:$L$84)</f>
        <v>677811.75</v>
      </c>
      <c r="M85" s="225">
        <f>SUBTOTAL(103,'Oct-26'!$M$76:$M$84)</f>
        <v>0</v>
      </c>
    </row>
    <row r="86" spans="2:14" ht="15.75" customHeight="1" x14ac:dyDescent="0.25"/>
    <row r="87" spans="2:14" ht="17.25" customHeight="1" x14ac:dyDescent="0.25"/>
    <row r="88" spans="2:14" ht="31.5" customHeight="1" x14ac:dyDescent="0.25">
      <c r="B88" s="476" t="s">
        <v>1358</v>
      </c>
      <c r="C88" s="471"/>
      <c r="D88" s="210"/>
      <c r="E88" s="210"/>
      <c r="F88" s="210"/>
      <c r="G88" s="210"/>
      <c r="H88" s="210"/>
      <c r="I88" s="210"/>
      <c r="J88" s="210"/>
      <c r="K88" s="210"/>
      <c r="L88" s="210"/>
      <c r="M88" s="210"/>
    </row>
    <row r="89" spans="2:14" ht="15.75" customHeight="1" x14ac:dyDescent="0.25">
      <c r="B89" s="211" t="s">
        <v>1322</v>
      </c>
      <c r="C89" s="212" t="s">
        <v>1323</v>
      </c>
      <c r="D89" s="212" t="s">
        <v>1353</v>
      </c>
      <c r="E89" s="212" t="s">
        <v>1354</v>
      </c>
      <c r="F89" s="212" t="s">
        <v>0</v>
      </c>
      <c r="G89" s="212" t="s">
        <v>1</v>
      </c>
      <c r="H89" s="212" t="s">
        <v>1359</v>
      </c>
      <c r="I89" s="212" t="s">
        <v>1341</v>
      </c>
      <c r="J89" s="212" t="s">
        <v>1329</v>
      </c>
      <c r="K89" s="212" t="s">
        <v>1423</v>
      </c>
      <c r="L89" s="212" t="s">
        <v>1334</v>
      </c>
      <c r="M89" s="213" t="s">
        <v>1335</v>
      </c>
    </row>
    <row r="90" spans="2:14" ht="15.75" customHeight="1" x14ac:dyDescent="0.25">
      <c r="B90" s="168">
        <v>45931</v>
      </c>
      <c r="C90" s="169"/>
      <c r="D90" s="170">
        <v>30</v>
      </c>
      <c r="E90" s="171">
        <v>115</v>
      </c>
      <c r="F90" s="172">
        <v>55000002185</v>
      </c>
      <c r="G90" s="214" t="str">
        <f>IFERROR(IF('Oct-26'!$F90="","-",VLOOKUP('Oct-26'!$F90,Lista_CUIT!$A$1:$D$2241,2,0)),"CUIT NO CARGADO")</f>
        <v>CUIT NO CARGADO</v>
      </c>
      <c r="H90" s="227">
        <v>2670</v>
      </c>
      <c r="I90" s="227"/>
      <c r="J90" s="227"/>
      <c r="K90" s="227">
        <v>1380</v>
      </c>
      <c r="L90" s="227">
        <f>Table_47[[#This Row],[USD]]*Table_47[[#This Row],[TIPO DE CAMBIO]]</f>
        <v>3684600</v>
      </c>
      <c r="M90" s="218"/>
    </row>
    <row r="91" spans="2:14" ht="15.75" customHeight="1" x14ac:dyDescent="0.25">
      <c r="B91" s="168">
        <v>45931</v>
      </c>
      <c r="C91" s="169"/>
      <c r="D91" s="170">
        <v>30</v>
      </c>
      <c r="E91" s="171">
        <v>114</v>
      </c>
      <c r="F91" s="172">
        <v>55000002185</v>
      </c>
      <c r="G91" s="214" t="str">
        <f>IFERROR(IF('Oct-26'!$F91="","-",VLOOKUP('Oct-26'!$F91,Lista_CUIT!$A$1:$D$2241,2,0)),"CUIT NO CARGADO")</f>
        <v>CUIT NO CARGADO</v>
      </c>
      <c r="H91" s="227">
        <v>2280</v>
      </c>
      <c r="I91" s="227"/>
      <c r="J91" s="227"/>
      <c r="K91" s="227">
        <v>1380</v>
      </c>
      <c r="L91" s="227">
        <f>Table_47[[#This Row],[USD]]*Table_47[[#This Row],[TIPO DE CAMBIO]]</f>
        <v>3146400</v>
      </c>
      <c r="M91" s="218"/>
    </row>
    <row r="92" spans="2:14" ht="15.75" customHeight="1" x14ac:dyDescent="0.25">
      <c r="B92" s="168">
        <v>45957</v>
      </c>
      <c r="C92" s="169"/>
      <c r="D92" s="170">
        <v>30</v>
      </c>
      <c r="E92" s="171">
        <v>116</v>
      </c>
      <c r="F92" s="172">
        <v>55000000050</v>
      </c>
      <c r="G92" s="214" t="str">
        <f>IFERROR(IF('Oct-26'!$F92="","-",VLOOKUP('Oct-26'!$F92,Lista_CUIT!$A$1:$D$2241,2,0)),"CUIT NO CARGADO")</f>
        <v>GAS FUTURO SISTEMAS DE COMPRESSÃO LTDA</v>
      </c>
      <c r="H92" s="227">
        <v>500</v>
      </c>
      <c r="I92" s="227"/>
      <c r="J92" s="227"/>
      <c r="K92" s="227">
        <v>1492</v>
      </c>
      <c r="L92" s="227">
        <f>Table_47[[#This Row],[USD]]*Table_47[[#This Row],[TIPO DE CAMBIO]]</f>
        <v>746000</v>
      </c>
      <c r="M92" s="218"/>
      <c r="N92" s="3"/>
    </row>
    <row r="93" spans="2:14" ht="15.75" customHeight="1" x14ac:dyDescent="0.25">
      <c r="B93" s="168">
        <v>45960</v>
      </c>
      <c r="C93" s="169"/>
      <c r="D93" s="170">
        <v>30</v>
      </c>
      <c r="E93" s="171">
        <v>117</v>
      </c>
      <c r="F93" s="172">
        <v>55000004072</v>
      </c>
      <c r="G93" s="226" t="str">
        <f>IFERROR(IF('Oct-26'!$F93="","-",VLOOKUP('Oct-26'!$F93,Lista_CUIT!$A$1:$D$2241,2,0)),"CUIT NO CARGADO")</f>
        <v>CUIT NO CARGADO</v>
      </c>
      <c r="H93" s="227">
        <v>8121.3</v>
      </c>
      <c r="I93" s="227"/>
      <c r="J93" s="227"/>
      <c r="K93" s="227">
        <v>1436</v>
      </c>
      <c r="L93" s="227">
        <f>Table_47[[#This Row],[USD]]*Table_47[[#This Row],[TIPO DE CAMBIO]]</f>
        <v>11662186.800000001</v>
      </c>
      <c r="M93" s="218"/>
    </row>
    <row r="94" spans="2:14" ht="15.75" customHeight="1" x14ac:dyDescent="0.25">
      <c r="B94" s="168">
        <v>45931</v>
      </c>
      <c r="C94" s="169"/>
      <c r="D94" s="170">
        <v>30</v>
      </c>
      <c r="E94" s="171">
        <v>26</v>
      </c>
      <c r="F94" s="172">
        <v>55000002185</v>
      </c>
      <c r="G94" s="226" t="str">
        <f>IFERROR(IF('Oct-26'!$F94="","-",VLOOKUP('Oct-26'!$F94,Lista_CUIT!$A$1:$D$2241,2,0)),"CUIT NO CARGADO")</f>
        <v>CUIT NO CARGADO</v>
      </c>
      <c r="H94" s="227">
        <v>-2280</v>
      </c>
      <c r="I94" s="227"/>
      <c r="J94" s="227"/>
      <c r="K94" s="227">
        <v>1380</v>
      </c>
      <c r="L94" s="227">
        <f>Table_47[[#This Row],[USD]]*Table_47[[#This Row],[TIPO DE CAMBIO]]</f>
        <v>-3146400</v>
      </c>
      <c r="M94" s="218"/>
    </row>
    <row r="95" spans="2:14" ht="15.75" customHeight="1" x14ac:dyDescent="0.25">
      <c r="B95" s="168"/>
      <c r="C95" s="169"/>
      <c r="D95" s="170"/>
      <c r="E95" s="171"/>
      <c r="F95" s="172"/>
      <c r="G95" s="226" t="str">
        <f>IFERROR(IF('Oct-26'!$F95="","-",VLOOKUP('Oct-26'!$F95,Lista_CUIT!$A$1:$D$2241,2,0)),"CUIT NO CARGADO")</f>
        <v>-</v>
      </c>
      <c r="H95" s="227"/>
      <c r="I95" s="227"/>
      <c r="J95" s="227"/>
      <c r="K95" s="227"/>
      <c r="L95" s="227">
        <f>Table_47[[#This Row],[USD]]*Table_47[[#This Row],[TIPO DE CAMBIO]]</f>
        <v>0</v>
      </c>
      <c r="M95" s="218"/>
    </row>
    <row r="96" spans="2:14" ht="15.75" customHeight="1" x14ac:dyDescent="0.25">
      <c r="B96" s="223" t="s">
        <v>1336</v>
      </c>
      <c r="C96" s="224"/>
      <c r="D96" s="224"/>
      <c r="E96" s="224"/>
      <c r="F96" s="224"/>
      <c r="G96" s="246" t="str">
        <f>IFERROR(IF('Oct-26'!$F96="","-",VLOOKUP('Oct-26'!$F96,Lista_CUIT!$A$1:$D$2241,2,0)),"CUIT NO CARGADO")</f>
        <v>-</v>
      </c>
      <c r="H96" s="228">
        <f>SUBTOTAL(109,'Oct-26'!$H$90:$H$95)</f>
        <v>11291.3</v>
      </c>
      <c r="I96" s="228">
        <f>SUBTOTAL(109,'Oct-26'!$I$90:$I$95)</f>
        <v>0</v>
      </c>
      <c r="J96" s="229">
        <f>SUBTOTAL(109,'Oct-26'!$J$90:$J$95)</f>
        <v>0</v>
      </c>
      <c r="K96" s="229">
        <f>SUBTOTAL(109,'Oct-26'!$K$90:$K$95)</f>
        <v>7068</v>
      </c>
      <c r="L96" s="229">
        <f>SUBTOTAL(109,'Oct-26'!$L$90:$L$95)</f>
        <v>16092786.800000001</v>
      </c>
      <c r="M96" s="225">
        <f>SUBTOTAL(103,'Oct-26'!$M$90:$M$95)</f>
        <v>0</v>
      </c>
    </row>
    <row r="97" spans="2:13" ht="15.75" customHeight="1" x14ac:dyDescent="0.25"/>
    <row r="98" spans="2:13" ht="18.75" customHeight="1" x14ac:dyDescent="0.25"/>
    <row r="99" spans="2:13" ht="28.5" customHeight="1" x14ac:dyDescent="0.25">
      <c r="B99" s="457" t="s">
        <v>1357</v>
      </c>
      <c r="C99" s="458"/>
    </row>
    <row r="100" spans="2:13" ht="15.75" customHeight="1" x14ac:dyDescent="0.25">
      <c r="B100" s="238" t="s">
        <v>1322</v>
      </c>
      <c r="C100" s="238" t="s">
        <v>1323</v>
      </c>
      <c r="D100" s="238" t="s">
        <v>1353</v>
      </c>
      <c r="E100" s="238" t="s">
        <v>1354</v>
      </c>
      <c r="F100" s="238" t="s">
        <v>0</v>
      </c>
      <c r="G100" s="238" t="s">
        <v>1</v>
      </c>
      <c r="H100" s="238" t="s">
        <v>1355</v>
      </c>
      <c r="I100" s="238" t="s">
        <v>1341</v>
      </c>
      <c r="J100" s="238" t="s">
        <v>1329</v>
      </c>
      <c r="K100" s="238" t="s">
        <v>1356</v>
      </c>
      <c r="L100" s="238" t="s">
        <v>1334</v>
      </c>
      <c r="M100" s="238" t="s">
        <v>1335</v>
      </c>
    </row>
    <row r="101" spans="2:13" ht="15.75" customHeight="1" x14ac:dyDescent="0.25">
      <c r="B101" s="239"/>
      <c r="C101" s="169"/>
      <c r="D101" s="170"/>
      <c r="E101" s="171"/>
      <c r="F101" s="172"/>
      <c r="G101" s="245" t="str">
        <f>IFERROR(IF('Oct-26'!$F101="","-",VLOOKUP('Oct-26'!$F101,Lista_CUIT!$A$1:$D$2241,2,0)),"CUIT NO CARGADO")</f>
        <v>-</v>
      </c>
      <c r="H101" s="227"/>
      <c r="I101" s="227">
        <f>H101*0.21</f>
        <v>0</v>
      </c>
      <c r="J101" s="227"/>
      <c r="K101" s="227"/>
      <c r="L101" s="227">
        <f>H101+I101+J101+K101</f>
        <v>0</v>
      </c>
      <c r="M101" s="237"/>
    </row>
    <row r="102" spans="2:13" ht="15.75" customHeight="1" x14ac:dyDescent="0.25">
      <c r="B102" s="239"/>
      <c r="C102" s="169"/>
      <c r="D102" s="170"/>
      <c r="E102" s="171"/>
      <c r="F102" s="172"/>
      <c r="G102" s="245" t="str">
        <f>IFERROR(IF('Oct-26'!$F102="","-",VLOOKUP('Oct-26'!$F102,Lista_CUIT!$A$1:$D$2241,2,0)),"CUIT NO CARGADO")</f>
        <v>-</v>
      </c>
      <c r="H102" s="227"/>
      <c r="I102" s="227">
        <f t="shared" ref="I102:I106" si="0">H102*0.21</f>
        <v>0</v>
      </c>
      <c r="J102" s="227"/>
      <c r="K102" s="227"/>
      <c r="L102" s="227">
        <f t="shared" ref="L102:L106" si="1">H102+I102+J102+K102</f>
        <v>0</v>
      </c>
      <c r="M102" s="237"/>
    </row>
    <row r="103" spans="2:13" ht="15.75" customHeight="1" x14ac:dyDescent="0.25">
      <c r="B103" s="239"/>
      <c r="C103" s="169"/>
      <c r="D103" s="170"/>
      <c r="E103" s="171"/>
      <c r="F103" s="172"/>
      <c r="G103" s="245" t="str">
        <f>IFERROR(IF('Oct-26'!$F103="","-",VLOOKUP('Oct-26'!$F103,Lista_CUIT!$A$1:$D$2241,2,0)),"CUIT NO CARGADO")</f>
        <v>-</v>
      </c>
      <c r="H103" s="227"/>
      <c r="I103" s="227">
        <f t="shared" si="0"/>
        <v>0</v>
      </c>
      <c r="J103" s="227"/>
      <c r="K103" s="227"/>
      <c r="L103" s="227">
        <f t="shared" si="1"/>
        <v>0</v>
      </c>
      <c r="M103" s="237"/>
    </row>
    <row r="104" spans="2:13" ht="15.75" customHeight="1" x14ac:dyDescent="0.25">
      <c r="B104" s="239"/>
      <c r="C104" s="169"/>
      <c r="D104" s="170"/>
      <c r="E104" s="171"/>
      <c r="F104" s="172"/>
      <c r="G104" s="245" t="str">
        <f>IFERROR(IF('Oct-26'!$F104="","-",VLOOKUP('Oct-26'!$F104,Lista_CUIT!$A$1:$D$2241,2,0)),"CUIT NO CARGADO")</f>
        <v>-</v>
      </c>
      <c r="H104" s="227"/>
      <c r="I104" s="227">
        <f t="shared" si="0"/>
        <v>0</v>
      </c>
      <c r="J104" s="227"/>
      <c r="K104" s="227"/>
      <c r="L104" s="227">
        <f t="shared" si="1"/>
        <v>0</v>
      </c>
      <c r="M104" s="237"/>
    </row>
    <row r="105" spans="2:13" ht="15.75" customHeight="1" x14ac:dyDescent="0.25">
      <c r="B105" s="239"/>
      <c r="C105" s="169"/>
      <c r="D105" s="170"/>
      <c r="E105" s="171"/>
      <c r="F105" s="172"/>
      <c r="G105" s="245" t="str">
        <f>IFERROR(IF('Oct-26'!$F105="","-",VLOOKUP('Oct-26'!$F105,Lista_CUIT!$A$1:$D$2241,2,0)),"CUIT NO CARGADO")</f>
        <v>-</v>
      </c>
      <c r="H105" s="227"/>
      <c r="I105" s="227">
        <f t="shared" si="0"/>
        <v>0</v>
      </c>
      <c r="J105" s="227"/>
      <c r="K105" s="227"/>
      <c r="L105" s="227">
        <f t="shared" si="1"/>
        <v>0</v>
      </c>
      <c r="M105" s="237"/>
    </row>
    <row r="106" spans="2:13" ht="15.75" customHeight="1" x14ac:dyDescent="0.25">
      <c r="B106" s="239"/>
      <c r="C106" s="169"/>
      <c r="D106" s="170"/>
      <c r="E106" s="171"/>
      <c r="F106" s="172"/>
      <c r="G106" s="245" t="str">
        <f>IFERROR(IF('Oct-26'!$F106="","-",VLOOKUP('Oct-26'!$F106,Lista_CUIT!$A$1:$D$2241,2,0)),"CUIT NO CARGADO")</f>
        <v>-</v>
      </c>
      <c r="H106" s="227"/>
      <c r="I106" s="227">
        <f t="shared" si="0"/>
        <v>0</v>
      </c>
      <c r="J106" s="227"/>
      <c r="K106" s="227"/>
      <c r="L106" s="227">
        <f t="shared" si="1"/>
        <v>0</v>
      </c>
      <c r="M106" s="237"/>
    </row>
    <row r="107" spans="2:13" ht="15.75" customHeight="1" x14ac:dyDescent="0.25">
      <c r="B107" s="240" t="s">
        <v>1336</v>
      </c>
      <c r="C107" s="241">
        <f>SUBTOTAL(103,'Sept-26'!$M$109:$M$114)</f>
        <v>0</v>
      </c>
      <c r="D107" s="242"/>
      <c r="E107" s="242"/>
      <c r="F107" s="242"/>
      <c r="G107" s="242"/>
      <c r="H107" s="243">
        <f>SUM(H101:H106)</f>
        <v>0</v>
      </c>
      <c r="I107" s="243">
        <f>SUM(I101:I106)</f>
        <v>0</v>
      </c>
      <c r="J107" s="243">
        <f>SUM(J101:J106)</f>
        <v>0</v>
      </c>
      <c r="K107" s="243">
        <f>SUM(K101:K106)</f>
        <v>0</v>
      </c>
      <c r="L107" s="243">
        <f>SUM(L101:L106)</f>
        <v>0</v>
      </c>
      <c r="M107" s="242"/>
    </row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>
      <c r="C111" s="109"/>
    </row>
    <row r="112" spans="2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mergeCells count="20">
    <mergeCell ref="M4:N4"/>
    <mergeCell ref="P4:R4"/>
    <mergeCell ref="D34:L34"/>
    <mergeCell ref="B99:C99"/>
    <mergeCell ref="B3:E3"/>
    <mergeCell ref="B4:E4"/>
    <mergeCell ref="G4:H4"/>
    <mergeCell ref="J4:K4"/>
    <mergeCell ref="D44:K44"/>
    <mergeCell ref="B72:J72"/>
    <mergeCell ref="K72:M72"/>
    <mergeCell ref="B74:C74"/>
    <mergeCell ref="B88:C88"/>
    <mergeCell ref="B1:F1"/>
    <mergeCell ref="G1:M1"/>
    <mergeCell ref="N1:R1"/>
    <mergeCell ref="G3:H3"/>
    <mergeCell ref="J3:K3"/>
    <mergeCell ref="M3:N3"/>
    <mergeCell ref="P3:R3"/>
  </mergeCells>
  <phoneticPr fontId="27" type="noConversion"/>
  <dataValidations count="11">
    <dataValidation type="custom" allowBlank="1" showErrorMessage="1" sqref="H101:L106 H90:L95" xr:uid="{00000000-0002-0000-0700-000000000000}">
      <formula1>IF($C90=8,H90&lt;0,H90&gt;=0)</formula1>
    </dataValidation>
    <dataValidation type="decimal" allowBlank="1" showErrorMessage="1" sqref="D76:D84 D90:D95 E46:E65 D9:D28 D101:D106" xr:uid="{00000000-0002-0000-0700-000001000000}">
      <formula1>1</formula1>
      <formula2>9999</formula2>
    </dataValidation>
    <dataValidation type="date" allowBlank="1" showErrorMessage="1" sqref="B76:B84 B30:B33 B90:B95 D36:D39 D46:D65 B9:B28 B101:B106" xr:uid="{00000000-0002-0000-0700-000002000000}">
      <formula1>40179</formula1>
      <formula2>TODAY()</formula2>
    </dataValidation>
    <dataValidation type="decimal" allowBlank="1" showErrorMessage="1" sqref="F76:F84 F90:F95 F101:F106 F9:F28 G46:G65" xr:uid="{00000000-0002-0000-0700-000003000000}">
      <formula1>20000000000</formula1>
      <formula2>33999999999</formula2>
    </dataValidation>
    <dataValidation type="decimal" allowBlank="1" showErrorMessage="1" sqref="C90:C95 C101:C106" xr:uid="{00000000-0002-0000-0700-000004000000}">
      <formula1>6</formula1>
      <formula2>8</formula2>
    </dataValidation>
    <dataValidation type="decimal" allowBlank="1" showErrorMessage="1" sqref="E76:E84 E90:E95 F46:F65 E9:E28 E101:E106" xr:uid="{00000000-0002-0000-0700-000006000000}">
      <formula1>1</formula1>
      <formula2>99999999</formula2>
    </dataValidation>
    <dataValidation type="decimal" allowBlank="1" showErrorMessage="1" sqref="C76:C84 C30:C33 C9:C28" xr:uid="{00000000-0002-0000-0700-000007000000}">
      <formula1>1</formula1>
      <formula2>3</formula2>
    </dataValidation>
    <dataValidation type="custom" allowBlank="1" showErrorMessage="1" sqref="H82:K82 H76:K80" xr:uid="{00000000-0002-0000-0700-000008000000}">
      <formula1>IF($C76=3,H76&lt;0,H76&gt;=0)</formula1>
    </dataValidation>
    <dataValidation type="custom" allowBlank="1" showErrorMessage="1" sqref="L76:L80" xr:uid="{00000000-0002-0000-0700-000009000000}">
      <formula1>IF(#REF!=3,#REF!&lt;0,#REF!&gt;=0)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28" xr:uid="{00000000-0002-0000-0700-000005000000}">
      <formula1>IF($C9=3,H9&lt;0,H9&gt;=0)</formula1>
    </dataValidation>
    <dataValidation type="custom" allowBlank="1" showErrorMessage="1" sqref="L81:L82" xr:uid="{00000000-0002-0000-0700-00000A000000}">
      <formula1>IF($C29=3,L29&lt;0,L29&gt;=0)</formula1>
    </dataValidation>
  </dataValidations>
  <pageMargins left="0.7" right="0.7" top="0.75" bottom="0.75" header="0" footer="0"/>
  <pageSetup paperSize="9" orientation="portrait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DE9D9"/>
  </sheetPr>
  <dimension ref="A1:Z1013"/>
  <sheetViews>
    <sheetView showGridLines="0" topLeftCell="A10" zoomScale="80" zoomScaleNormal="80" workbookViewId="0">
      <selection activeCell="K84" sqref="K84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447" t="s">
        <v>1315</v>
      </c>
      <c r="C1" s="448"/>
      <c r="D1" s="448"/>
      <c r="E1" s="448"/>
      <c r="F1" s="449"/>
      <c r="G1" s="450" t="str">
        <f>'Abr-26'!G1:M1</f>
        <v>CORITEC S. R. L.</v>
      </c>
      <c r="H1" s="477"/>
      <c r="I1" s="477"/>
      <c r="J1" s="477"/>
      <c r="K1" s="477"/>
      <c r="L1" s="477"/>
      <c r="M1" s="478"/>
      <c r="N1" s="451">
        <f>EDATE('Abr-26'!N1,7)</f>
        <v>45962</v>
      </c>
      <c r="O1" s="448"/>
      <c r="P1" s="448"/>
      <c r="Q1" s="448"/>
      <c r="R1" s="449"/>
    </row>
    <row r="3" spans="1:26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26" ht="24.75" customHeight="1" x14ac:dyDescent="0.35">
      <c r="B4" s="462">
        <f>SUM('Nov-26'!$H$28)+'Nov-26'!$G$39</f>
        <v>2706766.8290476194</v>
      </c>
      <c r="C4" s="448"/>
      <c r="D4" s="448"/>
      <c r="E4" s="449"/>
      <c r="F4" s="8"/>
      <c r="G4" s="463">
        <f>'Nov-26'!$I$28+'Nov-26'!$J$28+'Nov-26'!$K$28+'Nov-26'!$H$39+'Nov-26'!$I$39</f>
        <v>564190.44200000004</v>
      </c>
      <c r="H4" s="449"/>
      <c r="I4" s="8"/>
      <c r="J4" s="466">
        <f>'Nov-26'!$H$75+'Nov-26'!$H$98</f>
        <v>13521600</v>
      </c>
      <c r="K4" s="449"/>
      <c r="L4" s="8"/>
      <c r="M4" s="466">
        <f>'Nov-26'!$I$75+'Nov-26'!$J$75+'Nov-26'!$I$98+'Nov-26'!$J$98</f>
        <v>2839536</v>
      </c>
      <c r="N4" s="449"/>
      <c r="O4" s="8"/>
      <c r="P4" s="455">
        <f>G4-M4</f>
        <v>-2275345.5580000002</v>
      </c>
      <c r="Q4" s="448"/>
      <c r="R4" s="449"/>
    </row>
    <row r="5" spans="1:26" ht="12.75" customHeight="1" x14ac:dyDescent="0.25"/>
    <row r="6" spans="1:26" x14ac:dyDescent="0.25"/>
    <row r="7" spans="1:26" ht="10.5" customHeight="1" thickBot="1" x14ac:dyDescent="0.3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thickBot="1" x14ac:dyDescent="0.3">
      <c r="B8" s="260" t="s">
        <v>1322</v>
      </c>
      <c r="C8" s="261" t="s">
        <v>1323</v>
      </c>
      <c r="D8" s="261" t="s">
        <v>1324</v>
      </c>
      <c r="E8" s="261" t="s">
        <v>1325</v>
      </c>
      <c r="F8" s="261" t="s">
        <v>0</v>
      </c>
      <c r="G8" s="261" t="s">
        <v>1</v>
      </c>
      <c r="H8" s="261" t="s">
        <v>1326</v>
      </c>
      <c r="I8" s="261" t="s">
        <v>1327</v>
      </c>
      <c r="J8" s="261" t="s">
        <v>1328</v>
      </c>
      <c r="K8" s="261" t="s">
        <v>1329</v>
      </c>
      <c r="L8" s="261" t="s">
        <v>1330</v>
      </c>
      <c r="M8" s="261" t="s">
        <v>1331</v>
      </c>
      <c r="N8" s="261" t="s">
        <v>1332</v>
      </c>
      <c r="O8" s="261" t="s">
        <v>1333</v>
      </c>
      <c r="P8" s="261" t="s">
        <v>1334</v>
      </c>
      <c r="Q8" s="261" t="s">
        <v>2</v>
      </c>
      <c r="R8" s="262" t="s">
        <v>1335</v>
      </c>
    </row>
    <row r="9" spans="1:26" ht="15" customHeight="1" x14ac:dyDescent="0.25">
      <c r="B9" s="249">
        <v>45962</v>
      </c>
      <c r="C9" s="250">
        <v>1</v>
      </c>
      <c r="D9" s="251">
        <v>3</v>
      </c>
      <c r="E9" s="252">
        <v>285359</v>
      </c>
      <c r="F9" s="253">
        <v>30707135596</v>
      </c>
      <c r="G9" s="254" t="str">
        <f>IFERROR(IF('Nov-26'!$F9="","-",VLOOKUP('Nov-26'!$F9,Lista_CUIT!$A$1:$D$2241,2,0)),"CUIT NO CARGADO")</f>
        <v>CITILAN ARGENTINA S.A.</v>
      </c>
      <c r="H9" s="255">
        <v>32626</v>
      </c>
      <c r="I9" s="256">
        <f>IF('Nov-26'!$H9="","",'Nov-26'!$H9*0.21)</f>
        <v>6851.46</v>
      </c>
      <c r="J9" s="256"/>
      <c r="K9" s="256"/>
      <c r="L9" s="256"/>
      <c r="M9" s="256"/>
      <c r="N9" s="256"/>
      <c r="O9" s="256">
        <v>0</v>
      </c>
      <c r="P9" s="257">
        <f>SUM('Nov-26'!$H9:$O9)</f>
        <v>39477.46</v>
      </c>
      <c r="Q9" s="258" t="str">
        <f>IFERROR(IF('Nov-26'!$F9="","-",VLOOKUP('Nov-26'!$F9,Lista_CUIT!$A$1:$D$2241,3,0)),"CUIT NO CARGADO")</f>
        <v>Telefonia</v>
      </c>
      <c r="R9" s="259">
        <f>IFERROR(IF('Nov-26'!$F9="","-",VLOOKUP('Nov-26'!$F9,Lista_CUIT!$A$1:$D$2241,4,0)),"CUIT NO CARGADO")</f>
        <v>0</v>
      </c>
    </row>
    <row r="10" spans="1:26" ht="15" customHeight="1" x14ac:dyDescent="0.25">
      <c r="B10" s="168">
        <v>45962</v>
      </c>
      <c r="C10" s="250">
        <v>1</v>
      </c>
      <c r="D10" s="170">
        <v>3</v>
      </c>
      <c r="E10" s="171">
        <v>904</v>
      </c>
      <c r="F10" s="172">
        <v>30715402765</v>
      </c>
      <c r="G10" s="173" t="str">
        <f>IFERROR(IF('Nov-26'!$F10="","-",VLOOKUP('Nov-26'!$F10,Lista_CUIT!$A$1:$D$2241,2,0)),"CUIT NO CARGADO")</f>
        <v>RIO 265 S.R.L.</v>
      </c>
      <c r="H10" s="174">
        <v>107438</v>
      </c>
      <c r="I10" s="175">
        <f>IF('Nov-26'!$H10="","",'Nov-26'!$H10*0.21)</f>
        <v>22561.98</v>
      </c>
      <c r="J10" s="175"/>
      <c r="K10" s="175"/>
      <c r="L10" s="175"/>
      <c r="M10" s="175"/>
      <c r="N10" s="175"/>
      <c r="O10" s="175">
        <v>0</v>
      </c>
      <c r="P10" s="176">
        <f>SUM('Nov-26'!$H10:$O10)</f>
        <v>129999.98</v>
      </c>
      <c r="Q10" s="177" t="str">
        <f>IFERROR(IF('Nov-26'!$F10="","-",VLOOKUP('Nov-26'!$F10,Lista_CUIT!$A$1:$D$2241,3,0)),"CUIT NO CARGADO")</f>
        <v>GASTOS VARIOS</v>
      </c>
      <c r="R10" s="178">
        <f>IFERROR(IF('Nov-26'!$F10="","-",VLOOKUP('Nov-26'!$F10,Lista_CUIT!$A$1:$D$2241,4,0)),"CUIT NO CARGADO")</f>
        <v>0</v>
      </c>
    </row>
    <row r="11" spans="1:26" ht="15" customHeight="1" x14ac:dyDescent="0.25">
      <c r="B11" s="168">
        <v>45964</v>
      </c>
      <c r="C11" s="250">
        <v>1</v>
      </c>
      <c r="D11" s="170">
        <v>106</v>
      </c>
      <c r="E11" s="171">
        <v>891565</v>
      </c>
      <c r="F11" s="172">
        <v>30594494187</v>
      </c>
      <c r="G11" s="173" t="str">
        <f>IFERROR(IF('Nov-26'!$F11="","-",VLOOKUP('Nov-26'!$F11,Lista_CUIT!$A$1:$D$2241,2,0)),"CUIT NO CARGADO")</f>
        <v>FEDERAL EXPRESS CORPORATION</v>
      </c>
      <c r="H11" s="174">
        <v>0</v>
      </c>
      <c r="I11" s="175">
        <f>IF('Nov-26'!$H11="","",'Nov-26'!$H11*0.21)</f>
        <v>0</v>
      </c>
      <c r="J11" s="175"/>
      <c r="K11" s="175"/>
      <c r="L11" s="175"/>
      <c r="M11" s="175"/>
      <c r="N11" s="175"/>
      <c r="O11" s="175">
        <v>351566.05</v>
      </c>
      <c r="P11" s="176">
        <f>SUM('Nov-26'!$H11:$O11)</f>
        <v>351566.05</v>
      </c>
      <c r="Q11" s="177" t="str">
        <f>IFERROR(IF('Nov-26'!$F11="","-",VLOOKUP('Nov-26'!$F11,Lista_CUIT!$A$1:$D$2241,3,0)),"CUIT NO CARGADO")</f>
        <v>Mercaderia</v>
      </c>
      <c r="R11" s="178">
        <f>IFERROR(IF('Nov-26'!$F11="","-",VLOOKUP('Nov-26'!$F11,Lista_CUIT!$A$1:$D$2241,4,0)),"CUIT NO CARGADO")</f>
        <v>0</v>
      </c>
    </row>
    <row r="12" spans="1:26" ht="15" customHeight="1" x14ac:dyDescent="0.25">
      <c r="B12" s="168">
        <v>45965</v>
      </c>
      <c r="C12" s="250">
        <v>1</v>
      </c>
      <c r="D12" s="170">
        <v>5</v>
      </c>
      <c r="E12" s="171">
        <v>6997</v>
      </c>
      <c r="F12" s="172">
        <v>20231333593</v>
      </c>
      <c r="G12" s="173" t="str">
        <f>IFERROR(IF('Nov-26'!$F12="","-",VLOOKUP('Nov-26'!$F12,Lista_CUIT!$A$1:$D$2241,2,0)),"CUIT NO CARGADO")</f>
        <v>BOLLINI CLAUDIO DANIEL</v>
      </c>
      <c r="H12" s="174">
        <v>80000</v>
      </c>
      <c r="I12" s="175">
        <f>IF('Nov-26'!$H12="","",'Nov-26'!$H12*0.21)</f>
        <v>16800</v>
      </c>
      <c r="J12" s="175"/>
      <c r="K12" s="175"/>
      <c r="L12" s="175"/>
      <c r="M12" s="175"/>
      <c r="N12" s="175"/>
      <c r="O12" s="175">
        <v>0</v>
      </c>
      <c r="P12" s="176">
        <f>SUM('Nov-26'!$H12:$O12)</f>
        <v>96800</v>
      </c>
      <c r="Q12" s="177" t="str">
        <f>IFERROR(IF('Nov-26'!$F12="","-",VLOOKUP('Nov-26'!$F12,Lista_CUIT!$A$1:$D$2241,3,0)),"CUIT NO CARGADO")</f>
        <v>Mantenimiento</v>
      </c>
      <c r="R12" s="178">
        <f>IFERROR(IF('Nov-26'!$F12="","-",VLOOKUP('Nov-26'!$F12,Lista_CUIT!$A$1:$D$2241,4,0)),"CUIT NO CARGADO")</f>
        <v>0</v>
      </c>
    </row>
    <row r="13" spans="1:26" ht="15" customHeight="1" x14ac:dyDescent="0.25">
      <c r="B13" s="168">
        <v>45965</v>
      </c>
      <c r="C13" s="250">
        <v>1</v>
      </c>
      <c r="D13" s="170">
        <v>3</v>
      </c>
      <c r="E13" s="171">
        <v>36672</v>
      </c>
      <c r="F13" s="172">
        <v>30709511846</v>
      </c>
      <c r="G13" s="173" t="str">
        <f>IFERROR(IF('Nov-26'!$F13="","-",VLOOKUP('Nov-26'!$F13,Lista_CUIT!$A$1:$D$2241,2,0)),"CUIT NO CARGADO")</f>
        <v>KURIABE S. A.</v>
      </c>
      <c r="H13" s="174">
        <v>39526.71</v>
      </c>
      <c r="I13" s="175"/>
      <c r="J13" s="175"/>
      <c r="K13" s="175">
        <v>4150.3</v>
      </c>
      <c r="L13" s="175"/>
      <c r="M13" s="175"/>
      <c r="N13" s="175"/>
      <c r="O13" s="175">
        <v>0</v>
      </c>
      <c r="P13" s="176">
        <f>SUM('Nov-26'!$H13:$O13)</f>
        <v>43677.01</v>
      </c>
      <c r="Q13" s="177" t="str">
        <f>IFERROR(IF('Nov-26'!$F13="","-",VLOOKUP('Nov-26'!$F13,Lista_CUIT!$A$1:$D$2241,3,0)),"CUIT NO CARGADO")</f>
        <v>Servicios Informaticos</v>
      </c>
      <c r="R13" s="178">
        <f>IFERROR(IF('Nov-26'!$F13="","-",VLOOKUP('Nov-26'!$F13,Lista_CUIT!$A$1:$D$2241,4,0)),"CUIT NO CARGADO")</f>
        <v>0</v>
      </c>
    </row>
    <row r="14" spans="1:26" ht="15" customHeight="1" x14ac:dyDescent="0.25">
      <c r="B14" s="168">
        <v>45965</v>
      </c>
      <c r="C14" s="250">
        <v>1</v>
      </c>
      <c r="D14" s="170">
        <v>63</v>
      </c>
      <c r="E14" s="171">
        <v>3542590</v>
      </c>
      <c r="F14" s="172">
        <v>30640897267</v>
      </c>
      <c r="G14" s="173" t="str">
        <f>IFERROR(IF('Nov-26'!$F14="","-",VLOOKUP('Nov-26'!$F14,Lista_CUIT!$A$1:$D$2241,2,0)),"CUIT NO CARGADO")</f>
        <v>TELECENTRO SA</v>
      </c>
      <c r="H14" s="174">
        <v>18719.22</v>
      </c>
      <c r="I14" s="175">
        <f>IF('Nov-26'!$H14="","",'Nov-26'!$H14*0.21)</f>
        <v>3931.0362</v>
      </c>
      <c r="J14" s="175"/>
      <c r="K14" s="175"/>
      <c r="L14" s="175">
        <v>561.58000000000004</v>
      </c>
      <c r="M14" s="175"/>
      <c r="N14" s="175"/>
      <c r="O14" s="175">
        <v>0</v>
      </c>
      <c r="P14" s="176">
        <f>SUM('Nov-26'!$H14:$O14)</f>
        <v>23211.836200000002</v>
      </c>
      <c r="Q14" s="177" t="str">
        <f>IFERROR(IF('Nov-26'!$F14="","-",VLOOKUP('Nov-26'!$F14,Lista_CUIT!$A$1:$D$2241,3,0)),"CUIT NO CARGADO")</f>
        <v>SERVICIOS</v>
      </c>
      <c r="R14" s="178">
        <f>IFERROR(IF('Nov-26'!$F14="","-",VLOOKUP('Nov-26'!$F14,Lista_CUIT!$A$1:$D$2241,4,0)),"CUIT NO CARGADO")</f>
        <v>0</v>
      </c>
    </row>
    <row r="15" spans="1:26" ht="15" customHeight="1" x14ac:dyDescent="0.25">
      <c r="B15" s="168">
        <v>45966</v>
      </c>
      <c r="C15" s="250">
        <v>1</v>
      </c>
      <c r="D15" s="170">
        <v>2</v>
      </c>
      <c r="E15" s="171">
        <v>221</v>
      </c>
      <c r="F15" s="172">
        <v>20125142851</v>
      </c>
      <c r="G15" s="173" t="str">
        <f>IFERROR(IF('Nov-26'!$F15="","-",VLOOKUP('Nov-26'!$F15,Lista_CUIT!$A$1:$D$2241,2,0)),"CUIT NO CARGADO")</f>
        <v>FEDERICI NICOLAS JOSE</v>
      </c>
      <c r="H15" s="174">
        <v>240934</v>
      </c>
      <c r="I15" s="175">
        <f>IF('Nov-26'!$H15="","",'Nov-26'!$H15*0.21)</f>
        <v>50596.14</v>
      </c>
      <c r="J15" s="175"/>
      <c r="K15" s="175"/>
      <c r="L15" s="175"/>
      <c r="M15" s="175"/>
      <c r="N15" s="175"/>
      <c r="O15" s="175">
        <v>0</v>
      </c>
      <c r="P15" s="176">
        <f>SUM('Nov-26'!$H15:$O15)</f>
        <v>291530.14</v>
      </c>
      <c r="Q15" s="177" t="str">
        <f>IFERROR(IF('Nov-26'!$F15="","-",VLOOKUP('Nov-26'!$F15,Lista_CUIT!$A$1:$D$2241,3,0)),"CUIT NO CARGADO")</f>
        <v>INSUMO</v>
      </c>
      <c r="R15" s="178">
        <f>IFERROR(IF('Nov-26'!$F15="","-",VLOOKUP('Nov-26'!$F15,Lista_CUIT!$A$1:$D$2241,4,0)),"CUIT NO CARGADO")</f>
        <v>0</v>
      </c>
    </row>
    <row r="16" spans="1:26" ht="15" customHeight="1" x14ac:dyDescent="0.25">
      <c r="A16" s="43"/>
      <c r="B16" s="168">
        <v>45966</v>
      </c>
      <c r="C16" s="250">
        <v>1</v>
      </c>
      <c r="D16" s="170">
        <v>2</v>
      </c>
      <c r="E16" s="171">
        <v>222</v>
      </c>
      <c r="F16" s="172">
        <v>20125142851</v>
      </c>
      <c r="G16" s="173" t="str">
        <f>IFERROR(IF('Nov-26'!$F16="","-",VLOOKUP('Nov-26'!$F16,Lista_CUIT!$A$1:$D$2241,2,0)),"CUIT NO CARGADO")</f>
        <v>FEDERICI NICOLAS JOSE</v>
      </c>
      <c r="H16" s="174">
        <v>164212</v>
      </c>
      <c r="I16" s="175">
        <f>IF('Nov-26'!$H16="","",'Nov-26'!$H16*0.21)</f>
        <v>34484.519999999997</v>
      </c>
      <c r="J16" s="175"/>
      <c r="K16" s="175"/>
      <c r="L16" s="175"/>
      <c r="M16" s="175"/>
      <c r="N16" s="175"/>
      <c r="O16" s="175">
        <v>0</v>
      </c>
      <c r="P16" s="176">
        <f>SUM('Nov-26'!$H16:$O16)</f>
        <v>198696.52</v>
      </c>
      <c r="Q16" s="177" t="str">
        <f>IFERROR(IF('Nov-26'!$F16="","-",VLOOKUP('Nov-26'!$F16,Lista_CUIT!$A$1:$D$2241,3,0)),"CUIT NO CARGADO")</f>
        <v>INSUMO</v>
      </c>
      <c r="R16" s="178">
        <f>IFERROR(IF('Nov-26'!$F16="","-",VLOOKUP('Nov-26'!$F16,Lista_CUIT!$A$1:$D$2241,4,0)),"CUIT NO CARGADO")</f>
        <v>0</v>
      </c>
      <c r="S16" s="43"/>
      <c r="T16" s="43"/>
      <c r="U16" s="43"/>
      <c r="V16" s="43"/>
      <c r="W16" s="43"/>
      <c r="X16" s="43"/>
      <c r="Y16" s="43"/>
      <c r="Z16" s="43"/>
    </row>
    <row r="17" spans="1:26" ht="15" customHeight="1" x14ac:dyDescent="0.25">
      <c r="B17" s="168">
        <v>45972</v>
      </c>
      <c r="C17" s="250">
        <v>1</v>
      </c>
      <c r="D17" s="170">
        <v>1</v>
      </c>
      <c r="E17" s="171">
        <v>1014</v>
      </c>
      <c r="F17" s="172">
        <v>30715048066</v>
      </c>
      <c r="G17" s="173" t="str">
        <f>IFERROR(IF('Nov-26'!$F17="","-",VLOOKUP('Nov-26'!$F17,Lista_CUIT!$A$1:$D$2241,2,0)),"CUIT NO CARGADO")</f>
        <v>ROLLS Y EMPANADAS SA</v>
      </c>
      <c r="H17" s="174">
        <v>931270</v>
      </c>
      <c r="I17" s="175">
        <f>IF('Nov-26'!$H17="","",'Nov-26'!$H17*0.21)</f>
        <v>195566.69999999998</v>
      </c>
      <c r="J17" s="175"/>
      <c r="K17" s="175"/>
      <c r="L17" s="175"/>
      <c r="M17" s="175"/>
      <c r="N17" s="175"/>
      <c r="O17" s="175">
        <v>0</v>
      </c>
      <c r="P17" s="176">
        <f>SUM('Nov-26'!$H17:$O17)</f>
        <v>1126836.7</v>
      </c>
      <c r="Q17" s="177" t="str">
        <f>IFERROR(IF('Nov-26'!$F17="","-",VLOOKUP('Nov-26'!$F17,Lista_CUIT!$A$1:$D$2241,3,0)),"CUIT NO CARGADO")</f>
        <v>CATERING</v>
      </c>
      <c r="R17" s="178">
        <f>IFERROR(IF('Nov-26'!$F17="","-",VLOOKUP('Nov-26'!$F17,Lista_CUIT!$A$1:$D$2241,4,0)),"CUIT NO CARGADO")</f>
        <v>0</v>
      </c>
    </row>
    <row r="18" spans="1:26" ht="15" customHeight="1" x14ac:dyDescent="0.25">
      <c r="B18" s="168">
        <v>45979</v>
      </c>
      <c r="C18" s="250">
        <v>1</v>
      </c>
      <c r="D18" s="170">
        <v>106</v>
      </c>
      <c r="E18" s="171">
        <v>896254</v>
      </c>
      <c r="F18" s="172">
        <v>30594494187</v>
      </c>
      <c r="G18" s="173" t="str">
        <f>IFERROR(IF('Nov-26'!$F18="","-",VLOOKUP('Nov-26'!$F18,Lista_CUIT!$A$1:$D$2241,2,0)),"CUIT NO CARGADO")</f>
        <v>FEDERAL EXPRESS CORPORATION</v>
      </c>
      <c r="H18" s="174">
        <v>0</v>
      </c>
      <c r="I18" s="175">
        <f>IF('Nov-26'!$H18="","",'Nov-26'!$H18*0.21)</f>
        <v>0</v>
      </c>
      <c r="J18" s="175"/>
      <c r="K18" s="175"/>
      <c r="L18" s="175"/>
      <c r="M18" s="175"/>
      <c r="N18" s="175"/>
      <c r="O18" s="175">
        <v>150364.5</v>
      </c>
      <c r="P18" s="176">
        <f>SUM('Nov-26'!$H18:$O18)</f>
        <v>150364.5</v>
      </c>
      <c r="Q18" s="177" t="str">
        <f>IFERROR(IF('Nov-26'!$F18="","-",VLOOKUP('Nov-26'!$F18,Lista_CUIT!$A$1:$D$2241,3,0)),"CUIT NO CARGADO")</f>
        <v>Mercaderia</v>
      </c>
      <c r="R18" s="178">
        <f>IFERROR(IF('Nov-26'!$F18="","-",VLOOKUP('Nov-26'!$F18,Lista_CUIT!$A$1:$D$2241,4,0)),"CUIT NO CARGADO")</f>
        <v>0</v>
      </c>
    </row>
    <row r="19" spans="1:26" ht="15" customHeight="1" x14ac:dyDescent="0.25">
      <c r="B19" s="168">
        <v>45982</v>
      </c>
      <c r="C19" s="250">
        <v>1</v>
      </c>
      <c r="D19" s="170">
        <v>6996</v>
      </c>
      <c r="E19" s="171">
        <v>37072</v>
      </c>
      <c r="F19" s="172">
        <v>30678774495</v>
      </c>
      <c r="G19" s="173" t="str">
        <f>IFERROR(IF('Nov-26'!$F19="","-",VLOOKUP('Nov-26'!$F19,Lista_CUIT!$A$1:$D$2241,2,0)),"CUIT NO CARGADO")</f>
        <v>OPER. DE EST. DE SERV. SA</v>
      </c>
      <c r="H19" s="174">
        <v>52287.21</v>
      </c>
      <c r="I19" s="175">
        <f>IF('Nov-26'!$H19="","",'Nov-26'!$H19*0.21)</f>
        <v>10980.3141</v>
      </c>
      <c r="J19" s="175"/>
      <c r="K19" s="175"/>
      <c r="L19" s="175"/>
      <c r="M19" s="175"/>
      <c r="N19" s="175"/>
      <c r="O19" s="175">
        <v>10741.44</v>
      </c>
      <c r="P19" s="176">
        <f>SUM('Nov-26'!$H19:$O19)</f>
        <v>74008.964099999997</v>
      </c>
      <c r="Q19" s="177" t="str">
        <f>IFERROR(IF('Nov-26'!$F19="","-",VLOOKUP('Nov-26'!$F19,Lista_CUIT!$A$1:$D$2241,3,0)),"CUIT NO CARGADO")</f>
        <v>COMBUSTIBLE</v>
      </c>
      <c r="R19" s="178">
        <f>IFERROR(IF('Nov-26'!$F19="","-",VLOOKUP('Nov-26'!$F19,Lista_CUIT!$A$1:$D$2241,4,0)),"CUIT NO CARGADO")</f>
        <v>0</v>
      </c>
    </row>
    <row r="20" spans="1:26" ht="15" customHeight="1" x14ac:dyDescent="0.25">
      <c r="B20" s="168">
        <v>45986</v>
      </c>
      <c r="C20" s="250">
        <v>1</v>
      </c>
      <c r="D20" s="170">
        <v>1</v>
      </c>
      <c r="E20" s="171">
        <v>3171</v>
      </c>
      <c r="F20" s="172">
        <v>30717248267</v>
      </c>
      <c r="G20" s="173" t="str">
        <f>IFERROR(IF('Nov-26'!$F20="","-",VLOOKUP('Nov-26'!$F20,Lista_CUIT!$A$1:$D$2241,2,0)),"CUIT NO CARGADO")</f>
        <v>KARTELACRIL</v>
      </c>
      <c r="H20" s="174">
        <v>127000</v>
      </c>
      <c r="I20" s="175">
        <f>IF('Nov-26'!$H20="","",'Nov-26'!$H20*0.21)</f>
        <v>26670</v>
      </c>
      <c r="J20" s="175"/>
      <c r="K20" s="175"/>
      <c r="L20" s="175"/>
      <c r="M20" s="175"/>
      <c r="N20" s="175"/>
      <c r="O20" s="175">
        <v>0</v>
      </c>
      <c r="P20" s="176">
        <f>SUM('Nov-26'!$H20:$O20)</f>
        <v>153670</v>
      </c>
      <c r="Q20" s="177">
        <f>IFERROR(IF('Nov-26'!$F20="","-",VLOOKUP('Nov-26'!$F20,Lista_CUIT!$A$1:$D$2241,3,0)),"CUIT NO CARGADO")</f>
        <v>0</v>
      </c>
      <c r="R20" s="178">
        <f>IFERROR(IF('Nov-26'!$F20="","-",VLOOKUP('Nov-26'!$F20,Lista_CUIT!$A$1:$D$2241,4,0)),"CUIT NO CARGADO")</f>
        <v>0</v>
      </c>
    </row>
    <row r="21" spans="1:26" ht="15" customHeight="1" x14ac:dyDescent="0.25">
      <c r="B21" s="168">
        <v>45987</v>
      </c>
      <c r="C21" s="250">
        <v>1</v>
      </c>
      <c r="D21" s="170">
        <v>1006</v>
      </c>
      <c r="E21" s="171">
        <v>1002488</v>
      </c>
      <c r="F21" s="172">
        <v>30538068841</v>
      </c>
      <c r="G21" s="173" t="str">
        <f>IFERROR(IF('Nov-26'!$F21="","-",VLOOKUP('Nov-26'!$F21,Lista_CUIT!$A$1:$D$2241,2,0)),"CUIT NO CARGADO")</f>
        <v>FAMIQ SRL</v>
      </c>
      <c r="H21" s="174">
        <v>577886.4</v>
      </c>
      <c r="I21" s="175">
        <v>121348.5</v>
      </c>
      <c r="J21" s="175"/>
      <c r="K21" s="175"/>
      <c r="L21" s="175">
        <f>31.45*1470</f>
        <v>46231.5</v>
      </c>
      <c r="M21" s="175"/>
      <c r="N21" s="175"/>
      <c r="O21" s="175">
        <v>0</v>
      </c>
      <c r="P21" s="176">
        <f>SUM('Nov-26'!$H21:$O21)</f>
        <v>745466.4</v>
      </c>
      <c r="Q21" s="177">
        <f>IFERROR(IF('Nov-26'!$F21="","-",VLOOKUP('Nov-26'!$F21,Lista_CUIT!$A$1:$D$2241,3,0)),"CUIT NO CARGADO")</f>
        <v>0</v>
      </c>
      <c r="R21" s="178">
        <f>IFERROR(IF('Nov-26'!$F21="","-",VLOOKUP('Nov-26'!$F21,Lista_CUIT!$A$1:$D$2241,4,0)),"CUIT NO CARGADO")</f>
        <v>0</v>
      </c>
    </row>
    <row r="22" spans="1:26" ht="15" customHeight="1" x14ac:dyDescent="0.25">
      <c r="B22" s="168">
        <v>45990</v>
      </c>
      <c r="C22" s="250">
        <v>1</v>
      </c>
      <c r="D22" s="170">
        <v>5</v>
      </c>
      <c r="E22" s="171">
        <v>2408</v>
      </c>
      <c r="F22" s="172">
        <v>20160873370</v>
      </c>
      <c r="G22" s="173" t="str">
        <f>IFERROR(IF('Nov-26'!$F22="","-",VLOOKUP('Nov-26'!$F22,Lista_CUIT!$A$1:$D$2241,2,0)),"CUIT NO CARGADO")</f>
        <v>UNAMUNO ANDRES IGNACIO</v>
      </c>
      <c r="H22" s="174">
        <v>29582.639999999999</v>
      </c>
      <c r="I22" s="175">
        <f>IF('Nov-26'!$H22="","",'Nov-26'!$H22*0.21)</f>
        <v>6212.3543999999993</v>
      </c>
      <c r="J22" s="175"/>
      <c r="K22" s="175"/>
      <c r="L22" s="175"/>
      <c r="M22" s="175"/>
      <c r="N22" s="175"/>
      <c r="O22" s="175">
        <v>0</v>
      </c>
      <c r="P22" s="176">
        <f>SUM('Nov-26'!$H22:$O22)</f>
        <v>35794.994399999996</v>
      </c>
      <c r="Q22" s="177">
        <f>IFERROR(IF('Nov-26'!$F22="","-",VLOOKUP('Nov-26'!$F22,Lista_CUIT!$A$1:$D$2241,3,0)),"CUIT NO CARGADO")</f>
        <v>0</v>
      </c>
      <c r="R22" s="178">
        <f>IFERROR(IF('Nov-26'!$F22="","-",VLOOKUP('Nov-26'!$F22,Lista_CUIT!$A$1:$D$2241,4,0)),"CUIT NO CARGADO")</f>
        <v>0</v>
      </c>
    </row>
    <row r="23" spans="1:26" ht="15" customHeight="1" x14ac:dyDescent="0.25">
      <c r="B23" s="168">
        <v>45990</v>
      </c>
      <c r="C23" s="250">
        <v>1</v>
      </c>
      <c r="D23" s="170">
        <v>5</v>
      </c>
      <c r="E23" s="171">
        <v>2409</v>
      </c>
      <c r="F23" s="172">
        <v>20160873370</v>
      </c>
      <c r="G23" s="173" t="str">
        <f>IFERROR(IF('Nov-26'!$F23="","-",VLOOKUP('Nov-26'!$F23,Lista_CUIT!$A$1:$D$2241,2,0)),"CUIT NO CARGADO")</f>
        <v>UNAMUNO ANDRES IGNACIO</v>
      </c>
      <c r="H23" s="174">
        <v>41415.699999999997</v>
      </c>
      <c r="I23" s="175">
        <f>IF('Nov-26'!$H23="","",'Nov-26'!$H23*0.21)</f>
        <v>8697.2969999999987</v>
      </c>
      <c r="J23" s="175"/>
      <c r="K23" s="175"/>
      <c r="L23" s="175"/>
      <c r="M23" s="175"/>
      <c r="N23" s="175"/>
      <c r="O23" s="175">
        <v>0</v>
      </c>
      <c r="P23" s="176">
        <f>SUM('Nov-26'!$H23:$O23)</f>
        <v>50112.996999999996</v>
      </c>
      <c r="Q23" s="177">
        <f>IFERROR(IF('Nov-26'!$F23="","-",VLOOKUP('Nov-26'!$F23,Lista_CUIT!$A$1:$D$2241,3,0)),"CUIT NO CARGADO")</f>
        <v>0</v>
      </c>
      <c r="R23" s="178">
        <f>IFERROR(IF('Nov-26'!$F23="","-",VLOOKUP('Nov-26'!$F23,Lista_CUIT!$A$1:$D$2241,4,0)),"CUIT NO CARGADO")</f>
        <v>0</v>
      </c>
    </row>
    <row r="24" spans="1:26" ht="15" customHeight="1" x14ac:dyDescent="0.25">
      <c r="B24" s="168">
        <v>45991</v>
      </c>
      <c r="C24" s="250">
        <v>1</v>
      </c>
      <c r="D24" s="170">
        <v>20</v>
      </c>
      <c r="E24" s="171">
        <v>71995</v>
      </c>
      <c r="F24" s="172">
        <v>30700940957</v>
      </c>
      <c r="G24" s="173" t="str">
        <f>IFERROR(IF('Nov-26'!$F24="","-",VLOOKUP('Nov-26'!$F24,Lista_CUIT!$A$1:$D$2241,2,0)),"CUIT NO CARGADO")</f>
        <v>UPS DE ARGENTINA SA</v>
      </c>
      <c r="H24" s="174">
        <v>345.9</v>
      </c>
      <c r="I24" s="175"/>
      <c r="J24" s="175"/>
      <c r="K24" s="175"/>
      <c r="L24" s="175"/>
      <c r="M24" s="175"/>
      <c r="N24" s="175"/>
      <c r="O24" s="175">
        <v>0</v>
      </c>
      <c r="P24" s="176">
        <f>SUM('Nov-26'!$H24:$O24)</f>
        <v>345.9</v>
      </c>
      <c r="Q24" s="177" t="str">
        <f>IFERROR(IF('Nov-26'!$F24="","-",VLOOKUP('Nov-26'!$F24,Lista_CUIT!$A$1:$D$2241,3,0)),"CUIT NO CARGADO")</f>
        <v>Gastos Importacion</v>
      </c>
      <c r="R24" s="178">
        <f>IFERROR(IF('Nov-26'!$F24="","-",VLOOKUP('Nov-26'!$F24,Lista_CUIT!$A$1:$D$2241,4,0)),"CUIT NO CARGADO")</f>
        <v>0</v>
      </c>
    </row>
    <row r="25" spans="1:26" ht="15" customHeight="1" x14ac:dyDescent="0.25">
      <c r="B25" s="168">
        <v>45989</v>
      </c>
      <c r="C25" s="169">
        <v>3</v>
      </c>
      <c r="D25" s="170">
        <v>106</v>
      </c>
      <c r="E25" s="171">
        <v>40797</v>
      </c>
      <c r="F25" s="172">
        <v>30594494187</v>
      </c>
      <c r="G25" s="173" t="str">
        <f>IFERROR(IF('Nov-26'!$F25="","-",VLOOKUP('Nov-26'!$F25,Lista_CUIT!$A$1:$D$2241,2,0)),"CUIT NO CARGADO")</f>
        <v>FEDERAL EXPRESS CORPORATION</v>
      </c>
      <c r="H25" s="174"/>
      <c r="I25" s="175" t="str">
        <f>IF('Nov-26'!$H25="","",'Nov-26'!$H25*0.21)</f>
        <v/>
      </c>
      <c r="J25" s="175"/>
      <c r="K25" s="175"/>
      <c r="L25" s="175"/>
      <c r="M25" s="175"/>
      <c r="N25" s="175"/>
      <c r="O25" s="175">
        <f>-348626.05-2940</f>
        <v>-351566.05</v>
      </c>
      <c r="P25" s="176">
        <f>SUM('Nov-26'!$H25:$O25)</f>
        <v>-351566.05</v>
      </c>
      <c r="Q25" s="177" t="str">
        <f>IFERROR(IF('Nov-26'!$F25="","-",VLOOKUP('Nov-26'!$F25,Lista_CUIT!$A$1:$D$2241,3,0)),"CUIT NO CARGADO")</f>
        <v>Mercaderia</v>
      </c>
      <c r="R25" s="178">
        <f>IFERROR(IF('Nov-26'!$F25="","-",VLOOKUP('Nov-26'!$F25,Lista_CUIT!$A$1:$D$2241,4,0)),"CUIT NO CARGADO")</f>
        <v>0</v>
      </c>
    </row>
    <row r="26" spans="1:26" ht="15" customHeight="1" x14ac:dyDescent="0.25">
      <c r="B26" s="168">
        <v>45984</v>
      </c>
      <c r="C26" s="169">
        <v>1</v>
      </c>
      <c r="D26" s="170">
        <v>11</v>
      </c>
      <c r="E26" s="171">
        <v>17971</v>
      </c>
      <c r="F26" s="172">
        <v>30705740670</v>
      </c>
      <c r="G26" s="173" t="str">
        <f>IFERROR(IF('Nov-26'!$F26="","-",VLOOKUP('Nov-26'!$F26,Lista_CUIT!$A$1:$D$2241,2,0)),"CUIT NO CARGADO")</f>
        <v>MAVISUR SA</v>
      </c>
      <c r="H26" s="174">
        <v>70947.100000000006</v>
      </c>
      <c r="I26" s="175">
        <f>IF('Nov-26'!$H26="","",'Nov-26'!$H26*0.21)</f>
        <v>14898.891000000001</v>
      </c>
      <c r="J26" s="175"/>
      <c r="K26" s="175"/>
      <c r="L26" s="175"/>
      <c r="M26" s="175"/>
      <c r="N26" s="175">
        <v>7049.29</v>
      </c>
      <c r="O26" s="175">
        <v>17169</v>
      </c>
      <c r="P26" s="176">
        <f>SUM('Nov-26'!$H26:$O26)</f>
        <v>110064.281</v>
      </c>
      <c r="Q26" s="177">
        <f>IFERROR(IF('Nov-26'!$F26="","-",VLOOKUP('Nov-26'!$F26,Lista_CUIT!$A$1:$D$2241,3,0)),"CUIT NO CARGADO")</f>
        <v>0</v>
      </c>
      <c r="R26" s="178">
        <f>IFERROR(IF('Nov-26'!$F26="","-",VLOOKUP('Nov-26'!$F26,Lista_CUIT!$A$1:$D$2241,4,0)),"CUIT NO CARGADO")</f>
        <v>0</v>
      </c>
    </row>
    <row r="27" spans="1:26" ht="15" customHeight="1" thickBot="1" x14ac:dyDescent="0.3">
      <c r="B27" s="168"/>
      <c r="C27" s="169"/>
      <c r="D27" s="170"/>
      <c r="E27" s="335"/>
      <c r="F27" s="172"/>
      <c r="G27" s="248" t="str">
        <f>IFERROR(IF('Nov-26'!$F27="","-",VLOOKUP('Nov-26'!$F27,Lista_CUIT!$A$1:$D$2241,2,0)),"CUIT NO CARGADO")</f>
        <v>-</v>
      </c>
      <c r="H27" s="174"/>
      <c r="I27" s="175" t="str">
        <f>IF('Nov-26'!$H27="","",'Nov-26'!$H27*0.21)</f>
        <v/>
      </c>
      <c r="J27" s="175"/>
      <c r="K27" s="175"/>
      <c r="L27" s="175"/>
      <c r="M27" s="175"/>
      <c r="N27" s="175"/>
      <c r="O27" s="175"/>
      <c r="P27" s="268">
        <f>SUM('Nov-26'!$H27:$O27)</f>
        <v>0</v>
      </c>
      <c r="Q27" s="177" t="str">
        <f>IFERROR(IF('Nov-26'!$F27="","-",VLOOKUP('Nov-26'!$F27,Lista_CUIT!$A$1:$D$2241,3,0)),"CUIT NO CARGADO")</f>
        <v>-</v>
      </c>
      <c r="R27" s="178"/>
      <c r="S27" s="3"/>
    </row>
    <row r="28" spans="1:26" ht="15.75" customHeight="1" thickBot="1" x14ac:dyDescent="0.3">
      <c r="B28" s="269" t="s">
        <v>1336</v>
      </c>
      <c r="C28" s="270"/>
      <c r="D28" s="270"/>
      <c r="E28" s="270"/>
      <c r="F28" s="270"/>
      <c r="G28" s="271"/>
      <c r="H28" s="272">
        <f>SUBTOTAL(109,'Nov-26'!$H$9:$H$27)</f>
        <v>2514190.8800000004</v>
      </c>
      <c r="I28" s="272">
        <f>SUBTOTAL(109,'Nov-26'!$I$9:$I$27)</f>
        <v>519599.19270000007</v>
      </c>
      <c r="J28" s="272">
        <f>SUBTOTAL(109,$J$8:$J$26)</f>
        <v>0</v>
      </c>
      <c r="K28" s="272">
        <f>SUBTOTAL(109,$K$9:$K$27)</f>
        <v>4150.3</v>
      </c>
      <c r="L28" s="272">
        <f>SUBTOTAL(109,'Nov-26'!$L$9:$L$27)</f>
        <v>46793.08</v>
      </c>
      <c r="M28" s="272">
        <f>SUBTOTAL(109,'Nov-26'!$M$9:$M$27)</f>
        <v>0</v>
      </c>
      <c r="N28" s="272">
        <f>SUBTOTAL(109,'Nov-26'!$N$9:$N$27)</f>
        <v>7049.29</v>
      </c>
      <c r="O28" s="272">
        <f>SUBTOTAL(109,'Nov-26'!$O$9:$O$27)</f>
        <v>178274.94</v>
      </c>
      <c r="P28" s="272">
        <f>SUBTOTAL(109,'Nov-26'!$P$9:$P$27)</f>
        <v>3270057.6827000002</v>
      </c>
      <c r="Q28" s="270"/>
      <c r="R28" s="273"/>
    </row>
    <row r="29" spans="1:26" ht="15.75" customHeight="1" x14ac:dyDescent="0.25">
      <c r="B29" s="12"/>
      <c r="C29" s="13"/>
      <c r="D29" s="14"/>
      <c r="E29" s="15"/>
      <c r="F29" s="16"/>
      <c r="G29" s="17"/>
      <c r="H29" s="18"/>
      <c r="I29" s="19"/>
      <c r="J29" s="19"/>
      <c r="K29" s="19"/>
      <c r="L29" s="19"/>
      <c r="M29" s="19"/>
      <c r="N29" s="19"/>
      <c r="O29" s="19"/>
      <c r="P29" s="20"/>
      <c r="Q29" s="21"/>
      <c r="R29" s="21"/>
    </row>
    <row r="30" spans="1:26" ht="18" customHeight="1" x14ac:dyDescent="0.25">
      <c r="A30" s="43"/>
      <c r="B30" s="12"/>
      <c r="C30" s="13"/>
      <c r="D30" s="14"/>
      <c r="E30" s="15"/>
      <c r="F30" s="16"/>
      <c r="G30" s="17"/>
      <c r="H30" s="18"/>
      <c r="I30" s="19"/>
      <c r="J30" s="19"/>
      <c r="K30" s="19"/>
      <c r="L30" s="19"/>
      <c r="M30" s="19"/>
      <c r="N30" s="19"/>
      <c r="O30" s="19"/>
      <c r="P30" s="20"/>
      <c r="Q30" s="21"/>
      <c r="R30" s="21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1:26" ht="15.7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</row>
    <row r="33" spans="3:12" ht="15.75" customHeight="1" thickBot="1" x14ac:dyDescent="0.3">
      <c r="D33" s="456" t="s">
        <v>1337</v>
      </c>
      <c r="E33" s="448"/>
      <c r="F33" s="448"/>
      <c r="G33" s="448"/>
      <c r="H33" s="448"/>
      <c r="I33" s="448"/>
      <c r="J33" s="448"/>
      <c r="K33" s="448"/>
      <c r="L33" s="449"/>
    </row>
    <row r="34" spans="3:12" ht="15.75" customHeight="1" thickBot="1" x14ac:dyDescent="0.3">
      <c r="D34" s="280" t="s">
        <v>1322</v>
      </c>
      <c r="E34" s="281" t="s">
        <v>1338</v>
      </c>
      <c r="F34" s="281" t="s">
        <v>1339</v>
      </c>
      <c r="G34" s="281" t="s">
        <v>1340</v>
      </c>
      <c r="H34" s="281" t="s">
        <v>1341</v>
      </c>
      <c r="I34" s="281" t="s">
        <v>1329</v>
      </c>
      <c r="J34" s="282" t="s">
        <v>1342</v>
      </c>
      <c r="K34" s="282" t="s">
        <v>1343</v>
      </c>
      <c r="L34" s="283" t="s">
        <v>1344</v>
      </c>
    </row>
    <row r="35" spans="3:12" ht="15" customHeight="1" x14ac:dyDescent="0.25">
      <c r="D35" s="249">
        <v>45991</v>
      </c>
      <c r="E35" s="277"/>
      <c r="F35" s="277" t="s">
        <v>1372</v>
      </c>
      <c r="G35" s="278">
        <f>Table_50[[#This Row],[IVA 21%]]/0.21</f>
        <v>121092.61904761905</v>
      </c>
      <c r="H35" s="278">
        <v>25429.45</v>
      </c>
      <c r="I35" s="278"/>
      <c r="J35" s="278"/>
      <c r="K35" s="278">
        <v>3497.48</v>
      </c>
      <c r="L35" s="279"/>
    </row>
    <row r="36" spans="3:12" ht="15" customHeight="1" x14ac:dyDescent="0.25">
      <c r="C36" t="s">
        <v>1565</v>
      </c>
      <c r="D36" s="168">
        <v>45972</v>
      </c>
      <c r="E36" s="191">
        <v>6727000</v>
      </c>
      <c r="F36" s="277" t="s">
        <v>1372</v>
      </c>
      <c r="G36" s="192">
        <v>35412.5</v>
      </c>
      <c r="H36" s="278">
        <f>'Nov-26'!$G36*0.21</f>
        <v>7436.625</v>
      </c>
      <c r="I36" s="192"/>
      <c r="J36" s="192"/>
      <c r="K36" s="192">
        <v>1062.3800000000001</v>
      </c>
      <c r="L36" s="193"/>
    </row>
    <row r="37" spans="3:12" ht="15" customHeight="1" x14ac:dyDescent="0.25">
      <c r="C37" t="s">
        <v>1565</v>
      </c>
      <c r="D37" s="263">
        <v>45986</v>
      </c>
      <c r="E37" s="191">
        <v>77660000</v>
      </c>
      <c r="F37" s="277" t="s">
        <v>1372</v>
      </c>
      <c r="G37" s="275">
        <v>36070.83</v>
      </c>
      <c r="H37" s="278">
        <f>'Nov-26'!$G37*0.21</f>
        <v>7574.8743000000004</v>
      </c>
      <c r="I37" s="275"/>
      <c r="J37" s="275"/>
      <c r="K37" s="275">
        <v>1082.1199999999999</v>
      </c>
      <c r="L37" s="276"/>
    </row>
    <row r="38" spans="3:12" ht="15" customHeight="1" thickBot="1" x14ac:dyDescent="0.3">
      <c r="D38" s="168"/>
      <c r="E38" s="329"/>
      <c r="F38" s="191"/>
      <c r="G38" s="192"/>
      <c r="H38" s="275">
        <f>'Nov-26'!$G38*0.21</f>
        <v>0</v>
      </c>
      <c r="I38" s="192"/>
      <c r="J38" s="192"/>
      <c r="K38" s="192"/>
      <c r="L38" s="193"/>
    </row>
    <row r="39" spans="3:12" ht="15.75" customHeight="1" thickBot="1" x14ac:dyDescent="0.3">
      <c r="D39" s="269" t="s">
        <v>1336</v>
      </c>
      <c r="E39" s="285"/>
      <c r="F39" s="285"/>
      <c r="G39" s="286">
        <f>SUBTOTAL(109,'Nov-26'!$G$35:$G$37)</f>
        <v>192575.94904761907</v>
      </c>
      <c r="H39" s="286">
        <f>SUBTOTAL(109,'Nov-26'!$H$35:$H$38)</f>
        <v>40440.9493</v>
      </c>
      <c r="I39" s="286">
        <f>SUBTOTAL(109,'Nov-26'!$I$35:$I$37)</f>
        <v>0</v>
      </c>
      <c r="J39" s="286">
        <f>SUBTOTAL(109,'Nov-26'!$J$35:$J$38)</f>
        <v>0</v>
      </c>
      <c r="K39" s="286">
        <f>SUBTOTAL(109,'Nov-26'!$K$35:$K$38)</f>
        <v>5641.9800000000005</v>
      </c>
      <c r="L39" s="287">
        <f>SUBTOTAL(109,'Nov-26'!$L$35:$L$37)</f>
        <v>0</v>
      </c>
    </row>
    <row r="40" spans="3:12" ht="18" customHeight="1" x14ac:dyDescent="0.25"/>
    <row r="41" spans="3:12" ht="15.75" customHeight="1" x14ac:dyDescent="0.25"/>
    <row r="42" spans="3:12" ht="15.75" customHeight="1" x14ac:dyDescent="0.25"/>
    <row r="43" spans="3:12" ht="15.75" customHeight="1" thickBot="1" x14ac:dyDescent="0.3">
      <c r="D43" s="456" t="s">
        <v>1348</v>
      </c>
      <c r="E43" s="448"/>
      <c r="F43" s="448"/>
      <c r="G43" s="448"/>
      <c r="H43" s="448"/>
      <c r="I43" s="448"/>
      <c r="J43" s="448"/>
      <c r="K43" s="449"/>
    </row>
    <row r="44" spans="3:12" ht="15.75" customHeight="1" thickBot="1" x14ac:dyDescent="0.3">
      <c r="D44" s="291" t="s">
        <v>1322</v>
      </c>
      <c r="E44" s="292" t="s">
        <v>1324</v>
      </c>
      <c r="F44" s="292" t="s">
        <v>1349</v>
      </c>
      <c r="G44" s="292" t="s">
        <v>0</v>
      </c>
      <c r="H44" s="292" t="s">
        <v>1</v>
      </c>
      <c r="I44" s="293" t="s">
        <v>1334</v>
      </c>
      <c r="J44" s="292" t="s">
        <v>1350</v>
      </c>
      <c r="K44" s="294" t="s">
        <v>1335</v>
      </c>
    </row>
    <row r="45" spans="3:12" ht="15" customHeight="1" x14ac:dyDescent="0.25">
      <c r="D45" s="249">
        <v>45964</v>
      </c>
      <c r="E45" s="251">
        <v>4</v>
      </c>
      <c r="F45" s="252">
        <v>91</v>
      </c>
      <c r="G45" s="253">
        <v>20086277523</v>
      </c>
      <c r="H45" s="288" t="str">
        <f>IFERROR(IF('Nov-26'!$G45="","-",VLOOKUP('Nov-26'!$G45,Lista_CUIT!$A$1:$D$2241,2,0)),"CUIT NO CARGADO")</f>
        <v>ESTUDIO BOTINDARI</v>
      </c>
      <c r="I45" s="278">
        <v>400000</v>
      </c>
      <c r="J45" s="289" t="str">
        <f>IFERROR(IF('Nov-26'!$G45="","-",VLOOKUP('Nov-26'!$G45,Lista_CUIT!$A$1:$D$2241,3,0)),"CUIT NO CARGADO")</f>
        <v>Honorarios Contables</v>
      </c>
      <c r="K45" s="290">
        <f>IFERROR(IF('Nov-26'!$G45="","-",VLOOKUP('Nov-26'!$G45,Lista_CUIT!$A$1:$D$2241,4,0)),"CUIT NO CARGADO")</f>
        <v>0</v>
      </c>
    </row>
    <row r="46" spans="3:12" ht="15" customHeight="1" x14ac:dyDescent="0.25">
      <c r="D46" s="249">
        <v>45964</v>
      </c>
      <c r="E46" s="251">
        <v>2</v>
      </c>
      <c r="F46" s="252">
        <v>25</v>
      </c>
      <c r="G46" s="253">
        <v>23118167279</v>
      </c>
      <c r="H46" s="288" t="str">
        <f>IFERROR(IF('Nov-26'!$G46="","-",VLOOKUP('Nov-26'!$G46,Lista_CUIT!$A$1:$D$2241,2,0)),"CUIT NO CARGADO")</f>
        <v>ABELEDO ENRIQUE JUAN</v>
      </c>
      <c r="I46" s="278">
        <v>2895000</v>
      </c>
      <c r="J46" s="289" t="str">
        <f>IFERROR(IF('Nov-26'!$G46="","-",VLOOKUP('Nov-26'!$G46,Lista_CUIT!$A$1:$D$2241,3,0)),"CUIT NO CARGADO")</f>
        <v>Honorarios Admin</v>
      </c>
      <c r="K46" s="290">
        <f>IFERROR(IF('Nov-26'!$G46="","-",VLOOKUP('Nov-26'!$G46,Lista_CUIT!$A$1:$D$2241,4,0)),"CUIT NO CARGADO")</f>
        <v>0</v>
      </c>
    </row>
    <row r="47" spans="3:12" ht="15" customHeight="1" x14ac:dyDescent="0.25">
      <c r="D47" s="249">
        <v>45964</v>
      </c>
      <c r="E47" s="251">
        <v>1</v>
      </c>
      <c r="F47" s="252">
        <v>172</v>
      </c>
      <c r="G47" s="253">
        <v>20389908569</v>
      </c>
      <c r="H47" s="288" t="str">
        <f>IFERROR(IF('Nov-26'!$G47="","-",VLOOKUP('Nov-26'!$G47,Lista_CUIT!$A$1:$D$2241,2,0)),"CUIT NO CARGADO")</f>
        <v>BOTINDARI JUAN IGNACIO</v>
      </c>
      <c r="I47" s="278">
        <v>125000</v>
      </c>
      <c r="J47" s="289" t="str">
        <f>IFERROR(IF('Nov-26'!$G47="","-",VLOOKUP('Nov-26'!$G47,Lista_CUIT!$A$1:$D$2241,3,0)),"CUIT NO CARGADO")</f>
        <v>Honorarios Contables</v>
      </c>
      <c r="K47" s="290">
        <f>IFERROR(IF('Nov-26'!$G47="","-",VLOOKUP('Nov-26'!$G47,Lista_CUIT!$A$1:$D$2241,4,0)),"CUIT NO CARGADO")</f>
        <v>0</v>
      </c>
    </row>
    <row r="48" spans="3:12" ht="15" customHeight="1" x14ac:dyDescent="0.25">
      <c r="D48" s="249">
        <v>45964</v>
      </c>
      <c r="E48" s="251">
        <v>1</v>
      </c>
      <c r="F48" s="252">
        <v>120</v>
      </c>
      <c r="G48" s="253">
        <v>20341465134</v>
      </c>
      <c r="H48" s="288" t="str">
        <f>IFERROR(IF('Nov-26'!$G48="","-",VLOOKUP('Nov-26'!$G48,Lista_CUIT!$A$1:$D$2241,2,0)),"CUIT NO CARGADO")</f>
        <v>ABELEDO AGUSTIN ENRIQUE</v>
      </c>
      <c r="I48" s="278">
        <v>3147900</v>
      </c>
      <c r="J48" s="289" t="str">
        <f>IFERROR(IF('Nov-26'!$G48="","-",VLOOKUP('Nov-26'!$G48,Lista_CUIT!$A$1:$D$2241,3,0)),"CUIT NO CARGADO")</f>
        <v>Mantenimiento</v>
      </c>
      <c r="K48" s="290" t="str">
        <f>IFERROR(IF('Nov-26'!$G48="","-",VLOOKUP('Nov-26'!$G48,Lista_CUIT!$A$1:$D$2241,4,0)),"CUIT NO CARGADO")</f>
        <v>CABA</v>
      </c>
    </row>
    <row r="49" spans="2:18" ht="15" customHeight="1" x14ac:dyDescent="0.25">
      <c r="D49" s="249">
        <v>45966</v>
      </c>
      <c r="E49" s="251">
        <v>1</v>
      </c>
      <c r="F49" s="252">
        <v>49</v>
      </c>
      <c r="G49" s="253">
        <v>27387896150</v>
      </c>
      <c r="H49" s="288" t="str">
        <f>IFERROR(IF('Nov-26'!$G49="","-",VLOOKUP('Nov-26'!$G49,Lista_CUIT!$A$1:$D$2241,2,0)),"CUIT NO CARGADO")</f>
        <v>LIPANOVICH MARIA SOL</v>
      </c>
      <c r="I49" s="278">
        <v>731607</v>
      </c>
      <c r="J49" s="289" t="str">
        <f>IFERROR(IF('Nov-26'!$G49="","-",VLOOKUP('Nov-26'!$G49,Lista_CUIT!$A$1:$D$2241,3,0)),"CUIT NO CARGADO")</f>
        <v>consultoria informatica</v>
      </c>
      <c r="K49" s="290">
        <f>IFERROR(IF('Nov-26'!$G49="","-",VLOOKUP('Nov-26'!$G49,Lista_CUIT!$A$1:$D$2241,4,0)),"CUIT NO CARGADO")</f>
        <v>0</v>
      </c>
    </row>
    <row r="50" spans="2:18" ht="15" customHeight="1" x14ac:dyDescent="0.25">
      <c r="B50" s="43"/>
      <c r="C50" s="43"/>
      <c r="D50" s="249">
        <v>45966</v>
      </c>
      <c r="E50" s="251">
        <v>1</v>
      </c>
      <c r="F50" s="252">
        <v>50</v>
      </c>
      <c r="G50" s="253">
        <v>27387896150</v>
      </c>
      <c r="H50" s="288" t="str">
        <f>IFERROR(IF('Nov-26'!$G50="","-",VLOOKUP('Nov-26'!$G50,Lista_CUIT!$A$1:$D$2241,2,0)),"CUIT NO CARGADO")</f>
        <v>LIPANOVICH MARIA SOL</v>
      </c>
      <c r="I50" s="278">
        <v>2004750</v>
      </c>
      <c r="J50" s="289" t="str">
        <f>IFERROR(IF('Nov-26'!$G50="","-",VLOOKUP('Nov-26'!$G50,Lista_CUIT!$A$1:$D$2241,3,0)),"CUIT NO CARGADO")</f>
        <v>consultoria informatica</v>
      </c>
      <c r="K50" s="290">
        <f>IFERROR(IF('Nov-26'!$G50="","-",VLOOKUP('Nov-26'!$G50,Lista_CUIT!$A$1:$D$2241,4,0)),"CUIT NO CARGADO")</f>
        <v>0</v>
      </c>
      <c r="L50" s="43"/>
      <c r="M50" s="43"/>
      <c r="N50" s="43"/>
      <c r="O50" s="43"/>
      <c r="P50" s="43"/>
      <c r="Q50" s="43"/>
      <c r="R50" s="43"/>
    </row>
    <row r="51" spans="2:18" ht="15" customHeight="1" x14ac:dyDescent="0.25">
      <c r="D51" s="249">
        <v>45967</v>
      </c>
      <c r="E51" s="251">
        <v>2</v>
      </c>
      <c r="F51" s="252">
        <v>189</v>
      </c>
      <c r="G51" s="253">
        <v>20136544625</v>
      </c>
      <c r="H51" s="288" t="str">
        <f>IFERROR(IF('Nov-26'!$G51="","-",VLOOKUP('Nov-26'!$G51,Lista_CUIT!$A$1:$D$2241,2,0)),"CUIT NO CARGADO")</f>
        <v>RODRIGUEZ DE LA FUEN HECTOR MARCELO</v>
      </c>
      <c r="I51" s="278">
        <v>1266000</v>
      </c>
      <c r="J51" s="289" t="str">
        <f>IFERROR(IF('Nov-26'!$G51="","-",VLOOKUP('Nov-26'!$G51,Lista_CUIT!$A$1:$D$2241,3,0)),"CUIT NO CARGADO")</f>
        <v>Honorarios Admin</v>
      </c>
      <c r="K51" s="290">
        <f>IFERROR(IF('Nov-26'!$G51="","-",VLOOKUP('Nov-26'!$G51,Lista_CUIT!$A$1:$D$2241,4,0)),"CUIT NO CARGADO")</f>
        <v>0</v>
      </c>
    </row>
    <row r="52" spans="2:18" ht="15" customHeight="1" x14ac:dyDescent="0.25">
      <c r="D52" s="168">
        <v>45967</v>
      </c>
      <c r="E52" s="170">
        <v>2</v>
      </c>
      <c r="F52" s="171">
        <v>299</v>
      </c>
      <c r="G52" s="172">
        <v>27173820866</v>
      </c>
      <c r="H52" s="288" t="str">
        <f>IFERROR(IF('Nov-26'!$G52="","-",VLOOKUP('Nov-26'!$G52,Lista_CUIT!$A$1:$D$2241,2,0)),"CUIT NO CARGADO")</f>
        <v>FREIER SANDRA DANIELA</v>
      </c>
      <c r="I52" s="192">
        <v>1553000</v>
      </c>
      <c r="J52" s="289" t="str">
        <f>IFERROR(IF('Nov-26'!$G52="","-",VLOOKUP('Nov-26'!$G52,Lista_CUIT!$A$1:$D$2241,3,0)),"CUIT NO CARGADO")</f>
        <v>Honorarios Prof</v>
      </c>
      <c r="K52" s="204"/>
    </row>
    <row r="53" spans="2:18" ht="15" customHeight="1" x14ac:dyDescent="0.25">
      <c r="D53" s="168">
        <v>45969</v>
      </c>
      <c r="E53" s="170">
        <v>1</v>
      </c>
      <c r="F53" s="171">
        <v>662</v>
      </c>
      <c r="G53" s="172">
        <v>27925308884</v>
      </c>
      <c r="H53" s="288" t="str">
        <f>IFERROR(IF('Nov-26'!$G53="","-",VLOOKUP('Nov-26'!$G53,Lista_CUIT!$A$1:$D$2241,2,0)),"CUIT NO CARGADO")</f>
        <v>LOPEZ LOPEZ FLAVIA</v>
      </c>
      <c r="I53" s="192">
        <v>50000</v>
      </c>
      <c r="J53" s="289" t="str">
        <f>IFERROR(IF('Nov-26'!$G53="","-",VLOOKUP('Nov-26'!$G53,Lista_CUIT!$A$1:$D$2241,3,0)),"CUIT NO CARGADO")</f>
        <v>GASTOS VARIOS</v>
      </c>
      <c r="K53" s="204"/>
    </row>
    <row r="54" spans="2:18" ht="15" customHeight="1" x14ac:dyDescent="0.25">
      <c r="D54" s="168">
        <v>45971</v>
      </c>
      <c r="E54" s="170">
        <v>1</v>
      </c>
      <c r="F54" s="171">
        <v>29</v>
      </c>
      <c r="G54" s="172">
        <v>20338344695</v>
      </c>
      <c r="H54" s="288" t="str">
        <f>IFERROR(IF('Nov-26'!$G54="","-",VLOOKUP('Nov-26'!$G54,Lista_CUIT!$A$1:$D$2241,2,0)),"CUIT NO CARGADO")</f>
        <v>FUERTES DAMIAN MATIAS</v>
      </c>
      <c r="I54" s="192">
        <v>360600</v>
      </c>
      <c r="J54" s="289" t="str">
        <f>IFERROR(IF('Nov-26'!$G54="","-",VLOOKUP('Nov-26'!$G54,Lista_CUIT!$A$1:$D$2241,3,0)),"CUIT NO CARGADO")</f>
        <v>INSUMO</v>
      </c>
      <c r="K54" s="204"/>
    </row>
    <row r="55" spans="2:18" ht="15" customHeight="1" x14ac:dyDescent="0.25">
      <c r="D55" s="168">
        <v>45981</v>
      </c>
      <c r="E55" s="170">
        <v>4</v>
      </c>
      <c r="F55" s="171">
        <v>59</v>
      </c>
      <c r="G55" s="172">
        <v>20341462933</v>
      </c>
      <c r="H55" s="288" t="str">
        <f>IFERROR(IF('Nov-26'!$G55="","-",VLOOKUP('Nov-26'!$G55,Lista_CUIT!$A$1:$D$2241,2,0)),"CUIT NO CARGADO")</f>
        <v>CASTIGLIONI MATIAS EZEQUIEL</v>
      </c>
      <c r="I55" s="192">
        <v>2498000</v>
      </c>
      <c r="J55" s="289" t="str">
        <f>IFERROR(IF('Nov-26'!$G55="","-",VLOOKUP('Nov-26'!$G55,Lista_CUIT!$A$1:$D$2241,3,0)),"CUIT NO CARGADO")</f>
        <v>ASESORAMIENTO</v>
      </c>
      <c r="K55" s="204"/>
    </row>
    <row r="56" spans="2:18" ht="15" customHeight="1" x14ac:dyDescent="0.25">
      <c r="D56" s="168">
        <v>45983</v>
      </c>
      <c r="E56" s="170">
        <v>9</v>
      </c>
      <c r="F56" s="171">
        <v>5544929</v>
      </c>
      <c r="G56" s="172">
        <v>33715179119</v>
      </c>
      <c r="H56" s="288" t="str">
        <f>IFERROR(IF('Nov-26'!$G56="","-",VLOOKUP('Nov-26'!$G56,Lista_CUIT!$A$1:$D$2241,2,0)),"CUIT NO CARGADO")</f>
        <v>FONDO DE COOPERACION TECNICA Y FINANCIERA - CECBA - SL Y T - LEY 23.412</v>
      </c>
      <c r="I56" s="192">
        <v>8500</v>
      </c>
      <c r="J56" s="289" t="str">
        <f>IFERROR(IF('Nov-26'!$G56="","-",VLOOKUP('Nov-26'!$G56,Lista_CUIT!$A$1:$D$2241,3,0)),"CUIT NO CARGADO")</f>
        <v>Servicios Informaticos</v>
      </c>
      <c r="K56" s="204"/>
    </row>
    <row r="57" spans="2:18" ht="15" customHeight="1" x14ac:dyDescent="0.25">
      <c r="D57" s="168"/>
      <c r="E57" s="170"/>
      <c r="F57" s="171"/>
      <c r="G57" s="172"/>
      <c r="H57" s="288" t="str">
        <f>IFERROR(IF('Nov-26'!$G57="","-",VLOOKUP('Nov-26'!$G57,Lista_CUIT!$A$1:$D$2241,2,0)),"CUIT NO CARGADO")</f>
        <v>-</v>
      </c>
      <c r="I57" s="192"/>
      <c r="J57" s="289" t="str">
        <f>IFERROR(IF('Nov-26'!$G57="","-",VLOOKUP('Nov-26'!$G57,Lista_CUIT!$A$1:$D$2241,3,0)),"CUIT NO CARGADO")</f>
        <v>-</v>
      </c>
      <c r="K57" s="204"/>
    </row>
    <row r="58" spans="2:18" ht="15" customHeight="1" thickBot="1" x14ac:dyDescent="0.3">
      <c r="D58" s="168"/>
      <c r="E58" s="170"/>
      <c r="F58" s="171"/>
      <c r="G58" s="172"/>
      <c r="H58" s="288" t="str">
        <f>IFERROR(IF('Nov-26'!$G58="","-",VLOOKUP('Nov-26'!$G58,Lista_CUIT!$A$1:$D$2241,2,0)),"CUIT NO CARGADO")</f>
        <v>-</v>
      </c>
      <c r="I58" s="192"/>
      <c r="J58" s="289" t="str">
        <f>IFERROR(IF('Nov-26'!$G58="","-",VLOOKUP('Nov-26'!$G58,Lista_CUIT!$A$1:$D$2241,3,0)),"CUIT NO CARGADO")</f>
        <v>-</v>
      </c>
      <c r="K58" s="204"/>
    </row>
    <row r="59" spans="2:18" ht="17.25" customHeight="1" thickBot="1" x14ac:dyDescent="0.3">
      <c r="D59" s="295" t="s">
        <v>1336</v>
      </c>
      <c r="E59" s="296"/>
      <c r="F59" s="296"/>
      <c r="G59" s="296"/>
      <c r="H59" s="297"/>
      <c r="I59" s="298">
        <f>SUBTOTAL(109,'Nov-26'!$I$45:$I$58)</f>
        <v>15040357</v>
      </c>
      <c r="J59" s="296"/>
      <c r="K59" s="299"/>
    </row>
    <row r="60" spans="2:18" ht="31.5" customHeight="1" x14ac:dyDescent="0.25"/>
    <row r="61" spans="2:18" ht="15.75" customHeight="1" x14ac:dyDescent="0.25"/>
    <row r="62" spans="2:18" ht="15.75" customHeight="1" x14ac:dyDescent="0.25">
      <c r="B62" s="464" t="s">
        <v>1351</v>
      </c>
      <c r="C62" s="448"/>
      <c r="D62" s="448"/>
      <c r="E62" s="448"/>
      <c r="F62" s="448"/>
      <c r="G62" s="448"/>
      <c r="H62" s="448"/>
      <c r="I62" s="448"/>
      <c r="J62" s="449"/>
      <c r="K62" s="465">
        <f>N1</f>
        <v>45962</v>
      </c>
      <c r="L62" s="448"/>
      <c r="M62" s="449"/>
    </row>
    <row r="63" spans="2:18" ht="15.75" customHeight="1" x14ac:dyDescent="0.25"/>
    <row r="64" spans="2:18" ht="15.75" customHeight="1" thickBot="1" x14ac:dyDescent="0.3">
      <c r="B64" s="476" t="s">
        <v>1352</v>
      </c>
      <c r="C64" s="471"/>
      <c r="D64" s="210"/>
      <c r="E64" s="210"/>
      <c r="F64" s="210"/>
      <c r="G64" s="210"/>
      <c r="H64" s="210"/>
      <c r="I64" s="210"/>
      <c r="J64" s="210"/>
      <c r="K64" s="210"/>
      <c r="L64" s="210"/>
      <c r="M64" s="210"/>
    </row>
    <row r="65" spans="2:13" ht="15.75" customHeight="1" thickBot="1" x14ac:dyDescent="0.3">
      <c r="B65" s="306" t="s">
        <v>1322</v>
      </c>
      <c r="C65" s="307" t="s">
        <v>1323</v>
      </c>
      <c r="D65" s="307" t="s">
        <v>1353</v>
      </c>
      <c r="E65" s="307" t="s">
        <v>1354</v>
      </c>
      <c r="F65" s="307" t="s">
        <v>0</v>
      </c>
      <c r="G65" s="307" t="s">
        <v>1</v>
      </c>
      <c r="H65" s="307" t="s">
        <v>1355</v>
      </c>
      <c r="I65" s="307" t="s">
        <v>1341</v>
      </c>
      <c r="J65" s="307" t="s">
        <v>1329</v>
      </c>
      <c r="K65" s="307" t="s">
        <v>1356</v>
      </c>
      <c r="L65" s="307" t="s">
        <v>1334</v>
      </c>
      <c r="M65" s="308" t="s">
        <v>1335</v>
      </c>
    </row>
    <row r="66" spans="2:13" ht="15" customHeight="1" x14ac:dyDescent="0.25">
      <c r="B66" s="249">
        <v>45971</v>
      </c>
      <c r="C66" s="250">
        <v>1</v>
      </c>
      <c r="D66" s="251">
        <v>3</v>
      </c>
      <c r="E66" s="252">
        <v>294</v>
      </c>
      <c r="F66" s="253">
        <v>30717260968</v>
      </c>
      <c r="G66" s="302" t="str">
        <f>IFERROR(IF('Nov-26'!$F66="","-",VLOOKUP('Nov-26'!$F66,Lista_CUIT!$A$1:$D$2241,2,0)),"CUIT NO CARGADO")</f>
        <v>2 IN FLOW COMPAÑIA DE SERVICIOS S. A.</v>
      </c>
      <c r="H66" s="303">
        <v>9517350</v>
      </c>
      <c r="I66" s="216">
        <f>'Nov-26'!$H66*0.21</f>
        <v>1998643.5</v>
      </c>
      <c r="J66" s="304"/>
      <c r="K66" s="304"/>
      <c r="L66" s="304">
        <f>SUM('Nov-26'!$H66:$K66)</f>
        <v>11515993.5</v>
      </c>
      <c r="M66" s="305"/>
    </row>
    <row r="67" spans="2:13" ht="15" customHeight="1" x14ac:dyDescent="0.25">
      <c r="B67" s="249">
        <v>45980</v>
      </c>
      <c r="C67" s="250">
        <v>1</v>
      </c>
      <c r="D67" s="251">
        <v>3</v>
      </c>
      <c r="E67" s="252">
        <v>296</v>
      </c>
      <c r="F67" s="253">
        <v>30718512545</v>
      </c>
      <c r="G67" s="302" t="str">
        <f>IFERROR(IF('Nov-26'!$F67="","-",VLOOKUP('Nov-26'!$F67,Lista_CUIT!$A$1:$D$2241,2,0)),"CUIT NO CARGADO")</f>
        <v>MAJUBEN MDP SERVICIOS S.R.L.</v>
      </c>
      <c r="H67" s="303">
        <v>1653000</v>
      </c>
      <c r="I67" s="216">
        <f>'Nov-26'!$H67*0.21</f>
        <v>347130</v>
      </c>
      <c r="J67" s="304"/>
      <c r="K67" s="304"/>
      <c r="L67" s="304">
        <f>SUM('Nov-26'!$H67:$K67)</f>
        <v>2000130</v>
      </c>
      <c r="M67" s="305"/>
    </row>
    <row r="68" spans="2:13" ht="15" customHeight="1" x14ac:dyDescent="0.25">
      <c r="B68" s="168">
        <v>45980</v>
      </c>
      <c r="C68" s="169">
        <v>1</v>
      </c>
      <c r="D68" s="170">
        <v>3</v>
      </c>
      <c r="E68" s="171">
        <v>295</v>
      </c>
      <c r="F68" s="172">
        <v>30707466320</v>
      </c>
      <c r="G68" s="214" t="str">
        <f>IFERROR(IF('Nov-26'!$F68="","-",VLOOKUP('Nov-26'!$F68,Lista_CUIT!$A$1:$D$2241,2,0)),"CUIT NO CARGADO")</f>
        <v>SUELOCOR S.R.L.</v>
      </c>
      <c r="H68" s="215">
        <v>2351250</v>
      </c>
      <c r="I68" s="216">
        <f>'Nov-26'!$H68*0.21</f>
        <v>493762.5</v>
      </c>
      <c r="J68" s="217"/>
      <c r="K68" s="217"/>
      <c r="L68" s="217">
        <f>SUM('Nov-26'!$H68:$K68)</f>
        <v>2845012.5</v>
      </c>
      <c r="M68" s="218"/>
    </row>
    <row r="69" spans="2:13" ht="15" customHeight="1" x14ac:dyDescent="0.25">
      <c r="B69" s="168">
        <v>45979</v>
      </c>
      <c r="C69" s="169">
        <v>2</v>
      </c>
      <c r="D69" s="170">
        <v>3</v>
      </c>
      <c r="E69" s="171">
        <v>14</v>
      </c>
      <c r="F69" s="172">
        <v>30638318470</v>
      </c>
      <c r="G69" s="214" t="str">
        <f>IFERROR(IF('Nov-26'!$F69="","-",VLOOKUP('Nov-26'!$F69,Lista_CUIT!$A$1:$D$2241,2,0)),"CUIT NO CARGADO")</f>
        <v>DELTA COMPRESION S R L</v>
      </c>
      <c r="H69" s="215">
        <v>55184518.900000006</v>
      </c>
      <c r="I69" s="216">
        <f>'Nov-26'!$H69*0.21</f>
        <v>11588748.969000001</v>
      </c>
      <c r="J69" s="217"/>
      <c r="K69" s="217"/>
      <c r="L69" s="217">
        <f>SUM('Nov-26'!$H69:$K69)</f>
        <v>66773267.869000003</v>
      </c>
      <c r="M69" s="218"/>
    </row>
    <row r="70" spans="2:13" ht="15" customHeight="1" x14ac:dyDescent="0.25">
      <c r="B70" s="168">
        <v>45989</v>
      </c>
      <c r="C70" s="169">
        <v>3</v>
      </c>
      <c r="D70" s="170">
        <v>3</v>
      </c>
      <c r="E70" s="171">
        <v>36</v>
      </c>
      <c r="F70" s="172">
        <v>30638318470</v>
      </c>
      <c r="G70" s="214" t="str">
        <f>IFERROR(IF('Nov-26'!$F70="","-",VLOOKUP('Nov-26'!$F70,Lista_CUIT!$A$1:$D$2241,2,0)),"CUIT NO CARGADO")</f>
        <v>DELTA COMPRESION S R L</v>
      </c>
      <c r="H70" s="215">
        <v>-55184518.900000006</v>
      </c>
      <c r="I70" s="216">
        <f>'Nov-26'!$H70*0.21</f>
        <v>-11588748.969000001</v>
      </c>
      <c r="J70" s="217"/>
      <c r="K70" s="217"/>
      <c r="L70" s="217">
        <f>SUM('Nov-26'!$H70:$K70)</f>
        <v>-66773267.869000003</v>
      </c>
      <c r="M70" s="218"/>
    </row>
    <row r="71" spans="2:13" ht="15" customHeight="1" x14ac:dyDescent="0.25">
      <c r="B71" s="168"/>
      <c r="C71" s="169"/>
      <c r="D71" s="170"/>
      <c r="E71" s="171"/>
      <c r="F71" s="172"/>
      <c r="G71" s="214" t="str">
        <f>IFERROR(IF('Nov-26'!$F71="","-",VLOOKUP('Nov-26'!$F71,Lista_CUIT!$A$1:$D$2241,2,0)),"CUIT NO CARGADO")</f>
        <v>-</v>
      </c>
      <c r="H71" s="215"/>
      <c r="I71" s="216">
        <f>'Nov-26'!$H71*0.21</f>
        <v>0</v>
      </c>
      <c r="J71" s="217"/>
      <c r="K71" s="217"/>
      <c r="L71" s="217">
        <f>SUM('Nov-26'!$H71:$K71)</f>
        <v>0</v>
      </c>
      <c r="M71" s="218"/>
    </row>
    <row r="72" spans="2:13" ht="15" customHeight="1" x14ac:dyDescent="0.25">
      <c r="B72" s="168"/>
      <c r="C72" s="169"/>
      <c r="D72" s="170"/>
      <c r="E72" s="171"/>
      <c r="F72" s="172"/>
      <c r="G72" s="214" t="str">
        <f>IFERROR(IF('Nov-26'!$F72="","-",VLOOKUP('Nov-26'!$F72,Lista_CUIT!$A$1:$D$2241,2,0)),"CUIT NO CARGADO")</f>
        <v>-</v>
      </c>
      <c r="H72" s="215"/>
      <c r="I72" s="216">
        <f>'Nov-26'!$H72*0.21</f>
        <v>0</v>
      </c>
      <c r="J72" s="217"/>
      <c r="K72" s="217"/>
      <c r="L72" s="217">
        <f>SUM('Nov-26'!$H72:$K72)</f>
        <v>0</v>
      </c>
      <c r="M72" s="218"/>
    </row>
    <row r="73" spans="2:13" ht="15" customHeight="1" x14ac:dyDescent="0.25">
      <c r="B73" s="219"/>
      <c r="C73" s="220"/>
      <c r="D73" s="221"/>
      <c r="E73" s="222"/>
      <c r="F73" s="191"/>
      <c r="G73" s="214" t="str">
        <f>IFERROR(IF('Nov-26'!$F73="","-",VLOOKUP('Nov-26'!$F73,Lista_CUIT!$A$1:$D$2241,2,0)),"CUIT NO CARGADO")</f>
        <v>-</v>
      </c>
      <c r="H73" s="215"/>
      <c r="I73" s="216">
        <f>'Nov-26'!$H73*0.21</f>
        <v>0</v>
      </c>
      <c r="J73" s="217"/>
      <c r="K73" s="217"/>
      <c r="L73" s="217">
        <f>SUM('Nov-26'!$H73:$K73)</f>
        <v>0</v>
      </c>
      <c r="M73" s="218"/>
    </row>
    <row r="74" spans="2:13" ht="15" customHeight="1" thickBot="1" x14ac:dyDescent="0.3">
      <c r="B74" s="309"/>
      <c r="C74" s="310"/>
      <c r="D74" s="311"/>
      <c r="E74" s="312"/>
      <c r="F74" s="274"/>
      <c r="G74" s="313" t="str">
        <f>IFERROR(IF('Nov-26'!$F74="","-",VLOOKUP('Nov-26'!$F74,Lista_CUIT!$A$1:$D$2241,2,0)),"CUIT NO CARGADO")</f>
        <v>-</v>
      </c>
      <c r="H74" s="314"/>
      <c r="I74" s="315">
        <f>'Nov-26'!$H74*0.21</f>
        <v>0</v>
      </c>
      <c r="J74" s="301"/>
      <c r="K74" s="301"/>
      <c r="L74" s="301">
        <f>SUM('Nov-26'!$H74:$K74)</f>
        <v>0</v>
      </c>
      <c r="M74" s="316"/>
    </row>
    <row r="75" spans="2:13" ht="15.75" customHeight="1" thickBot="1" x14ac:dyDescent="0.3">
      <c r="B75" s="317" t="s">
        <v>1336</v>
      </c>
      <c r="C75" s="318"/>
      <c r="D75" s="318"/>
      <c r="E75" s="318"/>
      <c r="F75" s="318"/>
      <c r="G75" s="318"/>
      <c r="H75" s="319">
        <f>SUBTOTAL(109,'Nov-26'!$H$66:$H$74)</f>
        <v>13521600</v>
      </c>
      <c r="I75" s="320">
        <f>SUBTOTAL(109,'Nov-26'!$I$66:$I$74)</f>
        <v>2839536</v>
      </c>
      <c r="J75" s="321">
        <f>SUBTOTAL(109,'Nov-26'!$J$66:$J$74)</f>
        <v>0</v>
      </c>
      <c r="K75" s="321">
        <f>SUBTOTAL(109,'Nov-26'!$K$66:$K$74)</f>
        <v>0</v>
      </c>
      <c r="L75" s="321">
        <f>SUBTOTAL(109,'Nov-26'!$L$66:$L$74)</f>
        <v>16361136</v>
      </c>
      <c r="M75" s="322">
        <f>SUBTOTAL(103,'Nov-26'!$M$66:$M$74)</f>
        <v>0</v>
      </c>
    </row>
    <row r="76" spans="2:13" ht="15.75" customHeight="1" x14ac:dyDescent="0.25">
      <c r="B76" s="330"/>
      <c r="C76" s="330"/>
      <c r="D76" s="330"/>
      <c r="E76" s="330"/>
      <c r="F76" s="330"/>
      <c r="G76" s="330"/>
      <c r="H76" s="331"/>
      <c r="I76" s="332"/>
      <c r="J76" s="333"/>
      <c r="K76" s="333"/>
      <c r="L76" s="333"/>
      <c r="M76" s="334"/>
    </row>
    <row r="77" spans="2:13" ht="15.75" customHeight="1" x14ac:dyDescent="0.25"/>
    <row r="78" spans="2:13" ht="15.75" customHeight="1" x14ac:dyDescent="0.25">
      <c r="B78" s="476" t="s">
        <v>1358</v>
      </c>
      <c r="C78" s="471"/>
      <c r="D78" s="210"/>
      <c r="E78" s="210"/>
      <c r="F78" s="210"/>
      <c r="G78" s="210"/>
      <c r="H78" s="210"/>
      <c r="I78" s="210"/>
      <c r="J78" s="210"/>
      <c r="K78" s="210"/>
      <c r="L78" s="210"/>
      <c r="M78" s="210"/>
    </row>
    <row r="79" spans="2:13" ht="15.75" customHeight="1" x14ac:dyDescent="0.25">
      <c r="B79" s="211" t="s">
        <v>1322</v>
      </c>
      <c r="C79" s="212" t="s">
        <v>1323</v>
      </c>
      <c r="D79" s="212" t="s">
        <v>1353</v>
      </c>
      <c r="E79" s="212" t="s">
        <v>1354</v>
      </c>
      <c r="F79" s="212" t="s">
        <v>0</v>
      </c>
      <c r="G79" s="212" t="s">
        <v>1</v>
      </c>
      <c r="H79" s="212" t="s">
        <v>1359</v>
      </c>
      <c r="I79" s="212" t="s">
        <v>1341</v>
      </c>
      <c r="J79" s="212" t="s">
        <v>1329</v>
      </c>
      <c r="K79" s="212" t="s">
        <v>1423</v>
      </c>
      <c r="L79" s="212" t="s">
        <v>1334</v>
      </c>
      <c r="M79" s="213" t="s">
        <v>1335</v>
      </c>
    </row>
    <row r="80" spans="2:13" ht="15.75" customHeight="1" x14ac:dyDescent="0.25">
      <c r="B80" s="168">
        <v>45965</v>
      </c>
      <c r="C80" s="169"/>
      <c r="D80" s="170">
        <v>30</v>
      </c>
      <c r="E80" s="171">
        <v>118</v>
      </c>
      <c r="F80" s="172">
        <v>55000002185</v>
      </c>
      <c r="G80" s="226" t="str">
        <f>IFERROR(IF('Oct-26'!$F62="","-",VLOOKUP('Oct-26'!$F62,Lista_CUIT!$A$1:$D$2241,2,0)),"CUIT NO CARGADO")</f>
        <v>-</v>
      </c>
      <c r="H80" s="227">
        <v>2569</v>
      </c>
      <c r="I80" s="227"/>
      <c r="J80" s="227"/>
      <c r="K80" s="227">
        <v>1482</v>
      </c>
      <c r="L80" s="227">
        <f>Table_4749[[#This Row],[USD]]*Table_4749[[#This Row],[TIPO DE CAMBIO]]</f>
        <v>3807258</v>
      </c>
      <c r="M80" s="218"/>
    </row>
    <row r="81" spans="2:13" ht="15.75" customHeight="1" x14ac:dyDescent="0.25">
      <c r="B81" s="168">
        <v>45965</v>
      </c>
      <c r="C81" s="169"/>
      <c r="D81" s="170">
        <v>30</v>
      </c>
      <c r="E81" s="171">
        <v>119</v>
      </c>
      <c r="F81" s="172">
        <v>55000000050</v>
      </c>
      <c r="G81" s="226" t="str">
        <f>IFERROR(IF('Oct-26'!$F63="","-",VLOOKUP('Oct-26'!$F63,Lista_CUIT!$A$1:$D$2241,2,0)),"CUIT NO CARGADO")</f>
        <v>-</v>
      </c>
      <c r="H81" s="227">
        <v>395</v>
      </c>
      <c r="I81" s="227"/>
      <c r="J81" s="227"/>
      <c r="K81" s="227">
        <v>1482</v>
      </c>
      <c r="L81" s="227">
        <f>Table_4749[[#This Row],[USD]]*Table_4749[[#This Row],[TIPO DE CAMBIO]]</f>
        <v>585390</v>
      </c>
      <c r="M81" s="218"/>
    </row>
    <row r="82" spans="2:13" ht="15.75" customHeight="1" x14ac:dyDescent="0.25">
      <c r="B82" s="168">
        <v>45971</v>
      </c>
      <c r="C82" s="169"/>
      <c r="D82" s="170">
        <v>30</v>
      </c>
      <c r="E82" s="171">
        <v>120</v>
      </c>
      <c r="F82" s="172">
        <v>55000002185</v>
      </c>
      <c r="G82" s="226" t="str">
        <f>IFERROR(IF('Oct-26'!$F64="","-",VLOOKUP('Oct-26'!$F64,Lista_CUIT!$A$1:$D$2241,2,0)),"CUIT NO CARGADO")</f>
        <v>-</v>
      </c>
      <c r="H82" s="227">
        <v>2670</v>
      </c>
      <c r="I82" s="227"/>
      <c r="J82" s="227"/>
      <c r="K82" s="227">
        <v>1415</v>
      </c>
      <c r="L82" s="227">
        <f>Table_4749[[#This Row],[USD]]*Table_4749[[#This Row],[TIPO DE CAMBIO]]</f>
        <v>3778050</v>
      </c>
      <c r="M82" s="218"/>
    </row>
    <row r="83" spans="2:13" ht="15.75" customHeight="1" x14ac:dyDescent="0.25">
      <c r="B83" s="168">
        <v>45980</v>
      </c>
      <c r="C83" s="169"/>
      <c r="D83" s="170">
        <v>30</v>
      </c>
      <c r="E83" s="171">
        <v>121</v>
      </c>
      <c r="F83" s="172">
        <v>55000002053</v>
      </c>
      <c r="G83" s="226" t="str">
        <f>IFERROR(IF('Oct-26'!$F65="","-",VLOOKUP('Oct-26'!$F65,Lista_CUIT!$A$1:$D$2241,2,0)),"CUIT NO CARGADO")</f>
        <v>-</v>
      </c>
      <c r="H83" s="227">
        <v>4342.3</v>
      </c>
      <c r="I83" s="227"/>
      <c r="J83" s="227"/>
      <c r="K83" s="227">
        <v>1400</v>
      </c>
      <c r="L83" s="227">
        <f>Table_4749[[#This Row],[USD]]*Table_4749[[#This Row],[TIPO DE CAMBIO]]</f>
        <v>6079220</v>
      </c>
      <c r="M83" s="218"/>
    </row>
    <row r="84" spans="2:13" ht="15.75" customHeight="1" x14ac:dyDescent="0.25">
      <c r="B84" s="168"/>
      <c r="C84" s="169"/>
      <c r="D84" s="170"/>
      <c r="E84" s="171"/>
      <c r="F84" s="172"/>
      <c r="G84" s="226" t="str">
        <f>IFERROR(IF('Oct-26'!$F66="","-",VLOOKUP('Oct-26'!$F66,Lista_CUIT!$A$1:$D$2241,2,0)),"CUIT NO CARGADO")</f>
        <v>-</v>
      </c>
      <c r="H84" s="227"/>
      <c r="I84" s="227"/>
      <c r="J84" s="227"/>
      <c r="K84" s="227"/>
      <c r="L84" s="227">
        <f>Table_4749[[#This Row],[USD]]*Table_4749[[#This Row],[TIPO DE CAMBIO]]</f>
        <v>0</v>
      </c>
      <c r="M84" s="218"/>
    </row>
    <row r="85" spans="2:13" ht="15.75" customHeight="1" x14ac:dyDescent="0.25">
      <c r="B85" s="168"/>
      <c r="C85" s="169"/>
      <c r="D85" s="170"/>
      <c r="E85" s="171"/>
      <c r="F85" s="172"/>
      <c r="G85" s="226" t="str">
        <f>IFERROR(IF('Oct-26'!$F67="","-",VLOOKUP('Oct-26'!$F67,Lista_CUIT!$A$1:$D$2241,2,0)),"CUIT NO CARGADO")</f>
        <v>-</v>
      </c>
      <c r="H85" s="227"/>
      <c r="I85" s="227"/>
      <c r="J85" s="227"/>
      <c r="K85" s="227"/>
      <c r="L85" s="227">
        <f>Table_4749[[#This Row],[USD]]*Table_4749[[#This Row],[TIPO DE CAMBIO]]</f>
        <v>0</v>
      </c>
      <c r="M85" s="218"/>
    </row>
    <row r="86" spans="2:13" ht="15.75" customHeight="1" x14ac:dyDescent="0.25">
      <c r="B86" s="223" t="s">
        <v>1336</v>
      </c>
      <c r="C86" s="224"/>
      <c r="D86" s="224"/>
      <c r="E86" s="224"/>
      <c r="F86" s="224"/>
      <c r="G86" s="246" t="str">
        <f>IFERROR(IF('Oct-26'!$F68="","-",VLOOKUP('Oct-26'!$F68,Lista_CUIT!$A$1:$D$2241,2,0)),"CUIT NO CARGADO")</f>
        <v>-</v>
      </c>
      <c r="H86" s="228">
        <f>SUBTOTAL(109,H80:H85)</f>
        <v>9976.2999999999993</v>
      </c>
      <c r="I86" s="228">
        <f>SUBTOTAL(109,'Oct-26'!$I$90:$I$95)</f>
        <v>0</v>
      </c>
      <c r="J86" s="229">
        <f>SUBTOTAL(109,'Oct-26'!$J$90:$J$95)</f>
        <v>0</v>
      </c>
      <c r="K86" s="229"/>
      <c r="L86" s="229">
        <f>SUBTOTAL(109,L80:L85)</f>
        <v>14249918</v>
      </c>
      <c r="M86" s="225">
        <f>SUBTOTAL(103,'Oct-26'!$M$90:$M$95)</f>
        <v>0</v>
      </c>
    </row>
    <row r="87" spans="2:13" ht="15.75" customHeight="1" x14ac:dyDescent="0.25"/>
    <row r="88" spans="2:13" ht="15.75" customHeight="1" x14ac:dyDescent="0.25"/>
    <row r="89" spans="2:13" ht="15.75" customHeight="1" x14ac:dyDescent="0.25"/>
    <row r="90" spans="2:13" ht="15.75" customHeight="1" thickBot="1" x14ac:dyDescent="0.3">
      <c r="B90" s="476" t="s">
        <v>1357</v>
      </c>
      <c r="C90" s="471"/>
      <c r="D90" s="210"/>
      <c r="E90" s="210"/>
      <c r="F90" s="210"/>
      <c r="G90" s="210"/>
      <c r="H90" s="210"/>
      <c r="I90" s="210"/>
      <c r="J90" s="210"/>
      <c r="K90" s="210"/>
      <c r="L90" s="210"/>
      <c r="M90" s="210"/>
    </row>
    <row r="91" spans="2:13" ht="15.75" customHeight="1" thickBot="1" x14ac:dyDescent="0.3">
      <c r="B91" s="306" t="s">
        <v>1322</v>
      </c>
      <c r="C91" s="307" t="s">
        <v>1323</v>
      </c>
      <c r="D91" s="307" t="s">
        <v>1353</v>
      </c>
      <c r="E91" s="307" t="s">
        <v>1354</v>
      </c>
      <c r="F91" s="307" t="s">
        <v>0</v>
      </c>
      <c r="G91" s="307" t="s">
        <v>1</v>
      </c>
      <c r="H91" s="307" t="s">
        <v>1355</v>
      </c>
      <c r="I91" s="307" t="s">
        <v>1341</v>
      </c>
      <c r="J91" s="307" t="s">
        <v>1329</v>
      </c>
      <c r="K91" s="307" t="s">
        <v>1356</v>
      </c>
      <c r="L91" s="307" t="s">
        <v>1334</v>
      </c>
      <c r="M91" s="308" t="s">
        <v>1335</v>
      </c>
    </row>
    <row r="92" spans="2:13" ht="15" customHeight="1" x14ac:dyDescent="0.25">
      <c r="B92" s="249"/>
      <c r="C92" s="250"/>
      <c r="D92" s="251"/>
      <c r="E92" s="252"/>
      <c r="F92" s="253"/>
      <c r="G92" s="323" t="str">
        <f>IFERROR(IF('Nov-26'!$F92="","-",VLOOKUP('Nov-26'!$F92,Lista_CUIT!$A$1:$D$2241,2,0)),"CUIT NO CARGADO")</f>
        <v>-</v>
      </c>
      <c r="H92" s="324"/>
      <c r="I92" s="324"/>
      <c r="J92" s="324"/>
      <c r="K92" s="324"/>
      <c r="L92" s="324">
        <f>SUM('Nov-26'!$H92:$K92)</f>
        <v>0</v>
      </c>
      <c r="M92" s="305"/>
    </row>
    <row r="93" spans="2:13" ht="15" customHeight="1" x14ac:dyDescent="0.25">
      <c r="B93" s="168"/>
      <c r="C93" s="169"/>
      <c r="D93" s="170"/>
      <c r="E93" s="171"/>
      <c r="F93" s="172"/>
      <c r="G93" s="226"/>
      <c r="H93" s="227"/>
      <c r="I93" s="227"/>
      <c r="J93" s="227"/>
      <c r="K93" s="227"/>
      <c r="L93" s="227">
        <f>SUM('Nov-26'!$H93:$K93)</f>
        <v>0</v>
      </c>
      <c r="M93" s="218"/>
    </row>
    <row r="94" spans="2:13" ht="15" customHeight="1" x14ac:dyDescent="0.25">
      <c r="B94" s="168"/>
      <c r="C94" s="169"/>
      <c r="D94" s="170"/>
      <c r="E94" s="171"/>
      <c r="F94" s="172"/>
      <c r="G94" s="226"/>
      <c r="H94" s="227"/>
      <c r="I94" s="227"/>
      <c r="J94" s="227"/>
      <c r="K94" s="227"/>
      <c r="L94" s="227">
        <f>SUM('Nov-26'!$H94:$K94)</f>
        <v>0</v>
      </c>
      <c r="M94" s="218"/>
    </row>
    <row r="95" spans="2:13" ht="15" customHeight="1" x14ac:dyDescent="0.25">
      <c r="B95" s="168"/>
      <c r="C95" s="169"/>
      <c r="D95" s="170"/>
      <c r="E95" s="171"/>
      <c r="F95" s="172"/>
      <c r="G95" s="226"/>
      <c r="H95" s="227"/>
      <c r="I95" s="227"/>
      <c r="J95" s="227"/>
      <c r="K95" s="227"/>
      <c r="L95" s="227">
        <f>SUM('Nov-26'!$H95:$K95)</f>
        <v>0</v>
      </c>
      <c r="M95" s="218"/>
    </row>
    <row r="96" spans="2:13" ht="15" customHeight="1" x14ac:dyDescent="0.25">
      <c r="B96" s="168"/>
      <c r="C96" s="169"/>
      <c r="D96" s="170"/>
      <c r="E96" s="171"/>
      <c r="F96" s="172"/>
      <c r="G96" s="226"/>
      <c r="H96" s="227"/>
      <c r="I96" s="227"/>
      <c r="J96" s="227"/>
      <c r="K96" s="227"/>
      <c r="L96" s="227">
        <f>SUM('Nov-26'!$H96:$K96)</f>
        <v>0</v>
      </c>
      <c r="M96" s="218"/>
    </row>
    <row r="97" spans="2:13" ht="15" customHeight="1" thickBot="1" x14ac:dyDescent="0.3">
      <c r="B97" s="263"/>
      <c r="C97" s="264"/>
      <c r="D97" s="265"/>
      <c r="E97" s="266"/>
      <c r="F97" s="267"/>
      <c r="G97" s="325"/>
      <c r="H97" s="300"/>
      <c r="I97" s="300"/>
      <c r="J97" s="300"/>
      <c r="K97" s="300"/>
      <c r="L97" s="300">
        <f>SUM('Nov-26'!$H97:$K97)</f>
        <v>0</v>
      </c>
      <c r="M97" s="316"/>
    </row>
    <row r="98" spans="2:13" ht="15.75" customHeight="1" thickBot="1" x14ac:dyDescent="0.3">
      <c r="B98" s="317" t="s">
        <v>1336</v>
      </c>
      <c r="C98" s="318"/>
      <c r="D98" s="318"/>
      <c r="E98" s="318"/>
      <c r="F98" s="318"/>
      <c r="G98" s="318"/>
      <c r="H98" s="326">
        <f>SUBTOTAL(109,'Nov-26'!$H$92:$H$97)</f>
        <v>0</v>
      </c>
      <c r="I98" s="326">
        <f>SUBTOTAL(109,'Nov-26'!$I$92:$I$97)</f>
        <v>0</v>
      </c>
      <c r="J98" s="327">
        <f>SUBTOTAL(109,'Nov-26'!$J$92:$J$97)</f>
        <v>0</v>
      </c>
      <c r="K98" s="327">
        <f>SUBTOTAL(109,'Nov-26'!$K$92:$K$97)</f>
        <v>0</v>
      </c>
      <c r="L98" s="327">
        <f>SUBTOTAL(109,'Nov-26'!$L$92:$L$97)</f>
        <v>0</v>
      </c>
      <c r="M98" s="322">
        <f>SUBTOTAL(103,'Nov-26'!$M$92:$M$97)</f>
        <v>0</v>
      </c>
    </row>
    <row r="99" spans="2:13" ht="15.75" customHeight="1" x14ac:dyDescent="0.25"/>
    <row r="100" spans="2:13" ht="15.75" customHeight="1" x14ac:dyDescent="0.25"/>
    <row r="101" spans="2:13" ht="15.75" customHeight="1" x14ac:dyDescent="0.25"/>
    <row r="102" spans="2:13" ht="15.75" customHeight="1" x14ac:dyDescent="0.25"/>
    <row r="103" spans="2:13" ht="15.75" customHeight="1" x14ac:dyDescent="0.25"/>
    <row r="104" spans="2:13" ht="15.75" customHeight="1" x14ac:dyDescent="0.25"/>
    <row r="105" spans="2:13" ht="15.75" customHeight="1" thickBot="1" x14ac:dyDescent="0.3"/>
    <row r="106" spans="2:13" ht="15.75" customHeight="1" thickTop="1" x14ac:dyDescent="0.25">
      <c r="C106" s="459" t="s">
        <v>1363</v>
      </c>
      <c r="D106" s="460"/>
      <c r="E106" s="460"/>
      <c r="F106" s="460"/>
      <c r="G106" s="461"/>
      <c r="H106" s="88"/>
      <c r="I106" s="88"/>
      <c r="J106" s="88"/>
    </row>
    <row r="107" spans="2:13" ht="15.75" customHeight="1" x14ac:dyDescent="0.25">
      <c r="C107" s="89" t="s">
        <v>1364</v>
      </c>
      <c r="D107" s="90" t="s">
        <v>1365</v>
      </c>
      <c r="E107" s="90" t="s">
        <v>1361</v>
      </c>
      <c r="F107" s="90" t="s">
        <v>0</v>
      </c>
      <c r="G107" s="90" t="s">
        <v>1</v>
      </c>
      <c r="H107" s="91" t="s">
        <v>1366</v>
      </c>
      <c r="I107" s="91" t="s">
        <v>1367</v>
      </c>
      <c r="J107" s="91" t="s">
        <v>1368</v>
      </c>
      <c r="K107" s="91" t="s">
        <v>1369</v>
      </c>
      <c r="L107" s="91" t="s">
        <v>1370</v>
      </c>
    </row>
    <row r="108" spans="2:13" ht="15.75" customHeight="1" x14ac:dyDescent="0.25">
      <c r="C108" s="92"/>
      <c r="D108" s="93">
        <v>11694</v>
      </c>
      <c r="E108" s="93"/>
      <c r="F108" s="39"/>
      <c r="G108" s="40" t="str">
        <f>IFERROR(IF('Nov-26'!$F108="","-",VLOOKUP('Nov-26'!$F108,Lista_CUIT!$A$1:$D$2241,2,0)),"CUIT NO CARGADO")</f>
        <v>-</v>
      </c>
      <c r="H108" s="94"/>
      <c r="I108" s="94"/>
      <c r="J108" s="94"/>
      <c r="K108" s="94"/>
      <c r="L108" s="94"/>
    </row>
    <row r="109" spans="2:13" ht="15.75" customHeight="1" x14ac:dyDescent="0.25">
      <c r="C109" s="92"/>
      <c r="D109" s="93">
        <v>11695</v>
      </c>
      <c r="E109" s="93"/>
      <c r="F109" s="39"/>
      <c r="G109" s="40" t="str">
        <f>IFERROR(IF('Nov-26'!$F109="","-",VLOOKUP('Nov-26'!$F109,Lista_CUIT!$A$1:$D$2241,2,0)),"CUIT NO CARGADO")</f>
        <v>-</v>
      </c>
      <c r="H109" s="94"/>
      <c r="I109" s="94"/>
      <c r="J109" s="94"/>
      <c r="K109" s="94"/>
      <c r="L109" s="94"/>
    </row>
    <row r="110" spans="2:13" ht="15.75" customHeight="1" x14ac:dyDescent="0.25">
      <c r="C110" s="92"/>
      <c r="D110" s="93">
        <v>11696</v>
      </c>
      <c r="E110" s="93"/>
      <c r="F110" s="39"/>
      <c r="G110" s="40" t="str">
        <f>IFERROR(IF('Nov-26'!$F110="","-",VLOOKUP('Nov-26'!$F110,Lista_CUIT!$A$1:$D$2241,2,0)),"CUIT NO CARGADO")</f>
        <v>-</v>
      </c>
      <c r="H110" s="94"/>
      <c r="I110" s="94"/>
      <c r="J110" s="94"/>
      <c r="K110" s="94"/>
      <c r="L110" s="94"/>
    </row>
    <row r="111" spans="2:13" ht="15.75" customHeight="1" x14ac:dyDescent="0.25">
      <c r="C111" s="92"/>
      <c r="D111" s="93">
        <v>11697</v>
      </c>
      <c r="E111" s="93"/>
      <c r="F111" s="39"/>
      <c r="G111" s="40" t="str">
        <f>IFERROR(IF('Nov-26'!$F111="","-",VLOOKUP('Nov-26'!$F111,Lista_CUIT!$A$1:$D$2241,2,0)),"CUIT NO CARGADO")</f>
        <v>-</v>
      </c>
      <c r="H111" s="94"/>
      <c r="I111" s="94"/>
      <c r="J111" s="94"/>
      <c r="K111" s="94"/>
      <c r="L111" s="94"/>
    </row>
    <row r="112" spans="2:13" ht="15.75" customHeight="1" x14ac:dyDescent="0.25">
      <c r="C112" s="3"/>
      <c r="D112" s="93">
        <v>11698</v>
      </c>
      <c r="E112" s="93"/>
      <c r="F112" s="3"/>
      <c r="G112" s="40" t="str">
        <f>IFERROR(IF('Nov-26'!$F112="","-",VLOOKUP('Nov-26'!$F112,Lista_CUIT!$A$1:$D$2241,2,0)),"CUIT NO CARGADO")</f>
        <v>-</v>
      </c>
      <c r="H112" s="3"/>
      <c r="I112" s="3"/>
      <c r="J112" s="3"/>
      <c r="K112" s="3"/>
      <c r="L112" s="3"/>
    </row>
    <row r="113" spans="3:3" ht="15.75" customHeight="1" x14ac:dyDescent="0.25">
      <c r="C113" s="109"/>
    </row>
    <row r="114" spans="3:3" ht="15.75" customHeight="1" x14ac:dyDescent="0.25"/>
    <row r="115" spans="3:3" ht="15.75" customHeight="1" x14ac:dyDescent="0.25"/>
    <row r="116" spans="3:3" ht="15.75" customHeight="1" x14ac:dyDescent="0.25"/>
    <row r="117" spans="3:3" ht="15.75" customHeight="1" x14ac:dyDescent="0.25"/>
    <row r="118" spans="3:3" ht="15.75" customHeight="1" x14ac:dyDescent="0.25"/>
    <row r="119" spans="3:3" ht="15.75" customHeight="1" x14ac:dyDescent="0.25"/>
    <row r="120" spans="3:3" ht="15.75" customHeight="1" x14ac:dyDescent="0.25"/>
    <row r="121" spans="3:3" ht="15.75" customHeight="1" x14ac:dyDescent="0.25"/>
    <row r="122" spans="3:3" ht="15.75" customHeight="1" x14ac:dyDescent="0.25"/>
    <row r="123" spans="3:3" ht="15.75" customHeight="1" x14ac:dyDescent="0.25"/>
    <row r="124" spans="3:3" ht="15.75" customHeight="1" x14ac:dyDescent="0.25"/>
    <row r="125" spans="3:3" ht="15.75" customHeight="1" x14ac:dyDescent="0.25"/>
    <row r="126" spans="3:3" ht="15.75" customHeight="1" x14ac:dyDescent="0.25"/>
    <row r="127" spans="3:3" ht="15.75" customHeight="1" x14ac:dyDescent="0.25"/>
    <row r="128" spans="3: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21">
    <mergeCell ref="M4:N4"/>
    <mergeCell ref="P4:R4"/>
    <mergeCell ref="D33:L33"/>
    <mergeCell ref="C106:G106"/>
    <mergeCell ref="B3:E3"/>
    <mergeCell ref="B4:E4"/>
    <mergeCell ref="G4:H4"/>
    <mergeCell ref="J4:K4"/>
    <mergeCell ref="D43:K43"/>
    <mergeCell ref="B62:J62"/>
    <mergeCell ref="K62:M62"/>
    <mergeCell ref="B64:C64"/>
    <mergeCell ref="B90:C90"/>
    <mergeCell ref="B78:C78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decimal" allowBlank="1" showErrorMessage="1" sqref="F92:F97 G45:G58 F66:F74 F80:F85 F9:F27" xr:uid="{00000000-0002-0000-0800-000000000000}">
      <formula1>20000000000</formula1>
      <formula2>33999999999</formula2>
    </dataValidation>
    <dataValidation type="decimal" allowBlank="1" showErrorMessage="1" sqref="C92:C97 C80:C85" xr:uid="{00000000-0002-0000-0800-000001000000}">
      <formula1>6</formula1>
      <formula2>8</formula2>
    </dataValidation>
    <dataValidation type="custom" allowBlank="1" showErrorMessage="1" sqref="H92:L97 H80:L85" xr:uid="{00000000-0002-0000-0800-000002000000}">
      <formula1>IF($C80=8,H80&lt;0,H80&gt;=0)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O9:O17 H9:N18 H19:O27" xr:uid="{00000000-0002-0000-0800-000003000000}">
      <formula1>IF($C9=3,H9&lt;0,H9&gt;=0)</formula1>
    </dataValidation>
    <dataValidation type="decimal" allowBlank="1" showErrorMessage="1" sqref="E92:E97 F45:F58 E66:E74 E80:E85 E9:E27" xr:uid="{00000000-0002-0000-0800-000004000000}">
      <formula1>1</formula1>
      <formula2>99999999</formula2>
    </dataValidation>
    <dataValidation type="custom" allowBlank="1" showErrorMessage="1" sqref="L68:L70" xr:uid="{00000000-0002-0000-0800-000005000000}">
      <formula1>IF($C13=3,L13&lt;0,L13&gt;=0)</formula1>
    </dataValidation>
    <dataValidation type="decimal" allowBlank="1" showErrorMessage="1" sqref="D92:D97 E45:E58 D66:D74 D80:D85 D9:D27" xr:uid="{00000000-0002-0000-0800-000006000000}">
      <formula1>1</formula1>
      <formula2>9999</formula2>
    </dataValidation>
    <dataValidation type="custom" allowBlank="1" showErrorMessage="1" sqref="L66:L67" xr:uid="{00000000-0002-0000-0800-000007000000}">
      <formula1>IF($C9=3,L9&lt;0,L9&gt;=0)</formula1>
    </dataValidation>
    <dataValidation type="decimal" allowBlank="1" showErrorMessage="1" sqref="C29:C32 C66:C74 C9:C27" xr:uid="{00000000-0002-0000-0800-000008000000}">
      <formula1>1</formula1>
      <formula2>3</formula2>
    </dataValidation>
    <dataValidation type="custom" allowBlank="1" showErrorMessage="1" sqref="H72:K72 H70:K70 H66:K68" xr:uid="{00000000-0002-0000-0800-000009000000}">
      <formula1>IF($C66=3,H66&lt;0,H66&gt;=0)</formula1>
    </dataValidation>
    <dataValidation type="date" allowBlank="1" showErrorMessage="1" sqref="B92:B97 B29:B32 D35:D38 D45:D58 B66:B74 B80:B85 B9:B27" xr:uid="{00000000-0002-0000-0800-00000A000000}">
      <formula1>40179</formula1>
      <formula2>TODAY()</formula2>
    </dataValidation>
    <dataValidation type="custom" allowBlank="1" showErrorMessage="1" sqref="L71:L72" xr:uid="{00000000-0002-0000-0800-00000B000000}">
      <formula1>IF($C28=3,L28&lt;0,L28&gt;=0)</formula1>
    </dataValidation>
    <dataValidation showInputMessage="1" showErrorMessage="1" prompt="Error de Ingreso - Ingreso condicionado al tipo de compra:_x000a_- Tipo 001: solo positivo_x000a_- Tipo 002: solo positivo_x000a_- Tipo 003: solo negativo" sqref="O18" xr:uid="{00000000-0002-0000-0800-00000C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DE9D9"/>
  </sheetPr>
  <dimension ref="A1:Z996"/>
  <sheetViews>
    <sheetView showGridLines="0" topLeftCell="A25" zoomScale="80" zoomScaleNormal="80" workbookViewId="0">
      <selection activeCell="L103" sqref="L103"/>
    </sheetView>
  </sheetViews>
  <sheetFormatPr baseColWidth="10" defaultColWidth="14.42578125" defaultRowHeight="15" customHeight="1" x14ac:dyDescent="0.25"/>
  <cols>
    <col min="1" max="1" width="1.7109375" customWidth="1"/>
    <col min="2" max="2" width="13.7109375" bestFit="1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15.85546875" customWidth="1"/>
    <col min="12" max="12" width="15.7109375" customWidth="1"/>
    <col min="13" max="13" width="15.85546875" customWidth="1"/>
    <col min="14" max="14" width="16.42578125" customWidth="1"/>
    <col min="15" max="15" width="13.8554687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26" ht="34.5" customHeight="1" x14ac:dyDescent="0.25">
      <c r="A1" s="6"/>
      <c r="B1" s="447" t="s">
        <v>1315</v>
      </c>
      <c r="C1" s="448"/>
      <c r="D1" s="448"/>
      <c r="E1" s="448"/>
      <c r="F1" s="449"/>
      <c r="G1" s="450" t="str">
        <f>'Abr-26'!G1:M1</f>
        <v>CORITEC S. R. L.</v>
      </c>
      <c r="H1" s="477"/>
      <c r="I1" s="477"/>
      <c r="J1" s="477"/>
      <c r="K1" s="477"/>
      <c r="L1" s="477"/>
      <c r="M1" s="478"/>
      <c r="N1" s="451">
        <f>EDATE('Abr-26'!N1,8)</f>
        <v>45992</v>
      </c>
      <c r="O1" s="448"/>
      <c r="P1" s="448"/>
      <c r="Q1" s="448"/>
      <c r="R1" s="449"/>
    </row>
    <row r="3" spans="1:26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26" ht="24.75" customHeight="1" x14ac:dyDescent="0.35">
      <c r="B4" s="462">
        <f>Table_55[[#Totals],[NETO GRAVADO]]</f>
        <v>835732.58999999985</v>
      </c>
      <c r="C4" s="448"/>
      <c r="D4" s="448"/>
      <c r="E4" s="449"/>
      <c r="F4" s="8"/>
      <c r="G4" s="463">
        <f>Table_55[[#Totals],[IVA 21 %]]+Table_55[[#Totals],[IVA 27%]]+Table_55[[#Totals],[IVA 10,5%]]+H48</f>
        <v>174905.20110000001</v>
      </c>
      <c r="H4" s="449"/>
      <c r="I4" s="8"/>
      <c r="J4" s="466">
        <f>Table_58[[#Totals],[IMPORTE NETO]]+H99</f>
        <v>82683259.379999995</v>
      </c>
      <c r="K4" s="449"/>
      <c r="L4" s="8"/>
      <c r="M4" s="466">
        <f>Table_58[[#Totals],[IVA 21%]]+Table_58[[#Totals],[IVA 10,5%]]+I99+J99</f>
        <v>15873542.8698</v>
      </c>
      <c r="N4" s="449"/>
      <c r="O4" s="8"/>
      <c r="P4" s="455">
        <f>G4-M4</f>
        <v>-15698637.6687</v>
      </c>
      <c r="Q4" s="448"/>
      <c r="R4" s="449"/>
    </row>
    <row r="5" spans="1:26" ht="12.75" customHeight="1" x14ac:dyDescent="0.25">
      <c r="H5" s="347"/>
    </row>
    <row r="6" spans="1:26" ht="10.5" customHeight="1" x14ac:dyDescent="0.25"/>
    <row r="7" spans="1:26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26" ht="38.25" customHeight="1" x14ac:dyDescent="0.25">
      <c r="B8" s="348" t="s">
        <v>1322</v>
      </c>
      <c r="C8" s="348" t="s">
        <v>1323</v>
      </c>
      <c r="D8" s="348" t="s">
        <v>1324</v>
      </c>
      <c r="E8" s="348" t="s">
        <v>1325</v>
      </c>
      <c r="F8" s="348" t="s">
        <v>0</v>
      </c>
      <c r="G8" s="348" t="s">
        <v>1</v>
      </c>
      <c r="H8" s="348" t="s">
        <v>1326</v>
      </c>
      <c r="I8" s="348" t="s">
        <v>1327</v>
      </c>
      <c r="J8" s="348" t="s">
        <v>1328</v>
      </c>
      <c r="K8" s="348" t="s">
        <v>1329</v>
      </c>
      <c r="L8" s="348" t="s">
        <v>1330</v>
      </c>
      <c r="M8" s="348" t="s">
        <v>1331</v>
      </c>
      <c r="N8" s="348" t="s">
        <v>1332</v>
      </c>
      <c r="O8" s="348" t="s">
        <v>1333</v>
      </c>
      <c r="P8" s="348" t="s">
        <v>1334</v>
      </c>
      <c r="Q8" s="348" t="s">
        <v>2</v>
      </c>
      <c r="R8" s="348" t="s">
        <v>1335</v>
      </c>
    </row>
    <row r="9" spans="1:26" x14ac:dyDescent="0.25">
      <c r="B9" s="413">
        <v>45992</v>
      </c>
      <c r="C9" s="13">
        <v>1</v>
      </c>
      <c r="D9" s="14">
        <v>3</v>
      </c>
      <c r="E9" s="15">
        <v>288720</v>
      </c>
      <c r="F9" s="16">
        <v>30707135596</v>
      </c>
      <c r="G9" s="17" t="str">
        <f>IFERROR(IF('Dic-26'!$F9="","-",VLOOKUP('Dic-26'!$F9,Lista_CUIT!$A$1:$D$2241,2,0)),"CUIT NO CARGADO")</f>
        <v>CITILAN ARGENTINA S.A.</v>
      </c>
      <c r="H9" s="349">
        <v>37920</v>
      </c>
      <c r="I9" s="350">
        <f>IF('Dic-26'!$H9="","",'Dic-26'!$H9*0.21)</f>
        <v>7963.2</v>
      </c>
      <c r="J9" s="350"/>
      <c r="K9" s="350"/>
      <c r="L9" s="350"/>
      <c r="M9" s="350"/>
      <c r="N9" s="350"/>
      <c r="O9" s="350"/>
      <c r="P9" s="351">
        <f>SUM('Dic-26'!$H9:$O9)</f>
        <v>45883.199999999997</v>
      </c>
      <c r="Q9" s="21" t="str">
        <f>IFERROR(IF('Dic-26'!$F9="","-",VLOOKUP('Dic-26'!$F9,Lista_CUIT!$A$1:$D$2241,3,0)),"CUIT NO CARGADO")</f>
        <v>Telefonia</v>
      </c>
      <c r="R9" s="21">
        <f>IFERROR(IF('Dic-26'!$F9="","-",VLOOKUP('Dic-26'!$F9,Lista_CUIT!$A$1:$D$2241,4,0)),"CUIT NO CARGADO")</f>
        <v>0</v>
      </c>
    </row>
    <row r="10" spans="1:26" x14ac:dyDescent="0.25">
      <c r="B10" s="413">
        <v>45992</v>
      </c>
      <c r="C10" s="13">
        <v>1</v>
      </c>
      <c r="D10" s="14">
        <v>5</v>
      </c>
      <c r="E10" s="15">
        <v>7168</v>
      </c>
      <c r="F10" s="16">
        <v>20231333593</v>
      </c>
      <c r="G10" s="17" t="str">
        <f>IFERROR(IF('Dic-26'!$F10="","-",VLOOKUP('Dic-26'!$F10,Lista_CUIT!$A$1:$D$2241,2,0)),"CUIT NO CARGADO")</f>
        <v>BOLLINI CLAUDIO DANIEL</v>
      </c>
      <c r="H10" s="349">
        <v>80000</v>
      </c>
      <c r="I10" s="350">
        <f>IF('Dic-26'!$H10="","",'Dic-26'!$H10*0.21)</f>
        <v>16800</v>
      </c>
      <c r="J10" s="350"/>
      <c r="K10" s="350"/>
      <c r="L10" s="350"/>
      <c r="M10" s="350"/>
      <c r="N10" s="350"/>
      <c r="O10" s="350"/>
      <c r="P10" s="351">
        <f>SUM('Dic-26'!$H10:$O10)</f>
        <v>96800</v>
      </c>
      <c r="Q10" s="21" t="str">
        <f>IFERROR(IF('Dic-26'!$F10="","-",VLOOKUP('Dic-26'!$F10,Lista_CUIT!$A$1:$D$2241,3,0)),"CUIT NO CARGADO")</f>
        <v>Mantenimiento</v>
      </c>
      <c r="R10" s="21">
        <f>IFERROR(IF('Dic-26'!$F10="","-",VLOOKUP('Dic-26'!$F10,Lista_CUIT!$A$1:$D$2241,4,0)),"CUIT NO CARGADO")</f>
        <v>0</v>
      </c>
    </row>
    <row r="11" spans="1:26" x14ac:dyDescent="0.25">
      <c r="B11" s="413">
        <v>45992</v>
      </c>
      <c r="C11" s="13">
        <v>1</v>
      </c>
      <c r="D11" s="14">
        <v>106</v>
      </c>
      <c r="E11" s="15">
        <v>900431</v>
      </c>
      <c r="F11" s="16">
        <v>30594494187</v>
      </c>
      <c r="G11" s="17" t="str">
        <f>IFERROR(IF('Dic-26'!$F11="","-",VLOOKUP('Dic-26'!$F11,Lista_CUIT!$A$1:$D$2241,2,0)),"CUIT NO CARGADO")</f>
        <v>FEDERAL EXPRESS CORPORATION</v>
      </c>
      <c r="H11" s="352">
        <v>0</v>
      </c>
      <c r="I11" s="350">
        <f>IF('Dic-26'!$H11="","",'Dic-26'!$H11*0.21)</f>
        <v>0</v>
      </c>
      <c r="J11" s="353"/>
      <c r="K11" s="353"/>
      <c r="L11" s="353"/>
      <c r="M11" s="353"/>
      <c r="N11" s="353"/>
      <c r="O11" s="353">
        <v>606903.5</v>
      </c>
      <c r="P11" s="354">
        <f>SUM('Dic-26'!$H11:$O11)</f>
        <v>606903.5</v>
      </c>
      <c r="Q11" s="21" t="str">
        <f>IFERROR(IF('Dic-26'!$F11="","-",VLOOKUP('Dic-26'!$F11,Lista_CUIT!$A$1:$D$2241,3,0)),"CUIT NO CARGADO")</f>
        <v>Mercaderia</v>
      </c>
      <c r="R11" s="21">
        <f>IFERROR(IF('Dic-26'!$F11="","-",VLOOKUP('Dic-26'!$F11,Lista_CUIT!$A$1:$D$2241,4,0)),"CUIT NO CARGADO")</f>
        <v>0</v>
      </c>
    </row>
    <row r="12" spans="1:26" x14ac:dyDescent="0.25">
      <c r="B12" s="413">
        <v>45994</v>
      </c>
      <c r="C12" s="13">
        <v>1</v>
      </c>
      <c r="D12" s="14">
        <v>3</v>
      </c>
      <c r="E12" s="15">
        <v>912</v>
      </c>
      <c r="F12" s="16">
        <v>30715402765</v>
      </c>
      <c r="G12" s="17" t="str">
        <f>IFERROR(IF('Dic-26'!$F12="","-",VLOOKUP('Dic-26'!$F12,Lista_CUIT!$A$1:$D$2241,2,0)),"CUIT NO CARGADO")</f>
        <v>RIO 265 S.R.L.</v>
      </c>
      <c r="H12" s="352">
        <v>119834.71</v>
      </c>
      <c r="I12" s="350">
        <f>IF('Dic-26'!$H12="","",'Dic-26'!$H12*0.21)</f>
        <v>25165.289100000002</v>
      </c>
      <c r="J12" s="353"/>
      <c r="K12" s="353"/>
      <c r="L12" s="353"/>
      <c r="M12" s="353"/>
      <c r="N12" s="353"/>
      <c r="O12" s="353"/>
      <c r="P12" s="354">
        <f>SUM('Dic-26'!$H12:$O12)</f>
        <v>144999.99910000002</v>
      </c>
      <c r="Q12" s="21" t="str">
        <f>IFERROR(IF('Dic-26'!$F12="","-",VLOOKUP('Dic-26'!$F12,Lista_CUIT!$A$1:$D$2241,3,0)),"CUIT NO CARGADO")</f>
        <v>GASTOS VARIOS</v>
      </c>
      <c r="R12" s="21">
        <f>IFERROR(IF('Dic-26'!$F12="","-",VLOOKUP('Dic-26'!$F12,Lista_CUIT!$A$1:$D$2241,4,0)),"CUIT NO CARGADO")</f>
        <v>0</v>
      </c>
    </row>
    <row r="13" spans="1:26" x14ac:dyDescent="0.25">
      <c r="B13" s="413">
        <v>45996</v>
      </c>
      <c r="C13" s="13">
        <v>1</v>
      </c>
      <c r="D13" s="14">
        <v>3</v>
      </c>
      <c r="E13" s="15">
        <v>43288</v>
      </c>
      <c r="F13" s="16">
        <v>20324801236</v>
      </c>
      <c r="G13" s="17" t="str">
        <f>IFERROR(IF('Dic-26'!$F13="","-",VLOOKUP('Dic-26'!$F13,Lista_CUIT!$A$1:$D$2241,2,0)),"CUIT NO CARGADO")</f>
        <v>CAMPAGNA SEBASTIAN PABLO</v>
      </c>
      <c r="H13" s="349">
        <v>7602.48</v>
      </c>
      <c r="I13" s="350">
        <f>IF('Dic-26'!$H13="","",'Dic-26'!$H13*0.21)</f>
        <v>1596.5207999999998</v>
      </c>
      <c r="J13" s="350"/>
      <c r="K13" s="350"/>
      <c r="L13" s="350"/>
      <c r="M13" s="350"/>
      <c r="N13" s="350"/>
      <c r="O13" s="350"/>
      <c r="P13" s="351">
        <f>SUM('Dic-26'!$H13:$O13)</f>
        <v>9199.0007999999998</v>
      </c>
      <c r="Q13" s="21" t="str">
        <f>IFERROR(IF('Dic-26'!$F13="","-",VLOOKUP('Dic-26'!$F13,Lista_CUIT!$A$1:$D$2241,3,0)),"CUIT NO CARGADO")</f>
        <v>Papeleria</v>
      </c>
      <c r="R13" s="21">
        <f>IFERROR(IF('Dic-26'!$F13="","-",VLOOKUP('Dic-26'!$F13,Lista_CUIT!$A$1:$D$2241,4,0)),"CUIT NO CARGADO")</f>
        <v>0</v>
      </c>
    </row>
    <row r="14" spans="1:26" x14ac:dyDescent="0.25">
      <c r="B14" s="436">
        <v>45996</v>
      </c>
      <c r="C14" s="13">
        <v>1</v>
      </c>
      <c r="D14" s="337">
        <v>2</v>
      </c>
      <c r="E14" s="338">
        <v>56997</v>
      </c>
      <c r="F14" s="339">
        <v>20264714657</v>
      </c>
      <c r="G14" s="328" t="str">
        <f>IFERROR(IF('Dic-26'!$F14="","-",VLOOKUP('Dic-26'!$F14,Lista_CUIT!$A$1:$D$2241,2,0)),"CUIT NO CARGADO")</f>
        <v>VALDMAN OMAR JULIAN</v>
      </c>
      <c r="H14" s="355">
        <v>2970.25</v>
      </c>
      <c r="I14" s="350">
        <f>IF('Dic-26'!$H14="","",'Dic-26'!$H14*0.21)</f>
        <v>623.75249999999994</v>
      </c>
      <c r="J14" s="356"/>
      <c r="K14" s="356"/>
      <c r="L14" s="356"/>
      <c r="M14" s="356"/>
      <c r="N14" s="356"/>
      <c r="O14" s="356"/>
      <c r="P14" s="357">
        <f>SUM('Dic-26'!$H14:$O14)</f>
        <v>3594.0025000000001</v>
      </c>
      <c r="Q14" s="340" t="str">
        <f>IFERROR(IF('Dic-26'!$F14="","-",VLOOKUP('Dic-26'!$F14,Lista_CUIT!$A$1:$D$2241,3,0)),"CUIT NO CARGADO")</f>
        <v>LIMPIEZA</v>
      </c>
      <c r="R14" s="340">
        <f>IFERROR(IF('Dic-26'!$F14="","-",VLOOKUP('Dic-26'!$F14,Lista_CUIT!$A$1:$D$2241,4,0)),"CUIT NO CARGADO")</f>
        <v>0</v>
      </c>
    </row>
    <row r="15" spans="1:26" x14ac:dyDescent="0.25">
      <c r="B15" s="436">
        <v>45996</v>
      </c>
      <c r="C15" s="13">
        <v>1</v>
      </c>
      <c r="D15" s="337">
        <v>5</v>
      </c>
      <c r="E15" s="338">
        <v>81076</v>
      </c>
      <c r="F15" s="339">
        <v>30718509552</v>
      </c>
      <c r="G15" s="328" t="str">
        <f>IFERROR(IF('Dic-26'!$F15="","-",VLOOKUP('Dic-26'!$F15,Lista_CUIT!$A$1:$D$2241,2,0)),"CUIT NO CARGADO")</f>
        <v>SEDAFE</v>
      </c>
      <c r="H15" s="355">
        <v>25202.48</v>
      </c>
      <c r="I15" s="350">
        <f>IF('Dic-26'!$H15="","",'Dic-26'!$H15*0.21)</f>
        <v>5292.5207999999993</v>
      </c>
      <c r="J15" s="356"/>
      <c r="K15" s="356"/>
      <c r="L15" s="356"/>
      <c r="M15" s="356"/>
      <c r="N15" s="356"/>
      <c r="O15" s="356"/>
      <c r="P15" s="357">
        <f>SUM('Dic-26'!$H15:$O15)</f>
        <v>30495.000799999998</v>
      </c>
      <c r="Q15" s="340" t="str">
        <f>IFERROR(IF('Dic-26'!$F15="","-",VLOOKUP('Dic-26'!$F15,Lista_CUIT!$A$1:$D$2241,3,0)),"CUIT NO CARGADO")</f>
        <v>Papeleria</v>
      </c>
      <c r="R15" s="340">
        <f>IFERROR(IF('Dic-26'!$F15="","-",VLOOKUP('Dic-26'!$F15,Lista_CUIT!$A$1:$D$2241,4,0)),"CUIT NO CARGADO")</f>
        <v>0</v>
      </c>
    </row>
    <row r="16" spans="1:26" ht="16.5" customHeight="1" x14ac:dyDescent="0.25">
      <c r="A16" s="43"/>
      <c r="B16" s="413">
        <v>45996</v>
      </c>
      <c r="C16" s="13">
        <v>1</v>
      </c>
      <c r="D16" s="14">
        <v>4</v>
      </c>
      <c r="E16" s="15">
        <v>16524</v>
      </c>
      <c r="F16" s="16">
        <v>30716998947</v>
      </c>
      <c r="G16" s="17" t="str">
        <f>IFERROR(IF('Dic-26'!$F16="","-",VLOOKUP('Dic-26'!$F16,Lista_CUIT!$A$1:$D$2241,2,0)),"CUIT NO CARGADO")</f>
        <v>MERCADO EN LINEA S.A.S.</v>
      </c>
      <c r="H16" s="352">
        <v>20152.23</v>
      </c>
      <c r="I16" s="350">
        <f>IF('Dic-26'!$H16="","",'Dic-26'!$H16*0.21)</f>
        <v>4231.9682999999995</v>
      </c>
      <c r="J16" s="353"/>
      <c r="K16" s="353"/>
      <c r="L16" s="353"/>
      <c r="M16" s="353"/>
      <c r="N16" s="353"/>
      <c r="O16" s="353"/>
      <c r="P16" s="354">
        <f>SUM('Dic-26'!$H16:$O16)</f>
        <v>24384.1983</v>
      </c>
      <c r="Q16" s="21" t="str">
        <f>IFERROR(IF('Dic-26'!$F16="","-",VLOOKUP('Dic-26'!$F16,Lista_CUIT!$A$1:$D$2241,3,0)),"CUIT NO CARGADO")</f>
        <v>Gtos. Comercializacion</v>
      </c>
      <c r="R16" s="21">
        <f>IFERROR(IF('Dic-26'!$F16="","-",VLOOKUP('Dic-26'!$F16,Lista_CUIT!$A$1:$D$2241,4,0)),"CUIT NO CARGADO")</f>
        <v>0</v>
      </c>
      <c r="S16" s="43"/>
      <c r="T16" s="43"/>
      <c r="U16" s="43"/>
      <c r="V16" s="43"/>
      <c r="W16" s="43"/>
      <c r="X16" s="43"/>
      <c r="Y16" s="43"/>
      <c r="Z16" s="43"/>
    </row>
    <row r="17" spans="2:18" x14ac:dyDescent="0.25">
      <c r="B17" s="436">
        <v>45996</v>
      </c>
      <c r="C17" s="13">
        <v>1</v>
      </c>
      <c r="D17" s="337">
        <v>7</v>
      </c>
      <c r="E17" s="338">
        <v>2508</v>
      </c>
      <c r="F17" s="339">
        <v>30716542773</v>
      </c>
      <c r="G17" s="328" t="str">
        <f>IFERROR(IF('Dic-26'!$F17="","-",VLOOKUP('Dic-26'!$F17,Lista_CUIT!$A$1:$D$2241,2,0)),"CUIT NO CARGADO")</f>
        <v>CFV</v>
      </c>
      <c r="H17" s="355">
        <v>12433.88</v>
      </c>
      <c r="I17" s="350">
        <f>IF('Dic-26'!$H17="","",'Dic-26'!$H17*0.21)</f>
        <v>2611.1147999999998</v>
      </c>
      <c r="J17" s="356"/>
      <c r="K17" s="356"/>
      <c r="L17" s="356"/>
      <c r="M17" s="356"/>
      <c r="N17" s="356"/>
      <c r="O17" s="356"/>
      <c r="P17" s="357">
        <f>SUM('Dic-26'!$H17:$O17)</f>
        <v>15044.994799999999</v>
      </c>
      <c r="Q17" s="340" t="str">
        <f>IFERROR(IF('Dic-26'!$F17="","-",VLOOKUP('Dic-26'!$F17,Lista_CUIT!$A$1:$D$2241,3,0)),"CUIT NO CARGADO")</f>
        <v>GASTOS VARIOS</v>
      </c>
      <c r="R17" s="340">
        <f>IFERROR(IF('Dic-26'!$F17="","-",VLOOKUP('Dic-26'!$F17,Lista_CUIT!$A$1:$D$2241,4,0)),"CUIT NO CARGADO")</f>
        <v>0</v>
      </c>
    </row>
    <row r="18" spans="2:18" x14ac:dyDescent="0.25">
      <c r="B18" s="436">
        <v>45997</v>
      </c>
      <c r="C18" s="13">
        <v>1</v>
      </c>
      <c r="D18" s="337">
        <v>63</v>
      </c>
      <c r="E18" s="338">
        <v>3584391</v>
      </c>
      <c r="F18" s="339">
        <v>30640897267</v>
      </c>
      <c r="G18" s="328" t="str">
        <f>IFERROR(IF('Dic-26'!$F18="","-",VLOOKUP('Dic-26'!$F18,Lista_CUIT!$A$1:$D$2241,2,0)),"CUIT NO CARGADO")</f>
        <v>TELECENTRO SA</v>
      </c>
      <c r="H18" s="355">
        <v>19281.099999999999</v>
      </c>
      <c r="I18" s="350">
        <f>IF('Dic-26'!$H18="","",'Dic-26'!$H18*0.21)</f>
        <v>4049.0309999999995</v>
      </c>
      <c r="J18" s="356"/>
      <c r="K18" s="356"/>
      <c r="L18" s="356">
        <v>578.42999999999995</v>
      </c>
      <c r="M18" s="356"/>
      <c r="N18" s="356"/>
      <c r="O18" s="356"/>
      <c r="P18" s="357">
        <f>SUM('Dic-26'!$H18:$O18)</f>
        <v>23908.560999999998</v>
      </c>
      <c r="Q18" s="340" t="str">
        <f>IFERROR(IF('Dic-26'!$F18="","-",VLOOKUP('Dic-26'!$F18,Lista_CUIT!$A$1:$D$2241,3,0)),"CUIT NO CARGADO")</f>
        <v>SERVICIOS</v>
      </c>
      <c r="R18" s="340">
        <f>IFERROR(IF('Dic-26'!$F18="","-",VLOOKUP('Dic-26'!$F18,Lista_CUIT!$A$1:$D$2241,4,0)),"CUIT NO CARGADO")</f>
        <v>0</v>
      </c>
    </row>
    <row r="19" spans="2:18" x14ac:dyDescent="0.25">
      <c r="B19" s="413">
        <v>45999</v>
      </c>
      <c r="C19" s="13">
        <v>1</v>
      </c>
      <c r="D19" s="14">
        <v>700</v>
      </c>
      <c r="E19" s="15">
        <v>866640</v>
      </c>
      <c r="F19" s="16">
        <v>30580111315</v>
      </c>
      <c r="G19" s="17" t="str">
        <f>IFERROR(IF('Dic-26'!$F19="","-",VLOOKUP('Dic-26'!$F19,Lista_CUIT!$A$1:$D$2241,2,0)),"CUIT NO CARGADO")</f>
        <v>DHL EXPRESS (ARGENTINA) S.A.</v>
      </c>
      <c r="H19" s="352">
        <v>0</v>
      </c>
      <c r="I19" s="350">
        <f>IF('Dic-26'!$H19="","",'Dic-26'!$H19*0.21)</f>
        <v>0</v>
      </c>
      <c r="J19" s="353"/>
      <c r="K19" s="353"/>
      <c r="L19" s="353"/>
      <c r="M19" s="353"/>
      <c r="N19" s="353"/>
      <c r="O19" s="353">
        <v>159388.20000000001</v>
      </c>
      <c r="P19" s="354">
        <f>SUM('Dic-26'!$H19:$O19)</f>
        <v>159388.20000000001</v>
      </c>
      <c r="Q19" s="21" t="str">
        <f>IFERROR(IF('Dic-26'!$F19="","-",VLOOKUP('Dic-26'!$F19,Lista_CUIT!$A$1:$D$2241,3,0)),"CUIT NO CARGADO")</f>
        <v>Mercaderia</v>
      </c>
      <c r="R19" s="21">
        <f>IFERROR(IF('Dic-26'!$F19="","-",VLOOKUP('Dic-26'!$F19,Lista_CUIT!$A$1:$D$2241,4,0)),"CUIT NO CARGADO")</f>
        <v>0</v>
      </c>
    </row>
    <row r="20" spans="2:18" x14ac:dyDescent="0.25">
      <c r="B20" s="413">
        <v>46001</v>
      </c>
      <c r="C20" s="13">
        <v>1</v>
      </c>
      <c r="D20" s="14">
        <v>4</v>
      </c>
      <c r="E20" s="15">
        <v>571</v>
      </c>
      <c r="F20" s="16">
        <v>30717431819</v>
      </c>
      <c r="G20" s="17" t="str">
        <f>IFERROR(IF('Dic-26'!$F20="","-",VLOOKUP('Dic-26'!$F20,Lista_CUIT!$A$1:$D$2241,2,0)),"CUIT NO CARGADO")</f>
        <v>IMPONT DB</v>
      </c>
      <c r="H20" s="349">
        <v>17128.87</v>
      </c>
      <c r="I20" s="350">
        <f>IF('Dic-26'!$H20="","",'Dic-26'!$H20*0.21)</f>
        <v>3597.0626999999995</v>
      </c>
      <c r="J20" s="350"/>
      <c r="K20" s="350"/>
      <c r="L20" s="350"/>
      <c r="M20" s="350"/>
      <c r="N20" s="350"/>
      <c r="O20" s="350"/>
      <c r="P20" s="351">
        <f>SUM('Dic-26'!$H20:$O20)</f>
        <v>20725.932699999998</v>
      </c>
      <c r="Q20" s="21" t="str">
        <f>IFERROR(IF('Dic-26'!$F20="","-",VLOOKUP('Dic-26'!$F20,Lista_CUIT!$A$1:$D$2241,3,0)),"CUIT NO CARGADO")</f>
        <v>Mercaderia</v>
      </c>
      <c r="R20" s="21">
        <f>IFERROR(IF('Dic-26'!$F20="","-",VLOOKUP('Dic-26'!$F20,Lista_CUIT!$A$1:$D$2241,4,0)),"CUIT NO CARGADO")</f>
        <v>0</v>
      </c>
    </row>
    <row r="21" spans="2:18" x14ac:dyDescent="0.25">
      <c r="B21" s="413">
        <v>46002</v>
      </c>
      <c r="C21" s="13">
        <v>1</v>
      </c>
      <c r="D21" s="14">
        <v>8</v>
      </c>
      <c r="E21" s="15">
        <v>12032</v>
      </c>
      <c r="F21" s="16">
        <v>30631047145</v>
      </c>
      <c r="G21" s="17" t="str">
        <f>IFERROR(IF('Dic-26'!$F21="","-",VLOOKUP('Dic-26'!$F21,Lista_CUIT!$A$1:$D$2241,2,0)),"CUIT NO CARGADO")</f>
        <v>SEMICONDUC. Y COMPON. SRL</v>
      </c>
      <c r="H21" s="352">
        <v>34527.199999999997</v>
      </c>
      <c r="I21" s="350">
        <f>IF('Dic-26'!$H21="","",'Dic-26'!$H21*0.21)</f>
        <v>7250.7119999999995</v>
      </c>
      <c r="J21" s="353"/>
      <c r="K21" s="353"/>
      <c r="L21" s="353"/>
      <c r="M21" s="353"/>
      <c r="N21" s="353"/>
      <c r="O21" s="353"/>
      <c r="P21" s="354">
        <f>SUM('Dic-26'!$H21:$O21)</f>
        <v>41777.911999999997</v>
      </c>
      <c r="Q21" s="21" t="str">
        <f>IFERROR(IF('Dic-26'!$F21="","-",VLOOKUP('Dic-26'!$F21,Lista_CUIT!$A$1:$D$2241,3,0)),"CUIT NO CARGADO")</f>
        <v>Mercaderia</v>
      </c>
      <c r="R21" s="21">
        <f>IFERROR(IF('Dic-26'!$F21="","-",VLOOKUP('Dic-26'!$F21,Lista_CUIT!$A$1:$D$2241,4,0)),"CUIT NO CARGADO")</f>
        <v>0</v>
      </c>
    </row>
    <row r="22" spans="2:18" x14ac:dyDescent="0.25">
      <c r="B22" s="413">
        <v>46002</v>
      </c>
      <c r="C22" s="13">
        <v>1</v>
      </c>
      <c r="D22" s="14">
        <v>6</v>
      </c>
      <c r="E22" s="15">
        <v>17078</v>
      </c>
      <c r="F22" s="16">
        <v>20289076299</v>
      </c>
      <c r="G22" s="17" t="str">
        <f>IFERROR(IF('Dic-26'!$F22="","-",VLOOKUP('Dic-26'!$F22,Lista_CUIT!$A$1:$D$2241,2,0)),"CUIT NO CARGADO")</f>
        <v>ABALLAY ÑANCUPIL CAMILO ERNESTO</v>
      </c>
      <c r="H22" s="352">
        <v>54389.26</v>
      </c>
      <c r="I22" s="350">
        <f>IF('Dic-26'!$H22="","",'Dic-26'!$H22*0.21)</f>
        <v>11421.7446</v>
      </c>
      <c r="J22" s="353"/>
      <c r="K22" s="353"/>
      <c r="L22" s="353"/>
      <c r="M22" s="353"/>
      <c r="N22" s="353"/>
      <c r="O22" s="353"/>
      <c r="P22" s="354">
        <f>SUM('Dic-26'!$H22:$O22)</f>
        <v>65811.0046</v>
      </c>
      <c r="Q22" s="21" t="str">
        <f>IFERROR(IF('Dic-26'!$F22="","-",VLOOKUP('Dic-26'!$F22,Lista_CUIT!$A$1:$D$2241,3,0)),"CUIT NO CARGADO")</f>
        <v>FLETE-LOGISTICA</v>
      </c>
      <c r="R22" s="21">
        <f>IFERROR(IF('Dic-26'!$F22="","-",VLOOKUP('Dic-26'!$F22,Lista_CUIT!$A$1:$D$2241,4,0)),"CUIT NO CARGADO")</f>
        <v>0</v>
      </c>
    </row>
    <row r="23" spans="2:18" x14ac:dyDescent="0.25">
      <c r="B23" s="413">
        <v>46004</v>
      </c>
      <c r="C23" s="13">
        <v>1</v>
      </c>
      <c r="D23" s="14">
        <v>23</v>
      </c>
      <c r="E23" s="15">
        <v>1369</v>
      </c>
      <c r="F23" s="16">
        <v>30633765827</v>
      </c>
      <c r="G23" s="17" t="str">
        <f>IFERROR(IF('Dic-26'!$F23="","-",VLOOKUP('Dic-26'!$F23,Lista_CUIT!$A$1:$D$2241,2,0)),"CUIT NO CARGADO")</f>
        <v>ALGABO SA</v>
      </c>
      <c r="H23" s="349">
        <v>4009.9</v>
      </c>
      <c r="I23" s="350">
        <f>IF('Dic-26'!$H23="","",'Dic-26'!$H23*0.21)</f>
        <v>842.07899999999995</v>
      </c>
      <c r="J23" s="350"/>
      <c r="K23" s="350"/>
      <c r="L23" s="350"/>
      <c r="M23" s="350"/>
      <c r="N23" s="350"/>
      <c r="O23" s="350"/>
      <c r="P23" s="351">
        <f>SUM('Dic-26'!$H23:$O23)</f>
        <v>4851.9790000000003</v>
      </c>
      <c r="Q23" s="21" t="str">
        <f>IFERROR(IF('Dic-26'!$F23="","-",VLOOKUP('Dic-26'!$F23,Lista_CUIT!$A$1:$D$2241,3,0)),"CUIT NO CARGADO")</f>
        <v>GASTOS VARIOS</v>
      </c>
      <c r="R23" s="21">
        <f>IFERROR(IF('Dic-26'!$F23="","-",VLOOKUP('Dic-26'!$F23,Lista_CUIT!$A$1:$D$2241,4,0)),"CUIT NO CARGADO")</f>
        <v>0</v>
      </c>
    </row>
    <row r="24" spans="2:18" x14ac:dyDescent="0.25">
      <c r="B24" s="413">
        <v>46006</v>
      </c>
      <c r="C24" s="13">
        <v>1</v>
      </c>
      <c r="D24" s="14">
        <v>2</v>
      </c>
      <c r="E24" s="15">
        <v>223</v>
      </c>
      <c r="F24" s="16">
        <v>20125142851</v>
      </c>
      <c r="G24" s="17" t="str">
        <f>IFERROR(IF('Dic-26'!$F24="","-",VLOOKUP('Dic-26'!$F24,Lista_CUIT!$A$1:$D$2241,2,0)),"CUIT NO CARGADO")</f>
        <v>FEDERICI NICOLAS JOSE</v>
      </c>
      <c r="H24" s="349">
        <v>161520</v>
      </c>
      <c r="I24" s="350">
        <f>IF('Dic-26'!$H24="","",'Dic-26'!$H24*0.21)</f>
        <v>33919.199999999997</v>
      </c>
      <c r="J24" s="350"/>
      <c r="K24" s="350"/>
      <c r="L24" s="350"/>
      <c r="M24" s="350"/>
      <c r="N24" s="350"/>
      <c r="O24" s="350"/>
      <c r="P24" s="351">
        <f>SUM('Dic-26'!$H24:$O24)</f>
        <v>195439.2</v>
      </c>
      <c r="Q24" s="21" t="str">
        <f>IFERROR(IF('Dic-26'!$F24="","-",VLOOKUP('Dic-26'!$F24,Lista_CUIT!$A$1:$D$2241,3,0)),"CUIT NO CARGADO")</f>
        <v>INSUMO</v>
      </c>
      <c r="R24" s="21">
        <f>IFERROR(IF('Dic-26'!$F24="","-",VLOOKUP('Dic-26'!$F24,Lista_CUIT!$A$1:$D$2241,4,0)),"CUIT NO CARGADO")</f>
        <v>0</v>
      </c>
    </row>
    <row r="25" spans="2:18" x14ac:dyDescent="0.25">
      <c r="B25" s="413">
        <v>46010</v>
      </c>
      <c r="C25" s="13">
        <v>1</v>
      </c>
      <c r="D25" s="14">
        <v>3</v>
      </c>
      <c r="E25" s="15">
        <v>31961</v>
      </c>
      <c r="F25" s="16">
        <v>20258950527</v>
      </c>
      <c r="G25" s="17" t="str">
        <f>IFERROR(IF('Dic-26'!$F25="","-",VLOOKUP('Dic-26'!$F25,Lista_CUIT!$A$1:$D$2241,2,0)),"CUIT NO CARGADO")</f>
        <v>POGGI PABLO MARTIN</v>
      </c>
      <c r="H25" s="349">
        <v>30822.32</v>
      </c>
      <c r="I25" s="350">
        <f>IF('Dic-26'!$H25="","",'Dic-26'!$H25*0.21)</f>
        <v>6472.6871999999994</v>
      </c>
      <c r="J25" s="350"/>
      <c r="K25" s="350"/>
      <c r="L25" s="350"/>
      <c r="M25" s="350"/>
      <c r="N25" s="350"/>
      <c r="O25" s="350"/>
      <c r="P25" s="351">
        <f>SUM('Dic-26'!$H25:$O25)</f>
        <v>37295.0072</v>
      </c>
      <c r="Q25" s="21" t="str">
        <f>IFERROR(IF('Dic-26'!$F25="","-",VLOOKUP('Dic-26'!$F25,Lista_CUIT!$A$1:$D$2241,3,0)),"CUIT NO CARGADO")</f>
        <v>Mantenimiento</v>
      </c>
      <c r="R25" s="21">
        <f>IFERROR(IF('Dic-26'!$F25="","-",VLOOKUP('Dic-26'!$F25,Lista_CUIT!$A$1:$D$2241,4,0)),"CUIT NO CARGADO")</f>
        <v>0</v>
      </c>
    </row>
    <row r="26" spans="2:18" x14ac:dyDescent="0.25">
      <c r="B26" s="413">
        <v>46010</v>
      </c>
      <c r="C26" s="13">
        <v>1</v>
      </c>
      <c r="D26" s="14">
        <v>3</v>
      </c>
      <c r="E26" s="15">
        <v>31954</v>
      </c>
      <c r="F26" s="16">
        <v>20258950527</v>
      </c>
      <c r="G26" s="17" t="str">
        <f>IFERROR(IF('Dic-26'!$F26="","-",VLOOKUP('Dic-26'!$F26,Lista_CUIT!$A$1:$D$2241,2,0)),"CUIT NO CARGADO")</f>
        <v>POGGI PABLO MARTIN</v>
      </c>
      <c r="H26" s="349">
        <v>23347.11</v>
      </c>
      <c r="I26" s="350">
        <f>IF('Dic-26'!$H26="","",'Dic-26'!$H26*0.21)</f>
        <v>4902.8931000000002</v>
      </c>
      <c r="J26" s="350"/>
      <c r="K26" s="350"/>
      <c r="L26" s="350"/>
      <c r="M26" s="350"/>
      <c r="N26" s="350"/>
      <c r="O26" s="350"/>
      <c r="P26" s="351">
        <f>SUM('Dic-26'!$H26:$O26)</f>
        <v>28250.003100000002</v>
      </c>
      <c r="Q26" s="21" t="str">
        <f>IFERROR(IF('Dic-26'!$F26="","-",VLOOKUP('Dic-26'!$F26,Lista_CUIT!$A$1:$D$2241,3,0)),"CUIT NO CARGADO")</f>
        <v>Mantenimiento</v>
      </c>
      <c r="R26" s="21">
        <f>IFERROR(IF('Dic-26'!$F26="","-",VLOOKUP('Dic-26'!$F26,Lista_CUIT!$A$1:$D$2241,4,0)),"CUIT NO CARGADO")</f>
        <v>0</v>
      </c>
    </row>
    <row r="27" spans="2:18" x14ac:dyDescent="0.25">
      <c r="B27" s="413">
        <v>46013</v>
      </c>
      <c r="C27" s="13">
        <v>1</v>
      </c>
      <c r="D27" s="14">
        <v>4</v>
      </c>
      <c r="E27" s="15">
        <v>2444</v>
      </c>
      <c r="F27" s="16">
        <v>30714356360</v>
      </c>
      <c r="G27" s="17" t="str">
        <f>IFERROR(IF('Dic-26'!$F27="","-",VLOOKUP('Dic-26'!$F27,Lista_CUIT!$A$1:$D$2241,2,0)),"CUIT NO CARGADO")</f>
        <v>IMPRENTA24 S.R.L.</v>
      </c>
      <c r="H27" s="352">
        <v>28099.19</v>
      </c>
      <c r="I27" s="350">
        <f>IF('Dic-26'!$H27="","",'Dic-26'!$H27*0.21)</f>
        <v>5900.8298999999997</v>
      </c>
      <c r="J27" s="353"/>
      <c r="K27" s="353"/>
      <c r="L27" s="353"/>
      <c r="M27" s="353"/>
      <c r="N27" s="353"/>
      <c r="O27" s="353"/>
      <c r="P27" s="354">
        <f>SUM('Dic-26'!$H27:$O27)</f>
        <v>34000.019899999999</v>
      </c>
      <c r="Q27" s="21" t="str">
        <f>IFERROR(IF('Dic-26'!$F27="","-",VLOOKUP('Dic-26'!$F27,Lista_CUIT!$A$1:$D$2241,3,0)),"CUIT NO CARGADO")</f>
        <v>Papeleria</v>
      </c>
      <c r="R27" s="21">
        <f>IFERROR(IF('Dic-26'!$F27="","-",VLOOKUP('Dic-26'!$F27,Lista_CUIT!$A$1:$D$2241,4,0)),"CUIT NO CARGADO")</f>
        <v>0</v>
      </c>
    </row>
    <row r="28" spans="2:18" x14ac:dyDescent="0.25">
      <c r="B28" s="413">
        <v>46020</v>
      </c>
      <c r="C28" s="13">
        <v>1</v>
      </c>
      <c r="D28" s="14">
        <v>106</v>
      </c>
      <c r="E28" s="15">
        <v>909139</v>
      </c>
      <c r="F28" s="16">
        <v>30594494187</v>
      </c>
      <c r="G28" s="17" t="str">
        <f>IFERROR(IF('Dic-26'!$F28="","-",VLOOKUP('Dic-26'!$F28,Lista_CUIT!$A$1:$D$2241,2,0)),"CUIT NO CARGADO")</f>
        <v>FEDERAL EXPRESS CORPORATION</v>
      </c>
      <c r="H28" s="352">
        <v>0</v>
      </c>
      <c r="I28" s="350">
        <f>IF('Dic-26'!$H28="","",'Dic-26'!$H28*0.21)</f>
        <v>0</v>
      </c>
      <c r="J28" s="353"/>
      <c r="K28" s="353"/>
      <c r="L28" s="353"/>
      <c r="M28" s="353"/>
      <c r="N28" s="353"/>
      <c r="O28" s="353">
        <v>139392.70000000001</v>
      </c>
      <c r="P28" s="354">
        <f>SUM('Dic-26'!$H28:$O28)</f>
        <v>139392.70000000001</v>
      </c>
      <c r="Q28" s="21" t="str">
        <f>IFERROR(IF('Dic-26'!$F28="","-",VLOOKUP('Dic-26'!$F28,Lista_CUIT!$A$1:$D$2241,3,0)),"CUIT NO CARGADO")</f>
        <v>Mercaderia</v>
      </c>
      <c r="R28" s="21">
        <f>IFERROR(IF('Dic-26'!$F28="","-",VLOOKUP('Dic-26'!$F28,Lista_CUIT!$A$1:$D$2241,4,0)),"CUIT NO CARGADO")</f>
        <v>0</v>
      </c>
    </row>
    <row r="29" spans="2:18" x14ac:dyDescent="0.25">
      <c r="B29" s="413">
        <v>46020</v>
      </c>
      <c r="C29" s="13">
        <v>1</v>
      </c>
      <c r="D29" s="14">
        <v>700</v>
      </c>
      <c r="E29" s="15">
        <v>873505</v>
      </c>
      <c r="F29" s="16">
        <v>30580111315</v>
      </c>
      <c r="G29" s="17" t="str">
        <f>IFERROR(IF('Dic-26'!$F29="","-",VLOOKUP('Dic-26'!$F29,Lista_CUIT!$A$1:$D$2241,2,0)),"CUIT NO CARGADO")</f>
        <v>DHL EXPRESS (ARGENTINA) S.A.</v>
      </c>
      <c r="H29" s="349">
        <v>0</v>
      </c>
      <c r="I29" s="350">
        <f>IF('Dic-26'!$H29="","",'Dic-26'!$H29*0.21)</f>
        <v>0</v>
      </c>
      <c r="J29" s="350"/>
      <c r="K29" s="350"/>
      <c r="L29" s="350"/>
      <c r="M29" s="350"/>
      <c r="N29" s="350"/>
      <c r="O29" s="350">
        <v>162633.5</v>
      </c>
      <c r="P29" s="351">
        <f>SUM('Dic-26'!$H29:$O29)</f>
        <v>162633.5</v>
      </c>
      <c r="Q29" s="21" t="str">
        <f>IFERROR(IF('Dic-26'!$F29="","-",VLOOKUP('Dic-26'!$F29,Lista_CUIT!$A$1:$D$2241,3,0)),"CUIT NO CARGADO")</f>
        <v>Mercaderia</v>
      </c>
      <c r="R29" s="21">
        <f>IFERROR(IF('Dic-26'!$F29="","-",VLOOKUP('Dic-26'!$F29,Lista_CUIT!$A$1:$D$2241,4,0)),"CUIT NO CARGADO")</f>
        <v>0</v>
      </c>
    </row>
    <row r="30" spans="2:18" x14ac:dyDescent="0.25">
      <c r="B30" s="413">
        <v>46021</v>
      </c>
      <c r="C30" s="13">
        <v>1</v>
      </c>
      <c r="D30" s="14">
        <v>2</v>
      </c>
      <c r="E30" s="15">
        <v>43049</v>
      </c>
      <c r="F30" s="16">
        <v>30709370401</v>
      </c>
      <c r="G30" s="17" t="str">
        <f>IFERROR(IF('Dic-26'!$F30="","-",VLOOKUP('Dic-26'!$F30,Lista_CUIT!$A$1:$D$2241,2,0)),"CUIT NO CARGADO")</f>
        <v>MINDEO S A</v>
      </c>
      <c r="H30" s="349">
        <v>46899.1</v>
      </c>
      <c r="I30" s="350">
        <f>IF('Dic-26'!$H30="","",'Dic-26'!$H30*0.21)</f>
        <v>9848.8109999999997</v>
      </c>
      <c r="J30" s="350"/>
      <c r="K30" s="350"/>
      <c r="L30" s="350"/>
      <c r="M30" s="350"/>
      <c r="N30" s="350"/>
      <c r="O30" s="350"/>
      <c r="P30" s="351">
        <f>SUM('Dic-26'!$H30:$O30)</f>
        <v>56747.911</v>
      </c>
      <c r="Q30" s="21" t="str">
        <f>IFERROR(IF('Dic-26'!$F30="","-",VLOOKUP('Dic-26'!$F30,Lista_CUIT!$A$1:$D$2241,3,0)),"CUIT NO CARGADO")</f>
        <v>Servicios Informaticos</v>
      </c>
      <c r="R30" s="21">
        <f>IFERROR(IF('Dic-26'!$F30="","-",VLOOKUP('Dic-26'!$F30,Lista_CUIT!$A$1:$D$2241,4,0)),"CUIT NO CARGADO")</f>
        <v>0</v>
      </c>
    </row>
    <row r="31" spans="2:18" x14ac:dyDescent="0.25">
      <c r="B31" s="413">
        <v>46021</v>
      </c>
      <c r="C31" s="13">
        <v>1</v>
      </c>
      <c r="D31" s="14">
        <v>11</v>
      </c>
      <c r="E31" s="15">
        <v>62133</v>
      </c>
      <c r="F31" s="16">
        <v>30536393257</v>
      </c>
      <c r="G31" s="17" t="str">
        <f>IFERROR(IF('Dic-26'!$F31="","-",VLOOKUP('Dic-26'!$F31,Lista_CUIT!$A$1:$D$2241,2,0)),"CUIT NO CARGADO")</f>
        <v>SEYCO SACIF</v>
      </c>
      <c r="H31" s="349">
        <v>60963.89</v>
      </c>
      <c r="I31" s="350">
        <f>IF('Dic-26'!$H31="","",'Dic-26'!$H31*0.21)</f>
        <v>12802.4169</v>
      </c>
      <c r="J31" s="350"/>
      <c r="K31" s="350"/>
      <c r="L31" s="350"/>
      <c r="M31" s="350"/>
      <c r="N31" s="350"/>
      <c r="O31" s="350"/>
      <c r="P31" s="351">
        <f>SUM('Dic-26'!$H31:$O31)</f>
        <v>73766.306899999996</v>
      </c>
      <c r="Q31" s="21" t="str">
        <f>IFERROR(IF('Dic-26'!$F31="","-",VLOOKUP('Dic-26'!$F31,Lista_CUIT!$A$1:$D$2241,3,0)),"CUIT NO CARGADO")</f>
        <v>Ropa de Trabajo</v>
      </c>
      <c r="R31" s="21">
        <f>IFERROR(IF('Dic-26'!$F31="","-",VLOOKUP('Dic-26'!$F31,Lista_CUIT!$A$1:$D$2241,4,0)),"CUIT NO CARGADO")</f>
        <v>0</v>
      </c>
    </row>
    <row r="32" spans="2:18" x14ac:dyDescent="0.25">
      <c r="B32" s="413">
        <v>46021</v>
      </c>
      <c r="C32" s="13">
        <v>1</v>
      </c>
      <c r="D32" s="14">
        <v>63</v>
      </c>
      <c r="E32" s="15">
        <v>5995</v>
      </c>
      <c r="F32" s="16">
        <v>30710790074</v>
      </c>
      <c r="G32" s="17" t="str">
        <f>IFERROR(IF('Dic-26'!$F32="","-",VLOOKUP('Dic-26'!$F32,Lista_CUIT!$A$1:$D$2241,2,0)),"CUIT NO CARGADO")</f>
        <v>ELJA NUN S.R.L.</v>
      </c>
      <c r="H32" s="349">
        <v>7107.44</v>
      </c>
      <c r="I32" s="350">
        <f>IF('Dic-26'!$H32="","",'Dic-26'!$H32*0.21)</f>
        <v>1492.5623999999998</v>
      </c>
      <c r="J32" s="350"/>
      <c r="K32" s="350"/>
      <c r="L32" s="350"/>
      <c r="M32" s="350"/>
      <c r="N32" s="350"/>
      <c r="O32" s="350"/>
      <c r="P32" s="351">
        <f>SUM('Dic-26'!$H32:$O32)</f>
        <v>8600.0023999999994</v>
      </c>
      <c r="Q32" s="21" t="str">
        <f>IFERROR(IF('Dic-26'!$F32="","-",VLOOKUP('Dic-26'!$F32,Lista_CUIT!$A$1:$D$2241,3,0)),"CUIT NO CARGADO")</f>
        <v>Papeleria</v>
      </c>
      <c r="R32" s="21">
        <f>IFERROR(IF('Dic-26'!$F32="","-",VLOOKUP('Dic-26'!$F32,Lista_CUIT!$A$1:$D$2241,4,0)),"CUIT NO CARGADO")</f>
        <v>0</v>
      </c>
    </row>
    <row r="33" spans="2:18" ht="14.25" customHeight="1" x14ac:dyDescent="0.25">
      <c r="B33" s="413">
        <v>46021</v>
      </c>
      <c r="C33" s="13">
        <v>1</v>
      </c>
      <c r="D33" s="14">
        <v>5</v>
      </c>
      <c r="E33" s="15">
        <v>85473</v>
      </c>
      <c r="F33" s="16">
        <v>30718509552</v>
      </c>
      <c r="G33" s="17" t="str">
        <f>IFERROR(IF('Dic-26'!$F33="","-",VLOOKUP('Dic-26'!$F33,Lista_CUIT!$A$1:$D$2241,2,0)),"CUIT NO CARGADO")</f>
        <v>SEDAFE</v>
      </c>
      <c r="H33" s="349">
        <v>35117.360000000001</v>
      </c>
      <c r="I33" s="350">
        <f>IF('Dic-26'!$H33="","",'Dic-26'!$H33*0.21)</f>
        <v>7374.6455999999998</v>
      </c>
      <c r="J33" s="350"/>
      <c r="K33" s="350"/>
      <c r="L33" s="350"/>
      <c r="M33" s="350"/>
      <c r="N33" s="350"/>
      <c r="O33" s="350"/>
      <c r="P33" s="351">
        <f>SUM('Dic-26'!$H33:$O33)</f>
        <v>42492.005600000004</v>
      </c>
      <c r="Q33" s="21" t="str">
        <f>IFERROR(IF('Dic-26'!$F33="","-",VLOOKUP('Dic-26'!$F33,Lista_CUIT!$A$1:$D$2241,3,0)),"CUIT NO CARGADO")</f>
        <v>Papeleria</v>
      </c>
      <c r="R33" s="21">
        <f>IFERROR(IF('Dic-26'!$F33="","-",VLOOKUP('Dic-26'!$F33,Lista_CUIT!$A$1:$D$2241,4,0)),"CUIT NO CARGADO")</f>
        <v>0</v>
      </c>
    </row>
    <row r="34" spans="2:18" ht="15.75" customHeight="1" x14ac:dyDescent="0.25">
      <c r="B34" s="413">
        <v>46021</v>
      </c>
      <c r="C34" s="13">
        <v>1</v>
      </c>
      <c r="D34" s="14">
        <v>20</v>
      </c>
      <c r="E34" s="15">
        <v>3155</v>
      </c>
      <c r="F34" s="16">
        <v>30709513946</v>
      </c>
      <c r="G34" s="17" t="str">
        <f>IFERROR(IF('Dic-26'!$F34="","-",VLOOKUP('Dic-26'!$F34,Lista_CUIT!$A$1:$D$2241,2,0)),"CUIT NO CARGADO")</f>
        <v>BONPLAND 1631  S.R.L.</v>
      </c>
      <c r="H34" s="352">
        <v>8264.4500000000007</v>
      </c>
      <c r="I34" s="350">
        <f>IF('Dic-26'!$H34="","",'Dic-26'!$H34*0.21)</f>
        <v>1735.5345</v>
      </c>
      <c r="J34" s="353"/>
      <c r="K34" s="353"/>
      <c r="L34" s="353"/>
      <c r="M34" s="353"/>
      <c r="N34" s="353"/>
      <c r="O34" s="353"/>
      <c r="P34" s="354">
        <f>SUM('Dic-26'!$H34:$O34)</f>
        <v>9999.9845000000005</v>
      </c>
      <c r="Q34" s="21" t="str">
        <f>IFERROR(IF('Dic-26'!$F34="","-",VLOOKUP('Dic-26'!$F34,Lista_CUIT!$A$1:$D$2241,3,0)),"CUIT NO CARGADO")</f>
        <v>LIMPIEZA</v>
      </c>
      <c r="R34" s="21">
        <f>IFERROR(IF('Dic-26'!$F34="","-",VLOOKUP('Dic-26'!$F34,Lista_CUIT!$A$1:$D$2241,4,0)),"CUIT NO CARGADO")</f>
        <v>0</v>
      </c>
    </row>
    <row r="35" spans="2:18" ht="15.75" customHeight="1" x14ac:dyDescent="0.25">
      <c r="B35" s="413">
        <v>46021</v>
      </c>
      <c r="C35" s="13">
        <v>1</v>
      </c>
      <c r="D35" s="14">
        <v>9</v>
      </c>
      <c r="E35" s="15">
        <v>1725</v>
      </c>
      <c r="F35" s="16">
        <v>30534924875</v>
      </c>
      <c r="G35" s="17" t="str">
        <f>IFERROR(IF('Dic-26'!$F35="","-",VLOOKUP('Dic-26'!$F35,Lista_CUIT!$A$1:$D$2241,2,0)),"CUIT NO CARGADO")</f>
        <v>FERNANDO A CHIESA S A</v>
      </c>
      <c r="H35" s="352">
        <v>15785.12</v>
      </c>
      <c r="I35" s="350">
        <f>IF('Dic-26'!$H35="","",'Dic-26'!$H35*0.21)</f>
        <v>3314.8751999999999</v>
      </c>
      <c r="J35" s="353"/>
      <c r="K35" s="353"/>
      <c r="L35" s="353"/>
      <c r="M35" s="353"/>
      <c r="N35" s="353"/>
      <c r="O35" s="353"/>
      <c r="P35" s="354">
        <f>SUM('Dic-26'!$H35:$O35)</f>
        <v>19099.995200000001</v>
      </c>
      <c r="Q35" s="21" t="str">
        <f>IFERROR(IF('Dic-26'!$F35="","-",VLOOKUP('Dic-26'!$F35,Lista_CUIT!$A$1:$D$2241,3,0)),"CUIT NO CARGADO")</f>
        <v>Mantenimiento</v>
      </c>
      <c r="R35" s="21">
        <f>IFERROR(IF('Dic-26'!$F35="","-",VLOOKUP('Dic-26'!$F35,Lista_CUIT!$A$1:$D$2241,4,0)),"CUIT NO CARGADO")</f>
        <v>0</v>
      </c>
    </row>
    <row r="36" spans="2:18" ht="14.25" customHeight="1" x14ac:dyDescent="0.25">
      <c r="B36" s="436">
        <v>46022</v>
      </c>
      <c r="C36" s="13">
        <v>1</v>
      </c>
      <c r="D36" s="337">
        <v>4</v>
      </c>
      <c r="E36" s="338">
        <v>2066</v>
      </c>
      <c r="F36" s="339">
        <v>20190533515</v>
      </c>
      <c r="G36" s="328" t="str">
        <f>IFERROR(IF('Dic-26'!$F36="","-",VLOOKUP('Dic-26'!$F36,Lista_CUIT!$A$1:$D$2241,2,0)),"CUIT NO CARGADO")</f>
        <v>ESKANDER FARID PETER</v>
      </c>
      <c r="H36" s="355">
        <v>5701.36</v>
      </c>
      <c r="I36" s="350"/>
      <c r="J36" s="356"/>
      <c r="K36" s="356">
        <f>Table_55[[#This Row],[NETO GRAVADO]]*0.105</f>
        <v>598.64279999999997</v>
      </c>
      <c r="L36" s="356"/>
      <c r="M36" s="356"/>
      <c r="N36" s="356"/>
      <c r="O36" s="356"/>
      <c r="P36" s="357">
        <f>SUM('Dic-26'!$H36:$O36)</f>
        <v>6300.0027999999993</v>
      </c>
      <c r="Q36" s="340" t="str">
        <f>IFERROR(IF('Dic-26'!$F36="","-",VLOOKUP('Dic-26'!$F36,Lista_CUIT!$A$1:$D$2241,3,0)),"CUIT NO CARGADO")</f>
        <v>GASTOS VARIOS</v>
      </c>
      <c r="R36" s="340">
        <f>IFERROR(IF('Dic-26'!$F36="","-",VLOOKUP('Dic-26'!$F36,Lista_CUIT!$A$1:$D$2241,4,0)),"CUIT NO CARGADO")</f>
        <v>0</v>
      </c>
    </row>
    <row r="37" spans="2:18" ht="14.25" customHeight="1" x14ac:dyDescent="0.25">
      <c r="B37" s="413">
        <v>46010</v>
      </c>
      <c r="C37" s="13">
        <v>1</v>
      </c>
      <c r="D37" s="14">
        <v>3</v>
      </c>
      <c r="E37" s="15">
        <v>1039</v>
      </c>
      <c r="F37" s="16">
        <v>20258950527</v>
      </c>
      <c r="G37" s="17" t="str">
        <f>IFERROR(IF('Dic-26'!$F37="","-",VLOOKUP('Dic-26'!$F37,Lista_CUIT!$A$1:$D$2241,2,0)),"CUIT NO CARGADO")</f>
        <v>POGGI PABLO MARTIN</v>
      </c>
      <c r="H37" s="349">
        <v>-23347.11</v>
      </c>
      <c r="I37" s="350">
        <f>IF('Dic-26'!$H37="","",'Dic-26'!$H37*0.21)</f>
        <v>-4902.8931000000002</v>
      </c>
      <c r="J37" s="350"/>
      <c r="K37" s="350"/>
      <c r="L37" s="350"/>
      <c r="M37" s="350"/>
      <c r="N37" s="350"/>
      <c r="O37" s="350"/>
      <c r="P37" s="351">
        <f>SUM('Dic-26'!$H37:$O37)</f>
        <v>-28250.003100000002</v>
      </c>
      <c r="Q37" s="21" t="str">
        <f>IFERROR(IF('Dic-26'!$F37="","-",VLOOKUP('Dic-26'!$F37,Lista_CUIT!$A$1:$D$2241,3,0)),"CUIT NO CARGADO")</f>
        <v>Mantenimiento</v>
      </c>
      <c r="R37" s="21">
        <f>IFERROR(IF('Dic-26'!$F37="","-",VLOOKUP('Dic-26'!$F37,Lista_CUIT!$A$1:$D$2241,4,0)),"CUIT NO CARGADO")</f>
        <v>0</v>
      </c>
    </row>
    <row r="38" spans="2:18" ht="15" customHeight="1" x14ac:dyDescent="0.25">
      <c r="B38" s="12"/>
      <c r="C38" s="13"/>
      <c r="D38" s="14"/>
      <c r="E38" s="15"/>
      <c r="F38" s="16"/>
      <c r="G38" s="17" t="str">
        <f>IFERROR(IF('Dic-26'!$F38="","-",VLOOKUP('Dic-26'!$F38,Lista_CUIT!$A$1:$D$2241,2,0)),"CUIT NO CARGADO")</f>
        <v>-</v>
      </c>
      <c r="H38" s="352">
        <v>0</v>
      </c>
      <c r="I38" s="350">
        <f>IF('Dic-26'!$H38="","",'Dic-26'!$H38*0.21)</f>
        <v>0</v>
      </c>
      <c r="J38" s="353"/>
      <c r="K38" s="353"/>
      <c r="L38" s="353"/>
      <c r="M38" s="353"/>
      <c r="N38" s="353"/>
      <c r="O38" s="353"/>
      <c r="P38" s="354">
        <f>SUM('Dic-26'!$H38:$O38)</f>
        <v>0</v>
      </c>
      <c r="Q38" s="21" t="str">
        <f>IFERROR(IF('Dic-26'!$F38="","-",VLOOKUP('Dic-26'!$F38,Lista_CUIT!$A$1:$D$2241,3,0)),"CUIT NO CARGADO")</f>
        <v>-</v>
      </c>
      <c r="R38" s="21" t="str">
        <f>IFERROR(IF('Dic-26'!$F38="","-",VLOOKUP('Dic-26'!$F38,Lista_CUIT!$A$1:$D$2241,4,0)),"CUIT NO CARGADO")</f>
        <v>-</v>
      </c>
    </row>
    <row r="39" spans="2:18" ht="15.75" customHeight="1" x14ac:dyDescent="0.25">
      <c r="B39" s="12"/>
      <c r="C39" s="13"/>
      <c r="D39" s="14"/>
      <c r="E39" s="15"/>
      <c r="F39" s="16"/>
      <c r="G39" s="17"/>
      <c r="H39" s="18">
        <f>SUBTOTAL(109,Table_55[NETO GRAVADO])</f>
        <v>835732.58999999985</v>
      </c>
      <c r="I39" s="18">
        <f>SUBTOTAL(109,Table_55[IVA 21 %])</f>
        <v>174306.5583</v>
      </c>
      <c r="J39" s="18">
        <f>SUBTOTAL(109,Table_55[IVA 27%])</f>
        <v>0</v>
      </c>
      <c r="K39" s="18">
        <f>SUBTOTAL(109,Table_55[IVA 10,5%])</f>
        <v>598.64279999999997</v>
      </c>
      <c r="L39" s="18">
        <f>SUBTOTAL(109,Table_55[PERC. IVA])</f>
        <v>578.42999999999995</v>
      </c>
      <c r="M39" s="18">
        <f>SUBTOTAL(109,Table_55[PERC IIBB 
BS AS])</f>
        <v>0</v>
      </c>
      <c r="N39" s="18">
        <f>SUBTOTAL(109,Table_55[PERC. IIBB CABA])</f>
        <v>0</v>
      </c>
      <c r="O39" s="18">
        <f>SUBTOTAL(109,Table_55[Otros / No Grav.])</f>
        <v>1068317.8999999999</v>
      </c>
      <c r="P39" s="18">
        <f>SUBTOTAL(109,Table_55[TOTAL])</f>
        <v>2079534.1211000003</v>
      </c>
      <c r="Q39" s="18">
        <f>SUBTOTAL(109,Table_55[Tipo de Gasto])</f>
        <v>0</v>
      </c>
      <c r="R39" s="18">
        <f>SUBTOTAL(109,Table_55[Provincia])</f>
        <v>0</v>
      </c>
    </row>
    <row r="40" spans="2:18" ht="15.75" customHeight="1" x14ac:dyDescent="0.25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  <c r="M40" s="19"/>
      <c r="N40" s="19"/>
      <c r="O40" s="19"/>
      <c r="P40" s="20"/>
      <c r="Q40" s="21"/>
      <c r="R40" s="21"/>
    </row>
    <row r="41" spans="2:18" ht="15.75" customHeight="1" x14ac:dyDescent="0.25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  <c r="M41" s="19"/>
      <c r="N41" s="19"/>
      <c r="O41" s="19"/>
      <c r="P41" s="20"/>
      <c r="Q41" s="21"/>
      <c r="R41" s="21"/>
    </row>
    <row r="42" spans="2:18" ht="15.75" customHeight="1" x14ac:dyDescent="0.25">
      <c r="B42" s="12"/>
      <c r="C42" s="13"/>
      <c r="D42" s="14"/>
      <c r="E42" s="15"/>
      <c r="F42" s="16"/>
      <c r="G42" s="17"/>
      <c r="H42" s="18"/>
      <c r="I42" s="19"/>
      <c r="J42" s="19"/>
      <c r="K42" s="19"/>
      <c r="L42" s="19"/>
    </row>
    <row r="43" spans="2:18" ht="25.5" customHeight="1" x14ac:dyDescent="0.25">
      <c r="D43" s="456" t="s">
        <v>1337</v>
      </c>
      <c r="E43" s="448"/>
      <c r="F43" s="448"/>
      <c r="G43" s="448"/>
      <c r="H43" s="448"/>
      <c r="I43" s="448"/>
      <c r="J43" s="448"/>
      <c r="K43" s="448"/>
      <c r="L43" s="449"/>
    </row>
    <row r="44" spans="2:18" ht="15.75" customHeight="1" x14ac:dyDescent="0.25">
      <c r="D44" s="24" t="s">
        <v>1322</v>
      </c>
      <c r="E44" s="25" t="s">
        <v>1338</v>
      </c>
      <c r="F44" s="25" t="s">
        <v>1339</v>
      </c>
      <c r="G44" s="25" t="s">
        <v>1340</v>
      </c>
      <c r="H44" s="25" t="s">
        <v>1341</v>
      </c>
      <c r="I44" s="25" t="s">
        <v>1329</v>
      </c>
      <c r="J44" s="26" t="s">
        <v>1342</v>
      </c>
      <c r="K44" s="26" t="s">
        <v>1343</v>
      </c>
      <c r="L44" s="27" t="s">
        <v>1344</v>
      </c>
    </row>
    <row r="45" spans="2:18" ht="17.25" customHeight="1" x14ac:dyDescent="0.25">
      <c r="D45" s="12"/>
      <c r="E45" s="30"/>
      <c r="F45" s="29"/>
      <c r="G45" s="31"/>
      <c r="H45" s="31">
        <f>'Dic-26'!$G45*0.21</f>
        <v>0</v>
      </c>
      <c r="I45" s="31"/>
      <c r="J45" s="31"/>
      <c r="K45" s="31"/>
      <c r="L45" s="31"/>
    </row>
    <row r="46" spans="2:18" ht="15.75" customHeight="1" x14ac:dyDescent="0.25">
      <c r="D46" s="12"/>
      <c r="E46" s="30"/>
      <c r="F46" s="29"/>
      <c r="G46" s="31"/>
      <c r="H46" s="31">
        <f>'Dic-26'!$G46*0.21</f>
        <v>0</v>
      </c>
      <c r="I46" s="31"/>
      <c r="J46" s="31"/>
      <c r="K46" s="31"/>
      <c r="L46" s="31"/>
    </row>
    <row r="47" spans="2:18" ht="15.75" customHeight="1" x14ac:dyDescent="0.25">
      <c r="D47" s="12"/>
      <c r="E47" s="30"/>
      <c r="F47" s="29"/>
      <c r="G47" s="31"/>
      <c r="H47" s="31">
        <f>'Dic-26'!$G47*0.21</f>
        <v>0</v>
      </c>
      <c r="I47" s="31"/>
      <c r="J47" s="31"/>
      <c r="K47" s="31"/>
      <c r="L47" s="31"/>
    </row>
    <row r="48" spans="2:18" ht="15.75" customHeight="1" x14ac:dyDescent="0.25">
      <c r="D48" s="21" t="s">
        <v>1336</v>
      </c>
      <c r="E48" s="29"/>
      <c r="F48" s="29"/>
      <c r="G48" s="31">
        <f>SUBTOTAL(109,'Dic-26'!$G$45:$G$47)</f>
        <v>0</v>
      </c>
      <c r="H48" s="31">
        <f>SUBTOTAL(109,'Dic-26'!$H$45:$H$47)</f>
        <v>0</v>
      </c>
      <c r="I48" s="31">
        <f>SUBTOTAL(109,'Dic-26'!$I$45:$I$47)</f>
        <v>0</v>
      </c>
      <c r="J48" s="31">
        <f>SUBTOTAL(109,'Dic-26'!$J$45:$J$47)</f>
        <v>0</v>
      </c>
      <c r="K48" s="31">
        <f>SUBTOTAL(109,'Dic-26'!$K$45:$K$47)</f>
        <v>0</v>
      </c>
      <c r="L48" s="31">
        <f>SUBTOTAL(109,'Dic-26'!$L$45:$L$47)</f>
        <v>0</v>
      </c>
    </row>
    <row r="49" spans="4:11" ht="15.75" customHeight="1" x14ac:dyDescent="0.25"/>
    <row r="50" spans="4:11" ht="15.75" customHeight="1" x14ac:dyDescent="0.25"/>
    <row r="51" spans="4:11" ht="15.75" customHeight="1" x14ac:dyDescent="0.25"/>
    <row r="52" spans="4:11" ht="15.75" customHeight="1" x14ac:dyDescent="0.25">
      <c r="D52" s="456" t="s">
        <v>1348</v>
      </c>
      <c r="E52" s="448"/>
      <c r="F52" s="448"/>
      <c r="G52" s="448"/>
      <c r="H52" s="448"/>
      <c r="I52" s="448"/>
      <c r="J52" s="448"/>
      <c r="K52" s="449"/>
    </row>
    <row r="53" spans="4:11" ht="15.75" customHeight="1" x14ac:dyDescent="0.25">
      <c r="D53" s="35" t="s">
        <v>1322</v>
      </c>
      <c r="E53" s="35" t="s">
        <v>1324</v>
      </c>
      <c r="F53" s="35" t="s">
        <v>1349</v>
      </c>
      <c r="G53" s="35" t="s">
        <v>0</v>
      </c>
      <c r="H53" s="35" t="s">
        <v>1</v>
      </c>
      <c r="I53" s="36" t="s">
        <v>1334</v>
      </c>
      <c r="J53" s="35" t="s">
        <v>1350</v>
      </c>
      <c r="K53" s="35" t="s">
        <v>1335</v>
      </c>
    </row>
    <row r="54" spans="4:11" ht="15.75" customHeight="1" x14ac:dyDescent="0.25">
      <c r="D54" s="436">
        <v>45992</v>
      </c>
      <c r="E54" s="38">
        <v>2</v>
      </c>
      <c r="F54" s="38">
        <v>26</v>
      </c>
      <c r="G54" s="39">
        <v>23118167279</v>
      </c>
      <c r="H54" s="40" t="str">
        <f>IFERROR(IF('Dic-26'!$G54="","-",VLOOKUP('Dic-26'!$G54,Lista_CUIT!$A$1:$D$2241,2,0)),"CUIT NO CARGADO")</f>
        <v>ABELEDO ENRIQUE JUAN</v>
      </c>
      <c r="I54" s="41">
        <v>2670000</v>
      </c>
      <c r="J54" s="42" t="str">
        <f>IFERROR(IF('Dic-26'!$G54="","-",VLOOKUP('Dic-26'!$G54,Lista_CUIT!$A$1:$D$2241,3,0)),"CUIT NO CARGADO")</f>
        <v>Honorarios Admin</v>
      </c>
      <c r="K54" s="42">
        <f>IFERROR(IF('Dic-26'!$G54="","-",VLOOKUP('Dic-26'!$G54,Lista_CUIT!$A$1:$D$2241,4,0)),"CUIT NO CARGADO")</f>
        <v>0</v>
      </c>
    </row>
    <row r="55" spans="4:11" ht="15.75" customHeight="1" x14ac:dyDescent="0.25">
      <c r="D55" s="436">
        <v>45992</v>
      </c>
      <c r="E55" s="38">
        <v>2</v>
      </c>
      <c r="F55" s="38">
        <v>300</v>
      </c>
      <c r="G55" s="39">
        <v>27173820866</v>
      </c>
      <c r="H55" s="40" t="str">
        <f>IFERROR(IF('Dic-26'!$G55="","-",VLOOKUP('Dic-26'!$G55,Lista_CUIT!$A$1:$D$2241,2,0)),"CUIT NO CARGADO")</f>
        <v>FREIER SANDRA DANIELA</v>
      </c>
      <c r="I55" s="41">
        <v>1610000</v>
      </c>
      <c r="J55" s="42" t="str">
        <f>IFERROR(IF('Dic-26'!$G55="","-",VLOOKUP('Dic-26'!$G55,Lista_CUIT!$A$1:$D$2241,3,0)),"CUIT NO CARGADO")</f>
        <v>Honorarios Prof</v>
      </c>
      <c r="K55" s="42">
        <f>IFERROR(IF('Dic-26'!$G55="","-",VLOOKUP('Dic-26'!$G55,Lista_CUIT!$A$1:$D$2241,4,0)),"CUIT NO CARGADO")</f>
        <v>0</v>
      </c>
    </row>
    <row r="56" spans="4:11" ht="15.75" customHeight="1" x14ac:dyDescent="0.25">
      <c r="D56" s="436">
        <v>45993</v>
      </c>
      <c r="E56" s="38">
        <v>4</v>
      </c>
      <c r="F56" s="38">
        <v>103</v>
      </c>
      <c r="G56" s="39">
        <v>20086277523</v>
      </c>
      <c r="H56" s="40" t="str">
        <f>IFERROR(IF('Dic-26'!$G56="","-",VLOOKUP('Dic-26'!$G56,Lista_CUIT!$A$1:$D$2241,2,0)),"CUIT NO CARGADO")</f>
        <v>ESTUDIO BOTINDARI</v>
      </c>
      <c r="I56" s="41">
        <v>425000</v>
      </c>
      <c r="J56" s="42" t="str">
        <f>IFERROR(IF('Dic-26'!$G56="","-",VLOOKUP('Dic-26'!$G56,Lista_CUIT!$A$1:$D$2241,3,0)),"CUIT NO CARGADO")</f>
        <v>Honorarios Contables</v>
      </c>
      <c r="K56" s="42">
        <f>IFERROR(IF('Dic-26'!$G56="","-",VLOOKUP('Dic-26'!$G56,Lista_CUIT!$A$1:$D$2241,4,0)),"CUIT NO CARGADO")</f>
        <v>0</v>
      </c>
    </row>
    <row r="57" spans="4:11" ht="15.75" customHeight="1" x14ac:dyDescent="0.25">
      <c r="D57" s="436">
        <v>45993</v>
      </c>
      <c r="E57" s="38">
        <v>4</v>
      </c>
      <c r="F57" s="38">
        <v>191</v>
      </c>
      <c r="G57" s="39">
        <v>27172555387</v>
      </c>
      <c r="H57" s="40" t="str">
        <f>IFERROR(IF('Dic-26'!$G57="","-",VLOOKUP('Dic-26'!$G57,Lista_CUIT!$A$1:$D$2241,2,0)),"CUIT NO CARGADO")</f>
        <v>VOFCHUK LILIAN VERONICA</v>
      </c>
      <c r="I57" s="41">
        <v>27160</v>
      </c>
      <c r="J57" s="42" t="str">
        <f>IFERROR(IF('Dic-26'!$G57="","-",VLOOKUP('Dic-26'!$G57,Lista_CUIT!$A$1:$D$2241,3,0)),"CUIT NO CARGADO")</f>
        <v>GASTOS VARIOS</v>
      </c>
      <c r="K57" s="42">
        <f>IFERROR(IF('Dic-26'!$G57="","-",VLOOKUP('Dic-26'!$G57,Lista_CUIT!$A$1:$D$2241,4,0)),"CUIT NO CARGADO")</f>
        <v>0</v>
      </c>
    </row>
    <row r="58" spans="4:11" ht="15.75" customHeight="1" x14ac:dyDescent="0.25">
      <c r="D58" s="436">
        <v>45994</v>
      </c>
      <c r="E58" s="38">
        <v>1</v>
      </c>
      <c r="F58" s="38">
        <v>51</v>
      </c>
      <c r="G58" s="39">
        <v>27387896150</v>
      </c>
      <c r="H58" s="40" t="str">
        <f>IFERROR(IF('Dic-26'!$G58="","-",VLOOKUP('Dic-26'!$G58,Lista_CUIT!$A$1:$D$2241,2,0)),"CUIT NO CARGADO")</f>
        <v>LIPANOVICH MARIA SOL</v>
      </c>
      <c r="I58" s="41">
        <v>725307</v>
      </c>
      <c r="J58" s="42" t="str">
        <f>IFERROR(IF('Dic-26'!$G58="","-",VLOOKUP('Dic-26'!$G58,Lista_CUIT!$A$1:$D$2241,3,0)),"CUIT NO CARGADO")</f>
        <v>consultoria informatica</v>
      </c>
      <c r="K58" s="42">
        <f>IFERROR(IF('Dic-26'!$G58="","-",VLOOKUP('Dic-26'!$G58,Lista_CUIT!$A$1:$D$2241,4,0)),"CUIT NO CARGADO")</f>
        <v>0</v>
      </c>
    </row>
    <row r="59" spans="4:11" ht="15.75" customHeight="1" x14ac:dyDescent="0.25">
      <c r="D59" s="436">
        <v>45994</v>
      </c>
      <c r="E59" s="38">
        <v>1</v>
      </c>
      <c r="F59" s="38">
        <v>52</v>
      </c>
      <c r="G59" s="39">
        <v>27387896150</v>
      </c>
      <c r="H59" s="40" t="str">
        <f>IFERROR(IF('Dic-26'!$G59="","-",VLOOKUP('Dic-26'!$G59,Lista_CUIT!$A$1:$D$2241,2,0)),"CUIT NO CARGADO")</f>
        <v>LIPANOVICH MARIA SOL</v>
      </c>
      <c r="I59" s="41">
        <v>1985850</v>
      </c>
      <c r="J59" s="42" t="str">
        <f>IFERROR(IF('Dic-26'!$G59="","-",VLOOKUP('Dic-26'!$G59,Lista_CUIT!$A$1:$D$2241,3,0)),"CUIT NO CARGADO")</f>
        <v>consultoria informatica</v>
      </c>
      <c r="K59" s="42">
        <f>IFERROR(IF('Dic-26'!$G59="","-",VLOOKUP('Dic-26'!$G59,Lista_CUIT!$A$1:$D$2241,4,0)),"CUIT NO CARGADO")</f>
        <v>0</v>
      </c>
    </row>
    <row r="60" spans="4:11" ht="15.75" customHeight="1" x14ac:dyDescent="0.25">
      <c r="D60" s="436">
        <v>45995</v>
      </c>
      <c r="E60" s="38">
        <v>1</v>
      </c>
      <c r="F60" s="38">
        <v>176</v>
      </c>
      <c r="G60" s="39">
        <v>20389908569</v>
      </c>
      <c r="H60" s="40" t="str">
        <f>IFERROR(IF('Dic-26'!$G60="","-",VLOOKUP('Dic-26'!$G60,Lista_CUIT!$A$1:$D$2241,2,0)),"CUIT NO CARGADO")</f>
        <v>BOTINDARI JUAN IGNACIO</v>
      </c>
      <c r="I60" s="41">
        <v>125000</v>
      </c>
      <c r="J60" s="42" t="str">
        <f>IFERROR(IF('Dic-26'!$G60="","-",VLOOKUP('Dic-26'!$G60,Lista_CUIT!$A$1:$D$2241,3,0)),"CUIT NO CARGADO")</f>
        <v>Honorarios Contables</v>
      </c>
      <c r="K60" s="42">
        <f>IFERROR(IF('Dic-26'!$G60="","-",VLOOKUP('Dic-26'!$G60,Lista_CUIT!$A$1:$D$2241,4,0)),"CUIT NO CARGADO")</f>
        <v>0</v>
      </c>
    </row>
    <row r="61" spans="4:11" ht="15.75" customHeight="1" x14ac:dyDescent="0.25">
      <c r="D61" s="436">
        <v>45996</v>
      </c>
      <c r="E61" s="38">
        <v>2</v>
      </c>
      <c r="F61" s="38">
        <v>2476</v>
      </c>
      <c r="G61" s="39">
        <v>20469564267</v>
      </c>
      <c r="H61" s="40" t="str">
        <f>IFERROR(IF('Dic-26'!$G61="","-",VLOOKUP('Dic-26'!$G61,Lista_CUIT!$A$1:$D$2241,2,0)),"CUIT NO CARGADO")</f>
        <v>LO GUZZO LA FICO JUAN</v>
      </c>
      <c r="I61" s="41">
        <v>20000</v>
      </c>
      <c r="J61" s="42" t="str">
        <f>IFERROR(IF('Dic-26'!$G61="","-",VLOOKUP('Dic-26'!$G61,Lista_CUIT!$A$1:$D$2241,3,0)),"CUIT NO CARGADO")</f>
        <v>GASTOS VARIOS</v>
      </c>
      <c r="K61" s="42">
        <f>IFERROR(IF('Dic-26'!$G61="","-",VLOOKUP('Dic-26'!$G61,Lista_CUIT!$A$1:$D$2241,4,0)),"CUIT NO CARGADO")</f>
        <v>0</v>
      </c>
    </row>
    <row r="62" spans="4:11" ht="15.75" customHeight="1" x14ac:dyDescent="0.25">
      <c r="D62" s="436">
        <v>46000</v>
      </c>
      <c r="E62" s="38">
        <v>2</v>
      </c>
      <c r="F62" s="38">
        <v>190</v>
      </c>
      <c r="G62" s="39">
        <v>20136544625</v>
      </c>
      <c r="H62" s="40" t="str">
        <f>IFERROR(IF('Dic-26'!$G62="","-",VLOOKUP('Dic-26'!$G62,Lista_CUIT!$A$1:$D$2241,2,0)),"CUIT NO CARGADO")</f>
        <v>RODRIGUEZ DE LA FUEN HECTOR MARCELO</v>
      </c>
      <c r="I62" s="41">
        <v>1310000</v>
      </c>
      <c r="J62" s="42" t="str">
        <f>IFERROR(IF('Dic-26'!$G62="","-",VLOOKUP('Dic-26'!$G62,Lista_CUIT!$A$1:$D$2241,3,0)),"CUIT NO CARGADO")</f>
        <v>Honorarios Admin</v>
      </c>
      <c r="K62" s="42">
        <f>IFERROR(IF('Dic-26'!$G62="","-",VLOOKUP('Dic-26'!$G62,Lista_CUIT!$A$1:$D$2241,4,0)),"CUIT NO CARGADO")</f>
        <v>0</v>
      </c>
    </row>
    <row r="63" spans="4:11" ht="15.75" customHeight="1" x14ac:dyDescent="0.25">
      <c r="D63" s="436">
        <v>46001</v>
      </c>
      <c r="E63" s="38">
        <v>4</v>
      </c>
      <c r="F63" s="38">
        <v>61</v>
      </c>
      <c r="G63" s="39">
        <v>20341462933</v>
      </c>
      <c r="H63" s="40" t="str">
        <f>IFERROR(IF('Dic-26'!$G63="","-",VLOOKUP('Dic-26'!$G63,Lista_CUIT!$A$1:$D$2241,2,0)),"CUIT NO CARGADO")</f>
        <v>CASTIGLIONI MATIAS EZEQUIEL</v>
      </c>
      <c r="I63" s="41">
        <v>2534000</v>
      </c>
      <c r="J63" s="42" t="str">
        <f>IFERROR(IF('Dic-26'!$G63="","-",VLOOKUP('Dic-26'!$G63,Lista_CUIT!$A$1:$D$2241,3,0)),"CUIT NO CARGADO")</f>
        <v>ASESORAMIENTO</v>
      </c>
      <c r="K63" s="42" t="str">
        <f>IFERROR(IF('Dic-26'!$G63="","-",VLOOKUP('Dic-26'!$G63,Lista_CUIT!$A$1:$D$2241,4,0)),"CUIT NO CARGADO")</f>
        <v>BUENOS AIRES</v>
      </c>
    </row>
    <row r="64" spans="4:11" ht="15.75" customHeight="1" x14ac:dyDescent="0.25">
      <c r="D64" s="436">
        <v>46013</v>
      </c>
      <c r="E64" s="38">
        <v>1</v>
      </c>
      <c r="F64" s="38">
        <v>123</v>
      </c>
      <c r="G64" s="39">
        <v>20341465134</v>
      </c>
      <c r="H64" s="40" t="str">
        <f>IFERROR(IF('Dic-26'!$G64="","-",VLOOKUP('Dic-26'!$G64,Lista_CUIT!$A$1:$D$2241,2,0)),"CUIT NO CARGADO")</f>
        <v>ABELEDO AGUSTIN ENRIQUE</v>
      </c>
      <c r="I64" s="41">
        <v>3147900</v>
      </c>
      <c r="J64" s="42" t="str">
        <f>IFERROR(IF('Dic-26'!$G64="","-",VLOOKUP('Dic-26'!$G64,Lista_CUIT!$A$1:$D$2241,3,0)),"CUIT NO CARGADO")</f>
        <v>Mantenimiento</v>
      </c>
      <c r="K64" s="42" t="str">
        <f>IFERROR(IF('Dic-26'!$G64="","-",VLOOKUP('Dic-26'!$G64,Lista_CUIT!$A$1:$D$2241,4,0)),"CUIT NO CARGADO")</f>
        <v>CABA</v>
      </c>
    </row>
    <row r="65" spans="2:18" ht="15.75" customHeight="1" x14ac:dyDescent="0.25">
      <c r="D65" s="436">
        <v>46019</v>
      </c>
      <c r="E65" s="38">
        <v>1</v>
      </c>
      <c r="F65" s="38">
        <v>690</v>
      </c>
      <c r="G65" s="39">
        <v>27925308884</v>
      </c>
      <c r="H65" s="40" t="str">
        <f>IFERROR(IF('Dic-26'!$G65="","-",VLOOKUP('Dic-26'!$G65,Lista_CUIT!$A$1:$D$2241,2,0)),"CUIT NO CARGADO")</f>
        <v>LOPEZ LOPEZ FLAVIA</v>
      </c>
      <c r="I65" s="41">
        <v>40000</v>
      </c>
      <c r="J65" s="42" t="str">
        <f>IFERROR(IF('Dic-26'!$G65="","-",VLOOKUP('Dic-26'!$G65,Lista_CUIT!$A$1:$D$2241,3,0)),"CUIT NO CARGADO")</f>
        <v>GASTOS VARIOS</v>
      </c>
      <c r="K65" s="42">
        <f>IFERROR(IF('Dic-26'!$G65="","-",VLOOKUP('Dic-26'!$G65,Lista_CUIT!$A$1:$D$2241,4,0)),"CUIT NO CARGADO")</f>
        <v>0</v>
      </c>
    </row>
    <row r="66" spans="2:18" ht="15.75" customHeight="1" x14ac:dyDescent="0.25">
      <c r="D66" s="436"/>
      <c r="E66" s="38"/>
      <c r="F66" s="38"/>
      <c r="G66" s="39"/>
      <c r="H66" s="40" t="str">
        <f>IFERROR(IF('Dic-26'!$G66="","-",VLOOKUP('Dic-26'!$G66,Lista_CUIT!$A$1:$D$2241,2,0)),"CUIT NO CARGADO")</f>
        <v>-</v>
      </c>
      <c r="I66" s="41"/>
      <c r="J66" s="42" t="str">
        <f>IFERROR(IF('Dic-26'!$G66="","-",VLOOKUP('Dic-26'!$G66,Lista_CUIT!$A$1:$D$2241,3,0)),"CUIT NO CARGADO")</f>
        <v>-</v>
      </c>
      <c r="K66" s="42" t="str">
        <f>IFERROR(IF('Dic-26'!$G66="","-",VLOOKUP('Dic-26'!$G66,Lista_CUIT!$A$1:$D$2241,4,0)),"CUIT NO CARGADO")</f>
        <v>-</v>
      </c>
    </row>
    <row r="67" spans="2:18" ht="15.75" customHeight="1" x14ac:dyDescent="0.25">
      <c r="D67" s="436"/>
      <c r="E67" s="38"/>
      <c r="F67" s="38"/>
      <c r="G67" s="39"/>
      <c r="H67" s="40" t="str">
        <f>IFERROR(IF('Dic-26'!$G67="","-",VLOOKUP('Dic-26'!$G67,Lista_CUIT!$A$1:$D$2241,2,0)),"CUIT NO CARGADO")</f>
        <v>-</v>
      </c>
      <c r="I67" s="41"/>
      <c r="J67" s="42" t="str">
        <f>IFERROR(IF('Dic-26'!$G67="","-",VLOOKUP('Dic-26'!$G67,Lista_CUIT!$A$1:$D$2241,3,0)),"CUIT NO CARGADO")</f>
        <v>-</v>
      </c>
      <c r="K67" s="42" t="str">
        <f>IFERROR(IF('Dic-26'!$G67="","-",VLOOKUP('Dic-26'!$G67,Lista_CUIT!$A$1:$D$2241,4,0)),"CUIT NO CARGADO")</f>
        <v>-</v>
      </c>
    </row>
    <row r="68" spans="2:18" ht="15.75" customHeight="1" x14ac:dyDescent="0.25">
      <c r="D68" s="436"/>
      <c r="E68" s="38"/>
      <c r="F68" s="38"/>
      <c r="G68" s="39"/>
      <c r="H68" s="40" t="str">
        <f>IFERROR(IF('Dic-26'!$G68="","-",VLOOKUP('Dic-26'!$G68,Lista_CUIT!$A$1:$D$2241,2,0)),"CUIT NO CARGADO")</f>
        <v>-</v>
      </c>
      <c r="I68" s="41"/>
      <c r="J68" s="42" t="str">
        <f>IFERROR(IF('Dic-26'!$G68="","-",VLOOKUP('Dic-26'!$G68,Lista_CUIT!$A$1:$D$2241,3,0)),"CUIT NO CARGADO")</f>
        <v>-</v>
      </c>
      <c r="K68" s="42" t="str">
        <f>IFERROR(IF('Dic-26'!$G68="","-",VLOOKUP('Dic-26'!$G68,Lista_CUIT!$A$1:$D$2241,4,0)),"CUIT NO CARGADO")</f>
        <v>-</v>
      </c>
    </row>
    <row r="69" spans="2:18" ht="15.75" customHeight="1" x14ac:dyDescent="0.25">
      <c r="D69" s="436"/>
      <c r="E69" s="38"/>
      <c r="F69" s="38"/>
      <c r="G69" s="39"/>
      <c r="H69" s="40" t="str">
        <f>IFERROR(IF('Dic-26'!$G69="","-",VLOOKUP('Dic-26'!$G69,Lista_CUIT!$A$1:$D$2241,2,0)),"CUIT NO CARGADO")</f>
        <v>-</v>
      </c>
      <c r="I69" s="41"/>
      <c r="J69" s="42" t="str">
        <f>IFERROR(IF('Dic-26'!$G69="","-",VLOOKUP('Dic-26'!$G69,Lista_CUIT!$A$1:$D$2241,3,0)),"CUIT NO CARGADO")</f>
        <v>-</v>
      </c>
      <c r="K69" s="42" t="str">
        <f>IFERROR(IF('Dic-26'!$G69="","-",VLOOKUP('Dic-26'!$G69,Lista_CUIT!$A$1:$D$2241,4,0)),"CUIT NO CARGADO")</f>
        <v>-</v>
      </c>
    </row>
    <row r="70" spans="2:18" ht="15.75" customHeight="1" x14ac:dyDescent="0.25">
      <c r="D70" s="42" t="s">
        <v>1336</v>
      </c>
      <c r="E70" s="42"/>
      <c r="F70" s="42"/>
      <c r="G70" s="42"/>
      <c r="H70" s="44"/>
      <c r="I70" s="41">
        <f>SUBTOTAL(109,'Dic-26'!$I$54:$I$69)</f>
        <v>14620217</v>
      </c>
      <c r="J70" s="42"/>
      <c r="K70" s="42"/>
    </row>
    <row r="71" spans="2:18" ht="15.75" customHeight="1" x14ac:dyDescent="0.25">
      <c r="B71" s="43"/>
      <c r="C71" s="43"/>
      <c r="L71" s="43"/>
      <c r="M71" s="43"/>
      <c r="N71" s="43"/>
      <c r="O71" s="43"/>
      <c r="P71" s="43"/>
      <c r="Q71" s="43"/>
      <c r="R71" s="43"/>
    </row>
    <row r="72" spans="2:18" ht="15.75" customHeight="1" x14ac:dyDescent="0.25"/>
    <row r="73" spans="2:18" ht="15.75" customHeight="1" x14ac:dyDescent="0.25"/>
    <row r="74" spans="2:18" ht="15.75" customHeight="1" x14ac:dyDescent="0.25"/>
    <row r="75" spans="2:18" ht="15.75" customHeight="1" x14ac:dyDescent="0.25"/>
    <row r="76" spans="2:18" ht="15.75" customHeight="1" x14ac:dyDescent="0.25">
      <c r="B76" s="464" t="s">
        <v>1351</v>
      </c>
      <c r="C76" s="448"/>
      <c r="D76" s="448"/>
      <c r="E76" s="448"/>
      <c r="F76" s="448"/>
      <c r="G76" s="448"/>
      <c r="H76" s="448"/>
      <c r="I76" s="448"/>
      <c r="J76" s="449"/>
      <c r="K76" s="465">
        <f>N1</f>
        <v>45992</v>
      </c>
      <c r="L76" s="448"/>
      <c r="M76" s="449"/>
    </row>
    <row r="77" spans="2:18" ht="15.75" customHeight="1" x14ac:dyDescent="0.25"/>
    <row r="78" spans="2:18" ht="15.75" customHeight="1" x14ac:dyDescent="0.25">
      <c r="B78" s="457" t="s">
        <v>1352</v>
      </c>
      <c r="C78" s="458"/>
    </row>
    <row r="79" spans="2:18" ht="15.75" customHeight="1" x14ac:dyDescent="0.25">
      <c r="B79" s="45" t="s">
        <v>1322</v>
      </c>
      <c r="C79" s="46" t="s">
        <v>1323</v>
      </c>
      <c r="D79" s="46" t="s">
        <v>1353</v>
      </c>
      <c r="E79" s="46" t="s">
        <v>1354</v>
      </c>
      <c r="F79" s="46" t="s">
        <v>0</v>
      </c>
      <c r="G79" s="46" t="s">
        <v>1</v>
      </c>
      <c r="H79" s="46" t="s">
        <v>1355</v>
      </c>
      <c r="I79" s="46" t="s">
        <v>1341</v>
      </c>
      <c r="J79" s="46" t="s">
        <v>1329</v>
      </c>
      <c r="K79" s="46" t="s">
        <v>1356</v>
      </c>
      <c r="L79" s="46" t="s">
        <v>1334</v>
      </c>
      <c r="M79" s="47" t="s">
        <v>1335</v>
      </c>
    </row>
    <row r="80" spans="2:18" ht="15.75" customHeight="1" x14ac:dyDescent="0.25">
      <c r="B80" s="435">
        <v>45996</v>
      </c>
      <c r="C80" s="250">
        <v>1</v>
      </c>
      <c r="D80" s="251">
        <v>3</v>
      </c>
      <c r="E80" s="252">
        <v>299</v>
      </c>
      <c r="F80" s="253">
        <v>30628274327</v>
      </c>
      <c r="G80" s="302" t="str">
        <f>IFERROR(IF('Dic-26'!$F80="","-",VLOOKUP('Dic-26'!$F80,Lista_CUIT!$A$1:$D$2241,2,0)),"CUIT NO CARGADO")</f>
        <v>AGIRA  S A</v>
      </c>
      <c r="H80" s="303">
        <v>6425420</v>
      </c>
      <c r="I80" s="216"/>
      <c r="J80" s="304">
        <f>Table_58[[#This Row],[IMPORTE NETO]]*0.105</f>
        <v>674669.1</v>
      </c>
      <c r="K80" s="304"/>
      <c r="L80" s="304">
        <f>SUM('Dic-26'!$H80:$K80)</f>
        <v>7100089.0999999996</v>
      </c>
      <c r="M80" s="305"/>
    </row>
    <row r="81" spans="2:13" ht="15.75" customHeight="1" x14ac:dyDescent="0.25">
      <c r="B81" s="435">
        <v>45996</v>
      </c>
      <c r="C81" s="250">
        <v>1</v>
      </c>
      <c r="D81" s="251">
        <v>3</v>
      </c>
      <c r="E81" s="252">
        <v>297</v>
      </c>
      <c r="F81" s="253">
        <v>30716041596</v>
      </c>
      <c r="G81" s="302" t="str">
        <f>IFERROR(IF('Dic-26'!$F81="","-",VLOOKUP('Dic-26'!$F81,Lista_CUIT!$A$1:$D$2241,2,0)),"CUIT NO CARGADO")</f>
        <v>EXA COMPRESION S.R.L.</v>
      </c>
      <c r="H81" s="303">
        <v>1518400</v>
      </c>
      <c r="I81" s="216">
        <f>'Dic-26'!$H81*0.21</f>
        <v>318864</v>
      </c>
      <c r="J81" s="304"/>
      <c r="K81" s="304"/>
      <c r="L81" s="304">
        <f>SUM('Dic-26'!$H81:$K81)</f>
        <v>1837264</v>
      </c>
      <c r="M81" s="305"/>
    </row>
    <row r="82" spans="2:13" ht="15.75" customHeight="1" x14ac:dyDescent="0.25">
      <c r="B82" s="435">
        <v>45996</v>
      </c>
      <c r="C82" s="250">
        <v>1</v>
      </c>
      <c r="D82" s="251">
        <v>3</v>
      </c>
      <c r="E82" s="252">
        <v>298</v>
      </c>
      <c r="F82" s="253">
        <v>33717088269</v>
      </c>
      <c r="G82" s="302" t="str">
        <f>IFERROR(IF('Dic-26'!$F82="","-",VLOOKUP('Dic-26'!$F82,Lista_CUIT!$A$1:$D$2241,2,0)),"CUIT NO CARGADO")</f>
        <v>NEXT SERVICE GNC S.R.L.</v>
      </c>
      <c r="H82" s="303">
        <v>6303685.9299999997</v>
      </c>
      <c r="I82" s="216">
        <f>'Dic-26'!$H82*0.21</f>
        <v>1323774.0452999999</v>
      </c>
      <c r="J82" s="304"/>
      <c r="K82" s="304"/>
      <c r="L82" s="304">
        <f>SUM('Dic-26'!$H82:$K82)</f>
        <v>7627459.9752999991</v>
      </c>
      <c r="M82" s="305"/>
    </row>
    <row r="83" spans="2:13" ht="15.75" customHeight="1" x14ac:dyDescent="0.25">
      <c r="B83" s="435">
        <v>46002</v>
      </c>
      <c r="C83" s="250">
        <v>1</v>
      </c>
      <c r="D83" s="251">
        <v>3</v>
      </c>
      <c r="E83" s="252">
        <v>300</v>
      </c>
      <c r="F83" s="253">
        <v>30716328631</v>
      </c>
      <c r="G83" s="302" t="str">
        <f>IFERROR(IF('Dic-26'!$F83="","-",VLOOKUP('Dic-26'!$F83,Lista_CUIT!$A$1:$D$2241,2,0)),"CUIT NO CARGADO")</f>
        <v>COMBUSTIBLES PILAR S.A.S.</v>
      </c>
      <c r="H83" s="303">
        <v>1679000</v>
      </c>
      <c r="I83" s="216">
        <f>'Dic-26'!$H83*0.21</f>
        <v>352590</v>
      </c>
      <c r="J83" s="304"/>
      <c r="K83" s="304"/>
      <c r="L83" s="304">
        <f>SUM('Dic-26'!$H83:$K83)</f>
        <v>2031590</v>
      </c>
      <c r="M83" s="305"/>
    </row>
    <row r="84" spans="2:13" ht="15.75" customHeight="1" x14ac:dyDescent="0.25">
      <c r="B84" s="435">
        <v>46006</v>
      </c>
      <c r="C84" s="250">
        <v>1</v>
      </c>
      <c r="D84" s="251">
        <v>3</v>
      </c>
      <c r="E84" s="252">
        <v>301</v>
      </c>
      <c r="F84" s="253">
        <v>23239931359</v>
      </c>
      <c r="G84" s="302" t="str">
        <f>IFERROR(IF('Dic-26'!$F84="","-",VLOOKUP('Dic-26'!$F84,Lista_CUIT!$A$1:$D$2241,2,0)),"CUIT NO CARGADO")</f>
        <v>SAN MIGUEL JOSE MARCELO</v>
      </c>
      <c r="H84" s="303">
        <v>7764500</v>
      </c>
      <c r="I84" s="216"/>
      <c r="J84" s="304">
        <f>Table_58[[#This Row],[IMPORTE NETO]]*0.105</f>
        <v>815272.5</v>
      </c>
      <c r="K84" s="304"/>
      <c r="L84" s="304">
        <f>SUM('Dic-26'!$H84:$K84)</f>
        <v>8579772.5</v>
      </c>
      <c r="M84" s="305"/>
    </row>
    <row r="85" spans="2:13" ht="15.75" customHeight="1" x14ac:dyDescent="0.25">
      <c r="B85" s="435">
        <v>46006</v>
      </c>
      <c r="C85" s="250">
        <v>1</v>
      </c>
      <c r="D85" s="251">
        <v>3</v>
      </c>
      <c r="E85" s="252">
        <v>302</v>
      </c>
      <c r="F85" s="253">
        <v>33717088269</v>
      </c>
      <c r="G85" s="302" t="str">
        <f>IFERROR(IF('Dic-26'!$F85="","-",VLOOKUP('Dic-26'!$F85,Lista_CUIT!$A$1:$D$2241,2,0)),"CUIT NO CARGADO")</f>
        <v>NEXT SERVICE GNC S.R.L.</v>
      </c>
      <c r="H85" s="303">
        <v>2970054.55</v>
      </c>
      <c r="I85" s="216">
        <f>'Dic-26'!$H85*0.21</f>
        <v>623711.45549999992</v>
      </c>
      <c r="J85" s="304"/>
      <c r="K85" s="304"/>
      <c r="L85" s="304">
        <f>SUM('Dic-26'!$H85:$K85)</f>
        <v>3593766.0055</v>
      </c>
      <c r="M85" s="305"/>
    </row>
    <row r="86" spans="2:13" ht="15.75" customHeight="1" x14ac:dyDescent="0.25">
      <c r="B86" s="435">
        <v>46006</v>
      </c>
      <c r="C86" s="250">
        <v>1</v>
      </c>
      <c r="D86" s="251">
        <v>3</v>
      </c>
      <c r="E86" s="252">
        <v>15</v>
      </c>
      <c r="F86" s="253">
        <v>30638318470</v>
      </c>
      <c r="G86" s="302" t="str">
        <f>IFERROR(IF('Dic-26'!$F86="","-",VLOOKUP('Dic-26'!$F86,Lista_CUIT!$A$1:$D$2241,2,0)),"CUIT NO CARGADO")</f>
        <v>DELTA COMPRESION S R L</v>
      </c>
      <c r="H86" s="303">
        <v>55184518.899999999</v>
      </c>
      <c r="I86" s="216">
        <f>'Dic-26'!$H86*0.21</f>
        <v>11588748.968999999</v>
      </c>
      <c r="J86" s="304"/>
      <c r="K86" s="304"/>
      <c r="L86" s="304">
        <f>SUM('Dic-26'!$H86:$K86)</f>
        <v>66773267.868999995</v>
      </c>
      <c r="M86" s="305"/>
    </row>
    <row r="87" spans="2:13" ht="15.75" customHeight="1" x14ac:dyDescent="0.25">
      <c r="B87" s="249"/>
      <c r="C87" s="250"/>
      <c r="D87" s="251"/>
      <c r="E87" s="252"/>
      <c r="F87" s="253"/>
      <c r="G87" s="302" t="str">
        <f>IFERROR(IF('Dic-26'!$F87="","-",VLOOKUP('Dic-26'!$F87,Lista_CUIT!$A$1:$D$2241,2,0)),"CUIT NO CARGADO")</f>
        <v>-</v>
      </c>
      <c r="H87" s="303"/>
      <c r="I87" s="216">
        <f>'Dic-26'!$H87*0.21</f>
        <v>0</v>
      </c>
      <c r="J87" s="304"/>
      <c r="K87" s="304"/>
      <c r="L87" s="304">
        <f>SUM('Dic-26'!$H87:$K87)</f>
        <v>0</v>
      </c>
      <c r="M87" s="305"/>
    </row>
    <row r="88" spans="2:13" ht="15.75" customHeight="1" x14ac:dyDescent="0.25">
      <c r="B88" s="249"/>
      <c r="C88" s="250"/>
      <c r="D88" s="251"/>
      <c r="E88" s="252"/>
      <c r="F88" s="253"/>
      <c r="G88" s="302" t="str">
        <f>IFERROR(IF('Dic-26'!$F88="","-",VLOOKUP('Dic-26'!$F88,Lista_CUIT!$A$1:$D$2241,2,0)),"CUIT NO CARGADO")</f>
        <v>-</v>
      </c>
      <c r="H88" s="303"/>
      <c r="I88" s="216">
        <f>'Dic-26'!$H88*0.21</f>
        <v>0</v>
      </c>
      <c r="J88" s="304"/>
      <c r="K88" s="304"/>
      <c r="L88" s="304">
        <f>SUM('Dic-26'!$H88:$K88)</f>
        <v>0</v>
      </c>
      <c r="M88" s="305"/>
    </row>
    <row r="89" spans="2:13" ht="15.75" customHeight="1" x14ac:dyDescent="0.25">
      <c r="H89" s="345">
        <f>SUBTOTAL(109,Table_58[IMPORTE NETO])</f>
        <v>81845579.379999995</v>
      </c>
      <c r="I89" s="345">
        <f>SUBTOTAL(109,Table_58[IVA 21%])</f>
        <v>14207688.469799999</v>
      </c>
      <c r="J89" s="345">
        <f>SUBTOTAL(109,Table_58[IVA 10,5%])</f>
        <v>1489941.6</v>
      </c>
      <c r="K89" s="345">
        <f>SUBTOTAL(109,Table_58[EXENTO])</f>
        <v>0</v>
      </c>
      <c r="L89" s="345">
        <f>SUBTOTAL(109,Table_58[TOTAL])</f>
        <v>97543209.4498</v>
      </c>
      <c r="M89" s="346">
        <f>SUBTOTAL(109,Table_58[Provincia])</f>
        <v>0</v>
      </c>
    </row>
    <row r="90" spans="2:13" ht="15.75" customHeight="1" x14ac:dyDescent="0.25"/>
    <row r="91" spans="2:13" ht="15.75" customHeight="1" x14ac:dyDescent="0.25">
      <c r="B91" s="457" t="s">
        <v>1357</v>
      </c>
      <c r="C91" s="458"/>
    </row>
    <row r="92" spans="2:13" ht="15.75" customHeight="1" x14ac:dyDescent="0.25">
      <c r="B92" s="45" t="s">
        <v>1322</v>
      </c>
      <c r="C92" s="46" t="s">
        <v>1323</v>
      </c>
      <c r="D92" s="46" t="s">
        <v>1353</v>
      </c>
      <c r="E92" s="46" t="s">
        <v>1354</v>
      </c>
      <c r="F92" s="46" t="s">
        <v>0</v>
      </c>
      <c r="G92" s="46" t="s">
        <v>1</v>
      </c>
      <c r="H92" s="46" t="s">
        <v>1355</v>
      </c>
      <c r="I92" s="46" t="s">
        <v>1341</v>
      </c>
      <c r="J92" s="46" t="s">
        <v>1329</v>
      </c>
      <c r="K92" s="46" t="s">
        <v>1356</v>
      </c>
      <c r="L92" s="46" t="s">
        <v>1334</v>
      </c>
      <c r="M92" s="47" t="s">
        <v>1335</v>
      </c>
    </row>
    <row r="93" spans="2:13" ht="15.75" customHeight="1" x14ac:dyDescent="0.25">
      <c r="B93" s="413">
        <v>46003</v>
      </c>
      <c r="C93" s="13">
        <v>6</v>
      </c>
      <c r="D93" s="14">
        <v>3</v>
      </c>
      <c r="E93" s="15">
        <v>13</v>
      </c>
      <c r="F93" s="16">
        <v>86809059768</v>
      </c>
      <c r="G93" s="73" t="str">
        <f>IFERROR(IF('Dic-26'!$F93="","-",VLOOKUP('Dic-26'!$F93,Lista_CUIT!$A$1:$D$2241,2,0)),"CUIT NO CARGADO")</f>
        <v>CUIT NO CARGADO</v>
      </c>
      <c r="H93" s="74">
        <v>837680</v>
      </c>
      <c r="I93" s="74">
        <f>Table_59[[#This Row],[IMPORTE NETO]]*0.21</f>
        <v>175912.8</v>
      </c>
      <c r="J93" s="74"/>
      <c r="K93" s="74"/>
      <c r="L93" s="74">
        <f>SUM('Dic-26'!$H93:$K93)</f>
        <v>1013592.8</v>
      </c>
      <c r="M93" s="52"/>
    </row>
    <row r="94" spans="2:13" ht="15.75" customHeight="1" x14ac:dyDescent="0.25">
      <c r="B94" s="12"/>
      <c r="C94" s="13"/>
      <c r="D94" s="14"/>
      <c r="E94" s="15"/>
      <c r="F94" s="16"/>
      <c r="G94" s="73" t="str">
        <f>IFERROR(IF('Dic-26'!$F94="","-",VLOOKUP('Dic-26'!$F94,Lista_CUIT!$A$1:$D$2241,2,0)),"CUIT NO CARGADO")</f>
        <v>-</v>
      </c>
      <c r="H94" s="74"/>
      <c r="I94" s="74"/>
      <c r="J94" s="74"/>
      <c r="K94" s="74"/>
      <c r="L94" s="74">
        <f>SUM('Dic-26'!$H94:$K94)</f>
        <v>0</v>
      </c>
      <c r="M94" s="52"/>
    </row>
    <row r="95" spans="2:13" ht="15.75" customHeight="1" x14ac:dyDescent="0.25">
      <c r="B95" s="12"/>
      <c r="C95" s="13"/>
      <c r="D95" s="14"/>
      <c r="E95" s="15"/>
      <c r="F95" s="16"/>
      <c r="G95" s="73" t="str">
        <f>IFERROR(IF('Dic-26'!$F95="","-",VLOOKUP('Dic-26'!$F95,Lista_CUIT!$A$1:$D$2241,2,0)),"CUIT NO CARGADO")</f>
        <v>-</v>
      </c>
      <c r="H95" s="74"/>
      <c r="I95" s="74"/>
      <c r="J95" s="74"/>
      <c r="K95" s="74"/>
      <c r="L95" s="74">
        <f>SUM('Dic-26'!$H95:$K95)</f>
        <v>0</v>
      </c>
      <c r="M95" s="52"/>
    </row>
    <row r="96" spans="2:13" ht="15.75" customHeight="1" x14ac:dyDescent="0.25">
      <c r="B96" s="12"/>
      <c r="C96" s="13"/>
      <c r="D96" s="14"/>
      <c r="E96" s="15"/>
      <c r="F96" s="16"/>
      <c r="G96" s="73" t="str">
        <f>IFERROR(IF('Dic-26'!$F96="","-",VLOOKUP('Dic-26'!$F96,Lista_CUIT!$A$1:$D$2241,2,0)),"CUIT NO CARGADO")</f>
        <v>-</v>
      </c>
      <c r="H96" s="74"/>
      <c r="I96" s="74"/>
      <c r="J96" s="74"/>
      <c r="K96" s="74"/>
      <c r="L96" s="74">
        <f>SUM('Dic-26'!$H96:$K96)</f>
        <v>0</v>
      </c>
      <c r="M96" s="52"/>
    </row>
    <row r="97" spans="2:13" ht="15.75" customHeight="1" x14ac:dyDescent="0.25">
      <c r="B97" s="12"/>
      <c r="C97" s="13"/>
      <c r="D97" s="14"/>
      <c r="E97" s="15"/>
      <c r="F97" s="16"/>
      <c r="G97" s="73" t="str">
        <f>IFERROR(IF('Dic-26'!$F97="","-",VLOOKUP('Dic-26'!$F97,Lista_CUIT!$A$1:$D$2241,2,0)),"CUIT NO CARGADO")</f>
        <v>-</v>
      </c>
      <c r="H97" s="74"/>
      <c r="I97" s="74"/>
      <c r="J97" s="74"/>
      <c r="K97" s="74"/>
      <c r="L97" s="74">
        <f>SUM('Dic-26'!$H97:$K97)</f>
        <v>0</v>
      </c>
      <c r="M97" s="52"/>
    </row>
    <row r="98" spans="2:13" ht="15.75" customHeight="1" x14ac:dyDescent="0.25">
      <c r="B98" s="12"/>
      <c r="C98" s="13"/>
      <c r="D98" s="14"/>
      <c r="E98" s="15"/>
      <c r="F98" s="16"/>
      <c r="G98" s="73" t="str">
        <f>IFERROR(IF('Dic-26'!$F98="","-",VLOOKUP('Dic-26'!$F98,Lista_CUIT!$A$1:$D$2241,2,0)),"CUIT NO CARGADO")</f>
        <v>-</v>
      </c>
      <c r="H98" s="74"/>
      <c r="I98" s="74"/>
      <c r="J98" s="74"/>
      <c r="K98" s="74"/>
      <c r="L98" s="74">
        <f>SUM('Dic-26'!$H98:$K98)</f>
        <v>0</v>
      </c>
      <c r="M98" s="52"/>
    </row>
    <row r="99" spans="2:13" ht="15.75" customHeight="1" x14ac:dyDescent="0.25">
      <c r="B99" s="68" t="s">
        <v>1336</v>
      </c>
      <c r="C99" s="69"/>
      <c r="D99" s="69"/>
      <c r="E99" s="69"/>
      <c r="F99" s="69"/>
      <c r="G99" s="69"/>
      <c r="H99" s="75">
        <f>SUBTOTAL(109,'Dic-26'!$H$93:$H$98)</f>
        <v>837680</v>
      </c>
      <c r="I99" s="75">
        <f>SUBTOTAL(109,'Dic-26'!$I$93:$I$98)</f>
        <v>175912.8</v>
      </c>
      <c r="J99" s="76">
        <f>SUBTOTAL(109,'Dic-26'!$J$93:$J$98)</f>
        <v>0</v>
      </c>
      <c r="K99" s="76">
        <f>SUBTOTAL(109,'Dic-26'!$K$93:$K$98)</f>
        <v>0</v>
      </c>
      <c r="L99" s="76">
        <f>SUBTOTAL(109,'Dic-26'!$L$93:$L$98)</f>
        <v>1013592.8</v>
      </c>
      <c r="M99" s="72">
        <f>SUBTOTAL(103,'Dic-26'!$M$93:$M$98)</f>
        <v>0</v>
      </c>
    </row>
    <row r="100" spans="2:13" ht="15.75" customHeight="1" x14ac:dyDescent="0.25"/>
    <row r="101" spans="2:13" ht="15.75" customHeight="1" x14ac:dyDescent="0.25">
      <c r="B101" s="457" t="s">
        <v>1358</v>
      </c>
      <c r="C101" s="458"/>
    </row>
    <row r="102" spans="2:13" ht="15.75" customHeight="1" x14ac:dyDescent="0.25">
      <c r="B102" s="45" t="s">
        <v>1322</v>
      </c>
      <c r="C102" s="46" t="s">
        <v>1323</v>
      </c>
      <c r="D102" s="46" t="s">
        <v>1353</v>
      </c>
      <c r="E102" s="46" t="s">
        <v>1354</v>
      </c>
      <c r="F102" s="46" t="s">
        <v>0</v>
      </c>
      <c r="G102" s="46" t="s">
        <v>1</v>
      </c>
      <c r="H102" s="46" t="s">
        <v>1359</v>
      </c>
      <c r="I102" s="46" t="s">
        <v>1341</v>
      </c>
      <c r="J102" s="46" t="s">
        <v>1361</v>
      </c>
      <c r="K102" s="46" t="s">
        <v>1362</v>
      </c>
      <c r="L102" s="46" t="s">
        <v>1334</v>
      </c>
      <c r="M102" s="47" t="s">
        <v>1377</v>
      </c>
    </row>
    <row r="103" spans="2:13" ht="15.75" customHeight="1" x14ac:dyDescent="0.25">
      <c r="B103" s="413">
        <v>46006</v>
      </c>
      <c r="C103" s="13"/>
      <c r="D103" s="14">
        <v>30</v>
      </c>
      <c r="E103" s="15">
        <v>122</v>
      </c>
      <c r="F103" s="16">
        <v>55000000050</v>
      </c>
      <c r="G103" s="73"/>
      <c r="H103" s="74">
        <v>412.5</v>
      </c>
      <c r="I103" s="74"/>
      <c r="J103" s="77"/>
      <c r="K103" s="74">
        <v>1441</v>
      </c>
      <c r="L103" s="74">
        <f>Table_60[[#This Row],[USD]]*Table_60[[#This Row],[TIPO DE CAMBIO2]]</f>
        <v>594412.5</v>
      </c>
      <c r="M103" s="52"/>
    </row>
    <row r="104" spans="2:13" ht="15.75" customHeight="1" x14ac:dyDescent="0.25">
      <c r="B104" s="12"/>
      <c r="C104" s="13"/>
      <c r="D104" s="14"/>
      <c r="E104" s="15"/>
      <c r="F104" s="16"/>
      <c r="G104" s="73"/>
      <c r="H104" s="74"/>
      <c r="I104" s="74"/>
      <c r="J104" s="74"/>
      <c r="K104" s="74"/>
      <c r="L104" s="74">
        <f>Table_60[[#This Row],[USD]]*Table_60[[#This Row],[TIPO DE CAMBIO2]]</f>
        <v>0</v>
      </c>
      <c r="M104" s="52"/>
    </row>
    <row r="105" spans="2:13" ht="15.75" customHeight="1" x14ac:dyDescent="0.25">
      <c r="B105" s="68"/>
      <c r="C105" s="69"/>
      <c r="D105" s="69"/>
      <c r="E105" s="69"/>
      <c r="F105" s="69"/>
      <c r="G105" s="137" t="str">
        <f>IFERROR(IF('Dic-26'!$F105="","-",VLOOKUP('Dic-26'!$F105,Lista_CUIT!$A$1:$D$2241,2,0)),"CUIT NO CARGADO")</f>
        <v>-</v>
      </c>
      <c r="H105" s="75"/>
      <c r="I105" s="75"/>
      <c r="J105" s="76"/>
      <c r="K105" s="76"/>
      <c r="L105" s="76"/>
      <c r="M105" s="72">
        <f>SUBTOTAL(103,'Abr-26'!$M$111:$M$114)</f>
        <v>0</v>
      </c>
    </row>
    <row r="106" spans="2:13" ht="15.75" customHeight="1" x14ac:dyDescent="0.25">
      <c r="B106" s="68" t="s">
        <v>1336</v>
      </c>
      <c r="C106" s="69"/>
      <c r="D106" s="69"/>
      <c r="E106" s="69"/>
      <c r="F106" s="69"/>
      <c r="G106" s="69"/>
      <c r="H106" s="75">
        <f>SUBTOTAL(109,'Dic-26'!$H$103:$H$105)</f>
        <v>412.5</v>
      </c>
      <c r="I106" s="75">
        <f>SUBTOTAL(109,'Dic-26'!$I$103:$I$105)</f>
        <v>0</v>
      </c>
      <c r="J106" s="76">
        <f>SUBTOTAL(109,'Dic-26'!$J$103:$J$105)</f>
        <v>0</v>
      </c>
      <c r="K106" s="76">
        <f>SUBTOTAL(109,'Dic-26'!$K$103:$K$105)</f>
        <v>1441</v>
      </c>
      <c r="L106" s="76">
        <f>SUM(L103:L104)</f>
        <v>594412.5</v>
      </c>
      <c r="M106" s="72">
        <f>SUBTOTAL(103,'Dic-26'!$M$103:$M$105)</f>
        <v>0</v>
      </c>
    </row>
    <row r="107" spans="2:13" ht="15.75" customHeight="1" x14ac:dyDescent="0.25"/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/>
    <row r="112" spans="2:13" ht="15.75" customHeight="1" thickBot="1" x14ac:dyDescent="0.3"/>
    <row r="113" spans="3:12" ht="15.75" customHeight="1" thickTop="1" x14ac:dyDescent="0.25">
      <c r="C113" s="459" t="s">
        <v>1363</v>
      </c>
      <c r="D113" s="479"/>
      <c r="E113" s="479"/>
      <c r="F113" s="479"/>
      <c r="G113" s="480"/>
      <c r="H113" s="88"/>
      <c r="I113" s="88"/>
      <c r="J113" s="88"/>
    </row>
    <row r="114" spans="3:12" ht="15.75" customHeight="1" x14ac:dyDescent="0.25">
      <c r="C114" s="89" t="s">
        <v>1364</v>
      </c>
      <c r="D114" s="90" t="s">
        <v>1365</v>
      </c>
      <c r="E114" s="90" t="s">
        <v>1361</v>
      </c>
      <c r="F114" s="90" t="s">
        <v>0</v>
      </c>
      <c r="G114" s="90" t="s">
        <v>1</v>
      </c>
      <c r="H114" s="91" t="s">
        <v>1366</v>
      </c>
      <c r="I114" s="91" t="s">
        <v>1367</v>
      </c>
      <c r="J114" s="91" t="s">
        <v>1368</v>
      </c>
      <c r="K114" s="91" t="s">
        <v>1369</v>
      </c>
      <c r="L114" s="91" t="s">
        <v>1370</v>
      </c>
    </row>
    <row r="115" spans="3:12" ht="15.75" customHeight="1" x14ac:dyDescent="0.25">
      <c r="C115" s="92">
        <v>44691</v>
      </c>
      <c r="D115" s="93">
        <v>11694</v>
      </c>
      <c r="E115" s="93"/>
      <c r="F115" s="39">
        <v>30506730038</v>
      </c>
      <c r="G115" s="40" t="str">
        <f>IFERROR(IF('Dic-26'!$F115="","-",VLOOKUP('Dic-26'!$F115,Lista_CUIT!$A$1:$D$2241,2,0)),"CUIT NO CARGADO")</f>
        <v>S.A. IMP. Y EXPO.  PATAGONIA</v>
      </c>
      <c r="H115" s="94"/>
      <c r="I115" s="94">
        <v>9597.94</v>
      </c>
      <c r="J115" s="94">
        <v>914.09</v>
      </c>
      <c r="K115" s="94"/>
      <c r="L115" s="94"/>
    </row>
    <row r="116" spans="3:12" ht="15.75" customHeight="1" x14ac:dyDescent="0.25">
      <c r="C116" s="92"/>
      <c r="D116" s="93">
        <v>11695</v>
      </c>
      <c r="E116" s="93"/>
      <c r="F116" s="39"/>
      <c r="G116" s="40" t="str">
        <f>IFERROR(IF('Dic-26'!$F116="","-",VLOOKUP('Dic-26'!$F116,Lista_CUIT!$A$1:$D$2241,2,0)),"CUIT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92"/>
      <c r="D117" s="93">
        <v>11696</v>
      </c>
      <c r="E117" s="93"/>
      <c r="F117" s="39"/>
      <c r="G117" s="40" t="str">
        <f>IFERROR(IF('Dic-26'!$F117="","-",VLOOKUP('Dic-26'!$F117,Lista_CUIT!$A$1:$D$2241,2,0)),"CUIT NO CARGADO")</f>
        <v>-</v>
      </c>
      <c r="H117" s="94"/>
      <c r="I117" s="94"/>
      <c r="J117" s="94"/>
      <c r="K117" s="94"/>
      <c r="L117" s="94"/>
    </row>
    <row r="118" spans="3:12" ht="15.75" customHeight="1" x14ac:dyDescent="0.25">
      <c r="C118" s="92"/>
      <c r="D118" s="93">
        <v>11697</v>
      </c>
      <c r="E118" s="93"/>
      <c r="F118" s="39"/>
      <c r="G118" s="40" t="str">
        <f>IFERROR(IF('Dic-26'!$F118="","-",VLOOKUP('Dic-26'!$F118,Lista_CUIT!$A$1:$D$2241,2,0)),"CUIT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3"/>
      <c r="D119" s="93">
        <v>11698</v>
      </c>
      <c r="E119" s="93"/>
      <c r="F119" s="3"/>
      <c r="G119" s="40" t="str">
        <f>IFERROR(IF('Dic-26'!$F119="","-",VLOOKUP('Dic-26'!$F119,Lista_CUIT!$A$1:$D$2241,2,0)),"CUIT NO CARGADO")</f>
        <v>-</v>
      </c>
      <c r="H119" s="3"/>
      <c r="I119" s="3"/>
      <c r="J119" s="3"/>
      <c r="K119" s="3"/>
      <c r="L119" s="3"/>
    </row>
    <row r="120" spans="3:12" ht="15.75" customHeight="1" x14ac:dyDescent="0.25">
      <c r="C120" s="109"/>
    </row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1">
    <mergeCell ref="P4:R4"/>
    <mergeCell ref="D43:L43"/>
    <mergeCell ref="B101:C101"/>
    <mergeCell ref="C113:G113"/>
    <mergeCell ref="B3:E3"/>
    <mergeCell ref="B4:E4"/>
    <mergeCell ref="G4:H4"/>
    <mergeCell ref="D52:K52"/>
    <mergeCell ref="B76:J76"/>
    <mergeCell ref="K76:M76"/>
    <mergeCell ref="B78:C78"/>
    <mergeCell ref="B91:C91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H93:L98 H103:I103 K103:L103 H104:L104" xr:uid="{00000000-0002-0000-0900-000000000000}">
      <formula1>IF($C93=8,H93&lt;0,H93&gt;=0)</formula1>
    </dataValidation>
    <dataValidation type="decimal" allowBlank="1" showErrorMessage="1" sqref="E54:E69 D80:D88 D93:D98 D103:D104 D9:D38" xr:uid="{00000000-0002-0000-0900-000001000000}">
      <formula1>1</formula1>
      <formula2>9999</formula2>
    </dataValidation>
    <dataValidation type="custom" allowBlank="1" showErrorMessage="1" sqref="L80:L81" xr:uid="{00000000-0002-0000-0900-000002000000}">
      <formula1>IF($C9=3,L9&lt;0,L9&gt;=0)</formula1>
    </dataValidation>
    <dataValidation type="decimal" allowBlank="1" showErrorMessage="1" sqref="C103:C104" xr:uid="{00000000-0002-0000-0900-000003000000}">
      <formula1>80</formula1>
      <formula2>80</formula2>
    </dataValidation>
    <dataValidation type="date" allowBlank="1" showErrorMessage="1" sqref="B9:B38 D45:D47 D54:D69 B80:B88 B93:B98 B103:B104 B40:B42" xr:uid="{00000000-0002-0000-0900-000004000000}">
      <formula1>40179</formula1>
      <formula2>TODAY()</formula2>
    </dataValidation>
    <dataValidation type="decimal" allowBlank="1" showErrorMessage="1" sqref="G54:G69 F80:F88 F93:F98 F103:F104 F9:F38" xr:uid="{00000000-0002-0000-0900-000005000000}">
      <formula1>20000000000</formula1>
      <formula2>33999999999</formula2>
    </dataValidation>
    <dataValidation type="custom" allowBlank="1" showErrorMessage="1" sqref="L82:L84" xr:uid="{00000000-0002-0000-0900-000006000000}">
      <formula1>IF($C13=3,L13&lt;0,L13&gt;=0)</formula1>
    </dataValidation>
    <dataValidation type="decimal" allowBlank="1" showErrorMessage="1" sqref="C93:C98" xr:uid="{00000000-0002-0000-0900-000007000000}">
      <formula1>6</formula1>
      <formula2>8</formula2>
    </dataValidation>
    <dataValidation type="decimal" allowBlank="1" showErrorMessage="1" sqref="F54:F69 E80:E88 E93:E98 E103:E104 E9:E38" xr:uid="{00000000-0002-0000-0900-000008000000}">
      <formula1>1</formula1>
      <formula2>99999999</formula2>
    </dataValidation>
    <dataValidation type="decimal" allowBlank="1" showErrorMessage="1" sqref="C80:C88 C40:C42 C9:C38" xr:uid="{00000000-0002-0000-0900-000009000000}">
      <formula1>1</formula1>
      <formula2>3</formula2>
    </dataValidation>
    <dataValidation type="custom" allowBlank="1" showErrorMessage="1" sqref="H86:K86 H84:K84 H80:K80 H82:K82 I81 I83" xr:uid="{00000000-0002-0000-0900-00000A000000}">
      <formula1>IF($C80=3,H80&lt;0,H80&gt;=0)</formula1>
    </dataValidation>
    <dataValidation type="custom" allowBlank="1" showErrorMessage="1" sqref="L85" xr:uid="{00000000-0002-0000-0900-00000C000000}">
      <formula1>IF(#REF!=3,#REF!&lt;0,#REF!&gt;=0)</formula1>
    </dataValidation>
    <dataValidation type="custom" allowBlank="1" showErrorMessage="1" sqref="L86" xr:uid="{00000000-0002-0000-0900-00000D000000}">
      <formula1>IF($C39=3,L39&lt;0,L39&gt;=0)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8" xr:uid="{00000000-0002-0000-0900-00000B000000}">
      <formula1>IF($C9=3,H9&lt;0,H9&gt;=0)</formula1>
    </dataValidation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DE9D9"/>
  </sheetPr>
  <dimension ref="A1:Z997"/>
  <sheetViews>
    <sheetView showGridLines="0" topLeftCell="A25" zoomScale="80" zoomScaleNormal="80" workbookViewId="0">
      <selection activeCell="I86" sqref="I86:J86"/>
    </sheetView>
  </sheetViews>
  <sheetFormatPr baseColWidth="10" defaultColWidth="14.42578125" defaultRowHeight="15" customHeight="1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14.140625" customWidth="1"/>
    <col min="12" max="12" width="14" customWidth="1"/>
    <col min="13" max="13" width="13.42578125" customWidth="1"/>
    <col min="14" max="14" width="15.85546875" customWidth="1"/>
    <col min="15" max="15" width="13.140625" customWidth="1"/>
    <col min="16" max="16" width="17.425781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69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EDATE('Abr-26'!N1,9)</f>
        <v>46023</v>
      </c>
      <c r="O1" s="448"/>
      <c r="P1" s="448"/>
      <c r="Q1" s="448"/>
      <c r="R1" s="449"/>
    </row>
    <row r="3" spans="1:19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SUM('Ene-27'!$H$32)+'Ene-27'!$G$47</f>
        <v>2860903.83</v>
      </c>
      <c r="C4" s="448"/>
      <c r="D4" s="448"/>
      <c r="E4" s="449"/>
      <c r="F4" s="8"/>
      <c r="G4" s="463">
        <f>'Ene-27'!$I$32+'Ene-27'!$J$32+'Ene-27'!$K$32+'Ene-27'!$H$47+'Ene-27'!$I$47</f>
        <v>589172.64890000003</v>
      </c>
      <c r="H4" s="449"/>
      <c r="I4" s="8"/>
      <c r="J4" s="466">
        <f>'Ene-27'!$H$86+'Ene-27'!$H$97</f>
        <v>66573816</v>
      </c>
      <c r="K4" s="449"/>
      <c r="L4" s="8"/>
      <c r="M4" s="466">
        <f>'Ene-27'!$I$86+'Ene-27'!$J$86+'Ene-27'!$I$97+'Ene-27'!$J$97</f>
        <v>8463658.8000000007</v>
      </c>
      <c r="N4" s="449"/>
      <c r="O4" s="8"/>
      <c r="P4" s="455">
        <f>G4-M4</f>
        <v>-7874486.1511000004</v>
      </c>
      <c r="Q4" s="448"/>
      <c r="R4" s="449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1333</v>
      </c>
      <c r="P8" s="22" t="s">
        <v>1334</v>
      </c>
      <c r="Q8" s="22" t="s">
        <v>2</v>
      </c>
      <c r="R8" s="22" t="s">
        <v>1335</v>
      </c>
    </row>
    <row r="9" spans="1:19" x14ac:dyDescent="0.25">
      <c r="B9" s="12">
        <v>46023</v>
      </c>
      <c r="C9" s="13">
        <v>1</v>
      </c>
      <c r="D9" s="14">
        <v>3</v>
      </c>
      <c r="E9" s="15">
        <v>292204</v>
      </c>
      <c r="F9" s="16">
        <v>30707135596</v>
      </c>
      <c r="G9" s="17" t="str">
        <f>IFERROR(IF('Ene-27'!$F9="","-",VLOOKUP('Ene-27'!$F9,Lista_CUIT!$A$1:$D$2241,2,0)),"CUIT NO CARGADO")</f>
        <v>CITILAN ARGENTINA S.A.</v>
      </c>
      <c r="H9" s="18">
        <v>37939.519999999997</v>
      </c>
      <c r="I9" s="23">
        <f>IF('Ene-27'!$H9="","",'Ene-27'!$H9*0.21)</f>
        <v>7967.2991999999995</v>
      </c>
      <c r="J9" s="23"/>
      <c r="K9" s="23"/>
      <c r="L9" s="23"/>
      <c r="M9" s="23"/>
      <c r="N9" s="23"/>
      <c r="O9" s="23"/>
      <c r="P9" s="20">
        <f>SUM('Ene-27'!$H9:$O9)</f>
        <v>45906.819199999998</v>
      </c>
      <c r="Q9" s="21" t="str">
        <f>IFERROR(IF('Ene-27'!$F9="","-",VLOOKUP('Ene-27'!$F9,Lista_CUIT!$A$1:$D$2241,3,0)),"CUIT NO CARGADO")</f>
        <v>Telefonia</v>
      </c>
      <c r="R9" s="21">
        <f>IFERROR(IF('Ene-27'!$F9="","-",VLOOKUP('Ene-27'!$F9,Lista_CUIT!$A$1:$D$2241,4,0)),"CUIT NO CARGADO")</f>
        <v>0</v>
      </c>
    </row>
    <row r="10" spans="1:19" x14ac:dyDescent="0.25">
      <c r="B10" s="12">
        <v>46023</v>
      </c>
      <c r="C10" s="13">
        <v>1</v>
      </c>
      <c r="D10" s="14">
        <v>3</v>
      </c>
      <c r="E10" s="15">
        <v>920</v>
      </c>
      <c r="F10" s="16">
        <v>30715402765</v>
      </c>
      <c r="G10" s="17" t="str">
        <f>IFERROR(IF('Ene-27'!$F10="","-",VLOOKUP('Ene-27'!$F10,Lista_CUIT!$A$1:$D$2241,2,0)),"CUIT NO CARGADO")</f>
        <v>RIO 265 S.R.L.</v>
      </c>
      <c r="H10" s="18">
        <v>119834.71</v>
      </c>
      <c r="I10" s="23">
        <f>IF('Ene-27'!$H10="","",'Ene-27'!$H10*0.21)</f>
        <v>25165.289100000002</v>
      </c>
      <c r="J10" s="23"/>
      <c r="K10" s="23"/>
      <c r="L10" s="23"/>
      <c r="M10" s="23"/>
      <c r="N10" s="23"/>
      <c r="O10" s="23"/>
      <c r="P10" s="20">
        <f>SUM('Ene-27'!$H10:$O10)</f>
        <v>144999.99910000002</v>
      </c>
      <c r="Q10" s="21" t="str">
        <f>IFERROR(IF('Ene-27'!$F10="","-",VLOOKUP('Ene-27'!$F10,Lista_CUIT!$A$1:$D$2241,3,0)),"CUIT NO CARGADO")</f>
        <v>GASTOS VARIOS</v>
      </c>
      <c r="R10" s="21">
        <f>IFERROR(IF('Ene-27'!$F10="","-",VLOOKUP('Ene-27'!$F10,Lista_CUIT!$A$1:$D$2241,4,0)),"CUIT NO CARGADO")</f>
        <v>0</v>
      </c>
    </row>
    <row r="11" spans="1:19" x14ac:dyDescent="0.25">
      <c r="B11" s="12">
        <v>46024</v>
      </c>
      <c r="C11" s="13">
        <v>1</v>
      </c>
      <c r="D11" s="14">
        <v>5</v>
      </c>
      <c r="E11" s="15">
        <v>21562</v>
      </c>
      <c r="F11" s="16">
        <v>30707932119</v>
      </c>
      <c r="G11" s="17" t="str">
        <f>IFERROR(IF('Ene-27'!$F11="","-",VLOOKUP('Ene-27'!$F11,Lista_CUIT!$A$1:$D$2241,2,0)),"CUIT NO CARGADO")</f>
        <v>INOXALUM SRL</v>
      </c>
      <c r="H11" s="18">
        <v>19535.96</v>
      </c>
      <c r="I11" s="23">
        <f>IF('Ene-27'!$H11="","",'Ene-27'!$H11*0.21)</f>
        <v>4102.5515999999998</v>
      </c>
      <c r="J11" s="23"/>
      <c r="K11" s="23"/>
      <c r="L11" s="23"/>
      <c r="M11" s="23"/>
      <c r="N11" s="23"/>
      <c r="O11" s="23"/>
      <c r="P11" s="20">
        <f>SUM('Ene-27'!$H11:$O11)</f>
        <v>23638.511599999998</v>
      </c>
      <c r="Q11" s="21">
        <f>IFERROR(IF('Ene-27'!$F11="","-",VLOOKUP('Ene-27'!$F11,Lista_CUIT!$A$1:$D$2241,3,0)),"CUIT NO CARGADO")</f>
        <v>0</v>
      </c>
      <c r="R11" s="21">
        <f>IFERROR(IF('Ene-27'!$F11="","-",VLOOKUP('Ene-27'!$F11,Lista_CUIT!$A$1:$D$2241,4,0)),"CUIT NO CARGADO")</f>
        <v>0</v>
      </c>
    </row>
    <row r="12" spans="1:19" x14ac:dyDescent="0.25">
      <c r="B12" s="336">
        <v>46024</v>
      </c>
      <c r="C12" s="13">
        <v>1</v>
      </c>
      <c r="D12" s="337">
        <v>15</v>
      </c>
      <c r="E12" s="338">
        <v>21642</v>
      </c>
      <c r="F12" s="339">
        <v>30708003316</v>
      </c>
      <c r="G12" s="328" t="str">
        <f>IFERROR(IF('Ene-27'!$F12="","-",VLOOKUP('Ene-27'!$F12,Lista_CUIT!$A$1:$D$2241,2,0)),"CUIT NO CARGADO")</f>
        <v>LOMIR SA</v>
      </c>
      <c r="H12" s="358">
        <v>12065.29</v>
      </c>
      <c r="I12" s="23">
        <f>IF('Ene-27'!$H12="","",'Ene-27'!$H12*0.21)</f>
        <v>2533.7109</v>
      </c>
      <c r="J12" s="359"/>
      <c r="K12" s="359"/>
      <c r="L12" s="359"/>
      <c r="M12" s="359"/>
      <c r="N12" s="359"/>
      <c r="O12" s="359"/>
      <c r="P12" s="360">
        <f>SUM('Ene-27'!$H12:$O12)</f>
        <v>14599.000900000001</v>
      </c>
      <c r="Q12" s="340" t="str">
        <f>IFERROR(IF('Ene-27'!$F12="","-",VLOOKUP('Ene-27'!$F12,Lista_CUIT!$A$1:$D$2241,3,0)),"CUIT NO CARGADO")</f>
        <v>Seg e Higiene</v>
      </c>
      <c r="R12" s="340">
        <f>IFERROR(IF('Ene-27'!$F12="","-",VLOOKUP('Ene-27'!$F12,Lista_CUIT!$A$1:$D$2241,4,0)),"CUIT NO CARGADO")</f>
        <v>0</v>
      </c>
    </row>
    <row r="13" spans="1:19" x14ac:dyDescent="0.25">
      <c r="B13" s="12">
        <v>46024</v>
      </c>
      <c r="C13" s="13">
        <v>1</v>
      </c>
      <c r="D13" s="14">
        <v>5</v>
      </c>
      <c r="E13" s="15">
        <v>7352</v>
      </c>
      <c r="F13" s="16">
        <v>20231333593</v>
      </c>
      <c r="G13" s="17" t="str">
        <f>IFERROR(IF('Ene-27'!$F13="","-",VLOOKUP('Ene-27'!$F13,Lista_CUIT!$A$1:$D$2241,2,0)),"CUIT NO CARGADO")</f>
        <v>BOLLINI CLAUDIO DANIEL</v>
      </c>
      <c r="H13" s="18">
        <v>80000</v>
      </c>
      <c r="I13" s="23">
        <f>IF('Ene-27'!$H13="","",'Ene-27'!$H13*0.21)</f>
        <v>16800</v>
      </c>
      <c r="J13" s="23"/>
      <c r="K13" s="23"/>
      <c r="L13" s="23"/>
      <c r="M13" s="23"/>
      <c r="N13" s="23"/>
      <c r="O13" s="23"/>
      <c r="P13" s="20">
        <f>SUM('Ene-27'!$H13:$O13)</f>
        <v>96800</v>
      </c>
      <c r="Q13" s="21" t="str">
        <f>IFERROR(IF('Ene-27'!$F13="","-",VLOOKUP('Ene-27'!$F13,Lista_CUIT!$A$1:$D$2241,3,0)),"CUIT NO CARGADO")</f>
        <v>Mantenimiento</v>
      </c>
      <c r="R13" s="21">
        <f>IFERROR(IF('Ene-27'!$F13="","-",VLOOKUP('Ene-27'!$F13,Lista_CUIT!$A$1:$D$2241,4,0)),"CUIT NO CARGADO")</f>
        <v>0</v>
      </c>
    </row>
    <row r="14" spans="1:19" x14ac:dyDescent="0.25">
      <c r="B14" s="336">
        <v>46024</v>
      </c>
      <c r="C14" s="13">
        <v>1</v>
      </c>
      <c r="D14" s="337">
        <v>5</v>
      </c>
      <c r="E14" s="338">
        <v>25444</v>
      </c>
      <c r="F14" s="339">
        <v>27066610018</v>
      </c>
      <c r="G14" s="328" t="str">
        <f>IFERROR(IF('Ene-27'!$F14="","-",VLOOKUP('Ene-27'!$F14,Lista_CUIT!$A$1:$D$2241,2,0)),"CUIT NO CARGADO")</f>
        <v>FRACCHIA GRACIELA LILIANA</v>
      </c>
      <c r="H14" s="358">
        <v>74214.05</v>
      </c>
      <c r="I14" s="23">
        <f>IF('Ene-27'!$H14="","",'Ene-27'!$H14*0.21)</f>
        <v>15584.950500000001</v>
      </c>
      <c r="J14" s="359"/>
      <c r="K14" s="359"/>
      <c r="L14" s="359"/>
      <c r="M14" s="359"/>
      <c r="N14" s="359"/>
      <c r="O14" s="359"/>
      <c r="P14" s="360">
        <f>SUM('Ene-27'!$H14:$O14)</f>
        <v>89799.000500000009</v>
      </c>
      <c r="Q14" s="340" t="str">
        <f>IFERROR(IF('Ene-27'!$F14="","-",VLOOKUP('Ene-27'!$F14,Lista_CUIT!$A$1:$D$2241,3,0)),"CUIT NO CARGADO")</f>
        <v>Ferreteria</v>
      </c>
      <c r="R14" s="340">
        <f>IFERROR(IF('Ene-27'!$F14="","-",VLOOKUP('Ene-27'!$F14,Lista_CUIT!$A$1:$D$2241,4,0)),"CUIT NO CARGADO")</f>
        <v>0</v>
      </c>
    </row>
    <row r="15" spans="1:19" x14ac:dyDescent="0.25">
      <c r="B15" s="336">
        <v>46024</v>
      </c>
      <c r="C15" s="13">
        <v>1</v>
      </c>
      <c r="D15" s="337">
        <v>5</v>
      </c>
      <c r="E15" s="338">
        <v>21563</v>
      </c>
      <c r="F15" s="339">
        <v>30707932119</v>
      </c>
      <c r="G15" s="328" t="str">
        <f>IFERROR(IF('Ene-27'!$F15="","-",VLOOKUP('Ene-27'!$F15,Lista_CUIT!$A$1:$D$2241,2,0)),"CUIT NO CARGADO")</f>
        <v>INOXALUM SRL</v>
      </c>
      <c r="H15" s="358">
        <v>15873</v>
      </c>
      <c r="I15" s="23">
        <f>IF('Ene-27'!$H15="","",'Ene-27'!$H15*0.21)</f>
        <v>3333.33</v>
      </c>
      <c r="J15" s="359"/>
      <c r="K15" s="359"/>
      <c r="L15" s="359"/>
      <c r="M15" s="359"/>
      <c r="N15" s="359"/>
      <c r="O15" s="359"/>
      <c r="P15" s="360">
        <f>SUM('Ene-27'!$H15:$O15)</f>
        <v>19206.330000000002</v>
      </c>
      <c r="Q15" s="340">
        <f>IFERROR(IF('Ene-27'!$F15="","-",VLOOKUP('Ene-27'!$F15,Lista_CUIT!$A$1:$D$2241,3,0)),"CUIT NO CARGADO")</f>
        <v>0</v>
      </c>
      <c r="R15" s="340">
        <f>IFERROR(IF('Ene-27'!$F15="","-",VLOOKUP('Ene-27'!$F15,Lista_CUIT!$A$1:$D$2241,4,0)),"CUIT NO CARGADO")</f>
        <v>0</v>
      </c>
    </row>
    <row r="16" spans="1:19" x14ac:dyDescent="0.25">
      <c r="B16" s="336">
        <v>46028</v>
      </c>
      <c r="C16" s="13">
        <v>1</v>
      </c>
      <c r="D16" s="337">
        <v>63</v>
      </c>
      <c r="E16" s="338">
        <v>3626173</v>
      </c>
      <c r="F16" s="339">
        <v>30640897267</v>
      </c>
      <c r="G16" s="328" t="str">
        <f>IFERROR(IF('Ene-27'!$F16="","-",VLOOKUP('Ene-27'!$F16,Lista_CUIT!$A$1:$D$2241,2,0)),"CUIT NO CARGADO")</f>
        <v>TELECENTRO SA</v>
      </c>
      <c r="H16" s="358">
        <v>20148.91</v>
      </c>
      <c r="I16" s="23">
        <f>IF('Ene-27'!$H16="","",'Ene-27'!$H16*0.21)</f>
        <v>4231.2710999999999</v>
      </c>
      <c r="J16" s="359"/>
      <c r="K16" s="359"/>
      <c r="L16" s="359"/>
      <c r="M16" s="359"/>
      <c r="N16" s="359"/>
      <c r="O16" s="359">
        <v>604.47</v>
      </c>
      <c r="P16" s="360">
        <f>SUM('Ene-27'!$H16:$O16)</f>
        <v>24984.651100000003</v>
      </c>
      <c r="Q16" s="340" t="str">
        <f>IFERROR(IF('Ene-27'!$F16="","-",VLOOKUP('Ene-27'!$F16,Lista_CUIT!$A$1:$D$2241,3,0)),"CUIT NO CARGADO")</f>
        <v>SERVICIOS</v>
      </c>
      <c r="R16" s="340">
        <f>IFERROR(IF('Ene-27'!$F16="","-",VLOOKUP('Ene-27'!$F16,Lista_CUIT!$A$1:$D$2241,4,0)),"CUIT NO CARGADO")</f>
        <v>0</v>
      </c>
    </row>
    <row r="17" spans="2:18" x14ac:dyDescent="0.25">
      <c r="B17" s="336">
        <v>46029</v>
      </c>
      <c r="C17" s="13">
        <v>1</v>
      </c>
      <c r="D17" s="337">
        <v>1</v>
      </c>
      <c r="E17" s="338">
        <v>33889</v>
      </c>
      <c r="F17" s="339">
        <v>30715851896</v>
      </c>
      <c r="G17" s="328" t="str">
        <f>IFERROR(IF('Ene-27'!$F17="","-",VLOOKUP('Ene-27'!$F17,Lista_CUIT!$A$1:$D$2241,2,0)),"CUIT NO CARGADO")</f>
        <v>MIX-57 S.A.S.</v>
      </c>
      <c r="H17" s="358">
        <v>48515.7</v>
      </c>
      <c r="I17" s="23">
        <f>IF('Ene-27'!$H17="","",'Ene-27'!$H17*0.21)</f>
        <v>10188.296999999999</v>
      </c>
      <c r="J17" s="359"/>
      <c r="K17" s="359"/>
      <c r="L17" s="359"/>
      <c r="M17" s="359"/>
      <c r="N17" s="359"/>
      <c r="O17" s="359"/>
      <c r="P17" s="360">
        <f>SUM('Ene-27'!$H17:$O17)</f>
        <v>58703.996999999996</v>
      </c>
      <c r="Q17" s="340">
        <f>IFERROR(IF('Ene-27'!$F17="","-",VLOOKUP('Ene-27'!$F17,Lista_CUIT!$A$1:$D$2241,3,0)),"CUIT NO CARGADO")</f>
        <v>0</v>
      </c>
      <c r="R17" s="340">
        <f>IFERROR(IF('Ene-27'!$F17="","-",VLOOKUP('Ene-27'!$F17,Lista_CUIT!$A$1:$D$2241,4,0)),"CUIT NO CARGADO")</f>
        <v>0</v>
      </c>
    </row>
    <row r="18" spans="2:18" x14ac:dyDescent="0.25">
      <c r="B18" s="12">
        <v>46029</v>
      </c>
      <c r="C18" s="13">
        <v>1</v>
      </c>
      <c r="D18" s="14">
        <v>122</v>
      </c>
      <c r="E18" s="15">
        <v>411758</v>
      </c>
      <c r="F18" s="16">
        <v>30594494187</v>
      </c>
      <c r="G18" s="17" t="str">
        <f>IFERROR(IF('Ene-27'!$F18="","-",VLOOKUP('Ene-27'!$F18,Lista_CUIT!$A$1:$D$2241,2,0)),"CUIT NO CARGADO")</f>
        <v>FEDERAL EXPRESS CORPORATION</v>
      </c>
      <c r="H18" s="18">
        <v>105660</v>
      </c>
      <c r="I18" s="23">
        <f>IF('Ene-27'!$H18="","",'Ene-27'!$H18*0.21)</f>
        <v>22188.6</v>
      </c>
      <c r="J18" s="23"/>
      <c r="K18" s="23"/>
      <c r="L18" s="23"/>
      <c r="M18" s="23"/>
      <c r="N18" s="23"/>
      <c r="O18" s="23">
        <v>229913.23</v>
      </c>
      <c r="P18" s="20">
        <f>SUM('Ene-27'!$H18:$O18)</f>
        <v>357761.83</v>
      </c>
      <c r="Q18" s="21" t="str">
        <f>IFERROR(IF('Ene-27'!$F18="","-",VLOOKUP('Ene-27'!$F18,Lista_CUIT!$A$1:$D$2241,3,0)),"CUIT NO CARGADO")</f>
        <v>Mercaderia</v>
      </c>
      <c r="R18" s="21">
        <f>IFERROR(IF('Ene-27'!$F18="","-",VLOOKUP('Ene-27'!$F18,Lista_CUIT!$A$1:$D$2241,4,0)),"CUIT NO CARGADO")</f>
        <v>0</v>
      </c>
    </row>
    <row r="19" spans="2:18" x14ac:dyDescent="0.25">
      <c r="B19" s="336">
        <v>46029</v>
      </c>
      <c r="C19" s="13">
        <v>1</v>
      </c>
      <c r="D19" s="337">
        <v>7</v>
      </c>
      <c r="E19" s="338">
        <v>170</v>
      </c>
      <c r="F19" s="339">
        <v>20171484481</v>
      </c>
      <c r="G19" s="328" t="str">
        <f>IFERROR(IF('Ene-27'!$F19="","-",VLOOKUP('Ene-27'!$F19,Lista_CUIT!$A$1:$D$2241,2,0)),"CUIT NO CARGADO")</f>
        <v>NOCQUET GABRIEL OSCAR</v>
      </c>
      <c r="H19" s="358">
        <v>63121.9</v>
      </c>
      <c r="I19" s="23">
        <f>IF('Ene-27'!$H19="","",'Ene-27'!$H19*0.21)</f>
        <v>13255.599</v>
      </c>
      <c r="J19" s="359"/>
      <c r="K19" s="359"/>
      <c r="L19" s="359"/>
      <c r="M19" s="359"/>
      <c r="N19" s="359"/>
      <c r="O19" s="359"/>
      <c r="P19" s="360">
        <f>SUM('Ene-27'!$H19:$O19)</f>
        <v>76377.498999999996</v>
      </c>
      <c r="Q19" s="340">
        <f>IFERROR(IF('Ene-27'!$F19="","-",VLOOKUP('Ene-27'!$F19,Lista_CUIT!$A$1:$D$2241,3,0)),"CUIT NO CARGADO")</f>
        <v>0</v>
      </c>
      <c r="R19" s="340">
        <f>IFERROR(IF('Ene-27'!$F19="","-",VLOOKUP('Ene-27'!$F19,Lista_CUIT!$A$1:$D$2241,4,0)),"CUIT NO CARGADO")</f>
        <v>0</v>
      </c>
    </row>
    <row r="20" spans="2:18" x14ac:dyDescent="0.25">
      <c r="B20" s="336">
        <v>46031</v>
      </c>
      <c r="C20" s="13">
        <v>1</v>
      </c>
      <c r="D20" s="337">
        <v>6996</v>
      </c>
      <c r="E20" s="338">
        <v>38465</v>
      </c>
      <c r="F20" s="339">
        <v>30678774495</v>
      </c>
      <c r="G20" s="328" t="str">
        <f>IFERROR(IF('Ene-27'!$F20="","-",VLOOKUP('Ene-27'!$F20,Lista_CUIT!$A$1:$D$2241,2,0)),"CUIT NO CARGADO")</f>
        <v>OPER. DE EST. DE SERV. SA</v>
      </c>
      <c r="H20" s="358">
        <v>55158.33</v>
      </c>
      <c r="I20" s="23">
        <f>IF('Ene-27'!$H20="","",'Ene-27'!$H20*0.21)</f>
        <v>11583.249299999999</v>
      </c>
      <c r="J20" s="359"/>
      <c r="K20" s="359"/>
      <c r="L20" s="359"/>
      <c r="M20" s="359"/>
      <c r="N20" s="359"/>
      <c r="O20" s="359">
        <v>14261.42</v>
      </c>
      <c r="P20" s="360">
        <f>SUM('Ene-27'!$H20:$O20)</f>
        <v>81002.999299999996</v>
      </c>
      <c r="Q20" s="340" t="str">
        <f>IFERROR(IF('Ene-27'!$F20="","-",VLOOKUP('Ene-27'!$F20,Lista_CUIT!$A$1:$D$2241,3,0)),"CUIT NO CARGADO")</f>
        <v>COMBUSTIBLE</v>
      </c>
      <c r="R20" s="340">
        <f>IFERROR(IF('Ene-27'!$F20="","-",VLOOKUP('Ene-27'!$F20,Lista_CUIT!$A$1:$D$2241,4,0)),"CUIT NO CARGADO")</f>
        <v>0</v>
      </c>
    </row>
    <row r="21" spans="2:18" ht="15.75" customHeight="1" x14ac:dyDescent="0.25">
      <c r="B21" s="336">
        <v>46032</v>
      </c>
      <c r="C21" s="13">
        <v>1</v>
      </c>
      <c r="D21" s="337">
        <v>1</v>
      </c>
      <c r="E21" s="338">
        <v>64</v>
      </c>
      <c r="F21" s="339">
        <v>30719024390</v>
      </c>
      <c r="G21" s="328" t="str">
        <f>IFERROR(IF('Ene-27'!$F21="","-",VLOOKUP('Ene-27'!$F21,Lista_CUIT!$A$1:$D$2241,2,0)),"CUIT NO CARGADO")</f>
        <v>TEKBAIRES</v>
      </c>
      <c r="H21" s="358">
        <v>226942.14</v>
      </c>
      <c r="I21" s="23">
        <f>IF('Ene-27'!$H21="","",'Ene-27'!$H21*0.21)</f>
        <v>47657.849399999999</v>
      </c>
      <c r="J21" s="359"/>
      <c r="K21" s="359"/>
      <c r="L21" s="359"/>
      <c r="M21" s="359"/>
      <c r="N21" s="359"/>
      <c r="O21" s="359"/>
      <c r="P21" s="360">
        <f>SUM('Ene-27'!$H21:$O21)</f>
        <v>274599.98940000002</v>
      </c>
      <c r="Q21" s="340">
        <f>IFERROR(IF('Ene-27'!$F21="","-",VLOOKUP('Ene-27'!$F21,Lista_CUIT!$A$1:$D$2241,3,0)),"CUIT NO CARGADO")</f>
        <v>0</v>
      </c>
      <c r="R21" s="340">
        <f>IFERROR(IF('Ene-27'!$F21="","-",VLOOKUP('Ene-27'!$F21,Lista_CUIT!$A$1:$D$2241,4,0)),"CUIT NO CARGADO")</f>
        <v>0</v>
      </c>
    </row>
    <row r="22" spans="2:18" ht="15.75" customHeight="1" x14ac:dyDescent="0.25">
      <c r="B22" s="336">
        <v>46034</v>
      </c>
      <c r="C22" s="13">
        <v>1</v>
      </c>
      <c r="D22" s="337">
        <v>11</v>
      </c>
      <c r="E22" s="338">
        <v>6326</v>
      </c>
      <c r="F22" s="339">
        <v>30646811062</v>
      </c>
      <c r="G22" s="328" t="str">
        <f>IFERROR(IF('Ene-27'!$F22="","-",VLOOKUP('Ene-27'!$F22,Lista_CUIT!$A$1:$D$2241,2,0)),"CUIT NO CARGADO")</f>
        <v>POLINORTE S A</v>
      </c>
      <c r="H22" s="358">
        <v>74413.22</v>
      </c>
      <c r="I22" s="23">
        <f>IF('Ene-27'!$H22="","",'Ene-27'!$H22*0.21)</f>
        <v>15626.7762</v>
      </c>
      <c r="J22" s="359"/>
      <c r="K22" s="359"/>
      <c r="L22" s="359"/>
      <c r="M22" s="359"/>
      <c r="N22" s="359"/>
      <c r="O22" s="359"/>
      <c r="P22" s="360">
        <f>SUM('Ene-27'!$H22:$O22)</f>
        <v>90039.996199999994</v>
      </c>
      <c r="Q22" s="340" t="str">
        <f>IFERROR(IF('Ene-27'!$F22="","-",VLOOKUP('Ene-27'!$F22,Lista_CUIT!$A$1:$D$2241,3,0)),"CUIT NO CARGADO")</f>
        <v>INSUMO</v>
      </c>
      <c r="R22" s="340">
        <f>IFERROR(IF('Ene-27'!$F22="","-",VLOOKUP('Ene-27'!$F22,Lista_CUIT!$A$1:$D$2241,4,0)),"CUIT NO CARGADO")</f>
        <v>0</v>
      </c>
    </row>
    <row r="23" spans="2:18" ht="15.75" customHeight="1" x14ac:dyDescent="0.25">
      <c r="B23" s="12">
        <v>46035</v>
      </c>
      <c r="C23" s="13">
        <v>1</v>
      </c>
      <c r="D23" s="14">
        <v>9</v>
      </c>
      <c r="E23" s="15">
        <v>2327</v>
      </c>
      <c r="F23" s="16">
        <v>30631047145</v>
      </c>
      <c r="G23" s="17" t="str">
        <f>IFERROR(IF('Ene-27'!$F23="","-",VLOOKUP('Ene-27'!$F23,Lista_CUIT!$A$1:$D$2241,2,0)),"CUIT NO CARGADO")</f>
        <v>SEMICONDUC. Y COMPON. SRL</v>
      </c>
      <c r="H23" s="18">
        <v>655600</v>
      </c>
      <c r="I23" s="23">
        <v>120466.5</v>
      </c>
      <c r="J23" s="23"/>
      <c r="K23" s="23">
        <v>8604.75</v>
      </c>
      <c r="L23" s="23"/>
      <c r="M23" s="23"/>
      <c r="N23" s="23"/>
      <c r="O23" s="23"/>
      <c r="P23" s="20">
        <f>SUM('Ene-27'!$H23:$O23)</f>
        <v>784671.25</v>
      </c>
      <c r="Q23" s="21" t="str">
        <f>IFERROR(IF('Ene-27'!$F23="","-",VLOOKUP('Ene-27'!$F23,Lista_CUIT!$A$1:$D$2241,3,0)),"CUIT NO CARGADO")</f>
        <v>Mercaderia</v>
      </c>
      <c r="R23" s="21">
        <f>IFERROR(IF('Ene-27'!$F23="","-",VLOOKUP('Ene-27'!$F23,Lista_CUIT!$A$1:$D$2241,4,0)),"CUIT NO CARGADO")</f>
        <v>0</v>
      </c>
    </row>
    <row r="24" spans="2:18" ht="15.75" customHeight="1" x14ac:dyDescent="0.25">
      <c r="B24" s="336">
        <v>46041</v>
      </c>
      <c r="C24" s="13">
        <v>1</v>
      </c>
      <c r="D24" s="337">
        <v>5</v>
      </c>
      <c r="E24" s="338">
        <v>87221</v>
      </c>
      <c r="F24" s="339">
        <v>30718509552</v>
      </c>
      <c r="G24" s="328" t="str">
        <f>IFERROR(IF('Ene-27'!$F24="","-",VLOOKUP('Ene-27'!$F24,Lista_CUIT!$A$1:$D$2241,2,0)),"CUIT NO CARGADO")</f>
        <v>SEDAFE</v>
      </c>
      <c r="H24" s="358">
        <v>30242.97</v>
      </c>
      <c r="I24" s="23">
        <f>IF('Ene-27'!$H24="","",'Ene-27'!$H24*0.21)</f>
        <v>6351.0236999999997</v>
      </c>
      <c r="J24" s="359"/>
      <c r="K24" s="359"/>
      <c r="L24" s="359"/>
      <c r="M24" s="359"/>
      <c r="N24" s="359"/>
      <c r="O24" s="359"/>
      <c r="P24" s="360">
        <f>SUM('Ene-27'!$H24:$O24)</f>
        <v>36593.993699999999</v>
      </c>
      <c r="Q24" s="340" t="str">
        <f>IFERROR(IF('Ene-27'!$F24="","-",VLOOKUP('Ene-27'!$F24,Lista_CUIT!$A$1:$D$2241,3,0)),"CUIT NO CARGADO")</f>
        <v>Papeleria</v>
      </c>
      <c r="R24" s="340">
        <f>IFERROR(IF('Ene-27'!$F24="","-",VLOOKUP('Ene-27'!$F24,Lista_CUIT!$A$1:$D$2241,4,0)),"CUIT NO CARGADO")</f>
        <v>0</v>
      </c>
    </row>
    <row r="25" spans="2:18" ht="15.75" customHeight="1" x14ac:dyDescent="0.25">
      <c r="B25" s="12">
        <v>46041</v>
      </c>
      <c r="C25" s="13">
        <v>1</v>
      </c>
      <c r="D25" s="14">
        <v>8</v>
      </c>
      <c r="E25" s="15">
        <v>2898</v>
      </c>
      <c r="F25" s="16">
        <v>20266214376</v>
      </c>
      <c r="G25" s="17" t="str">
        <f>IFERROR(IF('Ene-27'!$F25="","-",VLOOKUP('Ene-27'!$F25,Lista_CUIT!$A$1:$D$2241,2,0)),"CUIT NO CARGADO")</f>
        <v>RUIZ JOSE MARIA</v>
      </c>
      <c r="H25" s="18">
        <v>62561.98</v>
      </c>
      <c r="I25" s="23">
        <f>IF('Ene-27'!$H25="","",'Ene-27'!$H25*0.21)</f>
        <v>13138.015800000001</v>
      </c>
      <c r="J25" s="23"/>
      <c r="K25" s="23"/>
      <c r="L25" s="23"/>
      <c r="M25" s="23"/>
      <c r="N25" s="23"/>
      <c r="O25" s="23"/>
      <c r="P25" s="20">
        <f>SUM('Ene-27'!$H25:$O25)</f>
        <v>75699.995800000004</v>
      </c>
      <c r="Q25" s="21">
        <f>IFERROR(IF('Ene-27'!$F25="","-",VLOOKUP('Ene-27'!$F25,Lista_CUIT!$A$1:$D$2241,3,0)),"CUIT NO CARGADO")</f>
        <v>0</v>
      </c>
      <c r="R25" s="21">
        <f>IFERROR(IF('Ene-27'!$F25="","-",VLOOKUP('Ene-27'!$F25,Lista_CUIT!$A$1:$D$2241,4,0)),"CUIT NO CARGADO")</f>
        <v>0</v>
      </c>
    </row>
    <row r="26" spans="2:18" ht="15.75" customHeight="1" x14ac:dyDescent="0.25">
      <c r="B26" s="12">
        <v>46046</v>
      </c>
      <c r="C26" s="13">
        <v>1</v>
      </c>
      <c r="D26" s="14">
        <v>6992</v>
      </c>
      <c r="E26" s="15">
        <v>38725</v>
      </c>
      <c r="F26" s="16">
        <v>30678774495</v>
      </c>
      <c r="G26" s="17" t="str">
        <f>IFERROR(IF('Ene-27'!$F26="","-",VLOOKUP('Ene-27'!$F26,Lista_CUIT!$A$1:$D$2241,2,0)),"CUIT NO CARGADO")</f>
        <v>OPER. DE EST. DE SERV. SA</v>
      </c>
      <c r="H26" s="18">
        <v>37341.69</v>
      </c>
      <c r="I26" s="23">
        <f>IF('Ene-27'!$H26="","",'Ene-27'!$H26*0.21)</f>
        <v>7841.7548999999999</v>
      </c>
      <c r="J26" s="23"/>
      <c r="K26" s="23"/>
      <c r="L26" s="23"/>
      <c r="M26" s="23"/>
      <c r="N26" s="23"/>
      <c r="O26" s="23">
        <v>9692.5499999999993</v>
      </c>
      <c r="P26" s="20">
        <f>SUM('Ene-27'!$H26:$O26)</f>
        <v>54875.994900000005</v>
      </c>
      <c r="Q26" s="21" t="str">
        <f>IFERROR(IF('Ene-27'!$F26="","-",VLOOKUP('Ene-27'!$F26,Lista_CUIT!$A$1:$D$2241,3,0)),"CUIT NO CARGADO")</f>
        <v>COMBUSTIBLE</v>
      </c>
      <c r="R26" s="21">
        <f>IFERROR(IF('Ene-27'!$F26="","-",VLOOKUP('Ene-27'!$F26,Lista_CUIT!$A$1:$D$2241,4,0)),"CUIT NO CARGADO")</f>
        <v>0</v>
      </c>
    </row>
    <row r="27" spans="2:18" ht="15.75" customHeight="1" x14ac:dyDescent="0.25">
      <c r="B27" s="336">
        <v>46047</v>
      </c>
      <c r="C27" s="13">
        <v>1</v>
      </c>
      <c r="D27" s="337">
        <v>2</v>
      </c>
      <c r="E27" s="338">
        <v>224</v>
      </c>
      <c r="F27" s="339">
        <v>20125142851</v>
      </c>
      <c r="G27" s="328" t="str">
        <f>IFERROR(IF('Ene-27'!$F27="","-",VLOOKUP('Ene-27'!$F27,Lista_CUIT!$A$1:$D$2241,2,0)),"CUIT NO CARGADO")</f>
        <v>FEDERICI NICOLAS JOSE</v>
      </c>
      <c r="H27" s="358">
        <v>216706</v>
      </c>
      <c r="I27" s="23">
        <f>IF('Ene-27'!$H27="","",'Ene-27'!$H27*0.21)</f>
        <v>45508.259999999995</v>
      </c>
      <c r="J27" s="359"/>
      <c r="K27" s="359"/>
      <c r="L27" s="359"/>
      <c r="M27" s="359"/>
      <c r="N27" s="359"/>
      <c r="O27" s="359"/>
      <c r="P27" s="360">
        <f>SUM('Ene-27'!$H27:$O27)</f>
        <v>262214.26</v>
      </c>
      <c r="Q27" s="340" t="str">
        <f>IFERROR(IF('Ene-27'!$F27="","-",VLOOKUP('Ene-27'!$F27,Lista_CUIT!$A$1:$D$2241,3,0)),"CUIT NO CARGADO")</f>
        <v>INSUMO</v>
      </c>
      <c r="R27" s="340">
        <f>IFERROR(IF('Ene-27'!$F27="","-",VLOOKUP('Ene-27'!$F27,Lista_CUIT!$A$1:$D$2241,4,0)),"CUIT NO CARGADO")</f>
        <v>0</v>
      </c>
    </row>
    <row r="28" spans="2:18" ht="15.75" customHeight="1" x14ac:dyDescent="0.25">
      <c r="B28" s="12">
        <v>46048</v>
      </c>
      <c r="C28" s="13">
        <v>1</v>
      </c>
      <c r="D28" s="14">
        <v>18</v>
      </c>
      <c r="E28" s="15">
        <v>33468</v>
      </c>
      <c r="F28" s="16">
        <v>30582605021</v>
      </c>
      <c r="G28" s="17" t="str">
        <f>IFERROR(IF('Ene-27'!$F28="","-",VLOOKUP('Ene-27'!$F28,Lista_CUIT!$A$1:$D$2241,2,0)),"CUIT NO CARGADO")</f>
        <v>ELECTROCOMPONENTES SA</v>
      </c>
      <c r="H28" s="18">
        <v>413331.74</v>
      </c>
      <c r="I28" s="23">
        <v>80774.850000000006</v>
      </c>
      <c r="J28" s="23"/>
      <c r="K28" s="23">
        <v>3012.41</v>
      </c>
      <c r="L28" s="23"/>
      <c r="M28" s="23"/>
      <c r="N28" s="23"/>
      <c r="O28" s="23"/>
      <c r="P28" s="20">
        <f>SUM('Ene-27'!$H28:$O28)</f>
        <v>497118.99999999994</v>
      </c>
      <c r="Q28" s="21">
        <f>IFERROR(IF('Ene-27'!$F28="","-",VLOOKUP('Ene-27'!$F28,Lista_CUIT!$A$1:$D$2241,3,0)),"CUIT NO CARGADO")</f>
        <v>0</v>
      </c>
      <c r="R28" s="21">
        <f>IFERROR(IF('Ene-27'!$F28="","-",VLOOKUP('Ene-27'!$F28,Lista_CUIT!$A$1:$D$2241,4,0)),"CUIT NO CARGADO")</f>
        <v>0</v>
      </c>
    </row>
    <row r="29" spans="2:18" ht="15.75" customHeight="1" x14ac:dyDescent="0.25">
      <c r="B29" s="336">
        <v>46024</v>
      </c>
      <c r="C29" s="13">
        <v>3</v>
      </c>
      <c r="D29" s="337">
        <v>5</v>
      </c>
      <c r="E29" s="338">
        <v>819</v>
      </c>
      <c r="F29" s="339">
        <v>30707932119</v>
      </c>
      <c r="G29" s="328" t="str">
        <f>IFERROR(IF('Ene-27'!$F29="","-",VLOOKUP('Ene-27'!$F29,Lista_CUIT!$A$1:$D$2241,2,0)),"CUIT NO CARGADO")</f>
        <v>INOXALUM SRL</v>
      </c>
      <c r="H29" s="358">
        <v>-19535.96</v>
      </c>
      <c r="I29" s="23">
        <f>IF('Ene-27'!$H29="","",'Ene-27'!$H29*0.21)</f>
        <v>-4102.5515999999998</v>
      </c>
      <c r="J29" s="359"/>
      <c r="K29" s="359"/>
      <c r="L29" s="359"/>
      <c r="M29" s="359"/>
      <c r="N29" s="359"/>
      <c r="O29" s="359"/>
      <c r="P29" s="360">
        <f>SUM('Ene-27'!$H29:$O29)</f>
        <v>-23638.511599999998</v>
      </c>
      <c r="Q29" s="340">
        <f>IFERROR(IF('Ene-27'!$F29="","-",VLOOKUP('Ene-27'!$F29,Lista_CUIT!$A$1:$D$2241,3,0)),"CUIT NO CARGADO")</f>
        <v>0</v>
      </c>
      <c r="R29" s="340">
        <f>IFERROR(IF('Ene-27'!$F29="","-",VLOOKUP('Ene-27'!$F29,Lista_CUIT!$A$1:$D$2241,4,0)),"CUIT NO CARGADO")</f>
        <v>0</v>
      </c>
    </row>
    <row r="30" spans="2:18" ht="15.75" customHeight="1" x14ac:dyDescent="0.25">
      <c r="B30" s="336">
        <v>46030</v>
      </c>
      <c r="C30" s="13">
        <v>3</v>
      </c>
      <c r="D30" s="337">
        <v>122</v>
      </c>
      <c r="E30" s="338">
        <v>81786</v>
      </c>
      <c r="F30" s="339">
        <v>30594494187</v>
      </c>
      <c r="G30" s="328" t="str">
        <f>IFERROR(IF('Ene-27'!$F30="","-",VLOOKUP('Ene-27'!$F30,Lista_CUIT!$A$1:$D$2241,2,0)),"CUIT NO CARGADO")</f>
        <v>FEDERAL EXPRESS CORPORATION</v>
      </c>
      <c r="H30" s="358">
        <v>-105660</v>
      </c>
      <c r="I30" s="23">
        <f>IF('Ene-27'!$H30="","",'Ene-27'!$H30*0.21)</f>
        <v>-22188.6</v>
      </c>
      <c r="J30" s="359"/>
      <c r="K30" s="359"/>
      <c r="L30" s="359"/>
      <c r="M30" s="359"/>
      <c r="N30" s="359"/>
      <c r="O30" s="359">
        <v>-229913.23</v>
      </c>
      <c r="P30" s="360">
        <f>SUM('Ene-27'!$H30:$O30)</f>
        <v>-357761.83</v>
      </c>
      <c r="Q30" s="340" t="str">
        <f>IFERROR(IF('Ene-27'!$F30="","-",VLOOKUP('Ene-27'!$F30,Lista_CUIT!$A$1:$D$2241,3,0)),"CUIT NO CARGADO")</f>
        <v>Mercaderia</v>
      </c>
      <c r="R30" s="340">
        <f>IFERROR(IF('Ene-27'!$F30="","-",VLOOKUP('Ene-27'!$F30,Lista_CUIT!$A$1:$D$2241,4,0)),"CUIT NO CARGADO")</f>
        <v>0</v>
      </c>
    </row>
    <row r="31" spans="2:18" ht="15.75" customHeight="1" x14ac:dyDescent="0.25">
      <c r="B31" s="12"/>
      <c r="C31" s="13"/>
      <c r="D31" s="14"/>
      <c r="E31" s="15"/>
      <c r="F31" s="16"/>
      <c r="G31" s="17" t="str">
        <f>IFERROR(IF('Ene-27'!$F31="","-",VLOOKUP('Ene-27'!$F31,Lista_CUIT!$A$1:$D$2241,2,0)),"CUIT NO CARGADO")</f>
        <v>-</v>
      </c>
      <c r="H31" s="18"/>
      <c r="I31" s="23" t="str">
        <f>IF('Ene-27'!$H31="","",'Ene-27'!$H31*0.21)</f>
        <v/>
      </c>
      <c r="J31" s="23"/>
      <c r="K31" s="23"/>
      <c r="L31" s="23"/>
      <c r="M31" s="23"/>
      <c r="N31" s="23"/>
      <c r="O31" s="23"/>
      <c r="P31" s="20">
        <f>SUM('Ene-27'!$H31:$O31)</f>
        <v>0</v>
      </c>
      <c r="Q31" s="21" t="str">
        <f>IFERROR(IF('Ene-27'!$F31="","-",VLOOKUP('Ene-27'!$F31,Lista_CUIT!$A$1:$D$2241,3,0)),"CUIT NO CARGADO")</f>
        <v>-</v>
      </c>
      <c r="R31" s="21" t="str">
        <f>IFERROR(IF('Ene-27'!$F31="","-",VLOOKUP('Ene-27'!$F31,Lista_CUIT!$A$1:$D$2241,4,0)),"CUIT NO CARGADO")</f>
        <v>-</v>
      </c>
    </row>
    <row r="32" spans="2:18" ht="15.75" customHeight="1" x14ac:dyDescent="0.25">
      <c r="B32" s="21" t="s">
        <v>1336</v>
      </c>
      <c r="C32" s="21"/>
      <c r="D32" s="21"/>
      <c r="E32" s="21"/>
      <c r="F32" s="21"/>
      <c r="G32" s="17"/>
      <c r="H32" s="18">
        <f>SUBTOTAL(109,'Ene-27'!$H$9:$H$31)</f>
        <v>2244011.15</v>
      </c>
      <c r="I32" s="18">
        <f>SUBTOTAL(109,'Ene-27'!$I$9:$I$31)</f>
        <v>448008.02610000002</v>
      </c>
      <c r="J32" s="18">
        <f>SUBTOTAL(109,'Ene-27'!$J$9:$J$31)</f>
        <v>0</v>
      </c>
      <c r="K32" s="18">
        <f>SUBTOTAL(109,'Ene-27'!$K$9:$K$31)</f>
        <v>11617.16</v>
      </c>
      <c r="L32" s="18">
        <f>SUBTOTAL(109,'Ene-27'!$L$9:$L$31)</f>
        <v>0</v>
      </c>
      <c r="M32" s="18">
        <f>SUBTOTAL(109,'Ene-27'!$M$9:$M$31)</f>
        <v>0</v>
      </c>
      <c r="N32" s="18">
        <f>SUBTOTAL(109,'Ene-27'!$N$9:$N$31)</f>
        <v>0</v>
      </c>
      <c r="O32" s="18">
        <f>SUBTOTAL(109,'Ene-27'!$O$9:$O$31)</f>
        <v>24558.440000000002</v>
      </c>
      <c r="P32" s="18">
        <f>SUBTOTAL(109,'Ene-27'!$P$9:$P$31)</f>
        <v>2728194.7761000004</v>
      </c>
      <c r="Q32" s="21"/>
      <c r="R32" s="21"/>
    </row>
    <row r="33" spans="2:18" ht="15.7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  <c r="M33" s="19"/>
      <c r="N33" s="19"/>
      <c r="O33" s="19"/>
      <c r="P33" s="20"/>
      <c r="Q33" s="21"/>
      <c r="R33" s="21"/>
    </row>
    <row r="34" spans="2:18" ht="15.75" customHeight="1" x14ac:dyDescent="0.25">
      <c r="B34" s="12"/>
      <c r="C34" s="13"/>
      <c r="D34" s="14"/>
      <c r="E34" s="15"/>
      <c r="F34" s="16"/>
      <c r="G34" s="17"/>
      <c r="H34" s="18"/>
      <c r="I34" s="19"/>
      <c r="J34" s="19"/>
      <c r="K34" s="19"/>
      <c r="L34" s="19"/>
      <c r="M34" s="19"/>
      <c r="N34" s="19"/>
      <c r="O34" s="19"/>
      <c r="P34" s="20"/>
      <c r="Q34" s="21"/>
      <c r="R34" s="21"/>
    </row>
    <row r="35" spans="2:18" ht="14.25" customHeight="1" x14ac:dyDescent="0.25">
      <c r="B35" s="12"/>
      <c r="C35" s="13"/>
      <c r="D35" s="14"/>
      <c r="E35" s="15"/>
      <c r="F35" s="16"/>
      <c r="G35" s="17"/>
      <c r="H35" s="18"/>
      <c r="I35" s="19"/>
      <c r="J35" s="19"/>
      <c r="K35" s="19"/>
      <c r="L35" s="19"/>
      <c r="M35" s="19"/>
      <c r="N35" s="19"/>
      <c r="O35" s="19"/>
      <c r="P35" s="20"/>
      <c r="Q35" s="21"/>
      <c r="R35" s="21"/>
    </row>
    <row r="36" spans="2:18" ht="22.5" customHeight="1" x14ac:dyDescent="0.25">
      <c r="B36" s="12"/>
      <c r="C36" s="13"/>
      <c r="D36" s="14"/>
      <c r="E36" s="15"/>
      <c r="F36" s="16"/>
      <c r="G36" s="17"/>
      <c r="H36" s="18"/>
      <c r="I36" s="19"/>
      <c r="J36" s="19"/>
      <c r="K36" s="19"/>
      <c r="L36" s="19"/>
    </row>
    <row r="37" spans="2:18" ht="25.5" customHeight="1" x14ac:dyDescent="0.25">
      <c r="D37" s="456" t="s">
        <v>1337</v>
      </c>
      <c r="E37" s="448"/>
      <c r="F37" s="448"/>
      <c r="G37" s="448"/>
      <c r="H37" s="448"/>
      <c r="I37" s="448"/>
      <c r="J37" s="448"/>
      <c r="K37" s="448"/>
      <c r="L37" s="449"/>
    </row>
    <row r="38" spans="2:18" ht="14.25" customHeight="1" x14ac:dyDescent="0.25">
      <c r="D38" s="24" t="s">
        <v>1322</v>
      </c>
      <c r="E38" s="25" t="s">
        <v>1338</v>
      </c>
      <c r="F38" s="25" t="s">
        <v>1339</v>
      </c>
      <c r="G38" s="25" t="s">
        <v>1340</v>
      </c>
      <c r="H38" s="25" t="s">
        <v>1341</v>
      </c>
      <c r="I38" s="25" t="s">
        <v>1329</v>
      </c>
      <c r="J38" s="26" t="s">
        <v>1342</v>
      </c>
      <c r="K38" s="26" t="s">
        <v>1343</v>
      </c>
      <c r="L38" s="27" t="s">
        <v>1344</v>
      </c>
    </row>
    <row r="39" spans="2:18" ht="14.25" customHeight="1" x14ac:dyDescent="0.25">
      <c r="D39" s="12">
        <v>46022</v>
      </c>
      <c r="E39" s="29"/>
      <c r="F39" s="29" t="s">
        <v>1372</v>
      </c>
      <c r="G39" s="31">
        <v>117583.47</v>
      </c>
      <c r="H39" s="31">
        <f>'Ene-27'!$G39*0.21</f>
        <v>24692.528699999999</v>
      </c>
      <c r="I39" s="31"/>
      <c r="J39" s="31"/>
      <c r="K39" s="31">
        <v>3317.51</v>
      </c>
      <c r="L39" s="31"/>
    </row>
    <row r="40" spans="2:18" ht="14.25" customHeight="1" x14ac:dyDescent="0.25">
      <c r="D40" s="12">
        <v>46053</v>
      </c>
      <c r="E40" s="29"/>
      <c r="F40" s="29" t="s">
        <v>1372</v>
      </c>
      <c r="G40" s="31">
        <v>172596.71</v>
      </c>
      <c r="H40" s="31">
        <f>'Ene-27'!$G40*0.21</f>
        <v>36245.309099999999</v>
      </c>
      <c r="I40" s="31"/>
      <c r="J40" s="31"/>
      <c r="K40" s="31">
        <v>5047.3999999999996</v>
      </c>
      <c r="L40" s="31"/>
    </row>
    <row r="41" spans="2:18" ht="14.25" customHeight="1" x14ac:dyDescent="0.25">
      <c r="C41" t="s">
        <v>1584</v>
      </c>
      <c r="D41" s="12">
        <v>45994</v>
      </c>
      <c r="E41" s="29">
        <v>926785</v>
      </c>
      <c r="F41" s="29" t="s">
        <v>1372</v>
      </c>
      <c r="G41" s="31">
        <v>109018.75</v>
      </c>
      <c r="H41" s="31">
        <f>'Ene-27'!$G41*0.21</f>
        <v>22893.9375</v>
      </c>
      <c r="I41" s="31"/>
      <c r="J41" s="31"/>
      <c r="K41" s="31">
        <v>3270.56</v>
      </c>
      <c r="L41" s="31"/>
    </row>
    <row r="42" spans="2:18" ht="14.25" customHeight="1" x14ac:dyDescent="0.25">
      <c r="C42" t="s">
        <v>1584</v>
      </c>
      <c r="D42" s="12">
        <v>45995</v>
      </c>
      <c r="E42" s="29">
        <v>935276</v>
      </c>
      <c r="F42" s="29" t="s">
        <v>1372</v>
      </c>
      <c r="G42" s="31">
        <v>109012.5</v>
      </c>
      <c r="H42" s="31">
        <f>'Ene-27'!$G42*0.21</f>
        <v>22892.625</v>
      </c>
      <c r="I42" s="31"/>
      <c r="J42" s="31"/>
      <c r="K42" s="31">
        <v>3270.38</v>
      </c>
      <c r="L42" s="31"/>
    </row>
    <row r="43" spans="2:18" ht="14.25" customHeight="1" x14ac:dyDescent="0.25">
      <c r="C43" t="s">
        <v>1584</v>
      </c>
      <c r="D43" s="12">
        <v>45993</v>
      </c>
      <c r="E43" s="29">
        <v>935641</v>
      </c>
      <c r="F43" s="29" t="s">
        <v>1372</v>
      </c>
      <c r="G43" s="31">
        <v>108681.25</v>
      </c>
      <c r="H43" s="31">
        <f>'Ene-27'!$G43*0.21</f>
        <v>22823.0625</v>
      </c>
      <c r="I43" s="31"/>
      <c r="J43" s="31"/>
      <c r="K43" s="31">
        <v>3260.44</v>
      </c>
      <c r="L43" s="31"/>
    </row>
    <row r="44" spans="2:18" ht="14.25" customHeight="1" x14ac:dyDescent="0.25">
      <c r="D44" s="12"/>
      <c r="E44" s="29"/>
      <c r="F44" s="29"/>
      <c r="G44" s="31"/>
      <c r="H44" s="31">
        <f>'Ene-27'!$G44*0.21</f>
        <v>0</v>
      </c>
      <c r="I44" s="31"/>
      <c r="J44" s="31"/>
      <c r="K44" s="31"/>
      <c r="L44" s="31"/>
    </row>
    <row r="45" spans="2:18" ht="15" customHeight="1" x14ac:dyDescent="0.25">
      <c r="D45" s="12"/>
      <c r="E45" s="29"/>
      <c r="F45" s="29"/>
      <c r="G45" s="31"/>
      <c r="H45" s="31">
        <f>'Ene-27'!$G45*0.21</f>
        <v>0</v>
      </c>
      <c r="I45" s="31"/>
      <c r="J45" s="31"/>
      <c r="K45" s="31"/>
      <c r="L45" s="31"/>
    </row>
    <row r="46" spans="2:18" ht="15" customHeight="1" x14ac:dyDescent="0.25">
      <c r="D46" s="12"/>
      <c r="E46" s="29"/>
      <c r="F46" s="29"/>
      <c r="G46" s="31"/>
      <c r="H46" s="31">
        <f>'Ene-27'!$G46*0.21</f>
        <v>0</v>
      </c>
      <c r="I46" s="31"/>
      <c r="J46" s="31"/>
      <c r="K46" s="31"/>
      <c r="L46" s="31"/>
    </row>
    <row r="47" spans="2:18" ht="15" customHeight="1" x14ac:dyDescent="0.25">
      <c r="D47" s="21" t="s">
        <v>1336</v>
      </c>
      <c r="E47" s="29"/>
      <c r="F47" s="29"/>
      <c r="G47" s="31">
        <f>SUBTOTAL(109,'Ene-27'!$G$39:$G$46)</f>
        <v>616892.67999999993</v>
      </c>
      <c r="H47" s="31">
        <f>SUBTOTAL(109,'Ene-27'!$H$39:$H$46)</f>
        <v>129547.46279999999</v>
      </c>
      <c r="I47" s="31">
        <f>SUBTOTAL(109,'Ene-27'!$I$39:$I$46)</f>
        <v>0</v>
      </c>
      <c r="J47" s="31">
        <f>SUBTOTAL(109,'Ene-27'!$J$39:$J$46)</f>
        <v>0</v>
      </c>
      <c r="K47" s="31">
        <f>SUBTOTAL(109,'Ene-27'!$K$39:$K$46)</f>
        <v>18166.289999999997</v>
      </c>
      <c r="L47" s="31">
        <f>SUBTOTAL(109,'Ene-27'!$L$39:$L$46)</f>
        <v>0</v>
      </c>
    </row>
    <row r="50" spans="4:11" ht="23.25" customHeight="1" x14ac:dyDescent="0.25"/>
    <row r="51" spans="4:11" ht="38.25" customHeight="1" x14ac:dyDescent="0.25">
      <c r="D51" s="456" t="s">
        <v>1348</v>
      </c>
      <c r="E51" s="448"/>
      <c r="F51" s="448"/>
      <c r="G51" s="448"/>
      <c r="H51" s="448"/>
      <c r="I51" s="448"/>
      <c r="J51" s="448"/>
      <c r="K51" s="449"/>
    </row>
    <row r="52" spans="4:11" ht="15.75" customHeight="1" x14ac:dyDescent="0.25">
      <c r="D52" s="35" t="s">
        <v>1322</v>
      </c>
      <c r="E52" s="35" t="s">
        <v>1324</v>
      </c>
      <c r="F52" s="35" t="s">
        <v>1349</v>
      </c>
      <c r="G52" s="35" t="s">
        <v>0</v>
      </c>
      <c r="H52" s="35" t="s">
        <v>1</v>
      </c>
      <c r="I52" s="36" t="s">
        <v>1334</v>
      </c>
      <c r="J52" s="35" t="s">
        <v>1350</v>
      </c>
      <c r="K52" s="35" t="s">
        <v>1335</v>
      </c>
    </row>
    <row r="53" spans="4:11" ht="15.75" customHeight="1" x14ac:dyDescent="0.25">
      <c r="D53" s="12">
        <v>46023</v>
      </c>
      <c r="E53" s="14">
        <v>2</v>
      </c>
      <c r="F53" s="15">
        <v>303</v>
      </c>
      <c r="G53" s="16">
        <v>27173820866</v>
      </c>
      <c r="H53" s="40" t="str">
        <f>IFERROR(IF('Ene-27'!$G53="","-",VLOOKUP('Ene-27'!$G53,Lista_CUIT!$A$1:$D$2241,2,0)),"CUIT NO CARGADO")</f>
        <v>FREIER SANDRA DANIELA</v>
      </c>
      <c r="I53" s="31">
        <v>1610000</v>
      </c>
      <c r="J53" s="42" t="str">
        <f>IFERROR(IF('Ene-27'!$G53="","-",VLOOKUP('Ene-27'!$G53,Lista_CUIT!$A$1:$D$2241,3,0)),"CUIT NO CARGADO")</f>
        <v>Honorarios Prof</v>
      </c>
      <c r="K53" s="42">
        <f>IFERROR(IF('Ene-27'!$G53="","-",VLOOKUP('Ene-27'!$G53,Lista_CUIT!$A$1:$D$2241,4,0)),"CUIT NO CARGADO")</f>
        <v>0</v>
      </c>
    </row>
    <row r="54" spans="4:11" ht="15.75" customHeight="1" x14ac:dyDescent="0.25">
      <c r="D54" s="12">
        <v>46023</v>
      </c>
      <c r="E54" s="14">
        <v>2</v>
      </c>
      <c r="F54" s="15">
        <v>191</v>
      </c>
      <c r="G54" s="16">
        <v>20136544625</v>
      </c>
      <c r="H54" s="40" t="str">
        <f>IFERROR(IF('Ene-27'!$G54="","-",VLOOKUP('Ene-27'!$G54,Lista_CUIT!$A$1:$D$2241,2,0)),"CUIT NO CARGADO")</f>
        <v>RODRIGUEZ DE LA FUEN HECTOR MARCELO</v>
      </c>
      <c r="I54" s="31">
        <v>1325000</v>
      </c>
      <c r="J54" s="42" t="str">
        <f>IFERROR(IF('Ene-27'!$G54="","-",VLOOKUP('Ene-27'!$G54,Lista_CUIT!$A$1:$D$2241,3,0)),"CUIT NO CARGADO")</f>
        <v>Honorarios Admin</v>
      </c>
      <c r="K54" s="42">
        <f>IFERROR(IF('Ene-27'!$G54="","-",VLOOKUP('Ene-27'!$G54,Lista_CUIT!$A$1:$D$2241,4,0)),"CUIT NO CARGADO")</f>
        <v>0</v>
      </c>
    </row>
    <row r="55" spans="4:11" ht="15.75" customHeight="1" x14ac:dyDescent="0.25">
      <c r="D55" s="12">
        <v>46024</v>
      </c>
      <c r="E55" s="14">
        <v>2</v>
      </c>
      <c r="F55" s="15">
        <v>27</v>
      </c>
      <c r="G55" s="16">
        <v>23118167279</v>
      </c>
      <c r="H55" s="40" t="str">
        <f>IFERROR(IF('Ene-27'!$G55="","-",VLOOKUP('Ene-27'!$G55,Lista_CUIT!$A$1:$D$2241,2,0)),"CUIT NO CARGADO")</f>
        <v>ABELEDO ENRIQUE JUAN</v>
      </c>
      <c r="I55" s="31">
        <v>2985000</v>
      </c>
      <c r="J55" s="42" t="str">
        <f>IFERROR(IF('Ene-27'!$G55="","-",VLOOKUP('Ene-27'!$G55,Lista_CUIT!$A$1:$D$2241,3,0)),"CUIT NO CARGADO")</f>
        <v>Honorarios Admin</v>
      </c>
      <c r="K55" s="42">
        <f>IFERROR(IF('Ene-27'!$G55="","-",VLOOKUP('Ene-27'!$G55,Lista_CUIT!$A$1:$D$2241,4,0)),"CUIT NO CARGADO")</f>
        <v>0</v>
      </c>
    </row>
    <row r="56" spans="4:11" ht="15.75" customHeight="1" x14ac:dyDescent="0.25">
      <c r="D56" s="12">
        <v>46027</v>
      </c>
      <c r="E56" s="14">
        <v>4</v>
      </c>
      <c r="F56" s="15">
        <v>115</v>
      </c>
      <c r="G56" s="16">
        <v>20086277523</v>
      </c>
      <c r="H56" s="40" t="str">
        <f>IFERROR(IF('Ene-27'!$G56="","-",VLOOKUP('Ene-27'!$G56,Lista_CUIT!$A$1:$D$2241,2,0)),"CUIT NO CARGADO")</f>
        <v>ESTUDIO BOTINDARI</v>
      </c>
      <c r="I56" s="31">
        <v>425000</v>
      </c>
      <c r="J56" s="42" t="str">
        <f>IFERROR(IF('Ene-27'!$G56="","-",VLOOKUP('Ene-27'!$G56,Lista_CUIT!$A$1:$D$2241,3,0)),"CUIT NO CARGADO")</f>
        <v>Honorarios Contables</v>
      </c>
      <c r="K56" s="42">
        <f>IFERROR(IF('Ene-27'!$G56="","-",VLOOKUP('Ene-27'!$G56,Lista_CUIT!$A$1:$D$2241,4,0)),"CUIT NO CARGADO")</f>
        <v>0</v>
      </c>
    </row>
    <row r="57" spans="4:11" ht="15.75" customHeight="1" x14ac:dyDescent="0.25">
      <c r="D57" s="12">
        <v>46027</v>
      </c>
      <c r="E57" s="14">
        <v>1</v>
      </c>
      <c r="F57" s="15">
        <v>53</v>
      </c>
      <c r="G57" s="16">
        <v>27387896150</v>
      </c>
      <c r="H57" s="40" t="str">
        <f>IFERROR(IF('Ene-27'!$G57="","-",VLOOKUP('Ene-27'!$G57,Lista_CUIT!$A$1:$D$2241,2,0)),"CUIT NO CARGADO")</f>
        <v>LIPANOVICH MARIA SOL</v>
      </c>
      <c r="I57" s="31">
        <v>739167</v>
      </c>
      <c r="J57" s="42" t="str">
        <f>IFERROR(IF('Ene-27'!$G57="","-",VLOOKUP('Ene-27'!$G57,Lista_CUIT!$A$1:$D$2241,3,0)),"CUIT NO CARGADO")</f>
        <v>consultoria informatica</v>
      </c>
      <c r="K57" s="42">
        <f>IFERROR(IF('Ene-27'!$G57="","-",VLOOKUP('Ene-27'!$G57,Lista_CUIT!$A$1:$D$2241,4,0)),"CUIT NO CARGADO")</f>
        <v>0</v>
      </c>
    </row>
    <row r="58" spans="4:11" ht="15.75" customHeight="1" x14ac:dyDescent="0.25">
      <c r="D58" s="336">
        <v>46027</v>
      </c>
      <c r="E58" s="337">
        <v>1</v>
      </c>
      <c r="F58" s="338">
        <v>54</v>
      </c>
      <c r="G58" s="339">
        <v>27387896150</v>
      </c>
      <c r="H58" s="341" t="str">
        <f>IFERROR(IF('Ene-27'!$G58="","-",VLOOKUP('Ene-27'!$G58,Lista_CUIT!$A$1:$D$2241,2,0)),"CUIT NO CARGADO")</f>
        <v>LIPANOVICH MARIA SOL</v>
      </c>
      <c r="I58" s="361">
        <v>2027430</v>
      </c>
      <c r="J58" s="342" t="str">
        <f>IFERROR(IF('Ene-27'!$G58="","-",VLOOKUP('Ene-27'!$G58,Lista_CUIT!$A$1:$D$2241,3,0)),"CUIT NO CARGADO")</f>
        <v>consultoria informatica</v>
      </c>
      <c r="K58" s="342">
        <f>IFERROR(IF('Ene-27'!$G58="","-",VLOOKUP('Ene-27'!$G58,Lista_CUIT!$A$1:$D$2241,4,0)),"CUIT NO CARGADO")</f>
        <v>0</v>
      </c>
    </row>
    <row r="59" spans="4:11" ht="15.75" customHeight="1" x14ac:dyDescent="0.25">
      <c r="D59" s="12">
        <v>46027</v>
      </c>
      <c r="E59" s="14">
        <v>1</v>
      </c>
      <c r="F59" s="15">
        <v>180</v>
      </c>
      <c r="G59" s="16">
        <v>20389908569</v>
      </c>
      <c r="H59" s="40" t="str">
        <f>IFERROR(IF('Ene-27'!$G59="","-",VLOOKUP('Ene-27'!$G59,Lista_CUIT!$A$1:$D$2241,2,0)),"CUIT NO CARGADO")</f>
        <v>BOTINDARI JUAN IGNACIO</v>
      </c>
      <c r="I59" s="31">
        <v>150000</v>
      </c>
      <c r="J59" s="42" t="str">
        <f>IFERROR(IF('Ene-27'!$G59="","-",VLOOKUP('Ene-27'!$G59,Lista_CUIT!$A$1:$D$2241,3,0)),"CUIT NO CARGADO")</f>
        <v>Honorarios Contables</v>
      </c>
      <c r="K59" s="42">
        <f>IFERROR(IF('Ene-27'!$G59="","-",VLOOKUP('Ene-27'!$G59,Lista_CUIT!$A$1:$D$2241,4,0)),"CUIT NO CARGADO")</f>
        <v>0</v>
      </c>
    </row>
    <row r="60" spans="4:11" ht="15.75" customHeight="1" x14ac:dyDescent="0.25">
      <c r="D60" s="12">
        <v>46035</v>
      </c>
      <c r="E60" s="14">
        <v>2</v>
      </c>
      <c r="F60" s="15">
        <v>2407</v>
      </c>
      <c r="G60" s="16">
        <v>20124647895</v>
      </c>
      <c r="H60" s="40" t="str">
        <f>IFERROR(IF('Ene-27'!$G60="","-",VLOOKUP('Ene-27'!$G60,Lista_CUIT!$A$1:$D$2241,2,0)),"CUIT NO CARGADO")</f>
        <v>CARRION NEMESIO DE LA CRUZ</v>
      </c>
      <c r="I60" s="31">
        <v>221000</v>
      </c>
      <c r="J60" s="42">
        <f>IFERROR(IF('Ene-27'!$G60="","-",VLOOKUP('Ene-27'!$G60,Lista_CUIT!$A$1:$D$2241,3,0)),"CUIT NO CARGADO")</f>
        <v>0</v>
      </c>
      <c r="K60" s="42"/>
    </row>
    <row r="61" spans="4:11" ht="15.75" customHeight="1" x14ac:dyDescent="0.25">
      <c r="D61" s="336">
        <v>46035</v>
      </c>
      <c r="E61" s="337">
        <v>2</v>
      </c>
      <c r="F61" s="338">
        <v>2406</v>
      </c>
      <c r="G61" s="339">
        <v>20124647895</v>
      </c>
      <c r="H61" s="341" t="str">
        <f>IFERROR(IF('Ene-27'!$G61="","-",VLOOKUP('Ene-27'!$G61,Lista_CUIT!$A$1:$D$2241,2,0)),"CUIT NO CARGADO")</f>
        <v>CARRION NEMESIO DE LA CRUZ</v>
      </c>
      <c r="I61" s="361">
        <v>221000</v>
      </c>
      <c r="J61" s="342">
        <f>IFERROR(IF('Ene-27'!$G61="","-",VLOOKUP('Ene-27'!$G61,Lista_CUIT!$A$1:$D$2241,3,0)),"CUIT NO CARGADO")</f>
        <v>0</v>
      </c>
      <c r="K61" s="342">
        <f>IFERROR(IF('Ene-27'!$G61="","-",VLOOKUP('Ene-27'!$G61,Lista_CUIT!$A$1:$D$2241,4,0)),"CUIT NO CARGADO")</f>
        <v>0</v>
      </c>
    </row>
    <row r="62" spans="4:11" ht="15.75" customHeight="1" x14ac:dyDescent="0.25">
      <c r="D62" s="12">
        <v>46041</v>
      </c>
      <c r="E62" s="14">
        <v>1</v>
      </c>
      <c r="F62" s="15">
        <v>124</v>
      </c>
      <c r="G62" s="16">
        <v>20341465134</v>
      </c>
      <c r="H62" s="40" t="str">
        <f>IFERROR(IF('Ene-27'!$G62="","-",VLOOKUP('Ene-27'!$G62,Lista_CUIT!$A$1:$D$2241,2,0)),"CUIT NO CARGADO")</f>
        <v>ABELEDO AGUSTIN ENRIQUE</v>
      </c>
      <c r="I62" s="31">
        <v>6295800</v>
      </c>
      <c r="J62" s="42" t="str">
        <f>IFERROR(IF('Ene-27'!$G62="","-",VLOOKUP('Ene-27'!$G62,Lista_CUIT!$A$1:$D$2241,3,0)),"CUIT NO CARGADO")</f>
        <v>Mantenimiento</v>
      </c>
      <c r="K62" s="42" t="str">
        <f>IFERROR(IF('Ene-27'!$G62="","-",VLOOKUP('Ene-27'!$G62,Lista_CUIT!$A$1:$D$2241,4,0)),"CUIT NO CARGADO")</f>
        <v>CABA</v>
      </c>
    </row>
    <row r="63" spans="4:11" ht="15.75" customHeight="1" x14ac:dyDescent="0.25">
      <c r="D63" s="336">
        <v>46041</v>
      </c>
      <c r="E63" s="337">
        <v>1</v>
      </c>
      <c r="F63" s="338">
        <v>125</v>
      </c>
      <c r="G63" s="339">
        <v>20341465134</v>
      </c>
      <c r="H63" s="341" t="str">
        <f>IFERROR(IF('Ene-27'!$G63="","-",VLOOKUP('Ene-27'!$G63,Lista_CUIT!$A$1:$D$2241,2,0)),"CUIT NO CARGADO")</f>
        <v>ABELEDO AGUSTIN ENRIQUE</v>
      </c>
      <c r="I63" s="361">
        <v>3430000</v>
      </c>
      <c r="J63" s="342" t="str">
        <f>IFERROR(IF('Ene-27'!$G63="","-",VLOOKUP('Ene-27'!$G63,Lista_CUIT!$A$1:$D$2241,3,0)),"CUIT NO CARGADO")</f>
        <v>Mantenimiento</v>
      </c>
      <c r="K63" s="342" t="str">
        <f>IFERROR(IF('Ene-27'!$G63="","-",VLOOKUP('Ene-27'!$G63,Lista_CUIT!$A$1:$D$2241,4,0)),"CUIT NO CARGADO")</f>
        <v>CABA</v>
      </c>
    </row>
    <row r="64" spans="4:11" ht="15.75" customHeight="1" x14ac:dyDescent="0.25">
      <c r="D64" s="12"/>
      <c r="E64" s="14"/>
      <c r="F64" s="15"/>
      <c r="G64" s="16"/>
      <c r="H64" s="40" t="str">
        <f>IFERROR(IF('Ene-27'!$G64="","-",VLOOKUP('Ene-27'!$G64,Lista_CUIT!$A$1:$D$2241,2,0)),"CUIT NO CARGADO")</f>
        <v>-</v>
      </c>
      <c r="I64" s="31"/>
      <c r="J64" s="42" t="str">
        <f>IFERROR(IF('Ene-27'!$G64="","-",VLOOKUP('Ene-27'!$G64,Lista_CUIT!$A$1:$D$2241,3,0)),"CUIT NO CARGADO")</f>
        <v>-</v>
      </c>
      <c r="K64" s="42" t="str">
        <f>IFERROR(IF('Ene-27'!$G64="","-",VLOOKUP('Ene-27'!$G64,Lista_CUIT!$A$1:$D$2241,4,0)),"CUIT NO CARGADO")</f>
        <v>-</v>
      </c>
    </row>
    <row r="65" spans="1:26" ht="15.75" customHeight="1" x14ac:dyDescent="0.25">
      <c r="D65" s="12"/>
      <c r="E65" s="14"/>
      <c r="F65" s="15"/>
      <c r="G65" s="16"/>
      <c r="H65" s="40" t="str">
        <f>IFERROR(IF('Ene-27'!$G65="","-",VLOOKUP('Ene-27'!$G65,Lista_CUIT!$A$1:$D$2241,2,0)),"CUIT NO CARGADO")</f>
        <v>-</v>
      </c>
      <c r="I65" s="31"/>
      <c r="J65" s="42" t="str">
        <f>IFERROR(IF('Ene-27'!$G65="","-",VLOOKUP('Ene-27'!$G65,Lista_CUIT!$A$1:$D$2241,3,0)),"CUIT NO CARGADO")</f>
        <v>-</v>
      </c>
      <c r="K65" s="42" t="str">
        <f>IFERROR(IF('Ene-27'!$G65="","-",VLOOKUP('Ene-27'!$G65,Lista_CUIT!$A$1:$D$2241,4,0)),"CUIT NO CARGADO")</f>
        <v>-</v>
      </c>
    </row>
    <row r="66" spans="1:26" ht="15.75" customHeight="1" x14ac:dyDescent="0.25">
      <c r="D66" s="12"/>
      <c r="E66" s="14"/>
      <c r="F66" s="15"/>
      <c r="G66" s="16"/>
      <c r="H66" s="40" t="str">
        <f>IFERROR(IF('Ene-27'!$G66="","-",VLOOKUP('Ene-27'!$G66,Lista_CUIT!$A$1:$D$2241,2,0)),"CUIT NO CARGADO")</f>
        <v>-</v>
      </c>
      <c r="I66" s="31"/>
      <c r="J66" s="42" t="str">
        <f>IFERROR(IF('Ene-27'!$G66="","-",VLOOKUP('Ene-27'!$G66,Lista_CUIT!$A$1:$D$2241,3,0)),"CUIT NO CARGADO")</f>
        <v>-</v>
      </c>
      <c r="K66" s="42" t="str">
        <f>IFERROR(IF('Ene-27'!$G66="","-",VLOOKUP('Ene-27'!$G66,Lista_CUIT!$A$1:$D$2241,4,0)),"CUIT NO CARGADO")</f>
        <v>-</v>
      </c>
    </row>
    <row r="67" spans="1:26" ht="18" customHeight="1" x14ac:dyDescent="0.25">
      <c r="A67" s="43"/>
      <c r="D67" s="42" t="s">
        <v>1336</v>
      </c>
      <c r="E67" s="42"/>
      <c r="F67" s="42"/>
      <c r="G67" s="42"/>
      <c r="H67" s="44"/>
      <c r="I67" s="41">
        <f>SUBTOTAL(109,'Ene-27'!$I$53:$I$66)</f>
        <v>19429397</v>
      </c>
      <c r="J67" s="42"/>
      <c r="K67" s="42"/>
      <c r="S67" s="43"/>
      <c r="T67" s="43"/>
      <c r="U67" s="43"/>
      <c r="V67" s="43"/>
      <c r="W67" s="43"/>
      <c r="X67" s="43"/>
      <c r="Y67" s="43"/>
      <c r="Z67" s="43"/>
    </row>
    <row r="68" spans="1:26" ht="15.75" customHeight="1" x14ac:dyDescent="0.25">
      <c r="B68" s="43"/>
      <c r="C68" s="43"/>
      <c r="L68" s="43"/>
      <c r="M68" s="43"/>
      <c r="N68" s="43"/>
      <c r="O68" s="43"/>
      <c r="P68" s="43"/>
      <c r="Q68" s="43"/>
      <c r="R68" s="43"/>
    </row>
    <row r="69" spans="1:26" ht="15.75" customHeight="1" x14ac:dyDescent="0.25"/>
    <row r="70" spans="1:26" ht="15.75" customHeight="1" x14ac:dyDescent="0.25"/>
    <row r="71" spans="1:26" ht="15.75" customHeight="1" x14ac:dyDescent="0.25"/>
    <row r="72" spans="1:26" ht="15.75" customHeight="1" x14ac:dyDescent="0.25"/>
    <row r="73" spans="1:26" ht="15.75" customHeight="1" x14ac:dyDescent="0.25">
      <c r="B73" s="464" t="s">
        <v>1351</v>
      </c>
      <c r="C73" s="448"/>
      <c r="D73" s="448"/>
      <c r="E73" s="448"/>
      <c r="F73" s="448"/>
      <c r="G73" s="448"/>
      <c r="H73" s="448"/>
      <c r="I73" s="448"/>
      <c r="J73" s="449"/>
      <c r="K73" s="465">
        <f>N1</f>
        <v>46023</v>
      </c>
      <c r="L73" s="448"/>
      <c r="M73" s="449"/>
    </row>
    <row r="74" spans="1:26" ht="22.5" customHeight="1" x14ac:dyDescent="0.25"/>
    <row r="75" spans="1:26" ht="15.75" customHeight="1" x14ac:dyDescent="0.25">
      <c r="B75" s="457" t="s">
        <v>1352</v>
      </c>
      <c r="C75" s="458"/>
    </row>
    <row r="76" spans="1:26" ht="18" customHeight="1" x14ac:dyDescent="0.25">
      <c r="B76" s="45" t="s">
        <v>1322</v>
      </c>
      <c r="C76" s="46" t="s">
        <v>1323</v>
      </c>
      <c r="D76" s="46" t="s">
        <v>1353</v>
      </c>
      <c r="E76" s="46" t="s">
        <v>1354</v>
      </c>
      <c r="F76" s="46" t="s">
        <v>0</v>
      </c>
      <c r="G76" s="46" t="s">
        <v>1</v>
      </c>
      <c r="H76" s="46" t="s">
        <v>1355</v>
      </c>
      <c r="I76" s="46" t="s">
        <v>1341</v>
      </c>
      <c r="J76" s="46" t="s">
        <v>1329</v>
      </c>
      <c r="K76" s="46" t="s">
        <v>1356</v>
      </c>
      <c r="L76" s="46" t="s">
        <v>1334</v>
      </c>
      <c r="M76" s="47" t="s">
        <v>1335</v>
      </c>
    </row>
    <row r="77" spans="1:26" ht="15.75" customHeight="1" x14ac:dyDescent="0.25">
      <c r="B77" s="54">
        <v>46031</v>
      </c>
      <c r="C77" s="55">
        <v>1</v>
      </c>
      <c r="D77" s="56">
        <v>3</v>
      </c>
      <c r="E77" s="57">
        <v>303</v>
      </c>
      <c r="F77" s="58">
        <v>30628274327</v>
      </c>
      <c r="G77" s="99" t="str">
        <f>IFERROR(IF('Ene-27'!$F77="","-",VLOOKUP('Ene-27'!$F77,Lista_CUIT!$A$1:$D$2241,2,0)),"CUIT NO CARGADO")</f>
        <v>AGIRA  S A</v>
      </c>
      <c r="H77" s="49">
        <v>6690480</v>
      </c>
      <c r="I77" s="50"/>
      <c r="J77" s="51">
        <v>702500.4</v>
      </c>
      <c r="K77" s="51"/>
      <c r="L77" s="51">
        <f>SUM('Ene-27'!$H77:$K77)</f>
        <v>7392980.4000000004</v>
      </c>
      <c r="M77" s="52"/>
    </row>
    <row r="78" spans="1:26" ht="15.75" customHeight="1" x14ac:dyDescent="0.25">
      <c r="B78" s="54">
        <v>46034</v>
      </c>
      <c r="C78" s="55">
        <v>1</v>
      </c>
      <c r="D78" s="56">
        <v>3</v>
      </c>
      <c r="E78" s="57">
        <v>304</v>
      </c>
      <c r="F78" s="58">
        <v>30638318470</v>
      </c>
      <c r="G78" s="99" t="str">
        <f>IFERROR(IF('Ene-27'!$F78="","-",VLOOKUP('Ene-27'!$F78,Lista_CUIT!$A$1:$D$2241,2,0)),"CUIT NO CARGADO")</f>
        <v>DELTA COMPRESION S R L</v>
      </c>
      <c r="H78" s="49">
        <v>50825986</v>
      </c>
      <c r="I78" s="50">
        <f>1635.14*1490</f>
        <v>2436358.6</v>
      </c>
      <c r="J78" s="51">
        <f>2764.12*1490</f>
        <v>4118538.8</v>
      </c>
      <c r="K78" s="51"/>
      <c r="L78" s="51">
        <f>SUM('Ene-27'!$H78:$K78)</f>
        <v>57380883.399999999</v>
      </c>
      <c r="M78" s="52"/>
    </row>
    <row r="79" spans="1:26" ht="15.75" customHeight="1" x14ac:dyDescent="0.25">
      <c r="B79" s="54">
        <v>46041</v>
      </c>
      <c r="C79" s="55">
        <v>1</v>
      </c>
      <c r="D79" s="56">
        <v>3</v>
      </c>
      <c r="E79" s="57">
        <v>305</v>
      </c>
      <c r="F79" s="58">
        <v>30718512545</v>
      </c>
      <c r="G79" s="99" t="str">
        <f>IFERROR(IF('Ene-27'!$F79="","-",VLOOKUP('Ene-27'!$F79,Lista_CUIT!$A$1:$D$2241,2,0)),"CUIT NO CARGADO")</f>
        <v>MAJUBEN MDP SERVICIOS S.R.L.</v>
      </c>
      <c r="H79" s="49">
        <v>1149450</v>
      </c>
      <c r="I79" s="50">
        <f>'Ene-27'!$H79*0.21</f>
        <v>241384.5</v>
      </c>
      <c r="J79" s="51"/>
      <c r="K79" s="51"/>
      <c r="L79" s="51">
        <f>SUM('Ene-27'!$H79:$K79)</f>
        <v>1390834.5</v>
      </c>
      <c r="M79" s="52"/>
    </row>
    <row r="80" spans="1:26" ht="15.75" customHeight="1" x14ac:dyDescent="0.25">
      <c r="B80" s="54">
        <v>46044</v>
      </c>
      <c r="C80" s="55">
        <v>1</v>
      </c>
      <c r="D80" s="56">
        <v>3</v>
      </c>
      <c r="E80" s="57">
        <v>306</v>
      </c>
      <c r="F80" s="58">
        <v>30628274327</v>
      </c>
      <c r="G80" s="99" t="str">
        <f>IFERROR(IF('Ene-27'!$F80="","-",VLOOKUP('Ene-27'!$F80,Lista_CUIT!$A$1:$D$2241,2,0)),"CUIT NO CARGADO")</f>
        <v>AGIRA  S A</v>
      </c>
      <c r="H80" s="49">
        <v>6626500</v>
      </c>
      <c r="I80" s="50"/>
      <c r="J80" s="51">
        <v>695782.5</v>
      </c>
      <c r="K80" s="51"/>
      <c r="L80" s="51">
        <f>SUM('Ene-27'!$H80:$K80)</f>
        <v>7322282.5</v>
      </c>
      <c r="M80" s="52"/>
    </row>
    <row r="81" spans="2:13" ht="15.75" customHeight="1" x14ac:dyDescent="0.25">
      <c r="B81" s="54">
        <v>46049</v>
      </c>
      <c r="C81" s="55">
        <v>1</v>
      </c>
      <c r="D81" s="56">
        <v>3</v>
      </c>
      <c r="E81" s="57">
        <v>308</v>
      </c>
      <c r="F81" s="58">
        <v>33717088269</v>
      </c>
      <c r="G81" s="99" t="str">
        <f>IFERROR(IF('Ene-27'!$F81="","-",VLOOKUP('Ene-27'!$F81,Lista_CUIT!$A$1:$D$2241,2,0)),"CUIT NO CARGADO")</f>
        <v>NEXT SERVICE GNC S.R.L.</v>
      </c>
      <c r="H81" s="49">
        <v>989400</v>
      </c>
      <c r="I81" s="50">
        <f>'Ene-27'!$H81*0.21</f>
        <v>207774</v>
      </c>
      <c r="J81" s="51"/>
      <c r="K81" s="51"/>
      <c r="L81" s="51">
        <f>SUM('Ene-27'!$H81:$K81)</f>
        <v>1197174</v>
      </c>
      <c r="M81" s="52"/>
    </row>
    <row r="82" spans="2:13" ht="15.75" customHeight="1" x14ac:dyDescent="0.25">
      <c r="B82" s="54">
        <v>46049</v>
      </c>
      <c r="C82" s="55">
        <v>1</v>
      </c>
      <c r="D82" s="56">
        <v>3</v>
      </c>
      <c r="E82" s="57">
        <v>307</v>
      </c>
      <c r="F82" s="58">
        <v>30716041596</v>
      </c>
      <c r="G82" s="99" t="str">
        <f>IFERROR(IF('Ene-27'!$F82="","-",VLOOKUP('Ene-27'!$F82,Lista_CUIT!$A$1:$D$2241,2,0)),"CUIT NO CARGADO")</f>
        <v>EXA COMPRESION S.R.L.</v>
      </c>
      <c r="H82" s="49">
        <v>292000</v>
      </c>
      <c r="I82" s="50">
        <f>'Ene-27'!$H82*0.21</f>
        <v>61320</v>
      </c>
      <c r="J82" s="51"/>
      <c r="K82" s="51"/>
      <c r="L82" s="51">
        <f>SUM('Ene-27'!$H82:$K82)</f>
        <v>353320</v>
      </c>
      <c r="M82" s="52"/>
    </row>
    <row r="83" spans="2:13" ht="15.75" customHeight="1" x14ac:dyDescent="0.25">
      <c r="B83" s="54"/>
      <c r="C83" s="55"/>
      <c r="D83" s="56"/>
      <c r="E83" s="57"/>
      <c r="F83" s="58"/>
      <c r="G83" s="99" t="str">
        <f>IFERROR(IF('Ene-27'!$F83="","-",VLOOKUP('Ene-27'!$F83,Lista_CUIT!$A$1:$D$2241,2,0)),"CUIT NO CARGADO")</f>
        <v>-</v>
      </c>
      <c r="H83" s="49"/>
      <c r="I83" s="50">
        <f>'Ene-27'!$H83*0.21</f>
        <v>0</v>
      </c>
      <c r="J83" s="51"/>
      <c r="K83" s="51"/>
      <c r="L83" s="51">
        <f>SUM('Ene-27'!$H83:$K83)</f>
        <v>0</v>
      </c>
      <c r="M83" s="53"/>
    </row>
    <row r="84" spans="2:13" ht="15.75" customHeight="1" x14ac:dyDescent="0.25">
      <c r="B84" s="54"/>
      <c r="C84" s="55"/>
      <c r="D84" s="56"/>
      <c r="E84" s="57"/>
      <c r="F84" s="58"/>
      <c r="G84" s="99" t="str">
        <f>IFERROR(IF('Ene-27'!$F84="","-",VLOOKUP('Ene-27'!$F84,Lista_CUIT!$A$1:$D$2241,2,0)),"CUIT NO CARGADO")</f>
        <v>-</v>
      </c>
      <c r="H84" s="59"/>
      <c r="I84" s="50">
        <f>'Ene-27'!$H84*0.21</f>
        <v>0</v>
      </c>
      <c r="J84" s="61"/>
      <c r="K84" s="61"/>
      <c r="L84" s="61">
        <f>SUM('Ene-27'!$H84:$K84)</f>
        <v>0</v>
      </c>
      <c r="M84" s="53"/>
    </row>
    <row r="85" spans="2:13" ht="15.75" customHeight="1" x14ac:dyDescent="0.25">
      <c r="B85" s="62"/>
      <c r="C85" s="63"/>
      <c r="D85" s="64"/>
      <c r="E85" s="65"/>
      <c r="F85" s="66"/>
      <c r="G85" s="99" t="str">
        <f>IFERROR(IF('Ene-27'!$F85="","-",VLOOKUP('Ene-27'!$F85,Lista_CUIT!$A$1:$D$2241,2,0)),"CUIT NO CARGADO")</f>
        <v>-</v>
      </c>
      <c r="H85" s="49"/>
      <c r="I85" s="50">
        <f>'Ene-27'!$H85*0.21</f>
        <v>0</v>
      </c>
      <c r="J85" s="51"/>
      <c r="K85" s="51"/>
      <c r="L85" s="51">
        <f>SUM('Ene-27'!$H85:$K85)</f>
        <v>0</v>
      </c>
      <c r="M85" s="52"/>
    </row>
    <row r="86" spans="2:13" ht="18" customHeight="1" x14ac:dyDescent="0.25">
      <c r="B86" s="68" t="s">
        <v>1336</v>
      </c>
      <c r="C86" s="69"/>
      <c r="D86" s="69"/>
      <c r="E86" s="69"/>
      <c r="F86" s="69"/>
      <c r="G86" s="69"/>
      <c r="H86" s="70">
        <f>SUBTOTAL(109,'Ene-27'!$H$77:$H$85)</f>
        <v>66573816</v>
      </c>
      <c r="I86" s="71">
        <f>SUBTOTAL(109,'Ene-27'!$I$77:$I$85)</f>
        <v>2946837.1</v>
      </c>
      <c r="J86" s="71">
        <f>SUBTOTAL(109,'Ene-27'!$J$77:$J$85)</f>
        <v>5516821.7000000002</v>
      </c>
      <c r="K86" s="71">
        <f>SUBTOTAL(109,'Ene-27'!$K$77:$K$85)</f>
        <v>0</v>
      </c>
      <c r="L86" s="71">
        <f>SUBTOTAL(109,'Ene-27'!$L$77:$L$85)</f>
        <v>75037474.799999997</v>
      </c>
      <c r="M86" s="71">
        <f>SUBTOTAL(103,'Ene-27'!$M$77:$M$85)</f>
        <v>0</v>
      </c>
    </row>
    <row r="87" spans="2:13" ht="15.75" customHeight="1" x14ac:dyDescent="0.25"/>
    <row r="88" spans="2:13" ht="17.25" customHeight="1" x14ac:dyDescent="0.25"/>
    <row r="89" spans="2:13" ht="31.5" customHeight="1" x14ac:dyDescent="0.25">
      <c r="B89" s="457" t="s">
        <v>1357</v>
      </c>
      <c r="C89" s="458"/>
    </row>
    <row r="90" spans="2:13" ht="15.75" customHeight="1" x14ac:dyDescent="0.25">
      <c r="B90" s="45" t="s">
        <v>1322</v>
      </c>
      <c r="C90" s="46" t="s">
        <v>1323</v>
      </c>
      <c r="D90" s="46" t="s">
        <v>1353</v>
      </c>
      <c r="E90" s="46" t="s">
        <v>1354</v>
      </c>
      <c r="F90" s="46" t="s">
        <v>0</v>
      </c>
      <c r="G90" s="46" t="s">
        <v>1</v>
      </c>
      <c r="H90" s="46" t="s">
        <v>1355</v>
      </c>
      <c r="I90" s="46" t="s">
        <v>1341</v>
      </c>
      <c r="J90" s="46" t="s">
        <v>1329</v>
      </c>
      <c r="K90" s="46" t="s">
        <v>1356</v>
      </c>
      <c r="L90" s="46" t="s">
        <v>1334</v>
      </c>
      <c r="M90" s="47" t="s">
        <v>1335</v>
      </c>
    </row>
    <row r="91" spans="2:13" ht="15.75" customHeight="1" x14ac:dyDescent="0.25">
      <c r="B91" s="437"/>
      <c r="C91" s="69"/>
      <c r="D91" s="69"/>
      <c r="E91" s="69"/>
      <c r="F91" s="69"/>
      <c r="G91" s="73" t="str">
        <f>IFERROR(IF('Ene-27'!$F91="","-",VLOOKUP('Ene-27'!$F91,Lista_CUIT!$A$1:$D$2241,2,0)),"CUIT NO CARGADO")</f>
        <v>-</v>
      </c>
      <c r="H91" s="74"/>
      <c r="I91" s="74"/>
      <c r="J91" s="74"/>
      <c r="K91" s="74"/>
      <c r="L91" s="74">
        <f>SUM('Ene-27'!$H91:$K91)</f>
        <v>0</v>
      </c>
      <c r="M91" s="52"/>
    </row>
    <row r="92" spans="2:13" ht="15.75" customHeight="1" x14ac:dyDescent="0.25">
      <c r="B92" s="437"/>
      <c r="C92" s="69"/>
      <c r="D92" s="69"/>
      <c r="E92" s="69"/>
      <c r="F92" s="69"/>
      <c r="G92" s="73" t="str">
        <f>IFERROR(IF('Ene-27'!$F92="","-",VLOOKUP('Ene-27'!$F92,Lista_CUIT!$A$1:$D$2241,2,0)),"CUIT NO CARGADO")</f>
        <v>-</v>
      </c>
      <c r="H92" s="74"/>
      <c r="I92" s="74"/>
      <c r="J92" s="74"/>
      <c r="K92" s="74"/>
      <c r="L92" s="74">
        <f>SUM('Ene-27'!$H92:$K92)</f>
        <v>0</v>
      </c>
      <c r="M92" s="52"/>
    </row>
    <row r="93" spans="2:13" ht="15.75" customHeight="1" x14ac:dyDescent="0.25">
      <c r="B93" s="68"/>
      <c r="C93" s="69"/>
      <c r="D93" s="69"/>
      <c r="E93" s="69"/>
      <c r="F93" s="69"/>
      <c r="G93" s="73"/>
      <c r="H93" s="74"/>
      <c r="I93" s="74"/>
      <c r="J93" s="74"/>
      <c r="K93" s="74"/>
      <c r="L93" s="74">
        <f>SUM('Ene-27'!$H93:$K93)</f>
        <v>0</v>
      </c>
      <c r="M93" s="52"/>
    </row>
    <row r="94" spans="2:13" ht="15.75" customHeight="1" x14ac:dyDescent="0.25">
      <c r="B94" s="68"/>
      <c r="C94" s="69"/>
      <c r="D94" s="69"/>
      <c r="E94" s="69"/>
      <c r="F94" s="69"/>
      <c r="G94" s="73"/>
      <c r="H94" s="74"/>
      <c r="I94" s="74"/>
      <c r="J94" s="74"/>
      <c r="K94" s="74"/>
      <c r="L94" s="74">
        <f>SUM('Ene-27'!$H94:$K94)</f>
        <v>0</v>
      </c>
      <c r="M94" s="52"/>
    </row>
    <row r="95" spans="2:13" ht="15.75" customHeight="1" x14ac:dyDescent="0.25">
      <c r="B95" s="68"/>
      <c r="C95" s="69"/>
      <c r="D95" s="69"/>
      <c r="E95" s="69"/>
      <c r="F95" s="69"/>
      <c r="G95" s="73"/>
      <c r="H95" s="74"/>
      <c r="I95" s="74"/>
      <c r="J95" s="74"/>
      <c r="K95" s="74"/>
      <c r="L95" s="74">
        <f>SUM('Ene-27'!$H95:$K95)</f>
        <v>0</v>
      </c>
      <c r="M95" s="52"/>
    </row>
    <row r="96" spans="2:13" ht="15.75" customHeight="1" x14ac:dyDescent="0.25">
      <c r="B96" s="68"/>
      <c r="C96" s="69"/>
      <c r="D96" s="69"/>
      <c r="E96" s="69"/>
      <c r="F96" s="69"/>
      <c r="G96" s="73"/>
      <c r="H96" s="74"/>
      <c r="I96" s="74"/>
      <c r="J96" s="74"/>
      <c r="K96" s="74"/>
      <c r="L96" s="74">
        <f>SUM('Ene-27'!$H96:$K96)</f>
        <v>0</v>
      </c>
      <c r="M96" s="52"/>
    </row>
    <row r="97" spans="2:13" ht="15.75" customHeight="1" x14ac:dyDescent="0.25">
      <c r="B97" s="68" t="s">
        <v>1336</v>
      </c>
      <c r="C97" s="69"/>
      <c r="D97" s="69"/>
      <c r="E97" s="69"/>
      <c r="F97" s="69"/>
      <c r="G97" s="69"/>
      <c r="H97" s="75">
        <f>SUBTOTAL(109,'Ene-27'!$H$91:$H$96)</f>
        <v>0</v>
      </c>
      <c r="I97" s="75">
        <f>SUBTOTAL(109,'Ene-27'!$I$91:$I$96)</f>
        <v>0</v>
      </c>
      <c r="J97" s="76">
        <f>SUBTOTAL(109,'Ene-27'!$J$91:$J$96)</f>
        <v>0</v>
      </c>
      <c r="K97" s="76">
        <f>SUBTOTAL(109,'Ene-27'!$K$91:$K$96)</f>
        <v>0</v>
      </c>
      <c r="L97" s="76">
        <f>SUBTOTAL(109,'Ene-27'!$L$91:$L$96)</f>
        <v>0</v>
      </c>
      <c r="M97" s="72">
        <f>SUBTOTAL(103,'Ene-27'!$M$91:$M$96)</f>
        <v>0</v>
      </c>
    </row>
    <row r="98" spans="2:13" ht="15.75" customHeight="1" x14ac:dyDescent="0.25"/>
    <row r="99" spans="2:13" ht="18.75" customHeight="1" x14ac:dyDescent="0.25">
      <c r="B99" s="457" t="s">
        <v>1358</v>
      </c>
      <c r="C99" s="458"/>
    </row>
    <row r="100" spans="2:13" ht="18.75" customHeight="1" x14ac:dyDescent="0.25">
      <c r="B100" s="45" t="s">
        <v>1322</v>
      </c>
      <c r="C100" s="46" t="s">
        <v>1323</v>
      </c>
      <c r="D100" s="46" t="s">
        <v>1353</v>
      </c>
      <c r="E100" s="46" t="s">
        <v>1354</v>
      </c>
      <c r="F100" s="46" t="s">
        <v>0</v>
      </c>
      <c r="G100" s="46" t="s">
        <v>1</v>
      </c>
      <c r="H100" s="46" t="s">
        <v>1359</v>
      </c>
      <c r="I100" s="46" t="s">
        <v>1341</v>
      </c>
      <c r="J100" s="46" t="s">
        <v>1361</v>
      </c>
      <c r="K100" s="46" t="s">
        <v>1362</v>
      </c>
      <c r="L100" s="46" t="s">
        <v>1334</v>
      </c>
      <c r="M100" s="47" t="s">
        <v>1377</v>
      </c>
    </row>
    <row r="101" spans="2:13" ht="18.75" customHeight="1" x14ac:dyDescent="0.25">
      <c r="B101" s="413">
        <v>46043</v>
      </c>
      <c r="C101" s="13"/>
      <c r="D101" s="21">
        <v>30</v>
      </c>
      <c r="E101" s="21">
        <v>123</v>
      </c>
      <c r="F101" s="21">
        <v>55000000050</v>
      </c>
      <c r="G101" s="137" t="str">
        <f>IFERROR(IF('Dic-26'!$F94="","-",VLOOKUP('Dic-26'!$F94,Lista_CUIT!$A$1:$D$2241,2,0)),"CUIT NO CARGADO")</f>
        <v>-</v>
      </c>
      <c r="H101" s="74">
        <v>1920</v>
      </c>
      <c r="I101" s="74"/>
      <c r="J101" s="77"/>
      <c r="K101" s="74">
        <v>1434.5</v>
      </c>
      <c r="L101" s="74">
        <f>Table_6083[[#This Row],[USD]]*Table_6083[[#This Row],[TIPO DE CAMBIO2]]</f>
        <v>2754240</v>
      </c>
      <c r="M101" s="52"/>
    </row>
    <row r="102" spans="2:13" ht="18.75" customHeight="1" x14ac:dyDescent="0.25">
      <c r="B102" s="437">
        <v>46052</v>
      </c>
      <c r="C102" s="69"/>
      <c r="D102" s="69">
        <v>30</v>
      </c>
      <c r="E102" s="69">
        <v>124</v>
      </c>
      <c r="F102" s="69">
        <v>55000000050</v>
      </c>
      <c r="G102" s="137" t="str">
        <f>IFERROR(IF('Dic-26'!$F95="","-",VLOOKUP('Dic-26'!$F95,Lista_CUIT!$A$1:$D$2241,2,0)),"CUIT NO CARGADO")</f>
        <v>-</v>
      </c>
      <c r="H102" s="75">
        <v>1920</v>
      </c>
      <c r="I102" s="75"/>
      <c r="J102" s="76"/>
      <c r="K102" s="76">
        <v>1444.5</v>
      </c>
      <c r="L102" s="74">
        <f>Table_6083[[#This Row],[USD]]*Table_6083[[#This Row],[TIPO DE CAMBIO2]]</f>
        <v>2773440</v>
      </c>
      <c r="M102" s="72">
        <f>SUBTOTAL(103,'Abr-26'!$M$111:$M$114)</f>
        <v>0</v>
      </c>
    </row>
    <row r="103" spans="2:13" ht="18.75" customHeight="1" x14ac:dyDescent="0.25">
      <c r="B103" s="68" t="s">
        <v>1336</v>
      </c>
      <c r="C103" s="69"/>
      <c r="D103" s="69"/>
      <c r="E103" s="69"/>
      <c r="F103" s="69"/>
      <c r="G103" s="69"/>
      <c r="H103" s="75">
        <f>SUBTOTAL(109,H101:H102)</f>
        <v>3840</v>
      </c>
      <c r="I103" s="75">
        <f>SUBTOTAL(109,'Dic-26'!$I$103:$I$105)</f>
        <v>0</v>
      </c>
      <c r="J103" s="76">
        <f>SUBTOTAL(109,'Dic-26'!$J$103:$J$105)</f>
        <v>0</v>
      </c>
      <c r="K103" s="76"/>
      <c r="L103" s="76">
        <f>SUBTOTAL(109,L101:L102)</f>
        <v>5527680</v>
      </c>
      <c r="M103" s="72">
        <f>SUBTOTAL(103,'Dic-26'!$M$103:$M$105)</f>
        <v>0</v>
      </c>
    </row>
    <row r="104" spans="2:13" ht="18.75" customHeight="1" x14ac:dyDescent="0.25"/>
    <row r="105" spans="2:13" ht="18.75" customHeight="1" x14ac:dyDescent="0.25"/>
    <row r="106" spans="2:13" ht="18.75" customHeight="1" x14ac:dyDescent="0.25"/>
    <row r="107" spans="2:13" ht="18.75" customHeight="1" x14ac:dyDescent="0.25"/>
    <row r="108" spans="2:13" ht="18.75" customHeight="1" x14ac:dyDescent="0.25"/>
    <row r="109" spans="2:13" ht="18.75" customHeight="1" x14ac:dyDescent="0.25"/>
    <row r="110" spans="2:13" ht="18.75" customHeight="1" x14ac:dyDescent="0.25"/>
    <row r="111" spans="2:13" ht="28.5" customHeight="1" x14ac:dyDescent="0.25"/>
    <row r="112" spans="2:13" ht="15.75" customHeight="1" x14ac:dyDescent="0.25"/>
    <row r="113" spans="3:12" ht="15.75" customHeight="1" x14ac:dyDescent="0.25"/>
    <row r="114" spans="3:12" ht="15.75" customHeight="1" x14ac:dyDescent="0.25"/>
    <row r="115" spans="3:12" ht="15.75" customHeight="1" x14ac:dyDescent="0.25"/>
    <row r="116" spans="3:12" ht="15.75" customHeight="1" x14ac:dyDescent="0.25">
      <c r="C116" s="459" t="s">
        <v>1363</v>
      </c>
      <c r="D116" s="460"/>
      <c r="E116" s="460"/>
      <c r="F116" s="460"/>
      <c r="G116" s="461"/>
      <c r="H116" s="88"/>
      <c r="I116" s="88"/>
      <c r="J116" s="88"/>
    </row>
    <row r="117" spans="3:12" ht="15.75" customHeight="1" x14ac:dyDescent="0.25">
      <c r="C117" s="89" t="s">
        <v>1364</v>
      </c>
      <c r="D117" s="90" t="s">
        <v>1365</v>
      </c>
      <c r="E117" s="90" t="s">
        <v>1361</v>
      </c>
      <c r="F117" s="90" t="s">
        <v>0</v>
      </c>
      <c r="G117" s="90" t="s">
        <v>1</v>
      </c>
      <c r="H117" s="91" t="s">
        <v>1366</v>
      </c>
      <c r="I117" s="91" t="s">
        <v>1367</v>
      </c>
      <c r="J117" s="91" t="s">
        <v>1368</v>
      </c>
      <c r="K117" s="91" t="s">
        <v>1369</v>
      </c>
      <c r="L117" s="91" t="s">
        <v>1370</v>
      </c>
    </row>
    <row r="118" spans="3:12" ht="15.75" customHeight="1" x14ac:dyDescent="0.25">
      <c r="C118" s="92"/>
      <c r="D118" s="93">
        <v>11694</v>
      </c>
      <c r="E118" s="93"/>
      <c r="F118" s="39"/>
      <c r="G118" s="40" t="str">
        <f>IFERROR(IF('Ene-27'!$F118="","-",VLOOKUP('Ene-27'!$F118,Lista_CUIT!$A$1:$D$2241,2,0)),"CUIT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92"/>
      <c r="D119" s="93">
        <v>11695</v>
      </c>
      <c r="E119" s="93"/>
      <c r="F119" s="39"/>
      <c r="G119" s="40" t="str">
        <f>IFERROR(IF('Ene-27'!$F119="","-",VLOOKUP('Ene-27'!$F119,Lista_CUIT!$A$1:$D$2241,2,0)),"CUIT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25">
      <c r="C120" s="92"/>
      <c r="D120" s="93">
        <v>11696</v>
      </c>
      <c r="E120" s="93"/>
      <c r="F120" s="39"/>
      <c r="G120" s="40" t="str">
        <f>IFERROR(IF('Ene-27'!$F120="","-",VLOOKUP('Ene-27'!$F120,Lista_CUIT!$A$1:$D$2241,2,0)),"CUIT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25">
      <c r="C121" s="92"/>
      <c r="D121" s="93">
        <v>11697</v>
      </c>
      <c r="E121" s="93"/>
      <c r="F121" s="39"/>
      <c r="G121" s="40" t="str">
        <f>IFERROR(IF('Ene-27'!$F121="","-",VLOOKUP('Ene-27'!$F121,Lista_CUIT!$A$1:$D$2241,2,0)),"CUIT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25">
      <c r="C122" s="3"/>
      <c r="D122" s="93">
        <v>11698</v>
      </c>
      <c r="E122" s="93"/>
      <c r="F122" s="3"/>
      <c r="G122" s="40" t="str">
        <f>IFERROR(IF('Ene-27'!$F122="","-",VLOOKUP('Ene-27'!$F122,Lista_CUIT!$A$1:$D$2241,2,0)),"CUIT NO CARGADO")</f>
        <v>-</v>
      </c>
      <c r="H122" s="3"/>
      <c r="I122" s="3"/>
      <c r="J122" s="3"/>
      <c r="K122" s="3"/>
      <c r="L122" s="3"/>
    </row>
    <row r="123" spans="3:12" ht="15.75" customHeight="1" x14ac:dyDescent="0.25">
      <c r="C123" s="109"/>
    </row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21">
    <mergeCell ref="M4:N4"/>
    <mergeCell ref="P4:R4"/>
    <mergeCell ref="D37:L37"/>
    <mergeCell ref="C116:G116"/>
    <mergeCell ref="B3:E3"/>
    <mergeCell ref="B4:E4"/>
    <mergeCell ref="G4:H4"/>
    <mergeCell ref="J4:K4"/>
    <mergeCell ref="D51:K51"/>
    <mergeCell ref="B73:J73"/>
    <mergeCell ref="K73:M73"/>
    <mergeCell ref="B75:C75"/>
    <mergeCell ref="B89:C89"/>
    <mergeCell ref="B99:C99"/>
    <mergeCell ref="B1:F1"/>
    <mergeCell ref="G1:M1"/>
    <mergeCell ref="N1:R1"/>
    <mergeCell ref="G3:H3"/>
    <mergeCell ref="J3:K3"/>
    <mergeCell ref="M3:N3"/>
    <mergeCell ref="P3:R3"/>
  </mergeCells>
  <dataValidations count="15">
    <dataValidation type="custom" allowBlank="1" showErrorMessage="1" sqref="L77" xr:uid="{00000000-0002-0000-0A00-000000000000}">
      <formula1>IF($C9=3,L9&lt;0,L9&gt;=0)</formula1>
    </dataValidation>
    <dataValidation type="custom" allowBlank="1" showErrorMessage="1" sqref="H91:L96 H101:I101 K101:L101 L102" xr:uid="{00000000-0002-0000-0A00-000001000000}">
      <formula1>IF($C91=8,H91&lt;0,H91&gt;=0)</formula1>
    </dataValidation>
    <dataValidation type="custom" allowBlank="1" showErrorMessage="1" sqref="L82:L83" xr:uid="{00000000-0002-0000-0A00-000002000000}">
      <formula1>IF($C32=3,L32&lt;0,L32&gt;=0)</formula1>
    </dataValidation>
    <dataValidation type="decimal" allowBlank="1" showErrorMessage="1" sqref="D9:D31 E53:E66 D77:D85 D91:D96 D101" xr:uid="{00000000-0002-0000-0A00-000003000000}">
      <formula1>1</formula1>
      <formula2>9999</formula2>
    </dataValidation>
    <dataValidation type="date" allowBlank="1" showErrorMessage="1" sqref="B9:B31 B33:B36 D39:D46 D53:D66 B77:B85 B91:B96 B101" xr:uid="{00000000-0002-0000-0A00-000004000000}">
      <formula1>40179</formula1>
      <formula2>TODAY()</formula2>
    </dataValidation>
    <dataValidation type="decimal" allowBlank="1" showErrorMessage="1" sqref="F9:F31 G53:G66 F77:F85 F91:F96" xr:uid="{00000000-0002-0000-0A00-000005000000}">
      <formula1>20000000000</formula1>
      <formula2>33999999999</formula2>
    </dataValidation>
    <dataValidation type="decimal" allowBlank="1" showErrorMessage="1" sqref="C91:C96" xr:uid="{00000000-0002-0000-0A00-000006000000}">
      <formula1>6</formula1>
      <formula2>8</formula2>
    </dataValidation>
    <dataValidation type="decimal" allowBlank="1" showErrorMessage="1" sqref="E9:E31 F53:F66 E77:E85 E91:E96 E101" xr:uid="{00000000-0002-0000-0A00-000007000000}">
      <formula1>1</formula1>
      <formula2>99999999</formula2>
    </dataValidation>
    <dataValidation type="decimal" allowBlank="1" showErrorMessage="1" sqref="C77:C85 C33:C36 C9:C31" xr:uid="{00000000-0002-0000-0A00-000008000000}">
      <formula1>1</formula1>
      <formula2>3</formula2>
    </dataValidation>
    <dataValidation type="custom" allowBlank="1" showErrorMessage="1" sqref="J79:K79 J81:K81 J77:K77 H77 H81 H79 H83 J83:K83" xr:uid="{00000000-0002-0000-0A00-000009000000}">
      <formula1>IF($C77=3,H77&lt;0,H77&gt;=0)</formula1>
    </dataValidation>
    <dataValidation type="custom" allowBlank="1" showErrorMessage="1" sqref="L78:L80" xr:uid="{00000000-0002-0000-0A00-00000A000000}">
      <formula1>IF(#REF!=3,#REF!&lt;0,#REF!&gt;=0)</formula1>
    </dataValidation>
    <dataValidation type="custom" allowBlank="1" showErrorMessage="1" sqref="L81" xr:uid="{00000000-0002-0000-0A00-00000B000000}">
      <formula1>IF($C32=3,L32&lt;0,L32&gt;=0)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1" xr:uid="{00000000-0002-0000-0A00-00000C000000}">
      <formula1>IF($C9=3,H9&lt;0,H9&gt;=0)</formula1>
    </dataValidation>
    <dataValidation type="decimal" allowBlank="1" showErrorMessage="1" sqref="C101" xr:uid="{00000000-0002-0000-0A00-00000D000000}">
      <formula1>80</formula1>
      <formula2>80</formula2>
    </dataValidation>
    <dataValidation allowBlank="1" showErrorMessage="1" sqref="F101" xr:uid="{00000000-0002-0000-0A00-00000E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DE9D9"/>
  </sheetPr>
  <dimension ref="A1:Z1002"/>
  <sheetViews>
    <sheetView showGridLines="0" topLeftCell="A76" zoomScale="80" zoomScaleNormal="80" workbookViewId="0">
      <selection activeCell="L102" sqref="L102"/>
    </sheetView>
  </sheetViews>
  <sheetFormatPr baseColWidth="10" defaultColWidth="14.42578125" defaultRowHeight="15" customHeight="1" x14ac:dyDescent="0.25"/>
  <cols>
    <col min="1" max="1" width="8.140625" customWidth="1"/>
    <col min="2" max="6" width="15.7109375" customWidth="1"/>
    <col min="7" max="7" width="20.140625" customWidth="1"/>
    <col min="8" max="8" width="20.85546875" customWidth="1"/>
    <col min="9" max="40" width="15.7109375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69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EDATE('Abr-26'!N1,10)</f>
        <v>46054</v>
      </c>
      <c r="O1" s="448"/>
      <c r="P1" s="448"/>
      <c r="Q1" s="448"/>
      <c r="R1" s="449"/>
    </row>
    <row r="3" spans="1:19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SUM('Feb-27'!$H$29)+'Feb-27'!$G$45</f>
        <v>6276661.2280952381</v>
      </c>
      <c r="C4" s="448"/>
      <c r="D4" s="448"/>
      <c r="E4" s="449"/>
      <c r="F4" s="8"/>
      <c r="G4" s="463">
        <f>'Feb-27'!$I$29+'Feb-27'!$J$29+'Feb-27'!$K$29+'Feb-27'!$H$45+'Feb-27'!$I$45</f>
        <v>1313964.7649999997</v>
      </c>
      <c r="H4" s="449"/>
      <c r="I4" s="8"/>
      <c r="J4" s="466">
        <f>'Feb-27'!$H$85+'Feb-27'!$H$96</f>
        <v>52323052.25</v>
      </c>
      <c r="K4" s="449"/>
      <c r="L4" s="8"/>
      <c r="M4" s="466">
        <f>'Feb-27'!$I$85+'Feb-27'!$J$85+'Feb-27'!$I$96+'Feb-27'!$J$96</f>
        <v>6924568.4725000001</v>
      </c>
      <c r="N4" s="449"/>
      <c r="O4" s="8"/>
      <c r="P4" s="473">
        <f>G4-M4</f>
        <v>-5610603.7075000005</v>
      </c>
      <c r="Q4" s="474"/>
      <c r="R4" s="475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thickBot="1" x14ac:dyDescent="0.3">
      <c r="B8" s="366" t="s">
        <v>1322</v>
      </c>
      <c r="C8" s="367" t="s">
        <v>1323</v>
      </c>
      <c r="D8" s="367" t="s">
        <v>1324</v>
      </c>
      <c r="E8" s="367" t="s">
        <v>1325</v>
      </c>
      <c r="F8" s="367" t="s">
        <v>0</v>
      </c>
      <c r="G8" s="367" t="s">
        <v>1</v>
      </c>
      <c r="H8" s="367" t="s">
        <v>1326</v>
      </c>
      <c r="I8" s="367" t="s">
        <v>1327</v>
      </c>
      <c r="J8" s="367" t="s">
        <v>1328</v>
      </c>
      <c r="K8" s="367" t="s">
        <v>1329</v>
      </c>
      <c r="L8" s="367" t="s">
        <v>1330</v>
      </c>
      <c r="M8" s="367" t="s">
        <v>1331</v>
      </c>
      <c r="N8" s="367" t="s">
        <v>1332</v>
      </c>
      <c r="O8" s="367" t="s">
        <v>1333</v>
      </c>
      <c r="P8" s="367" t="s">
        <v>1334</v>
      </c>
      <c r="Q8" s="367" t="s">
        <v>2</v>
      </c>
      <c r="R8" s="368" t="s">
        <v>1335</v>
      </c>
    </row>
    <row r="9" spans="1:19" ht="15" customHeight="1" x14ac:dyDescent="0.25">
      <c r="B9" s="249">
        <v>46054</v>
      </c>
      <c r="C9" s="250">
        <v>1</v>
      </c>
      <c r="D9" s="251">
        <v>3</v>
      </c>
      <c r="E9" s="252">
        <v>295642</v>
      </c>
      <c r="F9" s="253">
        <v>30707135596</v>
      </c>
      <c r="G9" s="254" t="str">
        <f>IFERROR(IF('Feb-27'!$F9="","-",VLOOKUP('Feb-27'!$F9,Lista_CUIT!$A$1:$D$2241,2,0)),"CUIT NO CARGADO")</f>
        <v>CITILAN ARGENTINA S.A.</v>
      </c>
      <c r="H9" s="255">
        <v>37920</v>
      </c>
      <c r="I9" s="256">
        <f>IF('Feb-27'!$H9="","",'Feb-27'!$H9*0.21)</f>
        <v>7963.2</v>
      </c>
      <c r="J9" s="256"/>
      <c r="K9" s="256"/>
      <c r="L9" s="256"/>
      <c r="M9" s="256"/>
      <c r="N9" s="256"/>
      <c r="O9" s="256"/>
      <c r="P9" s="257">
        <f>SUM('Feb-27'!$H9:$O9)</f>
        <v>45883.199999999997</v>
      </c>
      <c r="Q9" s="258" t="str">
        <f>IFERROR(IF('Feb-27'!$F9="","-",VLOOKUP('Feb-27'!$F9,Lista_CUIT!$A$1:$D$2241,3,0)),"CUIT NO CARGADO")</f>
        <v>Telefonia</v>
      </c>
      <c r="R9" s="259">
        <f>IFERROR(IF('Feb-27'!$F9="","-",VLOOKUP('Feb-27'!$F9,Lista_CUIT!$A$1:$D$2241,4,0)),"CUIT NO CARGADO")</f>
        <v>0</v>
      </c>
    </row>
    <row r="10" spans="1:19" ht="15" customHeight="1" x14ac:dyDescent="0.25">
      <c r="B10" s="168">
        <v>46055</v>
      </c>
      <c r="C10" s="250">
        <v>1</v>
      </c>
      <c r="D10" s="170">
        <v>5</v>
      </c>
      <c r="E10" s="171">
        <v>7530</v>
      </c>
      <c r="F10" s="172">
        <v>20231333593</v>
      </c>
      <c r="G10" s="173" t="str">
        <f>IFERROR(IF('Feb-27'!$F10="","-",VLOOKUP('Feb-27'!$F10,Lista_CUIT!$A$1:$D$2241,2,0)),"CUIT NO CARGADO")</f>
        <v>BOLLINI CLAUDIO DANIEL</v>
      </c>
      <c r="H10" s="174">
        <v>80000</v>
      </c>
      <c r="I10" s="175">
        <f>IF('Feb-27'!$H10="","",'Feb-27'!$H10*0.21)</f>
        <v>16800</v>
      </c>
      <c r="J10" s="175"/>
      <c r="K10" s="175"/>
      <c r="L10" s="175"/>
      <c r="M10" s="175"/>
      <c r="N10" s="175"/>
      <c r="O10" s="175"/>
      <c r="P10" s="176">
        <f>SUM('Feb-27'!$H10:$O10)</f>
        <v>96800</v>
      </c>
      <c r="Q10" s="177" t="str">
        <f>IFERROR(IF('Feb-27'!$F10="","-",VLOOKUP('Feb-27'!$F10,Lista_CUIT!$A$1:$D$2241,3,0)),"CUIT NO CARGADO")</f>
        <v>Mantenimiento</v>
      </c>
      <c r="R10" s="178">
        <f>IFERROR(IF('Feb-27'!$F10="","-",VLOOKUP('Feb-27'!$F10,Lista_CUIT!$A$1:$D$2241,4,0)),"CUIT NO CARGADO")</f>
        <v>0</v>
      </c>
    </row>
    <row r="11" spans="1:19" ht="15" customHeight="1" x14ac:dyDescent="0.25">
      <c r="B11" s="168">
        <v>46055</v>
      </c>
      <c r="C11" s="250">
        <v>1</v>
      </c>
      <c r="D11" s="170">
        <v>3</v>
      </c>
      <c r="E11" s="171">
        <v>198</v>
      </c>
      <c r="F11" s="172">
        <v>20297899830</v>
      </c>
      <c r="G11" s="173" t="str">
        <f>IFERROR(IF('Feb-27'!$F11="","-",VLOOKUP('Feb-27'!$F11,Lista_CUIT!$A$1:$D$2241,2,0)),"CUIT NO CARGADO")</f>
        <v>FUNK MATIAS NICOLAS</v>
      </c>
      <c r="H11" s="174">
        <v>2025800</v>
      </c>
      <c r="I11" s="175">
        <f>IF('Feb-27'!$H11="","",'Feb-27'!$H11*0.21)</f>
        <v>425418</v>
      </c>
      <c r="J11" s="175"/>
      <c r="K11" s="175"/>
      <c r="L11" s="175"/>
      <c r="M11" s="175"/>
      <c r="N11" s="175"/>
      <c r="O11" s="175"/>
      <c r="P11" s="176">
        <f>SUM('Feb-27'!$H11:$O11)</f>
        <v>2451218</v>
      </c>
      <c r="Q11" s="177" t="str">
        <f>IFERROR(IF('Feb-27'!$F11="","-",VLOOKUP('Feb-27'!$F11,Lista_CUIT!$A$1:$D$2241,3,0)),"CUIT NO CARGADO")</f>
        <v>INSUMO</v>
      </c>
      <c r="R11" s="178">
        <f>IFERROR(IF('Feb-27'!$F11="","-",VLOOKUP('Feb-27'!$F11,Lista_CUIT!$A$1:$D$2241,4,0)),"CUIT NO CARGADO")</f>
        <v>0</v>
      </c>
    </row>
    <row r="12" spans="1:19" ht="15" customHeight="1" x14ac:dyDescent="0.25">
      <c r="B12" s="168">
        <v>46056</v>
      </c>
      <c r="C12" s="250">
        <v>1</v>
      </c>
      <c r="D12" s="170">
        <v>3</v>
      </c>
      <c r="E12" s="171">
        <v>933</v>
      </c>
      <c r="F12" s="172">
        <v>30715402765</v>
      </c>
      <c r="G12" s="173" t="str">
        <f>IFERROR(IF('Feb-27'!$F12="","-",VLOOKUP('Feb-27'!$F12,Lista_CUIT!$A$1:$D$2241,2,0)),"CUIT NO CARGADO")</f>
        <v>RIO 265 S.R.L.</v>
      </c>
      <c r="H12" s="174">
        <v>128099.19</v>
      </c>
      <c r="I12" s="175">
        <f>IF('Feb-27'!$H12="","",'Feb-27'!$H12*0.21)</f>
        <v>26900.829900000001</v>
      </c>
      <c r="J12" s="175"/>
      <c r="K12" s="175"/>
      <c r="L12" s="175"/>
      <c r="M12" s="175"/>
      <c r="N12" s="175"/>
      <c r="O12" s="175"/>
      <c r="P12" s="176">
        <f>SUM('Feb-27'!$H12:$O12)</f>
        <v>155000.01990000001</v>
      </c>
      <c r="Q12" s="177" t="str">
        <f>IFERROR(IF('Feb-27'!$F12="","-",VLOOKUP('Feb-27'!$F12,Lista_CUIT!$A$1:$D$2241,3,0)),"CUIT NO CARGADO")</f>
        <v>GASTOS VARIOS</v>
      </c>
      <c r="R12" s="178">
        <f>IFERROR(IF('Feb-27'!$F12="","-",VLOOKUP('Feb-27'!$F12,Lista_CUIT!$A$1:$D$2241,4,0)),"CUIT NO CARGADO")</f>
        <v>0</v>
      </c>
    </row>
    <row r="13" spans="1:19" ht="15" customHeight="1" x14ac:dyDescent="0.25">
      <c r="B13" s="168">
        <v>46056</v>
      </c>
      <c r="C13" s="250">
        <v>1</v>
      </c>
      <c r="D13" s="170">
        <v>2</v>
      </c>
      <c r="E13" s="171">
        <v>225</v>
      </c>
      <c r="F13" s="172">
        <v>20125142851</v>
      </c>
      <c r="G13" s="173" t="str">
        <f>IFERROR(IF('Feb-27'!$F13="","-",VLOOKUP('Feb-27'!$F13,Lista_CUIT!$A$1:$D$2241,2,0)),"CUIT NO CARGADO")</f>
        <v>FEDERICI NICOLAS JOSE</v>
      </c>
      <c r="H13" s="174">
        <v>2763627.38</v>
      </c>
      <c r="I13" s="175">
        <f>IF('Feb-27'!$H13="","",'Feb-27'!$H13*0.21)</f>
        <v>580361.74979999999</v>
      </c>
      <c r="J13" s="175"/>
      <c r="K13" s="175"/>
      <c r="L13" s="175"/>
      <c r="M13" s="175"/>
      <c r="N13" s="175"/>
      <c r="O13" s="175"/>
      <c r="P13" s="176">
        <f>SUM('Feb-27'!$H13:$O13)</f>
        <v>3343989.1297999998</v>
      </c>
      <c r="Q13" s="177" t="str">
        <f>IFERROR(IF('Feb-27'!$F13="","-",VLOOKUP('Feb-27'!$F13,Lista_CUIT!$A$1:$D$2241,3,0)),"CUIT NO CARGADO")</f>
        <v>INSUMO</v>
      </c>
      <c r="R13" s="178">
        <f>IFERROR(IF('Feb-27'!$F13="","-",VLOOKUP('Feb-27'!$F13,Lista_CUIT!$A$1:$D$2241,4,0)),"CUIT NO CARGADO")</f>
        <v>0</v>
      </c>
    </row>
    <row r="14" spans="1:19" ht="15" customHeight="1" x14ac:dyDescent="0.25">
      <c r="B14" s="168">
        <v>46058</v>
      </c>
      <c r="C14" s="250">
        <v>1</v>
      </c>
      <c r="D14" s="170">
        <v>3</v>
      </c>
      <c r="E14" s="171">
        <v>1404</v>
      </c>
      <c r="F14" s="172">
        <v>27299214007</v>
      </c>
      <c r="G14" s="173" t="str">
        <f>IFERROR(IF('Feb-27'!$F14="","-",VLOOKUP('Feb-27'!$F14,Lista_CUIT!$A$1:$D$2241,2,0)),"CUIT NO CARGADO")</f>
        <v>CIMMA NOELIA XIMENA</v>
      </c>
      <c r="H14" s="174">
        <v>54876.03</v>
      </c>
      <c r="I14" s="175">
        <f>IF('Feb-27'!$H14="","",'Feb-27'!$H14*0.21)</f>
        <v>11523.9663</v>
      </c>
      <c r="J14" s="175"/>
      <c r="K14" s="175"/>
      <c r="L14" s="175"/>
      <c r="M14" s="175"/>
      <c r="N14" s="175"/>
      <c r="O14" s="175"/>
      <c r="P14" s="176">
        <f>SUM('Feb-27'!$H14:$O14)</f>
        <v>66399.996299999999</v>
      </c>
      <c r="Q14" s="177">
        <f>IFERROR(IF('Feb-27'!$F14="","-",VLOOKUP('Feb-27'!$F14,Lista_CUIT!$A$1:$D$2241,3,0)),"CUIT NO CARGADO")</f>
        <v>0</v>
      </c>
      <c r="R14" s="178">
        <f>IFERROR(IF('Feb-27'!$F14="","-",VLOOKUP('Feb-27'!$F14,Lista_CUIT!$A$1:$D$2241,4,0)),"CUIT NO CARGADO")</f>
        <v>0</v>
      </c>
    </row>
    <row r="15" spans="1:19" ht="15" customHeight="1" x14ac:dyDescent="0.25">
      <c r="B15" s="168">
        <v>46058</v>
      </c>
      <c r="C15" s="250">
        <v>1</v>
      </c>
      <c r="D15" s="170">
        <v>63</v>
      </c>
      <c r="E15" s="171">
        <v>3667693</v>
      </c>
      <c r="F15" s="172">
        <v>30640897267</v>
      </c>
      <c r="G15" s="173" t="str">
        <f>IFERROR(IF('Feb-27'!$F15="","-",VLOOKUP('Feb-27'!$F15,Lista_CUIT!$A$1:$D$2241,2,0)),"CUIT NO CARGADO")</f>
        <v>TELECENTRO SA</v>
      </c>
      <c r="H15" s="174">
        <v>69845</v>
      </c>
      <c r="I15" s="175">
        <f>IF('Feb-27'!$H15="","",'Feb-27'!$H15*0.21)</f>
        <v>14667.449999999999</v>
      </c>
      <c r="J15" s="175"/>
      <c r="K15" s="175"/>
      <c r="L15" s="175"/>
      <c r="M15" s="175"/>
      <c r="N15" s="175"/>
      <c r="O15" s="175"/>
      <c r="P15" s="176">
        <f>SUM('Feb-27'!$H15:$O15)</f>
        <v>84512.45</v>
      </c>
      <c r="Q15" s="177" t="str">
        <f>IFERROR(IF('Feb-27'!$F15="","-",VLOOKUP('Feb-27'!$F15,Lista_CUIT!$A$1:$D$2241,3,0)),"CUIT NO CARGADO")</f>
        <v>SERVICIOS</v>
      </c>
      <c r="R15" s="178">
        <f>IFERROR(IF('Feb-27'!$F15="","-",VLOOKUP('Feb-27'!$F15,Lista_CUIT!$A$1:$D$2241,4,0)),"CUIT NO CARGADO")</f>
        <v>0</v>
      </c>
    </row>
    <row r="16" spans="1:19" ht="15" customHeight="1" x14ac:dyDescent="0.25">
      <c r="B16" s="168">
        <v>46062</v>
      </c>
      <c r="C16" s="250">
        <v>1</v>
      </c>
      <c r="D16" s="170">
        <v>1</v>
      </c>
      <c r="E16" s="171">
        <v>26081</v>
      </c>
      <c r="F16" s="172">
        <v>30717047180</v>
      </c>
      <c r="G16" s="173" t="str">
        <f>IFERROR(IF('Feb-27'!$F16="","-",VLOOKUP('Feb-27'!$F16,Lista_CUIT!$A$1:$D$2241,2,0)),"CUIT NO CARGADO")</f>
        <v>GDO SRL</v>
      </c>
      <c r="H16" s="174">
        <v>36324.959999999999</v>
      </c>
      <c r="I16" s="175">
        <f>IF('Feb-27'!$H16="","",'Feb-27'!$H16*0.21)</f>
        <v>7628.2415999999994</v>
      </c>
      <c r="J16" s="175"/>
      <c r="K16" s="175"/>
      <c r="L16" s="175"/>
      <c r="M16" s="175"/>
      <c r="N16" s="175"/>
      <c r="O16" s="175"/>
      <c r="P16" s="176">
        <f>SUM('Feb-27'!$H16:$O16)</f>
        <v>43953.2016</v>
      </c>
      <c r="Q16" s="177">
        <f>IFERROR(IF('Feb-27'!$F16="","-",VLOOKUP('Feb-27'!$F16,Lista_CUIT!$A$1:$D$2241,3,0)),"CUIT NO CARGADO")</f>
        <v>0</v>
      </c>
      <c r="R16" s="178">
        <f>IFERROR(IF('Feb-27'!$F16="","-",VLOOKUP('Feb-27'!$F16,Lista_CUIT!$A$1:$D$2241,4,0)),"CUIT NO CARGADO")</f>
        <v>0</v>
      </c>
    </row>
    <row r="17" spans="2:18" ht="15" customHeight="1" x14ac:dyDescent="0.25">
      <c r="B17" s="168">
        <v>46064</v>
      </c>
      <c r="C17" s="250">
        <v>1</v>
      </c>
      <c r="D17" s="170">
        <v>5</v>
      </c>
      <c r="E17" s="171">
        <v>24271</v>
      </c>
      <c r="F17" s="172">
        <v>30624066827</v>
      </c>
      <c r="G17" s="173" t="str">
        <f>IFERROR(IF('Feb-27'!$F17="","-",VLOOKUP('Feb-27'!$F17,Lista_CUIT!$A$1:$D$2241,2,0)),"CUIT NO CARGADO")</f>
        <v>PAPELERA TODOPLASTIC S. R. L.</v>
      </c>
      <c r="H17" s="174">
        <v>41126.44</v>
      </c>
      <c r="I17" s="175">
        <f>IF('Feb-27'!$H17="","",'Feb-27'!$H17*0.21)</f>
        <v>8636.5524000000005</v>
      </c>
      <c r="J17" s="175"/>
      <c r="K17" s="175"/>
      <c r="L17" s="175"/>
      <c r="M17" s="175"/>
      <c r="N17" s="175"/>
      <c r="O17" s="175"/>
      <c r="P17" s="176">
        <f>SUM('Feb-27'!$H17:$O17)</f>
        <v>49762.992400000003</v>
      </c>
      <c r="Q17" s="177">
        <f>IFERROR(IF('Feb-27'!$F17="","-",VLOOKUP('Feb-27'!$F17,Lista_CUIT!$A$1:$D$2241,3,0)),"CUIT NO CARGADO")</f>
        <v>0</v>
      </c>
      <c r="R17" s="178">
        <f>IFERROR(IF('Feb-27'!$F17="","-",VLOOKUP('Feb-27'!$F17,Lista_CUIT!$A$1:$D$2241,4,0)),"CUIT NO CARGADO")</f>
        <v>0</v>
      </c>
    </row>
    <row r="18" spans="2:18" ht="15" customHeight="1" x14ac:dyDescent="0.25">
      <c r="B18" s="168">
        <v>46064</v>
      </c>
      <c r="C18" s="250">
        <v>1</v>
      </c>
      <c r="D18" s="170">
        <v>2</v>
      </c>
      <c r="E18" s="171">
        <v>19010</v>
      </c>
      <c r="F18" s="172">
        <v>30716743434</v>
      </c>
      <c r="G18" s="173" t="str">
        <f>IFERROR(IF('Feb-27'!$F18="","-",VLOOKUP('Feb-27'!$F18,Lista_CUIT!$A$1:$D$2241,2,0)),"CUIT NO CARGADO")</f>
        <v>CANDY HO S. R. L.</v>
      </c>
      <c r="H18" s="174">
        <v>37412.67</v>
      </c>
      <c r="I18" s="175"/>
      <c r="J18" s="175"/>
      <c r="K18" s="175">
        <v>3928.33</v>
      </c>
      <c r="L18" s="175"/>
      <c r="M18" s="175"/>
      <c r="N18" s="175"/>
      <c r="O18" s="175"/>
      <c r="P18" s="176">
        <f>SUM('Feb-27'!$H18:$O18)</f>
        <v>41341</v>
      </c>
      <c r="Q18" s="177">
        <f>IFERROR(IF('Feb-27'!$F18="","-",VLOOKUP('Feb-27'!$F18,Lista_CUIT!$A$1:$D$2241,3,0)),"CUIT NO CARGADO")</f>
        <v>0</v>
      </c>
      <c r="R18" s="178">
        <f>IFERROR(IF('Feb-27'!$F18="","-",VLOOKUP('Feb-27'!$F18,Lista_CUIT!$A$1:$D$2241,4,0)),"CUIT NO CARGADO")</f>
        <v>0</v>
      </c>
    </row>
    <row r="19" spans="2:18" ht="15" customHeight="1" x14ac:dyDescent="0.25">
      <c r="B19" s="168">
        <v>46065</v>
      </c>
      <c r="C19" s="250">
        <v>1</v>
      </c>
      <c r="D19" s="170">
        <v>7</v>
      </c>
      <c r="E19" s="171">
        <v>190951</v>
      </c>
      <c r="F19" s="172">
        <v>20181426846</v>
      </c>
      <c r="G19" s="173" t="str">
        <f>IFERROR(IF('Feb-27'!$F19="","-",VLOOKUP('Feb-27'!$F19,Lista_CUIT!$A$1:$D$2241,2,0)),"CUIT NO CARGADO")</f>
        <v>GRIDEL WALTER DIEGO</v>
      </c>
      <c r="H19" s="174">
        <v>16033.06</v>
      </c>
      <c r="I19" s="175">
        <f>IF('Feb-27'!$H19="","",'Feb-27'!$H19*0.21)</f>
        <v>3366.9425999999999</v>
      </c>
      <c r="J19" s="175"/>
      <c r="K19" s="175"/>
      <c r="L19" s="175"/>
      <c r="M19" s="175"/>
      <c r="N19" s="175"/>
      <c r="O19" s="175"/>
      <c r="P19" s="176">
        <f>SUM('Feb-27'!$H19:$O19)</f>
        <v>19400.0026</v>
      </c>
      <c r="Q19" s="177" t="str">
        <f>IFERROR(IF('Feb-27'!$F19="","-",VLOOKUP('Feb-27'!$F19,Lista_CUIT!$A$1:$D$2241,3,0)),"CUIT NO CARGADO")</f>
        <v>INSUMO</v>
      </c>
      <c r="R19" s="178">
        <f>IFERROR(IF('Feb-27'!$F19="","-",VLOOKUP('Feb-27'!$F19,Lista_CUIT!$A$1:$D$2241,4,0)),"CUIT NO CARGADO")</f>
        <v>0</v>
      </c>
    </row>
    <row r="20" spans="2:18" ht="15" customHeight="1" x14ac:dyDescent="0.25">
      <c r="B20" s="168">
        <v>46065</v>
      </c>
      <c r="C20" s="250">
        <v>1</v>
      </c>
      <c r="D20" s="170">
        <v>4</v>
      </c>
      <c r="E20" s="171">
        <v>79574</v>
      </c>
      <c r="F20" s="172">
        <v>30708240903</v>
      </c>
      <c r="G20" s="173" t="str">
        <f>IFERROR(IF('Feb-27'!$F20="","-",VLOOKUP('Feb-27'!$F20,Lista_CUIT!$A$1:$D$2241,2,0)),"CUIT NO CARGADO")</f>
        <v>JALUX S. R. L.</v>
      </c>
      <c r="H20" s="174">
        <v>36319.01</v>
      </c>
      <c r="I20" s="175">
        <f>IF('Feb-27'!$H20="","",'Feb-27'!$H20*0.21)</f>
        <v>7626.9921000000004</v>
      </c>
      <c r="J20" s="175"/>
      <c r="K20" s="175"/>
      <c r="L20" s="175"/>
      <c r="M20" s="175"/>
      <c r="N20" s="175"/>
      <c r="O20" s="175"/>
      <c r="P20" s="176">
        <f>SUM('Feb-27'!$H20:$O20)</f>
        <v>43946.002100000005</v>
      </c>
      <c r="Q20" s="177">
        <f>IFERROR(IF('Feb-27'!$F20="","-",VLOOKUP('Feb-27'!$F20,Lista_CUIT!$A$1:$D$2241,3,0)),"CUIT NO CARGADO")</f>
        <v>0</v>
      </c>
      <c r="R20" s="178">
        <f>IFERROR(IF('Feb-27'!$F20="","-",VLOOKUP('Feb-27'!$F20,Lista_CUIT!$A$1:$D$2241,4,0)),"CUIT NO CARGADO")</f>
        <v>0</v>
      </c>
    </row>
    <row r="21" spans="2:18" ht="15" customHeight="1" x14ac:dyDescent="0.25">
      <c r="B21" s="168">
        <v>46065</v>
      </c>
      <c r="C21" s="250">
        <v>1</v>
      </c>
      <c r="D21" s="170">
        <v>4</v>
      </c>
      <c r="E21" s="171">
        <v>68185</v>
      </c>
      <c r="F21" s="172">
        <v>30707301550</v>
      </c>
      <c r="G21" s="173" t="str">
        <f>IFERROR(IF('Feb-27'!$F21="","-",VLOOKUP('Feb-27'!$F21,Lista_CUIT!$A$1:$D$2241,2,0)),"CUIT NO CARGADO")</f>
        <v>EDUARDO J BACIGALUPO SA</v>
      </c>
      <c r="H21" s="174">
        <v>52907.040000000001</v>
      </c>
      <c r="I21" s="175">
        <f>IF('Feb-27'!$H21="","",'Feb-27'!$H21*0.21)</f>
        <v>11110.4784</v>
      </c>
      <c r="J21" s="175"/>
      <c r="K21" s="175"/>
      <c r="L21" s="175"/>
      <c r="M21" s="175"/>
      <c r="N21" s="175"/>
      <c r="O21" s="175"/>
      <c r="P21" s="176">
        <f>SUM('Feb-27'!$H21:$O21)</f>
        <v>64017.518400000001</v>
      </c>
      <c r="Q21" s="177">
        <f>IFERROR(IF('Feb-27'!$F21="","-",VLOOKUP('Feb-27'!$F21,Lista_CUIT!$A$1:$D$2241,3,0)),"CUIT NO CARGADO")</f>
        <v>0</v>
      </c>
      <c r="R21" s="178">
        <f>IFERROR(IF('Feb-27'!$F21="","-",VLOOKUP('Feb-27'!$F21,Lista_CUIT!$A$1:$D$2241,4,0)),"CUIT NO CARGADO")</f>
        <v>0</v>
      </c>
    </row>
    <row r="22" spans="2:18" ht="15" customHeight="1" x14ac:dyDescent="0.25">
      <c r="B22" s="168">
        <v>46071</v>
      </c>
      <c r="C22" s="250">
        <v>1</v>
      </c>
      <c r="D22" s="170">
        <v>5</v>
      </c>
      <c r="E22" s="171">
        <v>1816</v>
      </c>
      <c r="F22" s="172">
        <v>20081113530</v>
      </c>
      <c r="G22" s="173" t="str">
        <f>IFERROR(IF('Feb-27'!$F22="","-",VLOOKUP('Feb-27'!$F22,Lista_CUIT!$A$1:$D$2241,2,0)),"CUIT NO CARGADO")</f>
        <v>PERALTA CARLOS ALBERTO</v>
      </c>
      <c r="H22" s="174">
        <v>223140.5</v>
      </c>
      <c r="I22" s="175">
        <f>IF('Feb-27'!$H22="","",'Feb-27'!$H22*0.21)</f>
        <v>46859.504999999997</v>
      </c>
      <c r="J22" s="175"/>
      <c r="K22" s="175"/>
      <c r="L22" s="175"/>
      <c r="M22" s="175"/>
      <c r="N22" s="175"/>
      <c r="O22" s="175"/>
      <c r="P22" s="176">
        <f>SUM('Feb-27'!$H22:$O22)</f>
        <v>270000.005</v>
      </c>
      <c r="Q22" s="177">
        <f>IFERROR(IF('Feb-27'!$F22="","-",VLOOKUP('Feb-27'!$F22,Lista_CUIT!$A$1:$D$2241,3,0)),"CUIT NO CARGADO")</f>
        <v>0</v>
      </c>
      <c r="R22" s="178">
        <f>IFERROR(IF('Feb-27'!$F22="","-",VLOOKUP('Feb-27'!$F22,Lista_CUIT!$A$1:$D$2241,4,0)),"CUIT NO CARGADO")</f>
        <v>0</v>
      </c>
    </row>
    <row r="23" spans="2:18" ht="15" customHeight="1" x14ac:dyDescent="0.25">
      <c r="B23" s="168">
        <v>46071</v>
      </c>
      <c r="C23" s="250">
        <v>1</v>
      </c>
      <c r="D23" s="170">
        <v>3</v>
      </c>
      <c r="E23" s="266">
        <v>11637</v>
      </c>
      <c r="F23" s="267">
        <v>20405416094</v>
      </c>
      <c r="G23" s="173" t="str">
        <f>IFERROR(IF('Feb-27'!$F23="","-",VLOOKUP('Feb-27'!$F23,Lista_CUIT!$A$1:$D$2241,2,0)),"CUIT NO CARGADO")</f>
        <v>MIJELSON EZEQUIEL MARTIN</v>
      </c>
      <c r="H23" s="174">
        <v>29423.39</v>
      </c>
      <c r="I23" s="175">
        <f>IF('Feb-27'!$H23="","",'Feb-27'!$H23*0.21)</f>
        <v>6178.9119000000001</v>
      </c>
      <c r="J23" s="175"/>
      <c r="K23" s="175"/>
      <c r="L23" s="175"/>
      <c r="M23" s="175"/>
      <c r="N23" s="175"/>
      <c r="O23" s="175"/>
      <c r="P23" s="176">
        <f>SUM('Feb-27'!$H23:$O23)</f>
        <v>35602.301899999999</v>
      </c>
      <c r="Q23" s="177">
        <f>IFERROR(IF('Feb-27'!$F23="","-",VLOOKUP('Feb-27'!$F23,Lista_CUIT!$A$1:$D$2241,3,0)),"CUIT NO CARGADO")</f>
        <v>0</v>
      </c>
      <c r="R23" s="178">
        <f>IFERROR(IF('Feb-27'!$F23="","-",VLOOKUP('Feb-27'!$F23,Lista_CUIT!$A$1:$D$2241,4,0)),"CUIT NO CARGADO")</f>
        <v>0</v>
      </c>
    </row>
    <row r="24" spans="2:18" ht="15" customHeight="1" x14ac:dyDescent="0.25">
      <c r="B24" s="168">
        <v>46079</v>
      </c>
      <c r="C24" s="250">
        <v>1</v>
      </c>
      <c r="D24" s="251">
        <v>3</v>
      </c>
      <c r="E24" s="252">
        <v>23716</v>
      </c>
      <c r="F24" s="253">
        <v>30707468161</v>
      </c>
      <c r="G24" s="173" t="str">
        <f>IFERROR(IF('Feb-27'!$F24="","-",VLOOKUP('Feb-27'!$F24,Lista_CUIT!$A$1:$D$2241,2,0)),"CUIT NO CARGADO")</f>
        <v>LASERTEC INGENIERIA SOCIEDAD ANONIMA</v>
      </c>
      <c r="H24" s="174">
        <v>534162.5</v>
      </c>
      <c r="I24" s="175">
        <f>IF('Feb-27'!$H24="","",'Feb-27'!$H24*0.21)</f>
        <v>112174.125</v>
      </c>
      <c r="J24" s="175"/>
      <c r="K24" s="175"/>
      <c r="L24" s="175"/>
      <c r="M24" s="175"/>
      <c r="N24" s="175"/>
      <c r="O24" s="175"/>
      <c r="P24" s="176">
        <f>SUM('Feb-27'!$H24:$O24)</f>
        <v>646336.625</v>
      </c>
      <c r="Q24" s="177" t="str">
        <f>IFERROR(IF('Feb-27'!$F24="","-",VLOOKUP('Feb-27'!$F24,Lista_CUIT!$A$1:$D$2241,3,0)),"CUIT NO CARGADO")</f>
        <v>INSUMO</v>
      </c>
      <c r="R24" s="178">
        <f>IFERROR(IF('Feb-27'!$F24="","-",VLOOKUP('Feb-27'!$F24,Lista_CUIT!$A$1:$D$2241,4,0)),"CUIT NO CARGADO")</f>
        <v>0</v>
      </c>
    </row>
    <row r="25" spans="2:18" ht="15" customHeight="1" x14ac:dyDescent="0.25">
      <c r="B25" s="168">
        <v>46081</v>
      </c>
      <c r="C25" s="250">
        <v>1</v>
      </c>
      <c r="D25" s="170">
        <v>20</v>
      </c>
      <c r="E25" s="171">
        <v>73479</v>
      </c>
      <c r="F25" s="172">
        <v>30700940957</v>
      </c>
      <c r="G25" s="173" t="str">
        <f>IFERROR(IF('Feb-27'!$F25="","-",VLOOKUP('Feb-27'!$F25,Lista_CUIT!$A$1:$D$2241,2,0)),"CUIT NO CARGADO")</f>
        <v>UPS DE ARGENTINA SA</v>
      </c>
      <c r="H25" s="174">
        <v>487.11</v>
      </c>
      <c r="I25" s="175"/>
      <c r="J25" s="175"/>
      <c r="K25" s="175"/>
      <c r="L25" s="175"/>
      <c r="M25" s="175"/>
      <c r="N25" s="175"/>
      <c r="O25" s="175"/>
      <c r="P25" s="176">
        <f>SUM('Feb-27'!$H25:$O25)</f>
        <v>487.11</v>
      </c>
      <c r="Q25" s="177" t="str">
        <f>IFERROR(IF('Feb-27'!$F25="","-",VLOOKUP('Feb-27'!$F25,Lista_CUIT!$A$1:$D$2241,3,0)),"CUIT NO CARGADO")</f>
        <v>Gastos Importacion</v>
      </c>
      <c r="R25" s="178">
        <f>IFERROR(IF('Feb-27'!$F25="","-",VLOOKUP('Feb-27'!$F25,Lista_CUIT!$A$1:$D$2241,4,0)),"CUIT NO CARGADO")</f>
        <v>0</v>
      </c>
    </row>
    <row r="26" spans="2:18" ht="15" customHeight="1" x14ac:dyDescent="0.25">
      <c r="B26" s="168">
        <v>46081</v>
      </c>
      <c r="C26" s="250">
        <v>1</v>
      </c>
      <c r="D26" s="170">
        <v>20</v>
      </c>
      <c r="E26" s="171">
        <v>73372</v>
      </c>
      <c r="F26" s="172">
        <v>30700940957</v>
      </c>
      <c r="G26" s="173" t="str">
        <f>IFERROR(IF('Feb-27'!$F26="","-",VLOOKUP('Feb-27'!$F26,Lista_CUIT!$A$1:$D$2241,2,0)),"CUIT NO CARGADO")</f>
        <v>UPS DE ARGENTINA SA</v>
      </c>
      <c r="H26" s="174">
        <v>492.71</v>
      </c>
      <c r="I26" s="175"/>
      <c r="J26" s="175"/>
      <c r="K26" s="175"/>
      <c r="L26" s="175"/>
      <c r="M26" s="175"/>
      <c r="N26" s="175"/>
      <c r="O26" s="174"/>
      <c r="P26" s="176">
        <f>SUM('Feb-27'!$H26:$O26)</f>
        <v>492.71</v>
      </c>
      <c r="Q26" s="177" t="str">
        <f>IFERROR(IF('Feb-27'!$F26="","-",VLOOKUP('Feb-27'!$F26,Lista_CUIT!$A$1:$D$2241,3,0)),"CUIT NO CARGADO")</f>
        <v>Gastos Importacion</v>
      </c>
      <c r="R26" s="178">
        <f>IFERROR(IF('Feb-27'!$F26="","-",VLOOKUP('Feb-27'!$F26,Lista_CUIT!$A$1:$D$2241,4,0)),"CUIT NO CARGADO")</f>
        <v>0</v>
      </c>
    </row>
    <row r="27" spans="2:18" ht="15" customHeight="1" x14ac:dyDescent="0.25">
      <c r="B27" s="168"/>
      <c r="C27" s="169"/>
      <c r="D27" s="170"/>
      <c r="E27" s="171"/>
      <c r="F27" s="172"/>
      <c r="G27" s="173" t="str">
        <f>IFERROR(IF('Feb-27'!$F27="","-",VLOOKUP('Feb-27'!$F27,Lista_CUIT!$A$1:$D$2241,2,0)),"CUIT NO CARGADO")</f>
        <v>-</v>
      </c>
      <c r="H27" s="174"/>
      <c r="I27" s="175"/>
      <c r="J27" s="175"/>
      <c r="K27" s="175"/>
      <c r="L27" s="175"/>
      <c r="M27" s="175"/>
      <c r="N27" s="175"/>
      <c r="O27" s="175"/>
      <c r="P27" s="176">
        <f>SUM('Feb-27'!$H27:$O27)</f>
        <v>0</v>
      </c>
      <c r="Q27" s="177" t="str">
        <f>IFERROR(IF('Feb-27'!$F27="","-",VLOOKUP('Feb-27'!$F27,Lista_CUIT!$A$1:$D$2241,3,0)),"CUIT NO CARGADO")</f>
        <v>-</v>
      </c>
      <c r="R27" s="178" t="str">
        <f>IFERROR(IF('Feb-27'!$F27="","-",VLOOKUP('Feb-27'!$F27,Lista_CUIT!$A$1:$D$2241,4,0)),"CUIT NO CARGADO")</f>
        <v>-</v>
      </c>
    </row>
    <row r="28" spans="2:18" ht="15" customHeight="1" thickBot="1" x14ac:dyDescent="0.3">
      <c r="B28" s="263"/>
      <c r="C28" s="264"/>
      <c r="D28" s="251"/>
      <c r="E28" s="171"/>
      <c r="F28" s="172"/>
      <c r="G28" s="248" t="str">
        <f>IFERROR(IF('Feb-27'!$F28="","-",VLOOKUP('Feb-27'!$F28,Lista_CUIT!$A$1:$D$2241,2,0)),"CUIT NO CARGADO")</f>
        <v>-</v>
      </c>
      <c r="H28" s="363"/>
      <c r="I28" s="365" t="str">
        <f>IF('Feb-27'!$H28="","",'Feb-27'!$H28*0.21)</f>
        <v/>
      </c>
      <c r="J28" s="365"/>
      <c r="K28" s="365"/>
      <c r="L28" s="365"/>
      <c r="M28" s="365"/>
      <c r="N28" s="365"/>
      <c r="O28" s="365"/>
      <c r="P28" s="268">
        <f>SUM('Feb-27'!$H28:$O28)</f>
        <v>0</v>
      </c>
      <c r="Q28" s="362" t="str">
        <f>IFERROR(IF('Feb-27'!$F28="","-",VLOOKUP('Feb-27'!$F28,Lista_CUIT!$A$1:$D$2241,3,0)),"CUIT NO CARGADO")</f>
        <v>-</v>
      </c>
      <c r="R28" s="364" t="str">
        <f>IFERROR(IF('Feb-27'!$F28="","-",VLOOKUP('Feb-27'!$F28,Lista_CUIT!$A$1:$D$2241,4,0)),"CUIT NO CARGADO")</f>
        <v>-</v>
      </c>
    </row>
    <row r="29" spans="2:18" ht="21.75" customHeight="1" x14ac:dyDescent="0.25">
      <c r="B29" s="369" t="s">
        <v>1336</v>
      </c>
      <c r="C29" s="370"/>
      <c r="D29" s="370"/>
      <c r="E29" s="370"/>
      <c r="F29" s="370"/>
      <c r="G29" s="371"/>
      <c r="H29" s="372">
        <f>SUBTOTAL(109,'Feb-27'!$H$9:$H$28)</f>
        <v>6167996.9900000002</v>
      </c>
      <c r="I29" s="372">
        <f>SUBTOTAL(109,'Feb-27'!$I$9:$I$28)</f>
        <v>1287216.9449999996</v>
      </c>
      <c r="J29" s="372">
        <f>SUBTOTAL(109,'Feb-27'!$J$9:$J$28)</f>
        <v>0</v>
      </c>
      <c r="K29" s="372">
        <f>SUBTOTAL(109,'Feb-27'!$K$9:$K$28)</f>
        <v>3928.33</v>
      </c>
      <c r="L29" s="372">
        <f>SUBTOTAL(109,'Feb-27'!$L$9:$L$28)</f>
        <v>0</v>
      </c>
      <c r="M29" s="372">
        <f>SUBTOTAL(109,'Feb-27'!$M$9:$M$28)</f>
        <v>0</v>
      </c>
      <c r="N29" s="372">
        <f>SUBTOTAL(109,'Feb-27'!$N$9:$N$28)</f>
        <v>0</v>
      </c>
      <c r="O29" s="372">
        <f>SUBTOTAL(109,'Feb-27'!$O$9:$O$28)</f>
        <v>0</v>
      </c>
      <c r="P29" s="372">
        <f>SUBTOTAL(109,'Feb-27'!$P$9:$P$28)</f>
        <v>7459142.2650000015</v>
      </c>
      <c r="Q29" s="370"/>
      <c r="R29" s="373"/>
    </row>
    <row r="30" spans="2:18" ht="15.75" customHeight="1" x14ac:dyDescent="0.25">
      <c r="B30" s="12"/>
      <c r="C30" s="13"/>
      <c r="D30" s="14"/>
      <c r="E30" s="15"/>
      <c r="F30" s="16"/>
      <c r="G30" s="17"/>
      <c r="H30" s="18"/>
      <c r="I30" s="19"/>
      <c r="J30" s="19"/>
      <c r="K30" s="19"/>
      <c r="L30" s="19"/>
      <c r="M30" s="19"/>
      <c r="N30" s="19"/>
      <c r="O30" s="19"/>
      <c r="P30" s="20"/>
      <c r="Q30" s="21"/>
      <c r="R30" s="21"/>
    </row>
    <row r="31" spans="2:18" ht="15.75" customHeight="1" x14ac:dyDescent="0.25">
      <c r="B31" s="12"/>
      <c r="C31" s="13"/>
      <c r="D31" s="14"/>
      <c r="E31" s="15"/>
      <c r="F31" s="16"/>
      <c r="G31" s="17"/>
      <c r="H31" s="18"/>
      <c r="I31" s="19"/>
      <c r="J31" s="19"/>
      <c r="K31" s="19"/>
      <c r="L31" s="19"/>
      <c r="M31" s="19"/>
      <c r="N31" s="19"/>
      <c r="O31" s="19"/>
      <c r="P31" s="20"/>
      <c r="Q31" s="21"/>
      <c r="R31" s="21"/>
    </row>
    <row r="32" spans="2:18" ht="14.25" customHeight="1" x14ac:dyDescent="0.25">
      <c r="B32" s="12"/>
      <c r="C32" s="13"/>
      <c r="D32" s="14"/>
      <c r="E32" s="15"/>
      <c r="F32" s="16"/>
      <c r="G32" s="17"/>
      <c r="H32" s="18"/>
      <c r="I32" s="19"/>
      <c r="J32" s="19"/>
      <c r="K32" s="19"/>
      <c r="L32" s="19"/>
      <c r="M32" s="19"/>
      <c r="N32" s="19"/>
      <c r="O32" s="19"/>
      <c r="P32" s="20"/>
      <c r="Q32" s="21"/>
      <c r="R32" s="21"/>
    </row>
    <row r="33" spans="2:15" ht="22.5" customHeight="1" x14ac:dyDescent="0.25">
      <c r="B33" s="12"/>
      <c r="C33" s="13"/>
      <c r="D33" s="14"/>
      <c r="E33" s="15"/>
      <c r="F33" s="16"/>
      <c r="G33" s="17"/>
      <c r="H33" s="18"/>
      <c r="I33" s="19"/>
      <c r="J33" s="19"/>
      <c r="K33" s="19"/>
      <c r="L33" s="19"/>
    </row>
    <row r="34" spans="2:15" ht="25.5" customHeight="1" x14ac:dyDescent="0.25">
      <c r="D34" s="456" t="s">
        <v>1337</v>
      </c>
      <c r="E34" s="448"/>
      <c r="F34" s="448"/>
      <c r="G34" s="448"/>
      <c r="H34" s="448"/>
      <c r="I34" s="448"/>
      <c r="J34" s="448"/>
      <c r="K34" s="448"/>
      <c r="L34" s="449"/>
    </row>
    <row r="35" spans="2:15" ht="22.5" customHeight="1" thickBot="1" x14ac:dyDescent="0.3">
      <c r="D35" s="375" t="s">
        <v>1322</v>
      </c>
      <c r="E35" s="376" t="s">
        <v>1338</v>
      </c>
      <c r="F35" s="376" t="s">
        <v>1339</v>
      </c>
      <c r="G35" s="376" t="s">
        <v>1340</v>
      </c>
      <c r="H35" s="376" t="s">
        <v>1341</v>
      </c>
      <c r="I35" s="376" t="s">
        <v>1329</v>
      </c>
      <c r="J35" s="377" t="s">
        <v>1342</v>
      </c>
      <c r="K35" s="377" t="s">
        <v>1343</v>
      </c>
      <c r="L35" s="378" t="s">
        <v>1344</v>
      </c>
    </row>
    <row r="36" spans="2:15" ht="14.25" customHeight="1" x14ac:dyDescent="0.25">
      <c r="D36" s="249">
        <v>46081</v>
      </c>
      <c r="E36" s="374"/>
      <c r="F36" s="277" t="s">
        <v>1372</v>
      </c>
      <c r="G36" s="278">
        <f>Table_69[[#This Row],[IVA 21%]]/0.21</f>
        <v>108664.23809523811</v>
      </c>
      <c r="H36" s="278">
        <v>22819.49</v>
      </c>
      <c r="I36" s="278"/>
      <c r="J36" s="278"/>
      <c r="K36" s="278">
        <v>3196.93</v>
      </c>
      <c r="L36" s="279"/>
      <c r="O36" s="210"/>
    </row>
    <row r="37" spans="2:15" ht="14.25" customHeight="1" x14ac:dyDescent="0.25">
      <c r="D37" s="249"/>
      <c r="E37" s="374"/>
      <c r="F37" s="277"/>
      <c r="G37" s="278"/>
      <c r="H37" s="278"/>
      <c r="I37" s="278"/>
      <c r="J37" s="278"/>
      <c r="K37" s="278"/>
      <c r="L37" s="279"/>
      <c r="O37" s="210"/>
    </row>
    <row r="38" spans="2:15" ht="14.25" customHeight="1" x14ac:dyDescent="0.25">
      <c r="D38" s="249"/>
      <c r="E38" s="329"/>
      <c r="F38" s="277"/>
      <c r="G38" s="278"/>
      <c r="H38" s="192"/>
      <c r="I38" s="192"/>
      <c r="J38" s="192"/>
      <c r="K38" s="192"/>
      <c r="L38" s="193"/>
      <c r="O38" s="210"/>
    </row>
    <row r="39" spans="2:15" ht="14.25" customHeight="1" x14ac:dyDescent="0.25">
      <c r="D39" s="168"/>
      <c r="E39" s="329"/>
      <c r="F39" s="277"/>
      <c r="G39" s="278"/>
      <c r="H39" s="192"/>
      <c r="I39" s="192"/>
      <c r="J39" s="192"/>
      <c r="K39" s="192"/>
      <c r="L39" s="193"/>
      <c r="O39" s="210"/>
    </row>
    <row r="40" spans="2:15" ht="14.25" customHeight="1" x14ac:dyDescent="0.25">
      <c r="D40" s="168"/>
      <c r="E40" s="329"/>
      <c r="F40" s="277"/>
      <c r="G40" s="278"/>
      <c r="H40" s="192"/>
      <c r="I40" s="192"/>
      <c r="J40" s="192"/>
      <c r="K40" s="192"/>
      <c r="L40" s="193"/>
      <c r="O40" s="210"/>
    </row>
    <row r="41" spans="2:15" ht="14.25" customHeight="1" x14ac:dyDescent="0.25">
      <c r="D41" s="168"/>
      <c r="E41" s="329"/>
      <c r="F41" s="191"/>
      <c r="G41" s="192"/>
      <c r="H41" s="192"/>
      <c r="I41" s="192"/>
      <c r="J41" s="192"/>
      <c r="K41" s="192"/>
      <c r="L41" s="193"/>
      <c r="O41" s="210"/>
    </row>
    <row r="42" spans="2:15" ht="14.25" customHeight="1" x14ac:dyDescent="0.25">
      <c r="D42" s="168"/>
      <c r="E42" s="329"/>
      <c r="F42" s="191"/>
      <c r="G42" s="192"/>
      <c r="H42" s="192"/>
      <c r="I42" s="192"/>
      <c r="J42" s="192"/>
      <c r="K42" s="192"/>
      <c r="L42" s="193"/>
      <c r="O42" s="210"/>
    </row>
    <row r="43" spans="2:15" ht="15" customHeight="1" x14ac:dyDescent="0.25">
      <c r="D43" s="168"/>
      <c r="E43" s="329"/>
      <c r="F43" s="191"/>
      <c r="G43" s="192"/>
      <c r="H43" s="192"/>
      <c r="I43" s="192"/>
      <c r="J43" s="192"/>
      <c r="K43" s="192"/>
      <c r="L43" s="193"/>
      <c r="O43" s="210"/>
    </row>
    <row r="44" spans="2:15" ht="15" customHeight="1" thickBot="1" x14ac:dyDescent="0.3">
      <c r="D44" s="263"/>
      <c r="E44" s="284"/>
      <c r="F44" s="274"/>
      <c r="G44" s="275"/>
      <c r="H44" s="275"/>
      <c r="I44" s="275"/>
      <c r="J44" s="275"/>
      <c r="K44" s="275"/>
      <c r="L44" s="276"/>
      <c r="O44" s="409"/>
    </row>
    <row r="45" spans="2:15" ht="21" customHeight="1" x14ac:dyDescent="0.25">
      <c r="D45" s="369" t="s">
        <v>1336</v>
      </c>
      <c r="E45" s="379"/>
      <c r="F45" s="379"/>
      <c r="G45" s="380">
        <f>SUBTOTAL(109,'Feb-27'!$G$36:$G$44)</f>
        <v>108664.23809523811</v>
      </c>
      <c r="H45" s="380">
        <f>SUBTOTAL(109,'Feb-27'!$H$36:$H$44)</f>
        <v>22819.49</v>
      </c>
      <c r="I45" s="380">
        <f>SUBTOTAL(109,'Feb-27'!$I$36:$I$44)</f>
        <v>0</v>
      </c>
      <c r="J45" s="380">
        <f>SUBTOTAL(109,'Feb-27'!$J$36:$J$44)</f>
        <v>0</v>
      </c>
      <c r="K45" s="380">
        <f>SUBTOTAL(109,'Feb-27'!$K$36:$K$44)</f>
        <v>3196.93</v>
      </c>
      <c r="L45" s="381">
        <f>SUBTOTAL(109,'Feb-27'!$L$36:$L$44)</f>
        <v>0</v>
      </c>
      <c r="O45" s="410"/>
    </row>
    <row r="46" spans="2:15" ht="15" customHeight="1" x14ac:dyDescent="0.25">
      <c r="O46" s="409"/>
    </row>
    <row r="47" spans="2:15" ht="15" customHeight="1" x14ac:dyDescent="0.25">
      <c r="O47" s="410"/>
    </row>
    <row r="48" spans="2:15" ht="23.25" customHeight="1" x14ac:dyDescent="0.25">
      <c r="O48" s="409"/>
    </row>
    <row r="49" spans="4:15" ht="27" customHeight="1" x14ac:dyDescent="0.25">
      <c r="D49" s="456" t="s">
        <v>1348</v>
      </c>
      <c r="E49" s="448"/>
      <c r="F49" s="448"/>
      <c r="G49" s="448"/>
      <c r="H49" s="448"/>
      <c r="I49" s="448"/>
      <c r="J49" s="448"/>
      <c r="K49" s="449"/>
      <c r="O49" s="410"/>
    </row>
    <row r="50" spans="4:15" ht="21.75" customHeight="1" thickBot="1" x14ac:dyDescent="0.3">
      <c r="D50" s="385" t="s">
        <v>1322</v>
      </c>
      <c r="E50" s="386" t="s">
        <v>1324</v>
      </c>
      <c r="F50" s="386" t="s">
        <v>1349</v>
      </c>
      <c r="G50" s="386" t="s">
        <v>0</v>
      </c>
      <c r="H50" s="386" t="s">
        <v>1</v>
      </c>
      <c r="I50" s="387" t="s">
        <v>1334</v>
      </c>
      <c r="J50" s="386" t="s">
        <v>1350</v>
      </c>
      <c r="K50" s="388" t="s">
        <v>1335</v>
      </c>
      <c r="O50" s="409"/>
    </row>
    <row r="51" spans="4:15" ht="15" customHeight="1" x14ac:dyDescent="0.25">
      <c r="D51" s="249">
        <v>46055</v>
      </c>
      <c r="E51" s="251">
        <v>1</v>
      </c>
      <c r="F51" s="252">
        <v>184</v>
      </c>
      <c r="G51" s="253">
        <v>20389908569</v>
      </c>
      <c r="H51" s="288" t="str">
        <f>IFERROR(IF('Feb-27'!$G51="","-",VLOOKUP('Feb-27'!$G51,Lista_CUIT!$A$1:$D$2241,2,0)),"CUIT NO CARGADO")</f>
        <v>BOTINDARI JUAN IGNACIO</v>
      </c>
      <c r="I51" s="278">
        <v>150000</v>
      </c>
      <c r="J51" s="289" t="str">
        <f>IFERROR(IF('Feb-27'!$G51="","-",VLOOKUP('Feb-27'!$G51,Lista_CUIT!$A$1:$D$2241,3,0)),"CUIT NO CARGADO")</f>
        <v>Honorarios Contables</v>
      </c>
      <c r="K51" s="290">
        <f>IFERROR(IF('Feb-27'!$G51="","-",VLOOKUP('Feb-27'!$G51,Lista_CUIT!$A$1:$D$2241,4,0)),"CUIT NO CARGADO")</f>
        <v>0</v>
      </c>
      <c r="O51" s="410"/>
    </row>
    <row r="52" spans="4:15" ht="15" customHeight="1" x14ac:dyDescent="0.25">
      <c r="D52" s="168">
        <v>46055</v>
      </c>
      <c r="E52" s="170">
        <v>2</v>
      </c>
      <c r="F52" s="171">
        <v>28</v>
      </c>
      <c r="G52" s="172">
        <v>23118167279</v>
      </c>
      <c r="H52" s="201" t="str">
        <f>IFERROR(IF('Feb-27'!$G52="","-",VLOOKUP('Feb-27'!$G52,Lista_CUIT!$A$1:$D$2241,2,0)),"CUIT NO CARGADO")</f>
        <v>ABELEDO ENRIQUE JUAN</v>
      </c>
      <c r="I52" s="192">
        <v>2760000</v>
      </c>
      <c r="J52" s="203" t="str">
        <f>IFERROR(IF('Feb-27'!$G52="","-",VLOOKUP('Feb-27'!$G52,Lista_CUIT!$A$1:$D$2241,3,0)),"CUIT NO CARGADO")</f>
        <v>Honorarios Admin</v>
      </c>
      <c r="K52" s="204">
        <f>IFERROR(IF('Feb-27'!$G52="","-",VLOOKUP('Feb-27'!$G52,Lista_CUIT!$A$1:$D$2241,4,0)),"CUIT NO CARGADO")</f>
        <v>0</v>
      </c>
      <c r="O52" s="409"/>
    </row>
    <row r="53" spans="4:15" ht="15" customHeight="1" x14ac:dyDescent="0.25">
      <c r="D53" s="168">
        <v>46056</v>
      </c>
      <c r="E53" s="170">
        <v>4</v>
      </c>
      <c r="F53" s="171">
        <v>128</v>
      </c>
      <c r="G53" s="172">
        <v>20086277523</v>
      </c>
      <c r="H53" s="201" t="str">
        <f>IFERROR(IF('Feb-27'!$G53="","-",VLOOKUP('Feb-27'!$G53,Lista_CUIT!$A$1:$D$2241,2,0)),"CUIT NO CARGADO")</f>
        <v>ESTUDIO BOTINDARI</v>
      </c>
      <c r="I53" s="192">
        <v>425000</v>
      </c>
      <c r="J53" s="203" t="str">
        <f>IFERROR(IF('Feb-27'!$G53="","-",VLOOKUP('Feb-27'!$G53,Lista_CUIT!$A$1:$D$2241,3,0)),"CUIT NO CARGADO")</f>
        <v>Honorarios Contables</v>
      </c>
      <c r="K53" s="204">
        <f>IFERROR(IF('Feb-27'!$G53="","-",VLOOKUP('Feb-27'!$G53,Lista_CUIT!$A$1:$D$2241,4,0)),"CUIT NO CARGADO")</f>
        <v>0</v>
      </c>
      <c r="O53" s="410"/>
    </row>
    <row r="54" spans="4:15" ht="15" customHeight="1" x14ac:dyDescent="0.25">
      <c r="D54" s="168">
        <v>46056</v>
      </c>
      <c r="E54" s="170">
        <v>1</v>
      </c>
      <c r="F54" s="171">
        <v>55</v>
      </c>
      <c r="G54" s="172">
        <v>27387896150</v>
      </c>
      <c r="H54" s="201" t="str">
        <f>IFERROR(IF('Feb-27'!$G54="","-",VLOOKUP('Feb-27'!$G54,Lista_CUIT!$A$1:$D$2241,2,0)),"CUIT NO CARGADO")</f>
        <v>LIPANOVICH MARIA SOL</v>
      </c>
      <c r="I54" s="192">
        <v>724914</v>
      </c>
      <c r="J54" s="203" t="str">
        <f>IFERROR(IF('Feb-27'!$G54="","-",VLOOKUP('Feb-27'!$G54,Lista_CUIT!$A$1:$D$2241,3,0)),"CUIT NO CARGADO")</f>
        <v>consultoria informatica</v>
      </c>
      <c r="K54" s="204">
        <f>IFERROR(IF('Feb-27'!$G54="","-",VLOOKUP('Feb-27'!$G54,Lista_CUIT!$A$1:$D$2241,4,0)),"CUIT NO CARGADO")</f>
        <v>0</v>
      </c>
      <c r="O54" s="409"/>
    </row>
    <row r="55" spans="4:15" ht="15" customHeight="1" x14ac:dyDescent="0.25">
      <c r="D55" s="168">
        <v>46056</v>
      </c>
      <c r="E55" s="170">
        <v>1</v>
      </c>
      <c r="F55" s="171">
        <v>56</v>
      </c>
      <c r="G55" s="172">
        <v>27387896150</v>
      </c>
      <c r="H55" s="201" t="str">
        <f>IFERROR(IF('Feb-27'!$G55="","-",VLOOKUP('Feb-27'!$G55,Lista_CUIT!$A$1:$D$2241,2,0)),"CUIT NO CARGADO")</f>
        <v>LIPANOVICH MARIA SOL</v>
      </c>
      <c r="I55" s="192">
        <v>1957500</v>
      </c>
      <c r="J55" s="203" t="str">
        <f>IFERROR(IF('Feb-27'!$G55="","-",VLOOKUP('Feb-27'!$G55,Lista_CUIT!$A$1:$D$2241,3,0)),"CUIT NO CARGADO")</f>
        <v>consultoria informatica</v>
      </c>
      <c r="K55" s="204"/>
      <c r="O55" s="410"/>
    </row>
    <row r="56" spans="4:15" ht="15" customHeight="1" x14ac:dyDescent="0.25">
      <c r="D56" s="168">
        <v>46058</v>
      </c>
      <c r="E56" s="170">
        <v>3</v>
      </c>
      <c r="F56" s="171">
        <v>975</v>
      </c>
      <c r="G56" s="172">
        <v>20206466848</v>
      </c>
      <c r="H56" s="201" t="str">
        <f>IFERROR(IF('Feb-27'!$G56="","-",VLOOKUP('Feb-27'!$G56,Lista_CUIT!$A$1:$D$2241,2,0)),"CUIT NO CARGADO")</f>
        <v>GONZALEZ ROBERTO OSCAR</v>
      </c>
      <c r="I56" s="192">
        <v>96000</v>
      </c>
      <c r="J56" s="203" t="str">
        <f>IFERROR(IF('Feb-27'!$G56="","-",VLOOKUP('Feb-27'!$G56,Lista_CUIT!$A$1:$D$2241,3,0)),"CUIT NO CARGADO")</f>
        <v>Mantenimiento</v>
      </c>
      <c r="K56" s="204"/>
      <c r="O56" s="409"/>
    </row>
    <row r="57" spans="4:15" ht="15" customHeight="1" x14ac:dyDescent="0.25">
      <c r="D57" s="168">
        <v>46058</v>
      </c>
      <c r="E57" s="170">
        <v>1</v>
      </c>
      <c r="F57" s="171">
        <v>127</v>
      </c>
      <c r="G57" s="172">
        <v>20341465134</v>
      </c>
      <c r="H57" s="201" t="str">
        <f>IFERROR(IF('Feb-27'!$G57="","-",VLOOKUP('Feb-27'!$G57,Lista_CUIT!$A$1:$D$2241,2,0)),"CUIT NO CARGADO")</f>
        <v>ABELEDO AGUSTIN ENRIQUE</v>
      </c>
      <c r="I57" s="192">
        <v>3430000</v>
      </c>
      <c r="J57" s="203" t="str">
        <f>IFERROR(IF('Feb-27'!$G57="","-",VLOOKUP('Feb-27'!$G57,Lista_CUIT!$A$1:$D$2241,3,0)),"CUIT NO CARGADO")</f>
        <v>Mantenimiento</v>
      </c>
      <c r="K57" s="204" t="str">
        <f>IFERROR(IF('Feb-27'!$G57="","-",VLOOKUP('Feb-27'!$G57,Lista_CUIT!$A$1:$D$2241,4,0)),"CUIT NO CARGADO")</f>
        <v>CABA</v>
      </c>
      <c r="O57" s="410"/>
    </row>
    <row r="58" spans="4:15" ht="15" customHeight="1" x14ac:dyDescent="0.25">
      <c r="D58" s="168">
        <v>46062</v>
      </c>
      <c r="E58" s="170">
        <v>2</v>
      </c>
      <c r="F58" s="171">
        <v>192</v>
      </c>
      <c r="G58" s="172">
        <v>20136544625</v>
      </c>
      <c r="H58" s="201" t="str">
        <f>IFERROR(IF('Feb-27'!$G58="","-",VLOOKUP('Feb-27'!$G58,Lista_CUIT!$A$1:$D$2241,2,0)),"CUIT NO CARGADO")</f>
        <v>RODRIGUEZ DE LA FUEN HECTOR MARCELO</v>
      </c>
      <c r="I58" s="192">
        <v>1395000</v>
      </c>
      <c r="J58" s="203" t="str">
        <f>IFERROR(IF('Feb-27'!$G58="","-",VLOOKUP('Feb-27'!$G58,Lista_CUIT!$A$1:$D$2241,3,0)),"CUIT NO CARGADO")</f>
        <v>Honorarios Admin</v>
      </c>
      <c r="K58" s="204">
        <f>IFERROR(IF('Feb-27'!$G58="","-",VLOOKUP('Feb-27'!$G58,Lista_CUIT!$A$1:$D$2241,4,0)),"CUIT NO CARGADO")</f>
        <v>0</v>
      </c>
      <c r="O58" s="409"/>
    </row>
    <row r="59" spans="4:15" ht="15" customHeight="1" x14ac:dyDescent="0.25">
      <c r="D59" s="168">
        <v>46062</v>
      </c>
      <c r="E59" s="170">
        <v>2</v>
      </c>
      <c r="F59" s="171">
        <v>306</v>
      </c>
      <c r="G59" s="172">
        <v>27173820866</v>
      </c>
      <c r="H59" s="201" t="str">
        <f>IFERROR(IF('Feb-27'!$G59="","-",VLOOKUP('Feb-27'!$G59,Lista_CUIT!$A$1:$D$2241,2,0)),"CUIT NO CARGADO")</f>
        <v>FREIER SANDRA DANIELA</v>
      </c>
      <c r="I59" s="192">
        <v>1610000</v>
      </c>
      <c r="J59" s="203" t="str">
        <f>IFERROR(IF('Feb-27'!$G59="","-",VLOOKUP('Feb-27'!$G59,Lista_CUIT!$A$1:$D$2241,3,0)),"CUIT NO CARGADO")</f>
        <v>Honorarios Prof</v>
      </c>
      <c r="K59" s="204">
        <f>IFERROR(IF('Feb-27'!$G59="","-",VLOOKUP('Feb-27'!$G59,Lista_CUIT!$A$1:$D$2241,4,0)),"CUIT NO CARGADO")</f>
        <v>0</v>
      </c>
      <c r="O59" s="410"/>
    </row>
    <row r="60" spans="4:15" ht="15" customHeight="1" x14ac:dyDescent="0.25">
      <c r="D60" s="168">
        <v>46078</v>
      </c>
      <c r="E60" s="170">
        <v>2</v>
      </c>
      <c r="F60" s="171">
        <v>224</v>
      </c>
      <c r="G60" s="172">
        <v>27125997835</v>
      </c>
      <c r="H60" s="201" t="str">
        <f>IFERROR(IF('Feb-27'!$G60="","-",VLOOKUP('Feb-27'!$G60,Lista_CUIT!$A$1:$D$2241,2,0)),"CUIT NO CARGADO")</f>
        <v>DANSKY ULLMANN VIVIANA EVA YOLANDA</v>
      </c>
      <c r="I60" s="192">
        <v>2500000</v>
      </c>
      <c r="J60" s="203" t="str">
        <f>IFERROR(IF('Feb-27'!$G60="","-",VLOOKUP('Feb-27'!$G60,Lista_CUIT!$A$1:$D$2241,3,0)),"CUIT NO CARGADO")</f>
        <v>Honorarios Prof</v>
      </c>
      <c r="K60" s="204">
        <f>IFERROR(IF('Feb-27'!$G60="","-",VLOOKUP('Feb-27'!$G60,Lista_CUIT!$A$1:$D$2241,4,0)),"CUIT NO CARGADO")</f>
        <v>0</v>
      </c>
      <c r="O60" s="409"/>
    </row>
    <row r="61" spans="4:15" ht="15" customHeight="1" x14ac:dyDescent="0.25">
      <c r="D61" s="168"/>
      <c r="E61" s="170"/>
      <c r="F61" s="171"/>
      <c r="G61" s="172"/>
      <c r="H61" s="201" t="str">
        <f>IFERROR(IF('Feb-27'!$G61="","-",VLOOKUP('Feb-27'!$G61,Lista_CUIT!$A$1:$D$2241,2,0)),"CUIT NO CARGADO")</f>
        <v>-</v>
      </c>
      <c r="I61" s="192"/>
      <c r="J61" s="203" t="str">
        <f>IFERROR(IF('Feb-27'!$G61="","-",VLOOKUP('Feb-27'!$G61,Lista_CUIT!$A$1:$D$2241,3,0)),"CUIT NO CARGADO")</f>
        <v>-</v>
      </c>
      <c r="K61" s="204" t="str">
        <f>IFERROR(IF('Feb-27'!$G61="","-",VLOOKUP('Feb-27'!$G61,Lista_CUIT!$A$1:$D$2241,4,0)),"CUIT NO CARGADO")</f>
        <v>-</v>
      </c>
      <c r="O61" s="210"/>
    </row>
    <row r="62" spans="4:15" ht="15" customHeight="1" x14ac:dyDescent="0.25">
      <c r="D62" s="168"/>
      <c r="E62" s="170"/>
      <c r="F62" s="171"/>
      <c r="G62" s="172"/>
      <c r="H62" s="201" t="str">
        <f>IFERROR(IF('Feb-27'!$G62="","-",VLOOKUP('Feb-27'!$G62,Lista_CUIT!$A$1:$D$2241,2,0)),"CUIT NO CARGADO")</f>
        <v>-</v>
      </c>
      <c r="I62" s="192"/>
      <c r="J62" s="203" t="str">
        <f>IFERROR(IF('Feb-27'!$G62="","-",VLOOKUP('Feb-27'!$G62,Lista_CUIT!$A$1:$D$2241,3,0)),"CUIT NO CARGADO")</f>
        <v>-</v>
      </c>
      <c r="K62" s="204" t="str">
        <f>IFERROR(IF('Feb-27'!$G62="","-",VLOOKUP('Feb-27'!$G62,Lista_CUIT!$A$1:$D$2241,4,0)),"CUIT NO CARGADO")</f>
        <v>-</v>
      </c>
      <c r="O62" s="210"/>
    </row>
    <row r="63" spans="4:15" ht="15" customHeight="1" x14ac:dyDescent="0.25">
      <c r="D63" s="168"/>
      <c r="E63" s="170"/>
      <c r="F63" s="171"/>
      <c r="G63" s="172"/>
      <c r="H63" s="201" t="str">
        <f>IFERROR(IF('Feb-27'!$G63="","-",VLOOKUP('Feb-27'!$G63,Lista_CUIT!$A$1:$D$2241,2,0)),"CUIT NO CARGADO")</f>
        <v>-</v>
      </c>
      <c r="I63" s="192"/>
      <c r="J63" s="203" t="str">
        <f>IFERROR(IF('Feb-27'!$G63="","-",VLOOKUP('Feb-27'!$G63,Lista_CUIT!$A$1:$D$2241,3,0)),"CUIT NO CARGADO")</f>
        <v>-</v>
      </c>
      <c r="K63" s="204" t="str">
        <f>IFERROR(IF('Feb-27'!$G63="","-",VLOOKUP('Feb-27'!$G63,Lista_CUIT!$A$1:$D$2241,4,0)),"CUIT NO CARGADO")</f>
        <v>-</v>
      </c>
    </row>
    <row r="64" spans="4:15" ht="15" customHeight="1" x14ac:dyDescent="0.25">
      <c r="D64" s="168"/>
      <c r="E64" s="170"/>
      <c r="F64" s="171"/>
      <c r="G64" s="172"/>
      <c r="H64" s="201" t="str">
        <f>IFERROR(IF('Feb-27'!$G64="","-",VLOOKUP('Feb-27'!$G64,Lista_CUIT!$A$1:$D$2241,2,0)),"CUIT NO CARGADO")</f>
        <v>-</v>
      </c>
      <c r="I64" s="192"/>
      <c r="J64" s="203" t="str">
        <f>IFERROR(IF('Feb-27'!$G64="","-",VLOOKUP('Feb-27'!$G64,Lista_CUIT!$A$1:$D$2241,3,0)),"CUIT NO CARGADO")</f>
        <v>-</v>
      </c>
      <c r="K64" s="204" t="str">
        <f>IFERROR(IF('Feb-27'!$G64="","-",VLOOKUP('Feb-27'!$G64,Lista_CUIT!$A$1:$D$2241,4,0)),"CUIT NO CARGADO")</f>
        <v>-</v>
      </c>
    </row>
    <row r="65" spans="1:26" ht="15" customHeight="1" thickBot="1" x14ac:dyDescent="0.3">
      <c r="D65" s="263"/>
      <c r="E65" s="265"/>
      <c r="F65" s="266"/>
      <c r="G65" s="267"/>
      <c r="H65" s="384" t="str">
        <f>IFERROR(IF('Feb-27'!$G65="","-",VLOOKUP('Feb-27'!$G65,Lista_CUIT!$A$1:$D$2241,2,0)),"CUIT NO CARGADO")</f>
        <v>-</v>
      </c>
      <c r="I65" s="275"/>
      <c r="J65" s="382" t="str">
        <f>IFERROR(IF('Feb-27'!$G65="","-",VLOOKUP('Feb-27'!$G65,Lista_CUIT!$A$1:$D$2241,3,0)),"CUIT NO CARGADO")</f>
        <v>-</v>
      </c>
      <c r="K65" s="383" t="str">
        <f>IFERROR(IF('Feb-27'!$G65="","-",VLOOKUP('Feb-27'!$G65,Lista_CUIT!$A$1:$D$2241,4,0)),"CUIT NO CARGADO")</f>
        <v>-</v>
      </c>
    </row>
    <row r="66" spans="1:26" ht="18" customHeight="1" x14ac:dyDescent="0.25">
      <c r="A66" s="43"/>
      <c r="D66" s="389" t="s">
        <v>1336</v>
      </c>
      <c r="E66" s="390"/>
      <c r="F66" s="390"/>
      <c r="G66" s="390"/>
      <c r="H66" s="391"/>
      <c r="I66" s="392">
        <f>SUBTOTAL(109,'Feb-27'!$I$51:$I$65)</f>
        <v>15048414</v>
      </c>
      <c r="J66" s="390"/>
      <c r="K66" s="393"/>
      <c r="S66" s="43"/>
      <c r="T66" s="43"/>
      <c r="U66" s="43"/>
      <c r="V66" s="43"/>
      <c r="W66" s="43"/>
      <c r="X66" s="43"/>
      <c r="Y66" s="43"/>
      <c r="Z66" s="43"/>
    </row>
    <row r="67" spans="1:26" ht="15.75" customHeight="1" x14ac:dyDescent="0.25">
      <c r="B67" s="43"/>
      <c r="C67" s="43"/>
      <c r="L67" s="43"/>
      <c r="M67" s="43"/>
      <c r="N67" s="43"/>
      <c r="O67" s="43"/>
      <c r="P67" s="43"/>
      <c r="Q67" s="43"/>
      <c r="R67" s="43"/>
    </row>
    <row r="68" spans="1:26" ht="15.75" customHeight="1" x14ac:dyDescent="0.25"/>
    <row r="69" spans="1:26" ht="15.75" customHeight="1" x14ac:dyDescent="0.25"/>
    <row r="70" spans="1:26" ht="15.75" customHeight="1" x14ac:dyDescent="0.25"/>
    <row r="71" spans="1:26" ht="15.75" customHeight="1" x14ac:dyDescent="0.25"/>
    <row r="72" spans="1:26" ht="15.75" customHeight="1" x14ac:dyDescent="0.25">
      <c r="B72" s="464" t="s">
        <v>1351</v>
      </c>
      <c r="C72" s="448"/>
      <c r="D72" s="448"/>
      <c r="E72" s="448"/>
      <c r="F72" s="448"/>
      <c r="G72" s="448"/>
      <c r="H72" s="448"/>
      <c r="I72" s="448"/>
      <c r="J72" s="449"/>
      <c r="K72" s="465">
        <f>N1</f>
        <v>46054</v>
      </c>
      <c r="L72" s="448"/>
      <c r="M72" s="449"/>
    </row>
    <row r="73" spans="1:26" ht="22.5" customHeight="1" x14ac:dyDescent="0.25"/>
    <row r="74" spans="1:26" ht="15.75" customHeight="1" x14ac:dyDescent="0.25">
      <c r="B74" s="476" t="s">
        <v>1352</v>
      </c>
      <c r="C74" s="471"/>
      <c r="D74" s="210"/>
      <c r="E74" s="210"/>
      <c r="F74" s="210"/>
      <c r="G74" s="210"/>
      <c r="H74" s="210"/>
      <c r="I74" s="210"/>
      <c r="J74" s="210"/>
      <c r="K74" s="210"/>
      <c r="L74" s="210"/>
      <c r="M74" s="210"/>
    </row>
    <row r="75" spans="1:26" ht="22.5" customHeight="1" thickBot="1" x14ac:dyDescent="0.3">
      <c r="B75" s="402" t="s">
        <v>1322</v>
      </c>
      <c r="C75" s="403" t="s">
        <v>1323</v>
      </c>
      <c r="D75" s="403" t="s">
        <v>1353</v>
      </c>
      <c r="E75" s="403" t="s">
        <v>1354</v>
      </c>
      <c r="F75" s="403" t="s">
        <v>0</v>
      </c>
      <c r="G75" s="403" t="s">
        <v>1</v>
      </c>
      <c r="H75" s="403" t="s">
        <v>1355</v>
      </c>
      <c r="I75" s="403" t="s">
        <v>1341</v>
      </c>
      <c r="J75" s="403" t="s">
        <v>1329</v>
      </c>
      <c r="K75" s="403" t="s">
        <v>1356</v>
      </c>
      <c r="L75" s="403" t="s">
        <v>1334</v>
      </c>
      <c r="M75" s="404" t="s">
        <v>1335</v>
      </c>
    </row>
    <row r="76" spans="1:26" ht="15" customHeight="1" x14ac:dyDescent="0.25">
      <c r="B76" s="249">
        <v>46055</v>
      </c>
      <c r="C76" s="250">
        <v>1</v>
      </c>
      <c r="D76" s="251">
        <v>3</v>
      </c>
      <c r="E76" s="252">
        <v>309</v>
      </c>
      <c r="F76" s="253">
        <v>30638318470</v>
      </c>
      <c r="G76" s="302" t="str">
        <f>IFERROR(IF('Feb-27'!$F76="","-",VLOOKUP('Feb-27'!$F76,Lista_CUIT!$A$1:$D$2241,2,0)),"CUIT NO CARGADO")</f>
        <v>DELTA COMPRESION S R L</v>
      </c>
      <c r="H76" s="303">
        <v>38697750</v>
      </c>
      <c r="I76" s="216"/>
      <c r="J76" s="304">
        <v>4063256.4</v>
      </c>
      <c r="K76" s="304"/>
      <c r="L76" s="304">
        <f>SUM('Feb-27'!$H76:$K76)</f>
        <v>42761006.399999999</v>
      </c>
      <c r="M76" s="305"/>
    </row>
    <row r="77" spans="1:26" ht="15" customHeight="1" x14ac:dyDescent="0.25">
      <c r="B77" s="168">
        <v>46066</v>
      </c>
      <c r="C77" s="169">
        <v>1</v>
      </c>
      <c r="D77" s="170">
        <v>3</v>
      </c>
      <c r="E77" s="171">
        <v>310</v>
      </c>
      <c r="F77" s="172">
        <v>30638318470</v>
      </c>
      <c r="G77" s="214" t="str">
        <f>IFERROR(IF('Feb-27'!$F77="","-",VLOOKUP('Feb-27'!$F77,Lista_CUIT!$A$1:$D$2241,2,0)),"CUIT NO CARGADO")</f>
        <v>DELTA COMPRESION S R L</v>
      </c>
      <c r="H77" s="215">
        <v>11836687.25</v>
      </c>
      <c r="I77" s="216">
        <f>'Feb-27'!$H77*0.21</f>
        <v>2485704.3224999998</v>
      </c>
      <c r="J77" s="217"/>
      <c r="K77" s="217"/>
      <c r="L77" s="217">
        <f>SUM('Feb-27'!$H77:$K77)</f>
        <v>14322391.5725</v>
      </c>
      <c r="M77" s="218"/>
    </row>
    <row r="78" spans="1:26" ht="15" customHeight="1" x14ac:dyDescent="0.25">
      <c r="B78" s="168">
        <v>46073</v>
      </c>
      <c r="C78" s="169">
        <v>1</v>
      </c>
      <c r="D78" s="170">
        <v>3</v>
      </c>
      <c r="E78" s="171">
        <v>311</v>
      </c>
      <c r="F78" s="172">
        <v>30708984716</v>
      </c>
      <c r="G78" s="214" t="str">
        <f>IFERROR(IF('Feb-27'!$F78="","-",VLOOKUP('Feb-27'!$F78,Lista_CUIT!$A$1:$D$2241,2,0)),"CUIT NO CARGADO")</f>
        <v>NATURAL GAS SERVICE SRL</v>
      </c>
      <c r="H78" s="215">
        <v>662700</v>
      </c>
      <c r="I78" s="216">
        <f>'Feb-27'!$H78*0.21</f>
        <v>139167</v>
      </c>
      <c r="J78" s="217"/>
      <c r="K78" s="217"/>
      <c r="L78" s="217">
        <f>SUM('Feb-27'!$H78:$K78)</f>
        <v>801867</v>
      </c>
      <c r="M78" s="218"/>
    </row>
    <row r="79" spans="1:26" ht="15" customHeight="1" x14ac:dyDescent="0.25">
      <c r="B79" s="168">
        <v>46073</v>
      </c>
      <c r="C79" s="169">
        <v>1</v>
      </c>
      <c r="D79" s="170">
        <v>3</v>
      </c>
      <c r="E79" s="171">
        <v>312</v>
      </c>
      <c r="F79" s="172">
        <v>27325810470</v>
      </c>
      <c r="G79" s="214" t="str">
        <f>IFERROR(IF('Feb-27'!$F79="","-",VLOOKUP('Feb-27'!$F79,Lista_CUIT!$A$1:$D$2241,2,0)),"CUIT NO CARGADO")</f>
        <v>GALLARDO LILIANA SOLEDAD</v>
      </c>
      <c r="H79" s="215">
        <v>394800</v>
      </c>
      <c r="I79" s="216">
        <f>'Feb-27'!$H79*0.21</f>
        <v>82908</v>
      </c>
      <c r="J79" s="217"/>
      <c r="K79" s="217"/>
      <c r="L79" s="217">
        <f>SUM('Feb-27'!$H79:$K79)</f>
        <v>477708</v>
      </c>
      <c r="M79" s="218"/>
    </row>
    <row r="80" spans="1:26" ht="15" customHeight="1" x14ac:dyDescent="0.25">
      <c r="B80" s="168">
        <v>46079</v>
      </c>
      <c r="C80" s="169">
        <v>1</v>
      </c>
      <c r="D80" s="170">
        <v>3</v>
      </c>
      <c r="E80" s="171">
        <v>313</v>
      </c>
      <c r="F80" s="172">
        <v>30708984716</v>
      </c>
      <c r="G80" s="214" t="str">
        <f>IFERROR(IF('Feb-27'!$F80="","-",VLOOKUP('Feb-27'!$F80,Lista_CUIT!$A$1:$D$2241,2,0)),"CUIT NO CARGADO")</f>
        <v>NATURAL GAS SERVICE SRL</v>
      </c>
      <c r="H80" s="215">
        <v>544775</v>
      </c>
      <c r="I80" s="216">
        <f>'Feb-27'!$H80*0.21</f>
        <v>114402.75</v>
      </c>
      <c r="J80" s="217"/>
      <c r="K80" s="217"/>
      <c r="L80" s="217">
        <f>SUM('Feb-27'!$H80:$K80)</f>
        <v>659177.75</v>
      </c>
      <c r="M80" s="218"/>
    </row>
    <row r="81" spans="2:13" ht="15" customHeight="1" x14ac:dyDescent="0.25">
      <c r="B81" s="168"/>
      <c r="C81" s="169"/>
      <c r="D81" s="170"/>
      <c r="E81" s="171"/>
      <c r="F81" s="172"/>
      <c r="G81" s="214" t="str">
        <f>IFERROR(IF('Feb-27'!$F81="","-",VLOOKUP('Feb-27'!$F81,Lista_CUIT!$A$1:$D$2241,2,0)),"CUIT NO CARGADO")</f>
        <v>-</v>
      </c>
      <c r="H81" s="215"/>
      <c r="I81" s="216">
        <f>'Feb-27'!$H81*0.21</f>
        <v>0</v>
      </c>
      <c r="J81" s="217"/>
      <c r="K81" s="217"/>
      <c r="L81" s="217">
        <f>SUM('Feb-27'!$H81:$K81)</f>
        <v>0</v>
      </c>
      <c r="M81" s="218"/>
    </row>
    <row r="82" spans="2:13" ht="15" customHeight="1" x14ac:dyDescent="0.25">
      <c r="B82" s="168"/>
      <c r="C82" s="169"/>
      <c r="D82" s="170"/>
      <c r="E82" s="171"/>
      <c r="F82" s="172"/>
      <c r="G82" s="214" t="str">
        <f>IFERROR(IF('Feb-27'!$F82="","-",VLOOKUP('Feb-27'!$F82,Lista_CUIT!$A$1:$D$2241,2,0)),"CUIT NO CARGADO")</f>
        <v>-</v>
      </c>
      <c r="H82" s="215"/>
      <c r="I82" s="216">
        <f>'Feb-27'!$H82*0.21</f>
        <v>0</v>
      </c>
      <c r="J82" s="217"/>
      <c r="K82" s="217"/>
      <c r="L82" s="217">
        <f>SUM('Feb-27'!$H82:$K82)</f>
        <v>0</v>
      </c>
      <c r="M82" s="218"/>
    </row>
    <row r="83" spans="2:13" ht="15" customHeight="1" x14ac:dyDescent="0.25">
      <c r="B83" s="219"/>
      <c r="C83" s="220"/>
      <c r="D83" s="221"/>
      <c r="E83" s="222"/>
      <c r="F83" s="191"/>
      <c r="G83" s="214" t="str">
        <f>IFERROR(IF('Feb-27'!$F83="","-",VLOOKUP('Feb-27'!$F83,Lista_CUIT!$A$1:$D$2241,2,0)),"CUIT NO CARGADO")</f>
        <v>-</v>
      </c>
      <c r="H83" s="215"/>
      <c r="I83" s="216">
        <f>'Feb-27'!$H83*0.21</f>
        <v>0</v>
      </c>
      <c r="J83" s="217"/>
      <c r="K83" s="217"/>
      <c r="L83" s="217">
        <f>SUM('Feb-27'!$H83:$K83)</f>
        <v>0</v>
      </c>
      <c r="M83" s="218"/>
    </row>
    <row r="84" spans="2:13" ht="15" customHeight="1" thickBot="1" x14ac:dyDescent="0.3">
      <c r="B84" s="309"/>
      <c r="C84" s="310"/>
      <c r="D84" s="311"/>
      <c r="E84" s="312"/>
      <c r="F84" s="274"/>
      <c r="G84" s="313" t="str">
        <f>IFERROR(IF('Feb-27'!$F84="","-",VLOOKUP('Feb-27'!$F84,Lista_CUIT!$A$1:$D$2241,2,0)),"CUIT NO CARGADO")</f>
        <v>-</v>
      </c>
      <c r="H84" s="314"/>
      <c r="I84" s="315">
        <f>'Feb-27'!$H84*0.21</f>
        <v>0</v>
      </c>
      <c r="J84" s="301"/>
      <c r="K84" s="301"/>
      <c r="L84" s="301">
        <f>SUM('Feb-27'!$H84:$K84)</f>
        <v>0</v>
      </c>
      <c r="M84" s="316"/>
    </row>
    <row r="85" spans="2:13" ht="18.75" customHeight="1" x14ac:dyDescent="0.25">
      <c r="B85" s="397" t="s">
        <v>1336</v>
      </c>
      <c r="C85" s="398"/>
      <c r="D85" s="398"/>
      <c r="E85" s="398"/>
      <c r="F85" s="398"/>
      <c r="G85" s="398"/>
      <c r="H85" s="405">
        <f>SUBTOTAL(109,'Feb-27'!$H$76:$H$84)</f>
        <v>52136712.25</v>
      </c>
      <c r="I85" s="406">
        <f>SUBTOTAL(109,'Feb-27'!$I$76:$I$84)</f>
        <v>2822182.0724999998</v>
      </c>
      <c r="J85" s="407">
        <f>SUBTOTAL(109,'Feb-27'!$J$76:$J$84)</f>
        <v>4063256.4</v>
      </c>
      <c r="K85" s="407">
        <f>SUBTOTAL(109,'Feb-27'!$K$76:$K$84)</f>
        <v>0</v>
      </c>
      <c r="L85" s="407">
        <f>SUBTOTAL(109,'Feb-27'!$L$76:$L$84)</f>
        <v>59022150.722499996</v>
      </c>
      <c r="M85" s="401">
        <f>SUBTOTAL(103,'Feb-27'!$M$76:$M$84)</f>
        <v>0</v>
      </c>
    </row>
    <row r="86" spans="2:13" ht="15.75" customHeight="1" x14ac:dyDescent="0.25"/>
    <row r="87" spans="2:13" ht="17.25" customHeight="1" x14ac:dyDescent="0.25"/>
    <row r="88" spans="2:13" ht="31.5" customHeight="1" x14ac:dyDescent="0.25">
      <c r="B88" s="476" t="s">
        <v>1357</v>
      </c>
      <c r="C88" s="471"/>
      <c r="D88" s="210"/>
      <c r="E88" s="210"/>
      <c r="F88" s="210"/>
      <c r="G88" s="210"/>
      <c r="H88" s="210"/>
      <c r="I88" s="210"/>
      <c r="J88" s="210"/>
      <c r="K88" s="210"/>
      <c r="L88" s="210"/>
      <c r="M88" s="210"/>
    </row>
    <row r="89" spans="2:13" ht="20.25" customHeight="1" thickBot="1" x14ac:dyDescent="0.3">
      <c r="B89" s="394" t="s">
        <v>1322</v>
      </c>
      <c r="C89" s="395" t="s">
        <v>1323</v>
      </c>
      <c r="D89" s="395" t="s">
        <v>1353</v>
      </c>
      <c r="E89" s="395" t="s">
        <v>1354</v>
      </c>
      <c r="F89" s="395" t="s">
        <v>0</v>
      </c>
      <c r="G89" s="395" t="s">
        <v>1</v>
      </c>
      <c r="H89" s="395" t="s">
        <v>1355</v>
      </c>
      <c r="I89" s="395" t="s">
        <v>1341</v>
      </c>
      <c r="J89" s="395" t="s">
        <v>1329</v>
      </c>
      <c r="K89" s="395" t="s">
        <v>1356</v>
      </c>
      <c r="L89" s="395" t="s">
        <v>1334</v>
      </c>
      <c r="M89" s="396" t="s">
        <v>1335</v>
      </c>
    </row>
    <row r="90" spans="2:13" ht="15.75" customHeight="1" x14ac:dyDescent="0.25">
      <c r="B90" s="249">
        <v>46063</v>
      </c>
      <c r="C90" s="250">
        <v>6</v>
      </c>
      <c r="D90" s="251">
        <v>3</v>
      </c>
      <c r="E90" s="252">
        <v>14</v>
      </c>
      <c r="F90" s="253">
        <v>10427839171</v>
      </c>
      <c r="G90" s="323" t="str">
        <f>IFERROR(IF('Feb-27'!$F90="","-",VLOOKUP('Feb-27'!$F90,Lista_CUIT!$A$1:$D$2241,2,0)),"CUIT NO CARGADO")</f>
        <v>CUIT NO CARGADO</v>
      </c>
      <c r="H90" s="324">
        <v>186340</v>
      </c>
      <c r="I90" s="324">
        <v>39130</v>
      </c>
      <c r="J90" s="324"/>
      <c r="K90" s="324"/>
      <c r="L90" s="324">
        <f>SUM('Feb-27'!$H90:$K90)</f>
        <v>225470</v>
      </c>
      <c r="M90" s="305"/>
    </row>
    <row r="91" spans="2:13" ht="15.75" customHeight="1" x14ac:dyDescent="0.25">
      <c r="B91" s="168"/>
      <c r="C91" s="169"/>
      <c r="D91" s="170"/>
      <c r="E91" s="171"/>
      <c r="F91" s="172"/>
      <c r="G91" s="226"/>
      <c r="H91" s="227"/>
      <c r="I91" s="227"/>
      <c r="J91" s="227"/>
      <c r="K91" s="227"/>
      <c r="L91" s="227">
        <f>SUM('Feb-27'!$H91:$K91)</f>
        <v>0</v>
      </c>
      <c r="M91" s="218"/>
    </row>
    <row r="92" spans="2:13" ht="15.75" customHeight="1" x14ac:dyDescent="0.25">
      <c r="B92" s="168"/>
      <c r="C92" s="169"/>
      <c r="D92" s="170"/>
      <c r="E92" s="171"/>
      <c r="F92" s="172"/>
      <c r="G92" s="226"/>
      <c r="H92" s="227"/>
      <c r="I92" s="227"/>
      <c r="J92" s="227"/>
      <c r="K92" s="227"/>
      <c r="L92" s="227">
        <f>SUM('Feb-27'!$H92:$K92)</f>
        <v>0</v>
      </c>
      <c r="M92" s="218"/>
    </row>
    <row r="93" spans="2:13" ht="15.75" customHeight="1" x14ac:dyDescent="0.25">
      <c r="B93" s="168"/>
      <c r="C93" s="169"/>
      <c r="D93" s="170"/>
      <c r="E93" s="171"/>
      <c r="F93" s="172"/>
      <c r="G93" s="226"/>
      <c r="H93" s="227"/>
      <c r="I93" s="227"/>
      <c r="J93" s="227"/>
      <c r="K93" s="227"/>
      <c r="L93" s="227">
        <f>SUM('Feb-27'!$H93:$K93)</f>
        <v>0</v>
      </c>
      <c r="M93" s="218"/>
    </row>
    <row r="94" spans="2:13" ht="15.75" customHeight="1" x14ac:dyDescent="0.25">
      <c r="B94" s="168"/>
      <c r="C94" s="169"/>
      <c r="D94" s="170"/>
      <c r="E94" s="171"/>
      <c r="F94" s="172"/>
      <c r="G94" s="226"/>
      <c r="H94" s="227"/>
      <c r="I94" s="227"/>
      <c r="J94" s="227"/>
      <c r="K94" s="227"/>
      <c r="L94" s="227">
        <f>SUM('Feb-27'!$H94:$K94)</f>
        <v>0</v>
      </c>
      <c r="M94" s="218"/>
    </row>
    <row r="95" spans="2:13" ht="15.75" customHeight="1" thickBot="1" x14ac:dyDescent="0.3">
      <c r="B95" s="263"/>
      <c r="C95" s="264"/>
      <c r="D95" s="265"/>
      <c r="E95" s="266"/>
      <c r="F95" s="267"/>
      <c r="G95" s="325"/>
      <c r="H95" s="300"/>
      <c r="I95" s="300"/>
      <c r="J95" s="300"/>
      <c r="K95" s="300"/>
      <c r="L95" s="300">
        <f>SUM('Feb-27'!$H95:$K95)</f>
        <v>0</v>
      </c>
      <c r="M95" s="316"/>
    </row>
    <row r="96" spans="2:13" ht="18.75" customHeight="1" x14ac:dyDescent="0.25">
      <c r="B96" s="397" t="s">
        <v>1336</v>
      </c>
      <c r="C96" s="398"/>
      <c r="D96" s="398"/>
      <c r="E96" s="398"/>
      <c r="F96" s="398"/>
      <c r="G96" s="398"/>
      <c r="H96" s="399">
        <f>SUBTOTAL(109,'Feb-27'!$H$90:$H$95)</f>
        <v>186340</v>
      </c>
      <c r="I96" s="399">
        <f>SUBTOTAL(109,'Feb-27'!$I$90:$I$95)</f>
        <v>39130</v>
      </c>
      <c r="J96" s="400">
        <f>SUBTOTAL(109,'Feb-27'!$J$90:$J$95)</f>
        <v>0</v>
      </c>
      <c r="K96" s="400">
        <f>SUBTOTAL(109,'Feb-27'!$K$90:$K$95)</f>
        <v>0</v>
      </c>
      <c r="L96" s="400">
        <f>SUBTOTAL(109,'Feb-27'!$L$90:$L$95)</f>
        <v>225470</v>
      </c>
      <c r="M96" s="401">
        <f>SUBTOTAL(103,'Feb-27'!$M$90:$M$95)</f>
        <v>0</v>
      </c>
    </row>
    <row r="97" spans="2:13" ht="15.75" customHeight="1" x14ac:dyDescent="0.25"/>
    <row r="98" spans="2:13" ht="18.75" customHeight="1" x14ac:dyDescent="0.25"/>
    <row r="99" spans="2:13" ht="28.5" customHeight="1" x14ac:dyDescent="0.25"/>
    <row r="100" spans="2:13" ht="15.75" customHeight="1" x14ac:dyDescent="0.25">
      <c r="B100" s="476" t="s">
        <v>1358</v>
      </c>
      <c r="C100" s="471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</row>
    <row r="101" spans="2:13" ht="22.5" customHeight="1" thickBot="1" x14ac:dyDescent="0.3">
      <c r="B101" s="394" t="s">
        <v>1322</v>
      </c>
      <c r="C101" s="395" t="s">
        <v>1323</v>
      </c>
      <c r="D101" s="395" t="s">
        <v>1353</v>
      </c>
      <c r="E101" s="395" t="s">
        <v>1354</v>
      </c>
      <c r="F101" s="395" t="s">
        <v>0</v>
      </c>
      <c r="G101" s="395" t="s">
        <v>1</v>
      </c>
      <c r="H101" s="395" t="s">
        <v>1359</v>
      </c>
      <c r="I101" s="395" t="s">
        <v>1341</v>
      </c>
      <c r="J101" s="395" t="s">
        <v>1361</v>
      </c>
      <c r="K101" s="395" t="s">
        <v>1362</v>
      </c>
      <c r="L101" s="395" t="s">
        <v>1334</v>
      </c>
      <c r="M101" s="396" t="s">
        <v>1377</v>
      </c>
    </row>
    <row r="102" spans="2:13" ht="15" customHeight="1" x14ac:dyDescent="0.25">
      <c r="B102" s="249">
        <v>46057</v>
      </c>
      <c r="C102" s="250"/>
      <c r="D102" s="251">
        <v>30</v>
      </c>
      <c r="E102" s="252">
        <v>125</v>
      </c>
      <c r="F102" s="253">
        <v>55000002053</v>
      </c>
      <c r="G102" s="323" t="str">
        <f>IFERROR(IF('Feb-27'!$F102="","-",VLOOKUP('Feb-27'!$F102,Lista_CUIT!$A$1:$D$2241,2,0)),"CUIT NO CARGADO")</f>
        <v>DELTAGAS SA</v>
      </c>
      <c r="H102" s="324">
        <v>2880</v>
      </c>
      <c r="I102" s="324"/>
      <c r="J102" s="408"/>
      <c r="K102" s="324">
        <v>1446</v>
      </c>
      <c r="L102" s="324">
        <f>'Feb-27'!$H102*'Feb-27'!$K102</f>
        <v>4164480</v>
      </c>
      <c r="M102" s="305"/>
    </row>
    <row r="103" spans="2:13" ht="15" customHeight="1" x14ac:dyDescent="0.25">
      <c r="B103" s="168">
        <v>46073</v>
      </c>
      <c r="C103" s="169"/>
      <c r="D103" s="170">
        <v>30</v>
      </c>
      <c r="E103" s="171">
        <v>126</v>
      </c>
      <c r="F103" s="172">
        <v>55000000050</v>
      </c>
      <c r="G103" s="323" t="str">
        <f>IFERROR(IF('Feb-27'!$F103="","-",VLOOKUP('Feb-27'!$F103,Lista_CUIT!$A$1:$D$2241,2,0)),"CUIT NO CARGADO")</f>
        <v>GAS FUTURO SISTEMAS DE COMPRESSÃO LTDA</v>
      </c>
      <c r="H103" s="227">
        <v>1920</v>
      </c>
      <c r="I103" s="227"/>
      <c r="J103" s="438"/>
      <c r="K103" s="227">
        <v>1389</v>
      </c>
      <c r="L103" s="324">
        <f>'Feb-27'!$H103*'Feb-27'!$K103</f>
        <v>2666880</v>
      </c>
      <c r="M103" s="218"/>
    </row>
    <row r="104" spans="2:13" ht="15" customHeight="1" x14ac:dyDescent="0.25">
      <c r="B104" s="168">
        <v>46078</v>
      </c>
      <c r="C104" s="169"/>
      <c r="D104" s="170">
        <v>30</v>
      </c>
      <c r="E104" s="171">
        <v>128</v>
      </c>
      <c r="F104" s="172">
        <v>55000002053</v>
      </c>
      <c r="G104" s="226" t="str">
        <f>IFERROR(IF('Feb-27'!$F104="","-",VLOOKUP('Feb-27'!$F104,Lista_CUIT!$A$1:$D$2241,2,0)),"CUIT NO CARGADO")</f>
        <v>DELTAGAS SA</v>
      </c>
      <c r="H104" s="227">
        <v>3840</v>
      </c>
      <c r="I104" s="227"/>
      <c r="J104" s="227"/>
      <c r="K104" s="227">
        <v>1380.5</v>
      </c>
      <c r="L104" s="227">
        <f>'Feb-27'!$H104*'Feb-27'!$K104</f>
        <v>5301120</v>
      </c>
      <c r="M104" s="218"/>
    </row>
    <row r="105" spans="2:13" ht="15" customHeight="1" thickBot="1" x14ac:dyDescent="0.3">
      <c r="B105" s="168">
        <v>46078</v>
      </c>
      <c r="C105" s="169"/>
      <c r="D105" s="170">
        <v>30</v>
      </c>
      <c r="E105" s="171">
        <v>127</v>
      </c>
      <c r="F105" s="172">
        <v>55000000050</v>
      </c>
      <c r="G105" s="226" t="str">
        <f>IFERROR(IF('Feb-27'!$F105="","-",VLOOKUP('Feb-27'!$F105,Lista_CUIT!$A$1:$D$2241,2,0)),"CUIT NO CARGADO")</f>
        <v>GAS FUTURO SISTEMAS DE COMPRESSÃO LTDA</v>
      </c>
      <c r="H105" s="227">
        <v>365</v>
      </c>
      <c r="I105" s="227"/>
      <c r="J105" s="227"/>
      <c r="K105" s="227">
        <v>1380.5</v>
      </c>
      <c r="L105" s="324">
        <f>'Feb-27'!$H105*'Feb-27'!$K105</f>
        <v>503882.5</v>
      </c>
      <c r="M105" s="218">
        <f>SUBTOTAL(103,'Abr-26'!$M$111:$M$114)</f>
        <v>0</v>
      </c>
    </row>
    <row r="106" spans="2:13" ht="18" customHeight="1" x14ac:dyDescent="0.25">
      <c r="B106" s="397" t="s">
        <v>1336</v>
      </c>
      <c r="C106" s="398"/>
      <c r="D106" s="398"/>
      <c r="E106" s="398"/>
      <c r="F106" s="398"/>
      <c r="G106" s="398"/>
      <c r="H106" s="399">
        <f>SUBTOTAL(109,'Feb-27'!$H$102:$H$105)</f>
        <v>9005</v>
      </c>
      <c r="I106" s="399">
        <f>SUBTOTAL(109,'Feb-27'!$I$102:$I$105)</f>
        <v>0</v>
      </c>
      <c r="J106" s="400">
        <f>SUBTOTAL(109,'Feb-27'!$J$102:$J$105)</f>
        <v>0</v>
      </c>
      <c r="K106" s="400">
        <f>SUBTOTAL(109,'Feb-27'!$K$102:$K$105)</f>
        <v>5596</v>
      </c>
      <c r="L106" s="400">
        <f>SUM(L102:L104)</f>
        <v>12132480</v>
      </c>
      <c r="M106" s="401">
        <f>SUBTOTAL(103,'Feb-27'!$M$102:$M$105)</f>
        <v>0</v>
      </c>
    </row>
    <row r="107" spans="2:13" ht="15.75" customHeight="1" x14ac:dyDescent="0.25"/>
    <row r="108" spans="2:13" ht="15.75" customHeight="1" x14ac:dyDescent="0.25"/>
    <row r="109" spans="2:13" ht="15.75" customHeight="1" x14ac:dyDescent="0.25"/>
    <row r="110" spans="2:13" ht="15.75" customHeight="1" x14ac:dyDescent="0.25"/>
    <row r="111" spans="2:13" ht="15.75" customHeight="1" x14ac:dyDescent="0.25">
      <c r="C111" s="459" t="s">
        <v>1363</v>
      </c>
      <c r="D111" s="460"/>
      <c r="E111" s="460"/>
      <c r="F111" s="460"/>
      <c r="G111" s="461"/>
      <c r="H111" s="88"/>
      <c r="I111" s="88"/>
      <c r="J111" s="88"/>
    </row>
    <row r="112" spans="2:13" ht="15.75" customHeight="1" x14ac:dyDescent="0.25">
      <c r="C112" s="89" t="s">
        <v>1364</v>
      </c>
      <c r="D112" s="90" t="s">
        <v>1365</v>
      </c>
      <c r="E112" s="90" t="s">
        <v>1361</v>
      </c>
      <c r="F112" s="90" t="s">
        <v>0</v>
      </c>
      <c r="G112" s="90" t="s">
        <v>1</v>
      </c>
      <c r="H112" s="91" t="s">
        <v>1366</v>
      </c>
      <c r="I112" s="91" t="s">
        <v>1367</v>
      </c>
      <c r="J112" s="91" t="s">
        <v>1368</v>
      </c>
      <c r="K112" s="91" t="s">
        <v>1369</v>
      </c>
      <c r="L112" s="91" t="s">
        <v>1370</v>
      </c>
    </row>
    <row r="113" spans="3:12" ht="15.75" customHeight="1" x14ac:dyDescent="0.25">
      <c r="C113" s="92"/>
      <c r="D113" s="93">
        <v>11694</v>
      </c>
      <c r="E113" s="93"/>
      <c r="F113" s="39"/>
      <c r="G113" s="40" t="str">
        <f>IFERROR(IF('Feb-27'!$F113="","-",VLOOKUP('Feb-27'!$F113,Lista_CUIT!$A$1:$D$2241,2,0)),"CUIT NO CARGADO")</f>
        <v>-</v>
      </c>
      <c r="H113" s="94"/>
      <c r="I113" s="94"/>
      <c r="J113" s="94"/>
      <c r="K113" s="94"/>
      <c r="L113" s="94"/>
    </row>
    <row r="114" spans="3:12" ht="15.75" customHeight="1" x14ac:dyDescent="0.25">
      <c r="C114" s="92"/>
      <c r="D114" s="93">
        <v>11695</v>
      </c>
      <c r="E114" s="93"/>
      <c r="F114" s="39"/>
      <c r="G114" s="40" t="str">
        <f>IFERROR(IF('Feb-27'!$F114="","-",VLOOKUP('Feb-27'!$F114,Lista_CUIT!$A$1:$D$2241,2,0)),"CUIT NO CARGADO")</f>
        <v>-</v>
      </c>
      <c r="H114" s="94"/>
      <c r="I114" s="94"/>
      <c r="J114" s="94"/>
      <c r="K114" s="94"/>
      <c r="L114" s="94"/>
    </row>
    <row r="115" spans="3:12" ht="15.75" customHeight="1" x14ac:dyDescent="0.25">
      <c r="C115" s="92"/>
      <c r="D115" s="93">
        <v>11696</v>
      </c>
      <c r="E115" s="93"/>
      <c r="F115" s="39"/>
      <c r="G115" s="40" t="str">
        <f>IFERROR(IF('Feb-27'!$F115="","-",VLOOKUP('Feb-27'!$F115,Lista_CUIT!$A$1:$D$2241,2,0)),"CUIT NO CARGADO")</f>
        <v>-</v>
      </c>
      <c r="H115" s="94"/>
      <c r="I115" s="94"/>
      <c r="J115" s="94"/>
      <c r="K115" s="94"/>
      <c r="L115" s="94"/>
    </row>
    <row r="116" spans="3:12" ht="15.75" customHeight="1" x14ac:dyDescent="0.25">
      <c r="C116" s="92"/>
      <c r="D116" s="93">
        <v>11697</v>
      </c>
      <c r="E116" s="93"/>
      <c r="F116" s="39"/>
      <c r="G116" s="40" t="str">
        <f>IFERROR(IF('Feb-27'!$F116="","-",VLOOKUP('Feb-27'!$F116,Lista_CUIT!$A$1:$D$2241,2,0)),"CUIT NO CARGADO")</f>
        <v>-</v>
      </c>
      <c r="H116" s="94"/>
      <c r="I116" s="94"/>
      <c r="J116" s="94"/>
      <c r="K116" s="94"/>
      <c r="L116" s="94"/>
    </row>
    <row r="117" spans="3:12" ht="15.75" customHeight="1" x14ac:dyDescent="0.25">
      <c r="C117" s="3"/>
      <c r="D117" s="93">
        <v>11698</v>
      </c>
      <c r="E117" s="93"/>
      <c r="F117" s="3"/>
      <c r="G117" s="40" t="str">
        <f>IFERROR(IF('Feb-27'!$F117="","-",VLOOKUP('Feb-27'!$F117,Lista_CUIT!$A$1:$D$2241,2,0)),"CUIT NO CARGADO")</f>
        <v>-</v>
      </c>
      <c r="H117" s="3"/>
      <c r="I117" s="3"/>
      <c r="J117" s="3"/>
      <c r="K117" s="3"/>
      <c r="L117" s="3"/>
    </row>
    <row r="118" spans="3:12" ht="15.75" customHeight="1" x14ac:dyDescent="0.25">
      <c r="C118" s="109"/>
    </row>
    <row r="119" spans="3:12" ht="15.75" customHeight="1" x14ac:dyDescent="0.25"/>
    <row r="120" spans="3:12" ht="15.75" customHeight="1" x14ac:dyDescent="0.25"/>
    <row r="121" spans="3:12" ht="15.75" customHeight="1" x14ac:dyDescent="0.25"/>
    <row r="122" spans="3:12" ht="15.75" customHeight="1" x14ac:dyDescent="0.25"/>
    <row r="123" spans="3:12" ht="15.75" customHeight="1" x14ac:dyDescent="0.25"/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1">
    <mergeCell ref="P4:R4"/>
    <mergeCell ref="D34:L34"/>
    <mergeCell ref="B100:C100"/>
    <mergeCell ref="C111:G111"/>
    <mergeCell ref="B3:E3"/>
    <mergeCell ref="B4:E4"/>
    <mergeCell ref="G4:H4"/>
    <mergeCell ref="D49:K49"/>
    <mergeCell ref="B72:J72"/>
    <mergeCell ref="K72:M72"/>
    <mergeCell ref="B74:C74"/>
    <mergeCell ref="B88:C88"/>
    <mergeCell ref="J4:K4"/>
    <mergeCell ref="M4:N4"/>
    <mergeCell ref="B1:F1"/>
    <mergeCell ref="G1:M1"/>
    <mergeCell ref="N1:R1"/>
    <mergeCell ref="G3:H3"/>
    <mergeCell ref="J3:K3"/>
    <mergeCell ref="M3:N3"/>
    <mergeCell ref="P3:R3"/>
  </mergeCells>
  <dataValidations count="14">
    <dataValidation type="custom" allowBlank="1" showErrorMessage="1" sqref="L78:L80" xr:uid="{00000000-0002-0000-0B00-000000000000}">
      <formula1>IF(#REF!=3,#REF!&lt;0,#REF!&gt;=0)</formula1>
    </dataValidation>
    <dataValidation type="custom" allowBlank="1" showErrorMessage="1" sqref="H90:L95 H102:I103 H104:L104 K102:L103 L105" xr:uid="{00000000-0002-0000-0B00-000001000000}">
      <formula1>IF($C90=8,H90&lt;0,H90&gt;=0)</formula1>
    </dataValidation>
    <dataValidation type="custom" allowBlank="1" showErrorMessage="1" sqref="L81:L82" xr:uid="{00000000-0002-0000-0B00-000002000000}">
      <formula1>IF($C29=3,L29&lt;0,L29&gt;=0)</formula1>
    </dataValidation>
    <dataValidation type="decimal" allowBlank="1" showErrorMessage="1" sqref="D102:D104 E51:E65 D76:D84 D90:D95 D9:D28" xr:uid="{00000000-0002-0000-0B00-000003000000}">
      <formula1>1</formula1>
      <formula2>9999</formula2>
    </dataValidation>
    <dataValidation type="decimal" allowBlank="1" showErrorMessage="1" sqref="C102:C104" xr:uid="{00000000-0002-0000-0B00-000004000000}">
      <formula1>80</formula1>
      <formula2>80</formula2>
    </dataValidation>
    <dataValidation type="date" allowBlank="1" showErrorMessage="1" sqref="B30:B33 B102:B104 D51:D65 B76:B84 B90:B95 D36:D44 B9:B28" xr:uid="{00000000-0002-0000-0B00-000005000000}">
      <formula1>40179</formula1>
      <formula2>TODAY()</formula2>
    </dataValidation>
    <dataValidation type="custom" allowBlank="1" showErrorMessage="1" sqref="L76:L77" xr:uid="{00000000-0002-0000-0B00-000006000000}">
      <formula1>IF($C9=3,L9&lt;0,L9&gt;=0)</formula1>
    </dataValidation>
    <dataValidation type="decimal" allowBlank="1" showErrorMessage="1" sqref="F102:F104 G51:G65 F76:F84 F90:F95 F9:F28" xr:uid="{00000000-0002-0000-0B00-000007000000}">
      <formula1>20000000000</formula1>
      <formula2>33999999999</formula2>
    </dataValidation>
    <dataValidation type="decimal" allowBlank="1" showErrorMessage="1" sqref="C90:C95" xr:uid="{00000000-0002-0000-0B00-000008000000}">
      <formula1>6</formula1>
      <formula2>8</formula2>
    </dataValidation>
    <dataValidation type="decimal" allowBlank="1" showErrorMessage="1" sqref="O44:O60 F51:F65 E76:E84 E90:E95 E102:E104 E9:E28" xr:uid="{00000000-0002-0000-0B00-000009000000}">
      <formula1>1</formula1>
      <formula2>99999999</formula2>
    </dataValidation>
    <dataValidation type="decimal" allowBlank="1" showErrorMessage="1" sqref="C76:C84 C30:C33 C9:C28" xr:uid="{00000000-0002-0000-0B00-00000A000000}">
      <formula1>1</formula1>
      <formula2>3</formula2>
    </dataValidation>
    <dataValidation type="custom" allowBlank="1" showErrorMessage="1" sqref="H76 J76:K76 J80:K80 H82:K82 H80 H78 J78:K78" xr:uid="{00000000-0002-0000-0B00-00000B000000}">
      <formula1>IF($C76=3,H76&lt;0,H76&gt;=0)</formula1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O9:O25 H9:N28 O27:O28" xr:uid="{00000000-0002-0000-0B00-00000C000000}">
      <formula1>IF($C9=3,H9&lt;0,H9&gt;=0)</formula1>
    </dataValidation>
    <dataValidation allowBlank="1" showInputMessage="1" showErrorMessage="1" prompt="Error de Ingreso - Ingreso condicionado al tipo de compra:_x000a_- Tipo 001: solo positivo_x000a_- Tipo 002: solo positivo_x000a_- Tipo 003: solo negativo" sqref="O26" xr:uid="{00000000-0002-0000-0B00-00000D000000}"/>
  </dataValidations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DE9D9"/>
  </sheetPr>
  <dimension ref="A1:Z1009"/>
  <sheetViews>
    <sheetView showGridLines="0" zoomScale="70" zoomScaleNormal="70" workbookViewId="0">
      <selection activeCell="H54" sqref="H54"/>
    </sheetView>
  </sheetViews>
  <sheetFormatPr baseColWidth="10" defaultColWidth="14.42578125" defaultRowHeight="15" customHeight="1" x14ac:dyDescent="0.25"/>
  <cols>
    <col min="1" max="1" width="1.7109375" customWidth="1"/>
    <col min="2" max="2" width="18.140625" customWidth="1"/>
    <col min="3" max="3" width="12.85546875" customWidth="1"/>
    <col min="4" max="4" width="13.28515625" customWidth="1"/>
    <col min="5" max="5" width="14.5703125" customWidth="1"/>
    <col min="6" max="6" width="17.7109375" customWidth="1"/>
    <col min="7" max="7" width="29.42578125" customWidth="1"/>
    <col min="8" max="8" width="20" customWidth="1"/>
    <col min="9" max="9" width="17.5703125" customWidth="1"/>
    <col min="10" max="10" width="16.28515625" customWidth="1"/>
    <col min="11" max="11" width="14.85546875" customWidth="1"/>
    <col min="12" max="12" width="15.5703125" customWidth="1"/>
    <col min="13" max="13" width="12.85546875" customWidth="1"/>
    <col min="14" max="14" width="16.42578125" customWidth="1"/>
    <col min="15" max="15" width="14.85546875" customWidth="1"/>
    <col min="16" max="16" width="18.140625" customWidth="1"/>
    <col min="17" max="17" width="10" customWidth="1"/>
    <col min="18" max="18" width="11.5703125" customWidth="1"/>
    <col min="19" max="19" width="14.14062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10.7109375" hidden="1" customWidth="1"/>
  </cols>
  <sheetData>
    <row r="1" spans="1:19" ht="34.5" customHeight="1" x14ac:dyDescent="0.25">
      <c r="A1" s="6"/>
      <c r="B1" s="447" t="s">
        <v>1315</v>
      </c>
      <c r="C1" s="448"/>
      <c r="D1" s="448"/>
      <c r="E1" s="448"/>
      <c r="F1" s="449"/>
      <c r="G1" s="469" t="str">
        <f>'Abr-26'!G1:M1</f>
        <v>CORITEC S. R. L.</v>
      </c>
      <c r="H1" s="448"/>
      <c r="I1" s="448"/>
      <c r="J1" s="448"/>
      <c r="K1" s="448"/>
      <c r="L1" s="448"/>
      <c r="M1" s="449"/>
      <c r="N1" s="451">
        <f>EDATE('Abr-26'!N1,11)</f>
        <v>46082</v>
      </c>
      <c r="O1" s="448"/>
      <c r="P1" s="448"/>
      <c r="Q1" s="448"/>
      <c r="R1" s="449"/>
    </row>
    <row r="3" spans="1:19" ht="26.25" customHeight="1" x14ac:dyDescent="0.25">
      <c r="B3" s="452" t="s">
        <v>1371</v>
      </c>
      <c r="C3" s="448"/>
      <c r="D3" s="448"/>
      <c r="E3" s="449"/>
      <c r="F3" s="7"/>
      <c r="G3" s="452" t="s">
        <v>1318</v>
      </c>
      <c r="H3" s="449"/>
      <c r="I3" s="7"/>
      <c r="J3" s="453" t="s">
        <v>1319</v>
      </c>
      <c r="K3" s="449"/>
      <c r="L3" s="7"/>
      <c r="M3" s="453" t="s">
        <v>1320</v>
      </c>
      <c r="N3" s="449"/>
      <c r="O3" s="7"/>
      <c r="P3" s="454" t="s">
        <v>1321</v>
      </c>
      <c r="Q3" s="448"/>
      <c r="R3" s="449"/>
    </row>
    <row r="4" spans="1:19" ht="24.75" customHeight="1" x14ac:dyDescent="0.35">
      <c r="B4" s="462">
        <f>SUM('Mar-27'!$H$39)+'Mar-27'!$G$54</f>
        <v>4073342.16047619</v>
      </c>
      <c r="C4" s="448"/>
      <c r="D4" s="448"/>
      <c r="E4" s="449"/>
      <c r="F4" s="8"/>
      <c r="G4" s="463">
        <f>'Mar-27'!$I$39+'Mar-27'!$J$39+'Mar-27'!$K$39+'Mar-27'!$H$54+'Mar-27'!$I$54</f>
        <v>830493.48919999995</v>
      </c>
      <c r="H4" s="449"/>
      <c r="I4" s="8"/>
      <c r="J4" s="466">
        <f>'Mar-27'!$H$97+'Mar-27'!$H$108</f>
        <v>6729628</v>
      </c>
      <c r="K4" s="449"/>
      <c r="L4" s="8"/>
      <c r="M4" s="466">
        <f>'Mar-27'!$I$97+'Mar-27'!$J$97+'Mar-27'!$I$108+'Mar-27'!$J$108</f>
        <v>1408614.9</v>
      </c>
      <c r="N4" s="449"/>
      <c r="O4" s="8"/>
      <c r="P4" s="455">
        <f>G4-M4</f>
        <v>-578121.41079999995</v>
      </c>
      <c r="Q4" s="448"/>
      <c r="R4" s="449"/>
    </row>
    <row r="5" spans="1:19" ht="12.75" customHeight="1" x14ac:dyDescent="0.25"/>
    <row r="6" spans="1:19" ht="10.5" customHeight="1" x14ac:dyDescent="0.25"/>
    <row r="7" spans="1:19" ht="10.5" customHeight="1" x14ac:dyDescent="0.25">
      <c r="A7" s="11"/>
      <c r="B7" s="12"/>
      <c r="C7" s="13"/>
      <c r="D7" s="14"/>
      <c r="E7" s="15"/>
      <c r="F7" s="16"/>
      <c r="G7" s="17"/>
      <c r="H7" s="18"/>
      <c r="I7" s="19"/>
      <c r="J7" s="19"/>
      <c r="K7" s="19"/>
      <c r="L7" s="19"/>
      <c r="M7" s="19"/>
      <c r="N7" s="19"/>
      <c r="O7" s="19"/>
      <c r="P7" s="20"/>
      <c r="Q7" s="21"/>
      <c r="R7" s="21"/>
      <c r="S7" s="11"/>
    </row>
    <row r="8" spans="1:19" ht="38.25" customHeight="1" x14ac:dyDescent="0.25">
      <c r="B8" s="22" t="s">
        <v>1322</v>
      </c>
      <c r="C8" s="22" t="s">
        <v>1323</v>
      </c>
      <c r="D8" s="22" t="s">
        <v>1324</v>
      </c>
      <c r="E8" s="22" t="s">
        <v>1325</v>
      </c>
      <c r="F8" s="22" t="s">
        <v>0</v>
      </c>
      <c r="G8" s="22" t="s">
        <v>1</v>
      </c>
      <c r="H8" s="22" t="s">
        <v>1326</v>
      </c>
      <c r="I8" s="22" t="s">
        <v>1327</v>
      </c>
      <c r="J8" s="22" t="s">
        <v>1328</v>
      </c>
      <c r="K8" s="22" t="s">
        <v>1329</v>
      </c>
      <c r="L8" s="22" t="s">
        <v>1330</v>
      </c>
      <c r="M8" s="22" t="s">
        <v>1331</v>
      </c>
      <c r="N8" s="22" t="s">
        <v>1332</v>
      </c>
      <c r="O8" s="22" t="s">
        <v>1378</v>
      </c>
      <c r="P8" s="22" t="s">
        <v>1334</v>
      </c>
      <c r="Q8" s="22" t="s">
        <v>2</v>
      </c>
      <c r="R8" s="22" t="s">
        <v>1335</v>
      </c>
    </row>
    <row r="9" spans="1:19" x14ac:dyDescent="0.25">
      <c r="B9" s="239">
        <v>46082</v>
      </c>
      <c r="C9" s="169">
        <v>1</v>
      </c>
      <c r="D9" s="170">
        <v>3</v>
      </c>
      <c r="E9" s="171">
        <v>299114</v>
      </c>
      <c r="F9" s="172">
        <v>30707135596</v>
      </c>
      <c r="G9" s="173" t="str">
        <f>IFERROR(IF('Mar-27'!$F9="","-",VLOOKUP('Mar-27'!$F9,Lista_CUIT!$A$1:$D$2241,2,0)),"CUIT NO CARGADO")</f>
        <v>CITILAN ARGENTINA S.A.</v>
      </c>
      <c r="H9" s="174">
        <v>40800</v>
      </c>
      <c r="I9" s="175">
        <f>IF('Mar-27'!$H9="","",'Mar-27'!$H9*0.21)</f>
        <v>8568</v>
      </c>
      <c r="J9" s="175"/>
      <c r="K9" s="175"/>
      <c r="L9" s="175"/>
      <c r="M9" s="175"/>
      <c r="N9" s="175"/>
      <c r="O9" s="175"/>
      <c r="P9" s="176">
        <f>SUM('Mar-27'!$H9:$O9)</f>
        <v>49368</v>
      </c>
      <c r="Q9" s="177" t="str">
        <f>IFERROR(IF('Mar-27'!$F9="","-",VLOOKUP('Mar-27'!$F9,Lista_CUIT!$A$1:$D$2241,3,0)),"CUIT NO CARGADO")</f>
        <v>Telefonia</v>
      </c>
      <c r="R9" s="177">
        <f>IFERROR(IF('Mar-27'!$F9="","-",VLOOKUP('Mar-27'!$F9,Lista_CUIT!$A$1:$D$2241,4,0)),"CUIT NO CARGADO")</f>
        <v>0</v>
      </c>
    </row>
    <row r="10" spans="1:19" x14ac:dyDescent="0.25">
      <c r="B10" s="239">
        <v>46082</v>
      </c>
      <c r="C10" s="169">
        <v>1</v>
      </c>
      <c r="D10" s="170">
        <v>3</v>
      </c>
      <c r="E10" s="171">
        <v>936</v>
      </c>
      <c r="F10" s="172">
        <v>30715402765</v>
      </c>
      <c r="G10" s="173" t="str">
        <f>IFERROR(IF('Mar-27'!$F10="","-",VLOOKUP('Mar-27'!$F10,Lista_CUIT!$A$1:$D$2241,2,0)),"CUIT NO CARGADO")</f>
        <v>RIO 265 S.R.L.</v>
      </c>
      <c r="H10" s="174">
        <v>128099.19</v>
      </c>
      <c r="I10" s="175">
        <f>IF('Mar-27'!$H10="","",'Mar-27'!$H10*0.21)</f>
        <v>26900.829900000001</v>
      </c>
      <c r="J10" s="175"/>
      <c r="K10" s="175"/>
      <c r="L10" s="175"/>
      <c r="M10" s="175"/>
      <c r="N10" s="175"/>
      <c r="O10" s="175"/>
      <c r="P10" s="176">
        <f>SUM('Mar-27'!$H10:$O10)</f>
        <v>155000.01990000001</v>
      </c>
      <c r="Q10" s="177" t="str">
        <f>IFERROR(IF('Mar-27'!$F10="","-",VLOOKUP('Mar-27'!$F10,Lista_CUIT!$A$1:$D$2241,3,0)),"CUIT NO CARGADO")</f>
        <v>GASTOS VARIOS</v>
      </c>
      <c r="R10" s="177">
        <f>IFERROR(IF('Mar-27'!$F10="","-",VLOOKUP('Mar-27'!$F10,Lista_CUIT!$A$1:$D$2241,4,0)),"CUIT NO CARGADO")</f>
        <v>0</v>
      </c>
    </row>
    <row r="11" spans="1:19" x14ac:dyDescent="0.25">
      <c r="B11" s="239">
        <v>46083</v>
      </c>
      <c r="C11" s="169">
        <v>1</v>
      </c>
      <c r="D11" s="170">
        <v>6</v>
      </c>
      <c r="E11" s="171">
        <v>1743</v>
      </c>
      <c r="F11" s="172">
        <v>20145637539</v>
      </c>
      <c r="G11" s="173" t="str">
        <f>IFERROR(IF('Mar-27'!$F11="","-",VLOOKUP('Mar-27'!$F11,Lista_CUIT!$A$1:$D$2241,2,0)),"CUIT NO CARGADO")</f>
        <v>NACACHIAN RUBEN EDUARDO</v>
      </c>
      <c r="H11" s="174">
        <v>10685.95</v>
      </c>
      <c r="I11" s="175">
        <f>IF('Mar-27'!$H11="","",'Mar-27'!$H11*0.21)</f>
        <v>2244.0495000000001</v>
      </c>
      <c r="J11" s="175"/>
      <c r="K11" s="175"/>
      <c r="L11" s="175"/>
      <c r="M11" s="175"/>
      <c r="N11" s="175"/>
      <c r="O11" s="175"/>
      <c r="P11" s="176">
        <f>SUM('Mar-27'!$H11:$O11)</f>
        <v>12929.999500000002</v>
      </c>
      <c r="Q11" s="177">
        <f>IFERROR(IF('Mar-27'!$F11="","-",VLOOKUP('Mar-27'!$F11,Lista_CUIT!$A$1:$D$2241,3,0)),"CUIT NO CARGADO")</f>
        <v>0</v>
      </c>
      <c r="R11" s="177">
        <f>IFERROR(IF('Mar-27'!$F11="","-",VLOOKUP('Mar-27'!$F11,Lista_CUIT!$A$1:$D$2241,4,0)),"CUIT NO CARGADO")</f>
        <v>0</v>
      </c>
    </row>
    <row r="12" spans="1:19" x14ac:dyDescent="0.25">
      <c r="B12" s="239">
        <v>46083</v>
      </c>
      <c r="C12" s="169">
        <v>1</v>
      </c>
      <c r="D12" s="170">
        <v>5</v>
      </c>
      <c r="E12" s="171">
        <v>7707</v>
      </c>
      <c r="F12" s="172">
        <v>20231333593</v>
      </c>
      <c r="G12" s="173" t="str">
        <f>IFERROR(IF('Mar-27'!$F12="","-",VLOOKUP('Mar-27'!$F12,Lista_CUIT!$A$1:$D$2241,2,0)),"CUIT NO CARGADO")</f>
        <v>BOLLINI CLAUDIO DANIEL</v>
      </c>
      <c r="H12" s="174">
        <v>80000</v>
      </c>
      <c r="I12" s="175">
        <f>IF('Mar-27'!$H12="","",'Mar-27'!$H12*0.21)</f>
        <v>16800</v>
      </c>
      <c r="J12" s="175"/>
      <c r="K12" s="175"/>
      <c r="L12" s="175"/>
      <c r="M12" s="175"/>
      <c r="N12" s="175"/>
      <c r="O12" s="175"/>
      <c r="P12" s="176">
        <f>SUM('Mar-27'!$H12:$O12)</f>
        <v>96800</v>
      </c>
      <c r="Q12" s="177" t="str">
        <f>IFERROR(IF('Mar-27'!$F12="","-",VLOOKUP('Mar-27'!$F12,Lista_CUIT!$A$1:$D$2241,3,0)),"CUIT NO CARGADO")</f>
        <v>Mantenimiento</v>
      </c>
      <c r="R12" s="177">
        <f>IFERROR(IF('Mar-27'!$F12="","-",VLOOKUP('Mar-27'!$F12,Lista_CUIT!$A$1:$D$2241,4,0)),"CUIT NO CARGADO")</f>
        <v>0</v>
      </c>
    </row>
    <row r="13" spans="1:19" x14ac:dyDescent="0.25">
      <c r="B13" s="239">
        <v>46083</v>
      </c>
      <c r="C13" s="169">
        <v>1</v>
      </c>
      <c r="D13" s="170">
        <v>12</v>
      </c>
      <c r="E13" s="171">
        <v>3057</v>
      </c>
      <c r="F13" s="172">
        <v>30519427008</v>
      </c>
      <c r="G13" s="173" t="str">
        <f>IFERROR(IF('Mar-27'!$F13="","-",VLOOKUP('Mar-27'!$F13,Lista_CUIT!$A$1:$D$2241,2,0)),"CUIT NO CARGADO")</f>
        <v>WALD SA</v>
      </c>
      <c r="H13" s="174">
        <v>20420.57</v>
      </c>
      <c r="I13" s="175">
        <f>IF('Mar-27'!$H13="","",'Mar-27'!$H13*0.21)</f>
        <v>4288.3197</v>
      </c>
      <c r="J13" s="175"/>
      <c r="K13" s="175"/>
      <c r="L13" s="175"/>
      <c r="M13" s="175"/>
      <c r="N13" s="175"/>
      <c r="O13" s="175"/>
      <c r="P13" s="176">
        <f>SUM('Mar-27'!$H13:$O13)</f>
        <v>24708.8897</v>
      </c>
      <c r="Q13" s="177">
        <f>IFERROR(IF('Mar-27'!$F13="","-",VLOOKUP('Mar-27'!$F13,Lista_CUIT!$A$1:$D$2241,3,0)),"CUIT NO CARGADO")</f>
        <v>0</v>
      </c>
      <c r="R13" s="177">
        <f>IFERROR(IF('Mar-27'!$F13="","-",VLOOKUP('Mar-27'!$F13,Lista_CUIT!$A$1:$D$2241,4,0)),"CUIT NO CARGADO")</f>
        <v>0</v>
      </c>
    </row>
    <row r="14" spans="1:19" x14ac:dyDescent="0.25">
      <c r="B14" s="239">
        <v>46084</v>
      </c>
      <c r="C14" s="169">
        <v>1</v>
      </c>
      <c r="D14" s="170">
        <v>2</v>
      </c>
      <c r="E14" s="171">
        <v>19363</v>
      </c>
      <c r="F14" s="172">
        <v>30716743434</v>
      </c>
      <c r="G14" s="173" t="str">
        <f>IFERROR(IF('Mar-27'!$F14="","-",VLOOKUP('Mar-27'!$F14,Lista_CUIT!$A$1:$D$2241,2,0)),"CUIT NO CARGADO")</f>
        <v>CANDY HO S. R. L.</v>
      </c>
      <c r="H14" s="174">
        <v>33739.370000000003</v>
      </c>
      <c r="I14" s="175"/>
      <c r="J14" s="175"/>
      <c r="K14" s="175">
        <v>3542.63</v>
      </c>
      <c r="L14" s="175"/>
      <c r="M14" s="175"/>
      <c r="N14" s="175"/>
      <c r="O14" s="175"/>
      <c r="P14" s="176">
        <f>SUM('Mar-27'!$H14:$O14)</f>
        <v>37282</v>
      </c>
      <c r="Q14" s="177">
        <f>IFERROR(IF('Mar-27'!$F14="","-",VLOOKUP('Mar-27'!$F14,Lista_CUIT!$A$1:$D$2241,3,0)),"CUIT NO CARGADO")</f>
        <v>0</v>
      </c>
      <c r="R14" s="177">
        <f>IFERROR(IF('Mar-27'!$F14="","-",VLOOKUP('Mar-27'!$F14,Lista_CUIT!$A$1:$D$2241,4,0)),"CUIT NO CARGADO")</f>
        <v>0</v>
      </c>
    </row>
    <row r="15" spans="1:19" x14ac:dyDescent="0.25">
      <c r="B15" s="239">
        <v>46084</v>
      </c>
      <c r="C15" s="169">
        <v>1</v>
      </c>
      <c r="D15" s="170">
        <v>13</v>
      </c>
      <c r="E15" s="171">
        <v>1110</v>
      </c>
      <c r="F15" s="172">
        <v>20178564219</v>
      </c>
      <c r="G15" s="173" t="str">
        <f>IFERROR(IF('Mar-27'!$F15="","-",VLOOKUP('Mar-27'!$F15,Lista_CUIT!$A$1:$D$2241,2,0)),"CUIT NO CARGADO")</f>
        <v>BERNSTEIN FERNANDO GABRIEL</v>
      </c>
      <c r="H15" s="174">
        <v>203483.08</v>
      </c>
      <c r="I15" s="175"/>
      <c r="J15" s="175"/>
      <c r="K15" s="175">
        <v>21365.72</v>
      </c>
      <c r="L15" s="175"/>
      <c r="M15" s="175"/>
      <c r="N15" s="175"/>
      <c r="O15" s="175"/>
      <c r="P15" s="176">
        <f>SUM('Mar-27'!$H15:$O15)</f>
        <v>224848.8</v>
      </c>
      <c r="Q15" s="177">
        <f>IFERROR(IF('Mar-27'!$F15="","-",VLOOKUP('Mar-27'!$F15,Lista_CUIT!$A$1:$D$2241,3,0)),"CUIT NO CARGADO")</f>
        <v>0</v>
      </c>
      <c r="R15" s="177">
        <f>IFERROR(IF('Mar-27'!$F15="","-",VLOOKUP('Mar-27'!$F15,Lista_CUIT!$A$1:$D$2241,4,0)),"CUIT NO CARGADO")</f>
        <v>0</v>
      </c>
    </row>
    <row r="16" spans="1:19" x14ac:dyDescent="0.25">
      <c r="B16" s="239">
        <v>46086</v>
      </c>
      <c r="C16" s="169">
        <v>1</v>
      </c>
      <c r="D16" s="170">
        <v>3</v>
      </c>
      <c r="E16" s="171">
        <v>23750</v>
      </c>
      <c r="F16" s="172">
        <v>30707468161</v>
      </c>
      <c r="G16" s="173" t="str">
        <f>IFERROR(IF('Mar-27'!$F16="","-",VLOOKUP('Mar-27'!$F16,Lista_CUIT!$A$1:$D$2241,2,0)),"CUIT NO CARGADO")</f>
        <v>LASERTEC INGENIERIA SOCIEDAD ANONIMA</v>
      </c>
      <c r="H16" s="174">
        <v>536050</v>
      </c>
      <c r="I16" s="175">
        <f>IF('Mar-27'!$H16="","",'Mar-27'!$H16*0.21)</f>
        <v>112570.5</v>
      </c>
      <c r="J16" s="175"/>
      <c r="K16" s="175"/>
      <c r="L16" s="175"/>
      <c r="M16" s="175"/>
      <c r="N16" s="175"/>
      <c r="O16" s="175">
        <v>42884</v>
      </c>
      <c r="P16" s="176">
        <f>SUM('Mar-27'!$H16:$O16)</f>
        <v>691504.5</v>
      </c>
      <c r="Q16" s="177" t="str">
        <f>IFERROR(IF('Mar-27'!$F16="","-",VLOOKUP('Mar-27'!$F16,Lista_CUIT!$A$1:$D$2241,3,0)),"CUIT NO CARGADO")</f>
        <v>INSUMO</v>
      </c>
      <c r="R16" s="177">
        <f>IFERROR(IF('Mar-27'!$F16="","-",VLOOKUP('Mar-27'!$F16,Lista_CUIT!$A$1:$D$2241,4,0)),"CUIT NO CARGADO")</f>
        <v>0</v>
      </c>
    </row>
    <row r="17" spans="1:26" x14ac:dyDescent="0.25">
      <c r="B17" s="239">
        <v>46090</v>
      </c>
      <c r="C17" s="169">
        <v>1</v>
      </c>
      <c r="D17" s="170">
        <v>5</v>
      </c>
      <c r="E17" s="171">
        <v>1928</v>
      </c>
      <c r="F17" s="172">
        <v>30710641982</v>
      </c>
      <c r="G17" s="173" t="str">
        <f>IFERROR(IF('Mar-27'!$F17="","-",VLOOKUP('Mar-27'!$F17,Lista_CUIT!$A$1:$D$2241,2,0)),"CUIT NO CARGADO")</f>
        <v>2 N S.R.L.</v>
      </c>
      <c r="H17" s="174">
        <v>27923.14</v>
      </c>
      <c r="I17" s="175">
        <f>IF('Mar-27'!$H17="","",'Mar-27'!$H17*0.21)</f>
        <v>5863.8593999999994</v>
      </c>
      <c r="J17" s="175"/>
      <c r="K17" s="175"/>
      <c r="L17" s="175"/>
      <c r="M17" s="175"/>
      <c r="N17" s="175"/>
      <c r="O17" s="175"/>
      <c r="P17" s="176">
        <f>SUM('Mar-27'!$H17:$O17)</f>
        <v>33786.999400000001</v>
      </c>
      <c r="Q17" s="177">
        <f>IFERROR(IF('Mar-27'!$F17="","-",VLOOKUP('Mar-27'!$F17,Lista_CUIT!$A$1:$D$2241,3,0)),"CUIT NO CARGADO")</f>
        <v>0</v>
      </c>
      <c r="R17" s="177">
        <f>IFERROR(IF('Mar-27'!$F17="","-",VLOOKUP('Mar-27'!$F17,Lista_CUIT!$A$1:$D$2241,4,0)),"CUIT NO CARGADO")</f>
        <v>0</v>
      </c>
    </row>
    <row r="18" spans="1:26" x14ac:dyDescent="0.25">
      <c r="B18" s="239">
        <v>46090</v>
      </c>
      <c r="C18" s="169">
        <v>1</v>
      </c>
      <c r="D18" s="170">
        <v>700</v>
      </c>
      <c r="E18" s="171">
        <v>896788</v>
      </c>
      <c r="F18" s="172">
        <v>30580111315</v>
      </c>
      <c r="G18" s="173" t="str">
        <f>IFERROR(IF('Mar-27'!$F18="","-",VLOOKUP('Mar-27'!$F18,Lista_CUIT!$A$1:$D$2241,2,0)),"CUIT NO CARGADO")</f>
        <v>DHL EXPRESS (ARGENTINA) S.A.</v>
      </c>
      <c r="H18" s="174">
        <v>0</v>
      </c>
      <c r="I18" s="175">
        <f>IF('Mar-27'!$H18="","",'Mar-27'!$H18*0.21)</f>
        <v>0</v>
      </c>
      <c r="J18" s="175"/>
      <c r="K18" s="175"/>
      <c r="L18" s="175"/>
      <c r="M18" s="175"/>
      <c r="N18" s="175"/>
      <c r="O18" s="175">
        <v>371851.55</v>
      </c>
      <c r="P18" s="176">
        <f>SUM('Mar-27'!$H18:$O18)</f>
        <v>371851.55</v>
      </c>
      <c r="Q18" s="177" t="str">
        <f>IFERROR(IF('Mar-27'!$F18="","-",VLOOKUP('Mar-27'!$F18,Lista_CUIT!$A$1:$D$2241,3,0)),"CUIT NO CARGADO")</f>
        <v>Mercaderia</v>
      </c>
      <c r="R18" s="177">
        <f>IFERROR(IF('Mar-27'!$F18="","-",VLOOKUP('Mar-27'!$F18,Lista_CUIT!$A$1:$D$2241,4,0)),"CUIT NO CARGADO")</f>
        <v>0</v>
      </c>
    </row>
    <row r="19" spans="1:26" x14ac:dyDescent="0.25">
      <c r="B19" s="239">
        <v>46090</v>
      </c>
      <c r="C19" s="169">
        <v>1</v>
      </c>
      <c r="D19" s="170">
        <v>63</v>
      </c>
      <c r="E19" s="171">
        <v>3709084</v>
      </c>
      <c r="F19" s="172">
        <v>30640897267</v>
      </c>
      <c r="G19" s="173" t="str">
        <f>IFERROR(IF('Mar-27'!$F19="","-",VLOOKUP('Mar-27'!$F19,Lista_CUIT!$A$1:$D$2241,2,0)),"CUIT NO CARGADO")</f>
        <v>TELECENTRO SA</v>
      </c>
      <c r="H19" s="174">
        <v>72290</v>
      </c>
      <c r="I19" s="175">
        <f>IF('Mar-27'!$H19="","",'Mar-27'!$H19*0.21)</f>
        <v>15180.9</v>
      </c>
      <c r="J19" s="175"/>
      <c r="K19" s="175"/>
      <c r="L19" s="175"/>
      <c r="M19" s="175"/>
      <c r="N19" s="175"/>
      <c r="O19" s="175">
        <v>2168.6999999999998</v>
      </c>
      <c r="P19" s="176">
        <f>SUM('Mar-27'!$H19:$O19)</f>
        <v>89639.599999999991</v>
      </c>
      <c r="Q19" s="177" t="str">
        <f>IFERROR(IF('Mar-27'!$F19="","-",VLOOKUP('Mar-27'!$F19,Lista_CUIT!$A$1:$D$2241,3,0)),"CUIT NO CARGADO")</f>
        <v>SERVICIOS</v>
      </c>
      <c r="R19" s="177">
        <f>IFERROR(IF('Mar-27'!$F19="","-",VLOOKUP('Mar-27'!$F19,Lista_CUIT!$A$1:$D$2241,4,0)),"CUIT NO CARGADO")</f>
        <v>0</v>
      </c>
    </row>
    <row r="20" spans="1:26" x14ac:dyDescent="0.25">
      <c r="B20" s="239">
        <v>46091</v>
      </c>
      <c r="C20" s="169">
        <v>1</v>
      </c>
      <c r="D20" s="170">
        <v>106</v>
      </c>
      <c r="E20" s="171">
        <v>929481</v>
      </c>
      <c r="F20" s="172">
        <v>30594494187</v>
      </c>
      <c r="G20" s="173" t="str">
        <f>IFERROR(IF('Mar-27'!$F20="","-",VLOOKUP('Mar-27'!$F20,Lista_CUIT!$A$1:$D$2241,2,0)),"CUIT NO CARGADO")</f>
        <v>FEDERAL EXPRESS CORPORATION</v>
      </c>
      <c r="H20" s="174">
        <v>102600</v>
      </c>
      <c r="I20" s="175">
        <f>IF('Mar-27'!$H20="","",'Mar-27'!$H20*0.21)</f>
        <v>21546</v>
      </c>
      <c r="J20" s="175"/>
      <c r="K20" s="175"/>
      <c r="L20" s="175"/>
      <c r="M20" s="175"/>
      <c r="N20" s="175"/>
      <c r="O20" s="175">
        <v>229913.23</v>
      </c>
      <c r="P20" s="176">
        <f>SUM('Mar-27'!$H20:$O20)</f>
        <v>354059.23</v>
      </c>
      <c r="Q20" s="177" t="str">
        <f>IFERROR(IF('Mar-27'!$F20="","-",VLOOKUP('Mar-27'!$F20,Lista_CUIT!$A$1:$D$2241,3,0)),"CUIT NO CARGADO")</f>
        <v>Mercaderia</v>
      </c>
      <c r="R20" s="177">
        <f>IFERROR(IF('Mar-27'!$F20="","-",VLOOKUP('Mar-27'!$F20,Lista_CUIT!$A$1:$D$2241,4,0)),"CUIT NO CARGADO")</f>
        <v>0</v>
      </c>
    </row>
    <row r="21" spans="1:26" x14ac:dyDescent="0.25">
      <c r="B21" s="239">
        <v>46104</v>
      </c>
      <c r="C21" s="169">
        <v>1</v>
      </c>
      <c r="D21" s="170">
        <v>13</v>
      </c>
      <c r="E21" s="171">
        <v>6507</v>
      </c>
      <c r="F21" s="172">
        <v>27929487155</v>
      </c>
      <c r="G21" s="173" t="str">
        <f>IFERROR(IF('Mar-27'!$F21="","-",VLOOKUP('Mar-27'!$F21,Lista_CUIT!$A$1:$D$2241,2,0)),"CUIT NO CARGADO")</f>
        <v>ESCOBAR AYLLON SUSANA SANDRA</v>
      </c>
      <c r="H21" s="174">
        <v>27436.17</v>
      </c>
      <c r="I21" s="175">
        <f>IF('Mar-27'!$H21="","",'Mar-27'!$H21*0.21)</f>
        <v>5761.5956999999999</v>
      </c>
      <c r="J21" s="175"/>
      <c r="K21" s="175"/>
      <c r="L21" s="175"/>
      <c r="M21" s="175"/>
      <c r="N21" s="175"/>
      <c r="O21" s="175"/>
      <c r="P21" s="176">
        <f>SUM('Mar-27'!$H21:$O21)</f>
        <v>33197.765699999996</v>
      </c>
      <c r="Q21" s="177">
        <f>IFERROR(IF('Mar-27'!$F21="","-",VLOOKUP('Mar-27'!$F21,Lista_CUIT!$A$1:$D$2241,3,0)),"CUIT NO CARGADO")</f>
        <v>0</v>
      </c>
      <c r="R21" s="177">
        <f>IFERROR(IF('Mar-27'!$F21="","-",VLOOKUP('Mar-27'!$F21,Lista_CUIT!$A$1:$D$2241,4,0)),"CUIT NO CARGADO")</f>
        <v>0</v>
      </c>
    </row>
    <row r="22" spans="1:26" x14ac:dyDescent="0.25">
      <c r="B22" s="239">
        <v>46108</v>
      </c>
      <c r="C22" s="169">
        <v>1</v>
      </c>
      <c r="D22" s="170">
        <v>2</v>
      </c>
      <c r="E22" s="171">
        <v>226</v>
      </c>
      <c r="F22" s="172">
        <v>20125142851</v>
      </c>
      <c r="G22" s="173" t="str">
        <f>IFERROR(IF('Mar-27'!$F22="","-",VLOOKUP('Mar-27'!$F22,Lista_CUIT!$A$1:$D$2241,2,0)),"CUIT NO CARGADO")</f>
        <v>FEDERICI NICOLAS JOSE</v>
      </c>
      <c r="H22" s="174">
        <v>2605542.71</v>
      </c>
      <c r="I22" s="175">
        <f>IF('Mar-27'!$H22="","",'Mar-27'!$H22*0.21)</f>
        <v>547163.96909999999</v>
      </c>
      <c r="J22" s="175"/>
      <c r="K22" s="175"/>
      <c r="L22" s="175"/>
      <c r="M22" s="175"/>
      <c r="N22" s="175"/>
      <c r="O22" s="175"/>
      <c r="P22" s="176">
        <f>SUM('Mar-27'!$H22:$O22)</f>
        <v>3152706.6790999998</v>
      </c>
      <c r="Q22" s="177" t="str">
        <f>IFERROR(IF('Mar-27'!$F22="","-",VLOOKUP('Mar-27'!$F22,Lista_CUIT!$A$1:$D$2241,3,0)),"CUIT NO CARGADO")</f>
        <v>INSUMO</v>
      </c>
      <c r="R22" s="177">
        <f>IFERROR(IF('Mar-27'!$F22="","-",VLOOKUP('Mar-27'!$F22,Lista_CUIT!$A$1:$D$2241,4,0)),"CUIT NO CARGADO")</f>
        <v>0</v>
      </c>
    </row>
    <row r="23" spans="1:26" x14ac:dyDescent="0.25">
      <c r="B23" s="239">
        <v>46111</v>
      </c>
      <c r="C23" s="169">
        <v>1</v>
      </c>
      <c r="D23" s="170">
        <v>106</v>
      </c>
      <c r="E23" s="171">
        <v>935747</v>
      </c>
      <c r="F23" s="172">
        <v>30594494187</v>
      </c>
      <c r="G23" s="173" t="str">
        <f>IFERROR(IF('Mar-27'!$F23="","-",VLOOKUP('Mar-27'!$F23,Lista_CUIT!$A$1:$D$2241,2,0)),"CUIT NO CARGADO")</f>
        <v>FEDERAL EXPRESS CORPORATION</v>
      </c>
      <c r="H23" s="174">
        <v>0</v>
      </c>
      <c r="I23" s="175">
        <f>IF('Mar-27'!$H23="","",'Mar-27'!$H23*0.21)</f>
        <v>0</v>
      </c>
      <c r="J23" s="175"/>
      <c r="K23" s="175"/>
      <c r="L23" s="175"/>
      <c r="M23" s="175"/>
      <c r="N23" s="175"/>
      <c r="O23" s="175">
        <v>213852.64</v>
      </c>
      <c r="P23" s="176">
        <f>SUM('Mar-27'!$H23:$O23)</f>
        <v>213852.64</v>
      </c>
      <c r="Q23" s="177" t="str">
        <f>IFERROR(IF('Mar-27'!$F23="","-",VLOOKUP('Mar-27'!$F23,Lista_CUIT!$A$1:$D$2241,3,0)),"CUIT NO CARGADO")</f>
        <v>Mercaderia</v>
      </c>
      <c r="R23" s="177">
        <f>IFERROR(IF('Mar-27'!$F23="","-",VLOOKUP('Mar-27'!$F23,Lista_CUIT!$A$1:$D$2241,4,0)),"CUIT NO CARGADO")</f>
        <v>0</v>
      </c>
    </row>
    <row r="24" spans="1:26" ht="15.75" customHeight="1" x14ac:dyDescent="0.25">
      <c r="B24" s="239">
        <v>46111</v>
      </c>
      <c r="C24" s="169">
        <v>1</v>
      </c>
      <c r="D24" s="170">
        <v>700</v>
      </c>
      <c r="E24" s="171">
        <v>903697</v>
      </c>
      <c r="F24" s="172">
        <v>30580111315</v>
      </c>
      <c r="G24" s="173" t="str">
        <f>IFERROR(IF('Mar-27'!$F24="","-",VLOOKUP('Mar-27'!$F24,Lista_CUIT!$A$1:$D$2241,2,0)),"CUIT NO CARGADO")</f>
        <v>DHL EXPRESS (ARGENTINA) S.A.</v>
      </c>
      <c r="H24" s="174">
        <v>0</v>
      </c>
      <c r="I24" s="175">
        <f>IF('Mar-27'!$H24="","",'Mar-27'!$H24*0.21)</f>
        <v>0</v>
      </c>
      <c r="J24" s="175"/>
      <c r="K24" s="175"/>
      <c r="L24" s="175"/>
      <c r="M24" s="175"/>
      <c r="N24" s="175"/>
      <c r="O24" s="175">
        <v>236236.7</v>
      </c>
      <c r="P24" s="176">
        <f>SUM('Mar-27'!$H24:$O24)</f>
        <v>236236.7</v>
      </c>
      <c r="Q24" s="177" t="str">
        <f>IFERROR(IF('Mar-27'!$F24="","-",VLOOKUP('Mar-27'!$F24,Lista_CUIT!$A$1:$D$2241,3,0)),"CUIT NO CARGADO")</f>
        <v>Mercaderia</v>
      </c>
      <c r="R24" s="177">
        <f>IFERROR(IF('Mar-27'!$F24="","-",VLOOKUP('Mar-27'!$F24,Lista_CUIT!$A$1:$D$2241,4,0)),"CUIT NO CARGADO")</f>
        <v>0</v>
      </c>
    </row>
    <row r="25" spans="1:26" ht="15.75" customHeight="1" x14ac:dyDescent="0.25">
      <c r="B25" s="239">
        <v>46112</v>
      </c>
      <c r="C25" s="169">
        <v>1</v>
      </c>
      <c r="D25" s="170">
        <v>11</v>
      </c>
      <c r="E25" s="171">
        <v>7219</v>
      </c>
      <c r="F25" s="172">
        <v>30646811062</v>
      </c>
      <c r="G25" s="173" t="str">
        <f>IFERROR(IF('Mar-27'!$F25="","-",VLOOKUP('Mar-27'!$F25,Lista_CUIT!$A$1:$D$2241,2,0)),"CUIT NO CARGADO")</f>
        <v>POLINORTE S A</v>
      </c>
      <c r="H25" s="174">
        <v>103805.79</v>
      </c>
      <c r="I25" s="175">
        <f>IF('Mar-27'!$H25="","",'Mar-27'!$H25*0.21)</f>
        <v>21799.215899999999</v>
      </c>
      <c r="J25" s="175"/>
      <c r="K25" s="175"/>
      <c r="L25" s="175"/>
      <c r="M25" s="175"/>
      <c r="N25" s="175"/>
      <c r="O25" s="175"/>
      <c r="P25" s="176">
        <f>SUM('Mar-27'!$H25:$O25)</f>
        <v>125605.00589999999</v>
      </c>
      <c r="Q25" s="177" t="str">
        <f>IFERROR(IF('Mar-27'!$F25="","-",VLOOKUP('Mar-27'!$F25,Lista_CUIT!$A$1:$D$2241,3,0)),"CUIT NO CARGADO")</f>
        <v>INSUMO</v>
      </c>
      <c r="R25" s="177">
        <f>IFERROR(IF('Mar-27'!$F25="","-",VLOOKUP('Mar-27'!$F25,Lista_CUIT!$A$1:$D$2241,4,0)),"CUIT NO CARGADO")</f>
        <v>0</v>
      </c>
    </row>
    <row r="26" spans="1:26" ht="15.75" customHeight="1" x14ac:dyDescent="0.25">
      <c r="B26" s="239"/>
      <c r="C26" s="169"/>
      <c r="D26" s="170"/>
      <c r="E26" s="171"/>
      <c r="F26" s="172"/>
      <c r="G26" s="173" t="str">
        <f>IFERROR(IF('Mar-27'!$F26="","-",VLOOKUP('Mar-27'!$F26,Lista_CUIT!$A$1:$D$2241,2,0)),"CUIT NO CARGADO")</f>
        <v>-</v>
      </c>
      <c r="H26" s="174"/>
      <c r="I26" s="175" t="str">
        <f>IF('Mar-27'!$H26="","",'Mar-27'!$H26*0.21)</f>
        <v/>
      </c>
      <c r="J26" s="175"/>
      <c r="K26" s="175"/>
      <c r="L26" s="175"/>
      <c r="M26" s="175"/>
      <c r="N26" s="175"/>
      <c r="O26" s="175"/>
      <c r="P26" s="176">
        <f>SUM('Mar-27'!$H26:$O26)</f>
        <v>0</v>
      </c>
      <c r="Q26" s="177" t="str">
        <f>IFERROR(IF('Mar-27'!$F26="","-",VLOOKUP('Mar-27'!$F26,Lista_CUIT!$A$1:$D$2241,3,0)),"CUIT NO CARGADO")</f>
        <v>-</v>
      </c>
      <c r="R26" s="177" t="str">
        <f>IFERROR(IF('Mar-27'!$F26="","-",VLOOKUP('Mar-27'!$F26,Lista_CUIT!$A$1:$D$2241,4,0)),"CUIT NO CARGADO")</f>
        <v>-</v>
      </c>
    </row>
    <row r="27" spans="1:26" ht="15.75" customHeight="1" x14ac:dyDescent="0.25">
      <c r="B27" s="239"/>
      <c r="C27" s="169"/>
      <c r="D27" s="170"/>
      <c r="E27" s="171"/>
      <c r="F27" s="172"/>
      <c r="G27" s="173" t="str">
        <f>IFERROR(IF('Mar-27'!$F27="","-",VLOOKUP('Mar-27'!$F27,Lista_CUIT!$A$1:$D$2241,2,0)),"CUIT NO CARGADO")</f>
        <v>-</v>
      </c>
      <c r="H27" s="174"/>
      <c r="I27" s="175" t="str">
        <f>IF('Mar-27'!$H27="","",'Mar-27'!$H27*0.21)</f>
        <v/>
      </c>
      <c r="J27" s="175"/>
      <c r="K27" s="175"/>
      <c r="L27" s="175"/>
      <c r="M27" s="175"/>
      <c r="N27" s="175"/>
      <c r="O27" s="175"/>
      <c r="P27" s="176">
        <f>SUM('Mar-27'!$H27:$O27)</f>
        <v>0</v>
      </c>
      <c r="Q27" s="177" t="str">
        <f>IFERROR(IF('Mar-27'!$F27="","-",VLOOKUP('Mar-27'!$F27,Lista_CUIT!$A$1:$D$2241,3,0)),"CUIT NO CARGADO")</f>
        <v>-</v>
      </c>
      <c r="R27" s="177" t="str">
        <f>IFERROR(IF('Mar-27'!$F27="","-",VLOOKUP('Mar-27'!$F27,Lista_CUIT!$A$1:$D$2241,4,0)),"CUIT NO CARGADO")</f>
        <v>-</v>
      </c>
    </row>
    <row r="28" spans="1:26" ht="15.75" customHeight="1" x14ac:dyDescent="0.25">
      <c r="B28" s="239"/>
      <c r="C28" s="169"/>
      <c r="D28" s="170"/>
      <c r="E28" s="171"/>
      <c r="F28" s="172"/>
      <c r="G28" s="173" t="str">
        <f>IFERROR(IF('Mar-27'!$F28="","-",VLOOKUP('Mar-27'!$F28,Lista_CUIT!$A$1:$D$2241,2,0)),"CUIT NO CARGADO")</f>
        <v>-</v>
      </c>
      <c r="H28" s="174"/>
      <c r="I28" s="175" t="str">
        <f>IF('Mar-27'!$H28="","",'Mar-27'!$H28*0.21)</f>
        <v/>
      </c>
      <c r="J28" s="175"/>
      <c r="K28" s="175"/>
      <c r="L28" s="175"/>
      <c r="M28" s="175"/>
      <c r="N28" s="175"/>
      <c r="O28" s="175"/>
      <c r="P28" s="176">
        <f>SUM('Mar-27'!$H28:$O28)</f>
        <v>0</v>
      </c>
      <c r="Q28" s="177" t="str">
        <f>IFERROR(IF('Mar-27'!$F28="","-",VLOOKUP('Mar-27'!$F28,Lista_CUIT!$A$1:$D$2241,3,0)),"CUIT NO CARGADO")</f>
        <v>-</v>
      </c>
      <c r="R28" s="177" t="str">
        <f>IFERROR(IF('Mar-27'!$F28="","-",VLOOKUP('Mar-27'!$F28,Lista_CUIT!$A$1:$D$2241,4,0)),"CUIT NO CARGADO")</f>
        <v>-</v>
      </c>
    </row>
    <row r="29" spans="1:26" ht="15.75" customHeight="1" x14ac:dyDescent="0.25">
      <c r="B29" s="239"/>
      <c r="C29" s="169"/>
      <c r="D29" s="170"/>
      <c r="E29" s="171"/>
      <c r="F29" s="172"/>
      <c r="G29" s="173" t="str">
        <f>IFERROR(IF('Mar-27'!$F29="","-",VLOOKUP('Mar-27'!$F29,Lista_CUIT!$A$1:$D$2241,2,0)),"CUIT NO CARGADO")</f>
        <v>-</v>
      </c>
      <c r="H29" s="174"/>
      <c r="I29" s="175" t="str">
        <f>IF('Mar-27'!$H29="","",'Mar-27'!$H29*0.21)</f>
        <v/>
      </c>
      <c r="J29" s="175"/>
      <c r="K29" s="175"/>
      <c r="L29" s="175"/>
      <c r="M29" s="175"/>
      <c r="N29" s="175"/>
      <c r="O29" s="175"/>
      <c r="P29" s="176">
        <f>SUM('Mar-27'!$H29:$O29)</f>
        <v>0</v>
      </c>
      <c r="Q29" s="177" t="str">
        <f>IFERROR(IF('Mar-27'!$F29="","-",VLOOKUP('Mar-27'!$F29,Lista_CUIT!$A$1:$D$2241,3,0)),"CUIT NO CARGADO")</f>
        <v>-</v>
      </c>
      <c r="R29" s="177" t="str">
        <f>IFERROR(IF('Mar-27'!$F29="","-",VLOOKUP('Mar-27'!$F29,Lista_CUIT!$A$1:$D$2241,4,0)),"CUIT NO CARGADO")</f>
        <v>-</v>
      </c>
    </row>
    <row r="30" spans="1:26" ht="15.75" customHeight="1" x14ac:dyDescent="0.25">
      <c r="B30" s="239"/>
      <c r="C30" s="169"/>
      <c r="D30" s="170"/>
      <c r="E30" s="171"/>
      <c r="F30" s="172"/>
      <c r="G30" s="173" t="str">
        <f>IFERROR(IF('Mar-27'!$F30="","-",VLOOKUP('Mar-27'!$F30,Lista_CUIT!$A$1:$D$2241,2,0)),"CUIT NO CARGADO")</f>
        <v>-</v>
      </c>
      <c r="H30" s="174"/>
      <c r="I30" s="175" t="str">
        <f>IF('Mar-27'!$H30="","",'Mar-27'!$H30*0.21)</f>
        <v/>
      </c>
      <c r="J30" s="175"/>
      <c r="K30" s="175"/>
      <c r="L30" s="175"/>
      <c r="M30" s="175"/>
      <c r="N30" s="175"/>
      <c r="O30" s="175"/>
      <c r="P30" s="176">
        <f>SUM('Mar-27'!$H30:$O30)</f>
        <v>0</v>
      </c>
      <c r="Q30" s="177" t="str">
        <f>IFERROR(IF('Mar-27'!$F30="","-",VLOOKUP('Mar-27'!$F30,Lista_CUIT!$A$1:$D$2241,3,0)),"CUIT NO CARGADO")</f>
        <v>-</v>
      </c>
      <c r="R30" s="177" t="str">
        <f>IFERROR(IF('Mar-27'!$F30="","-",VLOOKUP('Mar-27'!$F30,Lista_CUIT!$A$1:$D$2241,4,0)),"CUIT NO CARGADO")</f>
        <v>-</v>
      </c>
    </row>
    <row r="31" spans="1:26" ht="18" customHeight="1" x14ac:dyDescent="0.25">
      <c r="A31" s="43"/>
      <c r="B31" s="239"/>
      <c r="C31" s="169"/>
      <c r="D31" s="170"/>
      <c r="E31" s="171"/>
      <c r="F31" s="172"/>
      <c r="G31" s="173" t="str">
        <f>IFERROR(IF('Mar-27'!$F31="","-",VLOOKUP('Mar-27'!$F31,Lista_CUIT!$A$1:$D$2241,2,0)),"CUIT NO CARGADO")</f>
        <v>-</v>
      </c>
      <c r="H31" s="174"/>
      <c r="I31" s="175" t="str">
        <f>IF('Mar-27'!$H31="","",'Mar-27'!$H31*0.21)</f>
        <v/>
      </c>
      <c r="J31" s="175"/>
      <c r="K31" s="175"/>
      <c r="L31" s="175"/>
      <c r="M31" s="175"/>
      <c r="N31" s="175"/>
      <c r="O31" s="175"/>
      <c r="P31" s="176">
        <f>SUM('Mar-27'!$H31:$O31)</f>
        <v>0</v>
      </c>
      <c r="Q31" s="177" t="str">
        <f>IFERROR(IF('Mar-27'!$F31="","-",VLOOKUP('Mar-27'!$F31,Lista_CUIT!$A$1:$D$2241,3,0)),"CUIT NO CARGADO")</f>
        <v>-</v>
      </c>
      <c r="R31" s="177" t="str">
        <f>IFERROR(IF('Mar-27'!$F31="","-",VLOOKUP('Mar-27'!$F31,Lista_CUIT!$A$1:$D$2241,4,0)),"CUIT NO CARGADO")</f>
        <v>-</v>
      </c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B32" s="239"/>
      <c r="C32" s="169"/>
      <c r="D32" s="170"/>
      <c r="E32" s="171"/>
      <c r="F32" s="172"/>
      <c r="G32" s="173" t="str">
        <f>IFERROR(IF('Mar-27'!$F32="","-",VLOOKUP('Mar-27'!$F32,Lista_CUIT!$A$1:$D$2241,2,0)),"CUIT NO CARGADO")</f>
        <v>-</v>
      </c>
      <c r="H32" s="174"/>
      <c r="I32" s="175" t="str">
        <f>IF('Mar-27'!$H32="","",'Mar-27'!$H32*0.21)</f>
        <v/>
      </c>
      <c r="J32" s="175"/>
      <c r="K32" s="175"/>
      <c r="L32" s="175"/>
      <c r="M32" s="175"/>
      <c r="N32" s="175"/>
      <c r="O32" s="175"/>
      <c r="P32" s="176">
        <f>SUM('Mar-27'!$H32:$O32)</f>
        <v>0</v>
      </c>
      <c r="Q32" s="177" t="str">
        <f>IFERROR(IF('Mar-27'!$F32="","-",VLOOKUP('Mar-27'!$F32,Lista_CUIT!$A$1:$D$2241,3,0)),"CUIT NO CARGADO")</f>
        <v>-</v>
      </c>
      <c r="R32" s="177" t="str">
        <f>IFERROR(IF('Mar-27'!$F32="","-",VLOOKUP('Mar-27'!$F32,Lista_CUIT!$A$1:$D$2241,4,0)),"CUIT NO CARGADO")</f>
        <v>-</v>
      </c>
    </row>
    <row r="33" spans="2:18" ht="15.75" customHeight="1" x14ac:dyDescent="0.25">
      <c r="B33" s="239"/>
      <c r="C33" s="169"/>
      <c r="D33" s="170"/>
      <c r="E33" s="171"/>
      <c r="F33" s="172"/>
      <c r="G33" s="173" t="str">
        <f>IFERROR(IF('Mar-27'!$F33="","-",VLOOKUP('Mar-27'!$F33,Lista_CUIT!$A$1:$D$2241,2,0)),"CUIT NO CARGADO")</f>
        <v>-</v>
      </c>
      <c r="H33" s="174"/>
      <c r="I33" s="175" t="str">
        <f>IF('Mar-27'!$H33="","",'Mar-27'!$H33*0.21)</f>
        <v/>
      </c>
      <c r="J33" s="175"/>
      <c r="K33" s="175"/>
      <c r="L33" s="175"/>
      <c r="M33" s="175"/>
      <c r="N33" s="175"/>
      <c r="O33" s="175"/>
      <c r="P33" s="176">
        <f>SUM('Mar-27'!$H33:$O33)</f>
        <v>0</v>
      </c>
      <c r="Q33" s="177" t="str">
        <f>IFERROR(IF('Mar-27'!$F33="","-",VLOOKUP('Mar-27'!$F33,Lista_CUIT!$A$1:$D$2241,3,0)),"CUIT NO CARGADO")</f>
        <v>-</v>
      </c>
      <c r="R33" s="177" t="str">
        <f>IFERROR(IF('Mar-27'!$F33="","-",VLOOKUP('Mar-27'!$F33,Lista_CUIT!$A$1:$D$2241,4,0)),"CUIT NO CARGADO")</f>
        <v>-</v>
      </c>
    </row>
    <row r="34" spans="2:18" ht="15.75" customHeight="1" x14ac:dyDescent="0.25">
      <c r="B34" s="239"/>
      <c r="C34" s="169"/>
      <c r="D34" s="170"/>
      <c r="E34" s="171"/>
      <c r="F34" s="172"/>
      <c r="G34" s="173" t="str">
        <f>IFERROR(IF('Mar-27'!$F34="","-",VLOOKUP('Mar-27'!$F34,Lista_CUIT!$A$1:$D$2241,2,0)),"CUIT NO CARGADO")</f>
        <v>-</v>
      </c>
      <c r="H34" s="174"/>
      <c r="I34" s="175" t="str">
        <f>IF('Mar-27'!$H34="","",'Mar-27'!$H34*0.21)</f>
        <v/>
      </c>
      <c r="J34" s="175"/>
      <c r="K34" s="175"/>
      <c r="L34" s="175"/>
      <c r="M34" s="175"/>
      <c r="N34" s="175"/>
      <c r="O34" s="175"/>
      <c r="P34" s="176">
        <f>SUM('Mar-27'!$H34:$O34)</f>
        <v>0</v>
      </c>
      <c r="Q34" s="177" t="str">
        <f>IFERROR(IF('Mar-27'!$F34="","-",VLOOKUP('Mar-27'!$F34,Lista_CUIT!$A$1:$D$2241,3,0)),"CUIT NO CARGADO")</f>
        <v>-</v>
      </c>
      <c r="R34" s="177" t="str">
        <f>IFERROR(IF('Mar-27'!$F34="","-",VLOOKUP('Mar-27'!$F34,Lista_CUIT!$A$1:$D$2241,4,0)),"CUIT NO CARGADO")</f>
        <v>-</v>
      </c>
    </row>
    <row r="35" spans="2:18" ht="14.25" customHeight="1" x14ac:dyDescent="0.25">
      <c r="B35" s="239"/>
      <c r="C35" s="169"/>
      <c r="D35" s="170"/>
      <c r="E35" s="171"/>
      <c r="F35" s="172"/>
      <c r="G35" s="173" t="str">
        <f>IFERROR(IF('Mar-27'!$F35="","-",VLOOKUP('Mar-27'!$F35,Lista_CUIT!$A$1:$D$2241,2,0)),"CUIT NO CARGADO")</f>
        <v>-</v>
      </c>
      <c r="H35" s="174"/>
      <c r="I35" s="175" t="str">
        <f>IF('Mar-27'!$H35="","",'Mar-27'!$H35*0.21)</f>
        <v/>
      </c>
      <c r="J35" s="175"/>
      <c r="K35" s="175"/>
      <c r="L35" s="175"/>
      <c r="M35" s="175"/>
      <c r="N35" s="175"/>
      <c r="O35" s="175"/>
      <c r="P35" s="176">
        <f>SUM('Mar-27'!$H35:$O35)</f>
        <v>0</v>
      </c>
      <c r="Q35" s="177" t="str">
        <f>IFERROR(IF('Mar-27'!$F35="","-",VLOOKUP('Mar-27'!$F35,Lista_CUIT!$A$1:$D$2241,3,0)),"CUIT NO CARGADO")</f>
        <v>-</v>
      </c>
      <c r="R35" s="177" t="str">
        <f>IFERROR(IF('Mar-27'!$F35="","-",VLOOKUP('Mar-27'!$F35,Lista_CUIT!$A$1:$D$2241,4,0)),"CUIT NO CARGADO")</f>
        <v>-</v>
      </c>
    </row>
    <row r="36" spans="2:18" ht="15.75" customHeight="1" x14ac:dyDescent="0.25">
      <c r="B36" s="239"/>
      <c r="C36" s="169"/>
      <c r="D36" s="170"/>
      <c r="E36" s="171"/>
      <c r="F36" s="172"/>
      <c r="G36" s="173" t="str">
        <f>IFERROR(IF('Mar-27'!$F36="","-",VLOOKUP('Mar-27'!$F36,Lista_CUIT!$A$1:$D$2241,2,0)),"CUIT NO CARGADO")</f>
        <v>-</v>
      </c>
      <c r="H36" s="174"/>
      <c r="I36" s="175" t="str">
        <f>IF('Mar-27'!$H36="","",'Mar-27'!$H36*0.21)</f>
        <v/>
      </c>
      <c r="J36" s="175"/>
      <c r="K36" s="175"/>
      <c r="L36" s="175"/>
      <c r="M36" s="175"/>
      <c r="N36" s="175"/>
      <c r="O36" s="175"/>
      <c r="P36" s="176">
        <f>SUM('Mar-27'!$H36:$O36)</f>
        <v>0</v>
      </c>
      <c r="Q36" s="177" t="str">
        <f>IFERROR(IF('Mar-27'!$F36="","-",VLOOKUP('Mar-27'!$F36,Lista_CUIT!$A$1:$D$2241,3,0)),"CUIT NO CARGADO")</f>
        <v>-</v>
      </c>
      <c r="R36" s="177" t="str">
        <f>IFERROR(IF('Mar-27'!$F36="","-",VLOOKUP('Mar-27'!$F36,Lista_CUIT!$A$1:$D$2241,4,0)),"CUIT NO CARGADO")</f>
        <v>-</v>
      </c>
    </row>
    <row r="37" spans="2:18" ht="15.75" customHeight="1" x14ac:dyDescent="0.25">
      <c r="B37" s="239"/>
      <c r="C37" s="169"/>
      <c r="D37" s="170"/>
      <c r="E37" s="171"/>
      <c r="F37" s="172"/>
      <c r="G37" s="173" t="str">
        <f>IFERROR(IF('Mar-27'!$F37="","-",VLOOKUP('Mar-27'!$F37,Lista_CUIT!$A$1:$D$2241,2,0)),"CUIT NO CARGADO")</f>
        <v>-</v>
      </c>
      <c r="H37" s="174"/>
      <c r="I37" s="175" t="str">
        <f>IF('Mar-27'!$H37="","",'Mar-27'!$H37*0.21)</f>
        <v/>
      </c>
      <c r="J37" s="175"/>
      <c r="K37" s="175"/>
      <c r="L37" s="175"/>
      <c r="M37" s="175"/>
      <c r="N37" s="175"/>
      <c r="O37" s="175"/>
      <c r="P37" s="176">
        <f>SUM('Mar-27'!$H37:$O37)</f>
        <v>0</v>
      </c>
      <c r="Q37" s="177" t="str">
        <f>IFERROR(IF('Mar-27'!$F37="","-",VLOOKUP('Mar-27'!$F37,Lista_CUIT!$A$1:$D$2241,3,0)),"CUIT NO CARGADO")</f>
        <v>-</v>
      </c>
      <c r="R37" s="177" t="str">
        <f>IFERROR(IF('Mar-27'!$F37="","-",VLOOKUP('Mar-27'!$F37,Lista_CUIT!$A$1:$D$2241,4,0)),"CUIT NO CARGADO")</f>
        <v>-</v>
      </c>
    </row>
    <row r="38" spans="2:18" ht="14.25" customHeight="1" x14ac:dyDescent="0.25">
      <c r="B38" s="239"/>
      <c r="C38" s="169"/>
      <c r="D38" s="170"/>
      <c r="E38" s="171"/>
      <c r="F38" s="172"/>
      <c r="G38" s="173" t="str">
        <f>IFERROR(IF('Mar-27'!$F38="","-",VLOOKUP('Mar-27'!$F38,Lista_CUIT!$A$1:$D$2241,2,0)),"CUIT NO CARGADO")</f>
        <v>-</v>
      </c>
      <c r="H38" s="174"/>
      <c r="I38" s="175" t="str">
        <f>IF('Mar-27'!$H38="","",'Mar-27'!$H38*0.21)</f>
        <v/>
      </c>
      <c r="J38" s="175"/>
      <c r="K38" s="175"/>
      <c r="L38" s="175"/>
      <c r="M38" s="175"/>
      <c r="N38" s="175"/>
      <c r="O38" s="175"/>
      <c r="P38" s="176">
        <f>SUM('Mar-27'!$H38:$O38)</f>
        <v>0</v>
      </c>
      <c r="Q38" s="177" t="str">
        <f>IFERROR(IF('Mar-27'!$F38="","-",VLOOKUP('Mar-27'!$F38,Lista_CUIT!$A$1:$D$2241,3,0)),"CUIT NO CARGADO")</f>
        <v>-</v>
      </c>
      <c r="R38" s="177" t="str">
        <f>IFERROR(IF('Mar-27'!$F38="","-",VLOOKUP('Mar-27'!$F38,Lista_CUIT!$A$1:$D$2241,4,0)),"CUIT NO CARGADO")</f>
        <v>-</v>
      </c>
    </row>
    <row r="39" spans="2:18" ht="14.25" customHeight="1" x14ac:dyDescent="0.25">
      <c r="B39" s="21" t="s">
        <v>1336</v>
      </c>
      <c r="C39" s="21"/>
      <c r="D39" s="21"/>
      <c r="E39" s="21" t="s">
        <v>1093</v>
      </c>
      <c r="F39" s="21"/>
      <c r="G39" s="17"/>
      <c r="H39" s="18">
        <f>SUBTOTAL(109,'Mar-27'!$H$9:$H$38)</f>
        <v>3992875.9699999997</v>
      </c>
      <c r="I39" s="18">
        <f>SUBTOTAL(109,'Mar-27'!$I$9:$I$38)</f>
        <v>788687.23919999995</v>
      </c>
      <c r="J39" s="18">
        <f>SUBTOTAL(109,'Mar-27'!$J$9:$J$38)</f>
        <v>0</v>
      </c>
      <c r="K39" s="18">
        <f>SUBTOTAL(109,'Mar-27'!$K$9:$K$38)</f>
        <v>24908.350000000002</v>
      </c>
      <c r="L39" s="18">
        <f>SUBTOTAL(109,'Mar-27'!$L$9:$L$38)</f>
        <v>0</v>
      </c>
      <c r="M39" s="18">
        <f>SUBTOTAL(109,'Mar-27'!$M$9:$M$38)</f>
        <v>0</v>
      </c>
      <c r="N39" s="18">
        <f>SUBTOTAL(109,'Mar-27'!$N$9:$N$38)</f>
        <v>0</v>
      </c>
      <c r="O39" s="18">
        <f>SUBTOTAL(109,'Mar-27'!$O$9:$O$38)</f>
        <v>1096906.82</v>
      </c>
      <c r="P39" s="18">
        <f>SUBTOTAL(109,'Mar-27'!$P$9:$P$38)</f>
        <v>5903378.3792000003</v>
      </c>
      <c r="Q39" s="21"/>
      <c r="R39" s="21"/>
    </row>
    <row r="40" spans="2:18" ht="15" customHeight="1" x14ac:dyDescent="0.25">
      <c r="B40" s="12"/>
      <c r="C40" s="13"/>
      <c r="D40" s="14"/>
      <c r="E40" s="15"/>
      <c r="F40" s="16"/>
      <c r="G40" s="17"/>
      <c r="H40" s="18"/>
      <c r="I40" s="19"/>
      <c r="J40" s="19"/>
      <c r="K40" s="19"/>
      <c r="L40" s="19"/>
      <c r="M40" s="19"/>
      <c r="N40" s="19"/>
      <c r="O40" s="19"/>
      <c r="P40" s="20"/>
      <c r="Q40" s="21"/>
      <c r="R40" s="21"/>
    </row>
    <row r="41" spans="2:18" ht="15" customHeight="1" x14ac:dyDescent="0.25">
      <c r="B41" s="12"/>
      <c r="C41" s="13"/>
      <c r="D41" s="14"/>
      <c r="E41" s="15"/>
      <c r="F41" s="16"/>
      <c r="G41" s="17"/>
      <c r="H41" s="18"/>
      <c r="I41" s="19"/>
      <c r="J41" s="19"/>
      <c r="K41" s="19"/>
      <c r="L41" s="19"/>
      <c r="M41" s="19"/>
      <c r="N41" s="19"/>
      <c r="O41" s="19"/>
      <c r="P41" s="20"/>
      <c r="Q41" s="21"/>
      <c r="R41" s="21"/>
    </row>
    <row r="42" spans="2:18" ht="15" customHeight="1" x14ac:dyDescent="0.25">
      <c r="B42" s="12"/>
      <c r="C42" s="13"/>
      <c r="D42" s="14"/>
      <c r="E42" s="15"/>
      <c r="F42" s="16"/>
      <c r="G42" s="17"/>
      <c r="H42" s="18"/>
      <c r="I42" s="19"/>
      <c r="J42" s="19"/>
      <c r="K42" s="19"/>
      <c r="L42" s="19"/>
      <c r="M42" s="19"/>
      <c r="N42" s="19"/>
      <c r="O42" s="19"/>
      <c r="P42" s="20"/>
      <c r="Q42" s="21"/>
      <c r="R42" s="21"/>
    </row>
    <row r="43" spans="2:18" ht="15" customHeight="1" x14ac:dyDescent="0.25">
      <c r="B43" s="12"/>
      <c r="C43" s="13"/>
      <c r="D43" s="14"/>
      <c r="E43" s="15"/>
      <c r="F43" s="16"/>
      <c r="G43" s="17"/>
      <c r="H43" s="18"/>
      <c r="I43" s="19"/>
      <c r="J43" s="19"/>
      <c r="K43" s="19"/>
      <c r="L43" s="19"/>
    </row>
    <row r="44" spans="2:18" ht="15" customHeight="1" x14ac:dyDescent="0.25">
      <c r="D44" s="456" t="s">
        <v>1337</v>
      </c>
      <c r="E44" s="448"/>
      <c r="F44" s="448"/>
      <c r="G44" s="448"/>
      <c r="H44" s="448"/>
      <c r="I44" s="448"/>
      <c r="J44" s="448"/>
      <c r="K44" s="448"/>
      <c r="L44" s="449"/>
    </row>
    <row r="45" spans="2:18" ht="23.25" customHeight="1" x14ac:dyDescent="0.25">
      <c r="D45" s="24" t="s">
        <v>1322</v>
      </c>
      <c r="E45" s="25" t="s">
        <v>1338</v>
      </c>
      <c r="F45" s="25" t="s">
        <v>1339</v>
      </c>
      <c r="G45" s="25" t="s">
        <v>1340</v>
      </c>
      <c r="H45" s="25" t="s">
        <v>1341</v>
      </c>
      <c r="I45" s="25" t="s">
        <v>1329</v>
      </c>
      <c r="J45" s="26" t="s">
        <v>1342</v>
      </c>
      <c r="K45" s="26" t="s">
        <v>1343</v>
      </c>
      <c r="L45" s="27" t="s">
        <v>1344</v>
      </c>
    </row>
    <row r="46" spans="2:18" ht="15.75" customHeight="1" x14ac:dyDescent="0.25">
      <c r="D46" s="239"/>
      <c r="E46" s="191"/>
      <c r="F46" s="191" t="s">
        <v>1372</v>
      </c>
      <c r="G46" s="192">
        <f>16897.9/0.21</f>
        <v>80466.190476190488</v>
      </c>
      <c r="H46" s="192">
        <f>'Mar-27'!$G46*0.21</f>
        <v>16897.900000000001</v>
      </c>
      <c r="I46" s="192"/>
      <c r="J46" s="192"/>
      <c r="K46" s="192"/>
      <c r="L46" s="192"/>
    </row>
    <row r="47" spans="2:18" ht="15.75" customHeight="1" x14ac:dyDescent="0.25">
      <c r="D47" s="239"/>
      <c r="E47" s="191"/>
      <c r="F47" s="191"/>
      <c r="G47" s="192"/>
      <c r="H47" s="192">
        <f>'Mar-27'!$G47*0.21</f>
        <v>0</v>
      </c>
      <c r="I47" s="192"/>
      <c r="J47" s="192"/>
      <c r="K47" s="192"/>
      <c r="L47" s="192"/>
    </row>
    <row r="48" spans="2:18" ht="15.75" customHeight="1" x14ac:dyDescent="0.25">
      <c r="D48" s="239"/>
      <c r="E48" s="191"/>
      <c r="F48" s="191"/>
      <c r="G48" s="192"/>
      <c r="H48" s="192">
        <f>'Mar-27'!$G48*0.21</f>
        <v>0</v>
      </c>
      <c r="I48" s="192"/>
      <c r="J48" s="192"/>
      <c r="K48" s="192"/>
      <c r="L48" s="192"/>
    </row>
    <row r="49" spans="4:12" ht="15.75" customHeight="1" x14ac:dyDescent="0.25">
      <c r="D49" s="239"/>
      <c r="E49" s="191"/>
      <c r="F49" s="191"/>
      <c r="G49" s="192"/>
      <c r="H49" s="192">
        <f>'Mar-27'!$G49*0.21</f>
        <v>0</v>
      </c>
      <c r="I49" s="192"/>
      <c r="J49" s="192"/>
      <c r="K49" s="192"/>
      <c r="L49" s="192"/>
    </row>
    <row r="50" spans="4:12" ht="15.75" customHeight="1" x14ac:dyDescent="0.25">
      <c r="D50" s="239"/>
      <c r="E50" s="191"/>
      <c r="F50" s="191"/>
      <c r="G50" s="192"/>
      <c r="H50" s="192">
        <f>'Mar-27'!$G50*0.21</f>
        <v>0</v>
      </c>
      <c r="I50" s="192"/>
      <c r="J50" s="192"/>
      <c r="K50" s="192"/>
      <c r="L50" s="192"/>
    </row>
    <row r="51" spans="4:12" ht="15.75" customHeight="1" x14ac:dyDescent="0.25">
      <c r="D51" s="239"/>
      <c r="E51" s="191"/>
      <c r="F51" s="191"/>
      <c r="G51" s="192"/>
      <c r="H51" s="192">
        <f>'Mar-27'!$G51*0.21</f>
        <v>0</v>
      </c>
      <c r="I51" s="192"/>
      <c r="J51" s="192"/>
      <c r="K51" s="192"/>
      <c r="L51" s="192"/>
    </row>
    <row r="52" spans="4:12" ht="15.75" customHeight="1" x14ac:dyDescent="0.25">
      <c r="D52" s="239"/>
      <c r="E52" s="191"/>
      <c r="F52" s="191"/>
      <c r="G52" s="192"/>
      <c r="H52" s="192">
        <f>'Mar-27'!$G52*0.21</f>
        <v>0</v>
      </c>
      <c r="I52" s="192"/>
      <c r="J52" s="192"/>
      <c r="K52" s="192"/>
      <c r="L52" s="192"/>
    </row>
    <row r="53" spans="4:12" ht="15.75" customHeight="1" x14ac:dyDescent="0.25">
      <c r="D53" s="239"/>
      <c r="E53" s="191"/>
      <c r="F53" s="191"/>
      <c r="G53" s="192"/>
      <c r="H53" s="192">
        <f>'Mar-27'!$G53*0.21</f>
        <v>0</v>
      </c>
      <c r="I53" s="192"/>
      <c r="J53" s="192"/>
      <c r="K53" s="192"/>
      <c r="L53" s="192"/>
    </row>
    <row r="54" spans="4:12" ht="15.75" customHeight="1" x14ac:dyDescent="0.25">
      <c r="D54" s="21" t="s">
        <v>1336</v>
      </c>
      <c r="E54" s="29"/>
      <c r="F54" s="29"/>
      <c r="G54" s="31">
        <f>SUBTOTAL(109,'Mar-27'!$G$46:$G$53)</f>
        <v>80466.190476190488</v>
      </c>
      <c r="H54" s="31">
        <f>SUBTOTAL(109,'Mar-27'!$H$46:$H$53)</f>
        <v>16897.900000000001</v>
      </c>
      <c r="I54" s="31">
        <f>SUBTOTAL(109,'Mar-27'!$I$46:$I$53)</f>
        <v>0</v>
      </c>
      <c r="J54" s="31">
        <f>SUBTOTAL(109,'Mar-27'!$J$46:$J$53)</f>
        <v>0</v>
      </c>
      <c r="K54" s="31">
        <f>SUBTOTAL(109,'Mar-27'!$K$46:$K$53)</f>
        <v>0</v>
      </c>
      <c r="L54" s="31">
        <f>SUBTOTAL(109,'Mar-27'!$L$46:$L$53)</f>
        <v>0</v>
      </c>
    </row>
    <row r="55" spans="4:12" ht="15.75" customHeight="1" x14ac:dyDescent="0.25"/>
    <row r="56" spans="4:12" ht="15.75" customHeight="1" x14ac:dyDescent="0.25"/>
    <row r="57" spans="4:12" ht="15.75" customHeight="1" x14ac:dyDescent="0.25"/>
    <row r="58" spans="4:12" ht="15.75" customHeight="1" x14ac:dyDescent="0.25">
      <c r="D58" s="456" t="s">
        <v>1348</v>
      </c>
      <c r="E58" s="448"/>
      <c r="F58" s="448"/>
      <c r="G58" s="448"/>
      <c r="H58" s="448"/>
      <c r="I58" s="448"/>
      <c r="J58" s="448"/>
      <c r="K58" s="449"/>
    </row>
    <row r="59" spans="4:12" ht="15.75" customHeight="1" x14ac:dyDescent="0.25">
      <c r="D59" s="35" t="s">
        <v>1322</v>
      </c>
      <c r="E59" s="35" t="s">
        <v>1324</v>
      </c>
      <c r="F59" s="35" t="s">
        <v>1349</v>
      </c>
      <c r="G59" s="35" t="s">
        <v>0</v>
      </c>
      <c r="H59" s="35" t="s">
        <v>1</v>
      </c>
      <c r="I59" s="36" t="s">
        <v>1334</v>
      </c>
      <c r="J59" s="35" t="s">
        <v>1350</v>
      </c>
      <c r="K59" s="35" t="s">
        <v>1335</v>
      </c>
    </row>
    <row r="60" spans="4:12" ht="15.75" customHeight="1" x14ac:dyDescent="0.25">
      <c r="D60" s="239">
        <v>46083</v>
      </c>
      <c r="E60" s="170">
        <v>4</v>
      </c>
      <c r="F60" s="171">
        <v>142</v>
      </c>
      <c r="G60" s="172">
        <v>20086277523</v>
      </c>
      <c r="H60" s="201" t="str">
        <f>IFERROR(IF('Mar-27'!$G60="","-",VLOOKUP('Mar-27'!$G60,Lista_CUIT!$A$1:$D$2241,2,0)),"CUIT NO CARGADO")</f>
        <v>ESTUDIO BOTINDARI</v>
      </c>
      <c r="I60" s="192">
        <v>520000</v>
      </c>
      <c r="J60" s="203" t="str">
        <f>IFERROR(IF('Mar-27'!$G60="","-",VLOOKUP('Mar-27'!$G60,Lista_CUIT!$A$1:$D$2241,3,0)),"CUIT NO CARGADO")</f>
        <v>Honorarios Contables</v>
      </c>
      <c r="K60" s="203">
        <f>IFERROR(IF('Mar-27'!$G60="","-",VLOOKUP('Mar-27'!$G60,Lista_CUIT!$A$1:$D$2241,4,0)),"CUIT NO CARGADO")</f>
        <v>0</v>
      </c>
    </row>
    <row r="61" spans="4:12" ht="15.75" customHeight="1" x14ac:dyDescent="0.25">
      <c r="D61" s="239">
        <v>46083</v>
      </c>
      <c r="E61" s="170">
        <v>2</v>
      </c>
      <c r="F61" s="171">
        <v>309</v>
      </c>
      <c r="G61" s="172">
        <v>27173820866</v>
      </c>
      <c r="H61" s="201" t="str">
        <f>IFERROR(IF('Mar-27'!$G61="","-",VLOOKUP('Mar-27'!$G61,Lista_CUIT!$A$1:$D$2241,2,0)),"CUIT NO CARGADO")</f>
        <v>FREIER SANDRA DANIELA</v>
      </c>
      <c r="I61" s="192">
        <v>1610000</v>
      </c>
      <c r="J61" s="203" t="str">
        <f>IFERROR(IF('Mar-27'!$G61="","-",VLOOKUP('Mar-27'!$G61,Lista_CUIT!$A$1:$D$2241,3,0)),"CUIT NO CARGADO")</f>
        <v>Honorarios Prof</v>
      </c>
      <c r="K61" s="203">
        <f>IFERROR(IF('Mar-27'!$G61="","-",VLOOKUP('Mar-27'!$G61,Lista_CUIT!$A$1:$D$2241,4,0)),"CUIT NO CARGADO")</f>
        <v>0</v>
      </c>
    </row>
    <row r="62" spans="4:12" ht="15.75" customHeight="1" x14ac:dyDescent="0.25">
      <c r="D62" s="239">
        <v>46083</v>
      </c>
      <c r="E62" s="170">
        <v>2</v>
      </c>
      <c r="F62" s="171">
        <v>193</v>
      </c>
      <c r="G62" s="172">
        <v>20136544625</v>
      </c>
      <c r="H62" s="201" t="str">
        <f>IFERROR(IF('Mar-27'!$G62="","-",VLOOKUP('Mar-27'!$G62,Lista_CUIT!$A$1:$D$2241,2,0)),"CUIT NO CARGADO")</f>
        <v>RODRIGUEZ DE LA FUEN HECTOR MARCELO</v>
      </c>
      <c r="I62" s="192">
        <v>1392000</v>
      </c>
      <c r="J62" s="203" t="str">
        <f>IFERROR(IF('Mar-27'!$G62="","-",VLOOKUP('Mar-27'!$G62,Lista_CUIT!$A$1:$D$2241,3,0)),"CUIT NO CARGADO")</f>
        <v>Honorarios Admin</v>
      </c>
      <c r="K62" s="203">
        <f>IFERROR(IF('Mar-27'!$G62="","-",VLOOKUP('Mar-27'!$G62,Lista_CUIT!$A$1:$D$2241,4,0)),"CUIT NO CARGADO")</f>
        <v>0</v>
      </c>
    </row>
    <row r="63" spans="4:12" ht="15.75" customHeight="1" x14ac:dyDescent="0.25">
      <c r="D63" s="239">
        <v>46083</v>
      </c>
      <c r="E63" s="170">
        <v>2</v>
      </c>
      <c r="F63" s="171">
        <v>29</v>
      </c>
      <c r="G63" s="172">
        <v>23118167279</v>
      </c>
      <c r="H63" s="201" t="str">
        <f>IFERROR(IF('Mar-27'!$G63="","-",VLOOKUP('Mar-27'!$G63,Lista_CUIT!$A$1:$D$2241,2,0)),"CUIT NO CARGADO")</f>
        <v>ABELEDO ENRIQUE JUAN</v>
      </c>
      <c r="I63" s="192">
        <v>2610000</v>
      </c>
      <c r="J63" s="203" t="str">
        <f>IFERROR(IF('Mar-27'!$G63="","-",VLOOKUP('Mar-27'!$G63,Lista_CUIT!$A$1:$D$2241,3,0)),"CUIT NO CARGADO")</f>
        <v>Honorarios Admin</v>
      </c>
      <c r="K63" s="203">
        <f>IFERROR(IF('Mar-27'!$G63="","-",VLOOKUP('Mar-27'!$G63,Lista_CUIT!$A$1:$D$2241,4,0)),"CUIT NO CARGADO")</f>
        <v>0</v>
      </c>
    </row>
    <row r="64" spans="4:12" ht="15.75" customHeight="1" x14ac:dyDescent="0.25">
      <c r="D64" s="239">
        <v>46083</v>
      </c>
      <c r="E64" s="170">
        <v>1</v>
      </c>
      <c r="F64" s="171">
        <v>57</v>
      </c>
      <c r="G64" s="172">
        <v>27387896150</v>
      </c>
      <c r="H64" s="201" t="str">
        <f>IFERROR(IF('Mar-27'!$G64="","-",VLOOKUP('Mar-27'!$G64,Lista_CUIT!$A$1:$D$2241,2,0)),"CUIT NO CARGADO")</f>
        <v>LIPANOVICH MARIA SOL</v>
      </c>
      <c r="I64" s="192">
        <v>741537</v>
      </c>
      <c r="J64" s="203" t="str">
        <f>IFERROR(IF('Mar-27'!$G64="","-",VLOOKUP('Mar-27'!$G64,Lista_CUIT!$A$1:$D$2241,3,0)),"CUIT NO CARGADO")</f>
        <v>consultoria informatica</v>
      </c>
      <c r="K64" s="203">
        <f>IFERROR(IF('Mar-27'!$G64="","-",VLOOKUP('Mar-27'!$G64,Lista_CUIT!$A$1:$D$2241,4,0)),"CUIT NO CARGADO")</f>
        <v>0</v>
      </c>
    </row>
    <row r="65" spans="1:26" ht="15.75" customHeight="1" x14ac:dyDescent="0.25">
      <c r="D65" s="239">
        <v>46083</v>
      </c>
      <c r="E65" s="170">
        <v>1</v>
      </c>
      <c r="F65" s="171">
        <v>58</v>
      </c>
      <c r="G65" s="172">
        <v>27387896150</v>
      </c>
      <c r="H65" s="201" t="str">
        <f>IFERROR(IF('Mar-27'!$G65="","-",VLOOKUP('Mar-27'!$G65,Lista_CUIT!$A$1:$D$2241,2,0)),"CUIT NO CARGADO")</f>
        <v>LIPANOVICH MARIA SOL</v>
      </c>
      <c r="I65" s="192">
        <v>1917000</v>
      </c>
      <c r="J65" s="203" t="str">
        <f>IFERROR(IF('Mar-27'!$G65="","-",VLOOKUP('Mar-27'!$G65,Lista_CUIT!$A$1:$D$2241,3,0)),"CUIT NO CARGADO")</f>
        <v>consultoria informatica</v>
      </c>
      <c r="K65" s="203">
        <f>IFERROR(IF('Mar-27'!$G65="","-",VLOOKUP('Mar-27'!$G65,Lista_CUIT!$A$1:$D$2241,4,0)),"CUIT NO CARGADO")</f>
        <v>0</v>
      </c>
    </row>
    <row r="66" spans="1:26" ht="15.75" customHeight="1" x14ac:dyDescent="0.25">
      <c r="D66" s="239">
        <v>46083</v>
      </c>
      <c r="E66" s="170">
        <v>1</v>
      </c>
      <c r="F66" s="171">
        <v>129</v>
      </c>
      <c r="G66" s="172">
        <v>20341465134</v>
      </c>
      <c r="H66" s="201" t="str">
        <f>IFERROR(IF('Mar-27'!$G66="","-",VLOOKUP('Mar-27'!$G66,Lista_CUIT!$A$1:$D$2241,2,0)),"CUIT NO CARGADO")</f>
        <v>ABELEDO AGUSTIN ENRIQUE</v>
      </c>
      <c r="I66" s="192">
        <v>3430000</v>
      </c>
      <c r="J66" s="203" t="str">
        <f>IFERROR(IF('Mar-27'!$G66="","-",VLOOKUP('Mar-27'!$G66,Lista_CUIT!$A$1:$D$2241,3,0)),"CUIT NO CARGADO")</f>
        <v>Mantenimiento</v>
      </c>
      <c r="K66" s="203" t="str">
        <f>IFERROR(IF('Mar-27'!$G66="","-",VLOOKUP('Mar-27'!$G66,Lista_CUIT!$A$1:$D$2241,4,0)),"CUIT NO CARGADO")</f>
        <v>CABA</v>
      </c>
    </row>
    <row r="67" spans="1:26" ht="15.75" customHeight="1" x14ac:dyDescent="0.25">
      <c r="D67" s="239">
        <v>46083</v>
      </c>
      <c r="E67" s="170">
        <v>1</v>
      </c>
      <c r="F67" s="171">
        <v>188</v>
      </c>
      <c r="G67" s="172">
        <v>20389908569</v>
      </c>
      <c r="H67" s="201" t="str">
        <f>IFERROR(IF('Mar-27'!$G67="","-",VLOOKUP('Mar-27'!$G67,Lista_CUIT!$A$1:$D$2241,2,0)),"CUIT NO CARGADO")</f>
        <v>BOTINDARI JUAN IGNACIO</v>
      </c>
      <c r="I67" s="192">
        <v>150000</v>
      </c>
      <c r="J67" s="203" t="str">
        <f>IFERROR(IF('Mar-27'!$G67="","-",VLOOKUP('Mar-27'!$G67,Lista_CUIT!$A$1:$D$2241,3,0)),"CUIT NO CARGADO")</f>
        <v>Honorarios Contables</v>
      </c>
      <c r="K67" s="203">
        <f>IFERROR(IF('Mar-27'!$G67="","-",VLOOKUP('Mar-27'!$G67,Lista_CUIT!$A$1:$D$2241,4,0)),"CUIT NO CARGADO")</f>
        <v>0</v>
      </c>
    </row>
    <row r="68" spans="1:26" ht="15.75" customHeight="1" x14ac:dyDescent="0.25">
      <c r="D68" s="239">
        <v>46085</v>
      </c>
      <c r="E68" s="170">
        <v>2</v>
      </c>
      <c r="F68" s="171">
        <v>1045</v>
      </c>
      <c r="G68" s="172">
        <v>20260499085</v>
      </c>
      <c r="H68" s="201" t="str">
        <f>IFERROR(IF('Mar-27'!$G68="","-",VLOOKUP('Mar-27'!$G68,Lista_CUIT!$A$1:$D$2241,2,0)),"CUIT NO CARGADO")</f>
        <v>SABELLI ARIEL OSCAR</v>
      </c>
      <c r="I68" s="192">
        <v>70000</v>
      </c>
      <c r="J68" s="203">
        <f>IFERROR(IF('Mar-27'!$G68="","-",VLOOKUP('Mar-27'!$G68,Lista_CUIT!$A$1:$D$2241,3,0)),"CUIT NO CARGADO")</f>
        <v>0</v>
      </c>
      <c r="K68" s="203">
        <f>IFERROR(IF('Mar-27'!$G68="","-",VLOOKUP('Mar-27'!$G68,Lista_CUIT!$A$1:$D$2241,4,0)),"CUIT NO CARGADO")</f>
        <v>0</v>
      </c>
    </row>
    <row r="69" spans="1:26" ht="18" customHeight="1" x14ac:dyDescent="0.25">
      <c r="A69" s="43"/>
      <c r="D69" s="239">
        <v>46087</v>
      </c>
      <c r="E69" s="170">
        <v>4</v>
      </c>
      <c r="F69" s="171">
        <v>66</v>
      </c>
      <c r="G69" s="172">
        <v>20341462933</v>
      </c>
      <c r="H69" s="201" t="str">
        <f>IFERROR(IF('Mar-27'!$G69="","-",VLOOKUP('Mar-27'!$G69,Lista_CUIT!$A$1:$D$2241,2,0)),"CUIT NO CARGADO")</f>
        <v>CASTIGLIONI MATIAS EZEQUIEL</v>
      </c>
      <c r="I69" s="192">
        <v>2598000</v>
      </c>
      <c r="J69" s="203" t="str">
        <f>IFERROR(IF('Mar-27'!$G69="","-",VLOOKUP('Mar-27'!$G69,Lista_CUIT!$A$1:$D$2241,3,0)),"CUIT NO CARGADO")</f>
        <v>ASESORAMIENTO</v>
      </c>
      <c r="K69" s="203" t="str">
        <f>IFERROR(IF('Mar-27'!$G69="","-",VLOOKUP('Mar-27'!$G69,Lista_CUIT!$A$1:$D$2241,4,0)),"CUIT NO CARGADO")</f>
        <v>BUENOS AIRES</v>
      </c>
      <c r="S69" s="43"/>
      <c r="T69" s="43"/>
      <c r="U69" s="43"/>
      <c r="V69" s="43"/>
      <c r="W69" s="43"/>
      <c r="X69" s="43"/>
      <c r="Y69" s="43"/>
      <c r="Z69" s="43"/>
    </row>
    <row r="70" spans="1:26" ht="15.75" customHeight="1" x14ac:dyDescent="0.25">
      <c r="D70" s="239">
        <v>46087</v>
      </c>
      <c r="E70" s="170">
        <v>4</v>
      </c>
      <c r="F70" s="171">
        <v>67</v>
      </c>
      <c r="G70" s="172">
        <v>20341462933</v>
      </c>
      <c r="H70" s="201" t="str">
        <f>IFERROR(IF('Mar-27'!$G70="","-",VLOOKUP('Mar-27'!$G70,Lista_CUIT!$A$1:$D$2241,2,0)),"CUIT NO CARGADO")</f>
        <v>CASTIGLIONI MATIAS EZEQUIEL</v>
      </c>
      <c r="I70" s="192">
        <v>6100000</v>
      </c>
      <c r="J70" s="203" t="str">
        <f>IFERROR(IF('Mar-27'!$G70="","-",VLOOKUP('Mar-27'!$G70,Lista_CUIT!$A$1:$D$2241,3,0)),"CUIT NO CARGADO")</f>
        <v>ASESORAMIENTO</v>
      </c>
      <c r="K70" s="203" t="str">
        <f>IFERROR(IF('Mar-27'!$G70="","-",VLOOKUP('Mar-27'!$G70,Lista_CUIT!$A$1:$D$2241,4,0)),"CUIT NO CARGADO")</f>
        <v>BUENOS AIRES</v>
      </c>
    </row>
    <row r="71" spans="1:26" ht="15.75" customHeight="1" x14ac:dyDescent="0.25">
      <c r="D71" s="239">
        <v>46087</v>
      </c>
      <c r="E71" s="170">
        <v>3</v>
      </c>
      <c r="F71" s="171">
        <v>13</v>
      </c>
      <c r="G71" s="172">
        <v>20941496963</v>
      </c>
      <c r="H71" s="201" t="str">
        <f>IFERROR(IF('Mar-27'!$G71="","-",VLOOKUP('Mar-27'!$G71,Lista_CUIT!$A$1:$D$2241,2,0)),"CUIT NO CARGADO")</f>
        <v>ABELEDO HORACIO MIGUEL</v>
      </c>
      <c r="I71" s="192">
        <v>24655000</v>
      </c>
      <c r="J71" s="203" t="str">
        <f>IFERROR(IF('Mar-27'!$G71="","-",VLOOKUP('Mar-27'!$G71,Lista_CUIT!$A$1:$D$2241,3,0)),"CUIT NO CARGADO")</f>
        <v>Honorarios Admin</v>
      </c>
      <c r="K71" s="203">
        <f>IFERROR(IF('Mar-27'!$G71="","-",VLOOKUP('Mar-27'!$G71,Lista_CUIT!$A$1:$D$2241,4,0)),"CUIT NO CARGADO")</f>
        <v>0</v>
      </c>
    </row>
    <row r="72" spans="1:26" ht="15.75" customHeight="1" x14ac:dyDescent="0.25">
      <c r="D72" s="239">
        <v>46087</v>
      </c>
      <c r="E72" s="170">
        <v>2</v>
      </c>
      <c r="F72" s="171">
        <v>30</v>
      </c>
      <c r="G72" s="172">
        <v>23118167279</v>
      </c>
      <c r="H72" s="201" t="str">
        <f>IFERROR(IF('Mar-27'!$G72="","-",VLOOKUP('Mar-27'!$G72,Lista_CUIT!$A$1:$D$2241,2,0)),"CUIT NO CARGADO")</f>
        <v>ABELEDO ENRIQUE JUAN</v>
      </c>
      <c r="I72" s="192">
        <v>9813500</v>
      </c>
      <c r="J72" s="203" t="str">
        <f>IFERROR(IF('Mar-27'!$G72="","-",VLOOKUP('Mar-27'!$G72,Lista_CUIT!$A$1:$D$2241,3,0)),"CUIT NO CARGADO")</f>
        <v>Honorarios Admin</v>
      </c>
      <c r="K72" s="203">
        <f>IFERROR(IF('Mar-27'!$G72="","-",VLOOKUP('Mar-27'!$G72,Lista_CUIT!$A$1:$D$2241,4,0)),"CUIT NO CARGADO")</f>
        <v>0</v>
      </c>
    </row>
    <row r="73" spans="1:26" ht="15.75" customHeight="1" x14ac:dyDescent="0.25">
      <c r="D73" s="239">
        <v>46101</v>
      </c>
      <c r="E73" s="170">
        <v>2</v>
      </c>
      <c r="F73" s="171">
        <v>1052</v>
      </c>
      <c r="G73" s="172">
        <v>20260499085</v>
      </c>
      <c r="H73" s="201" t="str">
        <f>IFERROR(IF('Mar-27'!$G73="","-",VLOOKUP('Mar-27'!$G73,Lista_CUIT!$A$1:$D$2241,2,0)),"CUIT NO CARGADO")</f>
        <v>SABELLI ARIEL OSCAR</v>
      </c>
      <c r="I73" s="192">
        <v>35000</v>
      </c>
      <c r="J73" s="203">
        <f>IFERROR(IF('Mar-27'!$G73="","-",VLOOKUP('Mar-27'!$G73,Lista_CUIT!$A$1:$D$2241,3,0)),"CUIT NO CARGADO")</f>
        <v>0</v>
      </c>
      <c r="K73" s="203">
        <f>IFERROR(IF('Mar-27'!$G73="","-",VLOOKUP('Mar-27'!$G73,Lista_CUIT!$A$1:$D$2241,4,0)),"CUIT NO CARGADO")</f>
        <v>0</v>
      </c>
    </row>
    <row r="74" spans="1:26" ht="15.75" customHeight="1" x14ac:dyDescent="0.25">
      <c r="D74" s="239">
        <v>46112</v>
      </c>
      <c r="E74" s="170">
        <v>1</v>
      </c>
      <c r="F74" s="171">
        <v>59</v>
      </c>
      <c r="G74" s="172">
        <v>27387896150</v>
      </c>
      <c r="H74" s="201" t="str">
        <f>IFERROR(IF('Mar-27'!$G74="","-",VLOOKUP('Mar-27'!$G74,Lista_CUIT!$A$1:$D$2241,2,0)),"CUIT NO CARGADO")</f>
        <v>LIPANOVICH MARIA SOL</v>
      </c>
      <c r="I74" s="192">
        <v>747837</v>
      </c>
      <c r="J74" s="203" t="str">
        <f>IFERROR(IF('Mar-27'!$G74="","-",VLOOKUP('Mar-27'!$G74,Lista_CUIT!$A$1:$D$2241,3,0)),"CUIT NO CARGADO")</f>
        <v>consultoria informatica</v>
      </c>
      <c r="K74" s="203">
        <f>IFERROR(IF('Mar-27'!$G74="","-",VLOOKUP('Mar-27'!$G74,Lista_CUIT!$A$1:$D$2241,4,0)),"CUIT NO CARGADO")</f>
        <v>0</v>
      </c>
    </row>
    <row r="75" spans="1:26" ht="15.75" customHeight="1" x14ac:dyDescent="0.25">
      <c r="D75" s="239">
        <v>46112</v>
      </c>
      <c r="E75" s="170">
        <v>1</v>
      </c>
      <c r="F75" s="171">
        <v>60</v>
      </c>
      <c r="G75" s="172">
        <v>27387896150</v>
      </c>
      <c r="H75" s="201" t="str">
        <f>IFERROR(IF('Mar-27'!$G75="","-",VLOOKUP('Mar-27'!$G75,Lista_CUIT!$A$1:$D$2241,2,0)),"CUIT NO CARGADO")</f>
        <v>LIPANOVICH MARIA SOL</v>
      </c>
      <c r="I75" s="192">
        <v>1935900</v>
      </c>
      <c r="J75" s="203" t="str">
        <f>IFERROR(IF('Mar-27'!$G75="","-",VLOOKUP('Mar-27'!$G75,Lista_CUIT!$A$1:$D$2241,3,0)),"CUIT NO CARGADO")</f>
        <v>consultoria informatica</v>
      </c>
      <c r="K75" s="203">
        <f>IFERROR(IF('Mar-27'!$G75="","-",VLOOKUP('Mar-27'!$G75,Lista_CUIT!$A$1:$D$2241,4,0)),"CUIT NO CARGADO")</f>
        <v>0</v>
      </c>
    </row>
    <row r="76" spans="1:26" ht="15.75" customHeight="1" x14ac:dyDescent="0.25">
      <c r="D76" s="239"/>
      <c r="E76" s="170"/>
      <c r="F76" s="171"/>
      <c r="G76" s="172"/>
      <c r="H76" s="201" t="str">
        <f>IFERROR(IF('Mar-27'!$G76="","-",VLOOKUP('Mar-27'!$G76,Lista_CUIT!$A$1:$D$2241,2,0)),"CUIT NO CARGADO")</f>
        <v>-</v>
      </c>
      <c r="I76" s="192"/>
      <c r="J76" s="203" t="str">
        <f>IFERROR(IF('Mar-27'!$G76="","-",VLOOKUP('Mar-27'!$G76,Lista_CUIT!$A$1:$D$2241,3,0)),"CUIT NO CARGADO")</f>
        <v>-</v>
      </c>
      <c r="K76" s="203" t="str">
        <f>IFERROR(IF('Mar-27'!$G76="","-",VLOOKUP('Mar-27'!$G76,Lista_CUIT!$A$1:$D$2241,4,0)),"CUIT NO CARGADO")</f>
        <v>-</v>
      </c>
    </row>
    <row r="77" spans="1:26" ht="15.75" customHeight="1" x14ac:dyDescent="0.25">
      <c r="B77" s="43"/>
      <c r="C77" s="43"/>
      <c r="D77" s="42" t="s">
        <v>1336</v>
      </c>
      <c r="E77" s="42"/>
      <c r="F77" s="42"/>
      <c r="G77" s="42"/>
      <c r="H77" s="44"/>
      <c r="I77" s="41">
        <f>SUBTOTAL(109,'Mar-27'!$I$60:$I$76)</f>
        <v>58325774</v>
      </c>
      <c r="J77" s="42"/>
      <c r="K77" s="42"/>
      <c r="L77" s="43"/>
      <c r="M77" s="43"/>
      <c r="N77" s="43"/>
      <c r="O77" s="43"/>
      <c r="P77" s="43"/>
      <c r="Q77" s="43"/>
      <c r="R77" s="43"/>
    </row>
    <row r="78" spans="1:26" ht="18" customHeight="1" x14ac:dyDescent="0.25"/>
    <row r="79" spans="1:26" ht="15.75" customHeight="1" x14ac:dyDescent="0.25"/>
    <row r="80" spans="1:26" ht="15.75" customHeight="1" x14ac:dyDescent="0.25"/>
    <row r="81" spans="2:13" ht="15.75" customHeight="1" x14ac:dyDescent="0.25"/>
    <row r="82" spans="2:13" ht="15.75" customHeight="1" x14ac:dyDescent="0.25">
      <c r="B82" s="464" t="s">
        <v>1351</v>
      </c>
      <c r="C82" s="448"/>
      <c r="D82" s="448"/>
      <c r="E82" s="448"/>
      <c r="F82" s="448"/>
      <c r="G82" s="448"/>
      <c r="H82" s="448"/>
      <c r="I82" s="448"/>
      <c r="J82" s="449"/>
      <c r="K82" s="465">
        <f>N1</f>
        <v>46082</v>
      </c>
      <c r="L82" s="448"/>
      <c r="M82" s="449"/>
    </row>
    <row r="83" spans="2:13" ht="15.75" customHeight="1" x14ac:dyDescent="0.25"/>
    <row r="84" spans="2:13" ht="15.75" customHeight="1" x14ac:dyDescent="0.25">
      <c r="B84" s="457" t="s">
        <v>1352</v>
      </c>
      <c r="C84" s="458"/>
    </row>
    <row r="85" spans="2:13" ht="15.75" customHeight="1" x14ac:dyDescent="0.25">
      <c r="B85" s="45" t="s">
        <v>1322</v>
      </c>
      <c r="C85" s="46" t="s">
        <v>1323</v>
      </c>
      <c r="D85" s="46" t="s">
        <v>1353</v>
      </c>
      <c r="E85" s="46" t="s">
        <v>1354</v>
      </c>
      <c r="F85" s="46" t="s">
        <v>0</v>
      </c>
      <c r="G85" s="46" t="s">
        <v>1</v>
      </c>
      <c r="H85" s="46" t="s">
        <v>1355</v>
      </c>
      <c r="I85" s="46" t="s">
        <v>1341</v>
      </c>
      <c r="J85" s="46" t="s">
        <v>1329</v>
      </c>
      <c r="K85" s="46" t="s">
        <v>1356</v>
      </c>
      <c r="L85" s="46" t="s">
        <v>1334</v>
      </c>
      <c r="M85" s="47" t="s">
        <v>1335</v>
      </c>
    </row>
    <row r="86" spans="2:13" ht="15.75" customHeight="1" x14ac:dyDescent="0.25">
      <c r="B86" s="54">
        <v>46085</v>
      </c>
      <c r="C86" s="55">
        <v>1</v>
      </c>
      <c r="D86" s="56">
        <v>3</v>
      </c>
      <c r="E86" s="57">
        <v>314</v>
      </c>
      <c r="F86" s="58">
        <v>30718512545</v>
      </c>
      <c r="G86" s="99" t="str">
        <f>IFERROR(IF('Mar-27'!$F86="","-",VLOOKUP('Mar-27'!$F86,Lista_CUIT!$A$1:$D$2241,2,0)),"CUIT NO CARGADO")</f>
        <v>MAJUBEN MDP SERVICIOS S.R.L.</v>
      </c>
      <c r="H86" s="59">
        <v>4417500</v>
      </c>
      <c r="I86" s="60">
        <f>'Mar-27'!$H86*0.21</f>
        <v>927675</v>
      </c>
      <c r="J86" s="61"/>
      <c r="K86" s="61"/>
      <c r="L86" s="61">
        <f>SUM('Mar-27'!$H86:$K86)</f>
        <v>5345175</v>
      </c>
      <c r="M86" s="53"/>
    </row>
    <row r="87" spans="2:13" ht="15.75" customHeight="1" x14ac:dyDescent="0.25">
      <c r="B87" s="54">
        <v>46097</v>
      </c>
      <c r="C87" s="55">
        <v>1</v>
      </c>
      <c r="D87" s="56">
        <v>3</v>
      </c>
      <c r="E87" s="57">
        <v>315</v>
      </c>
      <c r="F87" s="58">
        <v>20163502691</v>
      </c>
      <c r="G87" s="99" t="str">
        <f>IFERROR(IF('Mar-27'!$F87="","-",VLOOKUP('Mar-27'!$F87,Lista_CUIT!$A$1:$D$2241,2,0)),"CUIT NO CARGADO")</f>
        <v>TOSSO DANIEL OSCAR</v>
      </c>
      <c r="H87" s="59">
        <v>636750</v>
      </c>
      <c r="I87" s="60">
        <f>'Mar-27'!$H87*0.21</f>
        <v>133717.5</v>
      </c>
      <c r="J87" s="61"/>
      <c r="K87" s="61"/>
      <c r="L87" s="61">
        <f>SUM('Mar-27'!$H87:$K87)</f>
        <v>770467.5</v>
      </c>
      <c r="M87" s="53"/>
    </row>
    <row r="88" spans="2:13" ht="18" customHeight="1" x14ac:dyDescent="0.25">
      <c r="B88" s="54">
        <v>46106</v>
      </c>
      <c r="C88" s="55">
        <v>1</v>
      </c>
      <c r="D88" s="56">
        <v>3</v>
      </c>
      <c r="E88" s="57">
        <v>316</v>
      </c>
      <c r="F88" s="58">
        <v>27325810470</v>
      </c>
      <c r="G88" s="99" t="str">
        <f>IFERROR(IF('Mar-27'!$F88="","-",VLOOKUP('Mar-27'!$F88,Lista_CUIT!$A$1:$D$2241,2,0)),"CUIT NO CARGADO")</f>
        <v>GALLARDO LILIANA SOLEDAD</v>
      </c>
      <c r="H88" s="59">
        <v>392000</v>
      </c>
      <c r="I88" s="60">
        <f>'Mar-27'!$H88*0.21</f>
        <v>82320</v>
      </c>
      <c r="J88" s="61"/>
      <c r="K88" s="61"/>
      <c r="L88" s="61">
        <f>SUM('Mar-27'!$H88:$K88)</f>
        <v>474320</v>
      </c>
      <c r="M88" s="53"/>
    </row>
    <row r="89" spans="2:13" ht="15.75" customHeight="1" x14ac:dyDescent="0.25">
      <c r="B89" s="54">
        <v>46085</v>
      </c>
      <c r="C89" s="55"/>
      <c r="D89" s="56">
        <v>3</v>
      </c>
      <c r="E89" s="57">
        <v>15</v>
      </c>
      <c r="F89" s="58">
        <v>5313861</v>
      </c>
      <c r="G89" s="99" t="str">
        <f>IFERROR(IF('Mar-27'!$F89="","-",VLOOKUP('Mar-27'!$F89,Lista_CUIT!$A$1:$D$2241,2,0)),"CUIT NO CARGADO")</f>
        <v>CUIT NO CARGADO</v>
      </c>
      <c r="H89" s="59">
        <v>604800</v>
      </c>
      <c r="I89" s="60">
        <f>'Mar-27'!$H89*0.21</f>
        <v>127008</v>
      </c>
      <c r="J89" s="61"/>
      <c r="K89" s="61"/>
      <c r="L89" s="61">
        <f>SUM('Mar-27'!$H89:$K89)</f>
        <v>731808</v>
      </c>
      <c r="M89" s="53"/>
    </row>
    <row r="90" spans="2:13" ht="15.75" customHeight="1" x14ac:dyDescent="0.25">
      <c r="B90" s="54">
        <v>46108</v>
      </c>
      <c r="C90" s="55"/>
      <c r="D90" s="56">
        <v>3</v>
      </c>
      <c r="E90" s="57">
        <v>16</v>
      </c>
      <c r="F90" s="58">
        <v>5871790</v>
      </c>
      <c r="G90" s="99" t="str">
        <f>IFERROR(IF('Mar-27'!$F90="","-",VLOOKUP('Mar-27'!$F90,Lista_CUIT!$A$1:$D$2241,2,0)),"CUIT NO CARGADO")</f>
        <v>CUIT NO CARGADO</v>
      </c>
      <c r="H90" s="59">
        <v>656640</v>
      </c>
      <c r="I90" s="60">
        <f>'Mar-27'!$H90*0.21</f>
        <v>137894.39999999999</v>
      </c>
      <c r="J90" s="61"/>
      <c r="K90" s="61"/>
      <c r="L90" s="61">
        <f>SUM('Mar-27'!$H90:$K90)</f>
        <v>794534.40000000002</v>
      </c>
      <c r="M90" s="53"/>
    </row>
    <row r="91" spans="2:13" ht="15.75" customHeight="1" x14ac:dyDescent="0.25">
      <c r="B91" s="54"/>
      <c r="C91" s="55"/>
      <c r="D91" s="56"/>
      <c r="E91" s="57"/>
      <c r="F91" s="58"/>
      <c r="G91" s="99" t="str">
        <f>IFERROR(IF('Mar-27'!$F91="","-",VLOOKUP('Mar-27'!$F91,Lista_CUIT!$A$1:$D$2241,2,0)),"CUIT NO CARGADO")</f>
        <v>-</v>
      </c>
      <c r="H91" s="59"/>
      <c r="I91" s="60">
        <f>'Mar-27'!$H91*0.21</f>
        <v>0</v>
      </c>
      <c r="J91" s="61"/>
      <c r="K91" s="61"/>
      <c r="L91" s="61">
        <f>SUM('Mar-27'!$H91:$K91)</f>
        <v>0</v>
      </c>
      <c r="M91" s="53"/>
    </row>
    <row r="92" spans="2:13" ht="17.25" customHeight="1" x14ac:dyDescent="0.25">
      <c r="B92" s="54"/>
      <c r="C92" s="55"/>
      <c r="D92" s="56"/>
      <c r="E92" s="57"/>
      <c r="F92" s="58"/>
      <c r="G92" s="99" t="str">
        <f>IFERROR(IF('Mar-27'!$F92="","-",VLOOKUP('Mar-27'!$F92,Lista_CUIT!$A$1:$D$2241,2,0)),"CUIT NO CARGADO")</f>
        <v>-</v>
      </c>
      <c r="H92" s="59"/>
      <c r="I92" s="60">
        <f>'Mar-27'!$H92*0.21</f>
        <v>0</v>
      </c>
      <c r="J92" s="61"/>
      <c r="K92" s="61"/>
      <c r="L92" s="61">
        <f>SUM('Mar-27'!$H92:$K92)</f>
        <v>0</v>
      </c>
      <c r="M92" s="53"/>
    </row>
    <row r="93" spans="2:13" ht="19.5" customHeight="1" x14ac:dyDescent="0.25">
      <c r="B93" s="54"/>
      <c r="C93" s="55"/>
      <c r="D93" s="56"/>
      <c r="E93" s="57"/>
      <c r="F93" s="58"/>
      <c r="G93" s="99" t="str">
        <f>IFERROR(IF('Mar-27'!$F93="","-",VLOOKUP('Mar-27'!$F93,Lista_CUIT!$A$1:$D$2241,2,0)),"CUIT NO CARGADO")</f>
        <v>-</v>
      </c>
      <c r="H93" s="59"/>
      <c r="I93" s="60">
        <f>'Mar-27'!$H93*0.21</f>
        <v>0</v>
      </c>
      <c r="J93" s="61"/>
      <c r="K93" s="61"/>
      <c r="L93" s="61">
        <f>SUM('Mar-27'!$H93:$K93)</f>
        <v>0</v>
      </c>
      <c r="M93" s="53"/>
    </row>
    <row r="94" spans="2:13" ht="15.75" customHeight="1" x14ac:dyDescent="0.25">
      <c r="B94" s="54"/>
      <c r="C94" s="55"/>
      <c r="D94" s="56"/>
      <c r="E94" s="57"/>
      <c r="F94" s="58"/>
      <c r="G94" s="99" t="str">
        <f>IFERROR(IF('Mar-27'!$F94="","-",VLOOKUP('Mar-27'!$F94,Lista_CUIT!$A$1:$D$2241,2,0)),"CUIT NO CARGADO")</f>
        <v>-</v>
      </c>
      <c r="H94" s="59"/>
      <c r="I94" s="60">
        <f>'Mar-27'!$H94*0.21</f>
        <v>0</v>
      </c>
      <c r="J94" s="61"/>
      <c r="K94" s="61"/>
      <c r="L94" s="61">
        <f>SUM('Mar-27'!$H94:$K94)</f>
        <v>0</v>
      </c>
      <c r="M94" s="53"/>
    </row>
    <row r="95" spans="2:13" ht="15.75" customHeight="1" x14ac:dyDescent="0.25">
      <c r="B95" s="54"/>
      <c r="C95" s="55"/>
      <c r="D95" s="56"/>
      <c r="E95" s="57"/>
      <c r="F95" s="58"/>
      <c r="G95" s="99" t="str">
        <f>IFERROR(IF('Mar-27'!$F95="","-",VLOOKUP('Mar-27'!$F95,Lista_CUIT!$A$1:$D$2241,2,0)),"CUIT NO CARGADO")</f>
        <v>-</v>
      </c>
      <c r="H95" s="59"/>
      <c r="I95" s="60">
        <f>'Mar-27'!$H95*0.21</f>
        <v>0</v>
      </c>
      <c r="J95" s="61"/>
      <c r="K95" s="61"/>
      <c r="L95" s="61">
        <f>SUM('Mar-27'!$H95:$K95)</f>
        <v>0</v>
      </c>
      <c r="M95" s="53"/>
    </row>
    <row r="96" spans="2:13" ht="15.75" customHeight="1" x14ac:dyDescent="0.25">
      <c r="B96" s="54"/>
      <c r="C96" s="55"/>
      <c r="D96" s="56"/>
      <c r="E96" s="57"/>
      <c r="F96" s="58"/>
      <c r="G96" s="99" t="str">
        <f>IFERROR(IF('Mar-27'!$F96="","-",VLOOKUP('Mar-27'!$F96,Lista_CUIT!$A$1:$D$2241,2,0)),"CUIT NO CARGADO")</f>
        <v>-</v>
      </c>
      <c r="H96" s="59"/>
      <c r="I96" s="60">
        <f>'Mar-27'!$H96*0.21</f>
        <v>0</v>
      </c>
      <c r="J96" s="61"/>
      <c r="K96" s="61"/>
      <c r="L96" s="61">
        <f>SUM('Mar-27'!$H96:$K96)</f>
        <v>0</v>
      </c>
      <c r="M96" s="53"/>
    </row>
    <row r="97" spans="2:13" ht="15.75" customHeight="1" x14ac:dyDescent="0.25">
      <c r="B97" s="68" t="s">
        <v>1336</v>
      </c>
      <c r="C97" s="69"/>
      <c r="D97" s="69"/>
      <c r="E97" s="69"/>
      <c r="F97" s="69"/>
      <c r="G97" s="69"/>
      <c r="H97" s="70">
        <f>SUBTOTAL(109,'Mar-27'!$H$86:$H$96)</f>
        <v>6707690</v>
      </c>
      <c r="I97" s="71">
        <f>SUBTOTAL(109,'Mar-27'!$I$86:$I$96)</f>
        <v>1408614.9</v>
      </c>
      <c r="J97" s="61">
        <f>SUBTOTAL(109,'Mar-27'!$J$86:$J$96)</f>
        <v>0</v>
      </c>
      <c r="K97" s="61">
        <f>SUBTOTAL(109,'Mar-27'!$K$86:$K$96)</f>
        <v>0</v>
      </c>
      <c r="L97" s="61">
        <f>SUBTOTAL(109,'Mar-27'!$L$86:$L$96)</f>
        <v>8116304.9000000004</v>
      </c>
      <c r="M97" s="72">
        <f>SUBTOTAL(103,'Mar-27'!$M$86:$M$96)</f>
        <v>0</v>
      </c>
    </row>
    <row r="98" spans="2:13" ht="15.75" customHeight="1" x14ac:dyDescent="0.25"/>
    <row r="99" spans="2:13" ht="15.75" customHeight="1" x14ac:dyDescent="0.25"/>
    <row r="100" spans="2:13" ht="15.75" customHeight="1" x14ac:dyDescent="0.25">
      <c r="B100" s="457" t="s">
        <v>1379</v>
      </c>
      <c r="C100" s="458"/>
    </row>
    <row r="101" spans="2:13" ht="15.75" customHeight="1" x14ac:dyDescent="0.25">
      <c r="B101" s="439" t="s">
        <v>1322</v>
      </c>
      <c r="C101" s="440" t="s">
        <v>1323</v>
      </c>
      <c r="D101" s="440" t="s">
        <v>1353</v>
      </c>
      <c r="E101" s="440" t="s">
        <v>1354</v>
      </c>
      <c r="F101" s="440" t="s">
        <v>0</v>
      </c>
      <c r="G101" s="440" t="s">
        <v>1</v>
      </c>
      <c r="H101" s="440" t="s">
        <v>1359</v>
      </c>
      <c r="I101" s="440" t="s">
        <v>1341</v>
      </c>
      <c r="J101" s="440" t="s">
        <v>1329</v>
      </c>
      <c r="K101" s="440" t="s">
        <v>1608</v>
      </c>
      <c r="L101" s="440" t="s">
        <v>1334</v>
      </c>
      <c r="M101" s="441" t="s">
        <v>1335</v>
      </c>
    </row>
    <row r="102" spans="2:13" ht="15.75" customHeight="1" x14ac:dyDescent="0.25">
      <c r="B102" s="239">
        <v>46087</v>
      </c>
      <c r="C102" s="169"/>
      <c r="D102" s="170">
        <v>30</v>
      </c>
      <c r="E102" s="171">
        <v>129</v>
      </c>
      <c r="F102" s="172"/>
      <c r="G102" s="226" t="str">
        <f>IFERROR(IF('Mar-27'!$F102="","-",VLOOKUP('Mar-27'!$F102,Lista_CUIT!$A$1:$D$2241,2,0)),"CUIT NO CARGADO")</f>
        <v>-</v>
      </c>
      <c r="H102" s="227">
        <v>5700</v>
      </c>
      <c r="I102" s="227"/>
      <c r="J102" s="227"/>
      <c r="K102" s="227">
        <v>1407</v>
      </c>
      <c r="L102" s="227">
        <f>Table_79[[#This Row],[USD]]*Table_79[[#This Row],[TIPO CAMBIO]]</f>
        <v>8019900</v>
      </c>
      <c r="M102" s="237"/>
    </row>
    <row r="103" spans="2:13" ht="18.75" customHeight="1" x14ac:dyDescent="0.25">
      <c r="B103" s="239">
        <v>46093</v>
      </c>
      <c r="C103" s="169"/>
      <c r="D103" s="170">
        <v>30</v>
      </c>
      <c r="E103" s="171">
        <v>130</v>
      </c>
      <c r="F103" s="172"/>
      <c r="G103" s="226" t="str">
        <f>IFERROR(IF('Mar-27'!$F103="","-",VLOOKUP('Mar-27'!$F103,Lista_CUIT!$A$1:$D$2241,2,0)),"CUIT NO CARGADO")</f>
        <v>-</v>
      </c>
      <c r="H103" s="227">
        <v>5648</v>
      </c>
      <c r="I103" s="227"/>
      <c r="J103" s="227"/>
      <c r="K103" s="227">
        <v>1396</v>
      </c>
      <c r="L103" s="227">
        <f>Table_79[[#This Row],[USD]]*Table_79[[#This Row],[TIPO CAMBIO]]</f>
        <v>7884608</v>
      </c>
      <c r="M103" s="237"/>
    </row>
    <row r="104" spans="2:13" ht="28.5" customHeight="1" x14ac:dyDescent="0.25">
      <c r="B104" s="239">
        <v>46097</v>
      </c>
      <c r="C104" s="169"/>
      <c r="D104" s="170">
        <v>30</v>
      </c>
      <c r="E104" s="171">
        <v>131</v>
      </c>
      <c r="F104" s="172"/>
      <c r="G104" s="226" t="str">
        <f>IFERROR(IF('Mar-27'!$F104="","-",VLOOKUP('Mar-27'!$F104,Lista_CUIT!$A$1:$D$2241,2,0)),"CUIT NO CARGADO")</f>
        <v>-</v>
      </c>
      <c r="H104" s="227">
        <v>1920</v>
      </c>
      <c r="I104" s="227"/>
      <c r="J104" s="227"/>
      <c r="K104" s="227">
        <v>1400</v>
      </c>
      <c r="L104" s="227">
        <f>Table_79[[#This Row],[USD]]*Table_79[[#This Row],[TIPO CAMBIO]]</f>
        <v>2688000</v>
      </c>
      <c r="M104" s="237"/>
    </row>
    <row r="105" spans="2:13" ht="15.75" customHeight="1" x14ac:dyDescent="0.25">
      <c r="B105" s="239">
        <v>46106</v>
      </c>
      <c r="C105" s="169"/>
      <c r="D105" s="170">
        <v>30</v>
      </c>
      <c r="E105" s="171">
        <v>132</v>
      </c>
      <c r="F105" s="172"/>
      <c r="G105" s="226" t="str">
        <f>IFERROR(IF('Mar-27'!$F105="","-",VLOOKUP('Mar-27'!$F105,Lista_CUIT!$A$1:$D$2241,2,0)),"CUIT NO CARGADO")</f>
        <v>-</v>
      </c>
      <c r="H105" s="227">
        <v>6750</v>
      </c>
      <c r="I105" s="227"/>
      <c r="J105" s="227"/>
      <c r="K105" s="227">
        <v>1390.5</v>
      </c>
      <c r="L105" s="227">
        <f>Table_79[[#This Row],[USD]]*Table_79[[#This Row],[TIPO CAMBIO]]</f>
        <v>9385875</v>
      </c>
      <c r="M105" s="237"/>
    </row>
    <row r="106" spans="2:13" ht="15.75" customHeight="1" x14ac:dyDescent="0.25">
      <c r="B106" s="239">
        <v>46112</v>
      </c>
      <c r="C106" s="169"/>
      <c r="D106" s="170">
        <v>30</v>
      </c>
      <c r="E106" s="171">
        <v>133</v>
      </c>
      <c r="F106" s="172"/>
      <c r="G106" s="226" t="str">
        <f>IFERROR(IF('Mar-27'!$F106="","-",VLOOKUP('Mar-27'!$F106,Lista_CUIT!$A$1:$D$2241,2,0)),"CUIT NO CARGADO")</f>
        <v>-</v>
      </c>
      <c r="H106" s="227">
        <v>1920</v>
      </c>
      <c r="I106" s="227"/>
      <c r="J106" s="227"/>
      <c r="K106" s="227">
        <v>1398</v>
      </c>
      <c r="L106" s="227">
        <f>Table_79[[#This Row],[USD]]*Table_79[[#This Row],[TIPO CAMBIO]]</f>
        <v>2684160</v>
      </c>
      <c r="M106" s="237"/>
    </row>
    <row r="107" spans="2:13" ht="15.75" customHeight="1" x14ac:dyDescent="0.25">
      <c r="B107" s="239"/>
      <c r="C107" s="169"/>
      <c r="D107" s="170"/>
      <c r="E107" s="171"/>
      <c r="F107" s="172"/>
      <c r="G107" s="226"/>
      <c r="H107" s="227"/>
      <c r="I107" s="227"/>
      <c r="J107" s="227"/>
      <c r="K107" s="227"/>
      <c r="L107" s="227">
        <f>SUM('Mar-27'!$H107:$K107)</f>
        <v>0</v>
      </c>
      <c r="M107" s="237"/>
    </row>
    <row r="108" spans="2:13" ht="15.75" customHeight="1" x14ac:dyDescent="0.25">
      <c r="B108" s="442" t="s">
        <v>1336</v>
      </c>
      <c r="C108" s="443"/>
      <c r="D108" s="443"/>
      <c r="E108" s="443"/>
      <c r="F108" s="443"/>
      <c r="G108" s="443"/>
      <c r="H108" s="444">
        <f>SUBTOTAL(109,'Mar-27'!$H$102:$H$107)</f>
        <v>21938</v>
      </c>
      <c r="I108" s="444">
        <f>SUBTOTAL(109,'Mar-27'!$I$102:$I$107)</f>
        <v>0</v>
      </c>
      <c r="J108" s="445">
        <f>SUBTOTAL(109,'Mar-27'!$J$102:$J$107)</f>
        <v>0</v>
      </c>
      <c r="K108" s="445">
        <f>SUBTOTAL(109,'Mar-27'!$K$102:$K$107)</f>
        <v>6991.5</v>
      </c>
      <c r="L108" s="445">
        <f>SUBTOTAL(109,'Mar-27'!$L$102:$L$107)</f>
        <v>30662543</v>
      </c>
      <c r="M108" s="446">
        <f>SUBTOTAL(103,'Mar-27'!$M$102:$M$107)</f>
        <v>0</v>
      </c>
    </row>
    <row r="109" spans="2:13" ht="15.75" customHeight="1" x14ac:dyDescent="0.25"/>
    <row r="110" spans="2:13" ht="15.75" customHeight="1" x14ac:dyDescent="0.25"/>
    <row r="111" spans="2:13" ht="15.75" customHeight="1" x14ac:dyDescent="0.25"/>
    <row r="112" spans="2:13" ht="15.75" customHeight="1" x14ac:dyDescent="0.25"/>
    <row r="113" spans="3:12" ht="15.75" customHeight="1" x14ac:dyDescent="0.25"/>
    <row r="114" spans="3:12" ht="15.75" customHeight="1" x14ac:dyDescent="0.25"/>
    <row r="115" spans="3:12" ht="15.75" customHeight="1" x14ac:dyDescent="0.25"/>
    <row r="116" spans="3:12" ht="15.75" customHeight="1" x14ac:dyDescent="0.25">
      <c r="C116" s="459" t="s">
        <v>1363</v>
      </c>
      <c r="D116" s="460"/>
      <c r="E116" s="460"/>
      <c r="F116" s="460"/>
      <c r="G116" s="461"/>
      <c r="H116" s="88"/>
      <c r="I116" s="88"/>
      <c r="J116" s="88"/>
    </row>
    <row r="117" spans="3:12" ht="15.75" customHeight="1" x14ac:dyDescent="0.25">
      <c r="C117" s="89" t="s">
        <v>1364</v>
      </c>
      <c r="D117" s="90" t="s">
        <v>1365</v>
      </c>
      <c r="E117" s="90" t="s">
        <v>1361</v>
      </c>
      <c r="F117" s="90" t="s">
        <v>0</v>
      </c>
      <c r="G117" s="90" t="s">
        <v>1</v>
      </c>
      <c r="H117" s="91" t="s">
        <v>1366</v>
      </c>
      <c r="I117" s="91" t="s">
        <v>1367</v>
      </c>
      <c r="J117" s="91" t="s">
        <v>1368</v>
      </c>
      <c r="K117" s="91" t="s">
        <v>1369</v>
      </c>
      <c r="L117" s="91" t="s">
        <v>1370</v>
      </c>
    </row>
    <row r="118" spans="3:12" ht="15.75" customHeight="1" x14ac:dyDescent="0.25">
      <c r="C118" s="92"/>
      <c r="D118" s="93"/>
      <c r="E118" s="93"/>
      <c r="F118" s="39"/>
      <c r="G118" s="40" t="str">
        <f>IFERROR(IF('Mar-27'!$F118="","-",VLOOKUP('Mar-27'!$F118,Lista_CUIT!$A$1:$D$2241,2,0)),"CUIT NO CARGADO")</f>
        <v>-</v>
      </c>
      <c r="H118" s="94"/>
      <c r="I118" s="94"/>
      <c r="J118" s="94"/>
      <c r="K118" s="94"/>
      <c r="L118" s="94"/>
    </row>
    <row r="119" spans="3:12" ht="15.75" customHeight="1" x14ac:dyDescent="0.25">
      <c r="C119" s="92"/>
      <c r="D119" s="93"/>
      <c r="E119" s="93"/>
      <c r="F119" s="39"/>
      <c r="G119" s="40" t="str">
        <f>IFERROR(IF('Mar-27'!$F119="","-",VLOOKUP('Mar-27'!$F119,Lista_CUIT!$A$1:$D$2241,2,0)),"CUIT NO CARGADO")</f>
        <v>-</v>
      </c>
      <c r="H119" s="94"/>
      <c r="I119" s="94"/>
      <c r="J119" s="94"/>
      <c r="K119" s="94"/>
      <c r="L119" s="94"/>
    </row>
    <row r="120" spans="3:12" ht="15.75" customHeight="1" x14ac:dyDescent="0.25">
      <c r="C120" s="92"/>
      <c r="D120" s="93"/>
      <c r="E120" s="93"/>
      <c r="F120" s="39"/>
      <c r="G120" s="40" t="str">
        <f>IFERROR(IF('Mar-27'!$F120="","-",VLOOKUP('Mar-27'!$F120,Lista_CUIT!$A$1:$D$2241,2,0)),"CUIT NO CARGADO")</f>
        <v>-</v>
      </c>
      <c r="H120" s="94"/>
      <c r="I120" s="94"/>
      <c r="J120" s="94"/>
      <c r="K120" s="94"/>
      <c r="L120" s="94"/>
    </row>
    <row r="121" spans="3:12" ht="15.75" customHeight="1" x14ac:dyDescent="0.25">
      <c r="C121" s="92"/>
      <c r="D121" s="93"/>
      <c r="E121" s="93"/>
      <c r="F121" s="39"/>
      <c r="G121" s="40" t="str">
        <f>IFERROR(IF('Mar-27'!$F121="","-",VLOOKUP('Mar-27'!$F121,Lista_CUIT!$A$1:$D$2241,2,0)),"CUIT NO CARGADO")</f>
        <v>-</v>
      </c>
      <c r="H121" s="94"/>
      <c r="I121" s="94"/>
      <c r="J121" s="94"/>
      <c r="K121" s="94"/>
      <c r="L121" s="94"/>
    </row>
    <row r="122" spans="3:12" ht="15.75" customHeight="1" x14ac:dyDescent="0.25">
      <c r="C122" s="3"/>
      <c r="D122" s="93"/>
      <c r="E122" s="93"/>
      <c r="F122" s="3"/>
      <c r="G122" s="40" t="str">
        <f>IFERROR(IF('Mar-27'!$F122="","-",VLOOKUP('Mar-27'!$F122,Lista_CUIT!$A$1:$D$2241,2,0)),"CUIT NO CARGADO")</f>
        <v>-</v>
      </c>
      <c r="H122" s="3"/>
      <c r="I122" s="3"/>
      <c r="J122" s="3"/>
      <c r="K122" s="3"/>
      <c r="L122" s="3"/>
    </row>
    <row r="123" spans="3:12" ht="15.75" customHeight="1" x14ac:dyDescent="0.25">
      <c r="C123" s="109"/>
    </row>
    <row r="124" spans="3:12" ht="15.75" customHeight="1" x14ac:dyDescent="0.25"/>
    <row r="125" spans="3:12" ht="15.75" customHeight="1" x14ac:dyDescent="0.25"/>
    <row r="126" spans="3:12" ht="15.75" customHeight="1" x14ac:dyDescent="0.25"/>
    <row r="127" spans="3:12" ht="15.75" customHeight="1" x14ac:dyDescent="0.25"/>
    <row r="128" spans="3:1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</sheetData>
  <mergeCells count="20">
    <mergeCell ref="M4:N4"/>
    <mergeCell ref="P4:R4"/>
    <mergeCell ref="D44:L44"/>
    <mergeCell ref="C116:G116"/>
    <mergeCell ref="B3:E3"/>
    <mergeCell ref="B4:E4"/>
    <mergeCell ref="G4:H4"/>
    <mergeCell ref="J4:K4"/>
    <mergeCell ref="D58:K58"/>
    <mergeCell ref="B82:J82"/>
    <mergeCell ref="K82:M82"/>
    <mergeCell ref="B84:C84"/>
    <mergeCell ref="B100:C100"/>
    <mergeCell ref="B1:F1"/>
    <mergeCell ref="G1:M1"/>
    <mergeCell ref="N1:R1"/>
    <mergeCell ref="G3:H3"/>
    <mergeCell ref="J3:K3"/>
    <mergeCell ref="M3:N3"/>
    <mergeCell ref="P3:R3"/>
  </mergeCells>
  <dataValidations count="13">
    <dataValidation type="custom" allowBlank="1" showErrorMessage="1" sqref="H102:L107" xr:uid="{00000000-0002-0000-0C00-000000000000}">
      <formula1>IF($C102=8,H102&lt;0,H102&gt;=0)</formula1>
    </dataValidation>
    <dataValidation type="custom" allowBlank="1" showErrorMessage="1" sqref="L86" xr:uid="{00000000-0002-0000-0C00-000001000000}">
      <formula1>IF($C9=3,L9&lt;0,L9&gt;=0)</formula1>
    </dataValidation>
    <dataValidation type="decimal" allowBlank="1" showErrorMessage="1" sqref="D9:D38 D102:D107 D86:D96 E60:E76" xr:uid="{00000000-0002-0000-0C00-000002000000}">
      <formula1>1</formula1>
      <formula2>9999</formula2>
    </dataValidation>
    <dataValidation type="date" allowBlank="1" showErrorMessage="1" sqref="B9:B38 B40:B43 D46:D53 B102:B107 B86:B96 D60:D76" xr:uid="{00000000-0002-0000-0C00-000003000000}">
      <formula1>40179</formula1>
      <formula2>TODAY()</formula2>
    </dataValidation>
    <dataValidation type="decimal" allowBlank="1" showErrorMessage="1" sqref="F9:F38 F102:F107 F86:F96 G60:G76" xr:uid="{00000000-0002-0000-0C00-000004000000}">
      <formula1>20000000000</formula1>
      <formula2>33999999999</formula2>
    </dataValidation>
    <dataValidation type="custom" allowBlank="1" showErrorMessage="1" sqref="L87 L92" xr:uid="{00000000-0002-0000-0C00-000005000000}">
      <formula1>IF($C25=3,L25&lt;0,L25&gt;=0)</formula1>
    </dataValidation>
    <dataValidation type="decimal" allowBlank="1" showErrorMessage="1" sqref="C102:C107" xr:uid="{00000000-0002-0000-0C00-000006000000}">
      <formula1>6</formula1>
      <formula2>8</formula2>
    </dataValidation>
    <dataValidation type="custom" allowBlank="1" showInputMessage="1" showErrorMessage="1" prompt="Error de Ingreso - Ingreso condicionado al tipo de compra:_x000a_- Tipo 001: solo positivo_x000a_- Tipo 002: solo positivo_x000a_- Tipo 003: solo negativo" sqref="H9:O38" xr:uid="{00000000-0002-0000-0C00-000007000000}">
      <formula1>IF($C9=3,H9&lt;0,H9&gt;=0)</formula1>
    </dataValidation>
    <dataValidation type="decimal" allowBlank="1" showErrorMessage="1" sqref="E9:E38 E102:E107 E86:E96 F60:F76" xr:uid="{00000000-0002-0000-0C00-000008000000}">
      <formula1>1</formula1>
      <formula2>99999999</formula2>
    </dataValidation>
    <dataValidation type="custom" allowBlank="1" showErrorMessage="1" sqref="L93:L94" xr:uid="{00000000-0002-0000-0C00-000009000000}">
      <formula1>IF($C39=3,L39&lt;0,L39&gt;=0)</formula1>
    </dataValidation>
    <dataValidation type="decimal" allowBlank="1" showErrorMessage="1" sqref="C86:C96 C40:C43 C9:C38" xr:uid="{00000000-0002-0000-0C00-00000A000000}">
      <formula1>1</formula1>
      <formula2>3</formula2>
    </dataValidation>
    <dataValidation type="custom" allowBlank="1" showErrorMessage="1" sqref="J94:K94 J92:K92 J88:K88 H88 H92 H94 H86 J86:K86" xr:uid="{00000000-0002-0000-0C00-00000B000000}">
      <formula1>IF($C86=3,H86&lt;0,H86&gt;=0)</formula1>
    </dataValidation>
    <dataValidation type="custom" allowBlank="1" showErrorMessage="1" sqref="L88:L91" xr:uid="{00000000-0002-0000-0C00-00000C000000}">
      <formula1>IF($C28=3,L28&lt;0,L28&gt;=0)</formula1>
    </dataValidation>
  </dataValidations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CDDC"/>
  </sheetPr>
  <dimension ref="B2:Q1000"/>
  <sheetViews>
    <sheetView showGridLines="0" workbookViewId="0"/>
  </sheetViews>
  <sheetFormatPr baseColWidth="10" defaultColWidth="14.42578125" defaultRowHeight="15" customHeight="1" x14ac:dyDescent="0.25"/>
  <cols>
    <col min="1" max="1" width="3.42578125" customWidth="1"/>
    <col min="2" max="2" width="10.7109375" customWidth="1"/>
    <col min="3" max="3" width="20.28515625" customWidth="1"/>
    <col min="4" max="4" width="12.7109375" customWidth="1"/>
    <col min="5" max="5" width="14.140625" customWidth="1"/>
    <col min="6" max="6" width="3.42578125" customWidth="1"/>
    <col min="7" max="7" width="10.7109375" customWidth="1"/>
    <col min="8" max="8" width="20.28515625" customWidth="1"/>
    <col min="9" max="9" width="12.7109375" customWidth="1"/>
    <col min="10" max="10" width="13.7109375" customWidth="1"/>
    <col min="11" max="11" width="2.140625" customWidth="1"/>
    <col min="12" max="12" width="10.7109375" customWidth="1"/>
    <col min="13" max="13" width="17.28515625" customWidth="1"/>
    <col min="14" max="14" width="12.7109375" customWidth="1"/>
    <col min="15" max="15" width="13.85546875" customWidth="1"/>
    <col min="16" max="16" width="6.7109375" customWidth="1"/>
    <col min="17" max="26" width="10.7109375" customWidth="1"/>
  </cols>
  <sheetData>
    <row r="2" spans="2:17" ht="31.5" x14ac:dyDescent="0.25">
      <c r="B2" s="481" t="s">
        <v>1380</v>
      </c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9"/>
    </row>
    <row r="3" spans="2:17" ht="10.5" customHeight="1" x14ac:dyDescent="0.4">
      <c r="B3" s="138"/>
      <c r="C3" s="138"/>
      <c r="D3" s="138"/>
      <c r="E3" s="138"/>
      <c r="F3" s="138"/>
      <c r="G3" s="139"/>
      <c r="H3" s="139"/>
      <c r="I3" s="139"/>
      <c r="J3" s="139"/>
      <c r="K3" s="139"/>
      <c r="L3" s="88"/>
      <c r="M3" s="88"/>
      <c r="N3" s="88"/>
      <c r="O3" s="88"/>
    </row>
    <row r="4" spans="2:17" ht="18.75" x14ac:dyDescent="0.25">
      <c r="B4" s="482">
        <f>'Abr-26'!N1</f>
        <v>45748</v>
      </c>
      <c r="C4" s="483"/>
      <c r="D4" s="483"/>
      <c r="E4" s="484"/>
      <c r="F4" s="88"/>
      <c r="G4" s="482">
        <f>EDATE($B$4,1)</f>
        <v>45778</v>
      </c>
      <c r="H4" s="483"/>
      <c r="I4" s="483"/>
      <c r="J4" s="484"/>
      <c r="K4" s="88"/>
      <c r="L4" s="482">
        <f>EDATE($G$4,1)</f>
        <v>45809</v>
      </c>
      <c r="M4" s="483"/>
      <c r="N4" s="483"/>
      <c r="O4" s="484"/>
    </row>
    <row r="5" spans="2:17" x14ac:dyDescent="0.25">
      <c r="B5" s="140">
        <v>121.1</v>
      </c>
      <c r="C5" s="141" t="s">
        <v>10</v>
      </c>
      <c r="D5" s="142"/>
      <c r="E5" s="143"/>
      <c r="F5" s="88"/>
      <c r="G5" s="144">
        <f>IF($B$5="","",$B$5)</f>
        <v>121.1</v>
      </c>
      <c r="H5" s="145" t="str">
        <f>IF($C$5="","",$C$5)</f>
        <v>MERCADERIA</v>
      </c>
      <c r="I5" s="142"/>
      <c r="J5" s="143"/>
      <c r="K5" s="88"/>
      <c r="L5" s="144">
        <f>IF($B$5="","",$B$5)</f>
        <v>121.1</v>
      </c>
      <c r="M5" s="145" t="str">
        <f>IF($C$5="","",$C$5)</f>
        <v>MERCADERIA</v>
      </c>
      <c r="N5" s="142"/>
      <c r="O5" s="143"/>
    </row>
    <row r="6" spans="2:17" x14ac:dyDescent="0.25">
      <c r="B6" s="144">
        <v>500.5</v>
      </c>
      <c r="C6" s="145" t="s">
        <v>1381</v>
      </c>
      <c r="D6" s="146"/>
      <c r="E6" s="147"/>
      <c r="F6" s="88"/>
      <c r="G6" s="144">
        <f>IF($B$6="","",$B$6)</f>
        <v>500.5</v>
      </c>
      <c r="H6" s="145" t="str">
        <f>IF($C$6="","",$C$6)</f>
        <v xml:space="preserve">GTOS COMERCIALIZACION </v>
      </c>
      <c r="I6" s="146"/>
      <c r="J6" s="147"/>
      <c r="K6" s="88"/>
      <c r="L6" s="144">
        <f>IF($B$6="","",$B$6)</f>
        <v>500.5</v>
      </c>
      <c r="M6" s="145" t="str">
        <f>IF($C$6="","",$C$6)</f>
        <v xml:space="preserve">GTOS COMERCIALIZACION </v>
      </c>
      <c r="N6" s="146"/>
      <c r="O6" s="147"/>
    </row>
    <row r="7" spans="2:17" x14ac:dyDescent="0.25">
      <c r="B7" s="144"/>
      <c r="C7" s="145" t="s">
        <v>1382</v>
      </c>
      <c r="D7" s="146"/>
      <c r="E7" s="147"/>
      <c r="F7" s="88"/>
      <c r="G7" s="144" t="str">
        <f>IF($B$7="","",$B$7)</f>
        <v/>
      </c>
      <c r="H7" s="145" t="str">
        <f>IF($C$7="","",$C$7)</f>
        <v>GTOS ADMINISTRATIVOS</v>
      </c>
      <c r="I7" s="146"/>
      <c r="J7" s="147"/>
      <c r="K7" s="88"/>
      <c r="L7" s="144" t="str">
        <f>IF($B$7="","",$B$7)</f>
        <v/>
      </c>
      <c r="M7" s="145" t="str">
        <f>IF($C$7="","",$C$7)</f>
        <v>GTOS ADMINISTRATIVOS</v>
      </c>
      <c r="N7" s="146"/>
      <c r="O7" s="147"/>
    </row>
    <row r="8" spans="2:17" x14ac:dyDescent="0.25">
      <c r="B8" s="144">
        <v>500.15</v>
      </c>
      <c r="C8" s="145" t="s">
        <v>1383</v>
      </c>
      <c r="D8" s="146"/>
      <c r="E8" s="147"/>
      <c r="F8" s="88"/>
      <c r="G8" s="144">
        <f>IF($B$8="","",$B$8)</f>
        <v>500.15</v>
      </c>
      <c r="H8" s="145" t="str">
        <f>IF($C$8="","",$C$8)</f>
        <v>SERVICIOS GAS, LUZ, ETC</v>
      </c>
      <c r="I8" s="146"/>
      <c r="J8" s="147"/>
      <c r="K8" s="88"/>
      <c r="L8" s="144">
        <f>IF($B$8="","",$B$8)</f>
        <v>500.15</v>
      </c>
      <c r="M8" s="145" t="str">
        <f>IF($C$8="","",$C$8)</f>
        <v>SERVICIOS GAS, LUZ, ETC</v>
      </c>
      <c r="N8" s="146"/>
      <c r="O8" s="147"/>
    </row>
    <row r="9" spans="2:17" x14ac:dyDescent="0.25">
      <c r="B9" s="144">
        <v>500.3</v>
      </c>
      <c r="C9" s="145" t="s">
        <v>920</v>
      </c>
      <c r="D9" s="146"/>
      <c r="E9" s="147"/>
      <c r="F9" s="88"/>
      <c r="G9" s="144">
        <f>IF($B$9="","",$B$9)</f>
        <v>500.3</v>
      </c>
      <c r="H9" s="145" t="str">
        <f>IF($C$9="","",$C$9)</f>
        <v>GASTOS VARIOS</v>
      </c>
      <c r="I9" s="146"/>
      <c r="J9" s="147"/>
      <c r="K9" s="88"/>
      <c r="L9" s="144">
        <f>IF($B$9="","",$B$9)</f>
        <v>500.3</v>
      </c>
      <c r="M9" s="145" t="str">
        <f>IF($C$9="","",$C$9)</f>
        <v>GASTOS VARIOS</v>
      </c>
      <c r="N9" s="146"/>
      <c r="O9" s="147"/>
    </row>
    <row r="10" spans="2:17" x14ac:dyDescent="0.25">
      <c r="B10" s="144">
        <v>500.23</v>
      </c>
      <c r="C10" s="145" t="s">
        <v>97</v>
      </c>
      <c r="D10" s="146"/>
      <c r="E10" s="147"/>
      <c r="F10" s="88"/>
      <c r="G10" s="144">
        <f>IF($B$10="","",$B$10)</f>
        <v>500.23</v>
      </c>
      <c r="H10" s="145" t="str">
        <f>IF($C$10="","",$C$10)</f>
        <v>COMBUSTIBLE</v>
      </c>
      <c r="I10" s="146"/>
      <c r="J10" s="147"/>
      <c r="K10" s="88"/>
      <c r="L10" s="144">
        <f>IF($B$10="","",$B$10)</f>
        <v>500.23</v>
      </c>
      <c r="M10" s="145" t="str">
        <f>IF($C$10="","",$C$10)</f>
        <v>COMBUSTIBLE</v>
      </c>
      <c r="N10" s="146"/>
      <c r="O10" s="147"/>
    </row>
    <row r="11" spans="2:17" x14ac:dyDescent="0.25">
      <c r="B11" s="144">
        <v>500.45</v>
      </c>
      <c r="C11" s="145" t="s">
        <v>1384</v>
      </c>
      <c r="D11" s="146"/>
      <c r="E11" s="147"/>
      <c r="F11" s="88"/>
      <c r="G11" s="144">
        <f>IF($B$11="","",$B$11)</f>
        <v>500.45</v>
      </c>
      <c r="H11" s="145" t="str">
        <f>IF($C$11="","",$C$11)</f>
        <v xml:space="preserve">GTOS MANTENIMIENTO </v>
      </c>
      <c r="I11" s="146"/>
      <c r="J11" s="147"/>
      <c r="K11" s="88"/>
      <c r="L11" s="144">
        <f>IF($B$11="","",$B$11)</f>
        <v>500.45</v>
      </c>
      <c r="M11" s="145" t="str">
        <f>IF($C$11="","",$C$11)</f>
        <v xml:space="preserve">GTOS MANTENIMIENTO </v>
      </c>
      <c r="N11" s="146"/>
      <c r="O11" s="147"/>
    </row>
    <row r="12" spans="2:17" x14ac:dyDescent="0.25">
      <c r="B12" s="144">
        <v>500.31</v>
      </c>
      <c r="C12" s="145" t="s">
        <v>130</v>
      </c>
      <c r="D12" s="146"/>
      <c r="E12" s="147"/>
      <c r="F12" s="88"/>
      <c r="G12" s="144">
        <f>IF($B$12="","",$B$12)</f>
        <v>500.31</v>
      </c>
      <c r="H12" s="145" t="str">
        <f>IF($C$12="","",$C$12)</f>
        <v>LIBRERÍA</v>
      </c>
      <c r="I12" s="146"/>
      <c r="J12" s="147"/>
      <c r="K12" s="88"/>
      <c r="L12" s="144">
        <f>IF($B$12="","",$B$12)</f>
        <v>500.31</v>
      </c>
      <c r="M12" s="145" t="str">
        <f>IF($C$12="","",$C$12)</f>
        <v>LIBRERÍA</v>
      </c>
      <c r="N12" s="146"/>
      <c r="O12" s="147"/>
    </row>
    <row r="13" spans="2:17" x14ac:dyDescent="0.25">
      <c r="B13" s="144">
        <v>500.21</v>
      </c>
      <c r="C13" s="145" t="s">
        <v>1385</v>
      </c>
      <c r="D13" s="146"/>
      <c r="E13" s="147"/>
      <c r="F13" s="88"/>
      <c r="G13" s="144">
        <f>IF($B$13="","",$B$13)</f>
        <v>500.21</v>
      </c>
      <c r="H13" s="145" t="str">
        <f>IF($C$13="","",$C$13)</f>
        <v>GTOS CATERING</v>
      </c>
      <c r="I13" s="146"/>
      <c r="J13" s="147"/>
      <c r="K13" s="88"/>
      <c r="L13" s="144">
        <f>IF($B$13="","",$B$13)</f>
        <v>500.21</v>
      </c>
      <c r="M13" s="145" t="str">
        <f>IF($C$13="","",$C$13)</f>
        <v>GTOS CATERING</v>
      </c>
      <c r="N13" s="146"/>
      <c r="O13" s="147"/>
    </row>
    <row r="14" spans="2:17" x14ac:dyDescent="0.25">
      <c r="B14" s="144">
        <v>540.1</v>
      </c>
      <c r="C14" s="145" t="s">
        <v>1386</v>
      </c>
      <c r="D14" s="146"/>
      <c r="E14" s="147"/>
      <c r="F14" s="88"/>
      <c r="G14" s="144">
        <f>IF($B$14="","",$B$14)</f>
        <v>540.1</v>
      </c>
      <c r="H14" s="145" t="str">
        <f>IF($C$14="","",$C$14)</f>
        <v>HONORARIOS CONTABLES</v>
      </c>
      <c r="I14" s="146"/>
      <c r="J14" s="147"/>
      <c r="K14" s="88"/>
      <c r="L14" s="144">
        <f>IF($B$14="","",$B$14)</f>
        <v>540.1</v>
      </c>
      <c r="M14" s="145" t="str">
        <f>IF($C$14="","",$C$14)</f>
        <v>HONORARIOS CONTABLES</v>
      </c>
      <c r="N14" s="146"/>
      <c r="O14" s="147"/>
    </row>
    <row r="15" spans="2:17" x14ac:dyDescent="0.25">
      <c r="B15" s="144">
        <v>540.11</v>
      </c>
      <c r="C15" s="145" t="s">
        <v>1387</v>
      </c>
      <c r="D15" s="146"/>
      <c r="E15" s="147"/>
      <c r="F15" s="88"/>
      <c r="G15" s="144">
        <f>IF($B$15="","",$B$15)</f>
        <v>540.11</v>
      </c>
      <c r="H15" s="145" t="str">
        <f>IF($C$15="","",$C$15)</f>
        <v>HONORARIOS JURIDICOS</v>
      </c>
      <c r="I15" s="146"/>
      <c r="J15" s="147"/>
      <c r="K15" s="88"/>
      <c r="L15" s="144">
        <f>IF($B$15="","",$B$15)</f>
        <v>540.11</v>
      </c>
      <c r="M15" s="145" t="str">
        <f>IF($C$15="","",$C$15)</f>
        <v>HONORARIOS JURIDICOS</v>
      </c>
      <c r="N15" s="146"/>
      <c r="O15" s="147"/>
    </row>
    <row r="16" spans="2:17" x14ac:dyDescent="0.25">
      <c r="B16" s="144">
        <v>500.30500000000001</v>
      </c>
      <c r="C16" s="145" t="s">
        <v>1388</v>
      </c>
      <c r="D16" s="146"/>
      <c r="E16" s="147"/>
      <c r="F16" s="88"/>
      <c r="G16" s="144">
        <f>IF($B$16="","",$B$16)</f>
        <v>500.30500000000001</v>
      </c>
      <c r="H16" s="145" t="str">
        <f>IF($C$16="","",$C$16)</f>
        <v>GTOS SEGURIDAD</v>
      </c>
      <c r="I16" s="146"/>
      <c r="J16" s="147"/>
      <c r="K16" s="88"/>
      <c r="L16" s="144">
        <f>IF($B$16="","",$B$16)</f>
        <v>500.30500000000001</v>
      </c>
      <c r="M16" s="145" t="str">
        <f>IF($C$16="","",$C$16)</f>
        <v>GTOS SEGURIDAD</v>
      </c>
      <c r="N16" s="146"/>
      <c r="O16" s="147"/>
      <c r="Q16" s="3" t="s">
        <v>1389</v>
      </c>
    </row>
    <row r="17" spans="2:17" x14ac:dyDescent="0.25">
      <c r="B17" s="144"/>
      <c r="C17" s="145" t="s">
        <v>1390</v>
      </c>
      <c r="D17" s="146"/>
      <c r="E17" s="147"/>
      <c r="F17" s="88"/>
      <c r="G17" s="144" t="str">
        <f>IF($B$17="","",$B$17)</f>
        <v/>
      </c>
      <c r="H17" s="145" t="str">
        <f>IF($C$17="","",$C$17)</f>
        <v>EQ DE COMPUTACION</v>
      </c>
      <c r="I17" s="146"/>
      <c r="J17" s="147"/>
      <c r="K17" s="88"/>
      <c r="L17" s="144" t="str">
        <f>IF($B$17="","",$B$17)</f>
        <v/>
      </c>
      <c r="M17" s="145" t="str">
        <f>IF($C$17="","",$C$17)</f>
        <v>EQ DE COMPUTACION</v>
      </c>
      <c r="N17" s="146"/>
      <c r="O17" s="147"/>
      <c r="P17" s="148"/>
    </row>
    <row r="18" spans="2:17" x14ac:dyDescent="0.25">
      <c r="B18" s="144"/>
      <c r="C18" s="145" t="s">
        <v>176</v>
      </c>
      <c r="D18" s="146"/>
      <c r="E18" s="147"/>
      <c r="F18" s="88"/>
      <c r="G18" s="144" t="str">
        <f>IF($B$18="","",$B$18)</f>
        <v/>
      </c>
      <c r="H18" s="145" t="str">
        <f>IF($C$18="","",$C$18)</f>
        <v>ALQUILER</v>
      </c>
      <c r="I18" s="146"/>
      <c r="J18" s="147"/>
      <c r="K18" s="88"/>
      <c r="L18" s="144" t="str">
        <f>IF($B$18="","",$B$18)</f>
        <v/>
      </c>
      <c r="M18" s="145" t="str">
        <f>IF($C$18="","",$C$18)</f>
        <v>ALQUILER</v>
      </c>
      <c r="N18" s="146"/>
      <c r="O18" s="147"/>
      <c r="P18" s="149" t="s">
        <v>1391</v>
      </c>
      <c r="Q18" s="3" t="s">
        <v>1392</v>
      </c>
    </row>
    <row r="19" spans="2:17" x14ac:dyDescent="0.25">
      <c r="B19" s="144">
        <v>107.1</v>
      </c>
      <c r="C19" s="145" t="s">
        <v>1341</v>
      </c>
      <c r="D19" s="146"/>
      <c r="E19" s="147"/>
      <c r="F19" s="88"/>
      <c r="G19" s="144">
        <f>IF($B$19="","",$B$19)</f>
        <v>107.1</v>
      </c>
      <c r="H19" s="145" t="str">
        <f>IF($C$19="","",$C$19)</f>
        <v>IVA 21%</v>
      </c>
      <c r="I19" s="146"/>
      <c r="J19" s="147"/>
      <c r="K19" s="88"/>
      <c r="L19" s="144">
        <f>IF($B$19="","",$B$19)</f>
        <v>107.1</v>
      </c>
      <c r="M19" s="145" t="str">
        <f>IF($C$19="","",$C$19)</f>
        <v>IVA 21%</v>
      </c>
      <c r="N19" s="146"/>
      <c r="O19" s="147"/>
    </row>
    <row r="20" spans="2:17" x14ac:dyDescent="0.25">
      <c r="B20" s="144">
        <v>107.101</v>
      </c>
      <c r="C20" s="145" t="s">
        <v>1328</v>
      </c>
      <c r="D20" s="146"/>
      <c r="E20" s="147"/>
      <c r="F20" s="88"/>
      <c r="G20" s="144">
        <f>IF($B$20="","",$B$20)</f>
        <v>107.101</v>
      </c>
      <c r="H20" s="145" t="str">
        <f>IF($C$20="","",$C$20)</f>
        <v>IVA 27%</v>
      </c>
      <c r="I20" s="146"/>
      <c r="J20" s="147"/>
      <c r="K20" s="88"/>
      <c r="L20" s="144">
        <f>IF($B$20="","",$B$20)</f>
        <v>107.101</v>
      </c>
      <c r="M20" s="145" t="str">
        <f>IF($C$20="","",$C$20)</f>
        <v>IVA 27%</v>
      </c>
      <c r="N20" s="146"/>
      <c r="O20" s="147"/>
    </row>
    <row r="21" spans="2:17" ht="15.75" customHeight="1" x14ac:dyDescent="0.25">
      <c r="B21" s="144">
        <v>107.102</v>
      </c>
      <c r="C21" s="145" t="s">
        <v>1329</v>
      </c>
      <c r="D21" s="146"/>
      <c r="E21" s="147"/>
      <c r="F21" s="88"/>
      <c r="G21" s="144">
        <f>IF($B$21="","",$B$21)</f>
        <v>107.102</v>
      </c>
      <c r="H21" s="145" t="str">
        <f>IF($C$21="","",$C$21)</f>
        <v>IVA 10,5%</v>
      </c>
      <c r="I21" s="146"/>
      <c r="J21" s="147"/>
      <c r="K21" s="88"/>
      <c r="L21" s="144">
        <f>IF($B$21="","",$B$21)</f>
        <v>107.102</v>
      </c>
      <c r="M21" s="145" t="str">
        <f>IF($C$21="","",$C$21)</f>
        <v>IVA 10,5%</v>
      </c>
      <c r="N21" s="146"/>
      <c r="O21" s="147"/>
    </row>
    <row r="22" spans="2:17" ht="15.75" customHeight="1" x14ac:dyDescent="0.25">
      <c r="B22" s="144">
        <v>106.521</v>
      </c>
      <c r="C22" s="145" t="s">
        <v>1393</v>
      </c>
      <c r="D22" s="146"/>
      <c r="E22" s="147"/>
      <c r="F22" s="88"/>
      <c r="G22" s="144">
        <f>IF($B$22="","",$B$22)</f>
        <v>106.521</v>
      </c>
      <c r="H22" s="145" t="str">
        <f>IF($C$22="","",$C$22)</f>
        <v>PERC IIBB BS AS</v>
      </c>
      <c r="I22" s="146"/>
      <c r="J22" s="147"/>
      <c r="K22" s="88"/>
      <c r="L22" s="144">
        <f>IF($B$22="","",$B$22)</f>
        <v>106.521</v>
      </c>
      <c r="M22" s="145" t="str">
        <f>IF($C$22="","",$C$22)</f>
        <v>PERC IIBB BS AS</v>
      </c>
      <c r="N22" s="146"/>
      <c r="O22" s="147"/>
    </row>
    <row r="23" spans="2:17" ht="15.75" customHeight="1" x14ac:dyDescent="0.25">
      <c r="B23" s="144">
        <v>106.515</v>
      </c>
      <c r="C23" s="145" t="s">
        <v>1394</v>
      </c>
      <c r="D23" s="146"/>
      <c r="E23" s="147"/>
      <c r="F23" s="88"/>
      <c r="G23" s="144">
        <f>IF($B$23="","",$B$23)</f>
        <v>106.515</v>
      </c>
      <c r="H23" s="145" t="str">
        <f>IF($C$23="","",$C$23)</f>
        <v>PERC IIBB CABA</v>
      </c>
      <c r="I23" s="146"/>
      <c r="J23" s="147"/>
      <c r="K23" s="88"/>
      <c r="L23" s="144">
        <f>IF($B$23="","",$B$23)</f>
        <v>106.515</v>
      </c>
      <c r="M23" s="145" t="str">
        <f>IF($C$23="","",$C$23)</f>
        <v>PERC IIBB CABA</v>
      </c>
      <c r="N23" s="146"/>
      <c r="O23" s="147"/>
    </row>
    <row r="24" spans="2:17" ht="15.75" customHeight="1" x14ac:dyDescent="0.25">
      <c r="B24" s="144">
        <v>106.535</v>
      </c>
      <c r="C24" s="145" t="s">
        <v>1330</v>
      </c>
      <c r="D24" s="150"/>
      <c r="E24" s="151"/>
      <c r="F24" s="88"/>
      <c r="G24" s="144">
        <f>IF($B$24="","",$B$24)</f>
        <v>106.535</v>
      </c>
      <c r="H24" s="145" t="str">
        <f>IF($C$24="","",$C$24)</f>
        <v>PERC. IVA</v>
      </c>
      <c r="I24" s="150"/>
      <c r="J24" s="151"/>
      <c r="K24" s="88"/>
      <c r="L24" s="144">
        <f>IF($B$24="","",$B$24)</f>
        <v>106.535</v>
      </c>
      <c r="M24" s="145" t="str">
        <f>IF($C$24="","",$C$24)</f>
        <v>PERC. IVA</v>
      </c>
      <c r="N24" s="150"/>
      <c r="O24" s="151"/>
    </row>
    <row r="25" spans="2:17" ht="15.75" customHeight="1" x14ac:dyDescent="0.25">
      <c r="B25" s="144"/>
      <c r="C25" s="145"/>
      <c r="D25" s="152"/>
      <c r="E25" s="151"/>
      <c r="F25" s="88"/>
      <c r="G25" s="144" t="str">
        <f>IF($B$25="","",$B$25)</f>
        <v/>
      </c>
      <c r="H25" s="145" t="str">
        <f>IF($C$25="","",$C$25)</f>
        <v/>
      </c>
      <c r="I25" s="152"/>
      <c r="J25" s="151"/>
      <c r="K25" s="88"/>
      <c r="L25" s="144" t="str">
        <f>IF($B$25="","",$B$25)</f>
        <v/>
      </c>
      <c r="M25" s="145" t="str">
        <f>IF($C$25="","",$C$25)</f>
        <v/>
      </c>
      <c r="N25" s="152"/>
      <c r="O25" s="151"/>
    </row>
    <row r="26" spans="2:17" ht="15.75" customHeight="1" x14ac:dyDescent="0.25">
      <c r="B26" s="144"/>
      <c r="C26" s="145"/>
      <c r="D26" s="152"/>
      <c r="E26" s="151"/>
      <c r="F26" s="88"/>
      <c r="G26" s="144" t="str">
        <f>IF($B$26="","",$B$26)</f>
        <v/>
      </c>
      <c r="H26" s="145" t="str">
        <f>IF($C$26="","",$C$26)</f>
        <v/>
      </c>
      <c r="I26" s="152"/>
      <c r="J26" s="151"/>
      <c r="K26" s="88"/>
      <c r="L26" s="144" t="str">
        <f>IF($B$26="","",$B$26)</f>
        <v/>
      </c>
      <c r="M26" s="145" t="str">
        <f>IF($C$26="","",$C$26)</f>
        <v/>
      </c>
      <c r="N26" s="152"/>
      <c r="O26" s="151"/>
    </row>
    <row r="27" spans="2:17" ht="15.75" customHeight="1" x14ac:dyDescent="0.25">
      <c r="B27" s="153">
        <v>200.9</v>
      </c>
      <c r="C27" s="154" t="s">
        <v>1395</v>
      </c>
      <c r="D27" s="151"/>
      <c r="E27" s="151"/>
      <c r="F27" s="88"/>
      <c r="G27" s="144">
        <f>IF($B$27="","",$B$27)</f>
        <v>200.9</v>
      </c>
      <c r="H27" s="145" t="str">
        <f>IF($C$27="","",$C$27)</f>
        <v>PROVEEDORES</v>
      </c>
      <c r="I27" s="151"/>
      <c r="J27" s="151"/>
      <c r="K27" s="88"/>
      <c r="L27" s="144">
        <f>IF($B$27="","",$B$27)</f>
        <v>200.9</v>
      </c>
      <c r="M27" s="145" t="str">
        <f>IF($C$27="","",$C$27)</f>
        <v>PROVEEDORES</v>
      </c>
      <c r="N27" s="151"/>
      <c r="O27" s="151"/>
    </row>
    <row r="28" spans="2:17" ht="15.75" customHeight="1" x14ac:dyDescent="0.25">
      <c r="B28" s="485" t="s">
        <v>1396</v>
      </c>
      <c r="C28" s="486"/>
      <c r="D28" s="486"/>
      <c r="E28" s="155">
        <v>0</v>
      </c>
      <c r="F28" s="88"/>
      <c r="G28" s="485" t="s">
        <v>1397</v>
      </c>
      <c r="H28" s="486"/>
      <c r="I28" s="486"/>
      <c r="J28" s="155">
        <v>0</v>
      </c>
      <c r="K28" s="88"/>
      <c r="L28" s="485" t="s">
        <v>1398</v>
      </c>
      <c r="M28" s="486"/>
      <c r="N28" s="486"/>
      <c r="O28" s="155">
        <v>0</v>
      </c>
    </row>
    <row r="29" spans="2:17" ht="15.75" customHeight="1" x14ac:dyDescent="0.25">
      <c r="B29" s="156"/>
      <c r="C29" s="156"/>
      <c r="D29" s="156"/>
      <c r="E29" s="157"/>
      <c r="F29" s="88"/>
      <c r="G29" s="156"/>
      <c r="H29" s="156"/>
      <c r="I29" s="156"/>
      <c r="J29" s="157"/>
      <c r="K29" s="88"/>
      <c r="L29" s="156"/>
      <c r="M29" s="156"/>
      <c r="N29" s="156"/>
      <c r="O29" s="157"/>
    </row>
    <row r="30" spans="2:17" ht="15.75" customHeight="1" x14ac:dyDescent="0.25">
      <c r="B30" s="482">
        <f>EDATE($L$4,1)</f>
        <v>45839</v>
      </c>
      <c r="C30" s="483"/>
      <c r="D30" s="483"/>
      <c r="E30" s="484"/>
      <c r="F30" s="88"/>
      <c r="G30" s="482">
        <f>EDATE($B$30,1)</f>
        <v>45870</v>
      </c>
      <c r="H30" s="483"/>
      <c r="I30" s="483"/>
      <c r="J30" s="484"/>
      <c r="K30" s="88"/>
      <c r="L30" s="482">
        <f>EDATE($G$30,1)</f>
        <v>45901</v>
      </c>
      <c r="M30" s="483"/>
      <c r="N30" s="483"/>
      <c r="O30" s="484"/>
    </row>
    <row r="31" spans="2:17" ht="15.75" customHeight="1" x14ac:dyDescent="0.25">
      <c r="B31" s="144">
        <f>IF($B$5="","",$B$5)</f>
        <v>121.1</v>
      </c>
      <c r="C31" s="145" t="str">
        <f>IF($C$5="","",$C$5)</f>
        <v>MERCADERIA</v>
      </c>
      <c r="D31" s="142"/>
      <c r="E31" s="143"/>
      <c r="F31" s="88"/>
      <c r="G31" s="144">
        <f>IF($B$5="","",$B$5)</f>
        <v>121.1</v>
      </c>
      <c r="H31" s="145" t="str">
        <f>IF($C$5="","",$C$5)</f>
        <v>MERCADERIA</v>
      </c>
      <c r="I31" s="142"/>
      <c r="J31" s="143"/>
      <c r="K31" s="88"/>
      <c r="L31" s="144">
        <f>IF($B$5="","",$B$5)</f>
        <v>121.1</v>
      </c>
      <c r="M31" s="145" t="str">
        <f>IF($C$5="","",$C$5)</f>
        <v>MERCADERIA</v>
      </c>
      <c r="N31" s="142"/>
      <c r="O31" s="143"/>
    </row>
    <row r="32" spans="2:17" ht="15.75" customHeight="1" x14ac:dyDescent="0.25">
      <c r="B32" s="144">
        <f>IF($B$6="","",$B$6)</f>
        <v>500.5</v>
      </c>
      <c r="C32" s="145" t="str">
        <f>IF($C$6="","",$C$6)</f>
        <v xml:space="preserve">GTOS COMERCIALIZACION </v>
      </c>
      <c r="D32" s="146"/>
      <c r="E32" s="147"/>
      <c r="F32" s="88"/>
      <c r="G32" s="144">
        <f>IF($B$6="","",$B$6)</f>
        <v>500.5</v>
      </c>
      <c r="H32" s="145" t="str">
        <f>IF($C$6="","",$C$6)</f>
        <v xml:space="preserve">GTOS COMERCIALIZACION </v>
      </c>
      <c r="I32" s="146"/>
      <c r="J32" s="147"/>
      <c r="K32" s="88"/>
      <c r="L32" s="144">
        <f>IF($B$6="","",$B$6)</f>
        <v>500.5</v>
      </c>
      <c r="M32" s="145" t="str">
        <f>IF($C$6="","",$C$6)</f>
        <v xml:space="preserve">GTOS COMERCIALIZACION </v>
      </c>
      <c r="N32" s="146"/>
      <c r="O32" s="147"/>
    </row>
    <row r="33" spans="2:15" ht="15.75" customHeight="1" x14ac:dyDescent="0.25">
      <c r="B33" s="144" t="str">
        <f>IF($B$7="","",$B$7)</f>
        <v/>
      </c>
      <c r="C33" s="145" t="str">
        <f>IF($C$7="","",$C$7)</f>
        <v>GTOS ADMINISTRATIVOS</v>
      </c>
      <c r="D33" s="146"/>
      <c r="E33" s="147"/>
      <c r="F33" s="88"/>
      <c r="G33" s="144" t="str">
        <f>IF($B$7="","",$B$7)</f>
        <v/>
      </c>
      <c r="H33" s="145" t="str">
        <f>IF($C$7="","",$C$7)</f>
        <v>GTOS ADMINISTRATIVOS</v>
      </c>
      <c r="I33" s="146"/>
      <c r="J33" s="147"/>
      <c r="K33" s="88"/>
      <c r="L33" s="144" t="str">
        <f>IF($B$7="","",$B$7)</f>
        <v/>
      </c>
      <c r="M33" s="145" t="str">
        <f>IF($C$7="","",$C$7)</f>
        <v>GTOS ADMINISTRATIVOS</v>
      </c>
      <c r="N33" s="146"/>
      <c r="O33" s="147"/>
    </row>
    <row r="34" spans="2:15" ht="15.75" customHeight="1" x14ac:dyDescent="0.25">
      <c r="B34" s="144">
        <f>IF($B$8="","",$B$8)</f>
        <v>500.15</v>
      </c>
      <c r="C34" s="145" t="str">
        <f>IF($C$8="","",$C$8)</f>
        <v>SERVICIOS GAS, LUZ, ETC</v>
      </c>
      <c r="D34" s="146"/>
      <c r="E34" s="147"/>
      <c r="F34" s="88"/>
      <c r="G34" s="144">
        <f>IF($B$8="","",$B$8)</f>
        <v>500.15</v>
      </c>
      <c r="H34" s="145" t="str">
        <f>IF($C$8="","",$C$8)</f>
        <v>SERVICIOS GAS, LUZ, ETC</v>
      </c>
      <c r="I34" s="146"/>
      <c r="J34" s="147"/>
      <c r="K34" s="88"/>
      <c r="L34" s="144">
        <f>IF($B$8="","",$B$8)</f>
        <v>500.15</v>
      </c>
      <c r="M34" s="145" t="str">
        <f>IF($C$8="","",$C$8)</f>
        <v>SERVICIOS GAS, LUZ, ETC</v>
      </c>
      <c r="N34" s="146"/>
      <c r="O34" s="147"/>
    </row>
    <row r="35" spans="2:15" ht="15.75" customHeight="1" x14ac:dyDescent="0.25">
      <c r="B35" s="144">
        <f>IF($B$9="","",$B$9)</f>
        <v>500.3</v>
      </c>
      <c r="C35" s="145" t="str">
        <f>IF($C$9="","",$C$9)</f>
        <v>GASTOS VARIOS</v>
      </c>
      <c r="D35" s="146"/>
      <c r="E35" s="147"/>
      <c r="F35" s="88"/>
      <c r="G35" s="144">
        <f>IF($B$9="","",$B$9)</f>
        <v>500.3</v>
      </c>
      <c r="H35" s="145" t="str">
        <f>IF($C$9="","",$C$9)</f>
        <v>GASTOS VARIOS</v>
      </c>
      <c r="I35" s="146"/>
      <c r="J35" s="147"/>
      <c r="K35" s="88"/>
      <c r="L35" s="144">
        <f>IF($B$9="","",$B$9)</f>
        <v>500.3</v>
      </c>
      <c r="M35" s="145" t="str">
        <f>IF($C$9="","",$C$9)</f>
        <v>GASTOS VARIOS</v>
      </c>
      <c r="N35" s="146"/>
      <c r="O35" s="147"/>
    </row>
    <row r="36" spans="2:15" ht="15.75" customHeight="1" x14ac:dyDescent="0.25">
      <c r="B36" s="144">
        <f>IF($B$10="","",$B$10)</f>
        <v>500.23</v>
      </c>
      <c r="C36" s="145" t="str">
        <f>IF($C$10="","",$C$10)</f>
        <v>COMBUSTIBLE</v>
      </c>
      <c r="D36" s="146"/>
      <c r="E36" s="147"/>
      <c r="F36" s="88"/>
      <c r="G36" s="144">
        <f>IF($B$10="","",$B$10)</f>
        <v>500.23</v>
      </c>
      <c r="H36" s="145" t="str">
        <f>IF($C$10="","",$C$10)</f>
        <v>COMBUSTIBLE</v>
      </c>
      <c r="I36" s="146"/>
      <c r="J36" s="147"/>
      <c r="K36" s="88"/>
      <c r="L36" s="144">
        <f>IF($B$10="","",$B$10)</f>
        <v>500.23</v>
      </c>
      <c r="M36" s="145" t="str">
        <f>IF($C$10="","",$C$10)</f>
        <v>COMBUSTIBLE</v>
      </c>
      <c r="N36" s="146"/>
      <c r="O36" s="147"/>
    </row>
    <row r="37" spans="2:15" ht="15.75" customHeight="1" x14ac:dyDescent="0.25">
      <c r="B37" s="144">
        <f>IF($B$11="","",$B$11)</f>
        <v>500.45</v>
      </c>
      <c r="C37" s="145" t="str">
        <f>IF($C$11="","",$C$11)</f>
        <v xml:space="preserve">GTOS MANTENIMIENTO </v>
      </c>
      <c r="D37" s="146"/>
      <c r="E37" s="147"/>
      <c r="F37" s="88"/>
      <c r="G37" s="144">
        <f>IF($B$11="","",$B$11)</f>
        <v>500.45</v>
      </c>
      <c r="H37" s="145" t="str">
        <f>IF($C$11="","",$C$11)</f>
        <v xml:space="preserve">GTOS MANTENIMIENTO </v>
      </c>
      <c r="I37" s="146"/>
      <c r="J37" s="147"/>
      <c r="K37" s="88"/>
      <c r="L37" s="144">
        <f>IF($B$11="","",$B$11)</f>
        <v>500.45</v>
      </c>
      <c r="M37" s="145" t="str">
        <f>IF($C$11="","",$C$11)</f>
        <v xml:space="preserve">GTOS MANTENIMIENTO </v>
      </c>
      <c r="N37" s="146"/>
      <c r="O37" s="147"/>
    </row>
    <row r="38" spans="2:15" ht="15.75" customHeight="1" x14ac:dyDescent="0.25">
      <c r="B38" s="144">
        <f>IF($B$12="","",$B$12)</f>
        <v>500.31</v>
      </c>
      <c r="C38" s="145" t="str">
        <f>IF($C$12="","",$C$12)</f>
        <v>LIBRERÍA</v>
      </c>
      <c r="D38" s="146"/>
      <c r="E38" s="147"/>
      <c r="F38" s="88"/>
      <c r="G38" s="144">
        <f>IF($B$12="","",$B$12)</f>
        <v>500.31</v>
      </c>
      <c r="H38" s="145" t="str">
        <f>IF($C$12="","",$C$12)</f>
        <v>LIBRERÍA</v>
      </c>
      <c r="I38" s="146"/>
      <c r="J38" s="147"/>
      <c r="K38" s="88"/>
      <c r="L38" s="144">
        <f>IF($B$12="","",$B$12)</f>
        <v>500.31</v>
      </c>
      <c r="M38" s="145" t="str">
        <f>IF($C$12="","",$C$12)</f>
        <v>LIBRERÍA</v>
      </c>
      <c r="N38" s="146"/>
      <c r="O38" s="147"/>
    </row>
    <row r="39" spans="2:15" ht="15.75" customHeight="1" x14ac:dyDescent="0.25">
      <c r="B39" s="144">
        <f>IF($B$13="","",$B$13)</f>
        <v>500.21</v>
      </c>
      <c r="C39" s="145" t="str">
        <f>IF($C$13="","",$C$13)</f>
        <v>GTOS CATERING</v>
      </c>
      <c r="D39" s="146"/>
      <c r="E39" s="147"/>
      <c r="F39" s="88"/>
      <c r="G39" s="144">
        <f>IF($B$13="","",$B$13)</f>
        <v>500.21</v>
      </c>
      <c r="H39" s="145" t="str">
        <f>IF($C$13="","",$C$13)</f>
        <v>GTOS CATERING</v>
      </c>
      <c r="I39" s="146"/>
      <c r="J39" s="147"/>
      <c r="K39" s="88"/>
      <c r="L39" s="144">
        <f>IF($B$13="","",$B$13)</f>
        <v>500.21</v>
      </c>
      <c r="M39" s="145" t="str">
        <f>IF($C$13="","",$C$13)</f>
        <v>GTOS CATERING</v>
      </c>
      <c r="N39" s="146"/>
      <c r="O39" s="147"/>
    </row>
    <row r="40" spans="2:15" ht="15.75" customHeight="1" x14ac:dyDescent="0.25">
      <c r="B40" s="144">
        <f>IF($B$14="","",$B$14)</f>
        <v>540.1</v>
      </c>
      <c r="C40" s="145" t="str">
        <f>IF($C$14="","",$C$14)</f>
        <v>HONORARIOS CONTABLES</v>
      </c>
      <c r="D40" s="146"/>
      <c r="E40" s="147"/>
      <c r="F40" s="88"/>
      <c r="G40" s="144">
        <f>IF($B$14="","",$B$14)</f>
        <v>540.1</v>
      </c>
      <c r="H40" s="145" t="str">
        <f>IF($C$14="","",$C$14)</f>
        <v>HONORARIOS CONTABLES</v>
      </c>
      <c r="I40" s="146"/>
      <c r="J40" s="147"/>
      <c r="K40" s="88"/>
      <c r="L40" s="144">
        <f>IF($B$14="","",$B$14)</f>
        <v>540.1</v>
      </c>
      <c r="M40" s="145" t="str">
        <f>IF($C$14="","",$C$14)</f>
        <v>HONORARIOS CONTABLES</v>
      </c>
      <c r="N40" s="146"/>
      <c r="O40" s="147"/>
    </row>
    <row r="41" spans="2:15" ht="15.75" customHeight="1" x14ac:dyDescent="0.25">
      <c r="B41" s="144">
        <f>IF($B$15="","",$B$15)</f>
        <v>540.11</v>
      </c>
      <c r="C41" s="145" t="str">
        <f>IF($C$15="","",$C$15)</f>
        <v>HONORARIOS JURIDICOS</v>
      </c>
      <c r="D41" s="146"/>
      <c r="E41" s="147"/>
      <c r="F41" s="88"/>
      <c r="G41" s="144">
        <f>IF($B$15="","",$B$15)</f>
        <v>540.11</v>
      </c>
      <c r="H41" s="145" t="str">
        <f>IF($C$15="","",$C$15)</f>
        <v>HONORARIOS JURIDICOS</v>
      </c>
      <c r="I41" s="146"/>
      <c r="J41" s="147"/>
      <c r="K41" s="88"/>
      <c r="L41" s="144">
        <f>IF($B$15="","",$B$15)</f>
        <v>540.11</v>
      </c>
      <c r="M41" s="145" t="str">
        <f>IF($C$15="","",$C$15)</f>
        <v>HONORARIOS JURIDICOS</v>
      </c>
      <c r="N41" s="146"/>
      <c r="O41" s="147"/>
    </row>
    <row r="42" spans="2:15" ht="15.75" customHeight="1" x14ac:dyDescent="0.25">
      <c r="B42" s="144">
        <f>IF($B$16="","",$B$16)</f>
        <v>500.30500000000001</v>
      </c>
      <c r="C42" s="145" t="str">
        <f>IF($C$16="","",$C$16)</f>
        <v>GTOS SEGURIDAD</v>
      </c>
      <c r="D42" s="146"/>
      <c r="E42" s="147"/>
      <c r="F42" s="88"/>
      <c r="G42" s="144">
        <f>IF($B$16="","",$B$16)</f>
        <v>500.30500000000001</v>
      </c>
      <c r="H42" s="145" t="str">
        <f>IF($C$16="","",$C$16)</f>
        <v>GTOS SEGURIDAD</v>
      </c>
      <c r="I42" s="146"/>
      <c r="J42" s="147"/>
      <c r="K42" s="88"/>
      <c r="L42" s="144">
        <f>IF($B$16="","",$B$16)</f>
        <v>500.30500000000001</v>
      </c>
      <c r="M42" s="145" t="str">
        <f>IF($C$16="","",$C$16)</f>
        <v>GTOS SEGURIDAD</v>
      </c>
      <c r="N42" s="146"/>
      <c r="O42" s="147"/>
    </row>
    <row r="43" spans="2:15" ht="15.75" customHeight="1" x14ac:dyDescent="0.25">
      <c r="B43" s="144" t="str">
        <f>IF($B$17="","",$B$17)</f>
        <v/>
      </c>
      <c r="C43" s="145" t="str">
        <f>IF($C$17="","",$C$17)</f>
        <v>EQ DE COMPUTACION</v>
      </c>
      <c r="D43" s="146"/>
      <c r="E43" s="147"/>
      <c r="F43" s="88"/>
      <c r="G43" s="144" t="str">
        <f>IF($B$17="","",$B$17)</f>
        <v/>
      </c>
      <c r="H43" s="145" t="str">
        <f>IF($C$17="","",$C$17)</f>
        <v>EQ DE COMPUTACION</v>
      </c>
      <c r="I43" s="146"/>
      <c r="J43" s="147"/>
      <c r="K43" s="88"/>
      <c r="L43" s="144" t="str">
        <f>IF($B$17="","",$B$17)</f>
        <v/>
      </c>
      <c r="M43" s="145" t="str">
        <f>IF($C$17="","",$C$17)</f>
        <v>EQ DE COMPUTACION</v>
      </c>
      <c r="N43" s="146"/>
      <c r="O43" s="147"/>
    </row>
    <row r="44" spans="2:15" ht="15.75" customHeight="1" x14ac:dyDescent="0.25">
      <c r="B44" s="144" t="str">
        <f>IF($B$18="","",$B$18)</f>
        <v/>
      </c>
      <c r="C44" s="145" t="str">
        <f>IF($C$18="","",$C$18)</f>
        <v>ALQUILER</v>
      </c>
      <c r="D44" s="146"/>
      <c r="E44" s="147"/>
      <c r="F44" s="88"/>
      <c r="G44" s="144" t="str">
        <f>IF($B$18="","",$B$18)</f>
        <v/>
      </c>
      <c r="H44" s="145" t="str">
        <f>IF($C$18="","",$C$18)</f>
        <v>ALQUILER</v>
      </c>
      <c r="I44" s="146"/>
      <c r="J44" s="147"/>
      <c r="K44" s="88"/>
      <c r="L44" s="144" t="str">
        <f>IF($B$18="","",$B$18)</f>
        <v/>
      </c>
      <c r="M44" s="145" t="str">
        <f>IF($C$18="","",$C$18)</f>
        <v>ALQUILER</v>
      </c>
      <c r="N44" s="146"/>
      <c r="O44" s="147"/>
    </row>
    <row r="45" spans="2:15" ht="15.75" customHeight="1" x14ac:dyDescent="0.25">
      <c r="B45" s="144">
        <f>IF($B$19="","",$B$19)</f>
        <v>107.1</v>
      </c>
      <c r="C45" s="145" t="str">
        <f>IF($C$19="","",$C$19)</f>
        <v>IVA 21%</v>
      </c>
      <c r="D45" s="146"/>
      <c r="E45" s="147"/>
      <c r="F45" s="88"/>
      <c r="G45" s="144">
        <f>IF($B$19="","",$B$19)</f>
        <v>107.1</v>
      </c>
      <c r="H45" s="145" t="str">
        <f>IF($C$19="","",$C$19)</f>
        <v>IVA 21%</v>
      </c>
      <c r="I45" s="146"/>
      <c r="J45" s="147"/>
      <c r="K45" s="88"/>
      <c r="L45" s="144">
        <f>IF($B$19="","",$B$19)</f>
        <v>107.1</v>
      </c>
      <c r="M45" s="145" t="str">
        <f>IF($C$19="","",$C$19)</f>
        <v>IVA 21%</v>
      </c>
      <c r="N45" s="146"/>
      <c r="O45" s="147"/>
    </row>
    <row r="46" spans="2:15" ht="15.75" customHeight="1" x14ac:dyDescent="0.25">
      <c r="B46" s="144">
        <f>IF($B$20="","",$B$20)</f>
        <v>107.101</v>
      </c>
      <c r="C46" s="145" t="str">
        <f>IF($C$20="","",$C$20)</f>
        <v>IVA 27%</v>
      </c>
      <c r="D46" s="146"/>
      <c r="E46" s="147"/>
      <c r="F46" s="88"/>
      <c r="G46" s="144">
        <f>IF($B$20="","",$B$20)</f>
        <v>107.101</v>
      </c>
      <c r="H46" s="145" t="str">
        <f>IF($C$20="","",$C$20)</f>
        <v>IVA 27%</v>
      </c>
      <c r="I46" s="146"/>
      <c r="J46" s="147"/>
      <c r="K46" s="88"/>
      <c r="L46" s="144">
        <f>IF($B$20="","",$B$20)</f>
        <v>107.101</v>
      </c>
      <c r="M46" s="145" t="str">
        <f>IF($C$20="","",$C$20)</f>
        <v>IVA 27%</v>
      </c>
      <c r="N46" s="146"/>
      <c r="O46" s="147"/>
    </row>
    <row r="47" spans="2:15" ht="15.75" customHeight="1" x14ac:dyDescent="0.25">
      <c r="B47" s="144">
        <f>IF($B$21="","",$B$21)</f>
        <v>107.102</v>
      </c>
      <c r="C47" s="145" t="str">
        <f>IF($C$21="","",$C$21)</f>
        <v>IVA 10,5%</v>
      </c>
      <c r="D47" s="146"/>
      <c r="E47" s="147"/>
      <c r="F47" s="88"/>
      <c r="G47" s="144">
        <f>IF($B$21="","",$B$21)</f>
        <v>107.102</v>
      </c>
      <c r="H47" s="145" t="str">
        <f>IF($C$21="","",$C$21)</f>
        <v>IVA 10,5%</v>
      </c>
      <c r="I47" s="146"/>
      <c r="J47" s="147"/>
      <c r="K47" s="88"/>
      <c r="L47" s="144">
        <f>IF($B$21="","",$B$21)</f>
        <v>107.102</v>
      </c>
      <c r="M47" s="145" t="str">
        <f>IF($C$21="","",$C$21)</f>
        <v>IVA 10,5%</v>
      </c>
      <c r="N47" s="146"/>
      <c r="O47" s="147"/>
    </row>
    <row r="48" spans="2:15" ht="15.75" customHeight="1" x14ac:dyDescent="0.25">
      <c r="B48" s="144">
        <f>IF($B$22="","",$B$22)</f>
        <v>106.521</v>
      </c>
      <c r="C48" s="145" t="str">
        <f>IF($C$22="","",$C$22)</f>
        <v>PERC IIBB BS AS</v>
      </c>
      <c r="D48" s="146"/>
      <c r="E48" s="147"/>
      <c r="F48" s="88"/>
      <c r="G48" s="144">
        <f>IF($B$22="","",$B$22)</f>
        <v>106.521</v>
      </c>
      <c r="H48" s="145" t="str">
        <f>IF($C$22="","",$C$22)</f>
        <v>PERC IIBB BS AS</v>
      </c>
      <c r="I48" s="146"/>
      <c r="J48" s="147"/>
      <c r="K48" s="88"/>
      <c r="L48" s="144">
        <f>IF($B$22="","",$B$22)</f>
        <v>106.521</v>
      </c>
      <c r="M48" s="145" t="str">
        <f>IF($C$22="","",$C$22)</f>
        <v>PERC IIBB BS AS</v>
      </c>
      <c r="N48" s="146"/>
      <c r="O48" s="147"/>
    </row>
    <row r="49" spans="2:15" ht="15.75" customHeight="1" x14ac:dyDescent="0.25">
      <c r="B49" s="144">
        <f>IF($B$23="","",$B$23)</f>
        <v>106.515</v>
      </c>
      <c r="C49" s="145" t="str">
        <f>IF($C$23="","",$C$23)</f>
        <v>PERC IIBB CABA</v>
      </c>
      <c r="D49" s="146"/>
      <c r="E49" s="147"/>
      <c r="F49" s="88"/>
      <c r="G49" s="144">
        <f>IF($B$23="","",$B$23)</f>
        <v>106.515</v>
      </c>
      <c r="H49" s="145" t="str">
        <f>IF($C$23="","",$C$23)</f>
        <v>PERC IIBB CABA</v>
      </c>
      <c r="I49" s="146"/>
      <c r="J49" s="147"/>
      <c r="K49" s="88"/>
      <c r="L49" s="144">
        <f>IF($B$23="","",$B$23)</f>
        <v>106.515</v>
      </c>
      <c r="M49" s="145" t="str">
        <f>IF($C$23="","",$C$23)</f>
        <v>PERC IIBB CABA</v>
      </c>
      <c r="N49" s="146"/>
      <c r="O49" s="147"/>
    </row>
    <row r="50" spans="2:15" ht="15.75" customHeight="1" x14ac:dyDescent="0.25">
      <c r="B50" s="144">
        <f>IF($B$24="","",$B$24)</f>
        <v>106.535</v>
      </c>
      <c r="C50" s="145" t="str">
        <f>IF($C$24="","",$C$24)</f>
        <v>PERC. IVA</v>
      </c>
      <c r="D50" s="150"/>
      <c r="E50" s="151"/>
      <c r="F50" s="88"/>
      <c r="G50" s="144">
        <f>IF($B$24="","",$B$24)</f>
        <v>106.535</v>
      </c>
      <c r="H50" s="145" t="str">
        <f>IF($C$24="","",$C$24)</f>
        <v>PERC. IVA</v>
      </c>
      <c r="I50" s="150"/>
      <c r="J50" s="151"/>
      <c r="K50" s="88"/>
      <c r="L50" s="144">
        <f>IF($B$24="","",$B$24)</f>
        <v>106.535</v>
      </c>
      <c r="M50" s="145" t="str">
        <f>IF($C$24="","",$C$24)</f>
        <v>PERC. IVA</v>
      </c>
      <c r="N50" s="150"/>
      <c r="O50" s="151"/>
    </row>
    <row r="51" spans="2:15" ht="15.75" customHeight="1" x14ac:dyDescent="0.25">
      <c r="B51" s="144" t="str">
        <f>IF($B$25="","",$B$25)</f>
        <v/>
      </c>
      <c r="C51" s="145" t="str">
        <f>IF($C$25="","",$C$25)</f>
        <v/>
      </c>
      <c r="D51" s="152"/>
      <c r="E51" s="151"/>
      <c r="F51" s="88"/>
      <c r="G51" s="144" t="str">
        <f>IF($B$25="","",$B$25)</f>
        <v/>
      </c>
      <c r="H51" s="145" t="str">
        <f>IF($C$25="","",$C$25)</f>
        <v/>
      </c>
      <c r="I51" s="152"/>
      <c r="J51" s="151"/>
      <c r="K51" s="88"/>
      <c r="L51" s="144" t="str">
        <f>IF($B$25="","",$B$25)</f>
        <v/>
      </c>
      <c r="M51" s="145" t="str">
        <f>IF($C$25="","",$C$25)</f>
        <v/>
      </c>
      <c r="N51" s="152"/>
      <c r="O51" s="151"/>
    </row>
    <row r="52" spans="2:15" ht="15.75" customHeight="1" x14ac:dyDescent="0.25">
      <c r="B52" s="144" t="str">
        <f>IF($B$26="","",$B$26)</f>
        <v/>
      </c>
      <c r="C52" s="145" t="str">
        <f>IF($C$26="","",$C$26)</f>
        <v/>
      </c>
      <c r="D52" s="152"/>
      <c r="E52" s="151"/>
      <c r="F52" s="88"/>
      <c r="G52" s="144" t="str">
        <f>IF($B$26="","",$B$26)</f>
        <v/>
      </c>
      <c r="H52" s="145" t="str">
        <f>IF($C$26="","",$C$26)</f>
        <v/>
      </c>
      <c r="I52" s="152"/>
      <c r="J52" s="151"/>
      <c r="K52" s="88"/>
      <c r="L52" s="144" t="str">
        <f>IF($B$26="","",$B$26)</f>
        <v/>
      </c>
      <c r="M52" s="145" t="str">
        <f>IF($C$26="","",$C$26)</f>
        <v/>
      </c>
      <c r="N52" s="152"/>
      <c r="O52" s="151"/>
    </row>
    <row r="53" spans="2:15" ht="15.75" customHeight="1" x14ac:dyDescent="0.25">
      <c r="B53" s="144">
        <f>IF($B$27="","",$B$27)</f>
        <v>200.9</v>
      </c>
      <c r="C53" s="145" t="str">
        <f>IF($C$27="","",$C$27)</f>
        <v>PROVEEDORES</v>
      </c>
      <c r="D53" s="151"/>
      <c r="E53" s="151"/>
      <c r="F53" s="88"/>
      <c r="G53" s="144">
        <f>IF($B$27="","",$B$27)</f>
        <v>200.9</v>
      </c>
      <c r="H53" s="145" t="str">
        <f>IF($C$27="","",$C$27)</f>
        <v>PROVEEDORES</v>
      </c>
      <c r="I53" s="151"/>
      <c r="J53" s="151"/>
      <c r="K53" s="88"/>
      <c r="L53" s="144">
        <f>IF($B$27="","",$B$27)</f>
        <v>200.9</v>
      </c>
      <c r="M53" s="145" t="str">
        <f>IF($C$27="","",$C$27)</f>
        <v>PROVEEDORES</v>
      </c>
      <c r="N53" s="151"/>
      <c r="O53" s="151"/>
    </row>
    <row r="54" spans="2:15" ht="15.75" customHeight="1" x14ac:dyDescent="0.25">
      <c r="B54" s="485"/>
      <c r="C54" s="486"/>
      <c r="D54" s="486"/>
      <c r="E54" s="155">
        <v>0</v>
      </c>
      <c r="F54" s="88"/>
      <c r="G54" s="485"/>
      <c r="H54" s="486"/>
      <c r="I54" s="486"/>
      <c r="J54" s="155">
        <v>0</v>
      </c>
      <c r="K54" s="88"/>
      <c r="L54" s="485"/>
      <c r="M54" s="486"/>
      <c r="N54" s="486"/>
      <c r="O54" s="155">
        <v>0</v>
      </c>
    </row>
    <row r="55" spans="2:15" ht="15.75" customHeight="1" x14ac:dyDescent="0.25"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</row>
    <row r="56" spans="2:15" ht="15.75" customHeight="1" x14ac:dyDescent="0.25">
      <c r="B56" s="482">
        <f>EDATE($L$30,1)</f>
        <v>45931</v>
      </c>
      <c r="C56" s="483"/>
      <c r="D56" s="483"/>
      <c r="E56" s="484"/>
      <c r="F56" s="88"/>
      <c r="G56" s="482">
        <f>EDATE($B$56,1)</f>
        <v>45962</v>
      </c>
      <c r="H56" s="483"/>
      <c r="I56" s="483"/>
      <c r="J56" s="484"/>
      <c r="K56" s="88"/>
      <c r="L56" s="482">
        <f>EDATE($G$56,1)</f>
        <v>45992</v>
      </c>
      <c r="M56" s="483"/>
      <c r="N56" s="483"/>
      <c r="O56" s="484"/>
    </row>
    <row r="57" spans="2:15" ht="15.75" customHeight="1" x14ac:dyDescent="0.25">
      <c r="B57" s="144">
        <f>IF($B$5="","",$B$5)</f>
        <v>121.1</v>
      </c>
      <c r="C57" s="145" t="str">
        <f>IF($C$5="","",$C$5)</f>
        <v>MERCADERIA</v>
      </c>
      <c r="D57" s="142"/>
      <c r="E57" s="143"/>
      <c r="F57" s="88"/>
      <c r="G57" s="144">
        <f>IF($B$5="","",$B$5)</f>
        <v>121.1</v>
      </c>
      <c r="H57" s="145" t="str">
        <f>IF($C$5="","",$C$5)</f>
        <v>MERCADERIA</v>
      </c>
      <c r="I57" s="142"/>
      <c r="J57" s="143"/>
      <c r="K57" s="88"/>
      <c r="L57" s="144">
        <f>IF($B$5="","",$B$5)</f>
        <v>121.1</v>
      </c>
      <c r="M57" s="145" t="str">
        <f>IF($C$5="","",$C$5)</f>
        <v>MERCADERIA</v>
      </c>
      <c r="N57" s="142"/>
      <c r="O57" s="143"/>
    </row>
    <row r="58" spans="2:15" ht="15.75" customHeight="1" x14ac:dyDescent="0.25">
      <c r="B58" s="144">
        <f>IF($B$6="","",$B$6)</f>
        <v>500.5</v>
      </c>
      <c r="C58" s="145" t="str">
        <f>IF($C$6="","",$C$6)</f>
        <v xml:space="preserve">GTOS COMERCIALIZACION </v>
      </c>
      <c r="D58" s="146"/>
      <c r="E58" s="147"/>
      <c r="F58" s="88"/>
      <c r="G58" s="144">
        <f>IF($B$6="","",$B$6)</f>
        <v>500.5</v>
      </c>
      <c r="H58" s="145" t="str">
        <f>IF($C$6="","",$C$6)</f>
        <v xml:space="preserve">GTOS COMERCIALIZACION </v>
      </c>
      <c r="I58" s="146"/>
      <c r="J58" s="147"/>
      <c r="K58" s="88"/>
      <c r="L58" s="144">
        <f>IF($B$6="","",$B$6)</f>
        <v>500.5</v>
      </c>
      <c r="M58" s="145" t="str">
        <f>IF($C$6="","",$C$6)</f>
        <v xml:space="preserve">GTOS COMERCIALIZACION </v>
      </c>
      <c r="N58" s="146"/>
      <c r="O58" s="147"/>
    </row>
    <row r="59" spans="2:15" ht="15.75" customHeight="1" x14ac:dyDescent="0.25">
      <c r="B59" s="144" t="str">
        <f>IF($B$7="","",$B$7)</f>
        <v/>
      </c>
      <c r="C59" s="145" t="str">
        <f>IF($C$7="","",$C$7)</f>
        <v>GTOS ADMINISTRATIVOS</v>
      </c>
      <c r="D59" s="146"/>
      <c r="E59" s="147"/>
      <c r="F59" s="88"/>
      <c r="G59" s="144" t="str">
        <f>IF($B$7="","",$B$7)</f>
        <v/>
      </c>
      <c r="H59" s="145" t="str">
        <f>IF($C$7="","",$C$7)</f>
        <v>GTOS ADMINISTRATIVOS</v>
      </c>
      <c r="I59" s="146"/>
      <c r="J59" s="147"/>
      <c r="K59" s="88"/>
      <c r="L59" s="144" t="str">
        <f>IF($B$7="","",$B$7)</f>
        <v/>
      </c>
      <c r="M59" s="145" t="str">
        <f>IF($C$7="","",$C$7)</f>
        <v>GTOS ADMINISTRATIVOS</v>
      </c>
      <c r="N59" s="146"/>
      <c r="O59" s="147"/>
    </row>
    <row r="60" spans="2:15" ht="15.75" customHeight="1" x14ac:dyDescent="0.25">
      <c r="B60" s="144">
        <f>IF($B$8="","",$B$8)</f>
        <v>500.15</v>
      </c>
      <c r="C60" s="145" t="str">
        <f>IF($C$8="","",$C$8)</f>
        <v>SERVICIOS GAS, LUZ, ETC</v>
      </c>
      <c r="D60" s="146"/>
      <c r="E60" s="147"/>
      <c r="F60" s="88"/>
      <c r="G60" s="144">
        <f>IF($B$8="","",$B$8)</f>
        <v>500.15</v>
      </c>
      <c r="H60" s="145" t="str">
        <f>IF($C$8="","",$C$8)</f>
        <v>SERVICIOS GAS, LUZ, ETC</v>
      </c>
      <c r="I60" s="146"/>
      <c r="J60" s="147"/>
      <c r="K60" s="88"/>
      <c r="L60" s="144">
        <f>IF($B$8="","",$B$8)</f>
        <v>500.15</v>
      </c>
      <c r="M60" s="145" t="str">
        <f>IF($C$8="","",$C$8)</f>
        <v>SERVICIOS GAS, LUZ, ETC</v>
      </c>
      <c r="N60" s="146"/>
      <c r="O60" s="147"/>
    </row>
    <row r="61" spans="2:15" ht="15.75" customHeight="1" x14ac:dyDescent="0.25">
      <c r="B61" s="144">
        <f>IF($B$9="","",$B$9)</f>
        <v>500.3</v>
      </c>
      <c r="C61" s="145" t="str">
        <f>IF($C$9="","",$C$9)</f>
        <v>GASTOS VARIOS</v>
      </c>
      <c r="D61" s="146"/>
      <c r="E61" s="147"/>
      <c r="F61" s="88"/>
      <c r="G61" s="144">
        <f>IF($B$9="","",$B$9)</f>
        <v>500.3</v>
      </c>
      <c r="H61" s="145" t="str">
        <f>IF($C$9="","",$C$9)</f>
        <v>GASTOS VARIOS</v>
      </c>
      <c r="I61" s="146"/>
      <c r="J61" s="147"/>
      <c r="K61" s="88"/>
      <c r="L61" s="144">
        <f>IF($B$9="","",$B$9)</f>
        <v>500.3</v>
      </c>
      <c r="M61" s="145" t="str">
        <f>IF($C$9="","",$C$9)</f>
        <v>GASTOS VARIOS</v>
      </c>
      <c r="N61" s="146"/>
      <c r="O61" s="147"/>
    </row>
    <row r="62" spans="2:15" ht="15.75" customHeight="1" x14ac:dyDescent="0.25">
      <c r="B62" s="144">
        <f>IF($B$10="","",$B$10)</f>
        <v>500.23</v>
      </c>
      <c r="C62" s="145" t="str">
        <f>IF($C$10="","",$C$10)</f>
        <v>COMBUSTIBLE</v>
      </c>
      <c r="D62" s="146"/>
      <c r="E62" s="147"/>
      <c r="F62" s="88"/>
      <c r="G62" s="144">
        <f>IF($B$10="","",$B$10)</f>
        <v>500.23</v>
      </c>
      <c r="H62" s="145" t="str">
        <f>IF($C$10="","",$C$10)</f>
        <v>COMBUSTIBLE</v>
      </c>
      <c r="I62" s="146"/>
      <c r="J62" s="147"/>
      <c r="K62" s="88"/>
      <c r="L62" s="144">
        <f>IF($B$10="","",$B$10)</f>
        <v>500.23</v>
      </c>
      <c r="M62" s="145" t="str">
        <f>IF($C$10="","",$C$10)</f>
        <v>COMBUSTIBLE</v>
      </c>
      <c r="N62" s="146"/>
      <c r="O62" s="147"/>
    </row>
    <row r="63" spans="2:15" ht="15.75" customHeight="1" x14ac:dyDescent="0.25">
      <c r="B63" s="144">
        <f>IF($B$11="","",$B$11)</f>
        <v>500.45</v>
      </c>
      <c r="C63" s="145" t="str">
        <f>IF($C$11="","",$C$11)</f>
        <v xml:space="preserve">GTOS MANTENIMIENTO </v>
      </c>
      <c r="D63" s="146"/>
      <c r="E63" s="147"/>
      <c r="F63" s="88"/>
      <c r="G63" s="144">
        <f>IF($B$11="","",$B$11)</f>
        <v>500.45</v>
      </c>
      <c r="H63" s="145" t="str">
        <f>IF($C$11="","",$C$11)</f>
        <v xml:space="preserve">GTOS MANTENIMIENTO </v>
      </c>
      <c r="I63" s="146"/>
      <c r="J63" s="147"/>
      <c r="K63" s="88"/>
      <c r="L63" s="144">
        <f>IF($B$11="","",$B$11)</f>
        <v>500.45</v>
      </c>
      <c r="M63" s="145" t="str">
        <f>IF($C$11="","",$C$11)</f>
        <v xml:space="preserve">GTOS MANTENIMIENTO </v>
      </c>
      <c r="N63" s="146"/>
      <c r="O63" s="147"/>
    </row>
    <row r="64" spans="2:15" ht="15.75" customHeight="1" x14ac:dyDescent="0.25">
      <c r="B64" s="144">
        <f>IF($B$12="","",$B$12)</f>
        <v>500.31</v>
      </c>
      <c r="C64" s="145" t="str">
        <f>IF($C$12="","",$C$12)</f>
        <v>LIBRERÍA</v>
      </c>
      <c r="D64" s="146"/>
      <c r="E64" s="147"/>
      <c r="F64" s="88"/>
      <c r="G64" s="144">
        <f>IF($B$12="","",$B$12)</f>
        <v>500.31</v>
      </c>
      <c r="H64" s="145" t="str">
        <f>IF($C$12="","",$C$12)</f>
        <v>LIBRERÍA</v>
      </c>
      <c r="I64" s="146"/>
      <c r="J64" s="147"/>
      <c r="K64" s="88"/>
      <c r="L64" s="144">
        <f>IF($B$12="","",$B$12)</f>
        <v>500.31</v>
      </c>
      <c r="M64" s="145" t="str">
        <f>IF($C$12="","",$C$12)</f>
        <v>LIBRERÍA</v>
      </c>
      <c r="N64" s="146"/>
      <c r="O64" s="147"/>
    </row>
    <row r="65" spans="2:15" ht="15.75" customHeight="1" x14ac:dyDescent="0.25">
      <c r="B65" s="144">
        <f>IF($B$13="","",$B$13)</f>
        <v>500.21</v>
      </c>
      <c r="C65" s="145" t="str">
        <f>IF($C$13="","",$C$13)</f>
        <v>GTOS CATERING</v>
      </c>
      <c r="D65" s="146"/>
      <c r="E65" s="147"/>
      <c r="F65" s="88"/>
      <c r="G65" s="144">
        <f>IF($B$13="","",$B$13)</f>
        <v>500.21</v>
      </c>
      <c r="H65" s="145" t="str">
        <f>IF($C$13="","",$C$13)</f>
        <v>GTOS CATERING</v>
      </c>
      <c r="I65" s="146"/>
      <c r="J65" s="147"/>
      <c r="K65" s="88"/>
      <c r="L65" s="144">
        <f>IF($B$13="","",$B$13)</f>
        <v>500.21</v>
      </c>
      <c r="M65" s="145" t="str">
        <f>IF($C$13="","",$C$13)</f>
        <v>GTOS CATERING</v>
      </c>
      <c r="N65" s="146"/>
      <c r="O65" s="147"/>
    </row>
    <row r="66" spans="2:15" ht="15.75" customHeight="1" x14ac:dyDescent="0.25">
      <c r="B66" s="144">
        <f>IF($B$14="","",$B$14)</f>
        <v>540.1</v>
      </c>
      <c r="C66" s="145" t="str">
        <f>IF($C$14="","",$C$14)</f>
        <v>HONORARIOS CONTABLES</v>
      </c>
      <c r="D66" s="146"/>
      <c r="E66" s="147"/>
      <c r="F66" s="88"/>
      <c r="G66" s="144">
        <f>IF($B$14="","",$B$14)</f>
        <v>540.1</v>
      </c>
      <c r="H66" s="145" t="str">
        <f>IF($C$14="","",$C$14)</f>
        <v>HONORARIOS CONTABLES</v>
      </c>
      <c r="I66" s="146"/>
      <c r="J66" s="147"/>
      <c r="K66" s="88"/>
      <c r="L66" s="144">
        <f>IF($B$14="","",$B$14)</f>
        <v>540.1</v>
      </c>
      <c r="M66" s="145" t="str">
        <f>IF($C$14="","",$C$14)</f>
        <v>HONORARIOS CONTABLES</v>
      </c>
      <c r="N66" s="146"/>
      <c r="O66" s="147"/>
    </row>
    <row r="67" spans="2:15" ht="15.75" customHeight="1" x14ac:dyDescent="0.25">
      <c r="B67" s="144">
        <f>IF($B$15="","",$B$15)</f>
        <v>540.11</v>
      </c>
      <c r="C67" s="145" t="str">
        <f>IF($C$15="","",$C$15)</f>
        <v>HONORARIOS JURIDICOS</v>
      </c>
      <c r="D67" s="146"/>
      <c r="E67" s="147"/>
      <c r="F67" s="88"/>
      <c r="G67" s="144">
        <f>IF($B$15="","",$B$15)</f>
        <v>540.11</v>
      </c>
      <c r="H67" s="145" t="str">
        <f>IF($C$15="","",$C$15)</f>
        <v>HONORARIOS JURIDICOS</v>
      </c>
      <c r="I67" s="146"/>
      <c r="J67" s="147"/>
      <c r="K67" s="88"/>
      <c r="L67" s="144">
        <f>IF($B$15="","",$B$15)</f>
        <v>540.11</v>
      </c>
      <c r="M67" s="145" t="str">
        <f>IF($C$15="","",$C$15)</f>
        <v>HONORARIOS JURIDICOS</v>
      </c>
      <c r="N67" s="146"/>
      <c r="O67" s="147"/>
    </row>
    <row r="68" spans="2:15" ht="15.75" customHeight="1" x14ac:dyDescent="0.25">
      <c r="B68" s="144">
        <f>IF($B$16="","",$B$16)</f>
        <v>500.30500000000001</v>
      </c>
      <c r="C68" s="145" t="str">
        <f>IF($C$16="","",$C$16)</f>
        <v>GTOS SEGURIDAD</v>
      </c>
      <c r="D68" s="146"/>
      <c r="E68" s="147"/>
      <c r="F68" s="88"/>
      <c r="G68" s="144">
        <f>IF($B$16="","",$B$16)</f>
        <v>500.30500000000001</v>
      </c>
      <c r="H68" s="145" t="str">
        <f>IF($C$16="","",$C$16)</f>
        <v>GTOS SEGURIDAD</v>
      </c>
      <c r="I68" s="146"/>
      <c r="J68" s="147"/>
      <c r="K68" s="88"/>
      <c r="L68" s="144">
        <f>IF($B$16="","",$B$16)</f>
        <v>500.30500000000001</v>
      </c>
      <c r="M68" s="145" t="str">
        <f>IF($C$16="","",$C$16)</f>
        <v>GTOS SEGURIDAD</v>
      </c>
      <c r="N68" s="146"/>
      <c r="O68" s="147"/>
    </row>
    <row r="69" spans="2:15" ht="15.75" customHeight="1" x14ac:dyDescent="0.25">
      <c r="B69" s="144" t="str">
        <f>IF($B$17="","",$B$17)</f>
        <v/>
      </c>
      <c r="C69" s="145" t="str">
        <f>IF($C$17="","",$C$17)</f>
        <v>EQ DE COMPUTACION</v>
      </c>
      <c r="D69" s="146"/>
      <c r="E69" s="147"/>
      <c r="F69" s="88"/>
      <c r="G69" s="144" t="str">
        <f>IF($B$17="","",$B$17)</f>
        <v/>
      </c>
      <c r="H69" s="145" t="str">
        <f>IF($C$17="","",$C$17)</f>
        <v>EQ DE COMPUTACION</v>
      </c>
      <c r="I69" s="146"/>
      <c r="J69" s="147"/>
      <c r="K69" s="88"/>
      <c r="L69" s="144" t="str">
        <f>IF($B$17="","",$B$17)</f>
        <v/>
      </c>
      <c r="M69" s="145" t="str">
        <f>IF($C$17="","",$C$17)</f>
        <v>EQ DE COMPUTACION</v>
      </c>
      <c r="N69" s="146"/>
      <c r="O69" s="147"/>
    </row>
    <row r="70" spans="2:15" ht="15.75" customHeight="1" x14ac:dyDescent="0.25">
      <c r="B70" s="144" t="str">
        <f>IF($B$18="","",$B$18)</f>
        <v/>
      </c>
      <c r="C70" s="145" t="str">
        <f>IF($C$18="","",$C$18)</f>
        <v>ALQUILER</v>
      </c>
      <c r="D70" s="146"/>
      <c r="E70" s="147"/>
      <c r="F70" s="88"/>
      <c r="G70" s="144" t="str">
        <f>IF($B$18="","",$B$18)</f>
        <v/>
      </c>
      <c r="H70" s="145" t="str">
        <f>IF($C$18="","",$C$18)</f>
        <v>ALQUILER</v>
      </c>
      <c r="I70" s="146"/>
      <c r="J70" s="147"/>
      <c r="K70" s="88"/>
      <c r="L70" s="144" t="str">
        <f>IF($B$18="","",$B$18)</f>
        <v/>
      </c>
      <c r="M70" s="145" t="str">
        <f>IF($C$18="","",$C$18)</f>
        <v>ALQUILER</v>
      </c>
      <c r="N70" s="146"/>
      <c r="O70" s="147"/>
    </row>
    <row r="71" spans="2:15" ht="15.75" customHeight="1" x14ac:dyDescent="0.25">
      <c r="B71" s="144">
        <f>IF($B$19="","",$B$19)</f>
        <v>107.1</v>
      </c>
      <c r="C71" s="145" t="str">
        <f>IF($C$19="","",$C$19)</f>
        <v>IVA 21%</v>
      </c>
      <c r="D71" s="146"/>
      <c r="E71" s="147"/>
      <c r="F71" s="88"/>
      <c r="G71" s="144">
        <f>IF($B$19="","",$B$19)</f>
        <v>107.1</v>
      </c>
      <c r="H71" s="145" t="str">
        <f>IF($C$19="","",$C$19)</f>
        <v>IVA 21%</v>
      </c>
      <c r="I71" s="146"/>
      <c r="J71" s="147"/>
      <c r="K71" s="88"/>
      <c r="L71" s="144">
        <f>IF($B$19="","",$B$19)</f>
        <v>107.1</v>
      </c>
      <c r="M71" s="145" t="str">
        <f>IF($C$19="","",$C$19)</f>
        <v>IVA 21%</v>
      </c>
      <c r="N71" s="146"/>
      <c r="O71" s="147"/>
    </row>
    <row r="72" spans="2:15" ht="15.75" customHeight="1" x14ac:dyDescent="0.25">
      <c r="B72" s="144">
        <f>IF($B$20="","",$B$20)</f>
        <v>107.101</v>
      </c>
      <c r="C72" s="145" t="str">
        <f>IF($C$20="","",$C$20)</f>
        <v>IVA 27%</v>
      </c>
      <c r="D72" s="146"/>
      <c r="E72" s="147"/>
      <c r="F72" s="88"/>
      <c r="G72" s="144">
        <f>IF($B$20="","",$B$20)</f>
        <v>107.101</v>
      </c>
      <c r="H72" s="145" t="str">
        <f>IF($C$20="","",$C$20)</f>
        <v>IVA 27%</v>
      </c>
      <c r="I72" s="146"/>
      <c r="J72" s="147"/>
      <c r="K72" s="88"/>
      <c r="L72" s="144">
        <f>IF($B$20="","",$B$20)</f>
        <v>107.101</v>
      </c>
      <c r="M72" s="145" t="str">
        <f>IF($C$20="","",$C$20)</f>
        <v>IVA 27%</v>
      </c>
      <c r="N72" s="146"/>
      <c r="O72" s="147"/>
    </row>
    <row r="73" spans="2:15" ht="15.75" customHeight="1" x14ac:dyDescent="0.25">
      <c r="B73" s="144">
        <f>IF($B$21="","",$B$21)</f>
        <v>107.102</v>
      </c>
      <c r="C73" s="145" t="str">
        <f>IF($C$21="","",$C$21)</f>
        <v>IVA 10,5%</v>
      </c>
      <c r="D73" s="146"/>
      <c r="E73" s="147"/>
      <c r="F73" s="88"/>
      <c r="G73" s="144">
        <f>IF($B$21="","",$B$21)</f>
        <v>107.102</v>
      </c>
      <c r="H73" s="145" t="str">
        <f>IF($C$21="","",$C$21)</f>
        <v>IVA 10,5%</v>
      </c>
      <c r="I73" s="146"/>
      <c r="J73" s="147"/>
      <c r="K73" s="88"/>
      <c r="L73" s="144">
        <f>IF($B$21="","",$B$21)</f>
        <v>107.102</v>
      </c>
      <c r="M73" s="145" t="str">
        <f>IF($C$21="","",$C$21)</f>
        <v>IVA 10,5%</v>
      </c>
      <c r="N73" s="146"/>
      <c r="O73" s="147"/>
    </row>
    <row r="74" spans="2:15" ht="15.75" customHeight="1" x14ac:dyDescent="0.25">
      <c r="B74" s="144">
        <f>IF($B$22="","",$B$22)</f>
        <v>106.521</v>
      </c>
      <c r="C74" s="145" t="str">
        <f>IF($C$22="","",$C$22)</f>
        <v>PERC IIBB BS AS</v>
      </c>
      <c r="D74" s="146"/>
      <c r="E74" s="147"/>
      <c r="F74" s="88"/>
      <c r="G74" s="144">
        <f>IF($B$22="","",$B$22)</f>
        <v>106.521</v>
      </c>
      <c r="H74" s="145" t="str">
        <f>IF($C$22="","",$C$22)</f>
        <v>PERC IIBB BS AS</v>
      </c>
      <c r="I74" s="146"/>
      <c r="J74" s="147"/>
      <c r="K74" s="88"/>
      <c r="L74" s="144">
        <f>IF($B$22="","",$B$22)</f>
        <v>106.521</v>
      </c>
      <c r="M74" s="145" t="str">
        <f>IF($C$22="","",$C$22)</f>
        <v>PERC IIBB BS AS</v>
      </c>
      <c r="N74" s="146"/>
      <c r="O74" s="147"/>
    </row>
    <row r="75" spans="2:15" ht="15.75" customHeight="1" x14ac:dyDescent="0.25">
      <c r="B75" s="144">
        <f>IF($B$23="","",$B$23)</f>
        <v>106.515</v>
      </c>
      <c r="C75" s="145" t="str">
        <f>IF($C$23="","",$C$23)</f>
        <v>PERC IIBB CABA</v>
      </c>
      <c r="D75" s="146"/>
      <c r="E75" s="147"/>
      <c r="F75" s="88"/>
      <c r="G75" s="144">
        <f>IF($B$23="","",$B$23)</f>
        <v>106.515</v>
      </c>
      <c r="H75" s="145" t="str">
        <f>IF($C$23="","",$C$23)</f>
        <v>PERC IIBB CABA</v>
      </c>
      <c r="I75" s="146"/>
      <c r="J75" s="147"/>
      <c r="K75" s="88"/>
      <c r="L75" s="144">
        <f>IF($B$23="","",$B$23)</f>
        <v>106.515</v>
      </c>
      <c r="M75" s="145" t="str">
        <f>IF($C$23="","",$C$23)</f>
        <v>PERC IIBB CABA</v>
      </c>
      <c r="N75" s="146"/>
      <c r="O75" s="147"/>
    </row>
    <row r="76" spans="2:15" ht="15.75" customHeight="1" x14ac:dyDescent="0.25">
      <c r="B76" s="144">
        <f>IF($B$24="","",$B$24)</f>
        <v>106.535</v>
      </c>
      <c r="C76" s="145" t="str">
        <f>IF($C$24="","",$C$24)</f>
        <v>PERC. IVA</v>
      </c>
      <c r="D76" s="150"/>
      <c r="E76" s="151"/>
      <c r="F76" s="88"/>
      <c r="G76" s="144">
        <f>IF($B$24="","",$B$24)</f>
        <v>106.535</v>
      </c>
      <c r="H76" s="145" t="str">
        <f>IF($C$24="","",$C$24)</f>
        <v>PERC. IVA</v>
      </c>
      <c r="I76" s="150"/>
      <c r="J76" s="151"/>
      <c r="K76" s="88"/>
      <c r="L76" s="144">
        <f>IF($B$24="","",$B$24)</f>
        <v>106.535</v>
      </c>
      <c r="M76" s="145" t="str">
        <f>IF($C$24="","",$C$24)</f>
        <v>PERC. IVA</v>
      </c>
      <c r="N76" s="150"/>
      <c r="O76" s="151"/>
    </row>
    <row r="77" spans="2:15" ht="15.75" customHeight="1" x14ac:dyDescent="0.25">
      <c r="B77" s="144" t="str">
        <f>IF($B$25="","",$B$25)</f>
        <v/>
      </c>
      <c r="C77" s="145" t="str">
        <f>IF($C$25="","",$C$25)</f>
        <v/>
      </c>
      <c r="D77" s="152"/>
      <c r="E77" s="151"/>
      <c r="F77" s="88"/>
      <c r="G77" s="144" t="str">
        <f>IF($B$25="","",$B$25)</f>
        <v/>
      </c>
      <c r="H77" s="145" t="str">
        <f>IF($C$25="","",$C$25)</f>
        <v/>
      </c>
      <c r="I77" s="152"/>
      <c r="J77" s="151"/>
      <c r="K77" s="88"/>
      <c r="L77" s="144" t="str">
        <f>IF($B$25="","",$B$25)</f>
        <v/>
      </c>
      <c r="M77" s="145" t="str">
        <f>IF($C$25="","",$C$25)</f>
        <v/>
      </c>
      <c r="N77" s="152"/>
      <c r="O77" s="151"/>
    </row>
    <row r="78" spans="2:15" ht="15.75" customHeight="1" x14ac:dyDescent="0.25">
      <c r="B78" s="144" t="str">
        <f>IF($B$26="","",$B$26)</f>
        <v/>
      </c>
      <c r="C78" s="145" t="str">
        <f>IF($C$26="","",$C$26)</f>
        <v/>
      </c>
      <c r="D78" s="152"/>
      <c r="E78" s="151"/>
      <c r="F78" s="88"/>
      <c r="G78" s="144" t="str">
        <f>IF($B$26="","",$B$26)</f>
        <v/>
      </c>
      <c r="H78" s="145" t="str">
        <f>IF($C$26="","",$C$26)</f>
        <v/>
      </c>
      <c r="I78" s="152"/>
      <c r="J78" s="151"/>
      <c r="K78" s="88"/>
      <c r="L78" s="144" t="str">
        <f>IF($B$26="","",$B$26)</f>
        <v/>
      </c>
      <c r="M78" s="145" t="str">
        <f>IF($C$26="","",$C$26)</f>
        <v/>
      </c>
      <c r="N78" s="152"/>
      <c r="O78" s="151"/>
    </row>
    <row r="79" spans="2:15" ht="15.75" customHeight="1" x14ac:dyDescent="0.25">
      <c r="B79" s="144">
        <f>IF($B$27="","",$B$27)</f>
        <v>200.9</v>
      </c>
      <c r="C79" s="145" t="str">
        <f>IF($C$27="","",$C$27)</f>
        <v>PROVEEDORES</v>
      </c>
      <c r="D79" s="151"/>
      <c r="E79" s="151"/>
      <c r="F79" s="88"/>
      <c r="G79" s="144">
        <f>IF($B$27="","",$B$27)</f>
        <v>200.9</v>
      </c>
      <c r="H79" s="145" t="str">
        <f>IF($C$27="","",$C$27)</f>
        <v>PROVEEDORES</v>
      </c>
      <c r="I79" s="151"/>
      <c r="J79" s="151"/>
      <c r="K79" s="88"/>
      <c r="L79" s="144">
        <f>IF($B$27="","",$B$27)</f>
        <v>200.9</v>
      </c>
      <c r="M79" s="145" t="str">
        <f>IF($C$27="","",$C$27)</f>
        <v>PROVEEDORES</v>
      </c>
      <c r="N79" s="151"/>
      <c r="O79" s="151"/>
    </row>
    <row r="80" spans="2:15" ht="15.75" customHeight="1" x14ac:dyDescent="0.25">
      <c r="B80" s="485"/>
      <c r="C80" s="486"/>
      <c r="D80" s="486"/>
      <c r="E80" s="155">
        <v>0</v>
      </c>
      <c r="F80" s="88"/>
      <c r="G80" s="485"/>
      <c r="H80" s="486"/>
      <c r="I80" s="486"/>
      <c r="J80" s="155">
        <v>0</v>
      </c>
      <c r="K80" s="88"/>
      <c r="L80" s="485"/>
      <c r="M80" s="486"/>
      <c r="N80" s="486"/>
      <c r="O80" s="155">
        <v>0</v>
      </c>
    </row>
    <row r="81" spans="2:15" ht="15.75" customHeight="1" x14ac:dyDescent="0.25"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</row>
    <row r="82" spans="2:15" ht="15.75" customHeight="1" x14ac:dyDescent="0.25">
      <c r="B82" s="482">
        <f>EDATE($L$56,1)</f>
        <v>46023</v>
      </c>
      <c r="C82" s="483"/>
      <c r="D82" s="483"/>
      <c r="E82" s="484"/>
      <c r="F82" s="88"/>
      <c r="G82" s="482">
        <f>EDATE($B$82,1)</f>
        <v>46054</v>
      </c>
      <c r="H82" s="483"/>
      <c r="I82" s="483"/>
      <c r="J82" s="484"/>
      <c r="K82" s="88"/>
      <c r="L82" s="482">
        <f>EDATE($G$82,1)</f>
        <v>46082</v>
      </c>
      <c r="M82" s="483"/>
      <c r="N82" s="483"/>
      <c r="O82" s="484"/>
    </row>
    <row r="83" spans="2:15" ht="15.75" customHeight="1" x14ac:dyDescent="0.25">
      <c r="B83" s="144">
        <f>IF($B$5="","",$B$5)</f>
        <v>121.1</v>
      </c>
      <c r="C83" s="145" t="str">
        <f>IF($C$5="","",$C$5)</f>
        <v>MERCADERIA</v>
      </c>
      <c r="D83" s="142"/>
      <c r="E83" s="143"/>
      <c r="F83" s="88"/>
      <c r="G83" s="144">
        <f>IF($B$5="","",$B$5)</f>
        <v>121.1</v>
      </c>
      <c r="H83" s="145" t="str">
        <f>IF($C$5="","",$C$5)</f>
        <v>MERCADERIA</v>
      </c>
      <c r="I83" s="142"/>
      <c r="J83" s="143"/>
      <c r="K83" s="88"/>
      <c r="L83" s="144">
        <f>IF($B$5="","",$B$5)</f>
        <v>121.1</v>
      </c>
      <c r="M83" s="145" t="str">
        <f>IF($C$5="","",$C$5)</f>
        <v>MERCADERIA</v>
      </c>
      <c r="N83" s="142"/>
      <c r="O83" s="143"/>
    </row>
    <row r="84" spans="2:15" ht="15.75" customHeight="1" x14ac:dyDescent="0.25">
      <c r="B84" s="144">
        <f>IF($B$6="","",$B$6)</f>
        <v>500.5</v>
      </c>
      <c r="C84" s="145" t="str">
        <f>IF($C$6="","",$C$6)</f>
        <v xml:space="preserve">GTOS COMERCIALIZACION </v>
      </c>
      <c r="D84" s="146"/>
      <c r="E84" s="147"/>
      <c r="F84" s="88"/>
      <c r="G84" s="144">
        <f>IF($B$6="","",$B$6)</f>
        <v>500.5</v>
      </c>
      <c r="H84" s="145" t="str">
        <f>IF($C$6="","",$C$6)</f>
        <v xml:space="preserve">GTOS COMERCIALIZACION </v>
      </c>
      <c r="I84" s="146"/>
      <c r="J84" s="147"/>
      <c r="K84" s="88"/>
      <c r="L84" s="144">
        <f>IF($B$6="","",$B$6)</f>
        <v>500.5</v>
      </c>
      <c r="M84" s="145" t="str">
        <f>IF($C$6="","",$C$6)</f>
        <v xml:space="preserve">GTOS COMERCIALIZACION </v>
      </c>
      <c r="N84" s="146"/>
      <c r="O84" s="147"/>
    </row>
    <row r="85" spans="2:15" ht="15.75" customHeight="1" x14ac:dyDescent="0.25">
      <c r="B85" s="144" t="str">
        <f>IF($B$7="","",$B$7)</f>
        <v/>
      </c>
      <c r="C85" s="145" t="str">
        <f>IF($C$7="","",$C$7)</f>
        <v>GTOS ADMINISTRATIVOS</v>
      </c>
      <c r="D85" s="146"/>
      <c r="E85" s="147"/>
      <c r="F85" s="88"/>
      <c r="G85" s="144" t="str">
        <f>IF($B$7="","",$B$7)</f>
        <v/>
      </c>
      <c r="H85" s="145" t="str">
        <f>IF($C$7="","",$C$7)</f>
        <v>GTOS ADMINISTRATIVOS</v>
      </c>
      <c r="I85" s="146"/>
      <c r="J85" s="147"/>
      <c r="K85" s="88"/>
      <c r="L85" s="144" t="str">
        <f>IF($B$7="","",$B$7)</f>
        <v/>
      </c>
      <c r="M85" s="145" t="str">
        <f>IF($C$7="","",$C$7)</f>
        <v>GTOS ADMINISTRATIVOS</v>
      </c>
      <c r="N85" s="146"/>
      <c r="O85" s="147"/>
    </row>
    <row r="86" spans="2:15" ht="15.75" customHeight="1" x14ac:dyDescent="0.25">
      <c r="B86" s="144">
        <f>IF($B$8="","",$B$8)</f>
        <v>500.15</v>
      </c>
      <c r="C86" s="145" t="str">
        <f>IF($C$8="","",$C$8)</f>
        <v>SERVICIOS GAS, LUZ, ETC</v>
      </c>
      <c r="D86" s="146"/>
      <c r="E86" s="147"/>
      <c r="F86" s="88"/>
      <c r="G86" s="144">
        <f>IF($B$8="","",$B$8)</f>
        <v>500.15</v>
      </c>
      <c r="H86" s="145" t="str">
        <f>IF($C$8="","",$C$8)</f>
        <v>SERVICIOS GAS, LUZ, ETC</v>
      </c>
      <c r="I86" s="146"/>
      <c r="J86" s="147"/>
      <c r="K86" s="88"/>
      <c r="L86" s="144">
        <f>IF($B$8="","",$B$8)</f>
        <v>500.15</v>
      </c>
      <c r="M86" s="145" t="str">
        <f>IF($C$8="","",$C$8)</f>
        <v>SERVICIOS GAS, LUZ, ETC</v>
      </c>
      <c r="N86" s="146"/>
      <c r="O86" s="147"/>
    </row>
    <row r="87" spans="2:15" ht="15.75" customHeight="1" x14ac:dyDescent="0.25">
      <c r="B87" s="144">
        <f>IF($B$9="","",$B$9)</f>
        <v>500.3</v>
      </c>
      <c r="C87" s="145" t="str">
        <f>IF($C$9="","",$C$9)</f>
        <v>GASTOS VARIOS</v>
      </c>
      <c r="D87" s="146"/>
      <c r="E87" s="147"/>
      <c r="F87" s="88"/>
      <c r="G87" s="144">
        <f>IF($B$9="","",$B$9)</f>
        <v>500.3</v>
      </c>
      <c r="H87" s="145" t="str">
        <f>IF($C$9="","",$C$9)</f>
        <v>GASTOS VARIOS</v>
      </c>
      <c r="I87" s="146"/>
      <c r="J87" s="147"/>
      <c r="K87" s="88"/>
      <c r="L87" s="144">
        <f>IF($B$9="","",$B$9)</f>
        <v>500.3</v>
      </c>
      <c r="M87" s="145" t="str">
        <f>IF($C$9="","",$C$9)</f>
        <v>GASTOS VARIOS</v>
      </c>
      <c r="N87" s="146"/>
      <c r="O87" s="147"/>
    </row>
    <row r="88" spans="2:15" ht="15.75" customHeight="1" x14ac:dyDescent="0.25">
      <c r="B88" s="144">
        <f>IF($B$10="","",$B$10)</f>
        <v>500.23</v>
      </c>
      <c r="C88" s="145" t="str">
        <f>IF($C$10="","",$C$10)</f>
        <v>COMBUSTIBLE</v>
      </c>
      <c r="D88" s="146"/>
      <c r="E88" s="147"/>
      <c r="F88" s="88"/>
      <c r="G88" s="144">
        <f>IF($B$10="","",$B$10)</f>
        <v>500.23</v>
      </c>
      <c r="H88" s="145" t="str">
        <f>IF($C$10="","",$C$10)</f>
        <v>COMBUSTIBLE</v>
      </c>
      <c r="I88" s="146"/>
      <c r="J88" s="147"/>
      <c r="K88" s="88"/>
      <c r="L88" s="144">
        <f>IF($B$10="","",$B$10)</f>
        <v>500.23</v>
      </c>
      <c r="M88" s="145" t="str">
        <f>IF($C$10="","",$C$10)</f>
        <v>COMBUSTIBLE</v>
      </c>
      <c r="N88" s="146"/>
      <c r="O88" s="147"/>
    </row>
    <row r="89" spans="2:15" ht="15.75" customHeight="1" x14ac:dyDescent="0.25">
      <c r="B89" s="144">
        <f>IF($B$11="","",$B$11)</f>
        <v>500.45</v>
      </c>
      <c r="C89" s="145" t="str">
        <f>IF($C$11="","",$C$11)</f>
        <v xml:space="preserve">GTOS MANTENIMIENTO </v>
      </c>
      <c r="D89" s="146"/>
      <c r="E89" s="147"/>
      <c r="F89" s="88"/>
      <c r="G89" s="144">
        <f>IF($B$11="","",$B$11)</f>
        <v>500.45</v>
      </c>
      <c r="H89" s="145" t="str">
        <f>IF($C$11="","",$C$11)</f>
        <v xml:space="preserve">GTOS MANTENIMIENTO </v>
      </c>
      <c r="I89" s="146"/>
      <c r="J89" s="147"/>
      <c r="K89" s="88"/>
      <c r="L89" s="144">
        <f>IF($B$11="","",$B$11)</f>
        <v>500.45</v>
      </c>
      <c r="M89" s="145" t="str">
        <f>IF($C$11="","",$C$11)</f>
        <v xml:space="preserve">GTOS MANTENIMIENTO </v>
      </c>
      <c r="N89" s="146"/>
      <c r="O89" s="147"/>
    </row>
    <row r="90" spans="2:15" ht="15.75" customHeight="1" x14ac:dyDescent="0.25">
      <c r="B90" s="144">
        <f>IF($B$12="","",$B$12)</f>
        <v>500.31</v>
      </c>
      <c r="C90" s="145" t="str">
        <f>IF($C$12="","",$C$12)</f>
        <v>LIBRERÍA</v>
      </c>
      <c r="D90" s="146"/>
      <c r="E90" s="147"/>
      <c r="F90" s="88"/>
      <c r="G90" s="144">
        <f>IF($B$12="","",$B$12)</f>
        <v>500.31</v>
      </c>
      <c r="H90" s="145" t="str">
        <f>IF($C$12="","",$C$12)</f>
        <v>LIBRERÍA</v>
      </c>
      <c r="I90" s="146"/>
      <c r="J90" s="147"/>
      <c r="K90" s="88"/>
      <c r="L90" s="144">
        <f>IF($B$12="","",$B$12)</f>
        <v>500.31</v>
      </c>
      <c r="M90" s="145" t="str">
        <f>IF($C$12="","",$C$12)</f>
        <v>LIBRERÍA</v>
      </c>
      <c r="N90" s="146"/>
      <c r="O90" s="147"/>
    </row>
    <row r="91" spans="2:15" ht="15.75" customHeight="1" x14ac:dyDescent="0.25">
      <c r="B91" s="144">
        <f>IF($B$13="","",$B$13)</f>
        <v>500.21</v>
      </c>
      <c r="C91" s="145" t="str">
        <f>IF($C$13="","",$C$13)</f>
        <v>GTOS CATERING</v>
      </c>
      <c r="D91" s="146"/>
      <c r="E91" s="147"/>
      <c r="F91" s="88"/>
      <c r="G91" s="144">
        <f>IF($B$13="","",$B$13)</f>
        <v>500.21</v>
      </c>
      <c r="H91" s="145" t="str">
        <f>IF($C$13="","",$C$13)</f>
        <v>GTOS CATERING</v>
      </c>
      <c r="I91" s="146"/>
      <c r="J91" s="147"/>
      <c r="K91" s="88"/>
      <c r="L91" s="144">
        <f>IF($B$13="","",$B$13)</f>
        <v>500.21</v>
      </c>
      <c r="M91" s="145" t="str">
        <f>IF($C$13="","",$C$13)</f>
        <v>GTOS CATERING</v>
      </c>
      <c r="N91" s="146"/>
      <c r="O91" s="147"/>
    </row>
    <row r="92" spans="2:15" ht="15.75" customHeight="1" x14ac:dyDescent="0.25">
      <c r="B92" s="144">
        <f>IF($B$14="","",$B$14)</f>
        <v>540.1</v>
      </c>
      <c r="C92" s="145" t="str">
        <f>IF($C$14="","",$C$14)</f>
        <v>HONORARIOS CONTABLES</v>
      </c>
      <c r="D92" s="146"/>
      <c r="E92" s="147"/>
      <c r="F92" s="88"/>
      <c r="G92" s="144">
        <f>IF($B$14="","",$B$14)</f>
        <v>540.1</v>
      </c>
      <c r="H92" s="145" t="str">
        <f>IF($C$14="","",$C$14)</f>
        <v>HONORARIOS CONTABLES</v>
      </c>
      <c r="I92" s="146"/>
      <c r="J92" s="147"/>
      <c r="K92" s="88"/>
      <c r="L92" s="144">
        <f>IF($B$14="","",$B$14)</f>
        <v>540.1</v>
      </c>
      <c r="M92" s="145" t="str">
        <f>IF($C$14="","",$C$14)</f>
        <v>HONORARIOS CONTABLES</v>
      </c>
      <c r="N92" s="146"/>
      <c r="O92" s="147"/>
    </row>
    <row r="93" spans="2:15" ht="15.75" customHeight="1" x14ac:dyDescent="0.25">
      <c r="B93" s="144">
        <f>IF($B$15="","",$B$15)</f>
        <v>540.11</v>
      </c>
      <c r="C93" s="145" t="str">
        <f>IF($C$15="","",$C$15)</f>
        <v>HONORARIOS JURIDICOS</v>
      </c>
      <c r="D93" s="146"/>
      <c r="E93" s="147"/>
      <c r="F93" s="88"/>
      <c r="G93" s="144">
        <f>IF($B$15="","",$B$15)</f>
        <v>540.11</v>
      </c>
      <c r="H93" s="145" t="str">
        <f>IF($C$15="","",$C$15)</f>
        <v>HONORARIOS JURIDICOS</v>
      </c>
      <c r="I93" s="146"/>
      <c r="J93" s="147"/>
      <c r="K93" s="88"/>
      <c r="L93" s="144">
        <f>IF($B$15="","",$B$15)</f>
        <v>540.11</v>
      </c>
      <c r="M93" s="145" t="str">
        <f>IF($C$15="","",$C$15)</f>
        <v>HONORARIOS JURIDICOS</v>
      </c>
      <c r="N93" s="146"/>
      <c r="O93" s="147"/>
    </row>
    <row r="94" spans="2:15" ht="15.75" customHeight="1" x14ac:dyDescent="0.25">
      <c r="B94" s="144">
        <f>IF($B$16="","",$B$16)</f>
        <v>500.30500000000001</v>
      </c>
      <c r="C94" s="145" t="str">
        <f>IF($C$16="","",$C$16)</f>
        <v>GTOS SEGURIDAD</v>
      </c>
      <c r="D94" s="146"/>
      <c r="E94" s="147"/>
      <c r="F94" s="88"/>
      <c r="G94" s="144">
        <f>IF($B$16="","",$B$16)</f>
        <v>500.30500000000001</v>
      </c>
      <c r="H94" s="145" t="str">
        <f>IF($C$16="","",$C$16)</f>
        <v>GTOS SEGURIDAD</v>
      </c>
      <c r="I94" s="146"/>
      <c r="J94" s="147"/>
      <c r="K94" s="88"/>
      <c r="L94" s="144">
        <f>IF($B$16="","",$B$16)</f>
        <v>500.30500000000001</v>
      </c>
      <c r="M94" s="145" t="str">
        <f>IF($C$16="","",$C$16)</f>
        <v>GTOS SEGURIDAD</v>
      </c>
      <c r="N94" s="146"/>
      <c r="O94" s="147"/>
    </row>
    <row r="95" spans="2:15" ht="15.75" customHeight="1" x14ac:dyDescent="0.25">
      <c r="B95" s="144" t="str">
        <f>IF($B$17="","",$B$17)</f>
        <v/>
      </c>
      <c r="C95" s="145" t="str">
        <f>IF($C$17="","",$C$17)</f>
        <v>EQ DE COMPUTACION</v>
      </c>
      <c r="D95" s="146"/>
      <c r="E95" s="147"/>
      <c r="F95" s="88"/>
      <c r="G95" s="144" t="str">
        <f>IF($B$17="","",$B$17)</f>
        <v/>
      </c>
      <c r="H95" s="145" t="str">
        <f>IF($C$17="","",$C$17)</f>
        <v>EQ DE COMPUTACION</v>
      </c>
      <c r="I95" s="146"/>
      <c r="J95" s="147"/>
      <c r="K95" s="88"/>
      <c r="L95" s="144" t="str">
        <f>IF($B$17="","",$B$17)</f>
        <v/>
      </c>
      <c r="M95" s="145" t="str">
        <f>IF($C$17="","",$C$17)</f>
        <v>EQ DE COMPUTACION</v>
      </c>
      <c r="N95" s="146"/>
      <c r="O95" s="147"/>
    </row>
    <row r="96" spans="2:15" ht="15.75" customHeight="1" x14ac:dyDescent="0.25">
      <c r="B96" s="144" t="str">
        <f>IF($B$18="","",$B$18)</f>
        <v/>
      </c>
      <c r="C96" s="145" t="str">
        <f>IF($C$18="","",$C$18)</f>
        <v>ALQUILER</v>
      </c>
      <c r="D96" s="146"/>
      <c r="E96" s="147"/>
      <c r="F96" s="88"/>
      <c r="G96" s="144" t="str">
        <f>IF($B$18="","",$B$18)</f>
        <v/>
      </c>
      <c r="H96" s="145" t="str">
        <f>IF($C$18="","",$C$18)</f>
        <v>ALQUILER</v>
      </c>
      <c r="I96" s="146"/>
      <c r="J96" s="147"/>
      <c r="K96" s="88"/>
      <c r="L96" s="144" t="str">
        <f>IF($B$18="","",$B$18)</f>
        <v/>
      </c>
      <c r="M96" s="145" t="str">
        <f>IF($C$18="","",$C$18)</f>
        <v>ALQUILER</v>
      </c>
      <c r="N96" s="146"/>
      <c r="O96" s="147"/>
    </row>
    <row r="97" spans="2:15" ht="15.75" customHeight="1" x14ac:dyDescent="0.25">
      <c r="B97" s="144">
        <f>IF($B$19="","",$B$19)</f>
        <v>107.1</v>
      </c>
      <c r="C97" s="145" t="str">
        <f>IF($C$19="","",$C$19)</f>
        <v>IVA 21%</v>
      </c>
      <c r="D97" s="146"/>
      <c r="E97" s="147"/>
      <c r="F97" s="88"/>
      <c r="G97" s="144">
        <f>IF($B$19="","",$B$19)</f>
        <v>107.1</v>
      </c>
      <c r="H97" s="145" t="str">
        <f>IF($C$19="","",$C$19)</f>
        <v>IVA 21%</v>
      </c>
      <c r="I97" s="146"/>
      <c r="J97" s="147"/>
      <c r="K97" s="88"/>
      <c r="L97" s="144">
        <f>IF($B$19="","",$B$19)</f>
        <v>107.1</v>
      </c>
      <c r="M97" s="145" t="str">
        <f>IF($C$19="","",$C$19)</f>
        <v>IVA 21%</v>
      </c>
      <c r="N97" s="146"/>
      <c r="O97" s="147"/>
    </row>
    <row r="98" spans="2:15" ht="15.75" customHeight="1" x14ac:dyDescent="0.25">
      <c r="B98" s="144">
        <f>IF($B$20="","",$B$20)</f>
        <v>107.101</v>
      </c>
      <c r="C98" s="145" t="str">
        <f>IF($C$20="","",$C$20)</f>
        <v>IVA 27%</v>
      </c>
      <c r="D98" s="146"/>
      <c r="E98" s="147"/>
      <c r="F98" s="88"/>
      <c r="G98" s="144">
        <f>IF($B$20="","",$B$20)</f>
        <v>107.101</v>
      </c>
      <c r="H98" s="145" t="str">
        <f>IF($C$20="","",$C$20)</f>
        <v>IVA 27%</v>
      </c>
      <c r="I98" s="146"/>
      <c r="J98" s="147"/>
      <c r="K98" s="88"/>
      <c r="L98" s="144">
        <f>IF($B$20="","",$B$20)</f>
        <v>107.101</v>
      </c>
      <c r="M98" s="145" t="str">
        <f>IF($C$20="","",$C$20)</f>
        <v>IVA 27%</v>
      </c>
      <c r="N98" s="146"/>
      <c r="O98" s="147"/>
    </row>
    <row r="99" spans="2:15" ht="15.75" customHeight="1" x14ac:dyDescent="0.25">
      <c r="B99" s="144">
        <f>IF($B$21="","",$B$21)</f>
        <v>107.102</v>
      </c>
      <c r="C99" s="145" t="str">
        <f>IF($C$21="","",$C$21)</f>
        <v>IVA 10,5%</v>
      </c>
      <c r="D99" s="146"/>
      <c r="E99" s="147"/>
      <c r="F99" s="88"/>
      <c r="G99" s="144">
        <f>IF($B$21="","",$B$21)</f>
        <v>107.102</v>
      </c>
      <c r="H99" s="145" t="str">
        <f>IF($C$21="","",$C$21)</f>
        <v>IVA 10,5%</v>
      </c>
      <c r="I99" s="146"/>
      <c r="J99" s="147"/>
      <c r="K99" s="88"/>
      <c r="L99" s="144">
        <f>IF($B$21="","",$B$21)</f>
        <v>107.102</v>
      </c>
      <c r="M99" s="145" t="str">
        <f>IF($C$21="","",$C$21)</f>
        <v>IVA 10,5%</v>
      </c>
      <c r="N99" s="146"/>
      <c r="O99" s="147"/>
    </row>
    <row r="100" spans="2:15" ht="15.75" customHeight="1" x14ac:dyDescent="0.25">
      <c r="B100" s="144">
        <f>IF($B$22="","",$B$22)</f>
        <v>106.521</v>
      </c>
      <c r="C100" s="145" t="str">
        <f>IF($C$22="","",$C$22)</f>
        <v>PERC IIBB BS AS</v>
      </c>
      <c r="D100" s="146"/>
      <c r="E100" s="147"/>
      <c r="F100" s="88"/>
      <c r="G100" s="144">
        <f>IF($B$22="","",$B$22)</f>
        <v>106.521</v>
      </c>
      <c r="H100" s="145" t="str">
        <f>IF($C$22="","",$C$22)</f>
        <v>PERC IIBB BS AS</v>
      </c>
      <c r="I100" s="146"/>
      <c r="J100" s="147"/>
      <c r="K100" s="88"/>
      <c r="L100" s="144">
        <f>IF($B$22="","",$B$22)</f>
        <v>106.521</v>
      </c>
      <c r="M100" s="145" t="str">
        <f>IF($C$22="","",$C$22)</f>
        <v>PERC IIBB BS AS</v>
      </c>
      <c r="N100" s="146"/>
      <c r="O100" s="147"/>
    </row>
    <row r="101" spans="2:15" ht="15.75" customHeight="1" x14ac:dyDescent="0.25">
      <c r="B101" s="144">
        <f>IF($B$23="","",$B$23)</f>
        <v>106.515</v>
      </c>
      <c r="C101" s="145" t="str">
        <f>IF($C$23="","",$C$23)</f>
        <v>PERC IIBB CABA</v>
      </c>
      <c r="D101" s="146"/>
      <c r="E101" s="147"/>
      <c r="F101" s="88"/>
      <c r="G101" s="144">
        <f>IF($B$23="","",$B$23)</f>
        <v>106.515</v>
      </c>
      <c r="H101" s="145" t="str">
        <f>IF($C$23="","",$C$23)</f>
        <v>PERC IIBB CABA</v>
      </c>
      <c r="I101" s="146"/>
      <c r="J101" s="147"/>
      <c r="K101" s="88"/>
      <c r="L101" s="144">
        <f>IF($B$23="","",$B$23)</f>
        <v>106.515</v>
      </c>
      <c r="M101" s="145" t="str">
        <f>IF($C$23="","",$C$23)</f>
        <v>PERC IIBB CABA</v>
      </c>
      <c r="N101" s="146"/>
      <c r="O101" s="147"/>
    </row>
    <row r="102" spans="2:15" ht="15.75" customHeight="1" x14ac:dyDescent="0.25">
      <c r="B102" s="144">
        <f>IF($B$24="","",$B$24)</f>
        <v>106.535</v>
      </c>
      <c r="C102" s="145" t="str">
        <f>IF($C$24="","",$C$24)</f>
        <v>PERC. IVA</v>
      </c>
      <c r="D102" s="150"/>
      <c r="E102" s="151"/>
      <c r="F102" s="88"/>
      <c r="G102" s="144">
        <f>IF($B$24="","",$B$24)</f>
        <v>106.535</v>
      </c>
      <c r="H102" s="145" t="str">
        <f>IF($C$24="","",$C$24)</f>
        <v>PERC. IVA</v>
      </c>
      <c r="I102" s="150"/>
      <c r="J102" s="151"/>
      <c r="K102" s="88"/>
      <c r="L102" s="144">
        <f>IF($B$24="","",$B$24)</f>
        <v>106.535</v>
      </c>
      <c r="M102" s="145" t="str">
        <f>IF($C$24="","",$C$24)</f>
        <v>PERC. IVA</v>
      </c>
      <c r="N102" s="150"/>
      <c r="O102" s="151"/>
    </row>
    <row r="103" spans="2:15" ht="15.75" customHeight="1" x14ac:dyDescent="0.25">
      <c r="B103" s="144" t="str">
        <f>IF($B$25="","",$B$25)</f>
        <v/>
      </c>
      <c r="C103" s="145" t="str">
        <f>IF($C$25="","",$C$25)</f>
        <v/>
      </c>
      <c r="D103" s="152"/>
      <c r="E103" s="151"/>
      <c r="F103" s="88"/>
      <c r="G103" s="144" t="str">
        <f>IF($B$25="","",$B$25)</f>
        <v/>
      </c>
      <c r="H103" s="145" t="str">
        <f>IF($C$25="","",$C$25)</f>
        <v/>
      </c>
      <c r="I103" s="152"/>
      <c r="J103" s="151"/>
      <c r="K103" s="88"/>
      <c r="L103" s="144" t="str">
        <f>IF($B$25="","",$B$25)</f>
        <v/>
      </c>
      <c r="M103" s="145" t="str">
        <f>IF($C$25="","",$C$25)</f>
        <v/>
      </c>
      <c r="N103" s="152"/>
      <c r="O103" s="151"/>
    </row>
    <row r="104" spans="2:15" ht="15.75" customHeight="1" x14ac:dyDescent="0.25">
      <c r="B104" s="144" t="str">
        <f>IF($B$26="","",$B$26)</f>
        <v/>
      </c>
      <c r="C104" s="145" t="str">
        <f>IF($C$26="","",$C$26)</f>
        <v/>
      </c>
      <c r="D104" s="152"/>
      <c r="E104" s="151"/>
      <c r="F104" s="88"/>
      <c r="G104" s="144" t="str">
        <f>IF($B$26="","",$B$26)</f>
        <v/>
      </c>
      <c r="H104" s="145" t="str">
        <f>IF($C$26="","",$C$26)</f>
        <v/>
      </c>
      <c r="I104" s="152"/>
      <c r="J104" s="151"/>
      <c r="K104" s="88"/>
      <c r="L104" s="144" t="str">
        <f>IF($B$26="","",$B$26)</f>
        <v/>
      </c>
      <c r="M104" s="145" t="str">
        <f>IF($C$26="","",$C$26)</f>
        <v/>
      </c>
      <c r="N104" s="152"/>
      <c r="O104" s="151"/>
    </row>
    <row r="105" spans="2:15" ht="15.75" customHeight="1" x14ac:dyDescent="0.25">
      <c r="B105" s="144">
        <f>IF($B$27="","",$B$27)</f>
        <v>200.9</v>
      </c>
      <c r="C105" s="145" t="str">
        <f>IF($C$27="","",$C$27)</f>
        <v>PROVEEDORES</v>
      </c>
      <c r="D105" s="151"/>
      <c r="E105" s="151"/>
      <c r="F105" s="88"/>
      <c r="G105" s="144">
        <f>IF($B$27="","",$B$27)</f>
        <v>200.9</v>
      </c>
      <c r="H105" s="145" t="str">
        <f>IF($C$27="","",$C$27)</f>
        <v>PROVEEDORES</v>
      </c>
      <c r="I105" s="151"/>
      <c r="J105" s="151"/>
      <c r="K105" s="88"/>
      <c r="L105" s="144">
        <f>IF($B$27="","",$B$27)</f>
        <v>200.9</v>
      </c>
      <c r="M105" s="145" t="str">
        <f>IF($C$27="","",$C$27)</f>
        <v>PROVEEDORES</v>
      </c>
      <c r="N105" s="151"/>
      <c r="O105" s="151"/>
    </row>
    <row r="106" spans="2:15" ht="15.75" customHeight="1" x14ac:dyDescent="0.25">
      <c r="B106" s="485"/>
      <c r="C106" s="486"/>
      <c r="D106" s="486"/>
      <c r="E106" s="155">
        <v>0</v>
      </c>
      <c r="F106" s="88"/>
      <c r="G106" s="485"/>
      <c r="H106" s="486"/>
      <c r="I106" s="486"/>
      <c r="J106" s="155">
        <v>0</v>
      </c>
      <c r="K106" s="88"/>
      <c r="L106" s="485"/>
      <c r="M106" s="486"/>
      <c r="N106" s="486"/>
      <c r="O106" s="155">
        <v>0</v>
      </c>
    </row>
    <row r="107" spans="2:15" ht="15.75" customHeight="1" x14ac:dyDescent="0.25">
      <c r="B107" s="88"/>
      <c r="C107" s="88"/>
      <c r="D107" s="88"/>
      <c r="E107" s="88"/>
      <c r="L107" s="487"/>
      <c r="M107" s="488"/>
      <c r="N107" s="488"/>
      <c r="O107" s="88"/>
    </row>
    <row r="108" spans="2:15" ht="15.75" customHeight="1" x14ac:dyDescent="0.25">
      <c r="B108" s="88"/>
      <c r="C108" s="88"/>
      <c r="D108" s="88"/>
      <c r="E108" s="88"/>
      <c r="L108" s="88"/>
      <c r="M108" s="88"/>
      <c r="N108" s="88"/>
      <c r="O108" s="88"/>
    </row>
    <row r="109" spans="2:15" ht="15.75" customHeight="1" x14ac:dyDescent="0.25"/>
    <row r="110" spans="2:15" ht="15.75" customHeight="1" x14ac:dyDescent="0.25"/>
    <row r="111" spans="2:15" ht="15.75" customHeight="1" x14ac:dyDescent="0.25"/>
    <row r="112" spans="2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G106:I106"/>
    <mergeCell ref="L106:N106"/>
    <mergeCell ref="L107:N107"/>
    <mergeCell ref="B80:D80"/>
    <mergeCell ref="G80:I80"/>
    <mergeCell ref="L80:N80"/>
    <mergeCell ref="B82:E82"/>
    <mergeCell ref="G82:J82"/>
    <mergeCell ref="L82:O82"/>
    <mergeCell ref="B106:D106"/>
    <mergeCell ref="G56:J56"/>
    <mergeCell ref="L56:O56"/>
    <mergeCell ref="B30:E30"/>
    <mergeCell ref="G30:J30"/>
    <mergeCell ref="L30:O30"/>
    <mergeCell ref="B54:D54"/>
    <mergeCell ref="G54:I54"/>
    <mergeCell ref="L54:N54"/>
    <mergeCell ref="B56:E56"/>
    <mergeCell ref="B2:O2"/>
    <mergeCell ref="B4:E4"/>
    <mergeCell ref="G4:J4"/>
    <mergeCell ref="L4:O4"/>
    <mergeCell ref="B28:D28"/>
    <mergeCell ref="G28:I28"/>
    <mergeCell ref="L28:N28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CDDC"/>
  </sheetPr>
  <dimension ref="B2:O1000"/>
  <sheetViews>
    <sheetView showGridLines="0" workbookViewId="0"/>
  </sheetViews>
  <sheetFormatPr baseColWidth="10" defaultColWidth="14.42578125" defaultRowHeight="15" customHeight="1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5" width="11.5703125" customWidth="1"/>
    <col min="16" max="26" width="10.7109375" customWidth="1"/>
  </cols>
  <sheetData>
    <row r="2" spans="2:15" ht="31.5" x14ac:dyDescent="0.25">
      <c r="B2" s="481" t="s">
        <v>1399</v>
      </c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9"/>
    </row>
    <row r="3" spans="2:15" x14ac:dyDescent="0.25"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2:15" ht="18.75" x14ac:dyDescent="0.25">
      <c r="B4" s="482">
        <f>'Abr-26'!N1</f>
        <v>45748</v>
      </c>
      <c r="C4" s="483"/>
      <c r="D4" s="483"/>
      <c r="E4" s="484"/>
      <c r="F4" s="88"/>
      <c r="G4" s="482">
        <f>EDATE($B$4,1)</f>
        <v>45778</v>
      </c>
      <c r="H4" s="483"/>
      <c r="I4" s="483"/>
      <c r="J4" s="484"/>
      <c r="K4" s="88"/>
      <c r="L4" s="482">
        <f>EDATE($B$4,2)</f>
        <v>45809</v>
      </c>
      <c r="M4" s="483"/>
      <c r="N4" s="483"/>
      <c r="O4" s="484"/>
    </row>
    <row r="5" spans="2:15" x14ac:dyDescent="0.25">
      <c r="B5" s="158">
        <v>100.1</v>
      </c>
      <c r="C5" s="159" t="s">
        <v>1400</v>
      </c>
      <c r="D5" s="160">
        <v>0</v>
      </c>
      <c r="E5" s="147"/>
      <c r="F5" s="88"/>
      <c r="G5" s="158">
        <v>100.1</v>
      </c>
      <c r="H5" s="159" t="s">
        <v>1400</v>
      </c>
      <c r="I5" s="160">
        <v>0</v>
      </c>
      <c r="J5" s="147"/>
      <c r="K5" s="88"/>
      <c r="L5" s="158">
        <v>100.1</v>
      </c>
      <c r="M5" s="159" t="s">
        <v>1400</v>
      </c>
      <c r="N5" s="160">
        <v>0</v>
      </c>
      <c r="O5" s="147"/>
    </row>
    <row r="6" spans="2:15" x14ac:dyDescent="0.25">
      <c r="B6" s="158">
        <v>210.1</v>
      </c>
      <c r="C6" s="159" t="s">
        <v>1401</v>
      </c>
      <c r="D6" s="147"/>
      <c r="E6" s="161"/>
      <c r="F6" s="88"/>
      <c r="G6" s="158">
        <v>210.1</v>
      </c>
      <c r="H6" s="159" t="s">
        <v>1401</v>
      </c>
      <c r="I6" s="147"/>
      <c r="J6" s="161"/>
      <c r="K6" s="88"/>
      <c r="L6" s="158">
        <v>210.1</v>
      </c>
      <c r="M6" s="159" t="s">
        <v>1401</v>
      </c>
      <c r="N6" s="147"/>
      <c r="O6" s="161"/>
    </row>
    <row r="7" spans="2:15" x14ac:dyDescent="0.25">
      <c r="B7" s="158">
        <v>400.2</v>
      </c>
      <c r="C7" s="159" t="s">
        <v>1402</v>
      </c>
      <c r="D7" s="147"/>
      <c r="E7" s="161"/>
      <c r="F7" s="88"/>
      <c r="G7" s="158">
        <v>400.2</v>
      </c>
      <c r="H7" s="159" t="s">
        <v>1402</v>
      </c>
      <c r="I7" s="147"/>
      <c r="J7" s="161"/>
      <c r="K7" s="88"/>
      <c r="L7" s="158">
        <v>400.2</v>
      </c>
      <c r="M7" s="159" t="s">
        <v>1402</v>
      </c>
      <c r="N7" s="147"/>
      <c r="O7" s="161"/>
    </row>
    <row r="8" spans="2:15" x14ac:dyDescent="0.25">
      <c r="B8" s="162">
        <v>400.1</v>
      </c>
      <c r="C8" s="163" t="s">
        <v>1403</v>
      </c>
      <c r="D8" s="147"/>
      <c r="E8" s="164"/>
      <c r="F8" s="88"/>
      <c r="G8" s="162">
        <v>400.1</v>
      </c>
      <c r="H8" s="163" t="s">
        <v>1403</v>
      </c>
      <c r="I8" s="147"/>
      <c r="J8" s="164"/>
      <c r="K8" s="88"/>
      <c r="L8" s="162">
        <v>400.1</v>
      </c>
      <c r="M8" s="163" t="s">
        <v>1403</v>
      </c>
      <c r="N8" s="147"/>
      <c r="O8" s="164"/>
    </row>
    <row r="9" spans="2:15" x14ac:dyDescent="0.25">
      <c r="B9" s="165"/>
      <c r="C9" s="165"/>
      <c r="D9" s="165"/>
      <c r="E9" s="166">
        <v>0</v>
      </c>
      <c r="F9" s="88"/>
      <c r="G9" s="165"/>
      <c r="H9" s="165"/>
      <c r="I9" s="165"/>
      <c r="J9" s="166">
        <v>0</v>
      </c>
      <c r="K9" s="88"/>
      <c r="L9" s="165"/>
      <c r="M9" s="165"/>
      <c r="N9" s="165"/>
      <c r="O9" s="166">
        <v>0</v>
      </c>
    </row>
    <row r="10" spans="2:15" x14ac:dyDescent="0.25"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</row>
    <row r="11" spans="2:15" ht="18.75" x14ac:dyDescent="0.25">
      <c r="B11" s="482">
        <f>EDATE($B$4,3)</f>
        <v>45839</v>
      </c>
      <c r="C11" s="483"/>
      <c r="D11" s="483"/>
      <c r="E11" s="484"/>
      <c r="F11" s="88"/>
      <c r="G11" s="482">
        <f>EDATE($B$4,4)</f>
        <v>45870</v>
      </c>
      <c r="H11" s="483"/>
      <c r="I11" s="483"/>
      <c r="J11" s="484"/>
      <c r="K11" s="88"/>
      <c r="L11" s="482">
        <f>EDATE($B$4,5)</f>
        <v>45901</v>
      </c>
      <c r="M11" s="483"/>
      <c r="N11" s="483"/>
      <c r="O11" s="484"/>
    </row>
    <row r="12" spans="2:15" x14ac:dyDescent="0.25">
      <c r="B12" s="158">
        <v>100.1</v>
      </c>
      <c r="C12" s="159" t="s">
        <v>1400</v>
      </c>
      <c r="D12" s="160">
        <v>0</v>
      </c>
      <c r="E12" s="147"/>
      <c r="F12" s="88"/>
      <c r="G12" s="158">
        <v>100.1</v>
      </c>
      <c r="H12" s="159" t="s">
        <v>1400</v>
      </c>
      <c r="I12" s="160">
        <v>0</v>
      </c>
      <c r="J12" s="147"/>
      <c r="K12" s="88"/>
      <c r="L12" s="158">
        <v>100.1</v>
      </c>
      <c r="M12" s="159" t="s">
        <v>1400</v>
      </c>
      <c r="N12" s="160">
        <v>0</v>
      </c>
      <c r="O12" s="147"/>
    </row>
    <row r="13" spans="2:15" x14ac:dyDescent="0.25">
      <c r="B13" s="158">
        <v>210.1</v>
      </c>
      <c r="C13" s="159" t="s">
        <v>1401</v>
      </c>
      <c r="D13" s="147"/>
      <c r="E13" s="161"/>
      <c r="F13" s="88"/>
      <c r="G13" s="158">
        <v>210.1</v>
      </c>
      <c r="H13" s="159" t="s">
        <v>1401</v>
      </c>
      <c r="I13" s="147"/>
      <c r="J13" s="161"/>
      <c r="K13" s="88"/>
      <c r="L13" s="158">
        <v>210.1</v>
      </c>
      <c r="M13" s="159" t="s">
        <v>1401</v>
      </c>
      <c r="N13" s="147"/>
      <c r="O13" s="161"/>
    </row>
    <row r="14" spans="2:15" x14ac:dyDescent="0.25">
      <c r="B14" s="158">
        <v>400.2</v>
      </c>
      <c r="C14" s="159" t="s">
        <v>1402</v>
      </c>
      <c r="D14" s="147"/>
      <c r="E14" s="161"/>
      <c r="F14" s="88"/>
      <c r="G14" s="158">
        <v>400.2</v>
      </c>
      <c r="H14" s="159" t="s">
        <v>1402</v>
      </c>
      <c r="I14" s="147"/>
      <c r="J14" s="161"/>
      <c r="K14" s="88"/>
      <c r="L14" s="158">
        <v>400.2</v>
      </c>
      <c r="M14" s="159" t="s">
        <v>1402</v>
      </c>
      <c r="N14" s="147"/>
      <c r="O14" s="161"/>
    </row>
    <row r="15" spans="2:15" x14ac:dyDescent="0.25">
      <c r="B15" s="162">
        <v>400.1</v>
      </c>
      <c r="C15" s="163" t="s">
        <v>1403</v>
      </c>
      <c r="D15" s="147"/>
      <c r="E15" s="164"/>
      <c r="F15" s="88"/>
      <c r="G15" s="162">
        <v>400.1</v>
      </c>
      <c r="H15" s="163" t="s">
        <v>1403</v>
      </c>
      <c r="I15" s="147"/>
      <c r="J15" s="164"/>
      <c r="K15" s="88"/>
      <c r="L15" s="162">
        <v>400.1</v>
      </c>
      <c r="M15" s="163" t="s">
        <v>1403</v>
      </c>
      <c r="N15" s="147"/>
      <c r="O15" s="164"/>
    </row>
    <row r="16" spans="2:15" x14ac:dyDescent="0.25">
      <c r="B16" s="165"/>
      <c r="C16" s="165"/>
      <c r="D16" s="165"/>
      <c r="E16" s="166">
        <v>0</v>
      </c>
      <c r="F16" s="88"/>
      <c r="G16" s="165"/>
      <c r="H16" s="165"/>
      <c r="I16" s="165"/>
      <c r="J16" s="166">
        <v>0</v>
      </c>
      <c r="K16" s="88"/>
      <c r="L16" s="165"/>
      <c r="M16" s="165"/>
      <c r="N16" s="165"/>
      <c r="O16" s="166">
        <v>0</v>
      </c>
    </row>
    <row r="17" spans="2:15" x14ac:dyDescent="0.25"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</row>
    <row r="18" spans="2:15" ht="18.75" x14ac:dyDescent="0.25">
      <c r="B18" s="482">
        <f>EDATE($B$4,6)</f>
        <v>45931</v>
      </c>
      <c r="C18" s="483"/>
      <c r="D18" s="483"/>
      <c r="E18" s="484"/>
      <c r="F18" s="88"/>
      <c r="G18" s="482">
        <f>EDATE($B$4,7)</f>
        <v>45962</v>
      </c>
      <c r="H18" s="483"/>
      <c r="I18" s="483"/>
      <c r="J18" s="484"/>
      <c r="K18" s="88"/>
      <c r="L18" s="482">
        <f>EDATE($B$4,8)</f>
        <v>45992</v>
      </c>
      <c r="M18" s="483"/>
      <c r="N18" s="483"/>
      <c r="O18" s="484"/>
    </row>
    <row r="19" spans="2:15" x14ac:dyDescent="0.25">
      <c r="B19" s="158">
        <v>100.1</v>
      </c>
      <c r="C19" s="159" t="s">
        <v>1400</v>
      </c>
      <c r="D19" s="160">
        <v>0</v>
      </c>
      <c r="E19" s="147"/>
      <c r="F19" s="88"/>
      <c r="G19" s="158">
        <v>100.1</v>
      </c>
      <c r="H19" s="159" t="s">
        <v>1400</v>
      </c>
      <c r="I19" s="160">
        <v>0</v>
      </c>
      <c r="J19" s="147"/>
      <c r="K19" s="88"/>
      <c r="L19" s="158">
        <v>100.1</v>
      </c>
      <c r="M19" s="159" t="s">
        <v>1400</v>
      </c>
      <c r="N19" s="160">
        <v>0</v>
      </c>
      <c r="O19" s="147"/>
    </row>
    <row r="20" spans="2:15" x14ac:dyDescent="0.25">
      <c r="B20" s="158">
        <v>210.1</v>
      </c>
      <c r="C20" s="159" t="s">
        <v>1401</v>
      </c>
      <c r="D20" s="147"/>
      <c r="E20" s="161"/>
      <c r="F20" s="88"/>
      <c r="G20" s="158">
        <v>210.1</v>
      </c>
      <c r="H20" s="159" t="s">
        <v>1401</v>
      </c>
      <c r="I20" s="147"/>
      <c r="J20" s="161"/>
      <c r="K20" s="88"/>
      <c r="L20" s="158">
        <v>210.1</v>
      </c>
      <c r="M20" s="159" t="s">
        <v>1401</v>
      </c>
      <c r="N20" s="147"/>
      <c r="O20" s="161"/>
    </row>
    <row r="21" spans="2:15" ht="15.75" customHeight="1" x14ac:dyDescent="0.25">
      <c r="B21" s="158">
        <v>400.2</v>
      </c>
      <c r="C21" s="159" t="s">
        <v>1402</v>
      </c>
      <c r="D21" s="147"/>
      <c r="E21" s="161"/>
      <c r="F21" s="88"/>
      <c r="G21" s="158">
        <v>400.2</v>
      </c>
      <c r="H21" s="159" t="s">
        <v>1402</v>
      </c>
      <c r="I21" s="147"/>
      <c r="J21" s="161"/>
      <c r="K21" s="88"/>
      <c r="L21" s="158">
        <v>400.2</v>
      </c>
      <c r="M21" s="159" t="s">
        <v>1402</v>
      </c>
      <c r="N21" s="147"/>
      <c r="O21" s="161"/>
    </row>
    <row r="22" spans="2:15" ht="15.75" customHeight="1" x14ac:dyDescent="0.25">
      <c r="B22" s="162">
        <v>400.1</v>
      </c>
      <c r="C22" s="163" t="s">
        <v>1403</v>
      </c>
      <c r="D22" s="147"/>
      <c r="E22" s="164"/>
      <c r="F22" s="88"/>
      <c r="G22" s="162">
        <v>400.1</v>
      </c>
      <c r="H22" s="163" t="s">
        <v>1403</v>
      </c>
      <c r="I22" s="147"/>
      <c r="J22" s="164"/>
      <c r="K22" s="88"/>
      <c r="L22" s="162">
        <v>400.1</v>
      </c>
      <c r="M22" s="163" t="s">
        <v>1403</v>
      </c>
      <c r="N22" s="147"/>
      <c r="O22" s="164"/>
    </row>
    <row r="23" spans="2:15" ht="15.75" customHeight="1" x14ac:dyDescent="0.25">
      <c r="B23" s="165"/>
      <c r="C23" s="165"/>
      <c r="D23" s="165"/>
      <c r="E23" s="166">
        <v>0</v>
      </c>
      <c r="F23" s="88"/>
      <c r="G23" s="165"/>
      <c r="H23" s="165"/>
      <c r="I23" s="165"/>
      <c r="J23" s="166">
        <v>0</v>
      </c>
      <c r="K23" s="88"/>
      <c r="L23" s="165"/>
      <c r="M23" s="165"/>
      <c r="N23" s="165"/>
      <c r="O23" s="166">
        <v>0</v>
      </c>
    </row>
    <row r="24" spans="2:15" ht="15.75" customHeight="1" x14ac:dyDescent="0.25">
      <c r="B24" s="165"/>
      <c r="C24" s="165"/>
      <c r="D24" s="165"/>
      <c r="E24" s="167"/>
      <c r="F24" s="88"/>
      <c r="G24" s="88"/>
      <c r="H24" s="88"/>
      <c r="I24" s="88"/>
      <c r="J24" s="88"/>
      <c r="K24" s="88"/>
      <c r="L24" s="88"/>
      <c r="M24" s="88"/>
      <c r="N24" s="88"/>
      <c r="O24" s="88"/>
    </row>
    <row r="25" spans="2:15" ht="15.75" customHeight="1" x14ac:dyDescent="0.25">
      <c r="B25" s="482">
        <f>EDATE($B$4,9)</f>
        <v>46023</v>
      </c>
      <c r="C25" s="483"/>
      <c r="D25" s="483"/>
      <c r="E25" s="484"/>
      <c r="F25" s="88"/>
      <c r="G25" s="482">
        <f>EDATE($B$4,10)</f>
        <v>46054</v>
      </c>
      <c r="H25" s="483"/>
      <c r="I25" s="483"/>
      <c r="J25" s="484"/>
      <c r="K25" s="88"/>
      <c r="L25" s="482">
        <f>EDATE($B$4,11)</f>
        <v>46082</v>
      </c>
      <c r="M25" s="483"/>
      <c r="N25" s="483"/>
      <c r="O25" s="484"/>
    </row>
    <row r="26" spans="2:15" ht="15.75" customHeight="1" x14ac:dyDescent="0.25">
      <c r="B26" s="158">
        <v>100.1</v>
      </c>
      <c r="C26" s="159" t="s">
        <v>1400</v>
      </c>
      <c r="D26" s="160">
        <v>0</v>
      </c>
      <c r="E26" s="147"/>
      <c r="F26" s="88"/>
      <c r="G26" s="158">
        <v>100.1</v>
      </c>
      <c r="H26" s="159" t="s">
        <v>1400</v>
      </c>
      <c r="I26" s="160">
        <v>0</v>
      </c>
      <c r="J26" s="147"/>
      <c r="K26" s="88"/>
      <c r="L26" s="158">
        <v>100.1</v>
      </c>
      <c r="M26" s="159" t="s">
        <v>1400</v>
      </c>
      <c r="N26" s="160">
        <v>0</v>
      </c>
      <c r="O26" s="147"/>
    </row>
    <row r="27" spans="2:15" ht="15.75" customHeight="1" x14ac:dyDescent="0.25">
      <c r="B27" s="158">
        <v>210.1</v>
      </c>
      <c r="C27" s="159" t="s">
        <v>1401</v>
      </c>
      <c r="D27" s="147"/>
      <c r="E27" s="161"/>
      <c r="F27" s="88"/>
      <c r="G27" s="158">
        <v>210.1</v>
      </c>
      <c r="H27" s="159" t="s">
        <v>1401</v>
      </c>
      <c r="I27" s="147"/>
      <c r="J27" s="161"/>
      <c r="K27" s="88"/>
      <c r="L27" s="158">
        <v>210.1</v>
      </c>
      <c r="M27" s="159" t="s">
        <v>1401</v>
      </c>
      <c r="N27" s="147"/>
      <c r="O27" s="161"/>
    </row>
    <row r="28" spans="2:15" ht="15.75" customHeight="1" x14ac:dyDescent="0.25">
      <c r="B28" s="158">
        <v>400.2</v>
      </c>
      <c r="C28" s="159" t="s">
        <v>1402</v>
      </c>
      <c r="D28" s="147"/>
      <c r="E28" s="161"/>
      <c r="F28" s="88"/>
      <c r="G28" s="158">
        <v>400.2</v>
      </c>
      <c r="H28" s="159" t="s">
        <v>1402</v>
      </c>
      <c r="I28" s="147"/>
      <c r="J28" s="161"/>
      <c r="K28" s="88"/>
      <c r="L28" s="158">
        <v>400.2</v>
      </c>
      <c r="M28" s="159" t="s">
        <v>1402</v>
      </c>
      <c r="N28" s="147"/>
      <c r="O28" s="161"/>
    </row>
    <row r="29" spans="2:15" ht="15.75" customHeight="1" x14ac:dyDescent="0.25">
      <c r="B29" s="162">
        <v>400.1</v>
      </c>
      <c r="C29" s="163" t="s">
        <v>1403</v>
      </c>
      <c r="D29" s="147"/>
      <c r="E29" s="164"/>
      <c r="F29" s="88"/>
      <c r="G29" s="162">
        <v>400.1</v>
      </c>
      <c r="H29" s="163" t="s">
        <v>1403</v>
      </c>
      <c r="I29" s="147"/>
      <c r="J29" s="164"/>
      <c r="K29" s="88"/>
      <c r="L29" s="162">
        <v>400.1</v>
      </c>
      <c r="M29" s="163" t="s">
        <v>1403</v>
      </c>
      <c r="N29" s="147"/>
      <c r="O29" s="164"/>
    </row>
    <row r="30" spans="2:15" ht="15.75" customHeight="1" x14ac:dyDescent="0.25">
      <c r="B30" s="165"/>
      <c r="C30" s="165"/>
      <c r="D30" s="165"/>
      <c r="E30" s="166">
        <v>0</v>
      </c>
      <c r="F30" s="88"/>
      <c r="G30" s="165"/>
      <c r="H30" s="165"/>
      <c r="I30" s="165"/>
      <c r="J30" s="166">
        <v>0</v>
      </c>
      <c r="K30" s="88"/>
      <c r="L30" s="165"/>
      <c r="M30" s="165"/>
      <c r="N30" s="165"/>
      <c r="O30" s="166">
        <v>0</v>
      </c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B2:O2"/>
    <mergeCell ref="B4:E4"/>
    <mergeCell ref="G4:J4"/>
    <mergeCell ref="L4:O4"/>
    <mergeCell ref="B11:E11"/>
    <mergeCell ref="G11:J11"/>
    <mergeCell ref="L11:O11"/>
    <mergeCell ref="B18:E18"/>
    <mergeCell ref="G18:J18"/>
    <mergeCell ref="L18:O18"/>
    <mergeCell ref="B25:E25"/>
    <mergeCell ref="G25:J25"/>
    <mergeCell ref="L25:O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Abr-26</vt:lpstr>
      <vt:lpstr>May-26</vt:lpstr>
      <vt:lpstr>Jun-26</vt:lpstr>
      <vt:lpstr>Jul-26</vt:lpstr>
      <vt:lpstr>Ago-26</vt:lpstr>
      <vt:lpstr>Sept-26</vt:lpstr>
      <vt:lpstr>Oct-26</vt:lpstr>
      <vt:lpstr>Nov-26</vt:lpstr>
      <vt:lpstr>Dic-26</vt:lpstr>
      <vt:lpstr>Ene-27</vt:lpstr>
      <vt:lpstr>Feb-27</vt:lpstr>
      <vt:lpstr>Mar-27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Gaspar Gullo</cp:lastModifiedBy>
  <dcterms:created xsi:type="dcterms:W3CDTF">2006-09-16T00:00:00Z</dcterms:created>
  <dcterms:modified xsi:type="dcterms:W3CDTF">2026-05-15T16:23:16Z</dcterms:modified>
</cp:coreProperties>
</file>