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01. EMPRESAS\RABLEB S.R.L\02. COMPRAS Y VENTAS\COMPRAS VENTAS 2026\"/>
    </mc:Choice>
  </mc:AlternateContent>
  <xr:revisionPtr revIDLastSave="0" documentId="13_ncr:1_{D10C31C0-7FC7-443C-84C3-A3981F7823DC}" xr6:coauthVersionLast="47" xr6:coauthVersionMax="47" xr10:uidLastSave="{00000000-0000-0000-0000-000000000000}"/>
  <bookViews>
    <workbookView xWindow="-120" yWindow="-120" windowWidth="29040" windowHeight="15840" tabRatio="817" activeTab="4" xr2:uid="{00000000-000D-0000-FFFF-FFFF00000000}"/>
  </bookViews>
  <sheets>
    <sheet name="Lista_CUIT" sheetId="8" r:id="rId1"/>
    <sheet name="Ene-26" sheetId="2" r:id="rId2"/>
    <sheet name="Feb-26" sheetId="10" r:id="rId3"/>
    <sheet name="Mar-26" sheetId="11" r:id="rId4"/>
    <sheet name="Abr-26" sheetId="12" r:id="rId5"/>
    <sheet name="May-26" sheetId="16" r:id="rId6"/>
    <sheet name="Jun-26" sheetId="13" r:id="rId7"/>
    <sheet name="Jul-26" sheetId="15" r:id="rId8"/>
    <sheet name="Ago-26" sheetId="18" r:id="rId9"/>
    <sheet name="Sep-26" sheetId="19" r:id="rId10"/>
    <sheet name="Oct-26" sheetId="14" r:id="rId11"/>
    <sheet name="Nov-26" sheetId="21" r:id="rId12"/>
    <sheet name="Dic-26" sheetId="22" r:id="rId13"/>
    <sheet name="Asto-Cpras" sheetId="3" r:id="rId14"/>
    <sheet name="Asto-Vtas" sheetId="4" r:id="rId15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5" i="12" l="1"/>
  <c r="I75" i="12"/>
  <c r="L75" i="12" s="1"/>
  <c r="G76" i="12"/>
  <c r="I76" i="12"/>
  <c r="L76" i="12" s="1"/>
  <c r="G77" i="12"/>
  <c r="I77" i="12"/>
  <c r="L77" i="12" s="1"/>
  <c r="G78" i="12"/>
  <c r="I78" i="12"/>
  <c r="L78" i="12" s="1"/>
  <c r="G79" i="12"/>
  <c r="I79" i="12"/>
  <c r="L79" i="12" s="1"/>
  <c r="G80" i="12"/>
  <c r="I80" i="12"/>
  <c r="L80" i="12" s="1"/>
  <c r="G81" i="12"/>
  <c r="I81" i="12"/>
  <c r="L81" i="12" s="1"/>
  <c r="G82" i="12"/>
  <c r="I82" i="12"/>
  <c r="L82" i="12" s="1"/>
  <c r="G83" i="12"/>
  <c r="I83" i="12"/>
  <c r="L83" i="12" s="1"/>
  <c r="G84" i="12"/>
  <c r="I84" i="12"/>
  <c r="L84" i="12" s="1"/>
  <c r="G85" i="12"/>
  <c r="I85" i="12"/>
  <c r="L85" i="12" s="1"/>
  <c r="G86" i="12"/>
  <c r="I86" i="12"/>
  <c r="L86" i="12" s="1"/>
  <c r="G87" i="12"/>
  <c r="I87" i="12"/>
  <c r="L87" i="12" s="1"/>
  <c r="G88" i="12"/>
  <c r="I88" i="12"/>
  <c r="L88" i="12" s="1"/>
  <c r="G89" i="12"/>
  <c r="I89" i="12"/>
  <c r="L89" i="12" s="1"/>
  <c r="G90" i="12"/>
  <c r="I90" i="12"/>
  <c r="L90" i="12" s="1"/>
  <c r="G91" i="12"/>
  <c r="I91" i="12"/>
  <c r="L91" i="12" s="1"/>
  <c r="G92" i="12"/>
  <c r="I92" i="12"/>
  <c r="L92" i="12" s="1"/>
  <c r="G93" i="12"/>
  <c r="I93" i="12"/>
  <c r="L93" i="12" s="1"/>
  <c r="G94" i="12"/>
  <c r="I94" i="12"/>
  <c r="L94" i="12" s="1"/>
  <c r="G95" i="12"/>
  <c r="I95" i="12"/>
  <c r="L95" i="12" s="1"/>
  <c r="G96" i="12"/>
  <c r="I96" i="12"/>
  <c r="L96" i="12" s="1"/>
  <c r="G97" i="12"/>
  <c r="I97" i="12"/>
  <c r="L97" i="12" s="1"/>
  <c r="G98" i="12"/>
  <c r="I98" i="12"/>
  <c r="L98" i="12" s="1"/>
  <c r="G99" i="12"/>
  <c r="I99" i="12"/>
  <c r="L99" i="12" s="1"/>
  <c r="G100" i="12"/>
  <c r="I100" i="12"/>
  <c r="L100" i="12" s="1"/>
  <c r="G101" i="12"/>
  <c r="I101" i="12"/>
  <c r="L101" i="12" s="1"/>
  <c r="G102" i="12"/>
  <c r="I102" i="12"/>
  <c r="L102" i="12" s="1"/>
  <c r="G74" i="12"/>
  <c r="I74" i="12"/>
  <c r="L74" i="12" s="1"/>
  <c r="H57" i="12"/>
  <c r="H56" i="12"/>
  <c r="J56" i="12"/>
  <c r="K56" i="12"/>
  <c r="J57" i="12"/>
  <c r="K57" i="12"/>
  <c r="H55" i="12"/>
  <c r="H58" i="12"/>
  <c r="H59" i="12"/>
  <c r="H60" i="12"/>
  <c r="J55" i="12"/>
  <c r="J58" i="12"/>
  <c r="J59" i="12"/>
  <c r="J60" i="12"/>
  <c r="K55" i="12"/>
  <c r="K58" i="12"/>
  <c r="K59" i="12"/>
  <c r="K60" i="12"/>
  <c r="M50" i="11"/>
  <c r="M51" i="11"/>
  <c r="M52" i="11"/>
  <c r="G50" i="11"/>
  <c r="G51" i="11"/>
  <c r="G52" i="11"/>
  <c r="G78" i="11"/>
  <c r="I78" i="11"/>
  <c r="L78" i="11"/>
  <c r="G79" i="11"/>
  <c r="I79" i="11"/>
  <c r="L79" i="11" s="1"/>
  <c r="G80" i="11"/>
  <c r="I80" i="11"/>
  <c r="L80" i="11" s="1"/>
  <c r="G81" i="11"/>
  <c r="I81" i="11"/>
  <c r="L81" i="11" s="1"/>
  <c r="G82" i="11"/>
  <c r="I82" i="11"/>
  <c r="L82" i="11" s="1"/>
  <c r="G83" i="11"/>
  <c r="I83" i="11"/>
  <c r="L83" i="11" s="1"/>
  <c r="G84" i="11"/>
  <c r="I84" i="11"/>
  <c r="L84" i="11" s="1"/>
  <c r="G85" i="11"/>
  <c r="I85" i="11"/>
  <c r="L85" i="11"/>
  <c r="G86" i="11"/>
  <c r="I86" i="11"/>
  <c r="L86" i="11" s="1"/>
  <c r="G87" i="11"/>
  <c r="I87" i="11"/>
  <c r="L87" i="11" s="1"/>
  <c r="G88" i="11"/>
  <c r="I88" i="11"/>
  <c r="L88" i="11" s="1"/>
  <c r="G89" i="11"/>
  <c r="I89" i="11"/>
  <c r="L89" i="11" s="1"/>
  <c r="G90" i="11"/>
  <c r="I90" i="11"/>
  <c r="L90" i="11"/>
  <c r="G91" i="11"/>
  <c r="I91" i="11"/>
  <c r="L91" i="11" s="1"/>
  <c r="G92" i="11"/>
  <c r="I92" i="11"/>
  <c r="L92" i="11" s="1"/>
  <c r="G93" i="11"/>
  <c r="I93" i="11"/>
  <c r="L93" i="11"/>
  <c r="G94" i="11"/>
  <c r="I94" i="11"/>
  <c r="L94" i="11" s="1"/>
  <c r="G95" i="11"/>
  <c r="I95" i="11"/>
  <c r="L95" i="11" s="1"/>
  <c r="G96" i="11"/>
  <c r="I96" i="11"/>
  <c r="L96" i="11" s="1"/>
  <c r="G97" i="11"/>
  <c r="I97" i="11"/>
  <c r="L97" i="11" s="1"/>
  <c r="G98" i="11"/>
  <c r="I98" i="11"/>
  <c r="L98" i="11"/>
  <c r="G99" i="11"/>
  <c r="I99" i="11"/>
  <c r="L99" i="11" s="1"/>
  <c r="G100" i="11"/>
  <c r="I100" i="11"/>
  <c r="L100" i="11" s="1"/>
  <c r="G101" i="11"/>
  <c r="I101" i="11"/>
  <c r="L101" i="11"/>
  <c r="G102" i="11"/>
  <c r="I102" i="11"/>
  <c r="L102" i="11" s="1"/>
  <c r="G103" i="11"/>
  <c r="I103" i="11"/>
  <c r="L103" i="11" s="1"/>
  <c r="G104" i="11"/>
  <c r="I104" i="11"/>
  <c r="L104" i="11" s="1"/>
  <c r="G105" i="11"/>
  <c r="I105" i="11"/>
  <c r="L105" i="11" s="1"/>
  <c r="G106" i="11"/>
  <c r="I106" i="11"/>
  <c r="L106" i="11"/>
  <c r="G77" i="11"/>
  <c r="I77" i="11"/>
  <c r="L77" i="11" s="1"/>
  <c r="H60" i="11"/>
  <c r="H61" i="11"/>
  <c r="J60" i="11"/>
  <c r="J61" i="11"/>
  <c r="K60" i="11"/>
  <c r="K61" i="11"/>
  <c r="H62" i="11"/>
  <c r="H63" i="11"/>
  <c r="J62" i="11"/>
  <c r="J63" i="11"/>
  <c r="K62" i="11"/>
  <c r="K63" i="11"/>
  <c r="G13" i="11"/>
  <c r="G14" i="11"/>
  <c r="G15" i="11"/>
  <c r="G11" i="11"/>
  <c r="G12" i="11"/>
  <c r="G10" i="11"/>
  <c r="G16" i="11"/>
  <c r="G17" i="11"/>
  <c r="G18" i="11"/>
  <c r="G19" i="11"/>
  <c r="I13" i="11"/>
  <c r="P13" i="11" s="1"/>
  <c r="I14" i="11"/>
  <c r="P14" i="11" s="1"/>
  <c r="I15" i="11"/>
  <c r="I11" i="11"/>
  <c r="I12" i="11"/>
  <c r="I10" i="11"/>
  <c r="P10" i="11" s="1"/>
  <c r="I16" i="11"/>
  <c r="P16" i="11" s="1"/>
  <c r="I17" i="11"/>
  <c r="P17" i="11" s="1"/>
  <c r="I18" i="11"/>
  <c r="P18" i="11" s="1"/>
  <c r="I19" i="11"/>
  <c r="P19" i="11" s="1"/>
  <c r="P15" i="11"/>
  <c r="P11" i="11"/>
  <c r="P12" i="11"/>
  <c r="Q13" i="11"/>
  <c r="Q14" i="11"/>
  <c r="Q15" i="11"/>
  <c r="Q11" i="11"/>
  <c r="Q12" i="11"/>
  <c r="Q10" i="11"/>
  <c r="Q16" i="11"/>
  <c r="Q17" i="11"/>
  <c r="Q18" i="11"/>
  <c r="Q19" i="11"/>
  <c r="R13" i="11"/>
  <c r="R14" i="11"/>
  <c r="R15" i="11"/>
  <c r="R11" i="11"/>
  <c r="R12" i="11"/>
  <c r="R10" i="11"/>
  <c r="R16" i="11"/>
  <c r="R17" i="11"/>
  <c r="R18" i="11"/>
  <c r="R19" i="11"/>
  <c r="G20" i="11"/>
  <c r="G21" i="11"/>
  <c r="G22" i="11"/>
  <c r="G23" i="11"/>
  <c r="G24" i="11"/>
  <c r="G25" i="11"/>
  <c r="G26" i="11"/>
  <c r="G27" i="11"/>
  <c r="G28" i="11"/>
  <c r="G29" i="11"/>
  <c r="I20" i="11"/>
  <c r="P20" i="11" s="1"/>
  <c r="I21" i="11"/>
  <c r="P21" i="11" s="1"/>
  <c r="I22" i="11"/>
  <c r="P22" i="11" s="1"/>
  <c r="I23" i="11"/>
  <c r="P23" i="11" s="1"/>
  <c r="I24" i="11"/>
  <c r="P24" i="11" s="1"/>
  <c r="I25" i="11"/>
  <c r="P25" i="11" s="1"/>
  <c r="I26" i="11"/>
  <c r="P26" i="11" s="1"/>
  <c r="I27" i="11"/>
  <c r="P27" i="11" s="1"/>
  <c r="I28" i="11"/>
  <c r="P28" i="11" s="1"/>
  <c r="I29" i="11"/>
  <c r="P29" i="11" s="1"/>
  <c r="Q20" i="11"/>
  <c r="Q21" i="11"/>
  <c r="Q22" i="11"/>
  <c r="Q23" i="11"/>
  <c r="Q24" i="11"/>
  <c r="Q25" i="11"/>
  <c r="Q26" i="11"/>
  <c r="Q27" i="11"/>
  <c r="Q28" i="11"/>
  <c r="Q29" i="11"/>
  <c r="R20" i="11"/>
  <c r="R21" i="11"/>
  <c r="R22" i="11"/>
  <c r="R23" i="11"/>
  <c r="R24" i="11"/>
  <c r="R25" i="11"/>
  <c r="R26" i="11"/>
  <c r="R27" i="11"/>
  <c r="R28" i="11"/>
  <c r="R29" i="11"/>
  <c r="M34" i="10"/>
  <c r="G94" i="10"/>
  <c r="G95" i="10"/>
  <c r="G96" i="10"/>
  <c r="G97" i="10"/>
  <c r="G98" i="10"/>
  <c r="H94" i="10"/>
  <c r="H95" i="10"/>
  <c r="I95" i="10" s="1"/>
  <c r="H96" i="10"/>
  <c r="I96" i="10" s="1"/>
  <c r="H97" i="10"/>
  <c r="H98" i="10"/>
  <c r="I98" i="10" s="1"/>
  <c r="I94" i="10"/>
  <c r="I97" i="10"/>
  <c r="G99" i="10"/>
  <c r="G100" i="10"/>
  <c r="G101" i="10"/>
  <c r="G102" i="10"/>
  <c r="G103" i="10"/>
  <c r="H99" i="10"/>
  <c r="I99" i="10" s="1"/>
  <c r="H100" i="10"/>
  <c r="H101" i="10"/>
  <c r="H102" i="10"/>
  <c r="I102" i="10" s="1"/>
  <c r="H103" i="10"/>
  <c r="I103" i="10" s="1"/>
  <c r="I100" i="10"/>
  <c r="I101" i="10"/>
  <c r="H43" i="10"/>
  <c r="H44" i="10"/>
  <c r="H45" i="10"/>
  <c r="H46" i="10"/>
  <c r="J43" i="10"/>
  <c r="J44" i="10"/>
  <c r="J45" i="10"/>
  <c r="J46" i="10"/>
  <c r="K43" i="10"/>
  <c r="K44" i="10"/>
  <c r="K45" i="10"/>
  <c r="K46" i="10"/>
  <c r="I15" i="10"/>
  <c r="H61" i="2"/>
  <c r="H62" i="2"/>
  <c r="H63" i="2"/>
  <c r="H64" i="2"/>
  <c r="J61" i="2"/>
  <c r="J62" i="2"/>
  <c r="J63" i="2"/>
  <c r="J64" i="2"/>
  <c r="K61" i="2"/>
  <c r="K62" i="2"/>
  <c r="K63" i="2"/>
  <c r="K64" i="2"/>
  <c r="H65" i="2"/>
  <c r="H66" i="2"/>
  <c r="H67" i="2"/>
  <c r="H68" i="2"/>
  <c r="J65" i="2"/>
  <c r="J66" i="2"/>
  <c r="J67" i="2"/>
  <c r="J68" i="2"/>
  <c r="K65" i="2"/>
  <c r="K66" i="2"/>
  <c r="K67" i="2"/>
  <c r="K6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G16" i="21"/>
  <c r="I16" i="21"/>
  <c r="P16" i="21" s="1"/>
  <c r="Q16" i="21"/>
  <c r="R16" i="21"/>
  <c r="I23" i="14"/>
  <c r="P23" i="14" s="1"/>
  <c r="I24" i="14"/>
  <c r="P24" i="14" s="1"/>
  <c r="I25" i="14"/>
  <c r="P25" i="14" s="1"/>
  <c r="I33" i="19"/>
  <c r="P33" i="19" s="1"/>
  <c r="I32" i="19"/>
  <c r="P32" i="19" s="1"/>
  <c r="I31" i="19"/>
  <c r="P31" i="19" s="1"/>
  <c r="I30" i="19"/>
  <c r="P30" i="19" s="1"/>
  <c r="I29" i="19"/>
  <c r="P29" i="19" s="1"/>
  <c r="I28" i="19"/>
  <c r="P28" i="19" s="1"/>
  <c r="I27" i="19"/>
  <c r="P27" i="19" s="1"/>
  <c r="I26" i="19"/>
  <c r="P26" i="19" s="1"/>
  <c r="I25" i="19"/>
  <c r="P25" i="19" s="1"/>
  <c r="I24" i="19"/>
  <c r="P24" i="19" s="1"/>
  <c r="I23" i="19"/>
  <c r="P23" i="19" s="1"/>
  <c r="I23" i="18"/>
  <c r="P23" i="18" s="1"/>
  <c r="G89" i="18"/>
  <c r="I89" i="18"/>
  <c r="L89" i="18" s="1"/>
  <c r="G88" i="18"/>
  <c r="I88" i="18"/>
  <c r="L88" i="18" s="1"/>
  <c r="G87" i="18"/>
  <c r="I87" i="18"/>
  <c r="L87" i="18" s="1"/>
  <c r="G86" i="18"/>
  <c r="I86" i="18"/>
  <c r="L86" i="18" s="1"/>
  <c r="G85" i="18"/>
  <c r="I85" i="18"/>
  <c r="L85" i="18" s="1"/>
  <c r="I84" i="18"/>
  <c r="L84" i="18" s="1"/>
  <c r="I83" i="18"/>
  <c r="L83" i="18" s="1"/>
  <c r="I82" i="18"/>
  <c r="L82" i="18" s="1"/>
  <c r="I81" i="18"/>
  <c r="L81" i="18" s="1"/>
  <c r="I80" i="18"/>
  <c r="L80" i="18" s="1"/>
  <c r="I79" i="18"/>
  <c r="L79" i="18" s="1"/>
  <c r="I78" i="18"/>
  <c r="L78" i="18" s="1"/>
  <c r="I77" i="18"/>
  <c r="L77" i="18" s="1"/>
  <c r="I19" i="15"/>
  <c r="P19" i="15" s="1"/>
  <c r="I20" i="15"/>
  <c r="P20" i="15" s="1"/>
  <c r="I21" i="15"/>
  <c r="I22" i="15"/>
  <c r="I23" i="15"/>
  <c r="P23" i="15" s="1"/>
  <c r="I24" i="15"/>
  <c r="P24" i="15" s="1"/>
  <c r="P21" i="15"/>
  <c r="P22" i="15"/>
  <c r="G100" i="13" l="1"/>
  <c r="I100" i="13"/>
  <c r="L100" i="13" s="1"/>
  <c r="G99" i="13"/>
  <c r="I99" i="13"/>
  <c r="L99" i="13" s="1"/>
  <c r="G98" i="13"/>
  <c r="I98" i="13"/>
  <c r="L98" i="13" s="1"/>
  <c r="G97" i="13"/>
  <c r="I97" i="13"/>
  <c r="L97" i="13" s="1"/>
  <c r="I96" i="13"/>
  <c r="L96" i="13" s="1"/>
  <c r="I95" i="13"/>
  <c r="L95" i="13" s="1"/>
  <c r="I94" i="13"/>
  <c r="L94" i="13" s="1"/>
  <c r="G42" i="13"/>
  <c r="I42" i="13"/>
  <c r="P42" i="13" s="1"/>
  <c r="Q42" i="13"/>
  <c r="R42" i="13"/>
  <c r="G41" i="13"/>
  <c r="I41" i="13"/>
  <c r="P41" i="13" s="1"/>
  <c r="Q41" i="13"/>
  <c r="R41" i="13"/>
  <c r="G40" i="13"/>
  <c r="I40" i="13"/>
  <c r="P40" i="13" s="1"/>
  <c r="Q40" i="13"/>
  <c r="R40" i="13"/>
  <c r="G39" i="13"/>
  <c r="I39" i="13"/>
  <c r="P39" i="13" s="1"/>
  <c r="Q39" i="13"/>
  <c r="R39" i="13"/>
  <c r="G38" i="13"/>
  <c r="I38" i="13"/>
  <c r="P38" i="13" s="1"/>
  <c r="Q38" i="13"/>
  <c r="R38" i="13"/>
  <c r="G37" i="13"/>
  <c r="I37" i="13"/>
  <c r="P37" i="13" s="1"/>
  <c r="Q37" i="13"/>
  <c r="R37" i="13"/>
  <c r="G36" i="13"/>
  <c r="I36" i="13"/>
  <c r="P36" i="13" s="1"/>
  <c r="Q36" i="13"/>
  <c r="R36" i="13"/>
  <c r="G35" i="13"/>
  <c r="I35" i="13"/>
  <c r="P35" i="13" s="1"/>
  <c r="Q35" i="13"/>
  <c r="R35" i="13"/>
  <c r="G34" i="13"/>
  <c r="I34" i="13"/>
  <c r="P34" i="13" s="1"/>
  <c r="Q34" i="13"/>
  <c r="R34" i="13"/>
  <c r="G33" i="13"/>
  <c r="I33" i="13"/>
  <c r="P33" i="13" s="1"/>
  <c r="Q33" i="13"/>
  <c r="R33" i="13"/>
  <c r="G32" i="13"/>
  <c r="I32" i="13"/>
  <c r="P32" i="13" s="1"/>
  <c r="Q32" i="13"/>
  <c r="R32" i="13"/>
  <c r="G31" i="13"/>
  <c r="I31" i="13"/>
  <c r="P31" i="13" s="1"/>
  <c r="Q31" i="13"/>
  <c r="R31" i="13"/>
  <c r="I30" i="13"/>
  <c r="P30" i="13" s="1"/>
  <c r="I29" i="13"/>
  <c r="P29" i="13" s="1"/>
  <c r="I28" i="13"/>
  <c r="P28" i="13" s="1"/>
  <c r="I27" i="13"/>
  <c r="P27" i="13" s="1"/>
  <c r="I26" i="13"/>
  <c r="P26" i="13" s="1"/>
  <c r="I25" i="13"/>
  <c r="P25" i="13" s="1"/>
  <c r="I24" i="13"/>
  <c r="P24" i="13" s="1"/>
  <c r="I23" i="13"/>
  <c r="P23" i="13" s="1"/>
  <c r="I22" i="13"/>
  <c r="P22" i="13" s="1"/>
  <c r="I21" i="13"/>
  <c r="P21" i="13" s="1"/>
  <c r="I11" i="22"/>
  <c r="I12" i="22"/>
  <c r="I13" i="22"/>
  <c r="G33" i="14"/>
  <c r="G37" i="12"/>
  <c r="I37" i="12"/>
  <c r="P37" i="12" s="1"/>
  <c r="Q37" i="12"/>
  <c r="R37" i="12"/>
  <c r="G36" i="12"/>
  <c r="I36" i="12"/>
  <c r="P36" i="12" s="1"/>
  <c r="Q36" i="12"/>
  <c r="R36" i="12"/>
  <c r="G35" i="12"/>
  <c r="I35" i="12"/>
  <c r="P35" i="12" s="1"/>
  <c r="Q35" i="12"/>
  <c r="R35" i="12"/>
  <c r="G34" i="12"/>
  <c r="I34" i="12"/>
  <c r="P34" i="12" s="1"/>
  <c r="Q34" i="12"/>
  <c r="R34" i="12"/>
  <c r="G33" i="12"/>
  <c r="I33" i="12"/>
  <c r="P33" i="12" s="1"/>
  <c r="Q33" i="12"/>
  <c r="R33" i="12"/>
  <c r="G32" i="12"/>
  <c r="I32" i="12"/>
  <c r="P32" i="12" s="1"/>
  <c r="Q32" i="12"/>
  <c r="R32" i="12"/>
  <c r="G31" i="12"/>
  <c r="I31" i="12"/>
  <c r="P31" i="12" s="1"/>
  <c r="Q31" i="12"/>
  <c r="R31" i="12"/>
  <c r="G30" i="12"/>
  <c r="I30" i="12"/>
  <c r="P30" i="12" s="1"/>
  <c r="Q30" i="12"/>
  <c r="R30" i="12"/>
  <c r="I29" i="12"/>
  <c r="P29" i="12" s="1"/>
  <c r="I28" i="12"/>
  <c r="P28" i="12" s="1"/>
  <c r="I27" i="12"/>
  <c r="P27" i="12" s="1"/>
  <c r="I26" i="12"/>
  <c r="P26" i="12" s="1"/>
  <c r="I25" i="12"/>
  <c r="P25" i="12" s="1"/>
  <c r="I24" i="12"/>
  <c r="P24" i="12" s="1"/>
  <c r="I23" i="12"/>
  <c r="P23" i="12" s="1"/>
  <c r="I22" i="12"/>
  <c r="P22" i="12" s="1"/>
  <c r="I21" i="12"/>
  <c r="P21" i="12" s="1"/>
  <c r="I20" i="12"/>
  <c r="P20" i="12" s="1"/>
  <c r="I19" i="12"/>
  <c r="P19" i="12" s="1"/>
  <c r="I107" i="12"/>
  <c r="I108" i="12"/>
  <c r="I109" i="12"/>
  <c r="I110" i="12"/>
  <c r="I111" i="12"/>
  <c r="I106" i="12"/>
  <c r="I10" i="12"/>
  <c r="I11" i="12"/>
  <c r="I12" i="12"/>
  <c r="I13" i="12"/>
  <c r="I14" i="12"/>
  <c r="I15" i="12"/>
  <c r="I16" i="12"/>
  <c r="I17" i="12"/>
  <c r="I18" i="12"/>
  <c r="I51" i="11"/>
  <c r="I52" i="11"/>
  <c r="I40" i="11"/>
  <c r="P40" i="11" s="1"/>
  <c r="I41" i="11"/>
  <c r="P41" i="11" s="1"/>
  <c r="I42" i="11"/>
  <c r="P42" i="11" s="1"/>
  <c r="I71" i="10"/>
  <c r="L71" i="10" s="1"/>
  <c r="I72" i="10"/>
  <c r="L72" i="10" s="1"/>
  <c r="I73" i="10"/>
  <c r="L73" i="10" s="1"/>
  <c r="I74" i="10"/>
  <c r="L74" i="10" s="1"/>
  <c r="I75" i="10"/>
  <c r="L75" i="10" s="1"/>
  <c r="I76" i="10"/>
  <c r="L76" i="10" s="1"/>
  <c r="I79" i="10"/>
  <c r="L79" i="10" s="1"/>
  <c r="I80" i="10"/>
  <c r="L80" i="10" s="1"/>
  <c r="I81" i="10"/>
  <c r="L81" i="10" s="1"/>
  <c r="I82" i="10"/>
  <c r="L82" i="10" s="1"/>
  <c r="I18" i="10"/>
  <c r="P18" i="10" s="1"/>
  <c r="I19" i="10"/>
  <c r="P19" i="10" s="1"/>
  <c r="I20" i="10"/>
  <c r="P20" i="10" s="1"/>
  <c r="I21" i="10"/>
  <c r="P21" i="10" s="1"/>
  <c r="I22" i="10"/>
  <c r="P22" i="10" s="1"/>
  <c r="I23" i="10"/>
  <c r="P23" i="10" s="1"/>
  <c r="I24" i="10"/>
  <c r="P24" i="10" s="1"/>
  <c r="I25" i="10"/>
  <c r="P25" i="10" s="1"/>
  <c r="I26" i="10"/>
  <c r="P26" i="10" s="1"/>
  <c r="I105" i="10"/>
  <c r="I106" i="10"/>
  <c r="I107" i="10"/>
  <c r="G108" i="10"/>
  <c r="I108" i="10"/>
  <c r="G109" i="10"/>
  <c r="H109" i="10"/>
  <c r="I109" i="10" s="1"/>
  <c r="I62" i="10"/>
  <c r="L62" i="10" s="1"/>
  <c r="I63" i="10"/>
  <c r="L63" i="10" s="1"/>
  <c r="I64" i="10"/>
  <c r="L64" i="10" s="1"/>
  <c r="I65" i="10"/>
  <c r="L65" i="10" s="1"/>
  <c r="I66" i="10"/>
  <c r="L66" i="10" s="1"/>
  <c r="I67" i="10"/>
  <c r="L67" i="10" s="1"/>
  <c r="I68" i="10"/>
  <c r="L68" i="10" s="1"/>
  <c r="I69" i="10"/>
  <c r="L69" i="10" s="1"/>
  <c r="I70" i="10"/>
  <c r="L70" i="10" s="1"/>
  <c r="I77" i="10"/>
  <c r="L77" i="10" s="1"/>
  <c r="I78" i="10"/>
  <c r="L78" i="10" s="1"/>
  <c r="I83" i="10"/>
  <c r="L83" i="10" s="1"/>
  <c r="I84" i="10"/>
  <c r="L84" i="10" s="1"/>
  <c r="I85" i="10"/>
  <c r="L85" i="10" s="1"/>
  <c r="I86" i="10"/>
  <c r="L86" i="10" s="1"/>
  <c r="I87" i="10"/>
  <c r="L87" i="10" s="1"/>
  <c r="G88" i="10"/>
  <c r="I88" i="10"/>
  <c r="L88" i="10" s="1"/>
  <c r="G89" i="10"/>
  <c r="I89" i="10"/>
  <c r="L89" i="10" s="1"/>
  <c r="I10" i="10"/>
  <c r="P10" i="10" s="1"/>
  <c r="I11" i="10"/>
  <c r="P11" i="10" s="1"/>
  <c r="I12" i="10"/>
  <c r="P12" i="10" s="1"/>
  <c r="I13" i="10"/>
  <c r="P13" i="10" s="1"/>
  <c r="I14" i="10"/>
  <c r="P14" i="10" s="1"/>
  <c r="I16" i="10"/>
  <c r="P16" i="10" s="1"/>
  <c r="I17" i="10"/>
  <c r="P17" i="10" s="1"/>
  <c r="I44" i="2"/>
  <c r="P44" i="2" s="1"/>
  <c r="P15" i="10" l="1"/>
  <c r="H52" i="2"/>
  <c r="H53" i="2"/>
  <c r="H54" i="2"/>
  <c r="I114" i="2"/>
  <c r="I115" i="2"/>
  <c r="I116" i="2"/>
  <c r="I117" i="2"/>
  <c r="H118" i="2"/>
  <c r="H119" i="2"/>
  <c r="I92" i="2"/>
  <c r="L92" i="2" s="1"/>
  <c r="I93" i="2"/>
  <c r="L93" i="2" s="1"/>
  <c r="I94" i="2"/>
  <c r="L94" i="2" s="1"/>
  <c r="I95" i="2"/>
  <c r="L95" i="2" s="1"/>
  <c r="I96" i="2"/>
  <c r="L96" i="2" s="1"/>
  <c r="I97" i="2"/>
  <c r="L97" i="2" s="1"/>
  <c r="I98" i="2"/>
  <c r="L98" i="2" s="1"/>
  <c r="I99" i="2"/>
  <c r="L99" i="2" s="1"/>
  <c r="I100" i="2"/>
  <c r="L100" i="2" s="1"/>
  <c r="I101" i="2"/>
  <c r="L101" i="2" s="1"/>
  <c r="I102" i="2"/>
  <c r="L102" i="2" s="1"/>
  <c r="I103" i="2"/>
  <c r="L103" i="2" s="1"/>
  <c r="I104" i="2"/>
  <c r="L104" i="2" s="1"/>
  <c r="I105" i="2"/>
  <c r="L105" i="2" s="1"/>
  <c r="I106" i="2"/>
  <c r="L106" i="2" s="1"/>
  <c r="I107" i="2"/>
  <c r="L107" i="2" s="1"/>
  <c r="I108" i="2"/>
  <c r="L108" i="2" s="1"/>
  <c r="I109" i="2"/>
  <c r="L109" i="2" s="1"/>
  <c r="I34" i="2"/>
  <c r="P34" i="2" s="1"/>
  <c r="I35" i="2"/>
  <c r="P35" i="2" s="1"/>
  <c r="I36" i="2"/>
  <c r="P36" i="2" s="1"/>
  <c r="I37" i="2"/>
  <c r="P37" i="2" s="1"/>
  <c r="I38" i="2"/>
  <c r="I39" i="2"/>
  <c r="P39" i="2" s="1"/>
  <c r="I40" i="2"/>
  <c r="I41" i="2"/>
  <c r="P41" i="2" s="1"/>
  <c r="I42" i="2"/>
  <c r="P42" i="2" s="1"/>
  <c r="I43" i="2"/>
  <c r="P43" i="2" s="1"/>
  <c r="I83" i="2"/>
  <c r="L83" i="2" s="1"/>
  <c r="I84" i="2"/>
  <c r="L84" i="2" s="1"/>
  <c r="I85" i="2"/>
  <c r="L85" i="2" s="1"/>
  <c r="I86" i="2"/>
  <c r="L86" i="2" s="1"/>
  <c r="I87" i="2"/>
  <c r="L87" i="2" s="1"/>
  <c r="I88" i="2"/>
  <c r="L88" i="2" s="1"/>
  <c r="I89" i="2"/>
  <c r="L89" i="2" s="1"/>
  <c r="I90" i="2"/>
  <c r="L90" i="2" s="1"/>
  <c r="I91" i="2"/>
  <c r="L91" i="2" s="1"/>
  <c r="I25" i="2"/>
  <c r="P25" i="2" s="1"/>
  <c r="I26" i="2"/>
  <c r="P26" i="2" s="1"/>
  <c r="I27" i="2"/>
  <c r="P27" i="2" s="1"/>
  <c r="I28" i="2"/>
  <c r="P28" i="2" s="1"/>
  <c r="I29" i="2"/>
  <c r="P29" i="2" s="1"/>
  <c r="I30" i="2"/>
  <c r="P30" i="2" s="1"/>
  <c r="I31" i="2"/>
  <c r="P31" i="2" s="1"/>
  <c r="P32" i="2"/>
  <c r="I9" i="22"/>
  <c r="I10" i="22"/>
  <c r="P10" i="22" s="1"/>
  <c r="P13" i="22"/>
  <c r="I14" i="22"/>
  <c r="P14" i="22" s="1"/>
  <c r="I15" i="22"/>
  <c r="P15" i="22" s="1"/>
  <c r="I16" i="22"/>
  <c r="P16" i="22" s="1"/>
  <c r="I17" i="22"/>
  <c r="P17" i="22" s="1"/>
  <c r="I18" i="22"/>
  <c r="P18" i="22" s="1"/>
  <c r="I19" i="22"/>
  <c r="P19" i="22" s="1"/>
  <c r="I20" i="22"/>
  <c r="I21" i="22"/>
  <c r="P21" i="22" s="1"/>
  <c r="I22" i="22"/>
  <c r="P22" i="22" s="1"/>
  <c r="I23" i="22"/>
  <c r="I24" i="22"/>
  <c r="I25" i="22"/>
  <c r="P25" i="22" s="1"/>
  <c r="I26" i="22"/>
  <c r="P26" i="22" s="1"/>
  <c r="K27" i="22"/>
  <c r="I93" i="22"/>
  <c r="L93" i="22" s="1"/>
  <c r="I94" i="22"/>
  <c r="L94" i="22" s="1"/>
  <c r="G95" i="22"/>
  <c r="I95" i="22"/>
  <c r="L95" i="22" s="1"/>
  <c r="G96" i="22"/>
  <c r="I96" i="22"/>
  <c r="L96" i="22" s="1"/>
  <c r="I63" i="22"/>
  <c r="L63" i="22" s="1"/>
  <c r="I64" i="22"/>
  <c r="L64" i="22" s="1"/>
  <c r="I65" i="22"/>
  <c r="L65" i="22" s="1"/>
  <c r="I66" i="22"/>
  <c r="L66" i="22" s="1"/>
  <c r="I67" i="22"/>
  <c r="L67" i="22" s="1"/>
  <c r="I68" i="22"/>
  <c r="L68" i="22" s="1"/>
  <c r="I69" i="22"/>
  <c r="L69" i="22" s="1"/>
  <c r="I70" i="22"/>
  <c r="L70" i="22" s="1"/>
  <c r="I71" i="22"/>
  <c r="L71" i="22" s="1"/>
  <c r="I72" i="22"/>
  <c r="L72" i="22" s="1"/>
  <c r="I73" i="22"/>
  <c r="L73" i="22" s="1"/>
  <c r="I74" i="22"/>
  <c r="L74" i="22" s="1"/>
  <c r="I75" i="22"/>
  <c r="L75" i="22" s="1"/>
  <c r="I76" i="22"/>
  <c r="L76" i="22" s="1"/>
  <c r="I77" i="22"/>
  <c r="L77" i="22" s="1"/>
  <c r="I78" i="22"/>
  <c r="L78" i="22" s="1"/>
  <c r="I79" i="22"/>
  <c r="L79" i="22" s="1"/>
  <c r="I80" i="22"/>
  <c r="L80" i="22" s="1"/>
  <c r="I81" i="22"/>
  <c r="L81" i="22" s="1"/>
  <c r="I82" i="22"/>
  <c r="L82" i="22" s="1"/>
  <c r="I83" i="22"/>
  <c r="L83" i="22" s="1"/>
  <c r="I84" i="22"/>
  <c r="L84" i="22" s="1"/>
  <c r="I85" i="22"/>
  <c r="L85" i="22" s="1"/>
  <c r="I86" i="22"/>
  <c r="L86" i="22" s="1"/>
  <c r="I87" i="22"/>
  <c r="L87" i="22" s="1"/>
  <c r="H47" i="22"/>
  <c r="J47" i="22"/>
  <c r="K47" i="22"/>
  <c r="H48" i="22"/>
  <c r="J48" i="22"/>
  <c r="K48" i="22"/>
  <c r="H49" i="22"/>
  <c r="J49" i="22"/>
  <c r="K49" i="22"/>
  <c r="P12" i="22"/>
  <c r="P20" i="22"/>
  <c r="P23" i="22"/>
  <c r="P24" i="22"/>
  <c r="G25" i="22"/>
  <c r="Q25" i="22"/>
  <c r="R25" i="22"/>
  <c r="G26" i="22"/>
  <c r="Q26" i="22"/>
  <c r="R26" i="22"/>
  <c r="G108" i="22"/>
  <c r="G107" i="22"/>
  <c r="G106" i="22"/>
  <c r="G105" i="22"/>
  <c r="G104" i="22"/>
  <c r="M100" i="22"/>
  <c r="K100" i="22"/>
  <c r="J100" i="22"/>
  <c r="H100" i="22"/>
  <c r="I99" i="22"/>
  <c r="L99" i="22" s="1"/>
  <c r="G99" i="22"/>
  <c r="I98" i="22"/>
  <c r="L98" i="22" s="1"/>
  <c r="G98" i="22"/>
  <c r="I97" i="22"/>
  <c r="L97" i="22" s="1"/>
  <c r="G97" i="22"/>
  <c r="I92" i="22"/>
  <c r="L92" i="22" s="1"/>
  <c r="M88" i="22"/>
  <c r="K88" i="22"/>
  <c r="J88" i="22"/>
  <c r="H88" i="22"/>
  <c r="I62" i="22"/>
  <c r="L62" i="22" s="1"/>
  <c r="I51" i="22"/>
  <c r="K50" i="22"/>
  <c r="J50" i="22"/>
  <c r="H50" i="22"/>
  <c r="L37" i="22"/>
  <c r="K37" i="22"/>
  <c r="J37" i="22"/>
  <c r="I37" i="22"/>
  <c r="G37" i="22"/>
  <c r="H36" i="22"/>
  <c r="M36" i="22" s="1"/>
  <c r="H35" i="22"/>
  <c r="H34" i="22"/>
  <c r="M34" i="22" s="1"/>
  <c r="O27" i="22"/>
  <c r="N27" i="22"/>
  <c r="M27" i="22"/>
  <c r="L27" i="22"/>
  <c r="J27" i="22"/>
  <c r="H27" i="22"/>
  <c r="N1" i="22"/>
  <c r="K58" i="22" s="1"/>
  <c r="G1" i="22"/>
  <c r="P11" i="22" l="1"/>
  <c r="J4" i="22"/>
  <c r="L88" i="22"/>
  <c r="H37" i="22"/>
  <c r="B4" i="22"/>
  <c r="I27" i="22"/>
  <c r="L100" i="22"/>
  <c r="M35" i="22"/>
  <c r="M37" i="22" s="1"/>
  <c r="I88" i="22"/>
  <c r="P9" i="22"/>
  <c r="I100" i="22"/>
  <c r="H34" i="21"/>
  <c r="M34" i="21" s="1"/>
  <c r="H35" i="21"/>
  <c r="M35" i="21" s="1"/>
  <c r="H36" i="21"/>
  <c r="M36" i="21" s="1"/>
  <c r="I63" i="21"/>
  <c r="L63" i="21" s="1"/>
  <c r="I64" i="21"/>
  <c r="L64" i="21" s="1"/>
  <c r="I65" i="21"/>
  <c r="L65" i="21" s="1"/>
  <c r="I66" i="21"/>
  <c r="L66" i="21" s="1"/>
  <c r="I67" i="21"/>
  <c r="L67" i="21" s="1"/>
  <c r="I68" i="21"/>
  <c r="L68" i="21" s="1"/>
  <c r="I69" i="21"/>
  <c r="L69" i="21" s="1"/>
  <c r="I70" i="21"/>
  <c r="L70" i="21" s="1"/>
  <c r="I71" i="21"/>
  <c r="L71" i="21" s="1"/>
  <c r="I72" i="21"/>
  <c r="L72" i="21" s="1"/>
  <c r="I73" i="21"/>
  <c r="L73" i="21" s="1"/>
  <c r="I74" i="21"/>
  <c r="L74" i="21" s="1"/>
  <c r="I75" i="21"/>
  <c r="L75" i="21" s="1"/>
  <c r="I76" i="21"/>
  <c r="L76" i="21" s="1"/>
  <c r="I77" i="21"/>
  <c r="L77" i="21" s="1"/>
  <c r="I78" i="21"/>
  <c r="L78" i="21" s="1"/>
  <c r="I79" i="21"/>
  <c r="L79" i="21" s="1"/>
  <c r="I80" i="21"/>
  <c r="I81" i="21"/>
  <c r="I82" i="21"/>
  <c r="I83" i="21"/>
  <c r="I84" i="21"/>
  <c r="I85" i="21"/>
  <c r="I86" i="21"/>
  <c r="I87" i="21"/>
  <c r="I26" i="21"/>
  <c r="P26" i="21" s="1"/>
  <c r="I25" i="21"/>
  <c r="P25" i="21" s="1"/>
  <c r="I24" i="21"/>
  <c r="H27" i="21"/>
  <c r="I93" i="21"/>
  <c r="L93" i="21" s="1"/>
  <c r="G94" i="21"/>
  <c r="I94" i="21"/>
  <c r="L94" i="21" s="1"/>
  <c r="G95" i="21"/>
  <c r="I95" i="21"/>
  <c r="L95" i="21" s="1"/>
  <c r="G96" i="21"/>
  <c r="I96" i="21"/>
  <c r="L96" i="21" s="1"/>
  <c r="G97" i="21"/>
  <c r="I97" i="21"/>
  <c r="L97" i="21" s="1"/>
  <c r="G98" i="21"/>
  <c r="I98" i="21"/>
  <c r="L98" i="21" s="1"/>
  <c r="G99" i="21"/>
  <c r="I99" i="21"/>
  <c r="L99" i="21" s="1"/>
  <c r="I10" i="21"/>
  <c r="P10" i="21" s="1"/>
  <c r="I11" i="21"/>
  <c r="P11" i="21" s="1"/>
  <c r="I12" i="21"/>
  <c r="P12" i="21" s="1"/>
  <c r="I13" i="21"/>
  <c r="P13" i="21" s="1"/>
  <c r="I14" i="21"/>
  <c r="P14" i="21" s="1"/>
  <c r="I15" i="21"/>
  <c r="P15" i="21" s="1"/>
  <c r="I17" i="21"/>
  <c r="P17" i="21" s="1"/>
  <c r="I18" i="21"/>
  <c r="P18" i="21" s="1"/>
  <c r="I19" i="21"/>
  <c r="P19" i="21" s="1"/>
  <c r="I20" i="21"/>
  <c r="P20" i="21" s="1"/>
  <c r="I21" i="21"/>
  <c r="P21" i="21" s="1"/>
  <c r="I22" i="21"/>
  <c r="P22" i="21" s="1"/>
  <c r="I23" i="21"/>
  <c r="P23" i="21" s="1"/>
  <c r="P24" i="21"/>
  <c r="I62" i="14"/>
  <c r="L62" i="14" s="1"/>
  <c r="I63" i="14"/>
  <c r="L63" i="14" s="1"/>
  <c r="I64" i="14"/>
  <c r="L64" i="14" s="1"/>
  <c r="I65" i="14"/>
  <c r="L65" i="14"/>
  <c r="I66" i="14"/>
  <c r="L66" i="14" s="1"/>
  <c r="I67" i="14"/>
  <c r="L67" i="14" s="1"/>
  <c r="I68" i="14"/>
  <c r="L68" i="14" s="1"/>
  <c r="I69" i="14"/>
  <c r="L69" i="14" s="1"/>
  <c r="I70" i="14"/>
  <c r="L70" i="14" s="1"/>
  <c r="I71" i="14"/>
  <c r="L71" i="14" s="1"/>
  <c r="I72" i="14"/>
  <c r="L72" i="14" s="1"/>
  <c r="I73" i="14"/>
  <c r="L73" i="14" s="1"/>
  <c r="I74" i="14"/>
  <c r="L74" i="14" s="1"/>
  <c r="I75" i="14"/>
  <c r="L75" i="14" s="1"/>
  <c r="I76" i="14"/>
  <c r="L76" i="14" s="1"/>
  <c r="I77" i="14"/>
  <c r="L77" i="14" s="1"/>
  <c r="I78" i="14"/>
  <c r="L78" i="14" s="1"/>
  <c r="I79" i="14"/>
  <c r="L79" i="14" s="1"/>
  <c r="I80" i="14"/>
  <c r="L80" i="14" s="1"/>
  <c r="I81" i="14"/>
  <c r="L81" i="14" s="1"/>
  <c r="I82" i="14"/>
  <c r="L82" i="14" s="1"/>
  <c r="I83" i="14"/>
  <c r="L83" i="14" s="1"/>
  <c r="I84" i="14"/>
  <c r="L84" i="14" s="1"/>
  <c r="I85" i="14"/>
  <c r="L85" i="14" s="1"/>
  <c r="I86" i="14"/>
  <c r="L86" i="14" s="1"/>
  <c r="I87" i="14"/>
  <c r="L87" i="14" s="1"/>
  <c r="I88" i="14"/>
  <c r="L88" i="14" s="1"/>
  <c r="I89" i="14"/>
  <c r="L89" i="14" s="1"/>
  <c r="I90" i="14"/>
  <c r="L90" i="14" s="1"/>
  <c r="I91" i="14"/>
  <c r="L91" i="14" s="1"/>
  <c r="I92" i="14"/>
  <c r="L92" i="14" s="1"/>
  <c r="I93" i="14"/>
  <c r="L93" i="14" s="1"/>
  <c r="I94" i="14"/>
  <c r="L94" i="14" s="1"/>
  <c r="I95" i="14"/>
  <c r="L95" i="14" s="1"/>
  <c r="I96" i="14"/>
  <c r="L96" i="14" s="1"/>
  <c r="I97" i="14"/>
  <c r="L97" i="14" s="1"/>
  <c r="G98" i="14"/>
  <c r="I98" i="14"/>
  <c r="L98" i="14" s="1"/>
  <c r="G99" i="14"/>
  <c r="I99" i="14"/>
  <c r="L99" i="14" s="1"/>
  <c r="I20" i="14"/>
  <c r="P20" i="14" s="1"/>
  <c r="I21" i="14"/>
  <c r="P21" i="14" s="1"/>
  <c r="I22" i="14"/>
  <c r="P22" i="14" s="1"/>
  <c r="G105" i="14"/>
  <c r="H105" i="14"/>
  <c r="I105" i="14" s="1"/>
  <c r="G106" i="14"/>
  <c r="H106" i="14"/>
  <c r="I106" i="14" s="1"/>
  <c r="G107" i="14"/>
  <c r="H107" i="14"/>
  <c r="I107" i="14" s="1"/>
  <c r="H104" i="14"/>
  <c r="I59" i="14"/>
  <c r="L59" i="14" s="1"/>
  <c r="I60" i="14"/>
  <c r="L60" i="14" s="1"/>
  <c r="I61" i="14"/>
  <c r="L61" i="14" s="1"/>
  <c r="I10" i="14"/>
  <c r="P10" i="14" s="1"/>
  <c r="I11" i="14"/>
  <c r="P11" i="14" s="1"/>
  <c r="I12" i="14"/>
  <c r="P12" i="14" s="1"/>
  <c r="I13" i="14"/>
  <c r="P13" i="14" s="1"/>
  <c r="I14" i="14"/>
  <c r="P14" i="14" s="1"/>
  <c r="I15" i="14"/>
  <c r="P15" i="14" s="1"/>
  <c r="I16" i="14"/>
  <c r="P16" i="14" s="1"/>
  <c r="I17" i="14"/>
  <c r="P17" i="14" s="1"/>
  <c r="I18" i="14"/>
  <c r="P18" i="14" s="1"/>
  <c r="H41" i="19"/>
  <c r="H42" i="19"/>
  <c r="H43" i="19"/>
  <c r="I84" i="19"/>
  <c r="L84" i="19" s="1"/>
  <c r="I85" i="19"/>
  <c r="L85" i="19" s="1"/>
  <c r="H90" i="19"/>
  <c r="H31" i="18"/>
  <c r="I61" i="18"/>
  <c r="L61" i="18" s="1"/>
  <c r="I62" i="18"/>
  <c r="L62" i="18" s="1"/>
  <c r="I63" i="18"/>
  <c r="L63" i="18" s="1"/>
  <c r="I64" i="18"/>
  <c r="L64" i="18" s="1"/>
  <c r="I65" i="18"/>
  <c r="L65" i="18" s="1"/>
  <c r="I66" i="18"/>
  <c r="L66" i="18" s="1"/>
  <c r="I67" i="18"/>
  <c r="L67" i="18" s="1"/>
  <c r="I68" i="18"/>
  <c r="L68" i="18" s="1"/>
  <c r="I79" i="15"/>
  <c r="L79" i="15" s="1"/>
  <c r="L63" i="15"/>
  <c r="L64" i="15"/>
  <c r="L65" i="15"/>
  <c r="L66" i="15"/>
  <c r="L67" i="15"/>
  <c r="L68" i="15"/>
  <c r="L69" i="15"/>
  <c r="L70" i="15"/>
  <c r="L71" i="15"/>
  <c r="L72" i="15"/>
  <c r="H50" i="13"/>
  <c r="G108" i="13"/>
  <c r="G109" i="13"/>
  <c r="I90" i="13"/>
  <c r="L90" i="13" s="1"/>
  <c r="I93" i="13"/>
  <c r="L93" i="13" s="1"/>
  <c r="I92" i="13"/>
  <c r="L92" i="13" s="1"/>
  <c r="I16" i="13"/>
  <c r="P16" i="13" s="1"/>
  <c r="I17" i="13"/>
  <c r="P17" i="13" s="1"/>
  <c r="I18" i="13"/>
  <c r="P18" i="13" s="1"/>
  <c r="I19" i="13"/>
  <c r="P19" i="13" s="1"/>
  <c r="I20" i="13"/>
  <c r="P20" i="13" s="1"/>
  <c r="G22" i="16"/>
  <c r="I22" i="16"/>
  <c r="P22" i="16" s="1"/>
  <c r="Q22" i="16"/>
  <c r="R22" i="16"/>
  <c r="I21" i="16"/>
  <c r="P21" i="16" s="1"/>
  <c r="I20" i="16"/>
  <c r="P20" i="16" s="1"/>
  <c r="I19" i="16"/>
  <c r="P19" i="16" s="1"/>
  <c r="I18" i="16"/>
  <c r="P18" i="16" s="1"/>
  <c r="I17" i="16"/>
  <c r="P17" i="16" s="1"/>
  <c r="I16" i="16"/>
  <c r="P16" i="16" s="1"/>
  <c r="I15" i="16"/>
  <c r="P15" i="16" s="1"/>
  <c r="I14" i="16"/>
  <c r="P14" i="16" s="1"/>
  <c r="I72" i="16"/>
  <c r="L72" i="16" s="1"/>
  <c r="I71" i="16"/>
  <c r="L71" i="16" s="1"/>
  <c r="I70" i="16"/>
  <c r="L70" i="16" s="1"/>
  <c r="I69" i="16"/>
  <c r="L69" i="16" s="1"/>
  <c r="I68" i="16"/>
  <c r="L68" i="16" s="1"/>
  <c r="I67" i="16"/>
  <c r="L67" i="16" s="1"/>
  <c r="I66" i="16"/>
  <c r="L66" i="16" s="1"/>
  <c r="I65" i="16"/>
  <c r="L65" i="16" s="1"/>
  <c r="I64" i="16"/>
  <c r="L64" i="16" s="1"/>
  <c r="I63" i="16"/>
  <c r="L63" i="16" s="1"/>
  <c r="I62" i="16"/>
  <c r="L62" i="16" s="1"/>
  <c r="I77" i="16"/>
  <c r="I78" i="16"/>
  <c r="I79" i="16"/>
  <c r="I80" i="16"/>
  <c r="I81" i="16"/>
  <c r="I82" i="16"/>
  <c r="G80" i="16"/>
  <c r="G81" i="16"/>
  <c r="G82" i="16"/>
  <c r="P12" i="12"/>
  <c r="P13" i="12"/>
  <c r="P14" i="12"/>
  <c r="I111" i="11"/>
  <c r="I112" i="11"/>
  <c r="I113" i="11"/>
  <c r="I114" i="11"/>
  <c r="I115" i="11"/>
  <c r="I116" i="11"/>
  <c r="I9" i="10"/>
  <c r="I104" i="10"/>
  <c r="I118" i="2"/>
  <c r="I119" i="2"/>
  <c r="G118" i="2"/>
  <c r="P27" i="22" l="1"/>
  <c r="G4" i="22"/>
  <c r="M4" i="22"/>
  <c r="M37" i="21"/>
  <c r="I90" i="19"/>
  <c r="H91" i="19"/>
  <c r="I91" i="19" s="1"/>
  <c r="H92" i="19"/>
  <c r="I92" i="19" s="1"/>
  <c r="H93" i="19"/>
  <c r="I93" i="19" s="1"/>
  <c r="H94" i="19"/>
  <c r="I94" i="19" s="1"/>
  <c r="H95" i="19"/>
  <c r="I95" i="19" s="1"/>
  <c r="I83" i="19"/>
  <c r="L83" i="19" s="1"/>
  <c r="I82" i="19"/>
  <c r="L82" i="19" s="1"/>
  <c r="I81" i="19"/>
  <c r="L81" i="19" s="1"/>
  <c r="I80" i="19"/>
  <c r="L80" i="19" s="1"/>
  <c r="I79" i="19"/>
  <c r="L79" i="19" s="1"/>
  <c r="I78" i="19"/>
  <c r="L78" i="19" s="1"/>
  <c r="I77" i="19"/>
  <c r="L77" i="19" s="1"/>
  <c r="I76" i="19"/>
  <c r="L76" i="19" s="1"/>
  <c r="I75" i="19"/>
  <c r="L75" i="19" s="1"/>
  <c r="I74" i="19"/>
  <c r="L74" i="19" s="1"/>
  <c r="I73" i="19"/>
  <c r="L73" i="19" s="1"/>
  <c r="I22" i="19"/>
  <c r="P22" i="19" s="1"/>
  <c r="I21" i="19"/>
  <c r="P21" i="19" s="1"/>
  <c r="I20" i="19"/>
  <c r="P20" i="19" s="1"/>
  <c r="I19" i="19"/>
  <c r="P19" i="19" s="1"/>
  <c r="I18" i="19"/>
  <c r="P18" i="19" s="1"/>
  <c r="I17" i="19"/>
  <c r="P17" i="19" s="1"/>
  <c r="I93" i="18"/>
  <c r="I94" i="18"/>
  <c r="L94" i="18" s="1"/>
  <c r="I95" i="18"/>
  <c r="L95" i="18" s="1"/>
  <c r="I96" i="18"/>
  <c r="L96" i="18" s="1"/>
  <c r="I60" i="18"/>
  <c r="L60" i="18" s="1"/>
  <c r="I69" i="18"/>
  <c r="L69" i="18" s="1"/>
  <c r="I70" i="18"/>
  <c r="L70" i="18" s="1"/>
  <c r="I59" i="18"/>
  <c r="L59" i="18" s="1"/>
  <c r="I71" i="18"/>
  <c r="L71" i="18" s="1"/>
  <c r="I72" i="18"/>
  <c r="L72" i="18" s="1"/>
  <c r="I74" i="18"/>
  <c r="L74" i="18" s="1"/>
  <c r="I17" i="18"/>
  <c r="I13" i="18"/>
  <c r="P13" i="18" s="1"/>
  <c r="I18" i="18"/>
  <c r="P18" i="18" s="1"/>
  <c r="I12" i="18"/>
  <c r="P12" i="18" s="1"/>
  <c r="I15" i="18"/>
  <c r="P15" i="18" s="1"/>
  <c r="I11" i="18"/>
  <c r="P11" i="18" s="1"/>
  <c r="I10" i="18"/>
  <c r="P10" i="18" s="1"/>
  <c r="I16" i="18"/>
  <c r="P16" i="18" s="1"/>
  <c r="I9" i="18"/>
  <c r="P9" i="18" s="1"/>
  <c r="I14" i="18"/>
  <c r="P14" i="18" s="1"/>
  <c r="I19" i="18"/>
  <c r="P19" i="18" s="1"/>
  <c r="I20" i="18"/>
  <c r="P20" i="18" s="1"/>
  <c r="P4" i="22" l="1"/>
  <c r="I83" i="15"/>
  <c r="I84" i="15"/>
  <c r="I85" i="15"/>
  <c r="I86" i="15"/>
  <c r="I87" i="15"/>
  <c r="I88" i="15"/>
  <c r="I89" i="15"/>
  <c r="L89" i="15" s="1"/>
  <c r="L78" i="15"/>
  <c r="L59" i="15"/>
  <c r="L60" i="15"/>
  <c r="L61" i="15"/>
  <c r="L62" i="15"/>
  <c r="I17" i="15"/>
  <c r="P17" i="15" s="1"/>
  <c r="I18" i="15"/>
  <c r="P18" i="15" s="1"/>
  <c r="I91" i="13"/>
  <c r="L91" i="13" s="1"/>
  <c r="I89" i="13"/>
  <c r="L89" i="13" s="1"/>
  <c r="I88" i="13"/>
  <c r="L88" i="13" s="1"/>
  <c r="I87" i="13"/>
  <c r="L87" i="13" s="1"/>
  <c r="I86" i="13"/>
  <c r="L86" i="13" s="1"/>
  <c r="I85" i="13"/>
  <c r="L85" i="13" s="1"/>
  <c r="I84" i="13"/>
  <c r="L84" i="13" s="1"/>
  <c r="I83" i="13"/>
  <c r="L83" i="13" s="1"/>
  <c r="I82" i="13"/>
  <c r="L82" i="13" s="1"/>
  <c r="I39" i="11" l="1"/>
  <c r="I9" i="11"/>
  <c r="I30" i="11"/>
  <c r="P30" i="11" s="1"/>
  <c r="I31" i="11"/>
  <c r="I32" i="11"/>
  <c r="I33" i="11"/>
  <c r="I34" i="11"/>
  <c r="I35" i="11"/>
  <c r="I36" i="11"/>
  <c r="I37" i="11"/>
  <c r="I38" i="11"/>
  <c r="P39" i="11" l="1"/>
  <c r="P38" i="11" l="1"/>
  <c r="P37" i="11"/>
  <c r="P9" i="10" l="1"/>
  <c r="I33" i="2"/>
  <c r="P33" i="2" s="1"/>
  <c r="I82" i="2" l="1"/>
  <c r="L82" i="2" s="1"/>
  <c r="I9" i="2"/>
  <c r="P9" i="2" s="1"/>
  <c r="I104" i="14" l="1"/>
  <c r="H108" i="14"/>
  <c r="I108" i="14" s="1"/>
  <c r="H109" i="14"/>
  <c r="I109" i="14" s="1"/>
  <c r="I92" i="21"/>
  <c r="L92" i="21" s="1"/>
  <c r="I62" i="21"/>
  <c r="L62" i="21" s="1"/>
  <c r="I19" i="14" l="1"/>
  <c r="A5" i="8" l="1"/>
  <c r="A4" i="8"/>
  <c r="A3" i="8"/>
  <c r="A2" i="8"/>
  <c r="G23" i="14" l="1"/>
  <c r="G24" i="14"/>
  <c r="R23" i="14"/>
  <c r="J55" i="19"/>
  <c r="Q33" i="19"/>
  <c r="Q32" i="19"/>
  <c r="Q31" i="19"/>
  <c r="Q30" i="19"/>
  <c r="Q29" i="19"/>
  <c r="Q28" i="19"/>
  <c r="Q27" i="19"/>
  <c r="Q26" i="19"/>
  <c r="Q25" i="19"/>
  <c r="Q24" i="19"/>
  <c r="Q23" i="19"/>
  <c r="Q23" i="18"/>
  <c r="G84" i="18"/>
  <c r="G82" i="18"/>
  <c r="G80" i="18"/>
  <c r="G78" i="18"/>
  <c r="Q23" i="14"/>
  <c r="R24" i="14"/>
  <c r="K55" i="19"/>
  <c r="R33" i="19"/>
  <c r="R32" i="19"/>
  <c r="R31" i="19"/>
  <c r="R30" i="19"/>
  <c r="R29" i="19"/>
  <c r="R28" i="19"/>
  <c r="R27" i="19"/>
  <c r="R26" i="19"/>
  <c r="R25" i="19"/>
  <c r="R24" i="19"/>
  <c r="R23" i="19"/>
  <c r="R23" i="18"/>
  <c r="G25" i="14"/>
  <c r="Q24" i="14"/>
  <c r="R25" i="14"/>
  <c r="G33" i="19"/>
  <c r="G32" i="19"/>
  <c r="G31" i="19"/>
  <c r="G30" i="19"/>
  <c r="G29" i="19"/>
  <c r="G28" i="19"/>
  <c r="G27" i="19"/>
  <c r="G26" i="19"/>
  <c r="G25" i="19"/>
  <c r="G24" i="19"/>
  <c r="G23" i="19"/>
  <c r="G23" i="18"/>
  <c r="G83" i="18"/>
  <c r="G81" i="18"/>
  <c r="G79" i="18"/>
  <c r="G77" i="18"/>
  <c r="Q25" i="14"/>
  <c r="H55" i="19"/>
  <c r="R22" i="19"/>
  <c r="R21" i="19"/>
  <c r="G22" i="19"/>
  <c r="G21" i="19"/>
  <c r="Q22" i="19"/>
  <c r="Q21" i="19"/>
  <c r="G19" i="15"/>
  <c r="G20" i="15"/>
  <c r="G21" i="15"/>
  <c r="G22" i="15"/>
  <c r="Q19" i="15"/>
  <c r="Q20" i="15"/>
  <c r="Q21" i="15"/>
  <c r="G23" i="15"/>
  <c r="G24" i="15"/>
  <c r="Q23" i="15"/>
  <c r="Q24" i="15"/>
  <c r="R19" i="15"/>
  <c r="R23" i="15"/>
  <c r="R20" i="15"/>
  <c r="R21" i="15"/>
  <c r="R22" i="15"/>
  <c r="R24" i="15"/>
  <c r="Q22" i="15"/>
  <c r="H64" i="13"/>
  <c r="G96" i="13"/>
  <c r="G29" i="13"/>
  <c r="G26" i="13"/>
  <c r="G23" i="13"/>
  <c r="G29" i="12"/>
  <c r="G26" i="12"/>
  <c r="G23" i="12"/>
  <c r="G20" i="12"/>
  <c r="K64" i="12"/>
  <c r="R40" i="11"/>
  <c r="G72" i="10"/>
  <c r="G80" i="10"/>
  <c r="G21" i="10"/>
  <c r="R18" i="10"/>
  <c r="G64" i="10"/>
  <c r="G70" i="10"/>
  <c r="G86" i="10"/>
  <c r="G10" i="10"/>
  <c r="G13" i="10"/>
  <c r="G16" i="10"/>
  <c r="R44" i="2"/>
  <c r="R42" i="11"/>
  <c r="G81" i="10"/>
  <c r="G65" i="10"/>
  <c r="G87" i="10"/>
  <c r="Q13" i="10"/>
  <c r="G25" i="10"/>
  <c r="G66" i="10"/>
  <c r="G11" i="10"/>
  <c r="G69" i="10"/>
  <c r="Q15" i="10"/>
  <c r="J64" i="13"/>
  <c r="K65" i="12"/>
  <c r="R41" i="11"/>
  <c r="G22" i="10"/>
  <c r="R19" i="10"/>
  <c r="G107" i="10"/>
  <c r="G73" i="10"/>
  <c r="G23" i="10"/>
  <c r="R20" i="10"/>
  <c r="G77" i="10"/>
  <c r="Q10" i="10"/>
  <c r="Q16" i="10"/>
  <c r="G82" i="10"/>
  <c r="Q19" i="10"/>
  <c r="G17" i="10"/>
  <c r="Q25" i="10"/>
  <c r="R27" i="13"/>
  <c r="R12" i="10"/>
  <c r="K64" i="13"/>
  <c r="Q29" i="13"/>
  <c r="Q26" i="13"/>
  <c r="Q23" i="13"/>
  <c r="Q29" i="12"/>
  <c r="Q26" i="12"/>
  <c r="Q23" i="12"/>
  <c r="Q20" i="12"/>
  <c r="G95" i="13"/>
  <c r="R29" i="13"/>
  <c r="R26" i="13"/>
  <c r="R23" i="13"/>
  <c r="R29" i="12"/>
  <c r="R26" i="12"/>
  <c r="R23" i="12"/>
  <c r="R20" i="12"/>
  <c r="G40" i="11"/>
  <c r="G24" i="10"/>
  <c r="Q18" i="10"/>
  <c r="R21" i="10"/>
  <c r="R10" i="10"/>
  <c r="R13" i="10"/>
  <c r="R16" i="10"/>
  <c r="G28" i="12"/>
  <c r="G25" i="12"/>
  <c r="G22" i="12"/>
  <c r="G19" i="12"/>
  <c r="G41" i="11"/>
  <c r="G74" i="10"/>
  <c r="R22" i="10"/>
  <c r="G78" i="10"/>
  <c r="G14" i="10"/>
  <c r="J48" i="10"/>
  <c r="R21" i="12"/>
  <c r="Q26" i="10"/>
  <c r="K48" i="10"/>
  <c r="G28" i="13"/>
  <c r="G25" i="13"/>
  <c r="G22" i="13"/>
  <c r="G42" i="11"/>
  <c r="G26" i="10"/>
  <c r="Q20" i="10"/>
  <c r="R23" i="10"/>
  <c r="Q17" i="10"/>
  <c r="G30" i="13"/>
  <c r="G21" i="13"/>
  <c r="G21" i="12"/>
  <c r="R26" i="10"/>
  <c r="G84" i="10"/>
  <c r="G15" i="10"/>
  <c r="Q24" i="12"/>
  <c r="G63" i="10"/>
  <c r="R24" i="13"/>
  <c r="G20" i="10"/>
  <c r="R15" i="10"/>
  <c r="G94" i="13"/>
  <c r="Q28" i="13"/>
  <c r="Q25" i="13"/>
  <c r="Q22" i="13"/>
  <c r="Q28" i="12"/>
  <c r="Q25" i="12"/>
  <c r="Q22" i="12"/>
  <c r="Q19" i="12"/>
  <c r="G75" i="10"/>
  <c r="H51" i="10"/>
  <c r="Q21" i="10"/>
  <c r="R24" i="10"/>
  <c r="G67" i="10"/>
  <c r="G83" i="10"/>
  <c r="Q11" i="10"/>
  <c r="Q14" i="10"/>
  <c r="G24" i="13"/>
  <c r="G24" i="12"/>
  <c r="H64" i="12"/>
  <c r="K51" i="10"/>
  <c r="Q23" i="10"/>
  <c r="G68" i="10"/>
  <c r="G12" i="10"/>
  <c r="Q21" i="12"/>
  <c r="G79" i="10"/>
  <c r="R21" i="13"/>
  <c r="R27" i="12"/>
  <c r="G106" i="10"/>
  <c r="Q44" i="2"/>
  <c r="R28" i="13"/>
  <c r="R25" i="13"/>
  <c r="R22" i="13"/>
  <c r="R28" i="12"/>
  <c r="R25" i="12"/>
  <c r="R22" i="12"/>
  <c r="R19" i="12"/>
  <c r="J51" i="10"/>
  <c r="Q22" i="10"/>
  <c r="R25" i="10"/>
  <c r="R11" i="10"/>
  <c r="R14" i="10"/>
  <c r="R17" i="10"/>
  <c r="G27" i="13"/>
  <c r="G27" i="12"/>
  <c r="G76" i="10"/>
  <c r="G62" i="10"/>
  <c r="G61" i="10"/>
  <c r="J64" i="12"/>
  <c r="G19" i="10"/>
  <c r="Q12" i="10"/>
  <c r="J65" i="12"/>
  <c r="Q42" i="11"/>
  <c r="H65" i="12"/>
  <c r="Q40" i="11"/>
  <c r="G71" i="10"/>
  <c r="G18" i="10"/>
  <c r="Q24" i="10"/>
  <c r="G105" i="10"/>
  <c r="H48" i="10"/>
  <c r="G44" i="2"/>
  <c r="Q30" i="13"/>
  <c r="Q27" i="13"/>
  <c r="Q24" i="13"/>
  <c r="Q21" i="13"/>
  <c r="Q27" i="12"/>
  <c r="Q41" i="11"/>
  <c r="G85" i="10"/>
  <c r="R30" i="13"/>
  <c r="R24" i="12"/>
  <c r="R39" i="11"/>
  <c r="Q39" i="11"/>
  <c r="G39" i="11"/>
  <c r="G103" i="2"/>
  <c r="G105" i="2"/>
  <c r="G107" i="2"/>
  <c r="G109" i="2"/>
  <c r="J72" i="2"/>
  <c r="G34" i="2"/>
  <c r="G38" i="2"/>
  <c r="G42" i="2"/>
  <c r="Q34" i="2"/>
  <c r="Q38" i="2"/>
  <c r="Q42" i="2"/>
  <c r="R36" i="2"/>
  <c r="R40" i="2"/>
  <c r="G114" i="2"/>
  <c r="G117" i="2"/>
  <c r="H69" i="2"/>
  <c r="J70" i="2"/>
  <c r="Q25" i="2"/>
  <c r="Q26" i="2"/>
  <c r="Q27" i="2"/>
  <c r="Q28" i="2"/>
  <c r="Q29" i="2"/>
  <c r="Q30" i="2"/>
  <c r="Q31" i="2"/>
  <c r="Q32" i="2"/>
  <c r="J44" i="22"/>
  <c r="K45" i="22"/>
  <c r="R10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92" i="22"/>
  <c r="J43" i="22"/>
  <c r="R9" i="22"/>
  <c r="G27" i="2"/>
  <c r="G29" i="2"/>
  <c r="G32" i="2"/>
  <c r="J46" i="22"/>
  <c r="Q12" i="22"/>
  <c r="Q14" i="22"/>
  <c r="Q16" i="22"/>
  <c r="Q18" i="22"/>
  <c r="Q21" i="22"/>
  <c r="G92" i="2"/>
  <c r="G94" i="2"/>
  <c r="G96" i="2"/>
  <c r="G98" i="2"/>
  <c r="G100" i="2"/>
  <c r="J73" i="2"/>
  <c r="G35" i="2"/>
  <c r="G39" i="2"/>
  <c r="G43" i="2"/>
  <c r="Q35" i="2"/>
  <c r="Q39" i="2"/>
  <c r="Q43" i="2"/>
  <c r="R37" i="2"/>
  <c r="R41" i="2"/>
  <c r="G83" i="2"/>
  <c r="G85" i="2"/>
  <c r="G87" i="2"/>
  <c r="G89" i="2"/>
  <c r="G91" i="2"/>
  <c r="J69" i="2"/>
  <c r="K70" i="2"/>
  <c r="R25" i="2"/>
  <c r="R26" i="2"/>
  <c r="R27" i="2"/>
  <c r="R28" i="2"/>
  <c r="R29" i="2"/>
  <c r="R30" i="2"/>
  <c r="R31" i="2"/>
  <c r="R32" i="2"/>
  <c r="G93" i="22"/>
  <c r="G63" i="22"/>
  <c r="G65" i="22"/>
  <c r="G67" i="22"/>
  <c r="G69" i="22"/>
  <c r="G71" i="22"/>
  <c r="G73" i="22"/>
  <c r="G75" i="22"/>
  <c r="G77" i="22"/>
  <c r="G79" i="22"/>
  <c r="G81" i="22"/>
  <c r="G83" i="22"/>
  <c r="G85" i="22"/>
  <c r="G87" i="22"/>
  <c r="K44" i="22"/>
  <c r="H46" i="22"/>
  <c r="G10" i="22"/>
  <c r="G11" i="22"/>
  <c r="H43" i="22"/>
  <c r="Q9" i="22"/>
  <c r="G102" i="2"/>
  <c r="G104" i="2"/>
  <c r="G106" i="2"/>
  <c r="G108" i="2"/>
  <c r="H72" i="2"/>
  <c r="K72" i="2"/>
  <c r="G36" i="2"/>
  <c r="G40" i="2"/>
  <c r="Q36" i="2"/>
  <c r="Q40" i="2"/>
  <c r="R34" i="2"/>
  <c r="R38" i="2"/>
  <c r="R42" i="2"/>
  <c r="G115" i="2"/>
  <c r="K69" i="2"/>
  <c r="G25" i="2"/>
  <c r="G26" i="2"/>
  <c r="G28" i="2"/>
  <c r="G30" i="2"/>
  <c r="G31" i="2"/>
  <c r="H45" i="22"/>
  <c r="Q11" i="22"/>
  <c r="Q13" i="22"/>
  <c r="Q15" i="22"/>
  <c r="Q17" i="22"/>
  <c r="Q19" i="22"/>
  <c r="G97" i="2"/>
  <c r="G41" i="2"/>
  <c r="Q41" i="2"/>
  <c r="G116" i="2"/>
  <c r="G88" i="2"/>
  <c r="G94" i="22"/>
  <c r="G70" i="22"/>
  <c r="G78" i="22"/>
  <c r="G86" i="22"/>
  <c r="J45" i="22"/>
  <c r="R11" i="22"/>
  <c r="R14" i="22"/>
  <c r="R16" i="22"/>
  <c r="R19" i="22"/>
  <c r="R21" i="22"/>
  <c r="Q23" i="22"/>
  <c r="R24" i="22"/>
  <c r="G62" i="22"/>
  <c r="G9" i="22"/>
  <c r="G84" i="22"/>
  <c r="R17" i="22"/>
  <c r="R23" i="22"/>
  <c r="K43" i="22"/>
  <c r="Q37" i="2"/>
  <c r="G90" i="2"/>
  <c r="G64" i="22"/>
  <c r="G80" i="22"/>
  <c r="Q10" i="22"/>
  <c r="R20" i="22"/>
  <c r="G95" i="2"/>
  <c r="H73" i="2"/>
  <c r="R35" i="2"/>
  <c r="G86" i="2"/>
  <c r="G68" i="22"/>
  <c r="G76" i="22"/>
  <c r="K46" i="22"/>
  <c r="Q22" i="22"/>
  <c r="G93" i="2"/>
  <c r="G101" i="2"/>
  <c r="K73" i="2"/>
  <c r="R39" i="2"/>
  <c r="G84" i="2"/>
  <c r="G82" i="2"/>
  <c r="G66" i="22"/>
  <c r="G74" i="22"/>
  <c r="G82" i="22"/>
  <c r="R12" i="22"/>
  <c r="R15" i="22"/>
  <c r="R18" i="22"/>
  <c r="Q20" i="22"/>
  <c r="R22" i="22"/>
  <c r="G99" i="2"/>
  <c r="G37" i="2"/>
  <c r="R43" i="2"/>
  <c r="H70" i="2"/>
  <c r="G72" i="22"/>
  <c r="H44" i="22"/>
  <c r="R13" i="22"/>
  <c r="Q24" i="22"/>
  <c r="Q33" i="2"/>
  <c r="R33" i="2"/>
  <c r="G33" i="2"/>
  <c r="H71" i="2"/>
  <c r="J71" i="2"/>
  <c r="K71" i="2"/>
  <c r="H48" i="21"/>
  <c r="J49" i="21"/>
  <c r="J48" i="21"/>
  <c r="K48" i="21"/>
  <c r="K49" i="21"/>
  <c r="H49" i="21"/>
  <c r="G81" i="21"/>
  <c r="G83" i="21"/>
  <c r="G85" i="21"/>
  <c r="G87" i="21"/>
  <c r="R26" i="21"/>
  <c r="Q25" i="21"/>
  <c r="G66" i="14"/>
  <c r="G68" i="14"/>
  <c r="G70" i="14"/>
  <c r="G72" i="14"/>
  <c r="G79" i="14"/>
  <c r="G81" i="14"/>
  <c r="G83" i="14"/>
  <c r="G85" i="14"/>
  <c r="G87" i="14"/>
  <c r="G89" i="14"/>
  <c r="J48" i="14"/>
  <c r="G22" i="14"/>
  <c r="Q20" i="14"/>
  <c r="R21" i="14"/>
  <c r="J43" i="14"/>
  <c r="K44" i="14"/>
  <c r="G10" i="14"/>
  <c r="G11" i="14"/>
  <c r="G12" i="14"/>
  <c r="G13" i="14"/>
  <c r="G14" i="14"/>
  <c r="G15" i="14"/>
  <c r="G16" i="14"/>
  <c r="G17" i="14"/>
  <c r="G18" i="14"/>
  <c r="G64" i="21"/>
  <c r="G66" i="21"/>
  <c r="G68" i="21"/>
  <c r="G74" i="21"/>
  <c r="G76" i="21"/>
  <c r="G78" i="21"/>
  <c r="G93" i="21"/>
  <c r="Q12" i="21"/>
  <c r="Q15" i="21"/>
  <c r="Q18" i="21"/>
  <c r="Q20" i="21"/>
  <c r="Q22" i="21"/>
  <c r="G63" i="14"/>
  <c r="G74" i="14"/>
  <c r="G93" i="14"/>
  <c r="K48" i="14"/>
  <c r="R22" i="14"/>
  <c r="K43" i="14"/>
  <c r="G82" i="21"/>
  <c r="G84" i="21"/>
  <c r="G86" i="21"/>
  <c r="G26" i="21"/>
  <c r="R10" i="21"/>
  <c r="R11" i="21"/>
  <c r="R12" i="21"/>
  <c r="R13" i="21"/>
  <c r="R14" i="21"/>
  <c r="R15" i="21"/>
  <c r="R17" i="21"/>
  <c r="R18" i="21"/>
  <c r="R19" i="21"/>
  <c r="R20" i="21"/>
  <c r="R21" i="21"/>
  <c r="R22" i="21"/>
  <c r="R23" i="21"/>
  <c r="R24" i="21"/>
  <c r="G67" i="14"/>
  <c r="G69" i="14"/>
  <c r="G71" i="14"/>
  <c r="G73" i="14"/>
  <c r="G80" i="14"/>
  <c r="G82" i="14"/>
  <c r="G84" i="14"/>
  <c r="G86" i="14"/>
  <c r="G88" i="14"/>
  <c r="G20" i="14"/>
  <c r="Q22" i="14"/>
  <c r="H44" i="14"/>
  <c r="J45" i="14"/>
  <c r="Q10" i="14"/>
  <c r="Q11" i="14"/>
  <c r="Q12" i="14"/>
  <c r="Q13" i="14"/>
  <c r="Q14" i="14"/>
  <c r="Q15" i="14"/>
  <c r="Q16" i="14"/>
  <c r="Q17" i="14"/>
  <c r="Q18" i="14"/>
  <c r="G72" i="21"/>
  <c r="G80" i="21"/>
  <c r="Q11" i="21"/>
  <c r="Q14" i="21"/>
  <c r="Q17" i="21"/>
  <c r="Q19" i="21"/>
  <c r="Q23" i="21"/>
  <c r="R25" i="21"/>
  <c r="G76" i="14"/>
  <c r="G95" i="14"/>
  <c r="G61" i="14"/>
  <c r="H45" i="14"/>
  <c r="G63" i="21"/>
  <c r="G65" i="21"/>
  <c r="G67" i="21"/>
  <c r="G69" i="21"/>
  <c r="G71" i="21"/>
  <c r="G73" i="21"/>
  <c r="G75" i="21"/>
  <c r="G77" i="21"/>
  <c r="G79" i="21"/>
  <c r="Q26" i="21"/>
  <c r="G10" i="21"/>
  <c r="G11" i="21"/>
  <c r="G12" i="21"/>
  <c r="G13" i="21"/>
  <c r="G14" i="21"/>
  <c r="G15" i="21"/>
  <c r="G17" i="21"/>
  <c r="G18" i="21"/>
  <c r="G19" i="21"/>
  <c r="G20" i="21"/>
  <c r="G21" i="21"/>
  <c r="G22" i="21"/>
  <c r="G23" i="21"/>
  <c r="G24" i="21"/>
  <c r="G25" i="21"/>
  <c r="G62" i="14"/>
  <c r="G64" i="14"/>
  <c r="G75" i="14"/>
  <c r="G77" i="14"/>
  <c r="G90" i="14"/>
  <c r="G92" i="14"/>
  <c r="G94" i="14"/>
  <c r="G96" i="14"/>
  <c r="H48" i="14"/>
  <c r="G21" i="14"/>
  <c r="R20" i="14"/>
  <c r="G60" i="14"/>
  <c r="H43" i="14"/>
  <c r="J44" i="14"/>
  <c r="K45" i="14"/>
  <c r="R10" i="14"/>
  <c r="R11" i="14"/>
  <c r="R12" i="14"/>
  <c r="R13" i="14"/>
  <c r="R14" i="14"/>
  <c r="R15" i="14"/>
  <c r="R16" i="14"/>
  <c r="R17" i="14"/>
  <c r="R18" i="14"/>
  <c r="G70" i="21"/>
  <c r="Q10" i="21"/>
  <c r="Q13" i="21"/>
  <c r="Q21" i="21"/>
  <c r="Q24" i="21"/>
  <c r="G65" i="14"/>
  <c r="G78" i="14"/>
  <c r="G91" i="14"/>
  <c r="G97" i="14"/>
  <c r="Q21" i="14"/>
  <c r="G59" i="14"/>
  <c r="G84" i="19"/>
  <c r="H54" i="19"/>
  <c r="G64" i="18"/>
  <c r="G68" i="18"/>
  <c r="G79" i="15"/>
  <c r="G64" i="15"/>
  <c r="G66" i="15"/>
  <c r="G68" i="15"/>
  <c r="G70" i="15"/>
  <c r="J45" i="15"/>
  <c r="G107" i="13"/>
  <c r="G92" i="13"/>
  <c r="K63" i="13"/>
  <c r="G19" i="13"/>
  <c r="Q17" i="13"/>
  <c r="R16" i="13"/>
  <c r="R20" i="13"/>
  <c r="G85" i="19"/>
  <c r="J54" i="19"/>
  <c r="G61" i="18"/>
  <c r="G65" i="18"/>
  <c r="H41" i="18"/>
  <c r="G72" i="15"/>
  <c r="K45" i="15"/>
  <c r="G16" i="13"/>
  <c r="G20" i="13"/>
  <c r="Q18" i="13"/>
  <c r="R17" i="13"/>
  <c r="K54" i="19"/>
  <c r="G62" i="18"/>
  <c r="G66" i="18"/>
  <c r="J41" i="18"/>
  <c r="G63" i="15"/>
  <c r="G65" i="15"/>
  <c r="G67" i="15"/>
  <c r="G69" i="15"/>
  <c r="G105" i="13"/>
  <c r="G93" i="13"/>
  <c r="H63" i="13"/>
  <c r="G17" i="13"/>
  <c r="Q19" i="13"/>
  <c r="R18" i="13"/>
  <c r="G63" i="18"/>
  <c r="G67" i="18"/>
  <c r="K41" i="18"/>
  <c r="G71" i="15"/>
  <c r="H45" i="15"/>
  <c r="G106" i="13"/>
  <c r="G90" i="13"/>
  <c r="J63" i="13"/>
  <c r="G18" i="13"/>
  <c r="Q16" i="13"/>
  <c r="Q20" i="13"/>
  <c r="R19" i="13"/>
  <c r="G82" i="19"/>
  <c r="G83" i="19"/>
  <c r="G21" i="16"/>
  <c r="G20" i="16"/>
  <c r="G19" i="16"/>
  <c r="G18" i="16"/>
  <c r="R18" i="16"/>
  <c r="R17" i="16"/>
  <c r="R16" i="16"/>
  <c r="R15" i="16"/>
  <c r="R14" i="16"/>
  <c r="G72" i="16"/>
  <c r="G70" i="16"/>
  <c r="G68" i="16"/>
  <c r="G66" i="16"/>
  <c r="G64" i="16"/>
  <c r="G62" i="16"/>
  <c r="G78" i="16"/>
  <c r="G14" i="12"/>
  <c r="Q12" i="12"/>
  <c r="R13" i="12"/>
  <c r="G115" i="11"/>
  <c r="G17" i="16"/>
  <c r="G16" i="16"/>
  <c r="G15" i="16"/>
  <c r="G14" i="16"/>
  <c r="H43" i="16"/>
  <c r="G79" i="16"/>
  <c r="G107" i="12"/>
  <c r="Q13" i="12"/>
  <c r="R14" i="12"/>
  <c r="G112" i="11"/>
  <c r="Q21" i="16"/>
  <c r="Q20" i="16"/>
  <c r="Q19" i="16"/>
  <c r="J43" i="16"/>
  <c r="G71" i="16"/>
  <c r="G69" i="16"/>
  <c r="G67" i="16"/>
  <c r="G65" i="16"/>
  <c r="G63" i="16"/>
  <c r="G12" i="12"/>
  <c r="Q14" i="12"/>
  <c r="G113" i="11"/>
  <c r="R21" i="16"/>
  <c r="R20" i="16"/>
  <c r="R19" i="16"/>
  <c r="Q18" i="16"/>
  <c r="Q17" i="16"/>
  <c r="Q16" i="16"/>
  <c r="Q15" i="16"/>
  <c r="Q14" i="16"/>
  <c r="K43" i="16"/>
  <c r="G13" i="12"/>
  <c r="R12" i="12"/>
  <c r="G114" i="11"/>
  <c r="G92" i="21"/>
  <c r="G81" i="19"/>
  <c r="G80" i="19"/>
  <c r="G79" i="19"/>
  <c r="G78" i="19"/>
  <c r="G77" i="19"/>
  <c r="G76" i="19"/>
  <c r="G75" i="19"/>
  <c r="G74" i="19"/>
  <c r="G73" i="19"/>
  <c r="G20" i="19"/>
  <c r="Q20" i="19"/>
  <c r="G19" i="19"/>
  <c r="Q19" i="19"/>
  <c r="G18" i="19"/>
  <c r="Q18" i="19"/>
  <c r="G17" i="19"/>
  <c r="Q17" i="19"/>
  <c r="G91" i="19"/>
  <c r="R20" i="19"/>
  <c r="R19" i="19"/>
  <c r="R18" i="19"/>
  <c r="R17" i="19"/>
  <c r="G95" i="18"/>
  <c r="G69" i="18"/>
  <c r="G59" i="18"/>
  <c r="G72" i="18"/>
  <c r="G74" i="18"/>
  <c r="G18" i="18"/>
  <c r="G15" i="18"/>
  <c r="Q18" i="18"/>
  <c r="Q15" i="18"/>
  <c r="R18" i="18"/>
  <c r="R15" i="18"/>
  <c r="G10" i="18"/>
  <c r="G9" i="18"/>
  <c r="Q10" i="18"/>
  <c r="Q9" i="18"/>
  <c r="R10" i="18"/>
  <c r="R9" i="18"/>
  <c r="G19" i="18"/>
  <c r="Q19" i="18"/>
  <c r="R14" i="18"/>
  <c r="R20" i="18"/>
  <c r="G94" i="18"/>
  <c r="G96" i="18"/>
  <c r="G60" i="18"/>
  <c r="G70" i="18"/>
  <c r="G71" i="18"/>
  <c r="G13" i="18"/>
  <c r="G12" i="18"/>
  <c r="Q13" i="18"/>
  <c r="Q12" i="18"/>
  <c r="R13" i="18"/>
  <c r="R12" i="18"/>
  <c r="G11" i="18"/>
  <c r="G16" i="18"/>
  <c r="Q11" i="18"/>
  <c r="Q16" i="18"/>
  <c r="R11" i="18"/>
  <c r="R16" i="18"/>
  <c r="G14" i="18"/>
  <c r="G20" i="18"/>
  <c r="Q14" i="18"/>
  <c r="Q20" i="18"/>
  <c r="R19" i="18"/>
  <c r="G85" i="15"/>
  <c r="G86" i="15"/>
  <c r="G60" i="15"/>
  <c r="G18" i="15"/>
  <c r="Q17" i="15"/>
  <c r="G87" i="15"/>
  <c r="G78" i="15"/>
  <c r="G61" i="15"/>
  <c r="Q18" i="15"/>
  <c r="G59" i="15"/>
  <c r="R18" i="15"/>
  <c r="G84" i="15"/>
  <c r="G88" i="15"/>
  <c r="G62" i="15"/>
  <c r="R17" i="15"/>
  <c r="G89" i="15"/>
  <c r="G17" i="15"/>
  <c r="G89" i="13"/>
  <c r="G87" i="13"/>
  <c r="G85" i="13"/>
  <c r="G83" i="13"/>
  <c r="G82" i="13"/>
  <c r="G91" i="13"/>
  <c r="G88" i="13"/>
  <c r="G86" i="13"/>
  <c r="G84" i="13"/>
  <c r="G38" i="11"/>
  <c r="Q38" i="11"/>
  <c r="G37" i="11"/>
  <c r="Q37" i="11"/>
  <c r="R38" i="11"/>
  <c r="R37" i="11"/>
  <c r="G9" i="10"/>
  <c r="R9" i="10"/>
  <c r="Q9" i="10"/>
  <c r="R9" i="2"/>
  <c r="G9" i="2"/>
  <c r="Q9" i="2"/>
  <c r="H43" i="21"/>
  <c r="H44" i="21"/>
  <c r="H45" i="21"/>
  <c r="H46" i="21"/>
  <c r="H47" i="21"/>
  <c r="G1" i="10" l="1"/>
  <c r="G62" i="21" l="1"/>
  <c r="H40" i="18" l="1"/>
  <c r="J40" i="18"/>
  <c r="K40" i="18"/>
  <c r="H42" i="18"/>
  <c r="J42" i="18"/>
  <c r="K42" i="18"/>
  <c r="H43" i="18"/>
  <c r="J43" i="18"/>
  <c r="K43" i="18"/>
  <c r="G9" i="21"/>
  <c r="I9" i="21"/>
  <c r="P9" i="21" s="1"/>
  <c r="Q9" i="21"/>
  <c r="R9" i="21"/>
  <c r="J27" i="21"/>
  <c r="K27" i="21"/>
  <c r="L27" i="21"/>
  <c r="M27" i="21"/>
  <c r="G37" i="21"/>
  <c r="B4" i="21" s="1"/>
  <c r="H37" i="21"/>
  <c r="I37" i="21"/>
  <c r="J37" i="21"/>
  <c r="K37" i="21"/>
  <c r="L37" i="21"/>
  <c r="H50" i="21"/>
  <c r="J50" i="21"/>
  <c r="K50" i="21"/>
  <c r="I51" i="21"/>
  <c r="H88" i="21"/>
  <c r="J88" i="21"/>
  <c r="K88" i="21"/>
  <c r="M88" i="21"/>
  <c r="H100" i="21"/>
  <c r="I100" i="21"/>
  <c r="J100" i="21"/>
  <c r="K100" i="21"/>
  <c r="M100" i="21"/>
  <c r="G104" i="21"/>
  <c r="G105" i="21"/>
  <c r="G106" i="21"/>
  <c r="G107" i="21"/>
  <c r="G108" i="21"/>
  <c r="L100" i="21" l="1"/>
  <c r="L88" i="21"/>
  <c r="I88" i="21"/>
  <c r="M33" i="14" l="1"/>
  <c r="G34" i="14"/>
  <c r="M34" i="14" s="1"/>
  <c r="G35" i="14"/>
  <c r="M35" i="14" s="1"/>
  <c r="H36" i="14"/>
  <c r="M36" i="14" l="1"/>
  <c r="G9" i="14"/>
  <c r="I9" i="14"/>
  <c r="P9" i="14" s="1"/>
  <c r="Q9" i="14"/>
  <c r="R9" i="14"/>
  <c r="G11" i="19"/>
  <c r="I11" i="19"/>
  <c r="P11" i="19" s="1"/>
  <c r="Q11" i="19"/>
  <c r="R11" i="19"/>
  <c r="H42" i="14"/>
  <c r="J42" i="14"/>
  <c r="K42" i="14"/>
  <c r="H46" i="14"/>
  <c r="J46" i="14"/>
  <c r="K46" i="14"/>
  <c r="H47" i="14"/>
  <c r="J47" i="14"/>
  <c r="K47" i="14"/>
  <c r="G19" i="14" l="1"/>
  <c r="P19" i="14"/>
  <c r="Q19" i="14"/>
  <c r="R19" i="14"/>
  <c r="G120" i="10"/>
  <c r="G121" i="10"/>
  <c r="G122" i="10"/>
  <c r="G123" i="10"/>
  <c r="G124" i="10"/>
  <c r="G120" i="14" l="1"/>
  <c r="G121" i="14"/>
  <c r="G122" i="14"/>
  <c r="G123" i="14"/>
  <c r="G124" i="14"/>
  <c r="G106" i="19"/>
  <c r="G107" i="19"/>
  <c r="G108" i="19"/>
  <c r="G109" i="19"/>
  <c r="G110" i="19"/>
  <c r="G107" i="18"/>
  <c r="G108" i="18"/>
  <c r="G109" i="18"/>
  <c r="G110" i="18"/>
  <c r="G111" i="18"/>
  <c r="G99" i="15"/>
  <c r="G100" i="15"/>
  <c r="G101" i="15"/>
  <c r="G102" i="15"/>
  <c r="G103" i="15"/>
  <c r="G120" i="13"/>
  <c r="G121" i="13"/>
  <c r="G122" i="13"/>
  <c r="G123" i="13"/>
  <c r="G124" i="13"/>
  <c r="G93" i="16"/>
  <c r="G94" i="16"/>
  <c r="G95" i="16"/>
  <c r="G96" i="16"/>
  <c r="G97" i="16"/>
  <c r="G122" i="12"/>
  <c r="G123" i="12"/>
  <c r="G124" i="12"/>
  <c r="G125" i="12"/>
  <c r="G126" i="12"/>
  <c r="G128" i="11"/>
  <c r="G129" i="11"/>
  <c r="G130" i="11"/>
  <c r="G131" i="11"/>
  <c r="G127" i="11"/>
  <c r="G131" i="2"/>
  <c r="G132" i="2"/>
  <c r="G133" i="2"/>
  <c r="G134" i="2"/>
  <c r="G130" i="2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G25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N1" i="21"/>
  <c r="K58" i="21" s="1"/>
  <c r="N1" i="14"/>
  <c r="K54" i="14" s="1"/>
  <c r="N1" i="19"/>
  <c r="K60" i="19" s="1"/>
  <c r="N1" i="18"/>
  <c r="K50" i="18" s="1"/>
  <c r="N1" i="15"/>
  <c r="K51" i="15" s="1"/>
  <c r="N1" i="13"/>
  <c r="K69" i="13" s="1"/>
  <c r="N1" i="16"/>
  <c r="K49" i="16" s="1"/>
  <c r="N1" i="12"/>
  <c r="K70" i="12" s="1"/>
  <c r="N1" i="11"/>
  <c r="K73" i="11" s="1"/>
  <c r="G1" i="21"/>
  <c r="G1" i="14"/>
  <c r="G1" i="19"/>
  <c r="G1" i="18"/>
  <c r="G1" i="15"/>
  <c r="G1" i="13"/>
  <c r="G1" i="16"/>
  <c r="G1" i="12"/>
  <c r="G1" i="11"/>
  <c r="O27" i="21"/>
  <c r="N27" i="21"/>
  <c r="I27" i="21"/>
  <c r="G4" i="21" s="1"/>
  <c r="M96" i="19"/>
  <c r="K96" i="19"/>
  <c r="J96" i="19"/>
  <c r="I96" i="19"/>
  <c r="H96" i="19"/>
  <c r="G90" i="19"/>
  <c r="M86" i="19"/>
  <c r="K86" i="19"/>
  <c r="J86" i="19"/>
  <c r="H86" i="19"/>
  <c r="I72" i="19"/>
  <c r="L72" i="19" s="1"/>
  <c r="G72" i="19"/>
  <c r="I71" i="19"/>
  <c r="L71" i="19" s="1"/>
  <c r="G71" i="19"/>
  <c r="I70" i="19"/>
  <c r="L70" i="19" s="1"/>
  <c r="G70" i="19"/>
  <c r="I69" i="19"/>
  <c r="L69" i="19" s="1"/>
  <c r="G69" i="19"/>
  <c r="I68" i="19"/>
  <c r="L68" i="19" s="1"/>
  <c r="G68" i="19"/>
  <c r="I67" i="19"/>
  <c r="L67" i="19" s="1"/>
  <c r="G67" i="19"/>
  <c r="I66" i="19"/>
  <c r="L66" i="19" s="1"/>
  <c r="G66" i="19"/>
  <c r="I65" i="19"/>
  <c r="L65" i="19" s="1"/>
  <c r="G65" i="19"/>
  <c r="I64" i="19"/>
  <c r="G64" i="19"/>
  <c r="I56" i="19"/>
  <c r="K53" i="19"/>
  <c r="J53" i="19"/>
  <c r="H53" i="19"/>
  <c r="K52" i="19"/>
  <c r="J52" i="19"/>
  <c r="H52" i="19"/>
  <c r="K51" i="19"/>
  <c r="J51" i="19"/>
  <c r="H51" i="19"/>
  <c r="K50" i="19"/>
  <c r="J50" i="19"/>
  <c r="H50" i="19"/>
  <c r="L44" i="19"/>
  <c r="K44" i="19"/>
  <c r="J44" i="19"/>
  <c r="I44" i="19"/>
  <c r="H44" i="19"/>
  <c r="G44" i="19"/>
  <c r="O34" i="19"/>
  <c r="N34" i="19"/>
  <c r="M34" i="19"/>
  <c r="L34" i="19"/>
  <c r="K34" i="19"/>
  <c r="J34" i="19"/>
  <c r="H34" i="19"/>
  <c r="R16" i="19"/>
  <c r="Q16" i="19"/>
  <c r="I16" i="19"/>
  <c r="P16" i="19" s="1"/>
  <c r="G16" i="19"/>
  <c r="R15" i="19"/>
  <c r="Q15" i="19"/>
  <c r="I15" i="19"/>
  <c r="P15" i="19" s="1"/>
  <c r="G15" i="19"/>
  <c r="R14" i="19"/>
  <c r="Q14" i="19"/>
  <c r="I14" i="19"/>
  <c r="P14" i="19" s="1"/>
  <c r="G14" i="19"/>
  <c r="R13" i="19"/>
  <c r="Q13" i="19"/>
  <c r="I13" i="19"/>
  <c r="P13" i="19" s="1"/>
  <c r="G13" i="19"/>
  <c r="R12" i="19"/>
  <c r="Q12" i="19"/>
  <c r="I12" i="19"/>
  <c r="P12" i="19" s="1"/>
  <c r="G12" i="19"/>
  <c r="R10" i="19"/>
  <c r="Q10" i="19"/>
  <c r="I10" i="19"/>
  <c r="P10" i="19" s="1"/>
  <c r="G10" i="19"/>
  <c r="R9" i="19"/>
  <c r="Q9" i="19"/>
  <c r="I9" i="19"/>
  <c r="P9" i="19" s="1"/>
  <c r="G9" i="19"/>
  <c r="M97" i="18"/>
  <c r="K97" i="18"/>
  <c r="J97" i="18"/>
  <c r="I97" i="18"/>
  <c r="H97" i="18"/>
  <c r="L93" i="18"/>
  <c r="G93" i="18"/>
  <c r="M90" i="18"/>
  <c r="K90" i="18"/>
  <c r="J90" i="18"/>
  <c r="H90" i="18"/>
  <c r="I76" i="18"/>
  <c r="L76" i="18" s="1"/>
  <c r="G76" i="18"/>
  <c r="I75" i="18"/>
  <c r="L75" i="18" s="1"/>
  <c r="G75" i="18"/>
  <c r="I73" i="18"/>
  <c r="L73" i="18" s="1"/>
  <c r="G73" i="18"/>
  <c r="I58" i="18"/>
  <c r="L58" i="18" s="1"/>
  <c r="G58" i="18"/>
  <c r="I57" i="18"/>
  <c r="L57" i="18" s="1"/>
  <c r="G57" i="18"/>
  <c r="I56" i="18"/>
  <c r="L56" i="18" s="1"/>
  <c r="G56" i="18"/>
  <c r="I55" i="18"/>
  <c r="L55" i="18" s="1"/>
  <c r="G55" i="18"/>
  <c r="I54" i="18"/>
  <c r="G54" i="18"/>
  <c r="I44" i="18"/>
  <c r="L34" i="18"/>
  <c r="K34" i="18"/>
  <c r="J34" i="18"/>
  <c r="I34" i="18"/>
  <c r="H34" i="18"/>
  <c r="G34" i="18"/>
  <c r="O24" i="18"/>
  <c r="N24" i="18"/>
  <c r="M24" i="18"/>
  <c r="L24" i="18"/>
  <c r="K24" i="18"/>
  <c r="J24" i="18"/>
  <c r="H24" i="18"/>
  <c r="R22" i="18"/>
  <c r="Q22" i="18"/>
  <c r="I22" i="18"/>
  <c r="P22" i="18" s="1"/>
  <c r="G22" i="18"/>
  <c r="R21" i="18"/>
  <c r="Q21" i="18"/>
  <c r="I21" i="18"/>
  <c r="P21" i="18" s="1"/>
  <c r="G21" i="18"/>
  <c r="R17" i="18"/>
  <c r="Q17" i="18"/>
  <c r="P17" i="18"/>
  <c r="G17" i="18"/>
  <c r="M83" i="16"/>
  <c r="K83" i="16"/>
  <c r="J83" i="16"/>
  <c r="I83" i="16"/>
  <c r="H83" i="16"/>
  <c r="L82" i="16"/>
  <c r="L81" i="16"/>
  <c r="L80" i="16"/>
  <c r="L79" i="16"/>
  <c r="L78" i="16"/>
  <c r="L77" i="16"/>
  <c r="G77" i="16"/>
  <c r="M73" i="16"/>
  <c r="K73" i="16"/>
  <c r="J73" i="16"/>
  <c r="H73" i="16"/>
  <c r="I61" i="16"/>
  <c r="L61" i="16" s="1"/>
  <c r="G61" i="16"/>
  <c r="I60" i="16"/>
  <c r="L60" i="16" s="1"/>
  <c r="G60" i="16"/>
  <c r="I59" i="16"/>
  <c r="L59" i="16" s="1"/>
  <c r="G59" i="16"/>
  <c r="I58" i="16"/>
  <c r="L58" i="16" s="1"/>
  <c r="G58" i="16"/>
  <c r="I57" i="16"/>
  <c r="L57" i="16" s="1"/>
  <c r="G57" i="16"/>
  <c r="I56" i="16"/>
  <c r="L56" i="16" s="1"/>
  <c r="G56" i="16"/>
  <c r="I55" i="16"/>
  <c r="L55" i="16" s="1"/>
  <c r="G55" i="16"/>
  <c r="I54" i="16"/>
  <c r="L54" i="16" s="1"/>
  <c r="G54" i="16"/>
  <c r="I53" i="16"/>
  <c r="G53" i="16"/>
  <c r="I44" i="16"/>
  <c r="K42" i="16"/>
  <c r="J42" i="16"/>
  <c r="H42" i="16"/>
  <c r="K41" i="16"/>
  <c r="J41" i="16"/>
  <c r="H41" i="16"/>
  <c r="K40" i="16"/>
  <c r="J40" i="16"/>
  <c r="H40" i="16"/>
  <c r="K39" i="16"/>
  <c r="J39" i="16"/>
  <c r="H39" i="16"/>
  <c r="L33" i="16"/>
  <c r="K33" i="16"/>
  <c r="J33" i="16"/>
  <c r="I33" i="16"/>
  <c r="H33" i="16"/>
  <c r="G33" i="16"/>
  <c r="O23" i="16"/>
  <c r="N23" i="16"/>
  <c r="M23" i="16"/>
  <c r="L23" i="16"/>
  <c r="K23" i="16"/>
  <c r="J23" i="16"/>
  <c r="H23" i="16"/>
  <c r="R13" i="16"/>
  <c r="Q13" i="16"/>
  <c r="I13" i="16"/>
  <c r="P13" i="16" s="1"/>
  <c r="G13" i="16"/>
  <c r="R12" i="16"/>
  <c r="Q12" i="16"/>
  <c r="I12" i="16"/>
  <c r="P12" i="16" s="1"/>
  <c r="G12" i="16"/>
  <c r="R11" i="16"/>
  <c r="Q11" i="16"/>
  <c r="I11" i="16"/>
  <c r="P11" i="16" s="1"/>
  <c r="G11" i="16"/>
  <c r="R10" i="16"/>
  <c r="Q10" i="16"/>
  <c r="I10" i="16"/>
  <c r="P10" i="16" s="1"/>
  <c r="G10" i="16"/>
  <c r="R9" i="16"/>
  <c r="Q9" i="16"/>
  <c r="I9" i="16"/>
  <c r="G9" i="16"/>
  <c r="M90" i="15"/>
  <c r="K90" i="15"/>
  <c r="J90" i="15"/>
  <c r="I90" i="15"/>
  <c r="H90" i="15"/>
  <c r="L88" i="15"/>
  <c r="L87" i="15"/>
  <c r="L86" i="15"/>
  <c r="L85" i="15"/>
  <c r="L84" i="15"/>
  <c r="L83" i="15"/>
  <c r="G83" i="15"/>
  <c r="M80" i="15"/>
  <c r="K80" i="15"/>
  <c r="J80" i="15"/>
  <c r="H80" i="15"/>
  <c r="L77" i="15"/>
  <c r="G77" i="15"/>
  <c r="L76" i="15"/>
  <c r="G76" i="15"/>
  <c r="L75" i="15"/>
  <c r="G75" i="15"/>
  <c r="L74" i="15"/>
  <c r="G74" i="15"/>
  <c r="L73" i="15"/>
  <c r="G73" i="15"/>
  <c r="L58" i="15"/>
  <c r="G58" i="15"/>
  <c r="L57" i="15"/>
  <c r="G57" i="15"/>
  <c r="L56" i="15"/>
  <c r="G56" i="15"/>
  <c r="G55" i="15"/>
  <c r="I46" i="15"/>
  <c r="K44" i="15"/>
  <c r="J44" i="15"/>
  <c r="H44" i="15"/>
  <c r="K43" i="15"/>
  <c r="J43" i="15"/>
  <c r="H43" i="15"/>
  <c r="K42" i="15"/>
  <c r="J42" i="15"/>
  <c r="H42" i="15"/>
  <c r="K41" i="15"/>
  <c r="J41" i="15"/>
  <c r="H41" i="15"/>
  <c r="L35" i="15"/>
  <c r="K35" i="15"/>
  <c r="J35" i="15"/>
  <c r="I35" i="15"/>
  <c r="H35" i="15"/>
  <c r="G35" i="15"/>
  <c r="O25" i="15"/>
  <c r="N25" i="15"/>
  <c r="M25" i="15"/>
  <c r="L25" i="15"/>
  <c r="K25" i="15"/>
  <c r="J25" i="15"/>
  <c r="H25" i="15"/>
  <c r="R16" i="15"/>
  <c r="Q16" i="15"/>
  <c r="I16" i="15"/>
  <c r="P16" i="15" s="1"/>
  <c r="G16" i="15"/>
  <c r="R15" i="15"/>
  <c r="Q15" i="15"/>
  <c r="I15" i="15"/>
  <c r="P15" i="15" s="1"/>
  <c r="G15" i="15"/>
  <c r="R14" i="15"/>
  <c r="Q14" i="15"/>
  <c r="I14" i="15"/>
  <c r="P14" i="15" s="1"/>
  <c r="G14" i="15"/>
  <c r="R13" i="15"/>
  <c r="Q13" i="15"/>
  <c r="I13" i="15"/>
  <c r="P13" i="15" s="1"/>
  <c r="G13" i="15"/>
  <c r="R12" i="15"/>
  <c r="Q12" i="15"/>
  <c r="P12" i="15"/>
  <c r="G12" i="15"/>
  <c r="R11" i="15"/>
  <c r="Q11" i="15"/>
  <c r="I11" i="15"/>
  <c r="P11" i="15" s="1"/>
  <c r="G11" i="15"/>
  <c r="R10" i="15"/>
  <c r="Q10" i="15"/>
  <c r="I10" i="15"/>
  <c r="P10" i="15" s="1"/>
  <c r="G10" i="15"/>
  <c r="R9" i="15"/>
  <c r="Q9" i="15"/>
  <c r="I9" i="15"/>
  <c r="P9" i="15" s="1"/>
  <c r="G9" i="15"/>
  <c r="M110" i="14"/>
  <c r="K110" i="14"/>
  <c r="J110" i="14"/>
  <c r="I110" i="14"/>
  <c r="H110" i="14"/>
  <c r="G104" i="14"/>
  <c r="M100" i="14"/>
  <c r="K100" i="14"/>
  <c r="J100" i="14"/>
  <c r="H100" i="14"/>
  <c r="I58" i="14"/>
  <c r="G58" i="14"/>
  <c r="I49" i="14"/>
  <c r="L36" i="14"/>
  <c r="K36" i="14"/>
  <c r="J36" i="14"/>
  <c r="I36" i="14"/>
  <c r="G36" i="14"/>
  <c r="O26" i="14"/>
  <c r="N26" i="14"/>
  <c r="M26" i="14"/>
  <c r="L26" i="14"/>
  <c r="K26" i="14"/>
  <c r="J26" i="14"/>
  <c r="H26" i="14"/>
  <c r="M110" i="13"/>
  <c r="K110" i="13"/>
  <c r="J110" i="13"/>
  <c r="I110" i="13"/>
  <c r="H110" i="13"/>
  <c r="L109" i="13"/>
  <c r="L108" i="13"/>
  <c r="L107" i="13"/>
  <c r="L106" i="13"/>
  <c r="L105" i="13"/>
  <c r="L104" i="13"/>
  <c r="G104" i="13"/>
  <c r="M101" i="13"/>
  <c r="K101" i="13"/>
  <c r="J101" i="13"/>
  <c r="H101" i="13"/>
  <c r="I81" i="13"/>
  <c r="L81" i="13" s="1"/>
  <c r="G81" i="13"/>
  <c r="I80" i="13"/>
  <c r="L80" i="13" s="1"/>
  <c r="G80" i="13"/>
  <c r="I79" i="13"/>
  <c r="L79" i="13" s="1"/>
  <c r="G79" i="13"/>
  <c r="I78" i="13"/>
  <c r="L78" i="13" s="1"/>
  <c r="G78" i="13"/>
  <c r="I77" i="13"/>
  <c r="L77" i="13" s="1"/>
  <c r="G77" i="13"/>
  <c r="I76" i="13"/>
  <c r="L76" i="13" s="1"/>
  <c r="G76" i="13"/>
  <c r="I75" i="13"/>
  <c r="L75" i="13" s="1"/>
  <c r="G75" i="13"/>
  <c r="I74" i="13"/>
  <c r="L74" i="13" s="1"/>
  <c r="G74" i="13"/>
  <c r="I73" i="13"/>
  <c r="G73" i="13"/>
  <c r="I65" i="13"/>
  <c r="K62" i="13"/>
  <c r="J62" i="13"/>
  <c r="H62" i="13"/>
  <c r="K61" i="13"/>
  <c r="J61" i="13"/>
  <c r="H61" i="13"/>
  <c r="K60" i="13"/>
  <c r="J60" i="13"/>
  <c r="H60" i="13"/>
  <c r="K59" i="13"/>
  <c r="J59" i="13"/>
  <c r="H59" i="13"/>
  <c r="L53" i="13"/>
  <c r="K53" i="13"/>
  <c r="J53" i="13"/>
  <c r="I53" i="13"/>
  <c r="H53" i="13"/>
  <c r="G53" i="13"/>
  <c r="O43" i="13"/>
  <c r="N43" i="13"/>
  <c r="M43" i="13"/>
  <c r="L43" i="13"/>
  <c r="K43" i="13"/>
  <c r="J43" i="13"/>
  <c r="H43" i="13"/>
  <c r="R15" i="13"/>
  <c r="Q15" i="13"/>
  <c r="I15" i="13"/>
  <c r="P15" i="13" s="1"/>
  <c r="G15" i="13"/>
  <c r="R14" i="13"/>
  <c r="Q14" i="13"/>
  <c r="I14" i="13"/>
  <c r="P14" i="13" s="1"/>
  <c r="G14" i="13"/>
  <c r="R13" i="13"/>
  <c r="Q13" i="13"/>
  <c r="I13" i="13"/>
  <c r="P13" i="13" s="1"/>
  <c r="G13" i="13"/>
  <c r="R12" i="13"/>
  <c r="Q12" i="13"/>
  <c r="I12" i="13"/>
  <c r="P12" i="13" s="1"/>
  <c r="G12" i="13"/>
  <c r="R11" i="13"/>
  <c r="Q11" i="13"/>
  <c r="I11" i="13"/>
  <c r="P11" i="13" s="1"/>
  <c r="G11" i="13"/>
  <c r="R10" i="13"/>
  <c r="Q10" i="13"/>
  <c r="I10" i="13"/>
  <c r="P10" i="13" s="1"/>
  <c r="G10" i="13"/>
  <c r="R9" i="13"/>
  <c r="Q9" i="13"/>
  <c r="I9" i="13"/>
  <c r="P9" i="13" s="1"/>
  <c r="G9" i="13"/>
  <c r="M112" i="12"/>
  <c r="K112" i="12"/>
  <c r="J112" i="12"/>
  <c r="I112" i="12"/>
  <c r="H112" i="12"/>
  <c r="L111" i="12"/>
  <c r="L110" i="12"/>
  <c r="L109" i="12"/>
  <c r="L108" i="12"/>
  <c r="L107" i="12"/>
  <c r="L106" i="12"/>
  <c r="G106" i="12"/>
  <c r="M103" i="12"/>
  <c r="K103" i="12"/>
  <c r="J103" i="12"/>
  <c r="H103" i="12"/>
  <c r="I66" i="12"/>
  <c r="K63" i="12"/>
  <c r="J63" i="12"/>
  <c r="H63" i="12"/>
  <c r="K62" i="12"/>
  <c r="J62" i="12"/>
  <c r="H62" i="12"/>
  <c r="K61" i="12"/>
  <c r="J61" i="12"/>
  <c r="H61" i="12"/>
  <c r="K54" i="12"/>
  <c r="J54" i="12"/>
  <c r="H54" i="12"/>
  <c r="L48" i="12"/>
  <c r="K48" i="12"/>
  <c r="J48" i="12"/>
  <c r="I48" i="12"/>
  <c r="H48" i="12"/>
  <c r="G48" i="12"/>
  <c r="O38" i="12"/>
  <c r="N38" i="12"/>
  <c r="M38" i="12"/>
  <c r="L38" i="12"/>
  <c r="K38" i="12"/>
  <c r="J38" i="12"/>
  <c r="H38" i="12"/>
  <c r="R18" i="12"/>
  <c r="Q18" i="12"/>
  <c r="P18" i="12"/>
  <c r="G18" i="12"/>
  <c r="R17" i="12"/>
  <c r="Q17" i="12"/>
  <c r="P17" i="12"/>
  <c r="G17" i="12"/>
  <c r="R16" i="12"/>
  <c r="Q16" i="12"/>
  <c r="P16" i="12"/>
  <c r="G16" i="12"/>
  <c r="R15" i="12"/>
  <c r="Q15" i="12"/>
  <c r="P15" i="12"/>
  <c r="G15" i="12"/>
  <c r="R11" i="12"/>
  <c r="Q11" i="12"/>
  <c r="P11" i="12"/>
  <c r="G11" i="12"/>
  <c r="R10" i="12"/>
  <c r="Q10" i="12"/>
  <c r="P10" i="12"/>
  <c r="G10" i="12"/>
  <c r="R9" i="12"/>
  <c r="Q9" i="12"/>
  <c r="I9" i="12"/>
  <c r="P9" i="12" s="1"/>
  <c r="G9" i="12"/>
  <c r="M117" i="11"/>
  <c r="K117" i="11"/>
  <c r="J117" i="11"/>
  <c r="I117" i="11"/>
  <c r="H117" i="11"/>
  <c r="L116" i="11"/>
  <c r="L115" i="11"/>
  <c r="L114" i="11"/>
  <c r="L113" i="11"/>
  <c r="L112" i="11"/>
  <c r="L111" i="11"/>
  <c r="M107" i="11"/>
  <c r="K107" i="11"/>
  <c r="J107" i="11"/>
  <c r="H107" i="11"/>
  <c r="I67" i="11"/>
  <c r="K66" i="11"/>
  <c r="J66" i="11"/>
  <c r="H66" i="11"/>
  <c r="K65" i="11"/>
  <c r="J65" i="11"/>
  <c r="H65" i="11"/>
  <c r="K64" i="11"/>
  <c r="J64" i="11"/>
  <c r="H64" i="11"/>
  <c r="K59" i="11"/>
  <c r="J59" i="11"/>
  <c r="H59" i="11"/>
  <c r="L53" i="11"/>
  <c r="K53" i="11"/>
  <c r="J53" i="11"/>
  <c r="I53" i="11"/>
  <c r="H53" i="11"/>
  <c r="G53" i="11"/>
  <c r="O43" i="11"/>
  <c r="N43" i="11"/>
  <c r="M43" i="11"/>
  <c r="L43" i="11"/>
  <c r="K43" i="11"/>
  <c r="H43" i="11"/>
  <c r="R36" i="11"/>
  <c r="Q36" i="11"/>
  <c r="P36" i="11"/>
  <c r="G36" i="11"/>
  <c r="R35" i="11"/>
  <c r="Q35" i="11"/>
  <c r="P35" i="11"/>
  <c r="G35" i="11"/>
  <c r="R34" i="11"/>
  <c r="Q34" i="11"/>
  <c r="P34" i="11"/>
  <c r="G34" i="11"/>
  <c r="R33" i="11"/>
  <c r="Q33" i="11"/>
  <c r="P33" i="11"/>
  <c r="G33" i="11"/>
  <c r="R32" i="11"/>
  <c r="Q32" i="11"/>
  <c r="P32" i="11"/>
  <c r="G32" i="11"/>
  <c r="R31" i="11"/>
  <c r="Q31" i="11"/>
  <c r="P31" i="11"/>
  <c r="G31" i="11"/>
  <c r="R30" i="11"/>
  <c r="Q30" i="11"/>
  <c r="G30" i="11"/>
  <c r="R9" i="11"/>
  <c r="Q9" i="11"/>
  <c r="P9" i="11"/>
  <c r="G9" i="11"/>
  <c r="N1" i="10"/>
  <c r="K57" i="10" s="1"/>
  <c r="M110" i="10"/>
  <c r="K110" i="10"/>
  <c r="J110" i="10"/>
  <c r="I110" i="10"/>
  <c r="H110" i="10"/>
  <c r="G104" i="10"/>
  <c r="M90" i="10"/>
  <c r="K90" i="10"/>
  <c r="J90" i="10"/>
  <c r="H90" i="10"/>
  <c r="I61" i="10"/>
  <c r="I52" i="10"/>
  <c r="K50" i="10"/>
  <c r="J50" i="10"/>
  <c r="H50" i="10"/>
  <c r="K49" i="10"/>
  <c r="J49" i="10"/>
  <c r="H49" i="10"/>
  <c r="K47" i="10"/>
  <c r="J47" i="10"/>
  <c r="H47" i="10"/>
  <c r="L37" i="10"/>
  <c r="K37" i="10"/>
  <c r="J37" i="10"/>
  <c r="I37" i="10"/>
  <c r="H37" i="10"/>
  <c r="G37" i="10"/>
  <c r="O27" i="10"/>
  <c r="N27" i="10"/>
  <c r="M27" i="10"/>
  <c r="L27" i="10"/>
  <c r="K27" i="10"/>
  <c r="J27" i="10"/>
  <c r="H27" i="10"/>
  <c r="I74" i="2"/>
  <c r="K55" i="2"/>
  <c r="J55" i="2"/>
  <c r="I55" i="2"/>
  <c r="H55" i="2"/>
  <c r="G55" i="2"/>
  <c r="L55" i="2"/>
  <c r="K120" i="2"/>
  <c r="J120" i="2"/>
  <c r="I120" i="2"/>
  <c r="H120" i="2"/>
  <c r="M120" i="2"/>
  <c r="K78" i="2"/>
  <c r="K110" i="2"/>
  <c r="J110" i="2"/>
  <c r="H110" i="2"/>
  <c r="M110" i="2"/>
  <c r="N45" i="2"/>
  <c r="M45" i="2"/>
  <c r="L45" i="2"/>
  <c r="K45" i="2"/>
  <c r="J45" i="2"/>
  <c r="H45" i="2"/>
  <c r="J4" i="13" l="1"/>
  <c r="B4" i="13"/>
  <c r="B4" i="18"/>
  <c r="I86" i="19"/>
  <c r="M4" i="19" s="1"/>
  <c r="I23" i="16"/>
  <c r="G4" i="16" s="1"/>
  <c r="I80" i="15"/>
  <c r="M4" i="15" s="1"/>
  <c r="I90" i="18"/>
  <c r="M4" i="18" s="1"/>
  <c r="J4" i="12"/>
  <c r="J4" i="16"/>
  <c r="B4" i="10"/>
  <c r="J43" i="11"/>
  <c r="B4" i="11"/>
  <c r="B4" i="15"/>
  <c r="I101" i="13"/>
  <c r="M4" i="13" s="1"/>
  <c r="I103" i="12"/>
  <c r="M4" i="12" s="1"/>
  <c r="L117" i="11"/>
  <c r="L90" i="15"/>
  <c r="J4" i="11"/>
  <c r="B4" i="12"/>
  <c r="J4" i="15"/>
  <c r="P27" i="21"/>
  <c r="B4" i="16"/>
  <c r="I73" i="16"/>
  <c r="M4" i="16" s="1"/>
  <c r="L83" i="16"/>
  <c r="J4" i="18"/>
  <c r="J4" i="19"/>
  <c r="I90" i="10"/>
  <c r="M4" i="10" s="1"/>
  <c r="J4" i="10"/>
  <c r="J4" i="21"/>
  <c r="I100" i="14"/>
  <c r="M4" i="14" s="1"/>
  <c r="B4" i="19"/>
  <c r="B4" i="14"/>
  <c r="J4" i="14"/>
  <c r="I43" i="11"/>
  <c r="I107" i="11"/>
  <c r="M4" i="11" s="1"/>
  <c r="L112" i="12"/>
  <c r="I26" i="14"/>
  <c r="G4" i="14" s="1"/>
  <c r="L110" i="14"/>
  <c r="I25" i="15"/>
  <c r="G4" i="15" s="1"/>
  <c r="P9" i="16"/>
  <c r="P23" i="16" s="1"/>
  <c r="L97" i="18"/>
  <c r="I34" i="19"/>
  <c r="G4" i="19" s="1"/>
  <c r="L64" i="19"/>
  <c r="L86" i="19" s="1"/>
  <c r="L96" i="19"/>
  <c r="M4" i="21"/>
  <c r="G4" i="4"/>
  <c r="B11" i="4"/>
  <c r="L11" i="4"/>
  <c r="G18" i="4"/>
  <c r="B25" i="4"/>
  <c r="L25" i="4"/>
  <c r="L4" i="4"/>
  <c r="G11" i="4"/>
  <c r="B18" i="4"/>
  <c r="L18" i="4"/>
  <c r="P34" i="19"/>
  <c r="L110" i="13"/>
  <c r="L110" i="10"/>
  <c r="P24" i="18"/>
  <c r="L54" i="18"/>
  <c r="L90" i="18" s="1"/>
  <c r="I24" i="18"/>
  <c r="G4" i="18" s="1"/>
  <c r="L53" i="16"/>
  <c r="L73" i="16" s="1"/>
  <c r="P25" i="15"/>
  <c r="L55" i="15"/>
  <c r="L80" i="15" s="1"/>
  <c r="P26" i="14"/>
  <c r="L58" i="14"/>
  <c r="L100" i="14" s="1"/>
  <c r="P43" i="13"/>
  <c r="L73" i="13"/>
  <c r="L101" i="13" s="1"/>
  <c r="I43" i="13"/>
  <c r="G4" i="13" s="1"/>
  <c r="P38" i="12"/>
  <c r="I38" i="12"/>
  <c r="G4" i="12" s="1"/>
  <c r="P43" i="11"/>
  <c r="P27" i="10"/>
  <c r="L61" i="10"/>
  <c r="L90" i="10" s="1"/>
  <c r="I27" i="10"/>
  <c r="G4" i="10" s="1"/>
  <c r="I110" i="2"/>
  <c r="M4" i="2" s="1"/>
  <c r="I45" i="2"/>
  <c r="B4" i="2"/>
  <c r="J4" i="2"/>
  <c r="L120" i="2"/>
  <c r="L110" i="2"/>
  <c r="L103" i="12" l="1"/>
  <c r="L107" i="11"/>
  <c r="G4" i="2"/>
  <c r="P4" i="2" s="1"/>
  <c r="N52" i="2"/>
  <c r="P4" i="18"/>
  <c r="P4" i="16"/>
  <c r="P4" i="19"/>
  <c r="G4" i="11"/>
  <c r="P4" i="11" s="1"/>
  <c r="P4" i="12"/>
  <c r="P4" i="15"/>
  <c r="P4" i="13"/>
  <c r="P4" i="21"/>
  <c r="P4" i="10"/>
  <c r="P4" i="14"/>
  <c r="P40" i="2"/>
  <c r="P38" i="2"/>
  <c r="O45" i="2"/>
  <c r="P45" i="2" l="1"/>
</calcChain>
</file>

<file path=xl/sharedStrings.xml><?xml version="1.0" encoding="utf-8"?>
<sst xmlns="http://schemas.openxmlformats.org/spreadsheetml/2006/main" count="1381" uniqueCount="252">
  <si>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</si>
  <si>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</si>
  <si>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</si>
  <si>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</si>
  <si>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</si>
  <si>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</si>
  <si>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</si>
  <si>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</si>
  <si>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</si>
  <si>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</si>
  <si>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</si>
  <si>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</si>
  <si>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</si>
  <si>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</si>
  <si>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</si>
  <si>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</si>
  <si>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</si>
  <si>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</si>
  <si>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</si>
  <si>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</si>
  <si>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</si>
  <si>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</si>
  <si>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</si>
  <si>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</si>
  <si>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</si>
  <si>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</si>
  <si>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</si>
  <si>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</si>
  <si>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</si>
  <si>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</si>
  <si>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</si>
  <si>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</si>
  <si>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</si>
  <si>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</si>
  <si>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</si>
  <si>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</si>
  <si>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</si>
  <si>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</si>
  <si>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</si>
  <si>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</si>
  <si>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</si>
  <si>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</si>
  <si>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</si>
  <si>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</si>
  <si>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</si>
  <si>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</si>
  <si>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</si>
  <si>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</si>
  <si>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</si>
  <si>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</si>
  <si>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</si>
  <si>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</si>
  <si>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</si>
  <si>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</si>
  <si>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</si>
  <si>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</si>
  <si>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</si>
  <si>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</si>
  <si>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</si>
  <si>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</si>
  <si>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</si>
  <si>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</si>
  <si>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</si>
  <si>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</si>
  <si>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</si>
  <si>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</si>
  <si>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</si>
  <si>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</si>
  <si>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</si>
  <si>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</si>
  <si>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</si>
  <si>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</si>
  <si>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</si>
  <si>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</si>
  <si>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</si>
  <si>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</si>
  <si>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</si>
  <si>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</si>
  <si>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</si>
  <si>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</si>
  <si>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</si>
  <si>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</si>
  <si>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</si>
  <si>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Mercaderia</t>
  </si>
  <si>
    <t>Combustibe</t>
  </si>
  <si>
    <t>Extracto</t>
  </si>
  <si>
    <t>Otros</t>
  </si>
  <si>
    <t>Alquiler</t>
  </si>
  <si>
    <t>Telefonia</t>
  </si>
  <si>
    <t>Librería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</si>
  <si>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</si>
  <si>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</si>
  <si>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</si>
  <si>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</si>
  <si>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</si>
  <si>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</si>
  <si>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</si>
  <si>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</si>
  <si>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</si>
  <si>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</si>
  <si>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</si>
  <si>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</si>
  <si>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 xml:space="preserve"> BERAN Claudia Beatriz</t>
  </si>
  <si>
    <t xml:space="preserve"> CORBALAN, MAFALDA ISABEL</t>
  </si>
  <si>
    <t xml:space="preserve"> GARCIA Ricardo Enrique</t>
  </si>
  <si>
    <t xml:space="preserve"> Graells Luis Miguel</t>
  </si>
  <si>
    <t>FRAVEGA S A C I E I</t>
  </si>
  <si>
    <t>BUENOS AIRES</t>
  </si>
  <si>
    <t>RABLEB SRL</t>
  </si>
  <si>
    <t>GOOGLE ARGENTINA S.R.L.</t>
  </si>
  <si>
    <t>TC TIENDAS AR S.R.L.</t>
  </si>
  <si>
    <t>insumos</t>
  </si>
  <si>
    <t>WAIKI S.A.</t>
  </si>
  <si>
    <t>Servicios de publicidad</t>
  </si>
  <si>
    <t>GAIGA RENZO MIGUEL</t>
  </si>
  <si>
    <t>SENS GROUP SRL</t>
  </si>
  <si>
    <t>F&amp;R S.A.S.</t>
  </si>
  <si>
    <t>JD SOURCING S.R.L</t>
  </si>
  <si>
    <t>VITTOR LORENA MARCELA</t>
  </si>
  <si>
    <t>FEIDAS FERNANDO EMILIANO</t>
  </si>
  <si>
    <t>GRUPO FAM SA</t>
  </si>
  <si>
    <t>STM ESTILO S.R.L</t>
  </si>
  <si>
    <t>INDUSTRIA4 S.R.L.</t>
  </si>
  <si>
    <t>PERROS Y GATOS FOOD S.A.S.</t>
  </si>
  <si>
    <t>BARLETTA MAXIMILIANO SEBASTIAN</t>
  </si>
  <si>
    <t>BARISCI MATIAS NICOLAS</t>
  </si>
  <si>
    <t>TOURMALHYN S.R.L.</t>
  </si>
  <si>
    <t>GARCIA VAUTRIN ANDRES ALBERTO</t>
  </si>
  <si>
    <t>BORGES BUENOS AIRES SRL</t>
  </si>
  <si>
    <t>TODOVISION S.A</t>
  </si>
  <si>
    <t>CASTROMAN AGUSTIN</t>
  </si>
  <si>
    <t>BOSSI MARIA PAULA</t>
  </si>
  <si>
    <t>GONZALEZ NESTOR RICARDO</t>
  </si>
  <si>
    <t>FLEET KYAN SRL</t>
  </si>
  <si>
    <t>GRIMALDI NICOLAS</t>
  </si>
  <si>
    <t>MATTEO DANIEL ERNESTO</t>
  </si>
  <si>
    <t>DENATALE MARCELA BEATRIZ</t>
  </si>
  <si>
    <t>PEISER</t>
  </si>
  <si>
    <t>LANDI GERONIMO</t>
  </si>
  <si>
    <t>CENTRO DE ENTRENAMIENTO DE MANEJO S.A.</t>
  </si>
  <si>
    <t>BACANES</t>
  </si>
  <si>
    <t>CECCO ALVARO GONZALO</t>
  </si>
  <si>
    <t>E S B A LUGANO S A</t>
  </si>
  <si>
    <t>ESBA FLORESS A</t>
  </si>
  <si>
    <t>INSTITUTO ORSINO SA</t>
  </si>
  <si>
    <t>ROSSO FAVIO DANIEL</t>
  </si>
  <si>
    <t>DATTATEC.COM S.R.L.</t>
  </si>
  <si>
    <t>MARQUISAS SA</t>
  </si>
  <si>
    <t>Otros - No Grav.</t>
  </si>
  <si>
    <t>EMPRENDIMIENTOS SHOPGLASS S. R. L.</t>
  </si>
  <si>
    <t>FADIGA OSCAR ALBERTO</t>
  </si>
  <si>
    <t>INSTITUTO DE ESTUDIOS SUPERIORES DE BUENOS AIRES S A</t>
  </si>
  <si>
    <t>ARAUJO CARLOS MARTIN</t>
  </si>
  <si>
    <t>FABIO Y RAUL ROSSO S.A.S.</t>
  </si>
  <si>
    <t>DEHEZA SOCIEDAD ANONIMA INDUSTRIAL COMERCIAL FINANCIERA INMOBILIARIA</t>
  </si>
  <si>
    <t>OPANASIUK MACARENA ANTONELLA</t>
  </si>
  <si>
    <t>BOTINDARI FEDERICO DANIEL</t>
  </si>
  <si>
    <t>HONORARIOS CONTABLE</t>
  </si>
  <si>
    <t>LISERAR S A</t>
  </si>
  <si>
    <t>LEVINT PARTNERS S.R.L.</t>
  </si>
  <si>
    <t>CRESPO LEONARDO GUILLERMO</t>
  </si>
  <si>
    <t>LAMARI FRANCO AGUSTIN</t>
  </si>
  <si>
    <t>FRANCISCO ADRIAN MARCELO</t>
  </si>
  <si>
    <t>LAMATEC S.R.L.</t>
  </si>
  <si>
    <t>CAVALLOTTI MARCOS DANIEL</t>
  </si>
  <si>
    <t>GERVASI MAXIMILIANO ARIEL</t>
  </si>
  <si>
    <t>NARVAEZ SANTIAGO GABRIEL</t>
  </si>
  <si>
    <t>FERRARETTO CARLA ROMINA</t>
  </si>
  <si>
    <t>GRUPO NACER ECOLOGICO S.R.L</t>
  </si>
  <si>
    <t>SANTA FE COMERCIAL SOCIEDAD DE RESPONSABILIDAD LIMITADA</t>
  </si>
  <si>
    <t>NETSHOP GROUP S.R.L.</t>
  </si>
  <si>
    <t>GALICIA</t>
  </si>
  <si>
    <t>EMIGRA CON TU MASCOTA S.R.L.</t>
  </si>
  <si>
    <t>MARANO CORVALAN MARTIN MARIANO</t>
  </si>
  <si>
    <t>YAÑEZ GERMAN</t>
  </si>
  <si>
    <t>SUPERMERCADOS BONANNO S.A.</t>
  </si>
  <si>
    <t>LAPTOP SERVICE S.R.L.</t>
  </si>
  <si>
    <t>CONSMITEC S.R.L.</t>
  </si>
  <si>
    <t>GONZALEZ JOSE RAUL</t>
  </si>
  <si>
    <t>ERMAN CUSTODIAR S.A.</t>
  </si>
  <si>
    <t>FUNDACION EDUCACION PARA EL PROGRESO</t>
  </si>
  <si>
    <t>RODRIGUES DAIANA DENISE</t>
  </si>
  <si>
    <t>VIANI IVANNA</t>
  </si>
  <si>
    <t>POWER-RECORDS S.A</t>
  </si>
  <si>
    <t>TIXIT SRL</t>
  </si>
  <si>
    <t>FACTUMAR SRL</t>
  </si>
  <si>
    <t>CBGB DISTRIBUCION S.R.L.</t>
  </si>
  <si>
    <t>SIMZ S. R. L.</t>
  </si>
  <si>
    <t>CENCOSUD S A</t>
  </si>
  <si>
    <t>HERAS ROMEO</t>
  </si>
  <si>
    <t>LA VALENZIANA S.R.L.</t>
  </si>
  <si>
    <t>NORDENPET SRL</t>
  </si>
  <si>
    <t>FIDEICOMISO INMOBILIARIO BAIOS</t>
  </si>
  <si>
    <t>GOL ELIANA SOLEDAD</t>
  </si>
  <si>
    <t>FUENZALIDA GONZALO MARTIN</t>
  </si>
  <si>
    <t>INICIATIVA GASTRONOMICA PYE SA</t>
  </si>
  <si>
    <t>SOLDARGEN S.A.</t>
  </si>
  <si>
    <t xml:space="preserve"> </t>
  </si>
  <si>
    <t>FARIÑA FACUNDO EDUARDO</t>
  </si>
  <si>
    <t>UFAR S.R.L</t>
  </si>
  <si>
    <t>NANOTEC S.R.L.</t>
  </si>
  <si>
    <t>NAR TECHNOLOGIES S.R.L.</t>
  </si>
  <si>
    <t>MADERO STYLE S. R. L.</t>
  </si>
  <si>
    <t>CAVALLOTTI FLORENCIA BELEN</t>
  </si>
  <si>
    <t>ESCOBARFLOORING S.A.</t>
  </si>
  <si>
    <t>DIAZ Y GIUSEPPETTI S. R. L.</t>
  </si>
  <si>
    <t>COOPERATIVA DE TRABAJO MADYGRAF LTDA</t>
  </si>
  <si>
    <t>PINDELEC SA</t>
  </si>
  <si>
    <t>GRUPO RIDIGAS S.R.L.</t>
  </si>
  <si>
    <t>CORIDAL S.A.</t>
  </si>
  <si>
    <t>BALAMA S.A.</t>
  </si>
  <si>
    <t>ZEITPLAN SRL</t>
  </si>
  <si>
    <t>FORMATO GRAFICO S R L</t>
  </si>
  <si>
    <t>BARROSO VALENTINA</t>
  </si>
  <si>
    <t>M &amp; G TECHNOLOGY S.R.L.</t>
  </si>
  <si>
    <t>02/01/2026</t>
  </si>
  <si>
    <t>08/01/2026</t>
  </si>
  <si>
    <t>12/01/2026</t>
  </si>
  <si>
    <t>21/01/2026</t>
  </si>
  <si>
    <t>30/01/2026</t>
  </si>
  <si>
    <t>31/01/2026</t>
  </si>
  <si>
    <t>05/01/2026</t>
  </si>
  <si>
    <t>06/01/2026</t>
  </si>
  <si>
    <t>16/01/2026</t>
  </si>
  <si>
    <t>01/02/2026</t>
  </si>
  <si>
    <t>02/02/2026</t>
  </si>
  <si>
    <t>25/02/2026</t>
  </si>
  <si>
    <t>28/02/2026</t>
  </si>
  <si>
    <t>06/02/2026</t>
  </si>
  <si>
    <t>10/02/2026</t>
  </si>
  <si>
    <t>12/02/2026</t>
  </si>
  <si>
    <t>03/02/2026</t>
  </si>
  <si>
    <t>27/02/2026</t>
  </si>
  <si>
    <t>02/03/2026</t>
  </si>
  <si>
    <t>20/03/2026</t>
  </si>
  <si>
    <t>24/03/2026</t>
  </si>
  <si>
    <t>31/03/2026</t>
  </si>
  <si>
    <t>03/03/2026</t>
  </si>
  <si>
    <t>09/03/2026</t>
  </si>
  <si>
    <t>13/03/2026</t>
  </si>
  <si>
    <t>16/03/2026</t>
  </si>
  <si>
    <t>01/04/2026</t>
  </si>
  <si>
    <t>30/04/2026</t>
  </si>
  <si>
    <t>13/04/2026</t>
  </si>
  <si>
    <t>23/04/2026</t>
  </si>
  <si>
    <t>26/04/2026</t>
  </si>
  <si>
    <t>27/04/2026</t>
  </si>
  <si>
    <t>DOBARRO PAULA MARCELA</t>
  </si>
  <si>
    <t>15/04/2026</t>
  </si>
  <si>
    <t>AGILE MAR SOLUTIONS S.R.L.</t>
  </si>
  <si>
    <t>BT SECURITIES ARGENTINA S. A.</t>
  </si>
  <si>
    <t>06/04/2026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</si>
</sst>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&quot;$&quot;\ #,##0.00;&quot;$&quot;\ \-#,##0.00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dd\-mm\-yy;@"/>
    <numFmt numFmtId="170" formatCode="000"/>
    <numFmt numFmtId="171" formatCode="0000"/>
    <numFmt numFmtId="172" formatCode="00000000"/>
    <numFmt numFmtId="173" formatCode="##\-########\-#"/>
    <numFmt numFmtId="174" formatCode="[$-C0A]mmmm\-yy;@"/>
    <numFmt numFmtId="175" formatCode="[$$-2C0A]\ #,##0.00;\-[$$-2C0A]\ #,##0.00"/>
    <numFmt numFmtId="176" formatCode="_-[$$-2C0A]\ * #,##0.00_-;\-[$$-2C0A]\ * #,##0.00_-;_-[$$-2C0A]\ * &quot;-&quot;??_-;_-@_-"/>
    <numFmt numFmtId="177" formatCode="#,##0.000"/>
    <numFmt numFmtId="178" formatCode="0.000"/>
    <numFmt numFmtId="179" formatCode="#,##0.00_ ;[Red]\-#,##0.00\ "/>
    <numFmt numFmtId="180" formatCode="#,##0.00\ _€;[Red]\-#,##0.00\ _€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10"/>
      <color theme="6" tint="-0.499984740745262"/>
      <name val="Times New Roman"/>
      <family val="1"/>
    </font>
    <font>
      <sz val="10"/>
      <color theme="6" tint="-0.499984740745262"/>
      <name val="Calibri"/>
      <family val="2"/>
    </font>
    <font>
      <b/>
      <sz val="10"/>
      <color theme="6" tint="-0.499984740745262"/>
      <name val="Calibri"/>
      <family val="2"/>
    </font>
    <font>
      <b/>
      <sz val="12"/>
      <color theme="6" tint="-0.499984740745262"/>
      <name val="Calibri"/>
      <family val="2"/>
    </font>
    <font>
      <b/>
      <sz val="11"/>
      <color theme="6" tint="-0.499984740745262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9"/>
      <color theme="6" tint="-0.499984740745262"/>
      <name val="Calibri"/>
      <family val="2"/>
    </font>
    <font>
      <sz val="10"/>
      <name val="Calibri"/>
      <family val="2"/>
      <scheme val="minor"/>
    </font>
    <font>
      <sz val="14"/>
      <color rgb="FF111111"/>
      <name val="Arial"/>
      <family val="2"/>
    </font>
    <font>
      <b/>
      <sz val="10"/>
      <name val="Calibri"/>
      <family val="2"/>
      <scheme val="minor"/>
    </font>
    <font>
      <sz val="10"/>
      <name val="Calibri"/>
    </font>
    <font>
      <b/>
      <sz val="10"/>
      <name val="Calibri"/>
    </font>
    <font>
      <sz val="9"/>
      <name val="Calibri"/>
    </font>
    <font>
      <sz val="11"/>
      <name val="Calibri"/>
    </font>
    <font>
      <b/>
      <sz val="11"/>
      <color theme="1"/>
      <name val="Calibri"/>
      <scheme val="minor"/>
    </font>
    <font>
      <b/>
      <sz val="10"/>
      <name val="Calibri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8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165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  <xf numFmtId="0" fontId="69" fillId="0" borderId="0"/>
  </cellStyleXfs>
  <cellXfs count="452">
    <xf numFmtId="0" fontId="0" fillId="0" borderId="0" xfId="0"/>
    <xf numFmtId="173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7" fontId="21" fillId="8" borderId="18" xfId="6" applyNumberFormat="1" applyFont="1" applyFill="1" applyBorder="1" applyAlignment="1">
      <alignment horizontal="center"/>
    </xf>
    <xf numFmtId="177" fontId="21" fillId="8" borderId="2" xfId="6" applyNumberFormat="1" applyFont="1" applyFill="1" applyBorder="1" applyAlignment="1">
      <alignment horizontal="center"/>
    </xf>
    <xf numFmtId="177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7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8" fontId="20" fillId="0" borderId="7" xfId="9" applyFont="1" applyBorder="1" applyAlignment="1">
      <alignment horizontal="center"/>
    </xf>
    <xf numFmtId="168" fontId="20" fillId="0" borderId="11" xfId="9" applyFont="1" applyBorder="1" applyAlignment="1">
      <alignment horizontal="center"/>
    </xf>
    <xf numFmtId="168" fontId="20" fillId="0" borderId="1" xfId="9" applyFont="1" applyBorder="1" applyAlignment="1">
      <alignment horizontal="center"/>
    </xf>
    <xf numFmtId="178" fontId="25" fillId="0" borderId="0" xfId="6" applyNumberFormat="1" applyFont="1"/>
    <xf numFmtId="0" fontId="25" fillId="16" borderId="0" xfId="6" applyFont="1" applyFill="1" applyAlignment="1">
      <alignment horizontal="center"/>
    </xf>
    <xf numFmtId="178" fontId="26" fillId="8" borderId="1" xfId="6" applyNumberFormat="1" applyFont="1" applyFill="1" applyBorder="1" applyAlignment="1">
      <alignment horizontal="left"/>
    </xf>
    <xf numFmtId="178" fontId="26" fillId="8" borderId="17" xfId="6" applyNumberFormat="1" applyFont="1" applyFill="1" applyBorder="1" applyAlignment="1">
      <alignment horizontal="left"/>
    </xf>
    <xf numFmtId="178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8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69" fontId="6" fillId="0" borderId="0" xfId="3" applyNumberFormat="1" applyFont="1" applyAlignment="1">
      <alignment horizontal="center" vertical="center"/>
    </xf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9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79" fontId="10" fillId="0" borderId="1" xfId="3" applyNumberFormat="1" applyFont="1" applyBorder="1"/>
    <xf numFmtId="179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79" fontId="10" fillId="0" borderId="28" xfId="0" applyNumberFormat="1" applyFont="1" applyBorder="1"/>
    <xf numFmtId="179" fontId="13" fillId="0" borderId="28" xfId="0" applyNumberFormat="1" applyFont="1" applyBorder="1" applyAlignment="1">
      <alignment horizontal="right"/>
    </xf>
    <xf numFmtId="179" fontId="6" fillId="0" borderId="28" xfId="0" applyNumberFormat="1" applyFont="1" applyBorder="1" applyAlignment="1">
      <alignment horizontal="right" vertical="center"/>
    </xf>
    <xf numFmtId="179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69" fontId="39" fillId="0" borderId="0" xfId="3" applyNumberFormat="1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3" fontId="6" fillId="0" borderId="1" xfId="3" applyNumberFormat="1" applyFont="1" applyBorder="1" applyAlignment="1">
      <alignment horizontal="center"/>
    </xf>
    <xf numFmtId="179" fontId="6" fillId="0" borderId="1" xfId="3" applyNumberFormat="1" applyFont="1" applyBorder="1"/>
    <xf numFmtId="179" fontId="6" fillId="0" borderId="1" xfId="3" applyNumberFormat="1" applyFont="1" applyBorder="1" applyAlignment="1">
      <alignment horizontal="right"/>
    </xf>
    <xf numFmtId="169" fontId="6" fillId="0" borderId="27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79" fontId="6" fillId="0" borderId="28" xfId="3" applyNumberFormat="1" applyFont="1" applyBorder="1"/>
    <xf numFmtId="179" fontId="6" fillId="0" borderId="28" xfId="3" applyNumberFormat="1" applyFont="1" applyBorder="1" applyAlignment="1">
      <alignment horizontal="right"/>
    </xf>
    <xf numFmtId="169" fontId="6" fillId="0" borderId="9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69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3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8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0" fontId="0" fillId="24" borderId="0" xfId="0" applyFill="1"/>
    <xf numFmtId="40" fontId="7" fillId="24" borderId="0" xfId="3" applyNumberFormat="1" applyFont="1" applyFill="1" applyAlignment="1">
      <alignment horizontal="right" vertical="center"/>
    </xf>
    <xf numFmtId="169" fontId="6" fillId="25" borderId="1" xfId="3" applyNumberFormat="1" applyFont="1" applyFill="1" applyBorder="1" applyAlignment="1">
      <alignment horizontal="center" vertical="center"/>
    </xf>
    <xf numFmtId="172" fontId="10" fillId="0" borderId="0" xfId="3" applyNumberFormat="1" applyFont="1" applyAlignment="1">
      <alignment horizontal="center"/>
    </xf>
    <xf numFmtId="173" fontId="6" fillId="0" borderId="28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79" fontId="10" fillId="0" borderId="1" xfId="3" applyNumberFormat="1" applyFont="1" applyBorder="1" applyAlignment="1">
      <alignment horizontal="right"/>
    </xf>
    <xf numFmtId="179" fontId="10" fillId="0" borderId="1" xfId="3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179" fontId="10" fillId="0" borderId="0" xfId="0" applyNumberFormat="1" applyFont="1"/>
    <xf numFmtId="179" fontId="13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 vertical="center"/>
    </xf>
    <xf numFmtId="40" fontId="6" fillId="24" borderId="0" xfId="3" applyNumberFormat="1" applyFont="1" applyFill="1" applyAlignment="1">
      <alignment horizontal="right" vertic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173" fontId="6" fillId="25" borderId="1" xfId="3" applyNumberFormat="1" applyFont="1" applyFill="1" applyBorder="1" applyAlignment="1">
      <alignment horizontal="center"/>
    </xf>
    <xf numFmtId="169" fontId="6" fillId="0" borderId="9" xfId="3" applyNumberFormat="1" applyFont="1" applyBorder="1" applyAlignment="1">
      <alignment horizontal="center" vertical="center"/>
    </xf>
    <xf numFmtId="172" fontId="6" fillId="0" borderId="1" xfId="3" applyNumberFormat="1" applyFont="1" applyBorder="1" applyAlignment="1">
      <alignment horizontal="center" vertical="center"/>
    </xf>
    <xf numFmtId="173" fontId="6" fillId="0" borderId="28" xfId="3" applyNumberFormat="1" applyFont="1" applyBorder="1" applyAlignment="1">
      <alignment horizontal="center" vertical="center"/>
    </xf>
    <xf numFmtId="170" fontId="10" fillId="0" borderId="0" xfId="3" applyNumberFormat="1" applyFont="1" applyAlignment="1">
      <alignment horizontal="center"/>
    </xf>
    <xf numFmtId="171" fontId="10" fillId="0" borderId="0" xfId="3" applyNumberFormat="1" applyFont="1" applyAlignment="1">
      <alignment horizontal="center"/>
    </xf>
    <xf numFmtId="169" fontId="42" fillId="0" borderId="0" xfId="3" applyNumberFormat="1" applyFont="1" applyAlignment="1">
      <alignment horizontal="center" vertical="center"/>
    </xf>
    <xf numFmtId="170" fontId="42" fillId="0" borderId="0" xfId="3" applyNumberFormat="1" applyFont="1" applyAlignment="1">
      <alignment horizontal="center" vertical="center"/>
    </xf>
    <xf numFmtId="171" fontId="42" fillId="0" borderId="0" xfId="3" applyNumberFormat="1" applyFont="1" applyAlignment="1">
      <alignment horizontal="center" vertical="center"/>
    </xf>
    <xf numFmtId="172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horizontal="right" vertical="center"/>
    </xf>
    <xf numFmtId="40" fontId="43" fillId="0" borderId="0" xfId="3" applyNumberFormat="1" applyFont="1" applyAlignment="1">
      <alignment vertical="center"/>
    </xf>
    <xf numFmtId="0" fontId="42" fillId="0" borderId="0" xfId="3" applyFont="1" applyAlignment="1">
      <alignment horizontal="center" vertical="center"/>
    </xf>
    <xf numFmtId="171" fontId="6" fillId="0" borderId="1" xfId="3" applyNumberFormat="1" applyFont="1" applyBorder="1" applyAlignment="1">
      <alignment horizontal="center" vertical="center"/>
    </xf>
    <xf numFmtId="169" fontId="47" fillId="0" borderId="0" xfId="3" applyNumberFormat="1" applyFont="1" applyAlignment="1">
      <alignment horizontal="center" vertical="center"/>
    </xf>
    <xf numFmtId="170" fontId="47" fillId="0" borderId="0" xfId="3" applyNumberFormat="1" applyFont="1" applyAlignment="1">
      <alignment horizontal="center" vertical="center"/>
    </xf>
    <xf numFmtId="171" fontId="47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7" fillId="0" borderId="0" xfId="3" applyFont="1" applyAlignment="1">
      <alignment horizontal="center" vertical="center"/>
    </xf>
    <xf numFmtId="173" fontId="47" fillId="0" borderId="0" xfId="3" applyNumberFormat="1" applyFont="1" applyAlignment="1">
      <alignment horizontal="center" vertical="center"/>
    </xf>
    <xf numFmtId="40" fontId="48" fillId="0" borderId="0" xfId="3" applyNumberFormat="1" applyFont="1" applyAlignment="1">
      <alignment horizontal="right" vertical="center"/>
    </xf>
    <xf numFmtId="40" fontId="48" fillId="0" borderId="0" xfId="3" applyNumberFormat="1" applyFont="1" applyAlignment="1">
      <alignment vertical="center"/>
    </xf>
    <xf numFmtId="40" fontId="48" fillId="0" borderId="0" xfId="3" applyNumberFormat="1" applyFont="1" applyAlignment="1">
      <alignment horizontal="center" vertical="center"/>
    </xf>
    <xf numFmtId="169" fontId="49" fillId="0" borderId="9" xfId="3" applyNumberFormat="1" applyFont="1" applyBorder="1" applyAlignment="1">
      <alignment horizontal="center"/>
    </xf>
    <xf numFmtId="171" fontId="49" fillId="0" borderId="1" xfId="3" applyNumberFormat="1" applyFont="1" applyBorder="1" applyAlignment="1">
      <alignment horizontal="center"/>
    </xf>
    <xf numFmtId="172" fontId="49" fillId="0" borderId="1" xfId="3" applyNumberFormat="1" applyFont="1" applyBorder="1" applyAlignment="1">
      <alignment horizontal="center"/>
    </xf>
    <xf numFmtId="0" fontId="49" fillId="0" borderId="1" xfId="3" applyFont="1" applyBorder="1" applyAlignment="1">
      <alignment horizontal="center"/>
    </xf>
    <xf numFmtId="173" fontId="49" fillId="0" borderId="1" xfId="3" applyNumberFormat="1" applyFont="1" applyBorder="1" applyAlignment="1">
      <alignment horizontal="center"/>
    </xf>
    <xf numFmtId="179" fontId="49" fillId="0" borderId="1" xfId="3" applyNumberFormat="1" applyFont="1" applyBorder="1"/>
    <xf numFmtId="179" fontId="49" fillId="0" borderId="1" xfId="3" applyNumberFormat="1" applyFont="1" applyBorder="1" applyAlignment="1">
      <alignment horizontal="right"/>
    </xf>
    <xf numFmtId="179" fontId="49" fillId="0" borderId="1" xfId="3" applyNumberFormat="1" applyFont="1" applyBorder="1" applyAlignment="1">
      <alignment horizontal="right" vertical="center"/>
    </xf>
    <xf numFmtId="40" fontId="49" fillId="0" borderId="13" xfId="3" applyNumberFormat="1" applyFont="1" applyBorder="1" applyAlignment="1">
      <alignment horizontal="right" vertical="center"/>
    </xf>
    <xf numFmtId="171" fontId="49" fillId="0" borderId="28" xfId="3" applyNumberFormat="1" applyFont="1" applyBorder="1" applyAlignment="1">
      <alignment horizontal="center"/>
    </xf>
    <xf numFmtId="172" fontId="49" fillId="0" borderId="28" xfId="3" applyNumberFormat="1" applyFont="1" applyBorder="1" applyAlignment="1">
      <alignment horizontal="center"/>
    </xf>
    <xf numFmtId="0" fontId="49" fillId="0" borderId="28" xfId="3" applyFont="1" applyBorder="1" applyAlignment="1">
      <alignment horizontal="center"/>
    </xf>
    <xf numFmtId="173" fontId="49" fillId="0" borderId="28" xfId="3" applyNumberFormat="1" applyFont="1" applyBorder="1" applyAlignment="1">
      <alignment horizontal="center"/>
    </xf>
    <xf numFmtId="179" fontId="49" fillId="0" borderId="28" xfId="3" applyNumberFormat="1" applyFont="1" applyBorder="1"/>
    <xf numFmtId="179" fontId="49" fillId="0" borderId="28" xfId="3" applyNumberFormat="1" applyFont="1" applyBorder="1" applyAlignment="1">
      <alignment horizontal="right"/>
    </xf>
    <xf numFmtId="179" fontId="49" fillId="0" borderId="28" xfId="3" applyNumberFormat="1" applyFont="1" applyBorder="1" applyAlignment="1">
      <alignment horizontal="right" vertical="center"/>
    </xf>
    <xf numFmtId="40" fontId="49" fillId="0" borderId="29" xfId="3" applyNumberFormat="1" applyFont="1" applyBorder="1" applyAlignment="1">
      <alignment horizontal="right" vertical="center"/>
    </xf>
    <xf numFmtId="169" fontId="50" fillId="0" borderId="0" xfId="3" applyNumberFormat="1" applyFont="1" applyAlignment="1">
      <alignment horizontal="center" vertical="center"/>
    </xf>
    <xf numFmtId="170" fontId="50" fillId="0" borderId="0" xfId="3" applyNumberFormat="1" applyFont="1" applyAlignment="1">
      <alignment horizontal="center" vertical="center"/>
    </xf>
    <xf numFmtId="171" fontId="50" fillId="0" borderId="0" xfId="3" applyNumberFormat="1" applyFont="1" applyAlignment="1">
      <alignment horizontal="center" vertical="center"/>
    </xf>
    <xf numFmtId="172" fontId="50" fillId="0" borderId="0" xfId="3" applyNumberFormat="1" applyFont="1" applyAlignment="1">
      <alignment horizontal="center" vertical="center"/>
    </xf>
    <xf numFmtId="173" fontId="50" fillId="0" borderId="0" xfId="3" applyNumberFormat="1" applyFont="1" applyAlignment="1">
      <alignment horizontal="center" vertical="center"/>
    </xf>
    <xf numFmtId="0" fontId="50" fillId="0" borderId="0" xfId="3" applyFont="1" applyAlignment="1">
      <alignment horizontal="left" vertical="center"/>
    </xf>
    <xf numFmtId="40" fontId="51" fillId="0" borderId="0" xfId="3" applyNumberFormat="1" applyFont="1" applyAlignment="1">
      <alignment horizontal="right" vertical="center"/>
    </xf>
    <xf numFmtId="40" fontId="51" fillId="0" borderId="0" xfId="3" applyNumberFormat="1" applyFont="1" applyAlignment="1">
      <alignment vertical="center"/>
    </xf>
    <xf numFmtId="40" fontId="51" fillId="0" borderId="0" xfId="3" applyNumberFormat="1" applyFont="1" applyAlignment="1">
      <alignment horizontal="center" vertical="center"/>
    </xf>
    <xf numFmtId="0" fontId="50" fillId="0" borderId="0" xfId="3" applyFont="1" applyAlignment="1">
      <alignment horizontal="center" vertical="center"/>
    </xf>
    <xf numFmtId="169" fontId="50" fillId="0" borderId="9" xfId="3" applyNumberFormat="1" applyFont="1" applyBorder="1" applyAlignment="1">
      <alignment horizontal="center"/>
    </xf>
    <xf numFmtId="171" fontId="50" fillId="0" borderId="1" xfId="3" applyNumberFormat="1" applyFont="1" applyBorder="1" applyAlignment="1">
      <alignment horizontal="center"/>
    </xf>
    <xf numFmtId="172" fontId="50" fillId="0" borderId="1" xfId="3" applyNumberFormat="1" applyFont="1" applyBorder="1" applyAlignment="1">
      <alignment horizontal="center"/>
    </xf>
    <xf numFmtId="179" fontId="50" fillId="0" borderId="1" xfId="3" applyNumberFormat="1" applyFont="1" applyBorder="1"/>
    <xf numFmtId="179" fontId="50" fillId="0" borderId="1" xfId="3" applyNumberFormat="1" applyFont="1" applyBorder="1" applyAlignment="1">
      <alignment horizontal="right"/>
    </xf>
    <xf numFmtId="179" fontId="50" fillId="0" borderId="1" xfId="3" applyNumberFormat="1" applyFont="1" applyBorder="1" applyAlignment="1">
      <alignment horizontal="right" vertical="center"/>
    </xf>
    <xf numFmtId="40" fontId="50" fillId="0" borderId="13" xfId="3" applyNumberFormat="1" applyFont="1" applyBorder="1" applyAlignment="1">
      <alignment horizontal="right" vertical="center"/>
    </xf>
    <xf numFmtId="173" fontId="52" fillId="0" borderId="1" xfId="3" applyNumberFormat="1" applyFont="1" applyBorder="1" applyAlignment="1">
      <alignment horizontal="center"/>
    </xf>
    <xf numFmtId="179" fontId="52" fillId="0" borderId="1" xfId="3" applyNumberFormat="1" applyFont="1" applyBorder="1" applyAlignment="1">
      <alignment horizontal="right"/>
    </xf>
    <xf numFmtId="179" fontId="52" fillId="0" borderId="1" xfId="3" applyNumberFormat="1" applyFont="1" applyBorder="1" applyAlignment="1">
      <alignment horizontal="right" vertical="center"/>
    </xf>
    <xf numFmtId="173" fontId="6" fillId="0" borderId="1" xfId="3" applyNumberFormat="1" applyFont="1" applyBorder="1" applyAlignment="1">
      <alignment horizontal="left"/>
    </xf>
    <xf numFmtId="173" fontId="50" fillId="0" borderId="1" xfId="3" applyNumberFormat="1" applyFont="1" applyBorder="1" applyAlignment="1">
      <alignment horizontal="left"/>
    </xf>
    <xf numFmtId="173" fontId="50" fillId="0" borderId="1" xfId="3" applyNumberFormat="1" applyFont="1" applyBorder="1" applyAlignment="1">
      <alignment horizontal="center"/>
    </xf>
    <xf numFmtId="169" fontId="50" fillId="0" borderId="27" xfId="3" applyNumberFormat="1" applyFont="1" applyBorder="1" applyAlignment="1">
      <alignment horizontal="center"/>
    </xf>
    <xf numFmtId="173" fontId="50" fillId="0" borderId="28" xfId="3" applyNumberFormat="1" applyFont="1" applyBorder="1" applyAlignment="1">
      <alignment horizontal="center"/>
    </xf>
    <xf numFmtId="179" fontId="50" fillId="0" borderId="28" xfId="3" applyNumberFormat="1" applyFont="1" applyBorder="1" applyAlignment="1">
      <alignment horizontal="right"/>
    </xf>
    <xf numFmtId="179" fontId="50" fillId="0" borderId="28" xfId="3" applyNumberFormat="1" applyFont="1" applyBorder="1" applyAlignment="1">
      <alignment horizontal="right" vertical="center"/>
    </xf>
    <xf numFmtId="40" fontId="50" fillId="0" borderId="29" xfId="3" applyNumberFormat="1" applyFont="1" applyBorder="1" applyAlignment="1">
      <alignment horizontal="right" vertical="center"/>
    </xf>
    <xf numFmtId="4" fontId="6" fillId="0" borderId="0" xfId="3" applyNumberFormat="1" applyFont="1" applyAlignment="1">
      <alignment horizontal="right" vertical="center"/>
    </xf>
    <xf numFmtId="172" fontId="6" fillId="0" borderId="0" xfId="0" applyNumberFormat="1" applyFont="1" applyAlignment="1">
      <alignment horizontal="center" vertical="center"/>
    </xf>
    <xf numFmtId="169" fontId="53" fillId="0" borderId="9" xfId="3" applyNumberFormat="1" applyFont="1" applyBorder="1" applyAlignment="1">
      <alignment horizontal="center"/>
    </xf>
    <xf numFmtId="170" fontId="53" fillId="0" borderId="1" xfId="3" applyNumberFormat="1" applyFont="1" applyBorder="1" applyAlignment="1">
      <alignment horizontal="center"/>
    </xf>
    <xf numFmtId="171" fontId="53" fillId="0" borderId="1" xfId="3" applyNumberFormat="1" applyFont="1" applyBorder="1" applyAlignment="1">
      <alignment horizontal="center"/>
    </xf>
    <xf numFmtId="172" fontId="53" fillId="0" borderId="1" xfId="3" applyNumberFormat="1" applyFont="1" applyBorder="1" applyAlignment="1">
      <alignment horizontal="center"/>
    </xf>
    <xf numFmtId="0" fontId="53" fillId="0" borderId="1" xfId="3" applyFont="1" applyBorder="1" applyAlignment="1">
      <alignment horizontal="center"/>
    </xf>
    <xf numFmtId="173" fontId="53" fillId="0" borderId="1" xfId="3" applyNumberFormat="1" applyFont="1" applyBorder="1" applyAlignment="1">
      <alignment horizontal="center"/>
    </xf>
    <xf numFmtId="179" fontId="53" fillId="0" borderId="1" xfId="3" applyNumberFormat="1" applyFont="1" applyBorder="1"/>
    <xf numFmtId="179" fontId="53" fillId="0" borderId="1" xfId="3" applyNumberFormat="1" applyFont="1" applyBorder="1" applyAlignment="1">
      <alignment horizontal="right"/>
    </xf>
    <xf numFmtId="179" fontId="53" fillId="0" borderId="1" xfId="3" applyNumberFormat="1" applyFont="1" applyBorder="1" applyAlignment="1">
      <alignment horizontal="right" vertical="center"/>
    </xf>
    <xf numFmtId="40" fontId="53" fillId="0" borderId="13" xfId="3" applyNumberFormat="1" applyFont="1" applyBorder="1" applyAlignment="1">
      <alignment horizontal="right" vertical="center"/>
    </xf>
    <xf numFmtId="169" fontId="53" fillId="0" borderId="27" xfId="3" applyNumberFormat="1" applyFont="1" applyBorder="1" applyAlignment="1">
      <alignment horizontal="center"/>
    </xf>
    <xf numFmtId="171" fontId="53" fillId="0" borderId="28" xfId="3" applyNumberFormat="1" applyFont="1" applyBorder="1" applyAlignment="1">
      <alignment horizontal="center"/>
    </xf>
    <xf numFmtId="172" fontId="53" fillId="0" borderId="28" xfId="3" applyNumberFormat="1" applyFont="1" applyBorder="1" applyAlignment="1">
      <alignment horizontal="center"/>
    </xf>
    <xf numFmtId="0" fontId="53" fillId="0" borderId="28" xfId="3" applyFont="1" applyBorder="1" applyAlignment="1">
      <alignment horizontal="center"/>
    </xf>
    <xf numFmtId="173" fontId="53" fillId="0" borderId="28" xfId="3" applyNumberFormat="1" applyFont="1" applyBorder="1" applyAlignment="1">
      <alignment horizontal="center"/>
    </xf>
    <xf numFmtId="179" fontId="53" fillId="0" borderId="28" xfId="3" applyNumberFormat="1" applyFont="1" applyBorder="1"/>
    <xf numFmtId="179" fontId="53" fillId="0" borderId="28" xfId="3" applyNumberFormat="1" applyFont="1" applyBorder="1" applyAlignment="1">
      <alignment horizontal="right"/>
    </xf>
    <xf numFmtId="179" fontId="53" fillId="0" borderId="28" xfId="3" applyNumberFormat="1" applyFont="1" applyBorder="1" applyAlignment="1">
      <alignment horizontal="right" vertical="center"/>
    </xf>
    <xf numFmtId="40" fontId="53" fillId="0" borderId="29" xfId="3" applyNumberFormat="1" applyFont="1" applyBorder="1" applyAlignment="1">
      <alignment horizontal="right" vertical="center"/>
    </xf>
    <xf numFmtId="169" fontId="53" fillId="0" borderId="0" xfId="3" applyNumberFormat="1" applyFont="1" applyAlignment="1">
      <alignment horizontal="center" vertical="center"/>
    </xf>
    <xf numFmtId="170" fontId="53" fillId="0" borderId="0" xfId="3" applyNumberFormat="1" applyFont="1" applyAlignment="1">
      <alignment horizontal="center" vertical="center"/>
    </xf>
    <xf numFmtId="171" fontId="53" fillId="0" borderId="0" xfId="3" applyNumberFormat="1" applyFont="1" applyAlignment="1">
      <alignment horizontal="center" vertical="center"/>
    </xf>
    <xf numFmtId="172" fontId="53" fillId="0" borderId="0" xfId="3" applyNumberFormat="1" applyFont="1" applyAlignment="1">
      <alignment horizontal="center" vertical="center"/>
    </xf>
    <xf numFmtId="173" fontId="53" fillId="0" borderId="0" xfId="3" applyNumberFormat="1" applyFont="1" applyAlignment="1">
      <alignment horizontal="center" vertical="center"/>
    </xf>
    <xf numFmtId="0" fontId="53" fillId="0" borderId="0" xfId="3" applyFont="1" applyAlignment="1">
      <alignment horizontal="left" vertical="center"/>
    </xf>
    <xf numFmtId="40" fontId="54" fillId="0" borderId="0" xfId="3" applyNumberFormat="1" applyFont="1" applyAlignment="1">
      <alignment horizontal="right" vertical="center"/>
    </xf>
    <xf numFmtId="180" fontId="54" fillId="0" borderId="0" xfId="3" applyNumberFormat="1" applyFont="1" applyAlignment="1">
      <alignment vertical="center"/>
    </xf>
    <xf numFmtId="40" fontId="54" fillId="0" borderId="0" xfId="3" applyNumberFormat="1" applyFont="1" applyAlignment="1">
      <alignment vertical="center"/>
    </xf>
    <xf numFmtId="0" fontId="53" fillId="0" borderId="0" xfId="3" applyFont="1" applyAlignment="1">
      <alignment horizontal="center" vertical="center"/>
    </xf>
    <xf numFmtId="40" fontId="54" fillId="0" borderId="0" xfId="3" applyNumberFormat="1" applyFont="1" applyAlignment="1">
      <alignment horizontal="center" vertical="center"/>
    </xf>
    <xf numFmtId="0" fontId="55" fillId="0" borderId="0" xfId="3" applyFont="1" applyAlignment="1">
      <alignment horizontal="left"/>
    </xf>
    <xf numFmtId="4" fontId="55" fillId="0" borderId="0" xfId="3" applyNumberFormat="1" applyFont="1" applyAlignment="1">
      <alignment horizontal="right" vertical="center"/>
    </xf>
    <xf numFmtId="0" fontId="55" fillId="0" borderId="0" xfId="3" applyFont="1" applyAlignment="1">
      <alignment horizontal="center" vertical="center"/>
    </xf>
    <xf numFmtId="40" fontId="40" fillId="24" borderId="0" xfId="3" applyNumberFormat="1" applyFont="1" applyFill="1" applyAlignment="1">
      <alignment horizontal="center" vertical="center"/>
    </xf>
    <xf numFmtId="40" fontId="7" fillId="24" borderId="0" xfId="3" applyNumberFormat="1" applyFont="1" applyFill="1" applyAlignment="1">
      <alignment horizontal="center" vertical="center"/>
    </xf>
    <xf numFmtId="40" fontId="54" fillId="24" borderId="0" xfId="3" applyNumberFormat="1" applyFont="1" applyFill="1" applyAlignment="1">
      <alignment horizontal="center" vertical="center"/>
    </xf>
    <xf numFmtId="173" fontId="55" fillId="0" borderId="0" xfId="3" applyNumberFormat="1" applyFont="1" applyAlignment="1">
      <alignment horizontal="center"/>
    </xf>
    <xf numFmtId="169" fontId="53" fillId="0" borderId="25" xfId="3" applyNumberFormat="1" applyFont="1" applyBorder="1" applyAlignment="1">
      <alignment horizontal="center"/>
    </xf>
    <xf numFmtId="172" fontId="55" fillId="0" borderId="0" xfId="3" applyNumberFormat="1" applyFont="1" applyAlignment="1">
      <alignment horizontal="center"/>
    </xf>
    <xf numFmtId="173" fontId="53" fillId="0" borderId="1" xfId="3" applyNumberFormat="1" applyFont="1" applyBorder="1" applyAlignment="1">
      <alignment horizontal="left"/>
    </xf>
    <xf numFmtId="169" fontId="6" fillId="24" borderId="0" xfId="3" applyNumberFormat="1" applyFont="1" applyFill="1" applyAlignment="1">
      <alignment horizontal="center" vertical="center"/>
    </xf>
    <xf numFmtId="171" fontId="6" fillId="24" borderId="0" xfId="3" applyNumberFormat="1" applyFont="1" applyFill="1" applyAlignment="1">
      <alignment horizontal="center" vertical="center"/>
    </xf>
    <xf numFmtId="170" fontId="6" fillId="24" borderId="0" xfId="3" applyNumberFormat="1" applyFont="1" applyFill="1" applyAlignment="1">
      <alignment horizontal="center" vertical="center"/>
    </xf>
    <xf numFmtId="172" fontId="6" fillId="24" borderId="0" xfId="3" applyNumberFormat="1" applyFont="1" applyFill="1" applyAlignment="1">
      <alignment horizontal="center" vertical="center"/>
    </xf>
    <xf numFmtId="173" fontId="6" fillId="24" borderId="0" xfId="3" applyNumberFormat="1" applyFont="1" applyFill="1" applyAlignment="1">
      <alignment horizontal="center" vertical="center"/>
    </xf>
    <xf numFmtId="0" fontId="6" fillId="24" borderId="0" xfId="3" applyFont="1" applyFill="1" applyAlignment="1">
      <alignment horizontal="left" vertical="center"/>
    </xf>
    <xf numFmtId="40" fontId="7" fillId="24" borderId="0" xfId="3" applyNumberFormat="1" applyFont="1" applyFill="1" applyAlignment="1">
      <alignment vertical="center"/>
    </xf>
    <xf numFmtId="0" fontId="6" fillId="24" borderId="0" xfId="3" applyFont="1" applyFill="1" applyAlignment="1">
      <alignment horizontal="center" vertical="center"/>
    </xf>
    <xf numFmtId="169" fontId="39" fillId="24" borderId="0" xfId="3" applyNumberFormat="1" applyFont="1" applyFill="1" applyAlignment="1">
      <alignment horizontal="center" vertical="center"/>
    </xf>
    <xf numFmtId="171" fontId="39" fillId="24" borderId="0" xfId="3" applyNumberFormat="1" applyFont="1" applyFill="1" applyAlignment="1">
      <alignment horizontal="center" vertical="center"/>
    </xf>
    <xf numFmtId="172" fontId="39" fillId="24" borderId="0" xfId="3" applyNumberFormat="1" applyFont="1" applyFill="1" applyAlignment="1">
      <alignment horizontal="center" vertical="center"/>
    </xf>
    <xf numFmtId="173" fontId="39" fillId="24" borderId="0" xfId="3" applyNumberFormat="1" applyFont="1" applyFill="1" applyAlignment="1">
      <alignment horizontal="center" vertical="center"/>
    </xf>
    <xf numFmtId="0" fontId="39" fillId="24" borderId="0" xfId="3" applyFont="1" applyFill="1" applyAlignment="1">
      <alignment horizontal="left" vertical="center"/>
    </xf>
    <xf numFmtId="40" fontId="40" fillId="24" borderId="0" xfId="3" applyNumberFormat="1" applyFont="1" applyFill="1" applyAlignment="1">
      <alignment horizontal="right" vertical="center"/>
    </xf>
    <xf numFmtId="40" fontId="40" fillId="24" borderId="0" xfId="3" applyNumberFormat="1" applyFont="1" applyFill="1" applyAlignment="1">
      <alignment vertical="center"/>
    </xf>
    <xf numFmtId="40" fontId="51" fillId="24" borderId="0" xfId="3" applyNumberFormat="1" applyFont="1" applyFill="1" applyAlignment="1">
      <alignment vertical="center"/>
    </xf>
    <xf numFmtId="0" fontId="39" fillId="24" borderId="0" xfId="3" applyFont="1" applyFill="1" applyAlignment="1">
      <alignment horizontal="center" vertical="center"/>
    </xf>
    <xf numFmtId="0" fontId="0" fillId="24" borderId="0" xfId="0" applyFill="1" applyAlignment="1">
      <alignment vertical="center"/>
    </xf>
    <xf numFmtId="169" fontId="50" fillId="24" borderId="0" xfId="3" applyNumberFormat="1" applyFont="1" applyFill="1" applyAlignment="1">
      <alignment horizontal="center" vertical="center"/>
    </xf>
    <xf numFmtId="171" fontId="50" fillId="24" borderId="0" xfId="3" applyNumberFormat="1" applyFont="1" applyFill="1" applyAlignment="1">
      <alignment horizontal="center" vertical="center"/>
    </xf>
    <xf numFmtId="172" fontId="50" fillId="24" borderId="0" xfId="3" applyNumberFormat="1" applyFont="1" applyFill="1" applyAlignment="1">
      <alignment horizontal="center" vertical="center"/>
    </xf>
    <xf numFmtId="173" fontId="50" fillId="24" borderId="0" xfId="3" applyNumberFormat="1" applyFont="1" applyFill="1" applyAlignment="1">
      <alignment horizontal="center" vertical="center"/>
    </xf>
    <xf numFmtId="0" fontId="50" fillId="24" borderId="0" xfId="3" applyFont="1" applyFill="1" applyAlignment="1">
      <alignment horizontal="left" vertical="center"/>
    </xf>
    <xf numFmtId="40" fontId="51" fillId="24" borderId="0" xfId="3" applyNumberFormat="1" applyFont="1" applyFill="1" applyAlignment="1">
      <alignment horizontal="right" vertical="center"/>
    </xf>
    <xf numFmtId="40" fontId="51" fillId="24" borderId="0" xfId="3" applyNumberFormat="1" applyFont="1" applyFill="1" applyAlignment="1">
      <alignment horizontal="center" vertical="center"/>
    </xf>
    <xf numFmtId="0" fontId="50" fillId="24" borderId="0" xfId="3" applyFont="1" applyFill="1" applyAlignment="1">
      <alignment horizontal="center" vertical="center"/>
    </xf>
    <xf numFmtId="4" fontId="0" fillId="0" borderId="0" xfId="0" applyNumberFormat="1"/>
    <xf numFmtId="0" fontId="36" fillId="0" borderId="0" xfId="0" applyFont="1" applyAlignment="1">
      <alignment horizontal="right" vertical="center"/>
    </xf>
    <xf numFmtId="4" fontId="53" fillId="0" borderId="0" xfId="3" applyNumberFormat="1" applyFont="1" applyAlignment="1">
      <alignment horizontal="right" vertical="center"/>
    </xf>
    <xf numFmtId="0" fontId="3" fillId="22" borderId="34" xfId="0" applyFont="1" applyFill="1" applyBorder="1" applyAlignment="1">
      <alignment horizontal="center" vertical="center"/>
    </xf>
    <xf numFmtId="40" fontId="46" fillId="24" borderId="0" xfId="3" applyNumberFormat="1" applyFont="1" applyFill="1" applyAlignment="1">
      <alignment horizontal="center" vertical="center"/>
    </xf>
    <xf numFmtId="169" fontId="45" fillId="24" borderId="0" xfId="3" applyNumberFormat="1" applyFont="1" applyFill="1" applyAlignment="1">
      <alignment horizontal="center" vertical="center"/>
    </xf>
    <xf numFmtId="170" fontId="45" fillId="24" borderId="0" xfId="3" applyNumberFormat="1" applyFont="1" applyFill="1" applyAlignment="1">
      <alignment horizontal="center" vertical="center"/>
    </xf>
    <xf numFmtId="171" fontId="45" fillId="24" borderId="0" xfId="3" applyNumberFormat="1" applyFont="1" applyFill="1" applyAlignment="1">
      <alignment horizontal="center" vertical="center"/>
    </xf>
    <xf numFmtId="173" fontId="45" fillId="24" borderId="0" xfId="3" applyNumberFormat="1" applyFont="1" applyFill="1" applyAlignment="1">
      <alignment horizontal="center" vertical="center"/>
    </xf>
    <xf numFmtId="0" fontId="45" fillId="24" borderId="0" xfId="3" applyFont="1" applyFill="1" applyAlignment="1">
      <alignment horizontal="left" vertical="center"/>
    </xf>
    <xf numFmtId="40" fontId="46" fillId="24" borderId="0" xfId="3" applyNumberFormat="1" applyFont="1" applyFill="1" applyAlignment="1">
      <alignment horizontal="right" vertical="center"/>
    </xf>
    <xf numFmtId="40" fontId="46" fillId="24" borderId="0" xfId="3" applyNumberFormat="1" applyFont="1" applyFill="1" applyAlignment="1">
      <alignment vertical="center"/>
    </xf>
    <xf numFmtId="0" fontId="45" fillId="24" borderId="0" xfId="3" applyFont="1" applyFill="1" applyAlignment="1">
      <alignment horizontal="center" vertical="center"/>
    </xf>
    <xf numFmtId="169" fontId="53" fillId="24" borderId="0" xfId="3" applyNumberFormat="1" applyFont="1" applyFill="1" applyAlignment="1">
      <alignment horizontal="center" vertical="center"/>
    </xf>
    <xf numFmtId="170" fontId="53" fillId="24" borderId="0" xfId="3" applyNumberFormat="1" applyFont="1" applyFill="1" applyAlignment="1">
      <alignment horizontal="center" vertical="center"/>
    </xf>
    <xf numFmtId="171" fontId="53" fillId="24" borderId="0" xfId="3" applyNumberFormat="1" applyFont="1" applyFill="1" applyAlignment="1">
      <alignment horizontal="center" vertical="center"/>
    </xf>
    <xf numFmtId="172" fontId="53" fillId="24" borderId="0" xfId="3" applyNumberFormat="1" applyFont="1" applyFill="1" applyAlignment="1">
      <alignment horizontal="center" vertical="center"/>
    </xf>
    <xf numFmtId="173" fontId="53" fillId="24" borderId="0" xfId="3" applyNumberFormat="1" applyFont="1" applyFill="1" applyAlignment="1">
      <alignment horizontal="center" vertical="center"/>
    </xf>
    <xf numFmtId="0" fontId="53" fillId="24" borderId="0" xfId="3" applyFont="1" applyFill="1" applyAlignment="1">
      <alignment horizontal="left" vertical="center"/>
    </xf>
    <xf numFmtId="40" fontId="54" fillId="24" borderId="0" xfId="3" applyNumberFormat="1" applyFont="1" applyFill="1" applyAlignment="1">
      <alignment horizontal="right" vertical="center"/>
    </xf>
    <xf numFmtId="40" fontId="54" fillId="24" borderId="0" xfId="3" applyNumberFormat="1" applyFont="1" applyFill="1" applyAlignment="1">
      <alignment vertical="center"/>
    </xf>
    <xf numFmtId="0" fontId="53" fillId="24" borderId="0" xfId="3" applyFont="1" applyFill="1" applyAlignment="1">
      <alignment horizontal="center" vertical="center"/>
    </xf>
    <xf numFmtId="0" fontId="56" fillId="6" borderId="0" xfId="3" applyFont="1" applyFill="1" applyAlignment="1">
      <alignment horizontal="center" vertical="center" wrapText="1"/>
    </xf>
    <xf numFmtId="0" fontId="57" fillId="6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left" vertical="center"/>
    </xf>
    <xf numFmtId="40" fontId="58" fillId="6" borderId="0" xfId="0" applyNumberFormat="1" applyFont="1" applyFill="1" applyAlignment="1">
      <alignment horizontal="right" vertical="center"/>
    </xf>
    <xf numFmtId="14" fontId="59" fillId="6" borderId="31" xfId="3" applyNumberFormat="1" applyFont="1" applyFill="1" applyBorder="1" applyAlignment="1">
      <alignment horizontal="center" vertical="center"/>
    </xf>
    <xf numFmtId="14" fontId="59" fillId="6" borderId="30" xfId="3" applyNumberFormat="1" applyFont="1" applyFill="1" applyBorder="1" applyAlignment="1">
      <alignment horizontal="center" vertical="center"/>
    </xf>
    <xf numFmtId="0" fontId="60" fillId="6" borderId="30" xfId="0" applyFont="1" applyFill="1" applyBorder="1" applyAlignment="1">
      <alignment horizontal="center" vertical="center"/>
    </xf>
    <xf numFmtId="0" fontId="60" fillId="6" borderId="32" xfId="0" applyFont="1" applyFill="1" applyBorder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0" fontId="61" fillId="6" borderId="0" xfId="0" applyFont="1" applyFill="1" applyAlignment="1">
      <alignment horizontal="center"/>
    </xf>
    <xf numFmtId="4" fontId="61" fillId="6" borderId="0" xfId="0" applyNumberFormat="1" applyFont="1" applyFill="1" applyAlignment="1">
      <alignment horizontal="right" vertical="center"/>
    </xf>
    <xf numFmtId="0" fontId="56" fillId="6" borderId="0" xfId="3" applyFont="1" applyFill="1" applyAlignment="1">
      <alignment horizontal="center" vertical="center"/>
    </xf>
    <xf numFmtId="4" fontId="56" fillId="6" borderId="0" xfId="3" applyNumberFormat="1" applyFont="1" applyFill="1" applyAlignment="1">
      <alignment horizontal="center" vertical="center"/>
    </xf>
    <xf numFmtId="0" fontId="62" fillId="6" borderId="0" xfId="0" applyFont="1" applyFill="1" applyAlignment="1">
      <alignment horizontal="center" vertical="center"/>
    </xf>
    <xf numFmtId="0" fontId="62" fillId="6" borderId="0" xfId="0" applyFont="1" applyFill="1" applyAlignment="1">
      <alignment horizontal="left" vertical="center"/>
    </xf>
    <xf numFmtId="4" fontId="62" fillId="6" borderId="0" xfId="0" applyNumberFormat="1" applyFont="1" applyFill="1" applyAlignment="1">
      <alignment horizontal="right" vertical="center"/>
    </xf>
    <xf numFmtId="0" fontId="0" fillId="0" borderId="0" xfId="0" applyAlignment="1">
      <alignment horizontal="right"/>
    </xf>
    <xf numFmtId="0" fontId="60" fillId="6" borderId="34" xfId="0" applyFont="1" applyFill="1" applyBorder="1" applyAlignment="1">
      <alignment horizontal="center" vertical="center"/>
    </xf>
    <xf numFmtId="0" fontId="0" fillId="27" borderId="0" xfId="0" applyFill="1"/>
    <xf numFmtId="43" fontId="61" fillId="6" borderId="0" xfId="0" applyNumberFormat="1" applyFont="1" applyFill="1" applyAlignment="1">
      <alignment horizontal="right" vertical="center"/>
    </xf>
    <xf numFmtId="169" fontId="63" fillId="0" borderId="0" xfId="3" applyNumberFormat="1" applyFont="1" applyAlignment="1">
      <alignment horizontal="center" vertical="center"/>
    </xf>
    <xf numFmtId="169" fontId="6" fillId="0" borderId="0" xfId="3" applyNumberFormat="1" applyFont="1" applyAlignment="1">
      <alignment horizontal="left" vertical="center"/>
    </xf>
    <xf numFmtId="4" fontId="64" fillId="0" borderId="0" xfId="0" applyNumberFormat="1" applyFont="1"/>
    <xf numFmtId="43" fontId="0" fillId="0" borderId="0" xfId="27" applyFont="1"/>
    <xf numFmtId="165" fontId="0" fillId="0" borderId="0" xfId="0" applyNumberFormat="1"/>
    <xf numFmtId="43" fontId="0" fillId="0" borderId="0" xfId="27" applyFont="1" applyBorder="1" applyAlignment="1">
      <alignment horizontal="right"/>
    </xf>
    <xf numFmtId="43" fontId="0" fillId="0" borderId="0" xfId="27" applyFont="1" applyBorder="1" applyAlignment="1">
      <alignment horizontal="right" vertical="center"/>
    </xf>
    <xf numFmtId="43" fontId="0" fillId="24" borderId="0" xfId="27" applyFont="1" applyFill="1" applyBorder="1" applyAlignment="1">
      <alignment horizontal="right"/>
    </xf>
    <xf numFmtId="4" fontId="0" fillId="24" borderId="0" xfId="0" applyNumberFormat="1" applyFill="1"/>
    <xf numFmtId="4" fontId="64" fillId="24" borderId="0" xfId="0" applyNumberFormat="1" applyFont="1" applyFill="1"/>
    <xf numFmtId="4" fontId="6" fillId="24" borderId="0" xfId="3" applyNumberFormat="1" applyFont="1" applyFill="1" applyAlignment="1">
      <alignment horizontal="center" vertical="center"/>
    </xf>
    <xf numFmtId="0" fontId="0" fillId="24" borderId="0" xfId="0" applyFill="1" applyAlignment="1">
      <alignment horizontal="right"/>
    </xf>
    <xf numFmtId="4" fontId="0" fillId="24" borderId="0" xfId="0" applyNumberFormat="1" applyFill="1" applyAlignment="1">
      <alignment horizontal="right"/>
    </xf>
    <xf numFmtId="0" fontId="64" fillId="0" borderId="0" xfId="0" applyFont="1"/>
    <xf numFmtId="169" fontId="53" fillId="26" borderId="0" xfId="3" applyNumberFormat="1" applyFont="1" applyFill="1" applyAlignment="1">
      <alignment horizontal="center" vertical="center"/>
    </xf>
    <xf numFmtId="170" fontId="53" fillId="26" borderId="0" xfId="3" applyNumberFormat="1" applyFont="1" applyFill="1" applyAlignment="1">
      <alignment horizontal="center" vertical="center"/>
    </xf>
    <xf numFmtId="171" fontId="53" fillId="26" borderId="0" xfId="3" applyNumberFormat="1" applyFont="1" applyFill="1" applyAlignment="1">
      <alignment horizontal="center" vertical="center"/>
    </xf>
    <xf numFmtId="172" fontId="53" fillId="26" borderId="0" xfId="3" applyNumberFormat="1" applyFont="1" applyFill="1" applyAlignment="1">
      <alignment horizontal="center" vertical="center"/>
    </xf>
    <xf numFmtId="173" fontId="53" fillId="26" borderId="0" xfId="3" applyNumberFormat="1" applyFont="1" applyFill="1" applyAlignment="1">
      <alignment horizontal="center" vertical="center"/>
    </xf>
    <xf numFmtId="0" fontId="53" fillId="26" borderId="0" xfId="3" applyFont="1" applyFill="1" applyAlignment="1">
      <alignment horizontal="left" vertical="center"/>
    </xf>
    <xf numFmtId="40" fontId="54" fillId="26" borderId="0" xfId="3" applyNumberFormat="1" applyFont="1" applyFill="1" applyAlignment="1">
      <alignment horizontal="right" vertical="center"/>
    </xf>
    <xf numFmtId="40" fontId="54" fillId="26" borderId="0" xfId="3" applyNumberFormat="1" applyFont="1" applyFill="1" applyAlignment="1">
      <alignment vertical="center"/>
    </xf>
    <xf numFmtId="40" fontId="54" fillId="26" borderId="0" xfId="3" applyNumberFormat="1" applyFont="1" applyFill="1" applyAlignment="1">
      <alignment horizontal="center" vertical="center"/>
    </xf>
    <xf numFmtId="0" fontId="53" fillId="26" borderId="0" xfId="3" applyFont="1" applyFill="1" applyAlignment="1">
      <alignment horizontal="center" vertical="center"/>
    </xf>
    <xf numFmtId="4" fontId="65" fillId="0" borderId="0" xfId="3" applyNumberFormat="1" applyFont="1" applyAlignment="1">
      <alignment horizontal="right" vertical="center"/>
    </xf>
    <xf numFmtId="172" fontId="47" fillId="0" borderId="0" xfId="3" applyNumberFormat="1" applyFont="1" applyAlignment="1">
      <alignment horizontal="center" vertical="center"/>
    </xf>
    <xf numFmtId="169" fontId="45" fillId="0" borderId="0" xfId="3" applyNumberFormat="1" applyFont="1" applyAlignment="1">
      <alignment horizontal="center" vertical="center"/>
    </xf>
    <xf numFmtId="170" fontId="45" fillId="0" borderId="0" xfId="3" applyNumberFormat="1" applyFont="1" applyAlignment="1">
      <alignment horizontal="center" vertical="center"/>
    </xf>
    <xf numFmtId="171" fontId="45" fillId="0" borderId="0" xfId="3" applyNumberFormat="1" applyFont="1" applyAlignment="1">
      <alignment horizontal="center" vertical="center"/>
    </xf>
    <xf numFmtId="173" fontId="45" fillId="0" borderId="0" xfId="3" applyNumberFormat="1" applyFont="1" applyAlignment="1">
      <alignment horizontal="center" vertical="center"/>
    </xf>
    <xf numFmtId="0" fontId="45" fillId="0" borderId="0" xfId="3" applyFont="1" applyAlignment="1">
      <alignment horizontal="left" vertical="center"/>
    </xf>
    <xf numFmtId="40" fontId="46" fillId="0" borderId="0" xfId="3" applyNumberFormat="1" applyFont="1" applyAlignment="1">
      <alignment horizontal="right" vertical="center"/>
    </xf>
    <xf numFmtId="40" fontId="46" fillId="0" borderId="0" xfId="3" applyNumberFormat="1" applyFont="1" applyAlignment="1">
      <alignment vertical="center"/>
    </xf>
    <xf numFmtId="40" fontId="46" fillId="0" borderId="0" xfId="3" applyNumberFormat="1" applyFont="1" applyAlignment="1">
      <alignment horizontal="center" vertical="center"/>
    </xf>
    <xf numFmtId="0" fontId="45" fillId="0" borderId="0" xfId="3" applyFont="1" applyAlignment="1">
      <alignment horizontal="center" vertical="center"/>
    </xf>
    <xf numFmtId="170" fontId="53" fillId="0" borderId="28" xfId="3" applyNumberFormat="1" applyFont="1" applyBorder="1" applyAlignment="1">
      <alignment horizontal="center"/>
    </xf>
    <xf numFmtId="40" fontId="43" fillId="0" borderId="0" xfId="3" applyNumberFormat="1" applyFont="1" applyAlignment="1">
      <alignment horizontal="center" vertical="center"/>
    </xf>
    <xf numFmtId="1" fontId="0" fillId="0" borderId="0" xfId="0" applyNumberFormat="1"/>
    <xf numFmtId="179" fontId="6" fillId="0" borderId="1" xfId="3" applyNumberFormat="1" applyFont="1" applyBorder="1" applyAlignment="1">
      <alignment horizontal="center"/>
    </xf>
    <xf numFmtId="179" fontId="7" fillId="0" borderId="1" xfId="3" applyNumberFormat="1" applyFont="1" applyBorder="1" applyAlignment="1">
      <alignment horizontal="center" vertical="center"/>
    </xf>
    <xf numFmtId="4" fontId="7" fillId="0" borderId="0" xfId="3" applyNumberFormat="1" applyFont="1" applyAlignment="1">
      <alignment horizontal="center" vertical="center"/>
    </xf>
    <xf numFmtId="169" fontId="66" fillId="0" borderId="0" xfId="3" applyNumberFormat="1" applyFont="1" applyAlignment="1">
      <alignment horizontal="center" vertical="center"/>
    </xf>
    <xf numFmtId="170" fontId="66" fillId="0" borderId="0" xfId="3" applyNumberFormat="1" applyFont="1" applyAlignment="1">
      <alignment horizontal="center" vertical="center"/>
    </xf>
    <xf numFmtId="171" fontId="66" fillId="0" borderId="0" xfId="3" applyNumberFormat="1" applyFont="1" applyAlignment="1">
      <alignment horizontal="center" vertical="center"/>
    </xf>
    <xf numFmtId="172" fontId="66" fillId="0" borderId="0" xfId="3" applyNumberFormat="1" applyFont="1" applyAlignment="1">
      <alignment horizontal="center" vertical="center"/>
    </xf>
    <xf numFmtId="173" fontId="66" fillId="0" borderId="0" xfId="3" applyNumberFormat="1" applyFont="1" applyAlignment="1">
      <alignment horizontal="center" vertical="center"/>
    </xf>
    <xf numFmtId="0" fontId="66" fillId="0" borderId="0" xfId="3" applyFont="1" applyAlignment="1">
      <alignment horizontal="left" vertical="center"/>
    </xf>
    <xf numFmtId="40" fontId="67" fillId="0" borderId="0" xfId="3" applyNumberFormat="1" applyFont="1" applyAlignment="1">
      <alignment horizontal="right" vertical="center"/>
    </xf>
    <xf numFmtId="40" fontId="67" fillId="0" borderId="0" xfId="3" applyNumberFormat="1" applyFont="1" applyAlignment="1">
      <alignment vertical="center"/>
    </xf>
    <xf numFmtId="40" fontId="67" fillId="0" borderId="0" xfId="3" applyNumberFormat="1" applyFont="1" applyAlignment="1">
      <alignment horizontal="center" vertical="center"/>
    </xf>
    <xf numFmtId="0" fontId="66" fillId="0" borderId="0" xfId="3" applyFont="1" applyAlignment="1">
      <alignment horizontal="center" vertical="center"/>
    </xf>
    <xf numFmtId="172" fontId="68" fillId="0" borderId="0" xfId="3" applyNumberFormat="1" applyFont="1" applyAlignment="1">
      <alignment horizontal="center"/>
    </xf>
    <xf numFmtId="173" fontId="68" fillId="0" borderId="0" xfId="3" applyNumberFormat="1" applyFont="1" applyAlignment="1">
      <alignment horizontal="center"/>
    </xf>
    <xf numFmtId="0" fontId="68" fillId="0" borderId="0" xfId="3" applyFont="1" applyAlignment="1">
      <alignment horizontal="left"/>
    </xf>
    <xf numFmtId="4" fontId="68" fillId="0" borderId="0" xfId="3" applyNumberFormat="1" applyFont="1" applyAlignment="1">
      <alignment horizontal="right" vertical="center"/>
    </xf>
    <xf numFmtId="0" fontId="68" fillId="0" borderId="0" xfId="3" applyFont="1" applyAlignment="1">
      <alignment horizontal="center" vertical="center"/>
    </xf>
    <xf numFmtId="169" fontId="68" fillId="0" borderId="35" xfId="3" applyNumberFormat="1" applyFont="1" applyBorder="1" applyAlignment="1">
      <alignment horizontal="center"/>
    </xf>
    <xf numFmtId="170" fontId="68" fillId="0" borderId="1" xfId="3" applyNumberFormat="1" applyFont="1" applyBorder="1" applyAlignment="1">
      <alignment horizontal="center"/>
    </xf>
    <xf numFmtId="171" fontId="68" fillId="0" borderId="9" xfId="3" applyNumberFormat="1" applyFont="1" applyBorder="1" applyAlignment="1">
      <alignment horizontal="center"/>
    </xf>
    <xf numFmtId="172" fontId="68" fillId="0" borderId="1" xfId="3" applyNumberFormat="1" applyFont="1" applyBorder="1" applyAlignment="1">
      <alignment horizontal="center"/>
    </xf>
    <xf numFmtId="0" fontId="68" fillId="0" borderId="1" xfId="3" applyFont="1" applyBorder="1" applyAlignment="1">
      <alignment horizontal="center"/>
    </xf>
    <xf numFmtId="173" fontId="68" fillId="0" borderId="1" xfId="3" applyNumberFormat="1" applyFont="1" applyBorder="1" applyAlignment="1">
      <alignment horizontal="center"/>
    </xf>
    <xf numFmtId="179" fontId="68" fillId="0" borderId="1" xfId="3" applyNumberFormat="1" applyFont="1" applyBorder="1"/>
    <xf numFmtId="179" fontId="68" fillId="0" borderId="1" xfId="3" applyNumberFormat="1" applyFont="1" applyBorder="1" applyAlignment="1">
      <alignment horizontal="right"/>
    </xf>
    <xf numFmtId="179" fontId="68" fillId="0" borderId="1" xfId="3" applyNumberFormat="1" applyFont="1" applyBorder="1" applyAlignment="1">
      <alignment horizontal="right" vertical="center"/>
    </xf>
    <xf numFmtId="40" fontId="66" fillId="0" borderId="13" xfId="3" applyNumberFormat="1" applyFont="1" applyBorder="1" applyAlignment="1">
      <alignment horizontal="right" vertical="center"/>
    </xf>
    <xf numFmtId="4" fontId="66" fillId="0" borderId="0" xfId="3" applyNumberFormat="1" applyFont="1" applyAlignment="1">
      <alignment horizontal="right" vertical="center"/>
    </xf>
    <xf numFmtId="0" fontId="70" fillId="22" borderId="34" xfId="0" applyFont="1" applyFill="1" applyBorder="1" applyAlignment="1">
      <alignment horizontal="center" vertical="center"/>
    </xf>
    <xf numFmtId="169" fontId="66" fillId="0" borderId="0" xfId="3" applyNumberFormat="1" applyFont="1" applyFill="1" applyAlignment="1">
      <alignment horizontal="center" vertical="center"/>
    </xf>
    <xf numFmtId="170" fontId="66" fillId="0" borderId="0" xfId="3" applyNumberFormat="1" applyFont="1" applyFill="1" applyAlignment="1">
      <alignment horizontal="center" vertical="center"/>
    </xf>
    <xf numFmtId="171" fontId="66" fillId="0" borderId="0" xfId="3" applyNumberFormat="1" applyFont="1" applyFill="1" applyAlignment="1">
      <alignment horizontal="center" vertical="center"/>
    </xf>
    <xf numFmtId="172" fontId="66" fillId="0" borderId="0" xfId="3" applyNumberFormat="1" applyFont="1" applyFill="1" applyAlignment="1">
      <alignment horizontal="center" vertical="center"/>
    </xf>
    <xf numFmtId="173" fontId="66" fillId="0" borderId="0" xfId="3" applyNumberFormat="1" applyFont="1" applyFill="1" applyAlignment="1">
      <alignment horizontal="center" vertical="center"/>
    </xf>
    <xf numFmtId="0" fontId="66" fillId="0" borderId="0" xfId="3" applyNumberFormat="1" applyFont="1" applyFill="1" applyAlignment="1">
      <alignment horizontal="left" vertical="center"/>
    </xf>
    <xf numFmtId="40" fontId="67" fillId="0" borderId="0" xfId="3" applyNumberFormat="1" applyFont="1" applyFill="1" applyAlignment="1">
      <alignment horizontal="right" vertical="center"/>
    </xf>
    <xf numFmtId="4" fontId="71" fillId="0" borderId="0" xfId="3" applyNumberFormat="1" applyFont="1" applyFill="1" applyAlignment="1">
      <alignment horizontal="right" vertical="center"/>
    </xf>
    <xf numFmtId="180" fontId="67" fillId="0" borderId="0" xfId="3" applyNumberFormat="1" applyFont="1" applyFill="1" applyAlignment="1">
      <alignment vertical="center"/>
    </xf>
    <xf numFmtId="40" fontId="67" fillId="0" borderId="0" xfId="3" applyNumberFormat="1" applyFont="1" applyFill="1" applyAlignment="1">
      <alignment vertical="center"/>
    </xf>
    <xf numFmtId="40" fontId="67" fillId="0" borderId="0" xfId="3" applyNumberFormat="1" applyFont="1" applyFill="1" applyAlignment="1">
      <alignment horizontal="center" vertical="center"/>
    </xf>
    <xf numFmtId="0" fontId="66" fillId="0" borderId="0" xfId="3" applyNumberFormat="1" applyFont="1" applyFill="1" applyAlignment="1">
      <alignment horizontal="center" vertical="center"/>
    </xf>
    <xf numFmtId="172" fontId="68" fillId="0" borderId="0" xfId="3" applyNumberFormat="1" applyFont="1" applyFill="1" applyAlignment="1">
      <alignment horizontal="center"/>
    </xf>
    <xf numFmtId="173" fontId="68" fillId="0" borderId="0" xfId="3" applyNumberFormat="1" applyFont="1" applyFill="1" applyAlignment="1">
      <alignment horizontal="center"/>
    </xf>
    <xf numFmtId="0" fontId="68" fillId="0" borderId="0" xfId="3" applyNumberFormat="1" applyFont="1" applyFill="1" applyAlignment="1">
      <alignment horizontal="left"/>
    </xf>
    <xf numFmtId="4" fontId="68" fillId="0" borderId="0" xfId="3" applyNumberFormat="1" applyFont="1" applyFill="1" applyAlignment="1">
      <alignment horizontal="right" vertical="center"/>
    </xf>
    <xf numFmtId="0" fontId="68" fillId="0" borderId="0" xfId="3" applyNumberFormat="1" applyFont="1" applyFill="1" applyAlignment="1">
      <alignment horizontal="center" vertical="center"/>
    </xf>
    <xf numFmtId="169" fontId="66" fillId="0" borderId="9" xfId="3" applyNumberFormat="1" applyFont="1" applyFill="1" applyBorder="1" applyAlignment="1">
      <alignment horizontal="center"/>
    </xf>
    <xf numFmtId="171" fontId="66" fillId="0" borderId="1" xfId="3" applyNumberFormat="1" applyFont="1" applyFill="1" applyBorder="1" applyAlignment="1">
      <alignment horizontal="center"/>
    </xf>
    <xf numFmtId="172" fontId="66" fillId="0" borderId="1" xfId="3" applyNumberFormat="1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73" fontId="66" fillId="0" borderId="1" xfId="3" applyNumberFormat="1" applyFont="1" applyFill="1" applyBorder="1" applyAlignment="1">
      <alignment horizontal="center"/>
    </xf>
    <xf numFmtId="179" fontId="66" fillId="0" borderId="1" xfId="3" applyNumberFormat="1" applyFont="1" applyFill="1" applyBorder="1"/>
    <xf numFmtId="179" fontId="66" fillId="0" borderId="1" xfId="3" applyNumberFormat="1" applyFont="1" applyFill="1" applyBorder="1" applyAlignment="1">
      <alignment horizontal="right"/>
    </xf>
    <xf numFmtId="179" fontId="66" fillId="0" borderId="1" xfId="3" applyNumberFormat="1" applyFont="1" applyFill="1" applyBorder="1" applyAlignment="1">
      <alignment horizontal="right" vertical="center"/>
    </xf>
    <xf numFmtId="40" fontId="66" fillId="0" borderId="13" xfId="3" applyNumberFormat="1" applyFont="1" applyFill="1" applyBorder="1" applyAlignment="1">
      <alignment horizontal="right" vertical="center"/>
    </xf>
    <xf numFmtId="169" fontId="6" fillId="0" borderId="0" xfId="3" applyNumberFormat="1" applyFont="1" applyBorder="1" applyAlignment="1">
      <alignment horizontal="center"/>
    </xf>
    <xf numFmtId="169" fontId="6" fillId="0" borderId="27" xfId="3" applyNumberFormat="1" applyFont="1" applyBorder="1" applyAlignment="1">
      <alignment horizontal="center" vertical="center"/>
    </xf>
    <xf numFmtId="169" fontId="66" fillId="0" borderId="0" xfId="3" applyNumberFormat="1" applyFont="1" applyFill="1" applyBorder="1" applyAlignment="1">
      <alignment horizontal="center"/>
    </xf>
    <xf numFmtId="171" fontId="66" fillId="0" borderId="0" xfId="3" applyNumberFormat="1" applyFont="1" applyFill="1" applyBorder="1" applyAlignment="1">
      <alignment horizontal="center"/>
    </xf>
    <xf numFmtId="172" fontId="6" fillId="0" borderId="0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 vertical="center"/>
    </xf>
    <xf numFmtId="172" fontId="66" fillId="0" borderId="0" xfId="3" applyNumberFormat="1" applyFont="1" applyFill="1" applyBorder="1" applyAlignment="1">
      <alignment horizontal="center"/>
    </xf>
    <xf numFmtId="0" fontId="66" fillId="0" borderId="0" xfId="3" applyFont="1" applyFill="1" applyBorder="1" applyAlignment="1">
      <alignment horizontal="center"/>
    </xf>
    <xf numFmtId="173" fontId="6" fillId="0" borderId="1" xfId="3" applyNumberFormat="1" applyFont="1" applyBorder="1" applyAlignment="1">
      <alignment horizontal="center" vertical="center"/>
    </xf>
    <xf numFmtId="171" fontId="6" fillId="0" borderId="0" xfId="3" applyNumberFormat="1" applyFont="1" applyBorder="1" applyAlignment="1">
      <alignment horizontal="center" vertical="center"/>
    </xf>
    <xf numFmtId="4" fontId="66" fillId="0" borderId="0" xfId="3" applyNumberFormat="1" applyFont="1" applyFill="1" applyAlignment="1">
      <alignment horizontal="right" vertical="center"/>
    </xf>
    <xf numFmtId="174" fontId="41" fillId="10" borderId="0" xfId="0" applyNumberFormat="1" applyFont="1" applyFill="1" applyAlignment="1">
      <alignment horizontal="center" vertical="center"/>
    </xf>
    <xf numFmtId="0" fontId="11" fillId="2" borderId="0" xfId="2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74" fontId="18" fillId="9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175" fontId="34" fillId="4" borderId="0" xfId="1" applyNumberFormat="1" applyFont="1" applyFill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6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33" fillId="20" borderId="0" xfId="0" applyFont="1" applyFill="1" applyAlignment="1">
      <alignment horizontal="center" vertical="center"/>
    </xf>
    <xf numFmtId="169" fontId="6" fillId="24" borderId="0" xfId="3" applyNumberFormat="1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166" fontId="34" fillId="6" borderId="0" xfId="1" applyNumberFormat="1" applyFont="1" applyFill="1" applyAlignment="1">
      <alignment horizontal="center" vertical="center"/>
    </xf>
    <xf numFmtId="0" fontId="32" fillId="17" borderId="33" xfId="15" applyFont="1" applyBorder="1" applyAlignment="1">
      <alignment horizontal="center" vertical="center"/>
    </xf>
    <xf numFmtId="171" fontId="6" fillId="24" borderId="0" xfId="3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28" fillId="0" borderId="0" xfId="6" applyFont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177" fontId="21" fillId="0" borderId="23" xfId="6" applyNumberFormat="1" applyFont="1" applyBorder="1" applyAlignment="1">
      <alignment horizontal="center"/>
    </xf>
    <xf numFmtId="0" fontId="27" fillId="2" borderId="0" xfId="2" applyFont="1" applyAlignment="1">
      <alignment horizontal="center" vertical="center"/>
    </xf>
  </cellXfs>
  <cellStyles count="29">
    <cellStyle name="Car" xfId="7" xr:uid="{00000000-0005-0000-0000-000000000000}"/>
    <cellStyle name="Celda de comprobación" xfId="15" builtinId="23"/>
    <cellStyle name="Énfasis1" xfId="5" builtinId="29"/>
    <cellStyle name="Énfasis2" xfId="2" builtinId="33"/>
    <cellStyle name="Error" xfId="8" xr:uid="{00000000-0005-0000-0000-000004000000}"/>
    <cellStyle name="Error 2" xfId="16" xr:uid="{00000000-0005-0000-0000-000005000000}"/>
    <cellStyle name="Millares" xfId="27" builtinId="3"/>
    <cellStyle name="Millares 2" xfId="9" xr:uid="{00000000-0005-0000-0000-000006000000}"/>
    <cellStyle name="Millares 2 2" xfId="17" xr:uid="{00000000-0005-0000-0000-000007000000}"/>
    <cellStyle name="Moneda" xfId="1" builtinId="4"/>
    <cellStyle name="Moneda 2" xfId="10" xr:uid="{00000000-0005-0000-0000-000009000000}"/>
    <cellStyle name="Moneda 2 2" xfId="20" xr:uid="{00000000-0005-0000-0000-00000A000000}"/>
    <cellStyle name="Moneda 3" xfId="23" xr:uid="{00000000-0005-0000-0000-00000B000000}"/>
    <cellStyle name="No completar" xfId="11" xr:uid="{00000000-0005-0000-0000-00000C000000}"/>
    <cellStyle name="No completar 2" xfId="18" xr:uid="{00000000-0005-0000-0000-00000D000000}"/>
    <cellStyle name="Normal" xfId="0" builtinId="0"/>
    <cellStyle name="Normal 10" xfId="26" xr:uid="{00000000-0005-0000-0000-00000F000000}"/>
    <cellStyle name="Normal 11" xfId="28" xr:uid="{FE740CAA-2053-4C70-99CB-B109A0CF7393}"/>
    <cellStyle name="Normal 2" xfId="4" xr:uid="{00000000-0005-0000-0000-000010000000}"/>
    <cellStyle name="Normal 2 2" xfId="19" xr:uid="{00000000-0005-0000-0000-000011000000}"/>
    <cellStyle name="Normal 3" xfId="3" xr:uid="{00000000-0005-0000-0000-000012000000}"/>
    <cellStyle name="Normal 4" xfId="12" xr:uid="{00000000-0005-0000-0000-000013000000}"/>
    <cellStyle name="Normal 5" xfId="13" xr:uid="{00000000-0005-0000-0000-000014000000}"/>
    <cellStyle name="Normal 6" xfId="14" xr:uid="{00000000-0005-0000-0000-000015000000}"/>
    <cellStyle name="Normal 6 2" xfId="21" xr:uid="{00000000-0005-0000-0000-000016000000}"/>
    <cellStyle name="Normal 7" xfId="6" xr:uid="{00000000-0005-0000-0000-000017000000}"/>
    <cellStyle name="Normal 7 2" xfId="22" xr:uid="{00000000-0005-0000-0000-000018000000}"/>
    <cellStyle name="Normal 8" xfId="24" xr:uid="{00000000-0005-0000-0000-000019000000}"/>
    <cellStyle name="Normal 9" xfId="25" xr:uid="{00000000-0005-0000-0000-00001A000000}"/>
  </cellStyles>
  <dxfs count="17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4F6228"/>
        <name val="Calibri"/>
        <family val="2"/>
        <scheme val="none"/>
      </font>
      <fill>
        <patternFill patternType="solid">
          <fgColor rgb="FF000000"/>
          <bgColor rgb="FFC4D79B"/>
        </patternFill>
      </fill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4F6228"/>
        <name val="Calibri"/>
        <family val="2"/>
        <scheme val="none"/>
      </font>
      <fill>
        <patternFill patternType="solid">
          <fgColor rgb="FF000000"/>
          <bgColor rgb="FFC4D79B"/>
        </patternFill>
      </fill>
      <alignment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4F6228"/>
        <name val="Calibri"/>
        <family val="2"/>
        <scheme val="none"/>
      </font>
      <fill>
        <patternFill patternType="solid">
          <fgColor rgb="FF000000"/>
          <bgColor rgb="FFC4D79B"/>
        </patternFill>
      </fill>
      <alignment vertical="center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2" formatCode="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3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Medium9">
    <tableStyle name="Estilo de tabla 1" pivot="0" count="4" xr9:uid="{00000000-0011-0000-FFFF-FFFF00000000}">
      <tableStyleElement type="wholeTable" dxfId="1770"/>
      <tableStyleElement type="headerRow" dxfId="1769"/>
      <tableStyleElement type="totalRow" dxfId="1768"/>
      <tableStyleElement type="firstRowStripe" dxfId="1767"/>
    </tableStyle>
    <tableStyle name="Tabla Ventas" pivot="0" count="5" xr9:uid="{00000000-0011-0000-FFFF-FFFF01000000}">
      <tableStyleElement type="wholeTable" dxfId="1766"/>
      <tableStyleElement type="headerRow" dxfId="1765"/>
      <tableStyleElement type="totalRow" dxfId="1764"/>
      <tableStyleElement type="firstRowStripe" dxfId="1763"/>
      <tableStyleElement type="secondRowStripe" dxfId="1762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a_CUIT" displayName="Lista_CUIT" ref="A1:D2482" totalsRowShown="0" headerRowDxfId="1761">
  <autoFilter ref="A1:D2482" xr:uid="{00000000-0009-0000-0100-000006000000}"/>
  <sortState xmlns:xlrd2="http://schemas.microsoft.com/office/spreadsheetml/2017/richdata2" ref="A2:D1862">
    <sortCondition ref="B1:B1861"/>
  </sortState>
  <tableColumns count="4">
    <tableColumn id="1" xr3:uid="{00000000-0010-0000-0000-000001000000}" name="CUIT" dataDxfId="1760"/>
    <tableColumn id="2" xr3:uid="{00000000-0010-0000-0000-000002000000}" name="RAZON SOCIAL" dataDxfId="1759"/>
    <tableColumn id="3" xr3:uid="{00000000-0010-0000-0000-000003000000}" name="Tipo de Gasto" dataDxfId="1758"/>
    <tableColumn id="4" xr3:uid="{00000000-0010-0000-0000-000004000000}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compras_mes1" displayName="compras_mes1" ref="B8:R45" totalsRowCount="1" headerRowDxfId="1757" totalsRowDxfId="1756">
  <autoFilter ref="B8:R44" xr:uid="{00000000-0009-0000-0100-000008000000}"/>
  <sortState xmlns:xlrd2="http://schemas.microsoft.com/office/spreadsheetml/2017/richdata2" ref="B9:R32">
    <sortCondition ref="B8:B32"/>
  </sortState>
  <tableColumns count="17">
    <tableColumn id="1" xr3:uid="{00000000-0010-0000-0100-000001000000}" name="FECHA" totalsRowLabel="Total" dataDxfId="1755" totalsRowDxfId="1754" dataCellStyle="Normal 3"/>
    <tableColumn id="2" xr3:uid="{00000000-0010-0000-0100-000002000000}" name="TIPO" dataDxfId="1753" totalsRowDxfId="1752" dataCellStyle="Normal 3"/>
    <tableColumn id="3" xr3:uid="{00000000-0010-0000-0100-000003000000}" name="PTO VTA" dataDxfId="1751" totalsRowDxfId="1750" dataCellStyle="Normal 3"/>
    <tableColumn id="4" xr3:uid="{00000000-0010-0000-0100-000004000000}" name="NRO. CPTE" dataDxfId="1749" totalsRowDxfId="1748" dataCellStyle="Normal 3"/>
    <tableColumn id="5" xr3:uid="{00000000-0010-0000-0100-000005000000}" name="CUIT" dataDxfId="1747" totalsRowDxfId="1746" dataCellStyle="Normal 3"/>
    <tableColumn id="6" xr3:uid="{00000000-0010-0000-0100-000006000000}" name="RAZON SOCIAL" dataDxfId="1745" totalsRowDxfId="1744" dataCellStyle="Normal 3">
      <calculatedColumnFormula>IFERROR(IF(compras_mes1[[#This Row],[CUIT]]="","-",VLOOKUP(compras_mes1[[#This Row],[CUIT]],Lista_CUIT[#All],2,0)),"CUIT NO CARGADO")</calculatedColumnFormula>
    </tableColumn>
    <tableColumn id="7" xr3:uid="{00000000-0010-0000-0100-000007000000}" name="NETO GRAVADO" totalsRowFunction="sum" dataDxfId="1743" totalsRowDxfId="1742" dataCellStyle="Normal 3"/>
    <tableColumn id="8" xr3:uid="{00000000-0010-0000-0100-000008000000}" name="IVA 21 %" totalsRowFunction="sum" dataDxfId="1741" totalsRowDxfId="1740" dataCellStyle="Normal 3">
      <calculatedColumnFormula>IF(compras_mes1[[#This Row],[NETO GRAVADO]]="","",compras_mes1[[#This Row],[NETO GRAVADO]]*0.21)</calculatedColumnFormula>
    </tableColumn>
    <tableColumn id="9" xr3:uid="{00000000-0010-0000-0100-000009000000}" name="IVA 27%" totalsRowFunction="sum" dataDxfId="1739" totalsRowDxfId="1738" dataCellStyle="Normal 3"/>
    <tableColumn id="10" xr3:uid="{00000000-0010-0000-0100-00000A000000}" name="IVA 10,5%" totalsRowFunction="sum" dataDxfId="1737" totalsRowDxfId="1736" dataCellStyle="Normal 3"/>
    <tableColumn id="11" xr3:uid="{00000000-0010-0000-0100-00000B000000}" name="PERC. IVA" totalsRowFunction="sum" dataDxfId="1735" totalsRowDxfId="1734" dataCellStyle="Normal 3"/>
    <tableColumn id="12" xr3:uid="{00000000-0010-0000-0100-00000C000000}" name="PERC IIBB _x000a_BS AS" totalsRowFunction="sum" dataDxfId="1733" totalsRowDxfId="1732" dataCellStyle="Normal 3"/>
    <tableColumn id="13" xr3:uid="{00000000-0010-0000-0100-00000D000000}" name="PERC. IIBB CABA" totalsRowFunction="sum" dataDxfId="1731" totalsRowDxfId="1730" dataCellStyle="Normal 3"/>
    <tableColumn id="14" xr3:uid="{00000000-0010-0000-0100-00000E000000}" name="Otros / No Grav." totalsRowFunction="sum" dataDxfId="1729" totalsRowDxfId="1728" dataCellStyle="Normal 3"/>
    <tableColumn id="15" xr3:uid="{00000000-0010-0000-0100-00000F000000}" name="TOTAL" totalsRowFunction="sum" dataDxfId="1727" totalsRowDxfId="1726" dataCellStyle="Normal 3">
      <calculatedColumnFormula>SUM(compras_mes1[[#This Row],[NETO GRAVADO]:[Otros / No Grav.]])</calculatedColumnFormula>
    </tableColumn>
    <tableColumn id="16" xr3:uid="{00000000-0010-0000-0100-000010000000}" name="Tipo de Gasto" dataDxfId="1725" totalsRowDxfId="1724" dataCellStyle="Normal 3">
      <calculatedColumnFormula>IFERROR(IF(compras_mes1[[#This Row],[CUIT]]="","-",VLOOKUP(compras_mes1[[#This Row],[CUIT]],Lista_CUIT[#All],3,0)),"CUIT NO CARGADO")</calculatedColumnFormula>
    </tableColumn>
    <tableColumn id="17" xr3:uid="{00000000-0010-0000-0100-000011000000}" name="Provincia" dataDxfId="1723" totalsRowDxfId="1722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factura_c_mes1" displayName="factura_c_mes1" ref="D60:K74" totalsRowCount="1" headerRowDxfId="1721" totalsRowDxfId="1720" headerRowCellStyle="Normal 3">
  <autoFilter ref="D60:K73" xr:uid="{00000000-0009-0000-0100-00000A000000}"/>
  <tableColumns count="8">
    <tableColumn id="1" xr3:uid="{00000000-0010-0000-0200-000001000000}" name="FECHA" totalsRowLabel="Total" dataDxfId="1719" totalsRowDxfId="1718" dataCellStyle="Normal 3"/>
    <tableColumn id="2" xr3:uid="{00000000-0010-0000-0200-000002000000}" name="PTO VTA" dataDxfId="1717" totalsRowDxfId="1716" dataCellStyle="Normal 3"/>
    <tableColumn id="3" xr3:uid="{00000000-0010-0000-0200-000003000000}" name="FC Nº" dataDxfId="1715" totalsRowDxfId="1714" dataCellStyle="Normal 3"/>
    <tableColumn id="4" xr3:uid="{00000000-0010-0000-0200-000004000000}" name="CUIT" dataDxfId="1713" totalsRowDxfId="1712" dataCellStyle="Normal 3"/>
    <tableColumn id="5" xr3:uid="{00000000-0010-0000-0200-000005000000}" name="RAZON SOCIAL" dataDxfId="1711" totalsRowDxfId="1710" dataCellStyle="Normal 3">
      <calculatedColumnFormula>IFERROR(IF(factura_c_mes1[[#This Row],[CUIT]]="","-",VLOOKUP(factura_c_mes1[[#This Row],[CUIT]],Lista_CUIT[#All],2,0)),"CUIT NO CARGADO")</calculatedColumnFormula>
    </tableColumn>
    <tableColumn id="6" xr3:uid="{00000000-0010-0000-0200-000006000000}" name="TOTAL" totalsRowFunction="sum" dataDxfId="1709" totalsRowDxfId="1708" dataCellStyle="Normal 3"/>
    <tableColumn id="7" xr3:uid="{00000000-0010-0000-0200-000007000000}" name="TIPO DE GASTO" dataDxfId="1707" totalsRowDxfId="1706" dataCellStyle="Normal 3">
      <calculatedColumnFormula>IFERROR(IF(factura_c_mes1[[#This Row],[CUIT]]="","-",VLOOKUP(factura_c_mes1[[#This Row],[CUIT]],Lista_CUIT[#All],3,0)),"CUIT NO CARGADO")</calculatedColumnFormula>
    </tableColumn>
    <tableColumn id="8" xr3:uid="{00000000-0010-0000-0200-000008000000}" name="Provincia" dataDxfId="1705" totalsRowDxfId="1704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enta_a_mes1" displayName="venta_a_mes1" ref="B81:M110" totalsRowCount="1" headerRowDxfId="1703" dataDxfId="1701" headerRowBorderDxfId="1702" tableBorderDxfId="1700" totalsRowBorderDxfId="1699" dataCellStyle="Normal 3">
  <autoFilter ref="B81:M109" xr:uid="{00000000-0009-0000-0100-000001000000}"/>
  <tableColumns count="12">
    <tableColumn id="1" xr3:uid="{00000000-0010-0000-0300-000001000000}" name="FECHA" totalsRowLabel="Total" dataDxfId="1698" totalsRowDxfId="1697" dataCellStyle="Normal 3"/>
    <tableColumn id="2" xr3:uid="{00000000-0010-0000-0300-000002000000}" name="TIPO" dataDxfId="1696" totalsRowDxfId="1695" dataCellStyle="Normal 3"/>
    <tableColumn id="3" xr3:uid="{00000000-0010-0000-0300-000003000000}" name="PTO VENTA" dataDxfId="1694" totalsRowDxfId="1693" dataCellStyle="Normal 3"/>
    <tableColumn id="4" xr3:uid="{00000000-0010-0000-0300-000004000000}" name="Nº FACTURA" dataDxfId="1692" totalsRowDxfId="1691" dataCellStyle="Normal 3"/>
    <tableColumn id="5" xr3:uid="{00000000-0010-0000-0300-000005000000}" name="CUIT" dataDxfId="1690" totalsRowDxfId="1689" dataCellStyle="Normal 3"/>
    <tableColumn id="6" xr3:uid="{00000000-0010-0000-0300-000006000000}" name="RAZON SOCIAL" dataDxfId="1688" totalsRowDxfId="1687" dataCellStyle="Normal 3">
      <calculatedColumnFormula>IFERROR(IF(venta_a_mes1[[#This Row],[CUIT]]="","-",VLOOKUP(venta_a_mes1[[#This Row],[CUIT]],Lista_CUIT[#All],2,0)),"CUIT NO CARGADO")</calculatedColumnFormula>
    </tableColumn>
    <tableColumn id="7" xr3:uid="{00000000-0010-0000-0300-000007000000}" name="IMPORTE NETO" totalsRowFunction="sum" dataDxfId="1686" totalsRowDxfId="1685" dataCellStyle="Normal 3"/>
    <tableColumn id="8" xr3:uid="{00000000-0010-0000-0300-000008000000}" name="IVA 21%" totalsRowFunction="sum" dataDxfId="1684" totalsRowDxfId="1683" dataCellStyle="Normal 3">
      <calculatedColumnFormula>venta_a_mes1[[#This Row],[IMPORTE NETO]]*0.21</calculatedColumnFormula>
    </tableColumn>
    <tableColumn id="9" xr3:uid="{00000000-0010-0000-0300-000009000000}" name="IVA 10,5%" totalsRowFunction="sum" dataDxfId="1682" totalsRowDxfId="1681" dataCellStyle="Normal 3"/>
    <tableColumn id="10" xr3:uid="{00000000-0010-0000-0300-00000A000000}" name="EXENTO" totalsRowFunction="sum" dataDxfId="1680" totalsRowDxfId="1679" dataCellStyle="Normal 3"/>
    <tableColumn id="11" xr3:uid="{00000000-0010-0000-0300-00000B000000}" name="TOTAL" totalsRowFunction="sum" dataDxfId="1678" totalsRowDxfId="1677" dataCellStyle="Normal 3">
      <calculatedColumnFormula>SUM(venta_a_mes1[[#This Row],[IMPORTE NETO]:[EXENTO]])</calculatedColumnFormula>
    </tableColumn>
    <tableColumn id="12" xr3:uid="{00000000-0010-0000-0300-00000C000000}" name="Provincia" totalsRowFunction="count" dataDxfId="1676" totalsRowDxfId="1675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ventas_b_mes1" displayName="ventas_b_mes1" ref="B113:M120" totalsRowCount="1" headerRowDxfId="1674" dataDxfId="1672" headerRowBorderDxfId="1673" tableBorderDxfId="1671" totalsRowBorderDxfId="1670" dataCellStyle="Normal 3">
  <autoFilter ref="B113:M119" xr:uid="{00000000-0009-0000-0100-000003000000}"/>
  <tableColumns count="12">
    <tableColumn id="1" xr3:uid="{00000000-0010-0000-0400-000001000000}" name="FECHA" totalsRowLabel="Total" dataDxfId="1669" totalsRowDxfId="1668" dataCellStyle="Normal 3"/>
    <tableColumn id="2" xr3:uid="{00000000-0010-0000-0400-000002000000}" name="TIPO" dataDxfId="1667" totalsRowDxfId="1666" dataCellStyle="Normal 3"/>
    <tableColumn id="3" xr3:uid="{00000000-0010-0000-0400-000003000000}" name="PTO VENTA" dataDxfId="1665" totalsRowDxfId="1664" dataCellStyle="Normal 3"/>
    <tableColumn id="4" xr3:uid="{00000000-0010-0000-0400-000004000000}" name="Nº FACTURA" dataDxfId="1663" totalsRowDxfId="1662" dataCellStyle="Normal 3"/>
    <tableColumn id="5" xr3:uid="{00000000-0010-0000-0400-000005000000}" name="CUIT" dataDxfId="1661" totalsRowDxfId="1660" dataCellStyle="Normal 3"/>
    <tableColumn id="6" xr3:uid="{00000000-0010-0000-0400-000006000000}" name="RAZON SOCIAL" dataDxfId="1659" totalsRowDxfId="1658" dataCellStyle="Normal 3">
      <calculatedColumnFormula>IFERROR(IF(ventas_b_mes1[[#This Row],[CUIT]]="","-",VLOOKUP(ventas_b_mes1[[#This Row],[CUIT]],Lista_CUIT[#All],2,0)),"CUIT NO CARGADO")</calculatedColumnFormula>
    </tableColumn>
    <tableColumn id="7" xr3:uid="{00000000-0010-0000-0400-000007000000}" name="IMPORTE NETO" totalsRowFunction="sum" dataDxfId="1657" totalsRowDxfId="1656" dataCellStyle="Normal 3">
      <calculatedColumnFormula>ventas_b_mes1[[#This Row],[TOTAL]]/1.21</calculatedColumnFormula>
    </tableColumn>
    <tableColumn id="8" xr3:uid="{00000000-0010-0000-0400-000008000000}" name="IVA 21%" totalsRowFunction="sum" dataDxfId="1655" totalsRowDxfId="1654" dataCellStyle="Normal 3">
      <calculatedColumnFormula>ventas_b_mes1[[#This Row],[IMPORTE NETO]]*0.21</calculatedColumnFormula>
    </tableColumn>
    <tableColumn id="9" xr3:uid="{00000000-0010-0000-0400-000009000000}" name="IVA 10,5%" totalsRowFunction="sum" dataDxfId="1653" totalsRowDxfId="1652" dataCellStyle="Normal 3"/>
    <tableColumn id="10" xr3:uid="{00000000-0010-0000-0400-00000A000000}" name="EXENTO" totalsRowFunction="sum" dataDxfId="1651" totalsRowDxfId="1650" dataCellStyle="Normal 3"/>
    <tableColumn id="11" xr3:uid="{00000000-0010-0000-0400-00000B000000}" name="TOTAL" totalsRowFunction="sum" dataDxfId="1649" totalsRowDxfId="1648" dataCellStyle="Normal 3"/>
    <tableColumn id="12" xr3:uid="{00000000-0010-0000-0400-00000C000000}" name="Provincia" totalsRowFunction="count" dataDxfId="1647" totalsRowDxfId="1646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extracto_banco_mes1" displayName="extracto_banco_mes1" ref="D51:L55" totalsRowCount="1" headerRowDxfId="1645" dataDxfId="1644" tableBorderDxfId="1643" dataCellStyle="Normal 3">
  <autoFilter ref="D51:L54" xr:uid="{00000000-0009-0000-0100-000004000000}"/>
  <tableColumns count="9">
    <tableColumn id="1" xr3:uid="{00000000-0010-0000-0500-000001000000}" name="FECHA" totalsRowLabel="Total" dataDxfId="1642" totalsRowDxfId="1641" dataCellStyle="Normal 3"/>
    <tableColumn id="2" xr3:uid="{00000000-0010-0000-0500-000002000000}" name="NRO CPTE" dataDxfId="1640" totalsRowDxfId="1639"/>
    <tableColumn id="3" xr3:uid="{00000000-0010-0000-0500-000003000000}" name="BANCO" dataDxfId="1638" totalsRowDxfId="1637"/>
    <tableColumn id="4" xr3:uid="{00000000-0010-0000-0500-000004000000}" name="NETO" totalsRowFunction="sum" dataDxfId="1636" totalsRowDxfId="1635" dataCellStyle="Normal 3"/>
    <tableColumn id="5" xr3:uid="{00000000-0010-0000-0500-000005000000}" name="IVA 21%" totalsRowFunction="sum" dataDxfId="1634" totalsRowDxfId="1633" dataCellStyle="Normal 3">
      <calculatedColumnFormula>extracto_banco_mes1[[#This Row],[NETO]]*0.21</calculatedColumnFormula>
    </tableColumn>
    <tableColumn id="6" xr3:uid="{00000000-0010-0000-0500-000006000000}" name="IVA 10,5%" totalsRowFunction="sum" dataDxfId="1632" totalsRowDxfId="1631" dataCellStyle="Normal 3"/>
    <tableColumn id="7" xr3:uid="{00000000-0010-0000-0500-000007000000}" name="RET IIBB CABA" totalsRowFunction="sum" dataDxfId="1630" totalsRowDxfId="1629" dataCellStyle="Normal 3"/>
    <tableColumn id="8" xr3:uid="{00000000-0010-0000-0500-000008000000}" name="PERC IVA" totalsRowFunction="sum" dataDxfId="1628" totalsRowDxfId="1627" dataCellStyle="Normal 3"/>
    <tableColumn id="9" xr3:uid="{00000000-0010-0000-0500-000009000000}" name="PERC IIBB" totalsRowFunction="sum" dataDxfId="1626" totalsRowDxfId="1625" dataCellStyle="Normal 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retenciones_mes1" displayName="retenciones_mes1" ref="C129:L134" totalsRowShown="0" headerRowDxfId="1624" dataDxfId="1623" headerRowCellStyle="Normal 3" dataCellStyle="Normal 3">
  <autoFilter ref="C129:L134" xr:uid="{00000000-0009-0000-0100-000005000000}"/>
  <tableColumns count="10">
    <tableColumn id="1" xr3:uid="{00000000-0010-0000-0600-000001000000}" name="FECHA " dataDxfId="1622" dataCellStyle="Normal 3"/>
    <tableColumn id="2" xr3:uid="{00000000-0010-0000-0600-000002000000}" name="COMP Nº" dataDxfId="1621" dataCellStyle="Normal 3"/>
    <tableColumn id="3" xr3:uid="{00000000-0010-0000-0600-000003000000}" name="Columna1" dataDxfId="1620" dataCellStyle="Normal 3"/>
    <tableColumn id="4" xr3:uid="{00000000-0010-0000-0600-000004000000}" name="CUIT" dataDxfId="1619" dataCellStyle="Normal 3"/>
    <tableColumn id="5" xr3:uid="{00000000-0010-0000-0600-000005000000}" name="RAZON SOCIAL" dataDxfId="1618" dataCellStyle="Normal 3">
      <calculatedColumnFormula>IFERROR(IF(retenciones_mes1[[#This Row],[CUIT]]="","-",VLOOKUP(retenciones_mes1[[#This Row],[CUIT]],Lista_CUIT[#All],2,0)),"CUIT NO CARGADO")</calculatedColumnFormula>
    </tableColumn>
    <tableColumn id="6" xr3:uid="{00000000-0010-0000-0600-000006000000}" name="Ganancias" dataDxfId="1617" dataCellStyle="Normal 3"/>
    <tableColumn id="7" xr3:uid="{00000000-0010-0000-0600-000007000000}" name="IVA" dataDxfId="1616" dataCellStyle="Normal 3"/>
    <tableColumn id="8" xr3:uid="{00000000-0010-0000-0600-000008000000}" name="SUSS" dataDxfId="1615" dataCellStyle="Normal 3"/>
    <tableColumn id="9" xr3:uid="{00000000-0010-0000-0600-000009000000}" name="IIBB BSAS" dataDxfId="1614" dataCellStyle="Normal 3"/>
    <tableColumn id="10" xr3:uid="{00000000-0010-0000-0600-00000A000000}" name="IIBB CABA" dataDxfId="1613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compras_mes2" displayName="compras_mes2" ref="B8:R27" totalsRowCount="1" headerRowDxfId="1612" totalsRowDxfId="1611">
  <autoFilter ref="B8:R26" xr:uid="{00000000-0009-0000-0100-000007000000}"/>
  <sortState xmlns:xlrd2="http://schemas.microsoft.com/office/spreadsheetml/2017/richdata2" ref="B9:R34">
    <sortCondition ref="B9:B34"/>
  </sortState>
  <tableColumns count="17">
    <tableColumn id="1" xr3:uid="{00000000-0010-0000-0700-000001000000}" name="FECHA" totalsRowLabel="Total" dataDxfId="1610" totalsRowDxfId="1609" dataCellStyle="Normal 3"/>
    <tableColumn id="2" xr3:uid="{00000000-0010-0000-0700-000002000000}" name="TIPO" dataDxfId="1608" totalsRowDxfId="1607" dataCellStyle="Normal 3"/>
    <tableColumn id="3" xr3:uid="{00000000-0010-0000-0700-000003000000}" name="PTO VTA" dataDxfId="1606" totalsRowDxfId="1605" dataCellStyle="Normal 3"/>
    <tableColumn id="4" xr3:uid="{00000000-0010-0000-0700-000004000000}" name="NRO. CPTE" dataDxfId="1604" totalsRowDxfId="1603" dataCellStyle="Normal 3"/>
    <tableColumn id="5" xr3:uid="{00000000-0010-0000-0700-000005000000}" name="CUIT" dataDxfId="1602" totalsRowDxfId="1601" dataCellStyle="Normal 3"/>
    <tableColumn id="6" xr3:uid="{00000000-0010-0000-0700-000006000000}" name="RAZON SOCIAL" dataDxfId="1600" totalsRowDxfId="1599" dataCellStyle="Normal 3">
      <calculatedColumnFormula>IFERROR(IF(compras_mes2[[#This Row],[CUIT]]="","-",VLOOKUP(compras_mes2[[#This Row],[CUIT]],Lista_CUIT[#All],2,0)),"CUIT NO CARGADO")</calculatedColumnFormula>
    </tableColumn>
    <tableColumn id="7" xr3:uid="{00000000-0010-0000-0700-000007000000}" name="NETO GRAVADO" totalsRowFunction="sum" dataDxfId="1598" totalsRowDxfId="1597" dataCellStyle="Normal 3"/>
    <tableColumn id="8" xr3:uid="{00000000-0010-0000-0700-000008000000}" name="IVA 21 %" totalsRowFunction="sum" dataDxfId="1596" totalsRowDxfId="1595" dataCellStyle="Normal 3">
      <calculatedColumnFormula>compras_mes2[[#This Row],[NETO GRAVADO]]*0.21</calculatedColumnFormula>
    </tableColumn>
    <tableColumn id="9" xr3:uid="{00000000-0010-0000-0700-000009000000}" name="IVA 27%" totalsRowFunction="sum" dataDxfId="1594" totalsRowDxfId="1593" dataCellStyle="Normal 3"/>
    <tableColumn id="10" xr3:uid="{00000000-0010-0000-0700-00000A000000}" name="IVA 10,5%" totalsRowFunction="sum" dataDxfId="1592" totalsRowDxfId="1591" dataCellStyle="Normal 3"/>
    <tableColumn id="11" xr3:uid="{00000000-0010-0000-0700-00000B000000}" name="PERC. IVA" totalsRowFunction="sum" dataDxfId="1590" totalsRowDxfId="1589" dataCellStyle="Normal 3"/>
    <tableColumn id="12" xr3:uid="{00000000-0010-0000-0700-00000C000000}" name="PERC IIBB _x000a_BS AS" totalsRowFunction="sum" dataDxfId="1588" totalsRowDxfId="1587" dataCellStyle="Normal 3"/>
    <tableColumn id="13" xr3:uid="{00000000-0010-0000-0700-00000D000000}" name="PERC. IIBB CABA" totalsRowFunction="sum" dataDxfId="1586" totalsRowDxfId="1585" dataCellStyle="Normal 3"/>
    <tableColumn id="14" xr3:uid="{00000000-0010-0000-0700-00000E000000}" name="Otros / No Grav." totalsRowFunction="sum" dataDxfId="1584" totalsRowDxfId="1583" dataCellStyle="Normal 3"/>
    <tableColumn id="15" xr3:uid="{00000000-0010-0000-0700-00000F000000}" name="TOTAL" totalsRowFunction="sum" dataDxfId="1582" totalsRowDxfId="1581" dataCellStyle="Normal 3">
      <calculatedColumnFormula>SUM(compras_mes2[[#This Row],[NETO GRAVADO]:[Otros / No Grav.]])</calculatedColumnFormula>
    </tableColumn>
    <tableColumn id="16" xr3:uid="{00000000-0010-0000-0700-000010000000}" name="Tipo de Gasto" dataDxfId="1580" totalsRowDxfId="1579" dataCellStyle="Normal 3">
      <calculatedColumnFormula>IFERROR(IF(compras_mes2[[#This Row],[CUIT]]="","-",VLOOKUP(compras_mes2[[#This Row],[CUIT]],Lista_CUIT[#All],3,0)),"CUIT NO CARGADO")</calculatedColumnFormula>
    </tableColumn>
    <tableColumn id="17" xr3:uid="{00000000-0010-0000-0700-000011000000}" name="Provincia" dataDxfId="1578" totalsRowDxfId="1577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ura_c_mes2" displayName="factura_c_mes2" ref="D42:K52" totalsRowCount="1" headerRowDxfId="1576" totalsRowDxfId="1575" headerRowCellStyle="Normal 3">
  <autoFilter ref="D42:K51" xr:uid="{00000000-0009-0000-0100-000009000000}"/>
  <tableColumns count="8">
    <tableColumn id="1" xr3:uid="{00000000-0010-0000-0800-000001000000}" name="FECHA" totalsRowLabel="Total" dataDxfId="1574" totalsRowDxfId="1573" dataCellStyle="Normal 3"/>
    <tableColumn id="2" xr3:uid="{00000000-0010-0000-0800-000002000000}" name="PTO VTA" dataDxfId="1572" totalsRowDxfId="1571" dataCellStyle="Normal 3"/>
    <tableColumn id="3" xr3:uid="{00000000-0010-0000-0800-000003000000}" name="FC Nº" dataDxfId="1570" totalsRowDxfId="1569" dataCellStyle="Normal 3"/>
    <tableColumn id="4" xr3:uid="{00000000-0010-0000-0800-000004000000}" name="CUIT" dataDxfId="1568" totalsRowDxfId="1567" dataCellStyle="Normal 3"/>
    <tableColumn id="5" xr3:uid="{00000000-0010-0000-0800-000005000000}" name="RAZON SOCIAL" dataDxfId="1566" totalsRowDxfId="1565" dataCellStyle="Normal 3">
      <calculatedColumnFormula>IFERROR(IF(factura_c_mes2[[#This Row],[CUIT]]="","-",VLOOKUP(factura_c_mes2[[#This Row],[CUIT]],Lista_CUIT[#All],2,0)),"CUIT NO CARGADO")</calculatedColumnFormula>
    </tableColumn>
    <tableColumn id="6" xr3:uid="{00000000-0010-0000-0800-000006000000}" name="TOTAL" totalsRowFunction="sum" dataDxfId="1564" totalsRowDxfId="1563" dataCellStyle="Normal 3"/>
    <tableColumn id="7" xr3:uid="{00000000-0010-0000-0800-000007000000}" name="TIPO DE GASTO" dataDxfId="1562" totalsRowDxfId="1561" dataCellStyle="Normal 3">
      <calculatedColumnFormula>IFERROR(IF(factura_c_mes2[[#This Row],[CUIT]]="","-",VLOOKUP(factura_c_mes2[[#This Row],[CUIT]],Lista_CUIT[#All],3,0)),"CUIT NO CARGADO")</calculatedColumnFormula>
    </tableColumn>
    <tableColumn id="8" xr3:uid="{00000000-0010-0000-0800-000008000000}" name="Provincia" dataDxfId="1560" totalsRowDxfId="1559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venta_a_mes2" displayName="venta_a_mes2" ref="B60:M90" totalsRowCount="1" headerRowDxfId="1558" dataDxfId="1556" headerRowBorderDxfId="1557" tableBorderDxfId="1555" totalsRowBorderDxfId="1554" dataCellStyle="Normal 3">
  <autoFilter ref="B60:M89" xr:uid="{00000000-0009-0000-0100-00000B000000}"/>
  <tableColumns count="12">
    <tableColumn id="1" xr3:uid="{00000000-0010-0000-0900-000001000000}" name="FECHA" totalsRowLabel="Total" dataDxfId="1553" totalsRowDxfId="1552" dataCellStyle="Normal 3"/>
    <tableColumn id="2" xr3:uid="{00000000-0010-0000-0900-000002000000}" name="TIPO" dataDxfId="1551" totalsRowDxfId="1550" dataCellStyle="Normal 3"/>
    <tableColumn id="3" xr3:uid="{00000000-0010-0000-0900-000003000000}" name="PTO VENTA" dataDxfId="1549" totalsRowDxfId="1548" dataCellStyle="Normal 3"/>
    <tableColumn id="4" xr3:uid="{00000000-0010-0000-0900-000004000000}" name="Nº FACTURA" dataDxfId="1547" totalsRowDxfId="1546" dataCellStyle="Normal 3"/>
    <tableColumn id="5" xr3:uid="{00000000-0010-0000-0900-000005000000}" name="CUIT" dataDxfId="1545" totalsRowDxfId="1544" dataCellStyle="Normal 3"/>
    <tableColumn id="6" xr3:uid="{00000000-0010-0000-0900-000006000000}" name="RAZON SOCIAL" dataDxfId="1543" totalsRowDxfId="1542" dataCellStyle="Normal 3">
      <calculatedColumnFormula>IFERROR(IF(venta_a_mes2[[#This Row],[CUIT]]="","-",VLOOKUP(venta_a_mes2[[#This Row],[CUIT]],Lista_CUIT[#All],2,0)),"CUIT NO CARGADO")</calculatedColumnFormula>
    </tableColumn>
    <tableColumn id="7" xr3:uid="{00000000-0010-0000-0900-000007000000}" name="IMPORTE NETO" totalsRowFunction="sum" dataDxfId="1541" totalsRowDxfId="1540" dataCellStyle="Normal 3"/>
    <tableColumn id="8" xr3:uid="{00000000-0010-0000-0900-000008000000}" name="IVA 21%" totalsRowFunction="sum" dataDxfId="1539" totalsRowDxfId="1538" dataCellStyle="Normal 3">
      <calculatedColumnFormula>venta_a_mes2[[#This Row],[IMPORTE NETO]]*0.21</calculatedColumnFormula>
    </tableColumn>
    <tableColumn id="9" xr3:uid="{00000000-0010-0000-0900-000009000000}" name="IVA 10,5%" totalsRowFunction="sum" dataDxfId="1537" totalsRowDxfId="1536" dataCellStyle="Normal 3"/>
    <tableColumn id="10" xr3:uid="{00000000-0010-0000-0900-00000A000000}" name="EXENTO" totalsRowFunction="sum" dataDxfId="1535" totalsRowDxfId="1534" dataCellStyle="Normal 3"/>
    <tableColumn id="11" xr3:uid="{00000000-0010-0000-0900-00000B000000}" name="TOTAL" totalsRowFunction="sum" dataDxfId="1533" totalsRowDxfId="1532" dataCellStyle="Normal 3">
      <calculatedColumnFormula>SUM(venta_a_mes2[[#This Row],[IMPORTE NETO]:[EXENTO]])</calculatedColumnFormula>
    </tableColumn>
    <tableColumn id="12" xr3:uid="{00000000-0010-0000-0900-00000C000000}" name="Provincia" totalsRowFunction="count" dataDxfId="1531" totalsRowDxfId="1530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ventas_b_mes2" displayName="ventas_b_mes2" ref="B93:M110" totalsRowCount="1" headerRowDxfId="1529" dataDxfId="1527" headerRowBorderDxfId="1528" tableBorderDxfId="1526" totalsRowBorderDxfId="1525" dataCellStyle="Normal 3">
  <autoFilter ref="B93:M109" xr:uid="{00000000-0009-0000-0100-00000C000000}"/>
  <tableColumns count="12">
    <tableColumn id="1" xr3:uid="{00000000-0010-0000-0A00-000001000000}" name="FECHA" totalsRowLabel="Total" dataDxfId="1524" totalsRowDxfId="1523" dataCellStyle="Normal 3"/>
    <tableColumn id="2" xr3:uid="{00000000-0010-0000-0A00-000002000000}" name="TIPO" dataDxfId="1522" totalsRowDxfId="1521" dataCellStyle="Normal 3"/>
    <tableColumn id="3" xr3:uid="{00000000-0010-0000-0A00-000003000000}" name="PTO VENTA" dataDxfId="1520" totalsRowDxfId="1519" dataCellStyle="Normal 3"/>
    <tableColumn id="4" xr3:uid="{00000000-0010-0000-0A00-000004000000}" name="Nº FACTURA" dataDxfId="1518" totalsRowDxfId="1517" dataCellStyle="Normal 3"/>
    <tableColumn id="5" xr3:uid="{00000000-0010-0000-0A00-000005000000}" name="CUIT" dataDxfId="1516" totalsRowDxfId="1515" dataCellStyle="Normal 3"/>
    <tableColumn id="6" xr3:uid="{00000000-0010-0000-0A00-000006000000}" name="RAZON SOCIAL" dataDxfId="1514" totalsRowDxfId="1513" dataCellStyle="Normal 3">
      <calculatedColumnFormula>IFERROR(IF(ventas_b_mes2[[#This Row],[CUIT]]="","-",VLOOKUP(ventas_b_mes2[[#This Row],[CUIT]],Lista_CUIT[#All],2,0)),"CUIT NO CARGADO")</calculatedColumnFormula>
    </tableColumn>
    <tableColumn id="7" xr3:uid="{00000000-0010-0000-0A00-000007000000}" name="IMPORTE NETO" totalsRowFunction="sum" dataDxfId="1512" totalsRowDxfId="1511" dataCellStyle="Normal 3">
      <calculatedColumnFormula>ventas_b_mes2[[#This Row],[TOTAL]]/1.21</calculatedColumnFormula>
    </tableColumn>
    <tableColumn id="8" xr3:uid="{00000000-0010-0000-0A00-000008000000}" name="IVA 21%" totalsRowFunction="sum" dataDxfId="1510" totalsRowDxfId="1509" dataCellStyle="Normal 3">
      <calculatedColumnFormula>ventas_b_mes2[[#This Row],[IMPORTE NETO]]*0.21</calculatedColumnFormula>
    </tableColumn>
    <tableColumn id="9" xr3:uid="{00000000-0010-0000-0A00-000009000000}" name="IVA 10,5%" totalsRowFunction="sum" dataDxfId="1508" totalsRowDxfId="1507" dataCellStyle="Normal 3"/>
    <tableColumn id="10" xr3:uid="{00000000-0010-0000-0A00-00000A000000}" name="EXENTO" totalsRowFunction="sum" dataDxfId="1506" totalsRowDxfId="1505" dataCellStyle="Normal 3"/>
    <tableColumn id="11" xr3:uid="{00000000-0010-0000-0A00-00000B000000}" name="TOTAL" totalsRowFunction="sum" dataDxfId="1504" totalsRowDxfId="1503" dataCellStyle="Normal 3"/>
    <tableColumn id="12" xr3:uid="{00000000-0010-0000-0A00-00000C000000}" name="Provincia" totalsRowFunction="count" dataDxfId="1502" totalsRowDxfId="1501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extracto_banco_mes2" displayName="extracto_banco_mes2" ref="D33:M37" totalsRowCount="1" headerRowDxfId="1500" dataDxfId="1499" tableBorderDxfId="1498" dataCellStyle="Normal 3">
  <autoFilter ref="D33:M36" xr:uid="{00000000-0009-0000-0100-00000D000000}"/>
  <tableColumns count="10">
    <tableColumn id="1" xr3:uid="{00000000-0010-0000-0B00-000001000000}" name="FECHA" totalsRowLabel="Total" dataDxfId="1497" totalsRowDxfId="1496" dataCellStyle="Normal 3"/>
    <tableColumn id="2" xr3:uid="{00000000-0010-0000-0B00-000002000000}" name="NRO CPTE" dataDxfId="1495" totalsRowDxfId="1494"/>
    <tableColumn id="3" xr3:uid="{00000000-0010-0000-0B00-000003000000}" name="BANCO" dataDxfId="1493" totalsRowDxfId="1492"/>
    <tableColumn id="4" xr3:uid="{00000000-0010-0000-0B00-000004000000}" name="NETO" totalsRowFunction="sum" dataDxfId="1491" totalsRowDxfId="1490" dataCellStyle="Normal 3"/>
    <tableColumn id="5" xr3:uid="{00000000-0010-0000-0B00-000005000000}" name="IVA 21%" totalsRowFunction="sum" dataDxfId="1489" totalsRowDxfId="1488" dataCellStyle="Normal 3"/>
    <tableColumn id="6" xr3:uid="{00000000-0010-0000-0B00-000006000000}" name="IVA 10,5%" totalsRowFunction="sum" dataDxfId="1487" totalsRowDxfId="1486" dataCellStyle="Normal 3"/>
    <tableColumn id="7" xr3:uid="{00000000-0010-0000-0B00-000007000000}" name="RET IIBB CABA" totalsRowFunction="sum" dataDxfId="1485" totalsRowDxfId="1484" dataCellStyle="Normal 3"/>
    <tableColumn id="8" xr3:uid="{00000000-0010-0000-0B00-000008000000}" name="PERC IVA" totalsRowFunction="sum" dataDxfId="1483" totalsRowDxfId="1482" dataCellStyle="Normal 3"/>
    <tableColumn id="9" xr3:uid="{00000000-0010-0000-0B00-000009000000}" name="PERC IIBB" totalsRowFunction="sum" dataDxfId="1481" totalsRowDxfId="1480" dataCellStyle="Normal 3"/>
    <tableColumn id="10" xr3:uid="{E43A0209-4434-4391-AB9E-D4855D45EC92}" name="TOTAL" dataDxfId="1479" totalsRowDxfId="1478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etenciones_mes2" displayName="Retenciones_mes2" ref="C119:L124" totalsRowShown="0" headerRowDxfId="1477" dataDxfId="1476" headerRowCellStyle="Normal 3" dataCellStyle="Normal 3">
  <autoFilter ref="C119:L124" xr:uid="{00000000-0009-0000-0100-00000E000000}"/>
  <tableColumns count="10">
    <tableColumn id="1" xr3:uid="{00000000-0010-0000-0C00-000001000000}" name="FECHA " dataDxfId="1475" dataCellStyle="Normal 3"/>
    <tableColumn id="2" xr3:uid="{00000000-0010-0000-0C00-000002000000}" name="COMP Nº" dataDxfId="1474" dataCellStyle="Normal 3"/>
    <tableColumn id="3" xr3:uid="{00000000-0010-0000-0C00-000003000000}" name="Columna1" dataDxfId="1473" dataCellStyle="Normal 3"/>
    <tableColumn id="4" xr3:uid="{00000000-0010-0000-0C00-000004000000}" name="CUIT" dataDxfId="1472" dataCellStyle="Normal 3"/>
    <tableColumn id="5" xr3:uid="{00000000-0010-0000-0C00-000005000000}" name="RAZON SOCIAL" dataDxfId="1471" dataCellStyle="Normal 3">
      <calculatedColumnFormula>IFERROR(IF(Retenciones_mes2[[#This Row],[CUIT]]="","-",VLOOKUP(Retenciones_mes2[[#This Row],[CUIT]],Lista_CUIT[#All],2,0)),"CUIT NO CARGADO")</calculatedColumnFormula>
    </tableColumn>
    <tableColumn id="6" xr3:uid="{00000000-0010-0000-0C00-000006000000}" name="Ganancias" dataDxfId="1470" dataCellStyle="Normal 3"/>
    <tableColumn id="7" xr3:uid="{00000000-0010-0000-0C00-000007000000}" name="IVA" dataDxfId="1469" dataCellStyle="Normal 3"/>
    <tableColumn id="8" xr3:uid="{00000000-0010-0000-0C00-000008000000}" name="SUSS" dataDxfId="1468" dataCellStyle="Normal 3"/>
    <tableColumn id="9" xr3:uid="{00000000-0010-0000-0C00-000009000000}" name="IIBB BSAS" dataDxfId="1467" dataCellStyle="Normal 3"/>
    <tableColumn id="10" xr3:uid="{00000000-0010-0000-0C00-00000A000000}" name="IIBB CABA" dataDxfId="1466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compras_mes3" displayName="compras_mes3" ref="B8:R43" totalsRowCount="1" headerRowDxfId="1465" totalsRowDxfId="1464">
  <autoFilter ref="B8:R42" xr:uid="{00000000-0009-0000-0100-00000F000000}"/>
  <sortState xmlns:xlrd2="http://schemas.microsoft.com/office/spreadsheetml/2017/richdata2" ref="B9:R42">
    <sortCondition ref="E8:E42"/>
  </sortState>
  <tableColumns count="17">
    <tableColumn id="1" xr3:uid="{00000000-0010-0000-0D00-000001000000}" name="FECHA" totalsRowLabel="Total" dataDxfId="1463" totalsRowDxfId="1462" dataCellStyle="Normal 3"/>
    <tableColumn id="2" xr3:uid="{00000000-0010-0000-0D00-000002000000}" name="TIPO" dataDxfId="1461" totalsRowDxfId="1460" dataCellStyle="Normal 3"/>
    <tableColumn id="3" xr3:uid="{00000000-0010-0000-0D00-000003000000}" name="PTO VTA" dataDxfId="1459" totalsRowDxfId="1458" dataCellStyle="Normal 3"/>
    <tableColumn id="4" xr3:uid="{00000000-0010-0000-0D00-000004000000}" name="NRO. CPTE" dataDxfId="1457" totalsRowDxfId="1456" dataCellStyle="Normal 3"/>
    <tableColumn id="5" xr3:uid="{00000000-0010-0000-0D00-000005000000}" name="CUIT" dataDxfId="1455" totalsRowDxfId="1454" dataCellStyle="Normal 3"/>
    <tableColumn id="6" xr3:uid="{00000000-0010-0000-0D00-000006000000}" name="RAZON SOCIAL" dataDxfId="1453" totalsRowDxfId="1452" dataCellStyle="Normal 3">
      <calculatedColumnFormula>IFERROR(IF(compras_mes3[[#This Row],[CUIT]]="","-",VLOOKUP(compras_mes3[[#This Row],[CUIT]],Lista_CUIT[#All],2,0)),"CUIT NO CARGADO")</calculatedColumnFormula>
    </tableColumn>
    <tableColumn id="7" xr3:uid="{00000000-0010-0000-0D00-000007000000}" name="NETO GRAVADO" totalsRowFunction="sum" dataDxfId="1451" totalsRowDxfId="1450" dataCellStyle="Normal 3"/>
    <tableColumn id="8" xr3:uid="{00000000-0010-0000-0D00-000008000000}" name="IVA 21 %" totalsRowFunction="sum" dataDxfId="1449" totalsRowDxfId="1448" dataCellStyle="Normal 3">
      <calculatedColumnFormula>IF(compras_mes3[[#This Row],[NETO GRAVADO]]="","",compras_mes3[[#This Row],[NETO GRAVADO]]*0.21)</calculatedColumnFormula>
    </tableColumn>
    <tableColumn id="9" xr3:uid="{00000000-0010-0000-0D00-000009000000}" name="IVA 27%" totalsRowFunction="sum" dataDxfId="1447" totalsRowDxfId="1446" dataCellStyle="Normal 3"/>
    <tableColumn id="10" xr3:uid="{00000000-0010-0000-0D00-00000A000000}" name="IVA 10,5%" totalsRowFunction="sum" dataDxfId="1445" totalsRowDxfId="1444" dataCellStyle="Normal 3"/>
    <tableColumn id="11" xr3:uid="{00000000-0010-0000-0D00-00000B000000}" name="PERC. IVA" totalsRowFunction="sum" dataDxfId="1443" totalsRowDxfId="1442" dataCellStyle="Normal 3"/>
    <tableColumn id="12" xr3:uid="{00000000-0010-0000-0D00-00000C000000}" name="PERC IIBB _x000a_BS AS" totalsRowFunction="sum" dataDxfId="1441" totalsRowDxfId="1440" dataCellStyle="Normal 3"/>
    <tableColumn id="13" xr3:uid="{00000000-0010-0000-0D00-00000D000000}" name="PERC. IIBB CABA" totalsRowFunction="sum" dataDxfId="1439" totalsRowDxfId="1438" dataCellStyle="Normal 3"/>
    <tableColumn id="14" xr3:uid="{00000000-0010-0000-0D00-00000E000000}" name="Otros / No Grav." totalsRowFunction="sum" dataDxfId="1437" totalsRowDxfId="1436" dataCellStyle="Normal 3"/>
    <tableColumn id="15" xr3:uid="{00000000-0010-0000-0D00-00000F000000}" name="TOTAL" totalsRowFunction="sum" dataDxfId="1435" totalsRowDxfId="1434" dataCellStyle="Normal 3">
      <calculatedColumnFormula>SUM(compras_mes3[[#This Row],[NETO GRAVADO]:[Otros / No Grav.]])</calculatedColumnFormula>
    </tableColumn>
    <tableColumn id="16" xr3:uid="{00000000-0010-0000-0D00-000010000000}" name="Tipo de Gasto" dataDxfId="1433" totalsRowDxfId="1432" dataCellStyle="Normal 3">
      <calculatedColumnFormula>IFERROR(IF(compras_mes3[[#This Row],[CUIT]]="","-",VLOOKUP(compras_mes3[[#This Row],[CUIT]],Lista_CUIT[#All],3,0)),"CUIT NO CARGADO")</calculatedColumnFormula>
    </tableColumn>
    <tableColumn id="17" xr3:uid="{00000000-0010-0000-0D00-000011000000}" name="Provincia" dataDxfId="1431" totalsRowDxfId="1430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factura_c_mes3" displayName="factura_c_mes3" ref="D58:K67" totalsRowCount="1" headerRowDxfId="1429" totalsRowDxfId="1428" headerRowCellStyle="Normal 3">
  <autoFilter ref="D58:K66" xr:uid="{00000000-0009-0000-0100-000010000000}"/>
  <tableColumns count="8">
    <tableColumn id="1" xr3:uid="{00000000-0010-0000-0E00-000001000000}" name="FECHA" totalsRowLabel="Total" dataDxfId="1427" totalsRowDxfId="1426" dataCellStyle="Normal 3"/>
    <tableColumn id="2" xr3:uid="{00000000-0010-0000-0E00-000002000000}" name="PTO VTA" dataDxfId="1425" totalsRowDxfId="1424" dataCellStyle="Normal 3"/>
    <tableColumn id="3" xr3:uid="{00000000-0010-0000-0E00-000003000000}" name="FC Nº" dataDxfId="1423" totalsRowDxfId="1422" dataCellStyle="Normal 3"/>
    <tableColumn id="4" xr3:uid="{00000000-0010-0000-0E00-000004000000}" name="CUIT" dataDxfId="1421" totalsRowDxfId="1420" dataCellStyle="Normal 3"/>
    <tableColumn id="5" xr3:uid="{00000000-0010-0000-0E00-000005000000}" name="RAZON SOCIAL" dataDxfId="1419" totalsRowDxfId="1418" dataCellStyle="Normal 3">
      <calculatedColumnFormula>IFERROR(IF(factura_c_mes3[[#This Row],[CUIT]]="","-",VLOOKUP(factura_c_mes3[[#This Row],[CUIT]],Lista_CUIT[#All],2,0)),"CUIT NO CARGADO")</calculatedColumnFormula>
    </tableColumn>
    <tableColumn id="6" xr3:uid="{00000000-0010-0000-0E00-000006000000}" name="TOTAL" totalsRowFunction="sum" dataDxfId="1417" totalsRowDxfId="1416" dataCellStyle="Normal 3"/>
    <tableColumn id="7" xr3:uid="{00000000-0010-0000-0E00-000007000000}" name="TIPO DE GASTO" dataDxfId="1415" totalsRowDxfId="1414" dataCellStyle="Normal 3">
      <calculatedColumnFormula>IFERROR(IF(factura_c_mes3[[#This Row],[CUIT]]="","-",VLOOKUP(factura_c_mes3[[#This Row],[CUIT]],Lista_CUIT[#All],3,0)),"CUIT NO CARGADO")</calculatedColumnFormula>
    </tableColumn>
    <tableColumn id="8" xr3:uid="{00000000-0010-0000-0E00-000008000000}" name="Provincia" dataDxfId="1413" totalsRowDxfId="1412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venta_a_mes3" displayName="venta_a_mes3" ref="B76:M107" totalsRowCount="1" headerRowDxfId="1411" dataDxfId="1409" headerRowBorderDxfId="1410" tableBorderDxfId="1408" totalsRowBorderDxfId="1407" dataCellStyle="Normal 3">
  <autoFilter ref="B76:M106" xr:uid="{00000000-0009-0000-0100-000011000000}"/>
  <sortState xmlns:xlrd2="http://schemas.microsoft.com/office/spreadsheetml/2017/richdata2" ref="B77:M106">
    <sortCondition ref="E76:E106"/>
  </sortState>
  <tableColumns count="12">
    <tableColumn id="1" xr3:uid="{00000000-0010-0000-0F00-000001000000}" name="FECHA" totalsRowLabel="Total" dataDxfId="1406" totalsRowDxfId="1405" dataCellStyle="Normal 3"/>
    <tableColumn id="2" xr3:uid="{00000000-0010-0000-0F00-000002000000}" name="TIPO" dataDxfId="1404" totalsRowDxfId="1403" dataCellStyle="Normal 3"/>
    <tableColumn id="3" xr3:uid="{00000000-0010-0000-0F00-000003000000}" name="PTO VENTA" dataDxfId="1402" totalsRowDxfId="1401" dataCellStyle="Normal 3"/>
    <tableColumn id="4" xr3:uid="{00000000-0010-0000-0F00-000004000000}" name="Nº FACTURA" dataDxfId="1400" totalsRowDxfId="1399" dataCellStyle="Normal 3"/>
    <tableColumn id="5" xr3:uid="{00000000-0010-0000-0F00-000005000000}" name="CUIT" dataDxfId="1398" totalsRowDxfId="1397" dataCellStyle="Normal 3"/>
    <tableColumn id="6" xr3:uid="{00000000-0010-0000-0F00-000006000000}" name="RAZON SOCIAL" dataDxfId="1396" totalsRowDxfId="1395" dataCellStyle="Normal 3">
      <calculatedColumnFormula>IFERROR(IF(venta_a_mes3[[#This Row],[CUIT]]="","-",VLOOKUP(venta_a_mes3[[#This Row],[CUIT]],Lista_CUIT[#All],2,0)),"CUIT NO CARGADO")</calculatedColumnFormula>
    </tableColumn>
    <tableColumn id="7" xr3:uid="{00000000-0010-0000-0F00-000007000000}" name="IMPORTE NETO" totalsRowFunction="sum" dataDxfId="1394" totalsRowDxfId="1393" dataCellStyle="Normal 3"/>
    <tableColumn id="8" xr3:uid="{00000000-0010-0000-0F00-000008000000}" name="IVA 21%" totalsRowFunction="sum" dataDxfId="1392" totalsRowDxfId="1391" dataCellStyle="Normal 3">
      <calculatedColumnFormula>venta_a_mes3[[#This Row],[IMPORTE NETO]]*0.21</calculatedColumnFormula>
    </tableColumn>
    <tableColumn id="9" xr3:uid="{00000000-0010-0000-0F00-000009000000}" name="IVA 10,5%" totalsRowFunction="sum" dataDxfId="1390" totalsRowDxfId="1389" dataCellStyle="Normal 3"/>
    <tableColumn id="10" xr3:uid="{00000000-0010-0000-0F00-00000A000000}" name="EXENTO" totalsRowFunction="sum" dataDxfId="1388" totalsRowDxfId="1387" dataCellStyle="Normal 3"/>
    <tableColumn id="11" xr3:uid="{00000000-0010-0000-0F00-00000B000000}" name="TOTAL" totalsRowFunction="sum" dataDxfId="1386" totalsRowDxfId="1385" dataCellStyle="Normal 3">
      <calculatedColumnFormula>SUM(venta_a_mes3[[#This Row],[IMPORTE NETO]:[EXENTO]])</calculatedColumnFormula>
    </tableColumn>
    <tableColumn id="12" xr3:uid="{00000000-0010-0000-0F00-00000C000000}" name="Provincia" totalsRowFunction="count" dataDxfId="1384" totalsRowDxfId="1383" dataCellStyle="Normal 3"/>
  </tableColumns>
  <tableStyleInfo name="Tabla Ventas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ventas_b_mes3" displayName="ventas_b_mes3" ref="B110:M117" totalsRowCount="1" headerRowDxfId="1382" dataDxfId="1380" headerRowBorderDxfId="1381" tableBorderDxfId="1379" totalsRowBorderDxfId="1378" dataCellStyle="Normal 3">
  <autoFilter ref="B110:M116" xr:uid="{00000000-0009-0000-0100-000012000000}"/>
  <tableColumns count="12">
    <tableColumn id="1" xr3:uid="{00000000-0010-0000-1000-000001000000}" name="FECHA" totalsRowLabel="Total" dataDxfId="1377" totalsRowDxfId="1376" dataCellStyle="Normal 3"/>
    <tableColumn id="2" xr3:uid="{00000000-0010-0000-1000-000002000000}" name="TIPO" dataDxfId="1375" totalsRowDxfId="1374" dataCellStyle="Normal 3"/>
    <tableColumn id="3" xr3:uid="{00000000-0010-0000-1000-000003000000}" name="PTO VENTA" dataDxfId="1373" totalsRowDxfId="1372" dataCellStyle="Normal 3"/>
    <tableColumn id="4" xr3:uid="{00000000-0010-0000-1000-000004000000}" name="Nº FACTURA" dataDxfId="1371" totalsRowDxfId="1370" dataCellStyle="Normal 3"/>
    <tableColumn id="5" xr3:uid="{00000000-0010-0000-1000-000005000000}" name="CUIT" dataDxfId="1369" totalsRowDxfId="1368" dataCellStyle="Normal 3"/>
    <tableColumn id="6" xr3:uid="{00000000-0010-0000-1000-000006000000}" name="RAZON SOCIAL" dataDxfId="1367" totalsRowDxfId="1366" dataCellStyle="Normal 3">
      <calculatedColumnFormula>IFERROR(IF(ventas_b_mes3[[#This Row],[CUIT]]="","-",VLOOKUP(ventas_b_mes3[[#This Row],[CUIT]],Lista_CUIT[#All],2,0)),"CUIT NO CARGADO")</calculatedColumnFormula>
    </tableColumn>
    <tableColumn id="7" xr3:uid="{00000000-0010-0000-1000-000007000000}" name="IMPORTE NETO" totalsRowFunction="sum" dataDxfId="1365" totalsRowDxfId="1364" dataCellStyle="Normal 3"/>
    <tableColumn id="8" xr3:uid="{00000000-0010-0000-1000-000008000000}" name="IVA 21%" totalsRowFunction="sum" dataDxfId="1363" totalsRowDxfId="1362" dataCellStyle="Normal 3">
      <calculatedColumnFormula>ventas_b_mes3[[#This Row],[IMPORTE NETO]]*0.21</calculatedColumnFormula>
    </tableColumn>
    <tableColumn id="9" xr3:uid="{00000000-0010-0000-1000-000009000000}" name="IVA 10,5%" totalsRowFunction="sum" dataDxfId="1361" totalsRowDxfId="1360" dataCellStyle="Normal 3"/>
    <tableColumn id="10" xr3:uid="{00000000-0010-0000-1000-00000A000000}" name="EXENTO" totalsRowFunction="sum" dataDxfId="1359" totalsRowDxfId="1358" dataCellStyle="Normal 3"/>
    <tableColumn id="11" xr3:uid="{00000000-0010-0000-1000-00000B000000}" name="TOTAL" totalsRowFunction="sum" dataDxfId="1357" totalsRowDxfId="1356" dataCellStyle="Normal 3">
      <calculatedColumnFormula>SUM(ventas_b_mes3[[#This Row],[IMPORTE NETO]:[EXENTO]])</calculatedColumnFormula>
    </tableColumn>
    <tableColumn id="12" xr3:uid="{00000000-0010-0000-1000-00000C000000}" name="Provincia" totalsRowFunction="count" dataDxfId="1355" totalsRowDxfId="1354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extracto_banco_mes3" displayName="extracto_banco_mes3" ref="D49:M53" totalsRowCount="1" headerRowDxfId="1353" dataDxfId="1352" tableBorderDxfId="1351" dataCellStyle="Normal 3">
  <autoFilter ref="D49:M52" xr:uid="{00000000-0009-0000-0100-000013000000}"/>
  <tableColumns count="10">
    <tableColumn id="1" xr3:uid="{00000000-0010-0000-1100-000001000000}" name="FECHA" totalsRowLabel="Total" dataDxfId="1350" totalsRowDxfId="1349" dataCellStyle="Normal 3"/>
    <tableColumn id="2" xr3:uid="{00000000-0010-0000-1100-000002000000}" name="NRO CPTE" dataDxfId="1348" totalsRowDxfId="1347"/>
    <tableColumn id="3" xr3:uid="{00000000-0010-0000-1100-000003000000}" name="BANCO" dataDxfId="1346" totalsRowDxfId="1345"/>
    <tableColumn id="4" xr3:uid="{00000000-0010-0000-1100-000004000000}" name="NETO" totalsRowFunction="sum" dataDxfId="1344" totalsRowDxfId="1343" dataCellStyle="Normal 3">
      <calculatedColumnFormula>extracto_banco_mes3[[#This Row],[IVA 21%]]/0.21</calculatedColumnFormula>
    </tableColumn>
    <tableColumn id="5" xr3:uid="{00000000-0010-0000-1100-000005000000}" name="IVA 21%" totalsRowFunction="sum" dataDxfId="1342" totalsRowDxfId="1341" dataCellStyle="Normal 3"/>
    <tableColumn id="6" xr3:uid="{00000000-0010-0000-1100-000006000000}" name="IVA 10,5%" totalsRowFunction="sum" dataDxfId="1340" totalsRowDxfId="1339" dataCellStyle="Normal 3">
      <calculatedColumnFormula>extracto_banco_mes3[[#This Row],[NETO]]*0.105</calculatedColumnFormula>
    </tableColumn>
    <tableColumn id="7" xr3:uid="{00000000-0010-0000-1100-000007000000}" name="RET IIBB CABA" totalsRowFunction="sum" dataDxfId="1338" totalsRowDxfId="1337" dataCellStyle="Normal 3"/>
    <tableColumn id="8" xr3:uid="{00000000-0010-0000-1100-000008000000}" name="PERC IVA" totalsRowFunction="sum" dataDxfId="1336" totalsRowDxfId="1335" dataCellStyle="Normal 3"/>
    <tableColumn id="9" xr3:uid="{00000000-0010-0000-1100-000009000000}" name="PERC IIBB" totalsRowFunction="sum" dataDxfId="1334" totalsRowDxfId="1333" dataCellStyle="Normal 3"/>
    <tableColumn id="10" xr3:uid="{288783AA-8378-4E28-8D14-6E8486E87C8D}" name="TOTAL" dataDxfId="1332" totalsRowDxfId="1331" dataCellStyle="Normal 3">
      <calculatedColumnFormula>SUM(G50:L50)</calculatedColumnFormula>
    </tableColumn>
  </tableColumns>
  <tableStyleInfo name="Estilo de tabla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Retenciones_mes3" displayName="Retenciones_mes3" ref="C126:L131" totalsRowShown="0" headerRowDxfId="1330" dataDxfId="1329" headerRowCellStyle="Normal 3" dataCellStyle="Normal 3">
  <autoFilter ref="C126:L131" xr:uid="{00000000-0009-0000-0100-000014000000}"/>
  <tableColumns count="10">
    <tableColumn id="1" xr3:uid="{00000000-0010-0000-1200-000001000000}" name="FECHA " dataDxfId="1328" dataCellStyle="Normal 3"/>
    <tableColumn id="2" xr3:uid="{00000000-0010-0000-1200-000002000000}" name="COMP Nº" dataDxfId="1327" dataCellStyle="Normal 3"/>
    <tableColumn id="3" xr3:uid="{00000000-0010-0000-1200-000003000000}" name="Columna1" dataDxfId="1326" dataCellStyle="Normal 3"/>
    <tableColumn id="4" xr3:uid="{00000000-0010-0000-1200-000004000000}" name="CUIT" dataDxfId="1325" dataCellStyle="Normal 3"/>
    <tableColumn id="5" xr3:uid="{00000000-0010-0000-1200-000005000000}" name="RAZON SOCIAL" dataDxfId="1324" dataCellStyle="Normal 3">
      <calculatedColumnFormula>IFERROR(IF(Retenciones_mes3[[#This Row],[CUIT]]="","-",VLOOKUP(Retenciones_mes3[[#This Row],[CUIT]],Lista_CUIT[#All],2,0)),"CUIT NO CARGADO")</calculatedColumnFormula>
    </tableColumn>
    <tableColumn id="6" xr3:uid="{00000000-0010-0000-1200-000006000000}" name="Ganancias" dataDxfId="1323" dataCellStyle="Normal 3"/>
    <tableColumn id="7" xr3:uid="{00000000-0010-0000-1200-000007000000}" name="IVA" dataDxfId="1322" dataCellStyle="Normal 3"/>
    <tableColumn id="8" xr3:uid="{00000000-0010-0000-1200-000008000000}" name="SUSS" dataDxfId="1321" dataCellStyle="Normal 3"/>
    <tableColumn id="9" xr3:uid="{00000000-0010-0000-1200-000009000000}" name="IIBB BSAS" dataDxfId="1320" dataCellStyle="Normal 3"/>
    <tableColumn id="10" xr3:uid="{00000000-0010-0000-1200-00000A000000}" name="IIBB CABA" dataDxfId="1319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3000000}" name="compras_mes4" displayName="compras_mes4" ref="B8:R38" totalsRowCount="1" headerRowDxfId="1318" totalsRowDxfId="1317">
  <autoFilter ref="B8:R37" xr:uid="{00000000-0009-0000-0100-000015000000}"/>
  <tableColumns count="17">
    <tableColumn id="1" xr3:uid="{00000000-0010-0000-1300-000001000000}" name="FECHA" totalsRowLabel="Total" dataDxfId="1316" totalsRowDxfId="16" dataCellStyle="Normal 3"/>
    <tableColumn id="2" xr3:uid="{00000000-0010-0000-1300-000002000000}" name="TIPO" dataDxfId="1315" totalsRowDxfId="15" dataCellStyle="Normal 3"/>
    <tableColumn id="3" xr3:uid="{00000000-0010-0000-1300-000003000000}" name="PTO VTA" dataDxfId="1314" totalsRowDxfId="14" dataCellStyle="Normal 3"/>
    <tableColumn id="4" xr3:uid="{00000000-0010-0000-1300-000004000000}" name="NRO. CPTE" dataDxfId="1313" totalsRowDxfId="13" dataCellStyle="Normal 3"/>
    <tableColumn id="5" xr3:uid="{00000000-0010-0000-1300-000005000000}" name="CUIT" dataDxfId="1312" totalsRowDxfId="12" dataCellStyle="Normal 3"/>
    <tableColumn id="6" xr3:uid="{00000000-0010-0000-1300-000006000000}" name="RAZON SOCIAL" dataDxfId="1311" totalsRowDxfId="11" dataCellStyle="Normal 3">
      <calculatedColumnFormula>IFERROR(IF(compras_mes4[[#This Row],[CUIT]]="","-",VLOOKUP(compras_mes4[[#This Row],[CUIT]],Lista_CUIT[#All],2,0)),"CUIT NO CARGADO")</calculatedColumnFormula>
    </tableColumn>
    <tableColumn id="7" xr3:uid="{00000000-0010-0000-1300-000007000000}" name="NETO GRAVADO" totalsRowFunction="sum" dataDxfId="1310" totalsRowDxfId="10" dataCellStyle="Normal 3"/>
    <tableColumn id="8" xr3:uid="{00000000-0010-0000-1300-000008000000}" name="IVA 21 %" totalsRowFunction="sum" dataDxfId="1309" totalsRowDxfId="9" dataCellStyle="Normal 3">
      <calculatedColumnFormula>IF(compras_mes4[[#This Row],[NETO GRAVADO]]="","",compras_mes4[[#This Row],[NETO GRAVADO]]*0.21)</calculatedColumnFormula>
    </tableColumn>
    <tableColumn id="9" xr3:uid="{00000000-0010-0000-1300-000009000000}" name="IVA 27%" totalsRowFunction="sum" dataDxfId="1308" totalsRowDxfId="8" dataCellStyle="Normal 3"/>
    <tableColumn id="10" xr3:uid="{00000000-0010-0000-1300-00000A000000}" name="IVA 10,5%" totalsRowFunction="sum" dataDxfId="1307" totalsRowDxfId="7" dataCellStyle="Normal 3"/>
    <tableColumn id="11" xr3:uid="{00000000-0010-0000-1300-00000B000000}" name="PERC. IVA" totalsRowFunction="sum" dataDxfId="1306" totalsRowDxfId="6" dataCellStyle="Normal 3"/>
    <tableColumn id="12" xr3:uid="{00000000-0010-0000-1300-00000C000000}" name="PERC IIBB _x000a_BS AS" totalsRowFunction="sum" dataDxfId="1305" totalsRowDxfId="5" dataCellStyle="Normal 3"/>
    <tableColumn id="13" xr3:uid="{00000000-0010-0000-1300-00000D000000}" name="PERC. IIBB CABA" totalsRowFunction="sum" dataDxfId="1304" totalsRowDxfId="4" dataCellStyle="Normal 3"/>
    <tableColumn id="14" xr3:uid="{00000000-0010-0000-1300-00000E000000}" name="Otros / No Grav." totalsRowFunction="sum" dataDxfId="1303" totalsRowDxfId="3" dataCellStyle="Normal 3"/>
    <tableColumn id="15" xr3:uid="{00000000-0010-0000-1300-00000F000000}" name="TOTAL" totalsRowFunction="sum" dataDxfId="1302" totalsRowDxfId="2" dataCellStyle="Normal 3">
      <calculatedColumnFormula>SUM(compras_mes4[[#This Row],[NETO GRAVADO]:[Otros / No Grav.]])</calculatedColumnFormula>
    </tableColumn>
    <tableColumn id="16" xr3:uid="{00000000-0010-0000-1300-000010000000}" name="Tipo de Gasto" dataDxfId="1301" totalsRowDxfId="1" dataCellStyle="Normal 3">
      <calculatedColumnFormula>IFERROR(IF(compras_mes4[[#This Row],[CUIT]]="","-",VLOOKUP(compras_mes4[[#This Row],[CUIT]],Lista_CUIT[#All],3,0)),"CUIT NO CARGADO")</calculatedColumnFormula>
    </tableColumn>
    <tableColumn id="17" xr3:uid="{00000000-0010-0000-1300-000011000000}" name="Provincia" dataDxfId="1300" totalsRowDxfId="0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factura_c_mes4" displayName="factura_c_mes4" ref="D53:K66" totalsRowCount="1" headerRowDxfId="1299" totalsRowDxfId="1298" headerRowCellStyle="Normal 3">
  <autoFilter ref="D53:K65" xr:uid="{00000000-0009-0000-0100-000016000000}"/>
  <tableColumns count="8">
    <tableColumn id="1" xr3:uid="{00000000-0010-0000-1400-000001000000}" name="FECHA" totalsRowLabel="Total" dataDxfId="1297" totalsRowDxfId="53" dataCellStyle="Normal 3"/>
    <tableColumn id="2" xr3:uid="{00000000-0010-0000-1400-000002000000}" name="PTO VTA" dataDxfId="1296" totalsRowDxfId="52" dataCellStyle="Normal 3"/>
    <tableColumn id="3" xr3:uid="{00000000-0010-0000-1400-000003000000}" name="FC Nº" dataDxfId="1295" totalsRowDxfId="51" dataCellStyle="Normal 3"/>
    <tableColumn id="4" xr3:uid="{00000000-0010-0000-1400-000004000000}" name="CUIT" dataDxfId="1294" totalsRowDxfId="50" dataCellStyle="Normal 3"/>
    <tableColumn id="5" xr3:uid="{00000000-0010-0000-1400-000005000000}" name="RAZON SOCIAL" dataDxfId="1293" totalsRowDxfId="49" dataCellStyle="Normal 3">
      <calculatedColumnFormula>IFERROR(IF(factura_c_mes4[[#This Row],[CUIT]]="","-",VLOOKUP(factura_c_mes4[[#This Row],[CUIT]],Lista_CUIT[#All],2,0)),"CUIT NO CARGADO")</calculatedColumnFormula>
    </tableColumn>
    <tableColumn id="6" xr3:uid="{00000000-0010-0000-1400-000006000000}" name="TOTAL" totalsRowFunction="sum" dataDxfId="1292" totalsRowDxfId="48" dataCellStyle="Normal 3"/>
    <tableColumn id="7" xr3:uid="{00000000-0010-0000-1400-000007000000}" name="TIPO DE GASTO" dataDxfId="1291" totalsRowDxfId="47" dataCellStyle="Normal 3">
      <calculatedColumnFormula>IFERROR(IF(factura_c_mes4[[#This Row],[CUIT]]="","-",VLOOKUP(factura_c_mes4[[#This Row],[CUIT]],Lista_CUIT[#All],3,0)),"CUIT NO CARGADO")</calculatedColumnFormula>
    </tableColumn>
    <tableColumn id="8" xr3:uid="{00000000-0010-0000-1400-000008000000}" name="Provincia" dataDxfId="1290" totalsRowDxfId="46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venta_a_mes4" displayName="venta_a_mes4" ref="B73:M103" totalsRowCount="1" headerRowDxfId="45" dataDxfId="44" headerRowBorderDxfId="42" tableBorderDxfId="43" totalsRowBorderDxfId="41" dataCellStyle="Normal 3">
  <autoFilter ref="B73:M102" xr:uid="{00000000-0009-0000-0100-000017000000}"/>
  <tableColumns count="12">
    <tableColumn id="1" xr3:uid="{00000000-0010-0000-1500-000001000000}" name="FECHA" totalsRowLabel="Total" dataDxfId="40" totalsRowDxfId="28" dataCellStyle="Normal 3"/>
    <tableColumn id="2" xr3:uid="{00000000-0010-0000-1500-000002000000}" name="TIPO" dataDxfId="39" totalsRowDxfId="27" dataCellStyle="Normal 3"/>
    <tableColumn id="3" xr3:uid="{00000000-0010-0000-1500-000003000000}" name="PTO VENTA" dataDxfId="38" totalsRowDxfId="26" dataCellStyle="Normal 3"/>
    <tableColumn id="4" xr3:uid="{00000000-0010-0000-1500-000004000000}" name="Nº FACTURA" dataDxfId="37" totalsRowDxfId="25" dataCellStyle="Normal 3"/>
    <tableColumn id="5" xr3:uid="{00000000-0010-0000-1500-000005000000}" name="CUIT" dataDxfId="36" totalsRowDxfId="24" dataCellStyle="Normal 3"/>
    <tableColumn id="6" xr3:uid="{00000000-0010-0000-1500-000006000000}" name="RAZON SOCIAL" dataDxfId="35" totalsRowDxfId="23" dataCellStyle="Normal 3">
      <calculatedColumnFormula>IFERROR(IF(venta_a_mes4[[#This Row],[CUIT]]="","-",VLOOKUP(venta_a_mes4[[#This Row],[CUIT]],Lista_CUIT[#All],2,0)),"CUIT NO CARGADO")</calculatedColumnFormula>
    </tableColumn>
    <tableColumn id="7" xr3:uid="{00000000-0010-0000-1500-000007000000}" name="IMPORTE NETO" totalsRowFunction="sum" dataDxfId="34" totalsRowDxfId="22" dataCellStyle="Normal 3"/>
    <tableColumn id="8" xr3:uid="{00000000-0010-0000-1500-000008000000}" name="IVA 21%" totalsRowFunction="sum" dataDxfId="33" totalsRowDxfId="21" dataCellStyle="Normal 3">
      <calculatedColumnFormula>venta_a_mes4[[#This Row],[IMPORTE NETO]]*0.21</calculatedColumnFormula>
    </tableColumn>
    <tableColumn id="9" xr3:uid="{00000000-0010-0000-1500-000009000000}" name="IVA 10,5%" totalsRowFunction="sum" dataDxfId="32" totalsRowDxfId="20" dataCellStyle="Normal 3"/>
    <tableColumn id="10" xr3:uid="{00000000-0010-0000-1500-00000A000000}" name="EXENTO" totalsRowFunction="sum" dataDxfId="31" totalsRowDxfId="19" dataCellStyle="Normal 3"/>
    <tableColumn id="11" xr3:uid="{00000000-0010-0000-1500-00000B000000}" name="TOTAL" totalsRowFunction="sum" dataDxfId="30" totalsRowDxfId="18" dataCellStyle="Normal 3">
      <calculatedColumnFormula>SUM(venta_a_mes4[[#This Row],[IMPORTE NETO]:[EXENTO]])</calculatedColumnFormula>
    </tableColumn>
    <tableColumn id="12" xr3:uid="{00000000-0010-0000-1500-00000C000000}" name="Provincia" totalsRowFunction="count" dataDxfId="29" totalsRowDxfId="17" dataCellStyle="Normal 3"/>
  </tableColumns>
  <tableStyleInfo name="Tabla Ventas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ventas_b_mes4" displayName="ventas_b_mes4" ref="B105:M112" totalsRowCount="1" headerRowDxfId="1289" dataDxfId="1287" headerRowBorderDxfId="1288" tableBorderDxfId="1286" totalsRowBorderDxfId="1285" dataCellStyle="Normal 3">
  <autoFilter ref="B105:M111" xr:uid="{00000000-0009-0000-0100-000018000000}"/>
  <tableColumns count="12">
    <tableColumn id="1" xr3:uid="{00000000-0010-0000-1600-000001000000}" name="FECHA" totalsRowLabel="Total" dataDxfId="1284" totalsRowDxfId="1283" dataCellStyle="Normal 3"/>
    <tableColumn id="2" xr3:uid="{00000000-0010-0000-1600-000002000000}" name="TIPO" dataDxfId="1282" totalsRowDxfId="1281" dataCellStyle="Normal 3"/>
    <tableColumn id="3" xr3:uid="{00000000-0010-0000-1600-000003000000}" name="PTO VENTA" dataDxfId="1280" totalsRowDxfId="1279" dataCellStyle="Normal 3"/>
    <tableColumn id="4" xr3:uid="{00000000-0010-0000-1600-000004000000}" name="Nº FACTURA" dataDxfId="1278" totalsRowDxfId="1277" dataCellStyle="Normal 3"/>
    <tableColumn id="5" xr3:uid="{00000000-0010-0000-1600-000005000000}" name="CUIT" dataDxfId="1276" totalsRowDxfId="1275" dataCellStyle="Normal 3"/>
    <tableColumn id="6" xr3:uid="{00000000-0010-0000-1600-000006000000}" name="RAZON SOCIAL" dataDxfId="1274" totalsRowDxfId="1273" dataCellStyle="Normal 3">
      <calculatedColumnFormula>IFERROR(IF(ventas_b_mes4[[#This Row],[CUIT]]="","-",VLOOKUP(ventas_b_mes4[[#This Row],[CUIT]],Lista_CUIT[#All],2,0)),"CUIT NO CARGADO")</calculatedColumnFormula>
    </tableColumn>
    <tableColumn id="7" xr3:uid="{00000000-0010-0000-1600-000007000000}" name="IMPORTE NETO" totalsRowFunction="sum" dataDxfId="1272" totalsRowDxfId="1271" dataCellStyle="Normal 3"/>
    <tableColumn id="8" xr3:uid="{00000000-0010-0000-1600-000008000000}" name="IVA 21%" totalsRowFunction="sum" dataDxfId="1270" totalsRowDxfId="1269" dataCellStyle="Normal 3">
      <calculatedColumnFormula>ventas_b_mes4[[#This Row],[IMPORTE NETO]]*0.21</calculatedColumnFormula>
    </tableColumn>
    <tableColumn id="9" xr3:uid="{00000000-0010-0000-1600-000009000000}" name="IVA 10,5%" totalsRowFunction="sum" dataDxfId="1268" totalsRowDxfId="1267" dataCellStyle="Normal 3"/>
    <tableColumn id="10" xr3:uid="{00000000-0010-0000-1600-00000A000000}" name="EXENTO" totalsRowFunction="sum" dataDxfId="1266" totalsRowDxfId="1265" dataCellStyle="Normal 3"/>
    <tableColumn id="11" xr3:uid="{00000000-0010-0000-1600-00000B000000}" name="TOTAL" totalsRowFunction="sum" dataDxfId="1264" totalsRowDxfId="1263" dataCellStyle="Normal 3">
      <calculatedColumnFormula>SUM(ventas_b_mes4[[#This Row],[IMPORTE NETO]:[EXENTO]])</calculatedColumnFormula>
    </tableColumn>
    <tableColumn id="12" xr3:uid="{00000000-0010-0000-1600-00000C000000}" name="Provincia" totalsRowFunction="count" dataDxfId="1262" totalsRowDxfId="1261" dataCellStyle="Normal 3"/>
  </tableColumns>
  <tableStyleInfo name="Tabla Ventas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xtracto_banco_mes4" displayName="extracto_banco_mes4" ref="D44:L48" totalsRowCount="1" headerRowDxfId="1260" dataDxfId="1259" tableBorderDxfId="1258" dataCellStyle="Normal 3">
  <autoFilter ref="D44:L47" xr:uid="{00000000-0009-0000-0100-000019000000}"/>
  <tableColumns count="9">
    <tableColumn id="1" xr3:uid="{00000000-0010-0000-1700-000001000000}" name="FECHA" totalsRowLabel="Total" dataDxfId="1257" totalsRowDxfId="1256" dataCellStyle="Normal 3"/>
    <tableColumn id="2" xr3:uid="{00000000-0010-0000-1700-000002000000}" name="NRO CPTE" dataDxfId="1255" totalsRowDxfId="1254"/>
    <tableColumn id="3" xr3:uid="{00000000-0010-0000-1700-000003000000}" name="BANCO" dataDxfId="1253" totalsRowDxfId="1252"/>
    <tableColumn id="4" xr3:uid="{00000000-0010-0000-1700-000004000000}" name="NETO" totalsRowFunction="sum" dataDxfId="1251" totalsRowDxfId="1250" dataCellStyle="Normal 3"/>
    <tableColumn id="5" xr3:uid="{00000000-0010-0000-1700-000005000000}" name="IVA 21%" totalsRowFunction="sum" dataDxfId="1249" totalsRowDxfId="1248" dataCellStyle="Normal 3"/>
    <tableColumn id="6" xr3:uid="{00000000-0010-0000-1700-000006000000}" name="IVA 10,5%" totalsRowFunction="sum" dataDxfId="1247" totalsRowDxfId="1246" dataCellStyle="Normal 3"/>
    <tableColumn id="7" xr3:uid="{00000000-0010-0000-1700-000007000000}" name="RET IIBB CABA" totalsRowFunction="sum" dataDxfId="1245" totalsRowDxfId="1244" dataCellStyle="Normal 3"/>
    <tableColumn id="8" xr3:uid="{00000000-0010-0000-1700-000008000000}" name="PERC IVA" totalsRowFunction="sum" dataDxfId="1243" totalsRowDxfId="1242" dataCellStyle="Normal 3"/>
    <tableColumn id="9" xr3:uid="{00000000-0010-0000-1700-000009000000}" name="PERC IIBB" totalsRowFunction="sum" dataDxfId="1241" totalsRowDxfId="1240" dataCellStyle="Normal 3"/>
  </tableColumns>
  <tableStyleInfo name="Estilo de tabla 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8000000}" name="Retenciones_mes4" displayName="Retenciones_mes4" ref="C121:L126" totalsRowShown="0" headerRowDxfId="1239" dataDxfId="1238" headerRowCellStyle="Normal 3" dataCellStyle="Normal 3">
  <autoFilter ref="C121:L126" xr:uid="{00000000-0009-0000-0100-00001A000000}"/>
  <tableColumns count="10">
    <tableColumn id="1" xr3:uid="{00000000-0010-0000-1800-000001000000}" name="FECHA " dataDxfId="1237" dataCellStyle="Normal 3"/>
    <tableColumn id="2" xr3:uid="{00000000-0010-0000-1800-000002000000}" name="COMP Nº" dataDxfId="1236" dataCellStyle="Normal 3"/>
    <tableColumn id="3" xr3:uid="{00000000-0010-0000-1800-000003000000}" name="Columna1" dataDxfId="1235" dataCellStyle="Normal 3"/>
    <tableColumn id="4" xr3:uid="{00000000-0010-0000-1800-000004000000}" name="CUIT" dataDxfId="1234" dataCellStyle="Normal 3"/>
    <tableColumn id="5" xr3:uid="{00000000-0010-0000-1800-000005000000}" name="RAZON SOCIAL" dataDxfId="1233" dataCellStyle="Normal 3">
      <calculatedColumnFormula>IFERROR(IF(Retenciones_mes4[[#This Row],[CUIT]]="","-",VLOOKUP(Retenciones_mes4[[#This Row],[CUIT]],Lista_CUIT[#All],2,0)),"CUIT NO CARGADO")</calculatedColumnFormula>
    </tableColumn>
    <tableColumn id="6" xr3:uid="{00000000-0010-0000-1800-000006000000}" name="Ganancias" dataDxfId="1232" dataCellStyle="Normal 3"/>
    <tableColumn id="7" xr3:uid="{00000000-0010-0000-1800-000007000000}" name="IVA" dataDxfId="1231" dataCellStyle="Normal 3"/>
    <tableColumn id="8" xr3:uid="{00000000-0010-0000-1800-000008000000}" name="SUSS" dataDxfId="1230" dataCellStyle="Normal 3"/>
    <tableColumn id="9" xr3:uid="{00000000-0010-0000-1800-000009000000}" name="IIBB BSAS" dataDxfId="1229" dataCellStyle="Normal 3"/>
    <tableColumn id="10" xr3:uid="{00000000-0010-0000-1800-00000A000000}" name="IIBB CABA" dataDxfId="1228" dataCellStyle="Normal 3"/>
  </tableColumns>
  <tableStyleInfo name="Estilo de tabla 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9000000}" name="compras_mes5" displayName="compras_mes5" ref="B8:R23" totalsRowCount="1" headerRowDxfId="1227" totalsRowDxfId="1226">
  <autoFilter ref="B8:R22" xr:uid="{00000000-0009-0000-0100-00002D000000}"/>
  <sortState xmlns:xlrd2="http://schemas.microsoft.com/office/spreadsheetml/2017/richdata2" ref="B9:R22">
    <sortCondition ref="B8:B22"/>
  </sortState>
  <tableColumns count="17">
    <tableColumn id="1" xr3:uid="{00000000-0010-0000-1900-000001000000}" name="FECHA" totalsRowLabel="Total" dataDxfId="1225" totalsRowDxfId="1224" dataCellStyle="Normal 3"/>
    <tableColumn id="2" xr3:uid="{00000000-0010-0000-1900-000002000000}" name="TIPO" dataDxfId="1223" totalsRowDxfId="1222" dataCellStyle="Normal 3"/>
    <tableColumn id="3" xr3:uid="{00000000-0010-0000-1900-000003000000}" name="PTO VTA" dataDxfId="1221" totalsRowDxfId="1220" dataCellStyle="Normal 3"/>
    <tableColumn id="4" xr3:uid="{00000000-0010-0000-1900-000004000000}" name="NRO. CPTE" dataDxfId="1219" totalsRowDxfId="1218" dataCellStyle="Normal 3"/>
    <tableColumn id="5" xr3:uid="{00000000-0010-0000-1900-000005000000}" name="CUIT" dataDxfId="1217" totalsRowDxfId="1216" dataCellStyle="Normal 3"/>
    <tableColumn id="6" xr3:uid="{00000000-0010-0000-1900-000006000000}" name="RAZON SOCIAL" dataDxfId="1215" totalsRowDxfId="1214" dataCellStyle="Normal 3">
      <calculatedColumnFormula>IFERROR(IF(compras_mes5[[#This Row],[CUIT]]="","-",VLOOKUP(compras_mes5[[#This Row],[CUIT]],Lista_CUIT[#All],2,0)),"CUIT NO CARGADO")</calculatedColumnFormula>
    </tableColumn>
    <tableColumn id="7" xr3:uid="{00000000-0010-0000-1900-000007000000}" name="NETO GRAVADO" totalsRowFunction="sum" dataDxfId="1213" totalsRowDxfId="1212" dataCellStyle="Normal 3"/>
    <tableColumn id="8" xr3:uid="{00000000-0010-0000-1900-000008000000}" name="IVA 21 %" totalsRowFunction="sum" dataDxfId="1211" totalsRowDxfId="1210" dataCellStyle="Normal 3">
      <calculatedColumnFormula>IF(compras_mes5[[#This Row],[NETO GRAVADO]]="","",compras_mes5[[#This Row],[NETO GRAVADO]]*0.21)</calculatedColumnFormula>
    </tableColumn>
    <tableColumn id="9" xr3:uid="{00000000-0010-0000-1900-000009000000}" name="IVA 27%" totalsRowFunction="sum" dataDxfId="1209" totalsRowDxfId="1208" dataCellStyle="Normal 3"/>
    <tableColumn id="10" xr3:uid="{00000000-0010-0000-1900-00000A000000}" name="IVA 10,5%" totalsRowFunction="sum" dataDxfId="1207" totalsRowDxfId="1206" dataCellStyle="Normal 3"/>
    <tableColumn id="11" xr3:uid="{00000000-0010-0000-1900-00000B000000}" name="PERC. IVA" totalsRowFunction="sum" dataDxfId="1205" totalsRowDxfId="1204" dataCellStyle="Normal 3"/>
    <tableColumn id="12" xr3:uid="{00000000-0010-0000-1900-00000C000000}" name="PERC IIBB _x000a_BS AS" totalsRowFunction="sum" dataDxfId="1203" totalsRowDxfId="1202" dataCellStyle="Normal 3"/>
    <tableColumn id="13" xr3:uid="{00000000-0010-0000-1900-00000D000000}" name="PERC. IIBB CABA" totalsRowFunction="sum" dataDxfId="1201" totalsRowDxfId="1200" dataCellStyle="Normal 3"/>
    <tableColumn id="14" xr3:uid="{00000000-0010-0000-1900-00000E000000}" name="Otros / No Grav." totalsRowFunction="sum" dataDxfId="1199" totalsRowDxfId="1198" dataCellStyle="Normal 3"/>
    <tableColumn id="15" xr3:uid="{00000000-0010-0000-1900-00000F000000}" name="TOTAL" totalsRowFunction="sum" dataDxfId="1197" totalsRowDxfId="1196" dataCellStyle="Normal 3">
      <calculatedColumnFormula>SUM(compras_mes5[[#This Row],[NETO GRAVADO]:[Otros / No Grav.]])</calculatedColumnFormula>
    </tableColumn>
    <tableColumn id="16" xr3:uid="{00000000-0010-0000-1900-000010000000}" name="Tipo de Gasto" dataDxfId="1195" totalsRowDxfId="1194" dataCellStyle="Normal 3">
      <calculatedColumnFormula>IFERROR(IF(compras_mes5[[#This Row],[CUIT]]="","-",VLOOKUP(compras_mes5[[#This Row],[CUIT]],Lista_CUIT[#All],3,0)),"CUIT NO CARGADO")</calculatedColumnFormula>
    </tableColumn>
    <tableColumn id="17" xr3:uid="{00000000-0010-0000-1900-000011000000}" name="Provincia" dataDxfId="1193" totalsRowDxfId="1192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A000000}" name="factura_c_mes5" displayName="factura_c_mes5" ref="D38:K44" totalsRowCount="1" headerRowDxfId="1191" totalsRowDxfId="1190" headerRowCellStyle="Normal 3">
  <autoFilter ref="D38:K43" xr:uid="{00000000-0009-0000-0100-00002E000000}"/>
  <tableColumns count="8">
    <tableColumn id="1" xr3:uid="{00000000-0010-0000-1A00-000001000000}" name="FECHA" totalsRowLabel="Total" dataDxfId="1189" totalsRowDxfId="1188" dataCellStyle="Normal 3"/>
    <tableColumn id="2" xr3:uid="{00000000-0010-0000-1A00-000002000000}" name="PTO VTA" dataDxfId="1187" totalsRowDxfId="1186" dataCellStyle="Normal 3"/>
    <tableColumn id="3" xr3:uid="{00000000-0010-0000-1A00-000003000000}" name="FC Nº" dataDxfId="1185" totalsRowDxfId="1184" dataCellStyle="Normal 3"/>
    <tableColumn id="4" xr3:uid="{00000000-0010-0000-1A00-000004000000}" name="CUIT" dataDxfId="1183" totalsRowDxfId="1182" dataCellStyle="Normal 3"/>
    <tableColumn id="5" xr3:uid="{00000000-0010-0000-1A00-000005000000}" name="RAZON SOCIAL" dataDxfId="1181" totalsRowDxfId="1180" dataCellStyle="Normal 3">
      <calculatedColumnFormula>IFERROR(IF(factura_c_mes5[[#This Row],[CUIT]]="","-",VLOOKUP(factura_c_mes5[[#This Row],[CUIT]],Lista_CUIT[#All],2,0)),"CUIT NO CARGADO")</calculatedColumnFormula>
    </tableColumn>
    <tableColumn id="6" xr3:uid="{00000000-0010-0000-1A00-000006000000}" name="TOTAL" totalsRowFunction="sum" dataDxfId="1179" totalsRowDxfId="1178" dataCellStyle="Normal 3"/>
    <tableColumn id="7" xr3:uid="{00000000-0010-0000-1A00-000007000000}" name="TIPO DE GASTO" dataDxfId="1177" totalsRowDxfId="1176" dataCellStyle="Normal 3">
      <calculatedColumnFormula>IFERROR(IF(factura_c_mes5[[#This Row],[CUIT]]="","-",VLOOKUP(factura_c_mes5[[#This Row],[CUIT]],Lista_CUIT[#All],3,0)),"CUIT NO CARGADO")</calculatedColumnFormula>
    </tableColumn>
    <tableColumn id="8" xr3:uid="{00000000-0010-0000-1A00-000008000000}" name="Provincia" dataDxfId="1175" totalsRowDxfId="1174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1B000000}" name="venta_a_mes5" displayName="venta_a_mes5" ref="B52:M73" totalsRowCount="1" headerRowDxfId="1173" dataDxfId="1171" headerRowBorderDxfId="1172" tableBorderDxfId="1170" totalsRowBorderDxfId="1169" dataCellStyle="Normal 3">
  <autoFilter ref="B52:M72" xr:uid="{00000000-0009-0000-0100-00002F000000}"/>
  <tableColumns count="12">
    <tableColumn id="1" xr3:uid="{00000000-0010-0000-1B00-000001000000}" name="FECHA" totalsRowLabel="Total" dataDxfId="1168" totalsRowDxfId="1167" dataCellStyle="Normal 3"/>
    <tableColumn id="2" xr3:uid="{00000000-0010-0000-1B00-000002000000}" name="TIPO" dataDxfId="1166" totalsRowDxfId="1165" dataCellStyle="Normal 3"/>
    <tableColumn id="3" xr3:uid="{00000000-0010-0000-1B00-000003000000}" name="PTO VENTA" dataDxfId="1164" totalsRowDxfId="1163" dataCellStyle="Normal 3"/>
    <tableColumn id="4" xr3:uid="{00000000-0010-0000-1B00-000004000000}" name="Nº FACTURA" dataDxfId="1162" totalsRowDxfId="1161" dataCellStyle="Normal 3"/>
    <tableColumn id="5" xr3:uid="{00000000-0010-0000-1B00-000005000000}" name="CUIT" dataDxfId="1160" totalsRowDxfId="1159" dataCellStyle="Normal 3"/>
    <tableColumn id="6" xr3:uid="{00000000-0010-0000-1B00-000006000000}" name="RAZON SOCIAL" dataDxfId="1158" totalsRowDxfId="1157" dataCellStyle="Normal 3">
      <calculatedColumnFormula>IFERROR(IF(venta_a_mes5[[#This Row],[CUIT]]="","-",VLOOKUP(venta_a_mes5[[#This Row],[CUIT]],Lista_CUIT[#All],2,0)),"CUIT NO CARGADO")</calculatedColumnFormula>
    </tableColumn>
    <tableColumn id="7" xr3:uid="{00000000-0010-0000-1B00-000007000000}" name="IMPORTE NETO" totalsRowFunction="sum" dataDxfId="1156" totalsRowDxfId="1155" dataCellStyle="Normal 3"/>
    <tableColumn id="8" xr3:uid="{00000000-0010-0000-1B00-000008000000}" name="IVA 21%" totalsRowFunction="sum" dataDxfId="1154" totalsRowDxfId="1153" dataCellStyle="Normal 3">
      <calculatedColumnFormula>venta_a_mes5[[#This Row],[IMPORTE NETO]]*0.21</calculatedColumnFormula>
    </tableColumn>
    <tableColumn id="9" xr3:uid="{00000000-0010-0000-1B00-000009000000}" name="IVA 10,5%" totalsRowFunction="sum" dataDxfId="1152" totalsRowDxfId="1151" dataCellStyle="Normal 3"/>
    <tableColumn id="10" xr3:uid="{00000000-0010-0000-1B00-00000A000000}" name="EXENTO" totalsRowFunction="sum" dataDxfId="1150" totalsRowDxfId="1149" dataCellStyle="Normal 3"/>
    <tableColumn id="11" xr3:uid="{00000000-0010-0000-1B00-00000B000000}" name="TOTAL" totalsRowFunction="sum" dataDxfId="1148" totalsRowDxfId="1147" dataCellStyle="Normal 3">
      <calculatedColumnFormula>SUM(venta_a_mes5[[#This Row],[IMPORTE NETO]:[EXENTO]])</calculatedColumnFormula>
    </tableColumn>
    <tableColumn id="12" xr3:uid="{00000000-0010-0000-1B00-00000C000000}" name="Provincia" totalsRowFunction="count" dataDxfId="1146" totalsRowDxfId="1145" dataCellStyle="Normal 3"/>
  </tableColumns>
  <tableStyleInfo name="Tabla Ventas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C000000}" name="ventas_b_mes5" displayName="ventas_b_mes5" ref="B76:M83" totalsRowCount="1" headerRowDxfId="1144" dataDxfId="1142" headerRowBorderDxfId="1143" tableBorderDxfId="1141" totalsRowBorderDxfId="1140" dataCellStyle="Normal 3">
  <autoFilter ref="B76:M82" xr:uid="{00000000-0009-0000-0100-000030000000}"/>
  <tableColumns count="12">
    <tableColumn id="1" xr3:uid="{00000000-0010-0000-1C00-000001000000}" name="FECHA" totalsRowLabel="Total" dataDxfId="1139" totalsRowDxfId="1138" dataCellStyle="Normal 3"/>
    <tableColumn id="2" xr3:uid="{00000000-0010-0000-1C00-000002000000}" name="TIPO" dataDxfId="1137" totalsRowDxfId="1136" dataCellStyle="Normal 3"/>
    <tableColumn id="3" xr3:uid="{00000000-0010-0000-1C00-000003000000}" name="PTO VENTA" dataDxfId="1135" totalsRowDxfId="1134" dataCellStyle="Normal 3"/>
    <tableColumn id="4" xr3:uid="{00000000-0010-0000-1C00-000004000000}" name="Nº FACTURA" dataDxfId="1133" totalsRowDxfId="1132" dataCellStyle="Normal 3"/>
    <tableColumn id="5" xr3:uid="{00000000-0010-0000-1C00-000005000000}" name="CUIT" dataDxfId="1131" totalsRowDxfId="1130" dataCellStyle="Normal 3"/>
    <tableColumn id="6" xr3:uid="{00000000-0010-0000-1C00-000006000000}" name="RAZON SOCIAL" dataDxfId="1129" totalsRowDxfId="1128" dataCellStyle="Normal 3">
      <calculatedColumnFormula>IFERROR(IF(ventas_b_mes5[[#This Row],[CUIT]]="","-",VLOOKUP(ventas_b_mes5[[#This Row],[CUIT]],Lista_CUIT[#All],2,0)),"CUIT NO CARGADO")</calculatedColumnFormula>
    </tableColumn>
    <tableColumn id="7" xr3:uid="{00000000-0010-0000-1C00-000007000000}" name="IMPORTE NETO" totalsRowFunction="sum" dataDxfId="1127" totalsRowDxfId="1126" dataCellStyle="Normal 3"/>
    <tableColumn id="8" xr3:uid="{00000000-0010-0000-1C00-000008000000}" name="IVA 21%" totalsRowFunction="sum" dataDxfId="1125" totalsRowDxfId="1124" dataCellStyle="Normal 3">
      <calculatedColumnFormula>ventas_b_mes5[[#This Row],[IMPORTE NETO]]*0.21</calculatedColumnFormula>
    </tableColumn>
    <tableColumn id="9" xr3:uid="{00000000-0010-0000-1C00-000009000000}" name="IVA 10,5%" totalsRowFunction="sum" dataDxfId="1123" totalsRowDxfId="1122" dataCellStyle="Normal 3"/>
    <tableColumn id="10" xr3:uid="{00000000-0010-0000-1C00-00000A000000}" name="EXENTO" totalsRowFunction="sum" dataDxfId="1121" totalsRowDxfId="1120" dataCellStyle="Normal 3"/>
    <tableColumn id="11" xr3:uid="{00000000-0010-0000-1C00-00000B000000}" name="TOTAL" totalsRowFunction="sum" dataDxfId="1119" totalsRowDxfId="1118" dataCellStyle="Normal 3">
      <calculatedColumnFormula>SUM(ventas_b_mes5[[#This Row],[IMPORTE NETO]:[EXENTO]])</calculatedColumnFormula>
    </tableColumn>
    <tableColumn id="12" xr3:uid="{00000000-0010-0000-1C00-00000C000000}" name="Provincia" totalsRowFunction="count" dataDxfId="1117" totalsRowDxfId="1116" dataCellStyle="Normal 3"/>
  </tableColumns>
  <tableStyleInfo name="Tabla Ventas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1D000000}" name="extracto_banco_mes5" displayName="extracto_banco_mes5" ref="D29:L33" totalsRowCount="1" headerRowDxfId="1115" dataDxfId="1114" tableBorderDxfId="1113" dataCellStyle="Normal 3">
  <autoFilter ref="D29:L32" xr:uid="{00000000-0009-0000-0100-000031000000}"/>
  <tableColumns count="9">
    <tableColumn id="1" xr3:uid="{00000000-0010-0000-1D00-000001000000}" name="FECHA" totalsRowLabel="Total" dataDxfId="1112" totalsRowDxfId="1111" dataCellStyle="Normal 3"/>
    <tableColumn id="2" xr3:uid="{00000000-0010-0000-1D00-000002000000}" name="NRO CPTE" dataDxfId="1110" totalsRowDxfId="1109"/>
    <tableColumn id="3" xr3:uid="{00000000-0010-0000-1D00-000003000000}" name="BANCO" dataDxfId="1108" totalsRowDxfId="1107"/>
    <tableColumn id="4" xr3:uid="{00000000-0010-0000-1D00-000004000000}" name="NETO" totalsRowFunction="sum" dataDxfId="1106" totalsRowDxfId="1105" dataCellStyle="Normal 3"/>
    <tableColumn id="5" xr3:uid="{00000000-0010-0000-1D00-000005000000}" name="IVA 21%" totalsRowFunction="sum" dataDxfId="1104" totalsRowDxfId="1103" dataCellStyle="Normal 3"/>
    <tableColumn id="6" xr3:uid="{00000000-0010-0000-1D00-000006000000}" name="IVA 10,5%" totalsRowFunction="sum" dataDxfId="1102" totalsRowDxfId="1101" dataCellStyle="Normal 3"/>
    <tableColumn id="7" xr3:uid="{00000000-0010-0000-1D00-000007000000}" name="RET IIBB CABA" totalsRowFunction="sum" dataDxfId="1100" totalsRowDxfId="1099" dataCellStyle="Normal 3"/>
    <tableColumn id="8" xr3:uid="{00000000-0010-0000-1D00-000008000000}" name="PERC IVA" totalsRowFunction="sum" dataDxfId="1098" totalsRowDxfId="1097" dataCellStyle="Normal 3"/>
    <tableColumn id="9" xr3:uid="{00000000-0010-0000-1D00-000009000000}" name="PERC IIBB" totalsRowFunction="sum" dataDxfId="1096" totalsRowDxfId="1095" dataCellStyle="Normal 3"/>
  </tableColumns>
  <tableStyleInfo name="Estilo de tabla 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1E000000}" name="Retenciones_mes5" displayName="Retenciones_mes5" ref="C92:L97" totalsRowShown="0" headerRowDxfId="1094" dataDxfId="1093" headerRowCellStyle="Normal 3" dataCellStyle="Normal 3">
  <autoFilter ref="C92:L97" xr:uid="{00000000-0009-0000-0100-000032000000}"/>
  <tableColumns count="10">
    <tableColumn id="1" xr3:uid="{00000000-0010-0000-1E00-000001000000}" name="FECHA " dataDxfId="1092" dataCellStyle="Normal 3"/>
    <tableColumn id="2" xr3:uid="{00000000-0010-0000-1E00-000002000000}" name="COMP Nº" dataDxfId="1091" dataCellStyle="Normal 3"/>
    <tableColumn id="3" xr3:uid="{00000000-0010-0000-1E00-000003000000}" name="Columna1" dataDxfId="1090" dataCellStyle="Normal 3"/>
    <tableColumn id="4" xr3:uid="{00000000-0010-0000-1E00-000004000000}" name="CUIT" dataDxfId="1089" dataCellStyle="Normal 3"/>
    <tableColumn id="5" xr3:uid="{00000000-0010-0000-1E00-000005000000}" name="RAZON SOCIAL" dataDxfId="1088" dataCellStyle="Normal 3">
      <calculatedColumnFormula>IFERROR(IF(Retenciones_mes5[[#This Row],[CUIT]]="","-",VLOOKUP(Retenciones_mes5[[#This Row],[CUIT]],Lista_CUIT[#All],2,0)),"CUIT NO CARGADO")</calculatedColumnFormula>
    </tableColumn>
    <tableColumn id="6" xr3:uid="{00000000-0010-0000-1E00-000006000000}" name="Ganancias" dataDxfId="1087" dataCellStyle="Normal 3"/>
    <tableColumn id="7" xr3:uid="{00000000-0010-0000-1E00-000007000000}" name="IVA" dataDxfId="1086" dataCellStyle="Normal 3"/>
    <tableColumn id="8" xr3:uid="{00000000-0010-0000-1E00-000008000000}" name="SUSS" dataDxfId="1085" dataCellStyle="Normal 3"/>
    <tableColumn id="9" xr3:uid="{00000000-0010-0000-1E00-000009000000}" name="IIBB BSAS" dataDxfId="1084" dataCellStyle="Normal 3"/>
    <tableColumn id="10" xr3:uid="{00000000-0010-0000-1E00-00000A000000}" name="IIBB CABA" dataDxfId="1083" dataCellStyle="Normal 3"/>
  </tableColumns>
  <tableStyleInfo name="Estilo de tabla 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F000000}" name="compras_mes6" displayName="compras_mes6" ref="B8:R43" totalsRowCount="1" headerRowDxfId="1082" totalsRowDxfId="1081">
  <autoFilter ref="B8:R42" xr:uid="{00000000-0009-0000-0100-00001B000000}"/>
  <tableColumns count="17">
    <tableColumn id="1" xr3:uid="{00000000-0010-0000-1F00-000001000000}" name="FECHA" totalsRowLabel="Total" dataDxfId="1080" totalsRowDxfId="1079" dataCellStyle="Normal 3"/>
    <tableColumn id="2" xr3:uid="{00000000-0010-0000-1F00-000002000000}" name="TIPO" dataDxfId="1078" totalsRowDxfId="1077" dataCellStyle="Normal 3"/>
    <tableColumn id="3" xr3:uid="{00000000-0010-0000-1F00-000003000000}" name="PTO VTA" dataDxfId="1076" totalsRowDxfId="1075" dataCellStyle="Normal 3"/>
    <tableColumn id="4" xr3:uid="{00000000-0010-0000-1F00-000004000000}" name="NRO. CPTE" dataDxfId="1074" totalsRowDxfId="1073" dataCellStyle="Normal 3"/>
    <tableColumn id="5" xr3:uid="{00000000-0010-0000-1F00-000005000000}" name="CUIT" dataDxfId="1072" totalsRowDxfId="1071" dataCellStyle="Normal 3"/>
    <tableColumn id="6" xr3:uid="{00000000-0010-0000-1F00-000006000000}" name="RAZON SOCIAL" dataDxfId="1070" totalsRowDxfId="1069" dataCellStyle="Normal 3">
      <calculatedColumnFormula>IFERROR(IF(compras_mes6[[#This Row],[CUIT]]="","-",VLOOKUP(compras_mes6[[#This Row],[CUIT]],Lista_CUIT[#All],2,0)),"CUIT NO CARGADO")</calculatedColumnFormula>
    </tableColumn>
    <tableColumn id="7" xr3:uid="{00000000-0010-0000-1F00-000007000000}" name="NETO GRAVADO" totalsRowFunction="sum" dataDxfId="1068" totalsRowDxfId="1067" dataCellStyle="Normal 3"/>
    <tableColumn id="8" xr3:uid="{00000000-0010-0000-1F00-000008000000}" name="IVA 21 %" totalsRowFunction="sum" dataDxfId="1066" totalsRowDxfId="1065" dataCellStyle="Normal 3">
      <calculatedColumnFormula>IF(compras_mes6[[#This Row],[NETO GRAVADO]]="","",compras_mes6[[#This Row],[NETO GRAVADO]]*0.21)</calculatedColumnFormula>
    </tableColumn>
    <tableColumn id="9" xr3:uid="{00000000-0010-0000-1F00-000009000000}" name="IVA 27%" totalsRowFunction="sum" dataDxfId="1064" totalsRowDxfId="1063" dataCellStyle="Normal 3"/>
    <tableColumn id="10" xr3:uid="{00000000-0010-0000-1F00-00000A000000}" name="IVA 10,5%" totalsRowFunction="sum" dataDxfId="1062" totalsRowDxfId="1061" dataCellStyle="Normal 3"/>
    <tableColumn id="11" xr3:uid="{00000000-0010-0000-1F00-00000B000000}" name="PERC. IVA" totalsRowFunction="sum" dataDxfId="1060" totalsRowDxfId="1059" dataCellStyle="Normal 3"/>
    <tableColumn id="12" xr3:uid="{00000000-0010-0000-1F00-00000C000000}" name="PERC IIBB _x000a_BS AS" totalsRowFunction="sum" dataDxfId="1058" totalsRowDxfId="1057" dataCellStyle="Normal 3"/>
    <tableColumn id="13" xr3:uid="{00000000-0010-0000-1F00-00000D000000}" name="PERC. IIBB CABA" totalsRowFunction="sum" dataDxfId="1056" totalsRowDxfId="1055" dataCellStyle="Normal 3"/>
    <tableColumn id="14" xr3:uid="{00000000-0010-0000-1F00-00000E000000}" name="Otros / No Grav." totalsRowFunction="sum" dataDxfId="1054" totalsRowDxfId="1053" dataCellStyle="Normal 3"/>
    <tableColumn id="15" xr3:uid="{00000000-0010-0000-1F00-00000F000000}" name="TOTAL" totalsRowFunction="sum" dataDxfId="1052" totalsRowDxfId="1051" dataCellStyle="Normal 3">
      <calculatedColumnFormula>SUM(compras_mes6[[#This Row],[NETO GRAVADO]:[Otros / No Grav.]])</calculatedColumnFormula>
    </tableColumn>
    <tableColumn id="16" xr3:uid="{00000000-0010-0000-1F00-000010000000}" name="Tipo de Gasto" dataDxfId="1050" totalsRowDxfId="1049" dataCellStyle="Normal 3">
      <calculatedColumnFormula>IFERROR(IF(compras_mes6[[#This Row],[CUIT]]="","-",VLOOKUP(compras_mes6[[#This Row],[CUIT]],Lista_CUIT[#All],3,0)),"CUIT NO CARGADO")</calculatedColumnFormula>
    </tableColumn>
    <tableColumn id="17" xr3:uid="{00000000-0010-0000-1F00-000011000000}" name="Provincia" dataDxfId="1048" totalsRowDxfId="1047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0000000}" name="factura_c_mes6" displayName="factura_c_mes6" ref="D58:K65" totalsRowCount="1" headerRowDxfId="1046" totalsRowDxfId="1045" headerRowCellStyle="Normal 3">
  <autoFilter ref="D58:K64" xr:uid="{00000000-0009-0000-0100-00001C000000}"/>
  <tableColumns count="8">
    <tableColumn id="1" xr3:uid="{00000000-0010-0000-2000-000001000000}" name="FECHA" totalsRowLabel="Total" dataDxfId="1044" totalsRowDxfId="1043" dataCellStyle="Normal 3"/>
    <tableColumn id="2" xr3:uid="{00000000-0010-0000-2000-000002000000}" name="PTO VTA" dataDxfId="1042" totalsRowDxfId="1041" dataCellStyle="Normal 3"/>
    <tableColumn id="3" xr3:uid="{00000000-0010-0000-2000-000003000000}" name="FC Nº" dataDxfId="1040" totalsRowDxfId="1039" dataCellStyle="Normal 3"/>
    <tableColumn id="4" xr3:uid="{00000000-0010-0000-2000-000004000000}" name="CUIT" dataDxfId="1038" totalsRowDxfId="1037" dataCellStyle="Normal 3"/>
    <tableColumn id="5" xr3:uid="{00000000-0010-0000-2000-000005000000}" name="RAZON SOCIAL" dataDxfId="1036" totalsRowDxfId="1035" dataCellStyle="Normal 3">
      <calculatedColumnFormula>IFERROR(IF(factura_c_mes6[[#This Row],[CUIT]]="","-",VLOOKUP(factura_c_mes6[[#This Row],[CUIT]],Lista_CUIT[#All],2,0)),"CUIT NO CARGADO")</calculatedColumnFormula>
    </tableColumn>
    <tableColumn id="6" xr3:uid="{00000000-0010-0000-2000-000006000000}" name="TOTAL" totalsRowFunction="sum" dataDxfId="1034" totalsRowDxfId="1033" dataCellStyle="Normal 3"/>
    <tableColumn id="7" xr3:uid="{00000000-0010-0000-2000-000007000000}" name="TIPO DE GASTO" dataDxfId="1032" totalsRowDxfId="1031" dataCellStyle="Normal 3">
      <calculatedColumnFormula>IFERROR(IF(factura_c_mes6[[#This Row],[CUIT]]="","-",VLOOKUP(factura_c_mes6[[#This Row],[CUIT]],Lista_CUIT[#All],3,0)),"CUIT NO CARGADO")</calculatedColumnFormula>
    </tableColumn>
    <tableColumn id="8" xr3:uid="{00000000-0010-0000-2000-000008000000}" name="Provincia" dataDxfId="1030" totalsRowDxfId="1029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1000000}" name="venta_a_mes6" displayName="venta_a_mes6" ref="B72:M101" totalsRowCount="1" headerRowDxfId="1028" dataDxfId="1026" headerRowBorderDxfId="1027" tableBorderDxfId="1025" totalsRowBorderDxfId="1024" dataCellStyle="Normal 3">
  <autoFilter ref="B72:M100" xr:uid="{00000000-0009-0000-0100-00001D000000}"/>
  <tableColumns count="12">
    <tableColumn id="1" xr3:uid="{00000000-0010-0000-2100-000001000000}" name="FECHA" totalsRowLabel="Total" dataDxfId="1023" totalsRowDxfId="1022" dataCellStyle="Normal 3"/>
    <tableColumn id="2" xr3:uid="{00000000-0010-0000-2100-000002000000}" name="TIPO" dataDxfId="1021" totalsRowDxfId="1020" dataCellStyle="Normal 3"/>
    <tableColumn id="3" xr3:uid="{00000000-0010-0000-2100-000003000000}" name="PTO VENTA" dataDxfId="1019" totalsRowDxfId="1018" dataCellStyle="Normal 3"/>
    <tableColumn id="4" xr3:uid="{00000000-0010-0000-2100-000004000000}" name="Nº FACTURA" dataDxfId="1017" totalsRowDxfId="1016" dataCellStyle="Normal 3"/>
    <tableColumn id="5" xr3:uid="{00000000-0010-0000-2100-000005000000}" name="CUIT" dataDxfId="1015" totalsRowDxfId="1014" dataCellStyle="Normal 3"/>
    <tableColumn id="6" xr3:uid="{00000000-0010-0000-2100-000006000000}" name="RAZON SOCIAL" dataDxfId="1013" totalsRowDxfId="1012" dataCellStyle="Normal 3">
      <calculatedColumnFormula>IFERROR(IF(venta_a_mes6[[#This Row],[CUIT]]="","-",VLOOKUP(venta_a_mes6[[#This Row],[CUIT]],Lista_CUIT[#All],2,0)),"CUIT NO CARGADO")</calculatedColumnFormula>
    </tableColumn>
    <tableColumn id="7" xr3:uid="{00000000-0010-0000-2100-000007000000}" name="IMPORTE NETO" totalsRowFunction="sum" dataDxfId="1011" totalsRowDxfId="1010" dataCellStyle="Normal 3"/>
    <tableColumn id="8" xr3:uid="{00000000-0010-0000-2100-000008000000}" name="IVA 21%" totalsRowFunction="sum" dataDxfId="1009" totalsRowDxfId="1008" dataCellStyle="Normal 3">
      <calculatedColumnFormula>venta_a_mes6[[#This Row],[IMPORTE NETO]]*0.21</calculatedColumnFormula>
    </tableColumn>
    <tableColumn id="9" xr3:uid="{00000000-0010-0000-2100-000009000000}" name="IVA 10,5%" totalsRowFunction="sum" dataDxfId="1007" totalsRowDxfId="1006" dataCellStyle="Normal 3"/>
    <tableColumn id="10" xr3:uid="{00000000-0010-0000-2100-00000A000000}" name="EXENTO" totalsRowFunction="sum" dataDxfId="1005" totalsRowDxfId="1004" dataCellStyle="Normal 3"/>
    <tableColumn id="11" xr3:uid="{00000000-0010-0000-2100-00000B000000}" name="TOTAL" totalsRowFunction="sum" dataDxfId="1003" totalsRowDxfId="1002" dataCellStyle="Normal 3">
      <calculatedColumnFormula>SUM(venta_a_mes6[[#This Row],[IMPORTE NETO]:[EXENTO]])</calculatedColumnFormula>
    </tableColumn>
    <tableColumn id="12" xr3:uid="{00000000-0010-0000-2100-00000C000000}" name="Provincia" totalsRowFunction="count" dataDxfId="1001" totalsRowDxfId="1000" dataCellStyle="Normal 3"/>
  </tableColumns>
  <tableStyleInfo name="Tabla Ventas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2000000}" name="ventas_b_mes6" displayName="ventas_b_mes6" ref="B103:M110" totalsRowCount="1" headerRowDxfId="999" dataDxfId="997" headerRowBorderDxfId="998" tableBorderDxfId="996" totalsRowBorderDxfId="995" dataCellStyle="Normal 3">
  <autoFilter ref="B103:M109" xr:uid="{00000000-0009-0000-0100-00001E000000}"/>
  <tableColumns count="12">
    <tableColumn id="1" xr3:uid="{00000000-0010-0000-2200-000001000000}" name="FECHA" totalsRowLabel="Total" dataDxfId="994" totalsRowDxfId="993" dataCellStyle="Normal 3"/>
    <tableColumn id="2" xr3:uid="{00000000-0010-0000-2200-000002000000}" name="TIPO" dataDxfId="992" totalsRowDxfId="991" dataCellStyle="Normal 3"/>
    <tableColumn id="3" xr3:uid="{00000000-0010-0000-2200-000003000000}" name="PTO VENTA" dataDxfId="990" totalsRowDxfId="989" dataCellStyle="Normal 3"/>
    <tableColumn id="4" xr3:uid="{00000000-0010-0000-2200-000004000000}" name="Nº FACTURA" dataDxfId="988" totalsRowDxfId="987" dataCellStyle="Normal 3"/>
    <tableColumn id="5" xr3:uid="{00000000-0010-0000-2200-000005000000}" name="CUIT" dataDxfId="986" totalsRowDxfId="985" dataCellStyle="Normal 3"/>
    <tableColumn id="6" xr3:uid="{00000000-0010-0000-2200-000006000000}" name="RAZON SOCIAL" dataDxfId="984" totalsRowDxfId="983" dataCellStyle="Normal 3">
      <calculatedColumnFormula>IFERROR(IF(ventas_b_mes6[[#This Row],[CUIT]]="","-",VLOOKUP(ventas_b_mes6[[#This Row],[CUIT]],Lista_CUIT[#All],2,0)),"CUIT NO CARGADO")</calculatedColumnFormula>
    </tableColumn>
    <tableColumn id="7" xr3:uid="{00000000-0010-0000-2200-000007000000}" name="IMPORTE NETO" totalsRowFunction="sum" dataDxfId="982" totalsRowDxfId="981" dataCellStyle="Normal 3"/>
    <tableColumn id="8" xr3:uid="{00000000-0010-0000-2200-000008000000}" name="IVA 21%" totalsRowFunction="sum" dataDxfId="980" totalsRowDxfId="979" dataCellStyle="Normal 3"/>
    <tableColumn id="9" xr3:uid="{00000000-0010-0000-2200-000009000000}" name="IVA 10,5%" totalsRowFunction="sum" dataDxfId="978" totalsRowDxfId="977" dataCellStyle="Normal 3"/>
    <tableColumn id="10" xr3:uid="{00000000-0010-0000-2200-00000A000000}" name="EXENTO" totalsRowFunction="sum" dataDxfId="976" totalsRowDxfId="975" dataCellStyle="Normal 3"/>
    <tableColumn id="11" xr3:uid="{00000000-0010-0000-2200-00000B000000}" name="TOTAL" totalsRowFunction="sum" dataDxfId="974" totalsRowDxfId="973" dataCellStyle="Normal 3">
      <calculatedColumnFormula>SUM(ventas_b_mes6[[#This Row],[IMPORTE NETO]:[EXENTO]])</calculatedColumnFormula>
    </tableColumn>
    <tableColumn id="12" xr3:uid="{00000000-0010-0000-2200-00000C000000}" name="Provincia" totalsRowFunction="count" dataDxfId="972" totalsRowDxfId="971" dataCellStyle="Normal 3"/>
  </tableColumns>
  <tableStyleInfo name="Tabla Ventas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3000000}" name="extracto_banco_mes6" displayName="extracto_banco_mes6" ref="D49:L53" totalsRowCount="1" headerRowDxfId="970" dataDxfId="969" tableBorderDxfId="968" dataCellStyle="Normal 3">
  <autoFilter ref="D49:L52" xr:uid="{00000000-0009-0000-0100-00001F000000}"/>
  <tableColumns count="9">
    <tableColumn id="1" xr3:uid="{00000000-0010-0000-2300-000001000000}" name="FECHA" totalsRowLabel="Total" dataDxfId="967" totalsRowDxfId="966" dataCellStyle="Normal 3"/>
    <tableColumn id="2" xr3:uid="{00000000-0010-0000-2300-000002000000}" name="NRO CPTE" dataDxfId="965" totalsRowDxfId="964"/>
    <tableColumn id="3" xr3:uid="{00000000-0010-0000-2300-000003000000}" name="BANCO" dataDxfId="963" totalsRowDxfId="962"/>
    <tableColumn id="4" xr3:uid="{00000000-0010-0000-2300-000004000000}" name="NETO" totalsRowFunction="sum" dataDxfId="961" totalsRowDxfId="960" dataCellStyle="Normal 3"/>
    <tableColumn id="5" xr3:uid="{00000000-0010-0000-2300-000005000000}" name="IVA 21%" totalsRowFunction="sum" dataDxfId="959" totalsRowDxfId="958" dataCellStyle="Normal 3"/>
    <tableColumn id="6" xr3:uid="{00000000-0010-0000-2300-000006000000}" name="IVA 10,5%" totalsRowFunction="sum" dataDxfId="957" totalsRowDxfId="956" dataCellStyle="Normal 3"/>
    <tableColumn id="7" xr3:uid="{00000000-0010-0000-2300-000007000000}" name="RET IIBB CABA" totalsRowFunction="sum" dataDxfId="955" totalsRowDxfId="954" dataCellStyle="Normal 3"/>
    <tableColumn id="8" xr3:uid="{00000000-0010-0000-2300-000008000000}" name="PERC IVA" totalsRowFunction="sum" dataDxfId="953" totalsRowDxfId="952" dataCellStyle="Normal 3"/>
    <tableColumn id="9" xr3:uid="{00000000-0010-0000-2300-000009000000}" name="PERC IIBB" totalsRowFunction="sum" dataDxfId="951" totalsRowDxfId="950" dataCellStyle="Normal 3"/>
  </tableColumns>
  <tableStyleInfo name="Estilo de tabla 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4000000}" name="Retenciones_mes6" displayName="Retenciones_mes6" ref="C119:L124" totalsRowShown="0" headerRowDxfId="949" dataDxfId="948" headerRowCellStyle="Normal 3" dataCellStyle="Normal 3">
  <autoFilter ref="C119:L124" xr:uid="{00000000-0009-0000-0100-000020000000}"/>
  <tableColumns count="10">
    <tableColumn id="1" xr3:uid="{00000000-0010-0000-2400-000001000000}" name="FECHA " dataDxfId="947" dataCellStyle="Normal 3"/>
    <tableColumn id="2" xr3:uid="{00000000-0010-0000-2400-000002000000}" name="COMP Nº" dataDxfId="946" dataCellStyle="Normal 3"/>
    <tableColumn id="3" xr3:uid="{00000000-0010-0000-2400-000003000000}" name="Columna1" dataDxfId="945" dataCellStyle="Normal 3"/>
    <tableColumn id="4" xr3:uid="{00000000-0010-0000-2400-000004000000}" name="CUIT" dataDxfId="944" dataCellStyle="Normal 3"/>
    <tableColumn id="5" xr3:uid="{00000000-0010-0000-2400-000005000000}" name="RAZON SOCIAL" dataDxfId="943" dataCellStyle="Normal 3">
      <calculatedColumnFormula>IFERROR(IF(Retenciones_mes6[[#This Row],[CUIT]]="","-",VLOOKUP(Retenciones_mes6[[#This Row],[CUIT]],Lista_CUIT[#All],2,0)),"CUIT NO CARGADO")</calculatedColumnFormula>
    </tableColumn>
    <tableColumn id="6" xr3:uid="{00000000-0010-0000-2400-000006000000}" name="Ganancias" dataDxfId="942" dataCellStyle="Normal 3"/>
    <tableColumn id="7" xr3:uid="{00000000-0010-0000-2400-000007000000}" name="IVA" dataDxfId="941" dataCellStyle="Normal 3"/>
    <tableColumn id="8" xr3:uid="{00000000-0010-0000-2400-000008000000}" name="SUSS" dataDxfId="940" dataCellStyle="Normal 3"/>
    <tableColumn id="9" xr3:uid="{00000000-0010-0000-2400-000009000000}" name="IIBB BSAS" dataDxfId="939" dataCellStyle="Normal 3"/>
    <tableColumn id="10" xr3:uid="{00000000-0010-0000-2400-00000A000000}" name="IIBB CABA" dataDxfId="938" dataCellStyle="Normal 3"/>
  </tableColumns>
  <tableStyleInfo name="Estilo de tabla 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5000000}" name="compras_mes7" displayName="compras_mes7" ref="B8:R25" totalsRowCount="1" headerRowDxfId="937" totalsRowDxfId="936">
  <autoFilter ref="B8:R24" xr:uid="{00000000-0009-0000-0100-000027000000}"/>
  <tableColumns count="17">
    <tableColumn id="1" xr3:uid="{00000000-0010-0000-2500-000001000000}" name="FECHA" totalsRowLabel="Total" dataDxfId="935" totalsRowDxfId="934" dataCellStyle="Normal 3"/>
    <tableColumn id="2" xr3:uid="{00000000-0010-0000-2500-000002000000}" name="TIPO" dataDxfId="933" totalsRowDxfId="932" dataCellStyle="Normal 3"/>
    <tableColumn id="3" xr3:uid="{00000000-0010-0000-2500-000003000000}" name="PTO VTA" dataDxfId="931" totalsRowDxfId="930" dataCellStyle="Normal 3"/>
    <tableColumn id="4" xr3:uid="{00000000-0010-0000-2500-000004000000}" name="NRO. CPTE" dataDxfId="929" totalsRowDxfId="928" dataCellStyle="Normal 3"/>
    <tableColumn id="5" xr3:uid="{00000000-0010-0000-2500-000005000000}" name="CUIT" dataDxfId="927" totalsRowDxfId="926" dataCellStyle="Normal 3"/>
    <tableColumn id="6" xr3:uid="{00000000-0010-0000-2500-000006000000}" name="RAZON SOCIAL" dataDxfId="925" totalsRowDxfId="924" dataCellStyle="Normal 3">
      <calculatedColumnFormula>IFERROR(IF(compras_mes7[[#This Row],[CUIT]]="","-",VLOOKUP(compras_mes7[[#This Row],[CUIT]],Lista_CUIT[#All],2,0)),"CUIT NO CARGADO")</calculatedColumnFormula>
    </tableColumn>
    <tableColumn id="7" xr3:uid="{00000000-0010-0000-2500-000007000000}" name="NETO GRAVADO" totalsRowFunction="sum" dataDxfId="923" totalsRowDxfId="922" dataCellStyle="Normal 3"/>
    <tableColumn id="8" xr3:uid="{00000000-0010-0000-2500-000008000000}" name="IVA 21 %" totalsRowFunction="sum" dataDxfId="921" totalsRowDxfId="920" dataCellStyle="Normal 3">
      <calculatedColumnFormula>IF(compras_mes7[[#This Row],[NETO GRAVADO]]="","",compras_mes7[[#This Row],[NETO GRAVADO]]*0.21)</calculatedColumnFormula>
    </tableColumn>
    <tableColumn id="9" xr3:uid="{00000000-0010-0000-2500-000009000000}" name="IVA 27%" totalsRowFunction="sum" dataDxfId="919" totalsRowDxfId="918" dataCellStyle="Normal 3"/>
    <tableColumn id="10" xr3:uid="{00000000-0010-0000-2500-00000A000000}" name="IVA 10,5%" totalsRowFunction="sum" dataDxfId="917" totalsRowDxfId="916" dataCellStyle="Normal 3"/>
    <tableColumn id="11" xr3:uid="{00000000-0010-0000-2500-00000B000000}" name="PERC. IVA" totalsRowFunction="sum" dataDxfId="915" totalsRowDxfId="914" dataCellStyle="Normal 3"/>
    <tableColumn id="12" xr3:uid="{00000000-0010-0000-2500-00000C000000}" name="PERC IIBB _x000a_BS AS" totalsRowFunction="sum" dataDxfId="913" totalsRowDxfId="912" dataCellStyle="Normal 3"/>
    <tableColumn id="13" xr3:uid="{00000000-0010-0000-2500-00000D000000}" name="PERC. IIBB CABA" totalsRowFunction="sum" dataDxfId="911" totalsRowDxfId="910" dataCellStyle="Normal 3"/>
    <tableColumn id="14" xr3:uid="{00000000-0010-0000-2500-00000E000000}" name="Otros / No Grav." totalsRowFunction="sum" dataDxfId="909" totalsRowDxfId="908" dataCellStyle="Normal 3"/>
    <tableColumn id="15" xr3:uid="{00000000-0010-0000-2500-00000F000000}" name="TOTAL" totalsRowFunction="sum" dataDxfId="907" totalsRowDxfId="906" dataCellStyle="Normal 3">
      <calculatedColumnFormula>SUM(compras_mes7[[#This Row],[NETO GRAVADO]:[Otros / No Grav.]])</calculatedColumnFormula>
    </tableColumn>
    <tableColumn id="16" xr3:uid="{00000000-0010-0000-2500-000010000000}" name="Tipo de Gasto" dataDxfId="905" totalsRowDxfId="904" dataCellStyle="Normal 3">
      <calculatedColumnFormula>IFERROR(IF(compras_mes7[[#This Row],[CUIT]]="","-",VLOOKUP(compras_mes7[[#This Row],[CUIT]],Lista_CUIT[#All],3,0)),"CUIT NO CARGADO")</calculatedColumnFormula>
    </tableColumn>
    <tableColumn id="17" xr3:uid="{00000000-0010-0000-2500-000011000000}" name="Provincia" dataDxfId="903" totalsRowDxfId="902" dataCellStyle="Normal 3">
      <calculatedColumnFormula>IFERROR(IF(compras_mes7[[#This Row],[CUIT]]="","-",VLOOKUP(compras_mes7[[#This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6000000}" name="factura_c_mes7" displayName="factura_c_mes7" ref="D40:K46" totalsRowCount="1" headerRowDxfId="901" totalsRowDxfId="900" headerRowCellStyle="Normal 3">
  <autoFilter ref="D40:K45" xr:uid="{00000000-0009-0000-0100-000028000000}"/>
  <tableColumns count="8">
    <tableColumn id="1" xr3:uid="{00000000-0010-0000-2600-000001000000}" name="FECHA" totalsRowLabel="Total" dataDxfId="899" totalsRowDxfId="898" dataCellStyle="Normal 3"/>
    <tableColumn id="2" xr3:uid="{00000000-0010-0000-2600-000002000000}" name="PTO VTA" dataDxfId="897" totalsRowDxfId="896" dataCellStyle="Normal 3"/>
    <tableColumn id="3" xr3:uid="{00000000-0010-0000-2600-000003000000}" name="FC Nº" dataDxfId="895" totalsRowDxfId="894" dataCellStyle="Normal 3"/>
    <tableColumn id="4" xr3:uid="{00000000-0010-0000-2600-000004000000}" name="CUIT" dataDxfId="893" totalsRowDxfId="892" dataCellStyle="Normal 3"/>
    <tableColumn id="5" xr3:uid="{00000000-0010-0000-2600-000005000000}" name="RAZON SOCIAL" dataDxfId="891" totalsRowDxfId="890" dataCellStyle="Normal 3">
      <calculatedColumnFormula>IFERROR(IF(factura_c_mes7[[#This Row],[CUIT]]="","-",VLOOKUP(factura_c_mes7[[#This Row],[CUIT]],Lista_CUIT[#All],2,0)),"CUIT NO CARGADO")</calculatedColumnFormula>
    </tableColumn>
    <tableColumn id="6" xr3:uid="{00000000-0010-0000-2600-000006000000}" name="TOTAL" totalsRowFunction="sum" dataDxfId="889" totalsRowDxfId="888" dataCellStyle="Normal 3"/>
    <tableColumn id="7" xr3:uid="{00000000-0010-0000-2600-000007000000}" name="TIPO DE GASTO" dataDxfId="887" totalsRowDxfId="886" dataCellStyle="Normal 3">
      <calculatedColumnFormula>IFERROR(IF(factura_c_mes7[[#This Row],[CUIT]]="","-",VLOOKUP(factura_c_mes7[[#This Row],[CUIT]],Lista_CUIT[#All],3,0)),"CUIT NO CARGADO")</calculatedColumnFormula>
    </tableColumn>
    <tableColumn id="8" xr3:uid="{00000000-0010-0000-2600-000008000000}" name="Provincia" dataDxfId="885" totalsRowDxfId="884" dataCellStyle="Normal 3">
      <calculatedColumnFormula>IFERROR(IF(factura_c_mes7[[#This Row],[CUIT]]="","-",VLOOKUP(factura_c_mes7[[#This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7000000}" name="venta_a_mes7" displayName="venta_a_mes7" ref="B54:M80" totalsRowCount="1" headerRowDxfId="883" dataDxfId="881" headerRowBorderDxfId="882" tableBorderDxfId="880" totalsRowBorderDxfId="879" dataCellStyle="Normal 3">
  <autoFilter ref="B54:M79" xr:uid="{00000000-0009-0000-0100-000029000000}"/>
  <tableColumns count="12">
    <tableColumn id="1" xr3:uid="{00000000-0010-0000-2700-000001000000}" name="FECHA" totalsRowLabel="Total" dataDxfId="878" totalsRowDxfId="877" dataCellStyle="Normal 3"/>
    <tableColumn id="2" xr3:uid="{00000000-0010-0000-2700-000002000000}" name="TIPO" dataDxfId="876" totalsRowDxfId="875" dataCellStyle="Normal 3"/>
    <tableColumn id="3" xr3:uid="{00000000-0010-0000-2700-000003000000}" name="PTO VENTA" dataDxfId="874" totalsRowDxfId="873" dataCellStyle="Normal 3"/>
    <tableColumn id="4" xr3:uid="{00000000-0010-0000-2700-000004000000}" name="Nº FACTURA" dataDxfId="872" totalsRowDxfId="871" dataCellStyle="Normal 3"/>
    <tableColumn id="5" xr3:uid="{00000000-0010-0000-2700-000005000000}" name="CUIT" dataDxfId="870" totalsRowDxfId="869" dataCellStyle="Normal 3"/>
    <tableColumn id="6" xr3:uid="{00000000-0010-0000-2700-000006000000}" name="RAZON SOCIAL" dataDxfId="868" totalsRowDxfId="867" dataCellStyle="Normal 3">
      <calculatedColumnFormula>IFERROR(IF(venta_a_mes7[[#This Row],[CUIT]]="","-",VLOOKUP(venta_a_mes7[[#This Row],[CUIT]],Lista_CUIT[#All],2,0)),"CUIT NO CARGADO")</calculatedColumnFormula>
    </tableColumn>
    <tableColumn id="7" xr3:uid="{00000000-0010-0000-2700-000007000000}" name="IMPORTE NETO" totalsRowFunction="sum" dataDxfId="866" totalsRowDxfId="865" dataCellStyle="Normal 3"/>
    <tableColumn id="8" xr3:uid="{00000000-0010-0000-2700-000008000000}" name="IVA 21%" totalsRowFunction="sum" dataDxfId="864" totalsRowDxfId="863" dataCellStyle="Normal 3">
      <calculatedColumnFormula>venta_a_mes7[[#This Row],[IMPORTE NETO]]*0.21</calculatedColumnFormula>
    </tableColumn>
    <tableColumn id="9" xr3:uid="{00000000-0010-0000-2700-000009000000}" name="IVA 10,5%" totalsRowFunction="sum" dataDxfId="862" totalsRowDxfId="861" dataCellStyle="Normal 3"/>
    <tableColumn id="10" xr3:uid="{00000000-0010-0000-2700-00000A000000}" name="EXENTO" totalsRowFunction="sum" dataDxfId="860" totalsRowDxfId="859" dataCellStyle="Normal 3"/>
    <tableColumn id="11" xr3:uid="{00000000-0010-0000-2700-00000B000000}" name="TOTAL" totalsRowFunction="sum" dataDxfId="858" totalsRowDxfId="857" dataCellStyle="Normal 3">
      <calculatedColumnFormula>SUM(venta_a_mes7[[#This Row],[IMPORTE NETO]:[EXENTO]])</calculatedColumnFormula>
    </tableColumn>
    <tableColumn id="12" xr3:uid="{00000000-0010-0000-2700-00000C000000}" name="Provincia" totalsRowFunction="count" dataDxfId="856" totalsRowDxfId="855" dataCellStyle="Normal 3"/>
  </tableColumns>
  <tableStyleInfo name="Tabla Ventas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8000000}" name="ventas_b_mes7" displayName="ventas_b_mes7" ref="B82:M90" totalsRowCount="1" headerRowDxfId="854" dataDxfId="852" headerRowBorderDxfId="853" tableBorderDxfId="851" totalsRowBorderDxfId="850" dataCellStyle="Normal 3">
  <autoFilter ref="B82:M89" xr:uid="{00000000-0009-0000-0100-00002A000000}"/>
  <tableColumns count="12">
    <tableColumn id="1" xr3:uid="{00000000-0010-0000-2800-000001000000}" name="FECHA" totalsRowLabel="Total" dataDxfId="849" totalsRowDxfId="848" dataCellStyle="Normal 3"/>
    <tableColumn id="2" xr3:uid="{00000000-0010-0000-2800-000002000000}" name="TIPO" dataDxfId="847" totalsRowDxfId="846" dataCellStyle="Normal 3"/>
    <tableColumn id="3" xr3:uid="{00000000-0010-0000-2800-000003000000}" name="PTO VENTA" dataDxfId="845" totalsRowDxfId="844" dataCellStyle="Normal 3"/>
    <tableColumn id="4" xr3:uid="{00000000-0010-0000-2800-000004000000}" name="Nº FACTURA" dataDxfId="843" totalsRowDxfId="842" dataCellStyle="Normal 3"/>
    <tableColumn id="5" xr3:uid="{00000000-0010-0000-2800-000005000000}" name="CUIT" dataDxfId="841" totalsRowDxfId="840" dataCellStyle="Normal 3"/>
    <tableColumn id="6" xr3:uid="{00000000-0010-0000-2800-000006000000}" name="RAZON SOCIAL" dataDxfId="839" totalsRowDxfId="838" dataCellStyle="Normal 3">
      <calculatedColumnFormula>IFERROR(IF(ventas_b_mes7[[#This Row],[CUIT]]="","-",VLOOKUP(ventas_b_mes7[[#This Row],[CUIT]],Lista_CUIT[#All],2,0)),"CUIT NO CARGADO")</calculatedColumnFormula>
    </tableColumn>
    <tableColumn id="7" xr3:uid="{00000000-0010-0000-2800-000007000000}" name="IMPORTE NETO" totalsRowFunction="sum" dataDxfId="837" totalsRowDxfId="836" dataCellStyle="Normal 3"/>
    <tableColumn id="8" xr3:uid="{00000000-0010-0000-2800-000008000000}" name="IVA 21%" totalsRowFunction="sum" dataDxfId="835" totalsRowDxfId="834" dataCellStyle="Normal 3">
      <calculatedColumnFormula>ventas_b_mes7[[#This Row],[IMPORTE NETO]]*0.21</calculatedColumnFormula>
    </tableColumn>
    <tableColumn id="9" xr3:uid="{00000000-0010-0000-2800-000009000000}" name="IVA 10,5%" totalsRowFunction="sum" dataDxfId="833" totalsRowDxfId="832" dataCellStyle="Normal 3"/>
    <tableColumn id="10" xr3:uid="{00000000-0010-0000-2800-00000A000000}" name="EXENTO" totalsRowFunction="sum" dataDxfId="831" totalsRowDxfId="830" dataCellStyle="Normal 3"/>
    <tableColumn id="11" xr3:uid="{00000000-0010-0000-2800-00000B000000}" name="TOTAL" totalsRowFunction="sum" dataDxfId="829" totalsRowDxfId="828" dataCellStyle="Normal 3">
      <calculatedColumnFormula>SUM(ventas_b_mes7[[#This Row],[IMPORTE NETO]:[EXENTO]])</calculatedColumnFormula>
    </tableColumn>
    <tableColumn id="12" xr3:uid="{00000000-0010-0000-2800-00000C000000}" name="Provincia" totalsRowFunction="count" dataDxfId="827" totalsRowDxfId="826" dataCellStyle="Normal 3"/>
  </tableColumns>
  <tableStyleInfo name="Tabla Ventas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9000000}" name="extracto_banco_mes7" displayName="extracto_banco_mes7" ref="D31:L35" totalsRowCount="1" headerRowDxfId="825" dataDxfId="824" tableBorderDxfId="823" dataCellStyle="Normal 3">
  <autoFilter ref="D31:L34" xr:uid="{00000000-0009-0000-0100-00002B000000}"/>
  <tableColumns count="9">
    <tableColumn id="1" xr3:uid="{00000000-0010-0000-2900-000001000000}" name="FECHA" totalsRowLabel="Total" dataDxfId="822" totalsRowDxfId="821" dataCellStyle="Normal 3"/>
    <tableColumn id="2" xr3:uid="{00000000-0010-0000-2900-000002000000}" name="NRO CPTE" dataDxfId="820" totalsRowDxfId="819"/>
    <tableColumn id="3" xr3:uid="{00000000-0010-0000-2900-000003000000}" name="BANCO" dataDxfId="818" totalsRowDxfId="817"/>
    <tableColumn id="4" xr3:uid="{00000000-0010-0000-2900-000004000000}" name="NETO" totalsRowFunction="sum" dataDxfId="816" totalsRowDxfId="815" dataCellStyle="Normal 3"/>
    <tableColumn id="5" xr3:uid="{00000000-0010-0000-2900-000005000000}" name="IVA 21%" totalsRowFunction="sum" dataDxfId="814" totalsRowDxfId="813" dataCellStyle="Normal 3"/>
    <tableColumn id="6" xr3:uid="{00000000-0010-0000-2900-000006000000}" name="IVA 10,5%" totalsRowFunction="sum" dataDxfId="812" totalsRowDxfId="811" dataCellStyle="Normal 3"/>
    <tableColumn id="7" xr3:uid="{00000000-0010-0000-2900-000007000000}" name="RET IIBB CABA" totalsRowFunction="sum" dataDxfId="810" totalsRowDxfId="809" dataCellStyle="Normal 3"/>
    <tableColumn id="8" xr3:uid="{00000000-0010-0000-2900-000008000000}" name="PERC IVA" totalsRowFunction="sum" dataDxfId="808" totalsRowDxfId="807" dataCellStyle="Normal 3"/>
    <tableColumn id="9" xr3:uid="{00000000-0010-0000-2900-000009000000}" name="PERC IIBB" totalsRowFunction="sum" dataDxfId="806" totalsRowDxfId="805" dataCellStyle="Normal 3"/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A000000}" name="Retenciones_mes7" displayName="Retenciones_mes7" ref="C98:L103" totalsRowShown="0" headerRowDxfId="804" dataDxfId="803" headerRowCellStyle="Normal 3" dataCellStyle="Normal 3">
  <autoFilter ref="C98:L103" xr:uid="{00000000-0009-0000-0100-00002C000000}"/>
  <tableColumns count="10">
    <tableColumn id="1" xr3:uid="{00000000-0010-0000-2A00-000001000000}" name="FECHA " dataDxfId="802" dataCellStyle="Normal 3"/>
    <tableColumn id="2" xr3:uid="{00000000-0010-0000-2A00-000002000000}" name="COMP Nº" dataDxfId="801" dataCellStyle="Normal 3"/>
    <tableColumn id="3" xr3:uid="{00000000-0010-0000-2A00-000003000000}" name="Columna1" dataDxfId="800" dataCellStyle="Normal 3"/>
    <tableColumn id="4" xr3:uid="{00000000-0010-0000-2A00-000004000000}" name="CUIT" dataDxfId="799" dataCellStyle="Normal 3"/>
    <tableColumn id="5" xr3:uid="{00000000-0010-0000-2A00-000005000000}" name="RAZON SOCIAL" dataDxfId="798" dataCellStyle="Normal 3">
      <calculatedColumnFormula>IFERROR(IF(Retenciones_mes7[[#This Row],[CUIT]]="","-",VLOOKUP(Retenciones_mes7[[#This Row],[CUIT]],Lista_CUIT[#All],2,0)),"CUIT NO CARGADO")</calculatedColumnFormula>
    </tableColumn>
    <tableColumn id="6" xr3:uid="{00000000-0010-0000-2A00-000006000000}" name="Ganancias" dataDxfId="797" dataCellStyle="Normal 3"/>
    <tableColumn id="7" xr3:uid="{00000000-0010-0000-2A00-000007000000}" name="IVA" dataDxfId="796" dataCellStyle="Normal 3"/>
    <tableColumn id="8" xr3:uid="{00000000-0010-0000-2A00-000008000000}" name="SUSS" dataDxfId="795" dataCellStyle="Normal 3"/>
    <tableColumn id="9" xr3:uid="{00000000-0010-0000-2A00-000009000000}" name="IIBB BSAS" dataDxfId="794" dataCellStyle="Normal 3"/>
    <tableColumn id="10" xr3:uid="{00000000-0010-0000-2A00-00000A000000}" name="IIBB CABA" dataDxfId="793" dataCellStyle="Normal 3"/>
  </tableColumns>
  <tableStyleInfo name="Estilo de tabla 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compras_mes8" displayName="compras_mes8" ref="B8:R24" totalsRowCount="1" headerRowDxfId="792" totalsRowDxfId="791">
  <autoFilter ref="B8:R23" xr:uid="{00000000-0009-0000-0100-000039000000}"/>
  <sortState xmlns:xlrd2="http://schemas.microsoft.com/office/spreadsheetml/2017/richdata2" ref="B9:R22">
    <sortCondition ref="B8:B22"/>
  </sortState>
  <tableColumns count="17">
    <tableColumn id="1" xr3:uid="{00000000-0010-0000-2B00-000001000000}" name="FECHA" totalsRowLabel="Total" dataDxfId="790" totalsRowDxfId="789" dataCellStyle="Normal 3"/>
    <tableColumn id="2" xr3:uid="{00000000-0010-0000-2B00-000002000000}" name="TIPO" dataDxfId="788" totalsRowDxfId="787" dataCellStyle="Normal 3"/>
    <tableColumn id="3" xr3:uid="{00000000-0010-0000-2B00-000003000000}" name="PTO VTA" dataDxfId="786" totalsRowDxfId="785" dataCellStyle="Normal 3"/>
    <tableColumn id="4" xr3:uid="{00000000-0010-0000-2B00-000004000000}" name="NRO. CPTE" dataDxfId="784" totalsRowDxfId="783" dataCellStyle="Normal 3"/>
    <tableColumn id="5" xr3:uid="{00000000-0010-0000-2B00-000005000000}" name="CUIT" dataDxfId="782" totalsRowDxfId="781" dataCellStyle="Normal 3"/>
    <tableColumn id="6" xr3:uid="{00000000-0010-0000-2B00-000006000000}" name="RAZON SOCIAL" dataDxfId="780" totalsRowDxfId="779" dataCellStyle="Normal 3">
      <calculatedColumnFormula>IFERROR(IF(compras_mes8[[#This Row],[CUIT]]="","-",VLOOKUP(compras_mes8[[#This Row],[CUIT]],Lista_CUIT[#All],2,0)),"CUIT NO CARGADO")</calculatedColumnFormula>
    </tableColumn>
    <tableColumn id="7" xr3:uid="{00000000-0010-0000-2B00-000007000000}" name="NETO GRAVADO" totalsRowFunction="sum" dataDxfId="778" totalsRowDxfId="777" dataCellStyle="Normal 3"/>
    <tableColumn id="8" xr3:uid="{00000000-0010-0000-2B00-000008000000}" name="IVA 21 %" totalsRowFunction="sum" dataDxfId="776" totalsRowDxfId="775" dataCellStyle="Normal 3">
      <calculatedColumnFormula>IF(compras_mes8[[#This Row],[NETO GRAVADO]]="","",compras_mes8[[#This Row],[NETO GRAVADO]]*0.21)</calculatedColumnFormula>
    </tableColumn>
    <tableColumn id="9" xr3:uid="{00000000-0010-0000-2B00-000009000000}" name="IVA 27%" totalsRowFunction="sum" dataDxfId="774" totalsRowDxfId="773" dataCellStyle="Normal 3"/>
    <tableColumn id="10" xr3:uid="{00000000-0010-0000-2B00-00000A000000}" name="IVA 10,5%" totalsRowFunction="sum" dataDxfId="772" totalsRowDxfId="771" dataCellStyle="Normal 3"/>
    <tableColumn id="11" xr3:uid="{00000000-0010-0000-2B00-00000B000000}" name="PERC. IVA" totalsRowFunction="sum" dataDxfId="770" totalsRowDxfId="769" dataCellStyle="Normal 3"/>
    <tableColumn id="12" xr3:uid="{00000000-0010-0000-2B00-00000C000000}" name="PERC IIBB _x000a_BS AS" totalsRowFunction="sum" dataDxfId="768" totalsRowDxfId="767" dataCellStyle="Normal 3"/>
    <tableColumn id="13" xr3:uid="{00000000-0010-0000-2B00-00000D000000}" name="PERC. IIBB CABA" totalsRowFunction="sum" dataDxfId="766" totalsRowDxfId="765" dataCellStyle="Normal 3"/>
    <tableColumn id="14" xr3:uid="{00000000-0010-0000-2B00-00000E000000}" name="Otros / No Grav." totalsRowFunction="sum" dataDxfId="764" totalsRowDxfId="763" dataCellStyle="Normal 3"/>
    <tableColumn id="15" xr3:uid="{00000000-0010-0000-2B00-00000F000000}" name="TOTAL" totalsRowFunction="sum" dataDxfId="762" totalsRowDxfId="761" dataCellStyle="Normal 3">
      <calculatedColumnFormula>SUM(compras_mes8[[#This Row],[NETO GRAVADO]:[Otros / No Grav.]])</calculatedColumnFormula>
    </tableColumn>
    <tableColumn id="16" xr3:uid="{00000000-0010-0000-2B00-000010000000}" name="Tipo de Gasto" dataDxfId="760" totalsRowDxfId="759" dataCellStyle="Normal 3">
      <calculatedColumnFormula>IFERROR(IF(compras_mes8[[#This Row],[CUIT]]="","-",VLOOKUP(compras_mes8[[#This Row],[CUIT]],Lista_CUIT[#All],3,0)),"CUIT NO CARGADO")</calculatedColumnFormula>
    </tableColumn>
    <tableColumn id="17" xr3:uid="{00000000-0010-0000-2B00-000011000000}" name="Provincia" dataDxfId="758" totalsRowDxfId="757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factura_c_mes8" displayName="factura_c_mes8" ref="D39:K44" totalsRowCount="1" headerRowDxfId="756" totalsRowDxfId="755" headerRowCellStyle="Normal 3">
  <autoFilter ref="D39:K43" xr:uid="{00000000-0009-0000-0100-00003A000000}"/>
  <tableColumns count="8">
    <tableColumn id="1" xr3:uid="{00000000-0010-0000-2C00-000001000000}" name="FECHA" totalsRowLabel="Total" dataDxfId="754" totalsRowDxfId="753" dataCellStyle="Normal 3"/>
    <tableColumn id="2" xr3:uid="{00000000-0010-0000-2C00-000002000000}" name="PTO VTA" dataDxfId="752" totalsRowDxfId="751" dataCellStyle="Normal 3"/>
    <tableColumn id="3" xr3:uid="{00000000-0010-0000-2C00-000003000000}" name="FC Nº" dataDxfId="750" totalsRowDxfId="749" dataCellStyle="Normal 3"/>
    <tableColumn id="4" xr3:uid="{00000000-0010-0000-2C00-000004000000}" name="CUIT" dataDxfId="748" totalsRowDxfId="747" dataCellStyle="Normal 3"/>
    <tableColumn id="5" xr3:uid="{00000000-0010-0000-2C00-000005000000}" name="RAZON SOCIAL" dataDxfId="746" totalsRowDxfId="745" dataCellStyle="Normal 3">
      <calculatedColumnFormula>IFERROR(IF(factura_c_mes8[[#This Row],[CUIT]]="","-",VLOOKUP(factura_c_mes8[[#This Row],[CUIT]],Lista_CUIT[#All],2,0)),"CUIT NO CARGADO")</calculatedColumnFormula>
    </tableColumn>
    <tableColumn id="6" xr3:uid="{00000000-0010-0000-2C00-000006000000}" name="TOTAL" totalsRowFunction="sum" dataDxfId="744" totalsRowDxfId="743" dataCellStyle="Normal 3"/>
    <tableColumn id="7" xr3:uid="{00000000-0010-0000-2C00-000007000000}" name="TIPO DE GASTO" dataDxfId="742" totalsRowDxfId="741" dataCellStyle="Normal 3">
      <calculatedColumnFormula>IFERROR(IF(factura_c_mes8[[#This Row],[CUIT]]="","-",VLOOKUP(factura_c_mes8[[#This Row],[CUIT]],Lista_CUIT[#All],3,0)),"CUIT NO CARGADO")</calculatedColumnFormula>
    </tableColumn>
    <tableColumn id="8" xr3:uid="{00000000-0010-0000-2C00-000008000000}" name="Provincia" dataDxfId="740" totalsRowDxfId="739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venta_a_mes8" displayName="venta_a_mes8" ref="B53:M90" totalsRowCount="1" headerRowDxfId="738" dataDxfId="736" headerRowBorderDxfId="737" tableBorderDxfId="735" totalsRowBorderDxfId="734" dataCellStyle="Normal 3">
  <autoFilter ref="B53:M89" xr:uid="{00000000-0009-0000-0100-00003B000000}"/>
  <tableColumns count="12">
    <tableColumn id="1" xr3:uid="{00000000-0010-0000-2D00-000001000000}" name="FECHA" totalsRowLabel="Total" dataDxfId="733" totalsRowDxfId="732" dataCellStyle="Normal 3"/>
    <tableColumn id="2" xr3:uid="{00000000-0010-0000-2D00-000002000000}" name="TIPO" dataDxfId="731" totalsRowDxfId="730" dataCellStyle="Normal 3"/>
    <tableColumn id="3" xr3:uid="{00000000-0010-0000-2D00-000003000000}" name="PTO VENTA" dataDxfId="729" totalsRowDxfId="728" dataCellStyle="Normal 3"/>
    <tableColumn id="4" xr3:uid="{00000000-0010-0000-2D00-000004000000}" name="Nº FACTURA" dataDxfId="727" totalsRowDxfId="726" dataCellStyle="Normal 3"/>
    <tableColumn id="5" xr3:uid="{00000000-0010-0000-2D00-000005000000}" name="CUIT" dataDxfId="725" totalsRowDxfId="724" dataCellStyle="Normal 3"/>
    <tableColumn id="6" xr3:uid="{00000000-0010-0000-2D00-000006000000}" name="RAZON SOCIAL" dataDxfId="723" totalsRowDxfId="722" dataCellStyle="Normal 3">
      <calculatedColumnFormula>IFERROR(IF(venta_a_mes8[[#This Row],[CUIT]]="","-",VLOOKUP(venta_a_mes8[[#This Row],[CUIT]],Lista_CUIT[#All],2,0)),"CUIT NO CARGADO")</calculatedColumnFormula>
    </tableColumn>
    <tableColumn id="7" xr3:uid="{00000000-0010-0000-2D00-000007000000}" name="IMPORTE NETO" totalsRowFunction="sum" dataDxfId="721" totalsRowDxfId="720" dataCellStyle="Normal 3"/>
    <tableColumn id="8" xr3:uid="{00000000-0010-0000-2D00-000008000000}" name="IVA 21%" totalsRowFunction="sum" dataDxfId="719" totalsRowDxfId="718" dataCellStyle="Normal 3">
      <calculatedColumnFormula>venta_a_mes8[[#This Row],[IMPORTE NETO]]*0.21</calculatedColumnFormula>
    </tableColumn>
    <tableColumn id="9" xr3:uid="{00000000-0010-0000-2D00-000009000000}" name="IVA 10,5%" totalsRowFunction="sum" dataDxfId="717" totalsRowDxfId="716" dataCellStyle="Normal 3"/>
    <tableColumn id="10" xr3:uid="{00000000-0010-0000-2D00-00000A000000}" name="EXENTO" totalsRowFunction="sum" dataDxfId="715" totalsRowDxfId="714" dataCellStyle="Normal 3"/>
    <tableColumn id="11" xr3:uid="{00000000-0010-0000-2D00-00000B000000}" name="TOTAL" totalsRowFunction="sum" dataDxfId="713" totalsRowDxfId="712" dataCellStyle="Normal 3">
      <calculatedColumnFormula>SUM(venta_a_mes8[[#This Row],[IMPORTE NETO]:[EXENTO]])</calculatedColumnFormula>
    </tableColumn>
    <tableColumn id="12" xr3:uid="{00000000-0010-0000-2D00-00000C000000}" name="Provincia" totalsRowFunction="count" dataDxfId="711" totalsRowDxfId="710" dataCellStyle="Normal 3"/>
  </tableColumns>
  <tableStyleInfo name="Tabla Ventas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ventas_b_mes8" displayName="ventas_b_mes8" ref="B92:M97" totalsRowCount="1" headerRowDxfId="709" dataDxfId="707" headerRowBorderDxfId="708" tableBorderDxfId="706" totalsRowBorderDxfId="705" dataCellStyle="Normal 3">
  <autoFilter ref="B92:M96" xr:uid="{00000000-0009-0000-0100-00003C000000}"/>
  <tableColumns count="12">
    <tableColumn id="1" xr3:uid="{00000000-0010-0000-2E00-000001000000}" name="FECHA" totalsRowLabel="Total" dataDxfId="704" totalsRowDxfId="703" dataCellStyle="Normal 3"/>
    <tableColumn id="2" xr3:uid="{00000000-0010-0000-2E00-000002000000}" name="TIPO" dataDxfId="702" totalsRowDxfId="701" dataCellStyle="Normal 3"/>
    <tableColumn id="3" xr3:uid="{00000000-0010-0000-2E00-000003000000}" name="PTO VENTA" dataDxfId="700" totalsRowDxfId="699" dataCellStyle="Normal 3"/>
    <tableColumn id="4" xr3:uid="{00000000-0010-0000-2E00-000004000000}" name="Nº FACTURA" dataDxfId="698" totalsRowDxfId="697" dataCellStyle="Normal 3"/>
    <tableColumn id="5" xr3:uid="{00000000-0010-0000-2E00-000005000000}" name="CUIT" dataDxfId="696" totalsRowDxfId="695" dataCellStyle="Normal 3"/>
    <tableColumn id="6" xr3:uid="{00000000-0010-0000-2E00-000006000000}" name="RAZON SOCIAL" dataDxfId="694" totalsRowDxfId="693" dataCellStyle="Normal 3">
      <calculatedColumnFormula>IFERROR(IF(ventas_b_mes8[[#This Row],[CUIT]]="","-",VLOOKUP(ventas_b_mes8[[#This Row],[CUIT]],Lista_CUIT[#All],2,0)),"CUIT NO CARGADO")</calculatedColumnFormula>
    </tableColumn>
    <tableColumn id="7" xr3:uid="{00000000-0010-0000-2E00-000007000000}" name="IMPORTE NETO" totalsRowFunction="sum" dataDxfId="692" totalsRowDxfId="691" dataCellStyle="Normal 3"/>
    <tableColumn id="8" xr3:uid="{00000000-0010-0000-2E00-000008000000}" name="IVA 21%" totalsRowFunction="sum" dataDxfId="690" totalsRowDxfId="689" dataCellStyle="Normal 3">
      <calculatedColumnFormula>ventas_b_mes8[[#This Row],[IMPORTE NETO]]*0.21</calculatedColumnFormula>
    </tableColumn>
    <tableColumn id="9" xr3:uid="{00000000-0010-0000-2E00-000009000000}" name="IVA 10,5%" totalsRowFunction="sum" dataDxfId="688" totalsRowDxfId="687" dataCellStyle="Normal 3"/>
    <tableColumn id="10" xr3:uid="{00000000-0010-0000-2E00-00000A000000}" name="EXENTO" totalsRowFunction="sum" dataDxfId="686" totalsRowDxfId="685" dataCellStyle="Normal 3"/>
    <tableColumn id="11" xr3:uid="{00000000-0010-0000-2E00-00000B000000}" name="TOTAL" totalsRowFunction="sum" dataDxfId="684" totalsRowDxfId="683" dataCellStyle="Normal 3">
      <calculatedColumnFormula>SUM(ventas_b_mes8[[#This Row],[IMPORTE NETO]:[EXENTO]])</calculatedColumnFormula>
    </tableColumn>
    <tableColumn id="12" xr3:uid="{00000000-0010-0000-2E00-00000C000000}" name="Provincia" totalsRowFunction="count" dataDxfId="682" totalsRowDxfId="681" dataCellStyle="Normal 3"/>
  </tableColumns>
  <tableStyleInfo name="Tabla Ventas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xtracto_banco_mes8" displayName="extracto_banco_mes8" ref="D30:L34" totalsRowCount="1" headerRowDxfId="680" dataDxfId="679" tableBorderDxfId="678" dataCellStyle="Normal 3">
  <autoFilter ref="D30:L33" xr:uid="{00000000-0009-0000-0100-00003D000000}"/>
  <tableColumns count="9">
    <tableColumn id="1" xr3:uid="{00000000-0010-0000-2F00-000001000000}" name="FECHA" totalsRowLabel="Total" dataDxfId="677" totalsRowDxfId="676" dataCellStyle="Normal 3"/>
    <tableColumn id="2" xr3:uid="{00000000-0010-0000-2F00-000002000000}" name="NRO CPTE" dataDxfId="675" totalsRowDxfId="674"/>
    <tableColumn id="3" xr3:uid="{00000000-0010-0000-2F00-000003000000}" name="BANCO" dataDxfId="673" totalsRowDxfId="672"/>
    <tableColumn id="4" xr3:uid="{00000000-0010-0000-2F00-000004000000}" name="NETO" totalsRowFunction="sum" dataDxfId="671" totalsRowDxfId="670" dataCellStyle="Normal 3"/>
    <tableColumn id="5" xr3:uid="{00000000-0010-0000-2F00-000005000000}" name="IVA 21%" totalsRowFunction="sum" dataDxfId="669" totalsRowDxfId="668" dataCellStyle="Normal 3"/>
    <tableColumn id="6" xr3:uid="{00000000-0010-0000-2F00-000006000000}" name="IVA 10,5%" totalsRowFunction="sum" dataDxfId="667" totalsRowDxfId="666" dataCellStyle="Normal 3"/>
    <tableColumn id="7" xr3:uid="{00000000-0010-0000-2F00-000007000000}" name="RET IIBB CABA" totalsRowFunction="sum" dataDxfId="665" totalsRowDxfId="664" dataCellStyle="Normal 3"/>
    <tableColumn id="8" xr3:uid="{00000000-0010-0000-2F00-000008000000}" name="PERC IVA" totalsRowFunction="sum" dataDxfId="663" totalsRowDxfId="662" dataCellStyle="Normal 3"/>
    <tableColumn id="9" xr3:uid="{00000000-0010-0000-2F00-000009000000}" name="PERC IIBB" totalsRowFunction="sum" dataDxfId="661" totalsRowDxfId="660" dataCellStyle="Normal 3"/>
  </tableColumns>
  <tableStyleInfo name="Estilo de tabla 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0000000}" name="Retenciones_mes8" displayName="Retenciones_mes8" ref="C106:L111" totalsRowShown="0" headerRowDxfId="659" dataDxfId="658" headerRowCellStyle="Normal 3" dataCellStyle="Normal 3">
  <autoFilter ref="C106:L111" xr:uid="{00000000-0009-0000-0100-00003E000000}"/>
  <tableColumns count="10">
    <tableColumn id="1" xr3:uid="{00000000-0010-0000-3000-000001000000}" name="FECHA " dataDxfId="657" dataCellStyle="Normal 3"/>
    <tableColumn id="2" xr3:uid="{00000000-0010-0000-3000-000002000000}" name="COMP Nº" dataDxfId="656" dataCellStyle="Normal 3"/>
    <tableColumn id="3" xr3:uid="{00000000-0010-0000-3000-000003000000}" name="Columna1" dataDxfId="655" dataCellStyle="Normal 3"/>
    <tableColumn id="4" xr3:uid="{00000000-0010-0000-3000-000004000000}" name="CUIT" dataDxfId="654" dataCellStyle="Normal 3"/>
    <tableColumn id="5" xr3:uid="{00000000-0010-0000-3000-000005000000}" name="RAZON SOCIAL" dataDxfId="653" dataCellStyle="Normal 3">
      <calculatedColumnFormula>IFERROR(IF(Retenciones_mes8[[#This Row],[CUIT]]="","-",VLOOKUP(Retenciones_mes8[[#This Row],[CUIT]],Lista_CUIT[#All],2,0)),"CUIT NO CARGADO")</calculatedColumnFormula>
    </tableColumn>
    <tableColumn id="6" xr3:uid="{00000000-0010-0000-3000-000006000000}" name="Ganancias" dataDxfId="652" dataCellStyle="Normal 3"/>
    <tableColumn id="7" xr3:uid="{00000000-0010-0000-3000-000007000000}" name="IVA" dataDxfId="651" dataCellStyle="Normal 3"/>
    <tableColumn id="8" xr3:uid="{00000000-0010-0000-3000-000008000000}" name="SUSS" dataDxfId="650" dataCellStyle="Normal 3"/>
    <tableColumn id="9" xr3:uid="{00000000-0010-0000-3000-000009000000}" name="IIBB BSAS" dataDxfId="649" dataCellStyle="Normal 3"/>
    <tableColumn id="10" xr3:uid="{00000000-0010-0000-3000-00000A000000}" name="IIBB CABA" dataDxfId="648" dataCellStyle="Normal 3"/>
  </tableColumns>
  <tableStyleInfo name="Estilo de tabla 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1000000}" name="compras_mes9" displayName="compras_mes9" ref="B8:R34" totalsRowCount="1" headerRowDxfId="647" dataDxfId="646" totalsRowDxfId="645">
  <autoFilter ref="B8:R33" xr:uid="{00000000-0009-0000-0100-00003F000000}"/>
  <tableColumns count="17">
    <tableColumn id="1" xr3:uid="{00000000-0010-0000-3100-000001000000}" name="FECHA" totalsRowLabel="Total" dataDxfId="644" totalsRowDxfId="643" dataCellStyle="Normal 3"/>
    <tableColumn id="2" xr3:uid="{00000000-0010-0000-3100-000002000000}" name="TIPO" dataDxfId="642" totalsRowDxfId="641" dataCellStyle="Normal 3"/>
    <tableColumn id="3" xr3:uid="{00000000-0010-0000-3100-000003000000}" name="PTO VTA" dataDxfId="640" totalsRowDxfId="639" dataCellStyle="Normal 3"/>
    <tableColumn id="4" xr3:uid="{00000000-0010-0000-3100-000004000000}" name="NRO. CPTE" dataDxfId="638" totalsRowDxfId="637" dataCellStyle="Normal 3"/>
    <tableColumn id="5" xr3:uid="{00000000-0010-0000-3100-000005000000}" name="CUIT" dataDxfId="636" totalsRowDxfId="635" dataCellStyle="Normal 3"/>
    <tableColumn id="6" xr3:uid="{00000000-0010-0000-3100-000006000000}" name="RAZON SOCIAL" dataDxfId="634" totalsRowDxfId="633" dataCellStyle="Normal 3">
      <calculatedColumnFormula>IFERROR(IF(compras_mes9[[#This Row],[CUIT]]="","-",VLOOKUP(compras_mes9[[#This Row],[CUIT]],Lista_CUIT[#All],2,0)),"CUIT NO CARGADO")</calculatedColumnFormula>
    </tableColumn>
    <tableColumn id="7" xr3:uid="{00000000-0010-0000-3100-000007000000}" name="NETO GRAVADO" totalsRowFunction="sum" dataDxfId="632" totalsRowDxfId="631" dataCellStyle="Normal 3"/>
    <tableColumn id="8" xr3:uid="{00000000-0010-0000-3100-000008000000}" name="IVA 21 %" totalsRowFunction="sum" dataDxfId="630" totalsRowDxfId="629" dataCellStyle="Normal 3">
      <calculatedColumnFormula>IF(compras_mes9[[#This Row],[NETO GRAVADO]]="","",compras_mes9[[#This Row],[NETO GRAVADO]]*0.21)</calculatedColumnFormula>
    </tableColumn>
    <tableColumn id="9" xr3:uid="{00000000-0010-0000-3100-000009000000}" name="IVA 27%" totalsRowFunction="sum" dataDxfId="628" totalsRowDxfId="627" dataCellStyle="Normal 3"/>
    <tableColumn id="10" xr3:uid="{00000000-0010-0000-3100-00000A000000}" name="IVA 10,5%" totalsRowFunction="sum" dataDxfId="626" totalsRowDxfId="625" dataCellStyle="Normal 3"/>
    <tableColumn id="11" xr3:uid="{00000000-0010-0000-3100-00000B000000}" name="PERC. IVA" totalsRowFunction="sum" dataDxfId="624" totalsRowDxfId="623" dataCellStyle="Normal 3"/>
    <tableColumn id="12" xr3:uid="{00000000-0010-0000-3100-00000C000000}" name="PERC IIBB _x000a_BS AS" totalsRowFunction="sum" dataDxfId="622" totalsRowDxfId="621" dataCellStyle="Normal 3"/>
    <tableColumn id="13" xr3:uid="{00000000-0010-0000-3100-00000D000000}" name="PERC. IIBB CABA" totalsRowFunction="sum" dataDxfId="620" totalsRowDxfId="619" dataCellStyle="Normal 3"/>
    <tableColumn id="14" xr3:uid="{00000000-0010-0000-3100-00000E000000}" name="Otros / No Grav." totalsRowFunction="sum" dataDxfId="618" totalsRowDxfId="617" dataCellStyle="Normal 3"/>
    <tableColumn id="15" xr3:uid="{00000000-0010-0000-3100-00000F000000}" name="TOTAL" totalsRowFunction="sum" dataDxfId="616" totalsRowDxfId="615" dataCellStyle="Normal 3">
      <calculatedColumnFormula>SUM(compras_mes9[[#This Row],[NETO GRAVADO]:[Otros / No Grav.]])</calculatedColumnFormula>
    </tableColumn>
    <tableColumn id="16" xr3:uid="{00000000-0010-0000-3100-000010000000}" name="Tipo de Gasto" dataDxfId="614" totalsRowDxfId="613" dataCellStyle="Normal 3">
      <calculatedColumnFormula>IFERROR(IF(compras_mes9[[#This Row],[CUIT]]="","-",VLOOKUP(compras_mes9[[#This Row],[CUIT]],Lista_CUIT[#All],3,0)),"CUIT NO CARGADO")</calculatedColumnFormula>
    </tableColumn>
    <tableColumn id="17" xr3:uid="{00000000-0010-0000-3100-000011000000}" name="Provincia" dataDxfId="612" totalsRowDxfId="611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2000000}" name="factura_c_mes9" displayName="factura_c_mes9" ref="D49:K56" totalsRowCount="1" headerRowDxfId="610" totalsRowDxfId="609" headerRowCellStyle="Normal 3">
  <autoFilter ref="D49:K55" xr:uid="{00000000-0009-0000-0100-000040000000}"/>
  <tableColumns count="8">
    <tableColumn id="1" xr3:uid="{00000000-0010-0000-3200-000001000000}" name="FECHA" totalsRowLabel="Total" dataDxfId="608" totalsRowDxfId="607" dataCellStyle="Normal 3"/>
    <tableColumn id="2" xr3:uid="{00000000-0010-0000-3200-000002000000}" name="PTO VTA" dataDxfId="606" totalsRowDxfId="605" dataCellStyle="Normal 3"/>
    <tableColumn id="3" xr3:uid="{00000000-0010-0000-3200-000003000000}" name="FC Nº" dataDxfId="604" totalsRowDxfId="603" dataCellStyle="Normal 3"/>
    <tableColumn id="4" xr3:uid="{00000000-0010-0000-3200-000004000000}" name="CUIT" dataDxfId="602" totalsRowDxfId="601" dataCellStyle="Normal 3"/>
    <tableColumn id="5" xr3:uid="{00000000-0010-0000-3200-000005000000}" name="RAZON SOCIAL" dataDxfId="600" totalsRowDxfId="599" dataCellStyle="Normal 3">
      <calculatedColumnFormula>IFERROR(IF(factura_c_mes9[[#This Row],[CUIT]]="","-",VLOOKUP(factura_c_mes9[[#This Row],[CUIT]],Lista_CUIT[#All],2,0)),"CUIT NO CARGADO")</calculatedColumnFormula>
    </tableColumn>
    <tableColumn id="6" xr3:uid="{00000000-0010-0000-3200-000006000000}" name="TOTAL" totalsRowFunction="sum" dataDxfId="598" totalsRowDxfId="597" dataCellStyle="Normal 3"/>
    <tableColumn id="7" xr3:uid="{00000000-0010-0000-3200-000007000000}" name="TIPO DE GASTO" dataDxfId="596" totalsRowDxfId="595" dataCellStyle="Normal 3">
      <calculatedColumnFormula>IFERROR(IF(factura_c_mes9[[#This Row],[CUIT]]="","-",VLOOKUP(factura_c_mes9[[#This Row],[CUIT]],Lista_CUIT[#All],3,0)),"CUIT NO CARGADO")</calculatedColumnFormula>
    </tableColumn>
    <tableColumn id="8" xr3:uid="{00000000-0010-0000-3200-000008000000}" name="Provincia" dataDxfId="594" totalsRowDxfId="593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3000000}" name="venta_a_mes9" displayName="venta_a_mes9" ref="B63:M86" totalsRowCount="1" headerRowDxfId="592" dataDxfId="590" headerRowBorderDxfId="591" tableBorderDxfId="589" totalsRowBorderDxfId="588" dataCellStyle="Normal 3">
  <autoFilter ref="B63:M85" xr:uid="{00000000-0009-0000-0100-000041000000}"/>
  <tableColumns count="12">
    <tableColumn id="1" xr3:uid="{00000000-0010-0000-3300-000001000000}" name="FECHA" totalsRowLabel="Total" dataDxfId="587" totalsRowDxfId="586" dataCellStyle="Normal 3"/>
    <tableColumn id="2" xr3:uid="{00000000-0010-0000-3300-000002000000}" name="TIPO" dataDxfId="585" totalsRowDxfId="584" dataCellStyle="Normal 3"/>
    <tableColumn id="3" xr3:uid="{00000000-0010-0000-3300-000003000000}" name="PTO VENTA" dataDxfId="583" totalsRowDxfId="582" dataCellStyle="Normal 3"/>
    <tableColumn id="4" xr3:uid="{00000000-0010-0000-3300-000004000000}" name="Nº FACTURA" dataDxfId="581" totalsRowDxfId="580" dataCellStyle="Normal 3"/>
    <tableColumn id="5" xr3:uid="{00000000-0010-0000-3300-000005000000}" name="CUIT" dataDxfId="579" totalsRowDxfId="578" dataCellStyle="Normal 3"/>
    <tableColumn id="6" xr3:uid="{00000000-0010-0000-3300-000006000000}" name="RAZON SOCIAL" dataDxfId="577" totalsRowDxfId="576" dataCellStyle="Normal 3">
      <calculatedColumnFormula>IFERROR(IF(venta_a_mes9[[#This Row],[CUIT]]="","-",VLOOKUP(venta_a_mes9[[#This Row],[CUIT]],Lista_CUIT[#All],2,0)),"CUIT NO CARGADO")</calculatedColumnFormula>
    </tableColumn>
    <tableColumn id="7" xr3:uid="{00000000-0010-0000-3300-000007000000}" name="IMPORTE NETO" totalsRowFunction="sum" dataDxfId="575" totalsRowDxfId="574" dataCellStyle="Normal 3"/>
    <tableColumn id="8" xr3:uid="{00000000-0010-0000-3300-000008000000}" name="IVA 21%" totalsRowFunction="sum" dataDxfId="573" totalsRowDxfId="572" dataCellStyle="Normal 3">
      <calculatedColumnFormula>venta_a_mes9[[#This Row],[IMPORTE NETO]]*0.21</calculatedColumnFormula>
    </tableColumn>
    <tableColumn id="9" xr3:uid="{00000000-0010-0000-3300-000009000000}" name="IVA 10,5%" totalsRowFunction="sum" dataDxfId="571" totalsRowDxfId="570" dataCellStyle="Normal 3"/>
    <tableColumn id="10" xr3:uid="{00000000-0010-0000-3300-00000A000000}" name="EXENTO" totalsRowFunction="sum" dataDxfId="569" totalsRowDxfId="568" dataCellStyle="Normal 3"/>
    <tableColumn id="11" xr3:uid="{00000000-0010-0000-3300-00000B000000}" name="TOTAL" totalsRowFunction="sum" dataDxfId="567" totalsRowDxfId="566" dataCellStyle="Normal 3">
      <calculatedColumnFormula>SUM(venta_a_mes9[[#This Row],[IMPORTE NETO]:[EXENTO]])</calculatedColumnFormula>
    </tableColumn>
    <tableColumn id="12" xr3:uid="{00000000-0010-0000-3300-00000C000000}" name="Provincia" totalsRowFunction="count" dataDxfId="565" totalsRowDxfId="564" dataCellStyle="Normal 3"/>
  </tableColumns>
  <tableStyleInfo name="Tabla Ventas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4000000}" name="ventas_b_mes9" displayName="ventas_b_mes9" ref="B89:M96" totalsRowCount="1" headerRowDxfId="563" dataDxfId="561" headerRowBorderDxfId="562" tableBorderDxfId="560" totalsRowBorderDxfId="559" dataCellStyle="Normal 3">
  <autoFilter ref="B89:M95" xr:uid="{00000000-0009-0000-0100-000042000000}"/>
  <tableColumns count="12">
    <tableColumn id="1" xr3:uid="{00000000-0010-0000-3400-000001000000}" name="FECHA" totalsRowLabel="Total" dataDxfId="558" totalsRowDxfId="557" dataCellStyle="Normal 3"/>
    <tableColumn id="2" xr3:uid="{00000000-0010-0000-3400-000002000000}" name="TIPO" dataDxfId="556" totalsRowDxfId="555" dataCellStyle="Normal 3"/>
    <tableColumn id="3" xr3:uid="{00000000-0010-0000-3400-000003000000}" name="PTO VENTA" dataDxfId="554" totalsRowDxfId="553" dataCellStyle="Normal 3"/>
    <tableColumn id="4" xr3:uid="{00000000-0010-0000-3400-000004000000}" name="Nº FACTURA" dataDxfId="552" totalsRowDxfId="551" dataCellStyle="Normal 3"/>
    <tableColumn id="5" xr3:uid="{00000000-0010-0000-3400-000005000000}" name="CUIT" dataDxfId="550" totalsRowDxfId="549" dataCellStyle="Normal 3"/>
    <tableColumn id="6" xr3:uid="{00000000-0010-0000-3400-000006000000}" name="RAZON SOCIAL" dataDxfId="548" totalsRowDxfId="547" dataCellStyle="Normal 3">
      <calculatedColumnFormula>IFERROR(IF(ventas_b_mes9[[#This Row],[CUIT]]="","-",VLOOKUP(ventas_b_mes9[[#This Row],[CUIT]],Lista_CUIT[#All],2,0)),"CUIT NO CARGADO")</calculatedColumnFormula>
    </tableColumn>
    <tableColumn id="7" xr3:uid="{00000000-0010-0000-3400-000007000000}" name="IMPORTE NETO" totalsRowFunction="sum" dataDxfId="546" totalsRowDxfId="545" dataCellStyle="Normal 3">
      <calculatedColumnFormula>ventas_b_mes9[[#This Row],[TOTAL]]/1.21</calculatedColumnFormula>
    </tableColumn>
    <tableColumn id="8" xr3:uid="{00000000-0010-0000-3400-000008000000}" name="IVA 21%" totalsRowFunction="sum" dataDxfId="544" totalsRowDxfId="543" dataCellStyle="Normal 3">
      <calculatedColumnFormula>ventas_b_mes9[[#This Row],[IMPORTE NETO]]*0.21</calculatedColumnFormula>
    </tableColumn>
    <tableColumn id="9" xr3:uid="{00000000-0010-0000-3400-000009000000}" name="IVA 10,5%" totalsRowFunction="sum" dataDxfId="542" totalsRowDxfId="541" dataCellStyle="Normal 3"/>
    <tableColumn id="10" xr3:uid="{00000000-0010-0000-3400-00000A000000}" name="EXENTO" totalsRowFunction="sum" dataDxfId="540" totalsRowDxfId="539" dataCellStyle="Normal 3"/>
    <tableColumn id="11" xr3:uid="{00000000-0010-0000-3400-00000B000000}" name="TOTAL" totalsRowFunction="sum" dataDxfId="538" totalsRowDxfId="537" dataCellStyle="Normal 3"/>
    <tableColumn id="12" xr3:uid="{00000000-0010-0000-3400-00000C000000}" name="Provincia" totalsRowFunction="count" dataDxfId="536" totalsRowDxfId="535" dataCellStyle="Normal 3"/>
  </tableColumns>
  <tableStyleInfo name="Tabla Ventas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5000000}" name="extracto_banco_mes9" displayName="extracto_banco_mes9" ref="D40:L44" totalsRowCount="1" headerRowDxfId="534" dataDxfId="533" tableBorderDxfId="532" dataCellStyle="Normal 3">
  <autoFilter ref="D40:L43" xr:uid="{00000000-0009-0000-0100-000043000000}"/>
  <tableColumns count="9">
    <tableColumn id="1" xr3:uid="{00000000-0010-0000-3500-000001000000}" name="FECHA" totalsRowLabel="Total" dataDxfId="531" totalsRowDxfId="530" dataCellStyle="Normal 3"/>
    <tableColumn id="2" xr3:uid="{00000000-0010-0000-3500-000002000000}" name="NRO CPTE" dataDxfId="529" totalsRowDxfId="528"/>
    <tableColumn id="3" xr3:uid="{00000000-0010-0000-3500-000003000000}" name="BANCO" dataDxfId="527" totalsRowDxfId="526"/>
    <tableColumn id="4" xr3:uid="{00000000-0010-0000-3500-000004000000}" name="NETO" totalsRowFunction="sum" dataDxfId="525" totalsRowDxfId="524" dataCellStyle="Normal 3"/>
    <tableColumn id="5" xr3:uid="{00000000-0010-0000-3500-000005000000}" name="IVA 21%" totalsRowFunction="sum" dataDxfId="523" totalsRowDxfId="522" dataCellStyle="Normal 3">
      <calculatedColumnFormula>extracto_banco_mes9[[#This Row],[NETO]]*0.21</calculatedColumnFormula>
    </tableColumn>
    <tableColumn id="6" xr3:uid="{00000000-0010-0000-3500-000006000000}" name="IVA 10,5%" totalsRowFunction="sum" dataDxfId="521" totalsRowDxfId="520" dataCellStyle="Normal 3"/>
    <tableColumn id="7" xr3:uid="{00000000-0010-0000-3500-000007000000}" name="RET IIBB CABA" totalsRowFunction="sum" dataDxfId="519" totalsRowDxfId="518" dataCellStyle="Normal 3"/>
    <tableColumn id="8" xr3:uid="{00000000-0010-0000-3500-000008000000}" name="PERC IVA" totalsRowFunction="sum" dataDxfId="517" totalsRowDxfId="516" dataCellStyle="Normal 3"/>
    <tableColumn id="9" xr3:uid="{00000000-0010-0000-3500-000009000000}" name="PERC IIBB" totalsRowFunction="sum" dataDxfId="515" totalsRowDxfId="514" dataCellStyle="Normal 3"/>
  </tableColumns>
  <tableStyleInfo name="Estilo de tabla 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6000000}" name="Retenciones_mes9" displayName="Retenciones_mes9" ref="C105:L110" totalsRowShown="0" headerRowDxfId="513" dataDxfId="512" headerRowCellStyle="Normal 3" dataCellStyle="Normal 3">
  <autoFilter ref="C105:L110" xr:uid="{00000000-0009-0000-0100-000044000000}"/>
  <tableColumns count="10">
    <tableColumn id="1" xr3:uid="{00000000-0010-0000-3600-000001000000}" name="FECHA " dataDxfId="511" dataCellStyle="Normal 3"/>
    <tableColumn id="2" xr3:uid="{00000000-0010-0000-3600-000002000000}" name="COMP Nº" dataDxfId="510" dataCellStyle="Normal 3"/>
    <tableColumn id="3" xr3:uid="{00000000-0010-0000-3600-000003000000}" name="Columna1" dataDxfId="509" dataCellStyle="Normal 3"/>
    <tableColumn id="4" xr3:uid="{00000000-0010-0000-3600-000004000000}" name="CUIT" dataDxfId="508" dataCellStyle="Normal 3"/>
    <tableColumn id="5" xr3:uid="{00000000-0010-0000-3600-000005000000}" name="RAZON SOCIAL" dataDxfId="507" dataCellStyle="Normal 3">
      <calculatedColumnFormula>IFERROR(IF(Retenciones_mes9[[#This Row],[CUIT]]="","-",VLOOKUP(Retenciones_mes9[[#This Row],[CUIT]],Lista_CUIT[#All],2,0)),"CUIT NO CARGADO")</calculatedColumnFormula>
    </tableColumn>
    <tableColumn id="6" xr3:uid="{00000000-0010-0000-3600-000006000000}" name="Ganancias" dataDxfId="506" dataCellStyle="Normal 3"/>
    <tableColumn id="7" xr3:uid="{00000000-0010-0000-3600-000007000000}" name="IVA" dataDxfId="505" dataCellStyle="Normal 3"/>
    <tableColumn id="8" xr3:uid="{00000000-0010-0000-3600-000008000000}" name="SUSS" dataDxfId="504" dataCellStyle="Normal 3"/>
    <tableColumn id="9" xr3:uid="{00000000-0010-0000-3600-000009000000}" name="IIBB BSAS" dataDxfId="503" dataCellStyle="Normal 3"/>
    <tableColumn id="10" xr3:uid="{00000000-0010-0000-3600-00000A000000}" name="IIBB CABA" dataDxfId="502" dataCellStyle="Normal 3"/>
  </tableColumns>
  <tableStyleInfo name="Estilo de tabla 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37000000}" name="compras_mes10" displayName="compras_mes10" ref="B8:R26" totalsRowCount="1" headerRowDxfId="501" dataDxfId="500" totalsRowDxfId="499">
  <autoFilter ref="B8:R25" xr:uid="{00000000-0009-0000-0100-000021000000}"/>
  <sortState xmlns:xlrd2="http://schemas.microsoft.com/office/spreadsheetml/2017/richdata2" ref="B9:R19">
    <sortCondition ref="G9:G19"/>
  </sortState>
  <tableColumns count="17">
    <tableColumn id="1" xr3:uid="{00000000-0010-0000-3700-000001000000}" name="FECHA" totalsRowLabel="Total" dataDxfId="498" totalsRowDxfId="497" dataCellStyle="Normal 3"/>
    <tableColumn id="2" xr3:uid="{00000000-0010-0000-3700-000002000000}" name="TIPO" dataDxfId="496" totalsRowDxfId="495" dataCellStyle="Normal 3"/>
    <tableColumn id="3" xr3:uid="{00000000-0010-0000-3700-000003000000}" name="PTO VTA" dataDxfId="494" totalsRowDxfId="493" dataCellStyle="Normal 3"/>
    <tableColumn id="4" xr3:uid="{00000000-0010-0000-3700-000004000000}" name="NRO. CPTE" dataDxfId="492" totalsRowDxfId="491" dataCellStyle="Normal 3"/>
    <tableColumn id="5" xr3:uid="{00000000-0010-0000-3700-000005000000}" name="CUIT" dataDxfId="490" totalsRowDxfId="489" dataCellStyle="Normal 3"/>
    <tableColumn id="6" xr3:uid="{00000000-0010-0000-3700-000006000000}" name="RAZON SOCIAL" dataDxfId="488" totalsRowDxfId="487" dataCellStyle="Normal 3">
      <calculatedColumnFormula>IFERROR(IF(compras_mes10[[#This Row],[CUIT]]="","-",VLOOKUP(compras_mes10[[#This Row],[CUIT]],Lista_CUIT[#All],2,0)),"CUIT NO CARGADO")</calculatedColumnFormula>
    </tableColumn>
    <tableColumn id="7" xr3:uid="{00000000-0010-0000-3700-000007000000}" name="NETO GRAVADO" totalsRowFunction="sum" dataDxfId="486" totalsRowDxfId="485" dataCellStyle="Normal 3"/>
    <tableColumn id="8" xr3:uid="{00000000-0010-0000-3700-000008000000}" name="IVA 21 %" totalsRowFunction="sum" dataDxfId="484" totalsRowDxfId="483" dataCellStyle="Normal 3">
      <calculatedColumnFormula>IF(compras_mes10[[#This Row],[NETO GRAVADO]]="","",compras_mes10[[#This Row],[NETO GRAVADO]]*0.21)</calculatedColumnFormula>
    </tableColumn>
    <tableColumn id="9" xr3:uid="{00000000-0010-0000-3700-000009000000}" name="IVA 27%" totalsRowFunction="sum" dataDxfId="482" totalsRowDxfId="481" dataCellStyle="Normal 3"/>
    <tableColumn id="10" xr3:uid="{00000000-0010-0000-3700-00000A000000}" name="IVA 10,5%" totalsRowFunction="sum" dataDxfId="480" totalsRowDxfId="479" dataCellStyle="Normal 3"/>
    <tableColumn id="11" xr3:uid="{00000000-0010-0000-3700-00000B000000}" name="PERC. IVA" totalsRowFunction="sum" dataDxfId="478" totalsRowDxfId="477" dataCellStyle="Normal 3"/>
    <tableColumn id="12" xr3:uid="{00000000-0010-0000-3700-00000C000000}" name="PERC IIBB _x000a_BS AS" totalsRowFunction="sum" dataDxfId="476" totalsRowDxfId="475" dataCellStyle="Normal 3"/>
    <tableColumn id="13" xr3:uid="{00000000-0010-0000-3700-00000D000000}" name="PERC. IIBB CABA" totalsRowFunction="sum" dataDxfId="474" totalsRowDxfId="473" dataCellStyle="Normal 3"/>
    <tableColumn id="14" xr3:uid="{00000000-0010-0000-3700-00000E000000}" name="Otros / No Grav." totalsRowFunction="sum" dataDxfId="472" totalsRowDxfId="471" dataCellStyle="Normal 3"/>
    <tableColumn id="15" xr3:uid="{00000000-0010-0000-3700-00000F000000}" name="TOTAL" totalsRowFunction="sum" dataDxfId="470" totalsRowDxfId="469" dataCellStyle="Normal 3">
      <calculatedColumnFormula>SUM(compras_mes10[[#This Row],[NETO GRAVADO]:[Otros / No Grav.]])</calculatedColumnFormula>
    </tableColumn>
    <tableColumn id="16" xr3:uid="{00000000-0010-0000-3700-000010000000}" name="Tipo de Gasto" dataDxfId="468" totalsRowDxfId="467" dataCellStyle="Normal 3">
      <calculatedColumnFormula>IFERROR(IF(compras_mes10[[#This Row],[CUIT]]="","-",VLOOKUP(compras_mes10[[#This Row],[CUIT]],Lista_CUIT[#All],3,0)),"CUIT NO CARGADO")</calculatedColumnFormula>
    </tableColumn>
    <tableColumn id="17" xr3:uid="{00000000-0010-0000-3700-000011000000}" name="Provincia" dataDxfId="466" totalsRowDxfId="465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38000000}" name="factura_c_mes10" displayName="factura_c_mes10" ref="D41:K49" totalsRowCount="1" headerRowDxfId="464" totalsRowDxfId="463" headerRowCellStyle="Normal 3">
  <autoFilter ref="D41:K48" xr:uid="{00000000-0009-0000-0100-000022000000}"/>
  <sortState xmlns:xlrd2="http://schemas.microsoft.com/office/spreadsheetml/2017/richdata2" ref="D43:K51">
    <sortCondition ref="F43:F51"/>
  </sortState>
  <tableColumns count="8">
    <tableColumn id="1" xr3:uid="{00000000-0010-0000-3800-000001000000}" name="FECHA" totalsRowLabel="Total" dataDxfId="462" totalsRowDxfId="461" dataCellStyle="Normal 3"/>
    <tableColumn id="2" xr3:uid="{00000000-0010-0000-3800-000002000000}" name="PTO VTA" dataDxfId="460" totalsRowDxfId="459" dataCellStyle="Normal 3"/>
    <tableColumn id="3" xr3:uid="{00000000-0010-0000-3800-000003000000}" name="FC Nº" dataDxfId="458" totalsRowDxfId="457" dataCellStyle="Normal 3"/>
    <tableColumn id="4" xr3:uid="{00000000-0010-0000-3800-000004000000}" name="CUIT" dataDxfId="456" totalsRowDxfId="455" dataCellStyle="Normal 3"/>
    <tableColumn id="5" xr3:uid="{00000000-0010-0000-3800-000005000000}" name="RAZON SOCIAL" dataDxfId="454" totalsRowDxfId="453" dataCellStyle="Normal 3">
      <calculatedColumnFormula>IFERROR(IF(factura_c_mes10[[#This Row],[CUIT]]="","-",VLOOKUP(factura_c_mes10[[#This Row],[CUIT]],Lista_CUIT[#All],2,0)),"CUIT NO CARGADO")</calculatedColumnFormula>
    </tableColumn>
    <tableColumn id="6" xr3:uid="{00000000-0010-0000-3800-000006000000}" name="TOTAL" totalsRowFunction="sum" dataDxfId="452" totalsRowDxfId="451" dataCellStyle="Normal 3"/>
    <tableColumn id="7" xr3:uid="{00000000-0010-0000-3800-000007000000}" name="TIPO DE GASTO" dataDxfId="450" totalsRowDxfId="449" dataCellStyle="Normal 3">
      <calculatedColumnFormula>IFERROR(IF(factura_c_mes10[[#This Row],[CUIT]]="","-",VLOOKUP(factura_c_mes10[[#This Row],[CUIT]],Lista_CUIT[#All],3,0)),"CUIT NO CARGADO")</calculatedColumnFormula>
    </tableColumn>
    <tableColumn id="8" xr3:uid="{00000000-0010-0000-3800-000008000000}" name="Provincia" dataDxfId="448" totalsRowDxfId="447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39000000}" name="venta_a_mes10" displayName="venta_a_mes10" ref="B57:M100" totalsRowCount="1" headerRowDxfId="446" dataDxfId="444" headerRowBorderDxfId="445" tableBorderDxfId="443" totalsRowBorderDxfId="442" dataCellStyle="Normal 3">
  <autoFilter ref="B57:M99" xr:uid="{00000000-0009-0000-0100-000023000000}"/>
  <tableColumns count="12">
    <tableColumn id="1" xr3:uid="{00000000-0010-0000-3900-000001000000}" name="FECHA" totalsRowLabel="Total" dataDxfId="441" totalsRowDxfId="440" dataCellStyle="Normal 3"/>
    <tableColumn id="2" xr3:uid="{00000000-0010-0000-3900-000002000000}" name="TIPO" dataDxfId="439" totalsRowDxfId="438" dataCellStyle="Normal 3"/>
    <tableColumn id="3" xr3:uid="{00000000-0010-0000-3900-000003000000}" name="PTO VENTA" dataDxfId="437" totalsRowDxfId="436" dataCellStyle="Normal 3"/>
    <tableColumn id="4" xr3:uid="{00000000-0010-0000-3900-000004000000}" name="Nº FACTURA" dataDxfId="435" totalsRowDxfId="434" dataCellStyle="Normal 3"/>
    <tableColumn id="5" xr3:uid="{00000000-0010-0000-3900-000005000000}" name="CUIT" dataDxfId="433" totalsRowDxfId="432" dataCellStyle="Normal 3"/>
    <tableColumn id="6" xr3:uid="{00000000-0010-0000-3900-000006000000}" name="RAZON SOCIAL" dataDxfId="431" totalsRowDxfId="430" dataCellStyle="Normal 3">
      <calculatedColumnFormula>IFERROR(IF(venta_a_mes10[[#This Row],[CUIT]]="","-",VLOOKUP(venta_a_mes10[[#This Row],[CUIT]],Lista_CUIT[#All],2,0)),"CUIT NO CARGADO")</calculatedColumnFormula>
    </tableColumn>
    <tableColumn id="7" xr3:uid="{00000000-0010-0000-3900-000007000000}" name="IMPORTE NETO" totalsRowFunction="sum" dataDxfId="429" totalsRowDxfId="428" dataCellStyle="Normal 3"/>
    <tableColumn id="8" xr3:uid="{00000000-0010-0000-3900-000008000000}" name="IVA 21%" totalsRowFunction="sum" dataDxfId="427" totalsRowDxfId="426" dataCellStyle="Normal 3">
      <calculatedColumnFormula>venta_a_mes10[[#This Row],[IMPORTE NETO]]*0.21</calculatedColumnFormula>
    </tableColumn>
    <tableColumn id="9" xr3:uid="{00000000-0010-0000-3900-000009000000}" name="IVA 10,5%" totalsRowFunction="sum" dataDxfId="425" totalsRowDxfId="424" dataCellStyle="Normal 3"/>
    <tableColumn id="10" xr3:uid="{00000000-0010-0000-3900-00000A000000}" name="EXENTO" totalsRowFunction="sum" dataDxfId="423" totalsRowDxfId="422" dataCellStyle="Normal 3"/>
    <tableColumn id="11" xr3:uid="{00000000-0010-0000-3900-00000B000000}" name="TOTAL" totalsRowFunction="sum" dataDxfId="421" totalsRowDxfId="420" dataCellStyle="Normal 3">
      <calculatedColumnFormula>SUM(venta_a_mes10[[#This Row],[IMPORTE NETO]:[EXENTO]])</calculatedColumnFormula>
    </tableColumn>
    <tableColumn id="12" xr3:uid="{00000000-0010-0000-3900-00000C000000}" name="Provincia" totalsRowFunction="count" dataDxfId="419" totalsRowDxfId="418" dataCellStyle="Normal 3"/>
  </tableColumns>
  <tableStyleInfo name="Tabla Ventas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3A000000}" name="ventas_b_mes10" displayName="ventas_b_mes10" ref="B103:M110" totalsRowCount="1" headerRowDxfId="417" dataDxfId="415" headerRowBorderDxfId="416" tableBorderDxfId="414" totalsRowBorderDxfId="413" dataCellStyle="Normal 3">
  <autoFilter ref="B103:M109" xr:uid="{00000000-0009-0000-0100-000024000000}"/>
  <tableColumns count="12">
    <tableColumn id="1" xr3:uid="{00000000-0010-0000-3A00-000001000000}" name="FECHA" totalsRowLabel="Total" dataDxfId="412" totalsRowDxfId="411" dataCellStyle="Normal 3"/>
    <tableColumn id="2" xr3:uid="{00000000-0010-0000-3A00-000002000000}" name="TIPO" dataDxfId="410" totalsRowDxfId="409" dataCellStyle="Normal 3"/>
    <tableColumn id="3" xr3:uid="{00000000-0010-0000-3A00-000003000000}" name="PTO VENTA" dataDxfId="408" totalsRowDxfId="407" dataCellStyle="Normal 3"/>
    <tableColumn id="4" xr3:uid="{00000000-0010-0000-3A00-000004000000}" name="Nº FACTURA" dataDxfId="406" totalsRowDxfId="405" dataCellStyle="Normal 3"/>
    <tableColumn id="5" xr3:uid="{00000000-0010-0000-3A00-000005000000}" name="CUIT" dataDxfId="404" totalsRowDxfId="403" dataCellStyle="Normal 3"/>
    <tableColumn id="6" xr3:uid="{00000000-0010-0000-3A00-000006000000}" name="RAZON SOCIAL" dataDxfId="402" totalsRowDxfId="401" dataCellStyle="Normal 3">
      <calculatedColumnFormula>IFERROR(IF(ventas_b_mes10[[#This Row],[CUIT]]="","-",VLOOKUP(ventas_b_mes10[[#This Row],[CUIT]],Lista_CUIT[#All],2,0)),"CUIT NO CARGADO")</calculatedColumnFormula>
    </tableColumn>
    <tableColumn id="7" xr3:uid="{00000000-0010-0000-3A00-000007000000}" name="IMPORTE NETO" totalsRowFunction="sum" dataDxfId="400" totalsRowDxfId="399" dataCellStyle="Normal 3">
      <calculatedColumnFormula>ventas_b_mes10[[#This Row],[TOTAL]]/1.21</calculatedColumnFormula>
    </tableColumn>
    <tableColumn id="8" xr3:uid="{00000000-0010-0000-3A00-000008000000}" name="IVA 21%" totalsRowFunction="sum" dataDxfId="398" totalsRowDxfId="397" dataCellStyle="Normal 3">
      <calculatedColumnFormula>ventas_b_mes10[[#This Row],[IMPORTE NETO]]*0.21</calculatedColumnFormula>
    </tableColumn>
    <tableColumn id="9" xr3:uid="{00000000-0010-0000-3A00-000009000000}" name="IVA 10,5%" totalsRowFunction="sum" dataDxfId="396" totalsRowDxfId="395" dataCellStyle="Normal 3"/>
    <tableColumn id="10" xr3:uid="{00000000-0010-0000-3A00-00000A000000}" name="EXENTO" totalsRowFunction="sum" dataDxfId="394" totalsRowDxfId="393" dataCellStyle="Normal 3"/>
    <tableColumn id="11" xr3:uid="{00000000-0010-0000-3A00-00000B000000}" name="TOTAL" totalsRowFunction="sum" dataDxfId="392" totalsRowDxfId="391" dataCellStyle="Normal 3"/>
    <tableColumn id="12" xr3:uid="{00000000-0010-0000-3A00-00000C000000}" name="Provincia" totalsRowFunction="count" dataDxfId="390" totalsRowDxfId="389" dataCellStyle="Normal 3"/>
  </tableColumns>
  <tableStyleInfo name="Tabla Ventas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3B000000}" name="extracto_banco_mes10" displayName="extracto_banco_mes10" ref="D32:M36" totalsRowCount="1" headerRowDxfId="388" dataDxfId="387" tableBorderDxfId="386" dataCellStyle="Normal 3">
  <autoFilter ref="D32:M35" xr:uid="{00000000-0009-0000-0100-000025000000}"/>
  <tableColumns count="10">
    <tableColumn id="1" xr3:uid="{00000000-0010-0000-3B00-000001000000}" name="FECHA" totalsRowLabel="Total" dataDxfId="385" totalsRowDxfId="384" dataCellStyle="Normal 3"/>
    <tableColumn id="2" xr3:uid="{00000000-0010-0000-3B00-000002000000}" name="NRO CPTE" dataDxfId="383" totalsRowDxfId="382"/>
    <tableColumn id="3" xr3:uid="{00000000-0010-0000-3B00-000003000000}" name="BANCO" dataDxfId="381" totalsRowDxfId="380"/>
    <tableColumn id="4" xr3:uid="{00000000-0010-0000-3B00-000004000000}" name="NETO" totalsRowFunction="sum" dataDxfId="379" totalsRowDxfId="378" dataCellStyle="Normal 3">
      <calculatedColumnFormula>extracto_banco_mes10[[#This Row],[IVA 21%]]*100/21</calculatedColumnFormula>
    </tableColumn>
    <tableColumn id="5" xr3:uid="{00000000-0010-0000-3B00-000005000000}" name="IVA 21%" totalsRowFunction="sum" dataDxfId="377" totalsRowDxfId="376" dataCellStyle="Normal 3"/>
    <tableColumn id="6" xr3:uid="{00000000-0010-0000-3B00-000006000000}" name="IVA 10,5%" totalsRowFunction="sum" dataDxfId="375" totalsRowDxfId="374" dataCellStyle="Normal 3"/>
    <tableColumn id="7" xr3:uid="{00000000-0010-0000-3B00-000007000000}" name="RET IIBB CABA" totalsRowFunction="sum" dataDxfId="373" totalsRowDxfId="372" dataCellStyle="Normal 3"/>
    <tableColumn id="8" xr3:uid="{00000000-0010-0000-3B00-000008000000}" name="PERC IVA" totalsRowFunction="sum" dataDxfId="371" totalsRowDxfId="370" dataCellStyle="Normal 3"/>
    <tableColumn id="9" xr3:uid="{00000000-0010-0000-3B00-000009000000}" name="PERC IIBB" totalsRowFunction="sum" dataDxfId="369" totalsRowDxfId="368" dataCellStyle="Normal 3"/>
    <tableColumn id="10" xr3:uid="{9A8EA33B-E1F0-4ABC-91F6-9E881BF0C807}" name="TOTAL" totalsRowFunction="sum" dataDxfId="367" totalsRowDxfId="366" dataCellStyle="Normal 3">
      <calculatedColumnFormula>extracto_banco_mes10[[#This Row],[NETO]]+extracto_banco_mes10[[#This Row],[IVA 21%]]+extracto_banco_mes10[[#This Row],[IVA 10,5%]]+extracto_banco_mes10[[#This Row],[RET IIBB CABA]]+extracto_banco_mes10[[#This Row],[PERC IVA]]+extracto_banco_mes10[[#This Row],[PERC IIBB]]</calculatedColumnFormula>
    </tableColumn>
  </tableColumns>
  <tableStyleInfo name="Estilo de tabla 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3C000000}" name="Retenciones_mes10" displayName="Retenciones_mes10" ref="C119:L124" totalsRowShown="0" headerRowDxfId="365" dataDxfId="364" headerRowCellStyle="Normal 3" dataCellStyle="Normal 3">
  <autoFilter ref="C119:L124" xr:uid="{00000000-0009-0000-0100-000026000000}"/>
  <tableColumns count="10">
    <tableColumn id="1" xr3:uid="{00000000-0010-0000-3C00-000001000000}" name="FECHA " dataDxfId="363" dataCellStyle="Normal 3"/>
    <tableColumn id="2" xr3:uid="{00000000-0010-0000-3C00-000002000000}" name="COMP Nº" dataDxfId="362" dataCellStyle="Normal 3"/>
    <tableColumn id="3" xr3:uid="{00000000-0010-0000-3C00-000003000000}" name="Columna1" dataDxfId="361" dataCellStyle="Normal 3"/>
    <tableColumn id="4" xr3:uid="{00000000-0010-0000-3C00-000004000000}" name="CUIT" dataDxfId="360" dataCellStyle="Normal 3"/>
    <tableColumn id="5" xr3:uid="{00000000-0010-0000-3C00-000005000000}" name="RAZON SOCIAL" dataDxfId="359" dataCellStyle="Normal 3">
      <calculatedColumnFormula>IFERROR(IF(Retenciones_mes10[[#This Row],[CUIT]]="","-",VLOOKUP(Retenciones_mes10[[#This Row],[CUIT]],Lista_CUIT[#All],2,0)),"CUIT NO CARGADO")</calculatedColumnFormula>
    </tableColumn>
    <tableColumn id="6" xr3:uid="{00000000-0010-0000-3C00-000006000000}" name="Ganancias" dataDxfId="358" dataCellStyle="Normal 3"/>
    <tableColumn id="7" xr3:uid="{00000000-0010-0000-3C00-000007000000}" name="IVA" dataDxfId="357" dataCellStyle="Normal 3"/>
    <tableColumn id="8" xr3:uid="{00000000-0010-0000-3C00-000008000000}" name="SUSS" dataDxfId="356" dataCellStyle="Normal 3"/>
    <tableColumn id="9" xr3:uid="{00000000-0010-0000-3C00-000009000000}" name="IIBB BSAS" dataDxfId="355" dataCellStyle="Normal 3"/>
    <tableColumn id="10" xr3:uid="{00000000-0010-0000-3C00-00000A000000}" name="IIBB CABA" dataDxfId="354" dataCellStyle="Normal 3"/>
  </tableColumns>
  <tableStyleInfo name="Estilo de tabla 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3D000000}" name="compras_mes11" displayName="compras_mes11" ref="B8:R27" totalsRowCount="1" headerRowDxfId="353" dataDxfId="352" totalsRowDxfId="351">
  <autoFilter ref="B8:R26" xr:uid="{00000000-0009-0000-0100-00004B000000}"/>
  <sortState xmlns:xlrd2="http://schemas.microsoft.com/office/spreadsheetml/2017/richdata2" ref="B9:R25">
    <sortCondition ref="B8:B25"/>
  </sortState>
  <tableColumns count="17">
    <tableColumn id="1" xr3:uid="{00000000-0010-0000-3D00-000001000000}" name="FECHA" totalsRowLabel="Total" dataDxfId="350" totalsRowDxfId="349" dataCellStyle="Normal 3"/>
    <tableColumn id="2" xr3:uid="{00000000-0010-0000-3D00-000002000000}" name="TIPO" dataDxfId="348" totalsRowDxfId="347" dataCellStyle="Normal 3"/>
    <tableColumn id="3" xr3:uid="{00000000-0010-0000-3D00-000003000000}" name="PTO VTA" dataDxfId="346" totalsRowDxfId="345" dataCellStyle="Normal 3"/>
    <tableColumn id="4" xr3:uid="{00000000-0010-0000-3D00-000004000000}" name="NRO. CPTE" dataDxfId="344" totalsRowDxfId="343" dataCellStyle="Normal 3"/>
    <tableColumn id="5" xr3:uid="{00000000-0010-0000-3D00-000005000000}" name="CUIT" dataDxfId="342" totalsRowDxfId="341" dataCellStyle="Normal 3"/>
    <tableColumn id="6" xr3:uid="{00000000-0010-0000-3D00-000006000000}" name="RAZON SOCIAL" dataDxfId="340" totalsRowDxfId="339" dataCellStyle="Normal 3">
      <calculatedColumnFormula>IFERROR(IF(compras_mes11[[#This Row],[CUIT]]="","-",VLOOKUP(compras_mes11[[#This Row],[CUIT]],Lista_CUIT[#All],2,0)),"CUIT NO CARGADO")</calculatedColumnFormula>
    </tableColumn>
    <tableColumn id="7" xr3:uid="{00000000-0010-0000-3D00-000007000000}" name="NETO GRAVADO" totalsRowFunction="sum" dataDxfId="338" totalsRowDxfId="337" dataCellStyle="Normal 3"/>
    <tableColumn id="8" xr3:uid="{00000000-0010-0000-3D00-000008000000}" name="IVA 21 %" totalsRowFunction="sum" dataDxfId="336" totalsRowDxfId="335" dataCellStyle="Normal 3">
      <calculatedColumnFormula>IF(compras_mes11[[#This Row],[NETO GRAVADO]]="","",compras_mes11[[#This Row],[NETO GRAVADO]]*0.21)</calculatedColumnFormula>
    </tableColumn>
    <tableColumn id="9" xr3:uid="{00000000-0010-0000-3D00-000009000000}" name="IVA 27%" totalsRowFunction="sum" dataDxfId="334" totalsRowDxfId="333" dataCellStyle="Normal 3"/>
    <tableColumn id="10" xr3:uid="{00000000-0010-0000-3D00-00000A000000}" name="IVA 10,5%" totalsRowFunction="sum" dataDxfId="332" totalsRowDxfId="331" dataCellStyle="Normal 3"/>
    <tableColumn id="11" xr3:uid="{00000000-0010-0000-3D00-00000B000000}" name="PERC. IVA" totalsRowFunction="sum" dataDxfId="330" totalsRowDxfId="329" dataCellStyle="Normal 3"/>
    <tableColumn id="12" xr3:uid="{00000000-0010-0000-3D00-00000C000000}" name="PERC IIBB _x000a_BS AS" totalsRowFunction="sum" dataDxfId="328" totalsRowDxfId="327" dataCellStyle="Normal 3"/>
    <tableColumn id="13" xr3:uid="{00000000-0010-0000-3D00-00000D000000}" name="PERC. IIBB CABA" totalsRowFunction="sum" dataDxfId="326" totalsRowDxfId="325" dataCellStyle="Normal 3"/>
    <tableColumn id="14" xr3:uid="{00000000-0010-0000-3D00-00000E000000}" name="Otros - No Grav." totalsRowFunction="sum" dataDxfId="324" totalsRowDxfId="323" dataCellStyle="Normal 3"/>
    <tableColumn id="15" xr3:uid="{00000000-0010-0000-3D00-00000F000000}" name="TOTAL" totalsRowFunction="sum" dataDxfId="322" totalsRowDxfId="321" dataCellStyle="Normal 3">
      <calculatedColumnFormula>SUM(compras_mes11[[#This Row],[NETO GRAVADO]:[Otros - No Grav.]])</calculatedColumnFormula>
    </tableColumn>
    <tableColumn id="16" xr3:uid="{00000000-0010-0000-3D00-000010000000}" name="Tipo de Gasto" dataDxfId="320" totalsRowDxfId="319" dataCellStyle="Normal 3">
      <calculatedColumnFormula>IFERROR(IF(compras_mes11[[#This Row],[CUIT]]="","-",VLOOKUP(compras_mes11[[#This Row],[CUIT]],Lista_CUIT[#All],3,0)),"CUIT NO CARGADO")</calculatedColumnFormula>
    </tableColumn>
    <tableColumn id="17" xr3:uid="{00000000-0010-0000-3D00-000011000000}" name="Provincia" dataDxfId="318" totalsRowDxfId="317" dataCellStyle="Normal 3">
      <calculatedColumnFormula>IFERROR(IF(compras_mes11[[#This Row],[CUIT]]="","-",VLOOKUP(compras_mes11[[#This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3E000000}" name="factura_c_mes11" displayName="factura_c_mes11" ref="D42:K51" totalsRowCount="1" headerRowDxfId="316" dataDxfId="315" totalsRowDxfId="314" headerRowCellStyle="Normal 3">
  <autoFilter ref="D42:K50" xr:uid="{00000000-0009-0000-0100-00004C000000}"/>
  <sortState xmlns:xlrd2="http://schemas.microsoft.com/office/spreadsheetml/2017/richdata2" ref="D167:K209">
    <sortCondition ref="F167:F209"/>
  </sortState>
  <tableColumns count="8">
    <tableColumn id="1" xr3:uid="{00000000-0010-0000-3E00-000001000000}" name="FECHA" totalsRowLabel="Total" dataDxfId="313" totalsRowDxfId="312" dataCellStyle="Normal 3"/>
    <tableColumn id="2" xr3:uid="{00000000-0010-0000-3E00-000002000000}" name="PTO VTA" dataDxfId="311" totalsRowDxfId="310" dataCellStyle="Normal 3"/>
    <tableColumn id="3" xr3:uid="{00000000-0010-0000-3E00-000003000000}" name="FC Nº" dataDxfId="309" totalsRowDxfId="308" dataCellStyle="Normal 3"/>
    <tableColumn id="4" xr3:uid="{00000000-0010-0000-3E00-000004000000}" name="CUIT" dataDxfId="307" totalsRowDxfId="306" dataCellStyle="Normal 3"/>
    <tableColumn id="5" xr3:uid="{00000000-0010-0000-3E00-000005000000}" name="RAZON SOCIAL" dataDxfId="305" totalsRowDxfId="304" dataCellStyle="Normal 3">
      <calculatedColumnFormula>IFERROR(IF(factura_c_mes11[[#This Row],[CUIT]]="","-",VLOOKUP(factura_c_mes11[[#This Row],[CUIT]],Lista_CUIT[#All],2,0)),"CUIT NO CARGADO")</calculatedColumnFormula>
    </tableColumn>
    <tableColumn id="6" xr3:uid="{00000000-0010-0000-3E00-000006000000}" name="TOTAL" totalsRowFunction="sum" dataDxfId="303" totalsRowDxfId="302" dataCellStyle="Normal 3"/>
    <tableColumn id="7" xr3:uid="{00000000-0010-0000-3E00-000007000000}" name="TIPO DE GASTO" dataDxfId="301" totalsRowDxfId="300" dataCellStyle="Normal 3">
      <calculatedColumnFormula>IFERROR(IF(factura_c_mes11[[#This Row],[CUIT]]="","-",VLOOKUP(factura_c_mes11[[#This Row],[CUIT]],Lista_CUIT[#All],3,0)),"CUIT NO CARGADO")</calculatedColumnFormula>
    </tableColumn>
    <tableColumn id="8" xr3:uid="{00000000-0010-0000-3E00-000008000000}" name="Provincia" dataDxfId="299" totalsRowDxfId="298" dataCellStyle="Normal 3">
      <calculatedColumnFormula>IFERROR(IF(factura_c_mes11[[#This Row],[CUIT]]="","-",VLOOKUP(factura_c_mes11[[#This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3F000000}" name="venta_a_mes11" displayName="venta_a_mes11" ref="B61:M88" totalsRowCount="1" headerRowDxfId="297" dataDxfId="295" headerRowBorderDxfId="296" tableBorderDxfId="294" totalsRowBorderDxfId="293" dataCellStyle="Normal 3">
  <autoFilter ref="B61:M87" xr:uid="{00000000-0009-0000-0100-00004D000000}"/>
  <sortState xmlns:xlrd2="http://schemas.microsoft.com/office/spreadsheetml/2017/richdata2" ref="B89:M229">
    <sortCondition ref="D88:D229"/>
  </sortState>
  <tableColumns count="12">
    <tableColumn id="1" xr3:uid="{00000000-0010-0000-3F00-000001000000}" name="FECHA" totalsRowLabel="Total" dataDxfId="292" totalsRowDxfId="291" dataCellStyle="Normal 3"/>
    <tableColumn id="2" xr3:uid="{00000000-0010-0000-3F00-000002000000}" name="TIPO" dataDxfId="290" totalsRowDxfId="289" dataCellStyle="Normal 3"/>
    <tableColumn id="3" xr3:uid="{00000000-0010-0000-3F00-000003000000}" name="PTO VENTA" dataDxfId="288" totalsRowDxfId="287" dataCellStyle="Normal 3"/>
    <tableColumn id="4" xr3:uid="{00000000-0010-0000-3F00-000004000000}" name="Nº FACTURA" dataDxfId="286" totalsRowDxfId="285" dataCellStyle="Normal 3"/>
    <tableColumn id="5" xr3:uid="{00000000-0010-0000-3F00-000005000000}" name="CUIT" dataDxfId="284" totalsRowDxfId="283" dataCellStyle="Normal 3"/>
    <tableColumn id="6" xr3:uid="{00000000-0010-0000-3F00-000006000000}" name="RAZON SOCIAL" dataDxfId="282" totalsRowDxfId="281" dataCellStyle="Normal 3">
      <calculatedColumnFormula>IFERROR(IF(venta_a_mes11[[#This Row],[CUIT]]="","-",VLOOKUP(venta_a_mes11[[#This Row],[CUIT]],Lista_CUIT[#All],2,0)),"CUIT NO CARGADO")</calculatedColumnFormula>
    </tableColumn>
    <tableColumn id="7" xr3:uid="{00000000-0010-0000-3F00-000007000000}" name="IMPORTE NETO" totalsRowFunction="sum" dataDxfId="280" totalsRowDxfId="279" dataCellStyle="Normal 3"/>
    <tableColumn id="8" xr3:uid="{00000000-0010-0000-3F00-000008000000}" name="IVA 21%" totalsRowFunction="sum" dataDxfId="278" totalsRowDxfId="277" dataCellStyle="Normal 3">
      <calculatedColumnFormula>venta_a_mes11[[#This Row],[IMPORTE NETO]]*0.21</calculatedColumnFormula>
    </tableColumn>
    <tableColumn id="9" xr3:uid="{00000000-0010-0000-3F00-000009000000}" name="IVA 10,5%" totalsRowFunction="sum" dataDxfId="276" totalsRowDxfId="275" dataCellStyle="Normal 3"/>
    <tableColumn id="10" xr3:uid="{00000000-0010-0000-3F00-00000A000000}" name="EXENTO" totalsRowFunction="sum" dataDxfId="274" totalsRowDxfId="273" dataCellStyle="Normal 3"/>
    <tableColumn id="11" xr3:uid="{00000000-0010-0000-3F00-00000B000000}" name="TOTAL" totalsRowFunction="sum" dataDxfId="272" totalsRowDxfId="271" dataCellStyle="Normal 3">
      <calculatedColumnFormula>SUM(venta_a_mes11[[#This Row],[IMPORTE NETO]:[EXENTO]])</calculatedColumnFormula>
    </tableColumn>
    <tableColumn id="12" xr3:uid="{00000000-0010-0000-3F00-00000C000000}" name="Provincia" totalsRowFunction="count" dataDxfId="270" totalsRowDxfId="269" dataCellStyle="Normal 3"/>
  </tableColumns>
  <tableStyleInfo name="Tabla Ventas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0000000}" name="ventas_b_mes11" displayName="ventas_b_mes11" ref="B91:M100" totalsRowCount="1" headerRowDxfId="268" dataDxfId="266" headerRowBorderDxfId="267" tableBorderDxfId="265" totalsRowBorderDxfId="264" dataCellStyle="Normal 3">
  <autoFilter ref="B91:M99" xr:uid="{00000000-0009-0000-0100-00004E000000}"/>
  <sortState xmlns:xlrd2="http://schemas.microsoft.com/office/spreadsheetml/2017/richdata2" ref="B101:M241">
    <sortCondition ref="E100:E241"/>
  </sortState>
  <tableColumns count="12">
    <tableColumn id="1" xr3:uid="{00000000-0010-0000-4000-000001000000}" name="FECHA" totalsRowLabel="Total" dataDxfId="263" totalsRowDxfId="262" dataCellStyle="Normal 3"/>
    <tableColumn id="2" xr3:uid="{00000000-0010-0000-4000-000002000000}" name="TIPO" dataDxfId="261" totalsRowDxfId="260" dataCellStyle="Normal 3"/>
    <tableColumn id="3" xr3:uid="{00000000-0010-0000-4000-000003000000}" name="PTO VENTA" dataDxfId="259" totalsRowDxfId="258" dataCellStyle="Normal 3"/>
    <tableColumn id="4" xr3:uid="{00000000-0010-0000-4000-000004000000}" name="Nº FACTURA" dataDxfId="257" totalsRowDxfId="256" dataCellStyle="Normal 3"/>
    <tableColumn id="5" xr3:uid="{00000000-0010-0000-4000-000005000000}" name="CUIT" dataDxfId="255" totalsRowDxfId="254" dataCellStyle="Normal 3"/>
    <tableColumn id="6" xr3:uid="{00000000-0010-0000-4000-000006000000}" name="RAZON SOCIAL" dataDxfId="253" totalsRowDxfId="252" dataCellStyle="Normal 3">
      <calculatedColumnFormula>IFERROR(IF(ventas_b_mes11[[#This Row],[CUIT]]="","-",VLOOKUP(ventas_b_mes11[[#This Row],[CUIT]],Lista_CUIT[#All],2,0)),"CUIT NO CARGADO")</calculatedColumnFormula>
    </tableColumn>
    <tableColumn id="7" xr3:uid="{00000000-0010-0000-4000-000007000000}" name="IMPORTE NETO" totalsRowFunction="sum" dataDxfId="251" totalsRowDxfId="250" dataCellStyle="Normal 3"/>
    <tableColumn id="8" xr3:uid="{00000000-0010-0000-4000-000008000000}" name="IVA 21%" totalsRowFunction="sum" dataDxfId="249" totalsRowDxfId="248" dataCellStyle="Normal 3">
      <calculatedColumnFormula>ventas_b_mes11[[#This Row],[IMPORTE NETO]]*0.21</calculatedColumnFormula>
    </tableColumn>
    <tableColumn id="9" xr3:uid="{00000000-0010-0000-4000-000009000000}" name="IVA 10,5%" totalsRowFunction="sum" dataDxfId="247" totalsRowDxfId="246" dataCellStyle="Normal 3"/>
    <tableColumn id="10" xr3:uid="{00000000-0010-0000-4000-00000A000000}" name="EXENTO" totalsRowFunction="sum" dataDxfId="245" totalsRowDxfId="244" dataCellStyle="Normal 3"/>
    <tableColumn id="11" xr3:uid="{00000000-0010-0000-4000-00000B000000}" name="TOTAL" totalsRowFunction="sum" dataDxfId="243" totalsRowDxfId="242" dataCellStyle="Normal 3">
      <calculatedColumnFormula>ventas_b_mes11[[#This Row],[EXENTO]]+ventas_b_mes11[[#This Row],[IVA 10,5%]]+ventas_b_mes11[[#This Row],[IVA 21%]]+ventas_b_mes11[[#This Row],[IMPORTE NETO]]</calculatedColumnFormula>
    </tableColumn>
    <tableColumn id="12" xr3:uid="{00000000-0010-0000-4000-00000C000000}" name="Provincia" totalsRowFunction="count" dataDxfId="241" totalsRowDxfId="240" dataCellStyle="Normal 3"/>
  </tableColumns>
  <tableStyleInfo name="Tabla Ventas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1000000}" name="extracto_banco_mes11" displayName="extracto_banco_mes11" ref="D33:M37" totalsRowCount="1" headerRowDxfId="239" dataDxfId="238" totalsRowDxfId="236" tableBorderDxfId="237" dataCellStyle="Normal 3">
  <autoFilter ref="D33:M36" xr:uid="{00000000-0009-0000-0100-00004F000000}"/>
  <tableColumns count="10">
    <tableColumn id="1" xr3:uid="{00000000-0010-0000-4100-000001000000}" name="FECHA" totalsRowLabel="Total" dataDxfId="235" totalsRowDxfId="234" dataCellStyle="Normal 3"/>
    <tableColumn id="2" xr3:uid="{00000000-0010-0000-4100-000002000000}" name="NRO CPTE" dataDxfId="233" totalsRowDxfId="232"/>
    <tableColumn id="3" xr3:uid="{00000000-0010-0000-4100-000003000000}" name="BANCO" dataDxfId="231" totalsRowDxfId="230"/>
    <tableColumn id="4" xr3:uid="{00000000-0010-0000-4100-000004000000}" name="NETO" totalsRowFunction="sum" dataDxfId="229" totalsRowDxfId="228" dataCellStyle="Normal 3"/>
    <tableColumn id="5" xr3:uid="{00000000-0010-0000-4100-000005000000}" name="IVA 21%" totalsRowFunction="sum" dataDxfId="227" totalsRowDxfId="226" dataCellStyle="Normal 3">
      <calculatedColumnFormula>extracto_banco_mes11[[#This Row],[NETO]]*0.21</calculatedColumnFormula>
    </tableColumn>
    <tableColumn id="6" xr3:uid="{00000000-0010-0000-4100-000006000000}" name="IVA 10,5%" totalsRowFunction="sum" dataDxfId="225" totalsRowDxfId="224" dataCellStyle="Normal 3"/>
    <tableColumn id="7" xr3:uid="{00000000-0010-0000-4100-000007000000}" name="RET IIBB CABA" totalsRowFunction="sum" dataDxfId="223" totalsRowDxfId="222" dataCellStyle="Normal 3"/>
    <tableColumn id="8" xr3:uid="{00000000-0010-0000-4100-000008000000}" name="PERC IVA" totalsRowFunction="sum" dataDxfId="221" totalsRowDxfId="220" dataCellStyle="Normal 3"/>
    <tableColumn id="9" xr3:uid="{00000000-0010-0000-4100-000009000000}" name="PERC IIBB" totalsRowFunction="sum" dataDxfId="219" totalsRowDxfId="218" dataCellStyle="Normal 3"/>
    <tableColumn id="10" xr3:uid="{6409A44E-49B3-43DE-9AE2-D2A9126D8DD8}" name="TOTAL" totalsRowFunction="sum" dataDxfId="217" totalsRowDxfId="216" dataCellStyle="Normal 3">
      <calculatedColumnFormula>SUM(extracto_banco_mes11[[#This Row],[NETO]:[PERC IIBB]])</calculatedColumnFormula>
    </tableColumn>
  </tableColumns>
  <tableStyleInfo name="Estilo de tabla 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2000000}" name="Retenciones_mes11" displayName="Retenciones_mes11" ref="C103:L108" totalsRowShown="0" headerRowDxfId="215" dataDxfId="214" headerRowCellStyle="Normal 3" dataCellStyle="Normal 3">
  <autoFilter ref="C103:L108" xr:uid="{00000000-0009-0000-0100-000050000000}"/>
  <tableColumns count="10">
    <tableColumn id="1" xr3:uid="{00000000-0010-0000-4200-000001000000}" name="FECHA " dataDxfId="213" dataCellStyle="Normal 3"/>
    <tableColumn id="2" xr3:uid="{00000000-0010-0000-4200-000002000000}" name="COMP Nº" dataDxfId="212" dataCellStyle="Normal 3"/>
    <tableColumn id="3" xr3:uid="{00000000-0010-0000-4200-000003000000}" name="Columna1" dataDxfId="211" dataCellStyle="Normal 3"/>
    <tableColumn id="4" xr3:uid="{00000000-0010-0000-4200-000004000000}" name="CUIT" dataDxfId="210" dataCellStyle="Normal 3"/>
    <tableColumn id="5" xr3:uid="{00000000-0010-0000-4200-000005000000}" name="RAZON SOCIAL" dataDxfId="209" dataCellStyle="Normal 3">
      <calculatedColumnFormula>IFERROR(IF(Retenciones_mes11[[#This Row],[CUIT]]="","-",VLOOKUP(Retenciones_mes11[[#This Row],[CUIT]],Lista_CUIT[#All],2,0)),"CUIT NO CARGADO")</calculatedColumnFormula>
    </tableColumn>
    <tableColumn id="6" xr3:uid="{00000000-0010-0000-4200-000006000000}" name="Ganancias" dataDxfId="208" dataCellStyle="Normal 3"/>
    <tableColumn id="7" xr3:uid="{00000000-0010-0000-4200-000007000000}" name="IVA" dataDxfId="207" dataCellStyle="Normal 3"/>
    <tableColumn id="8" xr3:uid="{00000000-0010-0000-4200-000008000000}" name="SUSS" dataDxfId="206" dataCellStyle="Normal 3"/>
    <tableColumn id="9" xr3:uid="{00000000-0010-0000-4200-000009000000}" name="IIBB BSAS" dataDxfId="205" dataCellStyle="Normal 3"/>
    <tableColumn id="10" xr3:uid="{00000000-0010-0000-4200-00000A000000}" name="IIBB CABA" dataDxfId="204" dataCellStyle="Normal 3"/>
  </tableColumns>
  <tableStyleInfo name="Estilo de tabla 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DFE517-60E2-4569-B8BE-9BE4895329B0}" name="compras_mes113" displayName="compras_mes113" ref="B8:R27" totalsRowCount="1" headerRowDxfId="203" dataDxfId="202" totalsRowDxfId="201">
  <autoFilter ref="B8:R26" xr:uid="{00000000-0009-0000-0100-00004B000000}"/>
  <sortState xmlns:xlrd2="http://schemas.microsoft.com/office/spreadsheetml/2017/richdata2" ref="B9:R25">
    <sortCondition ref="B8:B25"/>
  </sortState>
  <tableColumns count="17">
    <tableColumn id="1" xr3:uid="{8D1AA45E-086A-46E0-B700-921731772A1A}" name="FECHA" totalsRowLabel="Total" dataDxfId="200" totalsRowDxfId="199" dataCellStyle="Normal 3"/>
    <tableColumn id="2" xr3:uid="{54EBA93B-C40E-488B-862B-484F05716492}" name="TIPO" dataDxfId="198" totalsRowDxfId="197" dataCellStyle="Normal 3"/>
    <tableColumn id="3" xr3:uid="{2E2EEDDE-9798-4BE2-850F-8B4ABDE476AF}" name="PTO VTA" dataDxfId="196" totalsRowDxfId="195" dataCellStyle="Normal 3"/>
    <tableColumn id="4" xr3:uid="{D222D109-3BE8-4D68-A0F6-25F6EF59A066}" name="NRO. CPTE" dataDxfId="194" totalsRowDxfId="193" dataCellStyle="Normal 3"/>
    <tableColumn id="5" xr3:uid="{C862C2EA-D85B-4F37-8D5E-F6F6DC9AE046}" name="CUIT" dataDxfId="192" totalsRowDxfId="191" dataCellStyle="Normal 3"/>
    <tableColumn id="6" xr3:uid="{409B591F-1102-409B-8A0B-F3ED85144A6C}" name="RAZON SOCIAL" dataDxfId="190" totalsRowDxfId="189" dataCellStyle="Normal 3">
      <calculatedColumnFormula>IFERROR(IF(compras_mes113[[#This Row],[CUIT]]="","-",VLOOKUP(compras_mes113[[#This Row],[CUIT]],Lista_CUIT[#All],2,0)),"CUIT NO CARGADO")</calculatedColumnFormula>
    </tableColumn>
    <tableColumn id="7" xr3:uid="{C0395F1B-BD95-45A4-BDB0-72FF02CE10CF}" name="NETO GRAVADO" totalsRowFunction="sum" dataDxfId="188" totalsRowDxfId="187" dataCellStyle="Normal 3"/>
    <tableColumn id="8" xr3:uid="{451FF8DB-B8AB-4518-8660-32CE6BBD3370}" name="IVA 21 %" totalsRowFunction="sum" dataDxfId="186" totalsRowDxfId="185" dataCellStyle="Normal 3">
      <calculatedColumnFormula>IF(compras_mes113[[#This Row],[NETO GRAVADO]]="","",compras_mes113[[#This Row],[NETO GRAVADO]]*0.21)</calculatedColumnFormula>
    </tableColumn>
    <tableColumn id="9" xr3:uid="{CC6D8066-A3CA-406F-A0CB-D9AE0F5E72D4}" name="IVA 27%" totalsRowFunction="sum" dataDxfId="184" totalsRowDxfId="183" dataCellStyle="Normal 3"/>
    <tableColumn id="10" xr3:uid="{CB54114F-8A97-458B-8C2D-B0456E6771F8}" name="IVA 10,5%" totalsRowFunction="sum" dataDxfId="182" totalsRowDxfId="181" dataCellStyle="Normal 3"/>
    <tableColumn id="11" xr3:uid="{C4320030-4958-44E4-85CD-027DB3453710}" name="PERC. IVA" totalsRowFunction="sum" dataDxfId="180" totalsRowDxfId="179" dataCellStyle="Normal 3"/>
    <tableColumn id="12" xr3:uid="{EF5EF11A-83DD-44C9-A669-C35DEC01FFB0}" name="PERC IIBB _x000a_BS AS" totalsRowFunction="sum" dataDxfId="178" totalsRowDxfId="177" dataCellStyle="Normal 3"/>
    <tableColumn id="13" xr3:uid="{2E46AFBF-CE50-4C9C-937C-53F9E4337DCE}" name="PERC. IIBB CABA" totalsRowFunction="sum" dataDxfId="176" totalsRowDxfId="175" dataCellStyle="Normal 3"/>
    <tableColumn id="14" xr3:uid="{77FC7380-F55D-4883-92AF-D119D4DC4283}" name="Otros - No Grav." totalsRowFunction="sum" dataDxfId="174" totalsRowDxfId="173" dataCellStyle="Normal 3"/>
    <tableColumn id="15" xr3:uid="{70129695-63CB-4E3C-97A5-62770AD87532}" name="TOTAL" totalsRowFunction="sum" dataDxfId="172" totalsRowDxfId="171" dataCellStyle="Normal 3">
      <calculatedColumnFormula>SUM(compras_mes113[[#This Row],[NETO GRAVADO]:[Otros - No Grav.]])</calculatedColumnFormula>
    </tableColumn>
    <tableColumn id="16" xr3:uid="{BC0F6BB2-9ACB-49B9-A69A-E39304713C36}" name="Tipo de Gasto" dataDxfId="170" totalsRowDxfId="169" dataCellStyle="Normal 3">
      <calculatedColumnFormula>IFERROR(IF(compras_mes113[[#This Row],[CUIT]]="","-",VLOOKUP(compras_mes113[[#This Row],[CUIT]],Lista_CUIT[#All],3,0)),"CUIT NO CARGADO")</calculatedColumnFormula>
    </tableColumn>
    <tableColumn id="17" xr3:uid="{2C90EB26-3C7D-4F94-8667-5DA3AB094E63}" name="Provincia" dataDxfId="168" totalsRowDxfId="167" dataCellStyle="Normal 3">
      <calculatedColumnFormula>IFERROR(IF(compras_mes113[[#This Row],[CUIT]]="","-",VLOOKUP(compras_mes113[[#This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7BDF31C-2425-4E69-8DD2-93437D1D14DB}" name="factura_c_mes1152" displayName="factura_c_mes1152" ref="D42:K51" totalsRowCount="1" headerRowDxfId="166" dataDxfId="165" totalsRowDxfId="164" headerRowCellStyle="Normal 3">
  <autoFilter ref="D42:K50" xr:uid="{00000000-0009-0000-0100-00004C000000}"/>
  <sortState xmlns:xlrd2="http://schemas.microsoft.com/office/spreadsheetml/2017/richdata2" ref="D43:K85">
    <sortCondition ref="F167:F209"/>
  </sortState>
  <tableColumns count="8">
    <tableColumn id="1" xr3:uid="{93ACDE1F-545A-42CD-8A3B-DAF35116C436}" name="FECHA" totalsRowLabel="Total" dataDxfId="163" totalsRowDxfId="162" dataCellStyle="Normal 3"/>
    <tableColumn id="2" xr3:uid="{E9039DBF-239F-44AD-8FC7-B7DC9437E78D}" name="PTO VTA" dataDxfId="161" totalsRowDxfId="160" dataCellStyle="Normal 3"/>
    <tableColumn id="3" xr3:uid="{303093EE-7E79-4CCD-9B91-C67FB5AEF9CE}" name="FC Nº" dataDxfId="159" totalsRowDxfId="158" dataCellStyle="Normal 3"/>
    <tableColumn id="4" xr3:uid="{68A1A8E5-C080-49F7-AB02-FD07C165E696}" name="CUIT" dataDxfId="157" totalsRowDxfId="156" dataCellStyle="Normal 3"/>
    <tableColumn id="5" xr3:uid="{50A03FE2-2D95-483C-B6B8-1504F45F6EB1}" name="RAZON SOCIAL" dataDxfId="155" totalsRowDxfId="154" dataCellStyle="Normal 3">
      <calculatedColumnFormula>IFERROR(IF(factura_c_mes1152[[#This Row],[CUIT]]="","-",VLOOKUP(factura_c_mes1152[[#This Row],[CUIT]],Lista_CUIT[#All],2,0)),"CUIT NO CARGADO")</calculatedColumnFormula>
    </tableColumn>
    <tableColumn id="6" xr3:uid="{35FB9B7A-D054-4D73-88C8-9006A94EC540}" name="TOTAL" totalsRowFunction="sum" dataDxfId="153" totalsRowDxfId="152" dataCellStyle="Normal 3"/>
    <tableColumn id="7" xr3:uid="{10D2DD0A-25F0-41BA-B0B4-5AB614025BC0}" name="TIPO DE GASTO" dataDxfId="151" totalsRowDxfId="150" dataCellStyle="Normal 3">
      <calculatedColumnFormula>IFERROR(IF(factura_c_mes1152[[#This Row],[CUIT]]="","-",VLOOKUP(factura_c_mes1152[[#This Row],[CUIT]],Lista_CUIT[#All],3,0)),"CUIT NO CARGADO")</calculatedColumnFormula>
    </tableColumn>
    <tableColumn id="8" xr3:uid="{BC017311-7B6D-46DB-9FD5-BBD81B81D28F}" name="Provincia" dataDxfId="149" totalsRowDxfId="148" dataCellStyle="Normal 3">
      <calculatedColumnFormula>IFERROR(IF(factura_c_mes1152[[#This Row],[CUIT]]="","-",VLOOKUP(factura_c_mes1152[[#This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002428A-ED2B-4E96-84FC-0AB095B321A7}" name="venta_a_mes1153" displayName="venta_a_mes1153" ref="B61:M88" totalsRowCount="1" headerRowDxfId="147" dataDxfId="145" headerRowBorderDxfId="146" tableBorderDxfId="144" totalsRowBorderDxfId="143" dataCellStyle="Normal 3">
  <autoFilter ref="B61:M87" xr:uid="{00000000-0009-0000-0100-00004D000000}"/>
  <sortState xmlns:xlrd2="http://schemas.microsoft.com/office/spreadsheetml/2017/richdata2" ref="B62:M202">
    <sortCondition ref="D88:D229"/>
  </sortState>
  <tableColumns count="12">
    <tableColumn id="1" xr3:uid="{2F72F9E2-4461-46F7-B249-EABEC294E805}" name="FECHA" totalsRowLabel="Total" dataDxfId="142" totalsRowDxfId="141" dataCellStyle="Normal 3"/>
    <tableColumn id="2" xr3:uid="{3A1A1555-57B6-43F2-B42D-5313A95D8CA3}" name="TIPO" dataDxfId="140" totalsRowDxfId="139" dataCellStyle="Normal 3"/>
    <tableColumn id="3" xr3:uid="{087A9A71-844A-494B-93B8-1F4175FF20EE}" name="PTO VENTA" dataDxfId="138" totalsRowDxfId="137" dataCellStyle="Normal 3"/>
    <tableColumn id="4" xr3:uid="{6C12199B-790B-45D5-A9EE-78841DA85641}" name="Nº FACTURA" dataDxfId="136" totalsRowDxfId="135" dataCellStyle="Normal 3"/>
    <tableColumn id="5" xr3:uid="{953C3AEE-3642-4BB9-B5FD-7E1808763EC9}" name="CUIT" dataDxfId="134" totalsRowDxfId="133" dataCellStyle="Normal 3"/>
    <tableColumn id="6" xr3:uid="{EF02AED0-EF9E-4BE3-882B-F5653C76CFBE}" name="RAZON SOCIAL" dataDxfId="132" totalsRowDxfId="131" dataCellStyle="Normal 3">
      <calculatedColumnFormula>IFERROR(IF(venta_a_mes1153[[#This Row],[CUIT]]="","-",VLOOKUP(venta_a_mes1153[[#This Row],[CUIT]],Lista_CUIT[#All],2,0)),"CUIT NO CARGADO")</calculatedColumnFormula>
    </tableColumn>
    <tableColumn id="7" xr3:uid="{DEAD6DAE-C5E9-42B0-BD5A-B3114246214D}" name="IMPORTE NETO" totalsRowFunction="sum" dataDxfId="130" totalsRowDxfId="129" dataCellStyle="Normal 3"/>
    <tableColumn id="8" xr3:uid="{EF2BDED6-3EB0-4521-954B-A58D5924ECDA}" name="IVA 21%" totalsRowFunction="sum" dataDxfId="128" totalsRowDxfId="127" dataCellStyle="Normal 3">
      <calculatedColumnFormula>venta_a_mes1153[[#This Row],[IMPORTE NETO]]*0.21</calculatedColumnFormula>
    </tableColumn>
    <tableColumn id="9" xr3:uid="{72FE4575-895D-4948-86B5-862635C5177F}" name="IVA 10,5%" totalsRowFunction="sum" dataDxfId="126" totalsRowDxfId="125" dataCellStyle="Normal 3"/>
    <tableColumn id="10" xr3:uid="{4500E067-9C00-40BE-B781-FA4532552AC4}" name="EXENTO" totalsRowFunction="sum" dataDxfId="124" totalsRowDxfId="123" dataCellStyle="Normal 3"/>
    <tableColumn id="11" xr3:uid="{A96790F8-3DE3-4D06-BC99-F538354E55B4}" name="TOTAL" totalsRowFunction="sum" dataDxfId="122" totalsRowDxfId="121" dataCellStyle="Normal 3">
      <calculatedColumnFormula>SUM(venta_a_mes1153[[#This Row],[IMPORTE NETO]:[EXENTO]])</calculatedColumnFormula>
    </tableColumn>
    <tableColumn id="12" xr3:uid="{FD2F3906-3A5D-462D-86A9-FE6024DC4A92}" name="Provincia" totalsRowFunction="count" dataDxfId="120" totalsRowDxfId="119" dataCellStyle="Normal 3"/>
  </tableColumns>
  <tableStyleInfo name="Tabla Ventas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0065795-5730-46F8-B492-6B6912B4B20F}" name="ventas_b_mes1154" displayName="ventas_b_mes1154" ref="B91:M100" totalsRowCount="1" headerRowDxfId="118" dataDxfId="116" headerRowBorderDxfId="117" tableBorderDxfId="115" totalsRowBorderDxfId="114" dataCellStyle="Normal 3">
  <autoFilter ref="B91:M99" xr:uid="{00000000-0009-0000-0100-00004E000000}"/>
  <sortState xmlns:xlrd2="http://schemas.microsoft.com/office/spreadsheetml/2017/richdata2" ref="B92:M232">
    <sortCondition ref="E100:E241"/>
  </sortState>
  <tableColumns count="12">
    <tableColumn id="1" xr3:uid="{61FD5BFC-B4C0-49E1-ABBA-A89262BF7C2B}" name="FECHA" totalsRowLabel="Total" dataDxfId="113" totalsRowDxfId="112" dataCellStyle="Normal 3"/>
    <tableColumn id="2" xr3:uid="{C8BDDEDF-1E9C-47E4-8B3D-882329437629}" name="TIPO" dataDxfId="111" totalsRowDxfId="110" dataCellStyle="Normal 3"/>
    <tableColumn id="3" xr3:uid="{53E8D132-A1C7-470A-8963-38789BA6D0E5}" name="PTO VENTA" dataDxfId="109" totalsRowDxfId="108" dataCellStyle="Normal 3"/>
    <tableColumn id="4" xr3:uid="{B984D540-EDA9-4ED6-BC37-C423774240DA}" name="Nº FACTURA" dataDxfId="107" totalsRowDxfId="106" dataCellStyle="Normal 3"/>
    <tableColumn id="5" xr3:uid="{464B19D3-E49E-444E-89B0-CE1DAD033405}" name="CUIT" dataDxfId="105" totalsRowDxfId="104" dataCellStyle="Normal 3"/>
    <tableColumn id="6" xr3:uid="{DC861524-D5DC-496F-97E8-BF4AB28B939B}" name="RAZON SOCIAL" dataDxfId="103" totalsRowDxfId="102" dataCellStyle="Normal 3">
      <calculatedColumnFormula>IFERROR(IF(ventas_b_mes1154[[#This Row],[CUIT]]="","-",VLOOKUP(ventas_b_mes1154[[#This Row],[CUIT]],Lista_CUIT[#All],2,0)),"CUIT NO CARGADO")</calculatedColumnFormula>
    </tableColumn>
    <tableColumn id="7" xr3:uid="{B0F2DAEF-52FE-46D7-A809-9B45EBAF2DBB}" name="IMPORTE NETO" totalsRowFunction="sum" dataDxfId="101" totalsRowDxfId="100" dataCellStyle="Normal 3"/>
    <tableColumn id="8" xr3:uid="{381268F3-D211-4189-A5FF-DDEF0665D1B8}" name="IVA 21%" totalsRowFunction="sum" dataDxfId="99" totalsRowDxfId="98" dataCellStyle="Normal 3">
      <calculatedColumnFormula>ventas_b_mes1154[[#This Row],[IMPORTE NETO]]*0.21</calculatedColumnFormula>
    </tableColumn>
    <tableColumn id="9" xr3:uid="{5FF0A915-1DF8-460B-AECC-C49A8BCD11F9}" name="IVA 10,5%" totalsRowFunction="sum" dataDxfId="97" totalsRowDxfId="96" dataCellStyle="Normal 3"/>
    <tableColumn id="10" xr3:uid="{1150D9DF-788A-4341-94D9-9CB0E7651B1C}" name="EXENTO" totalsRowFunction="sum" dataDxfId="95" totalsRowDxfId="94" dataCellStyle="Normal 3"/>
    <tableColumn id="11" xr3:uid="{BEC97ACA-1529-4B56-BD2A-5FF3E3BDEBCB}" name="TOTAL" totalsRowFunction="sum" dataDxfId="93" totalsRowDxfId="92" dataCellStyle="Normal 3">
      <calculatedColumnFormula>ventas_b_mes1154[[#This Row],[EXENTO]]+ventas_b_mes1154[[#This Row],[IVA 10,5%]]+ventas_b_mes1154[[#This Row],[IVA 21%]]+ventas_b_mes1154[[#This Row],[IMPORTE NETO]]</calculatedColumnFormula>
    </tableColumn>
    <tableColumn id="12" xr3:uid="{4292E524-2E2E-48F5-AFE3-B60C2D2A255A}" name="Provincia" totalsRowFunction="count" dataDxfId="91" totalsRowDxfId="90" dataCellStyle="Normal 3"/>
  </tableColumns>
  <tableStyleInfo name="Tabla Ventas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5A91A21-9ABA-47ED-93A8-89DFFB74EEAD}" name="extracto_banco_mes1155" displayName="extracto_banco_mes1155" ref="D33:M37" totalsRowCount="1" headerRowDxfId="89" dataDxfId="88" totalsRowDxfId="86" tableBorderDxfId="87" dataCellStyle="Normal 3">
  <autoFilter ref="D33:M36" xr:uid="{00000000-0009-0000-0100-00004F000000}"/>
  <tableColumns count="10">
    <tableColumn id="1" xr3:uid="{ABB45894-1322-451E-A23D-6833BD2E1FB2}" name="FECHA" totalsRowLabel="Total" dataDxfId="85" totalsRowDxfId="84" dataCellStyle="Normal 3"/>
    <tableColumn id="2" xr3:uid="{513CCE93-76D6-41CA-9699-728B107EF641}" name="NRO CPTE" dataDxfId="83" totalsRowDxfId="82"/>
    <tableColumn id="3" xr3:uid="{9FF81CF0-5FE5-4957-AC5B-FBCF36612CD1}" name="BANCO" dataDxfId="81" totalsRowDxfId="80"/>
    <tableColumn id="4" xr3:uid="{C151F455-24B7-4E5A-90E4-A38DF483CA1A}" name="NETO" totalsRowFunction="sum" dataDxfId="79" totalsRowDxfId="78" dataCellStyle="Normal 3"/>
    <tableColumn id="5" xr3:uid="{47BD4BC7-DB28-4D90-ABFC-27C549BD42D4}" name="IVA 21%" totalsRowFunction="sum" dataDxfId="77" totalsRowDxfId="76" dataCellStyle="Normal 3">
      <calculatedColumnFormula>extracto_banco_mes1155[[#This Row],[NETO]]*0.21</calculatedColumnFormula>
    </tableColumn>
    <tableColumn id="6" xr3:uid="{F65B8E7D-15FD-497D-9FC3-E0D9F9461BF8}" name="IVA 10,5%" totalsRowFunction="sum" dataDxfId="75" totalsRowDxfId="74" dataCellStyle="Normal 3"/>
    <tableColumn id="7" xr3:uid="{410C673F-1D00-45AF-ACCD-629C116174A2}" name="RET IIBB CABA" totalsRowFunction="sum" dataDxfId="73" totalsRowDxfId="72" dataCellStyle="Normal 3"/>
    <tableColumn id="8" xr3:uid="{D144966A-DF6C-41E8-8D26-004971347144}" name="PERC IVA" totalsRowFunction="sum" dataDxfId="71" totalsRowDxfId="70" dataCellStyle="Normal 3"/>
    <tableColumn id="9" xr3:uid="{D11DB4B6-4DF2-446B-BB16-BF90C813A965}" name="PERC IIBB" totalsRowFunction="sum" dataDxfId="69" totalsRowDxfId="68" dataCellStyle="Normal 3"/>
    <tableColumn id="10" xr3:uid="{B70DCF18-B26D-46B9-8F52-B2A8773E5532}" name="TOTAL" totalsRowFunction="sum" dataDxfId="67" totalsRowDxfId="66" dataCellStyle="Normal 3">
      <calculatedColumnFormula>SUM(extracto_banco_mes1155[[#This Row],[NETO]:[PERC IIBB]])</calculatedColumnFormula>
    </tableColumn>
  </tableColumns>
  <tableStyleInfo name="Estilo de tabla 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589916D-5AB1-4400-808E-A30182C4646D}" name="Retenciones_mes1156" displayName="Retenciones_mes1156" ref="C103:L108" totalsRowShown="0" headerRowDxfId="65" dataDxfId="64" headerRowCellStyle="Normal 3" dataCellStyle="Normal 3">
  <autoFilter ref="C103:L108" xr:uid="{00000000-0009-0000-0100-000050000000}"/>
  <tableColumns count="10">
    <tableColumn id="1" xr3:uid="{F5F00534-1B22-4F38-B6E5-03EE8E15360B}" name="FECHA " dataDxfId="63" dataCellStyle="Normal 3"/>
    <tableColumn id="2" xr3:uid="{70FA6993-D042-4591-ADCB-1D26B7BAAC59}" name="COMP Nº" dataDxfId="62" dataCellStyle="Normal 3"/>
    <tableColumn id="3" xr3:uid="{D6FF7625-453B-483C-95EB-A221F43CD843}" name="Columna1" dataDxfId="61" dataCellStyle="Normal 3"/>
    <tableColumn id="4" xr3:uid="{FCF87B51-A287-4172-AD3D-E8ED3E08DE79}" name="CUIT" dataDxfId="60" dataCellStyle="Normal 3"/>
    <tableColumn id="5" xr3:uid="{172FB672-0087-45B1-97BA-7F8F3A7332DC}" name="RAZON SOCIAL" dataDxfId="59" dataCellStyle="Normal 3">
      <calculatedColumnFormula>IFERROR(IF(Retenciones_mes1156[[#This Row],[CUIT]]="","-",VLOOKUP(Retenciones_mes1156[[#This Row],[CUIT]],Lista_CUIT[#All],2,0)),"CUIT NO CARGADO")</calculatedColumnFormula>
    </tableColumn>
    <tableColumn id="6" xr3:uid="{F63C4EA1-B0F0-425A-9ED3-DB9975FFA6C0}" name="Ganancias" dataDxfId="58" dataCellStyle="Normal 3"/>
    <tableColumn id="7" xr3:uid="{1A1DB9AB-DBE5-4320-BB11-379979E16804}" name="IVA" dataDxfId="57" dataCellStyle="Normal 3"/>
    <tableColumn id="8" xr3:uid="{54A84614-AF28-45FE-8717-AA9050BE26FC}" name="SUSS" dataDxfId="56" dataCellStyle="Normal 3"/>
    <tableColumn id="9" xr3:uid="{714A188A-B527-4B92-B01D-B8020AE9C837}" name="IIBB BSAS" dataDxfId="55" dataCellStyle="Normal 3"/>
    <tableColumn id="10" xr3:uid="{18865C36-D2E4-43F5-B54D-7A31A6347CF0}" name="IIBB CABA" dataDxfId="54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482"/>
  <sheetViews>
    <sheetView topLeftCell="A85" zoomScaleNormal="100" workbookViewId="0">
      <selection activeCell="A112" sqref="A112:B113"/>
    </sheetView>
  </sheetViews>
  <sheetFormatPr baseColWidth="10" defaultRowHeight="15"/>
  <cols>
    <col min="1" max="1" width="14.5703125" style="35" customWidth="1"/>
    <col min="2" max="2" width="80.85546875" bestFit="1" customWidth="1"/>
    <col min="3" max="3" width="20" style="35" bestFit="1" customWidth="1"/>
    <col min="4" max="4" width="15" bestFit="1" customWidth="1"/>
    <col min="7" max="7" width="20.5703125" customWidth="1"/>
  </cols>
  <sheetData>
    <row r="1" spans="1:7">
      <c r="A1" s="35" t="s">
        <v>3</v>
      </c>
      <c r="B1" s="35" t="s">
        <v>4</v>
      </c>
      <c r="C1" s="35" t="s">
        <v>11</v>
      </c>
      <c r="D1" s="35" t="s">
        <v>32</v>
      </c>
    </row>
    <row r="2" spans="1:7">
      <c r="A2" s="36">
        <f>21779325</f>
        <v>21779325</v>
      </c>
      <c r="B2" t="s">
        <v>102</v>
      </c>
      <c r="C2" s="35" t="s">
        <v>78</v>
      </c>
      <c r="G2" s="121" t="s">
        <v>83</v>
      </c>
    </row>
    <row r="3" spans="1:7">
      <c r="A3" s="36">
        <f>12999779</f>
        <v>12999779</v>
      </c>
      <c r="B3" t="s">
        <v>103</v>
      </c>
      <c r="G3" s="122" t="s">
        <v>80</v>
      </c>
    </row>
    <row r="4" spans="1:7">
      <c r="A4" s="36">
        <f>475785</f>
        <v>475785</v>
      </c>
      <c r="B4" t="s">
        <v>104</v>
      </c>
      <c r="G4" s="121" t="s">
        <v>94</v>
      </c>
    </row>
    <row r="5" spans="1:7">
      <c r="A5" s="36">
        <f>32052462</f>
        <v>32052462</v>
      </c>
      <c r="B5" t="s">
        <v>105</v>
      </c>
      <c r="G5" s="122" t="s">
        <v>84</v>
      </c>
    </row>
    <row r="6" spans="1:7">
      <c r="A6" s="36">
        <v>33709585229</v>
      </c>
      <c r="B6" s="2" t="s">
        <v>109</v>
      </c>
      <c r="C6" s="35" t="s">
        <v>113</v>
      </c>
      <c r="G6" s="121" t="s">
        <v>79</v>
      </c>
    </row>
    <row r="7" spans="1:7">
      <c r="A7" s="36">
        <v>30526874249</v>
      </c>
      <c r="B7" t="s">
        <v>106</v>
      </c>
      <c r="C7" s="35" t="s">
        <v>96</v>
      </c>
      <c r="G7" s="122" t="s">
        <v>95</v>
      </c>
    </row>
    <row r="8" spans="1:7">
      <c r="A8" s="36">
        <v>30716711621</v>
      </c>
      <c r="B8" t="s">
        <v>110</v>
      </c>
      <c r="C8" s="35" t="s">
        <v>111</v>
      </c>
      <c r="D8" t="s">
        <v>107</v>
      </c>
      <c r="G8" s="121" t="s">
        <v>89</v>
      </c>
    </row>
    <row r="9" spans="1:7">
      <c r="A9" s="36">
        <v>30713550201</v>
      </c>
      <c r="B9" t="s">
        <v>112</v>
      </c>
      <c r="G9" s="122" t="s">
        <v>78</v>
      </c>
    </row>
    <row r="10" spans="1:7">
      <c r="A10" s="36">
        <v>20357182914</v>
      </c>
      <c r="B10" t="s">
        <v>114</v>
      </c>
      <c r="G10" s="121" t="s">
        <v>96</v>
      </c>
    </row>
    <row r="11" spans="1:7">
      <c r="A11" s="36">
        <v>30715380567</v>
      </c>
      <c r="B11" t="s">
        <v>115</v>
      </c>
      <c r="G11" s="122" t="s">
        <v>87</v>
      </c>
    </row>
    <row r="12" spans="1:7">
      <c r="A12" s="36">
        <v>33716435909</v>
      </c>
      <c r="B12" t="s">
        <v>116</v>
      </c>
      <c r="G12" s="121" t="s">
        <v>92</v>
      </c>
    </row>
    <row r="13" spans="1:7">
      <c r="A13" s="36">
        <v>30715313967</v>
      </c>
      <c r="B13" t="s">
        <v>117</v>
      </c>
      <c r="G13" s="122" t="s">
        <v>97</v>
      </c>
    </row>
    <row r="14" spans="1:7">
      <c r="A14" s="36">
        <v>27240934499</v>
      </c>
      <c r="B14" t="s">
        <v>118</v>
      </c>
      <c r="G14" s="121" t="s">
        <v>98</v>
      </c>
    </row>
    <row r="15" spans="1:7">
      <c r="A15" s="36">
        <v>20367341808</v>
      </c>
      <c r="B15" t="s">
        <v>119</v>
      </c>
      <c r="G15" s="122" t="s">
        <v>85</v>
      </c>
    </row>
    <row r="16" spans="1:7">
      <c r="A16" s="36">
        <v>30717477681</v>
      </c>
      <c r="B16" t="s">
        <v>120</v>
      </c>
      <c r="G16" s="121" t="s">
        <v>82</v>
      </c>
    </row>
    <row r="17" spans="1:7">
      <c r="A17" s="36">
        <v>30717973166</v>
      </c>
      <c r="B17" t="s">
        <v>121</v>
      </c>
      <c r="G17" s="122" t="s">
        <v>99</v>
      </c>
    </row>
    <row r="18" spans="1:7">
      <c r="A18" s="36">
        <v>30717170594</v>
      </c>
      <c r="B18" t="s">
        <v>122</v>
      </c>
      <c r="G18" s="121" t="s">
        <v>81</v>
      </c>
    </row>
    <row r="19" spans="1:7">
      <c r="A19" s="36">
        <v>30716778041</v>
      </c>
      <c r="B19" t="s">
        <v>123</v>
      </c>
      <c r="G19" s="122" t="s">
        <v>100</v>
      </c>
    </row>
    <row r="20" spans="1:7">
      <c r="A20" s="36">
        <v>20284212488</v>
      </c>
      <c r="B20" t="s">
        <v>124</v>
      </c>
      <c r="G20" s="121" t="s">
        <v>86</v>
      </c>
    </row>
    <row r="21" spans="1:7">
      <c r="A21" s="36">
        <v>20391525227</v>
      </c>
      <c r="B21" t="s">
        <v>125</v>
      </c>
      <c r="G21" s="122" t="s">
        <v>88</v>
      </c>
    </row>
    <row r="22" spans="1:7">
      <c r="A22" s="36">
        <v>30715941763</v>
      </c>
      <c r="B22" t="s">
        <v>126</v>
      </c>
      <c r="G22" s="121" t="s">
        <v>101</v>
      </c>
    </row>
    <row r="23" spans="1:7">
      <c r="A23" s="36">
        <v>20252582704</v>
      </c>
      <c r="B23" t="s">
        <v>127</v>
      </c>
    </row>
    <row r="24" spans="1:7">
      <c r="A24" s="36">
        <v>20391525227</v>
      </c>
      <c r="B24" t="s">
        <v>125</v>
      </c>
    </row>
    <row r="25" spans="1:7">
      <c r="A25" s="36">
        <v>30715380567</v>
      </c>
      <c r="B25" t="s">
        <v>115</v>
      </c>
    </row>
    <row r="26" spans="1:7">
      <c r="A26" s="36">
        <v>20367341808</v>
      </c>
      <c r="B26" t="s">
        <v>119</v>
      </c>
    </row>
    <row r="27" spans="1:7">
      <c r="A27" s="36">
        <v>33716435909</v>
      </c>
      <c r="B27" t="s">
        <v>116</v>
      </c>
    </row>
    <row r="28" spans="1:7">
      <c r="A28" s="36">
        <v>30708026200</v>
      </c>
      <c r="B28" t="s">
        <v>128</v>
      </c>
    </row>
    <row r="29" spans="1:7">
      <c r="A29" s="36">
        <v>30707040900</v>
      </c>
      <c r="B29" t="s">
        <v>129</v>
      </c>
    </row>
    <row r="30" spans="1:7">
      <c r="A30" s="36">
        <v>23380288079</v>
      </c>
      <c r="B30" t="s">
        <v>130</v>
      </c>
    </row>
    <row r="31" spans="1:7">
      <c r="A31" s="36">
        <v>27341104845</v>
      </c>
      <c r="B31" t="s">
        <v>131</v>
      </c>
    </row>
    <row r="32" spans="1:7">
      <c r="A32" s="36">
        <v>20300985158</v>
      </c>
      <c r="B32" t="s">
        <v>132</v>
      </c>
    </row>
    <row r="33" spans="1:2">
      <c r="A33" s="36">
        <v>33712058019</v>
      </c>
      <c r="B33" t="s">
        <v>133</v>
      </c>
    </row>
    <row r="34" spans="1:2">
      <c r="A34" s="36">
        <v>20369492528</v>
      </c>
      <c r="B34" t="s">
        <v>134</v>
      </c>
    </row>
    <row r="35" spans="1:2">
      <c r="A35" s="36">
        <v>20202853391</v>
      </c>
      <c r="B35" t="s">
        <v>135</v>
      </c>
    </row>
    <row r="36" spans="1:2">
      <c r="A36" s="36">
        <v>27165844748</v>
      </c>
      <c r="B36" t="s">
        <v>136</v>
      </c>
    </row>
    <row r="37" spans="1:2">
      <c r="A37" s="36">
        <v>30716797437</v>
      </c>
      <c r="B37" t="s">
        <v>137</v>
      </c>
    </row>
    <row r="38" spans="1:2">
      <c r="A38" s="36">
        <v>20287305460</v>
      </c>
      <c r="B38" t="s">
        <v>138</v>
      </c>
    </row>
    <row r="39" spans="1:2">
      <c r="A39" s="36">
        <v>30710008635</v>
      </c>
      <c r="B39" t="s">
        <v>139</v>
      </c>
    </row>
    <row r="40" spans="1:2">
      <c r="A40" s="36">
        <v>30716914077</v>
      </c>
      <c r="B40" t="s">
        <v>140</v>
      </c>
    </row>
    <row r="41" spans="1:2">
      <c r="A41" s="36">
        <v>20279415656</v>
      </c>
      <c r="B41" t="s">
        <v>141</v>
      </c>
    </row>
    <row r="42" spans="1:2">
      <c r="A42" s="36">
        <v>30681452423</v>
      </c>
      <c r="B42" t="s">
        <v>142</v>
      </c>
    </row>
    <row r="43" spans="1:2">
      <c r="A43" s="36">
        <v>30700477920</v>
      </c>
      <c r="B43" t="s">
        <v>143</v>
      </c>
    </row>
    <row r="44" spans="1:2">
      <c r="A44" s="36">
        <v>30521448608</v>
      </c>
      <c r="B44" t="s">
        <v>144</v>
      </c>
    </row>
    <row r="45" spans="1:2">
      <c r="A45" s="36">
        <v>29811544</v>
      </c>
      <c r="B45" t="s">
        <v>145</v>
      </c>
    </row>
    <row r="46" spans="1:2">
      <c r="A46" s="36">
        <v>30710173652</v>
      </c>
      <c r="B46" t="s">
        <v>146</v>
      </c>
    </row>
    <row r="47" spans="1:2">
      <c r="A47" s="36">
        <v>33708727569</v>
      </c>
      <c r="B47" t="s">
        <v>147</v>
      </c>
    </row>
    <row r="48" spans="1:2">
      <c r="A48" s="36">
        <v>30717465101</v>
      </c>
      <c r="B48" t="s">
        <v>149</v>
      </c>
    </row>
    <row r="49" spans="1:3">
      <c r="A49" s="36">
        <v>20132082198</v>
      </c>
      <c r="B49" t="s">
        <v>150</v>
      </c>
    </row>
    <row r="50" spans="1:3">
      <c r="A50" s="36">
        <v>30592508830</v>
      </c>
      <c r="B50" t="s">
        <v>151</v>
      </c>
    </row>
    <row r="51" spans="1:3">
      <c r="A51" s="36">
        <v>20246239364</v>
      </c>
      <c r="B51" t="s">
        <v>152</v>
      </c>
    </row>
    <row r="52" spans="1:3">
      <c r="A52" s="36">
        <v>30717969061</v>
      </c>
      <c r="B52" t="s">
        <v>153</v>
      </c>
    </row>
    <row r="53" spans="1:3">
      <c r="A53" s="36">
        <v>30516186670</v>
      </c>
      <c r="B53" t="s">
        <v>154</v>
      </c>
    </row>
    <row r="54" spans="1:3">
      <c r="A54" s="36">
        <v>27386311000</v>
      </c>
      <c r="B54" t="s">
        <v>155</v>
      </c>
    </row>
    <row r="55" spans="1:3">
      <c r="A55" s="36">
        <v>20400104094</v>
      </c>
      <c r="B55" t="s">
        <v>156</v>
      </c>
      <c r="C55" s="35" t="s">
        <v>157</v>
      </c>
    </row>
    <row r="56" spans="1:3">
      <c r="A56" s="36">
        <v>30688955749</v>
      </c>
      <c r="B56" t="s">
        <v>158</v>
      </c>
    </row>
    <row r="57" spans="1:3">
      <c r="A57" s="36">
        <v>30716234815</v>
      </c>
      <c r="B57" t="s">
        <v>159</v>
      </c>
    </row>
    <row r="58" spans="1:3">
      <c r="A58" s="36">
        <v>20319747975</v>
      </c>
      <c r="B58" t="s">
        <v>160</v>
      </c>
    </row>
    <row r="59" spans="1:3">
      <c r="A59" s="36">
        <v>20369499956</v>
      </c>
      <c r="B59" t="s">
        <v>161</v>
      </c>
    </row>
    <row r="60" spans="1:3">
      <c r="A60" s="36">
        <v>20178248201</v>
      </c>
      <c r="B60" t="s">
        <v>162</v>
      </c>
    </row>
    <row r="61" spans="1:3">
      <c r="A61" s="36">
        <v>30716549107</v>
      </c>
      <c r="B61" t="s">
        <v>163</v>
      </c>
    </row>
    <row r="62" spans="1:3">
      <c r="A62" s="36">
        <v>20320573948</v>
      </c>
      <c r="B62" t="s">
        <v>164</v>
      </c>
    </row>
    <row r="63" spans="1:3">
      <c r="A63" s="36">
        <v>20277452872</v>
      </c>
      <c r="B63" t="s">
        <v>165</v>
      </c>
    </row>
    <row r="64" spans="1:3">
      <c r="A64" s="36">
        <v>20238882975</v>
      </c>
      <c r="B64" t="s">
        <v>166</v>
      </c>
    </row>
    <row r="65" spans="1:2">
      <c r="A65" s="36">
        <v>27312707980</v>
      </c>
      <c r="B65" t="s">
        <v>167</v>
      </c>
    </row>
    <row r="66" spans="1:2">
      <c r="A66" s="36">
        <v>30718044894</v>
      </c>
      <c r="B66" t="s">
        <v>168</v>
      </c>
    </row>
    <row r="67" spans="1:2">
      <c r="A67" s="36">
        <v>30586172308</v>
      </c>
      <c r="B67" t="s">
        <v>169</v>
      </c>
    </row>
    <row r="68" spans="1:2">
      <c r="A68" s="36">
        <v>30715428349</v>
      </c>
      <c r="B68" t="s">
        <v>170</v>
      </c>
    </row>
    <row r="69" spans="1:2">
      <c r="A69" s="36">
        <v>30718553357</v>
      </c>
      <c r="B69" t="s">
        <v>172</v>
      </c>
    </row>
    <row r="70" spans="1:2">
      <c r="A70" s="36">
        <v>24368969350</v>
      </c>
      <c r="B70" t="s">
        <v>173</v>
      </c>
    </row>
    <row r="71" spans="1:2">
      <c r="A71" s="36">
        <v>20347443787</v>
      </c>
      <c r="B71" t="s">
        <v>174</v>
      </c>
    </row>
    <row r="72" spans="1:2">
      <c r="A72" s="36">
        <v>33717319309</v>
      </c>
      <c r="B72" t="s">
        <v>177</v>
      </c>
    </row>
    <row r="73" spans="1:2">
      <c r="A73" s="36">
        <v>33715154809</v>
      </c>
      <c r="B73" t="s">
        <v>175</v>
      </c>
    </row>
    <row r="74" spans="1:2">
      <c r="A74" s="36">
        <v>30718295900</v>
      </c>
      <c r="B74" t="s">
        <v>176</v>
      </c>
    </row>
    <row r="75" spans="1:2">
      <c r="A75" s="36">
        <v>23107861939</v>
      </c>
      <c r="B75" t="s">
        <v>178</v>
      </c>
    </row>
    <row r="76" spans="1:2">
      <c r="A76" s="36">
        <v>30715438360</v>
      </c>
      <c r="B76" t="s">
        <v>179</v>
      </c>
    </row>
    <row r="77" spans="1:2">
      <c r="A77" s="36">
        <v>30711942412</v>
      </c>
      <c r="B77" t="s">
        <v>180</v>
      </c>
    </row>
    <row r="78" spans="1:2">
      <c r="A78" s="36">
        <v>27335747254</v>
      </c>
      <c r="B78" t="s">
        <v>181</v>
      </c>
    </row>
    <row r="79" spans="1:2">
      <c r="A79" s="36">
        <v>27284608637</v>
      </c>
      <c r="B79" t="s">
        <v>182</v>
      </c>
    </row>
    <row r="80" spans="1:2">
      <c r="A80" s="36">
        <v>30714375241</v>
      </c>
      <c r="B80" t="s">
        <v>183</v>
      </c>
    </row>
    <row r="81" spans="1:2">
      <c r="A81" s="36">
        <v>30715751557</v>
      </c>
      <c r="B81" t="s">
        <v>184</v>
      </c>
    </row>
    <row r="82" spans="1:2">
      <c r="A82" s="36">
        <v>30718464931</v>
      </c>
      <c r="B82" t="s">
        <v>185</v>
      </c>
    </row>
    <row r="83" spans="1:2">
      <c r="A83" s="36">
        <v>30712186573</v>
      </c>
      <c r="B83" t="s">
        <v>186</v>
      </c>
    </row>
    <row r="84" spans="1:2">
      <c r="A84" s="36">
        <v>30718631730</v>
      </c>
      <c r="B84" t="s">
        <v>187</v>
      </c>
    </row>
    <row r="85" spans="1:2">
      <c r="A85" s="36">
        <v>30590360763</v>
      </c>
      <c r="B85" t="s">
        <v>188</v>
      </c>
    </row>
    <row r="86" spans="1:2">
      <c r="A86" s="36">
        <v>33718113739</v>
      </c>
      <c r="B86" t="s">
        <v>189</v>
      </c>
    </row>
    <row r="87" spans="1:2">
      <c r="A87" s="36">
        <v>30709058807</v>
      </c>
      <c r="B87" t="s">
        <v>190</v>
      </c>
    </row>
    <row r="88" spans="1:2">
      <c r="A88" s="36">
        <v>33716094559</v>
      </c>
      <c r="B88" t="s">
        <v>191</v>
      </c>
    </row>
    <row r="89" spans="1:2">
      <c r="A89" s="36">
        <v>30718657977</v>
      </c>
      <c r="B89" t="s">
        <v>192</v>
      </c>
    </row>
    <row r="90" spans="1:2">
      <c r="A90" s="36">
        <v>27298006419</v>
      </c>
      <c r="B90" t="s">
        <v>193</v>
      </c>
    </row>
    <row r="91" spans="1:2">
      <c r="A91" s="36">
        <v>42828291</v>
      </c>
      <c r="B91" t="s">
        <v>194</v>
      </c>
    </row>
    <row r="92" spans="1:2">
      <c r="A92" s="36">
        <v>30717159027</v>
      </c>
      <c r="B92" t="s">
        <v>195</v>
      </c>
    </row>
    <row r="93" spans="1:2">
      <c r="A93" s="36">
        <v>30708404485</v>
      </c>
      <c r="B93" t="s">
        <v>196</v>
      </c>
    </row>
    <row r="94" spans="1:2">
      <c r="A94" s="36">
        <v>20391848352</v>
      </c>
      <c r="B94" t="s">
        <v>198</v>
      </c>
    </row>
    <row r="95" spans="1:2">
      <c r="A95" s="36">
        <v>30717438252</v>
      </c>
      <c r="B95" t="s">
        <v>199</v>
      </c>
    </row>
    <row r="96" spans="1:2">
      <c r="A96" s="36">
        <v>30714236888</v>
      </c>
      <c r="B96" t="s">
        <v>200</v>
      </c>
    </row>
    <row r="97" spans="1:2">
      <c r="A97" s="36">
        <v>30708604255</v>
      </c>
      <c r="B97" t="s">
        <v>201</v>
      </c>
    </row>
    <row r="98" spans="1:2">
      <c r="A98" s="36">
        <v>30715904086</v>
      </c>
      <c r="B98" t="s">
        <v>202</v>
      </c>
    </row>
    <row r="99" spans="1:2">
      <c r="A99" s="36">
        <v>27345221374</v>
      </c>
      <c r="B99" t="s">
        <v>203</v>
      </c>
    </row>
    <row r="100" spans="1:2">
      <c r="A100" s="36">
        <v>30718228723</v>
      </c>
      <c r="B100" t="s">
        <v>204</v>
      </c>
    </row>
    <row r="101" spans="1:2">
      <c r="A101" s="36">
        <v>30714864803</v>
      </c>
      <c r="B101" t="s">
        <v>205</v>
      </c>
    </row>
    <row r="102" spans="1:2">
      <c r="A102" s="36">
        <v>33714651779</v>
      </c>
      <c r="B102" t="s">
        <v>206</v>
      </c>
    </row>
    <row r="103" spans="1:2">
      <c r="A103" s="36">
        <v>30707228098</v>
      </c>
      <c r="B103" t="s">
        <v>207</v>
      </c>
    </row>
    <row r="104" spans="1:2">
      <c r="A104" s="36">
        <v>30714730548</v>
      </c>
      <c r="B104" t="s">
        <v>208</v>
      </c>
    </row>
    <row r="105" spans="1:2">
      <c r="A105" s="36">
        <v>33714131759</v>
      </c>
      <c r="B105" t="s">
        <v>209</v>
      </c>
    </row>
    <row r="106" spans="1:2">
      <c r="A106" s="36">
        <v>30711083800</v>
      </c>
      <c r="B106" t="s">
        <v>210</v>
      </c>
    </row>
    <row r="107" spans="1:2">
      <c r="A107" s="36">
        <v>30712352341</v>
      </c>
      <c r="B107" t="s">
        <v>211</v>
      </c>
    </row>
    <row r="108" spans="1:2">
      <c r="A108" s="36">
        <v>30695097596</v>
      </c>
      <c r="B108" t="s">
        <v>212</v>
      </c>
    </row>
    <row r="109" spans="1:2">
      <c r="A109" s="36">
        <v>27403975821</v>
      </c>
      <c r="B109" t="s">
        <v>213</v>
      </c>
    </row>
    <row r="110" spans="1:2">
      <c r="A110" s="36">
        <v>30714597066</v>
      </c>
      <c r="B110" t="s">
        <v>214</v>
      </c>
    </row>
    <row r="111" spans="1:2">
      <c r="A111" s="359">
        <v>27206941419</v>
      </c>
      <c r="B111" t="s">
        <v>247</v>
      </c>
    </row>
    <row r="112" spans="1:2">
      <c r="A112" s="359">
        <v>30718590937</v>
      </c>
      <c r="B112" t="s">
        <v>249</v>
      </c>
    </row>
    <row r="113" spans="1:2">
      <c r="A113" s="359">
        <v>30708153199</v>
      </c>
      <c r="B113" t="s">
        <v>250</v>
      </c>
    </row>
    <row r="114" spans="1:2">
      <c r="A114" s="36"/>
    </row>
    <row r="115" spans="1:2">
      <c r="A115" s="36"/>
    </row>
    <row r="116" spans="1:2">
      <c r="A116" s="36"/>
    </row>
    <row r="117" spans="1:2">
      <c r="A117" s="36"/>
    </row>
    <row r="118" spans="1:2">
      <c r="A118" s="36"/>
    </row>
    <row r="119" spans="1:2">
      <c r="A119" s="36"/>
    </row>
    <row r="120" spans="1:2">
      <c r="A120" s="36"/>
    </row>
    <row r="121" spans="1:2">
      <c r="A121" s="36"/>
    </row>
    <row r="122" spans="1:2">
      <c r="A122" s="36"/>
    </row>
    <row r="123" spans="1:2">
      <c r="A123" s="36"/>
    </row>
    <row r="124" spans="1:2">
      <c r="A124" s="36"/>
    </row>
    <row r="125" spans="1:2">
      <c r="A125" s="36"/>
    </row>
    <row r="126" spans="1:2">
      <c r="A126" s="36"/>
    </row>
    <row r="127" spans="1:2">
      <c r="A127" s="36"/>
    </row>
    <row r="128" spans="1:2">
      <c r="A128" s="36"/>
    </row>
    <row r="129" spans="1:1">
      <c r="A129" s="36"/>
    </row>
    <row r="130" spans="1:1">
      <c r="A130" s="36"/>
    </row>
    <row r="131" spans="1:1">
      <c r="A131" s="36"/>
    </row>
    <row r="132" spans="1:1">
      <c r="A132" s="36"/>
    </row>
    <row r="133" spans="1:1">
      <c r="A133" s="36"/>
    </row>
    <row r="134" spans="1:1">
      <c r="A134" s="36"/>
    </row>
    <row r="135" spans="1:1">
      <c r="A135" s="36"/>
    </row>
    <row r="136" spans="1:1">
      <c r="A136" s="36"/>
    </row>
    <row r="137" spans="1:1">
      <c r="A137" s="36"/>
    </row>
    <row r="138" spans="1:1">
      <c r="A138" s="36"/>
    </row>
    <row r="139" spans="1:1">
      <c r="A139" s="36"/>
    </row>
    <row r="140" spans="1:1">
      <c r="A140" s="36"/>
    </row>
    <row r="141" spans="1:1">
      <c r="A141" s="36"/>
    </row>
    <row r="142" spans="1:1">
      <c r="A142" s="36"/>
    </row>
    <row r="143" spans="1:1">
      <c r="A143" s="36"/>
    </row>
    <row r="144" spans="1:1">
      <c r="A144" s="36"/>
    </row>
    <row r="145" spans="1:1">
      <c r="A145" s="36"/>
    </row>
    <row r="146" spans="1:1">
      <c r="A146" s="36"/>
    </row>
    <row r="147" spans="1:1">
      <c r="A147" s="36"/>
    </row>
    <row r="148" spans="1:1">
      <c r="A148" s="36"/>
    </row>
    <row r="149" spans="1:1">
      <c r="A149" s="36"/>
    </row>
    <row r="150" spans="1:1">
      <c r="A150" s="36"/>
    </row>
    <row r="151" spans="1:1">
      <c r="A151" s="36"/>
    </row>
    <row r="152" spans="1:1">
      <c r="A152" s="36"/>
    </row>
    <row r="153" spans="1:1">
      <c r="A153" s="36"/>
    </row>
    <row r="154" spans="1:1">
      <c r="A154" s="36"/>
    </row>
    <row r="155" spans="1:1">
      <c r="A155" s="36"/>
    </row>
    <row r="156" spans="1:1">
      <c r="A156" s="36"/>
    </row>
    <row r="157" spans="1:1">
      <c r="A157" s="36"/>
    </row>
    <row r="158" spans="1:1">
      <c r="A158" s="36"/>
    </row>
    <row r="159" spans="1:1">
      <c r="A159" s="36"/>
    </row>
    <row r="160" spans="1:1">
      <c r="A160" s="36"/>
    </row>
    <row r="161" spans="1:1">
      <c r="A161" s="36"/>
    </row>
    <row r="162" spans="1:1">
      <c r="A162" s="36"/>
    </row>
    <row r="163" spans="1:1">
      <c r="A163" s="36"/>
    </row>
    <row r="164" spans="1:1">
      <c r="A164" s="36"/>
    </row>
    <row r="165" spans="1:1">
      <c r="A165" s="36"/>
    </row>
    <row r="166" spans="1:1">
      <c r="A166" s="36"/>
    </row>
    <row r="167" spans="1:1">
      <c r="A167" s="36"/>
    </row>
    <row r="168" spans="1:1">
      <c r="A168" s="36"/>
    </row>
    <row r="169" spans="1:1">
      <c r="A169" s="36"/>
    </row>
    <row r="170" spans="1:1">
      <c r="A170" s="36"/>
    </row>
    <row r="171" spans="1:1">
      <c r="A171" s="36"/>
    </row>
    <row r="172" spans="1:1">
      <c r="A172" s="36"/>
    </row>
    <row r="173" spans="1:1">
      <c r="A173" s="36"/>
    </row>
    <row r="174" spans="1:1">
      <c r="A174" s="36"/>
    </row>
    <row r="175" spans="1:1">
      <c r="A175" s="36"/>
    </row>
    <row r="176" spans="1:1">
      <c r="A176" s="36"/>
    </row>
    <row r="177" spans="1:1">
      <c r="A177" s="36"/>
    </row>
    <row r="178" spans="1:1">
      <c r="A178" s="36"/>
    </row>
    <row r="179" spans="1:1">
      <c r="A179" s="36"/>
    </row>
    <row r="180" spans="1:1">
      <c r="A180" s="36"/>
    </row>
    <row r="181" spans="1:1">
      <c r="A181" s="36"/>
    </row>
    <row r="182" spans="1:1">
      <c r="A182" s="36"/>
    </row>
    <row r="183" spans="1:1">
      <c r="A183" s="36"/>
    </row>
    <row r="184" spans="1:1">
      <c r="A184" s="36"/>
    </row>
    <row r="185" spans="1:1">
      <c r="A185" s="36"/>
    </row>
    <row r="186" spans="1:1">
      <c r="A186" s="36"/>
    </row>
    <row r="187" spans="1:1">
      <c r="A187" s="36"/>
    </row>
    <row r="188" spans="1:1">
      <c r="A188" s="36"/>
    </row>
    <row r="189" spans="1:1">
      <c r="A189" s="36"/>
    </row>
    <row r="190" spans="1:1">
      <c r="A190" s="36"/>
    </row>
    <row r="191" spans="1:1">
      <c r="A191" s="36"/>
    </row>
    <row r="192" spans="1:1">
      <c r="A192" s="36"/>
    </row>
    <row r="193" spans="1:1">
      <c r="A193" s="36"/>
    </row>
    <row r="194" spans="1:1">
      <c r="A194" s="36"/>
    </row>
    <row r="195" spans="1:1">
      <c r="A195" s="36"/>
    </row>
    <row r="196" spans="1:1">
      <c r="A196" s="36"/>
    </row>
    <row r="197" spans="1:1">
      <c r="A197" s="36"/>
    </row>
    <row r="198" spans="1:1">
      <c r="A198" s="36"/>
    </row>
    <row r="199" spans="1:1">
      <c r="A199" s="36"/>
    </row>
    <row r="200" spans="1:1">
      <c r="A200" s="36"/>
    </row>
    <row r="201" spans="1:1">
      <c r="A201" s="36"/>
    </row>
    <row r="202" spans="1:1">
      <c r="A202" s="36"/>
    </row>
    <row r="203" spans="1:1">
      <c r="A203" s="36"/>
    </row>
    <row r="204" spans="1:1">
      <c r="A204" s="36"/>
    </row>
    <row r="205" spans="1:1">
      <c r="A205" s="36"/>
    </row>
    <row r="206" spans="1:1">
      <c r="A206" s="36"/>
    </row>
    <row r="207" spans="1:1">
      <c r="A207" s="36"/>
    </row>
    <row r="208" spans="1:1">
      <c r="A208" s="142"/>
    </row>
    <row r="209" spans="1:1">
      <c r="A209" s="36"/>
    </row>
    <row r="210" spans="1:1">
      <c r="A210" s="36"/>
    </row>
    <row r="211" spans="1:1">
      <c r="A211" s="36"/>
    </row>
    <row r="212" spans="1:1">
      <c r="A212" s="36"/>
    </row>
    <row r="213" spans="1:1">
      <c r="A213" s="36"/>
    </row>
    <row r="214" spans="1:1">
      <c r="A214" s="36"/>
    </row>
    <row r="215" spans="1:1">
      <c r="A215" s="36"/>
    </row>
    <row r="216" spans="1:1">
      <c r="A216" s="36"/>
    </row>
    <row r="217" spans="1:1">
      <c r="A217" s="36"/>
    </row>
    <row r="218" spans="1:1">
      <c r="A218" s="36"/>
    </row>
    <row r="219" spans="1:1">
      <c r="A219" s="36"/>
    </row>
    <row r="220" spans="1:1">
      <c r="A220" s="36"/>
    </row>
    <row r="221" spans="1:1">
      <c r="A221" s="36"/>
    </row>
    <row r="222" spans="1:1">
      <c r="A222" s="36"/>
    </row>
    <row r="223" spans="1:1">
      <c r="A223" s="36"/>
    </row>
    <row r="224" spans="1:1">
      <c r="A224" s="36"/>
    </row>
    <row r="225" spans="1:1">
      <c r="A225" s="36"/>
    </row>
    <row r="226" spans="1:1">
      <c r="A226" s="36"/>
    </row>
    <row r="227" spans="1:1">
      <c r="A227" s="36"/>
    </row>
    <row r="228" spans="1:1">
      <c r="A228" s="36"/>
    </row>
    <row r="229" spans="1:1">
      <c r="A229" s="36"/>
    </row>
    <row r="230" spans="1:1">
      <c r="A230" s="36"/>
    </row>
    <row r="231" spans="1:1">
      <c r="A231" s="36"/>
    </row>
    <row r="232" spans="1:1">
      <c r="A232" s="36"/>
    </row>
    <row r="233" spans="1:1">
      <c r="A233" s="36"/>
    </row>
    <row r="234" spans="1:1">
      <c r="A234" s="36"/>
    </row>
    <row r="235" spans="1:1">
      <c r="A235" s="36"/>
    </row>
    <row r="236" spans="1:1">
      <c r="A236" s="36"/>
    </row>
    <row r="237" spans="1:1">
      <c r="A237" s="36"/>
    </row>
    <row r="238" spans="1:1">
      <c r="A238" s="36"/>
    </row>
    <row r="239" spans="1:1">
      <c r="A239" s="36"/>
    </row>
    <row r="240" spans="1:1">
      <c r="A240" s="36"/>
    </row>
    <row r="241" spans="1:1">
      <c r="A241" s="36"/>
    </row>
    <row r="242" spans="1:1">
      <c r="A242" s="36"/>
    </row>
    <row r="243" spans="1:1">
      <c r="A243" s="36"/>
    </row>
    <row r="244" spans="1:1">
      <c r="A244" s="36"/>
    </row>
    <row r="245" spans="1:1">
      <c r="A245" s="36"/>
    </row>
    <row r="246" spans="1:1">
      <c r="A246" s="36"/>
    </row>
    <row r="247" spans="1:1">
      <c r="A247" s="36"/>
    </row>
    <row r="248" spans="1:1">
      <c r="A248" s="36"/>
    </row>
    <row r="249" spans="1:1">
      <c r="A249" s="36"/>
    </row>
    <row r="250" spans="1:1">
      <c r="A250" s="36"/>
    </row>
    <row r="251" spans="1:1">
      <c r="A251" s="36"/>
    </row>
    <row r="252" spans="1:1">
      <c r="A252" s="36"/>
    </row>
    <row r="253" spans="1:1">
      <c r="A253" s="36"/>
    </row>
    <row r="254" spans="1:1">
      <c r="A254" s="36"/>
    </row>
    <row r="255" spans="1:1">
      <c r="A255" s="36"/>
    </row>
    <row r="256" spans="1:1">
      <c r="A256" s="36"/>
    </row>
    <row r="257" spans="1:1">
      <c r="A257" s="36"/>
    </row>
    <row r="258" spans="1:1">
      <c r="A258" s="36"/>
    </row>
    <row r="259" spans="1:1">
      <c r="A259" s="36"/>
    </row>
    <row r="260" spans="1:1">
      <c r="A260" s="36"/>
    </row>
    <row r="261" spans="1:1">
      <c r="A261" s="36"/>
    </row>
    <row r="262" spans="1:1">
      <c r="A262" s="36"/>
    </row>
    <row r="263" spans="1:1">
      <c r="A263" s="36"/>
    </row>
    <row r="264" spans="1:1">
      <c r="A264" s="36"/>
    </row>
    <row r="265" spans="1:1">
      <c r="A265" s="36"/>
    </row>
    <row r="266" spans="1:1">
      <c r="A266" s="36"/>
    </row>
    <row r="267" spans="1:1">
      <c r="A267" s="36"/>
    </row>
    <row r="268" spans="1:1">
      <c r="A268" s="36"/>
    </row>
    <row r="269" spans="1:1">
      <c r="A269" s="36"/>
    </row>
    <row r="270" spans="1:1">
      <c r="A270" s="36"/>
    </row>
    <row r="271" spans="1:1">
      <c r="A271" s="36"/>
    </row>
    <row r="272" spans="1:1">
      <c r="A272" s="36"/>
    </row>
    <row r="273" spans="1:1">
      <c r="A273" s="36"/>
    </row>
    <row r="274" spans="1:1">
      <c r="A274" s="36"/>
    </row>
    <row r="275" spans="1:1">
      <c r="A275" s="36"/>
    </row>
    <row r="276" spans="1:1">
      <c r="A276" s="36"/>
    </row>
    <row r="277" spans="1:1">
      <c r="A277" s="36"/>
    </row>
    <row r="278" spans="1:1">
      <c r="A278" s="36"/>
    </row>
    <row r="279" spans="1:1">
      <c r="A279" s="36"/>
    </row>
    <row r="280" spans="1:1">
      <c r="A280" s="36"/>
    </row>
    <row r="281" spans="1:1">
      <c r="A281" s="36"/>
    </row>
    <row r="282" spans="1:1">
      <c r="A282" s="36"/>
    </row>
    <row r="283" spans="1:1">
      <c r="A283" s="36"/>
    </row>
    <row r="284" spans="1:1">
      <c r="A284" s="36"/>
    </row>
    <row r="285" spans="1:1">
      <c r="A285" s="36"/>
    </row>
    <row r="286" spans="1:1">
      <c r="A286" s="36"/>
    </row>
    <row r="287" spans="1:1">
      <c r="A287" s="36"/>
    </row>
    <row r="288" spans="1:1">
      <c r="A288" s="36"/>
    </row>
    <row r="289" spans="1:1">
      <c r="A289" s="36"/>
    </row>
    <row r="290" spans="1:1">
      <c r="A290" s="36"/>
    </row>
    <row r="291" spans="1:1">
      <c r="A291" s="36"/>
    </row>
    <row r="292" spans="1:1">
      <c r="A292" s="36"/>
    </row>
    <row r="293" spans="1:1">
      <c r="A293" s="36"/>
    </row>
    <row r="294" spans="1:1">
      <c r="A294" s="36"/>
    </row>
    <row r="295" spans="1:1">
      <c r="A295" s="36"/>
    </row>
    <row r="296" spans="1:1">
      <c r="A296" s="36"/>
    </row>
    <row r="297" spans="1:1">
      <c r="A297" s="36"/>
    </row>
    <row r="298" spans="1:1">
      <c r="A298" s="36"/>
    </row>
    <row r="299" spans="1:1">
      <c r="A299" s="36"/>
    </row>
    <row r="300" spans="1:1">
      <c r="A300" s="36"/>
    </row>
    <row r="301" spans="1:1">
      <c r="A301" s="36"/>
    </row>
    <row r="302" spans="1:1">
      <c r="A302" s="36"/>
    </row>
    <row r="303" spans="1:1">
      <c r="A303" s="36"/>
    </row>
    <row r="304" spans="1:1">
      <c r="A304" s="36"/>
    </row>
    <row r="305" spans="1:1">
      <c r="A305" s="36"/>
    </row>
    <row r="306" spans="1:1">
      <c r="A306" s="36"/>
    </row>
    <row r="307" spans="1:1">
      <c r="A307" s="36"/>
    </row>
    <row r="308" spans="1:1">
      <c r="A308" s="36"/>
    </row>
    <row r="309" spans="1:1">
      <c r="A309" s="36"/>
    </row>
    <row r="310" spans="1:1">
      <c r="A310" s="36"/>
    </row>
    <row r="311" spans="1:1">
      <c r="A311" s="36"/>
    </row>
    <row r="312" spans="1:1">
      <c r="A312" s="36"/>
    </row>
    <row r="313" spans="1:1">
      <c r="A313" s="36"/>
    </row>
    <row r="314" spans="1:1">
      <c r="A314" s="36"/>
    </row>
    <row r="315" spans="1:1">
      <c r="A315" s="36"/>
    </row>
    <row r="316" spans="1:1">
      <c r="A316" s="36"/>
    </row>
    <row r="317" spans="1:1">
      <c r="A317" s="36"/>
    </row>
    <row r="318" spans="1:1">
      <c r="A318" s="36"/>
    </row>
    <row r="319" spans="1:1">
      <c r="A319" s="36"/>
    </row>
    <row r="320" spans="1:1">
      <c r="A320" s="36"/>
    </row>
    <row r="321" spans="1:1">
      <c r="A321" s="36"/>
    </row>
    <row r="322" spans="1:1">
      <c r="A322" s="36"/>
    </row>
    <row r="323" spans="1:1">
      <c r="A323" s="36"/>
    </row>
    <row r="324" spans="1:1">
      <c r="A324" s="36"/>
    </row>
    <row r="325" spans="1:1">
      <c r="A325" s="36"/>
    </row>
    <row r="326" spans="1:1">
      <c r="A326" s="36"/>
    </row>
    <row r="327" spans="1:1">
      <c r="A327" s="36"/>
    </row>
    <row r="328" spans="1:1">
      <c r="A328" s="36"/>
    </row>
    <row r="329" spans="1:1">
      <c r="A329" s="36"/>
    </row>
    <row r="330" spans="1:1">
      <c r="A330" s="36"/>
    </row>
    <row r="331" spans="1:1">
      <c r="A331" s="36"/>
    </row>
    <row r="332" spans="1:1">
      <c r="A332" s="36"/>
    </row>
    <row r="333" spans="1:1">
      <c r="A333" s="36"/>
    </row>
    <row r="334" spans="1:1">
      <c r="A334" s="36"/>
    </row>
    <row r="335" spans="1:1">
      <c r="A335" s="36"/>
    </row>
    <row r="336" spans="1:1">
      <c r="A336" s="36"/>
    </row>
    <row r="337" spans="1:1">
      <c r="A337" s="36"/>
    </row>
    <row r="338" spans="1:1">
      <c r="A338" s="36"/>
    </row>
    <row r="339" spans="1:1">
      <c r="A339" s="36"/>
    </row>
    <row r="340" spans="1:1">
      <c r="A340" s="36"/>
    </row>
    <row r="341" spans="1:1">
      <c r="A341" s="36"/>
    </row>
    <row r="342" spans="1:1">
      <c r="A342" s="36"/>
    </row>
    <row r="343" spans="1:1">
      <c r="A343" s="36"/>
    </row>
    <row r="344" spans="1:1">
      <c r="A344" s="36"/>
    </row>
    <row r="345" spans="1:1">
      <c r="A345" s="36"/>
    </row>
    <row r="346" spans="1:1">
      <c r="A346" s="36"/>
    </row>
    <row r="347" spans="1:1">
      <c r="A347" s="36"/>
    </row>
    <row r="348" spans="1:1">
      <c r="A348" s="36"/>
    </row>
    <row r="349" spans="1:1">
      <c r="A349" s="36"/>
    </row>
    <row r="350" spans="1:1">
      <c r="A350" s="36"/>
    </row>
    <row r="351" spans="1:1">
      <c r="A351" s="36"/>
    </row>
    <row r="352" spans="1:1">
      <c r="A352" s="36"/>
    </row>
    <row r="353" spans="1:1">
      <c r="A353" s="36"/>
    </row>
    <row r="354" spans="1:1">
      <c r="A354" s="36"/>
    </row>
    <row r="355" spans="1:1">
      <c r="A355" s="36"/>
    </row>
    <row r="356" spans="1:1">
      <c r="A356" s="36"/>
    </row>
    <row r="357" spans="1:1">
      <c r="A357" s="36"/>
    </row>
    <row r="358" spans="1:1">
      <c r="A358" s="36"/>
    </row>
    <row r="359" spans="1:1">
      <c r="A359" s="36"/>
    </row>
    <row r="360" spans="1:1">
      <c r="A360" s="36"/>
    </row>
    <row r="361" spans="1:1">
      <c r="A361" s="36"/>
    </row>
    <row r="362" spans="1:1">
      <c r="A362" s="36"/>
    </row>
    <row r="363" spans="1:1">
      <c r="A363" s="36"/>
    </row>
    <row r="364" spans="1:1">
      <c r="A364" s="36"/>
    </row>
    <row r="365" spans="1:1">
      <c r="A365" s="36"/>
    </row>
    <row r="366" spans="1:1">
      <c r="A366" s="36"/>
    </row>
    <row r="367" spans="1:1">
      <c r="A367" s="36"/>
    </row>
    <row r="368" spans="1:1">
      <c r="A368" s="36"/>
    </row>
    <row r="369" spans="1:1">
      <c r="A369" s="36"/>
    </row>
    <row r="370" spans="1:1">
      <c r="A370" s="36"/>
    </row>
    <row r="371" spans="1:1">
      <c r="A371" s="36"/>
    </row>
    <row r="372" spans="1:1">
      <c r="A372" s="36"/>
    </row>
    <row r="373" spans="1:1">
      <c r="A373" s="36"/>
    </row>
    <row r="374" spans="1:1">
      <c r="A374" s="36"/>
    </row>
    <row r="375" spans="1:1">
      <c r="A375" s="36"/>
    </row>
    <row r="376" spans="1:1">
      <c r="A376" s="36"/>
    </row>
    <row r="377" spans="1:1">
      <c r="A377" s="36"/>
    </row>
    <row r="378" spans="1:1">
      <c r="A378" s="36"/>
    </row>
    <row r="379" spans="1:1">
      <c r="A379" s="36"/>
    </row>
    <row r="380" spans="1:1">
      <c r="A380" s="36"/>
    </row>
    <row r="381" spans="1:1">
      <c r="A381" s="36"/>
    </row>
    <row r="382" spans="1:1">
      <c r="A382" s="36"/>
    </row>
    <row r="383" spans="1:1">
      <c r="A383" s="36"/>
    </row>
    <row r="384" spans="1:1">
      <c r="A384" s="36"/>
    </row>
    <row r="385" spans="1:1">
      <c r="A385" s="36"/>
    </row>
    <row r="386" spans="1:1">
      <c r="A386" s="36"/>
    </row>
    <row r="387" spans="1:1">
      <c r="A387" s="36"/>
    </row>
    <row r="388" spans="1:1">
      <c r="A388" s="36"/>
    </row>
    <row r="389" spans="1:1">
      <c r="A389" s="36"/>
    </row>
    <row r="390" spans="1:1">
      <c r="A390" s="36"/>
    </row>
    <row r="391" spans="1:1">
      <c r="A391" s="36"/>
    </row>
    <row r="392" spans="1:1">
      <c r="A392" s="36"/>
    </row>
    <row r="393" spans="1:1">
      <c r="A393" s="36"/>
    </row>
    <row r="394" spans="1:1">
      <c r="A394" s="36"/>
    </row>
    <row r="395" spans="1:1">
      <c r="A395" s="36"/>
    </row>
    <row r="396" spans="1:1">
      <c r="A396" s="36"/>
    </row>
    <row r="397" spans="1:1">
      <c r="A397" s="36"/>
    </row>
    <row r="398" spans="1:1">
      <c r="A398" s="36"/>
    </row>
    <row r="399" spans="1:1">
      <c r="A399" s="36"/>
    </row>
    <row r="400" spans="1:1">
      <c r="A400" s="36"/>
    </row>
    <row r="401" spans="1:1">
      <c r="A401" s="36"/>
    </row>
    <row r="402" spans="1:1">
      <c r="A402" s="36"/>
    </row>
    <row r="403" spans="1:1">
      <c r="A403" s="36"/>
    </row>
    <row r="404" spans="1:1">
      <c r="A404" s="36"/>
    </row>
    <row r="405" spans="1:1">
      <c r="A405" s="36"/>
    </row>
    <row r="406" spans="1:1">
      <c r="A406" s="36"/>
    </row>
    <row r="407" spans="1:1">
      <c r="A407" s="36"/>
    </row>
    <row r="408" spans="1:1">
      <c r="A408" s="36"/>
    </row>
    <row r="409" spans="1:1">
      <c r="A409" s="36"/>
    </row>
    <row r="410" spans="1:1">
      <c r="A410" s="36"/>
    </row>
    <row r="411" spans="1:1">
      <c r="A411" s="36"/>
    </row>
    <row r="412" spans="1:1">
      <c r="A412" s="36"/>
    </row>
    <row r="413" spans="1:1">
      <c r="A413" s="36"/>
    </row>
    <row r="414" spans="1:1">
      <c r="A414" s="36"/>
    </row>
    <row r="415" spans="1:1">
      <c r="A415" s="36"/>
    </row>
    <row r="416" spans="1:1">
      <c r="A416" s="36"/>
    </row>
    <row r="417" spans="1:1">
      <c r="A417" s="36"/>
    </row>
    <row r="418" spans="1:1">
      <c r="A418" s="36"/>
    </row>
    <row r="419" spans="1:1">
      <c r="A419" s="36"/>
    </row>
    <row r="420" spans="1:1">
      <c r="A420" s="36"/>
    </row>
    <row r="421" spans="1:1">
      <c r="A421" s="36"/>
    </row>
    <row r="422" spans="1:1">
      <c r="A422" s="36"/>
    </row>
    <row r="423" spans="1:1">
      <c r="A423" s="36"/>
    </row>
    <row r="424" spans="1:1">
      <c r="A424" s="36"/>
    </row>
    <row r="425" spans="1:1">
      <c r="A425" s="36"/>
    </row>
    <row r="426" spans="1:1">
      <c r="A426" s="36"/>
    </row>
    <row r="427" spans="1:1">
      <c r="A427" s="36"/>
    </row>
    <row r="428" spans="1:1">
      <c r="A428" s="36"/>
    </row>
    <row r="429" spans="1:1">
      <c r="A429" s="36"/>
    </row>
    <row r="430" spans="1:1">
      <c r="A430" s="36"/>
    </row>
    <row r="431" spans="1:1">
      <c r="A431" s="36"/>
    </row>
    <row r="432" spans="1:1">
      <c r="A432" s="36"/>
    </row>
    <row r="433" spans="1:1">
      <c r="A433" s="36"/>
    </row>
    <row r="434" spans="1:1">
      <c r="A434" s="36"/>
    </row>
    <row r="435" spans="1:1">
      <c r="A435" s="36"/>
    </row>
    <row r="436" spans="1:1">
      <c r="A436" s="36"/>
    </row>
    <row r="437" spans="1:1">
      <c r="A437" s="36"/>
    </row>
    <row r="438" spans="1:1">
      <c r="A438" s="36"/>
    </row>
    <row r="439" spans="1:1">
      <c r="A439" s="36"/>
    </row>
    <row r="440" spans="1:1">
      <c r="A440" s="36"/>
    </row>
    <row r="441" spans="1:1">
      <c r="A441" s="36"/>
    </row>
    <row r="442" spans="1:1">
      <c r="A442" s="36"/>
    </row>
    <row r="443" spans="1:1">
      <c r="A443" s="36"/>
    </row>
    <row r="444" spans="1:1">
      <c r="A444" s="36"/>
    </row>
    <row r="445" spans="1:1">
      <c r="A445" s="36"/>
    </row>
    <row r="446" spans="1:1">
      <c r="A446" s="36"/>
    </row>
    <row r="447" spans="1:1">
      <c r="A447" s="36"/>
    </row>
    <row r="448" spans="1:1">
      <c r="A448" s="36"/>
    </row>
    <row r="449" spans="1:1">
      <c r="A449" s="36"/>
    </row>
    <row r="450" spans="1:1">
      <c r="A450" s="36"/>
    </row>
    <row r="451" spans="1:1">
      <c r="A451" s="36"/>
    </row>
    <row r="452" spans="1:1">
      <c r="A452" s="36"/>
    </row>
    <row r="453" spans="1:1">
      <c r="A453" s="36"/>
    </row>
    <row r="454" spans="1:1">
      <c r="A454" s="36"/>
    </row>
    <row r="455" spans="1:1">
      <c r="A455" s="36"/>
    </row>
    <row r="456" spans="1:1">
      <c r="A456" s="36"/>
    </row>
    <row r="457" spans="1:1">
      <c r="A457" s="36"/>
    </row>
    <row r="458" spans="1:1">
      <c r="A458" s="36"/>
    </row>
    <row r="459" spans="1:1">
      <c r="A459" s="36"/>
    </row>
    <row r="460" spans="1:1">
      <c r="A460" s="36"/>
    </row>
    <row r="461" spans="1:1">
      <c r="A461" s="36"/>
    </row>
    <row r="462" spans="1:1">
      <c r="A462" s="36"/>
    </row>
    <row r="463" spans="1:1">
      <c r="A463" s="36"/>
    </row>
    <row r="464" spans="1:1">
      <c r="A464" s="36"/>
    </row>
    <row r="465" spans="1:1">
      <c r="A465" s="36"/>
    </row>
    <row r="466" spans="1:1">
      <c r="A466" s="36"/>
    </row>
    <row r="467" spans="1:1">
      <c r="A467" s="36"/>
    </row>
    <row r="468" spans="1:1">
      <c r="A468" s="36"/>
    </row>
    <row r="469" spans="1:1">
      <c r="A469" s="36"/>
    </row>
    <row r="470" spans="1:1">
      <c r="A470" s="36"/>
    </row>
    <row r="471" spans="1:1">
      <c r="A471" s="36"/>
    </row>
    <row r="472" spans="1:1">
      <c r="A472" s="36"/>
    </row>
    <row r="473" spans="1:1">
      <c r="A473" s="36"/>
    </row>
    <row r="474" spans="1:1">
      <c r="A474" s="36"/>
    </row>
    <row r="475" spans="1:1">
      <c r="A475" s="36"/>
    </row>
    <row r="476" spans="1:1">
      <c r="A476" s="36"/>
    </row>
    <row r="477" spans="1:1">
      <c r="A477" s="36"/>
    </row>
    <row r="478" spans="1:1">
      <c r="A478" s="36"/>
    </row>
    <row r="479" spans="1:1">
      <c r="A479" s="36"/>
    </row>
    <row r="480" spans="1:1">
      <c r="A480" s="36"/>
    </row>
    <row r="481" spans="1:1">
      <c r="A481" s="36"/>
    </row>
    <row r="482" spans="1:1">
      <c r="A482" s="36"/>
    </row>
    <row r="483" spans="1:1">
      <c r="A483" s="36"/>
    </row>
    <row r="484" spans="1:1">
      <c r="A484" s="36"/>
    </row>
    <row r="485" spans="1:1">
      <c r="A485" s="36"/>
    </row>
    <row r="486" spans="1:1">
      <c r="A486" s="36"/>
    </row>
    <row r="487" spans="1:1">
      <c r="A487" s="36"/>
    </row>
    <row r="488" spans="1:1">
      <c r="A488" s="36"/>
    </row>
    <row r="489" spans="1:1">
      <c r="A489" s="36"/>
    </row>
    <row r="490" spans="1:1">
      <c r="A490" s="36"/>
    </row>
    <row r="491" spans="1:1">
      <c r="A491" s="36"/>
    </row>
    <row r="492" spans="1:1">
      <c r="A492" s="36"/>
    </row>
    <row r="493" spans="1:1">
      <c r="A493" s="36"/>
    </row>
    <row r="494" spans="1:1">
      <c r="A494" s="36"/>
    </row>
    <row r="495" spans="1:1">
      <c r="A495" s="36"/>
    </row>
    <row r="496" spans="1:1">
      <c r="A496" s="36"/>
    </row>
    <row r="497" spans="1:1">
      <c r="A497" s="36"/>
    </row>
    <row r="498" spans="1:1">
      <c r="A498" s="36"/>
    </row>
    <row r="499" spans="1:1">
      <c r="A499" s="36"/>
    </row>
    <row r="500" spans="1:1">
      <c r="A500" s="36"/>
    </row>
    <row r="501" spans="1:1">
      <c r="A501" s="36"/>
    </row>
    <row r="502" spans="1:1">
      <c r="A502" s="36"/>
    </row>
    <row r="503" spans="1:1">
      <c r="A503" s="36"/>
    </row>
    <row r="504" spans="1:1">
      <c r="A504" s="36"/>
    </row>
    <row r="505" spans="1:1">
      <c r="A505" s="36"/>
    </row>
    <row r="506" spans="1:1">
      <c r="A506" s="36"/>
    </row>
    <row r="507" spans="1:1">
      <c r="A507" s="36"/>
    </row>
    <row r="508" spans="1:1">
      <c r="A508" s="36"/>
    </row>
    <row r="509" spans="1:1">
      <c r="A509" s="36"/>
    </row>
    <row r="510" spans="1:1">
      <c r="A510" s="36"/>
    </row>
    <row r="511" spans="1:1">
      <c r="A511" s="36"/>
    </row>
    <row r="512" spans="1:1">
      <c r="A512" s="36"/>
    </row>
    <row r="513" spans="1:1">
      <c r="A513" s="36"/>
    </row>
    <row r="514" spans="1:1">
      <c r="A514" s="36"/>
    </row>
    <row r="515" spans="1:1">
      <c r="A515" s="36"/>
    </row>
    <row r="516" spans="1:1">
      <c r="A516" s="36"/>
    </row>
    <row r="517" spans="1:1">
      <c r="A517" s="36"/>
    </row>
    <row r="518" spans="1:1">
      <c r="A518" s="36"/>
    </row>
    <row r="519" spans="1:1">
      <c r="A519" s="36"/>
    </row>
    <row r="520" spans="1:1">
      <c r="A520" s="36"/>
    </row>
    <row r="521" spans="1:1">
      <c r="A521" s="36"/>
    </row>
    <row r="522" spans="1:1">
      <c r="A522" s="36"/>
    </row>
    <row r="523" spans="1:1">
      <c r="A523" s="36"/>
    </row>
    <row r="524" spans="1:1">
      <c r="A524" s="36"/>
    </row>
    <row r="525" spans="1:1">
      <c r="A525" s="36"/>
    </row>
    <row r="526" spans="1:1">
      <c r="A526" s="36"/>
    </row>
    <row r="527" spans="1:1">
      <c r="A527" s="36"/>
    </row>
    <row r="528" spans="1:1">
      <c r="A528" s="36"/>
    </row>
    <row r="529" spans="1:1">
      <c r="A529" s="36"/>
    </row>
    <row r="530" spans="1:1">
      <c r="A530" s="36"/>
    </row>
    <row r="531" spans="1:1">
      <c r="A531" s="36"/>
    </row>
    <row r="532" spans="1:1">
      <c r="A532" s="36"/>
    </row>
    <row r="533" spans="1:1">
      <c r="A533" s="36"/>
    </row>
    <row r="534" spans="1:1">
      <c r="A534" s="36"/>
    </row>
    <row r="535" spans="1:1">
      <c r="A535" s="36"/>
    </row>
    <row r="536" spans="1:1">
      <c r="A536" s="36"/>
    </row>
    <row r="537" spans="1:1">
      <c r="A537" s="36"/>
    </row>
    <row r="538" spans="1:1">
      <c r="A538" s="36"/>
    </row>
    <row r="539" spans="1:1">
      <c r="A539" s="36"/>
    </row>
    <row r="540" spans="1:1">
      <c r="A540" s="36"/>
    </row>
    <row r="541" spans="1:1">
      <c r="A541" s="36"/>
    </row>
    <row r="542" spans="1:1">
      <c r="A542" s="36"/>
    </row>
    <row r="543" spans="1:1">
      <c r="A543" s="36"/>
    </row>
    <row r="544" spans="1:1">
      <c r="A544" s="36"/>
    </row>
    <row r="545" spans="1:1">
      <c r="A545" s="36"/>
    </row>
    <row r="546" spans="1:1">
      <c r="A546" s="36"/>
    </row>
    <row r="547" spans="1:1">
      <c r="A547" s="36"/>
    </row>
    <row r="548" spans="1:1">
      <c r="A548" s="36"/>
    </row>
    <row r="549" spans="1:1">
      <c r="A549" s="36"/>
    </row>
    <row r="550" spans="1:1">
      <c r="A550" s="36"/>
    </row>
    <row r="551" spans="1:1">
      <c r="A551" s="36"/>
    </row>
    <row r="552" spans="1:1">
      <c r="A552" s="36"/>
    </row>
    <row r="553" spans="1:1">
      <c r="A553" s="36"/>
    </row>
    <row r="554" spans="1:1">
      <c r="A554" s="36"/>
    </row>
    <row r="555" spans="1:1">
      <c r="A555" s="36"/>
    </row>
    <row r="556" spans="1:1">
      <c r="A556" s="36"/>
    </row>
    <row r="557" spans="1:1">
      <c r="A557" s="36"/>
    </row>
    <row r="558" spans="1:1">
      <c r="A558" s="36"/>
    </row>
    <row r="559" spans="1:1">
      <c r="A559" s="36"/>
    </row>
    <row r="560" spans="1:1">
      <c r="A560" s="36"/>
    </row>
    <row r="561" spans="1:1">
      <c r="A561" s="36"/>
    </row>
    <row r="562" spans="1:1">
      <c r="A562" s="36"/>
    </row>
    <row r="563" spans="1:1">
      <c r="A563" s="36"/>
    </row>
    <row r="564" spans="1:1">
      <c r="A564" s="36"/>
    </row>
    <row r="565" spans="1:1">
      <c r="A565" s="36"/>
    </row>
    <row r="566" spans="1:1">
      <c r="A566" s="36"/>
    </row>
    <row r="567" spans="1:1">
      <c r="A567" s="36"/>
    </row>
    <row r="568" spans="1:1">
      <c r="A568" s="36"/>
    </row>
    <row r="569" spans="1:1">
      <c r="A569" s="36"/>
    </row>
    <row r="570" spans="1:1">
      <c r="A570" s="36"/>
    </row>
    <row r="571" spans="1:1">
      <c r="A571" s="36"/>
    </row>
    <row r="572" spans="1:1">
      <c r="A572" s="36"/>
    </row>
    <row r="573" spans="1:1">
      <c r="A573" s="36"/>
    </row>
    <row r="574" spans="1:1">
      <c r="A574" s="36"/>
    </row>
    <row r="575" spans="1:1">
      <c r="A575" s="36"/>
    </row>
    <row r="576" spans="1:1">
      <c r="A576" s="36"/>
    </row>
    <row r="577" spans="1:1">
      <c r="A577" s="36"/>
    </row>
    <row r="578" spans="1:1">
      <c r="A578" s="36"/>
    </row>
    <row r="579" spans="1:1">
      <c r="A579" s="36"/>
    </row>
    <row r="580" spans="1:1">
      <c r="A580" s="36"/>
    </row>
    <row r="581" spans="1:1">
      <c r="A581" s="36"/>
    </row>
    <row r="582" spans="1:1">
      <c r="A582" s="36"/>
    </row>
    <row r="583" spans="1:1">
      <c r="A583" s="36"/>
    </row>
    <row r="584" spans="1:1">
      <c r="A584" s="36"/>
    </row>
    <row r="585" spans="1:1">
      <c r="A585" s="36"/>
    </row>
    <row r="586" spans="1:1">
      <c r="A586" s="36"/>
    </row>
    <row r="587" spans="1:1">
      <c r="A587" s="36"/>
    </row>
    <row r="588" spans="1:1">
      <c r="A588" s="36"/>
    </row>
    <row r="589" spans="1:1">
      <c r="A589" s="36"/>
    </row>
    <row r="590" spans="1:1">
      <c r="A590" s="36"/>
    </row>
    <row r="591" spans="1:1">
      <c r="A591" s="36"/>
    </row>
    <row r="592" spans="1:1">
      <c r="A592" s="36"/>
    </row>
    <row r="593" spans="1:1">
      <c r="A593" s="36"/>
    </row>
    <row r="594" spans="1:1">
      <c r="A594" s="36"/>
    </row>
    <row r="595" spans="1:1">
      <c r="A595" s="36"/>
    </row>
    <row r="596" spans="1:1">
      <c r="A596" s="36"/>
    </row>
    <row r="597" spans="1:1">
      <c r="A597" s="36"/>
    </row>
    <row r="598" spans="1:1">
      <c r="A598" s="36"/>
    </row>
    <row r="599" spans="1:1">
      <c r="A599" s="36"/>
    </row>
    <row r="600" spans="1:1">
      <c r="A600" s="36"/>
    </row>
    <row r="601" spans="1:1">
      <c r="A601" s="36"/>
    </row>
    <row r="602" spans="1:1">
      <c r="A602" s="36"/>
    </row>
    <row r="603" spans="1:1">
      <c r="A603" s="36"/>
    </row>
    <row r="604" spans="1:1">
      <c r="A604" s="36"/>
    </row>
    <row r="605" spans="1:1">
      <c r="A605" s="36"/>
    </row>
    <row r="606" spans="1:1">
      <c r="A606" s="36"/>
    </row>
    <row r="607" spans="1:1">
      <c r="A607" s="36"/>
    </row>
    <row r="608" spans="1:1">
      <c r="A608" s="36"/>
    </row>
    <row r="609" spans="1:1">
      <c r="A609" s="36"/>
    </row>
    <row r="610" spans="1:1">
      <c r="A610" s="36"/>
    </row>
    <row r="611" spans="1:1">
      <c r="A611" s="36"/>
    </row>
    <row r="612" spans="1:1">
      <c r="A612" s="36"/>
    </row>
    <row r="613" spans="1:1">
      <c r="A613" s="36"/>
    </row>
    <row r="614" spans="1:1">
      <c r="A614" s="36"/>
    </row>
    <row r="615" spans="1:1">
      <c r="A615" s="36"/>
    </row>
    <row r="616" spans="1:1">
      <c r="A616" s="36"/>
    </row>
    <row r="617" spans="1:1">
      <c r="A617" s="36"/>
    </row>
    <row r="618" spans="1:1">
      <c r="A618" s="36"/>
    </row>
    <row r="619" spans="1:1">
      <c r="A619" s="36"/>
    </row>
    <row r="620" spans="1:1">
      <c r="A620" s="36"/>
    </row>
    <row r="621" spans="1:1">
      <c r="A621" s="36"/>
    </row>
    <row r="622" spans="1:1">
      <c r="A622" s="36"/>
    </row>
    <row r="623" spans="1:1">
      <c r="A623" s="36"/>
    </row>
    <row r="624" spans="1:1">
      <c r="A624" s="36"/>
    </row>
    <row r="625" spans="1:1">
      <c r="A625" s="36"/>
    </row>
    <row r="626" spans="1:1">
      <c r="A626" s="36"/>
    </row>
    <row r="627" spans="1:1">
      <c r="A627" s="36"/>
    </row>
    <row r="628" spans="1:1">
      <c r="A628" s="36"/>
    </row>
    <row r="629" spans="1:1">
      <c r="A629" s="36"/>
    </row>
    <row r="630" spans="1:1">
      <c r="A630" s="36"/>
    </row>
    <row r="631" spans="1:1">
      <c r="A631" s="36"/>
    </row>
    <row r="632" spans="1:1">
      <c r="A632" s="36"/>
    </row>
    <row r="633" spans="1:1">
      <c r="A633" s="36"/>
    </row>
    <row r="634" spans="1:1">
      <c r="A634" s="36"/>
    </row>
    <row r="635" spans="1:1">
      <c r="A635" s="36"/>
    </row>
    <row r="636" spans="1:1">
      <c r="A636" s="36"/>
    </row>
    <row r="637" spans="1:1">
      <c r="A637" s="36"/>
    </row>
    <row r="638" spans="1:1">
      <c r="A638" s="36"/>
    </row>
    <row r="639" spans="1:1">
      <c r="A639" s="36"/>
    </row>
    <row r="640" spans="1:1">
      <c r="A640" s="36"/>
    </row>
    <row r="641" spans="1:1">
      <c r="A641" s="36"/>
    </row>
    <row r="642" spans="1:1">
      <c r="A642" s="36"/>
    </row>
    <row r="643" spans="1:1">
      <c r="A643" s="36"/>
    </row>
    <row r="644" spans="1:1">
      <c r="A644" s="36"/>
    </row>
    <row r="645" spans="1:1">
      <c r="A645" s="36"/>
    </row>
    <row r="646" spans="1:1">
      <c r="A646" s="36"/>
    </row>
    <row r="647" spans="1:1">
      <c r="A647" s="36"/>
    </row>
    <row r="648" spans="1:1">
      <c r="A648" s="36"/>
    </row>
    <row r="649" spans="1:1">
      <c r="A649" s="36"/>
    </row>
    <row r="650" spans="1:1">
      <c r="A650" s="36"/>
    </row>
    <row r="651" spans="1:1">
      <c r="A651" s="36"/>
    </row>
    <row r="652" spans="1:1">
      <c r="A652" s="36"/>
    </row>
    <row r="653" spans="1:1">
      <c r="A653" s="36"/>
    </row>
    <row r="654" spans="1:1">
      <c r="A654" s="36"/>
    </row>
    <row r="655" spans="1:1">
      <c r="A655" s="36"/>
    </row>
    <row r="656" spans="1:1">
      <c r="A656" s="36"/>
    </row>
    <row r="657" spans="1:1">
      <c r="A657" s="36"/>
    </row>
    <row r="658" spans="1:1">
      <c r="A658" s="36"/>
    </row>
    <row r="659" spans="1:1">
      <c r="A659" s="36"/>
    </row>
    <row r="660" spans="1:1">
      <c r="A660" s="36"/>
    </row>
    <row r="661" spans="1:1">
      <c r="A661" s="36"/>
    </row>
    <row r="662" spans="1:1">
      <c r="A662" s="36"/>
    </row>
    <row r="663" spans="1:1">
      <c r="A663" s="36"/>
    </row>
    <row r="664" spans="1:1">
      <c r="A664" s="36"/>
    </row>
    <row r="665" spans="1:1">
      <c r="A665" s="36"/>
    </row>
    <row r="666" spans="1:1">
      <c r="A666" s="36"/>
    </row>
    <row r="667" spans="1:1">
      <c r="A667" s="36"/>
    </row>
    <row r="668" spans="1:1">
      <c r="A668" s="36"/>
    </row>
    <row r="669" spans="1:1">
      <c r="A669" s="36"/>
    </row>
    <row r="670" spans="1:1">
      <c r="A670" s="36"/>
    </row>
    <row r="671" spans="1:1">
      <c r="A671" s="36"/>
    </row>
    <row r="672" spans="1:1">
      <c r="A672" s="36"/>
    </row>
    <row r="673" spans="1:1">
      <c r="A673" s="36"/>
    </row>
    <row r="674" spans="1:1">
      <c r="A674" s="36"/>
    </row>
    <row r="675" spans="1:1">
      <c r="A675" s="36"/>
    </row>
    <row r="676" spans="1:1">
      <c r="A676" s="36"/>
    </row>
    <row r="677" spans="1:1">
      <c r="A677" s="36"/>
    </row>
    <row r="678" spans="1:1">
      <c r="A678" s="36"/>
    </row>
    <row r="679" spans="1:1">
      <c r="A679" s="36"/>
    </row>
    <row r="680" spans="1:1">
      <c r="A680" s="36"/>
    </row>
    <row r="681" spans="1:1">
      <c r="A681" s="36"/>
    </row>
    <row r="682" spans="1:1">
      <c r="A682" s="36"/>
    </row>
    <row r="683" spans="1:1">
      <c r="A683" s="36"/>
    </row>
    <row r="684" spans="1:1">
      <c r="A684" s="36"/>
    </row>
    <row r="685" spans="1:1">
      <c r="A685" s="36"/>
    </row>
    <row r="686" spans="1:1">
      <c r="A686" s="36"/>
    </row>
    <row r="687" spans="1:1">
      <c r="A687" s="36"/>
    </row>
    <row r="688" spans="1:1">
      <c r="A688" s="36"/>
    </row>
    <row r="689" spans="1:1">
      <c r="A689" s="36"/>
    </row>
    <row r="690" spans="1:1">
      <c r="A690" s="36"/>
    </row>
    <row r="691" spans="1:1">
      <c r="A691" s="36"/>
    </row>
    <row r="692" spans="1:1">
      <c r="A692" s="36"/>
    </row>
    <row r="693" spans="1:1">
      <c r="A693" s="36"/>
    </row>
    <row r="694" spans="1:1">
      <c r="A694" s="36"/>
    </row>
    <row r="695" spans="1:1">
      <c r="A695" s="36"/>
    </row>
    <row r="696" spans="1:1">
      <c r="A696" s="36"/>
    </row>
    <row r="697" spans="1:1">
      <c r="A697" s="36"/>
    </row>
    <row r="698" spans="1:1">
      <c r="A698" s="36"/>
    </row>
    <row r="699" spans="1:1">
      <c r="A699" s="36"/>
    </row>
    <row r="700" spans="1:1">
      <c r="A700" s="36"/>
    </row>
    <row r="701" spans="1:1">
      <c r="A701" s="36"/>
    </row>
    <row r="702" spans="1:1">
      <c r="A702" s="36"/>
    </row>
    <row r="703" spans="1:1">
      <c r="A703" s="36"/>
    </row>
    <row r="704" spans="1:1">
      <c r="A704" s="36"/>
    </row>
    <row r="705" spans="1:1">
      <c r="A705" s="36"/>
    </row>
    <row r="706" spans="1:1">
      <c r="A706" s="36"/>
    </row>
    <row r="707" spans="1:1">
      <c r="A707" s="36"/>
    </row>
    <row r="708" spans="1:1">
      <c r="A708" s="36"/>
    </row>
    <row r="709" spans="1:1">
      <c r="A709" s="36"/>
    </row>
    <row r="710" spans="1:1">
      <c r="A710" s="36"/>
    </row>
    <row r="711" spans="1:1">
      <c r="A711" s="36"/>
    </row>
    <row r="712" spans="1:1">
      <c r="A712" s="36"/>
    </row>
    <row r="713" spans="1:1">
      <c r="A713" s="36"/>
    </row>
    <row r="714" spans="1:1">
      <c r="A714" s="36"/>
    </row>
    <row r="715" spans="1:1">
      <c r="A715" s="36"/>
    </row>
    <row r="716" spans="1:1">
      <c r="A716" s="36"/>
    </row>
    <row r="717" spans="1:1">
      <c r="A717" s="36"/>
    </row>
    <row r="718" spans="1:1">
      <c r="A718" s="36"/>
    </row>
    <row r="719" spans="1:1">
      <c r="A719" s="36"/>
    </row>
    <row r="720" spans="1:1">
      <c r="A720" s="36"/>
    </row>
    <row r="721" spans="1:1">
      <c r="A721" s="36"/>
    </row>
    <row r="722" spans="1:1">
      <c r="A722" s="36"/>
    </row>
    <row r="723" spans="1:1">
      <c r="A723" s="36"/>
    </row>
    <row r="724" spans="1:1">
      <c r="A724" s="36"/>
    </row>
    <row r="725" spans="1:1">
      <c r="A725" s="36"/>
    </row>
    <row r="726" spans="1:1">
      <c r="A726" s="36"/>
    </row>
    <row r="727" spans="1:1">
      <c r="A727" s="36"/>
    </row>
    <row r="728" spans="1:1">
      <c r="A728" s="36"/>
    </row>
    <row r="729" spans="1:1">
      <c r="A729" s="36"/>
    </row>
    <row r="730" spans="1:1">
      <c r="A730" s="36"/>
    </row>
    <row r="731" spans="1:1">
      <c r="A731" s="36"/>
    </row>
    <row r="732" spans="1:1">
      <c r="A732" s="36"/>
    </row>
    <row r="733" spans="1:1">
      <c r="A733" s="36"/>
    </row>
    <row r="734" spans="1:1">
      <c r="A734" s="36"/>
    </row>
    <row r="735" spans="1:1">
      <c r="A735" s="36"/>
    </row>
    <row r="736" spans="1:1">
      <c r="A736" s="36"/>
    </row>
    <row r="737" spans="1:1">
      <c r="A737" s="36"/>
    </row>
    <row r="738" spans="1:1">
      <c r="A738" s="36"/>
    </row>
    <row r="739" spans="1:1">
      <c r="A739" s="36"/>
    </row>
    <row r="740" spans="1:1">
      <c r="A740" s="36"/>
    </row>
    <row r="741" spans="1:1">
      <c r="A741" s="36"/>
    </row>
    <row r="742" spans="1:1">
      <c r="A742" s="36"/>
    </row>
    <row r="743" spans="1:1">
      <c r="A743" s="36"/>
    </row>
    <row r="744" spans="1:1">
      <c r="A744" s="36"/>
    </row>
    <row r="745" spans="1:1">
      <c r="A745" s="36"/>
    </row>
    <row r="746" spans="1:1">
      <c r="A746" s="36"/>
    </row>
    <row r="747" spans="1:1">
      <c r="A747" s="36"/>
    </row>
    <row r="748" spans="1:1">
      <c r="A748" s="36"/>
    </row>
    <row r="749" spans="1:1">
      <c r="A749" s="36"/>
    </row>
    <row r="750" spans="1:1">
      <c r="A750" s="36"/>
    </row>
    <row r="751" spans="1:1">
      <c r="A751" s="36"/>
    </row>
    <row r="752" spans="1:1">
      <c r="A752" s="36"/>
    </row>
    <row r="753" spans="1:1">
      <c r="A753" s="36"/>
    </row>
    <row r="754" spans="1:1">
      <c r="A754" s="36"/>
    </row>
    <row r="755" spans="1:1">
      <c r="A755" s="36"/>
    </row>
    <row r="756" spans="1:1">
      <c r="A756" s="36"/>
    </row>
    <row r="757" spans="1:1">
      <c r="A757" s="36"/>
    </row>
    <row r="758" spans="1:1">
      <c r="A758" s="36"/>
    </row>
    <row r="759" spans="1:1">
      <c r="A759" s="36"/>
    </row>
    <row r="760" spans="1:1">
      <c r="A760" s="36"/>
    </row>
    <row r="761" spans="1:1">
      <c r="A761" s="36"/>
    </row>
    <row r="762" spans="1:1">
      <c r="A762" s="36"/>
    </row>
    <row r="763" spans="1:1">
      <c r="A763" s="36"/>
    </row>
    <row r="764" spans="1:1">
      <c r="A764" s="36"/>
    </row>
    <row r="765" spans="1:1">
      <c r="A765" s="36"/>
    </row>
    <row r="766" spans="1:1">
      <c r="A766" s="36"/>
    </row>
    <row r="767" spans="1:1">
      <c r="A767" s="36"/>
    </row>
    <row r="768" spans="1:1">
      <c r="A768" s="36"/>
    </row>
    <row r="769" spans="1:1">
      <c r="A769" s="36"/>
    </row>
    <row r="770" spans="1:1">
      <c r="A770" s="36"/>
    </row>
    <row r="771" spans="1:1">
      <c r="A771" s="36"/>
    </row>
    <row r="772" spans="1:1">
      <c r="A772" s="36"/>
    </row>
    <row r="773" spans="1:1">
      <c r="A773" s="36"/>
    </row>
    <row r="774" spans="1:1">
      <c r="A774" s="36"/>
    </row>
    <row r="775" spans="1:1">
      <c r="A775" s="36"/>
    </row>
    <row r="776" spans="1:1">
      <c r="A776" s="36"/>
    </row>
    <row r="777" spans="1:1">
      <c r="A777" s="36"/>
    </row>
    <row r="778" spans="1:1">
      <c r="A778" s="36"/>
    </row>
    <row r="779" spans="1:1">
      <c r="A779" s="36"/>
    </row>
    <row r="780" spans="1:1">
      <c r="A780" s="36"/>
    </row>
    <row r="781" spans="1:1">
      <c r="A781" s="36"/>
    </row>
    <row r="782" spans="1:1">
      <c r="A782" s="36"/>
    </row>
    <row r="783" spans="1:1">
      <c r="A783" s="36"/>
    </row>
    <row r="784" spans="1:1">
      <c r="A784" s="36"/>
    </row>
    <row r="785" spans="1:1">
      <c r="A785" s="36"/>
    </row>
    <row r="786" spans="1:1">
      <c r="A786" s="36"/>
    </row>
    <row r="787" spans="1:1">
      <c r="A787" s="36"/>
    </row>
    <row r="788" spans="1:1">
      <c r="A788" s="36"/>
    </row>
    <row r="789" spans="1:1">
      <c r="A789" s="36"/>
    </row>
    <row r="790" spans="1:1">
      <c r="A790" s="36"/>
    </row>
    <row r="791" spans="1:1">
      <c r="A791" s="36"/>
    </row>
    <row r="792" spans="1:1">
      <c r="A792" s="36"/>
    </row>
    <row r="793" spans="1:1">
      <c r="A793" s="36"/>
    </row>
    <row r="794" spans="1:1">
      <c r="A794" s="36"/>
    </row>
    <row r="795" spans="1:1">
      <c r="A795" s="36"/>
    </row>
    <row r="796" spans="1:1">
      <c r="A796" s="36"/>
    </row>
    <row r="797" spans="1:1">
      <c r="A797" s="36"/>
    </row>
    <row r="798" spans="1:1">
      <c r="A798" s="36"/>
    </row>
    <row r="799" spans="1:1">
      <c r="A799" s="36"/>
    </row>
    <row r="800" spans="1:1">
      <c r="A800" s="36"/>
    </row>
    <row r="801" spans="1:1">
      <c r="A801" s="36"/>
    </row>
    <row r="802" spans="1:1">
      <c r="A802" s="36"/>
    </row>
    <row r="803" spans="1:1">
      <c r="A803" s="36"/>
    </row>
    <row r="804" spans="1:1">
      <c r="A804" s="36"/>
    </row>
    <row r="805" spans="1:1">
      <c r="A805" s="36"/>
    </row>
    <row r="806" spans="1:1">
      <c r="A806" s="36"/>
    </row>
    <row r="807" spans="1:1">
      <c r="A807" s="36"/>
    </row>
    <row r="808" spans="1:1">
      <c r="A808" s="36"/>
    </row>
    <row r="809" spans="1:1">
      <c r="A809" s="36"/>
    </row>
    <row r="810" spans="1:1">
      <c r="A810" s="36"/>
    </row>
    <row r="811" spans="1:1">
      <c r="A811" s="36"/>
    </row>
    <row r="812" spans="1:1">
      <c r="A812" s="36"/>
    </row>
    <row r="813" spans="1:1">
      <c r="A813" s="36"/>
    </row>
    <row r="814" spans="1:1">
      <c r="A814" s="36"/>
    </row>
    <row r="815" spans="1:1">
      <c r="A815" s="36"/>
    </row>
    <row r="816" spans="1:1">
      <c r="A816" s="36"/>
    </row>
    <row r="817" spans="1:1">
      <c r="A817" s="36"/>
    </row>
    <row r="818" spans="1:1">
      <c r="A818" s="36"/>
    </row>
    <row r="819" spans="1:1">
      <c r="A819" s="36"/>
    </row>
    <row r="820" spans="1:1">
      <c r="A820" s="36"/>
    </row>
    <row r="821" spans="1:1">
      <c r="A821" s="36"/>
    </row>
    <row r="822" spans="1:1">
      <c r="A822" s="36"/>
    </row>
    <row r="823" spans="1:1">
      <c r="A823" s="36"/>
    </row>
    <row r="824" spans="1:1">
      <c r="A824" s="36"/>
    </row>
    <row r="825" spans="1:1">
      <c r="A825" s="36"/>
    </row>
    <row r="826" spans="1:1">
      <c r="A826" s="36"/>
    </row>
    <row r="827" spans="1:1">
      <c r="A827" s="36"/>
    </row>
    <row r="828" spans="1:1">
      <c r="A828" s="36"/>
    </row>
    <row r="829" spans="1:1">
      <c r="A829" s="36"/>
    </row>
    <row r="830" spans="1:1">
      <c r="A830" s="36"/>
    </row>
    <row r="831" spans="1:1">
      <c r="A831" s="36"/>
    </row>
    <row r="832" spans="1:1">
      <c r="A832" s="36"/>
    </row>
    <row r="833" spans="1:1">
      <c r="A833" s="36"/>
    </row>
    <row r="834" spans="1:1">
      <c r="A834" s="36"/>
    </row>
    <row r="835" spans="1:1">
      <c r="A835" s="36"/>
    </row>
    <row r="836" spans="1:1">
      <c r="A836" s="36"/>
    </row>
    <row r="837" spans="1:1">
      <c r="A837" s="36"/>
    </row>
    <row r="838" spans="1:1">
      <c r="A838" s="36"/>
    </row>
    <row r="839" spans="1:1">
      <c r="A839" s="36"/>
    </row>
    <row r="840" spans="1:1">
      <c r="A840" s="36"/>
    </row>
    <row r="841" spans="1:1">
      <c r="A841" s="36"/>
    </row>
    <row r="842" spans="1:1">
      <c r="A842" s="36"/>
    </row>
    <row r="843" spans="1:1">
      <c r="A843" s="36"/>
    </row>
    <row r="844" spans="1:1">
      <c r="A844" s="36"/>
    </row>
    <row r="845" spans="1:1">
      <c r="A845" s="36"/>
    </row>
    <row r="846" spans="1:1">
      <c r="A846" s="36"/>
    </row>
    <row r="847" spans="1:1">
      <c r="A847" s="36"/>
    </row>
    <row r="848" spans="1:1">
      <c r="A848" s="36"/>
    </row>
    <row r="849" spans="1:1">
      <c r="A849" s="36"/>
    </row>
    <row r="850" spans="1:1">
      <c r="A850" s="36"/>
    </row>
    <row r="851" spans="1:1">
      <c r="A851" s="36"/>
    </row>
    <row r="852" spans="1:1">
      <c r="A852" s="36"/>
    </row>
    <row r="853" spans="1:1">
      <c r="A853" s="36"/>
    </row>
    <row r="854" spans="1:1">
      <c r="A854" s="36"/>
    </row>
    <row r="855" spans="1:1">
      <c r="A855" s="36"/>
    </row>
    <row r="856" spans="1:1">
      <c r="A856" s="36"/>
    </row>
    <row r="857" spans="1:1">
      <c r="A857" s="36"/>
    </row>
    <row r="858" spans="1:1">
      <c r="A858" s="36"/>
    </row>
    <row r="859" spans="1:1">
      <c r="A859" s="36"/>
    </row>
    <row r="860" spans="1:1">
      <c r="A860" s="36"/>
    </row>
    <row r="861" spans="1:1">
      <c r="A861" s="36"/>
    </row>
    <row r="862" spans="1:1">
      <c r="A862" s="36"/>
    </row>
    <row r="863" spans="1:1">
      <c r="A863" s="36"/>
    </row>
    <row r="864" spans="1:1">
      <c r="A864" s="36"/>
    </row>
    <row r="865" spans="1:1">
      <c r="A865" s="36"/>
    </row>
    <row r="866" spans="1:1">
      <c r="A866" s="36"/>
    </row>
    <row r="867" spans="1:1">
      <c r="A867" s="36"/>
    </row>
    <row r="868" spans="1:1">
      <c r="A868" s="36"/>
    </row>
    <row r="869" spans="1:1">
      <c r="A869" s="36"/>
    </row>
    <row r="870" spans="1:1">
      <c r="A870" s="36"/>
    </row>
    <row r="871" spans="1:1">
      <c r="A871" s="36"/>
    </row>
    <row r="872" spans="1:1">
      <c r="A872" s="36"/>
    </row>
    <row r="873" spans="1:1">
      <c r="A873" s="36"/>
    </row>
    <row r="874" spans="1:1">
      <c r="A874" s="36"/>
    </row>
    <row r="875" spans="1:1">
      <c r="A875" s="36"/>
    </row>
    <row r="876" spans="1:1">
      <c r="A876" s="36"/>
    </row>
    <row r="877" spans="1:1">
      <c r="A877" s="36"/>
    </row>
    <row r="878" spans="1:1">
      <c r="A878" s="36"/>
    </row>
    <row r="879" spans="1:1">
      <c r="A879" s="36"/>
    </row>
    <row r="880" spans="1:1">
      <c r="A880" s="36"/>
    </row>
    <row r="881" spans="1:1">
      <c r="A881" s="36"/>
    </row>
    <row r="882" spans="1:1">
      <c r="A882" s="36"/>
    </row>
    <row r="883" spans="1:1">
      <c r="A883" s="36"/>
    </row>
    <row r="884" spans="1:1">
      <c r="A884" s="36"/>
    </row>
    <row r="885" spans="1:1">
      <c r="A885" s="36"/>
    </row>
    <row r="886" spans="1:1">
      <c r="A886" s="36"/>
    </row>
    <row r="887" spans="1:1">
      <c r="A887" s="36"/>
    </row>
    <row r="888" spans="1:1">
      <c r="A888" s="36"/>
    </row>
    <row r="889" spans="1:1">
      <c r="A889" s="36"/>
    </row>
    <row r="890" spans="1:1">
      <c r="A890" s="36"/>
    </row>
    <row r="891" spans="1:1">
      <c r="A891" s="36"/>
    </row>
    <row r="892" spans="1:1">
      <c r="A892" s="36"/>
    </row>
    <row r="893" spans="1:1">
      <c r="A893" s="36"/>
    </row>
    <row r="894" spans="1:1">
      <c r="A894" s="36"/>
    </row>
    <row r="895" spans="1:1">
      <c r="A895" s="36"/>
    </row>
    <row r="896" spans="1:1">
      <c r="A896" s="36"/>
    </row>
    <row r="897" spans="1:1">
      <c r="A897" s="36"/>
    </row>
    <row r="898" spans="1:1">
      <c r="A898" s="36"/>
    </row>
    <row r="899" spans="1:1">
      <c r="A899" s="36"/>
    </row>
    <row r="900" spans="1:1">
      <c r="A900" s="36"/>
    </row>
    <row r="901" spans="1:1">
      <c r="A901" s="36"/>
    </row>
    <row r="902" spans="1:1">
      <c r="A902" s="36"/>
    </row>
    <row r="903" spans="1:1">
      <c r="A903" s="36"/>
    </row>
    <row r="904" spans="1:1">
      <c r="A904" s="36"/>
    </row>
    <row r="905" spans="1:1">
      <c r="A905" s="36"/>
    </row>
    <row r="906" spans="1:1">
      <c r="A906" s="36"/>
    </row>
    <row r="907" spans="1:1">
      <c r="A907" s="36"/>
    </row>
    <row r="908" spans="1:1">
      <c r="A908" s="36"/>
    </row>
    <row r="909" spans="1:1">
      <c r="A909" s="36"/>
    </row>
    <row r="910" spans="1:1">
      <c r="A910" s="36"/>
    </row>
    <row r="911" spans="1:1">
      <c r="A911" s="36"/>
    </row>
    <row r="912" spans="1:1">
      <c r="A912" s="36"/>
    </row>
    <row r="913" spans="1:1">
      <c r="A913" s="36"/>
    </row>
    <row r="914" spans="1:1">
      <c r="A914" s="36"/>
    </row>
    <row r="915" spans="1:1">
      <c r="A915" s="36"/>
    </row>
    <row r="916" spans="1:1">
      <c r="A916" s="36"/>
    </row>
    <row r="917" spans="1:1">
      <c r="A917" s="36"/>
    </row>
    <row r="918" spans="1:1">
      <c r="A918" s="36"/>
    </row>
    <row r="919" spans="1:1">
      <c r="A919" s="36"/>
    </row>
    <row r="920" spans="1:1">
      <c r="A920" s="36"/>
    </row>
    <row r="921" spans="1:1">
      <c r="A921" s="36"/>
    </row>
    <row r="922" spans="1:1">
      <c r="A922" s="36"/>
    </row>
    <row r="923" spans="1:1">
      <c r="A923" s="36"/>
    </row>
    <row r="924" spans="1:1">
      <c r="A924" s="36"/>
    </row>
    <row r="925" spans="1:1">
      <c r="A925" s="36"/>
    </row>
    <row r="926" spans="1:1">
      <c r="A926" s="36"/>
    </row>
    <row r="927" spans="1:1">
      <c r="A927" s="36"/>
    </row>
    <row r="928" spans="1:1">
      <c r="A928" s="36"/>
    </row>
    <row r="929" spans="1:1">
      <c r="A929" s="36"/>
    </row>
    <row r="930" spans="1:1">
      <c r="A930" s="36"/>
    </row>
    <row r="931" spans="1:1">
      <c r="A931" s="36"/>
    </row>
    <row r="932" spans="1:1">
      <c r="A932" s="36"/>
    </row>
    <row r="933" spans="1:1">
      <c r="A933" s="36"/>
    </row>
    <row r="934" spans="1:1">
      <c r="A934" s="36"/>
    </row>
    <row r="935" spans="1:1">
      <c r="A935" s="36"/>
    </row>
    <row r="936" spans="1:1">
      <c r="A936" s="36"/>
    </row>
    <row r="937" spans="1:1">
      <c r="A937" s="36"/>
    </row>
    <row r="938" spans="1:1">
      <c r="A938" s="36"/>
    </row>
    <row r="939" spans="1:1">
      <c r="A939" s="36"/>
    </row>
    <row r="940" spans="1:1">
      <c r="A940" s="36"/>
    </row>
    <row r="941" spans="1:1">
      <c r="A941" s="36"/>
    </row>
    <row r="942" spans="1:1">
      <c r="A942" s="36"/>
    </row>
    <row r="943" spans="1:1">
      <c r="A943" s="36"/>
    </row>
    <row r="944" spans="1:1">
      <c r="A944" s="36"/>
    </row>
    <row r="945" spans="1:1">
      <c r="A945" s="36"/>
    </row>
    <row r="946" spans="1:1">
      <c r="A946" s="36"/>
    </row>
    <row r="947" spans="1:1">
      <c r="A947" s="36"/>
    </row>
    <row r="948" spans="1:1">
      <c r="A948" s="36"/>
    </row>
    <row r="949" spans="1:1">
      <c r="A949" s="36"/>
    </row>
    <row r="950" spans="1:1">
      <c r="A950" s="36"/>
    </row>
    <row r="951" spans="1:1">
      <c r="A951" s="36"/>
    </row>
    <row r="952" spans="1:1">
      <c r="A952" s="36"/>
    </row>
    <row r="953" spans="1:1">
      <c r="A953" s="36"/>
    </row>
    <row r="954" spans="1:1">
      <c r="A954" s="36"/>
    </row>
    <row r="955" spans="1:1">
      <c r="A955" s="36"/>
    </row>
    <row r="956" spans="1:1">
      <c r="A956" s="36"/>
    </row>
    <row r="957" spans="1:1">
      <c r="A957" s="36"/>
    </row>
    <row r="958" spans="1:1">
      <c r="A958" s="36"/>
    </row>
    <row r="959" spans="1:1">
      <c r="A959" s="36"/>
    </row>
    <row r="960" spans="1:1">
      <c r="A960" s="36"/>
    </row>
    <row r="961" spans="1:1">
      <c r="A961" s="36"/>
    </row>
    <row r="962" spans="1:1">
      <c r="A962" s="36"/>
    </row>
    <row r="963" spans="1:1">
      <c r="A963" s="36"/>
    </row>
    <row r="964" spans="1:1">
      <c r="A964" s="36"/>
    </row>
    <row r="965" spans="1:1">
      <c r="A965" s="36"/>
    </row>
    <row r="966" spans="1:1">
      <c r="A966" s="36"/>
    </row>
    <row r="967" spans="1:1">
      <c r="A967" s="36"/>
    </row>
    <row r="968" spans="1:1">
      <c r="A968" s="36"/>
    </row>
    <row r="969" spans="1:1">
      <c r="A969" s="36"/>
    </row>
    <row r="970" spans="1:1">
      <c r="A970" s="36"/>
    </row>
    <row r="971" spans="1:1">
      <c r="A971" s="36"/>
    </row>
    <row r="972" spans="1:1">
      <c r="A972" s="36"/>
    </row>
    <row r="973" spans="1:1">
      <c r="A973" s="36"/>
    </row>
    <row r="974" spans="1:1">
      <c r="A974" s="36"/>
    </row>
    <row r="975" spans="1:1">
      <c r="A975" s="36"/>
    </row>
    <row r="976" spans="1:1">
      <c r="A976" s="36"/>
    </row>
    <row r="977" spans="1:1">
      <c r="A977" s="36"/>
    </row>
    <row r="978" spans="1:1">
      <c r="A978" s="36"/>
    </row>
    <row r="979" spans="1:1">
      <c r="A979" s="36"/>
    </row>
    <row r="980" spans="1:1">
      <c r="A980" s="36"/>
    </row>
    <row r="981" spans="1:1">
      <c r="A981" s="36"/>
    </row>
    <row r="982" spans="1:1">
      <c r="A982" s="36"/>
    </row>
    <row r="983" spans="1:1">
      <c r="A983" s="36"/>
    </row>
    <row r="984" spans="1:1">
      <c r="A984" s="36"/>
    </row>
    <row r="985" spans="1:1">
      <c r="A985" s="36"/>
    </row>
    <row r="986" spans="1:1">
      <c r="A986" s="36"/>
    </row>
    <row r="987" spans="1:1">
      <c r="A987" s="36"/>
    </row>
    <row r="988" spans="1:1">
      <c r="A988" s="36"/>
    </row>
    <row r="989" spans="1:1">
      <c r="A989" s="36"/>
    </row>
    <row r="990" spans="1:1">
      <c r="A990" s="36"/>
    </row>
    <row r="991" spans="1:1">
      <c r="A991" s="36"/>
    </row>
    <row r="992" spans="1:1">
      <c r="A992" s="36"/>
    </row>
    <row r="993" spans="1:1">
      <c r="A993" s="36"/>
    </row>
    <row r="994" spans="1:1">
      <c r="A994" s="36"/>
    </row>
    <row r="995" spans="1:1">
      <c r="A995" s="36"/>
    </row>
    <row r="996" spans="1:1">
      <c r="A996" s="36"/>
    </row>
    <row r="997" spans="1:1">
      <c r="A997" s="36"/>
    </row>
    <row r="998" spans="1:1">
      <c r="A998" s="36"/>
    </row>
    <row r="999" spans="1:1">
      <c r="A999" s="36"/>
    </row>
    <row r="1000" spans="1:1">
      <c r="A1000" s="36"/>
    </row>
    <row r="1001" spans="1:1">
      <c r="A1001" s="36"/>
    </row>
    <row r="1002" spans="1:1">
      <c r="A1002" s="36"/>
    </row>
    <row r="1003" spans="1:1">
      <c r="A1003" s="36"/>
    </row>
    <row r="1004" spans="1:1">
      <c r="A1004" s="36"/>
    </row>
    <row r="1005" spans="1:1">
      <c r="A1005" s="36"/>
    </row>
    <row r="1006" spans="1:1">
      <c r="A1006" s="36"/>
    </row>
    <row r="1007" spans="1:1">
      <c r="A1007" s="36"/>
    </row>
    <row r="1008" spans="1:1">
      <c r="A1008" s="36"/>
    </row>
    <row r="1009" spans="1:1">
      <c r="A1009" s="36"/>
    </row>
    <row r="1010" spans="1:1">
      <c r="A1010" s="36"/>
    </row>
    <row r="1011" spans="1:1">
      <c r="A1011" s="36"/>
    </row>
    <row r="1012" spans="1:1">
      <c r="A1012" s="36"/>
    </row>
    <row r="1013" spans="1:1">
      <c r="A1013" s="36"/>
    </row>
    <row r="1014" spans="1:1">
      <c r="A1014" s="36"/>
    </row>
    <row r="1015" spans="1:1">
      <c r="A1015" s="36"/>
    </row>
    <row r="1016" spans="1:1">
      <c r="A1016" s="36"/>
    </row>
    <row r="1017" spans="1:1">
      <c r="A1017" s="36"/>
    </row>
    <row r="1018" spans="1:1">
      <c r="A1018" s="36"/>
    </row>
    <row r="1019" spans="1:1">
      <c r="A1019" s="36"/>
    </row>
    <row r="1020" spans="1:1">
      <c r="A1020" s="36"/>
    </row>
    <row r="1021" spans="1:1">
      <c r="A1021" s="36"/>
    </row>
    <row r="1022" spans="1:1">
      <c r="A1022" s="36"/>
    </row>
    <row r="1023" spans="1:1">
      <c r="A1023" s="36"/>
    </row>
    <row r="1024" spans="1:1">
      <c r="A1024" s="36"/>
    </row>
    <row r="1025" spans="1:1">
      <c r="A1025" s="36"/>
    </row>
    <row r="1026" spans="1:1">
      <c r="A1026" s="36"/>
    </row>
    <row r="1027" spans="1:1">
      <c r="A1027" s="36"/>
    </row>
    <row r="1028" spans="1:1">
      <c r="A1028" s="36"/>
    </row>
    <row r="1029" spans="1:1">
      <c r="A1029" s="36"/>
    </row>
    <row r="1030" spans="1:1">
      <c r="A1030" s="36"/>
    </row>
    <row r="1031" spans="1:1">
      <c r="A1031" s="36"/>
    </row>
    <row r="1032" spans="1:1">
      <c r="A1032" s="36"/>
    </row>
    <row r="1033" spans="1:1">
      <c r="A1033" s="36"/>
    </row>
    <row r="1034" spans="1:1">
      <c r="A1034" s="36"/>
    </row>
    <row r="1035" spans="1:1">
      <c r="A1035" s="36"/>
    </row>
    <row r="1036" spans="1:1">
      <c r="A1036" s="36"/>
    </row>
    <row r="1037" spans="1:1">
      <c r="A1037" s="36"/>
    </row>
    <row r="1038" spans="1:1">
      <c r="A1038" s="36"/>
    </row>
    <row r="1039" spans="1:1">
      <c r="A1039" s="36"/>
    </row>
    <row r="1040" spans="1:1">
      <c r="A1040" s="36"/>
    </row>
    <row r="1041" spans="1:1">
      <c r="A1041" s="36"/>
    </row>
    <row r="1042" spans="1:1">
      <c r="A1042" s="36"/>
    </row>
    <row r="1043" spans="1:1">
      <c r="A1043" s="36"/>
    </row>
    <row r="1044" spans="1:1">
      <c r="A1044" s="36"/>
    </row>
    <row r="1045" spans="1:1">
      <c r="A1045" s="36"/>
    </row>
    <row r="1046" spans="1:1">
      <c r="A1046" s="36"/>
    </row>
    <row r="1047" spans="1:1">
      <c r="A1047" s="36"/>
    </row>
    <row r="1048" spans="1:1">
      <c r="A1048" s="36"/>
    </row>
    <row r="1049" spans="1:1">
      <c r="A1049" s="36"/>
    </row>
    <row r="1050" spans="1:1">
      <c r="A1050" s="36"/>
    </row>
    <row r="1051" spans="1:1">
      <c r="A1051" s="36"/>
    </row>
    <row r="1052" spans="1:1">
      <c r="A1052" s="36"/>
    </row>
    <row r="1053" spans="1:1">
      <c r="A1053" s="36"/>
    </row>
    <row r="1054" spans="1:1">
      <c r="A1054" s="36"/>
    </row>
    <row r="1055" spans="1:1">
      <c r="A1055" s="36"/>
    </row>
    <row r="1056" spans="1:1">
      <c r="A1056" s="36"/>
    </row>
    <row r="1057" spans="1:1">
      <c r="A1057" s="36"/>
    </row>
    <row r="1058" spans="1:1">
      <c r="A1058" s="36"/>
    </row>
    <row r="1059" spans="1:1">
      <c r="A1059" s="36"/>
    </row>
    <row r="1060" spans="1:1">
      <c r="A1060" s="36"/>
    </row>
    <row r="1061" spans="1:1">
      <c r="A1061" s="36"/>
    </row>
    <row r="1062" spans="1:1">
      <c r="A1062" s="36"/>
    </row>
    <row r="1063" spans="1:1">
      <c r="A1063" s="36"/>
    </row>
    <row r="1064" spans="1:1">
      <c r="A1064" s="36"/>
    </row>
    <row r="1065" spans="1:1">
      <c r="A1065" s="36"/>
    </row>
    <row r="1066" spans="1:1">
      <c r="A1066" s="36"/>
    </row>
    <row r="1067" spans="1:1">
      <c r="A1067" s="36"/>
    </row>
    <row r="1068" spans="1:1">
      <c r="A1068" s="36"/>
    </row>
    <row r="1069" spans="1:1">
      <c r="A1069" s="36"/>
    </row>
    <row r="1070" spans="1:1">
      <c r="A1070" s="36"/>
    </row>
    <row r="1071" spans="1:1">
      <c r="A1071" s="36"/>
    </row>
    <row r="1072" spans="1:1">
      <c r="A1072" s="36"/>
    </row>
    <row r="1073" spans="1:1">
      <c r="A1073" s="36"/>
    </row>
    <row r="1074" spans="1:1">
      <c r="A1074" s="36"/>
    </row>
    <row r="1075" spans="1:1">
      <c r="A1075" s="36"/>
    </row>
    <row r="1076" spans="1:1">
      <c r="A1076" s="36"/>
    </row>
    <row r="1077" spans="1:1">
      <c r="A1077" s="36"/>
    </row>
    <row r="1078" spans="1:1">
      <c r="A1078" s="36"/>
    </row>
    <row r="1079" spans="1:1">
      <c r="A1079" s="36"/>
    </row>
    <row r="1080" spans="1:1">
      <c r="A1080" s="36"/>
    </row>
    <row r="1081" spans="1:1">
      <c r="A1081" s="36"/>
    </row>
    <row r="1082" spans="1:1">
      <c r="A1082" s="36"/>
    </row>
    <row r="1083" spans="1:1">
      <c r="A1083" s="36"/>
    </row>
    <row r="1084" spans="1:1">
      <c r="A1084" s="36"/>
    </row>
    <row r="1085" spans="1:1">
      <c r="A1085" s="36"/>
    </row>
    <row r="1086" spans="1:1">
      <c r="A1086" s="36"/>
    </row>
    <row r="1087" spans="1:1">
      <c r="A1087" s="36"/>
    </row>
    <row r="1088" spans="1:1">
      <c r="A1088" s="36"/>
    </row>
    <row r="1089" spans="1:1">
      <c r="A1089" s="36"/>
    </row>
    <row r="1090" spans="1:1">
      <c r="A1090" s="36"/>
    </row>
    <row r="1091" spans="1:1">
      <c r="A1091" s="36"/>
    </row>
    <row r="1092" spans="1:1">
      <c r="A1092" s="36"/>
    </row>
    <row r="1093" spans="1:1">
      <c r="A1093" s="36"/>
    </row>
    <row r="1094" spans="1:1">
      <c r="A1094" s="36"/>
    </row>
    <row r="1095" spans="1:1">
      <c r="A1095" s="36"/>
    </row>
    <row r="1096" spans="1:1">
      <c r="A1096" s="36"/>
    </row>
    <row r="1097" spans="1:1">
      <c r="A1097" s="36"/>
    </row>
    <row r="1098" spans="1:1">
      <c r="A1098" s="36"/>
    </row>
    <row r="1099" spans="1:1">
      <c r="A1099" s="36"/>
    </row>
    <row r="1100" spans="1:1">
      <c r="A1100" s="36"/>
    </row>
    <row r="1101" spans="1:1">
      <c r="A1101" s="36"/>
    </row>
    <row r="1102" spans="1:1">
      <c r="A1102" s="36"/>
    </row>
    <row r="1103" spans="1:1">
      <c r="A1103" s="36"/>
    </row>
    <row r="1104" spans="1:1">
      <c r="A1104" s="36"/>
    </row>
    <row r="1105" spans="1:1">
      <c r="A1105" s="36"/>
    </row>
    <row r="1106" spans="1:1">
      <c r="A1106" s="36"/>
    </row>
    <row r="1107" spans="1:1">
      <c r="A1107" s="36"/>
    </row>
    <row r="1108" spans="1:1">
      <c r="A1108" s="36"/>
    </row>
    <row r="1109" spans="1:1">
      <c r="A1109" s="36"/>
    </row>
    <row r="1110" spans="1:1">
      <c r="A1110" s="36"/>
    </row>
    <row r="1111" spans="1:1">
      <c r="A1111" s="36"/>
    </row>
    <row r="1112" spans="1:1">
      <c r="A1112" s="36"/>
    </row>
    <row r="1113" spans="1:1">
      <c r="A1113" s="36"/>
    </row>
    <row r="1114" spans="1:1">
      <c r="A1114" s="36"/>
    </row>
    <row r="1115" spans="1:1">
      <c r="A1115" s="36"/>
    </row>
    <row r="1116" spans="1:1">
      <c r="A1116" s="36"/>
    </row>
    <row r="1117" spans="1:1">
      <c r="A1117" s="36"/>
    </row>
    <row r="1118" spans="1:1">
      <c r="A1118" s="36"/>
    </row>
    <row r="1119" spans="1:1">
      <c r="A1119" s="36"/>
    </row>
    <row r="1120" spans="1:1">
      <c r="A1120" s="36"/>
    </row>
    <row r="1121" spans="1:1">
      <c r="A1121" s="36"/>
    </row>
    <row r="1122" spans="1:1">
      <c r="A1122" s="36"/>
    </row>
    <row r="1123" spans="1:1">
      <c r="A1123" s="36"/>
    </row>
    <row r="1124" spans="1:1">
      <c r="A1124" s="36"/>
    </row>
    <row r="1125" spans="1:1">
      <c r="A1125" s="36"/>
    </row>
    <row r="1126" spans="1:1">
      <c r="A1126" s="36"/>
    </row>
    <row r="1127" spans="1:1">
      <c r="A1127" s="36"/>
    </row>
    <row r="1128" spans="1:1">
      <c r="A1128" s="36"/>
    </row>
    <row r="1129" spans="1:1">
      <c r="A1129" s="36"/>
    </row>
    <row r="1130" spans="1:1">
      <c r="A1130" s="36"/>
    </row>
    <row r="1131" spans="1:1">
      <c r="A1131" s="36"/>
    </row>
    <row r="1132" spans="1:1">
      <c r="A1132" s="36"/>
    </row>
    <row r="1133" spans="1:1">
      <c r="A1133" s="36"/>
    </row>
    <row r="1134" spans="1:1">
      <c r="A1134" s="36"/>
    </row>
    <row r="1135" spans="1:1">
      <c r="A1135" s="36"/>
    </row>
    <row r="1136" spans="1:1">
      <c r="A1136" s="36"/>
    </row>
    <row r="1137" spans="1:1">
      <c r="A1137" s="36"/>
    </row>
    <row r="1138" spans="1:1">
      <c r="A1138" s="36"/>
    </row>
    <row r="1139" spans="1:1">
      <c r="A1139" s="36"/>
    </row>
    <row r="1140" spans="1:1">
      <c r="A1140" s="36"/>
    </row>
    <row r="1141" spans="1:1">
      <c r="A1141" s="36"/>
    </row>
    <row r="1142" spans="1:1">
      <c r="A1142" s="36"/>
    </row>
    <row r="1143" spans="1:1">
      <c r="A1143" s="36"/>
    </row>
    <row r="1144" spans="1:1">
      <c r="A1144" s="36"/>
    </row>
    <row r="1145" spans="1:1">
      <c r="A1145" s="36"/>
    </row>
    <row r="1146" spans="1:1">
      <c r="A1146" s="36"/>
    </row>
    <row r="1147" spans="1:1">
      <c r="A1147" s="36"/>
    </row>
    <row r="1148" spans="1:1">
      <c r="A1148" s="36"/>
    </row>
    <row r="1149" spans="1:1">
      <c r="A1149" s="36"/>
    </row>
    <row r="1150" spans="1:1">
      <c r="A1150" s="36"/>
    </row>
    <row r="1151" spans="1:1">
      <c r="A1151" s="36"/>
    </row>
    <row r="1152" spans="1:1">
      <c r="A1152" s="36"/>
    </row>
    <row r="1153" spans="1:1">
      <c r="A1153" s="36"/>
    </row>
    <row r="1154" spans="1:1">
      <c r="A1154" s="36"/>
    </row>
    <row r="1155" spans="1:1">
      <c r="A1155" s="36"/>
    </row>
    <row r="1156" spans="1:1">
      <c r="A1156" s="36"/>
    </row>
    <row r="1157" spans="1:1">
      <c r="A1157" s="36"/>
    </row>
    <row r="1158" spans="1:1">
      <c r="A1158" s="36"/>
    </row>
    <row r="1159" spans="1:1">
      <c r="A1159" s="36"/>
    </row>
    <row r="1160" spans="1:1">
      <c r="A1160" s="36"/>
    </row>
    <row r="1161" spans="1:1">
      <c r="A1161" s="36"/>
    </row>
    <row r="1162" spans="1:1">
      <c r="A1162" s="36"/>
    </row>
    <row r="1163" spans="1:1">
      <c r="A1163" s="36"/>
    </row>
    <row r="1164" spans="1:1">
      <c r="A1164" s="36"/>
    </row>
    <row r="1165" spans="1:1">
      <c r="A1165" s="36"/>
    </row>
    <row r="1166" spans="1:1">
      <c r="A1166" s="36"/>
    </row>
    <row r="1167" spans="1:1">
      <c r="A1167" s="36"/>
    </row>
    <row r="1168" spans="1:1">
      <c r="A1168" s="36"/>
    </row>
    <row r="1169" spans="1:1">
      <c r="A1169" s="36"/>
    </row>
    <row r="1170" spans="1:1">
      <c r="A1170" s="36"/>
    </row>
    <row r="1171" spans="1:1">
      <c r="A1171" s="36"/>
    </row>
    <row r="1172" spans="1:1">
      <c r="A1172" s="36"/>
    </row>
    <row r="1173" spans="1:1">
      <c r="A1173" s="36"/>
    </row>
    <row r="1174" spans="1:1">
      <c r="A1174" s="36"/>
    </row>
    <row r="1175" spans="1:1">
      <c r="A1175" s="36"/>
    </row>
    <row r="1176" spans="1:1">
      <c r="A1176" s="36"/>
    </row>
    <row r="1177" spans="1:1">
      <c r="A1177" s="36"/>
    </row>
    <row r="1178" spans="1:1">
      <c r="A1178" s="36"/>
    </row>
    <row r="1179" spans="1:1">
      <c r="A1179" s="36"/>
    </row>
    <row r="1180" spans="1:1">
      <c r="A1180" s="36"/>
    </row>
    <row r="1181" spans="1:1">
      <c r="A1181" s="36"/>
    </row>
    <row r="1182" spans="1:1">
      <c r="A1182" s="36"/>
    </row>
    <row r="1183" spans="1:1">
      <c r="A1183" s="36"/>
    </row>
    <row r="1184" spans="1:1">
      <c r="A1184" s="36"/>
    </row>
    <row r="1185" spans="1:1">
      <c r="A1185" s="36"/>
    </row>
    <row r="1186" spans="1:1">
      <c r="A1186" s="36"/>
    </row>
    <row r="1187" spans="1:1">
      <c r="A1187" s="36"/>
    </row>
    <row r="1188" spans="1:1">
      <c r="A1188" s="36"/>
    </row>
    <row r="1189" spans="1:1">
      <c r="A1189" s="36"/>
    </row>
    <row r="1190" spans="1:1">
      <c r="A1190" s="36"/>
    </row>
    <row r="1191" spans="1:1">
      <c r="A1191" s="36"/>
    </row>
    <row r="1192" spans="1:1">
      <c r="A1192" s="36"/>
    </row>
    <row r="1193" spans="1:1">
      <c r="A1193" s="36"/>
    </row>
    <row r="1194" spans="1:1">
      <c r="A1194" s="36"/>
    </row>
    <row r="1195" spans="1:1">
      <c r="A1195" s="36"/>
    </row>
    <row r="1196" spans="1:1">
      <c r="A1196" s="36"/>
    </row>
    <row r="1197" spans="1:1">
      <c r="A1197" s="36"/>
    </row>
    <row r="1198" spans="1:1">
      <c r="A1198" s="36"/>
    </row>
    <row r="1199" spans="1:1">
      <c r="A1199" s="36"/>
    </row>
    <row r="1200" spans="1:1">
      <c r="A1200" s="36"/>
    </row>
    <row r="1201" spans="1:1">
      <c r="A1201" s="36"/>
    </row>
    <row r="1202" spans="1:1">
      <c r="A1202" s="36"/>
    </row>
    <row r="1203" spans="1:1">
      <c r="A1203" s="36"/>
    </row>
    <row r="1204" spans="1:1">
      <c r="A1204" s="36"/>
    </row>
    <row r="1205" spans="1:1">
      <c r="A1205" s="36"/>
    </row>
    <row r="1206" spans="1:1">
      <c r="A1206" s="36"/>
    </row>
    <row r="1207" spans="1:1">
      <c r="A1207" s="36"/>
    </row>
    <row r="1208" spans="1:1">
      <c r="A1208" s="36"/>
    </row>
    <row r="1209" spans="1:1">
      <c r="A1209" s="36"/>
    </row>
    <row r="1210" spans="1:1">
      <c r="A1210" s="36"/>
    </row>
    <row r="1211" spans="1:1">
      <c r="A1211" s="36"/>
    </row>
    <row r="1212" spans="1:1">
      <c r="A1212" s="36"/>
    </row>
    <row r="1213" spans="1:1">
      <c r="A1213" s="36"/>
    </row>
    <row r="1214" spans="1:1">
      <c r="A1214" s="36"/>
    </row>
    <row r="1215" spans="1:1">
      <c r="A1215" s="36"/>
    </row>
    <row r="1216" spans="1:1">
      <c r="A1216" s="36"/>
    </row>
    <row r="1217" spans="1:1">
      <c r="A1217" s="36"/>
    </row>
    <row r="1218" spans="1:1">
      <c r="A1218" s="36"/>
    </row>
    <row r="1219" spans="1:1">
      <c r="A1219" s="36"/>
    </row>
    <row r="1220" spans="1:1">
      <c r="A1220" s="36"/>
    </row>
    <row r="1221" spans="1:1">
      <c r="A1221" s="36"/>
    </row>
    <row r="1222" spans="1:1">
      <c r="A1222" s="36"/>
    </row>
    <row r="1223" spans="1:1">
      <c r="A1223" s="36"/>
    </row>
    <row r="1224" spans="1:1">
      <c r="A1224" s="36"/>
    </row>
    <row r="1225" spans="1:1">
      <c r="A1225" s="36"/>
    </row>
    <row r="1226" spans="1:1">
      <c r="A1226" s="36"/>
    </row>
    <row r="1227" spans="1:1">
      <c r="A1227" s="36"/>
    </row>
    <row r="1228" spans="1:1">
      <c r="A1228" s="36"/>
    </row>
    <row r="1229" spans="1:1">
      <c r="A1229" s="36"/>
    </row>
    <row r="1230" spans="1:1">
      <c r="A1230" s="36"/>
    </row>
    <row r="1231" spans="1:1">
      <c r="A1231" s="36"/>
    </row>
    <row r="1232" spans="1:1">
      <c r="A1232" s="36"/>
    </row>
    <row r="1233" spans="1:1">
      <c r="A1233" s="36"/>
    </row>
    <row r="1234" spans="1:1">
      <c r="A1234" s="36"/>
    </row>
    <row r="1235" spans="1:1">
      <c r="A1235" s="36"/>
    </row>
    <row r="1236" spans="1:1">
      <c r="A1236" s="36"/>
    </row>
    <row r="1237" spans="1:1">
      <c r="A1237" s="36"/>
    </row>
    <row r="1238" spans="1:1">
      <c r="A1238" s="36"/>
    </row>
    <row r="1239" spans="1:1">
      <c r="A1239" s="36"/>
    </row>
    <row r="1240" spans="1:1">
      <c r="A1240" s="36"/>
    </row>
    <row r="1241" spans="1:1">
      <c r="A1241" s="36"/>
    </row>
    <row r="1242" spans="1:1">
      <c r="A1242" s="36"/>
    </row>
    <row r="1243" spans="1:1">
      <c r="A1243" s="36"/>
    </row>
    <row r="1244" spans="1:1">
      <c r="A1244" s="36"/>
    </row>
    <row r="1245" spans="1:1">
      <c r="A1245" s="36"/>
    </row>
    <row r="1246" spans="1:1">
      <c r="A1246" s="36"/>
    </row>
    <row r="1247" spans="1:1">
      <c r="A1247" s="36"/>
    </row>
    <row r="1248" spans="1:1">
      <c r="A1248" s="36"/>
    </row>
    <row r="1249" spans="1:1">
      <c r="A1249" s="36"/>
    </row>
    <row r="1250" spans="1:1">
      <c r="A1250" s="36"/>
    </row>
    <row r="1251" spans="1:1">
      <c r="A1251" s="36"/>
    </row>
    <row r="1252" spans="1:1">
      <c r="A1252" s="36"/>
    </row>
    <row r="1253" spans="1:1">
      <c r="A1253" s="36"/>
    </row>
    <row r="1254" spans="1:1">
      <c r="A1254" s="36"/>
    </row>
    <row r="1255" spans="1:1">
      <c r="A1255" s="36"/>
    </row>
    <row r="1256" spans="1:1">
      <c r="A1256" s="36"/>
    </row>
    <row r="1257" spans="1:1">
      <c r="A1257" s="36"/>
    </row>
    <row r="1258" spans="1:1">
      <c r="A1258" s="36"/>
    </row>
    <row r="1259" spans="1:1">
      <c r="A1259" s="36"/>
    </row>
    <row r="1260" spans="1:1">
      <c r="A1260" s="36"/>
    </row>
    <row r="1261" spans="1:1">
      <c r="A1261" s="36"/>
    </row>
    <row r="1262" spans="1:1">
      <c r="A1262" s="36"/>
    </row>
    <row r="1263" spans="1:1">
      <c r="A1263" s="36"/>
    </row>
    <row r="1264" spans="1:1">
      <c r="A1264" s="36"/>
    </row>
    <row r="1265" spans="1:1">
      <c r="A1265" s="36"/>
    </row>
    <row r="1266" spans="1:1">
      <c r="A1266" s="36"/>
    </row>
    <row r="1267" spans="1:1">
      <c r="A1267" s="36"/>
    </row>
    <row r="1268" spans="1:1">
      <c r="A1268" s="36"/>
    </row>
    <row r="1269" spans="1:1">
      <c r="A1269" s="36"/>
    </row>
    <row r="1270" spans="1:1">
      <c r="A1270" s="36"/>
    </row>
    <row r="1271" spans="1:1">
      <c r="A1271" s="36"/>
    </row>
    <row r="1272" spans="1:1">
      <c r="A1272" s="36"/>
    </row>
    <row r="1273" spans="1:1">
      <c r="A1273" s="36"/>
    </row>
    <row r="1274" spans="1:1">
      <c r="A1274" s="36"/>
    </row>
    <row r="1275" spans="1:1">
      <c r="A1275" s="36"/>
    </row>
    <row r="1276" spans="1:1">
      <c r="A1276" s="36"/>
    </row>
    <row r="1277" spans="1:1">
      <c r="A1277" s="36"/>
    </row>
    <row r="1278" spans="1:1">
      <c r="A1278" s="36"/>
    </row>
    <row r="1279" spans="1:1">
      <c r="A1279" s="36"/>
    </row>
    <row r="1280" spans="1:1">
      <c r="A1280" s="36"/>
    </row>
    <row r="1281" spans="1:1">
      <c r="A1281" s="36"/>
    </row>
    <row r="1282" spans="1:1">
      <c r="A1282" s="36"/>
    </row>
    <row r="1283" spans="1:1">
      <c r="A1283" s="36"/>
    </row>
    <row r="1284" spans="1:1">
      <c r="A1284" s="36"/>
    </row>
    <row r="1285" spans="1:1">
      <c r="A1285" s="36"/>
    </row>
    <row r="1286" spans="1:1">
      <c r="A1286" s="36"/>
    </row>
    <row r="1287" spans="1:1">
      <c r="A1287" s="36"/>
    </row>
    <row r="1288" spans="1:1">
      <c r="A1288" s="36"/>
    </row>
    <row r="1289" spans="1:1">
      <c r="A1289" s="36"/>
    </row>
    <row r="1290" spans="1:1">
      <c r="A1290" s="36"/>
    </row>
    <row r="1291" spans="1:1">
      <c r="A1291" s="36"/>
    </row>
    <row r="1292" spans="1:1">
      <c r="A1292" s="36"/>
    </row>
    <row r="1293" spans="1:1">
      <c r="A1293" s="36"/>
    </row>
    <row r="1294" spans="1:1">
      <c r="A1294" s="36"/>
    </row>
    <row r="1295" spans="1:1">
      <c r="A1295" s="36"/>
    </row>
    <row r="1296" spans="1:1">
      <c r="A1296" s="36"/>
    </row>
    <row r="1297" spans="1:1">
      <c r="A1297" s="36"/>
    </row>
    <row r="1298" spans="1:1">
      <c r="A1298" s="36"/>
    </row>
    <row r="1299" spans="1:1">
      <c r="A1299" s="36"/>
    </row>
    <row r="1300" spans="1:1">
      <c r="A1300" s="36"/>
    </row>
    <row r="1301" spans="1:1">
      <c r="A1301" s="36"/>
    </row>
    <row r="1302" spans="1:1">
      <c r="A1302" s="36"/>
    </row>
    <row r="1303" spans="1:1">
      <c r="A1303" s="36"/>
    </row>
    <row r="1304" spans="1:1">
      <c r="A1304" s="36"/>
    </row>
    <row r="1305" spans="1:1">
      <c r="A1305" s="36"/>
    </row>
    <row r="1306" spans="1:1">
      <c r="A1306" s="36"/>
    </row>
    <row r="1307" spans="1:1">
      <c r="A1307" s="36"/>
    </row>
    <row r="1308" spans="1:1">
      <c r="A1308" s="36"/>
    </row>
    <row r="1309" spans="1:1">
      <c r="A1309" s="36"/>
    </row>
    <row r="1310" spans="1:1">
      <c r="A1310" s="36"/>
    </row>
    <row r="1311" spans="1:1">
      <c r="A1311" s="36"/>
    </row>
    <row r="1312" spans="1:1">
      <c r="A1312" s="36"/>
    </row>
    <row r="1313" spans="1:1">
      <c r="A1313" s="36"/>
    </row>
    <row r="1314" spans="1:1">
      <c r="A1314" s="36"/>
    </row>
    <row r="1315" spans="1:1">
      <c r="A1315" s="36"/>
    </row>
    <row r="1316" spans="1:1">
      <c r="A1316" s="36"/>
    </row>
    <row r="1317" spans="1:1">
      <c r="A1317" s="36"/>
    </row>
    <row r="1318" spans="1:1">
      <c r="A1318" s="36"/>
    </row>
    <row r="1319" spans="1:1">
      <c r="A1319" s="36"/>
    </row>
    <row r="1320" spans="1:1">
      <c r="A1320" s="36"/>
    </row>
    <row r="1321" spans="1:1">
      <c r="A1321" s="36"/>
    </row>
    <row r="1322" spans="1:1">
      <c r="A1322" s="36"/>
    </row>
    <row r="1323" spans="1:1">
      <c r="A1323" s="36"/>
    </row>
    <row r="1324" spans="1:1">
      <c r="A1324" s="36"/>
    </row>
    <row r="1325" spans="1:1">
      <c r="A1325" s="36"/>
    </row>
    <row r="1326" spans="1:1">
      <c r="A1326" s="36"/>
    </row>
    <row r="1327" spans="1:1">
      <c r="A1327" s="36"/>
    </row>
    <row r="1328" spans="1:1">
      <c r="A1328" s="36"/>
    </row>
    <row r="1329" spans="1:1">
      <c r="A1329" s="36"/>
    </row>
    <row r="1330" spans="1:1">
      <c r="A1330" s="36"/>
    </row>
    <row r="1331" spans="1:1">
      <c r="A1331" s="36"/>
    </row>
    <row r="1332" spans="1:1">
      <c r="A1332" s="36"/>
    </row>
    <row r="1333" spans="1:1">
      <c r="A1333" s="36"/>
    </row>
    <row r="1334" spans="1:1">
      <c r="A1334" s="36"/>
    </row>
    <row r="1335" spans="1:1">
      <c r="A1335" s="36"/>
    </row>
    <row r="1336" spans="1:1">
      <c r="A1336" s="36"/>
    </row>
    <row r="1337" spans="1:1">
      <c r="A1337" s="36"/>
    </row>
    <row r="1338" spans="1:1">
      <c r="A1338" s="36"/>
    </row>
    <row r="1339" spans="1:1">
      <c r="A1339" s="36"/>
    </row>
    <row r="1340" spans="1:1">
      <c r="A1340" s="36"/>
    </row>
    <row r="1341" spans="1:1">
      <c r="A1341" s="36"/>
    </row>
    <row r="1342" spans="1:1">
      <c r="A1342" s="36"/>
    </row>
    <row r="1343" spans="1:1">
      <c r="A1343" s="36"/>
    </row>
    <row r="1344" spans="1:1">
      <c r="A1344" s="36"/>
    </row>
    <row r="1345" spans="1:1">
      <c r="A1345" s="36"/>
    </row>
    <row r="1346" spans="1:1">
      <c r="A1346" s="36"/>
    </row>
    <row r="1347" spans="1:1">
      <c r="A1347" s="36"/>
    </row>
    <row r="1348" spans="1:1">
      <c r="A1348" s="36"/>
    </row>
    <row r="1349" spans="1:1">
      <c r="A1349" s="36"/>
    </row>
    <row r="1350" spans="1:1">
      <c r="A1350" s="36"/>
    </row>
    <row r="1351" spans="1:1">
      <c r="A1351" s="36"/>
    </row>
    <row r="1352" spans="1:1">
      <c r="A1352" s="36"/>
    </row>
    <row r="1353" spans="1:1">
      <c r="A1353" s="36"/>
    </row>
    <row r="1354" spans="1:1">
      <c r="A1354" s="36"/>
    </row>
    <row r="1355" spans="1:1">
      <c r="A1355" s="36"/>
    </row>
    <row r="1356" spans="1:1">
      <c r="A1356" s="36"/>
    </row>
    <row r="1357" spans="1:1">
      <c r="A1357" s="36"/>
    </row>
    <row r="1358" spans="1:1">
      <c r="A1358" s="36"/>
    </row>
    <row r="1359" spans="1:1">
      <c r="A1359" s="36"/>
    </row>
    <row r="1360" spans="1:1">
      <c r="A1360" s="36"/>
    </row>
    <row r="1361" spans="1:1">
      <c r="A1361" s="36"/>
    </row>
    <row r="1362" spans="1:1">
      <c r="A1362" s="36"/>
    </row>
    <row r="1363" spans="1:1">
      <c r="A1363" s="36"/>
    </row>
    <row r="1364" spans="1:1">
      <c r="A1364" s="36"/>
    </row>
    <row r="1365" spans="1:1">
      <c r="A1365" s="36"/>
    </row>
    <row r="1366" spans="1:1">
      <c r="A1366" s="36"/>
    </row>
    <row r="1367" spans="1:1">
      <c r="A1367" s="36"/>
    </row>
    <row r="1368" spans="1:1">
      <c r="A1368" s="36"/>
    </row>
    <row r="1369" spans="1:1">
      <c r="A1369" s="36"/>
    </row>
    <row r="1370" spans="1:1">
      <c r="A1370" s="36"/>
    </row>
    <row r="1371" spans="1:1">
      <c r="A1371" s="36"/>
    </row>
    <row r="1372" spans="1:1">
      <c r="A1372" s="36"/>
    </row>
    <row r="1373" spans="1:1">
      <c r="A1373" s="36"/>
    </row>
    <row r="1374" spans="1:1">
      <c r="A1374" s="36"/>
    </row>
    <row r="1375" spans="1:1">
      <c r="A1375" s="36"/>
    </row>
    <row r="1376" spans="1:1">
      <c r="A1376" s="36"/>
    </row>
    <row r="1377" spans="1:1">
      <c r="A1377" s="36"/>
    </row>
    <row r="1378" spans="1:1">
      <c r="A1378" s="36"/>
    </row>
    <row r="1379" spans="1:1">
      <c r="A1379" s="36"/>
    </row>
    <row r="1380" spans="1:1">
      <c r="A1380" s="36"/>
    </row>
    <row r="1381" spans="1:1">
      <c r="A1381" s="36"/>
    </row>
    <row r="1382" spans="1:1">
      <c r="A1382" s="36"/>
    </row>
    <row r="1383" spans="1:1">
      <c r="A1383" s="36"/>
    </row>
    <row r="1384" spans="1:1">
      <c r="A1384" s="36"/>
    </row>
    <row r="1385" spans="1:1">
      <c r="A1385" s="36"/>
    </row>
    <row r="1386" spans="1:1">
      <c r="A1386" s="36"/>
    </row>
    <row r="1387" spans="1:1">
      <c r="A1387" s="36"/>
    </row>
    <row r="1388" spans="1:1">
      <c r="A1388" s="36"/>
    </row>
    <row r="1389" spans="1:1">
      <c r="A1389" s="36"/>
    </row>
    <row r="1390" spans="1:1">
      <c r="A1390" s="36"/>
    </row>
    <row r="1391" spans="1:1">
      <c r="A1391" s="36"/>
    </row>
    <row r="1392" spans="1:1">
      <c r="A1392" s="36"/>
    </row>
    <row r="1393" spans="1:1">
      <c r="A1393" s="36"/>
    </row>
    <row r="1394" spans="1:1">
      <c r="A1394" s="36"/>
    </row>
    <row r="1395" spans="1:1">
      <c r="A1395" s="36"/>
    </row>
    <row r="1396" spans="1:1">
      <c r="A1396" s="36"/>
    </row>
    <row r="1397" spans="1:1">
      <c r="A1397" s="36"/>
    </row>
    <row r="1398" spans="1:1">
      <c r="A1398" s="36"/>
    </row>
    <row r="1399" spans="1:1">
      <c r="A1399" s="36"/>
    </row>
    <row r="1400" spans="1:1">
      <c r="A1400" s="36"/>
    </row>
    <row r="1401" spans="1:1">
      <c r="A1401" s="36"/>
    </row>
    <row r="1402" spans="1:1">
      <c r="A1402" s="36"/>
    </row>
    <row r="1403" spans="1:1">
      <c r="A1403" s="36"/>
    </row>
    <row r="1404" spans="1:1">
      <c r="A1404" s="36"/>
    </row>
    <row r="1405" spans="1:1">
      <c r="A1405" s="36"/>
    </row>
    <row r="1406" spans="1:1">
      <c r="A1406" s="36"/>
    </row>
    <row r="1407" spans="1:1">
      <c r="A1407" s="36"/>
    </row>
    <row r="1408" spans="1:1">
      <c r="A1408" s="36"/>
    </row>
    <row r="1409" spans="1:1">
      <c r="A1409" s="36"/>
    </row>
    <row r="1410" spans="1:1">
      <c r="A1410" s="36"/>
    </row>
    <row r="1411" spans="1:1">
      <c r="A1411" s="36"/>
    </row>
    <row r="1412" spans="1:1">
      <c r="A1412" s="36"/>
    </row>
    <row r="1413" spans="1:1">
      <c r="A1413" s="36"/>
    </row>
    <row r="1414" spans="1:1">
      <c r="A1414" s="36"/>
    </row>
    <row r="1415" spans="1:1">
      <c r="A1415" s="36"/>
    </row>
    <row r="1416" spans="1:1">
      <c r="A1416" s="36"/>
    </row>
    <row r="1417" spans="1:1">
      <c r="A1417" s="36"/>
    </row>
    <row r="1418" spans="1:1">
      <c r="A1418" s="36"/>
    </row>
    <row r="1419" spans="1:1">
      <c r="A1419" s="36"/>
    </row>
    <row r="1420" spans="1:1">
      <c r="A1420" s="36"/>
    </row>
    <row r="1421" spans="1:1">
      <c r="A1421" s="36"/>
    </row>
    <row r="1422" spans="1:1">
      <c r="A1422" s="36"/>
    </row>
    <row r="1423" spans="1:1">
      <c r="A1423" s="36"/>
    </row>
    <row r="1424" spans="1:1">
      <c r="A1424" s="36"/>
    </row>
    <row r="1425" spans="1:1">
      <c r="A1425" s="36"/>
    </row>
    <row r="1426" spans="1:1">
      <c r="A1426" s="36"/>
    </row>
    <row r="1427" spans="1:1">
      <c r="A1427" s="36"/>
    </row>
    <row r="1428" spans="1:1">
      <c r="A1428" s="36"/>
    </row>
    <row r="1429" spans="1:1">
      <c r="A1429" s="36"/>
    </row>
    <row r="1430" spans="1:1">
      <c r="A1430" s="36"/>
    </row>
    <row r="1431" spans="1:1">
      <c r="A1431" s="36"/>
    </row>
    <row r="1432" spans="1:1">
      <c r="A1432" s="36"/>
    </row>
    <row r="1433" spans="1:1">
      <c r="A1433" s="36"/>
    </row>
    <row r="1434" spans="1:1">
      <c r="A1434" s="36"/>
    </row>
    <row r="1435" spans="1:1">
      <c r="A1435" s="36"/>
    </row>
    <row r="1436" spans="1:1">
      <c r="A1436" s="36"/>
    </row>
    <row r="1437" spans="1:1">
      <c r="A1437" s="36"/>
    </row>
    <row r="1438" spans="1:1">
      <c r="A1438" s="36"/>
    </row>
    <row r="1439" spans="1:1">
      <c r="A1439" s="36"/>
    </row>
    <row r="1440" spans="1:1">
      <c r="A1440" s="36"/>
    </row>
    <row r="1441" spans="1:1">
      <c r="A1441" s="36"/>
    </row>
    <row r="1442" spans="1:1">
      <c r="A1442" s="36"/>
    </row>
    <row r="1443" spans="1:1">
      <c r="A1443" s="36"/>
    </row>
    <row r="1444" spans="1:1">
      <c r="A1444" s="36"/>
    </row>
    <row r="1445" spans="1:1">
      <c r="A1445" s="36"/>
    </row>
    <row r="1446" spans="1:1">
      <c r="A1446" s="36"/>
    </row>
    <row r="1447" spans="1:1">
      <c r="A1447" s="36"/>
    </row>
    <row r="1448" spans="1:1">
      <c r="A1448" s="36"/>
    </row>
    <row r="1449" spans="1:1">
      <c r="A1449" s="36"/>
    </row>
    <row r="1450" spans="1:1">
      <c r="A1450" s="36"/>
    </row>
    <row r="1451" spans="1:1">
      <c r="A1451" s="36"/>
    </row>
    <row r="1452" spans="1:1">
      <c r="A1452" s="36"/>
    </row>
    <row r="1453" spans="1:1">
      <c r="A1453" s="36"/>
    </row>
    <row r="1454" spans="1:1">
      <c r="A1454" s="36"/>
    </row>
    <row r="1455" spans="1:1">
      <c r="A1455" s="36"/>
    </row>
    <row r="1456" spans="1:1">
      <c r="A1456" s="36"/>
    </row>
    <row r="1457" spans="1:1">
      <c r="A1457" s="36"/>
    </row>
    <row r="1458" spans="1:1">
      <c r="A1458" s="36"/>
    </row>
    <row r="1459" spans="1:1">
      <c r="A1459" s="36"/>
    </row>
    <row r="1460" spans="1:1">
      <c r="A1460" s="36"/>
    </row>
    <row r="1461" spans="1:1">
      <c r="A1461" s="36"/>
    </row>
    <row r="1462" spans="1:1">
      <c r="A1462" s="36"/>
    </row>
    <row r="1463" spans="1:1">
      <c r="A1463" s="36"/>
    </row>
    <row r="1464" spans="1:1">
      <c r="A1464" s="36"/>
    </row>
    <row r="1465" spans="1:1">
      <c r="A1465" s="36"/>
    </row>
    <row r="1466" spans="1:1">
      <c r="A1466" s="36"/>
    </row>
    <row r="1467" spans="1:1">
      <c r="A1467" s="36"/>
    </row>
    <row r="1468" spans="1:1">
      <c r="A1468" s="36"/>
    </row>
    <row r="1469" spans="1:1">
      <c r="A1469" s="36"/>
    </row>
    <row r="1470" spans="1:1">
      <c r="A1470" s="36"/>
    </row>
    <row r="1471" spans="1:1">
      <c r="A1471" s="36"/>
    </row>
    <row r="1472" spans="1:1">
      <c r="A1472" s="36"/>
    </row>
    <row r="1473" spans="1:1">
      <c r="A1473" s="36"/>
    </row>
    <row r="1474" spans="1:1">
      <c r="A1474" s="36"/>
    </row>
    <row r="1475" spans="1:1">
      <c r="A1475" s="36"/>
    </row>
    <row r="1476" spans="1:1">
      <c r="A1476" s="36"/>
    </row>
    <row r="1477" spans="1:1">
      <c r="A1477" s="36"/>
    </row>
    <row r="1478" spans="1:1">
      <c r="A1478" s="36"/>
    </row>
    <row r="1479" spans="1:1">
      <c r="A1479" s="36"/>
    </row>
    <row r="1480" spans="1:1">
      <c r="A1480" s="36"/>
    </row>
    <row r="1481" spans="1:1">
      <c r="A1481" s="36"/>
    </row>
    <row r="1482" spans="1:1">
      <c r="A1482" s="36"/>
    </row>
    <row r="1483" spans="1:1">
      <c r="A1483" s="36"/>
    </row>
    <row r="1484" spans="1:1">
      <c r="A1484" s="36"/>
    </row>
    <row r="1485" spans="1:1">
      <c r="A1485" s="36"/>
    </row>
    <row r="1486" spans="1:1">
      <c r="A1486" s="36"/>
    </row>
    <row r="1487" spans="1:1">
      <c r="A1487" s="36"/>
    </row>
    <row r="1488" spans="1:1">
      <c r="A1488" s="36"/>
    </row>
    <row r="1489" spans="1:1">
      <c r="A1489" s="36"/>
    </row>
    <row r="1490" spans="1:1">
      <c r="A1490" s="36"/>
    </row>
    <row r="1491" spans="1:1">
      <c r="A1491" s="36"/>
    </row>
    <row r="1492" spans="1:1">
      <c r="A1492" s="36"/>
    </row>
    <row r="1493" spans="1:1">
      <c r="A1493" s="36"/>
    </row>
    <row r="1494" spans="1:1">
      <c r="A1494" s="36"/>
    </row>
    <row r="1495" spans="1:1">
      <c r="A1495" s="36"/>
    </row>
    <row r="1496" spans="1:1">
      <c r="A1496" s="36"/>
    </row>
    <row r="1497" spans="1:1">
      <c r="A1497" s="36"/>
    </row>
    <row r="1498" spans="1:1">
      <c r="A1498" s="36"/>
    </row>
    <row r="1499" spans="1:1">
      <c r="A1499" s="36"/>
    </row>
    <row r="1500" spans="1:1">
      <c r="A1500" s="36"/>
    </row>
    <row r="1501" spans="1:1">
      <c r="A1501" s="36"/>
    </row>
    <row r="1502" spans="1:1">
      <c r="A1502" s="36"/>
    </row>
    <row r="1503" spans="1:1">
      <c r="A1503" s="36"/>
    </row>
    <row r="1504" spans="1:1">
      <c r="A1504" s="36"/>
    </row>
    <row r="1505" spans="1:1">
      <c r="A1505" s="36"/>
    </row>
    <row r="1506" spans="1:1">
      <c r="A1506" s="36"/>
    </row>
    <row r="1507" spans="1:1">
      <c r="A1507" s="36"/>
    </row>
    <row r="1508" spans="1:1">
      <c r="A1508" s="36"/>
    </row>
    <row r="1509" spans="1:1">
      <c r="A1509" s="36"/>
    </row>
    <row r="1510" spans="1:1">
      <c r="A1510" s="36"/>
    </row>
    <row r="1511" spans="1:1">
      <c r="A1511" s="36"/>
    </row>
    <row r="1512" spans="1:1">
      <c r="A1512" s="36"/>
    </row>
    <row r="1513" spans="1:1">
      <c r="A1513" s="36"/>
    </row>
    <row r="1514" spans="1:1">
      <c r="A1514" s="36"/>
    </row>
    <row r="1515" spans="1:1">
      <c r="A1515" s="36"/>
    </row>
    <row r="1516" spans="1:1">
      <c r="A1516" s="36"/>
    </row>
    <row r="1517" spans="1:1">
      <c r="A1517" s="36"/>
    </row>
    <row r="1518" spans="1:1">
      <c r="A1518" s="36"/>
    </row>
    <row r="1519" spans="1:1">
      <c r="A1519" s="36"/>
    </row>
    <row r="1520" spans="1:1">
      <c r="A1520" s="36"/>
    </row>
    <row r="1521" spans="1:1">
      <c r="A1521" s="36"/>
    </row>
    <row r="1522" spans="1:1">
      <c r="A1522" s="36"/>
    </row>
    <row r="1523" spans="1:1">
      <c r="A1523" s="36"/>
    </row>
    <row r="1524" spans="1:1">
      <c r="A1524" s="36"/>
    </row>
    <row r="1525" spans="1:1">
      <c r="A1525" s="36"/>
    </row>
    <row r="1526" spans="1:1">
      <c r="A1526" s="36"/>
    </row>
    <row r="1527" spans="1:1">
      <c r="A1527" s="36"/>
    </row>
    <row r="1528" spans="1:1">
      <c r="A1528" s="36"/>
    </row>
    <row r="1529" spans="1:1">
      <c r="A1529" s="36"/>
    </row>
    <row r="1530" spans="1:1">
      <c r="A1530" s="36"/>
    </row>
    <row r="1531" spans="1:1">
      <c r="A1531" s="36"/>
    </row>
    <row r="1532" spans="1:1">
      <c r="A1532" s="36"/>
    </row>
    <row r="1533" spans="1:1">
      <c r="A1533" s="36"/>
    </row>
    <row r="1534" spans="1:1">
      <c r="A1534" s="36"/>
    </row>
    <row r="1535" spans="1:1">
      <c r="A1535" s="36"/>
    </row>
    <row r="1536" spans="1:1">
      <c r="A1536" s="36"/>
    </row>
    <row r="1537" spans="1:1">
      <c r="A1537" s="36"/>
    </row>
    <row r="1538" spans="1:1">
      <c r="A1538" s="36"/>
    </row>
    <row r="1539" spans="1:1">
      <c r="A1539" s="36"/>
    </row>
    <row r="1540" spans="1:1">
      <c r="A1540" s="36"/>
    </row>
    <row r="1541" spans="1:1">
      <c r="A1541" s="36"/>
    </row>
    <row r="1542" spans="1:1">
      <c r="A1542" s="36"/>
    </row>
    <row r="1543" spans="1:1">
      <c r="A1543" s="36"/>
    </row>
    <row r="1544" spans="1:1">
      <c r="A1544" s="36"/>
    </row>
    <row r="1545" spans="1:1">
      <c r="A1545" s="36"/>
    </row>
    <row r="1546" spans="1:1">
      <c r="A1546" s="36"/>
    </row>
    <row r="1547" spans="1:1">
      <c r="A1547" s="36"/>
    </row>
    <row r="1548" spans="1:1">
      <c r="A1548" s="36"/>
    </row>
    <row r="1549" spans="1:1">
      <c r="A1549" s="36"/>
    </row>
    <row r="1550" spans="1:1">
      <c r="A1550" s="36"/>
    </row>
    <row r="1551" spans="1:1">
      <c r="A1551" s="36"/>
    </row>
    <row r="1552" spans="1:1">
      <c r="A1552" s="36"/>
    </row>
    <row r="1553" spans="1:1">
      <c r="A1553" s="36"/>
    </row>
    <row r="1554" spans="1:1">
      <c r="A1554" s="36"/>
    </row>
    <row r="1555" spans="1:1">
      <c r="A1555" s="36"/>
    </row>
    <row r="1556" spans="1:1">
      <c r="A1556" s="36"/>
    </row>
    <row r="1557" spans="1:1">
      <c r="A1557" s="36"/>
    </row>
    <row r="1558" spans="1:1">
      <c r="A1558" s="36"/>
    </row>
    <row r="1559" spans="1:1">
      <c r="A1559" s="36"/>
    </row>
    <row r="1560" spans="1:1">
      <c r="A1560" s="36"/>
    </row>
    <row r="1561" spans="1:1">
      <c r="A1561" s="36"/>
    </row>
    <row r="1562" spans="1:1">
      <c r="A1562" s="36"/>
    </row>
    <row r="1563" spans="1:1">
      <c r="A1563" s="36"/>
    </row>
    <row r="1564" spans="1:1">
      <c r="A1564" s="36"/>
    </row>
    <row r="1565" spans="1:1">
      <c r="A1565" s="36"/>
    </row>
    <row r="1566" spans="1:1">
      <c r="A1566" s="36"/>
    </row>
    <row r="1567" spans="1:1">
      <c r="A1567" s="36"/>
    </row>
    <row r="1568" spans="1:1">
      <c r="A1568" s="36"/>
    </row>
    <row r="1569" spans="1:1">
      <c r="A1569" s="36"/>
    </row>
    <row r="1570" spans="1:1">
      <c r="A1570" s="36"/>
    </row>
    <row r="1571" spans="1:1">
      <c r="A1571" s="36"/>
    </row>
    <row r="1572" spans="1:1">
      <c r="A1572" s="36"/>
    </row>
    <row r="1573" spans="1:1">
      <c r="A1573" s="36"/>
    </row>
    <row r="1574" spans="1:1">
      <c r="A1574" s="36"/>
    </row>
    <row r="1575" spans="1:1">
      <c r="A1575" s="36"/>
    </row>
    <row r="1576" spans="1:1">
      <c r="A1576" s="36"/>
    </row>
    <row r="1577" spans="1:1">
      <c r="A1577" s="36"/>
    </row>
    <row r="1578" spans="1:1">
      <c r="A1578" s="36"/>
    </row>
    <row r="1579" spans="1:1">
      <c r="A1579" s="36"/>
    </row>
    <row r="1580" spans="1:1">
      <c r="A1580" s="36"/>
    </row>
    <row r="1581" spans="1:1">
      <c r="A1581" s="36"/>
    </row>
    <row r="1582" spans="1:1">
      <c r="A1582" s="36"/>
    </row>
    <row r="1583" spans="1:1">
      <c r="A1583" s="36"/>
    </row>
    <row r="1584" spans="1:1">
      <c r="A1584" s="36"/>
    </row>
    <row r="1585" spans="1:1">
      <c r="A1585" s="36"/>
    </row>
    <row r="1586" spans="1:1">
      <c r="A1586" s="36"/>
    </row>
    <row r="1587" spans="1:1">
      <c r="A1587" s="36"/>
    </row>
    <row r="1588" spans="1:1">
      <c r="A1588" s="36"/>
    </row>
    <row r="1589" spans="1:1">
      <c r="A1589" s="36"/>
    </row>
    <row r="1590" spans="1:1">
      <c r="A1590" s="36"/>
    </row>
    <row r="1591" spans="1:1">
      <c r="A1591" s="36"/>
    </row>
    <row r="1592" spans="1:1">
      <c r="A1592" s="36"/>
    </row>
    <row r="1593" spans="1:1">
      <c r="A1593" s="36"/>
    </row>
    <row r="1594" spans="1:1">
      <c r="A1594" s="36"/>
    </row>
    <row r="1595" spans="1:1">
      <c r="A1595" s="36"/>
    </row>
    <row r="1596" spans="1:1">
      <c r="A1596" s="36"/>
    </row>
    <row r="1597" spans="1:1">
      <c r="A1597" s="36"/>
    </row>
    <row r="1598" spans="1:1">
      <c r="A1598" s="36"/>
    </row>
    <row r="1599" spans="1:1">
      <c r="A1599" s="36"/>
    </row>
    <row r="1600" spans="1:1">
      <c r="A1600" s="36"/>
    </row>
    <row r="1601" spans="1:1">
      <c r="A1601" s="36"/>
    </row>
    <row r="1602" spans="1:1">
      <c r="A1602" s="36"/>
    </row>
    <row r="1603" spans="1:1">
      <c r="A1603" s="36"/>
    </row>
    <row r="1604" spans="1:1">
      <c r="A1604" s="36"/>
    </row>
    <row r="1605" spans="1:1">
      <c r="A1605" s="36"/>
    </row>
    <row r="1606" spans="1:1">
      <c r="A1606" s="36"/>
    </row>
    <row r="1607" spans="1:1">
      <c r="A1607" s="36"/>
    </row>
    <row r="1608" spans="1:1">
      <c r="A1608" s="36"/>
    </row>
    <row r="1609" spans="1:1">
      <c r="A1609" s="36"/>
    </row>
    <row r="1610" spans="1:1">
      <c r="A1610" s="36"/>
    </row>
    <row r="1611" spans="1:1">
      <c r="A1611" s="36"/>
    </row>
    <row r="1612" spans="1:1">
      <c r="A1612" s="36"/>
    </row>
    <row r="1613" spans="1:1">
      <c r="A1613" s="36"/>
    </row>
    <row r="1614" spans="1:1">
      <c r="A1614" s="36"/>
    </row>
    <row r="1615" spans="1:1">
      <c r="A1615" s="36"/>
    </row>
    <row r="1616" spans="1:1">
      <c r="A1616" s="36"/>
    </row>
    <row r="1617" spans="1:1">
      <c r="A1617" s="36"/>
    </row>
    <row r="1618" spans="1:1">
      <c r="A1618" s="36"/>
    </row>
    <row r="1619" spans="1:1">
      <c r="A1619" s="36"/>
    </row>
    <row r="1620" spans="1:1">
      <c r="A1620" s="36"/>
    </row>
    <row r="1621" spans="1:1">
      <c r="A1621" s="36"/>
    </row>
    <row r="1622" spans="1:1">
      <c r="A1622" s="36"/>
    </row>
    <row r="1623" spans="1:1">
      <c r="A1623" s="36"/>
    </row>
    <row r="1624" spans="1:1">
      <c r="A1624" s="36"/>
    </row>
    <row r="1625" spans="1:1">
      <c r="A1625" s="36"/>
    </row>
    <row r="1626" spans="1:1">
      <c r="A1626" s="36"/>
    </row>
    <row r="1627" spans="1:1">
      <c r="A1627" s="36"/>
    </row>
    <row r="1628" spans="1:1">
      <c r="A1628" s="36"/>
    </row>
    <row r="1629" spans="1:1">
      <c r="A1629" s="36"/>
    </row>
    <row r="1630" spans="1:1">
      <c r="A1630" s="36"/>
    </row>
    <row r="1631" spans="1:1">
      <c r="A1631" s="36"/>
    </row>
    <row r="1632" spans="1:1">
      <c r="A1632" s="36"/>
    </row>
    <row r="1633" spans="1:1">
      <c r="A1633" s="36"/>
    </row>
    <row r="1634" spans="1:1">
      <c r="A1634" s="36"/>
    </row>
    <row r="1635" spans="1:1">
      <c r="A1635" s="36"/>
    </row>
    <row r="1636" spans="1:1">
      <c r="A1636" s="36"/>
    </row>
    <row r="1637" spans="1:1">
      <c r="A1637" s="36"/>
    </row>
    <row r="1638" spans="1:1">
      <c r="A1638" s="36"/>
    </row>
    <row r="1639" spans="1:1">
      <c r="A1639" s="36"/>
    </row>
    <row r="1640" spans="1:1">
      <c r="A1640" s="36"/>
    </row>
    <row r="1641" spans="1:1">
      <c r="A1641" s="36"/>
    </row>
    <row r="1642" spans="1:1">
      <c r="A1642" s="36"/>
    </row>
    <row r="1643" spans="1:1">
      <c r="A1643" s="36"/>
    </row>
    <row r="1644" spans="1:1">
      <c r="A1644" s="36"/>
    </row>
    <row r="1645" spans="1:1">
      <c r="A1645" s="36"/>
    </row>
    <row r="1646" spans="1:1">
      <c r="A1646" s="36"/>
    </row>
    <row r="1647" spans="1:1">
      <c r="A1647" s="36"/>
    </row>
    <row r="1648" spans="1:1">
      <c r="A1648" s="36"/>
    </row>
    <row r="1649" spans="1:1">
      <c r="A1649" s="36"/>
    </row>
    <row r="1650" spans="1:1">
      <c r="A1650" s="36"/>
    </row>
    <row r="1651" spans="1:1">
      <c r="A1651" s="36"/>
    </row>
    <row r="1652" spans="1:1">
      <c r="A1652" s="36"/>
    </row>
    <row r="1653" spans="1:1">
      <c r="A1653" s="36"/>
    </row>
    <row r="1654" spans="1:1">
      <c r="A1654" s="36"/>
    </row>
    <row r="1655" spans="1:1">
      <c r="A1655" s="36"/>
    </row>
    <row r="1656" spans="1:1">
      <c r="A1656" s="36"/>
    </row>
    <row r="1657" spans="1:1">
      <c r="A1657" s="36"/>
    </row>
    <row r="1658" spans="1:1">
      <c r="A1658" s="36"/>
    </row>
    <row r="1659" spans="1:1">
      <c r="A1659" s="36"/>
    </row>
    <row r="1660" spans="1:1">
      <c r="A1660" s="36"/>
    </row>
    <row r="1661" spans="1:1">
      <c r="A1661" s="36"/>
    </row>
    <row r="1662" spans="1:1">
      <c r="A1662" s="36"/>
    </row>
    <row r="1663" spans="1:1">
      <c r="A1663" s="36"/>
    </row>
    <row r="1664" spans="1:1">
      <c r="A1664" s="36"/>
    </row>
    <row r="1665" spans="1:1">
      <c r="A1665" s="36"/>
    </row>
    <row r="1666" spans="1:1">
      <c r="A1666" s="36"/>
    </row>
    <row r="1667" spans="1:1">
      <c r="A1667" s="36"/>
    </row>
    <row r="1668" spans="1:1">
      <c r="A1668" s="36"/>
    </row>
    <row r="1669" spans="1:1">
      <c r="A1669" s="36"/>
    </row>
    <row r="1670" spans="1:1">
      <c r="A1670" s="36"/>
    </row>
    <row r="1671" spans="1:1">
      <c r="A1671" s="36"/>
    </row>
    <row r="1672" spans="1:1">
      <c r="A1672" s="36"/>
    </row>
    <row r="1673" spans="1:1">
      <c r="A1673" s="36"/>
    </row>
    <row r="1674" spans="1:1">
      <c r="A1674" s="36"/>
    </row>
    <row r="1675" spans="1:1">
      <c r="A1675" s="36"/>
    </row>
    <row r="1676" spans="1:1">
      <c r="A1676" s="36"/>
    </row>
    <row r="1677" spans="1:1">
      <c r="A1677" s="36"/>
    </row>
    <row r="1678" spans="1:1">
      <c r="A1678" s="36"/>
    </row>
    <row r="1679" spans="1:1">
      <c r="A1679" s="36"/>
    </row>
    <row r="1680" spans="1:1">
      <c r="A1680" s="36"/>
    </row>
    <row r="1681" spans="1:1">
      <c r="A1681" s="36"/>
    </row>
    <row r="1682" spans="1:1">
      <c r="A1682" s="36"/>
    </row>
    <row r="1683" spans="1:1">
      <c r="A1683" s="36"/>
    </row>
    <row r="1684" spans="1:1">
      <c r="A1684" s="36"/>
    </row>
    <row r="1685" spans="1:1">
      <c r="A1685" s="36"/>
    </row>
    <row r="1686" spans="1:1">
      <c r="A1686" s="36"/>
    </row>
    <row r="1687" spans="1:1">
      <c r="A1687" s="36"/>
    </row>
    <row r="1688" spans="1:1">
      <c r="A1688" s="36"/>
    </row>
    <row r="1689" spans="1:1">
      <c r="A1689" s="36"/>
    </row>
    <row r="1690" spans="1:1">
      <c r="A1690" s="36"/>
    </row>
    <row r="1691" spans="1:1">
      <c r="A1691" s="36"/>
    </row>
    <row r="1692" spans="1:1">
      <c r="A1692" s="36"/>
    </row>
    <row r="1693" spans="1:1">
      <c r="A1693" s="36"/>
    </row>
    <row r="1694" spans="1:1">
      <c r="A1694" s="36"/>
    </row>
    <row r="1695" spans="1:1">
      <c r="A1695" s="36"/>
    </row>
    <row r="1696" spans="1:1">
      <c r="A1696" s="36"/>
    </row>
    <row r="1697" spans="1:1">
      <c r="A1697" s="36"/>
    </row>
    <row r="1698" spans="1:1">
      <c r="A1698" s="36"/>
    </row>
    <row r="1699" spans="1:1">
      <c r="A1699" s="36"/>
    </row>
    <row r="1700" spans="1:1">
      <c r="A1700" s="36"/>
    </row>
    <row r="1701" spans="1:1">
      <c r="A1701" s="36"/>
    </row>
    <row r="1702" spans="1:1">
      <c r="A1702" s="36"/>
    </row>
    <row r="1703" spans="1:1">
      <c r="A1703" s="36"/>
    </row>
    <row r="1704" spans="1:1">
      <c r="A1704" s="36"/>
    </row>
    <row r="1705" spans="1:1">
      <c r="A1705" s="36"/>
    </row>
    <row r="1706" spans="1:1">
      <c r="A1706" s="36"/>
    </row>
    <row r="1707" spans="1:1">
      <c r="A1707" s="36"/>
    </row>
    <row r="1708" spans="1:1">
      <c r="A1708" s="36"/>
    </row>
    <row r="1709" spans="1:1">
      <c r="A1709" s="36"/>
    </row>
    <row r="1710" spans="1:1">
      <c r="A1710" s="36"/>
    </row>
    <row r="1711" spans="1:1">
      <c r="A1711" s="36"/>
    </row>
    <row r="1712" spans="1:1">
      <c r="A1712" s="36"/>
    </row>
    <row r="1713" spans="1:1">
      <c r="A1713" s="36"/>
    </row>
    <row r="1714" spans="1:1">
      <c r="A1714" s="36"/>
    </row>
    <row r="1715" spans="1:1">
      <c r="A1715" s="36"/>
    </row>
    <row r="1716" spans="1:1">
      <c r="A1716" s="36"/>
    </row>
    <row r="1717" spans="1:1">
      <c r="A1717" s="36"/>
    </row>
    <row r="1718" spans="1:1">
      <c r="A1718" s="36"/>
    </row>
    <row r="1719" spans="1:1">
      <c r="A1719" s="36"/>
    </row>
    <row r="1720" spans="1:1">
      <c r="A1720" s="36"/>
    </row>
    <row r="1721" spans="1:1">
      <c r="A1721" s="36"/>
    </row>
    <row r="1722" spans="1:1">
      <c r="A1722" s="36"/>
    </row>
    <row r="1723" spans="1:1">
      <c r="A1723" s="36"/>
    </row>
    <row r="1724" spans="1:1">
      <c r="A1724" s="36"/>
    </row>
    <row r="1725" spans="1:1">
      <c r="A1725" s="36"/>
    </row>
    <row r="1726" spans="1:1">
      <c r="A1726" s="36"/>
    </row>
    <row r="1727" spans="1:1">
      <c r="A1727" s="36"/>
    </row>
    <row r="1728" spans="1:1">
      <c r="A1728" s="36"/>
    </row>
    <row r="1729" spans="1:1">
      <c r="A1729" s="36"/>
    </row>
    <row r="1730" spans="1:1">
      <c r="A1730" s="36"/>
    </row>
    <row r="1731" spans="1:1">
      <c r="A1731" s="36"/>
    </row>
    <row r="1732" spans="1:1">
      <c r="A1732" s="36"/>
    </row>
    <row r="1733" spans="1:1">
      <c r="A1733" s="36"/>
    </row>
    <row r="1734" spans="1:1">
      <c r="A1734" s="36"/>
    </row>
    <row r="1735" spans="1:1">
      <c r="A1735" s="36"/>
    </row>
    <row r="1736" spans="1:1">
      <c r="A1736" s="36"/>
    </row>
    <row r="1737" spans="1:1">
      <c r="A1737" s="36"/>
    </row>
    <row r="1738" spans="1:1">
      <c r="A1738" s="36"/>
    </row>
    <row r="1739" spans="1:1">
      <c r="A1739" s="36"/>
    </row>
    <row r="1740" spans="1:1">
      <c r="A1740" s="36"/>
    </row>
    <row r="1741" spans="1:1">
      <c r="A1741" s="36"/>
    </row>
    <row r="1742" spans="1:1">
      <c r="A1742" s="36"/>
    </row>
    <row r="1743" spans="1:1">
      <c r="A1743" s="36"/>
    </row>
    <row r="1744" spans="1:1">
      <c r="A1744" s="36"/>
    </row>
    <row r="1745" spans="1:1">
      <c r="A1745" s="36"/>
    </row>
    <row r="1746" spans="1:1">
      <c r="A1746" s="36"/>
    </row>
    <row r="1747" spans="1:1">
      <c r="A1747" s="36"/>
    </row>
    <row r="1748" spans="1:1">
      <c r="A1748" s="36"/>
    </row>
    <row r="1749" spans="1:1">
      <c r="A1749" s="36"/>
    </row>
    <row r="1750" spans="1:1">
      <c r="A1750" s="36"/>
    </row>
    <row r="1751" spans="1:1">
      <c r="A1751" s="36"/>
    </row>
    <row r="1752" spans="1:1">
      <c r="A1752" s="36"/>
    </row>
    <row r="1753" spans="1:1">
      <c r="A1753" s="36"/>
    </row>
    <row r="1754" spans="1:1">
      <c r="A1754" s="36"/>
    </row>
    <row r="1755" spans="1:1">
      <c r="A1755" s="36"/>
    </row>
    <row r="1756" spans="1:1">
      <c r="A1756" s="36"/>
    </row>
    <row r="1757" spans="1:1">
      <c r="A1757" s="36"/>
    </row>
    <row r="1758" spans="1:1">
      <c r="A1758" s="36"/>
    </row>
    <row r="1759" spans="1:1">
      <c r="A1759" s="36"/>
    </row>
    <row r="1760" spans="1:1">
      <c r="A1760" s="36"/>
    </row>
    <row r="1761" spans="1:1">
      <c r="A1761" s="36"/>
    </row>
    <row r="1762" spans="1:1">
      <c r="A1762" s="36"/>
    </row>
    <row r="1763" spans="1:1">
      <c r="A1763" s="36"/>
    </row>
    <row r="1764" spans="1:1">
      <c r="A1764" s="36"/>
    </row>
    <row r="1765" spans="1:1">
      <c r="A1765" s="36"/>
    </row>
    <row r="1766" spans="1:1">
      <c r="A1766" s="36"/>
    </row>
    <row r="1767" spans="1:1">
      <c r="A1767" s="36"/>
    </row>
    <row r="1768" spans="1:1">
      <c r="A1768" s="36"/>
    </row>
    <row r="1769" spans="1:1">
      <c r="A1769" s="36"/>
    </row>
    <row r="1770" spans="1:1">
      <c r="A1770" s="36"/>
    </row>
    <row r="1771" spans="1:1">
      <c r="A1771" s="36"/>
    </row>
    <row r="1772" spans="1:1">
      <c r="A1772" s="36"/>
    </row>
    <row r="1773" spans="1:1">
      <c r="A1773" s="36"/>
    </row>
    <row r="1774" spans="1:1">
      <c r="A1774" s="36"/>
    </row>
    <row r="1775" spans="1:1">
      <c r="A1775" s="36"/>
    </row>
    <row r="1776" spans="1:1">
      <c r="A1776" s="36"/>
    </row>
    <row r="1777" spans="1:1">
      <c r="A1777" s="36"/>
    </row>
    <row r="1778" spans="1:1">
      <c r="A1778" s="36"/>
    </row>
    <row r="1779" spans="1:1">
      <c r="A1779" s="36"/>
    </row>
    <row r="1780" spans="1:1">
      <c r="A1780" s="36"/>
    </row>
    <row r="1781" spans="1:1">
      <c r="A1781" s="36"/>
    </row>
    <row r="1782" spans="1:1">
      <c r="A1782" s="36"/>
    </row>
    <row r="1783" spans="1:1">
      <c r="A1783" s="36"/>
    </row>
    <row r="1784" spans="1:1">
      <c r="A1784" s="36"/>
    </row>
    <row r="1785" spans="1:1">
      <c r="A1785" s="36"/>
    </row>
    <row r="1786" spans="1:1">
      <c r="A1786" s="36"/>
    </row>
    <row r="1787" spans="1:1">
      <c r="A1787" s="36"/>
    </row>
    <row r="1788" spans="1:1">
      <c r="A1788" s="36"/>
    </row>
    <row r="1789" spans="1:1">
      <c r="A1789" s="36"/>
    </row>
    <row r="1790" spans="1:1">
      <c r="A1790" s="36"/>
    </row>
    <row r="1791" spans="1:1">
      <c r="A1791" s="36"/>
    </row>
    <row r="1792" spans="1:1">
      <c r="A1792" s="36"/>
    </row>
    <row r="1793" spans="1:1">
      <c r="A1793" s="36"/>
    </row>
    <row r="1794" spans="1:1">
      <c r="A1794" s="36"/>
    </row>
    <row r="1795" spans="1:1">
      <c r="A1795" s="36"/>
    </row>
    <row r="1796" spans="1:1">
      <c r="A1796" s="36"/>
    </row>
    <row r="1797" spans="1:1">
      <c r="A1797" s="36"/>
    </row>
    <row r="1798" spans="1:1">
      <c r="A1798" s="36"/>
    </row>
    <row r="1799" spans="1:1">
      <c r="A1799" s="36"/>
    </row>
    <row r="1800" spans="1:1">
      <c r="A1800" s="36"/>
    </row>
    <row r="1801" spans="1:1">
      <c r="A1801" s="36"/>
    </row>
    <row r="1802" spans="1:1">
      <c r="A1802" s="36"/>
    </row>
    <row r="1803" spans="1:1">
      <c r="A1803" s="36"/>
    </row>
    <row r="1804" spans="1:1">
      <c r="A1804" s="36"/>
    </row>
    <row r="1805" spans="1:1">
      <c r="A1805" s="36"/>
    </row>
    <row r="1806" spans="1:1">
      <c r="A1806" s="36"/>
    </row>
    <row r="1807" spans="1:1">
      <c r="A1807" s="36"/>
    </row>
    <row r="1808" spans="1:1">
      <c r="A1808" s="36"/>
    </row>
    <row r="1809" spans="1:1">
      <c r="A1809" s="36"/>
    </row>
    <row r="1810" spans="1:1">
      <c r="A1810" s="36"/>
    </row>
    <row r="1811" spans="1:1">
      <c r="A1811" s="36"/>
    </row>
    <row r="1812" spans="1:1">
      <c r="A1812" s="36"/>
    </row>
    <row r="1813" spans="1:1">
      <c r="A1813" s="36"/>
    </row>
    <row r="1814" spans="1:1">
      <c r="A1814" s="36"/>
    </row>
    <row r="1815" spans="1:1">
      <c r="A1815" s="36"/>
    </row>
    <row r="1816" spans="1:1">
      <c r="A1816" s="36"/>
    </row>
    <row r="1817" spans="1:1">
      <c r="A1817" s="36"/>
    </row>
    <row r="1818" spans="1:1">
      <c r="A1818" s="36"/>
    </row>
    <row r="1819" spans="1:1">
      <c r="A1819" s="36"/>
    </row>
    <row r="1820" spans="1:1">
      <c r="A1820" s="36"/>
    </row>
    <row r="1821" spans="1:1">
      <c r="A1821" s="36"/>
    </row>
    <row r="1822" spans="1:1">
      <c r="A1822" s="36"/>
    </row>
    <row r="1823" spans="1:1">
      <c r="A1823" s="36"/>
    </row>
    <row r="1824" spans="1:1">
      <c r="A1824" s="36"/>
    </row>
    <row r="1825" spans="1:1">
      <c r="A1825" s="36"/>
    </row>
    <row r="1826" spans="1:1">
      <c r="A1826" s="36"/>
    </row>
    <row r="1827" spans="1:1">
      <c r="A1827" s="36"/>
    </row>
    <row r="1828" spans="1:1">
      <c r="A1828" s="36"/>
    </row>
    <row r="1829" spans="1:1">
      <c r="A1829" s="36"/>
    </row>
    <row r="1830" spans="1:1">
      <c r="A1830" s="36"/>
    </row>
    <row r="1831" spans="1:1">
      <c r="A1831" s="36"/>
    </row>
    <row r="1832" spans="1:1">
      <c r="A1832" s="36"/>
    </row>
    <row r="1833" spans="1:1">
      <c r="A1833" s="36"/>
    </row>
    <row r="1834" spans="1:1">
      <c r="A1834" s="36"/>
    </row>
    <row r="1835" spans="1:1">
      <c r="A1835" s="36"/>
    </row>
    <row r="1836" spans="1:1">
      <c r="A1836" s="36"/>
    </row>
    <row r="1837" spans="1:1">
      <c r="A1837" s="36"/>
    </row>
    <row r="1838" spans="1:1">
      <c r="A1838" s="36"/>
    </row>
    <row r="1839" spans="1:1">
      <c r="A1839" s="36"/>
    </row>
    <row r="1840" spans="1:1">
      <c r="A1840" s="36"/>
    </row>
    <row r="1841" spans="1:1">
      <c r="A1841" s="36"/>
    </row>
    <row r="1842" spans="1:1">
      <c r="A1842" s="36"/>
    </row>
    <row r="1843" spans="1:1">
      <c r="A1843" s="36"/>
    </row>
    <row r="1844" spans="1:1">
      <c r="A1844" s="36"/>
    </row>
    <row r="1845" spans="1:1">
      <c r="A1845" s="36"/>
    </row>
    <row r="1846" spans="1:1">
      <c r="A1846" s="36"/>
    </row>
    <row r="1847" spans="1:1">
      <c r="A1847" s="36"/>
    </row>
    <row r="1848" spans="1:1">
      <c r="A1848" s="36"/>
    </row>
    <row r="1849" spans="1:1">
      <c r="A1849" s="36"/>
    </row>
    <row r="1850" spans="1:1">
      <c r="A1850" s="36"/>
    </row>
    <row r="1851" spans="1:1">
      <c r="A1851" s="36"/>
    </row>
    <row r="1852" spans="1:1">
      <c r="A1852" s="36"/>
    </row>
    <row r="1853" spans="1:1">
      <c r="A1853" s="36"/>
    </row>
    <row r="1854" spans="1:1">
      <c r="A1854" s="36"/>
    </row>
    <row r="1855" spans="1:1">
      <c r="A1855" s="36"/>
    </row>
    <row r="1856" spans="1:1">
      <c r="A1856" s="36"/>
    </row>
    <row r="1857" spans="1:1">
      <c r="A1857" s="36"/>
    </row>
    <row r="1858" spans="1:1">
      <c r="A1858" s="36"/>
    </row>
    <row r="1859" spans="1:1">
      <c r="A1859" s="36"/>
    </row>
    <row r="1860" spans="1:1">
      <c r="A1860" s="36"/>
    </row>
    <row r="1861" spans="1:1">
      <c r="A1861" s="36"/>
    </row>
    <row r="1862" spans="1:1">
      <c r="A1862" s="36"/>
    </row>
    <row r="1863" spans="1:1">
      <c r="A1863" s="36"/>
    </row>
    <row r="1864" spans="1:1">
      <c r="A1864" s="36"/>
    </row>
    <row r="1865" spans="1:1">
      <c r="A1865" s="36"/>
    </row>
    <row r="1866" spans="1:1">
      <c r="A1866" s="36"/>
    </row>
    <row r="1867" spans="1:1">
      <c r="A1867" s="36"/>
    </row>
    <row r="1868" spans="1:1">
      <c r="A1868" s="36"/>
    </row>
    <row r="1869" spans="1:1">
      <c r="A1869" s="36"/>
    </row>
    <row r="1870" spans="1:1">
      <c r="A1870" s="36"/>
    </row>
    <row r="1871" spans="1:1">
      <c r="A1871" s="36"/>
    </row>
    <row r="1872" spans="1:1">
      <c r="A1872" s="36"/>
    </row>
    <row r="1873" spans="1:1">
      <c r="A1873" s="36"/>
    </row>
    <row r="1874" spans="1:1">
      <c r="A1874" s="36"/>
    </row>
    <row r="1875" spans="1:1">
      <c r="A1875" s="36"/>
    </row>
    <row r="1876" spans="1:1">
      <c r="A1876" s="36"/>
    </row>
    <row r="1877" spans="1:1">
      <c r="A1877" s="36"/>
    </row>
    <row r="1878" spans="1:1">
      <c r="A1878" s="36"/>
    </row>
    <row r="1879" spans="1:1">
      <c r="A1879" s="36"/>
    </row>
    <row r="1880" spans="1:1">
      <c r="A1880" s="36"/>
    </row>
    <row r="1881" spans="1:1">
      <c r="A1881" s="36"/>
    </row>
    <row r="1882" spans="1:1">
      <c r="A1882" s="36"/>
    </row>
    <row r="1883" spans="1:1">
      <c r="A1883" s="36"/>
    </row>
    <row r="1884" spans="1:1">
      <c r="A1884" s="36"/>
    </row>
    <row r="1885" spans="1:1">
      <c r="A1885" s="36"/>
    </row>
    <row r="1886" spans="1:1">
      <c r="A1886" s="36"/>
    </row>
    <row r="1887" spans="1:1">
      <c r="A1887" s="36"/>
    </row>
    <row r="1888" spans="1:1">
      <c r="A1888" s="36"/>
    </row>
    <row r="1889" spans="1:1">
      <c r="A1889" s="36"/>
    </row>
    <row r="1890" spans="1:1">
      <c r="A1890" s="36"/>
    </row>
    <row r="1891" spans="1:1">
      <c r="A1891" s="36"/>
    </row>
    <row r="1892" spans="1:1">
      <c r="A1892" s="36"/>
    </row>
    <row r="1893" spans="1:1">
      <c r="A1893" s="36"/>
    </row>
    <row r="1894" spans="1:1">
      <c r="A1894" s="36"/>
    </row>
    <row r="1895" spans="1:1">
      <c r="A1895" s="36"/>
    </row>
    <row r="1896" spans="1:1">
      <c r="A1896" s="36"/>
    </row>
    <row r="1897" spans="1:1">
      <c r="A1897" s="36"/>
    </row>
    <row r="1898" spans="1:1">
      <c r="A1898" s="36"/>
    </row>
    <row r="1899" spans="1:1">
      <c r="A1899" s="36"/>
    </row>
    <row r="1900" spans="1:1">
      <c r="A1900" s="36"/>
    </row>
    <row r="1901" spans="1:1">
      <c r="A1901" s="36"/>
    </row>
    <row r="1902" spans="1:1">
      <c r="A1902" s="36"/>
    </row>
    <row r="1903" spans="1:1">
      <c r="A1903" s="36"/>
    </row>
    <row r="1904" spans="1:1">
      <c r="A1904" s="36"/>
    </row>
    <row r="1905" spans="1:1">
      <c r="A1905" s="36"/>
    </row>
    <row r="1906" spans="1:1">
      <c r="A1906" s="36"/>
    </row>
    <row r="1907" spans="1:1">
      <c r="A1907" s="36"/>
    </row>
    <row r="1908" spans="1:1">
      <c r="A1908" s="36"/>
    </row>
    <row r="1909" spans="1:1">
      <c r="A1909" s="36"/>
    </row>
    <row r="1910" spans="1:1">
      <c r="A1910" s="36"/>
    </row>
    <row r="1911" spans="1:1">
      <c r="A1911" s="36"/>
    </row>
    <row r="1912" spans="1:1">
      <c r="A1912" s="36"/>
    </row>
    <row r="1913" spans="1:1">
      <c r="A1913" s="36"/>
    </row>
    <row r="1914" spans="1:1">
      <c r="A1914" s="36"/>
    </row>
    <row r="1915" spans="1:1">
      <c r="A1915" s="36"/>
    </row>
    <row r="1916" spans="1:1">
      <c r="A1916" s="36"/>
    </row>
    <row r="1917" spans="1:1">
      <c r="A1917" s="36"/>
    </row>
    <row r="1918" spans="1:1">
      <c r="A1918" s="36"/>
    </row>
    <row r="1919" spans="1:1">
      <c r="A1919" s="36"/>
    </row>
    <row r="1920" spans="1:1">
      <c r="A1920" s="36"/>
    </row>
    <row r="1921" spans="1:1">
      <c r="A1921" s="36"/>
    </row>
    <row r="1922" spans="1:1">
      <c r="A1922" s="36"/>
    </row>
    <row r="1923" spans="1:1">
      <c r="A1923" s="36"/>
    </row>
    <row r="1924" spans="1:1">
      <c r="A1924" s="36"/>
    </row>
    <row r="1925" spans="1:1">
      <c r="A1925" s="36"/>
    </row>
    <row r="1926" spans="1:1">
      <c r="A1926" s="36"/>
    </row>
    <row r="1927" spans="1:1">
      <c r="A1927" s="36"/>
    </row>
    <row r="1928" spans="1:1">
      <c r="A1928" s="36"/>
    </row>
    <row r="1929" spans="1:1">
      <c r="A1929" s="36"/>
    </row>
    <row r="1930" spans="1:1">
      <c r="A1930" s="36"/>
    </row>
    <row r="1931" spans="1:1">
      <c r="A1931" s="36"/>
    </row>
    <row r="1932" spans="1:1">
      <c r="A1932" s="36"/>
    </row>
    <row r="1933" spans="1:1">
      <c r="A1933" s="36"/>
    </row>
    <row r="1934" spans="1:1">
      <c r="A1934" s="36"/>
    </row>
    <row r="1935" spans="1:1">
      <c r="A1935" s="36"/>
    </row>
    <row r="1936" spans="1:1">
      <c r="A1936" s="36"/>
    </row>
    <row r="1937" spans="1:1">
      <c r="A1937" s="36"/>
    </row>
    <row r="1938" spans="1:1">
      <c r="A1938" s="36"/>
    </row>
    <row r="1939" spans="1:1">
      <c r="A1939" s="36"/>
    </row>
    <row r="1940" spans="1:1">
      <c r="A1940" s="36"/>
    </row>
    <row r="1941" spans="1:1">
      <c r="A1941" s="36"/>
    </row>
    <row r="1942" spans="1:1">
      <c r="A1942" s="36"/>
    </row>
    <row r="1943" spans="1:1">
      <c r="A1943" s="36"/>
    </row>
    <row r="1944" spans="1:1">
      <c r="A1944" s="36"/>
    </row>
    <row r="1945" spans="1:1">
      <c r="A1945" s="36"/>
    </row>
    <row r="1946" spans="1:1">
      <c r="A1946" s="36"/>
    </row>
    <row r="1947" spans="1:1">
      <c r="A1947" s="36"/>
    </row>
    <row r="1948" spans="1:1">
      <c r="A1948" s="36"/>
    </row>
    <row r="1949" spans="1:1">
      <c r="A1949" s="36"/>
    </row>
    <row r="1950" spans="1:1">
      <c r="A1950" s="36"/>
    </row>
    <row r="1951" spans="1:1">
      <c r="A1951" s="36"/>
    </row>
    <row r="1952" spans="1:1">
      <c r="A1952" s="36"/>
    </row>
    <row r="1953" spans="1:1">
      <c r="A1953" s="36"/>
    </row>
    <row r="1954" spans="1:1">
      <c r="A1954" s="36"/>
    </row>
    <row r="1955" spans="1:1">
      <c r="A1955" s="36"/>
    </row>
    <row r="1956" spans="1:1">
      <c r="A1956" s="36"/>
    </row>
    <row r="1957" spans="1:1">
      <c r="A1957" s="36"/>
    </row>
    <row r="1958" spans="1:1">
      <c r="A1958" s="36"/>
    </row>
    <row r="1959" spans="1:1">
      <c r="A1959" s="36"/>
    </row>
    <row r="1960" spans="1:1">
      <c r="A1960" s="36"/>
    </row>
    <row r="1961" spans="1:1">
      <c r="A1961" s="36"/>
    </row>
    <row r="1962" spans="1:1">
      <c r="A1962" s="36"/>
    </row>
    <row r="1963" spans="1:1">
      <c r="A1963" s="36"/>
    </row>
    <row r="1964" spans="1:1">
      <c r="A1964" s="36"/>
    </row>
    <row r="1965" spans="1:1">
      <c r="A1965" s="36"/>
    </row>
    <row r="1966" spans="1:1">
      <c r="A1966" s="36"/>
    </row>
    <row r="1967" spans="1:1">
      <c r="A1967" s="36"/>
    </row>
    <row r="1968" spans="1:1">
      <c r="A1968" s="36"/>
    </row>
    <row r="1969" spans="1:1">
      <c r="A1969" s="36"/>
    </row>
    <row r="1970" spans="1:1">
      <c r="A1970" s="36"/>
    </row>
    <row r="1971" spans="1:1">
      <c r="A1971" s="36"/>
    </row>
    <row r="1972" spans="1:1">
      <c r="A1972" s="36"/>
    </row>
    <row r="1973" spans="1:1">
      <c r="A1973" s="36"/>
    </row>
    <row r="1974" spans="1:1">
      <c r="A1974" s="36"/>
    </row>
    <row r="1975" spans="1:1">
      <c r="A1975" s="36"/>
    </row>
    <row r="1976" spans="1:1">
      <c r="A1976" s="36"/>
    </row>
    <row r="1977" spans="1:1">
      <c r="A1977" s="36"/>
    </row>
    <row r="1978" spans="1:1">
      <c r="A1978" s="36"/>
    </row>
    <row r="1979" spans="1:1">
      <c r="A1979" s="36"/>
    </row>
    <row r="1980" spans="1:1">
      <c r="A1980" s="36"/>
    </row>
    <row r="1981" spans="1:1">
      <c r="A1981" s="36"/>
    </row>
    <row r="1982" spans="1:1">
      <c r="A1982" s="36"/>
    </row>
    <row r="1983" spans="1:1">
      <c r="A1983" s="36"/>
    </row>
    <row r="1984" spans="1:1">
      <c r="A1984" s="36"/>
    </row>
    <row r="1985" spans="1:1">
      <c r="A1985" s="36"/>
    </row>
    <row r="1986" spans="1:1">
      <c r="A1986" s="36"/>
    </row>
    <row r="1987" spans="1:1">
      <c r="A1987" s="36"/>
    </row>
    <row r="1988" spans="1:1">
      <c r="A1988" s="36"/>
    </row>
    <row r="1989" spans="1:1">
      <c r="A1989" s="36"/>
    </row>
    <row r="1990" spans="1:1">
      <c r="A1990" s="36"/>
    </row>
    <row r="1991" spans="1:1">
      <c r="A1991" s="36"/>
    </row>
    <row r="1992" spans="1:1">
      <c r="A1992" s="36"/>
    </row>
    <row r="1993" spans="1:1">
      <c r="A1993" s="36"/>
    </row>
    <row r="1994" spans="1:1">
      <c r="A1994" s="36"/>
    </row>
    <row r="1995" spans="1:1">
      <c r="A1995" s="36"/>
    </row>
    <row r="1996" spans="1:1">
      <c r="A1996" s="36"/>
    </row>
    <row r="1997" spans="1:1">
      <c r="A1997" s="36"/>
    </row>
    <row r="1998" spans="1:1">
      <c r="A1998" s="36"/>
    </row>
    <row r="1999" spans="1:1">
      <c r="A1999" s="36"/>
    </row>
    <row r="2000" spans="1:1">
      <c r="A2000" s="36"/>
    </row>
    <row r="2001" spans="1:1">
      <c r="A2001" s="36"/>
    </row>
    <row r="2002" spans="1:1">
      <c r="A2002" s="36"/>
    </row>
    <row r="2003" spans="1:1">
      <c r="A2003" s="36"/>
    </row>
    <row r="2004" spans="1:1">
      <c r="A2004" s="36"/>
    </row>
    <row r="2005" spans="1:1">
      <c r="A2005" s="36"/>
    </row>
    <row r="2006" spans="1:1">
      <c r="A2006" s="36"/>
    </row>
    <row r="2007" spans="1:1">
      <c r="A2007" s="36"/>
    </row>
    <row r="2008" spans="1:1">
      <c r="A2008" s="36"/>
    </row>
    <row r="2009" spans="1:1">
      <c r="A2009" s="36"/>
    </row>
    <row r="2010" spans="1:1">
      <c r="A2010" s="36"/>
    </row>
    <row r="2011" spans="1:1">
      <c r="A2011" s="36"/>
    </row>
    <row r="2012" spans="1:1">
      <c r="A2012" s="36"/>
    </row>
    <row r="2013" spans="1:1">
      <c r="A2013" s="36"/>
    </row>
    <row r="2014" spans="1:1">
      <c r="A2014" s="36"/>
    </row>
    <row r="2015" spans="1:1">
      <c r="A2015" s="36"/>
    </row>
    <row r="2016" spans="1:1">
      <c r="A2016" s="36"/>
    </row>
    <row r="2017" spans="1:1">
      <c r="A2017" s="36"/>
    </row>
    <row r="2018" spans="1:1">
      <c r="A2018" s="36"/>
    </row>
    <row r="2019" spans="1:1">
      <c r="A2019" s="36"/>
    </row>
    <row r="2020" spans="1:1">
      <c r="A2020" s="36"/>
    </row>
    <row r="2021" spans="1:1">
      <c r="A2021" s="36"/>
    </row>
    <row r="2022" spans="1:1">
      <c r="A2022" s="36"/>
    </row>
    <row r="2023" spans="1:1">
      <c r="A2023" s="36"/>
    </row>
    <row r="2024" spans="1:1">
      <c r="A2024" s="36"/>
    </row>
    <row r="2025" spans="1:1">
      <c r="A2025" s="36"/>
    </row>
    <row r="2026" spans="1:1">
      <c r="A2026" s="36"/>
    </row>
    <row r="2027" spans="1:1">
      <c r="A2027" s="36"/>
    </row>
    <row r="2028" spans="1:1">
      <c r="A2028" s="36"/>
    </row>
    <row r="2029" spans="1:1">
      <c r="A2029" s="36"/>
    </row>
    <row r="2030" spans="1:1">
      <c r="A2030" s="36"/>
    </row>
    <row r="2031" spans="1:1">
      <c r="A2031" s="36"/>
    </row>
    <row r="2032" spans="1:1">
      <c r="A2032" s="36"/>
    </row>
    <row r="2033" spans="1:1">
      <c r="A2033" s="36"/>
    </row>
    <row r="2034" spans="1:1">
      <c r="A2034" s="36"/>
    </row>
    <row r="2035" spans="1:1">
      <c r="A2035" s="36"/>
    </row>
    <row r="2036" spans="1:1">
      <c r="A2036" s="36"/>
    </row>
    <row r="2037" spans="1:1">
      <c r="A2037" s="36"/>
    </row>
    <row r="2038" spans="1:1">
      <c r="A2038" s="36"/>
    </row>
    <row r="2039" spans="1:1">
      <c r="A2039" s="36"/>
    </row>
    <row r="2040" spans="1:1">
      <c r="A2040" s="36"/>
    </row>
    <row r="2041" spans="1:1">
      <c r="A2041" s="36"/>
    </row>
    <row r="2042" spans="1:1">
      <c r="A2042" s="36"/>
    </row>
    <row r="2043" spans="1:1">
      <c r="A2043" s="36"/>
    </row>
    <row r="2044" spans="1:1">
      <c r="A2044" s="36"/>
    </row>
    <row r="2045" spans="1:1">
      <c r="A2045" s="36"/>
    </row>
    <row r="2046" spans="1:1">
      <c r="A2046" s="36"/>
    </row>
    <row r="2047" spans="1:1">
      <c r="A2047" s="36"/>
    </row>
    <row r="2048" spans="1:1">
      <c r="A2048" s="36"/>
    </row>
    <row r="2049" spans="1:1">
      <c r="A2049" s="36"/>
    </row>
    <row r="2050" spans="1:1">
      <c r="A2050" s="36"/>
    </row>
    <row r="2051" spans="1:1">
      <c r="A2051" s="36"/>
    </row>
    <row r="2052" spans="1:1">
      <c r="A2052" s="36"/>
    </row>
    <row r="2053" spans="1:1">
      <c r="A2053" s="36"/>
    </row>
    <row r="2054" spans="1:1">
      <c r="A2054" s="36"/>
    </row>
    <row r="2055" spans="1:1">
      <c r="A2055" s="36"/>
    </row>
    <row r="2056" spans="1:1">
      <c r="A2056" s="36"/>
    </row>
    <row r="2057" spans="1:1">
      <c r="A2057" s="36"/>
    </row>
    <row r="2058" spans="1:1">
      <c r="A2058" s="36"/>
    </row>
    <row r="2059" spans="1:1">
      <c r="A2059" s="36"/>
    </row>
    <row r="2060" spans="1:1">
      <c r="A2060" s="36"/>
    </row>
    <row r="2061" spans="1:1">
      <c r="A2061" s="36"/>
    </row>
    <row r="2062" spans="1:1">
      <c r="A2062" s="36"/>
    </row>
    <row r="2063" spans="1:1">
      <c r="A2063" s="36"/>
    </row>
    <row r="2064" spans="1:1">
      <c r="A2064" s="36"/>
    </row>
    <row r="2065" spans="1:1">
      <c r="A2065" s="36"/>
    </row>
    <row r="2066" spans="1:1">
      <c r="A2066" s="36"/>
    </row>
    <row r="2067" spans="1:1">
      <c r="A2067" s="36"/>
    </row>
    <row r="2068" spans="1:1">
      <c r="A2068" s="36"/>
    </row>
    <row r="2069" spans="1:1">
      <c r="A2069" s="36"/>
    </row>
    <row r="2070" spans="1:1">
      <c r="A2070" s="36"/>
    </row>
    <row r="2071" spans="1:1">
      <c r="A2071" s="36"/>
    </row>
    <row r="2072" spans="1:1">
      <c r="A2072" s="36"/>
    </row>
    <row r="2073" spans="1:1">
      <c r="A2073" s="36"/>
    </row>
    <row r="2074" spans="1:1">
      <c r="A2074" s="36"/>
    </row>
    <row r="2075" spans="1:1">
      <c r="A2075" s="36"/>
    </row>
    <row r="2076" spans="1:1">
      <c r="A2076" s="36"/>
    </row>
    <row r="2077" spans="1:1">
      <c r="A2077" s="36"/>
    </row>
    <row r="2078" spans="1:1">
      <c r="A2078" s="36"/>
    </row>
    <row r="2079" spans="1:1">
      <c r="A2079" s="36"/>
    </row>
    <row r="2080" spans="1:1">
      <c r="A2080" s="36"/>
    </row>
    <row r="2081" spans="1:1">
      <c r="A2081" s="36"/>
    </row>
    <row r="2082" spans="1:1">
      <c r="A2082" s="36"/>
    </row>
    <row r="2083" spans="1:1">
      <c r="A2083" s="36"/>
    </row>
    <row r="2084" spans="1:1">
      <c r="A2084" s="36"/>
    </row>
    <row r="2085" spans="1:1">
      <c r="A2085" s="36"/>
    </row>
    <row r="2086" spans="1:1">
      <c r="A2086" s="36"/>
    </row>
    <row r="2087" spans="1:1">
      <c r="A2087" s="36"/>
    </row>
    <row r="2088" spans="1:1">
      <c r="A2088" s="36"/>
    </row>
    <row r="2089" spans="1:1">
      <c r="A2089" s="36"/>
    </row>
    <row r="2090" spans="1:1">
      <c r="A2090" s="36"/>
    </row>
    <row r="2091" spans="1:1">
      <c r="A2091" s="36"/>
    </row>
    <row r="2092" spans="1:1">
      <c r="A2092" s="36"/>
    </row>
    <row r="2093" spans="1:1">
      <c r="A2093" s="36"/>
    </row>
    <row r="2094" spans="1:1">
      <c r="A2094" s="36"/>
    </row>
    <row r="2095" spans="1:1">
      <c r="A2095" s="36"/>
    </row>
    <row r="2096" spans="1:1">
      <c r="A2096" s="36"/>
    </row>
    <row r="2097" spans="1:1">
      <c r="A2097" s="36"/>
    </row>
    <row r="2098" spans="1:1">
      <c r="A2098" s="36"/>
    </row>
    <row r="2099" spans="1:1">
      <c r="A2099" s="36"/>
    </row>
    <row r="2100" spans="1:1">
      <c r="A2100" s="36"/>
    </row>
    <row r="2101" spans="1:1">
      <c r="A2101" s="36"/>
    </row>
    <row r="2102" spans="1:1">
      <c r="A2102" s="36"/>
    </row>
    <row r="2103" spans="1:1">
      <c r="A2103" s="36"/>
    </row>
    <row r="2104" spans="1:1">
      <c r="A2104" s="36"/>
    </row>
    <row r="2105" spans="1:1">
      <c r="A2105" s="36"/>
    </row>
    <row r="2106" spans="1:1">
      <c r="A2106" s="36"/>
    </row>
    <row r="2107" spans="1:1">
      <c r="A2107" s="36"/>
    </row>
    <row r="2108" spans="1:1">
      <c r="A2108" s="36"/>
    </row>
    <row r="2109" spans="1:1">
      <c r="A2109" s="36"/>
    </row>
    <row r="2110" spans="1:1">
      <c r="A2110" s="36"/>
    </row>
    <row r="2111" spans="1:1">
      <c r="A2111" s="36"/>
    </row>
    <row r="2112" spans="1:1">
      <c r="A2112" s="36"/>
    </row>
    <row r="2113" spans="1:1">
      <c r="A2113" s="36"/>
    </row>
    <row r="2114" spans="1:1">
      <c r="A2114" s="36"/>
    </row>
    <row r="2115" spans="1:1">
      <c r="A2115" s="36"/>
    </row>
    <row r="2116" spans="1:1">
      <c r="A2116" s="36"/>
    </row>
    <row r="2117" spans="1:1">
      <c r="A2117" s="36"/>
    </row>
    <row r="2118" spans="1:1">
      <c r="A2118" s="36"/>
    </row>
    <row r="2119" spans="1:1">
      <c r="A2119" s="36"/>
    </row>
    <row r="2120" spans="1:1">
      <c r="A2120" s="36"/>
    </row>
    <row r="2121" spans="1:1">
      <c r="A2121" s="36"/>
    </row>
    <row r="2122" spans="1:1">
      <c r="A2122" s="36"/>
    </row>
    <row r="2123" spans="1:1">
      <c r="A2123" s="36"/>
    </row>
    <row r="2124" spans="1:1">
      <c r="A2124" s="36"/>
    </row>
    <row r="2125" spans="1:1">
      <c r="A2125" s="36"/>
    </row>
    <row r="2126" spans="1:1">
      <c r="A2126" s="36"/>
    </row>
    <row r="2127" spans="1:1">
      <c r="A2127" s="36"/>
    </row>
    <row r="2128" spans="1:1">
      <c r="A2128" s="36"/>
    </row>
    <row r="2129" spans="1:1">
      <c r="A2129" s="36"/>
    </row>
    <row r="2130" spans="1:1">
      <c r="A2130" s="36"/>
    </row>
    <row r="2131" spans="1:1">
      <c r="A2131" s="36"/>
    </row>
    <row r="2132" spans="1:1">
      <c r="A2132" s="36"/>
    </row>
    <row r="2133" spans="1:1">
      <c r="A2133" s="36"/>
    </row>
    <row r="2134" spans="1:1">
      <c r="A2134" s="36"/>
    </row>
    <row r="2135" spans="1:1">
      <c r="A2135" s="36"/>
    </row>
    <row r="2136" spans="1:1">
      <c r="A2136" s="36"/>
    </row>
    <row r="2137" spans="1:1">
      <c r="A2137" s="36"/>
    </row>
    <row r="2138" spans="1:1">
      <c r="A2138" s="36"/>
    </row>
    <row r="2139" spans="1:1">
      <c r="A2139" s="36"/>
    </row>
    <row r="2140" spans="1:1">
      <c r="A2140" s="36"/>
    </row>
    <row r="2141" spans="1:1">
      <c r="A2141" s="36"/>
    </row>
    <row r="2142" spans="1:1">
      <c r="A2142" s="36"/>
    </row>
    <row r="2143" spans="1:1">
      <c r="A2143" s="36"/>
    </row>
    <row r="2144" spans="1:1">
      <c r="A2144" s="36"/>
    </row>
    <row r="2145" spans="1:1">
      <c r="A2145" s="36"/>
    </row>
    <row r="2146" spans="1:1">
      <c r="A2146" s="36"/>
    </row>
    <row r="2147" spans="1:1">
      <c r="A2147" s="36"/>
    </row>
    <row r="2148" spans="1:1">
      <c r="A2148" s="36"/>
    </row>
    <row r="2149" spans="1:1">
      <c r="A2149" s="36"/>
    </row>
    <row r="2150" spans="1:1">
      <c r="A2150" s="36"/>
    </row>
    <row r="2151" spans="1:1">
      <c r="A2151" s="36"/>
    </row>
    <row r="2152" spans="1:1">
      <c r="A2152" s="36"/>
    </row>
    <row r="2153" spans="1:1">
      <c r="A2153" s="36"/>
    </row>
    <row r="2154" spans="1:1">
      <c r="A2154" s="36"/>
    </row>
    <row r="2155" spans="1:1">
      <c r="A2155" s="36"/>
    </row>
    <row r="2156" spans="1:1">
      <c r="A2156" s="36"/>
    </row>
    <row r="2157" spans="1:1">
      <c r="A2157" s="36"/>
    </row>
    <row r="2158" spans="1:1">
      <c r="A2158" s="36"/>
    </row>
    <row r="2159" spans="1:1">
      <c r="A2159" s="36"/>
    </row>
    <row r="2160" spans="1:1">
      <c r="A2160" s="36"/>
    </row>
    <row r="2161" spans="1:1">
      <c r="A2161" s="36"/>
    </row>
    <row r="2162" spans="1:1">
      <c r="A2162" s="36"/>
    </row>
    <row r="2163" spans="1:1">
      <c r="A2163" s="36"/>
    </row>
    <row r="2164" spans="1:1">
      <c r="A2164" s="36"/>
    </row>
    <row r="2165" spans="1:1">
      <c r="A2165" s="36"/>
    </row>
    <row r="2166" spans="1:1">
      <c r="A2166" s="36"/>
    </row>
    <row r="2167" spans="1:1">
      <c r="A2167" s="36"/>
    </row>
    <row r="2168" spans="1:1">
      <c r="A2168" s="36"/>
    </row>
    <row r="2169" spans="1:1">
      <c r="A2169" s="36"/>
    </row>
    <row r="2170" spans="1:1">
      <c r="A2170" s="36"/>
    </row>
    <row r="2171" spans="1:1">
      <c r="A2171" s="36"/>
    </row>
    <row r="2172" spans="1:1">
      <c r="A2172" s="36"/>
    </row>
    <row r="2173" spans="1:1">
      <c r="A2173" s="36"/>
    </row>
    <row r="2174" spans="1:1">
      <c r="A2174" s="36"/>
    </row>
    <row r="2175" spans="1:1">
      <c r="A2175" s="36"/>
    </row>
    <row r="2176" spans="1:1">
      <c r="A2176" s="36"/>
    </row>
    <row r="2177" spans="1:1">
      <c r="A2177" s="36"/>
    </row>
    <row r="2178" spans="1:1">
      <c r="A2178" s="36"/>
    </row>
    <row r="2179" spans="1:1">
      <c r="A2179" s="36"/>
    </row>
    <row r="2180" spans="1:1">
      <c r="A2180" s="36"/>
    </row>
    <row r="2181" spans="1:1">
      <c r="A2181" s="36"/>
    </row>
    <row r="2182" spans="1:1">
      <c r="A2182" s="36"/>
    </row>
    <row r="2183" spans="1:1">
      <c r="A2183" s="36"/>
    </row>
    <row r="2184" spans="1:1">
      <c r="A2184" s="36"/>
    </row>
    <row r="2185" spans="1:1">
      <c r="A2185" s="36"/>
    </row>
    <row r="2186" spans="1:1">
      <c r="A2186" s="36"/>
    </row>
    <row r="2187" spans="1:1">
      <c r="A2187" s="36"/>
    </row>
    <row r="2188" spans="1:1">
      <c r="A2188" s="36"/>
    </row>
    <row r="2189" spans="1:1">
      <c r="A2189" s="36"/>
    </row>
    <row r="2190" spans="1:1">
      <c r="A2190" s="36"/>
    </row>
    <row r="2191" spans="1:1">
      <c r="A2191" s="36"/>
    </row>
    <row r="2192" spans="1:1">
      <c r="A2192" s="36"/>
    </row>
    <row r="2193" spans="1:1">
      <c r="A2193" s="36"/>
    </row>
    <row r="2194" spans="1:1">
      <c r="A2194" s="36"/>
    </row>
    <row r="2195" spans="1:1">
      <c r="A2195" s="36"/>
    </row>
    <row r="2196" spans="1:1">
      <c r="A2196" s="36"/>
    </row>
    <row r="2197" spans="1:1">
      <c r="A2197" s="36"/>
    </row>
    <row r="2198" spans="1:1">
      <c r="A2198" s="36"/>
    </row>
    <row r="2199" spans="1:1">
      <c r="A2199" s="36"/>
    </row>
    <row r="2200" spans="1:1">
      <c r="A2200" s="36"/>
    </row>
    <row r="2201" spans="1:1">
      <c r="A2201" s="36"/>
    </row>
    <row r="2202" spans="1:1">
      <c r="A2202" s="36"/>
    </row>
    <row r="2203" spans="1:1">
      <c r="A2203" s="36"/>
    </row>
    <row r="2204" spans="1:1">
      <c r="A2204" s="36"/>
    </row>
    <row r="2205" spans="1:1">
      <c r="A2205" s="36"/>
    </row>
    <row r="2206" spans="1:1">
      <c r="A2206" s="36"/>
    </row>
    <row r="2207" spans="1:1">
      <c r="A2207" s="36"/>
    </row>
    <row r="2208" spans="1:1">
      <c r="A2208" s="36"/>
    </row>
    <row r="2209" spans="1:1">
      <c r="A2209" s="36"/>
    </row>
    <row r="2210" spans="1:1">
      <c r="A2210" s="36"/>
    </row>
    <row r="2211" spans="1:1">
      <c r="A2211" s="36"/>
    </row>
    <row r="2212" spans="1:1">
      <c r="A2212" s="36"/>
    </row>
    <row r="2213" spans="1:1">
      <c r="A2213" s="36"/>
    </row>
    <row r="2214" spans="1:1">
      <c r="A2214" s="36"/>
    </row>
    <row r="2215" spans="1:1">
      <c r="A2215" s="36"/>
    </row>
    <row r="2216" spans="1:1">
      <c r="A2216" s="36"/>
    </row>
    <row r="2217" spans="1:1">
      <c r="A2217" s="36"/>
    </row>
    <row r="2218" spans="1:1">
      <c r="A2218" s="36"/>
    </row>
    <row r="2219" spans="1:1">
      <c r="A2219" s="36"/>
    </row>
    <row r="2220" spans="1:1">
      <c r="A2220" s="36"/>
    </row>
    <row r="2221" spans="1:1">
      <c r="A2221" s="36"/>
    </row>
    <row r="2222" spans="1:1">
      <c r="A2222" s="36"/>
    </row>
    <row r="2223" spans="1:1">
      <c r="A2223" s="36"/>
    </row>
    <row r="2224" spans="1:1">
      <c r="A2224" s="36"/>
    </row>
    <row r="2225" spans="1:1">
      <c r="A2225" s="36"/>
    </row>
    <row r="2226" spans="1:1">
      <c r="A2226" s="36"/>
    </row>
    <row r="2227" spans="1:1">
      <c r="A2227" s="36"/>
    </row>
    <row r="2228" spans="1:1">
      <c r="A2228" s="36"/>
    </row>
    <row r="2229" spans="1:1">
      <c r="A2229" s="36"/>
    </row>
    <row r="2230" spans="1:1">
      <c r="A2230" s="36"/>
    </row>
    <row r="2231" spans="1:1">
      <c r="A2231" s="36"/>
    </row>
    <row r="2232" spans="1:1">
      <c r="A2232" s="36"/>
    </row>
    <row r="2233" spans="1:1">
      <c r="A2233" s="36"/>
    </row>
    <row r="2234" spans="1:1">
      <c r="A2234" s="36"/>
    </row>
    <row r="2235" spans="1:1">
      <c r="A2235" s="36"/>
    </row>
    <row r="2236" spans="1:1">
      <c r="A2236" s="36"/>
    </row>
    <row r="2237" spans="1:1">
      <c r="A2237" s="36"/>
    </row>
    <row r="2238" spans="1:1">
      <c r="A2238" s="36"/>
    </row>
    <row r="2239" spans="1:1">
      <c r="A2239" s="36"/>
    </row>
    <row r="2240" spans="1:1">
      <c r="A2240" s="36"/>
    </row>
    <row r="2241" spans="1:1">
      <c r="A2241" s="36"/>
    </row>
    <row r="2242" spans="1:1">
      <c r="A2242" s="36"/>
    </row>
    <row r="2243" spans="1:1">
      <c r="A2243" s="36"/>
    </row>
    <row r="2244" spans="1:1">
      <c r="A2244" s="36"/>
    </row>
    <row r="2245" spans="1:1">
      <c r="A2245" s="36"/>
    </row>
    <row r="2246" spans="1:1">
      <c r="A2246" s="36"/>
    </row>
    <row r="2247" spans="1:1">
      <c r="A2247" s="36"/>
    </row>
    <row r="2248" spans="1:1">
      <c r="A2248" s="36"/>
    </row>
    <row r="2249" spans="1:1">
      <c r="A2249" s="36"/>
    </row>
    <row r="2250" spans="1:1">
      <c r="A2250" s="36"/>
    </row>
    <row r="2251" spans="1:1">
      <c r="A2251" s="36"/>
    </row>
    <row r="2252" spans="1:1">
      <c r="A2252" s="36"/>
    </row>
    <row r="2253" spans="1:1">
      <c r="A2253" s="36"/>
    </row>
    <row r="2254" spans="1:1">
      <c r="A2254" s="36"/>
    </row>
    <row r="2255" spans="1:1">
      <c r="A2255" s="36"/>
    </row>
    <row r="2256" spans="1:1">
      <c r="A2256" s="36"/>
    </row>
    <row r="2257" spans="1:1">
      <c r="A2257" s="36"/>
    </row>
    <row r="2258" spans="1:1">
      <c r="A2258" s="36"/>
    </row>
    <row r="2259" spans="1:1">
      <c r="A2259" s="36"/>
    </row>
    <row r="2260" spans="1:1">
      <c r="A2260" s="36"/>
    </row>
    <row r="2261" spans="1:1">
      <c r="A2261" s="36"/>
    </row>
    <row r="2262" spans="1:1">
      <c r="A2262" s="36"/>
    </row>
    <row r="2263" spans="1:1">
      <c r="A2263" s="36"/>
    </row>
    <row r="2264" spans="1:1">
      <c r="A2264" s="36"/>
    </row>
    <row r="2265" spans="1:1">
      <c r="A2265" s="36"/>
    </row>
    <row r="2266" spans="1:1">
      <c r="A2266" s="36"/>
    </row>
    <row r="2267" spans="1:1">
      <c r="A2267" s="36"/>
    </row>
    <row r="2268" spans="1:1">
      <c r="A2268" s="36"/>
    </row>
    <row r="2269" spans="1:1">
      <c r="A2269" s="36"/>
    </row>
    <row r="2270" spans="1:1">
      <c r="A2270" s="36"/>
    </row>
    <row r="2271" spans="1:1">
      <c r="A2271" s="36"/>
    </row>
    <row r="2272" spans="1:1">
      <c r="A2272" s="36"/>
    </row>
    <row r="2273" spans="1:1">
      <c r="A2273" s="36"/>
    </row>
    <row r="2274" spans="1:1">
      <c r="A2274" s="36"/>
    </row>
    <row r="2275" spans="1:1">
      <c r="A2275" s="36"/>
    </row>
    <row r="2276" spans="1:1">
      <c r="A2276" s="36"/>
    </row>
    <row r="2277" spans="1:1">
      <c r="A2277" s="36"/>
    </row>
    <row r="2278" spans="1:1">
      <c r="A2278" s="36"/>
    </row>
    <row r="2279" spans="1:1">
      <c r="A2279" s="36"/>
    </row>
    <row r="2280" spans="1:1">
      <c r="A2280" s="36"/>
    </row>
    <row r="2281" spans="1:1">
      <c r="A2281" s="36"/>
    </row>
    <row r="2282" spans="1:1">
      <c r="A2282" s="36"/>
    </row>
    <row r="2283" spans="1:1">
      <c r="A2283" s="36"/>
    </row>
    <row r="2284" spans="1:1">
      <c r="A2284" s="36"/>
    </row>
    <row r="2285" spans="1:1">
      <c r="A2285" s="36"/>
    </row>
    <row r="2286" spans="1:1">
      <c r="A2286" s="36"/>
    </row>
    <row r="2287" spans="1:1">
      <c r="A2287" s="36"/>
    </row>
    <row r="2288" spans="1:1">
      <c r="A2288" s="36"/>
    </row>
    <row r="2289" spans="1:1">
      <c r="A2289" s="36"/>
    </row>
    <row r="2290" spans="1:1">
      <c r="A2290" s="36"/>
    </row>
    <row r="2291" spans="1:1">
      <c r="A2291" s="36"/>
    </row>
    <row r="2292" spans="1:1">
      <c r="A2292" s="36"/>
    </row>
    <row r="2293" spans="1:1">
      <c r="A2293" s="36"/>
    </row>
    <row r="2294" spans="1:1">
      <c r="A2294" s="36"/>
    </row>
    <row r="2295" spans="1:1">
      <c r="A2295" s="36"/>
    </row>
    <row r="2296" spans="1:1">
      <c r="A2296" s="36"/>
    </row>
    <row r="2297" spans="1:1">
      <c r="A2297" s="36"/>
    </row>
    <row r="2298" spans="1:1">
      <c r="A2298" s="36"/>
    </row>
    <row r="2299" spans="1:1">
      <c r="A2299" s="36"/>
    </row>
    <row r="2300" spans="1:1">
      <c r="A2300" s="36"/>
    </row>
    <row r="2301" spans="1:1">
      <c r="A2301" s="36"/>
    </row>
    <row r="2302" spans="1:1">
      <c r="A2302" s="36"/>
    </row>
    <row r="2303" spans="1:1">
      <c r="A2303" s="36"/>
    </row>
    <row r="2304" spans="1:1">
      <c r="A2304" s="36"/>
    </row>
    <row r="2305" spans="1:1">
      <c r="A2305" s="36"/>
    </row>
    <row r="2306" spans="1:1">
      <c r="A2306" s="36"/>
    </row>
    <row r="2307" spans="1:1">
      <c r="A2307" s="36"/>
    </row>
    <row r="2308" spans="1:1">
      <c r="A2308" s="36"/>
    </row>
    <row r="2309" spans="1:1">
      <c r="A2309" s="36"/>
    </row>
    <row r="2310" spans="1:1">
      <c r="A2310" s="36"/>
    </row>
    <row r="2311" spans="1:1">
      <c r="A2311" s="36"/>
    </row>
    <row r="2312" spans="1:1">
      <c r="A2312" s="36"/>
    </row>
    <row r="2313" spans="1:1">
      <c r="A2313" s="36"/>
    </row>
    <row r="2314" spans="1:1">
      <c r="A2314" s="36"/>
    </row>
    <row r="2315" spans="1:1">
      <c r="A2315" s="36"/>
    </row>
    <row r="2316" spans="1:1">
      <c r="A2316" s="36"/>
    </row>
    <row r="2317" spans="1:1">
      <c r="A2317" s="36"/>
    </row>
    <row r="2318" spans="1:1">
      <c r="A2318" s="36"/>
    </row>
    <row r="2319" spans="1:1">
      <c r="A2319" s="36"/>
    </row>
    <row r="2320" spans="1:1">
      <c r="A2320" s="36"/>
    </row>
    <row r="2321" spans="1:1">
      <c r="A2321" s="36"/>
    </row>
    <row r="2322" spans="1:1">
      <c r="A2322" s="36"/>
    </row>
    <row r="2323" spans="1:1">
      <c r="A2323" s="36"/>
    </row>
    <row r="2324" spans="1:1">
      <c r="A2324" s="36"/>
    </row>
    <row r="2325" spans="1:1">
      <c r="A2325" s="36"/>
    </row>
    <row r="2326" spans="1:1">
      <c r="A2326" s="36"/>
    </row>
    <row r="2327" spans="1:1">
      <c r="A2327" s="36"/>
    </row>
    <row r="2328" spans="1:1">
      <c r="A2328" s="36"/>
    </row>
    <row r="2329" spans="1:1">
      <c r="A2329" s="36"/>
    </row>
    <row r="2330" spans="1:1">
      <c r="A2330" s="36"/>
    </row>
    <row r="2331" spans="1:1">
      <c r="A2331" s="36"/>
    </row>
    <row r="2332" spans="1:1">
      <c r="A2332" s="36"/>
    </row>
    <row r="2333" spans="1:1">
      <c r="A2333" s="36"/>
    </row>
    <row r="2334" spans="1:1">
      <c r="A2334" s="36"/>
    </row>
    <row r="2335" spans="1:1">
      <c r="A2335" s="36"/>
    </row>
    <row r="2336" spans="1:1">
      <c r="A2336" s="36"/>
    </row>
    <row r="2337" spans="1:1">
      <c r="A2337" s="36"/>
    </row>
    <row r="2338" spans="1:1">
      <c r="A2338" s="36"/>
    </row>
    <row r="2339" spans="1:1">
      <c r="A2339" s="36"/>
    </row>
    <row r="2340" spans="1:1">
      <c r="A2340" s="36"/>
    </row>
    <row r="2341" spans="1:1">
      <c r="A2341" s="36"/>
    </row>
    <row r="2342" spans="1:1">
      <c r="A2342" s="36"/>
    </row>
    <row r="2343" spans="1:1">
      <c r="A2343" s="36"/>
    </row>
    <row r="2344" spans="1:1">
      <c r="A2344" s="36"/>
    </row>
    <row r="2345" spans="1:1">
      <c r="A2345" s="36"/>
    </row>
    <row r="2346" spans="1:1">
      <c r="A2346" s="36"/>
    </row>
    <row r="2347" spans="1:1">
      <c r="A2347" s="36"/>
    </row>
    <row r="2348" spans="1:1">
      <c r="A2348" s="36"/>
    </row>
    <row r="2349" spans="1:1">
      <c r="A2349" s="36"/>
    </row>
    <row r="2350" spans="1:1">
      <c r="A2350" s="36"/>
    </row>
    <row r="2351" spans="1:1">
      <c r="A2351" s="36"/>
    </row>
    <row r="2352" spans="1:1">
      <c r="A2352" s="36"/>
    </row>
    <row r="2353" spans="1:1">
      <c r="A2353" s="36"/>
    </row>
    <row r="2354" spans="1:1">
      <c r="A2354" s="36"/>
    </row>
    <row r="2355" spans="1:1">
      <c r="A2355" s="36"/>
    </row>
    <row r="2356" spans="1:1">
      <c r="A2356" s="36"/>
    </row>
    <row r="2357" spans="1:1">
      <c r="A2357" s="36"/>
    </row>
    <row r="2358" spans="1:1">
      <c r="A2358" s="36"/>
    </row>
    <row r="2359" spans="1:1">
      <c r="A2359" s="36"/>
    </row>
    <row r="2360" spans="1:1">
      <c r="A2360" s="36"/>
    </row>
    <row r="2361" spans="1:1">
      <c r="A2361" s="36"/>
    </row>
    <row r="2362" spans="1:1">
      <c r="A2362" s="36"/>
    </row>
    <row r="2363" spans="1:1">
      <c r="A2363" s="36"/>
    </row>
    <row r="2364" spans="1:1">
      <c r="A2364" s="36"/>
    </row>
    <row r="2365" spans="1:1">
      <c r="A2365" s="36"/>
    </row>
    <row r="2366" spans="1:1">
      <c r="A2366" s="36"/>
    </row>
    <row r="2367" spans="1:1">
      <c r="A2367" s="36"/>
    </row>
    <row r="2368" spans="1:1">
      <c r="A2368" s="36"/>
    </row>
    <row r="2369" spans="1:1">
      <c r="A2369" s="36"/>
    </row>
    <row r="2370" spans="1:1">
      <c r="A2370" s="36"/>
    </row>
    <row r="2371" spans="1:1">
      <c r="A2371" s="36"/>
    </row>
    <row r="2372" spans="1:1">
      <c r="A2372" s="36"/>
    </row>
    <row r="2373" spans="1:1">
      <c r="A2373" s="36"/>
    </row>
    <row r="2374" spans="1:1">
      <c r="A2374" s="36"/>
    </row>
    <row r="2375" spans="1:1">
      <c r="A2375" s="36"/>
    </row>
    <row r="2376" spans="1:1">
      <c r="A2376" s="36"/>
    </row>
    <row r="2377" spans="1:1">
      <c r="A2377" s="36"/>
    </row>
    <row r="2378" spans="1:1">
      <c r="A2378" s="36"/>
    </row>
    <row r="2379" spans="1:1">
      <c r="A2379" s="36"/>
    </row>
    <row r="2380" spans="1:1">
      <c r="A2380" s="36"/>
    </row>
    <row r="2381" spans="1:1">
      <c r="A2381" s="36"/>
    </row>
    <row r="2382" spans="1:1">
      <c r="A2382" s="36"/>
    </row>
    <row r="2383" spans="1:1">
      <c r="A2383" s="36"/>
    </row>
    <row r="2384" spans="1:1">
      <c r="A2384" s="36"/>
    </row>
    <row r="2385" spans="1:1">
      <c r="A2385" s="36"/>
    </row>
    <row r="2386" spans="1:1">
      <c r="A2386" s="36"/>
    </row>
    <row r="2387" spans="1:1">
      <c r="A2387" s="36"/>
    </row>
    <row r="2388" spans="1:1">
      <c r="A2388" s="36"/>
    </row>
    <row r="2389" spans="1:1">
      <c r="A2389" s="36"/>
    </row>
    <row r="2390" spans="1:1">
      <c r="A2390" s="36"/>
    </row>
    <row r="2391" spans="1:1">
      <c r="A2391" s="36"/>
    </row>
    <row r="2392" spans="1:1">
      <c r="A2392" s="36"/>
    </row>
    <row r="2393" spans="1:1">
      <c r="A2393" s="36"/>
    </row>
    <row r="2394" spans="1:1">
      <c r="A2394" s="36"/>
    </row>
    <row r="2395" spans="1:1">
      <c r="A2395" s="36"/>
    </row>
    <row r="2396" spans="1:1">
      <c r="A2396" s="36"/>
    </row>
    <row r="2397" spans="1:1">
      <c r="A2397" s="36"/>
    </row>
    <row r="2398" spans="1:1">
      <c r="A2398" s="36"/>
    </row>
    <row r="2399" spans="1:1">
      <c r="A2399" s="36"/>
    </row>
    <row r="2400" spans="1:1">
      <c r="A2400" s="36"/>
    </row>
    <row r="2401" spans="1:1">
      <c r="A2401" s="36"/>
    </row>
    <row r="2402" spans="1:1">
      <c r="A2402" s="36"/>
    </row>
    <row r="2403" spans="1:1">
      <c r="A2403" s="44"/>
    </row>
    <row r="2404" spans="1:1">
      <c r="A2404" s="36"/>
    </row>
    <row r="2405" spans="1:1">
      <c r="A2405" s="36"/>
    </row>
    <row r="2406" spans="1:1">
      <c r="A2406" s="36"/>
    </row>
    <row r="2407" spans="1:1">
      <c r="A2407" s="36"/>
    </row>
    <row r="2408" spans="1:1">
      <c r="A2408" s="36"/>
    </row>
    <row r="2409" spans="1:1">
      <c r="A2409" s="36"/>
    </row>
    <row r="2410" spans="1:1">
      <c r="A2410" s="36"/>
    </row>
    <row r="2411" spans="1:1">
      <c r="A2411" s="36"/>
    </row>
    <row r="2412" spans="1:1">
      <c r="A2412" s="36"/>
    </row>
    <row r="2413" spans="1:1">
      <c r="A2413" s="36"/>
    </row>
    <row r="2414" spans="1:1">
      <c r="A2414" s="36"/>
    </row>
    <row r="2415" spans="1:1">
      <c r="A2415" s="36"/>
    </row>
    <row r="2416" spans="1:1">
      <c r="A2416" s="36"/>
    </row>
    <row r="2417" spans="1:1">
      <c r="A2417" s="36"/>
    </row>
    <row r="2418" spans="1:1">
      <c r="A2418" s="36"/>
    </row>
    <row r="2419" spans="1:1">
      <c r="A2419" s="36"/>
    </row>
    <row r="2420" spans="1:1">
      <c r="A2420" s="36"/>
    </row>
    <row r="2421" spans="1:1">
      <c r="A2421" s="36"/>
    </row>
    <row r="2422" spans="1:1">
      <c r="A2422" s="36"/>
    </row>
    <row r="2423" spans="1:1">
      <c r="A2423" s="36"/>
    </row>
    <row r="2424" spans="1:1">
      <c r="A2424" s="36"/>
    </row>
    <row r="2425" spans="1:1">
      <c r="A2425" s="36"/>
    </row>
    <row r="2426" spans="1:1">
      <c r="A2426" s="36"/>
    </row>
    <row r="2427" spans="1:1">
      <c r="A2427" s="36"/>
    </row>
    <row r="2428" spans="1:1">
      <c r="A2428" s="36"/>
    </row>
    <row r="2429" spans="1:1">
      <c r="A2429" s="36"/>
    </row>
    <row r="2430" spans="1:1">
      <c r="A2430" s="36"/>
    </row>
    <row r="2431" spans="1:1">
      <c r="A2431" s="36"/>
    </row>
    <row r="2432" spans="1:1">
      <c r="A2432" s="36"/>
    </row>
    <row r="2433" spans="1:1">
      <c r="A2433" s="36"/>
    </row>
    <row r="2434" spans="1:1">
      <c r="A2434" s="36"/>
    </row>
    <row r="2435" spans="1:1">
      <c r="A2435" s="36"/>
    </row>
    <row r="2436" spans="1:1">
      <c r="A2436" s="36"/>
    </row>
    <row r="2437" spans="1:1">
      <c r="A2437" s="36"/>
    </row>
    <row r="2438" spans="1:1">
      <c r="A2438" s="36"/>
    </row>
    <row r="2439" spans="1:1">
      <c r="A2439" s="36"/>
    </row>
    <row r="2440" spans="1:1">
      <c r="A2440" s="36"/>
    </row>
    <row r="2441" spans="1:1">
      <c r="A2441" s="36"/>
    </row>
    <row r="2442" spans="1:1">
      <c r="A2442" s="44"/>
    </row>
    <row r="2443" spans="1:1">
      <c r="A2443" s="36"/>
    </row>
    <row r="2444" spans="1:1">
      <c r="A2444" s="44"/>
    </row>
    <row r="2445" spans="1:1">
      <c r="A2445" s="44"/>
    </row>
    <row r="2446" spans="1:1">
      <c r="A2446" s="44"/>
    </row>
    <row r="2447" spans="1:1">
      <c r="A2447" s="44"/>
    </row>
    <row r="2448" spans="1:1">
      <c r="A2448" s="44"/>
    </row>
    <row r="2449" spans="1:1">
      <c r="A2449" s="36"/>
    </row>
    <row r="2450" spans="1:1">
      <c r="A2450" s="36"/>
    </row>
    <row r="2451" spans="1:1">
      <c r="A2451" s="36"/>
    </row>
    <row r="2452" spans="1:1">
      <c r="A2452" s="36"/>
    </row>
    <row r="2453" spans="1:1">
      <c r="A2453" s="36"/>
    </row>
    <row r="2454" spans="1:1">
      <c r="A2454" s="36"/>
    </row>
    <row r="2455" spans="1:1">
      <c r="A2455" s="36"/>
    </row>
    <row r="2456" spans="1:1">
      <c r="A2456" s="36"/>
    </row>
    <row r="2457" spans="1:1">
      <c r="A2457" s="36"/>
    </row>
    <row r="2458" spans="1:1">
      <c r="A2458" s="36"/>
    </row>
    <row r="2459" spans="1:1">
      <c r="A2459" s="36"/>
    </row>
    <row r="2460" spans="1:1">
      <c r="A2460" s="36"/>
    </row>
    <row r="2461" spans="1:1">
      <c r="A2461" s="36"/>
    </row>
    <row r="2462" spans="1:1">
      <c r="A2462" s="36"/>
    </row>
    <row r="2463" spans="1:1">
      <c r="A2463" s="36"/>
    </row>
    <row r="2464" spans="1:1">
      <c r="A2464" s="36"/>
    </row>
    <row r="2465" spans="1:1">
      <c r="A2465" s="36"/>
    </row>
    <row r="2466" spans="1:1">
      <c r="A2466" s="36"/>
    </row>
    <row r="2467" spans="1:1">
      <c r="A2467" s="44"/>
    </row>
    <row r="2468" spans="1:1">
      <c r="A2468" s="44"/>
    </row>
    <row r="2469" spans="1:1">
      <c r="A2469" s="44"/>
    </row>
    <row r="2470" spans="1:1">
      <c r="A2470" s="44"/>
    </row>
    <row r="2471" spans="1:1">
      <c r="A2471" s="44"/>
    </row>
    <row r="2472" spans="1:1">
      <c r="A2472" s="36"/>
    </row>
    <row r="2473" spans="1:1">
      <c r="A2473" s="36"/>
    </row>
    <row r="2474" spans="1:1">
      <c r="A2474" s="36"/>
    </row>
    <row r="2475" spans="1:1">
      <c r="A2475" s="36"/>
    </row>
    <row r="2476" spans="1:1">
      <c r="A2476" s="36"/>
    </row>
    <row r="2477" spans="1:1">
      <c r="A2477" s="36"/>
    </row>
    <row r="2478" spans="1:1">
      <c r="A2478" s="36"/>
    </row>
    <row r="2479" spans="1:1">
      <c r="A2479" s="36"/>
    </row>
    <row r="2480" spans="1:1">
      <c r="A2480" s="36"/>
    </row>
    <row r="2481" spans="1:1">
      <c r="A2481" s="36"/>
    </row>
    <row r="2482" spans="1:1">
      <c r="A2482" s="36"/>
    </row>
  </sheetData>
  <dataValidations count="1">
    <dataValidation type="whole" allowBlank="1" showInputMessage="1" showErrorMessage="1" sqref="A95 A2442 A2444:A2448 A2467:A2471" xr:uid="{00000000-0002-0000-0000-000000000000}">
      <formula1>20000000000</formula1>
      <formula2>33999999999</formula2>
    </dataValidation>
  </dataValidations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theme="9" tint="-0.249977111117893"/>
  </sheetPr>
  <dimension ref="A1:Z135"/>
  <sheetViews>
    <sheetView showGridLines="0" topLeftCell="F18" zoomScale="90" zoomScaleNormal="90" workbookViewId="0">
      <selection activeCell="L29" sqref="L29"/>
    </sheetView>
  </sheetViews>
  <sheetFormatPr baseColWidth="10" defaultColWidth="15.7109375" defaultRowHeight="15"/>
  <cols>
    <col min="1" max="1" width="5.7109375" customWidth="1"/>
    <col min="7" max="7" width="21.85546875" customWidth="1"/>
  </cols>
  <sheetData>
    <row r="1" spans="1:26" ht="34.9" customHeight="1">
      <c r="A1" s="37"/>
      <c r="B1" s="430" t="s">
        <v>28</v>
      </c>
      <c r="C1" s="430"/>
      <c r="D1" s="430"/>
      <c r="E1" s="430"/>
      <c r="F1" s="430"/>
      <c r="G1" s="431" t="s">
        <v>108</v>
      </c>
      <c r="H1" s="431"/>
      <c r="I1" s="431"/>
      <c r="J1" s="431"/>
      <c r="K1" s="431"/>
      <c r="L1" s="431"/>
      <c r="M1" s="431"/>
      <c r="N1" s="427">
        <v>46023</v>
      </c>
      <c r="O1" s="427"/>
      <c r="P1" s="427"/>
      <c r="Q1" s="427"/>
      <c r="R1" s="427"/>
    </row>
    <row r="2" spans="1:26" ht="15" customHeight="1"/>
    <row r="3" spans="1:26" ht="26.45" customHeight="1">
      <c r="B3" s="433" t="s">
        <v>65</v>
      </c>
      <c r="C3" s="433"/>
      <c r="D3" s="433"/>
      <c r="E3" s="433"/>
      <c r="F3" s="38"/>
      <c r="G3" s="433" t="s">
        <v>37</v>
      </c>
      <c r="H3" s="433"/>
      <c r="I3" s="38"/>
      <c r="J3" s="441" t="s">
        <v>14</v>
      </c>
      <c r="K3" s="441"/>
      <c r="L3" s="38"/>
      <c r="M3" s="441" t="s">
        <v>12</v>
      </c>
      <c r="N3" s="441"/>
      <c r="O3" s="38"/>
      <c r="P3" s="439" t="s">
        <v>90</v>
      </c>
      <c r="Q3" s="439"/>
      <c r="R3" s="439"/>
    </row>
    <row r="4" spans="1:26" ht="25.15" customHeight="1">
      <c r="B4" s="434">
        <f>SUM(compras_mes1[[#Totals],[NETO GRAVADO]])+extracto_banco_mes1[[#Totals],[NETO]]</f>
        <v>4830419.6500000004</v>
      </c>
      <c r="C4" s="434"/>
      <c r="D4" s="434"/>
      <c r="E4" s="434"/>
      <c r="F4" s="39"/>
      <c r="G4" s="435">
        <f>compras_mes1[[#Totals],[IVA 21 %]]+compras_mes1[[#Totals],[IVA 27%]]+compras_mes1[[#Totals],[IVA 10,5%]]+extracto_banco_mes1[[#Totals],[IVA 21%]]+extracto_banco_mes1[[#Totals],[IVA 10,5%]]</f>
        <v>1014388.1264999999</v>
      </c>
      <c r="H4" s="435"/>
      <c r="I4" s="39"/>
      <c r="J4" s="442">
        <f>venta_a_mes1[[#Totals],[IMPORTE NETO]]+ventas_b_mes1[[#Totals],[IMPORTE NETO]]</f>
        <v>10038329.359999999</v>
      </c>
      <c r="K4" s="442"/>
      <c r="L4" s="39"/>
      <c r="M4" s="442">
        <f>venta_a_mes1[[#Totals],[IVA 21%]]+venta_a_mes1[[#Totals],[IVA 10,5%]]+ventas_b_mes1[[#Totals],[IVA 21%]]+ventas_b_mes1[[#Totals],[IVA 10,5%]]</f>
        <v>2108049.1655999999</v>
      </c>
      <c r="N4" s="442"/>
      <c r="O4" s="39"/>
      <c r="P4" s="437">
        <f>G4-M4</f>
        <v>-1093661.0391000002</v>
      </c>
      <c r="Q4" s="438"/>
      <c r="R4" s="438"/>
    </row>
    <row r="5" spans="1:26" ht="13.15" customHeight="1"/>
    <row r="6" spans="1:26" ht="16.5" customHeight="1">
      <c r="G6" s="330"/>
      <c r="H6" s="280"/>
      <c r="I6" s="280"/>
    </row>
    <row r="7" spans="1:26" s="2" customFormat="1" ht="10.9" customHeight="1">
      <c r="B7" s="440"/>
      <c r="C7" s="440"/>
      <c r="D7" s="444"/>
      <c r="E7" s="444"/>
      <c r="F7" s="44"/>
      <c r="G7" s="45"/>
      <c r="H7" s="46"/>
      <c r="I7" s="139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40" t="s">
        <v>215</v>
      </c>
      <c r="C9" s="41">
        <v>1</v>
      </c>
      <c r="D9" s="42">
        <v>2</v>
      </c>
      <c r="E9" s="43">
        <v>1622</v>
      </c>
      <c r="F9" s="44">
        <v>30718631730</v>
      </c>
      <c r="G9" s="45" t="str">
        <f>IFERROR(IF(compras_mes1[[#This Row],[CUIT]]="","-",VLOOKUP(compras_mes1[[#This Row],[CUIT]],Lista_CUIT[#All],2,0)),"CUIT NO CARGADO")</f>
        <v>SIMZ S. R. L.</v>
      </c>
      <c r="H9" s="46">
        <v>147686</v>
      </c>
      <c r="I9" s="85">
        <f>IF(compras_mes1[[#This Row],[NETO GRAVADO]]="","",compras_mes1[[#This Row],[NETO GRAVADO]]*0.21)</f>
        <v>31014.059999999998</v>
      </c>
      <c r="J9" s="85"/>
      <c r="K9" s="85"/>
      <c r="L9" s="85"/>
      <c r="M9" s="85"/>
      <c r="N9" s="85"/>
      <c r="O9" s="85"/>
      <c r="P9" s="48">
        <f>SUM(compras_mes1[[#This Row],[NETO GRAVADO]:[Otros / No Grav.]])</f>
        <v>178700.06</v>
      </c>
      <c r="Q9" s="49">
        <f>IFERROR(IF(compras_mes1[[#This Row],[CUIT]]="","-",VLOOKUP(compras_mes1[[#This Row],[CUIT]],Lista_CUIT[#All],3,0)),"CUIT NO CARGADO")</f>
        <v>0</v>
      </c>
      <c r="R9" s="49">
        <f>IFERROR(IF(compras_mes1[[#This Row],[CUIT]]="","-",VLOOKUP(compras_mes1[[#This Row],[CUIT]],Lista_CUIT[#All],4,0)),"CUIT NO CARGADO")</f>
        <v>0</v>
      </c>
    </row>
    <row r="10" spans="1:26">
      <c r="B10" s="363" t="s">
        <v>216</v>
      </c>
      <c r="C10" s="364">
        <v>1</v>
      </c>
      <c r="D10" s="365">
        <v>2</v>
      </c>
      <c r="E10" s="366">
        <v>1672954</v>
      </c>
      <c r="F10" s="367">
        <v>30710173652</v>
      </c>
      <c r="G10" s="368" t="str">
        <f>IFERROR(IF(compras_mes1[[#This Row],[CUIT]]="","-",VLOOKUP(compras_mes1[[#This Row],[CUIT]],Lista_CUIT[#All],2,0)),"CUIT NO CARGADO")</f>
        <v>DATTATEC.COM S.R.L.</v>
      </c>
      <c r="H10" s="369">
        <v>33057.85</v>
      </c>
      <c r="I10" s="370">
        <f>IF(compras_mes1[[#This Row],[NETO GRAVADO]]="","",compras_mes1[[#This Row],[NETO GRAVADO]]*0.21)</f>
        <v>6942.1484999999993</v>
      </c>
      <c r="J10" s="370"/>
      <c r="K10" s="370"/>
      <c r="L10" s="370"/>
      <c r="M10" s="370"/>
      <c r="N10" s="370"/>
      <c r="O10" s="370"/>
      <c r="P10" s="371">
        <f>SUM(compras_mes1[[#This Row],[NETO GRAVADO]:[Otros / No Grav.]])</f>
        <v>39999.998500000002</v>
      </c>
      <c r="Q10" s="372">
        <f>IFERROR(IF(compras_mes1[[#This Row],[CUIT]]="","-",VLOOKUP(compras_mes1[[#This Row],[CUIT]],Lista_CUIT[#All],3,0)),"CUIT NO CARGADO")</f>
        <v>0</v>
      </c>
      <c r="R10" s="372">
        <f>IFERROR(IF(compras_mes1[[#This Row],[CUIT]]="","-",VLOOKUP(compras_mes1[[#This Row],[CUIT]],Lista_CUIT[#All],4,0)),"CUIT NO CARGADO")</f>
        <v>0</v>
      </c>
    </row>
    <row r="11" spans="1:26">
      <c r="B11" s="363" t="s">
        <v>217</v>
      </c>
      <c r="C11" s="364">
        <v>1</v>
      </c>
      <c r="D11" s="365">
        <v>2</v>
      </c>
      <c r="E11" s="366">
        <v>1675699</v>
      </c>
      <c r="F11" s="367">
        <v>30710173652</v>
      </c>
      <c r="G11" s="368" t="str">
        <f>IFERROR(IF(compras_mes1[[#This Row],[CUIT]]="","-",VLOOKUP(compras_mes1[[#This Row],[CUIT]],Lista_CUIT[#All],2,0)),"CUIT NO CARGADO")</f>
        <v>DATTATEC.COM S.R.L.</v>
      </c>
      <c r="H11" s="369">
        <v>33057.85</v>
      </c>
      <c r="I11" s="370">
        <f>IF(compras_mes1[[#This Row],[NETO GRAVADO]]="","",compras_mes1[[#This Row],[NETO GRAVADO]]*0.21)</f>
        <v>6942.1484999999993</v>
      </c>
      <c r="J11" s="370"/>
      <c r="K11" s="370"/>
      <c r="L11" s="370"/>
      <c r="M11" s="370"/>
      <c r="N11" s="370"/>
      <c r="O11" s="370"/>
      <c r="P11" s="371">
        <f>SUM(compras_mes1[[#This Row],[NETO GRAVADO]:[Otros / No Grav.]])</f>
        <v>39999.998500000002</v>
      </c>
      <c r="Q11" s="372">
        <f>IFERROR(IF(compras_mes1[[#This Row],[CUIT]]="","-",VLOOKUP(compras_mes1[[#This Row],[CUIT]],Lista_CUIT[#All],3,0)),"CUIT NO CARGADO")</f>
        <v>0</v>
      </c>
      <c r="R11" s="372">
        <f>IFERROR(IF(compras_mes1[[#This Row],[CUIT]]="","-",VLOOKUP(compras_mes1[[#This Row],[CUIT]],Lista_CUIT[#All],4,0)),"CUIT NO CARGADO")</f>
        <v>0</v>
      </c>
    </row>
    <row r="12" spans="1:26">
      <c r="B12" s="363" t="s">
        <v>218</v>
      </c>
      <c r="C12" s="364">
        <v>1</v>
      </c>
      <c r="D12" s="365">
        <v>11</v>
      </c>
      <c r="E12" s="366">
        <v>1268196</v>
      </c>
      <c r="F12" s="367">
        <v>33709585229</v>
      </c>
      <c r="G12" s="368" t="str">
        <f>IFERROR(IF(compras_mes1[[#This Row],[CUIT]]="","-",VLOOKUP(compras_mes1[[#This Row],[CUIT]],Lista_CUIT[#All],2,0)),"CUIT NO CARGADO")</f>
        <v>GOOGLE ARGENTINA S.R.L.</v>
      </c>
      <c r="H12" s="369">
        <v>15313.17</v>
      </c>
      <c r="I12" s="370">
        <f>IF(compras_mes1[[#This Row],[NETO GRAVADO]]="","",compras_mes1[[#This Row],[NETO GRAVADO]]*0.21)</f>
        <v>3215.7656999999999</v>
      </c>
      <c r="J12" s="370"/>
      <c r="K12" s="370"/>
      <c r="L12" s="370"/>
      <c r="M12" s="370"/>
      <c r="N12" s="370">
        <v>229.7</v>
      </c>
      <c r="O12" s="370">
        <v>459.4</v>
      </c>
      <c r="P12" s="371">
        <f>SUM(compras_mes1[[#This Row],[NETO GRAVADO]:[Otros / No Grav.]])</f>
        <v>19218.035700000004</v>
      </c>
      <c r="Q12" s="372" t="str">
        <f>IFERROR(IF(compras_mes1[[#This Row],[CUIT]]="","-",VLOOKUP(compras_mes1[[#This Row],[CUIT]],Lista_CUIT[#All],3,0)),"CUIT NO CARGADO")</f>
        <v>Servicios de publicidad</v>
      </c>
      <c r="R12" s="372">
        <f>IFERROR(IF(compras_mes1[[#This Row],[CUIT]]="","-",VLOOKUP(compras_mes1[[#This Row],[CUIT]],Lista_CUIT[#All],4,0)),"CUIT NO CARGADO")</f>
        <v>0</v>
      </c>
    </row>
    <row r="13" spans="1:26">
      <c r="B13" s="363" t="s">
        <v>219</v>
      </c>
      <c r="C13" s="364">
        <v>1</v>
      </c>
      <c r="D13" s="365">
        <v>2</v>
      </c>
      <c r="E13" s="366">
        <v>1689272</v>
      </c>
      <c r="F13" s="367">
        <v>30710173652</v>
      </c>
      <c r="G13" s="368" t="str">
        <f>IFERROR(IF(compras_mes1[[#This Row],[CUIT]]="","-",VLOOKUP(compras_mes1[[#This Row],[CUIT]],Lista_CUIT[#All],2,0)),"CUIT NO CARGADO")</f>
        <v>DATTATEC.COM S.R.L.</v>
      </c>
      <c r="H13" s="369">
        <v>145206.60999999999</v>
      </c>
      <c r="I13" s="370">
        <f>IF(compras_mes1[[#This Row],[NETO GRAVADO]]="","",compras_mes1[[#This Row],[NETO GRAVADO]]*0.21)</f>
        <v>30493.388099999996</v>
      </c>
      <c r="J13" s="370"/>
      <c r="K13" s="370"/>
      <c r="L13" s="370"/>
      <c r="M13" s="370"/>
      <c r="N13" s="370"/>
      <c r="O13" s="370"/>
      <c r="P13" s="371">
        <f>SUM(compras_mes1[[#This Row],[NETO GRAVADO]:[Otros / No Grav.]])</f>
        <v>175699.99809999997</v>
      </c>
      <c r="Q13" s="372">
        <f>IFERROR(IF(compras_mes1[[#This Row],[CUIT]]="","-",VLOOKUP(compras_mes1[[#This Row],[CUIT]],Lista_CUIT[#All],3,0)),"CUIT NO CARGADO")</f>
        <v>0</v>
      </c>
      <c r="R13" s="372">
        <f>IFERROR(IF(compras_mes1[[#This Row],[CUIT]]="","-",VLOOKUP(compras_mes1[[#This Row],[CUIT]],Lista_CUIT[#All],4,0)),"CUIT NO CARGADO")</f>
        <v>0</v>
      </c>
    </row>
    <row r="14" spans="1:26">
      <c r="B14" s="363" t="s">
        <v>219</v>
      </c>
      <c r="C14" s="364">
        <v>1</v>
      </c>
      <c r="D14" s="365">
        <v>2</v>
      </c>
      <c r="E14" s="366">
        <v>1689097</v>
      </c>
      <c r="F14" s="367">
        <v>30710173652</v>
      </c>
      <c r="G14" s="368" t="str">
        <f>IFERROR(IF(compras_mes1[[#This Row],[CUIT]]="","-",VLOOKUP(compras_mes1[[#This Row],[CUIT]],Lista_CUIT[#All],2,0)),"CUIT NO CARGADO")</f>
        <v>DATTATEC.COM S.R.L.</v>
      </c>
      <c r="H14" s="369">
        <v>31660</v>
      </c>
      <c r="I14" s="370">
        <f>IF(compras_mes1[[#This Row],[NETO GRAVADO]]="","",compras_mes1[[#This Row],[NETO GRAVADO]]*0.21)</f>
        <v>6648.5999999999995</v>
      </c>
      <c r="J14" s="370"/>
      <c r="K14" s="370"/>
      <c r="L14" s="370"/>
      <c r="M14" s="370"/>
      <c r="N14" s="370"/>
      <c r="O14" s="370"/>
      <c r="P14" s="371">
        <f>SUM(compras_mes1[[#This Row],[NETO GRAVADO]:[Otros / No Grav.]])</f>
        <v>38308.6</v>
      </c>
      <c r="Q14" s="372">
        <f>IFERROR(IF(compras_mes1[[#This Row],[CUIT]]="","-",VLOOKUP(compras_mes1[[#This Row],[CUIT]],Lista_CUIT[#All],3,0)),"CUIT NO CARGADO")</f>
        <v>0</v>
      </c>
      <c r="R14" s="372">
        <f>IFERROR(IF(compras_mes1[[#This Row],[CUIT]]="","-",VLOOKUP(compras_mes1[[#This Row],[CUIT]],Lista_CUIT[#All],4,0)),"CUIT NO CARGADO")</f>
        <v>0</v>
      </c>
    </row>
    <row r="15" spans="1:26">
      <c r="B15" s="363" t="s">
        <v>220</v>
      </c>
      <c r="C15" s="364">
        <v>1</v>
      </c>
      <c r="D15" s="365">
        <v>2</v>
      </c>
      <c r="E15" s="366">
        <v>1689950</v>
      </c>
      <c r="F15" s="367">
        <v>30710173652</v>
      </c>
      <c r="G15" s="368" t="str">
        <f>IFERROR(IF(compras_mes1[[#This Row],[CUIT]]="","-",VLOOKUP(compras_mes1[[#This Row],[CUIT]],Lista_CUIT[#All],2,0)),"CUIT NO CARGADO")</f>
        <v>DATTATEC.COM S.R.L.</v>
      </c>
      <c r="H15" s="369">
        <v>33057.85</v>
      </c>
      <c r="I15" s="370">
        <f>IF(compras_mes1[[#This Row],[NETO GRAVADO]]="","",compras_mes1[[#This Row],[NETO GRAVADO]]*0.21)</f>
        <v>6942.1484999999993</v>
      </c>
      <c r="J15" s="370"/>
      <c r="K15" s="370"/>
      <c r="L15" s="370"/>
      <c r="M15" s="370"/>
      <c r="N15" s="370"/>
      <c r="O15" s="370"/>
      <c r="P15" s="371">
        <f>SUM(compras_mes1[[#This Row],[NETO GRAVADO]:[Otros / No Grav.]])</f>
        <v>39999.998500000002</v>
      </c>
      <c r="Q15" s="372">
        <f>IFERROR(IF(compras_mes1[[#This Row],[CUIT]]="","-",VLOOKUP(compras_mes1[[#This Row],[CUIT]],Lista_CUIT[#All],3,0)),"CUIT NO CARGADO")</f>
        <v>0</v>
      </c>
      <c r="R15" s="372">
        <f>IFERROR(IF(compras_mes1[[#This Row],[CUIT]]="","-",VLOOKUP(compras_mes1[[#This Row],[CUIT]],Lista_CUIT[#All],4,0)),"CUIT NO CARGADO")</f>
        <v>0</v>
      </c>
    </row>
    <row r="16" spans="1:26">
      <c r="B16" s="363" t="s">
        <v>220</v>
      </c>
      <c r="C16" s="364">
        <v>1</v>
      </c>
      <c r="D16" s="365">
        <v>11</v>
      </c>
      <c r="E16" s="366">
        <v>1276363</v>
      </c>
      <c r="F16" s="367">
        <v>33709585229</v>
      </c>
      <c r="G16" s="368" t="str">
        <f>IFERROR(IF(compras_mes1[[#This Row],[CUIT]]="","-",VLOOKUP(compras_mes1[[#This Row],[CUIT]],Lista_CUIT[#All],2,0)),"CUIT NO CARGADO")</f>
        <v>GOOGLE ARGENTINA S.R.L.</v>
      </c>
      <c r="H16" s="369">
        <v>2788520.62</v>
      </c>
      <c r="I16" s="370">
        <f>IF(compras_mes1[[#This Row],[NETO GRAVADO]]="","",compras_mes1[[#This Row],[NETO GRAVADO]]*0.21)</f>
        <v>585589.33019999997</v>
      </c>
      <c r="J16" s="370"/>
      <c r="K16" s="370"/>
      <c r="L16" s="370"/>
      <c r="M16" s="370"/>
      <c r="N16" s="370">
        <v>41827.81</v>
      </c>
      <c r="O16" s="370">
        <v>83655.62</v>
      </c>
      <c r="P16" s="371">
        <f>SUM(compras_mes1[[#This Row],[NETO GRAVADO]:[Otros / No Grav.]])</f>
        <v>3499593.3802</v>
      </c>
      <c r="Q16" s="372" t="str">
        <f>IFERROR(IF(compras_mes1[[#This Row],[CUIT]]="","-",VLOOKUP(compras_mes1[[#This Row],[CUIT]],Lista_CUIT[#All],3,0)),"CUIT NO CARGADO")</f>
        <v>Servicios de publicidad</v>
      </c>
      <c r="R16" s="372">
        <f>IFERROR(IF(compras_mes1[[#This Row],[CUIT]]="","-",VLOOKUP(compras_mes1[[#This Row],[CUIT]],Lista_CUIT[#All],4,0)),"CUIT NO CARGADO")</f>
        <v>0</v>
      </c>
    </row>
    <row r="17" spans="2:18">
      <c r="B17" s="363" t="s">
        <v>220</v>
      </c>
      <c r="C17" s="364">
        <v>1</v>
      </c>
      <c r="D17" s="365">
        <v>11</v>
      </c>
      <c r="E17" s="366">
        <v>1279137</v>
      </c>
      <c r="F17" s="367">
        <v>33709585229</v>
      </c>
      <c r="G17" s="368" t="str">
        <f>IFERROR(IF(compras_mes1[[#This Row],[CUIT]]="","-",VLOOKUP(compras_mes1[[#This Row],[CUIT]],Lista_CUIT[#All],2,0)),"CUIT NO CARGADO")</f>
        <v>GOOGLE ARGENTINA S.R.L.</v>
      </c>
      <c r="H17" s="369">
        <v>1603005.67</v>
      </c>
      <c r="I17" s="370">
        <f>IF(compras_mes1[[#This Row],[NETO GRAVADO]]="","",compras_mes1[[#This Row],[NETO GRAVADO]]*0.21)</f>
        <v>336631.19069999998</v>
      </c>
      <c r="J17" s="370"/>
      <c r="K17" s="370"/>
      <c r="L17" s="370"/>
      <c r="M17" s="370"/>
      <c r="N17" s="370">
        <v>24045.09</v>
      </c>
      <c r="O17" s="370">
        <v>48090.17</v>
      </c>
      <c r="P17" s="371">
        <f>SUM(compras_mes1[[#This Row],[NETO GRAVADO]:[Otros / No Grav.]])</f>
        <v>2011772.1206999999</v>
      </c>
      <c r="Q17" s="372" t="str">
        <f>IFERROR(IF(compras_mes1[[#This Row],[CUIT]]="","-",VLOOKUP(compras_mes1[[#This Row],[CUIT]],Lista_CUIT[#All],3,0)),"CUIT NO CARGADO")</f>
        <v>Servicios de publicidad</v>
      </c>
      <c r="R17" s="372">
        <f>IFERROR(IF(compras_mes1[[#This Row],[CUIT]]="","-",VLOOKUP(compras_mes1[[#This Row],[CUIT]],Lista_CUIT[#All],4,0)),"CUIT NO CARGADO")</f>
        <v>0</v>
      </c>
    </row>
    <row r="18" spans="2:18">
      <c r="B18" s="363" t="s">
        <v>220</v>
      </c>
      <c r="C18" s="364">
        <v>3</v>
      </c>
      <c r="D18" s="365">
        <v>11</v>
      </c>
      <c r="E18" s="366">
        <v>909322</v>
      </c>
      <c r="F18" s="367">
        <v>33709585229</v>
      </c>
      <c r="G18" s="368" t="str">
        <f>IFERROR(IF(compras_mes1[[#This Row],[CUIT]]="","-",VLOOKUP(compras_mes1[[#This Row],[CUIT]],Lista_CUIT[#All],2,0)),"CUIT NO CARGADO")</f>
        <v>GOOGLE ARGENTINA S.R.L.</v>
      </c>
      <c r="H18" s="369">
        <v>-145.97</v>
      </c>
      <c r="I18" s="370">
        <f>IF(compras_mes1[[#This Row],[NETO GRAVADO]]="","",compras_mes1[[#This Row],[NETO GRAVADO]]*0.21)</f>
        <v>-30.653699999999997</v>
      </c>
      <c r="J18" s="370"/>
      <c r="K18" s="370"/>
      <c r="L18" s="370"/>
      <c r="M18" s="370"/>
      <c r="N18" s="370">
        <v>-2.19</v>
      </c>
      <c r="O18" s="370"/>
      <c r="P18" s="371">
        <f>SUM(compras_mes1[[#This Row],[NETO GRAVADO]:[Otros / No Grav.]])</f>
        <v>-178.81369999999998</v>
      </c>
      <c r="Q18" s="372" t="str">
        <f>IFERROR(IF(compras_mes1[[#This Row],[CUIT]]="","-",VLOOKUP(compras_mes1[[#This Row],[CUIT]],Lista_CUIT[#All],3,0)),"CUIT NO CARGADO")</f>
        <v>Servicios de publicidad</v>
      </c>
      <c r="R18" s="372">
        <f>IFERROR(IF(compras_mes1[[#This Row],[CUIT]]="","-",VLOOKUP(compras_mes1[[#This Row],[CUIT]],Lista_CUIT[#All],4,0)),"CUIT NO CARGADO")</f>
        <v>0</v>
      </c>
    </row>
    <row r="19" spans="2:18">
      <c r="B19" s="363"/>
      <c r="C19" s="364"/>
      <c r="D19" s="365"/>
      <c r="E19" s="366"/>
      <c r="F19" s="367"/>
      <c r="G19" s="368" t="str">
        <f>IFERROR(IF(compras_mes1[[#This Row],[CUIT]]="","-",VLOOKUP(compras_mes1[[#This Row],[CUIT]],Lista_CUIT[#All],2,0)),"CUIT NO CARGADO")</f>
        <v>-</v>
      </c>
      <c r="H19" s="369"/>
      <c r="I19" s="370" t="str">
        <f>IF(compras_mes1[[#This Row],[NETO GRAVADO]]="","",compras_mes1[[#This Row],[NETO GRAVADO]]*0.21)</f>
        <v/>
      </c>
      <c r="J19" s="370"/>
      <c r="K19" s="370"/>
      <c r="L19" s="370"/>
      <c r="M19" s="370"/>
      <c r="N19" s="370"/>
      <c r="O19" s="370"/>
      <c r="P19" s="371">
        <f>SUM(compras_mes1[[#This Row],[NETO GRAVADO]:[Otros / No Grav.]])</f>
        <v>0</v>
      </c>
      <c r="Q19" s="372" t="str">
        <f>IFERROR(IF(compras_mes1[[#This Row],[CUIT]]="","-",VLOOKUP(compras_mes1[[#This Row],[CUIT]],Lista_CUIT[#All],3,0)),"CUIT NO CARGADO")</f>
        <v>-</v>
      </c>
      <c r="R19" s="372" t="str">
        <f>IFERROR(IF(compras_mes1[[#This Row],[CUIT]]="","-",VLOOKUP(compras_mes1[[#This Row],[CUIT]],Lista_CUIT[#All],4,0)),"CUIT NO CARGADO")</f>
        <v>-</v>
      </c>
    </row>
    <row r="20" spans="2:18">
      <c r="B20" s="363"/>
      <c r="C20" s="364"/>
      <c r="D20" s="365"/>
      <c r="E20" s="366"/>
      <c r="F20" s="367"/>
      <c r="G20" s="368" t="str">
        <f>IFERROR(IF(compras_mes1[[#This Row],[CUIT]]="","-",VLOOKUP(compras_mes1[[#This Row],[CUIT]],Lista_CUIT[#All],2,0)),"CUIT NO CARGADO")</f>
        <v>-</v>
      </c>
      <c r="H20" s="369"/>
      <c r="I20" s="370" t="str">
        <f>IF(compras_mes1[[#This Row],[NETO GRAVADO]]="","",compras_mes1[[#This Row],[NETO GRAVADO]]*0.21)</f>
        <v/>
      </c>
      <c r="J20" s="370"/>
      <c r="K20" s="370"/>
      <c r="L20" s="370"/>
      <c r="M20" s="370"/>
      <c r="N20" s="370"/>
      <c r="O20" s="370"/>
      <c r="P20" s="371">
        <f>SUM(compras_mes1[[#This Row],[NETO GRAVADO]:[Otros / No Grav.]])</f>
        <v>0</v>
      </c>
      <c r="Q20" s="372" t="str">
        <f>IFERROR(IF(compras_mes1[[#This Row],[CUIT]]="","-",VLOOKUP(compras_mes1[[#This Row],[CUIT]],Lista_CUIT[#All],3,0)),"CUIT NO CARGADO")</f>
        <v>-</v>
      </c>
      <c r="R20" s="372" t="str">
        <f>IFERROR(IF(compras_mes1[[#This Row],[CUIT]]="","-",VLOOKUP(compras_mes1[[#This Row],[CUIT]],Lista_CUIT[#All],4,0)),"CUIT NO CARGADO")</f>
        <v>-</v>
      </c>
    </row>
    <row r="21" spans="2:18">
      <c r="B21" s="363"/>
      <c r="C21" s="364"/>
      <c r="D21" s="365"/>
      <c r="E21" s="366"/>
      <c r="F21" s="367"/>
      <c r="G21" s="368" t="str">
        <f>IFERROR(IF(compras_mes1[[#This Row],[CUIT]]="","-",VLOOKUP(compras_mes1[[#This Row],[CUIT]],Lista_CUIT[#All],2,0)),"CUIT NO CARGADO")</f>
        <v>-</v>
      </c>
      <c r="H21" s="369"/>
      <c r="I21" s="370" t="str">
        <f>IF(compras_mes1[[#This Row],[NETO GRAVADO]]="","",compras_mes1[[#This Row],[NETO GRAVADO]]*0.21)</f>
        <v/>
      </c>
      <c r="J21" s="370"/>
      <c r="K21" s="370"/>
      <c r="L21" s="370"/>
      <c r="M21" s="370"/>
      <c r="N21" s="370"/>
      <c r="O21" s="370"/>
      <c r="P21" s="371">
        <f>SUM(compras_mes1[[#This Row],[NETO GRAVADO]:[Otros / No Grav.]])</f>
        <v>0</v>
      </c>
      <c r="Q21" s="372" t="str">
        <f>IFERROR(IF(compras_mes1[[#This Row],[CUIT]]="","-",VLOOKUP(compras_mes1[[#This Row],[CUIT]],Lista_CUIT[#All],3,0)),"CUIT NO CARGADO")</f>
        <v>-</v>
      </c>
      <c r="R21" s="372" t="str">
        <f>IFERROR(IF(compras_mes1[[#This Row],[CUIT]]="","-",VLOOKUP(compras_mes1[[#This Row],[CUIT]],Lista_CUIT[#All],4,0)),"CUIT NO CARGADO")</f>
        <v>-</v>
      </c>
    </row>
    <row r="22" spans="2:18">
      <c r="B22" s="363"/>
      <c r="C22" s="364"/>
      <c r="D22" s="365"/>
      <c r="E22" s="366"/>
      <c r="F22" s="367"/>
      <c r="G22" s="368" t="str">
        <f>IFERROR(IF(compras_mes1[[#This Row],[CUIT]]="","-",VLOOKUP(compras_mes1[[#This Row],[CUIT]],Lista_CUIT[#All],2,0)),"CUIT NO CARGADO")</f>
        <v>-</v>
      </c>
      <c r="H22" s="369"/>
      <c r="I22" s="370" t="str">
        <f>IF(compras_mes1[[#This Row],[NETO GRAVADO]]="","",compras_mes1[[#This Row],[NETO GRAVADO]]*0.21)</f>
        <v/>
      </c>
      <c r="J22" s="370"/>
      <c r="K22" s="370"/>
      <c r="L22" s="370"/>
      <c r="M22" s="370"/>
      <c r="N22" s="370"/>
      <c r="O22" s="370"/>
      <c r="P22" s="371">
        <f>SUM(compras_mes1[[#This Row],[NETO GRAVADO]:[Otros / No Grav.]])</f>
        <v>0</v>
      </c>
      <c r="Q22" s="372" t="str">
        <f>IFERROR(IF(compras_mes1[[#This Row],[CUIT]]="","-",VLOOKUP(compras_mes1[[#This Row],[CUIT]],Lista_CUIT[#All],3,0)),"CUIT NO CARGADO")</f>
        <v>-</v>
      </c>
      <c r="R22" s="372" t="str">
        <f>IFERROR(IF(compras_mes1[[#This Row],[CUIT]]="","-",VLOOKUP(compras_mes1[[#This Row],[CUIT]],Lista_CUIT[#All],4,0)),"CUIT NO CARGADO")</f>
        <v>-</v>
      </c>
    </row>
    <row r="23" spans="2:18">
      <c r="B23" s="363"/>
      <c r="C23" s="364"/>
      <c r="D23" s="365"/>
      <c r="E23" s="366"/>
      <c r="F23" s="367"/>
      <c r="G23" s="368" t="str">
        <f>IFERROR(IF(compras_mes1[[#This Row],[CUIT]]="","-",VLOOKUP(compras_mes1[[#This Row],[CUIT]],Lista_CUIT[#All],2,0)),"CUIT NO CARGADO")</f>
        <v>-</v>
      </c>
      <c r="H23" s="369"/>
      <c r="I23" s="370" t="str">
        <f>IF(compras_mes1[[#This Row],[NETO GRAVADO]]="","",compras_mes1[[#This Row],[NETO GRAVADO]]*0.21)</f>
        <v/>
      </c>
      <c r="J23" s="370"/>
      <c r="K23" s="370"/>
      <c r="L23" s="370"/>
      <c r="M23" s="370"/>
      <c r="N23" s="370"/>
      <c r="O23" s="370"/>
      <c r="P23" s="371">
        <f>SUM(compras_mes1[[#This Row],[NETO GRAVADO]:[Otros / No Grav.]])</f>
        <v>0</v>
      </c>
      <c r="Q23" s="372" t="str">
        <f>IFERROR(IF(compras_mes1[[#This Row],[CUIT]]="","-",VLOOKUP(compras_mes1[[#This Row],[CUIT]],Lista_CUIT[#All],3,0)),"CUIT NO CARGADO")</f>
        <v>-</v>
      </c>
      <c r="R23" s="372" t="str">
        <f>IFERROR(IF(compras_mes1[[#This Row],[CUIT]]="","-",VLOOKUP(compras_mes1[[#This Row],[CUIT]],Lista_CUIT[#All],4,0)),"CUIT NO CARGADO")</f>
        <v>-</v>
      </c>
    </row>
    <row r="24" spans="2:18">
      <c r="B24" s="363"/>
      <c r="C24" s="364"/>
      <c r="D24" s="365"/>
      <c r="E24" s="366"/>
      <c r="F24" s="367"/>
      <c r="G24" s="368" t="str">
        <f>IFERROR(IF(compras_mes1[[#This Row],[CUIT]]="","-",VLOOKUP(compras_mes1[[#This Row],[CUIT]],Lista_CUIT[#All],2,0)),"CUIT NO CARGADO")</f>
        <v>-</v>
      </c>
      <c r="H24" s="369"/>
      <c r="I24" s="370" t="str">
        <f>IF(compras_mes1[[#This Row],[NETO GRAVADO]]="","",compras_mes1[[#This Row],[NETO GRAVADO]]*0.21)</f>
        <v/>
      </c>
      <c r="J24" s="370"/>
      <c r="K24" s="370"/>
      <c r="L24" s="370"/>
      <c r="M24" s="370"/>
      <c r="N24" s="370"/>
      <c r="O24" s="370"/>
      <c r="P24" s="371">
        <f>SUM(compras_mes1[[#This Row],[NETO GRAVADO]:[Otros / No Grav.]])</f>
        <v>0</v>
      </c>
      <c r="Q24" s="372" t="str">
        <f>IFERROR(IF(compras_mes1[[#This Row],[CUIT]]="","-",VLOOKUP(compras_mes1[[#This Row],[CUIT]],Lista_CUIT[#All],3,0)),"CUIT NO CARGADO")</f>
        <v>-</v>
      </c>
      <c r="R24" s="372" t="str">
        <f>IFERROR(IF(compras_mes1[[#This Row],[CUIT]]="","-",VLOOKUP(compras_mes1[[#This Row],[CUIT]],Lista_CUIT[#All],4,0)),"CUIT NO CARGADO")</f>
        <v>-</v>
      </c>
    </row>
    <row r="25" spans="2:18">
      <c r="B25" s="40"/>
      <c r="C25" s="41"/>
      <c r="D25" s="42"/>
      <c r="E25" s="43"/>
      <c r="F25" s="44"/>
      <c r="G25" s="45" t="str">
        <f>IFERROR(IF(compras_mes1[[#This Row],[CUIT]]="","-",VLOOKUP(compras_mes1[[#This Row],[CUIT]],Lista_CUIT[#All],2,0)),"CUIT NO CARGADO")</f>
        <v>-</v>
      </c>
      <c r="H25" s="46"/>
      <c r="I25" s="85" t="str">
        <f>IF(compras_mes1[[#This Row],[NETO GRAVADO]]="","",compras_mes1[[#This Row],[NETO GRAVADO]]*0.21)</f>
        <v/>
      </c>
      <c r="J25" s="85"/>
      <c r="K25" s="85"/>
      <c r="L25" s="85"/>
      <c r="M25" s="85"/>
      <c r="N25" s="85"/>
      <c r="O25" s="85"/>
      <c r="P25" s="48">
        <f>SUM(compras_mes1[[#This Row],[NETO GRAVADO]:[Otros / No Grav.]])</f>
        <v>0</v>
      </c>
      <c r="Q25" s="49" t="str">
        <f>IFERROR(IF(compras_mes1[[#This Row],[CUIT]]="","-",VLOOKUP(compras_mes1[[#This Row],[CUIT]],Lista_CUIT[#All],3,0)),"CUIT NO CARGADO")</f>
        <v>-</v>
      </c>
      <c r="R25" s="49" t="str">
        <f>IFERROR(IF(compras_mes1[[#This Row],[CUIT]]="","-",VLOOKUP(compras_mes1[[#This Row],[CUIT]],Lista_CUIT[#All],4,0)),"CUIT NO CARGADO")</f>
        <v>-</v>
      </c>
    </row>
    <row r="26" spans="2:18">
      <c r="B26" s="40"/>
      <c r="C26" s="41"/>
      <c r="D26" s="42"/>
      <c r="E26" s="43"/>
      <c r="F26" s="44"/>
      <c r="G26" s="45" t="str">
        <f>IFERROR(IF(compras_mes1[[#This Row],[CUIT]]="","-",VLOOKUP(compras_mes1[[#This Row],[CUIT]],Lista_CUIT[#All],2,0)),"CUIT NO CARGADO")</f>
        <v>-</v>
      </c>
      <c r="H26" s="46"/>
      <c r="I26" s="85" t="str">
        <f>IF(compras_mes1[[#This Row],[NETO GRAVADO]]="","",compras_mes1[[#This Row],[NETO GRAVADO]]*0.21)</f>
        <v/>
      </c>
      <c r="J26" s="85"/>
      <c r="K26" s="85"/>
      <c r="L26" s="85"/>
      <c r="M26" s="85"/>
      <c r="N26" s="85"/>
      <c r="O26" s="85"/>
      <c r="P26" s="48">
        <f>SUM(compras_mes1[[#This Row],[NETO GRAVADO]:[Otros / No Grav.]])</f>
        <v>0</v>
      </c>
      <c r="Q26" s="49" t="str">
        <f>IFERROR(IF(compras_mes1[[#This Row],[CUIT]]="","-",VLOOKUP(compras_mes1[[#This Row],[CUIT]],Lista_CUIT[#All],3,0)),"CUIT NO CARGADO")</f>
        <v>-</v>
      </c>
      <c r="R26" s="49" t="str">
        <f>IFERROR(IF(compras_mes1[[#This Row],[CUIT]]="","-",VLOOKUP(compras_mes1[[#This Row],[CUIT]],Lista_CUIT[#All],4,0)),"CUIT NO CARGADO")</f>
        <v>-</v>
      </c>
    </row>
    <row r="27" spans="2:18">
      <c r="B27" s="40"/>
      <c r="C27" s="41"/>
      <c r="D27" s="42"/>
      <c r="E27" s="43"/>
      <c r="F27" s="44"/>
      <c r="G27" s="45" t="str">
        <f>IFERROR(IF(compras_mes1[[#This Row],[CUIT]]="","-",VLOOKUP(compras_mes1[[#This Row],[CUIT]],Lista_CUIT[#All],2,0)),"CUIT NO CARGADO")</f>
        <v>-</v>
      </c>
      <c r="H27" s="46"/>
      <c r="I27" s="85" t="str">
        <f>IF(compras_mes1[[#This Row],[NETO GRAVADO]]="","",compras_mes1[[#This Row],[NETO GRAVADO]]*0.21)</f>
        <v/>
      </c>
      <c r="J27" s="85"/>
      <c r="K27" s="85"/>
      <c r="L27" s="85"/>
      <c r="M27" s="85"/>
      <c r="N27" s="85"/>
      <c r="O27" s="85"/>
      <c r="P27" s="48">
        <f>SUM(compras_mes1[[#This Row],[NETO GRAVADO]:[Otros / No Grav.]])</f>
        <v>0</v>
      </c>
      <c r="Q27" s="49" t="str">
        <f>IFERROR(IF(compras_mes1[[#This Row],[CUIT]]="","-",VLOOKUP(compras_mes1[[#This Row],[CUIT]],Lista_CUIT[#All],3,0)),"CUIT NO CARGADO")</f>
        <v>-</v>
      </c>
      <c r="R27" s="49" t="str">
        <f>IFERROR(IF(compras_mes1[[#This Row],[CUIT]]="","-",VLOOKUP(compras_mes1[[#This Row],[CUIT]],Lista_CUIT[#All],4,0)),"CUIT NO CARGADO")</f>
        <v>-</v>
      </c>
    </row>
    <row r="28" spans="2:18">
      <c r="B28" s="40"/>
      <c r="C28" s="41"/>
      <c r="D28" s="42"/>
      <c r="E28" s="43"/>
      <c r="F28" s="44"/>
      <c r="G28" s="45" t="str">
        <f>IFERROR(IF(compras_mes1[[#This Row],[CUIT]]="","-",VLOOKUP(compras_mes1[[#This Row],[CUIT]],Lista_CUIT[#All],2,0)),"CUIT NO CARGADO")</f>
        <v>-</v>
      </c>
      <c r="H28" s="46"/>
      <c r="I28" s="85" t="str">
        <f>IF(compras_mes1[[#This Row],[NETO GRAVADO]]="","",compras_mes1[[#This Row],[NETO GRAVADO]]*0.21)</f>
        <v/>
      </c>
      <c r="J28" s="85"/>
      <c r="K28" s="85"/>
      <c r="L28" s="85"/>
      <c r="M28" s="85"/>
      <c r="N28" s="85"/>
      <c r="O28" s="85"/>
      <c r="P28" s="48">
        <f>SUM(compras_mes1[[#This Row],[NETO GRAVADO]:[Otros / No Grav.]])</f>
        <v>0</v>
      </c>
      <c r="Q28" s="49" t="str">
        <f>IFERROR(IF(compras_mes1[[#This Row],[CUIT]]="","-",VLOOKUP(compras_mes1[[#This Row],[CUIT]],Lista_CUIT[#All],3,0)),"CUIT NO CARGADO")</f>
        <v>-</v>
      </c>
      <c r="R28" s="49" t="str">
        <f>IFERROR(IF(compras_mes1[[#This Row],[CUIT]]="","-",VLOOKUP(compras_mes1[[#This Row],[CUIT]],Lista_CUIT[#All],4,0)),"CUIT NO CARGADO")</f>
        <v>-</v>
      </c>
    </row>
    <row r="29" spans="2:18">
      <c r="B29" s="40"/>
      <c r="C29" s="41"/>
      <c r="D29" s="42"/>
      <c r="E29" s="43"/>
      <c r="F29" s="44"/>
      <c r="G29" s="45" t="str">
        <f>IFERROR(IF(compras_mes1[[#This Row],[CUIT]]="","-",VLOOKUP(compras_mes1[[#This Row],[CUIT]],Lista_CUIT[#All],2,0)),"CUIT NO CARGADO")</f>
        <v>-</v>
      </c>
      <c r="H29" s="46"/>
      <c r="I29" s="85" t="str">
        <f>IF(compras_mes1[[#This Row],[NETO GRAVADO]]="","",compras_mes1[[#This Row],[NETO GRAVADO]]*0.21)</f>
        <v/>
      </c>
      <c r="J29" s="85"/>
      <c r="K29" s="85"/>
      <c r="L29" s="85"/>
      <c r="M29" s="85"/>
      <c r="N29" s="85"/>
      <c r="O29" s="85"/>
      <c r="P29" s="48">
        <f>SUM(compras_mes1[[#This Row],[NETO GRAVADO]:[Otros / No Grav.]])</f>
        <v>0</v>
      </c>
      <c r="Q29" s="49" t="str">
        <f>IFERROR(IF(compras_mes1[[#This Row],[CUIT]]="","-",VLOOKUP(compras_mes1[[#This Row],[CUIT]],Lista_CUIT[#All],3,0)),"CUIT NO CARGADO")</f>
        <v>-</v>
      </c>
      <c r="R29" s="49" t="str">
        <f>IFERROR(IF(compras_mes1[[#This Row],[CUIT]]="","-",VLOOKUP(compras_mes1[[#This Row],[CUIT]],Lista_CUIT[#All],4,0)),"CUIT NO CARGADO")</f>
        <v>-</v>
      </c>
    </row>
    <row r="30" spans="2:18">
      <c r="B30" s="40"/>
      <c r="C30" s="41"/>
      <c r="D30" s="42"/>
      <c r="E30" s="43"/>
      <c r="F30" s="44"/>
      <c r="G30" s="45" t="str">
        <f>IFERROR(IF(compras_mes1[[#This Row],[CUIT]]="","-",VLOOKUP(compras_mes1[[#This Row],[CUIT]],Lista_CUIT[#All],2,0)),"CUIT NO CARGADO")</f>
        <v>-</v>
      </c>
      <c r="H30" s="46"/>
      <c r="I30" s="85" t="str">
        <f>IF(compras_mes1[[#This Row],[NETO GRAVADO]]="","",compras_mes1[[#This Row],[NETO GRAVADO]]*0.21)</f>
        <v/>
      </c>
      <c r="J30" s="85"/>
      <c r="K30" s="85"/>
      <c r="L30" s="85"/>
      <c r="M30" s="85"/>
      <c r="N30" s="85"/>
      <c r="O30" s="85"/>
      <c r="P30" s="48">
        <f>SUM(compras_mes1[[#This Row],[NETO GRAVADO]:[Otros / No Grav.]])</f>
        <v>0</v>
      </c>
      <c r="Q30" s="49" t="str">
        <f>IFERROR(IF(compras_mes1[[#This Row],[CUIT]]="","-",VLOOKUP(compras_mes1[[#This Row],[CUIT]],Lista_CUIT[#All],3,0)),"CUIT NO CARGADO")</f>
        <v>-</v>
      </c>
      <c r="R30" s="49" t="str">
        <f>IFERROR(IF(compras_mes1[[#This Row],[CUIT]]="","-",VLOOKUP(compras_mes1[[#This Row],[CUIT]],Lista_CUIT[#All],4,0)),"CUIT NO CARGADO")</f>
        <v>-</v>
      </c>
    </row>
    <row r="31" spans="2:18">
      <c r="B31" s="40"/>
      <c r="C31" s="41"/>
      <c r="D31" s="42"/>
      <c r="E31" s="43"/>
      <c r="F31" s="44"/>
      <c r="G31" s="45" t="str">
        <f>IFERROR(IF(compras_mes1[[#This Row],[CUIT]]="","-",VLOOKUP(compras_mes1[[#This Row],[CUIT]],Lista_CUIT[#All],2,0)),"CUIT NO CARGADO")</f>
        <v>-</v>
      </c>
      <c r="H31" s="46"/>
      <c r="I31" s="85" t="str">
        <f>IF(compras_mes1[[#This Row],[NETO GRAVADO]]="","",compras_mes1[[#This Row],[NETO GRAVADO]]*0.21)</f>
        <v/>
      </c>
      <c r="J31" s="85"/>
      <c r="K31" s="85"/>
      <c r="L31" s="85"/>
      <c r="M31" s="85"/>
      <c r="N31" s="85"/>
      <c r="O31" s="85"/>
      <c r="P31" s="48">
        <f>SUM(compras_mes1[[#This Row],[NETO GRAVADO]:[Otros / No Grav.]])</f>
        <v>0</v>
      </c>
      <c r="Q31" s="49" t="str">
        <f>IFERROR(IF(compras_mes1[[#This Row],[CUIT]]="","-",VLOOKUP(compras_mes1[[#This Row],[CUIT]],Lista_CUIT[#All],3,0)),"CUIT NO CARGADO")</f>
        <v>-</v>
      </c>
      <c r="R31" s="49" t="str">
        <f>IFERROR(IF(compras_mes1[[#This Row],[CUIT]]="","-",VLOOKUP(compras_mes1[[#This Row],[CUIT]],Lista_CUIT[#All],4,0)),"CUIT NO CARGADO")</f>
        <v>-</v>
      </c>
    </row>
    <row r="32" spans="2:18">
      <c r="B32" s="40"/>
      <c r="C32" s="41"/>
      <c r="D32" s="42"/>
      <c r="E32" s="43"/>
      <c r="F32" s="44"/>
      <c r="G32" s="45" t="str">
        <f>IFERROR(IF(compras_mes1[[#This Row],[CUIT]]="","-",VLOOKUP(compras_mes1[[#This Row],[CUIT]],Lista_CUIT[#All],2,0)),"CUIT NO CARGADO")</f>
        <v>-</v>
      </c>
      <c r="H32" s="46"/>
      <c r="I32" s="85"/>
      <c r="J32" s="85"/>
      <c r="K32" s="85"/>
      <c r="L32" s="85"/>
      <c r="M32" s="85"/>
      <c r="N32" s="85"/>
      <c r="O32" s="85"/>
      <c r="P32" s="48">
        <f>SUM(compras_mes1[[#This Row],[NETO GRAVADO]:[Otros / No Grav.]])</f>
        <v>0</v>
      </c>
      <c r="Q32" s="49" t="str">
        <f>IFERROR(IF(compras_mes1[[#This Row],[CUIT]]="","-",VLOOKUP(compras_mes1[[#This Row],[CUIT]],Lista_CUIT[#All],3,0)),"CUIT NO CARGADO")</f>
        <v>-</v>
      </c>
      <c r="R32" s="49" t="str">
        <f>IFERROR(IF(compras_mes1[[#This Row],[CUIT]]="","-",VLOOKUP(compras_mes1[[#This Row],[CUIT]],Lista_CUIT[#All],4,0)),"CUIT NO CARGADO")</f>
        <v>-</v>
      </c>
    </row>
    <row r="33" spans="2:18">
      <c r="B33" s="40"/>
      <c r="C33" s="41"/>
      <c r="D33" s="42"/>
      <c r="E33" s="43"/>
      <c r="F33" s="44"/>
      <c r="G33" s="45" t="str">
        <f>IFERROR(IF(compras_mes1[[#This Row],[CUIT]]="","-",VLOOKUP(compras_mes1[[#This Row],[CUIT]],Lista_CUIT[#All],2,0)),"CUIT NO CARGADO")</f>
        <v>-</v>
      </c>
      <c r="H33" s="46"/>
      <c r="I33" s="85" t="str">
        <f>IF(compras_mes1[[#This Row],[NETO GRAVADO]]="","",compras_mes1[[#This Row],[NETO GRAVADO]]*0.21)</f>
        <v/>
      </c>
      <c r="J33" s="85"/>
      <c r="K33" s="85"/>
      <c r="L33" s="85"/>
      <c r="M33" s="85"/>
      <c r="N33" s="85"/>
      <c r="O33" s="85"/>
      <c r="P33" s="48">
        <f>SUM(compras_mes1[[#This Row],[NETO GRAVADO]:[Otros / No Grav.]])</f>
        <v>0</v>
      </c>
      <c r="Q33" s="49" t="str">
        <f>IFERROR(IF(compras_mes1[[#This Row],[CUIT]]="","-",VLOOKUP(compras_mes1[[#This Row],[CUIT]],Lista_CUIT[#All],3,0)),"CUIT NO CARGADO")</f>
        <v>-</v>
      </c>
      <c r="R33" s="49" t="str">
        <f>IFERROR(IF(compras_mes1[[#This Row],[CUIT]]="","-",VLOOKUP(compras_mes1[[#This Row],[CUIT]],Lista_CUIT[#All],4,0)),"CUIT NO CARGADO")</f>
        <v>-</v>
      </c>
    </row>
    <row r="34" spans="2:18">
      <c r="B34" s="233"/>
      <c r="C34" s="41"/>
      <c r="D34" s="235"/>
      <c r="E34" s="236"/>
      <c r="F34" s="237"/>
      <c r="G34" s="238" t="str">
        <f>IFERROR(IF(compras_mes1[[#This Row],[CUIT]]="","-",VLOOKUP(compras_mes1[[#This Row],[CUIT]],Lista_CUIT[#All],2,0)),"CUIT NO CARGADO")</f>
        <v>-</v>
      </c>
      <c r="H34" s="239"/>
      <c r="I34" s="241" t="str">
        <f>IF(compras_mes1[[#This Row],[NETO GRAVADO]]="","",compras_mes1[[#This Row],[NETO GRAVADO]]*0.21)</f>
        <v/>
      </c>
      <c r="J34" s="241"/>
      <c r="K34" s="241"/>
      <c r="L34" s="241"/>
      <c r="M34" s="241"/>
      <c r="N34" s="241"/>
      <c r="O34" s="241"/>
      <c r="P34" s="243">
        <f>SUM(compras_mes1[[#This Row],[NETO GRAVADO]:[Otros / No Grav.]])</f>
        <v>0</v>
      </c>
      <c r="Q34" s="242" t="str">
        <f>IFERROR(IF(compras_mes1[[#This Row],[CUIT]]="","-",VLOOKUP(compras_mes1[[#This Row],[CUIT]],Lista_CUIT[#All],3,0)),"CUIT NO CARGADO")</f>
        <v>-</v>
      </c>
      <c r="R34" s="242" t="str">
        <f>IFERROR(IF(compras_mes1[[#This Row],[CUIT]]="","-",VLOOKUP(compras_mes1[[#This Row],[CUIT]],Lista_CUIT[#All],4,0)),"CUIT NO CARGADO")</f>
        <v>-</v>
      </c>
    </row>
    <row r="35" spans="2:18">
      <c r="B35" s="233"/>
      <c r="C35" s="41"/>
      <c r="D35" s="235"/>
      <c r="E35" s="236"/>
      <c r="F35" s="237"/>
      <c r="G35" s="238" t="str">
        <f>IFERROR(IF(compras_mes1[[#This Row],[CUIT]]="","-",VLOOKUP(compras_mes1[[#This Row],[CUIT]],Lista_CUIT[#All],2,0)),"CUIT NO CARGADO")</f>
        <v>-</v>
      </c>
      <c r="H35" s="239"/>
      <c r="I35" s="241" t="str">
        <f>IF(compras_mes1[[#This Row],[NETO GRAVADO]]="","",compras_mes1[[#This Row],[NETO GRAVADO]]*0.21)</f>
        <v/>
      </c>
      <c r="J35" s="241"/>
      <c r="K35" s="241"/>
      <c r="L35" s="241"/>
      <c r="M35" s="241"/>
      <c r="N35" s="241"/>
      <c r="O35" s="241"/>
      <c r="P35" s="243">
        <f>SUM(compras_mes1[[#This Row],[NETO GRAVADO]:[Otros / No Grav.]])</f>
        <v>0</v>
      </c>
      <c r="Q35" s="242" t="str">
        <f>IFERROR(IF(compras_mes1[[#This Row],[CUIT]]="","-",VLOOKUP(compras_mes1[[#This Row],[CUIT]],Lista_CUIT[#All],3,0)),"CUIT NO CARGADO")</f>
        <v>-</v>
      </c>
      <c r="R35" s="242" t="str">
        <f>IFERROR(IF(compras_mes1[[#This Row],[CUIT]]="","-",VLOOKUP(compras_mes1[[#This Row],[CUIT]],Lista_CUIT[#All],4,0)),"CUIT NO CARGADO")</f>
        <v>-</v>
      </c>
    </row>
    <row r="36" spans="2:18">
      <c r="B36" s="233"/>
      <c r="C36" s="41"/>
      <c r="D36" s="235"/>
      <c r="E36" s="236"/>
      <c r="F36" s="237"/>
      <c r="G36" s="238" t="str">
        <f>IFERROR(IF(compras_mes1[[#This Row],[CUIT]]="","-",VLOOKUP(compras_mes1[[#This Row],[CUIT]],Lista_CUIT[#All],2,0)),"CUIT NO CARGADO")</f>
        <v>-</v>
      </c>
      <c r="H36" s="239"/>
      <c r="I36" s="241" t="str">
        <f>IF(compras_mes1[[#This Row],[NETO GRAVADO]]="","",compras_mes1[[#This Row],[NETO GRAVADO]]*0.21)</f>
        <v/>
      </c>
      <c r="J36" s="241"/>
      <c r="K36" s="241"/>
      <c r="L36" s="241"/>
      <c r="M36" s="241"/>
      <c r="N36" s="241"/>
      <c r="O36" s="241"/>
      <c r="P36" s="243">
        <f>SUM(compras_mes1[[#This Row],[NETO GRAVADO]:[Otros / No Grav.]])</f>
        <v>0</v>
      </c>
      <c r="Q36" s="242" t="str">
        <f>IFERROR(IF(compras_mes1[[#This Row],[CUIT]]="","-",VLOOKUP(compras_mes1[[#This Row],[CUIT]],Lista_CUIT[#All],3,0)),"CUIT NO CARGADO")</f>
        <v>-</v>
      </c>
      <c r="R36" s="242" t="str">
        <f>IFERROR(IF(compras_mes1[[#This Row],[CUIT]]="","-",VLOOKUP(compras_mes1[[#This Row],[CUIT]],Lista_CUIT[#All],4,0)),"CUIT NO CARGADO")</f>
        <v>-</v>
      </c>
    </row>
    <row r="37" spans="2:18">
      <c r="B37" s="233"/>
      <c r="C37" s="41"/>
      <c r="D37" s="235"/>
      <c r="E37" s="236"/>
      <c r="F37" s="237"/>
      <c r="G37" s="238" t="str">
        <f>IFERROR(IF(compras_mes1[[#This Row],[CUIT]]="","-",VLOOKUP(compras_mes1[[#This Row],[CUIT]],Lista_CUIT[#All],2,0)),"CUIT NO CARGADO")</f>
        <v>-</v>
      </c>
      <c r="H37" s="239"/>
      <c r="I37" s="241" t="str">
        <f>IF(compras_mes1[[#This Row],[NETO GRAVADO]]="","",compras_mes1[[#This Row],[NETO GRAVADO]]*0.21)</f>
        <v/>
      </c>
      <c r="J37" s="241"/>
      <c r="K37" s="241"/>
      <c r="L37" s="241"/>
      <c r="M37" s="241"/>
      <c r="N37" s="241"/>
      <c r="O37" s="241"/>
      <c r="P37" s="243">
        <f>SUM(compras_mes1[[#This Row],[NETO GRAVADO]:[Otros / No Grav.]])</f>
        <v>0</v>
      </c>
      <c r="Q37" s="242" t="str">
        <f>IFERROR(IF(compras_mes1[[#This Row],[CUIT]]="","-",VLOOKUP(compras_mes1[[#This Row],[CUIT]],Lista_CUIT[#All],3,0)),"CUIT NO CARGADO")</f>
        <v>-</v>
      </c>
      <c r="R37" s="242" t="str">
        <f>IFERROR(IF(compras_mes1[[#This Row],[CUIT]]="","-",VLOOKUP(compras_mes1[[#This Row],[CUIT]],Lista_CUIT[#All],4,0)),"CUIT NO CARGADO")</f>
        <v>-</v>
      </c>
    </row>
    <row r="38" spans="2:18">
      <c r="B38" s="233"/>
      <c r="C38" s="41"/>
      <c r="D38" s="235"/>
      <c r="E38" s="236"/>
      <c r="F38" s="237"/>
      <c r="G38" s="238" t="str">
        <f>IFERROR(IF(compras_mes1[[#This Row],[CUIT]]="","-",VLOOKUP(compras_mes1[[#This Row],[CUIT]],Lista_CUIT[#All],2,0)),"CUIT NO CARGADO")</f>
        <v>-</v>
      </c>
      <c r="H38" s="239"/>
      <c r="I38" s="241" t="str">
        <f>IF(compras_mes1[[#This Row],[NETO GRAVADO]]="","",compras_mes1[[#This Row],[NETO GRAVADO]]*0.21)</f>
        <v/>
      </c>
      <c r="J38" s="241"/>
      <c r="K38" s="241"/>
      <c r="L38" s="241"/>
      <c r="M38" s="241"/>
      <c r="N38" s="241"/>
      <c r="O38" s="241"/>
      <c r="P38" s="243">
        <f>SUM(compras_mes1[[#This Row],[NETO GRAVADO]:[Otros / No Grav.]])</f>
        <v>0</v>
      </c>
      <c r="Q38" s="242" t="str">
        <f>IFERROR(IF(compras_mes1[[#This Row],[CUIT]]="","-",VLOOKUP(compras_mes1[[#This Row],[CUIT]],Lista_CUIT[#All],3,0)),"CUIT NO CARGADO")</f>
        <v>-</v>
      </c>
      <c r="R38" s="242" t="str">
        <f>IFERROR(IF(compras_mes1[[#This Row],[CUIT]]="","-",VLOOKUP(compras_mes1[[#This Row],[CUIT]],Lista_CUIT[#All],4,0)),"CUIT NO CARGADO")</f>
        <v>-</v>
      </c>
    </row>
    <row r="39" spans="2:18">
      <c r="B39" s="233"/>
      <c r="C39" s="41"/>
      <c r="D39" s="235"/>
      <c r="E39" s="236"/>
      <c r="F39" s="237"/>
      <c r="G39" s="238" t="str">
        <f>IFERROR(IF(compras_mes1[[#This Row],[CUIT]]="","-",VLOOKUP(compras_mes1[[#This Row],[CUIT]],Lista_CUIT[#All],2,0)),"CUIT NO CARGADO")</f>
        <v>-</v>
      </c>
      <c r="H39" s="239"/>
      <c r="I39" s="241" t="str">
        <f>IF(compras_mes1[[#This Row],[NETO GRAVADO]]="","",compras_mes1[[#This Row],[NETO GRAVADO]]*0.21)</f>
        <v/>
      </c>
      <c r="J39" s="241"/>
      <c r="K39" s="241"/>
      <c r="L39" s="241"/>
      <c r="M39" s="241"/>
      <c r="N39" s="241"/>
      <c r="O39" s="241"/>
      <c r="P39" s="243">
        <f>SUM(compras_mes1[[#This Row],[NETO GRAVADO]:[Otros / No Grav.]])</f>
        <v>0</v>
      </c>
      <c r="Q39" s="242" t="str">
        <f>IFERROR(IF(compras_mes1[[#This Row],[CUIT]]="","-",VLOOKUP(compras_mes1[[#This Row],[CUIT]],Lista_CUIT[#All],3,0)),"CUIT NO CARGADO")</f>
        <v>-</v>
      </c>
      <c r="R39" s="242" t="str">
        <f>IFERROR(IF(compras_mes1[[#This Row],[CUIT]]="","-",VLOOKUP(compras_mes1[[#This Row],[CUIT]],Lista_CUIT[#All],4,0)),"CUIT NO CARGADO")</f>
        <v>-</v>
      </c>
    </row>
    <row r="40" spans="2:18">
      <c r="B40" s="233"/>
      <c r="C40" s="41"/>
      <c r="D40" s="235"/>
      <c r="E40" s="236"/>
      <c r="F40" s="237"/>
      <c r="G40" s="238" t="str">
        <f>IFERROR(IF(compras_mes1[[#This Row],[CUIT]]="","-",VLOOKUP(compras_mes1[[#This Row],[CUIT]],Lista_CUIT[#All],2,0)),"CUIT NO CARGADO")</f>
        <v>-</v>
      </c>
      <c r="H40" s="239"/>
      <c r="I40" s="241" t="str">
        <f>IF(compras_mes1[[#This Row],[NETO GRAVADO]]="","",compras_mes1[[#This Row],[NETO GRAVADO]]*0.21)</f>
        <v/>
      </c>
      <c r="J40" s="241"/>
      <c r="K40" s="241"/>
      <c r="L40" s="241"/>
      <c r="M40" s="241"/>
      <c r="N40" s="241"/>
      <c r="O40" s="241"/>
      <c r="P40" s="243">
        <f>SUM(compras_mes1[[#This Row],[NETO GRAVADO]:[Otros / No Grav.]])</f>
        <v>0</v>
      </c>
      <c r="Q40" s="242" t="str">
        <f>IFERROR(IF(compras_mes1[[#This Row],[CUIT]]="","-",VLOOKUP(compras_mes1[[#This Row],[CUIT]],Lista_CUIT[#All],3,0)),"CUIT NO CARGADO")</f>
        <v>-</v>
      </c>
      <c r="R40" s="242" t="str">
        <f>IFERROR(IF(compras_mes1[[#This Row],[CUIT]]="","-",VLOOKUP(compras_mes1[[#This Row],[CUIT]],Lista_CUIT[#All],4,0)),"CUIT NO CARGADO")</f>
        <v>-</v>
      </c>
    </row>
    <row r="41" spans="2:18">
      <c r="B41" s="233"/>
      <c r="C41" s="41"/>
      <c r="D41" s="235"/>
      <c r="E41" s="236"/>
      <c r="F41" s="237"/>
      <c r="G41" s="238" t="str">
        <f>IFERROR(IF(compras_mes1[[#This Row],[CUIT]]="","-",VLOOKUP(compras_mes1[[#This Row],[CUIT]],Lista_CUIT[#All],2,0)),"CUIT NO CARGADO")</f>
        <v>-</v>
      </c>
      <c r="H41" s="239"/>
      <c r="I41" s="241" t="str">
        <f>IF(compras_mes1[[#This Row],[NETO GRAVADO]]="","",compras_mes1[[#This Row],[NETO GRAVADO]]*0.21)</f>
        <v/>
      </c>
      <c r="J41" s="241"/>
      <c r="K41" s="241"/>
      <c r="L41" s="241"/>
      <c r="M41" s="241"/>
      <c r="N41" s="241"/>
      <c r="O41" s="241"/>
      <c r="P41" s="243">
        <f>SUM(compras_mes1[[#This Row],[NETO GRAVADO]:[Otros / No Grav.]])</f>
        <v>0</v>
      </c>
      <c r="Q41" s="242" t="str">
        <f>IFERROR(IF(compras_mes1[[#This Row],[CUIT]]="","-",VLOOKUP(compras_mes1[[#This Row],[CUIT]],Lista_CUIT[#All],3,0)),"CUIT NO CARGADO")</f>
        <v>-</v>
      </c>
      <c r="R41" s="242" t="str">
        <f>IFERROR(IF(compras_mes1[[#This Row],[CUIT]]="","-",VLOOKUP(compras_mes1[[#This Row],[CUIT]],Lista_CUIT[#All],4,0)),"CUIT NO CARGADO")</f>
        <v>-</v>
      </c>
    </row>
    <row r="42" spans="2:18">
      <c r="B42" s="233"/>
      <c r="C42" s="234"/>
      <c r="D42" s="235"/>
      <c r="E42" s="236"/>
      <c r="F42" s="237"/>
      <c r="G42" s="238" t="str">
        <f>IFERROR(IF(compras_mes1[[#This Row],[CUIT]]="","-",VLOOKUP(compras_mes1[[#This Row],[CUIT]],Lista_CUIT[#All],2,0)),"CUIT NO CARGADO")</f>
        <v>-</v>
      </c>
      <c r="H42" s="239"/>
      <c r="I42" s="241" t="str">
        <f>IF(compras_mes1[[#This Row],[NETO GRAVADO]]="","",compras_mes1[[#This Row],[NETO GRAVADO]]*0.21)</f>
        <v/>
      </c>
      <c r="J42" s="241"/>
      <c r="K42" s="241"/>
      <c r="L42" s="241"/>
      <c r="M42" s="241"/>
      <c r="N42" s="241"/>
      <c r="O42" s="241"/>
      <c r="P42" s="243">
        <f>SUM(compras_mes1[[#This Row],[NETO GRAVADO]:[Otros / No Grav.]])</f>
        <v>0</v>
      </c>
      <c r="Q42" s="242" t="str">
        <f>IFERROR(IF(compras_mes1[[#This Row],[CUIT]]="","-",VLOOKUP(compras_mes1[[#This Row],[CUIT]],Lista_CUIT[#All],3,0)),"CUIT NO CARGADO")</f>
        <v>-</v>
      </c>
      <c r="R42" s="242" t="str">
        <f>IFERROR(IF(compras_mes1[[#This Row],[CUIT]]="","-",VLOOKUP(compras_mes1[[#This Row],[CUIT]],Lista_CUIT[#All],4,0)),"CUIT NO CARGADO")</f>
        <v>-</v>
      </c>
    </row>
    <row r="43" spans="2:18">
      <c r="B43" s="233"/>
      <c r="C43" s="234"/>
      <c r="D43" s="235"/>
      <c r="E43" s="236"/>
      <c r="F43" s="237"/>
      <c r="G43" s="238" t="str">
        <f>IFERROR(IF(compras_mes1[[#This Row],[CUIT]]="","-",VLOOKUP(compras_mes1[[#This Row],[CUIT]],Lista_CUIT[#All],2,0)),"CUIT NO CARGADO")</f>
        <v>-</v>
      </c>
      <c r="H43" s="239"/>
      <c r="I43" s="241" t="str">
        <f>IF(compras_mes1[[#This Row],[NETO GRAVADO]]="","",compras_mes1[[#This Row],[NETO GRAVADO]]*0.21)</f>
        <v/>
      </c>
      <c r="J43" s="241"/>
      <c r="K43" s="241"/>
      <c r="L43" s="241"/>
      <c r="M43" s="241"/>
      <c r="N43" s="241"/>
      <c r="O43" s="241"/>
      <c r="P43" s="243">
        <f>SUM(compras_mes1[[#This Row],[NETO GRAVADO]:[Otros / No Grav.]])</f>
        <v>0</v>
      </c>
      <c r="Q43" s="242" t="str">
        <f>IFERROR(IF(compras_mes1[[#This Row],[CUIT]]="","-",VLOOKUP(compras_mes1[[#This Row],[CUIT]],Lista_CUIT[#All],3,0)),"CUIT NO CARGADO")</f>
        <v>-</v>
      </c>
      <c r="R43" s="242" t="str">
        <f>IFERROR(IF(compras_mes1[[#This Row],[CUIT]]="","-",VLOOKUP(compras_mes1[[#This Row],[CUIT]],Lista_CUIT[#All],4,0)),"CUIT NO CARGADO")</f>
        <v>-</v>
      </c>
    </row>
    <row r="44" spans="2:18">
      <c r="B44" s="336"/>
      <c r="C44" s="337"/>
      <c r="D44" s="338"/>
      <c r="E44" s="339"/>
      <c r="F44" s="340"/>
      <c r="G44" s="341" t="str">
        <f>IFERROR(IF(compras_mes1[[#This Row],[CUIT]]="","-",VLOOKUP(compras_mes1[[#This Row],[CUIT]],Lista_CUIT[#All],2,0)),"CUIT NO CARGADO")</f>
        <v>-</v>
      </c>
      <c r="H44" s="342"/>
      <c r="I44" s="343" t="str">
        <f>IF(compras_mes1[[#This Row],[NETO GRAVADO]]="","",compras_mes1[[#This Row],[NETO GRAVADO]]*0.21)</f>
        <v/>
      </c>
      <c r="J44" s="343"/>
      <c r="K44" s="343"/>
      <c r="L44" s="343"/>
      <c r="M44" s="343"/>
      <c r="N44" s="343"/>
      <c r="O44" s="343"/>
      <c r="P44" s="344">
        <f>SUM(compras_mes1[[#This Row],[NETO GRAVADO]:[Otros / No Grav.]])</f>
        <v>0</v>
      </c>
      <c r="Q44" s="345" t="str">
        <f>IFERROR(IF(compras_mes1[[#This Row],[CUIT]]="","-",VLOOKUP(compras_mes1[[#This Row],[CUIT]],Lista_CUIT[#All],3,0)),"CUIT NO CARGADO")</f>
        <v>-</v>
      </c>
      <c r="R44" s="345" t="str">
        <f>IFERROR(IF(compras_mes1[[#This Row],[CUIT]]="","-",VLOOKUP(compras_mes1[[#This Row],[CUIT]],Lista_CUIT[#All],4,0)),"CUIT NO CARGADO")</f>
        <v>-</v>
      </c>
    </row>
    <row r="45" spans="2:18">
      <c r="B45" s="96" t="s">
        <v>91</v>
      </c>
      <c r="C45" s="96"/>
      <c r="D45" s="96"/>
      <c r="E45" s="213"/>
      <c r="F45" s="96"/>
      <c r="G45" s="97"/>
      <c r="H45" s="98">
        <f>SUBTOTAL(109,compras_mes1[NETO GRAVADO])</f>
        <v>4830419.6500000004</v>
      </c>
      <c r="I45" s="98">
        <f>SUBTOTAL(109,compras_mes1[IVA 21 %])</f>
        <v>1014388.1264999999</v>
      </c>
      <c r="J45" s="98">
        <f>SUBTOTAL(109,compras_mes1[IVA 27%])</f>
        <v>0</v>
      </c>
      <c r="K45" s="98">
        <f>SUBTOTAL(109,compras_mes1[IVA 10,5%])</f>
        <v>0</v>
      </c>
      <c r="L45" s="98">
        <f>SUBTOTAL(109,compras_mes1[PERC. IVA])</f>
        <v>0</v>
      </c>
      <c r="M45" s="98">
        <f>SUBTOTAL(109,compras_mes1[PERC IIBB 
BS AS])</f>
        <v>0</v>
      </c>
      <c r="N45" s="98">
        <f>SUBTOTAL(109,compras_mes1[PERC. IIBB CABA])</f>
        <v>66100.409999999989</v>
      </c>
      <c r="O45" s="98">
        <f>SUBTOTAL(109,compras_mes1[Otros / No Grav.])</f>
        <v>132205.19</v>
      </c>
      <c r="P45" s="98">
        <f>SUBTOTAL(109,compras_mes1[TOTAL])</f>
        <v>6043113.3765000002</v>
      </c>
      <c r="Q45" s="96"/>
      <c r="R45" s="96"/>
    </row>
    <row r="46" spans="2:18">
      <c r="B46" s="40"/>
      <c r="C46" s="41"/>
      <c r="D46" s="42"/>
      <c r="E46" s="43"/>
      <c r="F46" s="44"/>
      <c r="G46" s="45"/>
      <c r="H46" s="46"/>
      <c r="I46" s="47"/>
      <c r="J46" s="47"/>
      <c r="K46" s="47"/>
      <c r="L46" s="47"/>
      <c r="M46" s="47"/>
      <c r="N46" s="47"/>
      <c r="O46" s="47"/>
      <c r="P46" s="48"/>
      <c r="Q46" s="49"/>
      <c r="R46" s="49"/>
    </row>
    <row r="47" spans="2:18">
      <c r="B47" s="40"/>
      <c r="C47" s="41"/>
      <c r="D47" s="42"/>
      <c r="E47" s="43"/>
      <c r="F47" s="44"/>
      <c r="G47" s="45"/>
      <c r="H47" s="46"/>
      <c r="I47" s="47"/>
      <c r="J47" s="47"/>
      <c r="K47" s="47"/>
      <c r="L47" s="47"/>
      <c r="M47" s="47"/>
      <c r="N47" s="47"/>
      <c r="O47" s="47"/>
      <c r="P47" s="48"/>
      <c r="Q47" s="49"/>
      <c r="R47" s="49"/>
    </row>
    <row r="48" spans="2:18">
      <c r="B48" s="40"/>
      <c r="C48" s="41"/>
      <c r="D48" s="42"/>
      <c r="E48" s="43"/>
      <c r="F48" s="44"/>
      <c r="G48" s="45"/>
      <c r="H48" s="46"/>
      <c r="I48" s="47"/>
      <c r="J48" s="47"/>
      <c r="K48" s="47"/>
      <c r="L48" s="47"/>
      <c r="M48" s="47"/>
      <c r="N48" s="47"/>
      <c r="O48" s="47"/>
      <c r="P48" s="48"/>
      <c r="Q48" s="49"/>
      <c r="R48" s="49"/>
    </row>
    <row r="49" spans="2:14">
      <c r="B49" s="40"/>
      <c r="C49" s="41"/>
      <c r="D49" s="42"/>
      <c r="E49" s="43"/>
      <c r="F49" s="44"/>
      <c r="G49" s="45"/>
      <c r="H49" s="46"/>
      <c r="I49" s="47"/>
      <c r="J49" s="47"/>
      <c r="K49" s="47"/>
      <c r="L49" s="47"/>
    </row>
    <row r="50" spans="2:14" ht="21">
      <c r="D50" s="428" t="s">
        <v>15</v>
      </c>
      <c r="E50" s="428"/>
      <c r="F50" s="428"/>
      <c r="G50" s="428"/>
      <c r="H50" s="428"/>
      <c r="I50" s="428"/>
      <c r="J50" s="428"/>
      <c r="K50" s="428"/>
      <c r="L50" s="428"/>
    </row>
    <row r="51" spans="2:14" ht="15.75">
      <c r="D51" s="73" t="s">
        <v>0</v>
      </c>
      <c r="E51" s="74" t="s">
        <v>26</v>
      </c>
      <c r="F51" s="74" t="s">
        <v>16</v>
      </c>
      <c r="G51" s="74" t="s">
        <v>5</v>
      </c>
      <c r="H51" s="74" t="s">
        <v>17</v>
      </c>
      <c r="I51" s="74" t="s">
        <v>7</v>
      </c>
      <c r="J51" s="75" t="s">
        <v>18</v>
      </c>
      <c r="K51" s="75" t="s">
        <v>19</v>
      </c>
      <c r="L51" s="76" t="s">
        <v>20</v>
      </c>
    </row>
    <row r="52" spans="2:14">
      <c r="D52" s="50"/>
      <c r="E52" s="79"/>
      <c r="F52" s="80"/>
      <c r="G52" s="81"/>
      <c r="H52" s="81">
        <f>extracto_banco_mes1[[#This Row],[NETO]]*0.21</f>
        <v>0</v>
      </c>
      <c r="I52" s="81"/>
      <c r="J52" s="81"/>
      <c r="K52" s="81"/>
      <c r="L52" s="81"/>
      <c r="N52" s="33">
        <f>compras_mes1[[#Totals],[IVA 21 %]]+extracto_banco_mes1[[#Totals],[IVA 21%]]</f>
        <v>1014388.1264999999</v>
      </c>
    </row>
    <row r="53" spans="2:14">
      <c r="D53" s="50"/>
      <c r="E53" s="79"/>
      <c r="F53" s="80"/>
      <c r="G53" s="81"/>
      <c r="H53" s="81">
        <f>extracto_banco_mes1[[#This Row],[NETO]]*0.21</f>
        <v>0</v>
      </c>
      <c r="I53" s="81"/>
      <c r="J53" s="81"/>
      <c r="K53" s="81"/>
      <c r="L53" s="81"/>
    </row>
    <row r="54" spans="2:14">
      <c r="D54" s="50"/>
      <c r="E54" s="79"/>
      <c r="F54" s="80"/>
      <c r="G54" s="81"/>
      <c r="H54" s="81">
        <f>extracto_banco_mes1[[#This Row],[NETO]]*0.21</f>
        <v>0</v>
      </c>
      <c r="I54" s="81"/>
      <c r="J54" s="81"/>
      <c r="K54" s="81"/>
      <c r="L54" s="81"/>
    </row>
    <row r="55" spans="2:14">
      <c r="D55" s="82" t="s">
        <v>91</v>
      </c>
      <c r="E55" s="80"/>
      <c r="F55" s="80"/>
      <c r="G55" s="83">
        <f>SUBTOTAL(109,extracto_banco_mes1[NETO])</f>
        <v>0</v>
      </c>
      <c r="H55" s="83">
        <f>SUBTOTAL(109,extracto_banco_mes1[IVA 21%])</f>
        <v>0</v>
      </c>
      <c r="I55" s="83">
        <f>SUBTOTAL(109,extracto_banco_mes1[IVA 10,5%])</f>
        <v>0</v>
      </c>
      <c r="J55" s="83">
        <f>SUBTOTAL(109,extracto_banco_mes1[RET IIBB CABA])</f>
        <v>0</v>
      </c>
      <c r="K55" s="83">
        <f>SUBTOTAL(109,extracto_banco_mes1[PERC IVA])</f>
        <v>0</v>
      </c>
      <c r="L55" s="83">
        <f>SUBTOTAL(109,extracto_banco_mes1[PERC IIBB])</f>
        <v>0</v>
      </c>
    </row>
    <row r="59" spans="2:14" ht="21">
      <c r="D59" s="428" t="s">
        <v>25</v>
      </c>
      <c r="E59" s="428"/>
      <c r="F59" s="428"/>
      <c r="G59" s="428"/>
      <c r="H59" s="428"/>
      <c r="I59" s="428"/>
      <c r="J59" s="428"/>
      <c r="K59" s="428"/>
    </row>
    <row r="60" spans="2:14">
      <c r="D60" s="51" t="s">
        <v>0</v>
      </c>
      <c r="E60" s="51" t="s">
        <v>2</v>
      </c>
      <c r="F60" s="51" t="s">
        <v>74</v>
      </c>
      <c r="G60" s="51" t="s">
        <v>3</v>
      </c>
      <c r="H60" s="51" t="s">
        <v>4</v>
      </c>
      <c r="I60" s="52" t="s">
        <v>10</v>
      </c>
      <c r="J60" s="51" t="s">
        <v>13</v>
      </c>
      <c r="K60" s="51" t="s">
        <v>38</v>
      </c>
    </row>
    <row r="61" spans="2:14">
      <c r="D61" s="373" t="s">
        <v>215</v>
      </c>
      <c r="E61" s="373">
        <v>2</v>
      </c>
      <c r="F61" s="373">
        <v>158</v>
      </c>
      <c r="G61" s="374">
        <v>27341104845</v>
      </c>
      <c r="H61" s="375" t="str">
        <f>IFERROR(IF(factura_c_mes1[[#This Row],[CUIT]]="","-",VLOOKUP(factura_c_mes1[[#This Row],[CUIT]],Lista_CUIT[#All],2,0)),"CUIT NO CARGADO")</f>
        <v>BOSSI MARIA PAULA</v>
      </c>
      <c r="I61" s="376">
        <v>310600</v>
      </c>
      <c r="J61" s="377">
        <f>IFERROR(IF(factura_c_mes1[[#This Row],[CUIT]]="","-",VLOOKUP(factura_c_mes1[[#This Row],[CUIT]],Lista_CUIT[#All],3,0)),"CUIT NO CARGADO")</f>
        <v>0</v>
      </c>
      <c r="K61" s="377">
        <f>IFERROR(IF(factura_c_mes1[[#This Row],[CUIT]]="","-",VLOOKUP(factura_c_mes1[[#This Row],[CUIT]],Lista_CUIT[#All],4,0)),"CUIT NO CARGADO")</f>
        <v>0</v>
      </c>
    </row>
    <row r="62" spans="2:14">
      <c r="D62" s="373" t="s">
        <v>221</v>
      </c>
      <c r="E62" s="373">
        <v>2</v>
      </c>
      <c r="F62" s="373">
        <v>1102</v>
      </c>
      <c r="G62" s="374">
        <v>20400104094</v>
      </c>
      <c r="H62" s="375" t="str">
        <f>IFERROR(IF(factura_c_mes1[[#This Row],[CUIT]]="","-",VLOOKUP(factura_c_mes1[[#This Row],[CUIT]],Lista_CUIT[#All],2,0)),"CUIT NO CARGADO")</f>
        <v>BOTINDARI FEDERICO DANIEL</v>
      </c>
      <c r="I62" s="376">
        <v>300000</v>
      </c>
      <c r="J62" s="377" t="str">
        <f>IFERROR(IF(factura_c_mes1[[#This Row],[CUIT]]="","-",VLOOKUP(factura_c_mes1[[#This Row],[CUIT]],Lista_CUIT[#All],3,0)),"CUIT NO CARGADO")</f>
        <v>HONORARIOS CONTABLE</v>
      </c>
      <c r="K62" s="377">
        <f>IFERROR(IF(factura_c_mes1[[#This Row],[CUIT]]="","-",VLOOKUP(factura_c_mes1[[#This Row],[CUIT]],Lista_CUIT[#All],4,0)),"CUIT NO CARGADO")</f>
        <v>0</v>
      </c>
    </row>
    <row r="63" spans="2:14">
      <c r="D63" s="373" t="s">
        <v>222</v>
      </c>
      <c r="E63" s="373">
        <v>1</v>
      </c>
      <c r="F63" s="373">
        <v>2</v>
      </c>
      <c r="G63" s="374">
        <v>27403975821</v>
      </c>
      <c r="H63" s="375" t="str">
        <f>IFERROR(IF(factura_c_mes1[[#This Row],[CUIT]]="","-",VLOOKUP(factura_c_mes1[[#This Row],[CUIT]],Lista_CUIT[#All],2,0)),"CUIT NO CARGADO")</f>
        <v>BARROSO VALENTINA</v>
      </c>
      <c r="I63" s="376">
        <v>537085</v>
      </c>
      <c r="J63" s="377">
        <f>IFERROR(IF(factura_c_mes1[[#This Row],[CUIT]]="","-",VLOOKUP(factura_c_mes1[[#This Row],[CUIT]],Lista_CUIT[#All],3,0)),"CUIT NO CARGADO")</f>
        <v>0</v>
      </c>
      <c r="K63" s="377">
        <f>IFERROR(IF(factura_c_mes1[[#This Row],[CUIT]]="","-",VLOOKUP(factura_c_mes1[[#This Row],[CUIT]],Lista_CUIT[#All],4,0)),"CUIT NO CARGADO")</f>
        <v>0</v>
      </c>
    </row>
    <row r="64" spans="2:14">
      <c r="D64" s="373" t="s">
        <v>217</v>
      </c>
      <c r="E64" s="373">
        <v>51</v>
      </c>
      <c r="F64" s="373">
        <v>191</v>
      </c>
      <c r="G64" s="374">
        <v>20300985158</v>
      </c>
      <c r="H64" s="375" t="str">
        <f>IFERROR(IF(factura_c_mes1[[#This Row],[CUIT]]="","-",VLOOKUP(factura_c_mes1[[#This Row],[CUIT]],Lista_CUIT[#All],2,0)),"CUIT NO CARGADO")</f>
        <v>GONZALEZ NESTOR RICARDO</v>
      </c>
      <c r="I64" s="376">
        <v>900000</v>
      </c>
      <c r="J64" s="377">
        <f>IFERROR(IF(factura_c_mes1[[#This Row],[CUIT]]="","-",VLOOKUP(factura_c_mes1[[#This Row],[CUIT]],Lista_CUIT[#All],3,0)),"CUIT NO CARGADO")</f>
        <v>0</v>
      </c>
      <c r="K64" s="377">
        <f>IFERROR(IF(factura_c_mes1[[#This Row],[CUIT]]="","-",VLOOKUP(factura_c_mes1[[#This Row],[CUIT]],Lista_CUIT[#All],4,0)),"CUIT NO CARGADO")</f>
        <v>0</v>
      </c>
    </row>
    <row r="65" spans="2:18">
      <c r="D65" s="373" t="s">
        <v>217</v>
      </c>
      <c r="E65" s="373">
        <v>1</v>
      </c>
      <c r="F65" s="373">
        <v>327</v>
      </c>
      <c r="G65" s="374">
        <v>27386311000</v>
      </c>
      <c r="H65" s="375" t="str">
        <f>IFERROR(IF(factura_c_mes1[[#This Row],[CUIT]]="","-",VLOOKUP(factura_c_mes1[[#This Row],[CUIT]],Lista_CUIT[#All],2,0)),"CUIT NO CARGADO")</f>
        <v>OPANASIUK MACARENA ANTONELLA</v>
      </c>
      <c r="I65" s="376">
        <v>850000</v>
      </c>
      <c r="J65" s="377">
        <f>IFERROR(IF(factura_c_mes1[[#This Row],[CUIT]]="","-",VLOOKUP(factura_c_mes1[[#This Row],[CUIT]],Lista_CUIT[#All],3,0)),"CUIT NO CARGADO")</f>
        <v>0</v>
      </c>
      <c r="K65" s="377">
        <f>IFERROR(IF(factura_c_mes1[[#This Row],[CUIT]]="","-",VLOOKUP(factura_c_mes1[[#This Row],[CUIT]],Lista_CUIT[#All],4,0)),"CUIT NO CARGADO")</f>
        <v>0</v>
      </c>
    </row>
    <row r="66" spans="2:18">
      <c r="D66" s="373" t="s">
        <v>223</v>
      </c>
      <c r="E66" s="373">
        <v>2</v>
      </c>
      <c r="F66" s="373">
        <v>62</v>
      </c>
      <c r="G66" s="374">
        <v>23380288079</v>
      </c>
      <c r="H66" s="375" t="str">
        <f>IFERROR(IF(factura_c_mes1[[#This Row],[CUIT]]="","-",VLOOKUP(factura_c_mes1[[#This Row],[CUIT]],Lista_CUIT[#All],2,0)),"CUIT NO CARGADO")</f>
        <v>CASTROMAN AGUSTIN</v>
      </c>
      <c r="I66" s="376">
        <v>538500</v>
      </c>
      <c r="J66" s="377">
        <f>IFERROR(IF(factura_c_mes1[[#This Row],[CUIT]]="","-",VLOOKUP(factura_c_mes1[[#This Row],[CUIT]],Lista_CUIT[#All],3,0)),"CUIT NO CARGADO")</f>
        <v>0</v>
      </c>
      <c r="K66" s="377">
        <f>IFERROR(IF(factura_c_mes1[[#This Row],[CUIT]]="","-",VLOOKUP(factura_c_mes1[[#This Row],[CUIT]],Lista_CUIT[#All],4,0)),"CUIT NO CARGADO")</f>
        <v>0</v>
      </c>
    </row>
    <row r="67" spans="2:18">
      <c r="D67" s="373"/>
      <c r="E67" s="373"/>
      <c r="F67" s="373"/>
      <c r="G67" s="374"/>
      <c r="H67" s="375" t="str">
        <f>IFERROR(IF(factura_c_mes1[[#This Row],[CUIT]]="","-",VLOOKUP(factura_c_mes1[[#This Row],[CUIT]],Lista_CUIT[#All],2,0)),"CUIT NO CARGADO")</f>
        <v>-</v>
      </c>
      <c r="I67" s="376"/>
      <c r="J67" s="377" t="str">
        <f>IFERROR(IF(factura_c_mes1[[#This Row],[CUIT]]="","-",VLOOKUP(factura_c_mes1[[#This Row],[CUIT]],Lista_CUIT[#All],3,0)),"CUIT NO CARGADO")</f>
        <v>-</v>
      </c>
      <c r="K67" s="377" t="str">
        <f>IFERROR(IF(factura_c_mes1[[#This Row],[CUIT]]="","-",VLOOKUP(factura_c_mes1[[#This Row],[CUIT]],Lista_CUIT[#All],4,0)),"CUIT NO CARGADO")</f>
        <v>-</v>
      </c>
    </row>
    <row r="68" spans="2:18">
      <c r="D68" s="373"/>
      <c r="E68" s="373"/>
      <c r="F68" s="373"/>
      <c r="G68" s="374"/>
      <c r="H68" s="375" t="str">
        <f>IFERROR(IF(factura_c_mes1[[#This Row],[CUIT]]="","-",VLOOKUP(factura_c_mes1[[#This Row],[CUIT]],Lista_CUIT[#All],2,0)),"CUIT NO CARGADO")</f>
        <v>-</v>
      </c>
      <c r="I68" s="376"/>
      <c r="J68" s="377" t="str">
        <f>IFERROR(IF(factura_c_mes1[[#This Row],[CUIT]]="","-",VLOOKUP(factura_c_mes1[[#This Row],[CUIT]],Lista_CUIT[#All],3,0)),"CUIT NO CARGADO")</f>
        <v>-</v>
      </c>
      <c r="K68" s="377" t="str">
        <f>IFERROR(IF(factura_c_mes1[[#This Row],[CUIT]]="","-",VLOOKUP(factura_c_mes1[[#This Row],[CUIT]],Lista_CUIT[#All],4,0)),"CUIT NO CARGADO")</f>
        <v>-</v>
      </c>
    </row>
    <row r="69" spans="2:18">
      <c r="D69" s="50"/>
      <c r="E69" s="235"/>
      <c r="F69" s="236"/>
      <c r="G69" s="44"/>
      <c r="H69" s="53" t="str">
        <f>IFERROR(IF(factura_c_mes1[[#This Row],[CUIT]]="","-",VLOOKUP(factura_c_mes1[[#This Row],[CUIT]],Lista_CUIT[#All],2,0)),"CUIT NO CARGADO")</f>
        <v>-</v>
      </c>
      <c r="I69" s="81"/>
      <c r="J69" s="54" t="str">
        <f>IFERROR(IF(factura_c_mes1[[#This Row],[CUIT]]="","-",VLOOKUP(factura_c_mes1[[#This Row],[CUIT]],Lista_CUIT[#All],3,0)),"CUIT NO CARGADO")</f>
        <v>-</v>
      </c>
      <c r="K69" s="54" t="str">
        <f>IFERROR(IF(factura_c_mes1[[#This Row],[CUIT]]="","-",VLOOKUP(factura_c_mes1[[#This Row],[CUIT]],Lista_CUIT[#All],4,0)),"CUIT NO CARGADO")</f>
        <v>-</v>
      </c>
    </row>
    <row r="70" spans="2:18">
      <c r="D70" s="50"/>
      <c r="E70" s="235"/>
      <c r="F70" s="236"/>
      <c r="G70" s="44"/>
      <c r="H70" s="53" t="str">
        <f>IFERROR(IF(factura_c_mes1[[#This Row],[CUIT]]="","-",VLOOKUP(factura_c_mes1[[#This Row],[CUIT]],Lista_CUIT[#All],2,0)),"CUIT NO CARGADO")</f>
        <v>-</v>
      </c>
      <c r="I70" s="81"/>
      <c r="J70" s="54" t="str">
        <f>IFERROR(IF(factura_c_mes1[[#This Row],[CUIT]]="","-",VLOOKUP(factura_c_mes1[[#This Row],[CUIT]],Lista_CUIT[#All],3,0)),"CUIT NO CARGADO")</f>
        <v>-</v>
      </c>
      <c r="K70" s="54" t="str">
        <f>IFERROR(IF(factura_c_mes1[[#This Row],[CUIT]]="","-",VLOOKUP(factura_c_mes1[[#This Row],[CUIT]],Lista_CUIT[#All],4,0)),"CUIT NO CARGADO")</f>
        <v>-</v>
      </c>
    </row>
    <row r="71" spans="2:18">
      <c r="D71" s="50"/>
      <c r="E71" s="235"/>
      <c r="F71" s="236"/>
      <c r="G71" s="44"/>
      <c r="H71" s="53" t="str">
        <f>IFERROR(IF(factura_c_mes1[[#This Row],[CUIT]]="","-",VLOOKUP(factura_c_mes1[[#This Row],[CUIT]],Lista_CUIT[#All],2,0)),"CUIT NO CARGADO")</f>
        <v>-</v>
      </c>
      <c r="I71" s="81"/>
      <c r="J71" s="54" t="str">
        <f>IFERROR(IF(factura_c_mes1[[#This Row],[CUIT]]="","-",VLOOKUP(factura_c_mes1[[#This Row],[CUIT]],Lista_CUIT[#All],3,0)),"CUIT NO CARGADO")</f>
        <v>-</v>
      </c>
      <c r="K71" s="54" t="str">
        <f>IFERROR(IF(factura_c_mes1[[#This Row],[CUIT]]="","-",VLOOKUP(factura_c_mes1[[#This Row],[CUIT]],Lista_CUIT[#All],4,0)),"CUIT NO CARGADO")</f>
        <v>-</v>
      </c>
    </row>
    <row r="72" spans="2:18">
      <c r="D72" s="252"/>
      <c r="E72" s="235"/>
      <c r="F72" s="236"/>
      <c r="G72" s="250"/>
      <c r="H72" s="244" t="str">
        <f>IFERROR(IF(factura_c_mes1[[#This Row],[CUIT]]="","-",VLOOKUP(factura_c_mes1[[#This Row],[CUIT]],Lista_CUIT[#All],2,0)),"CUIT NO CARGADO")</f>
        <v>-</v>
      </c>
      <c r="I72" s="245"/>
      <c r="J72" s="246" t="str">
        <f>IFERROR(IF(factura_c_mes1[[#This Row],[CUIT]]="","-",VLOOKUP(factura_c_mes1[[#This Row],[CUIT]],Lista_CUIT[#All],3,0)),"CUIT NO CARGADO")</f>
        <v>-</v>
      </c>
      <c r="K72" s="246" t="str">
        <f>IFERROR(IF(factura_c_mes1[[#This Row],[CUIT]]="","-",VLOOKUP(factura_c_mes1[[#This Row],[CUIT]],Lista_CUIT[#All],4,0)),"CUIT NO CARGADO")</f>
        <v>-</v>
      </c>
    </row>
    <row r="73" spans="2:18">
      <c r="B73" s="56"/>
      <c r="C73" s="56"/>
      <c r="D73" s="252"/>
      <c r="E73" s="235"/>
      <c r="F73" s="236"/>
      <c r="G73" s="250"/>
      <c r="H73" s="244" t="str">
        <f>IFERROR(IF(factura_c_mes1[[#This Row],[CUIT]]="","-",VLOOKUP(factura_c_mes1[[#This Row],[CUIT]],Lista_CUIT[#All],2,0)),"CUIT NO CARGADO")</f>
        <v>-</v>
      </c>
      <c r="I73" s="245"/>
      <c r="J73" s="246" t="str">
        <f>IFERROR(IF(factura_c_mes1[[#This Row],[CUIT]]="","-",VLOOKUP(factura_c_mes1[[#This Row],[CUIT]],Lista_CUIT[#All],3,0)),"CUIT NO CARGADO")</f>
        <v>-</v>
      </c>
      <c r="K73" s="246" t="str">
        <f>IFERROR(IF(factura_c_mes1[[#This Row],[CUIT]]="","-",VLOOKUP(factura_c_mes1[[#This Row],[CUIT]],Lista_CUIT[#All],4,0)),"CUIT NO CARGADO")</f>
        <v>-</v>
      </c>
      <c r="L73" s="56"/>
      <c r="M73" s="56"/>
      <c r="N73" s="56"/>
      <c r="O73" s="56"/>
      <c r="P73" s="56"/>
      <c r="Q73" s="56"/>
      <c r="R73" s="56"/>
    </row>
    <row r="74" spans="2:18">
      <c r="D74" s="55" t="s">
        <v>91</v>
      </c>
      <c r="E74" s="55"/>
      <c r="F74" s="55"/>
      <c r="G74" s="55"/>
      <c r="H74" s="57"/>
      <c r="I74" s="58">
        <f>SUBTOTAL(109,factura_c_mes1[TOTAL])</f>
        <v>3436185</v>
      </c>
      <c r="J74" s="55"/>
      <c r="K74" s="55"/>
    </row>
    <row r="78" spans="2:18" ht="26.25">
      <c r="B78" s="436" t="s">
        <v>29</v>
      </c>
      <c r="C78" s="436"/>
      <c r="D78" s="436"/>
      <c r="E78" s="436"/>
      <c r="F78" s="436"/>
      <c r="G78" s="436"/>
      <c r="H78" s="436"/>
      <c r="I78" s="436"/>
      <c r="J78" s="436"/>
      <c r="K78" s="432">
        <f>N1</f>
        <v>46023</v>
      </c>
      <c r="L78" s="432"/>
      <c r="M78" s="432"/>
    </row>
    <row r="80" spans="2:18" ht="21">
      <c r="B80" s="429" t="s">
        <v>30</v>
      </c>
      <c r="C80" s="429"/>
    </row>
    <row r="81" spans="2:13" ht="31.5">
      <c r="B81" s="60" t="s">
        <v>0</v>
      </c>
      <c r="C81" s="61" t="s">
        <v>1</v>
      </c>
      <c r="D81" s="61" t="s">
        <v>21</v>
      </c>
      <c r="E81" s="61" t="s">
        <v>22</v>
      </c>
      <c r="F81" s="61" t="s">
        <v>3</v>
      </c>
      <c r="G81" s="61" t="s">
        <v>4</v>
      </c>
      <c r="H81" s="61" t="s">
        <v>23</v>
      </c>
      <c r="I81" s="61" t="s">
        <v>17</v>
      </c>
      <c r="J81" s="61" t="s">
        <v>7</v>
      </c>
      <c r="K81" s="61" t="s">
        <v>24</v>
      </c>
      <c r="L81" s="61" t="s">
        <v>10</v>
      </c>
      <c r="M81" s="62" t="s">
        <v>38</v>
      </c>
    </row>
    <row r="82" spans="2:13">
      <c r="B82" s="214" t="s">
        <v>215</v>
      </c>
      <c r="C82" s="109">
        <v>1</v>
      </c>
      <c r="D82" s="110">
        <v>1</v>
      </c>
      <c r="E82" s="111">
        <v>630</v>
      </c>
      <c r="F82" s="112">
        <v>30717465101</v>
      </c>
      <c r="G82" s="204" t="str">
        <f>IFERROR(IF(venta_a_mes1[[#This Row],[CUIT]]="","-",VLOOKUP(venta_a_mes1[[#This Row],[CUIT]],Lista_CUIT[#All],2,0)),"CUIT NO CARGADO")</f>
        <v>EMPRENDIMIENTOS SHOPGLASS S. R. L.</v>
      </c>
      <c r="H82" s="100">
        <v>147107.43</v>
      </c>
      <c r="I82" s="101">
        <f>venta_a_mes1[[#This Row],[IMPORTE NETO]]*0.21</f>
        <v>30892.560299999997</v>
      </c>
      <c r="J82" s="65"/>
      <c r="K82" s="65"/>
      <c r="L82" s="65">
        <f>SUM(venta_a_mes1[[#This Row],[IMPORTE NETO]:[EXENTO]])</f>
        <v>177999.9903</v>
      </c>
      <c r="M82" s="59"/>
    </row>
    <row r="83" spans="2:13">
      <c r="B83" s="214" t="s">
        <v>215</v>
      </c>
      <c r="C83" s="109">
        <v>1</v>
      </c>
      <c r="D83" s="110">
        <v>1</v>
      </c>
      <c r="E83" s="111">
        <v>617</v>
      </c>
      <c r="F83" s="112">
        <v>30715751557</v>
      </c>
      <c r="G83" s="204" t="str">
        <f>IFERROR(IF(venta_a_mes1[[#This Row],[CUIT]]="","-",VLOOKUP(venta_a_mes1[[#This Row],[CUIT]],Lista_CUIT[#All],2,0)),"CUIT NO CARGADO")</f>
        <v>TIXIT SRL</v>
      </c>
      <c r="H83" s="100">
        <v>590909.1</v>
      </c>
      <c r="I83" s="101">
        <f>venta_a_mes1[[#This Row],[IMPORTE NETO]]*0.21</f>
        <v>124090.91099999999</v>
      </c>
      <c r="J83" s="65"/>
      <c r="K83" s="65"/>
      <c r="L83" s="65">
        <f>SUM(venta_a_mes1[[#This Row],[IMPORTE NETO]:[EXENTO]])</f>
        <v>715000.01099999994</v>
      </c>
      <c r="M83" s="59"/>
    </row>
    <row r="84" spans="2:13">
      <c r="B84" s="214" t="s">
        <v>215</v>
      </c>
      <c r="C84" s="109">
        <v>1</v>
      </c>
      <c r="D84" s="110">
        <v>1</v>
      </c>
      <c r="E84" s="111">
        <v>618</v>
      </c>
      <c r="F84" s="112">
        <v>30714375241</v>
      </c>
      <c r="G84" s="204" t="str">
        <f>IFERROR(IF(venta_a_mes1[[#This Row],[CUIT]]="","-",VLOOKUP(venta_a_mes1[[#This Row],[CUIT]],Lista_CUIT[#All],2,0)),"CUIT NO CARGADO")</f>
        <v>POWER-RECORDS S.A</v>
      </c>
      <c r="H84" s="100">
        <v>590909.1</v>
      </c>
      <c r="I84" s="101">
        <f>venta_a_mes1[[#This Row],[IMPORTE NETO]]*0.21</f>
        <v>124090.91099999999</v>
      </c>
      <c r="J84" s="65"/>
      <c r="K84" s="65"/>
      <c r="L84" s="65">
        <f>SUM(venta_a_mes1[[#This Row],[IMPORTE NETO]:[EXENTO]])</f>
        <v>715000.01099999994</v>
      </c>
      <c r="M84" s="59"/>
    </row>
    <row r="85" spans="2:13">
      <c r="B85" s="214" t="s">
        <v>215</v>
      </c>
      <c r="C85" s="109">
        <v>1</v>
      </c>
      <c r="D85" s="110">
        <v>1</v>
      </c>
      <c r="E85" s="111">
        <v>631</v>
      </c>
      <c r="F85" s="112">
        <v>30709058807</v>
      </c>
      <c r="G85" s="204" t="str">
        <f>IFERROR(IF(venta_a_mes1[[#This Row],[CUIT]]="","-",VLOOKUP(venta_a_mes1[[#This Row],[CUIT]],Lista_CUIT[#All],2,0)),"CUIT NO CARGADO")</f>
        <v>LA VALENZIANA S.R.L.</v>
      </c>
      <c r="H85" s="100">
        <v>4863163.5199999996</v>
      </c>
      <c r="I85" s="101">
        <f>venta_a_mes1[[#This Row],[IMPORTE NETO]]*0.21</f>
        <v>1021264.3391999998</v>
      </c>
      <c r="J85" s="65"/>
      <c r="K85" s="65"/>
      <c r="L85" s="65">
        <f>SUM(venta_a_mes1[[#This Row],[IMPORTE NETO]:[EXENTO]])</f>
        <v>5884427.8591999989</v>
      </c>
      <c r="M85" s="59"/>
    </row>
    <row r="86" spans="2:13">
      <c r="B86" s="214" t="s">
        <v>215</v>
      </c>
      <c r="C86" s="109">
        <v>1</v>
      </c>
      <c r="D86" s="110">
        <v>1</v>
      </c>
      <c r="E86" s="111">
        <v>619</v>
      </c>
      <c r="F86" s="112">
        <v>30718553357</v>
      </c>
      <c r="G86" s="204" t="str">
        <f>IFERROR(IF(venta_a_mes1[[#This Row],[CUIT]]="","-",VLOOKUP(venta_a_mes1[[#This Row],[CUIT]],Lista_CUIT[#All],2,0)),"CUIT NO CARGADO")</f>
        <v>EMIGRA CON TU MASCOTA S.R.L.</v>
      </c>
      <c r="H86" s="100">
        <v>590909.1</v>
      </c>
      <c r="I86" s="101">
        <f>venta_a_mes1[[#This Row],[IMPORTE NETO]]*0.21</f>
        <v>124090.91099999999</v>
      </c>
      <c r="J86" s="65"/>
      <c r="K86" s="65"/>
      <c r="L86" s="65">
        <f>SUM(venta_a_mes1[[#This Row],[IMPORTE NETO]:[EXENTO]])</f>
        <v>715000.01099999994</v>
      </c>
      <c r="M86" s="59"/>
    </row>
    <row r="87" spans="2:13">
      <c r="B87" s="214" t="s">
        <v>215</v>
      </c>
      <c r="C87" s="109">
        <v>1</v>
      </c>
      <c r="D87" s="110">
        <v>1</v>
      </c>
      <c r="E87" s="111">
        <v>632</v>
      </c>
      <c r="F87" s="112">
        <v>30714864803</v>
      </c>
      <c r="G87" s="204" t="str">
        <f>IFERROR(IF(venta_a_mes1[[#This Row],[CUIT]]="","-",VLOOKUP(venta_a_mes1[[#This Row],[CUIT]],Lista_CUIT[#All],2,0)),"CUIT NO CARGADO")</f>
        <v>DIAZ Y GIUSEPPETTI S. R. L.</v>
      </c>
      <c r="H87" s="100">
        <v>283347.57</v>
      </c>
      <c r="I87" s="101">
        <f>venta_a_mes1[[#This Row],[IMPORTE NETO]]*0.21</f>
        <v>59502.989699999998</v>
      </c>
      <c r="J87" s="65"/>
      <c r="K87" s="65"/>
      <c r="L87" s="65">
        <f>SUM(venta_a_mes1[[#This Row],[IMPORTE NETO]:[EXENTO]])</f>
        <v>342850.55969999998</v>
      </c>
      <c r="M87" s="59"/>
    </row>
    <row r="88" spans="2:13">
      <c r="B88" s="214" t="s">
        <v>215</v>
      </c>
      <c r="C88" s="109">
        <v>1</v>
      </c>
      <c r="D88" s="110">
        <v>1</v>
      </c>
      <c r="E88" s="111">
        <v>620</v>
      </c>
      <c r="F88" s="112">
        <v>30714236888</v>
      </c>
      <c r="G88" s="204" t="str">
        <f>IFERROR(IF(venta_a_mes1[[#This Row],[CUIT]]="","-",VLOOKUP(venta_a_mes1[[#This Row],[CUIT]],Lista_CUIT[#All],2,0)),"CUIT NO CARGADO")</f>
        <v>NANOTEC S.R.L.</v>
      </c>
      <c r="H88" s="100">
        <v>590909.1</v>
      </c>
      <c r="I88" s="101">
        <f>venta_a_mes1[[#This Row],[IMPORTE NETO]]*0.21</f>
        <v>124090.91099999999</v>
      </c>
      <c r="J88" s="65"/>
      <c r="K88" s="65"/>
      <c r="L88" s="65">
        <f>SUM(venta_a_mes1[[#This Row],[IMPORTE NETO]:[EXENTO]])</f>
        <v>715000.01099999994</v>
      </c>
      <c r="M88" s="59"/>
    </row>
    <row r="89" spans="2:13">
      <c r="B89" s="214" t="s">
        <v>215</v>
      </c>
      <c r="C89" s="109">
        <v>1</v>
      </c>
      <c r="D89" s="110">
        <v>1</v>
      </c>
      <c r="E89" s="111">
        <v>621</v>
      </c>
      <c r="F89" s="112">
        <v>30708404485</v>
      </c>
      <c r="G89" s="204" t="str">
        <f>IFERROR(IF(venta_a_mes1[[#This Row],[CUIT]]="","-",VLOOKUP(venta_a_mes1[[#This Row],[CUIT]],Lista_CUIT[#All],2,0)),"CUIT NO CARGADO")</f>
        <v>SOLDARGEN S.A.</v>
      </c>
      <c r="H89" s="100">
        <v>590909.1</v>
      </c>
      <c r="I89" s="101">
        <f>venta_a_mes1[[#This Row],[IMPORTE NETO]]*0.21</f>
        <v>124090.91099999999</v>
      </c>
      <c r="J89" s="65"/>
      <c r="K89" s="65"/>
      <c r="L89" s="65">
        <f>SUM(venta_a_mes1[[#This Row],[IMPORTE NETO]:[EXENTO]])</f>
        <v>715000.01099999994</v>
      </c>
      <c r="M89" s="59"/>
    </row>
    <row r="90" spans="2:13">
      <c r="B90" s="214" t="s">
        <v>215</v>
      </c>
      <c r="C90" s="109">
        <v>1</v>
      </c>
      <c r="D90" s="110">
        <v>1</v>
      </c>
      <c r="E90" s="111">
        <v>622</v>
      </c>
      <c r="F90" s="112">
        <v>33714651779</v>
      </c>
      <c r="G90" s="204" t="str">
        <f>IFERROR(IF(venta_a_mes1[[#This Row],[CUIT]]="","-",VLOOKUP(venta_a_mes1[[#This Row],[CUIT]],Lista_CUIT[#All],2,0)),"CUIT NO CARGADO")</f>
        <v>COOPERATIVA DE TRABAJO MADYGRAF LTDA</v>
      </c>
      <c r="H90" s="100">
        <v>660000</v>
      </c>
      <c r="I90" s="101">
        <f>venta_a_mes1[[#This Row],[IMPORTE NETO]]*0.21</f>
        <v>138600</v>
      </c>
      <c r="J90" s="65"/>
      <c r="K90" s="65"/>
      <c r="L90" s="65">
        <f>SUM(venta_a_mes1[[#This Row],[IMPORTE NETO]:[EXENTO]])</f>
        <v>798600</v>
      </c>
      <c r="M90" s="59"/>
    </row>
    <row r="91" spans="2:13">
      <c r="B91" s="214" t="s">
        <v>215</v>
      </c>
      <c r="C91" s="109">
        <v>1</v>
      </c>
      <c r="D91" s="110">
        <v>1</v>
      </c>
      <c r="E91" s="111">
        <v>623</v>
      </c>
      <c r="F91" s="112">
        <v>30708604255</v>
      </c>
      <c r="G91" s="204" t="str">
        <f>IFERROR(IF(venta_a_mes1[[#This Row],[CUIT]]="","-",VLOOKUP(venta_a_mes1[[#This Row],[CUIT]],Lista_CUIT[#All],2,0)),"CUIT NO CARGADO")</f>
        <v>NAR TECHNOLOGIES S.R.L.</v>
      </c>
      <c r="H91" s="100">
        <v>545454.56999999995</v>
      </c>
      <c r="I91" s="101">
        <f>venta_a_mes1[[#This Row],[IMPORTE NETO]]*0.21</f>
        <v>114545.45969999999</v>
      </c>
      <c r="J91" s="65"/>
      <c r="K91" s="65"/>
      <c r="L91" s="65">
        <f>SUM(venta_a_mes1[[#This Row],[IMPORTE NETO]:[EXENTO]])</f>
        <v>660000.02969999996</v>
      </c>
      <c r="M91" s="59"/>
    </row>
    <row r="92" spans="2:13">
      <c r="B92" s="214" t="s">
        <v>215</v>
      </c>
      <c r="C92" s="109">
        <v>1</v>
      </c>
      <c r="D92" s="110">
        <v>1</v>
      </c>
      <c r="E92" s="111">
        <v>624</v>
      </c>
      <c r="F92" s="112">
        <v>24368969350</v>
      </c>
      <c r="G92" s="204" t="str">
        <f>IFERROR(IF(venta_a_mes1[[#This Row],[CUIT]]="","-",VLOOKUP(venta_a_mes1[[#This Row],[CUIT]],Lista_CUIT[#All],2,0)),"CUIT NO CARGADO")</f>
        <v>MARANO CORVALAN MARTIN MARIANO</v>
      </c>
      <c r="H92" s="100">
        <v>295454.57</v>
      </c>
      <c r="I92" s="101">
        <f>venta_a_mes1[[#This Row],[IMPORTE NETO]]*0.21</f>
        <v>62045.459699999999</v>
      </c>
      <c r="J92" s="65"/>
      <c r="K92" s="65"/>
      <c r="L92" s="65">
        <f>SUM(venta_a_mes1[[#This Row],[IMPORTE NETO]:[EXENTO]])</f>
        <v>357500.02970000001</v>
      </c>
      <c r="M92" s="59"/>
    </row>
    <row r="93" spans="2:13">
      <c r="B93" s="214" t="s">
        <v>215</v>
      </c>
      <c r="C93" s="109">
        <v>1</v>
      </c>
      <c r="D93" s="110">
        <v>1</v>
      </c>
      <c r="E93" s="111">
        <v>625</v>
      </c>
      <c r="F93" s="112">
        <v>30688955749</v>
      </c>
      <c r="G93" s="204" t="str">
        <f>IFERROR(IF(venta_a_mes1[[#This Row],[CUIT]]="","-",VLOOKUP(venta_a_mes1[[#This Row],[CUIT]],Lista_CUIT[#All],2,0)),"CUIT NO CARGADO")</f>
        <v>LISERAR S A</v>
      </c>
      <c r="H93" s="100">
        <v>196694.24</v>
      </c>
      <c r="I93" s="101">
        <f>venta_a_mes1[[#This Row],[IMPORTE NETO]]*0.21</f>
        <v>41305.790399999998</v>
      </c>
      <c r="J93" s="65"/>
      <c r="K93" s="65"/>
      <c r="L93" s="65">
        <f>SUM(venta_a_mes1[[#This Row],[IMPORTE NETO]:[EXENTO]])</f>
        <v>238000.03039999999</v>
      </c>
      <c r="M93" s="59"/>
    </row>
    <row r="94" spans="2:13">
      <c r="B94" s="214" t="s">
        <v>215</v>
      </c>
      <c r="C94" s="109">
        <v>1</v>
      </c>
      <c r="D94" s="110">
        <v>1</v>
      </c>
      <c r="E94" s="111">
        <v>626</v>
      </c>
      <c r="F94" s="112">
        <v>20320573948</v>
      </c>
      <c r="G94" s="204" t="str">
        <f>IFERROR(IF(venta_a_mes1[[#This Row],[CUIT]]="","-",VLOOKUP(venta_a_mes1[[#This Row],[CUIT]],Lista_CUIT[#All],2,0)),"CUIT NO CARGADO")</f>
        <v>CAVALLOTTI MARCOS DANIEL</v>
      </c>
      <c r="H94" s="100">
        <v>196694.24</v>
      </c>
      <c r="I94" s="101">
        <f>venta_a_mes1[[#This Row],[IMPORTE NETO]]*0.21</f>
        <v>41305.790399999998</v>
      </c>
      <c r="J94" s="65"/>
      <c r="K94" s="65"/>
      <c r="L94" s="65">
        <f>SUM(venta_a_mes1[[#This Row],[IMPORTE NETO]:[EXENTO]])</f>
        <v>238000.03039999999</v>
      </c>
      <c r="M94" s="59"/>
    </row>
    <row r="95" spans="2:13">
      <c r="B95" s="214" t="s">
        <v>215</v>
      </c>
      <c r="C95" s="109">
        <v>1</v>
      </c>
      <c r="D95" s="110">
        <v>1</v>
      </c>
      <c r="E95" s="111">
        <v>627</v>
      </c>
      <c r="F95" s="112">
        <v>20279415656</v>
      </c>
      <c r="G95" s="204" t="str">
        <f>IFERROR(IF(venta_a_mes1[[#This Row],[CUIT]]="","-",VLOOKUP(venta_a_mes1[[#This Row],[CUIT]],Lista_CUIT[#All],2,0)),"CUIT NO CARGADO")</f>
        <v>CECCO ALVARO GONZALO</v>
      </c>
      <c r="H95" s="100">
        <v>147107.43</v>
      </c>
      <c r="I95" s="101">
        <f>venta_a_mes1[[#This Row],[IMPORTE NETO]]*0.21</f>
        <v>30892.560299999997</v>
      </c>
      <c r="J95" s="65"/>
      <c r="K95" s="65"/>
      <c r="L95" s="65">
        <f>SUM(venta_a_mes1[[#This Row],[IMPORTE NETO]:[EXENTO]])</f>
        <v>177999.9903</v>
      </c>
      <c r="M95" s="59"/>
    </row>
    <row r="96" spans="2:13">
      <c r="B96" s="214" t="s">
        <v>215</v>
      </c>
      <c r="C96" s="109">
        <v>1</v>
      </c>
      <c r="D96" s="110">
        <v>1</v>
      </c>
      <c r="E96" s="111">
        <v>628</v>
      </c>
      <c r="F96" s="112">
        <v>30717973166</v>
      </c>
      <c r="G96" s="204" t="str">
        <f>IFERROR(IF(venta_a_mes1[[#This Row],[CUIT]]="","-",VLOOKUP(venta_a_mes1[[#This Row],[CUIT]],Lista_CUIT[#All],2,0)),"CUIT NO CARGADO")</f>
        <v>STM ESTILO S.R.L</v>
      </c>
      <c r="H96" s="100">
        <v>147107.43</v>
      </c>
      <c r="I96" s="101">
        <f>venta_a_mes1[[#This Row],[IMPORTE NETO]]*0.21</f>
        <v>30892.560299999997</v>
      </c>
      <c r="J96" s="65"/>
      <c r="K96" s="65"/>
      <c r="L96" s="65">
        <f>SUM(venta_a_mes1[[#This Row],[IMPORTE NETO]:[EXENTO]])</f>
        <v>177999.9903</v>
      </c>
      <c r="M96" s="59"/>
    </row>
    <row r="97" spans="2:13">
      <c r="B97" s="214" t="s">
        <v>215</v>
      </c>
      <c r="C97" s="109">
        <v>1</v>
      </c>
      <c r="D97" s="110">
        <v>1</v>
      </c>
      <c r="E97" s="111">
        <v>629</v>
      </c>
      <c r="F97" s="112">
        <v>20287305460</v>
      </c>
      <c r="G97" s="204" t="str">
        <f>IFERROR(IF(venta_a_mes1[[#This Row],[CUIT]]="","-",VLOOKUP(venta_a_mes1[[#This Row],[CUIT]],Lista_CUIT[#All],2,0)),"CUIT NO CARGADO")</f>
        <v>LANDI GERONIMO</v>
      </c>
      <c r="H97" s="100">
        <v>147107.43</v>
      </c>
      <c r="I97" s="101">
        <f>venta_a_mes1[[#This Row],[IMPORTE NETO]]*0.21</f>
        <v>30892.560299999997</v>
      </c>
      <c r="J97" s="65"/>
      <c r="K97" s="65"/>
      <c r="L97" s="65">
        <f>SUM(venta_a_mes1[[#This Row],[IMPORTE NETO]:[EXENTO]])</f>
        <v>177999.9903</v>
      </c>
      <c r="M97" s="59"/>
    </row>
    <row r="98" spans="2:13">
      <c r="B98" s="214" t="s">
        <v>219</v>
      </c>
      <c r="C98" s="109">
        <v>3</v>
      </c>
      <c r="D98" s="110">
        <v>1</v>
      </c>
      <c r="E98" s="111">
        <v>50</v>
      </c>
      <c r="F98" s="112">
        <v>30708604255</v>
      </c>
      <c r="G98" s="204" t="str">
        <f>IFERROR(IF(venta_a_mes1[[#This Row],[CUIT]]="","-",VLOOKUP(venta_a_mes1[[#This Row],[CUIT]],Lista_CUIT[#All],2,0)),"CUIT NO CARGADO")</f>
        <v>NAR TECHNOLOGIES S.R.L.</v>
      </c>
      <c r="H98" s="100">
        <v>-545454.56999999995</v>
      </c>
      <c r="I98" s="101">
        <f>venta_a_mes1[[#This Row],[IMPORTE NETO]]*0.21</f>
        <v>-114545.45969999999</v>
      </c>
      <c r="J98" s="65"/>
      <c r="K98" s="65"/>
      <c r="L98" s="65">
        <f>SUM(venta_a_mes1[[#This Row],[IMPORTE NETO]:[EXENTO]])</f>
        <v>-660000.02969999996</v>
      </c>
      <c r="M98" s="59"/>
    </row>
    <row r="99" spans="2:13">
      <c r="B99" s="214"/>
      <c r="C99" s="109"/>
      <c r="D99" s="110"/>
      <c r="E99" s="111"/>
      <c r="F99" s="112"/>
      <c r="G99" s="204" t="str">
        <f>IFERROR(IF(venta_a_mes1[[#This Row],[CUIT]]="","-",VLOOKUP(venta_a_mes1[[#This Row],[CUIT]],Lista_CUIT[#All],2,0)),"CUIT NO CARGADO")</f>
        <v>-</v>
      </c>
      <c r="H99" s="100"/>
      <c r="I99" s="101">
        <f>venta_a_mes1[[#This Row],[IMPORTE NETO]]*0.21</f>
        <v>0</v>
      </c>
      <c r="J99" s="65"/>
      <c r="K99" s="65"/>
      <c r="L99" s="65">
        <f>SUM(venta_a_mes1[[#This Row],[IMPORTE NETO]:[EXENTO]])</f>
        <v>0</v>
      </c>
      <c r="M99" s="59"/>
    </row>
    <row r="100" spans="2:13">
      <c r="B100" s="214"/>
      <c r="C100" s="109"/>
      <c r="D100" s="110"/>
      <c r="E100" s="111"/>
      <c r="F100" s="112"/>
      <c r="G100" s="204" t="str">
        <f>IFERROR(IF(venta_a_mes1[[#This Row],[CUIT]]="","-",VLOOKUP(venta_a_mes1[[#This Row],[CUIT]],Lista_CUIT[#All],2,0)),"CUIT NO CARGADO")</f>
        <v>-</v>
      </c>
      <c r="H100" s="100"/>
      <c r="I100" s="101">
        <f>venta_a_mes1[[#This Row],[IMPORTE NETO]]*0.21</f>
        <v>0</v>
      </c>
      <c r="J100" s="65"/>
      <c r="K100" s="65"/>
      <c r="L100" s="65">
        <f>SUM(venta_a_mes1[[#This Row],[IMPORTE NETO]:[EXENTO]])</f>
        <v>0</v>
      </c>
      <c r="M100" s="59"/>
    </row>
    <row r="101" spans="2:13">
      <c r="B101" s="214"/>
      <c r="C101" s="109"/>
      <c r="D101" s="110"/>
      <c r="E101" s="111"/>
      <c r="F101" s="112"/>
      <c r="G101" s="204" t="str">
        <f>IFERROR(IF(venta_a_mes1[[#This Row],[CUIT]]="","-",VLOOKUP(venta_a_mes1[[#This Row],[CUIT]],Lista_CUIT[#All],2,0)),"CUIT NO CARGADO")</f>
        <v>-</v>
      </c>
      <c r="H101" s="100"/>
      <c r="I101" s="101">
        <f>venta_a_mes1[[#This Row],[IMPORTE NETO]]*0.21</f>
        <v>0</v>
      </c>
      <c r="J101" s="65"/>
      <c r="K101" s="65"/>
      <c r="L101" s="65">
        <f>SUM(venta_a_mes1[[#This Row],[IMPORTE NETO]:[EXENTO]])</f>
        <v>0</v>
      </c>
      <c r="M101" s="59"/>
    </row>
    <row r="102" spans="2:13">
      <c r="B102" s="214"/>
      <c r="C102" s="109"/>
      <c r="D102" s="110"/>
      <c r="E102" s="111"/>
      <c r="F102" s="112"/>
      <c r="G102" s="204" t="str">
        <f>IFERROR(IF(venta_a_mes1[[#This Row],[CUIT]]="","-",VLOOKUP(venta_a_mes1[[#This Row],[CUIT]],Lista_CUIT[#All],2,0)),"CUIT NO CARGADO")</f>
        <v>-</v>
      </c>
      <c r="H102" s="100"/>
      <c r="I102" s="101">
        <f>venta_a_mes1[[#This Row],[IMPORTE NETO]]*0.21</f>
        <v>0</v>
      </c>
      <c r="J102" s="65"/>
      <c r="K102" s="65"/>
      <c r="L102" s="65">
        <f>SUM(venta_a_mes1[[#This Row],[IMPORTE NETO]:[EXENTO]])</f>
        <v>0</v>
      </c>
      <c r="M102" s="59"/>
    </row>
    <row r="103" spans="2:13">
      <c r="B103" s="214"/>
      <c r="C103" s="109"/>
      <c r="D103" s="110"/>
      <c r="E103" s="111"/>
      <c r="F103" s="112"/>
      <c r="G103" s="204" t="str">
        <f>IFERROR(IF(venta_a_mes1[[#This Row],[CUIT]]="","-",VLOOKUP(venta_a_mes1[[#This Row],[CUIT]],Lista_CUIT[#All],2,0)),"CUIT NO CARGADO")</f>
        <v>-</v>
      </c>
      <c r="H103" s="100"/>
      <c r="I103" s="101">
        <f>venta_a_mes1[[#This Row],[IMPORTE NETO]]*0.21</f>
        <v>0</v>
      </c>
      <c r="J103" s="65"/>
      <c r="K103" s="65"/>
      <c r="L103" s="65">
        <f>SUM(venta_a_mes1[[#This Row],[IMPORTE NETO]:[EXENTO]])</f>
        <v>0</v>
      </c>
      <c r="M103" s="59"/>
    </row>
    <row r="104" spans="2:13">
      <c r="B104" s="214"/>
      <c r="C104" s="109"/>
      <c r="D104" s="110"/>
      <c r="E104" s="111"/>
      <c r="F104" s="112"/>
      <c r="G104" s="204" t="str">
        <f>IFERROR(IF(venta_a_mes1[[#This Row],[CUIT]]="","-",VLOOKUP(venta_a_mes1[[#This Row],[CUIT]],Lista_CUIT[#All],2,0)),"CUIT NO CARGADO")</f>
        <v>-</v>
      </c>
      <c r="H104" s="100"/>
      <c r="I104" s="101">
        <f>venta_a_mes1[[#This Row],[IMPORTE NETO]]*0.21</f>
        <v>0</v>
      </c>
      <c r="J104" s="65"/>
      <c r="K104" s="65"/>
      <c r="L104" s="65">
        <f>SUM(venta_a_mes1[[#This Row],[IMPORTE NETO]:[EXENTO]])</f>
        <v>0</v>
      </c>
      <c r="M104" s="59"/>
    </row>
    <row r="105" spans="2:13">
      <c r="B105" s="214"/>
      <c r="C105" s="109"/>
      <c r="D105" s="110"/>
      <c r="E105" s="111"/>
      <c r="F105" s="112"/>
      <c r="G105" s="204" t="str">
        <f>IFERROR(IF(venta_a_mes1[[#This Row],[CUIT]]="","-",VLOOKUP(venta_a_mes1[[#This Row],[CUIT]],Lista_CUIT[#All],2,0)),"CUIT NO CARGADO")</f>
        <v>-</v>
      </c>
      <c r="H105" s="100"/>
      <c r="I105" s="101">
        <f>venta_a_mes1[[#This Row],[IMPORTE NETO]]*0.21</f>
        <v>0</v>
      </c>
      <c r="J105" s="65"/>
      <c r="K105" s="65"/>
      <c r="L105" s="65">
        <f>SUM(venta_a_mes1[[#This Row],[IMPORTE NETO]:[EXENTO]])</f>
        <v>0</v>
      </c>
      <c r="M105" s="59"/>
    </row>
    <row r="106" spans="2:13">
      <c r="B106" s="214"/>
      <c r="C106" s="109"/>
      <c r="D106" s="110"/>
      <c r="E106" s="111"/>
      <c r="F106" s="112"/>
      <c r="G106" s="204" t="str">
        <f>IFERROR(IF(venta_a_mes1[[#This Row],[CUIT]]="","-",VLOOKUP(venta_a_mes1[[#This Row],[CUIT]],Lista_CUIT[#All],2,0)),"CUIT NO CARGADO")</f>
        <v>-</v>
      </c>
      <c r="H106" s="100"/>
      <c r="I106" s="101">
        <f>venta_a_mes1[[#This Row],[IMPORTE NETO]]*0.21</f>
        <v>0</v>
      </c>
      <c r="J106" s="65"/>
      <c r="K106" s="65"/>
      <c r="L106" s="65">
        <f>SUM(venta_a_mes1[[#This Row],[IMPORTE NETO]:[EXENTO]])</f>
        <v>0</v>
      </c>
      <c r="M106" s="59"/>
    </row>
    <row r="107" spans="2:13">
      <c r="B107" s="214"/>
      <c r="C107" s="109"/>
      <c r="D107" s="110"/>
      <c r="E107" s="111"/>
      <c r="F107" s="112"/>
      <c r="G107" s="204" t="str">
        <f>IFERROR(IF(venta_a_mes1[[#This Row],[CUIT]]="","-",VLOOKUP(venta_a_mes1[[#This Row],[CUIT]],Lista_CUIT[#All],2,0)),"CUIT NO CARGADO")</f>
        <v>-</v>
      </c>
      <c r="H107" s="100"/>
      <c r="I107" s="101">
        <f>venta_a_mes1[[#This Row],[IMPORTE NETO]]*0.21</f>
        <v>0</v>
      </c>
      <c r="J107" s="65"/>
      <c r="K107" s="65"/>
      <c r="L107" s="65">
        <f>SUM(venta_a_mes1[[#This Row],[IMPORTE NETO]:[EXENTO]])</f>
        <v>0</v>
      </c>
      <c r="M107" s="59"/>
    </row>
    <row r="108" spans="2:13">
      <c r="B108" s="214"/>
      <c r="C108" s="109"/>
      <c r="D108" s="110"/>
      <c r="E108" s="111"/>
      <c r="F108" s="112"/>
      <c r="G108" s="204" t="str">
        <f>IFERROR(IF(venta_a_mes1[[#This Row],[CUIT]]="","-",VLOOKUP(venta_a_mes1[[#This Row],[CUIT]],Lista_CUIT[#All],2,0)),"CUIT NO CARGADO")</f>
        <v>-</v>
      </c>
      <c r="H108" s="100"/>
      <c r="I108" s="101">
        <f>venta_a_mes1[[#This Row],[IMPORTE NETO]]*0.21</f>
        <v>0</v>
      </c>
      <c r="J108" s="65"/>
      <c r="K108" s="65"/>
      <c r="L108" s="65">
        <f>SUM(venta_a_mes1[[#This Row],[IMPORTE NETO]:[EXENTO]])</f>
        <v>0</v>
      </c>
      <c r="M108" s="59"/>
    </row>
    <row r="109" spans="2:13">
      <c r="B109" s="214"/>
      <c r="C109" s="109"/>
      <c r="D109" s="110"/>
      <c r="E109" s="111"/>
      <c r="F109" s="112"/>
      <c r="G109" s="204" t="str">
        <f>IFERROR(IF(venta_a_mes1[[#This Row],[CUIT]]="","-",VLOOKUP(venta_a_mes1[[#This Row],[CUIT]],Lista_CUIT[#All],2,0)),"CUIT NO CARGADO")</f>
        <v>-</v>
      </c>
      <c r="H109" s="100"/>
      <c r="I109" s="101">
        <f>venta_a_mes1[[#This Row],[IMPORTE NETO]]*0.21</f>
        <v>0</v>
      </c>
      <c r="J109" s="65"/>
      <c r="K109" s="65"/>
      <c r="L109" s="65">
        <f>SUM(venta_a_mes1[[#This Row],[IMPORTE NETO]:[EXENTO]])</f>
        <v>0</v>
      </c>
      <c r="M109" s="59"/>
    </row>
    <row r="110" spans="2:13">
      <c r="B110" s="66" t="s">
        <v>91</v>
      </c>
      <c r="C110" s="67"/>
      <c r="D110" s="67"/>
      <c r="E110" s="67"/>
      <c r="F110" s="67"/>
      <c r="G110" s="67"/>
      <c r="H110" s="69">
        <f>SUBTOTAL(109,venta_a_mes1[IMPORTE NETO])</f>
        <v>10038329.359999999</v>
      </c>
      <c r="I110" s="70">
        <f>SUBTOTAL(109,venta_a_mes1[IVA 21%])</f>
        <v>2108049.1655999999</v>
      </c>
      <c r="J110" s="71">
        <f>SUBTOTAL(109,venta_a_mes1[IVA 10,5%])</f>
        <v>0</v>
      </c>
      <c r="K110" s="71">
        <f>SUBTOTAL(109,venta_a_mes1[EXENTO])</f>
        <v>0</v>
      </c>
      <c r="L110" s="71">
        <f>SUBTOTAL(109,venta_a_mes1[TOTAL])</f>
        <v>12146378.525599997</v>
      </c>
      <c r="M110" s="68">
        <f>SUBTOTAL(103,venta_a_mes1[Provincia])</f>
        <v>0</v>
      </c>
    </row>
    <row r="111" spans="2:13">
      <c r="B111" s="134"/>
      <c r="C111" s="134"/>
      <c r="D111" s="134"/>
      <c r="E111" s="134"/>
      <c r="F111" s="134"/>
      <c r="G111" s="134"/>
      <c r="H111" s="136"/>
      <c r="I111" s="137"/>
      <c r="J111" s="138"/>
      <c r="K111" s="138"/>
      <c r="L111" s="138"/>
      <c r="M111" s="135"/>
    </row>
    <row r="112" spans="2:13" ht="21">
      <c r="B112" s="429" t="s">
        <v>31</v>
      </c>
      <c r="C112" s="429"/>
    </row>
    <row r="113" spans="2:13" ht="31.5">
      <c r="B113" s="60" t="s">
        <v>0</v>
      </c>
      <c r="C113" s="61" t="s">
        <v>1</v>
      </c>
      <c r="D113" s="61" t="s">
        <v>21</v>
      </c>
      <c r="E113" s="61" t="s">
        <v>22</v>
      </c>
      <c r="F113" s="61" t="s">
        <v>3</v>
      </c>
      <c r="G113" s="61" t="s">
        <v>4</v>
      </c>
      <c r="H113" s="61" t="s">
        <v>23</v>
      </c>
      <c r="I113" s="61" t="s">
        <v>17</v>
      </c>
      <c r="J113" s="61" t="s">
        <v>7</v>
      </c>
      <c r="K113" s="61" t="s">
        <v>24</v>
      </c>
      <c r="L113" s="61" t="s">
        <v>10</v>
      </c>
      <c r="M113" s="62" t="s">
        <v>38</v>
      </c>
    </row>
    <row r="114" spans="2:13">
      <c r="B114" s="40"/>
      <c r="C114" s="41"/>
      <c r="D114" s="42"/>
      <c r="E114" s="43"/>
      <c r="F114" s="44"/>
      <c r="G114" s="1" t="str">
        <f>IFERROR(IF(ventas_b_mes1[[#This Row],[CUIT]]="","-",VLOOKUP(ventas_b_mes1[[#This Row],[CUIT]],Lista_CUIT[#All],2,0)),"CUIT NO CARGADO")</f>
        <v>-</v>
      </c>
      <c r="H114" s="64"/>
      <c r="I114" s="64">
        <f>ventas_b_mes1[[#This Row],[IMPORTE NETO]]*0.21</f>
        <v>0</v>
      </c>
      <c r="J114" s="64"/>
      <c r="K114" s="64"/>
      <c r="L114" s="64"/>
      <c r="M114" s="59"/>
    </row>
    <row r="115" spans="2:13">
      <c r="B115" s="40"/>
      <c r="C115" s="41"/>
      <c r="D115" s="42"/>
      <c r="E115" s="43"/>
      <c r="F115" s="44"/>
      <c r="G115" s="1" t="str">
        <f>IFERROR(IF(ventas_b_mes1[[#This Row],[CUIT]]="","-",VLOOKUP(ventas_b_mes1[[#This Row],[CUIT]],Lista_CUIT[#All],2,0)),"CUIT NO CARGADO")</f>
        <v>-</v>
      </c>
      <c r="H115" s="64"/>
      <c r="I115" s="64">
        <f>ventas_b_mes1[[#This Row],[IMPORTE NETO]]*0.21</f>
        <v>0</v>
      </c>
      <c r="J115" s="64"/>
      <c r="K115" s="64"/>
      <c r="L115" s="64"/>
      <c r="M115" s="59"/>
    </row>
    <row r="116" spans="2:13">
      <c r="B116" s="40"/>
      <c r="C116" s="41"/>
      <c r="D116" s="42"/>
      <c r="E116" s="43"/>
      <c r="F116" s="44"/>
      <c r="G116" s="1" t="str">
        <f>IFERROR(IF(ventas_b_mes1[[#This Row],[CUIT]]="","-",VLOOKUP(ventas_b_mes1[[#This Row],[CUIT]],Lista_CUIT[#All],2,0)),"CUIT NO CARGADO")</f>
        <v>-</v>
      </c>
      <c r="H116" s="64"/>
      <c r="I116" s="64">
        <f>ventas_b_mes1[[#This Row],[IMPORTE NETO]]*0.21</f>
        <v>0</v>
      </c>
      <c r="J116" s="64"/>
      <c r="K116" s="64"/>
      <c r="L116" s="64"/>
      <c r="M116" s="59"/>
    </row>
    <row r="117" spans="2:13">
      <c r="B117" s="40"/>
      <c r="C117" s="41"/>
      <c r="D117" s="42"/>
      <c r="E117" s="43"/>
      <c r="F117" s="44"/>
      <c r="G117" s="1" t="str">
        <f>IFERROR(IF(ventas_b_mes1[[#This Row],[CUIT]]="","-",VLOOKUP(ventas_b_mes1[[#This Row],[CUIT]],Lista_CUIT[#All],2,0)),"CUIT NO CARGADO")</f>
        <v>-</v>
      </c>
      <c r="H117" s="64"/>
      <c r="I117" s="64">
        <f>ventas_b_mes1[[#This Row],[IMPORTE NETO]]*0.21</f>
        <v>0</v>
      </c>
      <c r="J117" s="64"/>
      <c r="K117" s="64"/>
      <c r="L117" s="64"/>
      <c r="M117" s="59"/>
    </row>
    <row r="118" spans="2:13">
      <c r="B118" s="40"/>
      <c r="C118" s="41"/>
      <c r="D118" s="42"/>
      <c r="E118" s="43"/>
      <c r="F118" s="44"/>
      <c r="G118" s="1" t="str">
        <f>IFERROR(IF(ventas_b_mes1[[#This Row],[CUIT]]="","-",VLOOKUP(ventas_b_mes1[[#This Row],[CUIT]],Lista_CUIT[#All],2,0)),"CUIT NO CARGADO")</f>
        <v>-</v>
      </c>
      <c r="H118" s="64">
        <f>ventas_b_mes1[[#This Row],[TOTAL]]/1.21</f>
        <v>0</v>
      </c>
      <c r="I118" s="64">
        <f>ventas_b_mes1[[#This Row],[IMPORTE NETO]]*0.21</f>
        <v>0</v>
      </c>
      <c r="J118" s="64"/>
      <c r="K118" s="64"/>
      <c r="L118" s="64"/>
      <c r="M118" s="59"/>
    </row>
    <row r="119" spans="2:13">
      <c r="B119" s="40"/>
      <c r="C119" s="41"/>
      <c r="D119" s="42"/>
      <c r="E119" s="43"/>
      <c r="F119" s="44"/>
      <c r="G119" s="1"/>
      <c r="H119" s="64">
        <f>ventas_b_mes1[[#This Row],[TOTAL]]/1.21</f>
        <v>0</v>
      </c>
      <c r="I119" s="64">
        <f>ventas_b_mes1[[#This Row],[IMPORTE NETO]]*0.21</f>
        <v>0</v>
      </c>
      <c r="J119" s="64"/>
      <c r="K119" s="64"/>
      <c r="L119" s="64"/>
      <c r="M119" s="59"/>
    </row>
    <row r="120" spans="2:13">
      <c r="B120" s="66" t="s">
        <v>91</v>
      </c>
      <c r="C120" s="67"/>
      <c r="D120" s="67"/>
      <c r="E120" s="67"/>
      <c r="F120" s="67"/>
      <c r="G120" s="67"/>
      <c r="H120" s="77">
        <f>SUBTOTAL(109,ventas_b_mes1[IMPORTE NETO])</f>
        <v>0</v>
      </c>
      <c r="I120" s="77">
        <f>SUBTOTAL(109,ventas_b_mes1[IVA 21%])</f>
        <v>0</v>
      </c>
      <c r="J120" s="78">
        <f>SUBTOTAL(109,ventas_b_mes1[IVA 10,5%])</f>
        <v>0</v>
      </c>
      <c r="K120" s="78">
        <f>SUBTOTAL(109,ventas_b_mes1[EXENTO])</f>
        <v>0</v>
      </c>
      <c r="L120" s="78">
        <f>SUBTOTAL(109,ventas_b_mes1[TOTAL])</f>
        <v>0</v>
      </c>
      <c r="M120" s="68">
        <f>SUBTOTAL(103,ventas_b_mes1[Provincia])</f>
        <v>0</v>
      </c>
    </row>
    <row r="127" spans="2:13" ht="15.75" thickBot="1"/>
    <row r="128" spans="2:13" ht="15.75" thickTop="1">
      <c r="C128" s="443" t="s">
        <v>66</v>
      </c>
      <c r="D128" s="443"/>
      <c r="E128" s="443"/>
      <c r="F128" s="443"/>
      <c r="G128" s="443"/>
      <c r="H128" s="32"/>
      <c r="I128" s="32"/>
      <c r="J128" s="32"/>
    </row>
    <row r="129" spans="3:12" ht="15.75">
      <c r="C129" s="113" t="s">
        <v>67</v>
      </c>
      <c r="D129" s="114" t="s">
        <v>68</v>
      </c>
      <c r="E129" s="114" t="s">
        <v>93</v>
      </c>
      <c r="F129" s="114" t="s">
        <v>3</v>
      </c>
      <c r="G129" s="114" t="s">
        <v>4</v>
      </c>
      <c r="H129" s="115" t="s">
        <v>69</v>
      </c>
      <c r="I129" s="115" t="s">
        <v>70</v>
      </c>
      <c r="J129" s="115" t="s">
        <v>71</v>
      </c>
      <c r="K129" s="115" t="s">
        <v>72</v>
      </c>
      <c r="L129" s="115" t="s">
        <v>73</v>
      </c>
    </row>
    <row r="130" spans="3:12">
      <c r="C130" s="116"/>
      <c r="D130" s="117"/>
      <c r="E130" s="117"/>
      <c r="F130" s="118"/>
      <c r="G130" s="53" t="str">
        <f>IFERROR(IF(retenciones_mes1[[#This Row],[CUIT]]="","-",VLOOKUP(retenciones_mes1[[#This Row],[CUIT]],Lista_CUIT[#All],2,0)),"CUIT NO CARGADO")</f>
        <v>-</v>
      </c>
      <c r="H130" s="119"/>
      <c r="I130" s="119"/>
      <c r="J130" s="119"/>
      <c r="K130" s="119"/>
      <c r="L130" s="119"/>
    </row>
    <row r="131" spans="3:12">
      <c r="C131" s="116"/>
      <c r="D131" s="117"/>
      <c r="E131" s="117"/>
      <c r="F131" s="118"/>
      <c r="G131" s="53" t="str">
        <f>IFERROR(IF(retenciones_mes1[[#This Row],[CUIT]]="","-",VLOOKUP(retenciones_mes1[[#This Row],[CUIT]],Lista_CUIT[#All],2,0)),"CUIT NO CARGADO")</f>
        <v>-</v>
      </c>
      <c r="H131" s="119"/>
      <c r="I131" s="119"/>
      <c r="J131" s="119"/>
      <c r="K131" s="119"/>
      <c r="L131" s="119"/>
    </row>
    <row r="132" spans="3:12">
      <c r="C132" s="116"/>
      <c r="D132" s="117"/>
      <c r="E132" s="117"/>
      <c r="F132" s="118"/>
      <c r="G132" s="53" t="str">
        <f>IFERROR(IF(retenciones_mes1[[#This Row],[CUIT]]="","-",VLOOKUP(retenciones_mes1[[#This Row],[CUIT]],Lista_CUIT[#All],2,0)),"CUIT NO CARGADO")</f>
        <v>-</v>
      </c>
      <c r="H132" s="119"/>
      <c r="I132" s="119"/>
      <c r="J132" s="119"/>
      <c r="K132" s="119"/>
      <c r="L132" s="119"/>
    </row>
    <row r="133" spans="3:12">
      <c r="C133" s="116"/>
      <c r="D133" s="117"/>
      <c r="E133" s="117"/>
      <c r="F133" s="118"/>
      <c r="G133" s="53" t="str">
        <f>IFERROR(IF(retenciones_mes1[[#This Row],[CUIT]]="","-",VLOOKUP(retenciones_mes1[[#This Row],[CUIT]],Lista_CUIT[#All],2,0)),"CUIT NO CARGADO")</f>
        <v>-</v>
      </c>
      <c r="H133" s="119"/>
      <c r="I133" s="119"/>
      <c r="J133" s="119"/>
      <c r="K133" s="119"/>
      <c r="L133" s="119"/>
    </row>
    <row r="134" spans="3:12">
      <c r="D134" s="117"/>
      <c r="E134" s="117"/>
      <c r="G134" s="53" t="str">
        <f>IFERROR(IF(retenciones_mes1[[#This Row],[CUIT]]="","-",VLOOKUP(retenciones_mes1[[#This Row],[CUIT]],Lista_CUIT[#All],2,0)),"CUIT NO CARGADO")</f>
        <v>-</v>
      </c>
    </row>
    <row r="135" spans="3:12">
      <c r="C135" s="33"/>
    </row>
  </sheetData>
  <mergeCells count="22">
    <mergeCell ref="J3:K3"/>
    <mergeCell ref="J4:K4"/>
    <mergeCell ref="M4:N4"/>
    <mergeCell ref="M3:N3"/>
    <mergeCell ref="C128:G128"/>
    <mergeCell ref="D7:E7"/>
    <mergeCell ref="N1:R1"/>
    <mergeCell ref="D50:L50"/>
    <mergeCell ref="B80:C80"/>
    <mergeCell ref="B112:C112"/>
    <mergeCell ref="B1:F1"/>
    <mergeCell ref="G1:M1"/>
    <mergeCell ref="K78:M78"/>
    <mergeCell ref="B3:E3"/>
    <mergeCell ref="B4:E4"/>
    <mergeCell ref="G4:H4"/>
    <mergeCell ref="G3:H3"/>
    <mergeCell ref="B78:J78"/>
    <mergeCell ref="D59:K59"/>
    <mergeCell ref="P4:R4"/>
    <mergeCell ref="P3:R3"/>
    <mergeCell ref="B7:C7"/>
  </mergeCells>
  <phoneticPr fontId="38" type="noConversion"/>
  <dataValidations count="8">
    <dataValidation type="whole" allowBlank="1" showInputMessage="1" showErrorMessage="1" sqref="E61:E73 D114:D119 D82:D109 D9:D44" xr:uid="{00000000-0002-0000-0100-000000000000}">
      <formula1>1</formula1>
      <formula2>9999</formula2>
    </dataValidation>
    <dataValidation type="whole" allowBlank="1" showInputMessage="1" showErrorMessage="1" sqref="E114:E119 F61:F73 E82:E109 E9:E44" xr:uid="{00000000-0002-0000-0100-000001000000}">
      <formula1>1</formula1>
      <formula2>99999999</formula2>
    </dataValidation>
    <dataValidation type="whole" allowBlank="1" showInputMessage="1" showErrorMessage="1" sqref="F114:F119 G61:G73 F82:F109 F9:F44" xr:uid="{00000000-0002-0000-0100-000002000000}">
      <formula1>20000000000</formula1>
      <formula2>33999999999</formula2>
    </dataValidation>
    <dataValidation type="date" allowBlank="1" showInputMessage="1" showErrorMessage="1" sqref="D52:D54 D61:D73 B46:B49 B114:B119 B82:B109 B9:B44" xr:uid="{00000000-0002-0000-0100-000003000000}">
      <formula1>40179</formula1>
      <formula2>TODAY()</formula2>
    </dataValidation>
    <dataValidation type="whole" allowBlank="1" showInputMessage="1" showErrorMessage="1" sqref="C46:C49 C82:C109 C9:C44" xr:uid="{00000000-0002-0000-0100-000004000000}">
      <formula1>1</formula1>
      <formula2>3</formula2>
    </dataValidation>
    <dataValidation type="whole" allowBlank="1" showInputMessage="1" showErrorMessage="1" sqref="C114:C119" xr:uid="{00000000-0002-0000-0100-000006000000}">
      <formula1>6</formula1>
      <formula2>8</formula2>
    </dataValidation>
    <dataValidation type="custom" allowBlank="1" showInputMessage="1" showErrorMessage="1" sqref="H114:L119" xr:uid="{00000000-0002-0000-0100-000007000000}">
      <formula1>IF($C114=8,H114&lt;0,H114&gt;=0)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44" xr:uid="{00000000-0002-0000-0100-000008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9" tint="0.79998168889431442"/>
  </sheetPr>
  <dimension ref="A1:Z125"/>
  <sheetViews>
    <sheetView showGridLines="0" topLeftCell="A19" zoomScale="90" zoomScaleNormal="90" workbookViewId="0">
      <selection activeCell="G35" sqref="G35"/>
    </sheetView>
  </sheetViews>
  <sheetFormatPr baseColWidth="10" defaultColWidth="15.7109375" defaultRowHeight="15"/>
  <cols>
    <col min="1" max="1" width="8.42578125" customWidth="1"/>
    <col min="7" max="7" width="34" bestFit="1" customWidth="1"/>
  </cols>
  <sheetData>
    <row r="1" spans="1:26" ht="34.9" customHeight="1">
      <c r="A1" s="37"/>
      <c r="B1" s="430" t="s">
        <v>28</v>
      </c>
      <c r="C1" s="430"/>
      <c r="D1" s="430"/>
      <c r="E1" s="430"/>
      <c r="F1" s="430"/>
      <c r="G1" s="445" t="str">
        <f>'Ene-26'!G1:M1</f>
        <v>RABLEB SRL</v>
      </c>
      <c r="H1" s="445"/>
      <c r="I1" s="445"/>
      <c r="J1" s="445"/>
      <c r="K1" s="445"/>
      <c r="L1" s="445"/>
      <c r="M1" s="445"/>
      <c r="N1" s="427">
        <f>EDATE('Ene-26'!N1,1)</f>
        <v>46054</v>
      </c>
      <c r="O1" s="427"/>
      <c r="P1" s="427"/>
      <c r="Q1" s="427"/>
      <c r="R1" s="427"/>
    </row>
    <row r="2" spans="1:26" ht="15" customHeight="1"/>
    <row r="3" spans="1:26" ht="26.45" customHeight="1">
      <c r="B3" s="433" t="s">
        <v>65</v>
      </c>
      <c r="C3" s="433"/>
      <c r="D3" s="433"/>
      <c r="E3" s="433"/>
      <c r="F3" s="38"/>
      <c r="G3" s="433" t="s">
        <v>37</v>
      </c>
      <c r="H3" s="433"/>
      <c r="I3" s="38"/>
      <c r="J3" s="441" t="s">
        <v>14</v>
      </c>
      <c r="K3" s="441"/>
      <c r="L3" s="38"/>
      <c r="M3" s="441" t="s">
        <v>12</v>
      </c>
      <c r="N3" s="441"/>
      <c r="O3" s="38"/>
      <c r="P3" s="439" t="s">
        <v>90</v>
      </c>
      <c r="Q3" s="439"/>
      <c r="R3" s="439"/>
    </row>
    <row r="4" spans="1:26" ht="25.15" customHeight="1">
      <c r="B4" s="434">
        <f>SUM(compras_mes2[[#Totals],[NETO GRAVADO]])+extracto_banco_mes2[[#Totals],[NETO]]</f>
        <v>6207525.5900000008</v>
      </c>
      <c r="C4" s="434"/>
      <c r="D4" s="434"/>
      <c r="E4" s="434"/>
      <c r="F4" s="39"/>
      <c r="G4" s="435">
        <f>compras_mes2[[#Totals],[IVA 21 %]]+compras_mes2[[#Totals],[IVA 27%]]+compras_mes2[[#Totals],[IVA 10,5%]]+extracto_banco_mes2[[#Totals],[IVA 21%]]+extracto_banco_mes2[[#Totals],[IVA 10,5%]]</f>
        <v>1303580.3739</v>
      </c>
      <c r="H4" s="435"/>
      <c r="I4" s="39"/>
      <c r="J4" s="442">
        <f>venta_a_mes2[[#Totals],[IMPORTE NETO]]+ventas_b_mes2[[#Totals],[IMPORTE NETO]]</f>
        <v>9787785.4999999981</v>
      </c>
      <c r="K4" s="442"/>
      <c r="L4" s="39"/>
      <c r="M4" s="442">
        <f>venta_a_mes2[[#Totals],[IVA 21%]]+venta_a_mes2[[#Totals],[IVA 10,5%]]+ventas_b_mes2[[#Totals],[IVA 21%]]+ventas_b_mes2[[#Totals],[IVA 10,5%]]</f>
        <v>2055434.9550000005</v>
      </c>
      <c r="N4" s="442"/>
      <c r="O4" s="39"/>
      <c r="P4" s="437">
        <f>G4-M4</f>
        <v>-751854.58110000053</v>
      </c>
      <c r="Q4" s="438"/>
      <c r="R4" s="438"/>
    </row>
    <row r="5" spans="1:26" ht="13.15" customHeight="1"/>
    <row r="6" spans="1:26" ht="10.9" customHeight="1"/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40" t="s">
        <v>224</v>
      </c>
      <c r="C9" s="41">
        <v>1</v>
      </c>
      <c r="D9" s="42">
        <v>2</v>
      </c>
      <c r="E9" s="43">
        <v>1690412</v>
      </c>
      <c r="F9" s="44">
        <v>30710173652</v>
      </c>
      <c r="G9" s="45" t="str">
        <f>IFERROR(IF(compras_mes2[[#This Row],[CUIT]]="","-",VLOOKUP(compras_mes2[[#This Row],[CUIT]],Lista_CUIT[#All],2,0)),"CUIT NO CARGADO")</f>
        <v>DATTATEC.COM S.R.L.</v>
      </c>
      <c r="H9" s="46">
        <v>33057.85</v>
      </c>
      <c r="I9" s="85">
        <f>compras_mes2[[#This Row],[NETO GRAVADO]]*0.21</f>
        <v>6942.1484999999993</v>
      </c>
      <c r="J9" s="85"/>
      <c r="K9" s="85"/>
      <c r="L9" s="85"/>
      <c r="M9" s="85"/>
      <c r="N9" s="85"/>
      <c r="O9" s="85"/>
      <c r="P9" s="48">
        <f>SUM(compras_mes2[[#This Row],[NETO GRAVADO]:[Otros / No Grav.]])</f>
        <v>39999.998500000002</v>
      </c>
      <c r="Q9" s="49">
        <f>IFERROR(IF(compras_mes2[[#This Row],[CUIT]]="","-",VLOOKUP(compras_mes2[[#This Row],[CUIT]],Lista_CUIT[#All],3,0)),"CUIT NO CARGADO")</f>
        <v>0</v>
      </c>
      <c r="R9" s="49">
        <f>IFERROR(IF(compras_mes2[[#This Row],[CUIT]]="","-",VLOOKUP(compras_mes2[[#This Row],[CUIT]],Lista_CUIT[#All],4,0)),"CUIT NO CARGADO")</f>
        <v>0</v>
      </c>
    </row>
    <row r="10" spans="1:26">
      <c r="B10" s="40" t="s">
        <v>225</v>
      </c>
      <c r="C10" s="41">
        <v>1</v>
      </c>
      <c r="D10" s="42">
        <v>2</v>
      </c>
      <c r="E10" s="43">
        <v>1744</v>
      </c>
      <c r="F10" s="44">
        <v>30718631730</v>
      </c>
      <c r="G10" s="45" t="str">
        <f>IFERROR(IF(compras_mes2[[#This Row],[CUIT]]="","-",VLOOKUP(compras_mes2[[#This Row],[CUIT]],Lista_CUIT[#All],2,0)),"CUIT NO CARGADO")</f>
        <v>SIMZ S. R. L.</v>
      </c>
      <c r="H10" s="46">
        <v>142884</v>
      </c>
      <c r="I10" s="85">
        <f>compras_mes2[[#This Row],[NETO GRAVADO]]*0.21</f>
        <v>30005.64</v>
      </c>
      <c r="J10" s="85"/>
      <c r="K10" s="85"/>
      <c r="L10" s="85"/>
      <c r="M10" s="85"/>
      <c r="N10" s="85"/>
      <c r="O10" s="85"/>
      <c r="P10" s="48">
        <f>SUM(compras_mes2[[#This Row],[NETO GRAVADO]:[Otros / No Grav.]])</f>
        <v>172889.64</v>
      </c>
      <c r="Q10" s="49">
        <f>IFERROR(IF(compras_mes2[[#This Row],[CUIT]]="","-",VLOOKUP(compras_mes2[[#This Row],[CUIT]],Lista_CUIT[#All],3,0)),"CUIT NO CARGADO")</f>
        <v>0</v>
      </c>
      <c r="R10" s="49">
        <f>IFERROR(IF(compras_mes2[[#This Row],[CUIT]]="","-",VLOOKUP(compras_mes2[[#This Row],[CUIT]],Lista_CUIT[#All],4,0)),"CUIT NO CARGADO")</f>
        <v>0</v>
      </c>
    </row>
    <row r="11" spans="1:26">
      <c r="B11" s="40" t="s">
        <v>226</v>
      </c>
      <c r="C11" s="41">
        <v>1</v>
      </c>
      <c r="D11" s="42">
        <v>2</v>
      </c>
      <c r="E11" s="43">
        <v>1709683</v>
      </c>
      <c r="F11" s="44">
        <v>30710173652</v>
      </c>
      <c r="G11" s="45" t="str">
        <f>IFERROR(IF(compras_mes2[[#This Row],[CUIT]]="","-",VLOOKUP(compras_mes2[[#This Row],[CUIT]],Lista_CUIT[#All],2,0)),"CUIT NO CARGADO")</f>
        <v>DATTATEC.COM S.R.L.</v>
      </c>
      <c r="H11" s="46">
        <v>33057.85</v>
      </c>
      <c r="I11" s="85">
        <f>compras_mes2[[#This Row],[NETO GRAVADO]]*0.21</f>
        <v>6942.1484999999993</v>
      </c>
      <c r="J11" s="85"/>
      <c r="K11" s="85"/>
      <c r="L11" s="85"/>
      <c r="M11" s="85"/>
      <c r="N11" s="85"/>
      <c r="O11" s="85"/>
      <c r="P11" s="48">
        <f>SUM(compras_mes2[[#This Row],[NETO GRAVADO]:[Otros / No Grav.]])</f>
        <v>39999.998500000002</v>
      </c>
      <c r="Q11" s="49">
        <f>IFERROR(IF(compras_mes2[[#This Row],[CUIT]]="","-",VLOOKUP(compras_mes2[[#This Row],[CUIT]],Lista_CUIT[#All],3,0)),"CUIT NO CARGADO")</f>
        <v>0</v>
      </c>
      <c r="R11" s="49">
        <f>IFERROR(IF(compras_mes2[[#This Row],[CUIT]]="","-",VLOOKUP(compras_mes2[[#This Row],[CUIT]],Lista_CUIT[#All],4,0)),"CUIT NO CARGADO")</f>
        <v>0</v>
      </c>
    </row>
    <row r="12" spans="1:26">
      <c r="B12" s="40" t="s">
        <v>227</v>
      </c>
      <c r="C12" s="41">
        <v>1</v>
      </c>
      <c r="D12" s="42">
        <v>11</v>
      </c>
      <c r="E12" s="43">
        <v>1283132</v>
      </c>
      <c r="F12" s="44">
        <v>33709585229</v>
      </c>
      <c r="G12" s="45" t="str">
        <f>IFERROR(IF(compras_mes2[[#This Row],[CUIT]]="","-",VLOOKUP(compras_mes2[[#This Row],[CUIT]],Lista_CUIT[#All],2,0)),"CUIT NO CARGADO")</f>
        <v>GOOGLE ARGENTINA S.R.L.</v>
      </c>
      <c r="H12" s="46">
        <v>1519996.93</v>
      </c>
      <c r="I12" s="85">
        <f>compras_mes2[[#This Row],[NETO GRAVADO]]*0.21</f>
        <v>319199.3553</v>
      </c>
      <c r="J12" s="85"/>
      <c r="K12" s="85"/>
      <c r="L12" s="85">
        <v>45599.91</v>
      </c>
      <c r="M12" s="85"/>
      <c r="N12" s="85">
        <v>22799.95</v>
      </c>
      <c r="O12" s="85"/>
      <c r="P12" s="48">
        <f>SUM(compras_mes2[[#This Row],[NETO GRAVADO]:[Otros / No Grav.]])</f>
        <v>1907596.1452999997</v>
      </c>
      <c r="Q12" s="49" t="str">
        <f>IFERROR(IF(compras_mes2[[#This Row],[CUIT]]="","-",VLOOKUP(compras_mes2[[#This Row],[CUIT]],Lista_CUIT[#All],3,0)),"CUIT NO CARGADO")</f>
        <v>Servicios de publicidad</v>
      </c>
      <c r="R12" s="49">
        <f>IFERROR(IF(compras_mes2[[#This Row],[CUIT]]="","-",VLOOKUP(compras_mes2[[#This Row],[CUIT]],Lista_CUIT[#All],4,0)),"CUIT NO CARGADO")</f>
        <v>0</v>
      </c>
    </row>
    <row r="13" spans="1:26">
      <c r="B13" s="40" t="s">
        <v>227</v>
      </c>
      <c r="C13" s="41">
        <v>1</v>
      </c>
      <c r="D13" s="42">
        <v>11</v>
      </c>
      <c r="E13" s="43">
        <v>1293337</v>
      </c>
      <c r="F13" s="44">
        <v>33709585229</v>
      </c>
      <c r="G13" s="45" t="str">
        <f>IFERROR(IF(compras_mes2[[#This Row],[CUIT]]="","-",VLOOKUP(compras_mes2[[#This Row],[CUIT]],Lista_CUIT[#All],2,0)),"CUIT NO CARGADO")</f>
        <v>GOOGLE ARGENTINA S.R.L.</v>
      </c>
      <c r="H13" s="46">
        <v>4426055.57</v>
      </c>
      <c r="I13" s="85">
        <f>compras_mes2[[#This Row],[NETO GRAVADO]]*0.21</f>
        <v>929471.66970000009</v>
      </c>
      <c r="J13" s="85"/>
      <c r="K13" s="85"/>
      <c r="L13" s="85">
        <v>132781.67000000001</v>
      </c>
      <c r="M13" s="85"/>
      <c r="N13" s="85">
        <v>66390.83</v>
      </c>
      <c r="O13" s="85"/>
      <c r="P13" s="48">
        <f>SUM(compras_mes2[[#This Row],[NETO GRAVADO]:[Otros / No Grav.]])</f>
        <v>5554699.7397000007</v>
      </c>
      <c r="Q13" s="49" t="str">
        <f>IFERROR(IF(compras_mes2[[#This Row],[CUIT]]="","-",VLOOKUP(compras_mes2[[#This Row],[CUIT]],Lista_CUIT[#All],3,0)),"CUIT NO CARGADO")</f>
        <v>Servicios de publicidad</v>
      </c>
      <c r="R13" s="49">
        <f>IFERROR(IF(compras_mes2[[#This Row],[CUIT]]="","-",VLOOKUP(compras_mes2[[#This Row],[CUIT]],Lista_CUIT[#All],4,0)),"CUIT NO CARGADO")</f>
        <v>0</v>
      </c>
    </row>
    <row r="14" spans="1:26">
      <c r="B14" s="40" t="s">
        <v>227</v>
      </c>
      <c r="C14" s="41">
        <v>3</v>
      </c>
      <c r="D14" s="42">
        <v>11</v>
      </c>
      <c r="E14" s="43">
        <v>914238</v>
      </c>
      <c r="F14" s="44">
        <v>33709585229</v>
      </c>
      <c r="G14" s="45" t="str">
        <f>IFERROR(IF(compras_mes2[[#This Row],[CUIT]]="","-",VLOOKUP(compras_mes2[[#This Row],[CUIT]],Lista_CUIT[#All],2,0)),"CUIT NO CARGADO")</f>
        <v>GOOGLE ARGENTINA S.R.L.</v>
      </c>
      <c r="H14" s="46">
        <v>-1025.5899999999999</v>
      </c>
      <c r="I14" s="85">
        <f>compras_mes2[[#This Row],[NETO GRAVADO]]*0.21</f>
        <v>-215.37389999999996</v>
      </c>
      <c r="J14" s="85"/>
      <c r="K14" s="85"/>
      <c r="L14" s="85"/>
      <c r="M14" s="85"/>
      <c r="N14" s="85">
        <v>-15.38</v>
      </c>
      <c r="O14" s="85"/>
      <c r="P14" s="48">
        <f>SUM(compras_mes2[[#This Row],[NETO GRAVADO]:[Otros / No Grav.]])</f>
        <v>-1256.3439000000001</v>
      </c>
      <c r="Q14" s="49" t="str">
        <f>IFERROR(IF(compras_mes2[[#This Row],[CUIT]]="","-",VLOOKUP(compras_mes2[[#This Row],[CUIT]],Lista_CUIT[#All],3,0)),"CUIT NO CARGADO")</f>
        <v>Servicios de publicidad</v>
      </c>
      <c r="R14" s="49">
        <f>IFERROR(IF(compras_mes2[[#This Row],[CUIT]]="","-",VLOOKUP(compras_mes2[[#This Row],[CUIT]],Lista_CUIT[#All],4,0)),"CUIT NO CARGADO")</f>
        <v>0</v>
      </c>
    </row>
    <row r="15" spans="1:26">
      <c r="B15" s="40" t="s">
        <v>227</v>
      </c>
      <c r="C15" s="41">
        <v>3</v>
      </c>
      <c r="D15" s="42">
        <v>11</v>
      </c>
      <c r="E15" s="43">
        <v>920713</v>
      </c>
      <c r="F15" s="44">
        <v>33709585229</v>
      </c>
      <c r="G15" s="45" t="str">
        <f>IFERROR(IF(compras_mes2[[#This Row],[CUIT]]="","-",VLOOKUP(compras_mes2[[#This Row],[CUIT]],Lista_CUIT[#All],2,0)),"CUIT NO CARGADO")</f>
        <v>GOOGLE ARGENTINA S.R.L.</v>
      </c>
      <c r="H15" s="46">
        <v>-6501.02</v>
      </c>
      <c r="I15" s="85">
        <f>compras_mes2[[#This Row],[NETO GRAVADO]]*0.21</f>
        <v>-1365.2142000000001</v>
      </c>
      <c r="J15" s="85"/>
      <c r="K15" s="85"/>
      <c r="L15" s="85"/>
      <c r="M15" s="85"/>
      <c r="N15" s="85">
        <v>-97.52</v>
      </c>
      <c r="O15" s="85">
        <v>-195.03</v>
      </c>
      <c r="P15" s="248">
        <f>SUM(compras_mes2[[#This Row],[NETO GRAVADO]:[Otros / No Grav.]])</f>
        <v>-8158.784200000001</v>
      </c>
      <c r="Q15" s="49" t="str">
        <f>IFERROR(IF(compras_mes2[[#This Row],[CUIT]]="","-",VLOOKUP(compras_mes2[[#This Row],[CUIT]],Lista_CUIT[#All],3,0)),"CUIT NO CARGADO")</f>
        <v>Servicios de publicidad</v>
      </c>
      <c r="R15" s="49">
        <f>IFERROR(IF(compras_mes2[[#This Row],[CUIT]]="","-",VLOOKUP(compras_mes2[[#This Row],[CUIT]],Lista_CUIT[#All],4,0)),"CUIT NO CARGADO")</f>
        <v>0</v>
      </c>
    </row>
    <row r="16" spans="1:26">
      <c r="B16" s="40"/>
      <c r="C16" s="41"/>
      <c r="D16" s="42"/>
      <c r="E16" s="43"/>
      <c r="F16" s="44"/>
      <c r="G16" s="45" t="str">
        <f>IFERROR(IF(compras_mes2[[#This Row],[CUIT]]="","-",VLOOKUP(compras_mes2[[#This Row],[CUIT]],Lista_CUIT[#All],2,0)),"CUIT NO CARGADO")</f>
        <v>-</v>
      </c>
      <c r="H16" s="46"/>
      <c r="I16" s="85">
        <f>compras_mes2[[#This Row],[NETO GRAVADO]]*0.21</f>
        <v>0</v>
      </c>
      <c r="J16" s="85"/>
      <c r="K16" s="85"/>
      <c r="L16" s="85"/>
      <c r="M16" s="85"/>
      <c r="N16" s="85"/>
      <c r="O16" s="85"/>
      <c r="P16" s="48">
        <f>SUM(compras_mes2[[#This Row],[NETO GRAVADO]:[Otros / No Grav.]])</f>
        <v>0</v>
      </c>
      <c r="Q16" s="49" t="str">
        <f>IFERROR(IF(compras_mes2[[#This Row],[CUIT]]="","-",VLOOKUP(compras_mes2[[#This Row],[CUIT]],Lista_CUIT[#All],3,0)),"CUIT NO CARGADO")</f>
        <v>-</v>
      </c>
      <c r="R16" s="49" t="str">
        <f>IFERROR(IF(compras_mes2[[#This Row],[CUIT]]="","-",VLOOKUP(compras_mes2[[#This Row],[CUIT]],Lista_CUIT[#All],4,0)),"CUIT NO CARGADO")</f>
        <v>-</v>
      </c>
    </row>
    <row r="17" spans="2:18">
      <c r="B17" s="40"/>
      <c r="C17" s="41"/>
      <c r="D17" s="42"/>
      <c r="E17" s="43"/>
      <c r="F17" s="44"/>
      <c r="G17" s="45" t="str">
        <f>IFERROR(IF(compras_mes2[[#This Row],[CUIT]]="","-",VLOOKUP(compras_mes2[[#This Row],[CUIT]],Lista_CUIT[#All],2,0)),"CUIT NO CARGADO")</f>
        <v>-</v>
      </c>
      <c r="H17" s="46"/>
      <c r="I17" s="85">
        <f>compras_mes2[[#This Row],[NETO GRAVADO]]*0.21</f>
        <v>0</v>
      </c>
      <c r="J17" s="85"/>
      <c r="K17" s="85"/>
      <c r="L17" s="85"/>
      <c r="M17" s="85"/>
      <c r="N17" s="85"/>
      <c r="O17" s="85"/>
      <c r="P17" s="48">
        <f>SUM(compras_mes2[[#This Row],[NETO GRAVADO]:[Otros / No Grav.]])</f>
        <v>0</v>
      </c>
      <c r="Q17" s="49" t="str">
        <f>IFERROR(IF(compras_mes2[[#This Row],[CUIT]]="","-",VLOOKUP(compras_mes2[[#This Row],[CUIT]],Lista_CUIT[#All],3,0)),"CUIT NO CARGADO")</f>
        <v>-</v>
      </c>
      <c r="R17" s="49" t="str">
        <f>IFERROR(IF(compras_mes2[[#This Row],[CUIT]]="","-",VLOOKUP(compras_mes2[[#This Row],[CUIT]],Lista_CUIT[#All],4,0)),"CUIT NO CARGADO")</f>
        <v>-</v>
      </c>
    </row>
    <row r="18" spans="2:18" ht="14.45" customHeight="1">
      <c r="B18" s="233"/>
      <c r="C18" s="41"/>
      <c r="D18" s="235"/>
      <c r="E18" s="236"/>
      <c r="F18" s="237"/>
      <c r="G18" s="238" t="str">
        <f>IFERROR(IF(compras_mes2[[#This Row],[CUIT]]="","-",VLOOKUP(compras_mes2[[#This Row],[CUIT]],Lista_CUIT[#All],2,0)),"CUIT NO CARGADO")</f>
        <v>-</v>
      </c>
      <c r="H18" s="239"/>
      <c r="I18" s="240">
        <f>compras_mes2[[#This Row],[NETO GRAVADO]]*0.21</f>
        <v>0</v>
      </c>
      <c r="J18" s="241"/>
      <c r="K18" s="241"/>
      <c r="L18" s="241"/>
      <c r="M18" s="241"/>
      <c r="N18" s="241"/>
      <c r="O18" s="241"/>
      <c r="P18" s="243">
        <f>SUM(compras_mes2[[#This Row],[NETO GRAVADO]:[Otros / No Grav.]])</f>
        <v>0</v>
      </c>
      <c r="Q18" s="242" t="str">
        <f>IFERROR(IF(compras_mes2[[#This Row],[CUIT]]="","-",VLOOKUP(compras_mes2[[#This Row],[CUIT]],Lista_CUIT[#All],3,0)),"CUIT NO CARGADO")</f>
        <v>-</v>
      </c>
      <c r="R18" s="242" t="str">
        <f>IFERROR(IF(compras_mes2[[#This Row],[CUIT]]="","-",VLOOKUP(compras_mes2[[#This Row],[CUIT]],Lista_CUIT[#All],4,0)),"CUIT NO CARGADO")</f>
        <v>-</v>
      </c>
    </row>
    <row r="19" spans="2:18" ht="14.45" customHeight="1">
      <c r="B19" s="233"/>
      <c r="C19" s="41"/>
      <c r="D19" s="235"/>
      <c r="E19" s="236"/>
      <c r="F19" s="237"/>
      <c r="G19" s="238" t="str">
        <f>IFERROR(IF(compras_mes2[[#This Row],[CUIT]]="","-",VLOOKUP(compras_mes2[[#This Row],[CUIT]],Lista_CUIT[#All],2,0)),"CUIT NO CARGADO")</f>
        <v>-</v>
      </c>
      <c r="H19" s="239"/>
      <c r="I19" s="240">
        <f>compras_mes2[[#This Row],[NETO GRAVADO]]*0.21</f>
        <v>0</v>
      </c>
      <c r="J19" s="241"/>
      <c r="K19" s="241"/>
      <c r="L19" s="241"/>
      <c r="M19" s="241"/>
      <c r="N19" s="241"/>
      <c r="O19" s="241"/>
      <c r="P19" s="243">
        <f>SUM(compras_mes2[[#This Row],[NETO GRAVADO]:[Otros / No Grav.]])</f>
        <v>0</v>
      </c>
      <c r="Q19" s="242" t="str">
        <f>IFERROR(IF(compras_mes2[[#This Row],[CUIT]]="","-",VLOOKUP(compras_mes2[[#This Row],[CUIT]],Lista_CUIT[#All],3,0)),"CUIT NO CARGADO")</f>
        <v>-</v>
      </c>
      <c r="R19" s="242" t="str">
        <f>IFERROR(IF(compras_mes2[[#This Row],[CUIT]]="","-",VLOOKUP(compras_mes2[[#This Row],[CUIT]],Lista_CUIT[#All],4,0)),"CUIT NO CARGADO")</f>
        <v>-</v>
      </c>
    </row>
    <row r="20" spans="2:18" ht="15" customHeight="1">
      <c r="B20" s="233"/>
      <c r="C20" s="41"/>
      <c r="D20" s="235"/>
      <c r="E20" s="236"/>
      <c r="F20" s="237"/>
      <c r="G20" s="238" t="str">
        <f>IFERROR(IF(compras_mes2[[#This Row],[CUIT]]="","-",VLOOKUP(compras_mes2[[#This Row],[CUIT]],Lista_CUIT[#All],2,0)),"CUIT NO CARGADO")</f>
        <v>-</v>
      </c>
      <c r="H20" s="239"/>
      <c r="I20" s="240">
        <f>compras_mes2[[#This Row],[NETO GRAVADO]]*0.21</f>
        <v>0</v>
      </c>
      <c r="J20" s="241"/>
      <c r="K20" s="241"/>
      <c r="L20" s="241"/>
      <c r="M20" s="241"/>
      <c r="N20" s="241"/>
      <c r="O20" s="241"/>
      <c r="P20" s="243">
        <f>SUM(compras_mes2[[#This Row],[NETO GRAVADO]:[Otros / No Grav.]])</f>
        <v>0</v>
      </c>
      <c r="Q20" s="242" t="str">
        <f>IFERROR(IF(compras_mes2[[#This Row],[CUIT]]="","-",VLOOKUP(compras_mes2[[#This Row],[CUIT]],Lista_CUIT[#All],3,0)),"CUIT NO CARGADO")</f>
        <v>-</v>
      </c>
      <c r="R20" s="242" t="str">
        <f>IFERROR(IF(compras_mes2[[#This Row],[CUIT]]="","-",VLOOKUP(compras_mes2[[#This Row],[CUIT]],Lista_CUIT[#All],4,0)),"CUIT NO CARGADO")</f>
        <v>-</v>
      </c>
    </row>
    <row r="21" spans="2:18" ht="15" customHeight="1">
      <c r="B21" s="233"/>
      <c r="C21" s="41"/>
      <c r="D21" s="235"/>
      <c r="E21" s="236"/>
      <c r="F21" s="237"/>
      <c r="G21" s="238" t="str">
        <f>IFERROR(IF(compras_mes2[[#This Row],[CUIT]]="","-",VLOOKUP(compras_mes2[[#This Row],[CUIT]],Lista_CUIT[#All],2,0)),"CUIT NO CARGADO")</f>
        <v>-</v>
      </c>
      <c r="H21" s="239"/>
      <c r="I21" s="240">
        <f>compras_mes2[[#This Row],[NETO GRAVADO]]*0.21</f>
        <v>0</v>
      </c>
      <c r="J21" s="241"/>
      <c r="K21" s="241"/>
      <c r="L21" s="241"/>
      <c r="M21" s="241"/>
      <c r="N21" s="241"/>
      <c r="O21" s="241"/>
      <c r="P21" s="243">
        <f>SUM(compras_mes2[[#This Row],[NETO GRAVADO]:[Otros / No Grav.]])</f>
        <v>0</v>
      </c>
      <c r="Q21" s="242" t="str">
        <f>IFERROR(IF(compras_mes2[[#This Row],[CUIT]]="","-",VLOOKUP(compras_mes2[[#This Row],[CUIT]],Lista_CUIT[#All],3,0)),"CUIT NO CARGADO")</f>
        <v>-</v>
      </c>
      <c r="R21" s="242" t="str">
        <f>IFERROR(IF(compras_mes2[[#This Row],[CUIT]]="","-",VLOOKUP(compras_mes2[[#This Row],[CUIT]],Lista_CUIT[#All],4,0)),"CUIT NO CARGADO")</f>
        <v>-</v>
      </c>
    </row>
    <row r="22" spans="2:18" ht="15" customHeight="1">
      <c r="B22" s="233"/>
      <c r="C22" s="41"/>
      <c r="D22" s="235"/>
      <c r="E22" s="236"/>
      <c r="F22" s="237"/>
      <c r="G22" s="238" t="str">
        <f>IFERROR(IF(compras_mes2[[#This Row],[CUIT]]="","-",VLOOKUP(compras_mes2[[#This Row],[CUIT]],Lista_CUIT[#All],2,0)),"CUIT NO CARGADO")</f>
        <v>-</v>
      </c>
      <c r="H22" s="239"/>
      <c r="I22" s="240">
        <f>compras_mes2[[#This Row],[NETO GRAVADO]]*0.21</f>
        <v>0</v>
      </c>
      <c r="J22" s="241"/>
      <c r="K22" s="241"/>
      <c r="L22" s="241"/>
      <c r="M22" s="241"/>
      <c r="N22" s="241"/>
      <c r="O22" s="241"/>
      <c r="P22" s="243">
        <f>SUM(compras_mes2[[#This Row],[NETO GRAVADO]:[Otros / No Grav.]])</f>
        <v>0</v>
      </c>
      <c r="Q22" s="242" t="str">
        <f>IFERROR(IF(compras_mes2[[#This Row],[CUIT]]="","-",VLOOKUP(compras_mes2[[#This Row],[CUIT]],Lista_CUIT[#All],3,0)),"CUIT NO CARGADO")</f>
        <v>-</v>
      </c>
      <c r="R22" s="242" t="str">
        <f>IFERROR(IF(compras_mes2[[#This Row],[CUIT]]="","-",VLOOKUP(compras_mes2[[#This Row],[CUIT]],Lista_CUIT[#All],4,0)),"CUIT NO CARGADO")</f>
        <v>-</v>
      </c>
    </row>
    <row r="23" spans="2:18" ht="15" customHeight="1">
      <c r="B23" s="233"/>
      <c r="C23" s="41"/>
      <c r="D23" s="235"/>
      <c r="E23" s="236"/>
      <c r="F23" s="237"/>
      <c r="G23" s="238" t="str">
        <f>IFERROR(IF(compras_mes2[[#This Row],[CUIT]]="","-",VLOOKUP(compras_mes2[[#This Row],[CUIT]],Lista_CUIT[#All],2,0)),"CUIT NO CARGADO")</f>
        <v>-</v>
      </c>
      <c r="H23" s="239"/>
      <c r="I23" s="240">
        <f>compras_mes2[[#This Row],[NETO GRAVADO]]*0.21</f>
        <v>0</v>
      </c>
      <c r="J23" s="241"/>
      <c r="K23" s="241"/>
      <c r="L23" s="241"/>
      <c r="M23" s="241"/>
      <c r="N23" s="241"/>
      <c r="O23" s="241"/>
      <c r="P23" s="243">
        <f>SUM(compras_mes2[[#This Row],[NETO GRAVADO]:[Otros / No Grav.]])</f>
        <v>0</v>
      </c>
      <c r="Q23" s="242" t="str">
        <f>IFERROR(IF(compras_mes2[[#This Row],[CUIT]]="","-",VLOOKUP(compras_mes2[[#This Row],[CUIT]],Lista_CUIT[#All],3,0)),"CUIT NO CARGADO")</f>
        <v>-</v>
      </c>
      <c r="R23" s="242" t="str">
        <f>IFERROR(IF(compras_mes2[[#This Row],[CUIT]]="","-",VLOOKUP(compras_mes2[[#This Row],[CUIT]],Lista_CUIT[#All],4,0)),"CUIT NO CARGADO")</f>
        <v>-</v>
      </c>
    </row>
    <row r="24" spans="2:18" ht="15" customHeight="1">
      <c r="B24" s="233"/>
      <c r="C24" s="41"/>
      <c r="D24" s="235"/>
      <c r="E24" s="236"/>
      <c r="F24" s="237"/>
      <c r="G24" s="238" t="str">
        <f>IFERROR(IF(compras_mes2[[#This Row],[CUIT]]="","-",VLOOKUP(compras_mes2[[#This Row],[CUIT]],Lista_CUIT[#All],2,0)),"CUIT NO CARGADO")</f>
        <v>-</v>
      </c>
      <c r="H24" s="239"/>
      <c r="I24" s="240">
        <f>compras_mes2[[#This Row],[NETO GRAVADO]]*0.21</f>
        <v>0</v>
      </c>
      <c r="J24" s="241"/>
      <c r="K24" s="241"/>
      <c r="L24" s="241"/>
      <c r="M24" s="241"/>
      <c r="N24" s="241"/>
      <c r="O24" s="241"/>
      <c r="P24" s="243">
        <f>SUM(compras_mes2[[#This Row],[NETO GRAVADO]:[Otros / No Grav.]])</f>
        <v>0</v>
      </c>
      <c r="Q24" s="242" t="str">
        <f>IFERROR(IF(compras_mes2[[#This Row],[CUIT]]="","-",VLOOKUP(compras_mes2[[#This Row],[CUIT]],Lista_CUIT[#All],3,0)),"CUIT NO CARGADO")</f>
        <v>-</v>
      </c>
      <c r="R24" s="242" t="str">
        <f>IFERROR(IF(compras_mes2[[#This Row],[CUIT]]="","-",VLOOKUP(compras_mes2[[#This Row],[CUIT]],Lista_CUIT[#All],4,0)),"CUIT NO CARGADO")</f>
        <v>-</v>
      </c>
    </row>
    <row r="25" spans="2:18">
      <c r="B25" s="233"/>
      <c r="C25" s="234"/>
      <c r="D25" s="235"/>
      <c r="E25" s="236"/>
      <c r="F25" s="237"/>
      <c r="G25" s="238" t="str">
        <f>IFERROR(IF(compras_mes2[[#This Row],[CUIT]]="","-",VLOOKUP(compras_mes2[[#This Row],[CUIT]],Lista_CUIT[#All],2,0)),"CUIT NO CARGADO")</f>
        <v>-</v>
      </c>
      <c r="H25" s="239"/>
      <c r="I25" s="240">
        <f>compras_mes2[[#This Row],[NETO GRAVADO]]*0.21</f>
        <v>0</v>
      </c>
      <c r="J25" s="241"/>
      <c r="K25" s="241"/>
      <c r="L25" s="241"/>
      <c r="M25" s="241"/>
      <c r="N25" s="241"/>
      <c r="O25" s="241"/>
      <c r="P25" s="243">
        <f>SUM(compras_mes2[[#This Row],[NETO GRAVADO]:[Otros / No Grav.]])</f>
        <v>0</v>
      </c>
      <c r="Q25" s="242" t="str">
        <f>IFERROR(IF(compras_mes2[[#This Row],[CUIT]]="","-",VLOOKUP(compras_mes2[[#This Row],[CUIT]],Lista_CUIT[#All],3,0)),"CUIT NO CARGADO")</f>
        <v>-</v>
      </c>
      <c r="R25" s="242" t="str">
        <f>IFERROR(IF(compras_mes2[[#This Row],[CUIT]]="","-",VLOOKUP(compras_mes2[[#This Row],[CUIT]],Lista_CUIT[#All],4,0)),"CUIT NO CARGADO")</f>
        <v>-</v>
      </c>
    </row>
    <row r="26" spans="2:18">
      <c r="B26" s="233"/>
      <c r="C26" s="234"/>
      <c r="D26" s="235"/>
      <c r="E26" s="236"/>
      <c r="F26" s="237"/>
      <c r="G26" s="238" t="str">
        <f>IFERROR(IF(compras_mes2[[#This Row],[CUIT]]="","-",VLOOKUP(compras_mes2[[#This Row],[CUIT]],Lista_CUIT[#All],2,0)),"CUIT NO CARGADO")</f>
        <v>-</v>
      </c>
      <c r="H26" s="239"/>
      <c r="I26" s="240">
        <f>compras_mes2[[#This Row],[NETO GRAVADO]]*0.21</f>
        <v>0</v>
      </c>
      <c r="J26" s="241"/>
      <c r="K26" s="241"/>
      <c r="L26" s="241"/>
      <c r="M26" s="241"/>
      <c r="N26" s="241"/>
      <c r="O26" s="241"/>
      <c r="P26" s="243">
        <f>SUM(compras_mes2[[#This Row],[NETO GRAVADO]:[Otros / No Grav.]])</f>
        <v>0</v>
      </c>
      <c r="Q26" s="242" t="str">
        <f>IFERROR(IF(compras_mes2[[#This Row],[CUIT]]="","-",VLOOKUP(compras_mes2[[#This Row],[CUIT]],Lista_CUIT[#All],3,0)),"CUIT NO CARGADO")</f>
        <v>-</v>
      </c>
      <c r="R26" s="242" t="str">
        <f>IFERROR(IF(compras_mes2[[#This Row],[CUIT]]="","-",VLOOKUP(compras_mes2[[#This Row],[CUIT]],Lista_CUIT[#All],4,0)),"CUIT NO CARGADO")</f>
        <v>-</v>
      </c>
    </row>
    <row r="27" spans="2:18">
      <c r="B27" s="96" t="s">
        <v>91</v>
      </c>
      <c r="C27" s="96"/>
      <c r="D27" s="96"/>
      <c r="E27" s="96"/>
      <c r="F27" s="96"/>
      <c r="G27" s="97"/>
      <c r="H27" s="98">
        <f>SUBTOTAL(109,compras_mes2[NETO GRAVADO])</f>
        <v>6147525.5900000008</v>
      </c>
      <c r="I27" s="98">
        <f>SUBTOTAL(109,compras_mes2[IVA 21 %])</f>
        <v>1290980.3739</v>
      </c>
      <c r="J27" s="98">
        <f>SUBTOTAL(109,compras_mes2[IVA 27%])</f>
        <v>0</v>
      </c>
      <c r="K27" s="98">
        <f>SUBTOTAL(109,compras_mes2[IVA 10,5%])</f>
        <v>0</v>
      </c>
      <c r="L27" s="98">
        <f>SUBTOTAL(109,compras_mes2[PERC. IVA])</f>
        <v>178381.58000000002</v>
      </c>
      <c r="M27" s="98">
        <f>SUBTOTAL(109,compras_mes2[PERC IIBB 
BS AS])</f>
        <v>0</v>
      </c>
      <c r="N27" s="98">
        <f>SUBTOTAL(109,compras_mes2[PERC. IIBB CABA])</f>
        <v>89077.87999999999</v>
      </c>
      <c r="O27" s="98">
        <f>SUBTOTAL(109,compras_mes2[Otros / No Grav.])</f>
        <v>-195.03</v>
      </c>
      <c r="P27" s="98">
        <f>SUBTOTAL(109,compras_mes2[TOTAL])</f>
        <v>7705770.3939000005</v>
      </c>
      <c r="Q27" s="96"/>
      <c r="R27" s="96"/>
    </row>
    <row r="28" spans="2:18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2:18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  <c r="M29" s="47"/>
      <c r="N29" s="47"/>
      <c r="O29" s="47"/>
      <c r="P29" s="48"/>
      <c r="Q29" s="49"/>
      <c r="R29" s="49"/>
    </row>
    <row r="30" spans="2:18">
      <c r="B30" s="40"/>
      <c r="C30" s="41"/>
      <c r="D30" s="42"/>
      <c r="E30" s="43"/>
      <c r="F30" s="44"/>
      <c r="G30" s="45"/>
      <c r="H30" s="46"/>
      <c r="I30" s="47"/>
      <c r="J30" s="47"/>
      <c r="K30" s="47"/>
      <c r="L30" s="47"/>
      <c r="M30" s="47"/>
      <c r="N30" s="47"/>
      <c r="O30" s="47"/>
      <c r="P30" s="48"/>
      <c r="Q30" s="49"/>
      <c r="R30" s="49"/>
    </row>
    <row r="31" spans="2:18">
      <c r="B31" s="40"/>
      <c r="C31" s="41"/>
      <c r="D31" s="42"/>
      <c r="E31" s="43"/>
      <c r="F31" s="44"/>
      <c r="G31" s="45"/>
      <c r="H31" s="46"/>
      <c r="I31" s="47"/>
      <c r="J31" s="47"/>
      <c r="K31" s="47"/>
      <c r="L31" s="47"/>
    </row>
    <row r="32" spans="2:18" s="56" customFormat="1" ht="18.600000000000001" customHeight="1">
      <c r="B32"/>
      <c r="C32"/>
      <c r="D32" s="428" t="s">
        <v>15</v>
      </c>
      <c r="E32" s="428"/>
      <c r="F32" s="428"/>
      <c r="G32" s="428"/>
      <c r="H32" s="428"/>
      <c r="I32" s="428"/>
      <c r="J32" s="428"/>
      <c r="K32" s="428"/>
      <c r="L32" s="428"/>
      <c r="M32"/>
      <c r="N32"/>
      <c r="O32"/>
      <c r="P32"/>
      <c r="Q32"/>
      <c r="R32"/>
    </row>
    <row r="33" spans="4:13" ht="16.5" customHeight="1">
      <c r="D33" s="73" t="s">
        <v>0</v>
      </c>
      <c r="E33" s="74" t="s">
        <v>26</v>
      </c>
      <c r="F33" s="74" t="s">
        <v>16</v>
      </c>
      <c r="G33" s="74" t="s">
        <v>5</v>
      </c>
      <c r="H33" s="74" t="s">
        <v>17</v>
      </c>
      <c r="I33" s="74" t="s">
        <v>7</v>
      </c>
      <c r="J33" s="75" t="s">
        <v>18</v>
      </c>
      <c r="K33" s="75" t="s">
        <v>19</v>
      </c>
      <c r="L33" s="76" t="s">
        <v>20</v>
      </c>
      <c r="M33" s="389" t="s">
        <v>10</v>
      </c>
    </row>
    <row r="34" spans="4:13">
      <c r="D34" s="50">
        <v>46081</v>
      </c>
      <c r="E34" s="43">
        <v>28022026</v>
      </c>
      <c r="F34" s="80" t="s">
        <v>171</v>
      </c>
      <c r="G34" s="81">
        <v>60000</v>
      </c>
      <c r="H34" s="81">
        <v>12600</v>
      </c>
      <c r="I34" s="81"/>
      <c r="J34" s="81">
        <v>873.39</v>
      </c>
      <c r="K34" s="81">
        <v>1746.77</v>
      </c>
      <c r="L34" s="81"/>
      <c r="M34" s="388">
        <f>SUM(G34:L34)</f>
        <v>75220.160000000003</v>
      </c>
    </row>
    <row r="35" spans="4:13">
      <c r="D35" s="50"/>
      <c r="E35" s="79"/>
      <c r="F35" s="80"/>
      <c r="G35" s="81"/>
      <c r="H35" s="81"/>
      <c r="I35" s="81"/>
      <c r="J35" s="81"/>
      <c r="K35" s="81"/>
      <c r="L35" s="81"/>
      <c r="M35" s="388"/>
    </row>
    <row r="36" spans="4:13">
      <c r="D36" s="50"/>
      <c r="E36" s="79"/>
      <c r="F36" s="80"/>
      <c r="G36" s="81"/>
      <c r="H36" s="81"/>
      <c r="I36" s="81"/>
      <c r="J36" s="81"/>
      <c r="K36" s="81"/>
      <c r="L36" s="81"/>
      <c r="M36" s="388"/>
    </row>
    <row r="37" spans="4:13">
      <c r="D37" s="82" t="s">
        <v>91</v>
      </c>
      <c r="E37" s="80"/>
      <c r="F37" s="80"/>
      <c r="G37" s="83">
        <f>SUBTOTAL(109,extracto_banco_mes2[NETO])</f>
        <v>60000</v>
      </c>
      <c r="H37" s="83">
        <f>SUBTOTAL(109,extracto_banco_mes2[IVA 21%])</f>
        <v>12600</v>
      </c>
      <c r="I37" s="83">
        <f>SUBTOTAL(109,extracto_banco_mes2[IVA 10,5%])</f>
        <v>0</v>
      </c>
      <c r="J37" s="83">
        <f>SUBTOTAL(109,extracto_banco_mes2[RET IIBB CABA])</f>
        <v>873.39</v>
      </c>
      <c r="K37" s="83">
        <f>SUBTOTAL(109,extracto_banco_mes2[PERC IVA])</f>
        <v>1746.77</v>
      </c>
      <c r="L37" s="83">
        <f>SUBTOTAL(109,extracto_banco_mes2[PERC IIBB])</f>
        <v>0</v>
      </c>
      <c r="M37" s="281"/>
    </row>
    <row r="39" spans="4:13" ht="22.5" customHeight="1"/>
    <row r="41" spans="4:13" ht="18" customHeight="1">
      <c r="D41" s="428" t="s">
        <v>25</v>
      </c>
      <c r="E41" s="428"/>
      <c r="F41" s="428"/>
      <c r="G41" s="428"/>
      <c r="H41" s="428"/>
      <c r="I41" s="428"/>
      <c r="J41" s="428"/>
      <c r="K41" s="428"/>
    </row>
    <row r="42" spans="4:13">
      <c r="D42" s="51" t="s">
        <v>0</v>
      </c>
      <c r="E42" s="51" t="s">
        <v>2</v>
      </c>
      <c r="F42" s="51" t="s">
        <v>74</v>
      </c>
      <c r="G42" s="51" t="s">
        <v>3</v>
      </c>
      <c r="H42" s="51" t="s">
        <v>4</v>
      </c>
      <c r="I42" s="52" t="s">
        <v>10</v>
      </c>
      <c r="J42" s="51" t="s">
        <v>13</v>
      </c>
      <c r="K42" s="51" t="s">
        <v>38</v>
      </c>
    </row>
    <row r="43" spans="4:13">
      <c r="D43" s="373" t="s">
        <v>225</v>
      </c>
      <c r="E43" s="42">
        <v>2</v>
      </c>
      <c r="F43" s="373">
        <v>63</v>
      </c>
      <c r="G43" s="374">
        <v>23380288079</v>
      </c>
      <c r="H43" s="375" t="str">
        <f>IFERROR(IF(factura_c_mes2[[#This Row],[CUIT]]="","-",VLOOKUP(factura_c_mes2[[#This Row],[CUIT]],Lista_CUIT[#All],2,0)),"CUIT NO CARGADO")</f>
        <v>CASTROMAN AGUSTIN</v>
      </c>
      <c r="I43" s="376">
        <v>538500</v>
      </c>
      <c r="J43" s="377">
        <f>IFERROR(IF(factura_c_mes2[[#This Row],[CUIT]]="","-",VLOOKUP(factura_c_mes2[[#This Row],[CUIT]],Lista_CUIT[#All],3,0)),"CUIT NO CARGADO")</f>
        <v>0</v>
      </c>
      <c r="K43" s="377">
        <f>IFERROR(IF(factura_c_mes2[[#This Row],[CUIT]]="","-",VLOOKUP(factura_c_mes2[[#This Row],[CUIT]],Lista_CUIT[#All],4,0)),"CUIT NO CARGADO")</f>
        <v>0</v>
      </c>
    </row>
    <row r="44" spans="4:13">
      <c r="D44" s="373" t="s">
        <v>225</v>
      </c>
      <c r="E44" s="42">
        <v>2</v>
      </c>
      <c r="F44" s="373">
        <v>1117</v>
      </c>
      <c r="G44" s="374">
        <v>20400104094</v>
      </c>
      <c r="H44" s="375" t="str">
        <f>IFERROR(IF(factura_c_mes2[[#This Row],[CUIT]]="","-",VLOOKUP(factura_c_mes2[[#This Row],[CUIT]],Lista_CUIT[#All],2,0)),"CUIT NO CARGADO")</f>
        <v>BOTINDARI FEDERICO DANIEL</v>
      </c>
      <c r="I44" s="376">
        <v>300000</v>
      </c>
      <c r="J44" s="377" t="str">
        <f>IFERROR(IF(factura_c_mes2[[#This Row],[CUIT]]="","-",VLOOKUP(factura_c_mes2[[#This Row],[CUIT]],Lista_CUIT[#All],3,0)),"CUIT NO CARGADO")</f>
        <v>HONORARIOS CONTABLE</v>
      </c>
      <c r="K44" s="377">
        <f>IFERROR(IF(factura_c_mes2[[#This Row],[CUIT]]="","-",VLOOKUP(factura_c_mes2[[#This Row],[CUIT]],Lista_CUIT[#All],4,0)),"CUIT NO CARGADO")</f>
        <v>0</v>
      </c>
    </row>
    <row r="45" spans="4:13">
      <c r="D45" s="373" t="s">
        <v>228</v>
      </c>
      <c r="E45" s="42">
        <v>2</v>
      </c>
      <c r="F45" s="373">
        <v>160</v>
      </c>
      <c r="G45" s="374">
        <v>27341104845</v>
      </c>
      <c r="H45" s="375" t="str">
        <f>IFERROR(IF(factura_c_mes2[[#This Row],[CUIT]]="","-",VLOOKUP(factura_c_mes2[[#This Row],[CUIT]],Lista_CUIT[#All],2,0)),"CUIT NO CARGADO")</f>
        <v>BOSSI MARIA PAULA</v>
      </c>
      <c r="I45" s="376">
        <v>342000</v>
      </c>
      <c r="J45" s="377">
        <f>IFERROR(IF(factura_c_mes2[[#This Row],[CUIT]]="","-",VLOOKUP(factura_c_mes2[[#This Row],[CUIT]],Lista_CUIT[#All],3,0)),"CUIT NO CARGADO")</f>
        <v>0</v>
      </c>
      <c r="K45" s="377">
        <f>IFERROR(IF(factura_c_mes2[[#This Row],[CUIT]]="","-",VLOOKUP(factura_c_mes2[[#This Row],[CUIT]],Lista_CUIT[#All],4,0)),"CUIT NO CARGADO")</f>
        <v>0</v>
      </c>
    </row>
    <row r="46" spans="4:13">
      <c r="D46" s="373" t="s">
        <v>229</v>
      </c>
      <c r="E46" s="42">
        <v>1</v>
      </c>
      <c r="F46" s="373">
        <v>3</v>
      </c>
      <c r="G46" s="374">
        <v>27403975821</v>
      </c>
      <c r="H46" s="375" t="str">
        <f>IFERROR(IF(factura_c_mes2[[#This Row],[CUIT]]="","-",VLOOKUP(factura_c_mes2[[#This Row],[CUIT]],Lista_CUIT[#All],2,0)),"CUIT NO CARGADO")</f>
        <v>BARROSO VALENTINA</v>
      </c>
      <c r="I46" s="376">
        <v>538500</v>
      </c>
      <c r="J46" s="377">
        <f>IFERROR(IF(factura_c_mes2[[#This Row],[CUIT]]="","-",VLOOKUP(factura_c_mes2[[#This Row],[CUIT]],Lista_CUIT[#All],3,0)),"CUIT NO CARGADO")</f>
        <v>0</v>
      </c>
      <c r="K46" s="377">
        <f>IFERROR(IF(factura_c_mes2[[#This Row],[CUIT]]="","-",VLOOKUP(factura_c_mes2[[#This Row],[CUIT]],Lista_CUIT[#All],4,0)),"CUIT NO CARGADO")</f>
        <v>0</v>
      </c>
    </row>
    <row r="47" spans="4:13">
      <c r="D47" s="50" t="s">
        <v>230</v>
      </c>
      <c r="E47" s="42">
        <v>1</v>
      </c>
      <c r="F47" s="373">
        <v>328</v>
      </c>
      <c r="G47" s="44">
        <v>27386311000</v>
      </c>
      <c r="H47" s="53" t="str">
        <f>IFERROR(IF(factura_c_mes2[[#This Row],[CUIT]]="","-",VLOOKUP(factura_c_mes2[[#This Row],[CUIT]],Lista_CUIT[#All],2,0)),"CUIT NO CARGADO")</f>
        <v>OPANASIUK MACARENA ANTONELLA</v>
      </c>
      <c r="I47" s="81">
        <v>850000</v>
      </c>
      <c r="J47" s="54">
        <f>IFERROR(IF(factura_c_mes2[[#This Row],[CUIT]]="","-",VLOOKUP(factura_c_mes2[[#This Row],[CUIT]],Lista_CUIT[#All],3,0)),"CUIT NO CARGADO")</f>
        <v>0</v>
      </c>
      <c r="K47" s="54">
        <f>IFERROR(IF(factura_c_mes2[[#This Row],[CUIT]]="","-",VLOOKUP(factura_c_mes2[[#This Row],[CUIT]],Lista_CUIT[#All],4,0)),"CUIT NO CARGADO")</f>
        <v>0</v>
      </c>
    </row>
    <row r="48" spans="4:13">
      <c r="D48" s="50" t="s">
        <v>230</v>
      </c>
      <c r="E48" s="42">
        <v>51</v>
      </c>
      <c r="F48" s="373">
        <v>193</v>
      </c>
      <c r="G48" s="44">
        <v>20300985158</v>
      </c>
      <c r="H48" s="53" t="str">
        <f>IFERROR(IF(factura_c_mes2[[#This Row],[CUIT]]="","-",VLOOKUP(factura_c_mes2[[#This Row],[CUIT]],Lista_CUIT[#All],2,0)),"CUIT NO CARGADO")</f>
        <v>GONZALEZ NESTOR RICARDO</v>
      </c>
      <c r="I48" s="81">
        <v>1007250</v>
      </c>
      <c r="J48" s="54">
        <f>IFERROR(IF(factura_c_mes2[[#This Row],[CUIT]]="","-",VLOOKUP(factura_c_mes2[[#This Row],[CUIT]],Lista_CUIT[#All],3,0)),"CUIT NO CARGADO")</f>
        <v>0</v>
      </c>
      <c r="K48" s="54">
        <f>IFERROR(IF(factura_c_mes2[[#This Row],[CUIT]]="","-",VLOOKUP(factura_c_mes2[[#This Row],[CUIT]],Lista_CUIT[#All],4,0)),"CUIT NO CARGADO")</f>
        <v>0</v>
      </c>
    </row>
    <row r="49" spans="2:18">
      <c r="D49" s="50"/>
      <c r="E49" s="42"/>
      <c r="F49" s="43"/>
      <c r="G49" s="44"/>
      <c r="H49" s="53" t="str">
        <f>IFERROR(IF(factura_c_mes2[[#This Row],[CUIT]]="","-",VLOOKUP(factura_c_mes2[[#This Row],[CUIT]],Lista_CUIT[#All],2,0)),"CUIT NO CARGADO")</f>
        <v>-</v>
      </c>
      <c r="I49" s="81"/>
      <c r="J49" s="54" t="str">
        <f>IFERROR(IF(factura_c_mes2[[#This Row],[CUIT]]="","-",VLOOKUP(factura_c_mes2[[#This Row],[CUIT]],Lista_CUIT[#All],3,0)),"CUIT NO CARGADO")</f>
        <v>-</v>
      </c>
      <c r="K49" s="54" t="str">
        <f>IFERROR(IF(factura_c_mes2[[#This Row],[CUIT]]="","-",VLOOKUP(factura_c_mes2[[#This Row],[CUIT]],Lista_CUIT[#All],4,0)),"CUIT NO CARGADO")</f>
        <v>-</v>
      </c>
    </row>
    <row r="50" spans="2:18">
      <c r="D50" s="50"/>
      <c r="E50" s="42"/>
      <c r="F50" s="43"/>
      <c r="G50" s="44"/>
      <c r="H50" s="53" t="str">
        <f>IFERROR(IF(factura_c_mes2[[#This Row],[CUIT]]="","-",VLOOKUP(factura_c_mes2[[#This Row],[CUIT]],Lista_CUIT[#All],2,0)),"CUIT NO CARGADO")</f>
        <v>-</v>
      </c>
      <c r="I50" s="81"/>
      <c r="J50" s="54" t="str">
        <f>IFERROR(IF(factura_c_mes2[[#This Row],[CUIT]]="","-",VLOOKUP(factura_c_mes2[[#This Row],[CUIT]],Lista_CUIT[#All],3,0)),"CUIT NO CARGADO")</f>
        <v>-</v>
      </c>
      <c r="K50" s="54" t="str">
        <f>IFERROR(IF(factura_c_mes2[[#This Row],[CUIT]]="","-",VLOOKUP(factura_c_mes2[[#This Row],[CUIT]],Lista_CUIT[#All],4,0)),"CUIT NO CARGADO")</f>
        <v>-</v>
      </c>
    </row>
    <row r="51" spans="2:18">
      <c r="D51" s="50"/>
      <c r="E51" s="42"/>
      <c r="F51" s="43"/>
      <c r="G51" s="44"/>
      <c r="H51" s="53" t="str">
        <f>IFERROR(IF(factura_c_mes2[[#This Row],[CUIT]]="","-",VLOOKUP(factura_c_mes2[[#This Row],[CUIT]],Lista_CUIT[#All],2,0)),"CUIT NO CARGADO")</f>
        <v>-</v>
      </c>
      <c r="I51" s="81"/>
      <c r="J51" s="54" t="str">
        <f>IFERROR(IF(factura_c_mes2[[#This Row],[CUIT]]="","-",VLOOKUP(factura_c_mes2[[#This Row],[CUIT]],Lista_CUIT[#All],3,0)),"CUIT NO CARGADO")</f>
        <v>-</v>
      </c>
      <c r="K51" s="54" t="str">
        <f>IFERROR(IF(factura_c_mes2[[#This Row],[CUIT]]="","-",VLOOKUP(factura_c_mes2[[#This Row],[CUIT]],Lista_CUIT[#All],4,0)),"CUIT NO CARGADO")</f>
        <v>-</v>
      </c>
    </row>
    <row r="52" spans="2:18">
      <c r="B52" s="56"/>
      <c r="C52" s="56"/>
      <c r="D52" s="55" t="s">
        <v>91</v>
      </c>
      <c r="E52" s="55"/>
      <c r="F52" s="55"/>
      <c r="G52" s="55"/>
      <c r="H52" s="57"/>
      <c r="I52" s="58">
        <f>SUBTOTAL(109,factura_c_mes2[TOTAL])</f>
        <v>3576250</v>
      </c>
      <c r="J52" s="55"/>
      <c r="K52" s="55"/>
      <c r="L52" s="56"/>
      <c r="M52" s="56"/>
      <c r="N52" s="56"/>
      <c r="O52" s="56"/>
      <c r="P52" s="56"/>
      <c r="Q52" s="56"/>
      <c r="R52" s="56"/>
    </row>
    <row r="57" spans="2:18" ht="26.25">
      <c r="B57" s="436" t="s">
        <v>29</v>
      </c>
      <c r="C57" s="436"/>
      <c r="D57" s="436"/>
      <c r="E57" s="436"/>
      <c r="F57" s="436"/>
      <c r="G57" s="436"/>
      <c r="H57" s="436"/>
      <c r="I57" s="436"/>
      <c r="J57" s="436"/>
      <c r="K57" s="432">
        <f>N1</f>
        <v>46054</v>
      </c>
      <c r="L57" s="432"/>
      <c r="M57" s="432"/>
    </row>
    <row r="59" spans="2:18" ht="21">
      <c r="B59" s="429" t="s">
        <v>30</v>
      </c>
      <c r="C59" s="429"/>
    </row>
    <row r="60" spans="2:18" ht="31.5">
      <c r="B60" s="60" t="s">
        <v>0</v>
      </c>
      <c r="C60" s="61" t="s">
        <v>1</v>
      </c>
      <c r="D60" s="61" t="s">
        <v>21</v>
      </c>
      <c r="E60" s="61" t="s">
        <v>22</v>
      </c>
      <c r="F60" s="61" t="s">
        <v>3</v>
      </c>
      <c r="G60" s="61" t="s">
        <v>4</v>
      </c>
      <c r="H60" s="61" t="s">
        <v>23</v>
      </c>
      <c r="I60" s="61" t="s">
        <v>17</v>
      </c>
      <c r="J60" s="61" t="s">
        <v>7</v>
      </c>
      <c r="K60" s="61" t="s">
        <v>24</v>
      </c>
      <c r="L60" s="61" t="s">
        <v>10</v>
      </c>
      <c r="M60" s="62" t="s">
        <v>38</v>
      </c>
    </row>
    <row r="61" spans="2:18" ht="15" customHeight="1">
      <c r="B61" s="50" t="s">
        <v>225</v>
      </c>
      <c r="C61" s="41">
        <v>1</v>
      </c>
      <c r="D61" s="42">
        <v>1</v>
      </c>
      <c r="E61" s="43">
        <v>636</v>
      </c>
      <c r="F61" s="44">
        <v>30714236888</v>
      </c>
      <c r="G61" s="99" t="str">
        <f>IFERROR(IF(venta_a_mes2[[#This Row],[CUIT]]="","-",VLOOKUP(venta_a_mes2[[#This Row],[CUIT]],Lista_CUIT[#All],2,0)),"CUIT NO CARGADO")</f>
        <v>NANOTEC S.R.L.</v>
      </c>
      <c r="H61" s="100">
        <v>590909.1</v>
      </c>
      <c r="I61" s="101">
        <f>venta_a_mes2[[#This Row],[IMPORTE NETO]]*0.21</f>
        <v>124090.91099999999</v>
      </c>
      <c r="J61" s="65"/>
      <c r="K61" s="65"/>
      <c r="L61" s="65">
        <f>SUM(venta_a_mes2[[#This Row],[IMPORTE NETO]:[EXENTO]])</f>
        <v>715000.01099999994</v>
      </c>
      <c r="M61" s="59"/>
    </row>
    <row r="62" spans="2:18" ht="15" customHeight="1">
      <c r="B62" s="50" t="s">
        <v>225</v>
      </c>
      <c r="C62" s="41">
        <v>1</v>
      </c>
      <c r="D62" s="42">
        <v>1</v>
      </c>
      <c r="E62" s="43">
        <v>637</v>
      </c>
      <c r="F62" s="44">
        <v>30708404485</v>
      </c>
      <c r="G62" s="99" t="str">
        <f>IFERROR(IF(venta_a_mes2[[#This Row],[CUIT]]="","-",VLOOKUP(venta_a_mes2[[#This Row],[CUIT]],Lista_CUIT[#All],2,0)),"CUIT NO CARGADO")</f>
        <v>SOLDARGEN S.A.</v>
      </c>
      <c r="H62" s="100">
        <v>590909.1</v>
      </c>
      <c r="I62" s="101">
        <f>venta_a_mes2[[#This Row],[IMPORTE NETO]]*0.21</f>
        <v>124090.91099999999</v>
      </c>
      <c r="J62" s="65"/>
      <c r="K62" s="65"/>
      <c r="L62" s="65">
        <f>SUM(venta_a_mes2[[#This Row],[IMPORTE NETO]:[EXENTO]])</f>
        <v>715000.01099999994</v>
      </c>
      <c r="M62" s="59"/>
    </row>
    <row r="63" spans="2:18" ht="15" customHeight="1">
      <c r="B63" s="50" t="s">
        <v>225</v>
      </c>
      <c r="C63" s="41">
        <v>1</v>
      </c>
      <c r="D63" s="42">
        <v>1</v>
      </c>
      <c r="E63" s="43">
        <v>635</v>
      </c>
      <c r="F63" s="44">
        <v>30718553357</v>
      </c>
      <c r="G63" s="99" t="str">
        <f>IFERROR(IF(venta_a_mes2[[#This Row],[CUIT]]="","-",VLOOKUP(venta_a_mes2[[#This Row],[CUIT]],Lista_CUIT[#All],2,0)),"CUIT NO CARGADO")</f>
        <v>EMIGRA CON TU MASCOTA S.R.L.</v>
      </c>
      <c r="H63" s="100">
        <v>590909.1</v>
      </c>
      <c r="I63" s="101">
        <f>venta_a_mes2[[#This Row],[IMPORTE NETO]]*0.21</f>
        <v>124090.91099999999</v>
      </c>
      <c r="J63" s="65"/>
      <c r="K63" s="65"/>
      <c r="L63" s="65">
        <f>SUM(venta_a_mes2[[#This Row],[IMPORTE NETO]:[EXENTO]])</f>
        <v>715000.01099999994</v>
      </c>
      <c r="M63" s="59"/>
    </row>
    <row r="64" spans="2:18" ht="15" customHeight="1">
      <c r="B64" s="50" t="s">
        <v>225</v>
      </c>
      <c r="C64" s="41">
        <v>1</v>
      </c>
      <c r="D64" s="42">
        <v>1</v>
      </c>
      <c r="E64" s="43">
        <v>638</v>
      </c>
      <c r="F64" s="44">
        <v>30708604255</v>
      </c>
      <c r="G64" s="99" t="str">
        <f>IFERROR(IF(venta_a_mes2[[#This Row],[CUIT]]="","-",VLOOKUP(venta_a_mes2[[#This Row],[CUIT]],Lista_CUIT[#All],2,0)),"CUIT NO CARGADO")</f>
        <v>NAR TECHNOLOGIES S.R.L.</v>
      </c>
      <c r="H64" s="100">
        <v>545454.56999999995</v>
      </c>
      <c r="I64" s="101">
        <f>venta_a_mes2[[#This Row],[IMPORTE NETO]]*0.21</f>
        <v>114545.45969999999</v>
      </c>
      <c r="J64" s="65"/>
      <c r="K64" s="65"/>
      <c r="L64" s="65">
        <f>SUM(venta_a_mes2[[#This Row],[IMPORTE NETO]:[EXENTO]])</f>
        <v>660000.02969999996</v>
      </c>
      <c r="M64" s="59"/>
    </row>
    <row r="65" spans="2:13" ht="15" customHeight="1">
      <c r="B65" s="50" t="s">
        <v>225</v>
      </c>
      <c r="C65" s="41">
        <v>1</v>
      </c>
      <c r="D65" s="42">
        <v>1</v>
      </c>
      <c r="E65" s="43">
        <v>639</v>
      </c>
      <c r="F65" s="44">
        <v>24368969350</v>
      </c>
      <c r="G65" s="99" t="str">
        <f>IFERROR(IF(venta_a_mes2[[#This Row],[CUIT]]="","-",VLOOKUP(venta_a_mes2[[#This Row],[CUIT]],Lista_CUIT[#All],2,0)),"CUIT NO CARGADO")</f>
        <v>MARANO CORVALAN MARTIN MARIANO</v>
      </c>
      <c r="H65" s="100">
        <v>295454.57</v>
      </c>
      <c r="I65" s="101">
        <f>venta_a_mes2[[#This Row],[IMPORTE NETO]]*0.21</f>
        <v>62045.459699999999</v>
      </c>
      <c r="J65" s="65"/>
      <c r="K65" s="65"/>
      <c r="L65" s="65">
        <f>SUM(venta_a_mes2[[#This Row],[IMPORTE NETO]:[EXENTO]])</f>
        <v>357500.02970000001</v>
      </c>
      <c r="M65" s="59"/>
    </row>
    <row r="66" spans="2:13" ht="15" customHeight="1">
      <c r="B66" s="50" t="s">
        <v>225</v>
      </c>
      <c r="C66" s="41">
        <v>1</v>
      </c>
      <c r="D66" s="42">
        <v>1</v>
      </c>
      <c r="E66" s="43">
        <v>647</v>
      </c>
      <c r="F66" s="44">
        <v>30714864803</v>
      </c>
      <c r="G66" s="99" t="str">
        <f>IFERROR(IF(venta_a_mes2[[#This Row],[CUIT]]="","-",VLOOKUP(venta_a_mes2[[#This Row],[CUIT]],Lista_CUIT[#All],2,0)),"CUIT NO CARGADO")</f>
        <v>DIAZ Y GIUSEPPETTI S. R. L.</v>
      </c>
      <c r="H66" s="100">
        <v>259141.19</v>
      </c>
      <c r="I66" s="101">
        <f>venta_a_mes2[[#This Row],[IMPORTE NETO]]*0.21</f>
        <v>54419.649899999997</v>
      </c>
      <c r="J66" s="65"/>
      <c r="K66" s="65"/>
      <c r="L66" s="65">
        <f>SUM(venta_a_mes2[[#This Row],[IMPORTE NETO]:[EXENTO]])</f>
        <v>313560.83990000002</v>
      </c>
      <c r="M66" s="59"/>
    </row>
    <row r="67" spans="2:13" ht="15" customHeight="1">
      <c r="B67" s="50" t="s">
        <v>225</v>
      </c>
      <c r="C67" s="41">
        <v>1</v>
      </c>
      <c r="D67" s="42">
        <v>1</v>
      </c>
      <c r="E67" s="43">
        <v>646</v>
      </c>
      <c r="F67" s="44">
        <v>30709058807</v>
      </c>
      <c r="G67" s="99" t="str">
        <f>IFERROR(IF(venta_a_mes2[[#This Row],[CUIT]]="","-",VLOOKUP(venta_a_mes2[[#This Row],[CUIT]],Lista_CUIT[#All],2,0)),"CUIT NO CARGADO")</f>
        <v>LA VALENZIANA S.R.L.</v>
      </c>
      <c r="H67" s="100">
        <v>4876040.9000000004</v>
      </c>
      <c r="I67" s="101">
        <f>venta_a_mes2[[#This Row],[IMPORTE NETO]]*0.21</f>
        <v>1023968.589</v>
      </c>
      <c r="J67" s="65"/>
      <c r="K67" s="65"/>
      <c r="L67" s="65">
        <f>SUM(venta_a_mes2[[#This Row],[IMPORTE NETO]:[EXENTO]])</f>
        <v>5900009.4890000001</v>
      </c>
      <c r="M67" s="59"/>
    </row>
    <row r="68" spans="2:13" ht="15" customHeight="1">
      <c r="B68" s="50" t="s">
        <v>225</v>
      </c>
      <c r="C68" s="41">
        <v>1</v>
      </c>
      <c r="D68" s="42">
        <v>1</v>
      </c>
      <c r="E68" s="43">
        <v>634</v>
      </c>
      <c r="F68" s="44">
        <v>30714375241</v>
      </c>
      <c r="G68" s="99" t="str">
        <f>IFERROR(IF(venta_a_mes2[[#This Row],[CUIT]]="","-",VLOOKUP(venta_a_mes2[[#This Row],[CUIT]],Lista_CUIT[#All],2,0)),"CUIT NO CARGADO")</f>
        <v>POWER-RECORDS S.A</v>
      </c>
      <c r="H68" s="100">
        <v>590909.1</v>
      </c>
      <c r="I68" s="101">
        <f>venta_a_mes2[[#This Row],[IMPORTE NETO]]*0.21</f>
        <v>124090.91099999999</v>
      </c>
      <c r="J68" s="65"/>
      <c r="K68" s="65"/>
      <c r="L68" s="65">
        <f>SUM(venta_a_mes2[[#This Row],[IMPORTE NETO]:[EXENTO]])</f>
        <v>715000.01099999994</v>
      </c>
      <c r="M68" s="59"/>
    </row>
    <row r="69" spans="2:13" ht="15" customHeight="1">
      <c r="B69" s="50" t="s">
        <v>225</v>
      </c>
      <c r="C69" s="41">
        <v>1</v>
      </c>
      <c r="D69" s="42">
        <v>1</v>
      </c>
      <c r="E69" s="43">
        <v>633</v>
      </c>
      <c r="F69" s="44">
        <v>30715751557</v>
      </c>
      <c r="G69" s="99" t="str">
        <f>IFERROR(IF(venta_a_mes2[[#This Row],[CUIT]]="","-",VLOOKUP(venta_a_mes2[[#This Row],[CUIT]],Lista_CUIT[#All],2,0)),"CUIT NO CARGADO")</f>
        <v>TIXIT SRL</v>
      </c>
      <c r="H69" s="100">
        <v>590909.1</v>
      </c>
      <c r="I69" s="101">
        <f>venta_a_mes2[[#This Row],[IMPORTE NETO]]*0.21</f>
        <v>124090.91099999999</v>
      </c>
      <c r="J69" s="65"/>
      <c r="K69" s="65"/>
      <c r="L69" s="65">
        <f>SUM(venta_a_mes2[[#This Row],[IMPORTE NETO]:[EXENTO]])</f>
        <v>715000.01099999994</v>
      </c>
      <c r="M69" s="59"/>
    </row>
    <row r="70" spans="2:13" ht="15" customHeight="1">
      <c r="B70" s="50" t="s">
        <v>225</v>
      </c>
      <c r="C70" s="41">
        <v>1</v>
      </c>
      <c r="D70" s="42">
        <v>1</v>
      </c>
      <c r="E70" s="43">
        <v>642</v>
      </c>
      <c r="F70" s="44">
        <v>20279415656</v>
      </c>
      <c r="G70" s="99" t="str">
        <f>IFERROR(IF(venta_a_mes2[[#This Row],[CUIT]]="","-",VLOOKUP(venta_a_mes2[[#This Row],[CUIT]],Lista_CUIT[#All],2,0)),"CUIT NO CARGADO")</f>
        <v>CECCO ALVARO GONZALO</v>
      </c>
      <c r="H70" s="100">
        <v>147107.43</v>
      </c>
      <c r="I70" s="101">
        <f>venta_a_mes2[[#This Row],[IMPORTE NETO]]*0.21</f>
        <v>30892.560299999997</v>
      </c>
      <c r="J70" s="65"/>
      <c r="K70" s="65"/>
      <c r="L70" s="65">
        <f>SUM(venta_a_mes2[[#This Row],[IMPORTE NETO]:[EXENTO]])</f>
        <v>177999.9903</v>
      </c>
      <c r="M70" s="59"/>
    </row>
    <row r="71" spans="2:13" ht="15" customHeight="1">
      <c r="B71" s="50" t="s">
        <v>225</v>
      </c>
      <c r="C71" s="41">
        <v>1</v>
      </c>
      <c r="D71" s="42">
        <v>1</v>
      </c>
      <c r="E71" s="43">
        <v>643</v>
      </c>
      <c r="F71" s="44">
        <v>30717973166</v>
      </c>
      <c r="G71" s="99" t="str">
        <f>IFERROR(IF(venta_a_mes2[[#This Row],[CUIT]]="","-",VLOOKUP(venta_a_mes2[[#This Row],[CUIT]],Lista_CUIT[#All],2,0)),"CUIT NO CARGADO")</f>
        <v>STM ESTILO S.R.L</v>
      </c>
      <c r="H71" s="100">
        <v>147107.43</v>
      </c>
      <c r="I71" s="101">
        <f>venta_a_mes2[[#This Row],[IMPORTE NETO]]*0.21</f>
        <v>30892.560299999997</v>
      </c>
      <c r="J71" s="65"/>
      <c r="K71" s="65"/>
      <c r="L71" s="65">
        <f>SUM(venta_a_mes2[[#This Row],[IMPORTE NETO]:[EXENTO]])</f>
        <v>177999.9903</v>
      </c>
      <c r="M71" s="59"/>
    </row>
    <row r="72" spans="2:13" ht="15" customHeight="1">
      <c r="B72" s="50" t="s">
        <v>225</v>
      </c>
      <c r="C72" s="41">
        <v>1</v>
      </c>
      <c r="D72" s="42">
        <v>1</v>
      </c>
      <c r="E72" s="43">
        <v>644</v>
      </c>
      <c r="F72" s="44">
        <v>20287305460</v>
      </c>
      <c r="G72" s="99" t="str">
        <f>IFERROR(IF(venta_a_mes2[[#This Row],[CUIT]]="","-",VLOOKUP(venta_a_mes2[[#This Row],[CUIT]],Lista_CUIT[#All],2,0)),"CUIT NO CARGADO")</f>
        <v>LANDI GERONIMO</v>
      </c>
      <c r="H72" s="100">
        <v>147107.43</v>
      </c>
      <c r="I72" s="101">
        <f>venta_a_mes2[[#This Row],[IMPORTE NETO]]*0.21</f>
        <v>30892.560299999997</v>
      </c>
      <c r="J72" s="65"/>
      <c r="K72" s="65"/>
      <c r="L72" s="65">
        <f>SUM(venta_a_mes2[[#This Row],[IMPORTE NETO]:[EXENTO]])</f>
        <v>177999.9903</v>
      </c>
      <c r="M72" s="59"/>
    </row>
    <row r="73" spans="2:13" ht="15" customHeight="1">
      <c r="B73" s="50" t="s">
        <v>225</v>
      </c>
      <c r="C73" s="41">
        <v>1</v>
      </c>
      <c r="D73" s="42">
        <v>1</v>
      </c>
      <c r="E73" s="43">
        <v>645</v>
      </c>
      <c r="F73" s="44">
        <v>30717465101</v>
      </c>
      <c r="G73" s="99" t="str">
        <f>IFERROR(IF(venta_a_mes2[[#This Row],[CUIT]]="","-",VLOOKUP(venta_a_mes2[[#This Row],[CUIT]],Lista_CUIT[#All],2,0)),"CUIT NO CARGADO")</f>
        <v>EMPRENDIMIENTOS SHOPGLASS S. R. L.</v>
      </c>
      <c r="H73" s="100">
        <v>147107.43</v>
      </c>
      <c r="I73" s="101">
        <f>venta_a_mes2[[#This Row],[IMPORTE NETO]]*0.21</f>
        <v>30892.560299999997</v>
      </c>
      <c r="J73" s="65"/>
      <c r="K73" s="65"/>
      <c r="L73" s="65">
        <f>SUM(venta_a_mes2[[#This Row],[IMPORTE NETO]:[EXENTO]])</f>
        <v>177999.9903</v>
      </c>
      <c r="M73" s="59"/>
    </row>
    <row r="74" spans="2:13" ht="15" customHeight="1">
      <c r="B74" s="50" t="s">
        <v>225</v>
      </c>
      <c r="C74" s="41">
        <v>1</v>
      </c>
      <c r="D74" s="42">
        <v>1</v>
      </c>
      <c r="E74" s="43">
        <v>640</v>
      </c>
      <c r="F74" s="44">
        <v>30688955749</v>
      </c>
      <c r="G74" s="99" t="str">
        <f>IFERROR(IF(venta_a_mes2[[#This Row],[CUIT]]="","-",VLOOKUP(venta_a_mes2[[#This Row],[CUIT]],Lista_CUIT[#All],2,0)),"CUIT NO CARGADO")</f>
        <v>LISERAR S A</v>
      </c>
      <c r="H74" s="100">
        <v>196694.24</v>
      </c>
      <c r="I74" s="101">
        <f>venta_a_mes2[[#This Row],[IMPORTE NETO]]*0.21</f>
        <v>41305.790399999998</v>
      </c>
      <c r="J74" s="65"/>
      <c r="K74" s="65"/>
      <c r="L74" s="65">
        <f>SUM(venta_a_mes2[[#This Row],[IMPORTE NETO]:[EXENTO]])</f>
        <v>238000.03039999999</v>
      </c>
      <c r="M74" s="59"/>
    </row>
    <row r="75" spans="2:13" ht="15" customHeight="1">
      <c r="B75" s="50" t="s">
        <v>225</v>
      </c>
      <c r="C75" s="41">
        <v>1</v>
      </c>
      <c r="D75" s="42">
        <v>1</v>
      </c>
      <c r="E75" s="43">
        <v>641</v>
      </c>
      <c r="F75" s="44">
        <v>20320573948</v>
      </c>
      <c r="G75" s="99" t="str">
        <f>IFERROR(IF(venta_a_mes2[[#This Row],[CUIT]]="","-",VLOOKUP(venta_a_mes2[[#This Row],[CUIT]],Lista_CUIT[#All],2,0)),"CUIT NO CARGADO")</f>
        <v>CAVALLOTTI MARCOS DANIEL</v>
      </c>
      <c r="H75" s="100">
        <v>196694.24</v>
      </c>
      <c r="I75" s="101">
        <f>venta_a_mes2[[#This Row],[IMPORTE NETO]]*0.21</f>
        <v>41305.790399999998</v>
      </c>
      <c r="J75" s="65"/>
      <c r="K75" s="65"/>
      <c r="L75" s="65">
        <f>SUM(venta_a_mes2[[#This Row],[IMPORTE NETO]:[EXENTO]])</f>
        <v>238000.03039999999</v>
      </c>
      <c r="M75" s="59"/>
    </row>
    <row r="76" spans="2:13" ht="15" customHeight="1">
      <c r="B76" s="50" t="s">
        <v>231</v>
      </c>
      <c r="C76" s="41">
        <v>1</v>
      </c>
      <c r="D76" s="42">
        <v>1</v>
      </c>
      <c r="E76" s="43">
        <v>648</v>
      </c>
      <c r="F76" s="44">
        <v>30718228723</v>
      </c>
      <c r="G76" s="99" t="str">
        <f>IFERROR(IF(venta_a_mes2[[#This Row],[CUIT]]="","-",VLOOKUP(venta_a_mes2[[#This Row],[CUIT]],Lista_CUIT[#All],2,0)),"CUIT NO CARGADO")</f>
        <v>ESCOBARFLOORING S.A.</v>
      </c>
      <c r="H76" s="100">
        <v>715000</v>
      </c>
      <c r="I76" s="101">
        <f>venta_a_mes2[[#This Row],[IMPORTE NETO]]*0.21</f>
        <v>150150</v>
      </c>
      <c r="J76" s="65"/>
      <c r="K76" s="65"/>
      <c r="L76" s="65">
        <f>SUM(venta_a_mes2[[#This Row],[IMPORTE NETO]:[EXENTO]])</f>
        <v>865150</v>
      </c>
      <c r="M76" s="59"/>
    </row>
    <row r="77" spans="2:13" ht="15" customHeight="1">
      <c r="B77" s="50" t="s">
        <v>232</v>
      </c>
      <c r="C77" s="41">
        <v>3</v>
      </c>
      <c r="D77" s="42">
        <v>1</v>
      </c>
      <c r="E77" s="43">
        <v>52</v>
      </c>
      <c r="F77" s="44">
        <v>20287305460</v>
      </c>
      <c r="G77" s="99" t="str">
        <f>IFERROR(IF(venta_a_mes2[[#This Row],[CUIT]]="","-",VLOOKUP(venta_a_mes2[[#This Row],[CUIT]],Lista_CUIT[#All],2,0)),"CUIT NO CARGADO")</f>
        <v>LANDI GERONIMO</v>
      </c>
      <c r="H77" s="100">
        <v>-147107.43</v>
      </c>
      <c r="I77" s="101">
        <f>venta_a_mes2[[#This Row],[IMPORTE NETO]]*0.21</f>
        <v>-30892.560299999997</v>
      </c>
      <c r="J77" s="65"/>
      <c r="K77" s="65"/>
      <c r="L77" s="65">
        <f>SUM(venta_a_mes2[[#This Row],[IMPORTE NETO]:[EXENTO]])</f>
        <v>-177999.9903</v>
      </c>
      <c r="M77" s="59"/>
    </row>
    <row r="78" spans="2:13" ht="15" customHeight="1">
      <c r="B78" s="50" t="s">
        <v>232</v>
      </c>
      <c r="C78" s="41">
        <v>3</v>
      </c>
      <c r="D78" s="42">
        <v>1</v>
      </c>
      <c r="E78" s="43">
        <v>53</v>
      </c>
      <c r="F78" s="44">
        <v>30717465101</v>
      </c>
      <c r="G78" s="99" t="str">
        <f>IFERROR(IF(venta_a_mes2[[#This Row],[CUIT]]="","-",VLOOKUP(venta_a_mes2[[#This Row],[CUIT]],Lista_CUIT[#All],2,0)),"CUIT NO CARGADO")</f>
        <v>EMPRENDIMIENTOS SHOPGLASS S. R. L.</v>
      </c>
      <c r="H78" s="100">
        <v>-147107.43</v>
      </c>
      <c r="I78" s="101">
        <f>venta_a_mes2[[#This Row],[IMPORTE NETO]]*0.21</f>
        <v>-30892.560299999997</v>
      </c>
      <c r="J78" s="65"/>
      <c r="K78" s="65"/>
      <c r="L78" s="65">
        <f>SUM(venta_a_mes2[[#This Row],[IMPORTE NETO]:[EXENTO]])</f>
        <v>-177999.9903</v>
      </c>
      <c r="M78" s="59"/>
    </row>
    <row r="79" spans="2:13" ht="15" customHeight="1">
      <c r="B79" s="50" t="s">
        <v>232</v>
      </c>
      <c r="C79" s="41">
        <v>3</v>
      </c>
      <c r="D79" s="42">
        <v>1</v>
      </c>
      <c r="E79" s="43">
        <v>51</v>
      </c>
      <c r="F79" s="44">
        <v>30708604255</v>
      </c>
      <c r="G79" s="99" t="str">
        <f>IFERROR(IF(venta_a_mes2[[#This Row],[CUIT]]="","-",VLOOKUP(venta_a_mes2[[#This Row],[CUIT]],Lista_CUIT[#All],2,0)),"CUIT NO CARGADO")</f>
        <v>NAR TECHNOLOGIES S.R.L.</v>
      </c>
      <c r="H79" s="100">
        <v>-545454.56999999995</v>
      </c>
      <c r="I79" s="101">
        <f>venta_a_mes2[[#This Row],[IMPORTE NETO]]*0.21</f>
        <v>-114545.45969999999</v>
      </c>
      <c r="J79" s="65"/>
      <c r="K79" s="65"/>
      <c r="L79" s="65">
        <f>SUM(venta_a_mes2[[#This Row],[IMPORTE NETO]:[EXENTO]])</f>
        <v>-660000.02969999996</v>
      </c>
      <c r="M79" s="59"/>
    </row>
    <row r="80" spans="2:13" ht="15" customHeight="1">
      <c r="B80" s="50"/>
      <c r="C80" s="41"/>
      <c r="D80" s="42"/>
      <c r="E80" s="43"/>
      <c r="F80" s="44"/>
      <c r="G80" s="99" t="str">
        <f>IFERROR(IF(venta_a_mes2[[#This Row],[CUIT]]="","-",VLOOKUP(venta_a_mes2[[#This Row],[CUIT]],Lista_CUIT[#All],2,0)),"CUIT NO CARGADO")</f>
        <v>-</v>
      </c>
      <c r="H80" s="100"/>
      <c r="I80" s="101">
        <f>venta_a_mes2[[#This Row],[IMPORTE NETO]]*0.21</f>
        <v>0</v>
      </c>
      <c r="J80" s="65"/>
      <c r="K80" s="65"/>
      <c r="L80" s="65">
        <f>SUM(venta_a_mes2[[#This Row],[IMPORTE NETO]:[EXENTO]])</f>
        <v>0</v>
      </c>
      <c r="M80" s="59"/>
    </row>
    <row r="81" spans="2:13" ht="15" customHeight="1">
      <c r="B81" s="50"/>
      <c r="C81" s="41"/>
      <c r="D81" s="42"/>
      <c r="E81" s="43"/>
      <c r="F81" s="44"/>
      <c r="G81" s="99" t="str">
        <f>IFERROR(IF(venta_a_mes2[[#This Row],[CUIT]]="","-",VLOOKUP(venta_a_mes2[[#This Row],[CUIT]],Lista_CUIT[#All],2,0)),"CUIT NO CARGADO")</f>
        <v>-</v>
      </c>
      <c r="H81" s="100"/>
      <c r="I81" s="101">
        <f>venta_a_mes2[[#This Row],[IMPORTE NETO]]*0.21</f>
        <v>0</v>
      </c>
      <c r="J81" s="65"/>
      <c r="K81" s="65"/>
      <c r="L81" s="65">
        <f>SUM(venta_a_mes2[[#This Row],[IMPORTE NETO]:[EXENTO]])</f>
        <v>0</v>
      </c>
      <c r="M81" s="59"/>
    </row>
    <row r="82" spans="2:13" ht="15" customHeight="1">
      <c r="B82" s="50"/>
      <c r="C82" s="41"/>
      <c r="D82" s="42"/>
      <c r="E82" s="43"/>
      <c r="F82" s="44"/>
      <c r="G82" s="99" t="str">
        <f>IFERROR(IF(venta_a_mes2[[#This Row],[CUIT]]="","-",VLOOKUP(venta_a_mes2[[#This Row],[CUIT]],Lista_CUIT[#All],2,0)),"CUIT NO CARGADO")</f>
        <v>-</v>
      </c>
      <c r="H82" s="100"/>
      <c r="I82" s="101">
        <f>venta_a_mes2[[#This Row],[IMPORTE NETO]]*0.21</f>
        <v>0</v>
      </c>
      <c r="J82" s="65"/>
      <c r="K82" s="65"/>
      <c r="L82" s="65">
        <f>SUM(venta_a_mes2[[#This Row],[IMPORTE NETO]:[EXENTO]])</f>
        <v>0</v>
      </c>
      <c r="M82" s="59"/>
    </row>
    <row r="83" spans="2:13" ht="15" customHeight="1">
      <c r="B83" s="50"/>
      <c r="C83" s="41"/>
      <c r="D83" s="42"/>
      <c r="E83" s="43"/>
      <c r="F83" s="44"/>
      <c r="G83" s="99" t="str">
        <f>IFERROR(IF(venta_a_mes2[[#This Row],[CUIT]]="","-",VLOOKUP(venta_a_mes2[[#This Row],[CUIT]],Lista_CUIT[#All],2,0)),"CUIT NO CARGADO")</f>
        <v>-</v>
      </c>
      <c r="H83" s="100"/>
      <c r="I83" s="101">
        <f>venta_a_mes2[[#This Row],[IMPORTE NETO]]*0.21</f>
        <v>0</v>
      </c>
      <c r="J83" s="65"/>
      <c r="K83" s="65"/>
      <c r="L83" s="65">
        <f>SUM(venta_a_mes2[[#This Row],[IMPORTE NETO]:[EXENTO]])</f>
        <v>0</v>
      </c>
      <c r="M83" s="59"/>
    </row>
    <row r="84" spans="2:13" ht="15" customHeight="1">
      <c r="B84" s="50"/>
      <c r="C84" s="41"/>
      <c r="D84" s="42"/>
      <c r="E84" s="43"/>
      <c r="F84" s="44"/>
      <c r="G84" s="99" t="str">
        <f>IFERROR(IF(venta_a_mes2[[#This Row],[CUIT]]="","-",VLOOKUP(venta_a_mes2[[#This Row],[CUIT]],Lista_CUIT[#All],2,0)),"CUIT NO CARGADO")</f>
        <v>-</v>
      </c>
      <c r="H84" s="100"/>
      <c r="I84" s="101">
        <f>venta_a_mes2[[#This Row],[IMPORTE NETO]]*0.21</f>
        <v>0</v>
      </c>
      <c r="J84" s="65"/>
      <c r="K84" s="65"/>
      <c r="L84" s="65">
        <f>SUM(venta_a_mes2[[#This Row],[IMPORTE NETO]:[EXENTO]])</f>
        <v>0</v>
      </c>
      <c r="M84" s="59"/>
    </row>
    <row r="85" spans="2:13" ht="15" customHeight="1">
      <c r="B85" s="50"/>
      <c r="C85" s="41"/>
      <c r="D85" s="42"/>
      <c r="E85" s="43"/>
      <c r="F85" s="44"/>
      <c r="G85" s="99" t="str">
        <f>IFERROR(IF(venta_a_mes2[[#This Row],[CUIT]]="","-",VLOOKUP(venta_a_mes2[[#This Row],[CUIT]],Lista_CUIT[#All],2,0)),"CUIT NO CARGADO")</f>
        <v>-</v>
      </c>
      <c r="H85" s="100"/>
      <c r="I85" s="101">
        <f>venta_a_mes2[[#This Row],[IMPORTE NETO]]*0.21</f>
        <v>0</v>
      </c>
      <c r="J85" s="65"/>
      <c r="K85" s="65"/>
      <c r="L85" s="65">
        <f>SUM(venta_a_mes2[[#This Row],[IMPORTE NETO]:[EXENTO]])</f>
        <v>0</v>
      </c>
      <c r="M85" s="59"/>
    </row>
    <row r="86" spans="2:13" ht="15" customHeight="1">
      <c r="B86" s="50"/>
      <c r="C86" s="41"/>
      <c r="D86" s="42"/>
      <c r="E86" s="43"/>
      <c r="F86" s="44"/>
      <c r="G86" s="99" t="str">
        <f>IFERROR(IF(venta_a_mes2[[#This Row],[CUIT]]="","-",VLOOKUP(venta_a_mes2[[#This Row],[CUIT]],Lista_CUIT[#All],2,0)),"CUIT NO CARGADO")</f>
        <v>-</v>
      </c>
      <c r="H86" s="100"/>
      <c r="I86" s="101">
        <f>venta_a_mes2[[#This Row],[IMPORTE NETO]]*0.21</f>
        <v>0</v>
      </c>
      <c r="J86" s="65"/>
      <c r="K86" s="65"/>
      <c r="L86" s="65">
        <f>SUM(venta_a_mes2[[#This Row],[IMPORTE NETO]:[EXENTO]])</f>
        <v>0</v>
      </c>
      <c r="M86" s="59"/>
    </row>
    <row r="87" spans="2:13" ht="15" customHeight="1">
      <c r="B87" s="50"/>
      <c r="C87" s="41"/>
      <c r="D87" s="42"/>
      <c r="E87" s="43"/>
      <c r="F87" s="44"/>
      <c r="G87" s="99" t="str">
        <f>IFERROR(IF(venta_a_mes2[[#This Row],[CUIT]]="","-",VLOOKUP(venta_a_mes2[[#This Row],[CUIT]],Lista_CUIT[#All],2,0)),"CUIT NO CARGADO")</f>
        <v>-</v>
      </c>
      <c r="H87" s="100"/>
      <c r="I87" s="101">
        <f>venta_a_mes2[[#This Row],[IMPORTE NETO]]*0.21</f>
        <v>0</v>
      </c>
      <c r="J87" s="65"/>
      <c r="K87" s="65"/>
      <c r="L87" s="65">
        <f>SUM(venta_a_mes2[[#This Row],[IMPORTE NETO]:[EXENTO]])</f>
        <v>0</v>
      </c>
      <c r="M87" s="59"/>
    </row>
    <row r="88" spans="2:13" ht="15" customHeight="1">
      <c r="B88" s="50"/>
      <c r="C88" s="41"/>
      <c r="D88" s="42"/>
      <c r="E88" s="43"/>
      <c r="F88" s="44"/>
      <c r="G88" s="99" t="str">
        <f>IFERROR(IF(venta_a_mes2[[#This Row],[CUIT]]="","-",VLOOKUP(venta_a_mes2[[#This Row],[CUIT]],Lista_CUIT[#All],2,0)),"CUIT NO CARGADO")</f>
        <v>-</v>
      </c>
      <c r="H88" s="100"/>
      <c r="I88" s="101">
        <f>venta_a_mes2[[#This Row],[IMPORTE NETO]]*0.21</f>
        <v>0</v>
      </c>
      <c r="J88" s="65"/>
      <c r="K88" s="65"/>
      <c r="L88" s="65">
        <f>SUM(venta_a_mes2[[#This Row],[IMPORTE NETO]:[EXENTO]])</f>
        <v>0</v>
      </c>
      <c r="M88" s="59"/>
    </row>
    <row r="89" spans="2:13" ht="15" customHeight="1">
      <c r="B89" s="50"/>
      <c r="C89" s="41"/>
      <c r="D89" s="42"/>
      <c r="E89" s="43"/>
      <c r="F89" s="44"/>
      <c r="G89" s="99" t="str">
        <f>IFERROR(IF(venta_a_mes2[[#This Row],[CUIT]]="","-",VLOOKUP(venta_a_mes2[[#This Row],[CUIT]],Lista_CUIT[#All],2,0)),"CUIT NO CARGADO")</f>
        <v>-</v>
      </c>
      <c r="H89" s="100"/>
      <c r="I89" s="101">
        <f>venta_a_mes2[[#This Row],[IMPORTE NETO]]*0.21</f>
        <v>0</v>
      </c>
      <c r="J89" s="65"/>
      <c r="K89" s="65"/>
      <c r="L89" s="65">
        <f>SUM(venta_a_mes2[[#This Row],[IMPORTE NETO]:[EXENTO]])</f>
        <v>0</v>
      </c>
      <c r="M89" s="59"/>
    </row>
    <row r="90" spans="2:13">
      <c r="B90" s="66" t="s">
        <v>91</v>
      </c>
      <c r="C90" s="67"/>
      <c r="D90" s="67"/>
      <c r="E90" s="67"/>
      <c r="F90" s="67"/>
      <c r="G90" s="67"/>
      <c r="H90" s="69">
        <f>SUBTOTAL(109,venta_a_mes2[IMPORTE NETO])</f>
        <v>9787785.4999999981</v>
      </c>
      <c r="I90" s="70">
        <f>SUBTOTAL(109,venta_a_mes2[IVA 21%])</f>
        <v>2055434.9550000005</v>
      </c>
      <c r="J90" s="71">
        <f>SUBTOTAL(109,venta_a_mes2[IVA 10,5%])</f>
        <v>0</v>
      </c>
      <c r="K90" s="71">
        <f>SUBTOTAL(109,venta_a_mes2[EXENTO])</f>
        <v>0</v>
      </c>
      <c r="L90" s="71">
        <f>SUBTOTAL(109,venta_a_mes2[TOTAL])</f>
        <v>11843220.455</v>
      </c>
      <c r="M90" s="68">
        <f>SUBTOTAL(103,venta_a_mes2[Provincia])</f>
        <v>0</v>
      </c>
    </row>
    <row r="91" spans="2:13">
      <c r="B91" s="134"/>
      <c r="C91" s="134"/>
      <c r="D91" s="134"/>
      <c r="E91" s="134"/>
      <c r="F91" s="134"/>
      <c r="G91" s="134"/>
      <c r="H91" s="136"/>
      <c r="I91" s="137"/>
      <c r="J91" s="138"/>
      <c r="K91" s="138"/>
      <c r="L91" s="138"/>
      <c r="M91" s="135"/>
    </row>
    <row r="92" spans="2:13" ht="21">
      <c r="B92" s="429" t="s">
        <v>31</v>
      </c>
      <c r="C92" s="429"/>
    </row>
    <row r="93" spans="2:13" ht="31.5">
      <c r="B93" s="60" t="s">
        <v>0</v>
      </c>
      <c r="C93" s="61" t="s">
        <v>1</v>
      </c>
      <c r="D93" s="61" t="s">
        <v>21</v>
      </c>
      <c r="E93" s="61" t="s">
        <v>22</v>
      </c>
      <c r="F93" s="61" t="s">
        <v>3</v>
      </c>
      <c r="G93" s="61" t="s">
        <v>4</v>
      </c>
      <c r="H93" s="61" t="s">
        <v>23</v>
      </c>
      <c r="I93" s="61" t="s">
        <v>17</v>
      </c>
      <c r="J93" s="61" t="s">
        <v>7</v>
      </c>
      <c r="K93" s="61" t="s">
        <v>24</v>
      </c>
      <c r="L93" s="61" t="s">
        <v>10</v>
      </c>
      <c r="M93" s="62" t="s">
        <v>38</v>
      </c>
    </row>
    <row r="94" spans="2:13">
      <c r="B94" s="378"/>
      <c r="C94" s="379"/>
      <c r="D94" s="380"/>
      <c r="E94" s="381"/>
      <c r="F94" s="382"/>
      <c r="G94" s="383" t="str">
        <f>IFERROR(IF(ventas_b_mes2[[#This Row],[CUIT]]="","-",VLOOKUP(ventas_b_mes2[[#This Row],[CUIT]],Lista_CUIT[#All],2,0)),"CUIT NO CARGADO")</f>
        <v>-</v>
      </c>
      <c r="H94" s="384">
        <f>ventas_b_mes2[[#This Row],[TOTAL]]/1.21</f>
        <v>0</v>
      </c>
      <c r="I94" s="385">
        <f>ventas_b_mes2[[#This Row],[IMPORTE NETO]]*0.21</f>
        <v>0</v>
      </c>
      <c r="J94" s="386"/>
      <c r="K94" s="386"/>
      <c r="L94" s="386"/>
      <c r="M94" s="387"/>
    </row>
    <row r="95" spans="2:13">
      <c r="B95" s="378"/>
      <c r="C95" s="379"/>
      <c r="D95" s="380"/>
      <c r="E95" s="381"/>
      <c r="F95" s="382"/>
      <c r="G95" s="383" t="str">
        <f>IFERROR(IF(ventas_b_mes2[[#This Row],[CUIT]]="","-",VLOOKUP(ventas_b_mes2[[#This Row],[CUIT]],Lista_CUIT[#All],2,0)),"CUIT NO CARGADO")</f>
        <v>-</v>
      </c>
      <c r="H95" s="384">
        <f>ventas_b_mes2[[#This Row],[TOTAL]]/1.21</f>
        <v>0</v>
      </c>
      <c r="I95" s="385">
        <f>ventas_b_mes2[[#This Row],[IMPORTE NETO]]*0.21</f>
        <v>0</v>
      </c>
      <c r="J95" s="386"/>
      <c r="K95" s="386"/>
      <c r="L95" s="386"/>
      <c r="M95" s="387"/>
    </row>
    <row r="96" spans="2:13">
      <c r="B96" s="378"/>
      <c r="C96" s="379"/>
      <c r="D96" s="380"/>
      <c r="E96" s="381"/>
      <c r="F96" s="382"/>
      <c r="G96" s="383" t="str">
        <f>IFERROR(IF(ventas_b_mes2[[#This Row],[CUIT]]="","-",VLOOKUP(ventas_b_mes2[[#This Row],[CUIT]],Lista_CUIT[#All],2,0)),"CUIT NO CARGADO")</f>
        <v>-</v>
      </c>
      <c r="H96" s="384">
        <f>ventas_b_mes2[[#This Row],[TOTAL]]/1.21</f>
        <v>0</v>
      </c>
      <c r="I96" s="385">
        <f>ventas_b_mes2[[#This Row],[IMPORTE NETO]]*0.21</f>
        <v>0</v>
      </c>
      <c r="J96" s="386"/>
      <c r="K96" s="386"/>
      <c r="L96" s="386"/>
      <c r="M96" s="387"/>
    </row>
    <row r="97" spans="2:13">
      <c r="B97" s="378"/>
      <c r="C97" s="379"/>
      <c r="D97" s="380"/>
      <c r="E97" s="381"/>
      <c r="F97" s="382"/>
      <c r="G97" s="383" t="str">
        <f>IFERROR(IF(ventas_b_mes2[[#This Row],[CUIT]]="","-",VLOOKUP(ventas_b_mes2[[#This Row],[CUIT]],Lista_CUIT[#All],2,0)),"CUIT NO CARGADO")</f>
        <v>-</v>
      </c>
      <c r="H97" s="384">
        <f>ventas_b_mes2[[#This Row],[TOTAL]]/1.21</f>
        <v>0</v>
      </c>
      <c r="I97" s="385">
        <f>ventas_b_mes2[[#This Row],[IMPORTE NETO]]*0.21</f>
        <v>0</v>
      </c>
      <c r="J97" s="386"/>
      <c r="K97" s="386"/>
      <c r="L97" s="386"/>
      <c r="M97" s="387"/>
    </row>
    <row r="98" spans="2:13">
      <c r="B98" s="378"/>
      <c r="C98" s="379"/>
      <c r="D98" s="380"/>
      <c r="E98" s="381"/>
      <c r="F98" s="382"/>
      <c r="G98" s="383" t="str">
        <f>IFERROR(IF(ventas_b_mes2[[#This Row],[CUIT]]="","-",VLOOKUP(ventas_b_mes2[[#This Row],[CUIT]],Lista_CUIT[#All],2,0)),"CUIT NO CARGADO")</f>
        <v>-</v>
      </c>
      <c r="H98" s="384">
        <f>ventas_b_mes2[[#This Row],[TOTAL]]/1.21</f>
        <v>0</v>
      </c>
      <c r="I98" s="385">
        <f>ventas_b_mes2[[#This Row],[IMPORTE NETO]]*0.21</f>
        <v>0</v>
      </c>
      <c r="J98" s="386"/>
      <c r="K98" s="386"/>
      <c r="L98" s="386"/>
      <c r="M98" s="387"/>
    </row>
    <row r="99" spans="2:13">
      <c r="B99" s="378"/>
      <c r="C99" s="379"/>
      <c r="D99" s="380"/>
      <c r="E99" s="381"/>
      <c r="F99" s="382"/>
      <c r="G99" s="383" t="str">
        <f>IFERROR(IF(ventas_b_mes2[[#This Row],[CUIT]]="","-",VLOOKUP(ventas_b_mes2[[#This Row],[CUIT]],Lista_CUIT[#All],2,0)),"CUIT NO CARGADO")</f>
        <v>-</v>
      </c>
      <c r="H99" s="384">
        <f>ventas_b_mes2[[#This Row],[TOTAL]]/1.21</f>
        <v>0</v>
      </c>
      <c r="I99" s="385">
        <f>ventas_b_mes2[[#This Row],[IMPORTE NETO]]*0.21</f>
        <v>0</v>
      </c>
      <c r="J99" s="386"/>
      <c r="K99" s="386"/>
      <c r="L99" s="386"/>
      <c r="M99" s="387"/>
    </row>
    <row r="100" spans="2:13">
      <c r="B100" s="378"/>
      <c r="C100" s="379"/>
      <c r="D100" s="380"/>
      <c r="E100" s="381"/>
      <c r="F100" s="382"/>
      <c r="G100" s="383" t="str">
        <f>IFERROR(IF(ventas_b_mes2[[#This Row],[CUIT]]="","-",VLOOKUP(ventas_b_mes2[[#This Row],[CUIT]],Lista_CUIT[#All],2,0)),"CUIT NO CARGADO")</f>
        <v>-</v>
      </c>
      <c r="H100" s="384">
        <f>ventas_b_mes2[[#This Row],[TOTAL]]/1.21</f>
        <v>0</v>
      </c>
      <c r="I100" s="385">
        <f>ventas_b_mes2[[#This Row],[IMPORTE NETO]]*0.21</f>
        <v>0</v>
      </c>
      <c r="J100" s="386"/>
      <c r="K100" s="386"/>
      <c r="L100" s="386"/>
      <c r="M100" s="387"/>
    </row>
    <row r="101" spans="2:13">
      <c r="B101" s="378"/>
      <c r="C101" s="379"/>
      <c r="D101" s="380"/>
      <c r="E101" s="381"/>
      <c r="F101" s="382"/>
      <c r="G101" s="383" t="str">
        <f>IFERROR(IF(ventas_b_mes2[[#This Row],[CUIT]]="","-",VLOOKUP(ventas_b_mes2[[#This Row],[CUIT]],Lista_CUIT[#All],2,0)),"CUIT NO CARGADO")</f>
        <v>-</v>
      </c>
      <c r="H101" s="384">
        <f>ventas_b_mes2[[#This Row],[TOTAL]]/1.21</f>
        <v>0</v>
      </c>
      <c r="I101" s="385">
        <f>ventas_b_mes2[[#This Row],[IMPORTE NETO]]*0.21</f>
        <v>0</v>
      </c>
      <c r="J101" s="386"/>
      <c r="K101" s="386"/>
      <c r="L101" s="386"/>
      <c r="M101" s="387"/>
    </row>
    <row r="102" spans="2:13">
      <c r="B102" s="378"/>
      <c r="C102" s="379"/>
      <c r="D102" s="380"/>
      <c r="E102" s="381"/>
      <c r="F102" s="382"/>
      <c r="G102" s="383" t="str">
        <f>IFERROR(IF(ventas_b_mes2[[#This Row],[CUIT]]="","-",VLOOKUP(ventas_b_mes2[[#This Row],[CUIT]],Lista_CUIT[#All],2,0)),"CUIT NO CARGADO")</f>
        <v>-</v>
      </c>
      <c r="H102" s="384">
        <f>ventas_b_mes2[[#This Row],[TOTAL]]/1.21</f>
        <v>0</v>
      </c>
      <c r="I102" s="385">
        <f>ventas_b_mes2[[#This Row],[IMPORTE NETO]]*0.21</f>
        <v>0</v>
      </c>
      <c r="J102" s="386"/>
      <c r="K102" s="386"/>
      <c r="L102" s="386"/>
      <c r="M102" s="387"/>
    </row>
    <row r="103" spans="2:13">
      <c r="B103" s="378"/>
      <c r="C103" s="379"/>
      <c r="D103" s="380"/>
      <c r="E103" s="381"/>
      <c r="F103" s="382"/>
      <c r="G103" s="383" t="str">
        <f>IFERROR(IF(ventas_b_mes2[[#This Row],[CUIT]]="","-",VLOOKUP(ventas_b_mes2[[#This Row],[CUIT]],Lista_CUIT[#All],2,0)),"CUIT NO CARGADO")</f>
        <v>-</v>
      </c>
      <c r="H103" s="384">
        <f>ventas_b_mes2[[#This Row],[TOTAL]]/1.21</f>
        <v>0</v>
      </c>
      <c r="I103" s="385">
        <f>ventas_b_mes2[[#This Row],[IMPORTE NETO]]*0.21</f>
        <v>0</v>
      </c>
      <c r="J103" s="386"/>
      <c r="K103" s="386"/>
      <c r="L103" s="386"/>
      <c r="M103" s="387"/>
    </row>
    <row r="104" spans="2:13">
      <c r="B104" s="50"/>
      <c r="C104" s="41"/>
      <c r="D104" s="42"/>
      <c r="E104" s="43"/>
      <c r="F104" s="44"/>
      <c r="G104" s="1" t="str">
        <f>IFERROR(IF(ventas_b_mes2[[#This Row],[CUIT]]="","-",VLOOKUP(ventas_b_mes2[[#This Row],[CUIT]],Lista_CUIT[#All],2,0)),"CUIT NO CARGADO")</f>
        <v>-</v>
      </c>
      <c r="H104" s="64"/>
      <c r="I104" s="64">
        <f>ventas_b_mes2[[#This Row],[IMPORTE NETO]]*0.21</f>
        <v>0</v>
      </c>
      <c r="J104" s="64"/>
      <c r="K104" s="64"/>
      <c r="L104" s="64"/>
      <c r="M104" s="59"/>
    </row>
    <row r="105" spans="2:13">
      <c r="B105" s="50"/>
      <c r="C105" s="41"/>
      <c r="D105" s="42"/>
      <c r="E105" s="43"/>
      <c r="F105" s="44"/>
      <c r="G105" s="1" t="str">
        <f>IFERROR(IF(ventas_b_mes2[[#This Row],[CUIT]]="","-",VLOOKUP(ventas_b_mes2[[#This Row],[CUIT]],Lista_CUIT[#All],2,0)),"CUIT NO CARGADO")</f>
        <v>-</v>
      </c>
      <c r="H105" s="64"/>
      <c r="I105" s="64">
        <f>ventas_b_mes2[[#This Row],[IMPORTE NETO]]*0.21</f>
        <v>0</v>
      </c>
      <c r="J105" s="64"/>
      <c r="K105" s="64"/>
      <c r="L105" s="64"/>
      <c r="M105" s="59"/>
    </row>
    <row r="106" spans="2:13">
      <c r="B106" s="50"/>
      <c r="C106" s="41"/>
      <c r="D106" s="42"/>
      <c r="E106" s="43"/>
      <c r="F106" s="44"/>
      <c r="G106" s="1" t="str">
        <f>IFERROR(IF(ventas_b_mes2[[#This Row],[CUIT]]="","-",VLOOKUP(ventas_b_mes2[[#This Row],[CUIT]],Lista_CUIT[#All],2,0)),"CUIT NO CARGADO")</f>
        <v>-</v>
      </c>
      <c r="H106" s="64"/>
      <c r="I106" s="64">
        <f>ventas_b_mes2[[#This Row],[IMPORTE NETO]]*0.21</f>
        <v>0</v>
      </c>
      <c r="J106" s="64"/>
      <c r="K106" s="64"/>
      <c r="L106" s="64"/>
      <c r="M106" s="59"/>
    </row>
    <row r="107" spans="2:13">
      <c r="B107" s="50"/>
      <c r="C107" s="41"/>
      <c r="D107" s="42"/>
      <c r="E107" s="43"/>
      <c r="F107" s="44"/>
      <c r="G107" s="1" t="str">
        <f>IFERROR(IF(ventas_b_mes2[[#This Row],[CUIT]]="","-",VLOOKUP(ventas_b_mes2[[#This Row],[CUIT]],Lista_CUIT[#All],2,0)),"CUIT NO CARGADO")</f>
        <v>-</v>
      </c>
      <c r="H107" s="64"/>
      <c r="I107" s="64">
        <f>ventas_b_mes2[[#This Row],[IMPORTE NETO]]*0.21</f>
        <v>0</v>
      </c>
      <c r="J107" s="64"/>
      <c r="K107" s="64"/>
      <c r="L107" s="64"/>
      <c r="M107" s="59"/>
    </row>
    <row r="108" spans="2:13">
      <c r="B108" s="50"/>
      <c r="C108" s="41"/>
      <c r="D108" s="42"/>
      <c r="E108" s="43"/>
      <c r="F108" s="44"/>
      <c r="G108" s="1" t="str">
        <f>IFERROR(IF(ventas_b_mes2[[#This Row],[CUIT]]="","-",VLOOKUP(ventas_b_mes2[[#This Row],[CUIT]],Lista_CUIT[#All],2,0)),"CUIT NO CARGADO")</f>
        <v>-</v>
      </c>
      <c r="H108" s="64"/>
      <c r="I108" s="64">
        <f>ventas_b_mes2[[#This Row],[IMPORTE NETO]]*0.21</f>
        <v>0</v>
      </c>
      <c r="J108" s="64"/>
      <c r="K108" s="64"/>
      <c r="L108" s="64"/>
      <c r="M108" s="59"/>
    </row>
    <row r="109" spans="2:13">
      <c r="B109" s="50"/>
      <c r="C109" s="41"/>
      <c r="D109" s="42"/>
      <c r="E109" s="43"/>
      <c r="F109" s="44"/>
      <c r="G109" s="1" t="str">
        <f>IFERROR(IF(ventas_b_mes2[[#This Row],[CUIT]]="","-",VLOOKUP(ventas_b_mes2[[#This Row],[CUIT]],Lista_CUIT[#All],2,0)),"CUIT NO CARGADO")</f>
        <v>-</v>
      </c>
      <c r="H109" s="64">
        <f>ventas_b_mes2[[#This Row],[TOTAL]]/1.21</f>
        <v>0</v>
      </c>
      <c r="I109" s="64">
        <f>ventas_b_mes2[[#This Row],[IMPORTE NETO]]*0.21</f>
        <v>0</v>
      </c>
      <c r="J109" s="64"/>
      <c r="K109" s="64"/>
      <c r="L109" s="64"/>
      <c r="M109" s="59"/>
    </row>
    <row r="110" spans="2:13">
      <c r="B110" s="66" t="s">
        <v>91</v>
      </c>
      <c r="C110" s="67"/>
      <c r="D110" s="67"/>
      <c r="E110" s="67"/>
      <c r="F110" s="67"/>
      <c r="G110" s="67"/>
      <c r="H110" s="77">
        <f>SUBTOTAL(109,ventas_b_mes2[IMPORTE NETO])</f>
        <v>0</v>
      </c>
      <c r="I110" s="77">
        <f>SUBTOTAL(109,ventas_b_mes2[IVA 21%])</f>
        <v>0</v>
      </c>
      <c r="J110" s="78">
        <f>SUBTOTAL(109,ventas_b_mes2[IVA 10,5%])</f>
        <v>0</v>
      </c>
      <c r="K110" s="78">
        <f>SUBTOTAL(109,ventas_b_mes2[EXENTO])</f>
        <v>0</v>
      </c>
      <c r="L110" s="78">
        <f>SUBTOTAL(109,ventas_b_mes2[TOTAL])</f>
        <v>0</v>
      </c>
      <c r="M110" s="68">
        <f>SUBTOTAL(103,ventas_b_mes2[Provincia])</f>
        <v>0</v>
      </c>
    </row>
    <row r="117" spans="3:12" ht="15.75" thickBot="1"/>
    <row r="118" spans="3:12" ht="15.75" thickTop="1">
      <c r="C118" s="443" t="s">
        <v>66</v>
      </c>
      <c r="D118" s="443"/>
      <c r="E118" s="443"/>
      <c r="F118" s="443"/>
      <c r="G118" s="443"/>
      <c r="H118" s="32"/>
      <c r="I118" s="32"/>
      <c r="J118" s="32"/>
    </row>
    <row r="119" spans="3:12" ht="15.75">
      <c r="C119" s="113" t="s">
        <v>67</v>
      </c>
      <c r="D119" s="114" t="s">
        <v>68</v>
      </c>
      <c r="E119" s="114" t="s">
        <v>93</v>
      </c>
      <c r="F119" s="114" t="s">
        <v>3</v>
      </c>
      <c r="G119" s="114" t="s">
        <v>4</v>
      </c>
      <c r="H119" s="115" t="s">
        <v>69</v>
      </c>
      <c r="I119" s="115" t="s">
        <v>70</v>
      </c>
      <c r="J119" s="115" t="s">
        <v>71</v>
      </c>
      <c r="K119" s="115" t="s">
        <v>72</v>
      </c>
      <c r="L119" s="115" t="s">
        <v>73</v>
      </c>
    </row>
    <row r="120" spans="3:12">
      <c r="C120" s="116"/>
      <c r="D120" s="117"/>
      <c r="E120" s="117"/>
      <c r="F120" s="118"/>
      <c r="G120" s="53" t="str">
        <f>IFERROR(IF(Retenciones_mes2[[#This Row],[CUIT]]="","-",VLOOKUP(Retenciones_mes2[[#This Row],[CUIT]],Lista_CUIT[#All],2,0)),"CUIT NO CARGADO")</f>
        <v>-</v>
      </c>
      <c r="H120" s="119"/>
      <c r="I120" s="119"/>
      <c r="J120" s="119"/>
      <c r="K120" s="119"/>
      <c r="L120" s="119"/>
    </row>
    <row r="121" spans="3:12">
      <c r="C121" s="116"/>
      <c r="D121" s="117"/>
      <c r="E121" s="117"/>
      <c r="F121" s="118"/>
      <c r="G121" s="53" t="str">
        <f>IFERROR(IF(Retenciones_mes2[[#This Row],[CUIT]]="","-",VLOOKUP(Retenciones_mes2[[#This Row],[CUIT]],Lista_CUIT[#All],2,0)),"CUIT NO CARGADO")</f>
        <v>-</v>
      </c>
      <c r="H121" s="119"/>
      <c r="I121" s="119"/>
      <c r="J121" s="119"/>
      <c r="K121" s="119"/>
      <c r="L121" s="119"/>
    </row>
    <row r="122" spans="3:12">
      <c r="C122" s="116"/>
      <c r="D122" s="117"/>
      <c r="E122" s="117"/>
      <c r="F122" s="118"/>
      <c r="G122" s="53" t="str">
        <f>IFERROR(IF(Retenciones_mes2[[#This Row],[CUIT]]="","-",VLOOKUP(Retenciones_mes2[[#This Row],[CUIT]],Lista_CUIT[#All],2,0)),"CUIT NO CARGADO")</f>
        <v>-</v>
      </c>
      <c r="H122" s="119"/>
      <c r="I122" s="119"/>
      <c r="J122" s="119"/>
      <c r="K122" s="119"/>
      <c r="L122" s="119"/>
    </row>
    <row r="123" spans="3:12">
      <c r="C123" s="116"/>
      <c r="D123" s="117"/>
      <c r="E123" s="117"/>
      <c r="F123" s="118"/>
      <c r="G123" s="53" t="str">
        <f>IFERROR(IF(Retenciones_mes2[[#This Row],[CUIT]]="","-",VLOOKUP(Retenciones_mes2[[#This Row],[CUIT]],Lista_CUIT[#All],2,0)),"CUIT NO CARGADO")</f>
        <v>-</v>
      </c>
      <c r="H123" s="119"/>
      <c r="I123" s="119"/>
      <c r="J123" s="119"/>
      <c r="K123" s="119"/>
      <c r="L123" s="119"/>
    </row>
    <row r="124" spans="3:12">
      <c r="D124" s="117"/>
      <c r="E124" s="117"/>
      <c r="G124" s="53" t="str">
        <f>IFERROR(IF(Retenciones_mes2[[#This Row],[CUIT]]="","-",VLOOKUP(Retenciones_mes2[[#This Row],[CUIT]],Lista_CUIT[#All],2,0)),"CUIT NO CARGADO")</f>
        <v>-</v>
      </c>
    </row>
    <row r="125" spans="3:12">
      <c r="C125" s="33"/>
    </row>
  </sheetData>
  <mergeCells count="20">
    <mergeCell ref="C118:G118"/>
    <mergeCell ref="B4:E4"/>
    <mergeCell ref="G4:H4"/>
    <mergeCell ref="J4:K4"/>
    <mergeCell ref="M4:N4"/>
    <mergeCell ref="D41:K41"/>
    <mergeCell ref="B57:J57"/>
    <mergeCell ref="K57:M57"/>
    <mergeCell ref="B59:C59"/>
    <mergeCell ref="B92:C92"/>
    <mergeCell ref="P4:R4"/>
    <mergeCell ref="D32:L32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20">
    <dataValidation type="custom" allowBlank="1" showInputMessage="1" showErrorMessage="1" sqref="H94:L109" xr:uid="{5E8E0F3E-BF60-4BAA-8FE0-FDB27659CAC9}">
      <formula1>IF($C94=8,H94&lt;0,H94&gt;=0)</formula1>
    </dataValidation>
    <dataValidation type="whole" allowBlank="1" showInputMessage="1" showErrorMessage="1" sqref="C94:C109" xr:uid="{92F83AAC-5A26-4C3F-8648-A860D4E067DC}">
      <formula1>6</formula1>
      <formula2>8</formula2>
    </dataValidation>
    <dataValidation type="custom" allowBlank="1" showInputMessage="1" showErrorMessage="1" sqref="H61:K89" xr:uid="{499D5538-7111-4260-A630-768373AC94AC}">
      <formula1>IF($C61=3,H61&lt;0,H61&gt;=0)</formula1>
    </dataValidation>
    <dataValidation type="whole" allowBlank="1" showInputMessage="1" showErrorMessage="1" sqref="C28:C31 C91 C9:C26 C61:C89" xr:uid="{9499792F-8182-4E9F-B321-AE3F0057A480}">
      <formula1>1</formula1>
      <formula2>3</formula2>
    </dataValidation>
    <dataValidation type="date" allowBlank="1" showInputMessage="1" showErrorMessage="1" sqref="D34:D36 B9:B26 B28:B31 D43:D51 B91 B61:B89 B94:B109" xr:uid="{89F9CE64-6590-4283-97D6-30E83BDFF92A}">
      <formula1>40179</formula1>
      <formula2>TODAY()</formula2>
    </dataValidation>
    <dataValidation type="whole" allowBlank="1" showInputMessage="1" showErrorMessage="1" sqref="F61:F89 F9:F26 F91 F94:F109 G43:G51" xr:uid="{7C4353E8-EEA1-4BC8-8847-04EAF909003B}">
      <formula1>20000000000</formula1>
      <formula2>33999999999</formula2>
    </dataValidation>
    <dataValidation type="whole" allowBlank="1" showInputMessage="1" showErrorMessage="1" sqref="E9:E26 E61:E89 E91 E94:E109 F43:F51" xr:uid="{7744A832-7C16-42FD-BAB0-FC5CB1CAC46C}">
      <formula1>1</formula1>
      <formula2>99999999</formula2>
    </dataValidation>
    <dataValidation type="whole" allowBlank="1" showInputMessage="1" showErrorMessage="1" sqref="D9:D26 D61:D89 D91 D94:D109 E43:E51" xr:uid="{FF5EDEF2-7639-4191-B232-A4357E0206AD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6" xr:uid="{7FADF81E-5686-490E-AA68-ACA4C808C7A1}">
      <formula1>IF($C9=3,H9&lt;0,H9&gt;=0)</formula1>
    </dataValidation>
    <dataValidation type="custom" allowBlank="1" showInputMessage="1" showErrorMessage="1" sqref="L61:L69 L82" xr:uid="{669B2AD0-68FD-42D7-BF36-1D483A83498F}">
      <formula1>IF($C9=3,L9&lt;0,L9&gt;=0)</formula1>
    </dataValidation>
    <dataValidation type="custom" allowBlank="1" showInputMessage="1" showErrorMessage="1" sqref="L81" xr:uid="{DF166DA0-78A5-478A-A9B4-251440B75CCE}">
      <formula1>IF($C30=3,L30&lt;0,L30&gt;=0)</formula1>
    </dataValidation>
    <dataValidation type="custom" allowBlank="1" showInputMessage="1" showErrorMessage="1" sqref="L80" xr:uid="{26B733D6-F74D-49C4-BE65-A13B97FCB672}">
      <formula1>IF($C30=3,L30&lt;0,L30&gt;=0)</formula1>
    </dataValidation>
    <dataValidation type="custom" allowBlank="1" showInputMessage="1" showErrorMessage="1" sqref="L77:L79" xr:uid="{33B091C8-9018-48F4-A9DA-A0967DC69020}">
      <formula1>IF($C28=3,L28&lt;0,L28&gt;=0)</formula1>
    </dataValidation>
    <dataValidation type="custom" allowBlank="1" showInputMessage="1" showErrorMessage="1" sqref="L76" xr:uid="{F19F6A49-381A-4BD4-872F-5812428DC5B6}">
      <formula1>IF($C28=3,L28&lt;0,L28&gt;=0)</formula1>
    </dataValidation>
    <dataValidation type="custom" allowBlank="1" showInputMessage="1" showErrorMessage="1" sqref="L75" xr:uid="{1F6DAA03-03B2-477A-9747-B6F922006B9E}">
      <formula1>IF($C28=3,L28&lt;0,L28&gt;=0)</formula1>
    </dataValidation>
    <dataValidation type="custom" allowBlank="1" showInputMessage="1" showErrorMessage="1" sqref="L74" xr:uid="{25D9F314-4BBB-4DE0-B6F9-36C5D0DC48E5}">
      <formula1>IF($C28=3,L28&lt;0,L28&gt;=0)</formula1>
    </dataValidation>
    <dataValidation type="custom" allowBlank="1" showInputMessage="1" showErrorMessage="1" sqref="L73" xr:uid="{087F7A54-CAE7-4022-BDAA-109D3471CF46}">
      <formula1>IF($C28=3,L28&lt;0,L28&gt;=0)</formula1>
    </dataValidation>
    <dataValidation type="custom" allowBlank="1" showInputMessage="1" showErrorMessage="1" sqref="L83:L89" xr:uid="{D1FC0F6E-B605-4DE5-A2D9-FDEC3B0FCFD6}">
      <formula1>IF($C30=3,L30&lt;0,L30&gt;=0)</formula1>
    </dataValidation>
    <dataValidation type="custom" allowBlank="1" showInputMessage="1" showErrorMessage="1" sqref="L70:L71" xr:uid="{79833F88-A7CD-44B4-B69F-00E89FAA6058}">
      <formula1>IF($C27=3,L27&lt;0,L27&gt;=0)</formula1>
    </dataValidation>
    <dataValidation type="custom" allowBlank="1" showInputMessage="1" showErrorMessage="1" sqref="L72" xr:uid="{66BA6DD7-12D8-45B5-8785-986DA92982E8}">
      <formula1>IF($C28=3,L28&lt;0,L28&gt;=0)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9" tint="0.79998168889431442"/>
  </sheetPr>
  <dimension ref="A1:Z132"/>
  <sheetViews>
    <sheetView showGridLines="0" zoomScaleNormal="100" workbookViewId="0">
      <selection activeCell="B9" sqref="B9:B15"/>
    </sheetView>
  </sheetViews>
  <sheetFormatPr baseColWidth="10" defaultColWidth="0" defaultRowHeight="1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5.140625" customWidth="1"/>
    <col min="8" max="8" width="17.7109375" customWidth="1"/>
    <col min="9" max="9" width="14.28515625" customWidth="1"/>
    <col min="10" max="10" width="10.28515625" customWidth="1"/>
    <col min="11" max="11" width="14.85546875" bestFit="1" customWidth="1"/>
    <col min="12" max="12" width="15.140625" bestFit="1" customWidth="1"/>
    <col min="13" max="13" width="11.140625" customWidth="1"/>
    <col min="14" max="14" width="14.140625" customWidth="1"/>
    <col min="15" max="15" width="13.7109375" customWidth="1"/>
    <col min="16" max="16" width="23.140625" customWidth="1"/>
    <col min="17" max="17" width="16.7109375" customWidth="1"/>
    <col min="18" max="18" width="14.28515625" customWidth="1"/>
    <col min="19" max="19" width="13.140625" bestFit="1" customWidth="1"/>
    <col min="20" max="20" width="14.71093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430" t="s">
        <v>28</v>
      </c>
      <c r="C1" s="430"/>
      <c r="D1" s="430"/>
      <c r="E1" s="430"/>
      <c r="F1" s="430"/>
      <c r="G1" s="431" t="str">
        <f>'Ene-26'!G1:M1</f>
        <v>RABLEB SRL</v>
      </c>
      <c r="H1" s="431"/>
      <c r="I1" s="431"/>
      <c r="J1" s="431"/>
      <c r="K1" s="431"/>
      <c r="L1" s="431"/>
      <c r="M1" s="431"/>
      <c r="N1" s="427">
        <f>EDATE('Ene-26'!N1,2)</f>
        <v>46082</v>
      </c>
      <c r="O1" s="427"/>
      <c r="P1" s="427"/>
      <c r="Q1" s="427"/>
      <c r="R1" s="427"/>
    </row>
    <row r="2" spans="1:26" ht="15" customHeight="1"/>
    <row r="3" spans="1:26" ht="26.45" customHeight="1">
      <c r="B3" s="433" t="s">
        <v>65</v>
      </c>
      <c r="C3" s="433"/>
      <c r="D3" s="433"/>
      <c r="E3" s="433"/>
      <c r="F3" s="38"/>
      <c r="G3" s="433" t="s">
        <v>37</v>
      </c>
      <c r="H3" s="433"/>
      <c r="I3" s="38"/>
      <c r="J3" s="441" t="s">
        <v>14</v>
      </c>
      <c r="K3" s="441"/>
      <c r="L3" s="38"/>
      <c r="M3" s="441" t="s">
        <v>12</v>
      </c>
      <c r="N3" s="441"/>
      <c r="O3" s="38"/>
      <c r="P3" s="439" t="s">
        <v>90</v>
      </c>
      <c r="Q3" s="439"/>
      <c r="R3" s="439"/>
    </row>
    <row r="4" spans="1:26" ht="25.15" customHeight="1">
      <c r="B4" s="434">
        <f>SUM(compras_mes3[[#Totals],[NETO GRAVADO]])+extracto_banco_mes3[[#Totals],[NETO]]</f>
        <v>6402101.0219047619</v>
      </c>
      <c r="C4" s="434"/>
      <c r="D4" s="434"/>
      <c r="E4" s="434"/>
      <c r="F4" s="39"/>
      <c r="G4" s="435">
        <f>compras_mes3[[#Totals],[IVA 21 %]]+compras_mes3[[#Totals],[IVA 27%]]+compras_mes3[[#Totals],[IVA 10,5%]]+extracto_banco_mes3[[#Totals],[IVA 21%]]+extracto_banco_mes3[[#Totals],[IVA 10,5%]]</f>
        <v>1344441.2146000001</v>
      </c>
      <c r="H4" s="435"/>
      <c r="I4" s="39"/>
      <c r="J4" s="442">
        <f>venta_a_mes3[[#Totals],[IMPORTE NETO]]+ventas_b_mes3[[#Totals],[IMPORTE NETO]]</f>
        <v>8636886.120000001</v>
      </c>
      <c r="K4" s="442"/>
      <c r="L4" s="39"/>
      <c r="M4" s="442">
        <f>venta_a_mes3[[#Totals],[IVA 21%]]+venta_a_mes3[[#Totals],[IVA 10,5%]]+ventas_b_mes3[[#Totals],[IVA 21%]]+ventas_b_mes3[[#Totals],[IVA 10,5%]]</f>
        <v>1813746.0852000001</v>
      </c>
      <c r="N4" s="442"/>
      <c r="O4" s="39"/>
      <c r="P4" s="437">
        <f>G4-M4</f>
        <v>-469304.87060000002</v>
      </c>
      <c r="Q4" s="438"/>
      <c r="R4" s="438"/>
    </row>
    <row r="5" spans="1:26" ht="13.15" customHeight="1"/>
    <row r="6" spans="1:26" ht="10.9" customHeight="1"/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ht="15" customHeight="1">
      <c r="B9" s="158" t="s">
        <v>233</v>
      </c>
      <c r="C9" s="159">
        <v>1</v>
      </c>
      <c r="D9" s="160">
        <v>2</v>
      </c>
      <c r="E9" s="347">
        <v>1861</v>
      </c>
      <c r="F9" s="163">
        <v>30718631730</v>
      </c>
      <c r="G9" s="161" t="str">
        <f>IFERROR(IF(compras_mes3[[#This Row],[CUIT]]="","-",VLOOKUP(compras_mes3[[#This Row],[CUIT]],Lista_CUIT[#All],2,0)),"CUIT NO CARGADO")</f>
        <v>SIMZ S. R. L.</v>
      </c>
      <c r="H9" s="164">
        <v>138866</v>
      </c>
      <c r="I9" s="164">
        <f>IF(compras_mes3[[#This Row],[NETO GRAVADO]]="","",compras_mes3[[#This Row],[NETO GRAVADO]]*0.21)</f>
        <v>29161.86</v>
      </c>
      <c r="J9" s="165"/>
      <c r="K9" s="165"/>
      <c r="L9" s="165"/>
      <c r="M9" s="165"/>
      <c r="N9" s="165"/>
      <c r="O9" s="165">
        <v>0</v>
      </c>
      <c r="P9" s="166">
        <f>SUM(compras_mes3[[#This Row],[NETO GRAVADO]:[Otros / No Grav.]])</f>
        <v>168027.86</v>
      </c>
      <c r="Q9" s="162">
        <f>IFERROR(IF(compras_mes3[[#This Row],[CUIT]]="","-",VLOOKUP(compras_mes3[[#This Row],[CUIT]],Lista_CUIT[#All],3,0)),"CUIT NO CARGADO")</f>
        <v>0</v>
      </c>
      <c r="R9" s="162">
        <f>IFERROR(IF(compras_mes3[[#This Row],[CUIT]]="","-",VLOOKUP(compras_mes3[[#This Row],[CUIT]],Lista_CUIT[#All],4,0)),"CUIT NO CARGADO")</f>
        <v>0</v>
      </c>
    </row>
    <row r="10" spans="1:26" ht="15" customHeight="1">
      <c r="B10" s="390" t="s">
        <v>236</v>
      </c>
      <c r="C10" s="391">
        <v>3</v>
      </c>
      <c r="D10" s="392">
        <v>11</v>
      </c>
      <c r="E10" s="393">
        <v>924152</v>
      </c>
      <c r="F10" s="394">
        <v>33709585229</v>
      </c>
      <c r="G10" s="395" t="str">
        <f>IFERROR(IF(compras_mes3[[#This Row],[CUIT]]="","-",VLOOKUP(compras_mes3[[#This Row],[CUIT]],Lista_CUIT[#All],2,0)),"CUIT NO CARGADO")</f>
        <v>GOOGLE ARGENTINA S.R.L.</v>
      </c>
      <c r="H10" s="396"/>
      <c r="I10" s="397" t="str">
        <f>IF(compras_mes3[[#This Row],[NETO GRAVADO]]="","",compras_mes3[[#This Row],[NETO GRAVADO]]*0.21)</f>
        <v/>
      </c>
      <c r="J10" s="398"/>
      <c r="K10" s="399"/>
      <c r="L10" s="399"/>
      <c r="M10" s="399"/>
      <c r="N10" s="399"/>
      <c r="O10" s="399"/>
      <c r="P10" s="400">
        <f>SUM(compras_mes3[[#This Row],[NETO GRAVADO]:[Otros / No Grav.]])</f>
        <v>0</v>
      </c>
      <c r="Q10" s="401" t="str">
        <f>IFERROR(IF(compras_mes3[[#This Row],[CUIT]]="","-",VLOOKUP(compras_mes3[[#This Row],[CUIT]],Lista_CUIT[#All],3,0)),"CUIT NO CARGADO")</f>
        <v>Servicios de publicidad</v>
      </c>
      <c r="R10" s="401">
        <f>IFERROR(IF(compras_mes3[[#This Row],[CUIT]]="","-",VLOOKUP(compras_mes3[[#This Row],[CUIT]],Lista_CUIT[#All],4,0)),"CUIT NO CARGADO")</f>
        <v>0</v>
      </c>
    </row>
    <row r="11" spans="1:26" ht="15" customHeight="1">
      <c r="B11" s="390" t="s">
        <v>236</v>
      </c>
      <c r="C11" s="159">
        <v>1</v>
      </c>
      <c r="D11" s="392">
        <v>11</v>
      </c>
      <c r="E11" s="393">
        <v>1296131</v>
      </c>
      <c r="F11" s="394">
        <v>33709585229</v>
      </c>
      <c r="G11" s="395" t="str">
        <f>IFERROR(IF(compras_mes3[[#This Row],[CUIT]]="","-",VLOOKUP(compras_mes3[[#This Row],[CUIT]],Lista_CUIT[#All],2,0)),"CUIT NO CARGADO")</f>
        <v>GOOGLE ARGENTINA S.R.L.</v>
      </c>
      <c r="H11" s="396">
        <v>1479018.41</v>
      </c>
      <c r="I11" s="397">
        <f>IF(compras_mes3[[#This Row],[NETO GRAVADO]]="","",compras_mes3[[#This Row],[NETO GRAVADO]]*0.21)</f>
        <v>310593.86609999998</v>
      </c>
      <c r="J11" s="398"/>
      <c r="K11" s="399"/>
      <c r="L11" s="399"/>
      <c r="M11" s="399"/>
      <c r="N11" s="399">
        <v>22185.279999999999</v>
      </c>
      <c r="O11" s="399">
        <v>44370.55</v>
      </c>
      <c r="P11" s="400">
        <f>SUM(compras_mes3[[#This Row],[NETO GRAVADO]:[Otros / No Grav.]])</f>
        <v>1856168.1061</v>
      </c>
      <c r="Q11" s="401" t="str">
        <f>IFERROR(IF(compras_mes3[[#This Row],[CUIT]]="","-",VLOOKUP(compras_mes3[[#This Row],[CUIT]],Lista_CUIT[#All],3,0)),"CUIT NO CARGADO")</f>
        <v>Servicios de publicidad</v>
      </c>
      <c r="R11" s="401">
        <f>IFERROR(IF(compras_mes3[[#This Row],[CUIT]]="","-",VLOOKUP(compras_mes3[[#This Row],[CUIT]],Lista_CUIT[#All],4,0)),"CUIT NO CARGADO")</f>
        <v>0</v>
      </c>
    </row>
    <row r="12" spans="1:26" ht="15" customHeight="1">
      <c r="B12" s="390" t="s">
        <v>236</v>
      </c>
      <c r="C12" s="159">
        <v>1</v>
      </c>
      <c r="D12" s="392">
        <v>11</v>
      </c>
      <c r="E12" s="393">
        <v>1299487</v>
      </c>
      <c r="F12" s="394">
        <v>33709585229</v>
      </c>
      <c r="G12" s="395" t="str">
        <f>IFERROR(IF(compras_mes3[[#This Row],[CUIT]]="","-",VLOOKUP(compras_mes3[[#This Row],[CUIT]],Lista_CUIT[#All],2,0)),"CUIT NO CARGADO")</f>
        <v>GOOGLE ARGENTINA S.R.L.</v>
      </c>
      <c r="H12" s="396">
        <v>4560000</v>
      </c>
      <c r="I12" s="397">
        <f>IF(compras_mes3[[#This Row],[NETO GRAVADO]]="","",compras_mes3[[#This Row],[NETO GRAVADO]]*0.21)</f>
        <v>957600</v>
      </c>
      <c r="J12" s="398"/>
      <c r="K12" s="399"/>
      <c r="L12" s="399"/>
      <c r="M12" s="399"/>
      <c r="N12" s="399">
        <v>68400</v>
      </c>
      <c r="O12" s="399">
        <v>136800</v>
      </c>
      <c r="P12" s="400">
        <f>SUM(compras_mes3[[#This Row],[NETO GRAVADO]:[Otros / No Grav.]])</f>
        <v>5722800</v>
      </c>
      <c r="Q12" s="401" t="str">
        <f>IFERROR(IF(compras_mes3[[#This Row],[CUIT]]="","-",VLOOKUP(compras_mes3[[#This Row],[CUIT]],Lista_CUIT[#All],3,0)),"CUIT NO CARGADO")</f>
        <v>Servicios de publicidad</v>
      </c>
      <c r="R12" s="401">
        <f>IFERROR(IF(compras_mes3[[#This Row],[CUIT]]="","-",VLOOKUP(compras_mes3[[#This Row],[CUIT]],Lista_CUIT[#All],4,0)),"CUIT NO CARGADO")</f>
        <v>0</v>
      </c>
    </row>
    <row r="13" spans="1:26" ht="15" customHeight="1">
      <c r="B13" s="390" t="s">
        <v>234</v>
      </c>
      <c r="C13" s="159">
        <v>1</v>
      </c>
      <c r="D13" s="392">
        <v>2</v>
      </c>
      <c r="E13" s="393">
        <v>1728524</v>
      </c>
      <c r="F13" s="394">
        <v>30710173652</v>
      </c>
      <c r="G13" s="395" t="str">
        <f>IFERROR(IF(compras_mes3[[#This Row],[CUIT]]="","-",VLOOKUP(compras_mes3[[#This Row],[CUIT]],Lista_CUIT[#All],2,0)),"CUIT NO CARGADO")</f>
        <v>DATTATEC.COM S.R.L.</v>
      </c>
      <c r="H13" s="396">
        <v>33057.85</v>
      </c>
      <c r="I13" s="397">
        <f>IF(compras_mes3[[#This Row],[NETO GRAVADO]]="","",compras_mes3[[#This Row],[NETO GRAVADO]]*0.21)</f>
        <v>6942.1484999999993</v>
      </c>
      <c r="J13" s="398"/>
      <c r="K13" s="399"/>
      <c r="L13" s="399"/>
      <c r="M13" s="399"/>
      <c r="N13" s="399"/>
      <c r="O13" s="399">
        <v>0</v>
      </c>
      <c r="P13" s="400">
        <f>SUM(compras_mes3[[#This Row],[NETO GRAVADO]:[Otros / No Grav.]])</f>
        <v>39999.998500000002</v>
      </c>
      <c r="Q13" s="401">
        <f>IFERROR(IF(compras_mes3[[#This Row],[CUIT]]="","-",VLOOKUP(compras_mes3[[#This Row],[CUIT]],Lista_CUIT[#All],3,0)),"CUIT NO CARGADO")</f>
        <v>0</v>
      </c>
      <c r="R13" s="401">
        <f>IFERROR(IF(compras_mes3[[#This Row],[CUIT]]="","-",VLOOKUP(compras_mes3[[#This Row],[CUIT]],Lista_CUIT[#All],4,0)),"CUIT NO CARGADO")</f>
        <v>0</v>
      </c>
    </row>
    <row r="14" spans="1:26" ht="15" customHeight="1">
      <c r="B14" s="390" t="s">
        <v>234</v>
      </c>
      <c r="C14" s="159">
        <v>1</v>
      </c>
      <c r="D14" s="392">
        <v>2</v>
      </c>
      <c r="E14" s="393">
        <v>1728525</v>
      </c>
      <c r="F14" s="394">
        <v>30710173652</v>
      </c>
      <c r="G14" s="395" t="str">
        <f>IFERROR(IF(compras_mes3[[#This Row],[CUIT]]="","-",VLOOKUP(compras_mes3[[#This Row],[CUIT]],Lista_CUIT[#All],2,0)),"CUIT NO CARGADO")</f>
        <v>DATTATEC.COM S.R.L.</v>
      </c>
      <c r="H14" s="396">
        <v>79150</v>
      </c>
      <c r="I14" s="397">
        <f>IF(compras_mes3[[#This Row],[NETO GRAVADO]]="","",compras_mes3[[#This Row],[NETO GRAVADO]]*0.21)</f>
        <v>16621.5</v>
      </c>
      <c r="J14" s="398"/>
      <c r="K14" s="399"/>
      <c r="L14" s="399"/>
      <c r="M14" s="399"/>
      <c r="N14" s="399"/>
      <c r="O14" s="399">
        <v>0</v>
      </c>
      <c r="P14" s="400">
        <f>SUM(compras_mes3[[#This Row],[NETO GRAVADO]:[Otros / No Grav.]])</f>
        <v>95771.5</v>
      </c>
      <c r="Q14" s="401">
        <f>IFERROR(IF(compras_mes3[[#This Row],[CUIT]]="","-",VLOOKUP(compras_mes3[[#This Row],[CUIT]],Lista_CUIT[#All],3,0)),"CUIT NO CARGADO")</f>
        <v>0</v>
      </c>
      <c r="R14" s="401">
        <f>IFERROR(IF(compras_mes3[[#This Row],[CUIT]]="","-",VLOOKUP(compras_mes3[[#This Row],[CUIT]],Lista_CUIT[#All],4,0)),"CUIT NO CARGADO")</f>
        <v>0</v>
      </c>
    </row>
    <row r="15" spans="1:26" ht="15" customHeight="1">
      <c r="B15" s="390" t="s">
        <v>235</v>
      </c>
      <c r="C15" s="159">
        <v>1</v>
      </c>
      <c r="D15" s="392">
        <v>2</v>
      </c>
      <c r="E15" s="393">
        <v>1730436</v>
      </c>
      <c r="F15" s="394">
        <v>30710173652</v>
      </c>
      <c r="G15" s="395" t="str">
        <f>IFERROR(IF(compras_mes3[[#This Row],[CUIT]]="","-",VLOOKUP(compras_mes3[[#This Row],[CUIT]],Lista_CUIT[#All],2,0)),"CUIT NO CARGADO")</f>
        <v>DATTATEC.COM S.R.L.</v>
      </c>
      <c r="H15" s="396">
        <v>31660</v>
      </c>
      <c r="I15" s="397">
        <f>IF(compras_mes3[[#This Row],[NETO GRAVADO]]="","",compras_mes3[[#This Row],[NETO GRAVADO]]*0.21)</f>
        <v>6648.5999999999995</v>
      </c>
      <c r="J15" s="398"/>
      <c r="K15" s="399"/>
      <c r="L15" s="399"/>
      <c r="M15" s="399"/>
      <c r="N15" s="399"/>
      <c r="O15" s="399">
        <v>0</v>
      </c>
      <c r="P15" s="400">
        <f>SUM(compras_mes3[[#This Row],[NETO GRAVADO]:[Otros / No Grav.]])</f>
        <v>38308.6</v>
      </c>
      <c r="Q15" s="401">
        <f>IFERROR(IF(compras_mes3[[#This Row],[CUIT]]="","-",VLOOKUP(compras_mes3[[#This Row],[CUIT]],Lista_CUIT[#All],3,0)),"CUIT NO CARGADO")</f>
        <v>0</v>
      </c>
      <c r="R15" s="401">
        <f>IFERROR(IF(compras_mes3[[#This Row],[CUIT]]="","-",VLOOKUP(compras_mes3[[#This Row],[CUIT]],Lista_CUIT[#All],4,0)),"CUIT NO CARGADO")</f>
        <v>0</v>
      </c>
    </row>
    <row r="16" spans="1:26" ht="15" customHeight="1">
      <c r="B16" s="390"/>
      <c r="C16" s="391"/>
      <c r="D16" s="392"/>
      <c r="E16" s="393"/>
      <c r="F16" s="394"/>
      <c r="G16" s="395" t="str">
        <f>IFERROR(IF(compras_mes3[[#This Row],[CUIT]]="","-",VLOOKUP(compras_mes3[[#This Row],[CUIT]],Lista_CUIT[#All],2,0)),"CUIT NO CARGADO")</f>
        <v>-</v>
      </c>
      <c r="H16" s="396"/>
      <c r="I16" s="397" t="str">
        <f>IF(compras_mes3[[#This Row],[NETO GRAVADO]]="","",compras_mes3[[#This Row],[NETO GRAVADO]]*0.21)</f>
        <v/>
      </c>
      <c r="J16" s="398"/>
      <c r="K16" s="399"/>
      <c r="L16" s="399"/>
      <c r="M16" s="399"/>
      <c r="N16" s="399"/>
      <c r="O16" s="399"/>
      <c r="P16" s="400">
        <f>SUM(compras_mes3[[#This Row],[NETO GRAVADO]:[Otros / No Grav.]])</f>
        <v>0</v>
      </c>
      <c r="Q16" s="401" t="str">
        <f>IFERROR(IF(compras_mes3[[#This Row],[CUIT]]="","-",VLOOKUP(compras_mes3[[#This Row],[CUIT]],Lista_CUIT[#All],3,0)),"CUIT NO CARGADO")</f>
        <v>-</v>
      </c>
      <c r="R16" s="401" t="str">
        <f>IFERROR(IF(compras_mes3[[#This Row],[CUIT]]="","-",VLOOKUP(compras_mes3[[#This Row],[CUIT]],Lista_CUIT[#All],4,0)),"CUIT NO CARGADO")</f>
        <v>-</v>
      </c>
    </row>
    <row r="17" spans="2:18" ht="15" customHeight="1">
      <c r="B17" s="390"/>
      <c r="C17" s="391"/>
      <c r="D17" s="392"/>
      <c r="E17" s="393"/>
      <c r="F17" s="394"/>
      <c r="G17" s="395" t="str">
        <f>IFERROR(IF(compras_mes3[[#This Row],[CUIT]]="","-",VLOOKUP(compras_mes3[[#This Row],[CUIT]],Lista_CUIT[#All],2,0)),"CUIT NO CARGADO")</f>
        <v>-</v>
      </c>
      <c r="H17" s="396"/>
      <c r="I17" s="397" t="str">
        <f>IF(compras_mes3[[#This Row],[NETO GRAVADO]]="","",compras_mes3[[#This Row],[NETO GRAVADO]]*0.21)</f>
        <v/>
      </c>
      <c r="J17" s="398"/>
      <c r="K17" s="399"/>
      <c r="L17" s="399"/>
      <c r="M17" s="399"/>
      <c r="N17" s="399"/>
      <c r="O17" s="399"/>
      <c r="P17" s="400">
        <f>SUM(compras_mes3[[#This Row],[NETO GRAVADO]:[Otros / No Grav.]])</f>
        <v>0</v>
      </c>
      <c r="Q17" s="401" t="str">
        <f>IFERROR(IF(compras_mes3[[#This Row],[CUIT]]="","-",VLOOKUP(compras_mes3[[#This Row],[CUIT]],Lista_CUIT[#All],3,0)),"CUIT NO CARGADO")</f>
        <v>-</v>
      </c>
      <c r="R17" s="401" t="str">
        <f>IFERROR(IF(compras_mes3[[#This Row],[CUIT]]="","-",VLOOKUP(compras_mes3[[#This Row],[CUIT]],Lista_CUIT[#All],4,0)),"CUIT NO CARGADO")</f>
        <v>-</v>
      </c>
    </row>
    <row r="18" spans="2:18" ht="15" customHeight="1">
      <c r="B18" s="390"/>
      <c r="C18" s="391"/>
      <c r="D18" s="392"/>
      <c r="E18" s="393"/>
      <c r="F18" s="394"/>
      <c r="G18" s="395" t="str">
        <f>IFERROR(IF(compras_mes3[[#This Row],[CUIT]]="","-",VLOOKUP(compras_mes3[[#This Row],[CUIT]],Lista_CUIT[#All],2,0)),"CUIT NO CARGADO")</f>
        <v>-</v>
      </c>
      <c r="H18" s="396"/>
      <c r="I18" s="397" t="str">
        <f>IF(compras_mes3[[#This Row],[NETO GRAVADO]]="","",compras_mes3[[#This Row],[NETO GRAVADO]]*0.21)</f>
        <v/>
      </c>
      <c r="J18" s="398"/>
      <c r="K18" s="399"/>
      <c r="L18" s="399"/>
      <c r="M18" s="399"/>
      <c r="N18" s="399"/>
      <c r="O18" s="399"/>
      <c r="P18" s="400">
        <f>SUM(compras_mes3[[#This Row],[NETO GRAVADO]:[Otros / No Grav.]])</f>
        <v>0</v>
      </c>
      <c r="Q18" s="401" t="str">
        <f>IFERROR(IF(compras_mes3[[#This Row],[CUIT]]="","-",VLOOKUP(compras_mes3[[#This Row],[CUIT]],Lista_CUIT[#All],3,0)),"CUIT NO CARGADO")</f>
        <v>-</v>
      </c>
      <c r="R18" s="401" t="str">
        <f>IFERROR(IF(compras_mes3[[#This Row],[CUIT]]="","-",VLOOKUP(compras_mes3[[#This Row],[CUIT]],Lista_CUIT[#All],4,0)),"CUIT NO CARGADO")</f>
        <v>-</v>
      </c>
    </row>
    <row r="19" spans="2:18" ht="15" customHeight="1">
      <c r="B19" s="390"/>
      <c r="C19" s="391"/>
      <c r="D19" s="392"/>
      <c r="E19" s="393"/>
      <c r="F19" s="394"/>
      <c r="G19" s="395" t="str">
        <f>IFERROR(IF(compras_mes3[[#This Row],[CUIT]]="","-",VLOOKUP(compras_mes3[[#This Row],[CUIT]],Lista_CUIT[#All],2,0)),"CUIT NO CARGADO")</f>
        <v>-</v>
      </c>
      <c r="H19" s="396"/>
      <c r="I19" s="397" t="str">
        <f>IF(compras_mes3[[#This Row],[NETO GRAVADO]]="","",compras_mes3[[#This Row],[NETO GRAVADO]]*0.21)</f>
        <v/>
      </c>
      <c r="J19" s="398"/>
      <c r="K19" s="399"/>
      <c r="L19" s="399"/>
      <c r="M19" s="399"/>
      <c r="N19" s="399"/>
      <c r="O19" s="399"/>
      <c r="P19" s="400">
        <f>SUM(compras_mes3[[#This Row],[NETO GRAVADO]:[Otros / No Grav.]])</f>
        <v>0</v>
      </c>
      <c r="Q19" s="401" t="str">
        <f>IFERROR(IF(compras_mes3[[#This Row],[CUIT]]="","-",VLOOKUP(compras_mes3[[#This Row],[CUIT]],Lista_CUIT[#All],3,0)),"CUIT NO CARGADO")</f>
        <v>-</v>
      </c>
      <c r="R19" s="401" t="str">
        <f>IFERROR(IF(compras_mes3[[#This Row],[CUIT]]="","-",VLOOKUP(compras_mes3[[#This Row],[CUIT]],Lista_CUIT[#All],4,0)),"CUIT NO CARGADO")</f>
        <v>-</v>
      </c>
    </row>
    <row r="20" spans="2:18" ht="15" customHeight="1">
      <c r="B20" s="390"/>
      <c r="C20" s="391"/>
      <c r="D20" s="392"/>
      <c r="E20" s="393"/>
      <c r="F20" s="394"/>
      <c r="G20" s="395" t="str">
        <f>IFERROR(IF(compras_mes3[[#This Row],[CUIT]]="","-",VLOOKUP(compras_mes3[[#This Row],[CUIT]],Lista_CUIT[#All],2,0)),"CUIT NO CARGADO")</f>
        <v>-</v>
      </c>
      <c r="H20" s="396"/>
      <c r="I20" s="397" t="str">
        <f>IF(compras_mes3[[#This Row],[NETO GRAVADO]]="","",compras_mes3[[#This Row],[NETO GRAVADO]]*0.21)</f>
        <v/>
      </c>
      <c r="J20" s="398"/>
      <c r="K20" s="399"/>
      <c r="L20" s="399"/>
      <c r="M20" s="399"/>
      <c r="N20" s="399"/>
      <c r="O20" s="399"/>
      <c r="P20" s="400">
        <f>SUM(compras_mes3[[#This Row],[NETO GRAVADO]:[Otros / No Grav.]])</f>
        <v>0</v>
      </c>
      <c r="Q20" s="401" t="str">
        <f>IFERROR(IF(compras_mes3[[#This Row],[CUIT]]="","-",VLOOKUP(compras_mes3[[#This Row],[CUIT]],Lista_CUIT[#All],3,0)),"CUIT NO CARGADO")</f>
        <v>-</v>
      </c>
      <c r="R20" s="401" t="str">
        <f>IFERROR(IF(compras_mes3[[#This Row],[CUIT]]="","-",VLOOKUP(compras_mes3[[#This Row],[CUIT]],Lista_CUIT[#All],4,0)),"CUIT NO CARGADO")</f>
        <v>-</v>
      </c>
    </row>
    <row r="21" spans="2:18" ht="15" customHeight="1">
      <c r="B21" s="390"/>
      <c r="C21" s="391"/>
      <c r="D21" s="392"/>
      <c r="E21" s="393"/>
      <c r="F21" s="394"/>
      <c r="G21" s="395" t="str">
        <f>IFERROR(IF(compras_mes3[[#This Row],[CUIT]]="","-",VLOOKUP(compras_mes3[[#This Row],[CUIT]],Lista_CUIT[#All],2,0)),"CUIT NO CARGADO")</f>
        <v>-</v>
      </c>
      <c r="H21" s="396"/>
      <c r="I21" s="397" t="str">
        <f>IF(compras_mes3[[#This Row],[NETO GRAVADO]]="","",compras_mes3[[#This Row],[NETO GRAVADO]]*0.21)</f>
        <v/>
      </c>
      <c r="J21" s="398"/>
      <c r="K21" s="399"/>
      <c r="L21" s="399"/>
      <c r="M21" s="399"/>
      <c r="N21" s="399"/>
      <c r="O21" s="399"/>
      <c r="P21" s="400">
        <f>SUM(compras_mes3[[#This Row],[NETO GRAVADO]:[Otros / No Grav.]])</f>
        <v>0</v>
      </c>
      <c r="Q21" s="401" t="str">
        <f>IFERROR(IF(compras_mes3[[#This Row],[CUIT]]="","-",VLOOKUP(compras_mes3[[#This Row],[CUIT]],Lista_CUIT[#All],3,0)),"CUIT NO CARGADO")</f>
        <v>-</v>
      </c>
      <c r="R21" s="401" t="str">
        <f>IFERROR(IF(compras_mes3[[#This Row],[CUIT]]="","-",VLOOKUP(compras_mes3[[#This Row],[CUIT]],Lista_CUIT[#All],4,0)),"CUIT NO CARGADO")</f>
        <v>-</v>
      </c>
    </row>
    <row r="22" spans="2:18" ht="15" customHeight="1">
      <c r="B22" s="390"/>
      <c r="C22" s="391"/>
      <c r="D22" s="392"/>
      <c r="E22" s="393"/>
      <c r="F22" s="394"/>
      <c r="G22" s="395" t="str">
        <f>IFERROR(IF(compras_mes3[[#This Row],[CUIT]]="","-",VLOOKUP(compras_mes3[[#This Row],[CUIT]],Lista_CUIT[#All],2,0)),"CUIT NO CARGADO")</f>
        <v>-</v>
      </c>
      <c r="H22" s="396"/>
      <c r="I22" s="397" t="str">
        <f>IF(compras_mes3[[#This Row],[NETO GRAVADO]]="","",compras_mes3[[#This Row],[NETO GRAVADO]]*0.21)</f>
        <v/>
      </c>
      <c r="J22" s="398"/>
      <c r="K22" s="399"/>
      <c r="L22" s="399"/>
      <c r="M22" s="399"/>
      <c r="N22" s="399"/>
      <c r="O22" s="399"/>
      <c r="P22" s="400">
        <f>SUM(compras_mes3[[#This Row],[NETO GRAVADO]:[Otros / No Grav.]])</f>
        <v>0</v>
      </c>
      <c r="Q22" s="401" t="str">
        <f>IFERROR(IF(compras_mes3[[#This Row],[CUIT]]="","-",VLOOKUP(compras_mes3[[#This Row],[CUIT]],Lista_CUIT[#All],3,0)),"CUIT NO CARGADO")</f>
        <v>-</v>
      </c>
      <c r="R22" s="401" t="str">
        <f>IFERROR(IF(compras_mes3[[#This Row],[CUIT]]="","-",VLOOKUP(compras_mes3[[#This Row],[CUIT]],Lista_CUIT[#All],4,0)),"CUIT NO CARGADO")</f>
        <v>-</v>
      </c>
    </row>
    <row r="23" spans="2:18" ht="15" customHeight="1">
      <c r="B23" s="390"/>
      <c r="C23" s="391"/>
      <c r="D23" s="392"/>
      <c r="E23" s="393"/>
      <c r="F23" s="394"/>
      <c r="G23" s="395" t="str">
        <f>IFERROR(IF(compras_mes3[[#This Row],[CUIT]]="","-",VLOOKUP(compras_mes3[[#This Row],[CUIT]],Lista_CUIT[#All],2,0)),"CUIT NO CARGADO")</f>
        <v>-</v>
      </c>
      <c r="H23" s="396"/>
      <c r="I23" s="397" t="str">
        <f>IF(compras_mes3[[#This Row],[NETO GRAVADO]]="","",compras_mes3[[#This Row],[NETO GRAVADO]]*0.21)</f>
        <v/>
      </c>
      <c r="J23" s="398"/>
      <c r="K23" s="399"/>
      <c r="L23" s="399"/>
      <c r="M23" s="399"/>
      <c r="N23" s="399"/>
      <c r="O23" s="399"/>
      <c r="P23" s="400">
        <f>SUM(compras_mes3[[#This Row],[NETO GRAVADO]:[Otros / No Grav.]])</f>
        <v>0</v>
      </c>
      <c r="Q23" s="401" t="str">
        <f>IFERROR(IF(compras_mes3[[#This Row],[CUIT]]="","-",VLOOKUP(compras_mes3[[#This Row],[CUIT]],Lista_CUIT[#All],3,0)),"CUIT NO CARGADO")</f>
        <v>-</v>
      </c>
      <c r="R23" s="401" t="str">
        <f>IFERROR(IF(compras_mes3[[#This Row],[CUIT]]="","-",VLOOKUP(compras_mes3[[#This Row],[CUIT]],Lista_CUIT[#All],4,0)),"CUIT NO CARGADO")</f>
        <v>-</v>
      </c>
    </row>
    <row r="24" spans="2:18" ht="15" customHeight="1">
      <c r="B24" s="390"/>
      <c r="C24" s="391"/>
      <c r="D24" s="392"/>
      <c r="E24" s="393"/>
      <c r="F24" s="394"/>
      <c r="G24" s="395" t="str">
        <f>IFERROR(IF(compras_mes3[[#This Row],[CUIT]]="","-",VLOOKUP(compras_mes3[[#This Row],[CUIT]],Lista_CUIT[#All],2,0)),"CUIT NO CARGADO")</f>
        <v>-</v>
      </c>
      <c r="H24" s="396"/>
      <c r="I24" s="397" t="str">
        <f>IF(compras_mes3[[#This Row],[NETO GRAVADO]]="","",compras_mes3[[#This Row],[NETO GRAVADO]]*0.21)</f>
        <v/>
      </c>
      <c r="J24" s="398"/>
      <c r="K24" s="399"/>
      <c r="L24" s="399"/>
      <c r="M24" s="399"/>
      <c r="N24" s="399"/>
      <c r="O24" s="399"/>
      <c r="P24" s="400">
        <f>SUM(compras_mes3[[#This Row],[NETO GRAVADO]:[Otros / No Grav.]])</f>
        <v>0</v>
      </c>
      <c r="Q24" s="401" t="str">
        <f>IFERROR(IF(compras_mes3[[#This Row],[CUIT]]="","-",VLOOKUP(compras_mes3[[#This Row],[CUIT]],Lista_CUIT[#All],3,0)),"CUIT NO CARGADO")</f>
        <v>-</v>
      </c>
      <c r="R24" s="401" t="str">
        <f>IFERROR(IF(compras_mes3[[#This Row],[CUIT]]="","-",VLOOKUP(compras_mes3[[#This Row],[CUIT]],Lista_CUIT[#All],4,0)),"CUIT NO CARGADO")</f>
        <v>-</v>
      </c>
    </row>
    <row r="25" spans="2:18" ht="15" customHeight="1">
      <c r="B25" s="390"/>
      <c r="C25" s="391"/>
      <c r="D25" s="392"/>
      <c r="E25" s="393"/>
      <c r="F25" s="394"/>
      <c r="G25" s="395" t="str">
        <f>IFERROR(IF(compras_mes3[[#This Row],[CUIT]]="","-",VLOOKUP(compras_mes3[[#This Row],[CUIT]],Lista_CUIT[#All],2,0)),"CUIT NO CARGADO")</f>
        <v>-</v>
      </c>
      <c r="H25" s="396"/>
      <c r="I25" s="397" t="str">
        <f>IF(compras_mes3[[#This Row],[NETO GRAVADO]]="","",compras_mes3[[#This Row],[NETO GRAVADO]]*0.21)</f>
        <v/>
      </c>
      <c r="J25" s="398"/>
      <c r="K25" s="399"/>
      <c r="L25" s="399"/>
      <c r="M25" s="399"/>
      <c r="N25" s="399"/>
      <c r="O25" s="399"/>
      <c r="P25" s="400">
        <f>SUM(compras_mes3[[#This Row],[NETO GRAVADO]:[Otros / No Grav.]])</f>
        <v>0</v>
      </c>
      <c r="Q25" s="401" t="str">
        <f>IFERROR(IF(compras_mes3[[#This Row],[CUIT]]="","-",VLOOKUP(compras_mes3[[#This Row],[CUIT]],Lista_CUIT[#All],3,0)),"CUIT NO CARGADO")</f>
        <v>-</v>
      </c>
      <c r="R25" s="401" t="str">
        <f>IFERROR(IF(compras_mes3[[#This Row],[CUIT]]="","-",VLOOKUP(compras_mes3[[#This Row],[CUIT]],Lista_CUIT[#All],4,0)),"CUIT NO CARGADO")</f>
        <v>-</v>
      </c>
    </row>
    <row r="26" spans="2:18" ht="15" customHeight="1">
      <c r="B26" s="390"/>
      <c r="C26" s="391"/>
      <c r="D26" s="392"/>
      <c r="E26" s="393"/>
      <c r="F26" s="394"/>
      <c r="G26" s="395" t="str">
        <f>IFERROR(IF(compras_mes3[[#This Row],[CUIT]]="","-",VLOOKUP(compras_mes3[[#This Row],[CUIT]],Lista_CUIT[#All],2,0)),"CUIT NO CARGADO")</f>
        <v>-</v>
      </c>
      <c r="H26" s="396"/>
      <c r="I26" s="397" t="str">
        <f>IF(compras_mes3[[#This Row],[NETO GRAVADO]]="","",compras_mes3[[#This Row],[NETO GRAVADO]]*0.21)</f>
        <v/>
      </c>
      <c r="J26" s="398"/>
      <c r="K26" s="399"/>
      <c r="L26" s="399"/>
      <c r="M26" s="399"/>
      <c r="N26" s="399"/>
      <c r="O26" s="399"/>
      <c r="P26" s="400">
        <f>SUM(compras_mes3[[#This Row],[NETO GRAVADO]:[Otros / No Grav.]])</f>
        <v>0</v>
      </c>
      <c r="Q26" s="401" t="str">
        <f>IFERROR(IF(compras_mes3[[#This Row],[CUIT]]="","-",VLOOKUP(compras_mes3[[#This Row],[CUIT]],Lista_CUIT[#All],3,0)),"CUIT NO CARGADO")</f>
        <v>-</v>
      </c>
      <c r="R26" s="401" t="str">
        <f>IFERROR(IF(compras_mes3[[#This Row],[CUIT]]="","-",VLOOKUP(compras_mes3[[#This Row],[CUIT]],Lista_CUIT[#All],4,0)),"CUIT NO CARGADO")</f>
        <v>-</v>
      </c>
    </row>
    <row r="27" spans="2:18" ht="15" customHeight="1">
      <c r="B27" s="390"/>
      <c r="C27" s="391"/>
      <c r="D27" s="392"/>
      <c r="E27" s="393"/>
      <c r="F27" s="394"/>
      <c r="G27" s="395" t="str">
        <f>IFERROR(IF(compras_mes3[[#This Row],[CUIT]]="","-",VLOOKUP(compras_mes3[[#This Row],[CUIT]],Lista_CUIT[#All],2,0)),"CUIT NO CARGADO")</f>
        <v>-</v>
      </c>
      <c r="H27" s="396"/>
      <c r="I27" s="397" t="str">
        <f>IF(compras_mes3[[#This Row],[NETO GRAVADO]]="","",compras_mes3[[#This Row],[NETO GRAVADO]]*0.21)</f>
        <v/>
      </c>
      <c r="J27" s="398"/>
      <c r="K27" s="399"/>
      <c r="L27" s="399"/>
      <c r="M27" s="399"/>
      <c r="N27" s="399"/>
      <c r="O27" s="399"/>
      <c r="P27" s="400">
        <f>SUM(compras_mes3[[#This Row],[NETO GRAVADO]:[Otros / No Grav.]])</f>
        <v>0</v>
      </c>
      <c r="Q27" s="401" t="str">
        <f>IFERROR(IF(compras_mes3[[#This Row],[CUIT]]="","-",VLOOKUP(compras_mes3[[#This Row],[CUIT]],Lista_CUIT[#All],3,0)),"CUIT NO CARGADO")</f>
        <v>-</v>
      </c>
      <c r="R27" s="401" t="str">
        <f>IFERROR(IF(compras_mes3[[#This Row],[CUIT]]="","-",VLOOKUP(compras_mes3[[#This Row],[CUIT]],Lista_CUIT[#All],4,0)),"CUIT NO CARGADO")</f>
        <v>-</v>
      </c>
    </row>
    <row r="28" spans="2:18" ht="15" customHeight="1">
      <c r="B28" s="390"/>
      <c r="C28" s="391"/>
      <c r="D28" s="392"/>
      <c r="E28" s="393"/>
      <c r="F28" s="394"/>
      <c r="G28" s="395" t="str">
        <f>IFERROR(IF(compras_mes3[[#This Row],[CUIT]]="","-",VLOOKUP(compras_mes3[[#This Row],[CUIT]],Lista_CUIT[#All],2,0)),"CUIT NO CARGADO")</f>
        <v>-</v>
      </c>
      <c r="H28" s="396"/>
      <c r="I28" s="397" t="str">
        <f>IF(compras_mes3[[#This Row],[NETO GRAVADO]]="","",compras_mes3[[#This Row],[NETO GRAVADO]]*0.21)</f>
        <v/>
      </c>
      <c r="J28" s="398"/>
      <c r="K28" s="399"/>
      <c r="L28" s="399"/>
      <c r="M28" s="399"/>
      <c r="N28" s="399"/>
      <c r="O28" s="399"/>
      <c r="P28" s="400">
        <f>SUM(compras_mes3[[#This Row],[NETO GRAVADO]:[Otros / No Grav.]])</f>
        <v>0</v>
      </c>
      <c r="Q28" s="401" t="str">
        <f>IFERROR(IF(compras_mes3[[#This Row],[CUIT]]="","-",VLOOKUP(compras_mes3[[#This Row],[CUIT]],Lista_CUIT[#All],3,0)),"CUIT NO CARGADO")</f>
        <v>-</v>
      </c>
      <c r="R28" s="401" t="str">
        <f>IFERROR(IF(compras_mes3[[#This Row],[CUIT]]="","-",VLOOKUP(compras_mes3[[#This Row],[CUIT]],Lista_CUIT[#All],4,0)),"CUIT NO CARGADO")</f>
        <v>-</v>
      </c>
    </row>
    <row r="29" spans="2:18" ht="15" customHeight="1">
      <c r="B29" s="390"/>
      <c r="C29" s="391"/>
      <c r="D29" s="392"/>
      <c r="E29" s="393"/>
      <c r="F29" s="394"/>
      <c r="G29" s="395" t="str">
        <f>IFERROR(IF(compras_mes3[[#This Row],[CUIT]]="","-",VLOOKUP(compras_mes3[[#This Row],[CUIT]],Lista_CUIT[#All],2,0)),"CUIT NO CARGADO")</f>
        <v>-</v>
      </c>
      <c r="H29" s="396"/>
      <c r="I29" s="397" t="str">
        <f>IF(compras_mes3[[#This Row],[NETO GRAVADO]]="","",compras_mes3[[#This Row],[NETO GRAVADO]]*0.21)</f>
        <v/>
      </c>
      <c r="J29" s="398"/>
      <c r="K29" s="399"/>
      <c r="L29" s="399"/>
      <c r="M29" s="399"/>
      <c r="N29" s="399"/>
      <c r="O29" s="399"/>
      <c r="P29" s="400">
        <f>SUM(compras_mes3[[#This Row],[NETO GRAVADO]:[Otros / No Grav.]])</f>
        <v>0</v>
      </c>
      <c r="Q29" s="401" t="str">
        <f>IFERROR(IF(compras_mes3[[#This Row],[CUIT]]="","-",VLOOKUP(compras_mes3[[#This Row],[CUIT]],Lista_CUIT[#All],3,0)),"CUIT NO CARGADO")</f>
        <v>-</v>
      </c>
      <c r="R29" s="401" t="str">
        <f>IFERROR(IF(compras_mes3[[#This Row],[CUIT]]="","-",VLOOKUP(compras_mes3[[#This Row],[CUIT]],Lista_CUIT[#All],4,0)),"CUIT NO CARGADO")</f>
        <v>-</v>
      </c>
    </row>
    <row r="30" spans="2:18" ht="15" customHeight="1">
      <c r="B30" s="158"/>
      <c r="C30" s="159"/>
      <c r="D30" s="160"/>
      <c r="E30" s="347"/>
      <c r="F30" s="163"/>
      <c r="G30" s="161" t="str">
        <f>IFERROR(IF(compras_mes3[[#This Row],[CUIT]]="","-",VLOOKUP(compras_mes3[[#This Row],[CUIT]],Lista_CUIT[#All],2,0)),"CUIT NO CARGADO")</f>
        <v>-</v>
      </c>
      <c r="H30" s="164"/>
      <c r="I30" s="81" t="str">
        <f>IF(compras_mes3[[#This Row],[NETO GRAVADO]]="","",compras_mes3[[#This Row],[NETO GRAVADO]]*0.21)</f>
        <v/>
      </c>
      <c r="J30" s="165"/>
      <c r="K30" s="165"/>
      <c r="L30" s="165"/>
      <c r="M30" s="165"/>
      <c r="N30" s="165"/>
      <c r="O30" s="85" t="s">
        <v>197</v>
      </c>
      <c r="P30" s="166">
        <f>SUM(compras_mes3[[#This Row],[NETO GRAVADO]:[Otros / No Grav.]])</f>
        <v>0</v>
      </c>
      <c r="Q30" s="162" t="str">
        <f>IFERROR(IF(compras_mes3[[#This Row],[CUIT]]="","-",VLOOKUP(compras_mes3[[#This Row],[CUIT]],Lista_CUIT[#All],3,0)),"CUIT NO CARGADO")</f>
        <v>-</v>
      </c>
      <c r="R30" s="162" t="str">
        <f>IFERROR(IF(compras_mes3[[#This Row],[CUIT]]="","-",VLOOKUP(compras_mes3[[#This Row],[CUIT]],Lista_CUIT[#All],4,0)),"CUIT NO CARGADO")</f>
        <v>-</v>
      </c>
    </row>
    <row r="31" spans="2:18" ht="15" customHeight="1">
      <c r="B31" s="158"/>
      <c r="C31" s="159"/>
      <c r="D31" s="160"/>
      <c r="E31" s="347"/>
      <c r="F31" s="163"/>
      <c r="G31" s="161" t="str">
        <f>IFERROR(IF(compras_mes3[[#This Row],[CUIT]]="","-",VLOOKUP(compras_mes3[[#This Row],[CUIT]],Lista_CUIT[#All],2,0)),"CUIT NO CARGADO")</f>
        <v>-</v>
      </c>
      <c r="H31" s="164"/>
      <c r="I31" s="81" t="str">
        <f>IF(compras_mes3[[#This Row],[NETO GRAVADO]]="","",compras_mes3[[#This Row],[NETO GRAVADO]]*0.21)</f>
        <v/>
      </c>
      <c r="J31" s="165"/>
      <c r="K31" s="165"/>
      <c r="L31" s="165"/>
      <c r="M31" s="165"/>
      <c r="N31" s="165"/>
      <c r="O31" s="165"/>
      <c r="P31" s="166">
        <f>SUM(compras_mes3[[#This Row],[NETO GRAVADO]:[Otros / No Grav.]])</f>
        <v>0</v>
      </c>
      <c r="Q31" s="162" t="str">
        <f>IFERROR(IF(compras_mes3[[#This Row],[CUIT]]="","-",VLOOKUP(compras_mes3[[#This Row],[CUIT]],Lista_CUIT[#All],3,0)),"CUIT NO CARGADO")</f>
        <v>-</v>
      </c>
      <c r="R31" s="162" t="str">
        <f>IFERROR(IF(compras_mes3[[#This Row],[CUIT]]="","-",VLOOKUP(compras_mes3[[#This Row],[CUIT]],Lista_CUIT[#All],4,0)),"CUIT NO CARGADO")</f>
        <v>-</v>
      </c>
    </row>
    <row r="32" spans="2:18" ht="15" customHeight="1">
      <c r="B32" s="158"/>
      <c r="C32" s="159"/>
      <c r="D32" s="160"/>
      <c r="E32" s="347"/>
      <c r="F32" s="163"/>
      <c r="G32" s="161" t="str">
        <f>IFERROR(IF(compras_mes3[[#This Row],[CUIT]]="","-",VLOOKUP(compras_mes3[[#This Row],[CUIT]],Lista_CUIT[#All],2,0)),"CUIT NO CARGADO")</f>
        <v>-</v>
      </c>
      <c r="H32" s="164"/>
      <c r="I32" s="81" t="str">
        <f>IF(compras_mes3[[#This Row],[NETO GRAVADO]]="","",compras_mes3[[#This Row],[NETO GRAVADO]]*0.21)</f>
        <v/>
      </c>
      <c r="J32" s="165"/>
      <c r="K32" s="165"/>
      <c r="L32" s="165"/>
      <c r="M32" s="165"/>
      <c r="N32" s="165"/>
      <c r="O32" s="85" t="s">
        <v>197</v>
      </c>
      <c r="P32" s="166">
        <f>SUM(compras_mes3[[#This Row],[NETO GRAVADO]:[Otros / No Grav.]])</f>
        <v>0</v>
      </c>
      <c r="Q32" s="162" t="str">
        <f>IFERROR(IF(compras_mes3[[#This Row],[CUIT]]="","-",VLOOKUP(compras_mes3[[#This Row],[CUIT]],Lista_CUIT[#All],3,0)),"CUIT NO CARGADO")</f>
        <v>-</v>
      </c>
      <c r="R32" s="162" t="str">
        <f>IFERROR(IF(compras_mes3[[#This Row],[CUIT]]="","-",VLOOKUP(compras_mes3[[#This Row],[CUIT]],Lista_CUIT[#All],4,0)),"CUIT NO CARGADO")</f>
        <v>-</v>
      </c>
    </row>
    <row r="33" spans="2:18" ht="15" customHeight="1">
      <c r="B33" s="158"/>
      <c r="C33" s="159"/>
      <c r="D33" s="160"/>
      <c r="E33" s="347"/>
      <c r="F33" s="163"/>
      <c r="G33" s="161" t="str">
        <f>IFERROR(IF(compras_mes3[[#This Row],[CUIT]]="","-",VLOOKUP(compras_mes3[[#This Row],[CUIT]],Lista_CUIT[#All],2,0)),"CUIT NO CARGADO")</f>
        <v>-</v>
      </c>
      <c r="H33" s="164"/>
      <c r="I33" s="81" t="str">
        <f>IF(compras_mes3[[#This Row],[NETO GRAVADO]]="","",compras_mes3[[#This Row],[NETO GRAVADO]]*0.21)</f>
        <v/>
      </c>
      <c r="J33" s="165"/>
      <c r="K33" s="165"/>
      <c r="L33" s="165"/>
      <c r="M33" s="165"/>
      <c r="N33" s="165"/>
      <c r="O33" s="85" t="s">
        <v>197</v>
      </c>
      <c r="P33" s="166">
        <f>SUM(compras_mes3[[#This Row],[NETO GRAVADO]:[Otros / No Grav.]])</f>
        <v>0</v>
      </c>
      <c r="Q33" s="162" t="str">
        <f>IFERROR(IF(compras_mes3[[#This Row],[CUIT]]="","-",VLOOKUP(compras_mes3[[#This Row],[CUIT]],Lista_CUIT[#All],3,0)),"CUIT NO CARGADO")</f>
        <v>-</v>
      </c>
      <c r="R33" s="162" t="str">
        <f>IFERROR(IF(compras_mes3[[#This Row],[CUIT]]="","-",VLOOKUP(compras_mes3[[#This Row],[CUIT]],Lista_CUIT[#All],4,0)),"CUIT NO CARGADO")</f>
        <v>-</v>
      </c>
    </row>
    <row r="34" spans="2:18" ht="15" customHeight="1">
      <c r="B34" s="158"/>
      <c r="C34" s="159"/>
      <c r="D34" s="160"/>
      <c r="E34" s="347"/>
      <c r="F34" s="163"/>
      <c r="G34" s="161" t="str">
        <f>IFERROR(IF(compras_mes3[[#This Row],[CUIT]]="","-",VLOOKUP(compras_mes3[[#This Row],[CUIT]],Lista_CUIT[#All],2,0)),"CUIT NO CARGADO")</f>
        <v>-</v>
      </c>
      <c r="H34" s="164"/>
      <c r="I34" s="81" t="str">
        <f>IF(compras_mes3[[#This Row],[NETO GRAVADO]]="","",compras_mes3[[#This Row],[NETO GRAVADO]]*0.21)</f>
        <v/>
      </c>
      <c r="J34" s="165"/>
      <c r="K34" s="165"/>
      <c r="L34" s="165"/>
      <c r="M34" s="165"/>
      <c r="N34" s="165"/>
      <c r="O34" s="85" t="s">
        <v>197</v>
      </c>
      <c r="P34" s="166">
        <f>SUM(compras_mes3[[#This Row],[NETO GRAVADO]:[Otros / No Grav.]])</f>
        <v>0</v>
      </c>
      <c r="Q34" s="162" t="str">
        <f>IFERROR(IF(compras_mes3[[#This Row],[CUIT]]="","-",VLOOKUP(compras_mes3[[#This Row],[CUIT]],Lista_CUIT[#All],3,0)),"CUIT NO CARGADO")</f>
        <v>-</v>
      </c>
      <c r="R34" s="162" t="str">
        <f>IFERROR(IF(compras_mes3[[#This Row],[CUIT]]="","-",VLOOKUP(compras_mes3[[#This Row],[CUIT]],Lista_CUIT[#All],4,0)),"CUIT NO CARGADO")</f>
        <v>-</v>
      </c>
    </row>
    <row r="35" spans="2:18" ht="15" customHeight="1">
      <c r="B35" s="158"/>
      <c r="C35" s="159"/>
      <c r="D35" s="160"/>
      <c r="E35" s="347"/>
      <c r="F35" s="163"/>
      <c r="G35" s="161" t="str">
        <f>IFERROR(IF(compras_mes3[[#This Row],[CUIT]]="","-",VLOOKUP(compras_mes3[[#This Row],[CUIT]],Lista_CUIT[#All],2,0)),"CUIT NO CARGADO")</f>
        <v>-</v>
      </c>
      <c r="H35" s="164"/>
      <c r="I35" s="81" t="str">
        <f>IF(compras_mes3[[#This Row],[NETO GRAVADO]]="","",compras_mes3[[#This Row],[NETO GRAVADO]]*0.21)</f>
        <v/>
      </c>
      <c r="J35" s="165"/>
      <c r="K35" s="165"/>
      <c r="L35" s="165"/>
      <c r="M35" s="165"/>
      <c r="N35" s="165"/>
      <c r="O35" s="85" t="s">
        <v>197</v>
      </c>
      <c r="P35" s="166">
        <f>SUM(compras_mes3[[#This Row],[NETO GRAVADO]:[Otros / No Grav.]])</f>
        <v>0</v>
      </c>
      <c r="Q35" s="162" t="str">
        <f>IFERROR(IF(compras_mes3[[#This Row],[CUIT]]="","-",VLOOKUP(compras_mes3[[#This Row],[CUIT]],Lista_CUIT[#All],3,0)),"CUIT NO CARGADO")</f>
        <v>-</v>
      </c>
      <c r="R35" s="162" t="str">
        <f>IFERROR(IF(compras_mes3[[#This Row],[CUIT]]="","-",VLOOKUP(compras_mes3[[#This Row],[CUIT]],Lista_CUIT[#All],4,0)),"CUIT NO CARGADO")</f>
        <v>-</v>
      </c>
    </row>
    <row r="36" spans="2:18" s="56" customFormat="1" ht="15" customHeight="1">
      <c r="B36" s="158"/>
      <c r="C36" s="159"/>
      <c r="D36" s="160"/>
      <c r="E36" s="347"/>
      <c r="F36" s="163"/>
      <c r="G36" s="161" t="str">
        <f>IFERROR(IF(compras_mes3[[#This Row],[CUIT]]="","-",VLOOKUP(compras_mes3[[#This Row],[CUIT]],Lista_CUIT[#All],2,0)),"CUIT NO CARGADO")</f>
        <v>-</v>
      </c>
      <c r="H36" s="164"/>
      <c r="I36" s="81" t="str">
        <f>IF(compras_mes3[[#This Row],[NETO GRAVADO]]="","",compras_mes3[[#This Row],[NETO GRAVADO]]*0.21)</f>
        <v/>
      </c>
      <c r="J36" s="165"/>
      <c r="K36" s="165"/>
      <c r="L36" s="165"/>
      <c r="M36" s="165"/>
      <c r="N36" s="165"/>
      <c r="O36" s="85" t="s">
        <v>197</v>
      </c>
      <c r="P36" s="166">
        <f>SUM(compras_mes3[[#This Row],[NETO GRAVADO]:[Otros / No Grav.]])</f>
        <v>0</v>
      </c>
      <c r="Q36" s="162" t="str">
        <f>IFERROR(IF(compras_mes3[[#This Row],[CUIT]]="","-",VLOOKUP(compras_mes3[[#This Row],[CUIT]],Lista_CUIT[#All],3,0)),"CUIT NO CARGADO")</f>
        <v>-</v>
      </c>
      <c r="R36" s="162" t="str">
        <f>IFERROR(IF(compras_mes3[[#This Row],[CUIT]]="","-",VLOOKUP(compras_mes3[[#This Row],[CUIT]],Lista_CUIT[#All],4,0)),"CUIT NO CARGADO")</f>
        <v>-</v>
      </c>
    </row>
    <row r="37" spans="2:18" ht="15" customHeight="1">
      <c r="B37" s="158"/>
      <c r="C37" s="159"/>
      <c r="D37" s="160"/>
      <c r="E37" s="347"/>
      <c r="F37" s="163"/>
      <c r="G37" s="161" t="str">
        <f>IFERROR(IF(compras_mes3[[#This Row],[CUIT]]="","-",VLOOKUP(compras_mes3[[#This Row],[CUIT]],Lista_CUIT[#All],2,0)),"CUIT NO CARGADO")</f>
        <v>-</v>
      </c>
      <c r="H37" s="164"/>
      <c r="I37" s="81" t="str">
        <f>IF(compras_mes3[[#This Row],[NETO GRAVADO]]="","",compras_mes3[[#This Row],[NETO GRAVADO]]*0.21)</f>
        <v/>
      </c>
      <c r="J37" s="165"/>
      <c r="K37" s="165"/>
      <c r="L37" s="165"/>
      <c r="M37" s="165"/>
      <c r="N37" s="165"/>
      <c r="O37" s="85" t="s">
        <v>197</v>
      </c>
      <c r="P37" s="166">
        <f>SUM(compras_mes3[[#This Row],[NETO GRAVADO]:[Otros / No Grav.]])</f>
        <v>0</v>
      </c>
      <c r="Q37" s="162" t="str">
        <f>IFERROR(IF(compras_mes3[[#This Row],[CUIT]]="","-",VLOOKUP(compras_mes3[[#This Row],[CUIT]],Lista_CUIT[#All],3,0)),"CUIT NO CARGADO")</f>
        <v>-</v>
      </c>
      <c r="R37" s="162" t="str">
        <f>IFERROR(IF(compras_mes3[[#This Row],[CUIT]]="","-",VLOOKUP(compras_mes3[[#This Row],[CUIT]],Lista_CUIT[#All],4,0)),"CUIT NO CARGADO")</f>
        <v>-</v>
      </c>
    </row>
    <row r="38" spans="2:18" ht="15" customHeight="1">
      <c r="B38" s="158"/>
      <c r="C38" s="159"/>
      <c r="D38" s="160"/>
      <c r="E38" s="347"/>
      <c r="F38" s="163"/>
      <c r="G38" s="161" t="str">
        <f>IFERROR(IF(compras_mes3[[#This Row],[CUIT]]="","-",VLOOKUP(compras_mes3[[#This Row],[CUIT]],Lista_CUIT[#All],2,0)),"CUIT NO CARGADO")</f>
        <v>-</v>
      </c>
      <c r="H38" s="164"/>
      <c r="I38" s="81" t="str">
        <f>IF(compras_mes3[[#This Row],[NETO GRAVADO]]="","",compras_mes3[[#This Row],[NETO GRAVADO]]*0.21)</f>
        <v/>
      </c>
      <c r="J38" s="165"/>
      <c r="K38" s="165"/>
      <c r="L38" s="165"/>
      <c r="M38" s="165"/>
      <c r="N38" s="165"/>
      <c r="O38" s="165"/>
      <c r="P38" s="166">
        <f>SUM(compras_mes3[[#This Row],[NETO GRAVADO]:[Otros / No Grav.]])</f>
        <v>0</v>
      </c>
      <c r="Q38" s="162" t="str">
        <f>IFERROR(IF(compras_mes3[[#This Row],[CUIT]]="","-",VLOOKUP(compras_mes3[[#This Row],[CUIT]],Lista_CUIT[#All],3,0)),"CUIT NO CARGADO")</f>
        <v>-</v>
      </c>
      <c r="R38" s="162" t="str">
        <f>IFERROR(IF(compras_mes3[[#This Row],[CUIT]]="","-",VLOOKUP(compras_mes3[[#This Row],[CUIT]],Lista_CUIT[#All],4,0)),"CUIT NO CARGADO")</f>
        <v>-</v>
      </c>
    </row>
    <row r="39" spans="2:18" ht="15" customHeight="1">
      <c r="B39" s="158"/>
      <c r="C39" s="159"/>
      <c r="D39" s="160"/>
      <c r="E39" s="347"/>
      <c r="F39" s="163"/>
      <c r="G39" s="161" t="str">
        <f>IFERROR(IF(compras_mes3[[#This Row],[CUIT]]="","-",VLOOKUP(compras_mes3[[#This Row],[CUIT]],Lista_CUIT[#All],2,0)),"CUIT NO CARGADO")</f>
        <v>-</v>
      </c>
      <c r="H39" s="164"/>
      <c r="I39" s="81" t="str">
        <f>IF(compras_mes3[[#This Row],[NETO GRAVADO]]="","",compras_mes3[[#This Row],[NETO GRAVADO]]*0.21)</f>
        <v/>
      </c>
      <c r="J39" s="165"/>
      <c r="K39" s="165"/>
      <c r="L39" s="165"/>
      <c r="M39" s="165"/>
      <c r="N39" s="165"/>
      <c r="O39" s="165"/>
      <c r="P39" s="166">
        <f>SUM(compras_mes3[[#This Row],[NETO GRAVADO]:[Otros / No Grav.]])</f>
        <v>0</v>
      </c>
      <c r="Q39" s="162" t="str">
        <f>IFERROR(IF(compras_mes3[[#This Row],[CUIT]]="","-",VLOOKUP(compras_mes3[[#This Row],[CUIT]],Lista_CUIT[#All],3,0)),"CUIT NO CARGADO")</f>
        <v>-</v>
      </c>
      <c r="R39" s="162" t="str">
        <f>IFERROR(IF(compras_mes3[[#This Row],[CUIT]]="","-",VLOOKUP(compras_mes3[[#This Row],[CUIT]],Lista_CUIT[#All],4,0)),"CUIT NO CARGADO")</f>
        <v>-</v>
      </c>
    </row>
    <row r="40" spans="2:18" ht="15" customHeight="1">
      <c r="B40" s="233"/>
      <c r="C40" s="234"/>
      <c r="D40" s="235"/>
      <c r="E40" s="236"/>
      <c r="F40" s="237"/>
      <c r="G40" s="238" t="str">
        <f>IFERROR(IF(compras_mes3[[#This Row],[CUIT]]="","-",VLOOKUP(compras_mes3[[#This Row],[CUIT]],Lista_CUIT[#All],2,0)),"CUIT NO CARGADO")</f>
        <v>-</v>
      </c>
      <c r="H40" s="239"/>
      <c r="I40" s="346" t="str">
        <f>IF(compras_mes3[[#This Row],[NETO GRAVADO]]="","",compras_mes3[[#This Row],[NETO GRAVADO]]*0.21)</f>
        <v/>
      </c>
      <c r="J40" s="240"/>
      <c r="K40" s="241"/>
      <c r="L40" s="241"/>
      <c r="M40" s="241"/>
      <c r="N40" s="241"/>
      <c r="O40" s="241"/>
      <c r="P40" s="243">
        <f>SUM(compras_mes3[[#This Row],[NETO GRAVADO]:[Otros / No Grav.]])</f>
        <v>0</v>
      </c>
      <c r="Q40" s="242" t="str">
        <f>IFERROR(IF(compras_mes3[[#This Row],[CUIT]]="","-",VLOOKUP(compras_mes3[[#This Row],[CUIT]],Lista_CUIT[#All],3,0)),"CUIT NO CARGADO")</f>
        <v>-</v>
      </c>
      <c r="R40" s="242" t="str">
        <f>IFERROR(IF(compras_mes3[[#This Row],[CUIT]]="","-",VLOOKUP(compras_mes3[[#This Row],[CUIT]],Lista_CUIT[#All],4,0)),"CUIT NO CARGADO")</f>
        <v>-</v>
      </c>
    </row>
    <row r="41" spans="2:18">
      <c r="B41" s="233"/>
      <c r="C41" s="234"/>
      <c r="D41" s="235"/>
      <c r="E41" s="236"/>
      <c r="F41" s="237"/>
      <c r="G41" s="238" t="str">
        <f>IFERROR(IF(compras_mes3[[#This Row],[CUIT]]="","-",VLOOKUP(compras_mes3[[#This Row],[CUIT]],Lista_CUIT[#All],2,0)),"CUIT NO CARGADO")</f>
        <v>-</v>
      </c>
      <c r="H41" s="239"/>
      <c r="I41" s="346" t="str">
        <f>IF(compras_mes3[[#This Row],[NETO GRAVADO]]="","",compras_mes3[[#This Row],[NETO GRAVADO]]*0.21)</f>
        <v/>
      </c>
      <c r="J41" s="240"/>
      <c r="K41" s="241"/>
      <c r="L41" s="241"/>
      <c r="M41" s="241"/>
      <c r="N41" s="241"/>
      <c r="O41" s="241"/>
      <c r="P41" s="243">
        <f>SUM(compras_mes3[[#This Row],[NETO GRAVADO]:[Otros / No Grav.]])</f>
        <v>0</v>
      </c>
      <c r="Q41" s="242" t="str">
        <f>IFERROR(IF(compras_mes3[[#This Row],[CUIT]]="","-",VLOOKUP(compras_mes3[[#This Row],[CUIT]],Lista_CUIT[#All],3,0)),"CUIT NO CARGADO")</f>
        <v>-</v>
      </c>
      <c r="R41" s="242" t="str">
        <f>IFERROR(IF(compras_mes3[[#This Row],[CUIT]]="","-",VLOOKUP(compras_mes3[[#This Row],[CUIT]],Lista_CUIT[#All],4,0)),"CUIT NO CARGADO")</f>
        <v>-</v>
      </c>
    </row>
    <row r="42" spans="2:18">
      <c r="B42" s="233"/>
      <c r="C42" s="234"/>
      <c r="D42" s="235"/>
      <c r="E42" s="236"/>
      <c r="F42" s="237"/>
      <c r="G42" s="238" t="str">
        <f>IFERROR(IF(compras_mes3[[#This Row],[CUIT]]="","-",VLOOKUP(compras_mes3[[#This Row],[CUIT]],Lista_CUIT[#All],2,0)),"CUIT NO CARGADO")</f>
        <v>-</v>
      </c>
      <c r="H42" s="239"/>
      <c r="I42" s="346" t="str">
        <f>IF(compras_mes3[[#This Row],[NETO GRAVADO]]="","",compras_mes3[[#This Row],[NETO GRAVADO]]*0.21)</f>
        <v/>
      </c>
      <c r="J42" s="240"/>
      <c r="K42" s="241"/>
      <c r="L42" s="241"/>
      <c r="M42" s="241"/>
      <c r="N42" s="241">
        <v>-36.51</v>
      </c>
      <c r="O42" s="241">
        <v>-73.010000000000005</v>
      </c>
      <c r="P42" s="243">
        <f>SUM(compras_mes3[[#This Row],[NETO GRAVADO]:[Otros / No Grav.]])</f>
        <v>-109.52000000000001</v>
      </c>
      <c r="Q42" s="242" t="str">
        <f>IFERROR(IF(compras_mes3[[#This Row],[CUIT]]="","-",VLOOKUP(compras_mes3[[#This Row],[CUIT]],Lista_CUIT[#All],3,0)),"CUIT NO CARGADO")</f>
        <v>-</v>
      </c>
      <c r="R42" s="242" t="str">
        <f>IFERROR(IF(compras_mes3[[#This Row],[CUIT]]="","-",VLOOKUP(compras_mes3[[#This Row],[CUIT]],Lista_CUIT[#All],4,0)),"CUIT NO CARGADO")</f>
        <v>-</v>
      </c>
    </row>
    <row r="43" spans="2:18">
      <c r="B43" s="96" t="s">
        <v>91</v>
      </c>
      <c r="C43" s="96"/>
      <c r="D43" s="96"/>
      <c r="E43" s="96"/>
      <c r="F43" s="96"/>
      <c r="G43" s="97"/>
      <c r="H43" s="98">
        <f>SUBTOTAL(109,compras_mes3[NETO GRAVADO])</f>
        <v>6321752.2599999998</v>
      </c>
      <c r="I43" s="98">
        <f>SUBTOTAL(109,compras_mes3[IVA 21 %])</f>
        <v>1327567.9746000001</v>
      </c>
      <c r="J43" s="98">
        <f>SUBTOTAL(109,compras_mes3[IVA 27%])</f>
        <v>0</v>
      </c>
      <c r="K43" s="98">
        <f>SUBTOTAL(109,compras_mes3[IVA 10,5%])</f>
        <v>0</v>
      </c>
      <c r="L43" s="98">
        <f>SUBTOTAL(109,compras_mes3[PERC. IVA])</f>
        <v>0</v>
      </c>
      <c r="M43" s="98">
        <f>SUBTOTAL(109,compras_mes3[PERC IIBB 
BS AS])</f>
        <v>0</v>
      </c>
      <c r="N43" s="98">
        <f>SUBTOTAL(109,compras_mes3[PERC. IIBB CABA])</f>
        <v>90548.77</v>
      </c>
      <c r="O43" s="98">
        <f>SUBTOTAL(109,compras_mes3[Otros / No Grav.])</f>
        <v>181097.53999999998</v>
      </c>
      <c r="P43" s="98">
        <f>SUBTOTAL(109,compras_mes3[TOTAL])</f>
        <v>7920966.5445999997</v>
      </c>
      <c r="Q43" s="96"/>
      <c r="R43" s="96"/>
    </row>
    <row r="44" spans="2:18">
      <c r="B44" s="40"/>
      <c r="C44" s="41"/>
      <c r="D44" s="42"/>
      <c r="E44" s="43"/>
      <c r="F44" s="44"/>
      <c r="G44" s="45"/>
      <c r="H44" s="46"/>
      <c r="I44" s="47"/>
      <c r="J44" s="47"/>
      <c r="K44" s="47"/>
      <c r="L44" s="47"/>
      <c r="M44" s="47"/>
      <c r="N44" s="47"/>
      <c r="O44" s="47"/>
      <c r="P44" s="48"/>
      <c r="Q44" s="49"/>
      <c r="R44" s="49"/>
    </row>
    <row r="45" spans="2:18">
      <c r="B45" s="40"/>
      <c r="C45" s="41"/>
      <c r="D45" s="42"/>
      <c r="E45" s="43"/>
      <c r="F45" s="44"/>
      <c r="G45" s="45"/>
      <c r="H45" s="46"/>
      <c r="I45" s="47"/>
      <c r="J45" s="47"/>
      <c r="K45" s="47"/>
      <c r="L45" s="47"/>
      <c r="M45" s="47"/>
      <c r="N45" s="47"/>
      <c r="O45" s="47"/>
      <c r="P45" s="48"/>
      <c r="Q45" s="49"/>
      <c r="R45" s="49"/>
    </row>
    <row r="46" spans="2:18">
      <c r="B46" s="40"/>
      <c r="C46" s="41"/>
      <c r="D46" s="42"/>
      <c r="E46" s="43"/>
      <c r="F46" s="44"/>
      <c r="G46" s="45"/>
      <c r="H46" s="46"/>
      <c r="I46" s="47"/>
      <c r="J46" s="47"/>
      <c r="K46" s="47"/>
      <c r="L46" s="47"/>
      <c r="M46" s="47"/>
      <c r="N46" s="47"/>
      <c r="O46" s="47"/>
      <c r="P46" s="48"/>
      <c r="Q46" s="49"/>
      <c r="R46" s="49"/>
    </row>
    <row r="47" spans="2:18">
      <c r="B47" s="40"/>
      <c r="C47" s="41"/>
      <c r="D47" s="42"/>
      <c r="E47" s="43"/>
      <c r="F47" s="44"/>
      <c r="G47" s="45"/>
      <c r="H47" s="46"/>
      <c r="I47" s="47"/>
      <c r="J47" s="47"/>
      <c r="K47" s="47"/>
      <c r="L47" s="47"/>
    </row>
    <row r="48" spans="2:18" s="56" customFormat="1" ht="18.600000000000001" customHeight="1">
      <c r="B48"/>
      <c r="C48"/>
      <c r="D48" s="428" t="s">
        <v>15</v>
      </c>
      <c r="E48" s="428"/>
      <c r="F48" s="428"/>
      <c r="G48" s="428"/>
      <c r="H48" s="428"/>
      <c r="I48" s="428"/>
      <c r="J48" s="428"/>
      <c r="K48" s="428"/>
      <c r="L48" s="428"/>
      <c r="M48"/>
      <c r="N48"/>
      <c r="O48"/>
      <c r="P48"/>
      <c r="Q48"/>
      <c r="R48"/>
    </row>
    <row r="49" spans="4:13" ht="15.75">
      <c r="D49" s="73" t="s">
        <v>0</v>
      </c>
      <c r="E49" s="74" t="s">
        <v>26</v>
      </c>
      <c r="F49" s="74" t="s">
        <v>16</v>
      </c>
      <c r="G49" s="74" t="s">
        <v>5</v>
      </c>
      <c r="H49" s="74" t="s">
        <v>17</v>
      </c>
      <c r="I49" s="74" t="s">
        <v>7</v>
      </c>
      <c r="J49" s="75" t="s">
        <v>18</v>
      </c>
      <c r="K49" s="75" t="s">
        <v>19</v>
      </c>
      <c r="L49" s="76" t="s">
        <v>20</v>
      </c>
      <c r="M49" s="389" t="s">
        <v>10</v>
      </c>
    </row>
    <row r="50" spans="4:13">
      <c r="D50" s="50">
        <v>46112</v>
      </c>
      <c r="E50" s="373">
        <v>31032026</v>
      </c>
      <c r="F50" s="80" t="s">
        <v>171</v>
      </c>
      <c r="G50" s="81">
        <f>extracto_banco_mes3[[#This Row],[IVA 21%]]/0.21</f>
        <v>80348.761904761894</v>
      </c>
      <c r="H50" s="81">
        <v>16873.239999999998</v>
      </c>
      <c r="I50" s="81"/>
      <c r="J50" s="81">
        <v>1205.23</v>
      </c>
      <c r="K50" s="81">
        <v>2410.46</v>
      </c>
      <c r="L50" s="81"/>
      <c r="M50" s="426">
        <f t="shared" ref="M50:M52" si="0">SUM(G50:L50)</f>
        <v>100837.69190476189</v>
      </c>
    </row>
    <row r="51" spans="4:13">
      <c r="D51" s="50"/>
      <c r="E51" s="79"/>
      <c r="F51" s="80"/>
      <c r="G51" s="81">
        <f>extracto_banco_mes3[[#This Row],[IVA 21%]]/0.21</f>
        <v>0</v>
      </c>
      <c r="H51" s="81"/>
      <c r="I51" s="81">
        <f>extracto_banco_mes3[[#This Row],[NETO]]*0.105</f>
        <v>0</v>
      </c>
      <c r="J51" s="81"/>
      <c r="K51" s="81"/>
      <c r="L51" s="81"/>
      <c r="M51" s="426">
        <f t="shared" si="0"/>
        <v>0</v>
      </c>
    </row>
    <row r="52" spans="4:13">
      <c r="D52" s="50"/>
      <c r="E52" s="79"/>
      <c r="F52" s="80"/>
      <c r="G52" s="81">
        <f>extracto_banco_mes3[[#This Row],[IVA 21%]]/0.21</f>
        <v>0</v>
      </c>
      <c r="H52" s="81"/>
      <c r="I52" s="81">
        <f>extracto_banco_mes3[[#This Row],[NETO]]*0.105</f>
        <v>0</v>
      </c>
      <c r="J52" s="81"/>
      <c r="K52" s="81"/>
      <c r="L52" s="81"/>
      <c r="M52" s="426">
        <f t="shared" si="0"/>
        <v>0</v>
      </c>
    </row>
    <row r="53" spans="4:13">
      <c r="D53" s="82" t="s">
        <v>91</v>
      </c>
      <c r="E53" s="80"/>
      <c r="F53" s="80"/>
      <c r="G53" s="83">
        <f>SUBTOTAL(109,extracto_banco_mes3[NETO])</f>
        <v>80348.761904761894</v>
      </c>
      <c r="H53" s="83">
        <f>SUBTOTAL(109,extracto_banco_mes3[IVA 21%])</f>
        <v>16873.239999999998</v>
      </c>
      <c r="I53" s="83">
        <f>SUBTOTAL(109,extracto_banco_mes3[IVA 10,5%])</f>
        <v>0</v>
      </c>
      <c r="J53" s="83">
        <f>SUBTOTAL(109,extracto_banco_mes3[RET IIBB CABA])</f>
        <v>1205.23</v>
      </c>
      <c r="K53" s="83">
        <f>SUBTOTAL(109,extracto_banco_mes3[PERC IVA])</f>
        <v>2410.46</v>
      </c>
      <c r="L53" s="83">
        <f>SUBTOTAL(109,extracto_banco_mes3[PERC IIBB])</f>
        <v>0</v>
      </c>
      <c r="M53" s="281"/>
    </row>
    <row r="55" spans="4:13" ht="22.5" customHeight="1"/>
    <row r="57" spans="4:13" ht="18" customHeight="1">
      <c r="D57" s="428" t="s">
        <v>25</v>
      </c>
      <c r="E57" s="428"/>
      <c r="F57" s="428"/>
      <c r="G57" s="428"/>
      <c r="H57" s="428"/>
      <c r="I57" s="428"/>
      <c r="J57" s="428"/>
      <c r="K57" s="428"/>
    </row>
    <row r="58" spans="4:13">
      <c r="D58" s="51" t="s">
        <v>0</v>
      </c>
      <c r="E58" s="51" t="s">
        <v>2</v>
      </c>
      <c r="F58" s="51" t="s">
        <v>74</v>
      </c>
      <c r="G58" s="51" t="s">
        <v>3</v>
      </c>
      <c r="H58" s="51" t="s">
        <v>4</v>
      </c>
      <c r="I58" s="52" t="s">
        <v>10</v>
      </c>
      <c r="J58" s="51" t="s">
        <v>13</v>
      </c>
      <c r="K58" s="51" t="s">
        <v>38</v>
      </c>
    </row>
    <row r="59" spans="4:13">
      <c r="D59" s="50" t="s">
        <v>233</v>
      </c>
      <c r="E59" s="42">
        <v>1</v>
      </c>
      <c r="F59" s="373">
        <v>4</v>
      </c>
      <c r="G59" s="44">
        <v>27403975821</v>
      </c>
      <c r="H59" s="53" t="str">
        <f>IFERROR(IF(factura_c_mes3[[#This Row],[CUIT]]="","-",VLOOKUP(factura_c_mes3[[#This Row],[CUIT]],Lista_CUIT[#All],2,0)),"CUIT NO CARGADO")</f>
        <v>BARROSO VALENTINA</v>
      </c>
      <c r="I59" s="81">
        <v>538500</v>
      </c>
      <c r="J59" s="54">
        <f>IFERROR(IF(factura_c_mes3[[#This Row],[CUIT]]="","-",VLOOKUP(factura_c_mes3[[#This Row],[CUIT]],Lista_CUIT[#All],3,0)),"CUIT NO CARGADO")</f>
        <v>0</v>
      </c>
      <c r="K59" s="54">
        <f>IFERROR(IF(factura_c_mes3[[#This Row],[CUIT]]="","-",VLOOKUP(factura_c_mes3[[#This Row],[CUIT]],Lista_CUIT[#All],4,0)),"CUIT NO CARGADO")</f>
        <v>0</v>
      </c>
    </row>
    <row r="60" spans="4:13">
      <c r="D60" s="402" t="s">
        <v>237</v>
      </c>
      <c r="E60" s="42">
        <v>2</v>
      </c>
      <c r="F60" s="373">
        <v>1133</v>
      </c>
      <c r="G60" s="403">
        <v>20400104094</v>
      </c>
      <c r="H60" s="404" t="str">
        <f>IFERROR(IF(factura_c_mes3[[#This Row],[CUIT]]="","-",VLOOKUP(factura_c_mes3[[#This Row],[CUIT]],Lista_CUIT[#All],2,0)),"CUIT NO CARGADO")</f>
        <v>BOTINDARI FEDERICO DANIEL</v>
      </c>
      <c r="I60" s="405">
        <v>300000</v>
      </c>
      <c r="J60" s="406" t="str">
        <f>IFERROR(IF(factura_c_mes3[[#This Row],[CUIT]]="","-",VLOOKUP(factura_c_mes3[[#This Row],[CUIT]],Lista_CUIT[#All],3,0)),"CUIT NO CARGADO")</f>
        <v>HONORARIOS CONTABLE</v>
      </c>
      <c r="K60" s="406">
        <f>IFERROR(IF(factura_c_mes3[[#This Row],[CUIT]]="","-",VLOOKUP(factura_c_mes3[[#This Row],[CUIT]],Lista_CUIT[#All],4,0)),"CUIT NO CARGADO")</f>
        <v>0</v>
      </c>
    </row>
    <row r="61" spans="4:13">
      <c r="D61" s="402" t="s">
        <v>238</v>
      </c>
      <c r="E61" s="42">
        <v>2</v>
      </c>
      <c r="F61" s="373">
        <v>64</v>
      </c>
      <c r="G61" s="403">
        <v>23380288079</v>
      </c>
      <c r="H61" s="404" t="str">
        <f>IFERROR(IF(factura_c_mes3[[#This Row],[CUIT]]="","-",VLOOKUP(factura_c_mes3[[#This Row],[CUIT]],Lista_CUIT[#All],2,0)),"CUIT NO CARGADO")</f>
        <v>CASTROMAN AGUSTIN</v>
      </c>
      <c r="I61" s="405">
        <v>598000</v>
      </c>
      <c r="J61" s="406">
        <f>IFERROR(IF(factura_c_mes3[[#This Row],[CUIT]]="","-",VLOOKUP(factura_c_mes3[[#This Row],[CUIT]],Lista_CUIT[#All],3,0)),"CUIT NO CARGADO")</f>
        <v>0</v>
      </c>
      <c r="K61" s="406">
        <f>IFERROR(IF(factura_c_mes3[[#This Row],[CUIT]]="","-",VLOOKUP(factura_c_mes3[[#This Row],[CUIT]],Lista_CUIT[#All],4,0)),"CUIT NO CARGADO")</f>
        <v>0</v>
      </c>
    </row>
    <row r="62" spans="4:13">
      <c r="D62" s="402" t="s">
        <v>239</v>
      </c>
      <c r="E62" s="42">
        <v>2</v>
      </c>
      <c r="F62" s="373">
        <v>164</v>
      </c>
      <c r="G62" s="403">
        <v>27341104845</v>
      </c>
      <c r="H62" s="404" t="str">
        <f>IFERROR(IF(factura_c_mes3[[#This Row],[CUIT]]="","-",VLOOKUP(factura_c_mes3[[#This Row],[CUIT]],Lista_CUIT[#All],2,0)),"CUIT NO CARGADO")</f>
        <v>BOSSI MARIA PAULA</v>
      </c>
      <c r="I62" s="405">
        <v>342000</v>
      </c>
      <c r="J62" s="406">
        <f>IFERROR(IF(factura_c_mes3[[#This Row],[CUIT]]="","-",VLOOKUP(factura_c_mes3[[#This Row],[CUIT]],Lista_CUIT[#All],3,0)),"CUIT NO CARGADO")</f>
        <v>0</v>
      </c>
      <c r="K62" s="406">
        <f>IFERROR(IF(factura_c_mes3[[#This Row],[CUIT]]="","-",VLOOKUP(factura_c_mes3[[#This Row],[CUIT]],Lista_CUIT[#All],4,0)),"CUIT NO CARGADO")</f>
        <v>0</v>
      </c>
    </row>
    <row r="63" spans="4:13">
      <c r="D63" s="402" t="s">
        <v>240</v>
      </c>
      <c r="E63" s="42">
        <v>1</v>
      </c>
      <c r="F63" s="373">
        <v>330</v>
      </c>
      <c r="G63" s="403">
        <v>27386311000</v>
      </c>
      <c r="H63" s="404" t="str">
        <f>IFERROR(IF(factura_c_mes3[[#This Row],[CUIT]]="","-",VLOOKUP(factura_c_mes3[[#This Row],[CUIT]],Lista_CUIT[#All],2,0)),"CUIT NO CARGADO")</f>
        <v>OPANASIUK MACARENA ANTONELLA</v>
      </c>
      <c r="I63" s="405">
        <v>1000000</v>
      </c>
      <c r="J63" s="406">
        <f>IFERROR(IF(factura_c_mes3[[#This Row],[CUIT]]="","-",VLOOKUP(factura_c_mes3[[#This Row],[CUIT]],Lista_CUIT[#All],3,0)),"CUIT NO CARGADO")</f>
        <v>0</v>
      </c>
      <c r="K63" s="406">
        <f>IFERROR(IF(factura_c_mes3[[#This Row],[CUIT]]="","-",VLOOKUP(factura_c_mes3[[#This Row],[CUIT]],Lista_CUIT[#All],4,0)),"CUIT NO CARGADO")</f>
        <v>0</v>
      </c>
    </row>
    <row r="64" spans="4:13">
      <c r="D64" s="50" t="s">
        <v>235</v>
      </c>
      <c r="E64" s="42">
        <v>51</v>
      </c>
      <c r="F64" s="373">
        <v>195</v>
      </c>
      <c r="G64" s="44">
        <v>20300985158</v>
      </c>
      <c r="H64" s="53" t="str">
        <f>IFERROR(IF(factura_c_mes3[[#This Row],[CUIT]]="","-",VLOOKUP(factura_c_mes3[[#This Row],[CUIT]],Lista_CUIT[#All],2,0)),"CUIT NO CARGADO")</f>
        <v>GONZALEZ NESTOR RICARDO</v>
      </c>
      <c r="I64" s="81">
        <v>900000</v>
      </c>
      <c r="J64" s="54">
        <f>IFERROR(IF(factura_c_mes3[[#This Row],[CUIT]]="","-",VLOOKUP(factura_c_mes3[[#This Row],[CUIT]],Lista_CUIT[#All],3,0)),"CUIT NO CARGADO")</f>
        <v>0</v>
      </c>
      <c r="K64" s="54">
        <f>IFERROR(IF(factura_c_mes3[[#This Row],[CUIT]]="","-",VLOOKUP(factura_c_mes3[[#This Row],[CUIT]],Lista_CUIT[#All],4,0)),"CUIT NO CARGADO")</f>
        <v>0</v>
      </c>
    </row>
    <row r="65" spans="2:18">
      <c r="D65" s="50"/>
      <c r="E65" s="42"/>
      <c r="F65" s="43"/>
      <c r="G65" s="44"/>
      <c r="H65" s="53" t="str">
        <f>IFERROR(IF(factura_c_mes3[[#This Row],[CUIT]]="","-",VLOOKUP(factura_c_mes3[[#This Row],[CUIT]],Lista_CUIT[#All],2,0)),"CUIT NO CARGADO")</f>
        <v>-</v>
      </c>
      <c r="I65" s="81"/>
      <c r="J65" s="54" t="str">
        <f>IFERROR(IF(factura_c_mes3[[#This Row],[CUIT]]="","-",VLOOKUP(factura_c_mes3[[#This Row],[CUIT]],Lista_CUIT[#All],3,0)),"CUIT NO CARGADO")</f>
        <v>-</v>
      </c>
      <c r="K65" s="54" t="str">
        <f>IFERROR(IF(factura_c_mes3[[#This Row],[CUIT]]="","-",VLOOKUP(factura_c_mes3[[#This Row],[CUIT]],Lista_CUIT[#All],4,0)),"CUIT NO CARGADO")</f>
        <v>-</v>
      </c>
    </row>
    <row r="66" spans="2:18">
      <c r="D66" s="50"/>
      <c r="E66" s="42"/>
      <c r="F66" s="43"/>
      <c r="G66" s="44"/>
      <c r="H66" s="53" t="str">
        <f>IFERROR(IF(factura_c_mes3[[#This Row],[CUIT]]="","-",VLOOKUP(factura_c_mes3[[#This Row],[CUIT]],Lista_CUIT[#All],2,0)),"CUIT NO CARGADO")</f>
        <v>-</v>
      </c>
      <c r="I66" s="81"/>
      <c r="J66" s="54" t="str">
        <f>IFERROR(IF(factura_c_mes3[[#This Row],[CUIT]]="","-",VLOOKUP(factura_c_mes3[[#This Row],[CUIT]],Lista_CUIT[#All],3,0)),"CUIT NO CARGADO")</f>
        <v>-</v>
      </c>
      <c r="K66" s="54" t="str">
        <f>IFERROR(IF(factura_c_mes3[[#This Row],[CUIT]]="","-",VLOOKUP(factura_c_mes3[[#This Row],[CUIT]],Lista_CUIT[#All],4,0)),"CUIT NO CARGADO")</f>
        <v>-</v>
      </c>
    </row>
    <row r="67" spans="2:18">
      <c r="D67" s="55" t="s">
        <v>91</v>
      </c>
      <c r="E67" s="55"/>
      <c r="F67" s="55"/>
      <c r="G67" s="55"/>
      <c r="H67" s="57"/>
      <c r="I67" s="58">
        <f>SUBTOTAL(109,factura_c_mes3[TOTAL])</f>
        <v>3678500</v>
      </c>
      <c r="J67" s="55"/>
      <c r="K67" s="55"/>
    </row>
    <row r="68" spans="2:18">
      <c r="B68" s="56"/>
      <c r="C68" s="56"/>
      <c r="L68" s="56"/>
      <c r="M68" s="56"/>
      <c r="N68" s="56"/>
      <c r="O68" s="56"/>
      <c r="P68" s="56"/>
      <c r="Q68" s="56"/>
      <c r="R68" s="56"/>
    </row>
    <row r="71" spans="2:18" ht="25.9" customHeight="1"/>
    <row r="73" spans="2:18" ht="31.5" customHeight="1">
      <c r="B73" s="436" t="s">
        <v>29</v>
      </c>
      <c r="C73" s="436"/>
      <c r="D73" s="436"/>
      <c r="E73" s="436"/>
      <c r="F73" s="436"/>
      <c r="G73" s="436"/>
      <c r="H73" s="436"/>
      <c r="I73" s="436"/>
      <c r="J73" s="436"/>
      <c r="K73" s="432">
        <f>N1</f>
        <v>46082</v>
      </c>
      <c r="L73" s="432"/>
      <c r="M73" s="432"/>
    </row>
    <row r="74" spans="2:18" ht="15" customHeight="1"/>
    <row r="75" spans="2:18" ht="15" customHeight="1">
      <c r="B75" s="429" t="s">
        <v>30</v>
      </c>
      <c r="C75" s="429"/>
    </row>
    <row r="76" spans="2:18" ht="15" customHeight="1">
      <c r="B76" s="60" t="s">
        <v>0</v>
      </c>
      <c r="C76" s="61" t="s">
        <v>1</v>
      </c>
      <c r="D76" s="61" t="s">
        <v>21</v>
      </c>
      <c r="E76" s="61" t="s">
        <v>22</v>
      </c>
      <c r="F76" s="61" t="s">
        <v>3</v>
      </c>
      <c r="G76" s="61" t="s">
        <v>4</v>
      </c>
      <c r="H76" s="61" t="s">
        <v>23</v>
      </c>
      <c r="I76" s="61" t="s">
        <v>17</v>
      </c>
      <c r="J76" s="61" t="s">
        <v>7</v>
      </c>
      <c r="K76" s="61" t="s">
        <v>24</v>
      </c>
      <c r="L76" s="61" t="s">
        <v>10</v>
      </c>
      <c r="M76" s="62" t="s">
        <v>38</v>
      </c>
    </row>
    <row r="77" spans="2:18" ht="15" customHeight="1">
      <c r="B77" s="416" t="s">
        <v>236</v>
      </c>
      <c r="C77" s="41">
        <v>3</v>
      </c>
      <c r="D77" s="425">
        <v>1</v>
      </c>
      <c r="E77" s="420">
        <v>54</v>
      </c>
      <c r="F77" s="44">
        <v>30708604255</v>
      </c>
      <c r="G77" s="99" t="str">
        <f>IFERROR(IF(venta_a_mes3[[#This Row],[CUIT]]="","-",VLOOKUP(venta_a_mes3[[#This Row],[CUIT]],Lista_CUIT[#All],2,0)),"CUIT NO CARGADO")</f>
        <v>NAR TECHNOLOGIES S.R.L.</v>
      </c>
      <c r="H77" s="100">
        <v>-590909.1</v>
      </c>
      <c r="I77" s="101">
        <f>venta_a_mes3[[#This Row],[IMPORTE NETO]]*0.21</f>
        <v>-124090.91099999999</v>
      </c>
      <c r="J77" s="65"/>
      <c r="K77" s="65"/>
      <c r="L77" s="65">
        <f>SUM(venta_a_mes3[[#This Row],[IMPORTE NETO]:[EXENTO]])</f>
        <v>-715000.01099999994</v>
      </c>
      <c r="M77" s="59"/>
    </row>
    <row r="78" spans="2:18" ht="15" customHeight="1">
      <c r="B78" s="143" t="s">
        <v>236</v>
      </c>
      <c r="C78" s="41">
        <v>3</v>
      </c>
      <c r="D78" s="157">
        <v>1</v>
      </c>
      <c r="E78" s="144">
        <v>55</v>
      </c>
      <c r="F78" s="424">
        <v>20287305460</v>
      </c>
      <c r="G78" s="99" t="str">
        <f>IFERROR(IF(venta_a_mes3[[#This Row],[CUIT]]="","-",VLOOKUP(venta_a_mes3[[#This Row],[CUIT]],Lista_CUIT[#All],2,0)),"CUIT NO CARGADO")</f>
        <v>LANDI GERONIMO</v>
      </c>
      <c r="H78" s="100">
        <v>-147107.43</v>
      </c>
      <c r="I78" s="101">
        <f>venta_a_mes3[[#This Row],[IMPORTE NETO]]*0.21</f>
        <v>-30892.560299999997</v>
      </c>
      <c r="J78" s="65"/>
      <c r="K78" s="65"/>
      <c r="L78" s="65">
        <f>SUM(venta_a_mes3[[#This Row],[IMPORTE NETO]:[EXENTO]])</f>
        <v>-177999.9903</v>
      </c>
      <c r="M78" s="59"/>
    </row>
    <row r="79" spans="2:18" ht="15" customHeight="1">
      <c r="B79" s="108" t="s">
        <v>236</v>
      </c>
      <c r="C79" s="41">
        <v>3</v>
      </c>
      <c r="D79" s="157">
        <v>1</v>
      </c>
      <c r="E79" s="111">
        <v>56</v>
      </c>
      <c r="F79" s="424">
        <v>30717465101</v>
      </c>
      <c r="G79" s="99" t="str">
        <f>IFERROR(IF(venta_a_mes3[[#This Row],[CUIT]]="","-",VLOOKUP(venta_a_mes3[[#This Row],[CUIT]],Lista_CUIT[#All],2,0)),"CUIT NO CARGADO")</f>
        <v>EMPRENDIMIENTOS SHOPGLASS S. R. L.</v>
      </c>
      <c r="H79" s="100">
        <v>-147107.43</v>
      </c>
      <c r="I79" s="101">
        <f>venta_a_mes3[[#This Row],[IMPORTE NETO]]*0.21</f>
        <v>-30892.560299999997</v>
      </c>
      <c r="J79" s="65"/>
      <c r="K79" s="65"/>
      <c r="L79" s="65">
        <f>SUM(venta_a_mes3[[#This Row],[IMPORTE NETO]:[EXENTO]])</f>
        <v>-177999.9903</v>
      </c>
      <c r="M79" s="59"/>
    </row>
    <row r="80" spans="2:18" ht="15" customHeight="1">
      <c r="B80" s="143" t="s">
        <v>236</v>
      </c>
      <c r="C80" s="41">
        <v>3</v>
      </c>
      <c r="D80" s="157">
        <v>1</v>
      </c>
      <c r="E80" s="144">
        <v>57</v>
      </c>
      <c r="F80" s="424">
        <v>30714864803</v>
      </c>
      <c r="G80" s="99" t="str">
        <f>IFERROR(IF(venta_a_mes3[[#This Row],[CUIT]]="","-",VLOOKUP(venta_a_mes3[[#This Row],[CUIT]],Lista_CUIT[#All],2,0)),"CUIT NO CARGADO")</f>
        <v>DIAZ Y GIUSEPPETTI S. R. L.</v>
      </c>
      <c r="H80" s="100">
        <v>-202612.24</v>
      </c>
      <c r="I80" s="101">
        <f>venta_a_mes3[[#This Row],[IMPORTE NETO]]*0.21</f>
        <v>-42548.570399999997</v>
      </c>
      <c r="J80" s="65"/>
      <c r="K80" s="65"/>
      <c r="L80" s="65">
        <f>SUM(venta_a_mes3[[#This Row],[IMPORTE NETO]:[EXENTO]])</f>
        <v>-245160.81039999999</v>
      </c>
      <c r="M80" s="59"/>
    </row>
    <row r="81" spans="2:13" ht="15" customHeight="1">
      <c r="B81" s="143" t="s">
        <v>233</v>
      </c>
      <c r="C81" s="41">
        <v>1</v>
      </c>
      <c r="D81" s="157">
        <v>1</v>
      </c>
      <c r="E81" s="144">
        <v>649</v>
      </c>
      <c r="F81" s="424">
        <v>30715751557</v>
      </c>
      <c r="G81" s="99" t="str">
        <f>IFERROR(IF(venta_a_mes3[[#This Row],[CUIT]]="","-",VLOOKUP(venta_a_mes3[[#This Row],[CUIT]],Lista_CUIT[#All],2,0)),"CUIT NO CARGADO")</f>
        <v>TIXIT SRL</v>
      </c>
      <c r="H81" s="100">
        <v>590909.1</v>
      </c>
      <c r="I81" s="101">
        <f>venta_a_mes3[[#This Row],[IMPORTE NETO]]*0.21</f>
        <v>124090.91099999999</v>
      </c>
      <c r="J81" s="65"/>
      <c r="K81" s="65"/>
      <c r="L81" s="65">
        <f>SUM(venta_a_mes3[[#This Row],[IMPORTE NETO]:[EXENTO]])</f>
        <v>715000.01099999994</v>
      </c>
      <c r="M81" s="59"/>
    </row>
    <row r="82" spans="2:13" ht="15" customHeight="1">
      <c r="B82" s="407" t="s">
        <v>233</v>
      </c>
      <c r="C82" s="41">
        <v>1</v>
      </c>
      <c r="D82" s="408">
        <v>1</v>
      </c>
      <c r="E82" s="409">
        <v>650</v>
      </c>
      <c r="F82" s="410">
        <v>30714375241</v>
      </c>
      <c r="G82" s="411" t="str">
        <f>IFERROR(IF(venta_a_mes3[[#This Row],[CUIT]]="","-",VLOOKUP(venta_a_mes3[[#This Row],[CUIT]],Lista_CUIT[#All],2,0)),"CUIT NO CARGADO")</f>
        <v>POWER-RECORDS S.A</v>
      </c>
      <c r="H82" s="412">
        <v>590909.1</v>
      </c>
      <c r="I82" s="413">
        <f>venta_a_mes3[[#This Row],[IMPORTE NETO]]*0.21</f>
        <v>124090.91099999999</v>
      </c>
      <c r="J82" s="414"/>
      <c r="K82" s="414"/>
      <c r="L82" s="414">
        <f>SUM(venta_a_mes3[[#This Row],[IMPORTE NETO]:[EXENTO]])</f>
        <v>715000.01099999994</v>
      </c>
      <c r="M82" s="415"/>
    </row>
    <row r="83" spans="2:13" ht="15" customHeight="1">
      <c r="B83" s="407" t="s">
        <v>233</v>
      </c>
      <c r="C83" s="41">
        <v>1</v>
      </c>
      <c r="D83" s="408">
        <v>1</v>
      </c>
      <c r="E83" s="409">
        <v>651</v>
      </c>
      <c r="F83" s="410">
        <v>30718553357</v>
      </c>
      <c r="G83" s="411" t="str">
        <f>IFERROR(IF(venta_a_mes3[[#This Row],[CUIT]]="","-",VLOOKUP(venta_a_mes3[[#This Row],[CUIT]],Lista_CUIT[#All],2,0)),"CUIT NO CARGADO")</f>
        <v>EMIGRA CON TU MASCOTA S.R.L.</v>
      </c>
      <c r="H83" s="412">
        <v>590909.1</v>
      </c>
      <c r="I83" s="413">
        <f>venta_a_mes3[[#This Row],[IMPORTE NETO]]*0.21</f>
        <v>124090.91099999999</v>
      </c>
      <c r="J83" s="414"/>
      <c r="K83" s="414"/>
      <c r="L83" s="414">
        <f>SUM(venta_a_mes3[[#This Row],[IMPORTE NETO]:[EXENTO]])</f>
        <v>715000.01099999994</v>
      </c>
      <c r="M83" s="415"/>
    </row>
    <row r="84" spans="2:13" ht="15" customHeight="1">
      <c r="B84" s="407" t="s">
        <v>233</v>
      </c>
      <c r="C84" s="41">
        <v>1</v>
      </c>
      <c r="D84" s="408">
        <v>1</v>
      </c>
      <c r="E84" s="409">
        <v>652</v>
      </c>
      <c r="F84" s="410">
        <v>30708404485</v>
      </c>
      <c r="G84" s="411" t="str">
        <f>IFERROR(IF(venta_a_mes3[[#This Row],[CUIT]]="","-",VLOOKUP(venta_a_mes3[[#This Row],[CUIT]],Lista_CUIT[#All],2,0)),"CUIT NO CARGADO")</f>
        <v>SOLDARGEN S.A.</v>
      </c>
      <c r="H84" s="412">
        <v>590909.1</v>
      </c>
      <c r="I84" s="413">
        <f>venta_a_mes3[[#This Row],[IMPORTE NETO]]*0.21</f>
        <v>124090.91099999999</v>
      </c>
      <c r="J84" s="414"/>
      <c r="K84" s="414"/>
      <c r="L84" s="414">
        <f>SUM(venta_a_mes3[[#This Row],[IMPORTE NETO]:[EXENTO]])</f>
        <v>715000.01099999994</v>
      </c>
      <c r="M84" s="415"/>
    </row>
    <row r="85" spans="2:13" ht="15" customHeight="1">
      <c r="B85" s="407" t="s">
        <v>233</v>
      </c>
      <c r="C85" s="41">
        <v>1</v>
      </c>
      <c r="D85" s="408">
        <v>1</v>
      </c>
      <c r="E85" s="409">
        <v>653</v>
      </c>
      <c r="F85" s="410">
        <v>30708604255</v>
      </c>
      <c r="G85" s="411" t="str">
        <f>IFERROR(IF(venta_a_mes3[[#This Row],[CUIT]]="","-",VLOOKUP(venta_a_mes3[[#This Row],[CUIT]],Lista_CUIT[#All],2,0)),"CUIT NO CARGADO")</f>
        <v>NAR TECHNOLOGIES S.R.L.</v>
      </c>
      <c r="H85" s="412">
        <v>590909.1</v>
      </c>
      <c r="I85" s="413">
        <f>venta_a_mes3[[#This Row],[IMPORTE NETO]]*0.21</f>
        <v>124090.91099999999</v>
      </c>
      <c r="J85" s="414"/>
      <c r="K85" s="414"/>
      <c r="L85" s="414">
        <f>SUM(venta_a_mes3[[#This Row],[IMPORTE NETO]:[EXENTO]])</f>
        <v>715000.01099999994</v>
      </c>
      <c r="M85" s="415"/>
    </row>
    <row r="86" spans="2:13" ht="15" customHeight="1">
      <c r="B86" s="407" t="s">
        <v>233</v>
      </c>
      <c r="C86" s="41">
        <v>1</v>
      </c>
      <c r="D86" s="408">
        <v>1</v>
      </c>
      <c r="E86" s="409">
        <v>654</v>
      </c>
      <c r="F86" s="410">
        <v>24368969350</v>
      </c>
      <c r="G86" s="411" t="str">
        <f>IFERROR(IF(venta_a_mes3[[#This Row],[CUIT]]="","-",VLOOKUP(venta_a_mes3[[#This Row],[CUIT]],Lista_CUIT[#All],2,0)),"CUIT NO CARGADO")</f>
        <v>MARANO CORVALAN MARTIN MARIANO</v>
      </c>
      <c r="H86" s="412">
        <v>295454.57</v>
      </c>
      <c r="I86" s="413">
        <f>venta_a_mes3[[#This Row],[IMPORTE NETO]]*0.21</f>
        <v>62045.459699999999</v>
      </c>
      <c r="J86" s="414"/>
      <c r="K86" s="414"/>
      <c r="L86" s="414">
        <f>SUM(venta_a_mes3[[#This Row],[IMPORTE NETO]:[EXENTO]])</f>
        <v>357500.02970000001</v>
      </c>
      <c r="M86" s="415"/>
    </row>
    <row r="87" spans="2:13" ht="15" customHeight="1">
      <c r="B87" s="418" t="s">
        <v>233</v>
      </c>
      <c r="C87" s="41">
        <v>1</v>
      </c>
      <c r="D87" s="419">
        <v>1</v>
      </c>
      <c r="E87" s="422">
        <v>655</v>
      </c>
      <c r="F87" s="423">
        <v>30688955749</v>
      </c>
      <c r="G87" s="411" t="str">
        <f>IFERROR(IF(venta_a_mes3[[#This Row],[CUIT]]="","-",VLOOKUP(venta_a_mes3[[#This Row],[CUIT]],Lista_CUIT[#All],2,0)),"CUIT NO CARGADO")</f>
        <v>LISERAR S A</v>
      </c>
      <c r="H87" s="412">
        <v>196694.24</v>
      </c>
      <c r="I87" s="413">
        <f>venta_a_mes3[[#This Row],[IMPORTE NETO]]*0.21</f>
        <v>41305.790399999998</v>
      </c>
      <c r="J87" s="414"/>
      <c r="K87" s="414"/>
      <c r="L87" s="414">
        <f>SUM(venta_a_mes3[[#This Row],[IMPORTE NETO]:[EXENTO]])</f>
        <v>238000.03039999999</v>
      </c>
      <c r="M87" s="415"/>
    </row>
    <row r="88" spans="2:13" ht="15" customHeight="1">
      <c r="B88" s="418" t="s">
        <v>233</v>
      </c>
      <c r="C88" s="41">
        <v>1</v>
      </c>
      <c r="D88" s="419">
        <v>1</v>
      </c>
      <c r="E88" s="422">
        <v>656</v>
      </c>
      <c r="F88" s="423">
        <v>20279415656</v>
      </c>
      <c r="G88" s="411" t="str">
        <f>IFERROR(IF(venta_a_mes3[[#This Row],[CUIT]]="","-",VLOOKUP(venta_a_mes3[[#This Row],[CUIT]],Lista_CUIT[#All],2,0)),"CUIT NO CARGADO")</f>
        <v>CECCO ALVARO GONZALO</v>
      </c>
      <c r="H88" s="412">
        <v>147107.43</v>
      </c>
      <c r="I88" s="413">
        <f>venta_a_mes3[[#This Row],[IMPORTE NETO]]*0.21</f>
        <v>30892.560299999997</v>
      </c>
      <c r="J88" s="414"/>
      <c r="K88" s="414"/>
      <c r="L88" s="414">
        <f>SUM(venta_a_mes3[[#This Row],[IMPORTE NETO]:[EXENTO]])</f>
        <v>177999.9903</v>
      </c>
      <c r="M88" s="415"/>
    </row>
    <row r="89" spans="2:13" ht="15" customHeight="1">
      <c r="B89" s="418" t="s">
        <v>233</v>
      </c>
      <c r="C89" s="41">
        <v>1</v>
      </c>
      <c r="D89" s="419">
        <v>1</v>
      </c>
      <c r="E89" s="422">
        <v>657</v>
      </c>
      <c r="F89" s="423">
        <v>30717973166</v>
      </c>
      <c r="G89" s="411" t="str">
        <f>IFERROR(IF(venta_a_mes3[[#This Row],[CUIT]]="","-",VLOOKUP(venta_a_mes3[[#This Row],[CUIT]],Lista_CUIT[#All],2,0)),"CUIT NO CARGADO")</f>
        <v>STM ESTILO S.R.L</v>
      </c>
      <c r="H89" s="412">
        <v>147107.43</v>
      </c>
      <c r="I89" s="413">
        <f>venta_a_mes3[[#This Row],[IMPORTE NETO]]*0.21</f>
        <v>30892.560299999997</v>
      </c>
      <c r="J89" s="414"/>
      <c r="K89" s="414"/>
      <c r="L89" s="414">
        <f>SUM(venta_a_mes3[[#This Row],[IMPORTE NETO]:[EXENTO]])</f>
        <v>177999.9903</v>
      </c>
      <c r="M89" s="415"/>
    </row>
    <row r="90" spans="2:13" ht="15" customHeight="1">
      <c r="B90" s="418" t="s">
        <v>233</v>
      </c>
      <c r="C90" s="41">
        <v>1</v>
      </c>
      <c r="D90" s="419">
        <v>1</v>
      </c>
      <c r="E90" s="422">
        <v>658</v>
      </c>
      <c r="F90" s="423">
        <v>20287305460</v>
      </c>
      <c r="G90" s="411" t="str">
        <f>IFERROR(IF(venta_a_mes3[[#This Row],[CUIT]]="","-",VLOOKUP(venta_a_mes3[[#This Row],[CUIT]],Lista_CUIT[#All],2,0)),"CUIT NO CARGADO")</f>
        <v>LANDI GERONIMO</v>
      </c>
      <c r="H90" s="412">
        <v>147107.43</v>
      </c>
      <c r="I90" s="413">
        <f>venta_a_mes3[[#This Row],[IMPORTE NETO]]*0.21</f>
        <v>30892.560299999997</v>
      </c>
      <c r="J90" s="414"/>
      <c r="K90" s="414"/>
      <c r="L90" s="414">
        <f>SUM(venta_a_mes3[[#This Row],[IMPORTE NETO]:[EXENTO]])</f>
        <v>177999.9903</v>
      </c>
      <c r="M90" s="415"/>
    </row>
    <row r="91" spans="2:13" ht="15" customHeight="1">
      <c r="B91" s="40" t="s">
        <v>233</v>
      </c>
      <c r="C91" s="41">
        <v>1</v>
      </c>
      <c r="D91" s="42">
        <v>1</v>
      </c>
      <c r="E91" s="43">
        <v>659</v>
      </c>
      <c r="F91" s="44">
        <v>30717465101</v>
      </c>
      <c r="G91" s="99" t="str">
        <f>IFERROR(IF(venta_a_mes3[[#This Row],[CUIT]]="","-",VLOOKUP(venta_a_mes3[[#This Row],[CUIT]],Lista_CUIT[#All],2,0)),"CUIT NO CARGADO")</f>
        <v>EMPRENDIMIENTOS SHOPGLASS S. R. L.</v>
      </c>
      <c r="H91" s="100">
        <v>147107.43</v>
      </c>
      <c r="I91" s="101">
        <f>venta_a_mes3[[#This Row],[IMPORTE NETO]]*0.21</f>
        <v>30892.560299999997</v>
      </c>
      <c r="J91" s="65"/>
      <c r="K91" s="65"/>
      <c r="L91" s="65">
        <f>SUM(venta_a_mes3[[#This Row],[IMPORTE NETO]:[EXENTO]])</f>
        <v>177999.9903</v>
      </c>
      <c r="M91" s="59"/>
    </row>
    <row r="92" spans="2:13" ht="15" customHeight="1">
      <c r="B92" s="40" t="s">
        <v>233</v>
      </c>
      <c r="C92" s="41">
        <v>1</v>
      </c>
      <c r="D92" s="42">
        <v>1</v>
      </c>
      <c r="E92" s="43">
        <v>660</v>
      </c>
      <c r="F92" s="44">
        <v>30709058807</v>
      </c>
      <c r="G92" s="99" t="str">
        <f>IFERROR(IF(venta_a_mes3[[#This Row],[CUIT]]="","-",VLOOKUP(venta_a_mes3[[#This Row],[CUIT]],Lista_CUIT[#All],2,0)),"CUIT NO CARGADO")</f>
        <v>LA VALENZIANA S.R.L.</v>
      </c>
      <c r="H92" s="100">
        <v>4744737.24</v>
      </c>
      <c r="I92" s="101">
        <f>venta_a_mes3[[#This Row],[IMPORTE NETO]]*0.21</f>
        <v>996394.82039999997</v>
      </c>
      <c r="J92" s="65"/>
      <c r="K92" s="65"/>
      <c r="L92" s="65">
        <f>SUM(venta_a_mes3[[#This Row],[IMPORTE NETO]:[EXENTO]])</f>
        <v>5741132.0603999998</v>
      </c>
      <c r="M92" s="63"/>
    </row>
    <row r="93" spans="2:13" ht="15" customHeight="1">
      <c r="B93" s="417" t="s">
        <v>233</v>
      </c>
      <c r="C93" s="41">
        <v>1</v>
      </c>
      <c r="D93" s="425">
        <v>1</v>
      </c>
      <c r="E93" s="421">
        <v>661</v>
      </c>
      <c r="F93" s="44">
        <v>30714864803</v>
      </c>
      <c r="G93" s="99" t="str">
        <f>IFERROR(IF(venta_a_mes3[[#This Row],[CUIT]]="","-",VLOOKUP(venta_a_mes3[[#This Row],[CUIT]],Lista_CUIT[#All],2,0)),"CUIT NO CARGADO")</f>
        <v>DIAZ Y GIUSEPPETTI S. R. L.</v>
      </c>
      <c r="H93" s="106">
        <v>202612.24</v>
      </c>
      <c r="I93" s="107">
        <f>venta_a_mes3[[#This Row],[IMPORTE NETO]]*0.21</f>
        <v>42548.570399999997</v>
      </c>
      <c r="J93" s="72"/>
      <c r="K93" s="72"/>
      <c r="L93" s="72">
        <f>SUM(venta_a_mes3[[#This Row],[IMPORTE NETO]:[EXENTO]])</f>
        <v>245160.81039999999</v>
      </c>
      <c r="M93" s="63"/>
    </row>
    <row r="94" spans="2:13" ht="15" customHeight="1">
      <c r="B94" s="143" t="s">
        <v>233</v>
      </c>
      <c r="C94" s="41">
        <v>1</v>
      </c>
      <c r="D94" s="425">
        <v>1</v>
      </c>
      <c r="E94" s="144">
        <v>662</v>
      </c>
      <c r="F94" s="44">
        <v>30708604255</v>
      </c>
      <c r="G94" s="99" t="str">
        <f>IFERROR(IF(venta_a_mes3[[#This Row],[CUIT]]="","-",VLOOKUP(venta_a_mes3[[#This Row],[CUIT]],Lista_CUIT[#All],2,0)),"CUIT NO CARGADO")</f>
        <v>NAR TECHNOLOGIES S.R.L.</v>
      </c>
      <c r="H94" s="100">
        <v>545454.56999999995</v>
      </c>
      <c r="I94" s="101">
        <f>venta_a_mes3[[#This Row],[IMPORTE NETO]]*0.21</f>
        <v>114545.45969999999</v>
      </c>
      <c r="J94" s="65"/>
      <c r="K94" s="65"/>
      <c r="L94" s="65">
        <f>SUM(venta_a_mes3[[#This Row],[IMPORTE NETO]:[EXENTO]])</f>
        <v>660000.02969999996</v>
      </c>
      <c r="M94" s="59"/>
    </row>
    <row r="95" spans="2:13" ht="15" customHeight="1">
      <c r="B95" s="417" t="s">
        <v>233</v>
      </c>
      <c r="C95" s="41">
        <v>1</v>
      </c>
      <c r="D95" s="425">
        <v>1</v>
      </c>
      <c r="E95" s="421">
        <v>663</v>
      </c>
      <c r="F95" s="44">
        <v>20320573948</v>
      </c>
      <c r="G95" s="130" t="str">
        <f>IFERROR(IF(venta_a_mes3[[#This Row],[CUIT]]="","-",VLOOKUP(venta_a_mes3[[#This Row],[CUIT]],Lista_CUIT[#All],2,0)),"CUIT NO CARGADO")</f>
        <v>CAVALLOTTI MARCOS DANIEL</v>
      </c>
      <c r="H95" s="106">
        <v>196694.24</v>
      </c>
      <c r="I95" s="107">
        <f>venta_a_mes3[[#This Row],[IMPORTE NETO]]*0.21</f>
        <v>41305.790399999998</v>
      </c>
      <c r="J95" s="72"/>
      <c r="K95" s="72"/>
      <c r="L95" s="72">
        <f>SUM(venta_a_mes3[[#This Row],[IMPORTE NETO]:[EXENTO]])</f>
        <v>238000.03039999999</v>
      </c>
      <c r="M95" s="63"/>
    </row>
    <row r="96" spans="2:13">
      <c r="B96" s="102"/>
      <c r="C96" s="41"/>
      <c r="D96" s="103"/>
      <c r="E96" s="104"/>
      <c r="F96" s="44"/>
      <c r="G96" s="130" t="str">
        <f>IFERROR(IF(venta_a_mes3[[#This Row],[CUIT]]="","-",VLOOKUP(venta_a_mes3[[#This Row],[CUIT]],Lista_CUIT[#All],2,0)),"CUIT NO CARGADO")</f>
        <v>-</v>
      </c>
      <c r="H96" s="106"/>
      <c r="I96" s="107">
        <f>venta_a_mes3[[#This Row],[IMPORTE NETO]]*0.21</f>
        <v>0</v>
      </c>
      <c r="J96" s="72"/>
      <c r="K96" s="72"/>
      <c r="L96" s="72">
        <f>SUM(venta_a_mes3[[#This Row],[IMPORTE NETO]:[EXENTO]])</f>
        <v>0</v>
      </c>
      <c r="M96" s="63"/>
    </row>
    <row r="97" spans="2:13">
      <c r="B97" s="108"/>
      <c r="C97" s="41"/>
      <c r="D97" s="110"/>
      <c r="E97" s="111"/>
      <c r="F97" s="44"/>
      <c r="G97" s="99" t="str">
        <f>IFERROR(IF(venta_a_mes3[[#This Row],[CUIT]]="","-",VLOOKUP(venta_a_mes3[[#This Row],[CUIT]],Lista_CUIT[#All],2,0)),"CUIT NO CARGADO")</f>
        <v>-</v>
      </c>
      <c r="H97" s="100"/>
      <c r="I97" s="101">
        <f>venta_a_mes3[[#This Row],[IMPORTE NETO]]*0.21</f>
        <v>0</v>
      </c>
      <c r="J97" s="65"/>
      <c r="K97" s="65"/>
      <c r="L97" s="65">
        <f>SUM(venta_a_mes3[[#This Row],[IMPORTE NETO]:[EXENTO]])</f>
        <v>0</v>
      </c>
      <c r="M97" s="59"/>
    </row>
    <row r="98" spans="2:13">
      <c r="B98" s="108"/>
      <c r="C98" s="41"/>
      <c r="D98" s="110"/>
      <c r="E98" s="111"/>
      <c r="F98" s="44"/>
      <c r="G98" s="99" t="str">
        <f>IFERROR(IF(venta_a_mes3[[#This Row],[CUIT]]="","-",VLOOKUP(venta_a_mes3[[#This Row],[CUIT]],Lista_CUIT[#All],2,0)),"CUIT NO CARGADO")</f>
        <v>-</v>
      </c>
      <c r="H98" s="100"/>
      <c r="I98" s="101">
        <f>venta_a_mes3[[#This Row],[IMPORTE NETO]]*0.21</f>
        <v>0</v>
      </c>
      <c r="J98" s="65"/>
      <c r="K98" s="65"/>
      <c r="L98" s="65">
        <f>SUM(venta_a_mes3[[#This Row],[IMPORTE NETO]:[EXENTO]])</f>
        <v>0</v>
      </c>
      <c r="M98" s="59"/>
    </row>
    <row r="99" spans="2:13">
      <c r="B99" s="108"/>
      <c r="C99" s="41"/>
      <c r="D99" s="110"/>
      <c r="E99" s="111"/>
      <c r="F99" s="112"/>
      <c r="G99" s="99" t="str">
        <f>IFERROR(IF(venta_a_mes3[[#This Row],[CUIT]]="","-",VLOOKUP(venta_a_mes3[[#This Row],[CUIT]],Lista_CUIT[#All],2,0)),"CUIT NO CARGADO")</f>
        <v>-</v>
      </c>
      <c r="H99" s="100"/>
      <c r="I99" s="101">
        <f>venta_a_mes3[[#This Row],[IMPORTE NETO]]*0.21</f>
        <v>0</v>
      </c>
      <c r="J99" s="65"/>
      <c r="K99" s="65"/>
      <c r="L99" s="65">
        <f>SUM(venta_a_mes3[[#This Row],[IMPORTE NETO]:[EXENTO]])</f>
        <v>0</v>
      </c>
      <c r="M99" s="59"/>
    </row>
    <row r="100" spans="2:13">
      <c r="B100" s="108"/>
      <c r="C100" s="41"/>
      <c r="D100" s="110"/>
      <c r="E100" s="111"/>
      <c r="F100" s="112"/>
      <c r="G100" s="99" t="str">
        <f>IFERROR(IF(venta_a_mes3[[#This Row],[CUIT]]="","-",VLOOKUP(venta_a_mes3[[#This Row],[CUIT]],Lista_CUIT[#All],2,0)),"CUIT NO CARGADO")</f>
        <v>-</v>
      </c>
      <c r="H100" s="100"/>
      <c r="I100" s="101">
        <f>venta_a_mes3[[#This Row],[IMPORTE NETO]]*0.21</f>
        <v>0</v>
      </c>
      <c r="J100" s="65"/>
      <c r="K100" s="65"/>
      <c r="L100" s="65">
        <f>SUM(venta_a_mes3[[#This Row],[IMPORTE NETO]:[EXENTO]])</f>
        <v>0</v>
      </c>
      <c r="M100" s="59"/>
    </row>
    <row r="101" spans="2:13">
      <c r="B101" s="108"/>
      <c r="C101" s="41"/>
      <c r="D101" s="110"/>
      <c r="E101" s="111"/>
      <c r="F101" s="112"/>
      <c r="G101" s="99" t="str">
        <f>IFERROR(IF(venta_a_mes3[[#This Row],[CUIT]]="","-",VLOOKUP(venta_a_mes3[[#This Row],[CUIT]],Lista_CUIT[#All],2,0)),"CUIT NO CARGADO")</f>
        <v>-</v>
      </c>
      <c r="H101" s="100"/>
      <c r="I101" s="101">
        <f>venta_a_mes3[[#This Row],[IMPORTE NETO]]*0.21</f>
        <v>0</v>
      </c>
      <c r="J101" s="65"/>
      <c r="K101" s="65"/>
      <c r="L101" s="65">
        <f>SUM(venta_a_mes3[[#This Row],[IMPORTE NETO]:[EXENTO]])</f>
        <v>0</v>
      </c>
      <c r="M101" s="59"/>
    </row>
    <row r="102" spans="2:13">
      <c r="B102" s="108"/>
      <c r="C102" s="41"/>
      <c r="D102" s="110"/>
      <c r="E102" s="111"/>
      <c r="F102" s="112"/>
      <c r="G102" s="99" t="str">
        <f>IFERROR(IF(venta_a_mes3[[#This Row],[CUIT]]="","-",VLOOKUP(venta_a_mes3[[#This Row],[CUIT]],Lista_CUIT[#All],2,0)),"CUIT NO CARGADO")</f>
        <v>-</v>
      </c>
      <c r="H102" s="100"/>
      <c r="I102" s="101">
        <f>venta_a_mes3[[#This Row],[IMPORTE NETO]]*0.21</f>
        <v>0</v>
      </c>
      <c r="J102" s="65"/>
      <c r="K102" s="65"/>
      <c r="L102" s="65">
        <f>SUM(venta_a_mes3[[#This Row],[IMPORTE NETO]:[EXENTO]])</f>
        <v>0</v>
      </c>
      <c r="M102" s="59"/>
    </row>
    <row r="103" spans="2:13">
      <c r="B103" s="108"/>
      <c r="C103" s="41"/>
      <c r="D103" s="110"/>
      <c r="E103" s="111"/>
      <c r="F103" s="112"/>
      <c r="G103" s="99" t="str">
        <f>IFERROR(IF(venta_a_mes3[[#This Row],[CUIT]]="","-",VLOOKUP(venta_a_mes3[[#This Row],[CUIT]],Lista_CUIT[#All],2,0)),"CUIT NO CARGADO")</f>
        <v>-</v>
      </c>
      <c r="H103" s="100"/>
      <c r="I103" s="101">
        <f>venta_a_mes3[[#This Row],[IMPORTE NETO]]*0.21</f>
        <v>0</v>
      </c>
      <c r="J103" s="65"/>
      <c r="K103" s="65"/>
      <c r="L103" s="65">
        <f>SUM(venta_a_mes3[[#This Row],[IMPORTE NETO]:[EXENTO]])</f>
        <v>0</v>
      </c>
      <c r="M103" s="59"/>
    </row>
    <row r="104" spans="2:13">
      <c r="B104" s="108"/>
      <c r="C104" s="41"/>
      <c r="D104" s="110"/>
      <c r="E104" s="111"/>
      <c r="F104" s="112"/>
      <c r="G104" s="99" t="str">
        <f>IFERROR(IF(venta_a_mes3[[#This Row],[CUIT]]="","-",VLOOKUP(venta_a_mes3[[#This Row],[CUIT]],Lista_CUIT[#All],2,0)),"CUIT NO CARGADO")</f>
        <v>-</v>
      </c>
      <c r="H104" s="100"/>
      <c r="I104" s="101">
        <f>venta_a_mes3[[#This Row],[IMPORTE NETO]]*0.21</f>
        <v>0</v>
      </c>
      <c r="J104" s="65"/>
      <c r="K104" s="65"/>
      <c r="L104" s="65">
        <f>SUM(venta_a_mes3[[#This Row],[IMPORTE NETO]:[EXENTO]])</f>
        <v>0</v>
      </c>
      <c r="M104" s="59"/>
    </row>
    <row r="105" spans="2:13">
      <c r="B105" s="214"/>
      <c r="C105" s="41"/>
      <c r="D105" s="216"/>
      <c r="E105" s="217"/>
      <c r="F105" s="218"/>
      <c r="G105" s="219" t="str">
        <f>IFERROR(IF(venta_a_mes3[[#This Row],[CUIT]]="","-",VLOOKUP(venta_a_mes3[[#This Row],[CUIT]],Lista_CUIT[#All],2,0)),"CUIT NO CARGADO")</f>
        <v>-</v>
      </c>
      <c r="H105" s="220"/>
      <c r="I105" s="221">
        <f>venta_a_mes3[[#This Row],[IMPORTE NETO]]*0.21</f>
        <v>0</v>
      </c>
      <c r="J105" s="222"/>
      <c r="K105" s="222"/>
      <c r="L105" s="222">
        <f>SUM(venta_a_mes3[[#This Row],[IMPORTE NETO]:[EXENTO]])</f>
        <v>0</v>
      </c>
      <c r="M105" s="223"/>
    </row>
    <row r="106" spans="2:13">
      <c r="B106" s="214"/>
      <c r="C106" s="215"/>
      <c r="D106" s="216"/>
      <c r="E106" s="217"/>
      <c r="F106" s="218"/>
      <c r="G106" s="219" t="str">
        <f>IFERROR(IF(venta_a_mes3[[#This Row],[CUIT]]="","-",VLOOKUP(venta_a_mes3[[#This Row],[CUIT]],Lista_CUIT[#All],2,0)),"CUIT NO CARGADO")</f>
        <v>-</v>
      </c>
      <c r="H106" s="220"/>
      <c r="I106" s="221">
        <f>venta_a_mes3[[#This Row],[IMPORTE NETO]]*0.21</f>
        <v>0</v>
      </c>
      <c r="J106" s="222"/>
      <c r="K106" s="222"/>
      <c r="L106" s="222">
        <f>SUM(venta_a_mes3[[#This Row],[IMPORTE NETO]:[EXENTO]])</f>
        <v>0</v>
      </c>
      <c r="M106" s="223"/>
    </row>
    <row r="107" spans="2:13">
      <c r="B107" s="66" t="s">
        <v>91</v>
      </c>
      <c r="C107" s="67"/>
      <c r="D107" s="67"/>
      <c r="E107" s="67"/>
      <c r="F107" s="67"/>
      <c r="G107" s="67"/>
      <c r="H107" s="69">
        <f>SUBTOTAL(109,venta_a_mes3[IMPORTE NETO])</f>
        <v>8636886.120000001</v>
      </c>
      <c r="I107" s="70">
        <f>SUBTOTAL(109,venta_a_mes3[IVA 21%])</f>
        <v>1813746.0852000001</v>
      </c>
      <c r="J107" s="71">
        <f>SUBTOTAL(109,venta_a_mes3[IVA 10,5%])</f>
        <v>0</v>
      </c>
      <c r="K107" s="71">
        <f>SUBTOTAL(109,venta_a_mes3[EXENTO])</f>
        <v>0</v>
      </c>
      <c r="L107" s="71">
        <f>SUBTOTAL(109,venta_a_mes3[TOTAL])</f>
        <v>10450632.2052</v>
      </c>
      <c r="M107" s="68">
        <f>SUBTOTAL(103,venta_a_mes3[Provincia])</f>
        <v>0</v>
      </c>
    </row>
    <row r="108" spans="2:13">
      <c r="B108" s="134"/>
      <c r="C108" s="134"/>
      <c r="D108" s="134"/>
      <c r="E108" s="134"/>
      <c r="F108" s="134"/>
      <c r="G108" s="134"/>
      <c r="H108" s="136"/>
      <c r="I108" s="137"/>
      <c r="J108" s="138"/>
      <c r="K108" s="138"/>
      <c r="L108" s="138"/>
      <c r="M108" s="135"/>
    </row>
    <row r="109" spans="2:13" ht="21">
      <c r="B109" s="429" t="s">
        <v>31</v>
      </c>
      <c r="C109" s="429"/>
    </row>
    <row r="110" spans="2:13" ht="31.5">
      <c r="B110" s="60" t="s">
        <v>0</v>
      </c>
      <c r="C110" s="61" t="s">
        <v>1</v>
      </c>
      <c r="D110" s="61" t="s">
        <v>21</v>
      </c>
      <c r="E110" s="61" t="s">
        <v>22</v>
      </c>
      <c r="F110" s="61" t="s">
        <v>3</v>
      </c>
      <c r="G110" s="61" t="s">
        <v>4</v>
      </c>
      <c r="H110" s="61" t="s">
        <v>23</v>
      </c>
      <c r="I110" s="61" t="s">
        <v>17</v>
      </c>
      <c r="J110" s="61" t="s">
        <v>7</v>
      </c>
      <c r="K110" s="61" t="s">
        <v>24</v>
      </c>
      <c r="L110" s="61" t="s">
        <v>10</v>
      </c>
      <c r="M110" s="62" t="s">
        <v>38</v>
      </c>
    </row>
    <row r="111" spans="2:13">
      <c r="B111" s="40"/>
      <c r="C111" s="41"/>
      <c r="D111" s="42"/>
      <c r="E111" s="43"/>
      <c r="F111" s="44"/>
      <c r="G111" s="1"/>
      <c r="H111" s="64"/>
      <c r="I111" s="64">
        <f>ventas_b_mes3[[#This Row],[IMPORTE NETO]]*0.21</f>
        <v>0</v>
      </c>
      <c r="J111" s="64"/>
      <c r="K111" s="64"/>
      <c r="L111" s="64">
        <f>SUM(ventas_b_mes3[[#This Row],[IMPORTE NETO]:[EXENTO]])</f>
        <v>0</v>
      </c>
      <c r="M111" s="59"/>
    </row>
    <row r="112" spans="2:13">
      <c r="B112" s="40"/>
      <c r="C112" s="41"/>
      <c r="D112" s="42"/>
      <c r="E112" s="43"/>
      <c r="F112" s="44"/>
      <c r="G112" s="1" t="str">
        <f>IFERROR(IF(ventas_b_mes3[[#This Row],[CUIT]]="","-",VLOOKUP(ventas_b_mes3[[#This Row],[CUIT]],Lista_CUIT[#All],2,0)),"CUIT NO CARGADO")</f>
        <v>-</v>
      </c>
      <c r="H112" s="64"/>
      <c r="I112" s="64">
        <f>ventas_b_mes3[[#This Row],[IMPORTE NETO]]*0.21</f>
        <v>0</v>
      </c>
      <c r="J112" s="64"/>
      <c r="K112" s="64"/>
      <c r="L112" s="64">
        <f>SUM(ventas_b_mes3[[#This Row],[IMPORTE NETO]:[EXENTO]])</f>
        <v>0</v>
      </c>
      <c r="M112" s="59"/>
    </row>
    <row r="113" spans="2:13">
      <c r="B113" s="40"/>
      <c r="C113" s="41"/>
      <c r="D113" s="42"/>
      <c r="E113" s="43"/>
      <c r="F113" s="44"/>
      <c r="G113" s="1" t="str">
        <f>IFERROR(IF(ventas_b_mes3[[#This Row],[CUIT]]="","-",VLOOKUP(ventas_b_mes3[[#This Row],[CUIT]],Lista_CUIT[#All],2,0)),"CUIT NO CARGADO")</f>
        <v>-</v>
      </c>
      <c r="H113" s="64"/>
      <c r="I113" s="64">
        <f>ventas_b_mes3[[#This Row],[IMPORTE NETO]]*0.21</f>
        <v>0</v>
      </c>
      <c r="J113" s="64"/>
      <c r="K113" s="64"/>
      <c r="L113" s="64">
        <f>SUM(ventas_b_mes3[[#This Row],[IMPORTE NETO]:[EXENTO]])</f>
        <v>0</v>
      </c>
      <c r="M113" s="59"/>
    </row>
    <row r="114" spans="2:13">
      <c r="B114" s="40"/>
      <c r="C114" s="41"/>
      <c r="D114" s="42"/>
      <c r="E114" s="43"/>
      <c r="F114" s="44"/>
      <c r="G114" s="1" t="str">
        <f>IFERROR(IF(ventas_b_mes3[[#This Row],[CUIT]]="","-",VLOOKUP(ventas_b_mes3[[#This Row],[CUIT]],Lista_CUIT[#All],2,0)),"CUIT NO CARGADO")</f>
        <v>-</v>
      </c>
      <c r="H114" s="64"/>
      <c r="I114" s="64">
        <f>ventas_b_mes3[[#This Row],[IMPORTE NETO]]*0.21</f>
        <v>0</v>
      </c>
      <c r="J114" s="64"/>
      <c r="K114" s="64"/>
      <c r="L114" s="64">
        <f>SUM(ventas_b_mes3[[#This Row],[IMPORTE NETO]:[EXENTO]])</f>
        <v>0</v>
      </c>
      <c r="M114" s="59"/>
    </row>
    <row r="115" spans="2:13">
      <c r="B115" s="40"/>
      <c r="C115" s="41"/>
      <c r="D115" s="42"/>
      <c r="E115" s="43"/>
      <c r="F115" s="44"/>
      <c r="G115" s="1" t="str">
        <f>IFERROR(IF(ventas_b_mes3[[#This Row],[CUIT]]="","-",VLOOKUP(ventas_b_mes3[[#This Row],[CUIT]],Lista_CUIT[#All],2,0)),"CUIT NO CARGADO")</f>
        <v>-</v>
      </c>
      <c r="H115" s="64"/>
      <c r="I115" s="64">
        <f>ventas_b_mes3[[#This Row],[IMPORTE NETO]]*0.21</f>
        <v>0</v>
      </c>
      <c r="J115" s="64"/>
      <c r="K115" s="64"/>
      <c r="L115" s="64">
        <f>SUM(ventas_b_mes3[[#This Row],[IMPORTE NETO]:[EXENTO]])</f>
        <v>0</v>
      </c>
      <c r="M115" s="59"/>
    </row>
    <row r="116" spans="2:13">
      <c r="B116" s="40"/>
      <c r="C116" s="41"/>
      <c r="D116" s="42"/>
      <c r="E116" s="43"/>
      <c r="F116" s="44"/>
      <c r="G116" s="1"/>
      <c r="H116" s="64"/>
      <c r="I116" s="64">
        <f>ventas_b_mes3[[#This Row],[IMPORTE NETO]]*0.21</f>
        <v>0</v>
      </c>
      <c r="J116" s="64"/>
      <c r="K116" s="64"/>
      <c r="L116" s="64">
        <f>SUM(ventas_b_mes3[[#This Row],[IMPORTE NETO]:[EXENTO]])</f>
        <v>0</v>
      </c>
      <c r="M116" s="59"/>
    </row>
    <row r="117" spans="2:13">
      <c r="B117" s="66" t="s">
        <v>91</v>
      </c>
      <c r="C117" s="67"/>
      <c r="D117" s="67"/>
      <c r="E117" s="67"/>
      <c r="F117" s="67"/>
      <c r="G117" s="67"/>
      <c r="H117" s="77">
        <f>SUBTOTAL(109,ventas_b_mes3[IMPORTE NETO])</f>
        <v>0</v>
      </c>
      <c r="I117" s="77">
        <f>SUBTOTAL(109,ventas_b_mes3[IVA 21%])</f>
        <v>0</v>
      </c>
      <c r="J117" s="78">
        <f>SUBTOTAL(109,ventas_b_mes3[IVA 10,5%])</f>
        <v>0</v>
      </c>
      <c r="K117" s="78">
        <f>SUBTOTAL(109,ventas_b_mes3[EXENTO])</f>
        <v>0</v>
      </c>
      <c r="L117" s="78">
        <f>SUBTOTAL(109,ventas_b_mes3[TOTAL])</f>
        <v>0</v>
      </c>
      <c r="M117" s="68">
        <f>SUBTOTAL(103,ventas_b_mes3[Provincia])</f>
        <v>0</v>
      </c>
    </row>
    <row r="124" spans="2:13" ht="15.75" thickBot="1"/>
    <row r="125" spans="2:13" ht="15.75" thickTop="1">
      <c r="C125" s="443" t="s">
        <v>66</v>
      </c>
      <c r="D125" s="443"/>
      <c r="E125" s="443"/>
      <c r="F125" s="443"/>
      <c r="G125" s="443"/>
      <c r="H125" s="32"/>
      <c r="I125" s="32"/>
      <c r="J125" s="32"/>
    </row>
    <row r="126" spans="2:13" ht="15.75">
      <c r="C126" s="113" t="s">
        <v>67</v>
      </c>
      <c r="D126" s="114" t="s">
        <v>68</v>
      </c>
      <c r="E126" s="114" t="s">
        <v>93</v>
      </c>
      <c r="F126" s="114" t="s">
        <v>3</v>
      </c>
      <c r="G126" s="114" t="s">
        <v>4</v>
      </c>
      <c r="H126" s="115" t="s">
        <v>69</v>
      </c>
      <c r="I126" s="115" t="s">
        <v>70</v>
      </c>
      <c r="J126" s="115" t="s">
        <v>71</v>
      </c>
      <c r="K126" s="115" t="s">
        <v>72</v>
      </c>
      <c r="L126" s="115" t="s">
        <v>73</v>
      </c>
    </row>
    <row r="127" spans="2:13">
      <c r="C127" s="116"/>
      <c r="D127" s="117"/>
      <c r="E127" s="117"/>
      <c r="F127" s="118"/>
      <c r="G127" s="53" t="str">
        <f>IFERROR(IF(Retenciones_mes3[[#This Row],[CUIT]]="","-",VLOOKUP(Retenciones_mes3[[#This Row],[CUIT]],Lista_CUIT[#All],2,0)),"CUIT NO CARGADO")</f>
        <v>-</v>
      </c>
      <c r="H127" s="119"/>
      <c r="I127" s="119"/>
      <c r="J127" s="119"/>
      <c r="K127" s="119"/>
      <c r="L127" s="119"/>
    </row>
    <row r="128" spans="2:13">
      <c r="C128" s="116"/>
      <c r="D128" s="117"/>
      <c r="E128" s="117"/>
      <c r="F128" s="118"/>
      <c r="G128" s="53" t="str">
        <f>IFERROR(IF(Retenciones_mes3[[#This Row],[CUIT]]="","-",VLOOKUP(Retenciones_mes3[[#This Row],[CUIT]],Lista_CUIT[#All],2,0)),"CUIT NO CARGADO")</f>
        <v>-</v>
      </c>
      <c r="H128" s="119"/>
      <c r="I128" s="119"/>
      <c r="J128" s="119"/>
      <c r="K128" s="119"/>
      <c r="L128" s="119"/>
    </row>
    <row r="129" spans="3:12">
      <c r="C129" s="116"/>
      <c r="D129" s="117"/>
      <c r="E129" s="117"/>
      <c r="F129" s="118"/>
      <c r="G129" s="53" t="str">
        <f>IFERROR(IF(Retenciones_mes3[[#This Row],[CUIT]]="","-",VLOOKUP(Retenciones_mes3[[#This Row],[CUIT]],Lista_CUIT[#All],2,0)),"CUIT NO CARGADO")</f>
        <v>-</v>
      </c>
      <c r="H129" s="119"/>
      <c r="I129" s="119"/>
      <c r="J129" s="119"/>
      <c r="K129" s="119"/>
      <c r="L129" s="119"/>
    </row>
    <row r="130" spans="3:12">
      <c r="C130" s="116"/>
      <c r="D130" s="117"/>
      <c r="E130" s="117"/>
      <c r="F130" s="118"/>
      <c r="G130" s="53" t="str">
        <f>IFERROR(IF(Retenciones_mes3[[#This Row],[CUIT]]="","-",VLOOKUP(Retenciones_mes3[[#This Row],[CUIT]],Lista_CUIT[#All],2,0)),"CUIT NO CARGADO")</f>
        <v>-</v>
      </c>
      <c r="H130" s="119"/>
      <c r="I130" s="119"/>
      <c r="J130" s="119"/>
      <c r="K130" s="119"/>
      <c r="L130" s="119"/>
    </row>
    <row r="131" spans="3:12">
      <c r="D131" s="117"/>
      <c r="E131" s="117"/>
      <c r="G131" s="53" t="str">
        <f>IFERROR(IF(Retenciones_mes3[[#This Row],[CUIT]]="","-",VLOOKUP(Retenciones_mes3[[#This Row],[CUIT]],Lista_CUIT[#All],2,0)),"CUIT NO CARGADO")</f>
        <v>-</v>
      </c>
    </row>
    <row r="132" spans="3:12">
      <c r="C132" s="33"/>
    </row>
  </sheetData>
  <mergeCells count="20">
    <mergeCell ref="C125:G125"/>
    <mergeCell ref="B4:E4"/>
    <mergeCell ref="G4:H4"/>
    <mergeCell ref="J4:K4"/>
    <mergeCell ref="M4:N4"/>
    <mergeCell ref="D57:K57"/>
    <mergeCell ref="B73:J73"/>
    <mergeCell ref="K73:M73"/>
    <mergeCell ref="B75:C75"/>
    <mergeCell ref="B109:C109"/>
    <mergeCell ref="P4:R4"/>
    <mergeCell ref="D48:L48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3">
    <dataValidation type="whole" allowBlank="1" showInputMessage="1" showErrorMessage="1" sqref="E59:E66 D111:D116 D9:D42 D77:D106" xr:uid="{66836F81-4619-4945-A3A4-3CA48F5A61CC}">
      <formula1>1</formula1>
      <formula2>9999</formula2>
    </dataValidation>
    <dataValidation type="whole" allowBlank="1" showInputMessage="1" showErrorMessage="1" sqref="F59:F66 E111:E116 E77:E106 E9:E42" xr:uid="{71FC5131-BDAF-48C0-890C-907BD12DA509}">
      <formula1>1</formula1>
      <formula2>99999999</formula2>
    </dataValidation>
    <dataValidation type="whole" allowBlank="1" showInputMessage="1" showErrorMessage="1" sqref="F77:F106 G59:G66 F111:F116 F9:F42" xr:uid="{6745CC7E-C510-4DCF-9ACE-8B6B6ABA1E8D}">
      <formula1>20000000000</formula1>
      <formula2>33999999999</formula2>
    </dataValidation>
    <dataValidation type="date" allowBlank="1" showInputMessage="1" showErrorMessage="1" sqref="D50:D52 B111:B116 D59:D66 B44:B47 B77:B106 B9:B42" xr:uid="{178430AE-8108-4C74-907B-CECC34B8AEB0}">
      <formula1>40179</formula1>
      <formula2>TODAY()</formula2>
    </dataValidation>
    <dataValidation type="whole" allowBlank="1" showInputMessage="1" showErrorMessage="1" sqref="C44:C47 C9:C42 C77:C106" xr:uid="{AEA03CBB-F994-447A-B971-42A4E1522390}">
      <formula1>1</formula1>
      <formula2>3</formula2>
    </dataValidation>
    <dataValidation type="custom" allowBlank="1" showInputMessage="1" showErrorMessage="1" sqref="H77:K86 H88:K88 H90:K90 H92:K92" xr:uid="{479CD955-7903-4262-B72C-BEB3F5B59E4E}">
      <formula1>IF($C77=3,H77&lt;0,H77&gt;=0)</formula1>
    </dataValidation>
    <dataValidation type="whole" allowBlank="1" showInputMessage="1" showErrorMessage="1" sqref="C111:C116" xr:uid="{480F916F-3375-4A44-8A7F-975B85A21850}">
      <formula1>6</formula1>
      <formula2>8</formula2>
    </dataValidation>
    <dataValidation type="custom" allowBlank="1" showInputMessage="1" showErrorMessage="1" sqref="L88:L90" xr:uid="{1F4D8239-57B5-404D-B9C7-7059FC464E3E}">
      <formula1>IF($C33=3,L33&lt;0,L33&gt;=0)</formula1>
    </dataValidation>
    <dataValidation type="custom" allowBlank="1" showInputMessage="1" showErrorMessage="1" sqref="H111:L116" xr:uid="{C8960BA0-950D-40B4-A0E8-227C2A6FF774}">
      <formula1>IF($C111=8,H111&lt;0,H111&gt;=0)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42" xr:uid="{B74FB2BF-0C02-4ACE-B965-5282B208268E}">
      <formula1>IF($C9=3,H9&lt;0,H9&gt;=0)</formula1>
    </dataValidation>
    <dataValidation type="custom" allowBlank="1" showInputMessage="1" showErrorMessage="1" sqref="L91:L92" xr:uid="{63058F9B-360A-4DE7-B3CB-B643E1FF788A}">
      <formula1>IF($C43=3,L43&lt;0,L43&gt;=0)</formula1>
    </dataValidation>
    <dataValidation type="custom" allowBlank="1" showInputMessage="1" showErrorMessage="1" sqref="L77:L86" xr:uid="{EDBFDD49-513B-4CF8-BB1E-590D6C0A6D7A}">
      <formula1>IF($C9=3,L9&lt;0,L9&gt;=0)</formula1>
    </dataValidation>
    <dataValidation type="custom" allowBlank="1" showInputMessage="1" showErrorMessage="1" sqref="L87" xr:uid="{E195EBF3-1BB2-49A2-AA57-8A5D385F2848}">
      <formula1>IF($C30=3,L30&lt;0,L30&gt;=0)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9" tint="0.79998168889431442"/>
  </sheetPr>
  <dimension ref="A1:Z127"/>
  <sheetViews>
    <sheetView showGridLines="0" tabSelected="1" topLeftCell="A127" zoomScale="85" zoomScaleNormal="85" workbookViewId="0">
      <selection activeCell="P12" sqref="P12"/>
    </sheetView>
  </sheetViews>
  <sheetFormatPr baseColWidth="10" defaultColWidth="0" defaultRowHeight="1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430" t="s">
        <v>28</v>
      </c>
      <c r="C1" s="430"/>
      <c r="D1" s="430"/>
      <c r="E1" s="430"/>
      <c r="F1" s="430"/>
      <c r="G1" s="445" t="str">
        <f>'Ene-26'!G1:M1</f>
        <v>RABLEB SRL</v>
      </c>
      <c r="H1" s="445"/>
      <c r="I1" s="445"/>
      <c r="J1" s="445"/>
      <c r="K1" s="445"/>
      <c r="L1" s="445"/>
      <c r="M1" s="445"/>
      <c r="N1" s="427">
        <f>EDATE('Ene-26'!N1,3)</f>
        <v>46113</v>
      </c>
      <c r="O1" s="427"/>
      <c r="P1" s="427"/>
      <c r="Q1" s="427"/>
      <c r="R1" s="427"/>
    </row>
    <row r="2" spans="1:26" ht="15" customHeight="1"/>
    <row r="3" spans="1:26" ht="26.45" customHeight="1">
      <c r="B3" s="433" t="s">
        <v>65</v>
      </c>
      <c r="C3" s="433"/>
      <c r="D3" s="433"/>
      <c r="E3" s="433"/>
      <c r="F3" s="38"/>
      <c r="G3" s="433" t="s">
        <v>37</v>
      </c>
      <c r="H3" s="433"/>
      <c r="I3" s="38"/>
      <c r="J3" s="441" t="s">
        <v>14</v>
      </c>
      <c r="K3" s="441"/>
      <c r="L3" s="38"/>
      <c r="M3" s="441" t="s">
        <v>12</v>
      </c>
      <c r="N3" s="441"/>
      <c r="O3" s="38"/>
      <c r="P3" s="439" t="s">
        <v>90</v>
      </c>
      <c r="Q3" s="439"/>
      <c r="R3" s="439"/>
    </row>
    <row r="4" spans="1:26" ht="25.15" customHeight="1">
      <c r="B4" s="434">
        <f>SUM(compras_mes4[[#Totals],[NETO GRAVADO]])+extracto_banco_mes4[[#Totals],[NETO]]</f>
        <v>5277662.07</v>
      </c>
      <c r="C4" s="434"/>
      <c r="D4" s="434"/>
      <c r="E4" s="434"/>
      <c r="F4" s="39"/>
      <c r="G4" s="435">
        <f>compras_mes4[[#Totals],[IVA 21 %]]+compras_mes4[[#Totals],[IVA 27%]]+compras_mes4[[#Totals],[IVA 10,5%]]+extracto_banco_mes4[[#Totals],[IVA 21%]]+extracto_banco_mes4[[#Totals],[IVA 10,5%]]</f>
        <v>1108309.0347</v>
      </c>
      <c r="H4" s="435"/>
      <c r="I4" s="39"/>
      <c r="J4" s="442">
        <f>venta_a_mes4[[#Totals],[IMPORTE NETO]]+ventas_b_mes4[[#Totals],[IMPORTE NETO]]</f>
        <v>8141816.8700000029</v>
      </c>
      <c r="K4" s="442"/>
      <c r="L4" s="39"/>
      <c r="M4" s="442">
        <f>venta_a_mes4[[#Totals],[IVA 21%]]+venta_a_mes4[[#Totals],[IVA 10,5%]]+ventas_b_mes4[[#Totals],[IVA 21%]]+ventas_b_mes4[[#Totals],[IVA 10,5%]]</f>
        <v>1709781.5426999996</v>
      </c>
      <c r="N4" s="442"/>
      <c r="O4" s="39"/>
      <c r="P4" s="437">
        <f>G4-M4</f>
        <v>-601472.50799999968</v>
      </c>
      <c r="Q4" s="438"/>
      <c r="R4" s="438"/>
    </row>
    <row r="5" spans="1:26" ht="13.15" customHeight="1"/>
    <row r="6" spans="1:26" ht="10.9" customHeight="1"/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40" t="s">
        <v>241</v>
      </c>
      <c r="C9" s="41">
        <v>1</v>
      </c>
      <c r="D9" s="392">
        <v>2</v>
      </c>
      <c r="E9" s="393">
        <v>1974</v>
      </c>
      <c r="F9" s="44">
        <v>30718631730</v>
      </c>
      <c r="G9" s="45" t="str">
        <f>IFERROR(IF(compras_mes4[[#This Row],[CUIT]]="","-",VLOOKUP(compras_mes4[[#This Row],[CUIT]],Lista_CUIT[#All],2,0)),"CUIT NO CARGADO")</f>
        <v>SIMZ S. R. L.</v>
      </c>
      <c r="H9" s="46">
        <v>139552</v>
      </c>
      <c r="I9" s="85">
        <f>IF(compras_mes4[[#This Row],[NETO GRAVADO]]="","",compras_mes4[[#This Row],[NETO GRAVADO]]*0.21)</f>
        <v>29305.919999999998</v>
      </c>
      <c r="J9" s="85"/>
      <c r="K9" s="85"/>
      <c r="L9" s="85"/>
      <c r="M9" s="85"/>
      <c r="N9" s="85"/>
      <c r="O9" s="85">
        <v>0</v>
      </c>
      <c r="P9" s="48">
        <f>SUM(compras_mes4[[#This Row],[NETO GRAVADO]:[Otros / No Grav.]])</f>
        <v>168857.91999999998</v>
      </c>
      <c r="Q9" s="49">
        <f>IFERROR(IF(compras_mes4[[#This Row],[CUIT]]="","-",VLOOKUP(compras_mes4[[#This Row],[CUIT]],Lista_CUIT[#All],3,0)),"CUIT NO CARGADO")</f>
        <v>0</v>
      </c>
      <c r="R9" s="49">
        <f>IFERROR(IF(compras_mes4[[#This Row],[CUIT]]="","-",VLOOKUP(compras_mes4[[#This Row],[CUIT]],Lista_CUIT[#All],4,0)),"CUIT NO CARGADO")</f>
        <v>0</v>
      </c>
    </row>
    <row r="10" spans="1:26">
      <c r="B10" s="40" t="s">
        <v>242</v>
      </c>
      <c r="C10" s="41">
        <v>1</v>
      </c>
      <c r="D10" s="392">
        <v>11</v>
      </c>
      <c r="E10" s="393">
        <v>1309149</v>
      </c>
      <c r="F10" s="44">
        <v>33709585229</v>
      </c>
      <c r="G10" s="45" t="str">
        <f>IFERROR(IF(compras_mes4[[#This Row],[CUIT]]="","-",VLOOKUP(compras_mes4[[#This Row],[CUIT]],Lista_CUIT[#All],2,0)),"CUIT NO CARGADO")</f>
        <v>GOOGLE ARGENTINA S.R.L.</v>
      </c>
      <c r="H10" s="46">
        <v>4559868.54</v>
      </c>
      <c r="I10" s="85">
        <f>IF(compras_mes4[[#This Row],[NETO GRAVADO]]="","",compras_mes4[[#This Row],[NETO GRAVADO]]*0.21)</f>
        <v>957572.39339999994</v>
      </c>
      <c r="J10" s="85"/>
      <c r="K10" s="85"/>
      <c r="L10" s="85"/>
      <c r="M10" s="85"/>
      <c r="N10" s="85">
        <v>68398.03</v>
      </c>
      <c r="O10" s="85">
        <v>136796.06</v>
      </c>
      <c r="P10" s="48">
        <f>SUM(compras_mes4[[#This Row],[NETO GRAVADO]:[Otros / No Grav.]])</f>
        <v>5722635.0233999994</v>
      </c>
      <c r="Q10" s="49" t="str">
        <f>IFERROR(IF(compras_mes4[[#This Row],[CUIT]]="","-",VLOOKUP(compras_mes4[[#This Row],[CUIT]],Lista_CUIT[#All],3,0)),"CUIT NO CARGADO")</f>
        <v>Servicios de publicidad</v>
      </c>
      <c r="R10" s="49">
        <f>IFERROR(IF(compras_mes4[[#This Row],[CUIT]]="","-",VLOOKUP(compras_mes4[[#This Row],[CUIT]],Lista_CUIT[#All],4,0)),"CUIT NO CARGADO")</f>
        <v>0</v>
      </c>
    </row>
    <row r="11" spans="1:26">
      <c r="B11" s="89" t="s">
        <v>242</v>
      </c>
      <c r="C11" s="41">
        <v>1</v>
      </c>
      <c r="D11" s="392">
        <v>11</v>
      </c>
      <c r="E11" s="393">
        <v>1319730</v>
      </c>
      <c r="F11" s="93">
        <v>33709585229</v>
      </c>
      <c r="G11" s="94" t="str">
        <f>IFERROR(IF(compras_mes4[[#This Row],[CUIT]]="","-",VLOOKUP(compras_mes4[[#This Row],[CUIT]],Lista_CUIT[#All],2,0)),"CUIT NO CARGADO")</f>
        <v>GOOGLE ARGENTINA S.R.L.</v>
      </c>
      <c r="H11" s="95">
        <v>578598.29</v>
      </c>
      <c r="I11" s="85">
        <f>IF(compras_mes4[[#This Row],[NETO GRAVADO]]="","",compras_mes4[[#This Row],[NETO GRAVADO]]*0.21)</f>
        <v>121505.6409</v>
      </c>
      <c r="J11" s="86"/>
      <c r="K11" s="86"/>
      <c r="L11" s="86"/>
      <c r="M11" s="86"/>
      <c r="N11" s="86">
        <v>8678.9699999999993</v>
      </c>
      <c r="O11" s="86">
        <v>17357.95</v>
      </c>
      <c r="P11" s="87">
        <f>SUM(compras_mes4[[#This Row],[NETO GRAVADO]:[Otros / No Grav.]])</f>
        <v>726140.85089999996</v>
      </c>
      <c r="Q11" s="88" t="str">
        <f>IFERROR(IF(compras_mes4[[#This Row],[CUIT]]="","-",VLOOKUP(compras_mes4[[#This Row],[CUIT]],Lista_CUIT[#All],3,0)),"CUIT NO CARGADO")</f>
        <v>Servicios de publicidad</v>
      </c>
      <c r="R11" s="88">
        <f>IFERROR(IF(compras_mes4[[#This Row],[CUIT]]="","-",VLOOKUP(compras_mes4[[#This Row],[CUIT]],Lista_CUIT[#All],4,0)),"CUIT NO CARGADO")</f>
        <v>0</v>
      </c>
    </row>
    <row r="12" spans="1:26">
      <c r="B12" s="233" t="s">
        <v>242</v>
      </c>
      <c r="C12" s="41">
        <v>3</v>
      </c>
      <c r="D12" s="392">
        <v>11</v>
      </c>
      <c r="E12" s="393">
        <v>937726</v>
      </c>
      <c r="F12" s="237">
        <v>33709585229</v>
      </c>
      <c r="G12" s="238" t="str">
        <f>IFERROR(IF(compras_mes4[[#This Row],[CUIT]]="","-",VLOOKUP(compras_mes4[[#This Row],[CUIT]],Lista_CUIT[#All],2,0)),"CUIT NO CARGADO")</f>
        <v>GOOGLE ARGENTINA S.R.L.</v>
      </c>
      <c r="H12" s="239">
        <v>-356.76</v>
      </c>
      <c r="I12" s="85">
        <f>IF(compras_mes4[[#This Row],[NETO GRAVADO]]="","",compras_mes4[[#This Row],[NETO GRAVADO]]*0.21)</f>
        <v>-74.919599999999988</v>
      </c>
      <c r="J12" s="241"/>
      <c r="K12" s="241"/>
      <c r="L12" s="241"/>
      <c r="M12" s="241"/>
      <c r="N12" s="241">
        <v>-5.35</v>
      </c>
      <c r="O12" s="399"/>
      <c r="P12" s="243">
        <f>SUM(compras_mes4[[#This Row],[NETO GRAVADO]:[Otros / No Grav.]])</f>
        <v>-437.02960000000002</v>
      </c>
      <c r="Q12" s="242" t="str">
        <f>IFERROR(IF(compras_mes4[[#This Row],[CUIT]]="","-",VLOOKUP(compras_mes4[[#This Row],[CUIT]],Lista_CUIT[#All],3,0)),"CUIT NO CARGADO")</f>
        <v>Servicios de publicidad</v>
      </c>
      <c r="R12" s="242">
        <f>IFERROR(IF(compras_mes4[[#This Row],[CUIT]]="","-",VLOOKUP(compras_mes4[[#This Row],[CUIT]],Lista_CUIT[#All],4,0)),"CUIT NO CARGADO")</f>
        <v>0</v>
      </c>
    </row>
    <row r="13" spans="1:26">
      <c r="B13" s="233"/>
      <c r="C13" s="41"/>
      <c r="D13" s="235"/>
      <c r="E13" s="236"/>
      <c r="F13" s="237"/>
      <c r="G13" s="238" t="str">
        <f>IFERROR(IF(compras_mes4[[#This Row],[CUIT]]="","-",VLOOKUP(compras_mes4[[#This Row],[CUIT]],Lista_CUIT[#All],2,0)),"CUIT NO CARGADO")</f>
        <v>-</v>
      </c>
      <c r="H13" s="239"/>
      <c r="I13" s="85" t="str">
        <f>IF(compras_mes4[[#This Row],[NETO GRAVADO]]="","",compras_mes4[[#This Row],[NETO GRAVADO]]*0.21)</f>
        <v/>
      </c>
      <c r="J13" s="241"/>
      <c r="K13" s="241"/>
      <c r="L13" s="241"/>
      <c r="M13" s="241"/>
      <c r="N13" s="241"/>
      <c r="O13" s="241"/>
      <c r="P13" s="243">
        <f>SUM(compras_mes4[[#This Row],[NETO GRAVADO]:[Otros / No Grav.]])</f>
        <v>0</v>
      </c>
      <c r="Q13" s="242" t="str">
        <f>IFERROR(IF(compras_mes4[[#This Row],[CUIT]]="","-",VLOOKUP(compras_mes4[[#This Row],[CUIT]],Lista_CUIT[#All],3,0)),"CUIT NO CARGADO")</f>
        <v>-</v>
      </c>
      <c r="R13" s="242" t="str">
        <f>IFERROR(IF(compras_mes4[[#This Row],[CUIT]]="","-",VLOOKUP(compras_mes4[[#This Row],[CUIT]],Lista_CUIT[#All],4,0)),"CUIT NO CARGADO")</f>
        <v>-</v>
      </c>
    </row>
    <row r="14" spans="1:26">
      <c r="B14" s="233"/>
      <c r="C14" s="41"/>
      <c r="D14" s="235"/>
      <c r="E14" s="236"/>
      <c r="F14" s="237"/>
      <c r="G14" s="238" t="str">
        <f>IFERROR(IF(compras_mes4[[#This Row],[CUIT]]="","-",VLOOKUP(compras_mes4[[#This Row],[CUIT]],Lista_CUIT[#All],2,0)),"CUIT NO CARGADO")</f>
        <v>-</v>
      </c>
      <c r="H14" s="239"/>
      <c r="I14" s="85" t="str">
        <f>IF(compras_mes4[[#This Row],[NETO GRAVADO]]="","",compras_mes4[[#This Row],[NETO GRAVADO]]*0.21)</f>
        <v/>
      </c>
      <c r="J14" s="241"/>
      <c r="K14" s="241"/>
      <c r="L14" s="241"/>
      <c r="M14" s="241"/>
      <c r="N14" s="241"/>
      <c r="O14" s="241"/>
      <c r="P14" s="243">
        <f>SUM(compras_mes4[[#This Row],[NETO GRAVADO]:[Otros / No Grav.]])</f>
        <v>0</v>
      </c>
      <c r="Q14" s="242" t="str">
        <f>IFERROR(IF(compras_mes4[[#This Row],[CUIT]]="","-",VLOOKUP(compras_mes4[[#This Row],[CUIT]],Lista_CUIT[#All],3,0)),"CUIT NO CARGADO")</f>
        <v>-</v>
      </c>
      <c r="R14" s="242" t="str">
        <f>IFERROR(IF(compras_mes4[[#This Row],[CUIT]]="","-",VLOOKUP(compras_mes4[[#This Row],[CUIT]],Lista_CUIT[#All],4,0)),"CUIT NO CARGADO")</f>
        <v>-</v>
      </c>
    </row>
    <row r="15" spans="1:26">
      <c r="B15" s="89"/>
      <c r="C15" s="41"/>
      <c r="D15" s="91"/>
      <c r="E15" s="92"/>
      <c r="F15" s="93"/>
      <c r="G15" s="94" t="str">
        <f>IFERROR(IF(compras_mes4[[#This Row],[CUIT]]="","-",VLOOKUP(compras_mes4[[#This Row],[CUIT]],Lista_CUIT[#All],2,0)),"CUIT NO CARGADO")</f>
        <v>-</v>
      </c>
      <c r="H15" s="95"/>
      <c r="I15" s="85" t="str">
        <f>IF(compras_mes4[[#This Row],[NETO GRAVADO]]="","",compras_mes4[[#This Row],[NETO GRAVADO]]*0.21)</f>
        <v/>
      </c>
      <c r="J15" s="86"/>
      <c r="K15" s="86"/>
      <c r="L15" s="86"/>
      <c r="M15" s="86"/>
      <c r="N15" s="86"/>
      <c r="O15" s="86"/>
      <c r="P15" s="87">
        <f>SUM(compras_mes4[[#This Row],[NETO GRAVADO]:[Otros / No Grav.]])</f>
        <v>0</v>
      </c>
      <c r="Q15" s="88" t="str">
        <f>IFERROR(IF(compras_mes4[[#This Row],[CUIT]]="","-",VLOOKUP(compras_mes4[[#This Row],[CUIT]],Lista_CUIT[#All],3,0)),"CUIT NO CARGADO")</f>
        <v>-</v>
      </c>
      <c r="R15" s="88" t="str">
        <f>IFERROR(IF(compras_mes4[[#This Row],[CUIT]]="","-",VLOOKUP(compras_mes4[[#This Row],[CUIT]],Lista_CUIT[#All],4,0)),"CUIT NO CARGADO")</f>
        <v>-</v>
      </c>
    </row>
    <row r="16" spans="1:26">
      <c r="B16" s="40"/>
      <c r="C16" s="41"/>
      <c r="D16" s="42"/>
      <c r="E16" s="43"/>
      <c r="F16" s="44"/>
      <c r="G16" s="45" t="str">
        <f>IFERROR(IF(compras_mes4[[#This Row],[CUIT]]="","-",VLOOKUP(compras_mes4[[#This Row],[CUIT]],Lista_CUIT[#All],2,0)),"CUIT NO CARGADO")</f>
        <v>-</v>
      </c>
      <c r="H16" s="46"/>
      <c r="I16" s="85" t="str">
        <f>IF(compras_mes4[[#This Row],[NETO GRAVADO]]="","",compras_mes4[[#This Row],[NETO GRAVADO]]*0.21)</f>
        <v/>
      </c>
      <c r="J16" s="85"/>
      <c r="K16" s="85"/>
      <c r="L16" s="85"/>
      <c r="M16" s="85"/>
      <c r="N16" s="85"/>
      <c r="O16" s="85"/>
      <c r="P16" s="48">
        <f>SUM(compras_mes4[[#This Row],[NETO GRAVADO]:[Otros / No Grav.]])</f>
        <v>0</v>
      </c>
      <c r="Q16" s="49" t="str">
        <f>IFERROR(IF(compras_mes4[[#This Row],[CUIT]]="","-",VLOOKUP(compras_mes4[[#This Row],[CUIT]],Lista_CUIT[#All],3,0)),"CUIT NO CARGADO")</f>
        <v>-</v>
      </c>
      <c r="R16" s="49" t="str">
        <f>IFERROR(IF(compras_mes4[[#This Row],[CUIT]]="","-",VLOOKUP(compras_mes4[[#This Row],[CUIT]],Lista_CUIT[#All],4,0)),"CUIT NO CARGADO")</f>
        <v>-</v>
      </c>
    </row>
    <row r="17" spans="2:18">
      <c r="B17" s="40"/>
      <c r="C17" s="41"/>
      <c r="D17" s="42"/>
      <c r="E17" s="43"/>
      <c r="F17" s="44"/>
      <c r="G17" s="45" t="str">
        <f>IFERROR(IF(compras_mes4[[#This Row],[CUIT]]="","-",VLOOKUP(compras_mes4[[#This Row],[CUIT]],Lista_CUIT[#All],2,0)),"CUIT NO CARGADO")</f>
        <v>-</v>
      </c>
      <c r="H17" s="46"/>
      <c r="I17" s="85" t="str">
        <f>IF(compras_mes4[[#This Row],[NETO GRAVADO]]="","",compras_mes4[[#This Row],[NETO GRAVADO]]*0.21)</f>
        <v/>
      </c>
      <c r="J17" s="85"/>
      <c r="K17" s="85"/>
      <c r="L17" s="85"/>
      <c r="M17" s="85"/>
      <c r="N17" s="85"/>
      <c r="O17" s="85"/>
      <c r="P17" s="48">
        <f>SUM(compras_mes4[[#This Row],[NETO GRAVADO]:[Otros / No Grav.]])</f>
        <v>0</v>
      </c>
      <c r="Q17" s="49" t="str">
        <f>IFERROR(IF(compras_mes4[[#This Row],[CUIT]]="","-",VLOOKUP(compras_mes4[[#This Row],[CUIT]],Lista_CUIT[#All],3,0)),"CUIT NO CARGADO")</f>
        <v>-</v>
      </c>
      <c r="R17" s="49" t="str">
        <f>IFERROR(IF(compras_mes4[[#This Row],[CUIT]]="","-",VLOOKUP(compras_mes4[[#This Row],[CUIT]],Lista_CUIT[#All],4,0)),"CUIT NO CARGADO")</f>
        <v>-</v>
      </c>
    </row>
    <row r="18" spans="2:18" s="56" customFormat="1" ht="18.600000000000001" customHeight="1">
      <c r="B18" s="89"/>
      <c r="C18" s="41"/>
      <c r="D18" s="91"/>
      <c r="E18" s="92"/>
      <c r="F18" s="44"/>
      <c r="G18" s="94" t="str">
        <f>IFERROR(IF(compras_mes4[[#This Row],[CUIT]]="","-",VLOOKUP(compras_mes4[[#This Row],[CUIT]],Lista_CUIT[#All],2,0)),"CUIT NO CARGADO")</f>
        <v>-</v>
      </c>
      <c r="H18" s="95"/>
      <c r="I18" s="85" t="str">
        <f>IF(compras_mes4[[#This Row],[NETO GRAVADO]]="","",compras_mes4[[#This Row],[NETO GRAVADO]]*0.21)</f>
        <v/>
      </c>
      <c r="J18" s="86"/>
      <c r="K18" s="86"/>
      <c r="L18" s="86"/>
      <c r="M18" s="86"/>
      <c r="N18" s="86"/>
      <c r="O18" s="86"/>
      <c r="P18" s="87">
        <f>SUM(compras_mes4[[#This Row],[NETO GRAVADO]:[Otros / No Grav.]])</f>
        <v>0</v>
      </c>
      <c r="Q18" s="88" t="str">
        <f>IFERROR(IF(compras_mes4[[#This Row],[CUIT]]="","-",VLOOKUP(compras_mes4[[#This Row],[CUIT]],Lista_CUIT[#All],3,0)),"CUIT NO CARGADO")</f>
        <v>-</v>
      </c>
      <c r="R18" s="88" t="str">
        <f>IFERROR(IF(compras_mes4[[#This Row],[CUIT]]="","-",VLOOKUP(compras_mes4[[#This Row],[CUIT]],Lista_CUIT[#All],4,0)),"CUIT NO CARGADO")</f>
        <v>-</v>
      </c>
    </row>
    <row r="19" spans="2:18">
      <c r="B19" s="233"/>
      <c r="C19" s="41"/>
      <c r="D19" s="235"/>
      <c r="E19" s="236"/>
      <c r="F19" s="237"/>
      <c r="G19" s="238" t="str">
        <f>IFERROR(IF(compras_mes4[[#This Row],[CUIT]]="","-",VLOOKUP(compras_mes4[[#This Row],[CUIT]],Lista_CUIT[#All],2,0)),"CUIT NO CARGADO")</f>
        <v>-</v>
      </c>
      <c r="H19" s="239"/>
      <c r="I19" s="241" t="str">
        <f>IF(compras_mes4[[#This Row],[NETO GRAVADO]]="","",compras_mes4[[#This Row],[NETO GRAVADO]]*0.21)</f>
        <v/>
      </c>
      <c r="J19" s="241"/>
      <c r="K19" s="241"/>
      <c r="L19" s="241"/>
      <c r="M19" s="241"/>
      <c r="N19" s="241"/>
      <c r="O19" s="241"/>
      <c r="P19" s="243">
        <f>SUM(compras_mes4[[#This Row],[NETO GRAVADO]:[Otros / No Grav.]])</f>
        <v>0</v>
      </c>
      <c r="Q19" s="242" t="str">
        <f>IFERROR(IF(compras_mes4[[#This Row],[CUIT]]="","-",VLOOKUP(compras_mes4[[#This Row],[CUIT]],Lista_CUIT[#All],3,0)),"CUIT NO CARGADO")</f>
        <v>-</v>
      </c>
      <c r="R19" s="242" t="str">
        <f>IFERROR(IF(compras_mes4[[#This Row],[CUIT]]="","-",VLOOKUP(compras_mes4[[#This Row],[CUIT]],Lista_CUIT[#All],4,0)),"CUIT NO CARGADO")</f>
        <v>-</v>
      </c>
    </row>
    <row r="20" spans="2:18">
      <c r="B20" s="233"/>
      <c r="C20" s="41"/>
      <c r="D20" s="235"/>
      <c r="E20" s="236"/>
      <c r="F20" s="237"/>
      <c r="G20" s="238" t="str">
        <f>IFERROR(IF(compras_mes4[[#This Row],[CUIT]]="","-",VLOOKUP(compras_mes4[[#This Row],[CUIT]],Lista_CUIT[#All],2,0)),"CUIT NO CARGADO")</f>
        <v>-</v>
      </c>
      <c r="H20" s="239"/>
      <c r="I20" s="241" t="str">
        <f>IF(compras_mes4[[#This Row],[NETO GRAVADO]]="","",compras_mes4[[#This Row],[NETO GRAVADO]]*0.21)</f>
        <v/>
      </c>
      <c r="J20" s="241"/>
      <c r="K20" s="241"/>
      <c r="L20" s="241"/>
      <c r="M20" s="241"/>
      <c r="N20" s="241"/>
      <c r="O20" s="241"/>
      <c r="P20" s="243">
        <f>SUM(compras_mes4[[#This Row],[NETO GRAVADO]:[Otros / No Grav.]])</f>
        <v>0</v>
      </c>
      <c r="Q20" s="242" t="str">
        <f>IFERROR(IF(compras_mes4[[#This Row],[CUIT]]="","-",VLOOKUP(compras_mes4[[#This Row],[CUIT]],Lista_CUIT[#All],3,0)),"CUIT NO CARGADO")</f>
        <v>-</v>
      </c>
      <c r="R20" s="242" t="str">
        <f>IFERROR(IF(compras_mes4[[#This Row],[CUIT]]="","-",VLOOKUP(compras_mes4[[#This Row],[CUIT]],Lista_CUIT[#All],4,0)),"CUIT NO CARGADO")</f>
        <v>-</v>
      </c>
    </row>
    <row r="21" spans="2:18">
      <c r="B21" s="233"/>
      <c r="C21" s="41"/>
      <c r="D21" s="235"/>
      <c r="E21" s="236"/>
      <c r="F21" s="237"/>
      <c r="G21" s="238" t="str">
        <f>IFERROR(IF(compras_mes4[[#This Row],[CUIT]]="","-",VLOOKUP(compras_mes4[[#This Row],[CUIT]],Lista_CUIT[#All],2,0)),"CUIT NO CARGADO")</f>
        <v>-</v>
      </c>
      <c r="H21" s="239"/>
      <c r="I21" s="241" t="str">
        <f>IF(compras_mes4[[#This Row],[NETO GRAVADO]]="","",compras_mes4[[#This Row],[NETO GRAVADO]]*0.21)</f>
        <v/>
      </c>
      <c r="J21" s="241"/>
      <c r="K21" s="241"/>
      <c r="L21" s="241"/>
      <c r="M21" s="241"/>
      <c r="N21" s="241"/>
      <c r="O21" s="241"/>
      <c r="P21" s="243">
        <f>SUM(compras_mes4[[#This Row],[NETO GRAVADO]:[Otros / No Grav.]])</f>
        <v>0</v>
      </c>
      <c r="Q21" s="242" t="str">
        <f>IFERROR(IF(compras_mes4[[#This Row],[CUIT]]="","-",VLOOKUP(compras_mes4[[#This Row],[CUIT]],Lista_CUIT[#All],3,0)),"CUIT NO CARGADO")</f>
        <v>-</v>
      </c>
      <c r="R21" s="242" t="str">
        <f>IFERROR(IF(compras_mes4[[#This Row],[CUIT]]="","-",VLOOKUP(compras_mes4[[#This Row],[CUIT]],Lista_CUIT[#All],4,0)),"CUIT NO CARGADO")</f>
        <v>-</v>
      </c>
    </row>
    <row r="22" spans="2:18" ht="14.45" customHeight="1">
      <c r="B22" s="233"/>
      <c r="C22" s="41"/>
      <c r="D22" s="235"/>
      <c r="E22" s="236"/>
      <c r="F22" s="237"/>
      <c r="G22" s="238" t="str">
        <f>IFERROR(IF(compras_mes4[[#This Row],[CUIT]]="","-",VLOOKUP(compras_mes4[[#This Row],[CUIT]],Lista_CUIT[#All],2,0)),"CUIT NO CARGADO")</f>
        <v>-</v>
      </c>
      <c r="H22" s="239"/>
      <c r="I22" s="241" t="str">
        <f>IF(compras_mes4[[#This Row],[NETO GRAVADO]]="","",compras_mes4[[#This Row],[NETO GRAVADO]]*0.21)</f>
        <v/>
      </c>
      <c r="J22" s="241"/>
      <c r="K22" s="241"/>
      <c r="L22" s="241"/>
      <c r="M22" s="241"/>
      <c r="N22" s="241"/>
      <c r="O22" s="241"/>
      <c r="P22" s="243">
        <f>SUM(compras_mes4[[#This Row],[NETO GRAVADO]:[Otros / No Grav.]])</f>
        <v>0</v>
      </c>
      <c r="Q22" s="242" t="str">
        <f>IFERROR(IF(compras_mes4[[#This Row],[CUIT]]="","-",VLOOKUP(compras_mes4[[#This Row],[CUIT]],Lista_CUIT[#All],3,0)),"CUIT NO CARGADO")</f>
        <v>-</v>
      </c>
      <c r="R22" s="242" t="str">
        <f>IFERROR(IF(compras_mes4[[#This Row],[CUIT]]="","-",VLOOKUP(compras_mes4[[#This Row],[CUIT]],Lista_CUIT[#All],4,0)),"CUIT NO CARGADO")</f>
        <v>-</v>
      </c>
    </row>
    <row r="23" spans="2:18">
      <c r="B23" s="233"/>
      <c r="C23" s="41"/>
      <c r="D23" s="235"/>
      <c r="E23" s="236"/>
      <c r="F23" s="237"/>
      <c r="G23" s="238" t="str">
        <f>IFERROR(IF(compras_mes4[[#This Row],[CUIT]]="","-",VLOOKUP(compras_mes4[[#This Row],[CUIT]],Lista_CUIT[#All],2,0)),"CUIT NO CARGADO")</f>
        <v>-</v>
      </c>
      <c r="H23" s="239"/>
      <c r="I23" s="241" t="str">
        <f>IF(compras_mes4[[#This Row],[NETO GRAVADO]]="","",compras_mes4[[#This Row],[NETO GRAVADO]]*0.21)</f>
        <v/>
      </c>
      <c r="J23" s="241"/>
      <c r="K23" s="241"/>
      <c r="L23" s="241"/>
      <c r="M23" s="241"/>
      <c r="N23" s="241"/>
      <c r="O23" s="241"/>
      <c r="P23" s="243">
        <f>SUM(compras_mes4[[#This Row],[NETO GRAVADO]:[Otros / No Grav.]])</f>
        <v>0</v>
      </c>
      <c r="Q23" s="242" t="str">
        <f>IFERROR(IF(compras_mes4[[#This Row],[CUIT]]="","-",VLOOKUP(compras_mes4[[#This Row],[CUIT]],Lista_CUIT[#All],3,0)),"CUIT NO CARGADO")</f>
        <v>-</v>
      </c>
      <c r="R23" s="242" t="str">
        <f>IFERROR(IF(compras_mes4[[#This Row],[CUIT]]="","-",VLOOKUP(compras_mes4[[#This Row],[CUIT]],Lista_CUIT[#All],4,0)),"CUIT NO CARGADO")</f>
        <v>-</v>
      </c>
    </row>
    <row r="24" spans="2:18">
      <c r="B24" s="233"/>
      <c r="C24" s="41"/>
      <c r="D24" s="235"/>
      <c r="E24" s="236"/>
      <c r="F24" s="237"/>
      <c r="G24" s="238" t="str">
        <f>IFERROR(IF(compras_mes4[[#This Row],[CUIT]]="","-",VLOOKUP(compras_mes4[[#This Row],[CUIT]],Lista_CUIT[#All],2,0)),"CUIT NO CARGADO")</f>
        <v>-</v>
      </c>
      <c r="H24" s="239"/>
      <c r="I24" s="241" t="str">
        <f>IF(compras_mes4[[#This Row],[NETO GRAVADO]]="","",compras_mes4[[#This Row],[NETO GRAVADO]]*0.21)</f>
        <v/>
      </c>
      <c r="J24" s="241"/>
      <c r="K24" s="241"/>
      <c r="L24" s="241"/>
      <c r="M24" s="241"/>
      <c r="N24" s="241"/>
      <c r="O24" s="241"/>
      <c r="P24" s="243">
        <f>SUM(compras_mes4[[#This Row],[NETO GRAVADO]:[Otros / No Grav.]])</f>
        <v>0</v>
      </c>
      <c r="Q24" s="242" t="str">
        <f>IFERROR(IF(compras_mes4[[#This Row],[CUIT]]="","-",VLOOKUP(compras_mes4[[#This Row],[CUIT]],Lista_CUIT[#All],3,0)),"CUIT NO CARGADO")</f>
        <v>-</v>
      </c>
      <c r="R24" s="242" t="str">
        <f>IFERROR(IF(compras_mes4[[#This Row],[CUIT]]="","-",VLOOKUP(compras_mes4[[#This Row],[CUIT]],Lista_CUIT[#All],4,0)),"CUIT NO CARGADO")</f>
        <v>-</v>
      </c>
    </row>
    <row r="25" spans="2:18" ht="14.45" customHeight="1">
      <c r="B25" s="233"/>
      <c r="C25" s="41"/>
      <c r="D25" s="235"/>
      <c r="E25" s="236"/>
      <c r="F25" s="237"/>
      <c r="G25" s="238" t="str">
        <f>IFERROR(IF(compras_mes4[[#This Row],[CUIT]]="","-",VLOOKUP(compras_mes4[[#This Row],[CUIT]],Lista_CUIT[#All],2,0)),"CUIT NO CARGADO")</f>
        <v>-</v>
      </c>
      <c r="H25" s="239"/>
      <c r="I25" s="241" t="str">
        <f>IF(compras_mes4[[#This Row],[NETO GRAVADO]]="","",compras_mes4[[#This Row],[NETO GRAVADO]]*0.21)</f>
        <v/>
      </c>
      <c r="J25" s="241"/>
      <c r="K25" s="241"/>
      <c r="L25" s="241"/>
      <c r="M25" s="241"/>
      <c r="N25" s="241"/>
      <c r="O25" s="241"/>
      <c r="P25" s="243">
        <f>SUM(compras_mes4[[#This Row],[NETO GRAVADO]:[Otros / No Grav.]])</f>
        <v>0</v>
      </c>
      <c r="Q25" s="242" t="str">
        <f>IFERROR(IF(compras_mes4[[#This Row],[CUIT]]="","-",VLOOKUP(compras_mes4[[#This Row],[CUIT]],Lista_CUIT[#All],3,0)),"CUIT NO CARGADO")</f>
        <v>-</v>
      </c>
      <c r="R25" s="242" t="str">
        <f>IFERROR(IF(compras_mes4[[#This Row],[CUIT]]="","-",VLOOKUP(compras_mes4[[#This Row],[CUIT]],Lista_CUIT[#All],4,0)),"CUIT NO CARGADO")</f>
        <v>-</v>
      </c>
    </row>
    <row r="26" spans="2:18" ht="14.45" customHeight="1">
      <c r="B26" s="233"/>
      <c r="C26" s="234"/>
      <c r="D26" s="235"/>
      <c r="E26" s="236"/>
      <c r="F26" s="237"/>
      <c r="G26" s="238" t="str">
        <f>IFERROR(IF(compras_mes4[[#This Row],[CUIT]]="","-",VLOOKUP(compras_mes4[[#This Row],[CUIT]],Lista_CUIT[#All],2,0)),"CUIT NO CARGADO")</f>
        <v>-</v>
      </c>
      <c r="H26" s="239"/>
      <c r="I26" s="241" t="str">
        <f>IF(compras_mes4[[#This Row],[NETO GRAVADO]]="","",compras_mes4[[#This Row],[NETO GRAVADO]]*0.21)</f>
        <v/>
      </c>
      <c r="J26" s="241"/>
      <c r="K26" s="241"/>
      <c r="L26" s="241"/>
      <c r="M26" s="241"/>
      <c r="N26" s="241"/>
      <c r="O26" s="241"/>
      <c r="P26" s="243">
        <f>SUM(compras_mes4[[#This Row],[NETO GRAVADO]:[Otros / No Grav.]])</f>
        <v>0</v>
      </c>
      <c r="Q26" s="242" t="str">
        <f>IFERROR(IF(compras_mes4[[#This Row],[CUIT]]="","-",VLOOKUP(compras_mes4[[#This Row],[CUIT]],Lista_CUIT[#All],3,0)),"CUIT NO CARGADO")</f>
        <v>-</v>
      </c>
      <c r="R26" s="242" t="str">
        <f>IFERROR(IF(compras_mes4[[#This Row],[CUIT]]="","-",VLOOKUP(compras_mes4[[#This Row],[CUIT]],Lista_CUIT[#All],4,0)),"CUIT NO CARGADO")</f>
        <v>-</v>
      </c>
    </row>
    <row r="27" spans="2:18" ht="15" customHeight="1">
      <c r="B27" s="233"/>
      <c r="C27" s="234"/>
      <c r="D27" s="235"/>
      <c r="E27" s="236"/>
      <c r="F27" s="237"/>
      <c r="G27" s="238" t="str">
        <f>IFERROR(IF(compras_mes4[[#This Row],[CUIT]]="","-",VLOOKUP(compras_mes4[[#This Row],[CUIT]],Lista_CUIT[#All],2,0)),"CUIT NO CARGADO")</f>
        <v>-</v>
      </c>
      <c r="H27" s="239"/>
      <c r="I27" s="241" t="str">
        <f>IF(compras_mes4[[#This Row],[NETO GRAVADO]]="","",compras_mes4[[#This Row],[NETO GRAVADO]]*0.21)</f>
        <v/>
      </c>
      <c r="J27" s="241"/>
      <c r="K27" s="241"/>
      <c r="L27" s="241"/>
      <c r="M27" s="241"/>
      <c r="N27" s="241"/>
      <c r="O27" s="241"/>
      <c r="P27" s="243">
        <f>SUM(compras_mes4[[#This Row],[NETO GRAVADO]:[Otros / No Grav.]])</f>
        <v>0</v>
      </c>
      <c r="Q27" s="242" t="str">
        <f>IFERROR(IF(compras_mes4[[#This Row],[CUIT]]="","-",VLOOKUP(compras_mes4[[#This Row],[CUIT]],Lista_CUIT[#All],3,0)),"CUIT NO CARGADO")</f>
        <v>-</v>
      </c>
      <c r="R27" s="242" t="str">
        <f>IFERROR(IF(compras_mes4[[#This Row],[CUIT]]="","-",VLOOKUP(compras_mes4[[#This Row],[CUIT]],Lista_CUIT[#All],4,0)),"CUIT NO CARGADO")</f>
        <v>-</v>
      </c>
    </row>
    <row r="28" spans="2:18" ht="15" customHeight="1">
      <c r="B28" s="233"/>
      <c r="C28" s="234"/>
      <c r="D28" s="235"/>
      <c r="E28" s="236"/>
      <c r="F28" s="237"/>
      <c r="G28" s="238" t="str">
        <f>IFERROR(IF(compras_mes4[[#This Row],[CUIT]]="","-",VLOOKUP(compras_mes4[[#This Row],[CUIT]],Lista_CUIT[#All],2,0)),"CUIT NO CARGADO")</f>
        <v>-</v>
      </c>
      <c r="H28" s="239"/>
      <c r="I28" s="241" t="str">
        <f>IF(compras_mes4[[#This Row],[NETO GRAVADO]]="","",compras_mes4[[#This Row],[NETO GRAVADO]]*0.21)</f>
        <v/>
      </c>
      <c r="J28" s="241"/>
      <c r="K28" s="241"/>
      <c r="L28" s="241"/>
      <c r="M28" s="241"/>
      <c r="N28" s="241"/>
      <c r="O28" s="241"/>
      <c r="P28" s="243">
        <f>SUM(compras_mes4[[#This Row],[NETO GRAVADO]:[Otros / No Grav.]])</f>
        <v>0</v>
      </c>
      <c r="Q28" s="242" t="str">
        <f>IFERROR(IF(compras_mes4[[#This Row],[CUIT]]="","-",VLOOKUP(compras_mes4[[#This Row],[CUIT]],Lista_CUIT[#All],3,0)),"CUIT NO CARGADO")</f>
        <v>-</v>
      </c>
      <c r="R28" s="242" t="str">
        <f>IFERROR(IF(compras_mes4[[#This Row],[CUIT]]="","-",VLOOKUP(compras_mes4[[#This Row],[CUIT]],Lista_CUIT[#All],4,0)),"CUIT NO CARGADO")</f>
        <v>-</v>
      </c>
    </row>
    <row r="29" spans="2:18" ht="15" customHeight="1">
      <c r="B29" s="233"/>
      <c r="C29" s="234"/>
      <c r="D29" s="235"/>
      <c r="E29" s="236"/>
      <c r="F29" s="237"/>
      <c r="G29" s="238" t="str">
        <f>IFERROR(IF(compras_mes4[[#This Row],[CUIT]]="","-",VLOOKUP(compras_mes4[[#This Row],[CUIT]],Lista_CUIT[#All],2,0)),"CUIT NO CARGADO")</f>
        <v>-</v>
      </c>
      <c r="H29" s="239"/>
      <c r="I29" s="241" t="str">
        <f>IF(compras_mes4[[#This Row],[NETO GRAVADO]]="","",compras_mes4[[#This Row],[NETO GRAVADO]]*0.21)</f>
        <v/>
      </c>
      <c r="J29" s="241"/>
      <c r="K29" s="241"/>
      <c r="L29" s="241"/>
      <c r="M29" s="241"/>
      <c r="N29" s="241"/>
      <c r="O29" s="241"/>
      <c r="P29" s="243">
        <f>SUM(compras_mes4[[#This Row],[NETO GRAVADO]:[Otros / No Grav.]])</f>
        <v>0</v>
      </c>
      <c r="Q29" s="242" t="str">
        <f>IFERROR(IF(compras_mes4[[#This Row],[CUIT]]="","-",VLOOKUP(compras_mes4[[#This Row],[CUIT]],Lista_CUIT[#All],3,0)),"CUIT NO CARGADO")</f>
        <v>-</v>
      </c>
      <c r="R29" s="242" t="str">
        <f>IFERROR(IF(compras_mes4[[#This Row],[CUIT]]="","-",VLOOKUP(compras_mes4[[#This Row],[CUIT]],Lista_CUIT[#All],4,0)),"CUIT NO CARGADO")</f>
        <v>-</v>
      </c>
    </row>
    <row r="30" spans="2:18" ht="15" customHeight="1">
      <c r="B30" s="233"/>
      <c r="C30" s="234"/>
      <c r="D30" s="235"/>
      <c r="E30" s="236"/>
      <c r="F30" s="237"/>
      <c r="G30" s="238" t="str">
        <f>IFERROR(IF(compras_mes4[[#This Row],[CUIT]]="","-",VLOOKUP(compras_mes4[[#This Row],[CUIT]],Lista_CUIT[#All],2,0)),"CUIT NO CARGADO")</f>
        <v>-</v>
      </c>
      <c r="H30" s="239"/>
      <c r="I30" s="241" t="str">
        <f>IF(compras_mes4[[#This Row],[NETO GRAVADO]]="","",compras_mes4[[#This Row],[NETO GRAVADO]]*0.21)</f>
        <v/>
      </c>
      <c r="J30" s="241"/>
      <c r="K30" s="241"/>
      <c r="L30" s="241"/>
      <c r="M30" s="241"/>
      <c r="N30" s="241"/>
      <c r="O30" s="241"/>
      <c r="P30" s="243">
        <f>SUM(compras_mes4[[#This Row],[NETO GRAVADO]:[Otros / No Grav.]])</f>
        <v>0</v>
      </c>
      <c r="Q30" s="242" t="str">
        <f>IFERROR(IF(compras_mes4[[#This Row],[CUIT]]="","-",VLOOKUP(compras_mes4[[#This Row],[CUIT]],Lista_CUIT[#All],3,0)),"CUIT NO CARGADO")</f>
        <v>-</v>
      </c>
      <c r="R30" s="242" t="str">
        <f>IFERROR(IF(compras_mes4[[#This Row],[CUIT]]="","-",VLOOKUP(compras_mes4[[#This Row],[CUIT]],Lista_CUIT[#All],4,0)),"CUIT NO CARGADO")</f>
        <v>-</v>
      </c>
    </row>
    <row r="31" spans="2:18" ht="15" customHeight="1">
      <c r="B31" s="233"/>
      <c r="C31" s="234"/>
      <c r="D31" s="235"/>
      <c r="E31" s="236"/>
      <c r="F31" s="237"/>
      <c r="G31" s="238" t="str">
        <f>IFERROR(IF(compras_mes4[[#This Row],[CUIT]]="","-",VLOOKUP(compras_mes4[[#This Row],[CUIT]],Lista_CUIT[#All],2,0)),"CUIT NO CARGADO")</f>
        <v>-</v>
      </c>
      <c r="H31" s="239"/>
      <c r="I31" s="241" t="str">
        <f>IF(compras_mes4[[#This Row],[NETO GRAVADO]]="","",compras_mes4[[#This Row],[NETO GRAVADO]]*0.21)</f>
        <v/>
      </c>
      <c r="J31" s="241"/>
      <c r="K31" s="241"/>
      <c r="L31" s="241"/>
      <c r="M31" s="241"/>
      <c r="N31" s="241"/>
      <c r="O31" s="241"/>
      <c r="P31" s="243">
        <f>SUM(compras_mes4[[#This Row],[NETO GRAVADO]:[Otros / No Grav.]])</f>
        <v>0</v>
      </c>
      <c r="Q31" s="242" t="str">
        <f>IFERROR(IF(compras_mes4[[#This Row],[CUIT]]="","-",VLOOKUP(compras_mes4[[#This Row],[CUIT]],Lista_CUIT[#All],3,0)),"CUIT NO CARGADO")</f>
        <v>-</v>
      </c>
      <c r="R31" s="242" t="str">
        <f>IFERROR(IF(compras_mes4[[#This Row],[CUIT]]="","-",VLOOKUP(compras_mes4[[#This Row],[CUIT]],Lista_CUIT[#All],4,0)),"CUIT NO CARGADO")</f>
        <v>-</v>
      </c>
    </row>
    <row r="32" spans="2:18">
      <c r="B32" s="233"/>
      <c r="C32" s="234"/>
      <c r="D32" s="235"/>
      <c r="E32" s="236"/>
      <c r="F32" s="237"/>
      <c r="G32" s="238" t="str">
        <f>IFERROR(IF(compras_mes4[[#This Row],[CUIT]]="","-",VLOOKUP(compras_mes4[[#This Row],[CUIT]],Lista_CUIT[#All],2,0)),"CUIT NO CARGADO")</f>
        <v>-</v>
      </c>
      <c r="H32" s="239"/>
      <c r="I32" s="241" t="str">
        <f>IF(compras_mes4[[#This Row],[NETO GRAVADO]]="","",compras_mes4[[#This Row],[NETO GRAVADO]]*0.21)</f>
        <v/>
      </c>
      <c r="J32" s="241"/>
      <c r="K32" s="241"/>
      <c r="L32" s="241"/>
      <c r="M32" s="241"/>
      <c r="N32" s="241"/>
      <c r="O32" s="241"/>
      <c r="P32" s="243">
        <f>SUM(compras_mes4[[#This Row],[NETO GRAVADO]:[Otros / No Grav.]])</f>
        <v>0</v>
      </c>
      <c r="Q32" s="242" t="str">
        <f>IFERROR(IF(compras_mes4[[#This Row],[CUIT]]="","-",VLOOKUP(compras_mes4[[#This Row],[CUIT]],Lista_CUIT[#All],3,0)),"CUIT NO CARGADO")</f>
        <v>-</v>
      </c>
      <c r="R32" s="242" t="str">
        <f>IFERROR(IF(compras_mes4[[#This Row],[CUIT]]="","-",VLOOKUP(compras_mes4[[#This Row],[CUIT]],Lista_CUIT[#All],4,0)),"CUIT NO CARGADO")</f>
        <v>-</v>
      </c>
    </row>
    <row r="33" spans="2:18">
      <c r="B33" s="233"/>
      <c r="C33" s="234"/>
      <c r="D33" s="235"/>
      <c r="E33" s="236"/>
      <c r="F33" s="237"/>
      <c r="G33" s="238" t="str">
        <f>IFERROR(IF(compras_mes4[[#This Row],[CUIT]]="","-",VLOOKUP(compras_mes4[[#This Row],[CUIT]],Lista_CUIT[#All],2,0)),"CUIT NO CARGADO")</f>
        <v>-</v>
      </c>
      <c r="H33" s="239"/>
      <c r="I33" s="241" t="str">
        <f>IF(compras_mes4[[#This Row],[NETO GRAVADO]]="","",compras_mes4[[#This Row],[NETO GRAVADO]]*0.21)</f>
        <v/>
      </c>
      <c r="J33" s="241"/>
      <c r="K33" s="241"/>
      <c r="L33" s="241"/>
      <c r="M33" s="241"/>
      <c r="N33" s="241"/>
      <c r="O33" s="241"/>
      <c r="P33" s="243">
        <f>SUM(compras_mes4[[#This Row],[NETO GRAVADO]:[Otros / No Grav.]])</f>
        <v>0</v>
      </c>
      <c r="Q33" s="242" t="str">
        <f>IFERROR(IF(compras_mes4[[#This Row],[CUIT]]="","-",VLOOKUP(compras_mes4[[#This Row],[CUIT]],Lista_CUIT[#All],3,0)),"CUIT NO CARGADO")</f>
        <v>-</v>
      </c>
      <c r="R33" s="242" t="str">
        <f>IFERROR(IF(compras_mes4[[#This Row],[CUIT]]="","-",VLOOKUP(compras_mes4[[#This Row],[CUIT]],Lista_CUIT[#All],4,0)),"CUIT NO CARGADO")</f>
        <v>-</v>
      </c>
    </row>
    <row r="34" spans="2:18">
      <c r="B34" s="233"/>
      <c r="C34" s="234"/>
      <c r="D34" s="235"/>
      <c r="E34" s="236"/>
      <c r="F34" s="237"/>
      <c r="G34" s="238" t="str">
        <f>IFERROR(IF(compras_mes4[[#This Row],[CUIT]]="","-",VLOOKUP(compras_mes4[[#This Row],[CUIT]],Lista_CUIT[#All],2,0)),"CUIT NO CARGADO")</f>
        <v>-</v>
      </c>
      <c r="H34" s="239"/>
      <c r="I34" s="241" t="str">
        <f>IF(compras_mes4[[#This Row],[NETO GRAVADO]]="","",compras_mes4[[#This Row],[NETO GRAVADO]]*0.21)</f>
        <v/>
      </c>
      <c r="J34" s="241"/>
      <c r="K34" s="241"/>
      <c r="L34" s="241"/>
      <c r="M34" s="241"/>
      <c r="N34" s="241"/>
      <c r="O34" s="241"/>
      <c r="P34" s="243">
        <f>SUM(compras_mes4[[#This Row],[NETO GRAVADO]:[Otros / No Grav.]])</f>
        <v>0</v>
      </c>
      <c r="Q34" s="242" t="str">
        <f>IFERROR(IF(compras_mes4[[#This Row],[CUIT]]="","-",VLOOKUP(compras_mes4[[#This Row],[CUIT]],Lista_CUIT[#All],3,0)),"CUIT NO CARGADO")</f>
        <v>-</v>
      </c>
      <c r="R34" s="242" t="str">
        <f>IFERROR(IF(compras_mes4[[#This Row],[CUIT]]="","-",VLOOKUP(compras_mes4[[#This Row],[CUIT]],Lista_CUIT[#All],4,0)),"CUIT NO CARGADO")</f>
        <v>-</v>
      </c>
    </row>
    <row r="35" spans="2:18">
      <c r="B35" s="233"/>
      <c r="C35" s="234"/>
      <c r="D35" s="235"/>
      <c r="E35" s="236"/>
      <c r="F35" s="237"/>
      <c r="G35" s="238" t="str">
        <f>IFERROR(IF(compras_mes4[[#This Row],[CUIT]]="","-",VLOOKUP(compras_mes4[[#This Row],[CUIT]],Lista_CUIT[#All],2,0)),"CUIT NO CARGADO")</f>
        <v>-</v>
      </c>
      <c r="H35" s="239"/>
      <c r="I35" s="241" t="str">
        <f>IF(compras_mes4[[#This Row],[NETO GRAVADO]]="","",compras_mes4[[#This Row],[NETO GRAVADO]]*0.21)</f>
        <v/>
      </c>
      <c r="J35" s="241"/>
      <c r="K35" s="241"/>
      <c r="L35" s="241"/>
      <c r="M35" s="241"/>
      <c r="N35" s="241"/>
      <c r="O35" s="241"/>
      <c r="P35" s="243">
        <f>SUM(compras_mes4[[#This Row],[NETO GRAVADO]:[Otros / No Grav.]])</f>
        <v>0</v>
      </c>
      <c r="Q35" s="242" t="str">
        <f>IFERROR(IF(compras_mes4[[#This Row],[CUIT]]="","-",VLOOKUP(compras_mes4[[#This Row],[CUIT]],Lista_CUIT[#All],3,0)),"CUIT NO CARGADO")</f>
        <v>-</v>
      </c>
      <c r="R35" s="242" t="str">
        <f>IFERROR(IF(compras_mes4[[#This Row],[CUIT]]="","-",VLOOKUP(compras_mes4[[#This Row],[CUIT]],Lista_CUIT[#All],4,0)),"CUIT NO CARGADO")</f>
        <v>-</v>
      </c>
    </row>
    <row r="36" spans="2:18">
      <c r="B36" s="233"/>
      <c r="C36" s="234"/>
      <c r="D36" s="235"/>
      <c r="E36" s="236"/>
      <c r="F36" s="237"/>
      <c r="G36" s="238" t="str">
        <f>IFERROR(IF(compras_mes4[[#This Row],[CUIT]]="","-",VLOOKUP(compras_mes4[[#This Row],[CUIT]],Lista_CUIT[#All],2,0)),"CUIT NO CARGADO")</f>
        <v>-</v>
      </c>
      <c r="H36" s="239"/>
      <c r="I36" s="241" t="str">
        <f>IF(compras_mes4[[#This Row],[NETO GRAVADO]]="","",compras_mes4[[#This Row],[NETO GRAVADO]]*0.21)</f>
        <v/>
      </c>
      <c r="J36" s="241"/>
      <c r="K36" s="241"/>
      <c r="L36" s="241"/>
      <c r="M36" s="241"/>
      <c r="N36" s="241"/>
      <c r="O36" s="241"/>
      <c r="P36" s="243">
        <f>SUM(compras_mes4[[#This Row],[NETO GRAVADO]:[Otros / No Grav.]])</f>
        <v>0</v>
      </c>
      <c r="Q36" s="242" t="str">
        <f>IFERROR(IF(compras_mes4[[#This Row],[CUIT]]="","-",VLOOKUP(compras_mes4[[#This Row],[CUIT]],Lista_CUIT[#All],3,0)),"CUIT NO CARGADO")</f>
        <v>-</v>
      </c>
      <c r="R36" s="242" t="str">
        <f>IFERROR(IF(compras_mes4[[#This Row],[CUIT]]="","-",VLOOKUP(compras_mes4[[#This Row],[CUIT]],Lista_CUIT[#All],4,0)),"CUIT NO CARGADO")</f>
        <v>-</v>
      </c>
    </row>
    <row r="37" spans="2:18">
      <c r="B37" s="233"/>
      <c r="C37" s="234"/>
      <c r="D37" s="235"/>
      <c r="E37" s="236"/>
      <c r="F37" s="237"/>
      <c r="G37" s="238" t="str">
        <f>IFERROR(IF(compras_mes4[[#This Row],[CUIT]]="","-",VLOOKUP(compras_mes4[[#This Row],[CUIT]],Lista_CUIT[#All],2,0)),"CUIT NO CARGADO")</f>
        <v>-</v>
      </c>
      <c r="H37" s="239"/>
      <c r="I37" s="241" t="str">
        <f>IF(compras_mes4[[#This Row],[NETO GRAVADO]]="","",compras_mes4[[#This Row],[NETO GRAVADO]]*0.21)</f>
        <v/>
      </c>
      <c r="J37" s="241"/>
      <c r="K37" s="241"/>
      <c r="L37" s="241"/>
      <c r="M37" s="241"/>
      <c r="N37" s="241"/>
      <c r="O37" s="241"/>
      <c r="P37" s="243">
        <f>SUM(compras_mes4[[#This Row],[NETO GRAVADO]:[Otros / No Grav.]])</f>
        <v>0</v>
      </c>
      <c r="Q37" s="242" t="str">
        <f>IFERROR(IF(compras_mes4[[#This Row],[CUIT]]="","-",VLOOKUP(compras_mes4[[#This Row],[CUIT]],Lista_CUIT[#All],3,0)),"CUIT NO CARGADO")</f>
        <v>-</v>
      </c>
      <c r="R37" s="242" t="str">
        <f>IFERROR(IF(compras_mes4[[#This Row],[CUIT]]="","-",VLOOKUP(compras_mes4[[#This Row],[CUIT]],Lista_CUIT[#All],4,0)),"CUIT NO CARGADO")</f>
        <v>-</v>
      </c>
    </row>
    <row r="38" spans="2:18">
      <c r="B38" s="96" t="s">
        <v>91</v>
      </c>
      <c r="C38" s="96"/>
      <c r="D38" s="96"/>
      <c r="E38" s="96"/>
      <c r="F38" s="96"/>
      <c r="G38" s="97"/>
      <c r="H38" s="98">
        <f>SUBTOTAL(109,compras_mes4[NETO GRAVADO])</f>
        <v>5277662.07</v>
      </c>
      <c r="I38" s="98">
        <f>SUBTOTAL(109,compras_mes4[IVA 21 %])</f>
        <v>1108309.0347</v>
      </c>
      <c r="J38" s="98">
        <f>SUBTOTAL(109,compras_mes4[IVA 27%])</f>
        <v>0</v>
      </c>
      <c r="K38" s="98">
        <f>SUBTOTAL(109,compras_mes4[IVA 10,5%])</f>
        <v>0</v>
      </c>
      <c r="L38" s="98">
        <f>SUBTOTAL(109,compras_mes4[PERC. IVA])</f>
        <v>0</v>
      </c>
      <c r="M38" s="98">
        <f>SUBTOTAL(109,compras_mes4[PERC IIBB 
BS AS])</f>
        <v>0</v>
      </c>
      <c r="N38" s="98">
        <f>SUBTOTAL(109,compras_mes4[PERC. IIBB CABA])</f>
        <v>77071.649999999994</v>
      </c>
      <c r="O38" s="98">
        <f>SUBTOTAL(109,compras_mes4[Otros / No Grav.])</f>
        <v>154154.01</v>
      </c>
      <c r="P38" s="98">
        <f>SUBTOTAL(109,compras_mes4[TOTAL])</f>
        <v>6617196.7646999992</v>
      </c>
      <c r="Q38" s="96"/>
      <c r="R38" s="96"/>
    </row>
    <row r="39" spans="2:18" s="56" customFormat="1" ht="18.600000000000001" customHeight="1">
      <c r="B39" s="40"/>
      <c r="C39" s="41"/>
      <c r="D39" s="42"/>
      <c r="E39" s="43"/>
      <c r="F39" s="44"/>
      <c r="G39" s="45"/>
      <c r="H39" s="46"/>
      <c r="I39" s="47"/>
      <c r="J39" s="47"/>
      <c r="K39" s="47"/>
      <c r="L39" s="47"/>
      <c r="M39" s="47"/>
      <c r="N39" s="47"/>
      <c r="O39" s="47"/>
      <c r="P39" s="48"/>
      <c r="Q39" s="49"/>
      <c r="R39" s="49"/>
    </row>
    <row r="40" spans="2:18">
      <c r="B40" s="40"/>
      <c r="C40" s="41"/>
      <c r="D40" s="42"/>
      <c r="E40" s="43"/>
      <c r="F40" s="44"/>
      <c r="G40" s="45"/>
      <c r="H40" s="46"/>
      <c r="I40" s="47"/>
      <c r="J40" s="47"/>
      <c r="K40" s="47"/>
      <c r="L40" s="47"/>
      <c r="M40" s="47"/>
      <c r="N40" s="47"/>
      <c r="O40" s="47"/>
      <c r="P40" s="48"/>
      <c r="Q40" s="49"/>
      <c r="R40" s="49"/>
    </row>
    <row r="41" spans="2:18">
      <c r="B41" s="40"/>
      <c r="C41" s="41"/>
      <c r="D41" s="42"/>
      <c r="E41" s="43"/>
      <c r="F41" s="44"/>
      <c r="G41" s="45"/>
      <c r="H41" s="46"/>
      <c r="I41" s="47"/>
      <c r="J41" s="47"/>
      <c r="K41" s="47"/>
      <c r="L41" s="47"/>
      <c r="M41" s="47"/>
      <c r="N41" s="47"/>
      <c r="O41" s="47"/>
      <c r="P41" s="48"/>
      <c r="Q41" s="49"/>
      <c r="R41" s="49"/>
    </row>
    <row r="42" spans="2:18">
      <c r="B42" s="40"/>
      <c r="C42" s="41"/>
      <c r="D42" s="42"/>
      <c r="E42" s="43"/>
      <c r="F42" s="44"/>
      <c r="G42" s="45"/>
      <c r="H42" s="46"/>
      <c r="I42" s="47"/>
      <c r="J42" s="47"/>
      <c r="K42" s="47"/>
      <c r="L42" s="47"/>
    </row>
    <row r="43" spans="2:18" ht="21">
      <c r="D43" s="428" t="s">
        <v>15</v>
      </c>
      <c r="E43" s="428"/>
      <c r="F43" s="428"/>
      <c r="G43" s="428"/>
      <c r="H43" s="428"/>
      <c r="I43" s="428"/>
      <c r="J43" s="428"/>
      <c r="K43" s="428"/>
      <c r="L43" s="428"/>
    </row>
    <row r="44" spans="2:18" ht="15.75">
      <c r="D44" s="73" t="s">
        <v>0</v>
      </c>
      <c r="E44" s="74" t="s">
        <v>26</v>
      </c>
      <c r="F44" s="74" t="s">
        <v>16</v>
      </c>
      <c r="G44" s="74" t="s">
        <v>5</v>
      </c>
      <c r="H44" s="74" t="s">
        <v>17</v>
      </c>
      <c r="I44" s="74" t="s">
        <v>7</v>
      </c>
      <c r="J44" s="75" t="s">
        <v>18</v>
      </c>
      <c r="K44" s="75" t="s">
        <v>19</v>
      </c>
      <c r="L44" s="76" t="s">
        <v>20</v>
      </c>
    </row>
    <row r="45" spans="2:18">
      <c r="D45" s="50"/>
      <c r="E45" s="79"/>
      <c r="F45" s="80"/>
      <c r="G45" s="81"/>
      <c r="H45" s="81"/>
      <c r="I45" s="81"/>
      <c r="J45" s="81"/>
      <c r="K45" s="81"/>
      <c r="L45" s="81"/>
    </row>
    <row r="46" spans="2:18" ht="22.5" customHeight="1">
      <c r="D46" s="50"/>
      <c r="E46" s="79"/>
      <c r="F46" s="80"/>
      <c r="G46" s="81"/>
      <c r="H46" s="81"/>
      <c r="I46" s="81"/>
      <c r="J46" s="81"/>
      <c r="K46" s="81"/>
      <c r="L46" s="81"/>
    </row>
    <row r="47" spans="2:18">
      <c r="D47" s="50"/>
      <c r="E47" s="79"/>
      <c r="F47" s="80"/>
      <c r="G47" s="81"/>
      <c r="H47" s="81"/>
      <c r="I47" s="81"/>
      <c r="J47" s="81"/>
      <c r="K47" s="81"/>
      <c r="L47" s="81"/>
    </row>
    <row r="48" spans="2:18" ht="18" customHeight="1">
      <c r="D48" s="82" t="s">
        <v>91</v>
      </c>
      <c r="E48" s="80"/>
      <c r="F48" s="80"/>
      <c r="G48" s="83">
        <f>SUBTOTAL(109,extracto_banco_mes4[NETO])</f>
        <v>0</v>
      </c>
      <c r="H48" s="83">
        <f>SUBTOTAL(109,extracto_banco_mes4[IVA 21%])</f>
        <v>0</v>
      </c>
      <c r="I48" s="83">
        <f>SUBTOTAL(109,extracto_banco_mes4[IVA 10,5%])</f>
        <v>0</v>
      </c>
      <c r="J48" s="83">
        <f>SUBTOTAL(109,extracto_banco_mes4[RET IIBB CABA])</f>
        <v>0</v>
      </c>
      <c r="K48" s="83">
        <f>SUBTOTAL(109,extracto_banco_mes4[PERC IVA])</f>
        <v>0</v>
      </c>
      <c r="L48" s="83">
        <f>SUBTOTAL(109,extracto_banco_mes4[PERC IIBB])</f>
        <v>0</v>
      </c>
    </row>
    <row r="52" spans="4:11" ht="21">
      <c r="D52" s="428" t="s">
        <v>25</v>
      </c>
      <c r="E52" s="428"/>
      <c r="F52" s="428"/>
      <c r="G52" s="428"/>
      <c r="H52" s="428"/>
      <c r="I52" s="428"/>
      <c r="J52" s="428"/>
      <c r="K52" s="428"/>
    </row>
    <row r="53" spans="4:11">
      <c r="D53" s="51" t="s">
        <v>0</v>
      </c>
      <c r="E53" s="51" t="s">
        <v>2</v>
      </c>
      <c r="F53" s="51" t="s">
        <v>74</v>
      </c>
      <c r="G53" s="51" t="s">
        <v>3</v>
      </c>
      <c r="H53" s="51" t="s">
        <v>4</v>
      </c>
      <c r="I53" s="52" t="s">
        <v>10</v>
      </c>
      <c r="J53" s="51" t="s">
        <v>13</v>
      </c>
      <c r="K53" s="51" t="s">
        <v>38</v>
      </c>
    </row>
    <row r="54" spans="4:11">
      <c r="D54" s="50" t="s">
        <v>241</v>
      </c>
      <c r="E54" s="42">
        <v>1</v>
      </c>
      <c r="F54" s="43">
        <v>335</v>
      </c>
      <c r="G54" s="44">
        <v>27386311000</v>
      </c>
      <c r="H54" s="53" t="str">
        <f>IFERROR(IF(factura_c_mes4[[#This Row],[CUIT]]="","-",VLOOKUP(factura_c_mes4[[#This Row],[CUIT]],Lista_CUIT[#All],2,0)),"CUIT NO CARGADO")</f>
        <v>OPANASIUK MACARENA ANTONELLA</v>
      </c>
      <c r="I54" s="81">
        <v>1000000</v>
      </c>
      <c r="J54" s="54">
        <f>IFERROR(IF(factura_c_mes4[[#This Row],[CUIT]]="","-",VLOOKUP(factura_c_mes4[[#This Row],[CUIT]],Lista_CUIT[#All],3,0)),"CUIT NO CARGADO")</f>
        <v>0</v>
      </c>
      <c r="K54" s="54">
        <f>IFERROR(IF(factura_c_mes4[[#This Row],[CUIT]]="","-",VLOOKUP(factura_c_mes4[[#This Row],[CUIT]],Lista_CUIT[#All],4,0)),"CUIT NO CARGADO")</f>
        <v>0</v>
      </c>
    </row>
    <row r="55" spans="4:11">
      <c r="D55" s="50" t="s">
        <v>241</v>
      </c>
      <c r="E55" s="42">
        <v>2</v>
      </c>
      <c r="F55" s="43">
        <v>1150</v>
      </c>
      <c r="G55" s="44">
        <v>20400104094</v>
      </c>
      <c r="H55" s="53" t="str">
        <f>IFERROR(IF(factura_c_mes4[[#This Row],[CUIT]]="","-",VLOOKUP(factura_c_mes4[[#This Row],[CUIT]],Lista_CUIT[#All],2,0)),"CUIT NO CARGADO")</f>
        <v>BOTINDARI FEDERICO DANIEL</v>
      </c>
      <c r="I55" s="81">
        <v>300000</v>
      </c>
      <c r="J55" s="54" t="str">
        <f>IFERROR(IF(factura_c_mes4[[#This Row],[CUIT]]="","-",VLOOKUP(factura_c_mes4[[#This Row],[CUIT]],Lista_CUIT[#All],3,0)),"CUIT NO CARGADO")</f>
        <v>HONORARIOS CONTABLE</v>
      </c>
      <c r="K55" s="54">
        <f>IFERROR(IF(factura_c_mes4[[#This Row],[CUIT]]="","-",VLOOKUP(factura_c_mes4[[#This Row],[CUIT]],Lista_CUIT[#All],4,0)),"CUIT NO CARGADO")</f>
        <v>0</v>
      </c>
    </row>
    <row r="56" spans="4:11">
      <c r="D56" s="50" t="s">
        <v>243</v>
      </c>
      <c r="E56" s="42">
        <v>2</v>
      </c>
      <c r="F56" s="43">
        <v>66</v>
      </c>
      <c r="G56" s="44">
        <v>23380288079</v>
      </c>
      <c r="H56" s="53" t="str">
        <f>IFERROR(IF(factura_c_mes4[[#This Row],[CUIT]]="","-",VLOOKUP(factura_c_mes4[[#This Row],[CUIT]],Lista_CUIT[#All],2,0)),"CUIT NO CARGADO")</f>
        <v>CASTROMAN AGUSTIN</v>
      </c>
      <c r="I56" s="81">
        <v>598000</v>
      </c>
      <c r="J56" s="54">
        <f>IFERROR(IF(factura_c_mes4[[#This Row],[CUIT]]="","-",VLOOKUP(factura_c_mes4[[#This Row],[CUIT]],Lista_CUIT[#All],3,0)),"CUIT NO CARGADO")</f>
        <v>0</v>
      </c>
      <c r="K56" s="54">
        <f>IFERROR(IF(factura_c_mes4[[#This Row],[CUIT]]="","-",VLOOKUP(factura_c_mes4[[#This Row],[CUIT]],Lista_CUIT[#All],4,0)),"CUIT NO CARGADO")</f>
        <v>0</v>
      </c>
    </row>
    <row r="57" spans="4:11">
      <c r="D57" s="50" t="s">
        <v>244</v>
      </c>
      <c r="E57" s="42">
        <v>2</v>
      </c>
      <c r="F57" s="43">
        <v>442</v>
      </c>
      <c r="G57" s="44">
        <v>27206941419</v>
      </c>
      <c r="H57" s="53" t="str">
        <f>IFERROR(IF(factura_c_mes4[[#This Row],[CUIT]]="","-",VLOOKUP(factura_c_mes4[[#This Row],[CUIT]],Lista_CUIT[#All],2,0)),"CUIT NO CARGADO")</f>
        <v>DOBARRO PAULA MARCELA</v>
      </c>
      <c r="I57" s="81">
        <v>200000</v>
      </c>
      <c r="J57" s="54">
        <f>IFERROR(IF(factura_c_mes4[[#This Row],[CUIT]]="","-",VLOOKUP(factura_c_mes4[[#This Row],[CUIT]],Lista_CUIT[#All],3,0)),"CUIT NO CARGADO")</f>
        <v>0</v>
      </c>
      <c r="K57" s="54">
        <f>IFERROR(IF(factura_c_mes4[[#This Row],[CUIT]]="","-",VLOOKUP(factura_c_mes4[[#This Row],[CUIT]],Lista_CUIT[#All],4,0)),"CUIT NO CARGADO")</f>
        <v>0</v>
      </c>
    </row>
    <row r="58" spans="4:11">
      <c r="D58" s="50" t="s">
        <v>244</v>
      </c>
      <c r="E58" s="42">
        <v>2</v>
      </c>
      <c r="F58" s="43">
        <v>1162</v>
      </c>
      <c r="G58" s="44">
        <v>20400104094</v>
      </c>
      <c r="H58" s="53" t="str">
        <f>IFERROR(IF(factura_c_mes4[[#This Row],[CUIT]]="","-",VLOOKUP(factura_c_mes4[[#This Row],[CUIT]],Lista_CUIT[#All],2,0)),"CUIT NO CARGADO")</f>
        <v>BOTINDARI FEDERICO DANIEL</v>
      </c>
      <c r="I58" s="81">
        <v>400000</v>
      </c>
      <c r="J58" s="54" t="str">
        <f>IFERROR(IF(factura_c_mes4[[#This Row],[CUIT]]="","-",VLOOKUP(factura_c_mes4[[#This Row],[CUIT]],Lista_CUIT[#All],3,0)),"CUIT NO CARGADO")</f>
        <v>HONORARIOS CONTABLE</v>
      </c>
      <c r="K58" s="54">
        <f>IFERROR(IF(factura_c_mes4[[#This Row],[CUIT]]="","-",VLOOKUP(factura_c_mes4[[#This Row],[CUIT]],Lista_CUIT[#All],4,0)),"CUIT NO CARGADO")</f>
        <v>0</v>
      </c>
    </row>
    <row r="59" spans="4:11">
      <c r="D59" s="50" t="s">
        <v>245</v>
      </c>
      <c r="E59" s="42">
        <v>1</v>
      </c>
      <c r="F59" s="43">
        <v>5</v>
      </c>
      <c r="G59" s="44">
        <v>27403975821</v>
      </c>
      <c r="H59" s="53" t="str">
        <f>IFERROR(IF(factura_c_mes4[[#This Row],[CUIT]]="","-",VLOOKUP(factura_c_mes4[[#This Row],[CUIT]],Lista_CUIT[#All],2,0)),"CUIT NO CARGADO")</f>
        <v>BARROSO VALENTINA</v>
      </c>
      <c r="I59" s="81">
        <v>600700</v>
      </c>
      <c r="J59" s="54">
        <f>IFERROR(IF(factura_c_mes4[[#This Row],[CUIT]]="","-",VLOOKUP(factura_c_mes4[[#This Row],[CUIT]],Lista_CUIT[#All],3,0)),"CUIT NO CARGADO")</f>
        <v>0</v>
      </c>
      <c r="K59" s="54">
        <f>IFERROR(IF(factura_c_mes4[[#This Row],[CUIT]]="","-",VLOOKUP(factura_c_mes4[[#This Row],[CUIT]],Lista_CUIT[#All],4,0)),"CUIT NO CARGADO")</f>
        <v>0</v>
      </c>
    </row>
    <row r="60" spans="4:11">
      <c r="D60" s="50" t="s">
        <v>246</v>
      </c>
      <c r="E60" s="42">
        <v>51</v>
      </c>
      <c r="F60" s="43">
        <v>196</v>
      </c>
      <c r="G60" s="44">
        <v>20300985158</v>
      </c>
      <c r="H60" s="53" t="str">
        <f>IFERROR(IF(factura_c_mes4[[#This Row],[CUIT]]="","-",VLOOKUP(factura_c_mes4[[#This Row],[CUIT]],Lista_CUIT[#All],2,0)),"CUIT NO CARGADO")</f>
        <v>GONZALEZ NESTOR RICARDO</v>
      </c>
      <c r="I60" s="81">
        <v>250000</v>
      </c>
      <c r="J60" s="54">
        <f>IFERROR(IF(factura_c_mes4[[#This Row],[CUIT]]="","-",VLOOKUP(factura_c_mes4[[#This Row],[CUIT]],Lista_CUIT[#All],3,0)),"CUIT NO CARGADO")</f>
        <v>0</v>
      </c>
      <c r="K60" s="54">
        <f>IFERROR(IF(factura_c_mes4[[#This Row],[CUIT]]="","-",VLOOKUP(factura_c_mes4[[#This Row],[CUIT]],Lista_CUIT[#All],4,0)),"CUIT NO CARGADO")</f>
        <v>0</v>
      </c>
    </row>
    <row r="61" spans="4:11">
      <c r="D61" s="50"/>
      <c r="E61" s="42"/>
      <c r="F61" s="43"/>
      <c r="G61" s="44"/>
      <c r="H61" s="53" t="str">
        <f>IFERROR(IF(factura_c_mes4[[#This Row],[CUIT]]="","-",VLOOKUP(factura_c_mes4[[#This Row],[CUIT]],Lista_CUIT[#All],2,0)),"CUIT NO CARGADO")</f>
        <v>-</v>
      </c>
      <c r="I61" s="81"/>
      <c r="J61" s="54" t="str">
        <f>IFERROR(IF(factura_c_mes4[[#This Row],[CUIT]]="","-",VLOOKUP(factura_c_mes4[[#This Row],[CUIT]],Lista_CUIT[#All],3,0)),"CUIT NO CARGADO")</f>
        <v>-</v>
      </c>
      <c r="K61" s="54" t="str">
        <f>IFERROR(IF(factura_c_mes4[[#This Row],[CUIT]]="","-",VLOOKUP(factura_c_mes4[[#This Row],[CUIT]],Lista_CUIT[#All],4,0)),"CUIT NO CARGADO")</f>
        <v>-</v>
      </c>
    </row>
    <row r="62" spans="4:11">
      <c r="D62" s="50"/>
      <c r="E62" s="42"/>
      <c r="F62" s="43"/>
      <c r="G62" s="44"/>
      <c r="H62" s="53" t="str">
        <f>IFERROR(IF(factura_c_mes4[[#This Row],[CUIT]]="","-",VLOOKUP(factura_c_mes4[[#This Row],[CUIT]],Lista_CUIT[#All],2,0)),"CUIT NO CARGADO")</f>
        <v>-</v>
      </c>
      <c r="I62" s="81"/>
      <c r="J62" s="54" t="str">
        <f>IFERROR(IF(factura_c_mes4[[#This Row],[CUIT]]="","-",VLOOKUP(factura_c_mes4[[#This Row],[CUIT]],Lista_CUIT[#All],3,0)),"CUIT NO CARGADO")</f>
        <v>-</v>
      </c>
      <c r="K62" s="54" t="str">
        <f>IFERROR(IF(factura_c_mes4[[#This Row],[CUIT]]="","-",VLOOKUP(factura_c_mes4[[#This Row],[CUIT]],Lista_CUIT[#All],4,0)),"CUIT NO CARGADO")</f>
        <v>-</v>
      </c>
    </row>
    <row r="63" spans="4:11">
      <c r="D63" s="50"/>
      <c r="E63" s="42"/>
      <c r="F63" s="43"/>
      <c r="G63" s="44"/>
      <c r="H63" s="53" t="str">
        <f>IFERROR(IF(factura_c_mes4[[#This Row],[CUIT]]="","-",VLOOKUP(factura_c_mes4[[#This Row],[CUIT]],Lista_CUIT[#All],2,0)),"CUIT NO CARGADO")</f>
        <v>-</v>
      </c>
      <c r="I63" s="81"/>
      <c r="J63" s="54" t="str">
        <f>IFERROR(IF(factura_c_mes4[[#This Row],[CUIT]]="","-",VLOOKUP(factura_c_mes4[[#This Row],[CUIT]],Lista_CUIT[#All],3,0)),"CUIT NO CARGADO")</f>
        <v>-</v>
      </c>
      <c r="K63" s="54" t="str">
        <f>IFERROR(IF(factura_c_mes4[[#This Row],[CUIT]]="","-",VLOOKUP(factura_c_mes4[[#This Row],[CUIT]],Lista_CUIT[#All],4,0)),"CUIT NO CARGADO")</f>
        <v>-</v>
      </c>
    </row>
    <row r="64" spans="4:11">
      <c r="D64" s="252"/>
      <c r="E64" s="252"/>
      <c r="F64" s="252"/>
      <c r="G64" s="250"/>
      <c r="H64" s="244" t="str">
        <f>IFERROR(IF(factura_c_mes4[[#This Row],[CUIT]]="","-",VLOOKUP(factura_c_mes4[[#This Row],[CUIT]],Lista_CUIT[#All],2,0)),"CUIT NO CARGADO")</f>
        <v>-</v>
      </c>
      <c r="I64" s="245"/>
      <c r="J64" s="246" t="str">
        <f>IFERROR(IF(factura_c_mes4[[#This Row],[CUIT]]="","-",VLOOKUP(factura_c_mes4[[#This Row],[CUIT]],Lista_CUIT[#All],3,0)),"CUIT NO CARGADO")</f>
        <v>-</v>
      </c>
      <c r="K64" s="246" t="str">
        <f>IFERROR(IF(factura_c_mes4[[#This Row],[CUIT]]="","-",VLOOKUP(factura_c_mes4[[#This Row],[CUIT]],Lista_CUIT[#All],4,0)),"CUIT NO CARGADO")</f>
        <v>-</v>
      </c>
    </row>
    <row r="65" spans="2:18">
      <c r="B65" s="56"/>
      <c r="C65" s="56"/>
      <c r="D65" s="252"/>
      <c r="E65" s="252"/>
      <c r="F65" s="252"/>
      <c r="G65" s="250"/>
      <c r="H65" s="244" t="str">
        <f>IFERROR(IF(factura_c_mes4[[#This Row],[CUIT]]="","-",VLOOKUP(factura_c_mes4[[#This Row],[CUIT]],Lista_CUIT[#All],2,0)),"CUIT NO CARGADO")</f>
        <v>-</v>
      </c>
      <c r="I65" s="245"/>
      <c r="J65" s="246" t="str">
        <f>IFERROR(IF(factura_c_mes4[[#This Row],[CUIT]]="","-",VLOOKUP(factura_c_mes4[[#This Row],[CUIT]],Lista_CUIT[#All],3,0)),"CUIT NO CARGADO")</f>
        <v>-</v>
      </c>
      <c r="K65" s="246" t="str">
        <f>IFERROR(IF(factura_c_mes4[[#This Row],[CUIT]]="","-",VLOOKUP(factura_c_mes4[[#This Row],[CUIT]],Lista_CUIT[#All],4,0)),"CUIT NO CARGADO")</f>
        <v>-</v>
      </c>
      <c r="L65" s="56"/>
      <c r="M65" s="56"/>
      <c r="N65" s="56"/>
      <c r="O65" s="56"/>
      <c r="P65" s="56"/>
      <c r="Q65" s="56"/>
      <c r="R65" s="56"/>
    </row>
    <row r="66" spans="2:18">
      <c r="D66" s="55" t="s">
        <v>91</v>
      </c>
      <c r="E66" s="55"/>
      <c r="F66" s="55"/>
      <c r="G66" s="55"/>
      <c r="H66" s="57"/>
      <c r="I66" s="58">
        <f>SUBTOTAL(109,factura_c_mes4[TOTAL])</f>
        <v>3348700</v>
      </c>
      <c r="J66" s="55"/>
      <c r="K66" s="55"/>
    </row>
    <row r="70" spans="2:18" ht="26.25">
      <c r="B70" s="436" t="s">
        <v>29</v>
      </c>
      <c r="C70" s="436"/>
      <c r="D70" s="436"/>
      <c r="E70" s="436"/>
      <c r="F70" s="436"/>
      <c r="G70" s="436"/>
      <c r="H70" s="436"/>
      <c r="I70" s="436"/>
      <c r="J70" s="436"/>
      <c r="K70" s="432">
        <f>N1</f>
        <v>46113</v>
      </c>
      <c r="L70" s="432"/>
      <c r="M70" s="432"/>
    </row>
    <row r="72" spans="2:18" ht="21">
      <c r="B72" s="429" t="s">
        <v>30</v>
      </c>
      <c r="C72" s="429"/>
    </row>
    <row r="73" spans="2:18" ht="15.75">
      <c r="B73" s="60" t="s">
        <v>0</v>
      </c>
      <c r="C73" s="61" t="s">
        <v>1</v>
      </c>
      <c r="D73" s="61" t="s">
        <v>21</v>
      </c>
      <c r="E73" s="61" t="s">
        <v>22</v>
      </c>
      <c r="F73" s="61" t="s">
        <v>3</v>
      </c>
      <c r="G73" s="61" t="s">
        <v>4</v>
      </c>
      <c r="H73" s="61" t="s">
        <v>23</v>
      </c>
      <c r="I73" s="61" t="s">
        <v>17</v>
      </c>
      <c r="J73" s="61" t="s">
        <v>7</v>
      </c>
      <c r="K73" s="61" t="s">
        <v>24</v>
      </c>
      <c r="L73" s="61" t="s">
        <v>10</v>
      </c>
      <c r="M73" s="62" t="s">
        <v>38</v>
      </c>
    </row>
    <row r="74" spans="2:18">
      <c r="B74" s="40" t="s">
        <v>241</v>
      </c>
      <c r="C74" s="41">
        <v>1</v>
      </c>
      <c r="D74" s="359">
        <v>1</v>
      </c>
      <c r="E74" s="359">
        <v>668</v>
      </c>
      <c r="F74" s="359">
        <v>30708404485</v>
      </c>
      <c r="G74" s="99" t="str">
        <f>IFERROR(IF(venta_a_mes4[[#This Row],[CUIT]]="","-",VLOOKUP(venta_a_mes4[[#This Row],[CUIT]],Lista_CUIT[#All],2,0)),"CUIT NO CARGADO")</f>
        <v>SOLDARGEN S.A.</v>
      </c>
      <c r="H74" s="100">
        <v>590909.1</v>
      </c>
      <c r="I74" s="101">
        <f>venta_a_mes4[[#This Row],[IMPORTE NETO]]*0.21</f>
        <v>124090.91099999999</v>
      </c>
      <c r="J74" s="65"/>
      <c r="K74" s="65"/>
      <c r="L74" s="65">
        <f>SUM(venta_a_mes4[[#This Row],[IMPORTE NETO]:[EXENTO]])</f>
        <v>715000.01099999994</v>
      </c>
      <c r="M74" s="59"/>
    </row>
    <row r="75" spans="2:18">
      <c r="B75" s="40" t="s">
        <v>241</v>
      </c>
      <c r="C75" s="41">
        <v>1</v>
      </c>
      <c r="D75" s="359">
        <v>1</v>
      </c>
      <c r="E75" s="359">
        <v>669</v>
      </c>
      <c r="F75" s="359">
        <v>30708604255</v>
      </c>
      <c r="G75" s="99" t="str">
        <f>IFERROR(IF(venta_a_mes4[[#This Row],[CUIT]]="","-",VLOOKUP(venta_a_mes4[[#This Row],[CUIT]],Lista_CUIT[#All],2,0)),"CUIT NO CARGADO")</f>
        <v>NAR TECHNOLOGIES S.R.L.</v>
      </c>
      <c r="H75" s="100">
        <v>590909.1</v>
      </c>
      <c r="I75" s="101">
        <f>venta_a_mes4[[#This Row],[IMPORTE NETO]]*0.21</f>
        <v>124090.91099999999</v>
      </c>
      <c r="J75" s="65"/>
      <c r="K75" s="65"/>
      <c r="L75" s="65">
        <f>SUM(venta_a_mes4[[#This Row],[IMPORTE NETO]:[EXENTO]])</f>
        <v>715000.01099999994</v>
      </c>
      <c r="M75" s="59"/>
    </row>
    <row r="76" spans="2:18">
      <c r="B76" s="214" t="s">
        <v>241</v>
      </c>
      <c r="C76" s="41">
        <v>1</v>
      </c>
      <c r="D76" s="359">
        <v>1</v>
      </c>
      <c r="E76" s="359">
        <v>670</v>
      </c>
      <c r="F76" s="359">
        <v>30717465101</v>
      </c>
      <c r="G76" s="219" t="str">
        <f>IFERROR(IF(venta_a_mes4[[#This Row],[CUIT]]="","-",VLOOKUP(venta_a_mes4[[#This Row],[CUIT]],Lista_CUIT[#All],2,0)),"CUIT NO CARGADO")</f>
        <v>EMPRENDIMIENTOS SHOPGLASS S. R. L.</v>
      </c>
      <c r="H76" s="220">
        <v>147107.43</v>
      </c>
      <c r="I76" s="221">
        <f>venta_a_mes4[[#This Row],[IMPORTE NETO]]*0.21</f>
        <v>30892.560299999997</v>
      </c>
      <c r="J76" s="222"/>
      <c r="K76" s="222"/>
      <c r="L76" s="222">
        <f>SUM(venta_a_mes4[[#This Row],[IMPORTE NETO]:[EXENTO]])</f>
        <v>177999.9903</v>
      </c>
      <c r="M76" s="223"/>
    </row>
    <row r="77" spans="2:18">
      <c r="B77" s="214" t="s">
        <v>241</v>
      </c>
      <c r="C77" s="41">
        <v>1</v>
      </c>
      <c r="D77" s="359">
        <v>1</v>
      </c>
      <c r="E77" s="359">
        <v>664</v>
      </c>
      <c r="F77" s="359">
        <v>20287305460</v>
      </c>
      <c r="G77" s="219" t="str">
        <f>IFERROR(IF(venta_a_mes4[[#This Row],[CUIT]]="","-",VLOOKUP(venta_a_mes4[[#This Row],[CUIT]],Lista_CUIT[#All],2,0)),"CUIT NO CARGADO")</f>
        <v>LANDI GERONIMO</v>
      </c>
      <c r="H77" s="220">
        <v>147107.43</v>
      </c>
      <c r="I77" s="221">
        <f>venta_a_mes4[[#This Row],[IMPORTE NETO]]*0.21</f>
        <v>30892.560299999997</v>
      </c>
      <c r="J77" s="222"/>
      <c r="K77" s="222"/>
      <c r="L77" s="222">
        <f>SUM(venta_a_mes4[[#This Row],[IMPORTE NETO]:[EXENTO]])</f>
        <v>177999.9903</v>
      </c>
      <c r="M77" s="223"/>
    </row>
    <row r="78" spans="2:18" ht="17.25" customHeight="1">
      <c r="B78" s="214" t="s">
        <v>241</v>
      </c>
      <c r="C78" s="41">
        <v>1</v>
      </c>
      <c r="D78" s="359">
        <v>1</v>
      </c>
      <c r="E78" s="359">
        <v>665</v>
      </c>
      <c r="F78" s="359">
        <v>30715751557</v>
      </c>
      <c r="G78" s="219" t="str">
        <f>IFERROR(IF(venta_a_mes4[[#This Row],[CUIT]]="","-",VLOOKUP(venta_a_mes4[[#This Row],[CUIT]],Lista_CUIT[#All],2,0)),"CUIT NO CARGADO")</f>
        <v>TIXIT SRL</v>
      </c>
      <c r="H78" s="220">
        <v>590909.1</v>
      </c>
      <c r="I78" s="221">
        <f>venta_a_mes4[[#This Row],[IMPORTE NETO]]*0.21</f>
        <v>124090.91099999999</v>
      </c>
      <c r="J78" s="222"/>
      <c r="K78" s="222"/>
      <c r="L78" s="222">
        <f>SUM(venta_a_mes4[[#This Row],[IMPORTE NETO]:[EXENTO]])</f>
        <v>715000.01099999994</v>
      </c>
      <c r="M78" s="223"/>
    </row>
    <row r="79" spans="2:18">
      <c r="B79" s="214" t="s">
        <v>241</v>
      </c>
      <c r="C79" s="41">
        <v>1</v>
      </c>
      <c r="D79" s="359">
        <v>1</v>
      </c>
      <c r="E79" s="359">
        <v>666</v>
      </c>
      <c r="F79" s="359">
        <v>30714375241</v>
      </c>
      <c r="G79" s="219" t="str">
        <f>IFERROR(IF(venta_a_mes4[[#This Row],[CUIT]]="","-",VLOOKUP(venta_a_mes4[[#This Row],[CUIT]],Lista_CUIT[#All],2,0)),"CUIT NO CARGADO")</f>
        <v>POWER-RECORDS S.A</v>
      </c>
      <c r="H79" s="220">
        <v>590909.1</v>
      </c>
      <c r="I79" s="221">
        <f>venta_a_mes4[[#This Row],[IMPORTE NETO]]*0.21</f>
        <v>124090.91099999999</v>
      </c>
      <c r="J79" s="222"/>
      <c r="K79" s="222"/>
      <c r="L79" s="222">
        <f>SUM(venta_a_mes4[[#This Row],[IMPORTE NETO]:[EXENTO]])</f>
        <v>715000.01099999994</v>
      </c>
      <c r="M79" s="223"/>
    </row>
    <row r="80" spans="2:18">
      <c r="B80" s="214" t="s">
        <v>241</v>
      </c>
      <c r="C80" s="41">
        <v>1</v>
      </c>
      <c r="D80" s="359">
        <v>1</v>
      </c>
      <c r="E80" s="359">
        <v>667</v>
      </c>
      <c r="F80" s="359">
        <v>30718553357</v>
      </c>
      <c r="G80" s="219" t="str">
        <f>IFERROR(IF(venta_a_mes4[[#This Row],[CUIT]]="","-",VLOOKUP(venta_a_mes4[[#This Row],[CUIT]],Lista_CUIT[#All],2,0)),"CUIT NO CARGADO")</f>
        <v>EMIGRA CON TU MASCOTA S.R.L.</v>
      </c>
      <c r="H80" s="220">
        <v>590909.1</v>
      </c>
      <c r="I80" s="221">
        <f>venta_a_mes4[[#This Row],[IMPORTE NETO]]*0.21</f>
        <v>124090.91099999999</v>
      </c>
      <c r="J80" s="222"/>
      <c r="K80" s="222"/>
      <c r="L80" s="222">
        <f>SUM(venta_a_mes4[[#This Row],[IMPORTE NETO]:[EXENTO]])</f>
        <v>715000.01099999994</v>
      </c>
      <c r="M80" s="223"/>
    </row>
    <row r="81" spans="2:13">
      <c r="B81" s="214" t="s">
        <v>241</v>
      </c>
      <c r="C81" s="41">
        <v>1</v>
      </c>
      <c r="D81" s="359">
        <v>1</v>
      </c>
      <c r="E81" s="359">
        <v>674</v>
      </c>
      <c r="F81" s="359">
        <v>20287305460</v>
      </c>
      <c r="G81" s="219" t="str">
        <f>IFERROR(IF(venta_a_mes4[[#This Row],[CUIT]]="","-",VLOOKUP(venta_a_mes4[[#This Row],[CUIT]],Lista_CUIT[#All],2,0)),"CUIT NO CARGADO")</f>
        <v>LANDI GERONIMO</v>
      </c>
      <c r="H81" s="220">
        <v>147107.43</v>
      </c>
      <c r="I81" s="221">
        <f>venta_a_mes4[[#This Row],[IMPORTE NETO]]*0.21</f>
        <v>30892.560299999997</v>
      </c>
      <c r="J81" s="222"/>
      <c r="K81" s="222"/>
      <c r="L81" s="222">
        <f>SUM(venta_a_mes4[[#This Row],[IMPORTE NETO]:[EXENTO]])</f>
        <v>177999.9903</v>
      </c>
      <c r="M81" s="223"/>
    </row>
    <row r="82" spans="2:13">
      <c r="B82" s="214" t="s">
        <v>241</v>
      </c>
      <c r="C82" s="41">
        <v>1</v>
      </c>
      <c r="D82" s="359">
        <v>1</v>
      </c>
      <c r="E82" s="359">
        <v>671</v>
      </c>
      <c r="F82" s="359">
        <v>30709058807</v>
      </c>
      <c r="G82" s="219" t="str">
        <f>IFERROR(IF(venta_a_mes4[[#This Row],[CUIT]]="","-",VLOOKUP(venta_a_mes4[[#This Row],[CUIT]],Lista_CUIT[#All],2,0)),"CUIT NO CARGADO")</f>
        <v>LA VALENZIANA S.R.L.</v>
      </c>
      <c r="H82" s="220">
        <v>4382375</v>
      </c>
      <c r="I82" s="221">
        <f>venta_a_mes4[[#This Row],[IMPORTE NETO]]*0.21</f>
        <v>920298.75</v>
      </c>
      <c r="J82" s="222"/>
      <c r="K82" s="222"/>
      <c r="L82" s="222">
        <f>SUM(venta_a_mes4[[#This Row],[IMPORTE NETO]:[EXENTO]])</f>
        <v>5302673.75</v>
      </c>
      <c r="M82" s="223"/>
    </row>
    <row r="83" spans="2:13">
      <c r="B83" s="214" t="s">
        <v>241</v>
      </c>
      <c r="C83" s="41">
        <v>1</v>
      </c>
      <c r="D83" s="359">
        <v>1</v>
      </c>
      <c r="E83" s="359">
        <v>672</v>
      </c>
      <c r="F83" s="359">
        <v>30714864803</v>
      </c>
      <c r="G83" s="219" t="str">
        <f>IFERROR(IF(venta_a_mes4[[#This Row],[CUIT]]="","-",VLOOKUP(venta_a_mes4[[#This Row],[CUIT]],Lista_CUIT[#All],2,0)),"CUIT NO CARGADO")</f>
        <v>DIAZ Y GIUSEPPETTI S. R. L.</v>
      </c>
      <c r="H83" s="220">
        <v>209044.9</v>
      </c>
      <c r="I83" s="221">
        <f>venta_a_mes4[[#This Row],[IMPORTE NETO]]*0.21</f>
        <v>43899.428999999996</v>
      </c>
      <c r="J83" s="222"/>
      <c r="K83" s="222"/>
      <c r="L83" s="222">
        <f>SUM(venta_a_mes4[[#This Row],[IMPORTE NETO]:[EXENTO]])</f>
        <v>252944.329</v>
      </c>
      <c r="M83" s="223"/>
    </row>
    <row r="84" spans="2:13">
      <c r="B84" s="214" t="s">
        <v>241</v>
      </c>
      <c r="C84" s="41">
        <v>1</v>
      </c>
      <c r="D84" s="359">
        <v>1</v>
      </c>
      <c r="E84" s="359">
        <v>673</v>
      </c>
      <c r="F84" s="359">
        <v>30718228723</v>
      </c>
      <c r="G84" s="219" t="str">
        <f>IFERROR(IF(venta_a_mes4[[#This Row],[CUIT]]="","-",VLOOKUP(venta_a_mes4[[#This Row],[CUIT]],Lista_CUIT[#All],2,0)),"CUIT NO CARGADO")</f>
        <v>ESCOBARFLOORING S.A.</v>
      </c>
      <c r="H84" s="220">
        <v>715000</v>
      </c>
      <c r="I84" s="221">
        <f>venta_a_mes4[[#This Row],[IMPORTE NETO]]*0.21</f>
        <v>150150</v>
      </c>
      <c r="J84" s="222"/>
      <c r="K84" s="222"/>
      <c r="L84" s="222">
        <f>SUM(venta_a_mes4[[#This Row],[IMPORTE NETO]:[EXENTO]])</f>
        <v>865150</v>
      </c>
      <c r="M84" s="223"/>
    </row>
    <row r="85" spans="2:13">
      <c r="B85" s="214" t="s">
        <v>248</v>
      </c>
      <c r="C85" s="41">
        <v>1</v>
      </c>
      <c r="D85" s="359">
        <v>1</v>
      </c>
      <c r="E85" s="359">
        <v>675</v>
      </c>
      <c r="F85" s="359">
        <v>30718590937</v>
      </c>
      <c r="G85" s="219" t="str">
        <f>IFERROR(IF(venta_a_mes4[[#This Row],[CUIT]]="","-",VLOOKUP(venta_a_mes4[[#This Row],[CUIT]],Lista_CUIT[#All],2,0)),"CUIT NO CARGADO")</f>
        <v>AGILE MAR SOLUTIONS S.R.L.</v>
      </c>
      <c r="H85" s="220">
        <v>715000</v>
      </c>
      <c r="I85" s="221">
        <f>venta_a_mes4[[#This Row],[IMPORTE NETO]]*0.21</f>
        <v>150150</v>
      </c>
      <c r="J85" s="222"/>
      <c r="K85" s="222"/>
      <c r="L85" s="222">
        <f>SUM(venta_a_mes4[[#This Row],[IMPORTE NETO]:[EXENTO]])</f>
        <v>865150</v>
      </c>
      <c r="M85" s="223"/>
    </row>
    <row r="86" spans="2:13">
      <c r="B86" s="214" t="s">
        <v>244</v>
      </c>
      <c r="C86" s="41">
        <v>1</v>
      </c>
      <c r="D86" s="359">
        <v>1</v>
      </c>
      <c r="E86" s="359">
        <v>676</v>
      </c>
      <c r="F86" s="359">
        <v>30708153199</v>
      </c>
      <c r="G86" s="219" t="str">
        <f>IFERROR(IF(venta_a_mes4[[#This Row],[CUIT]]="","-",VLOOKUP(venta_a_mes4[[#This Row],[CUIT]],Lista_CUIT[#All],2,0)),"CUIT NO CARGADO")</f>
        <v>BT SECURITIES ARGENTINA S. A.</v>
      </c>
      <c r="H86" s="220">
        <v>560000</v>
      </c>
      <c r="I86" s="221">
        <f>venta_a_mes4[[#This Row],[IMPORTE NETO]]*0.21</f>
        <v>117600</v>
      </c>
      <c r="J86" s="222"/>
      <c r="K86" s="222"/>
      <c r="L86" s="222">
        <f>SUM(venta_a_mes4[[#This Row],[IMPORTE NETO]:[EXENTO]])</f>
        <v>677600</v>
      </c>
      <c r="M86" s="223"/>
    </row>
    <row r="87" spans="2:13">
      <c r="B87" s="214" t="s">
        <v>251</v>
      </c>
      <c r="C87" s="41">
        <v>3</v>
      </c>
      <c r="D87" s="359">
        <v>1</v>
      </c>
      <c r="E87" s="359">
        <v>58</v>
      </c>
      <c r="F87" s="218">
        <v>30709058807</v>
      </c>
      <c r="G87" s="219" t="str">
        <f>IFERROR(IF(venta_a_mes4[[#This Row],[CUIT]]="","-",VLOOKUP(venta_a_mes4[[#This Row],[CUIT]],Lista_CUIT[#All],2,0)),"CUIT NO CARGADO")</f>
        <v>LA VALENZIANA S.R.L.</v>
      </c>
      <c r="H87" s="220">
        <v>-62743.519999999997</v>
      </c>
      <c r="I87" s="221">
        <f>venta_a_mes4[[#This Row],[IMPORTE NETO]]*0.21</f>
        <v>-13176.1392</v>
      </c>
      <c r="J87" s="222"/>
      <c r="K87" s="222"/>
      <c r="L87" s="222">
        <f>SUM(venta_a_mes4[[#This Row],[IMPORTE NETO]:[EXENTO]])</f>
        <v>-75919.659199999995</v>
      </c>
      <c r="M87" s="223"/>
    </row>
    <row r="88" spans="2:13">
      <c r="B88" s="40" t="s">
        <v>242</v>
      </c>
      <c r="C88" s="41">
        <v>3</v>
      </c>
      <c r="D88" s="359">
        <v>1</v>
      </c>
      <c r="E88" s="359">
        <v>60</v>
      </c>
      <c r="F88" s="44">
        <v>30718553357</v>
      </c>
      <c r="G88" s="99" t="str">
        <f>IFERROR(IF(venta_a_mes4[[#This Row],[CUIT]]="","-",VLOOKUP(venta_a_mes4[[#This Row],[CUIT]],Lista_CUIT[#All],2,0)),"CUIT NO CARGADO")</f>
        <v>EMIGRA CON TU MASCOTA S.R.L.</v>
      </c>
      <c r="H88" s="100">
        <v>-590909.1</v>
      </c>
      <c r="I88" s="101">
        <f>venta_a_mes4[[#This Row],[IMPORTE NETO]]*0.21</f>
        <v>-124090.91099999999</v>
      </c>
      <c r="J88" s="65"/>
      <c r="K88" s="65"/>
      <c r="L88" s="65">
        <f>SUM(venta_a_mes4[[#This Row],[IMPORTE NETO]:[EXENTO]])</f>
        <v>-715000.01099999994</v>
      </c>
      <c r="M88" s="59"/>
    </row>
    <row r="89" spans="2:13">
      <c r="B89" s="40" t="s">
        <v>242</v>
      </c>
      <c r="C89" s="41">
        <v>3</v>
      </c>
      <c r="D89" s="359">
        <v>1</v>
      </c>
      <c r="E89" s="359">
        <v>61</v>
      </c>
      <c r="F89" s="44">
        <v>30708404485</v>
      </c>
      <c r="G89" s="99" t="str">
        <f>IFERROR(IF(venta_a_mes4[[#This Row],[CUIT]]="","-",VLOOKUP(venta_a_mes4[[#This Row],[CUIT]],Lista_CUIT[#All],2,0)),"CUIT NO CARGADO")</f>
        <v>SOLDARGEN S.A.</v>
      </c>
      <c r="H89" s="100">
        <v>-590909.1</v>
      </c>
      <c r="I89" s="101">
        <f>venta_a_mes4[[#This Row],[IMPORTE NETO]]*0.21</f>
        <v>-124090.91099999999</v>
      </c>
      <c r="J89" s="65"/>
      <c r="K89" s="65"/>
      <c r="L89" s="65">
        <f>SUM(venta_a_mes4[[#This Row],[IMPORTE NETO]:[EXENTO]])</f>
        <v>-715000.01099999994</v>
      </c>
      <c r="M89" s="59"/>
    </row>
    <row r="90" spans="2:13">
      <c r="B90" s="40" t="s">
        <v>242</v>
      </c>
      <c r="C90" s="41">
        <v>3</v>
      </c>
      <c r="D90" s="359">
        <v>1</v>
      </c>
      <c r="E90" s="359">
        <v>59</v>
      </c>
      <c r="F90" s="44">
        <v>30708604255</v>
      </c>
      <c r="G90" s="99" t="str">
        <f>IFERROR(IF(venta_a_mes4[[#This Row],[CUIT]]="","-",VLOOKUP(venta_a_mes4[[#This Row],[CUIT]],Lista_CUIT[#All],2,0)),"CUIT NO CARGADO")</f>
        <v>NAR TECHNOLOGIES S.R.L.</v>
      </c>
      <c r="H90" s="100">
        <v>-590909.1</v>
      </c>
      <c r="I90" s="101">
        <f>venta_a_mes4[[#This Row],[IMPORTE NETO]]*0.21</f>
        <v>-124090.91099999999</v>
      </c>
      <c r="J90" s="65"/>
      <c r="K90" s="65"/>
      <c r="L90" s="65">
        <f>SUM(venta_a_mes4[[#This Row],[IMPORTE NETO]:[EXENTO]])</f>
        <v>-715000.01099999994</v>
      </c>
      <c r="M90" s="59"/>
    </row>
    <row r="91" spans="2:13">
      <c r="B91" s="40"/>
      <c r="C91" s="41"/>
      <c r="D91" s="42"/>
      <c r="E91" s="43"/>
      <c r="F91" s="44"/>
      <c r="G91" s="99" t="str">
        <f>IFERROR(IF(venta_a_mes4[[#This Row],[CUIT]]="","-",VLOOKUP(venta_a_mes4[[#This Row],[CUIT]],Lista_CUIT[#All],2,0)),"CUIT NO CARGADO")</f>
        <v>-</v>
      </c>
      <c r="H91" s="100"/>
      <c r="I91" s="101">
        <f>venta_a_mes4[[#This Row],[IMPORTE NETO]]*0.21</f>
        <v>0</v>
      </c>
      <c r="J91" s="65"/>
      <c r="K91" s="65"/>
      <c r="L91" s="65">
        <f>SUM(venta_a_mes4[[#This Row],[IMPORTE NETO]:[EXENTO]])</f>
        <v>0</v>
      </c>
      <c r="M91" s="59"/>
    </row>
    <row r="92" spans="2:13">
      <c r="B92" s="40"/>
      <c r="C92" s="41"/>
      <c r="D92" s="42"/>
      <c r="E92" s="43"/>
      <c r="F92" s="44"/>
      <c r="G92" s="99" t="str">
        <f>IFERROR(IF(venta_a_mes4[[#This Row],[CUIT]]="","-",VLOOKUP(venta_a_mes4[[#This Row],[CUIT]],Lista_CUIT[#All],2,0)),"CUIT NO CARGADO")</f>
        <v>-</v>
      </c>
      <c r="H92" s="100"/>
      <c r="I92" s="101">
        <f>venta_a_mes4[[#This Row],[IMPORTE NETO]]*0.21</f>
        <v>0</v>
      </c>
      <c r="J92" s="65"/>
      <c r="K92" s="65"/>
      <c r="L92" s="65">
        <f>SUM(venta_a_mes4[[#This Row],[IMPORTE NETO]:[EXENTO]])</f>
        <v>0</v>
      </c>
      <c r="M92" s="63"/>
    </row>
    <row r="93" spans="2:13">
      <c r="B93" s="102"/>
      <c r="C93" s="41"/>
      <c r="D93" s="103"/>
      <c r="E93" s="104"/>
      <c r="F93" s="105"/>
      <c r="G93" s="99" t="str">
        <f>IFERROR(IF(venta_a_mes4[[#This Row],[CUIT]]="","-",VLOOKUP(venta_a_mes4[[#This Row],[CUIT]],Lista_CUIT[#All],2,0)),"CUIT NO CARGADO")</f>
        <v>-</v>
      </c>
      <c r="H93" s="106"/>
      <c r="I93" s="107">
        <f>venta_a_mes4[[#This Row],[IMPORTE NETO]]*0.21</f>
        <v>0</v>
      </c>
      <c r="J93" s="72"/>
      <c r="K93" s="72"/>
      <c r="L93" s="72">
        <f>SUM(venta_a_mes4[[#This Row],[IMPORTE NETO]:[EXENTO]])</f>
        <v>0</v>
      </c>
      <c r="M93" s="63"/>
    </row>
    <row r="94" spans="2:13">
      <c r="B94" s="108"/>
      <c r="C94" s="41"/>
      <c r="D94" s="110"/>
      <c r="E94" s="111"/>
      <c r="F94" s="112"/>
      <c r="G94" s="99" t="str">
        <f>IFERROR(IF(venta_a_mes4[[#This Row],[CUIT]]="","-",VLOOKUP(venta_a_mes4[[#This Row],[CUIT]],Lista_CUIT[#All],2,0)),"CUIT NO CARGADO")</f>
        <v>-</v>
      </c>
      <c r="H94" s="100"/>
      <c r="I94" s="101">
        <f>venta_a_mes4[[#This Row],[IMPORTE NETO]]*0.21</f>
        <v>0</v>
      </c>
      <c r="J94" s="65"/>
      <c r="K94" s="65"/>
      <c r="L94" s="65">
        <f>SUM(venta_a_mes4[[#This Row],[IMPORTE NETO]:[EXENTO]])</f>
        <v>0</v>
      </c>
      <c r="M94" s="59"/>
    </row>
    <row r="95" spans="2:13">
      <c r="B95" s="224"/>
      <c r="C95" s="41"/>
      <c r="D95" s="225"/>
      <c r="E95" s="226"/>
      <c r="F95" s="227"/>
      <c r="G95" s="228" t="str">
        <f>IFERROR(IF(venta_a_mes4[[#This Row],[CUIT]]="","-",VLOOKUP(venta_a_mes4[[#This Row],[CUIT]],Lista_CUIT[#All],2,0)),"CUIT NO CARGADO")</f>
        <v>-</v>
      </c>
      <c r="H95" s="229"/>
      <c r="I95" s="230">
        <f>venta_a_mes4[[#This Row],[IMPORTE NETO]]*0.21</f>
        <v>0</v>
      </c>
      <c r="J95" s="231"/>
      <c r="K95" s="231"/>
      <c r="L95" s="231">
        <f>SUM(venta_a_mes4[[#This Row],[IMPORTE NETO]:[EXENTO]])</f>
        <v>0</v>
      </c>
      <c r="M95" s="232"/>
    </row>
    <row r="96" spans="2:13">
      <c r="B96" s="224"/>
      <c r="C96" s="41"/>
      <c r="D96" s="225"/>
      <c r="E96" s="226"/>
      <c r="F96" s="227"/>
      <c r="G96" s="228" t="str">
        <f>IFERROR(IF(venta_a_mes4[[#This Row],[CUIT]]="","-",VLOOKUP(venta_a_mes4[[#This Row],[CUIT]],Lista_CUIT[#All],2,0)),"CUIT NO CARGADO")</f>
        <v>-</v>
      </c>
      <c r="H96" s="229"/>
      <c r="I96" s="230">
        <f>venta_a_mes4[[#This Row],[IMPORTE NETO]]*0.21</f>
        <v>0</v>
      </c>
      <c r="J96" s="231"/>
      <c r="K96" s="231"/>
      <c r="L96" s="231">
        <f>SUM(venta_a_mes4[[#This Row],[IMPORTE NETO]:[EXENTO]])</f>
        <v>0</v>
      </c>
      <c r="M96" s="232"/>
    </row>
    <row r="97" spans="2:13">
      <c r="B97" s="214"/>
      <c r="C97" s="41"/>
      <c r="D97" s="216"/>
      <c r="E97" s="217"/>
      <c r="F97" s="218"/>
      <c r="G97" s="219" t="str">
        <f>IFERROR(IF(venta_a_mes4[[#This Row],[CUIT]]="","-",VLOOKUP(venta_a_mes4[[#This Row],[CUIT]],Lista_CUIT[#All],2,0)),"CUIT NO CARGADO")</f>
        <v>-</v>
      </c>
      <c r="H97" s="220"/>
      <c r="I97" s="221">
        <f>venta_a_mes4[[#This Row],[IMPORTE NETO]]*0.21</f>
        <v>0</v>
      </c>
      <c r="J97" s="222"/>
      <c r="K97" s="222"/>
      <c r="L97" s="222">
        <f>SUM(venta_a_mes4[[#This Row],[IMPORTE NETO]:[EXENTO]])</f>
        <v>0</v>
      </c>
      <c r="M97" s="223"/>
    </row>
    <row r="98" spans="2:13">
      <c r="B98" s="214"/>
      <c r="C98" s="215"/>
      <c r="D98" s="216"/>
      <c r="E98" s="217"/>
      <c r="F98" s="218"/>
      <c r="G98" s="219" t="str">
        <f>IFERROR(IF(venta_a_mes4[[#This Row],[CUIT]]="","-",VLOOKUP(venta_a_mes4[[#This Row],[CUIT]],Lista_CUIT[#All],2,0)),"CUIT NO CARGADO")</f>
        <v>-</v>
      </c>
      <c r="H98" s="220"/>
      <c r="I98" s="221">
        <f>venta_a_mes4[[#This Row],[IMPORTE NETO]]*0.21</f>
        <v>0</v>
      </c>
      <c r="J98" s="222"/>
      <c r="K98" s="222"/>
      <c r="L98" s="222">
        <f>SUM(venta_a_mes4[[#This Row],[IMPORTE NETO]:[EXENTO]])</f>
        <v>0</v>
      </c>
      <c r="M98" s="223"/>
    </row>
    <row r="99" spans="2:13">
      <c r="B99" s="214"/>
      <c r="C99" s="215"/>
      <c r="D99" s="216"/>
      <c r="E99" s="217"/>
      <c r="F99" s="218"/>
      <c r="G99" s="219" t="str">
        <f>IFERROR(IF(venta_a_mes4[[#This Row],[CUIT]]="","-",VLOOKUP(venta_a_mes4[[#This Row],[CUIT]],Lista_CUIT[#All],2,0)),"CUIT NO CARGADO")</f>
        <v>-</v>
      </c>
      <c r="H99" s="220"/>
      <c r="I99" s="221">
        <f>venta_a_mes4[[#This Row],[IMPORTE NETO]]*0.21</f>
        <v>0</v>
      </c>
      <c r="J99" s="222"/>
      <c r="K99" s="222"/>
      <c r="L99" s="222">
        <f>SUM(venta_a_mes4[[#This Row],[IMPORTE NETO]:[EXENTO]])</f>
        <v>0</v>
      </c>
      <c r="M99" s="223"/>
    </row>
    <row r="100" spans="2:13">
      <c r="B100" s="214"/>
      <c r="C100" s="215"/>
      <c r="D100" s="216"/>
      <c r="E100" s="217"/>
      <c r="F100" s="218"/>
      <c r="G100" s="219" t="str">
        <f>IFERROR(IF(venta_a_mes4[[#This Row],[CUIT]]="","-",VLOOKUP(venta_a_mes4[[#This Row],[CUIT]],Lista_CUIT[#All],2,0)),"CUIT NO CARGADO")</f>
        <v>-</v>
      </c>
      <c r="H100" s="220"/>
      <c r="I100" s="221">
        <f>venta_a_mes4[[#This Row],[IMPORTE NETO]]*0.21</f>
        <v>0</v>
      </c>
      <c r="J100" s="222"/>
      <c r="K100" s="222"/>
      <c r="L100" s="222">
        <f>SUM(venta_a_mes4[[#This Row],[IMPORTE NETO]:[EXENTO]])</f>
        <v>0</v>
      </c>
      <c r="M100" s="223"/>
    </row>
    <row r="101" spans="2:13">
      <c r="B101" s="214"/>
      <c r="C101" s="215"/>
      <c r="D101" s="216"/>
      <c r="E101" s="217"/>
      <c r="F101" s="218"/>
      <c r="G101" s="219" t="str">
        <f>IFERROR(IF(venta_a_mes4[[#This Row],[CUIT]]="","-",VLOOKUP(venta_a_mes4[[#This Row],[CUIT]],Lista_CUIT[#All],2,0)),"CUIT NO CARGADO")</f>
        <v>-</v>
      </c>
      <c r="H101" s="220"/>
      <c r="I101" s="221">
        <f>venta_a_mes4[[#This Row],[IMPORTE NETO]]*0.21</f>
        <v>0</v>
      </c>
      <c r="J101" s="222"/>
      <c r="K101" s="222"/>
      <c r="L101" s="222">
        <f>SUM(venta_a_mes4[[#This Row],[IMPORTE NETO]:[EXENTO]])</f>
        <v>0</v>
      </c>
      <c r="M101" s="223"/>
    </row>
    <row r="102" spans="2:13">
      <c r="B102" s="214"/>
      <c r="C102" s="215"/>
      <c r="D102" s="216"/>
      <c r="E102" s="217"/>
      <c r="F102" s="218"/>
      <c r="G102" s="219" t="str">
        <f>IFERROR(IF(venta_a_mes4[[#This Row],[CUIT]]="","-",VLOOKUP(venta_a_mes4[[#This Row],[CUIT]],Lista_CUIT[#All],2,0)),"CUIT NO CARGADO")</f>
        <v>-</v>
      </c>
      <c r="H102" s="220"/>
      <c r="I102" s="221">
        <f>venta_a_mes4[[#This Row],[IMPORTE NETO]]*0.21</f>
        <v>0</v>
      </c>
      <c r="J102" s="222"/>
      <c r="K102" s="222"/>
      <c r="L102" s="222">
        <f>SUM(venta_a_mes4[[#This Row],[IMPORTE NETO]:[EXENTO]])</f>
        <v>0</v>
      </c>
      <c r="M102" s="223"/>
    </row>
    <row r="103" spans="2:13">
      <c r="B103" s="66" t="s">
        <v>91</v>
      </c>
      <c r="C103" s="67"/>
      <c r="D103" s="67"/>
      <c r="E103" s="67"/>
      <c r="F103" s="67"/>
      <c r="G103" s="67"/>
      <c r="H103" s="69">
        <f>SUBTOTAL(109,venta_a_mes4[IMPORTE NETO])</f>
        <v>8141816.8700000029</v>
      </c>
      <c r="I103" s="70">
        <f>SUBTOTAL(109,venta_a_mes4[IVA 21%])</f>
        <v>1709781.5426999996</v>
      </c>
      <c r="J103" s="71">
        <f>SUBTOTAL(109,venta_a_mes4[IVA 10,5%])</f>
        <v>0</v>
      </c>
      <c r="K103" s="71">
        <f>SUBTOTAL(109,venta_a_mes4[EXENTO])</f>
        <v>0</v>
      </c>
      <c r="L103" s="71">
        <f>SUBTOTAL(109,venta_a_mes4[TOTAL])</f>
        <v>9851598.4126999993</v>
      </c>
      <c r="M103" s="68">
        <f>SUBTOTAL(103,venta_a_mes4[Provincia])</f>
        <v>0</v>
      </c>
    </row>
    <row r="104" spans="2:13" ht="21">
      <c r="B104" s="429" t="s">
        <v>31</v>
      </c>
      <c r="C104" s="429"/>
    </row>
    <row r="105" spans="2:13" ht="15.75">
      <c r="B105" s="60" t="s">
        <v>0</v>
      </c>
      <c r="C105" s="61" t="s">
        <v>1</v>
      </c>
      <c r="D105" s="61" t="s">
        <v>21</v>
      </c>
      <c r="E105" s="61" t="s">
        <v>22</v>
      </c>
      <c r="F105" s="61" t="s">
        <v>3</v>
      </c>
      <c r="G105" s="61" t="s">
        <v>4</v>
      </c>
      <c r="H105" s="61" t="s">
        <v>23</v>
      </c>
      <c r="I105" s="61" t="s">
        <v>17</v>
      </c>
      <c r="J105" s="61" t="s">
        <v>7</v>
      </c>
      <c r="K105" s="61" t="s">
        <v>24</v>
      </c>
      <c r="L105" s="61" t="s">
        <v>10</v>
      </c>
      <c r="M105" s="62" t="s">
        <v>38</v>
      </c>
    </row>
    <row r="106" spans="2:13">
      <c r="B106" s="40"/>
      <c r="C106" s="41"/>
      <c r="D106" s="42"/>
      <c r="E106" s="43"/>
      <c r="F106" s="44"/>
      <c r="G106" s="1" t="str">
        <f>IFERROR(IF(ventas_b_mes4[[#This Row],[CUIT]]="","-",VLOOKUP(ventas_b_mes4[[#This Row],[CUIT]],Lista_CUIT[#All],2,0)),"CUIT NO CARGADO")</f>
        <v>-</v>
      </c>
      <c r="H106" s="64"/>
      <c r="I106" s="64">
        <f>ventas_b_mes4[[#This Row],[IMPORTE NETO]]*0.21</f>
        <v>0</v>
      </c>
      <c r="J106" s="64"/>
      <c r="K106" s="64"/>
      <c r="L106" s="64">
        <f>SUM(ventas_b_mes4[[#This Row],[IMPORTE NETO]:[EXENTO]])</f>
        <v>0</v>
      </c>
      <c r="M106" s="59"/>
    </row>
    <row r="107" spans="2:13">
      <c r="B107" s="40"/>
      <c r="C107" s="41"/>
      <c r="D107" s="42"/>
      <c r="E107" s="43"/>
      <c r="F107" s="44"/>
      <c r="G107" s="1" t="str">
        <f>IFERROR(IF(ventas_b_mes4[[#This Row],[CUIT]]="","-",VLOOKUP(ventas_b_mes4[[#This Row],[CUIT]],Lista_CUIT[#All],2,0)),"CUIT NO CARGADO")</f>
        <v>-</v>
      </c>
      <c r="H107" s="64"/>
      <c r="I107" s="64">
        <f>ventas_b_mes4[[#This Row],[IMPORTE NETO]]*0.21</f>
        <v>0</v>
      </c>
      <c r="J107" s="64"/>
      <c r="K107" s="64"/>
      <c r="L107" s="64">
        <f>SUM(ventas_b_mes4[[#This Row],[IMPORTE NETO]:[EXENTO]])</f>
        <v>0</v>
      </c>
      <c r="M107" s="59"/>
    </row>
    <row r="108" spans="2:13">
      <c r="B108" s="40"/>
      <c r="C108" s="41"/>
      <c r="D108" s="42"/>
      <c r="E108" s="43"/>
      <c r="F108" s="44"/>
      <c r="G108" s="1"/>
      <c r="H108" s="64"/>
      <c r="I108" s="64">
        <f>ventas_b_mes4[[#This Row],[IMPORTE NETO]]*0.21</f>
        <v>0</v>
      </c>
      <c r="J108" s="64"/>
      <c r="K108" s="64"/>
      <c r="L108" s="64">
        <f>SUM(ventas_b_mes4[[#This Row],[IMPORTE NETO]:[EXENTO]])</f>
        <v>0</v>
      </c>
      <c r="M108" s="59"/>
    </row>
    <row r="109" spans="2:13">
      <c r="B109" s="40"/>
      <c r="C109" s="41"/>
      <c r="D109" s="42"/>
      <c r="E109" s="43"/>
      <c r="F109" s="44"/>
      <c r="G109" s="1"/>
      <c r="H109" s="64"/>
      <c r="I109" s="64">
        <f>ventas_b_mes4[[#This Row],[IMPORTE NETO]]*0.21</f>
        <v>0</v>
      </c>
      <c r="J109" s="64"/>
      <c r="K109" s="64"/>
      <c r="L109" s="64">
        <f>SUM(ventas_b_mes4[[#This Row],[IMPORTE NETO]:[EXENTO]])</f>
        <v>0</v>
      </c>
      <c r="M109" s="59"/>
    </row>
    <row r="110" spans="2:13">
      <c r="B110" s="40"/>
      <c r="C110" s="41"/>
      <c r="D110" s="42"/>
      <c r="E110" s="43"/>
      <c r="F110" s="44"/>
      <c r="G110" s="1"/>
      <c r="H110" s="64"/>
      <c r="I110" s="64">
        <f>ventas_b_mes4[[#This Row],[IMPORTE NETO]]*0.21</f>
        <v>0</v>
      </c>
      <c r="J110" s="64"/>
      <c r="K110" s="64"/>
      <c r="L110" s="64">
        <f>SUM(ventas_b_mes4[[#This Row],[IMPORTE NETO]:[EXENTO]])</f>
        <v>0</v>
      </c>
      <c r="M110" s="59"/>
    </row>
    <row r="111" spans="2:13">
      <c r="B111" s="40"/>
      <c r="C111" s="41"/>
      <c r="D111" s="42"/>
      <c r="E111" s="43"/>
      <c r="F111" s="44"/>
      <c r="G111" s="1"/>
      <c r="H111" s="64"/>
      <c r="I111" s="64">
        <f>ventas_b_mes4[[#This Row],[IMPORTE NETO]]*0.21</f>
        <v>0</v>
      </c>
      <c r="J111" s="64"/>
      <c r="K111" s="64"/>
      <c r="L111" s="64">
        <f>SUM(ventas_b_mes4[[#This Row],[IMPORTE NETO]:[EXENTO]])</f>
        <v>0</v>
      </c>
      <c r="M111" s="59"/>
    </row>
    <row r="112" spans="2:13">
      <c r="B112" s="66" t="s">
        <v>91</v>
      </c>
      <c r="C112" s="67"/>
      <c r="D112" s="67"/>
      <c r="E112" s="67"/>
      <c r="F112" s="67"/>
      <c r="G112" s="67"/>
      <c r="H112" s="77">
        <f>SUBTOTAL(109,ventas_b_mes4[IMPORTE NETO])</f>
        <v>0</v>
      </c>
      <c r="I112" s="77">
        <f>SUBTOTAL(109,ventas_b_mes4[IVA 21%])</f>
        <v>0</v>
      </c>
      <c r="J112" s="78">
        <f>SUBTOTAL(109,ventas_b_mes4[IVA 10,5%])</f>
        <v>0</v>
      </c>
      <c r="K112" s="78">
        <f>SUBTOTAL(109,ventas_b_mes4[EXENTO])</f>
        <v>0</v>
      </c>
      <c r="L112" s="78">
        <f>SUBTOTAL(109,ventas_b_mes4[TOTAL])</f>
        <v>0</v>
      </c>
      <c r="M112" s="68">
        <f>SUBTOTAL(103,ventas_b_mes4[Provincia])</f>
        <v>0</v>
      </c>
    </row>
    <row r="119" spans="3:12" ht="15.75" thickBot="1"/>
    <row r="120" spans="3:12" ht="15.75" thickTop="1">
      <c r="C120" s="443" t="s">
        <v>66</v>
      </c>
      <c r="D120" s="443"/>
      <c r="E120" s="443"/>
      <c r="F120" s="443"/>
      <c r="G120" s="443"/>
      <c r="H120" s="32"/>
      <c r="I120" s="32"/>
      <c r="J120" s="32"/>
    </row>
    <row r="121" spans="3:12" ht="15.75">
      <c r="C121" s="113" t="s">
        <v>67</v>
      </c>
      <c r="D121" s="114" t="s">
        <v>68</v>
      </c>
      <c r="E121" s="114" t="s">
        <v>93</v>
      </c>
      <c r="F121" s="114" t="s">
        <v>3</v>
      </c>
      <c r="G121" s="114" t="s">
        <v>4</v>
      </c>
      <c r="H121" s="115" t="s">
        <v>69</v>
      </c>
      <c r="I121" s="115" t="s">
        <v>70</v>
      </c>
      <c r="J121" s="115" t="s">
        <v>71</v>
      </c>
      <c r="K121" s="115" t="s">
        <v>72</v>
      </c>
      <c r="L121" s="115" t="s">
        <v>73</v>
      </c>
    </row>
    <row r="122" spans="3:12">
      <c r="C122" s="116"/>
      <c r="D122" s="117"/>
      <c r="E122" s="117"/>
      <c r="F122" s="118"/>
      <c r="G122" s="53" t="str">
        <f>IFERROR(IF(Retenciones_mes4[[#This Row],[CUIT]]="","-",VLOOKUP(Retenciones_mes4[[#This Row],[CUIT]],Lista_CUIT[#All],2,0)),"CUIT NO CARGADO")</f>
        <v>-</v>
      </c>
      <c r="H122" s="119"/>
      <c r="I122" s="119"/>
      <c r="J122" s="119"/>
      <c r="K122" s="119"/>
      <c r="L122" s="119"/>
    </row>
    <row r="123" spans="3:12">
      <c r="C123" s="116"/>
      <c r="D123" s="117"/>
      <c r="E123" s="117"/>
      <c r="F123" s="118"/>
      <c r="G123" s="53" t="str">
        <f>IFERROR(IF(Retenciones_mes4[[#This Row],[CUIT]]="","-",VLOOKUP(Retenciones_mes4[[#This Row],[CUIT]],Lista_CUIT[#All],2,0)),"CUIT NO CARGADO")</f>
        <v>-</v>
      </c>
      <c r="H123" s="119"/>
      <c r="I123" s="119"/>
      <c r="J123" s="119"/>
      <c r="K123" s="119"/>
      <c r="L123" s="119"/>
    </row>
    <row r="124" spans="3:12">
      <c r="C124" s="116"/>
      <c r="D124" s="117"/>
      <c r="E124" s="117"/>
      <c r="F124" s="118"/>
      <c r="G124" s="53" t="str">
        <f>IFERROR(IF(Retenciones_mes4[[#This Row],[CUIT]]="","-",VLOOKUP(Retenciones_mes4[[#This Row],[CUIT]],Lista_CUIT[#All],2,0)),"CUIT NO CARGADO")</f>
        <v>-</v>
      </c>
      <c r="H124" s="119"/>
      <c r="I124" s="119"/>
      <c r="J124" s="119"/>
      <c r="K124" s="119"/>
      <c r="L124" s="119"/>
    </row>
    <row r="125" spans="3:12">
      <c r="C125" s="116"/>
      <c r="D125" s="117"/>
      <c r="E125" s="117"/>
      <c r="F125" s="118"/>
      <c r="G125" s="53" t="str">
        <f>IFERROR(IF(Retenciones_mes4[[#This Row],[CUIT]]="","-",VLOOKUP(Retenciones_mes4[[#This Row],[CUIT]],Lista_CUIT[#All],2,0)),"CUIT NO CARGADO")</f>
        <v>-</v>
      </c>
      <c r="H125" s="119"/>
      <c r="I125" s="119"/>
      <c r="J125" s="119"/>
      <c r="K125" s="119"/>
      <c r="L125" s="119"/>
    </row>
    <row r="126" spans="3:12">
      <c r="D126" s="117"/>
      <c r="E126" s="117"/>
      <c r="G126" s="53" t="str">
        <f>IFERROR(IF(Retenciones_mes4[[#This Row],[CUIT]]="","-",VLOOKUP(Retenciones_mes4[[#This Row],[CUIT]],Lista_CUIT[#All],2,0)),"CUIT NO CARGADO")</f>
        <v>-</v>
      </c>
    </row>
    <row r="127" spans="3:12">
      <c r="C127" s="33"/>
    </row>
  </sheetData>
  <mergeCells count="20">
    <mergeCell ref="C120:G120"/>
    <mergeCell ref="B4:E4"/>
    <mergeCell ref="G4:H4"/>
    <mergeCell ref="J4:K4"/>
    <mergeCell ref="M4:N4"/>
    <mergeCell ref="D52:K52"/>
    <mergeCell ref="B70:J70"/>
    <mergeCell ref="K70:M70"/>
    <mergeCell ref="B72:C72"/>
    <mergeCell ref="B104:C104"/>
    <mergeCell ref="P4:R4"/>
    <mergeCell ref="D43:L43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3">
    <dataValidation type="custom" allowBlank="1" showInputMessage="1" showErrorMessage="1" sqref="H106:L111" xr:uid="{6EE3ED1C-BE8C-4F8A-903F-0DEC4492A7ED}">
      <formula1>IF($C106=8,H106&lt;0,H106&gt;=0)</formula1>
    </dataValidation>
    <dataValidation type="whole" allowBlank="1" showInputMessage="1" showErrorMessage="1" sqref="C106:C111" xr:uid="{BD093722-704A-4D0E-A977-8D15848239DE}">
      <formula1>6</formula1>
      <formula2>8</formula2>
    </dataValidation>
    <dataValidation type="custom" allowBlank="1" showInputMessage="1" showErrorMessage="1" sqref="H74:K74 H88:K88 H90:K90 H92:K92" xr:uid="{FCC507B8-553B-482E-9234-A8A5114FD77B}">
      <formula1>IF($C74=3,H74&lt;0,H74&gt;=0)</formula1>
    </dataValidation>
    <dataValidation type="whole" allowBlank="1" showInputMessage="1" showErrorMessage="1" sqref="C39:C42 C9:C37 C74:C102" xr:uid="{9AEB3F8B-BF83-46C4-B152-6C489C5FE630}">
      <formula1>1</formula1>
      <formula2>3</formula2>
    </dataValidation>
    <dataValidation type="date" allowBlank="1" showInputMessage="1" showErrorMessage="1" sqref="D45:D47 D54:D65 B39:B42 B106:B111 B9:B37 B74:B102" xr:uid="{B156D708-5B38-4599-9443-3F7DE1B0BC51}">
      <formula1>40179</formula1>
      <formula2>TODAY()</formula2>
    </dataValidation>
    <dataValidation type="whole" allowBlank="1" showInputMessage="1" showErrorMessage="1" sqref="G54:G65 F106:F111 F9:F37 F74:F102" xr:uid="{1E974FC9-BEDA-48CF-94E1-027D28EF06BB}">
      <formula1>20000000000</formula1>
      <formula2>33999999999</formula2>
    </dataValidation>
    <dataValidation type="whole" allowBlank="1" showInputMessage="1" showErrorMessage="1" sqref="F54:F65 E106:E111 E9:E37 E74:E102" xr:uid="{33A3E9CF-2850-4DD0-86DD-7323C5908E3C}">
      <formula1>1</formula1>
      <formula2>99999999</formula2>
    </dataValidation>
    <dataValidation type="whole" allowBlank="1" showInputMessage="1" showErrorMessage="1" sqref="E54:E65 D106:D111 D9:D37 D74:D102" xr:uid="{E6154A13-DD9C-4564-8AAC-E7203314737F}">
      <formula1>1</formula1>
      <formula2>9999</formula2>
    </dataValidation>
    <dataValidation type="custom" allowBlank="1" showInputMessage="1" showErrorMessage="1" sqref="L91:L92" xr:uid="{13E2E299-4C1F-4436-91AD-D452ABD5E5C6}">
      <formula1>IF($C38=3,L38&lt;0,L38&gt;=0)</formula1>
    </dataValidation>
    <dataValidation type="custom" allowBlank="1" showInputMessage="1" showErrorMessage="1" sqref="L88:L90" xr:uid="{D95122D4-358D-4BD9-88E1-4C38FB7A7261}">
      <formula1>IF($C16=3,L16&lt;0,L16&gt;=0)</formula1>
    </dataValidation>
    <dataValidation type="custom" allowBlank="1" showInputMessage="1" showErrorMessage="1" sqref="L84:L87" xr:uid="{F1F52821-35CF-4087-ABB4-7A32833C8970}">
      <formula1>IF($C13=3,L13&lt;0,L13&gt;=0)</formula1>
    </dataValidation>
    <dataValidation type="custom" allowBlank="1" showInputMessage="1" showErrorMessage="1" sqref="L74:L83" xr:uid="{20E3D56A-6CBE-4357-83C2-CB955495B01D}">
      <formula1>IF($C9=3,L9&lt;0,L9&gt;=0)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1 H13:O37 H12:N12" xr:uid="{A6803C0B-ED0E-4898-A45F-D9374167DC27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9" tint="0.79998168889431442"/>
  </sheetPr>
  <dimension ref="A1:Z98"/>
  <sheetViews>
    <sheetView showGridLines="0" topLeftCell="A78" zoomScaleNormal="100" workbookViewId="0">
      <selection activeCell="H77" sqref="H77:H79"/>
    </sheetView>
  </sheetViews>
  <sheetFormatPr baseColWidth="10" defaultColWidth="0" defaultRowHeight="1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7.5703125" customWidth="1"/>
    <col min="9" max="9" width="15.140625" customWidth="1"/>
    <col min="10" max="10" width="19.85546875" customWidth="1"/>
    <col min="11" max="11" width="11.140625" customWidth="1"/>
    <col min="12" max="12" width="15.140625" bestFit="1" customWidth="1"/>
    <col min="13" max="13" width="14.7109375" bestFit="1" customWidth="1"/>
    <col min="14" max="14" width="14.85546875" bestFit="1" customWidth="1"/>
    <col min="15" max="15" width="11" customWidth="1"/>
    <col min="16" max="16" width="19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430" t="s">
        <v>28</v>
      </c>
      <c r="C1" s="430"/>
      <c r="D1" s="430"/>
      <c r="E1" s="430"/>
      <c r="F1" s="430"/>
      <c r="G1" s="431" t="str">
        <f>'Ene-26'!G1:M1</f>
        <v>RABLEB SRL</v>
      </c>
      <c r="H1" s="431"/>
      <c r="I1" s="431"/>
      <c r="J1" s="431"/>
      <c r="K1" s="431"/>
      <c r="L1" s="431"/>
      <c r="M1" s="431"/>
      <c r="N1" s="427">
        <f>EDATE('Ene-26'!N1,4)</f>
        <v>46143</v>
      </c>
      <c r="O1" s="427"/>
      <c r="P1" s="427"/>
      <c r="Q1" s="427"/>
      <c r="R1" s="427"/>
    </row>
    <row r="2" spans="1:26" ht="15" customHeight="1"/>
    <row r="3" spans="1:26" ht="26.45" customHeight="1">
      <c r="B3" s="433" t="s">
        <v>65</v>
      </c>
      <c r="C3" s="433"/>
      <c r="D3" s="433"/>
      <c r="E3" s="433"/>
      <c r="F3" s="38"/>
      <c r="G3" s="433" t="s">
        <v>37</v>
      </c>
      <c r="H3" s="433"/>
      <c r="I3" s="38"/>
      <c r="J3" s="441" t="s">
        <v>14</v>
      </c>
      <c r="K3" s="441"/>
      <c r="L3" s="38"/>
      <c r="M3" s="441" t="s">
        <v>12</v>
      </c>
      <c r="N3" s="441"/>
      <c r="O3" s="38"/>
      <c r="P3" s="439" t="s">
        <v>90</v>
      </c>
      <c r="Q3" s="439"/>
      <c r="R3" s="439"/>
    </row>
    <row r="4" spans="1:26" ht="25.15" customHeight="1">
      <c r="B4" s="434">
        <f>SUM(compras_mes5[[#Totals],[NETO GRAVADO]])+extracto_banco_mes5[[#Totals],[NETO]]</f>
        <v>0</v>
      </c>
      <c r="C4" s="434"/>
      <c r="D4" s="434"/>
      <c r="E4" s="434"/>
      <c r="F4" s="39"/>
      <c r="G4" s="435">
        <f>compras_mes5[[#Totals],[IVA 21 %]]+compras_mes5[[#Totals],[IVA 27%]]+compras_mes5[[#Totals],[IVA 10,5%]]+extracto_banco_mes5[[#Totals],[IVA 21%]]+extracto_banco_mes5[[#Totals],[IVA 10,5%]]</f>
        <v>0</v>
      </c>
      <c r="H4" s="435"/>
      <c r="I4" s="39"/>
      <c r="J4" s="442">
        <f>venta_a_mes5[[#Totals],[IMPORTE NETO]]+ventas_b_mes5[[#Totals],[IMPORTE NETO]]</f>
        <v>0</v>
      </c>
      <c r="K4" s="442"/>
      <c r="L4" s="39"/>
      <c r="M4" s="442">
        <f>venta_a_mes5[[#Totals],[IVA 21%]]+venta_a_mes5[[#Totals],[IVA 10,5%]]+ventas_b_mes5[[#Totals],[IVA 21%]]+ventas_b_mes5[[#Totals],[IVA 10,5%]]</f>
        <v>0</v>
      </c>
      <c r="N4" s="442"/>
      <c r="O4" s="39"/>
      <c r="P4" s="437">
        <f>G4-M4</f>
        <v>0</v>
      </c>
      <c r="Q4" s="438"/>
      <c r="R4" s="438"/>
    </row>
    <row r="5" spans="1:26" ht="13.15" customHeight="1"/>
    <row r="6" spans="1:26" ht="10.9" customHeight="1"/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40"/>
      <c r="C9" s="41"/>
      <c r="D9" s="42"/>
      <c r="E9" s="43"/>
      <c r="F9" s="44"/>
      <c r="G9" s="45" t="str">
        <f>IFERROR(IF(compras_mes5[[#This Row],[CUIT]]="","-",VLOOKUP(compras_mes5[[#This Row],[CUIT]],Lista_CUIT[#All],2,0)),"CUIT NO CARGADO")</f>
        <v>-</v>
      </c>
      <c r="H9" s="46"/>
      <c r="I9" s="85" t="str">
        <f>IF(compras_mes5[[#This Row],[NETO GRAVADO]]="","",compras_mes5[[#This Row],[NETO GRAVADO]]*0.21)</f>
        <v/>
      </c>
      <c r="J9" s="85"/>
      <c r="K9" s="85"/>
      <c r="L9" s="85"/>
      <c r="M9" s="85"/>
      <c r="N9" s="85"/>
      <c r="O9" s="85"/>
      <c r="P9" s="48">
        <f>SUM(compras_mes5[[#This Row],[NETO GRAVADO]:[Otros / No Grav.]])</f>
        <v>0</v>
      </c>
      <c r="Q9" s="49" t="str">
        <f>IFERROR(IF(compras_mes5[[#This Row],[CUIT]]="","-",VLOOKUP(compras_mes5[[#This Row],[CUIT]],Lista_CUIT[#All],3,0)),"CUIT NO CARGADO")</f>
        <v>-</v>
      </c>
      <c r="R9" s="49" t="str">
        <f>IFERROR(IF(compras_mes5[[#This Row],[CUIT]]="","-",VLOOKUP(compras_mes5[[#This Row],[CUIT]],Lista_CUIT[#All],4,0)),"CUIT NO CARGADO")</f>
        <v>-</v>
      </c>
    </row>
    <row r="10" spans="1:26">
      <c r="B10" s="40"/>
      <c r="C10" s="41"/>
      <c r="D10" s="42"/>
      <c r="E10" s="43"/>
      <c r="F10" s="44"/>
      <c r="G10" s="45" t="str">
        <f>IFERROR(IF(compras_mes5[[#This Row],[CUIT]]="","-",VLOOKUP(compras_mes5[[#This Row],[CUIT]],Lista_CUIT[#All],2,0)),"CUIT NO CARGADO")</f>
        <v>-</v>
      </c>
      <c r="H10" s="46"/>
      <c r="I10" s="85" t="str">
        <f>IF(compras_mes5[[#This Row],[NETO GRAVADO]]="","",compras_mes5[[#This Row],[NETO GRAVADO]]*0.21)</f>
        <v/>
      </c>
      <c r="J10" s="85"/>
      <c r="K10" s="85"/>
      <c r="L10" s="85"/>
      <c r="M10" s="85"/>
      <c r="N10" s="85"/>
      <c r="O10" s="85"/>
      <c r="P10" s="48">
        <f>SUM(compras_mes5[[#This Row],[NETO GRAVADO]:[Otros / No Grav.]])</f>
        <v>0</v>
      </c>
      <c r="Q10" s="49" t="str">
        <f>IFERROR(IF(compras_mes5[[#This Row],[CUIT]]="","-",VLOOKUP(compras_mes5[[#This Row],[CUIT]],Lista_CUIT[#All],3,0)),"CUIT NO CARGADO")</f>
        <v>-</v>
      </c>
      <c r="R10" s="49" t="str">
        <f>IFERROR(IF(compras_mes5[[#This Row],[CUIT]]="","-",VLOOKUP(compras_mes5[[#This Row],[CUIT]],Lista_CUIT[#All],4,0)),"CUIT NO CARGADO")</f>
        <v>-</v>
      </c>
    </row>
    <row r="11" spans="1:26">
      <c r="B11" s="89"/>
      <c r="C11" s="90"/>
      <c r="D11" s="91"/>
      <c r="E11" s="92"/>
      <c r="F11" s="93"/>
      <c r="G11" s="94" t="str">
        <f>IFERROR(IF(compras_mes5[[#This Row],[CUIT]]="","-",VLOOKUP(compras_mes5[[#This Row],[CUIT]],Lista_CUIT[#All],2,0)),"CUIT NO CARGADO")</f>
        <v>-</v>
      </c>
      <c r="H11" s="95"/>
      <c r="I11" s="86" t="str">
        <f>IF(compras_mes5[[#This Row],[NETO GRAVADO]]="","",compras_mes5[[#This Row],[NETO GRAVADO]]*0.21)</f>
        <v/>
      </c>
      <c r="J11" s="86"/>
      <c r="K11" s="86"/>
      <c r="L11" s="86"/>
      <c r="M11" s="86"/>
      <c r="N11" s="86"/>
      <c r="O11" s="86"/>
      <c r="P11" s="87">
        <f>SUM(compras_mes5[[#This Row],[NETO GRAVADO]:[Otros / No Grav.]])</f>
        <v>0</v>
      </c>
      <c r="Q11" s="88" t="str">
        <f>IFERROR(IF(compras_mes5[[#This Row],[CUIT]]="","-",VLOOKUP(compras_mes5[[#This Row],[CUIT]],Lista_CUIT[#All],3,0)),"CUIT NO CARGADO")</f>
        <v>-</v>
      </c>
      <c r="R11" s="88" t="str">
        <f>IFERROR(IF(compras_mes5[[#This Row],[CUIT]]="","-",VLOOKUP(compras_mes5[[#This Row],[CUIT]],Lista_CUIT[#All],4,0)),"CUIT NO CARGADO")</f>
        <v>-</v>
      </c>
    </row>
    <row r="12" spans="1:26">
      <c r="B12" s="89"/>
      <c r="C12" s="90"/>
      <c r="D12" s="91"/>
      <c r="E12" s="92"/>
      <c r="F12" s="93"/>
      <c r="G12" s="94" t="str">
        <f>IFERROR(IF(compras_mes5[[#This Row],[CUIT]]="","-",VLOOKUP(compras_mes5[[#This Row],[CUIT]],Lista_CUIT[#All],2,0)),"CUIT NO CARGADO")</f>
        <v>-</v>
      </c>
      <c r="H12" s="95"/>
      <c r="I12" s="86" t="str">
        <f>IF(compras_mes5[[#This Row],[NETO GRAVADO]]="","",compras_mes5[[#This Row],[NETO GRAVADO]]*0.21)</f>
        <v/>
      </c>
      <c r="J12" s="86"/>
      <c r="K12" s="86"/>
      <c r="L12" s="86"/>
      <c r="M12" s="86"/>
      <c r="N12" s="86"/>
      <c r="O12" s="86"/>
      <c r="P12" s="87">
        <f>SUM(compras_mes5[[#This Row],[NETO GRAVADO]:[Otros / No Grav.]])</f>
        <v>0</v>
      </c>
      <c r="Q12" s="88" t="str">
        <f>IFERROR(IF(compras_mes5[[#This Row],[CUIT]]="","-",VLOOKUP(compras_mes5[[#This Row],[CUIT]],Lista_CUIT[#All],3,0)),"CUIT NO CARGADO")</f>
        <v>-</v>
      </c>
      <c r="R12" s="88" t="str">
        <f>IFERROR(IF(compras_mes5[[#This Row],[CUIT]]="","-",VLOOKUP(compras_mes5[[#This Row],[CUIT]],Lista_CUIT[#All],4,0)),"CUIT NO CARGADO")</f>
        <v>-</v>
      </c>
    </row>
    <row r="13" spans="1:26">
      <c r="B13" s="40"/>
      <c r="C13" s="41"/>
      <c r="D13" s="42"/>
      <c r="E13" s="43"/>
      <c r="F13" s="44"/>
      <c r="G13" s="45" t="str">
        <f>IFERROR(IF(compras_mes5[[#This Row],[CUIT]]="","-",VLOOKUP(compras_mes5[[#This Row],[CUIT]],Lista_CUIT[#All],2,0)),"CUIT NO CARGADO")</f>
        <v>-</v>
      </c>
      <c r="H13" s="46"/>
      <c r="I13" s="85" t="str">
        <f>IF(compras_mes5[[#This Row],[NETO GRAVADO]]="","",compras_mes5[[#This Row],[NETO GRAVADO]]*0.21)</f>
        <v/>
      </c>
      <c r="J13" s="85"/>
      <c r="K13" s="85"/>
      <c r="L13" s="85"/>
      <c r="M13" s="85"/>
      <c r="N13" s="85"/>
      <c r="O13" s="85"/>
      <c r="P13" s="48">
        <f>SUM(compras_mes5[[#This Row],[NETO GRAVADO]:[Otros / No Grav.]])</f>
        <v>0</v>
      </c>
      <c r="Q13" s="49" t="str">
        <f>IFERROR(IF(compras_mes5[[#This Row],[CUIT]]="","-",VLOOKUP(compras_mes5[[#This Row],[CUIT]],Lista_CUIT[#All],3,0)),"CUIT NO CARGADO")</f>
        <v>-</v>
      </c>
      <c r="R13" s="49" t="str">
        <f>IFERROR(IF(compras_mes5[[#This Row],[CUIT]]="","-",VLOOKUP(compras_mes5[[#This Row],[CUIT]],Lista_CUIT[#All],4,0)),"CUIT NO CARGADO")</f>
        <v>-</v>
      </c>
    </row>
    <row r="14" spans="1:26">
      <c r="B14" s="233"/>
      <c r="C14" s="234"/>
      <c r="D14" s="235"/>
      <c r="E14" s="236"/>
      <c r="F14" s="237"/>
      <c r="G14" s="238" t="str">
        <f>IFERROR(IF(compras_mes5[[#This Row],[CUIT]]="","-",VLOOKUP(compras_mes5[[#This Row],[CUIT]],Lista_CUIT[#All],2,0)),"CUIT NO CARGADO")</f>
        <v>-</v>
      </c>
      <c r="H14" s="239"/>
      <c r="I14" s="241" t="str">
        <f>IF(compras_mes5[[#This Row],[NETO GRAVADO]]="","",compras_mes5[[#This Row],[NETO GRAVADO]]*0.21)</f>
        <v/>
      </c>
      <c r="J14" s="241"/>
      <c r="K14" s="241"/>
      <c r="L14" s="241"/>
      <c r="M14" s="241"/>
      <c r="N14" s="241"/>
      <c r="O14" s="241"/>
      <c r="P14" s="243">
        <f>SUM(compras_mes5[[#This Row],[NETO GRAVADO]:[Otros / No Grav.]])</f>
        <v>0</v>
      </c>
      <c r="Q14" s="242" t="str">
        <f>IFERROR(IF(compras_mes5[[#This Row],[CUIT]]="","-",VLOOKUP(compras_mes5[[#This Row],[CUIT]],Lista_CUIT[#All],3,0)),"CUIT NO CARGADO")</f>
        <v>-</v>
      </c>
      <c r="R14" s="242" t="str">
        <f>IFERROR(IF(compras_mes5[[#This Row],[CUIT]]="","-",VLOOKUP(compras_mes5[[#This Row],[CUIT]],Lista_CUIT[#All],4,0)),"CUIT NO CARGADO")</f>
        <v>-</v>
      </c>
    </row>
    <row r="15" spans="1:26">
      <c r="B15" s="233"/>
      <c r="C15" s="234"/>
      <c r="D15" s="235"/>
      <c r="E15" s="236"/>
      <c r="F15" s="237"/>
      <c r="G15" s="238" t="str">
        <f>IFERROR(IF(compras_mes5[[#This Row],[CUIT]]="","-",VLOOKUP(compras_mes5[[#This Row],[CUIT]],Lista_CUIT[#All],2,0)),"CUIT NO CARGADO")</f>
        <v>-</v>
      </c>
      <c r="H15" s="239"/>
      <c r="I15" s="241" t="str">
        <f>IF(compras_mes5[[#This Row],[NETO GRAVADO]]="","",compras_mes5[[#This Row],[NETO GRAVADO]]*0.21)</f>
        <v/>
      </c>
      <c r="J15" s="241"/>
      <c r="K15" s="241"/>
      <c r="L15" s="241"/>
      <c r="M15" s="241"/>
      <c r="N15" s="241"/>
      <c r="O15" s="241"/>
      <c r="P15" s="243">
        <f>SUM(compras_mes5[[#This Row],[NETO GRAVADO]:[Otros / No Grav.]])</f>
        <v>0</v>
      </c>
      <c r="Q15" s="242" t="str">
        <f>IFERROR(IF(compras_mes5[[#This Row],[CUIT]]="","-",VLOOKUP(compras_mes5[[#This Row],[CUIT]],Lista_CUIT[#All],3,0)),"CUIT NO CARGADO")</f>
        <v>-</v>
      </c>
      <c r="R15" s="242" t="str">
        <f>IFERROR(IF(compras_mes5[[#This Row],[CUIT]]="","-",VLOOKUP(compras_mes5[[#This Row],[CUIT]],Lista_CUIT[#All],4,0)),"CUIT NO CARGADO")</f>
        <v>-</v>
      </c>
    </row>
    <row r="16" spans="1:26">
      <c r="B16" s="233"/>
      <c r="C16" s="234"/>
      <c r="D16" s="235"/>
      <c r="E16" s="236"/>
      <c r="F16" s="237"/>
      <c r="G16" s="238" t="str">
        <f>IFERROR(IF(compras_mes5[[#This Row],[CUIT]]="","-",VLOOKUP(compras_mes5[[#This Row],[CUIT]],Lista_CUIT[#All],2,0)),"CUIT NO CARGADO")</f>
        <v>-</v>
      </c>
      <c r="H16" s="239"/>
      <c r="I16" s="241" t="str">
        <f>IF(compras_mes5[[#This Row],[NETO GRAVADO]]="","",compras_mes5[[#This Row],[NETO GRAVADO]]*0.21)</f>
        <v/>
      </c>
      <c r="J16" s="241"/>
      <c r="K16" s="241"/>
      <c r="L16" s="241"/>
      <c r="M16" s="241"/>
      <c r="N16" s="241"/>
      <c r="O16" s="241"/>
      <c r="P16" s="243">
        <f>SUM(compras_mes5[[#This Row],[NETO GRAVADO]:[Otros / No Grav.]])</f>
        <v>0</v>
      </c>
      <c r="Q16" s="242" t="str">
        <f>IFERROR(IF(compras_mes5[[#This Row],[CUIT]]="","-",VLOOKUP(compras_mes5[[#This Row],[CUIT]],Lista_CUIT[#All],3,0)),"CUIT NO CARGADO")</f>
        <v>-</v>
      </c>
      <c r="R16" s="242" t="str">
        <f>IFERROR(IF(compras_mes5[[#This Row],[CUIT]]="","-",VLOOKUP(compras_mes5[[#This Row],[CUIT]],Lista_CUIT[#All],4,0)),"CUIT NO CARGADO")</f>
        <v>-</v>
      </c>
    </row>
    <row r="17" spans="2:18" ht="14.45" customHeight="1">
      <c r="B17" s="233"/>
      <c r="C17" s="234"/>
      <c r="D17" s="235"/>
      <c r="E17" s="236"/>
      <c r="F17" s="237"/>
      <c r="G17" s="238" t="str">
        <f>IFERROR(IF(compras_mes5[[#This Row],[CUIT]]="","-",VLOOKUP(compras_mes5[[#This Row],[CUIT]],Lista_CUIT[#All],2,0)),"CUIT NO CARGADO")</f>
        <v>-</v>
      </c>
      <c r="H17" s="239"/>
      <c r="I17" s="241" t="str">
        <f>IF(compras_mes5[[#This Row],[NETO GRAVADO]]="","",compras_mes5[[#This Row],[NETO GRAVADO]]*0.21)</f>
        <v/>
      </c>
      <c r="J17" s="241"/>
      <c r="K17" s="241"/>
      <c r="L17" s="241"/>
      <c r="M17" s="241"/>
      <c r="N17" s="241"/>
      <c r="O17" s="241"/>
      <c r="P17" s="243">
        <f>SUM(compras_mes5[[#This Row],[NETO GRAVADO]:[Otros / No Grav.]])</f>
        <v>0</v>
      </c>
      <c r="Q17" s="242" t="str">
        <f>IFERROR(IF(compras_mes5[[#This Row],[CUIT]]="","-",VLOOKUP(compras_mes5[[#This Row],[CUIT]],Lista_CUIT[#All],3,0)),"CUIT NO CARGADO")</f>
        <v>-</v>
      </c>
      <c r="R17" s="242" t="str">
        <f>IFERROR(IF(compras_mes5[[#This Row],[CUIT]]="","-",VLOOKUP(compras_mes5[[#This Row],[CUIT]],Lista_CUIT[#All],4,0)),"CUIT NO CARGADO")</f>
        <v>-</v>
      </c>
    </row>
    <row r="18" spans="2:18">
      <c r="B18" s="233"/>
      <c r="C18" s="234"/>
      <c r="D18" s="235"/>
      <c r="E18" s="236"/>
      <c r="F18" s="237"/>
      <c r="G18" s="238" t="str">
        <f>IFERROR(IF(compras_mes5[[#This Row],[CUIT]]="","-",VLOOKUP(compras_mes5[[#This Row],[CUIT]],Lista_CUIT[#All],2,0)),"CUIT NO CARGADO")</f>
        <v>-</v>
      </c>
      <c r="H18" s="239"/>
      <c r="I18" s="241" t="str">
        <f>IF(compras_mes5[[#This Row],[NETO GRAVADO]]="","",compras_mes5[[#This Row],[NETO GRAVADO]]*0.21)</f>
        <v/>
      </c>
      <c r="J18" s="241"/>
      <c r="K18" s="241"/>
      <c r="L18" s="241"/>
      <c r="M18" s="241"/>
      <c r="N18" s="241"/>
      <c r="O18" s="241"/>
      <c r="P18" s="243">
        <f>SUM(compras_mes5[[#This Row],[NETO GRAVADO]:[Otros / No Grav.]])</f>
        <v>0</v>
      </c>
      <c r="Q18" s="242" t="str">
        <f>IFERROR(IF(compras_mes5[[#This Row],[CUIT]]="","-",VLOOKUP(compras_mes5[[#This Row],[CUIT]],Lista_CUIT[#All],3,0)),"CUIT NO CARGADO")</f>
        <v>-</v>
      </c>
      <c r="R18" s="242" t="str">
        <f>IFERROR(IF(compras_mes5[[#This Row],[CUIT]]="","-",VLOOKUP(compras_mes5[[#This Row],[CUIT]],Lista_CUIT[#All],4,0)),"CUIT NO CARGADO")</f>
        <v>-</v>
      </c>
    </row>
    <row r="19" spans="2:18">
      <c r="B19" s="233"/>
      <c r="C19" s="234"/>
      <c r="D19" s="235"/>
      <c r="E19" s="236"/>
      <c r="F19" s="237"/>
      <c r="G19" s="238" t="str">
        <f>IFERROR(IF(compras_mes5[[#This Row],[CUIT]]="","-",VLOOKUP(compras_mes5[[#This Row],[CUIT]],Lista_CUIT[#All],2,0)),"CUIT NO CARGADO")</f>
        <v>-</v>
      </c>
      <c r="H19" s="239"/>
      <c r="I19" s="241" t="str">
        <f>IF(compras_mes5[[#This Row],[NETO GRAVADO]]="","",compras_mes5[[#This Row],[NETO GRAVADO]]*0.21)</f>
        <v/>
      </c>
      <c r="J19" s="241"/>
      <c r="K19" s="241"/>
      <c r="L19" s="241"/>
      <c r="M19" s="241"/>
      <c r="N19" s="241"/>
      <c r="O19" s="241"/>
      <c r="P19" s="243">
        <f>SUM(compras_mes5[[#This Row],[NETO GRAVADO]:[Otros / No Grav.]])</f>
        <v>0</v>
      </c>
      <c r="Q19" s="242" t="str">
        <f>IFERROR(IF(compras_mes5[[#This Row],[CUIT]]="","-",VLOOKUP(compras_mes5[[#This Row],[CUIT]],Lista_CUIT[#All],3,0)),"CUIT NO CARGADO")</f>
        <v>-</v>
      </c>
      <c r="R19" s="242" t="str">
        <f>IFERROR(IF(compras_mes5[[#This Row],[CUIT]]="","-",VLOOKUP(compras_mes5[[#This Row],[CUIT]],Lista_CUIT[#All],4,0)),"CUIT NO CARGADO")</f>
        <v>-</v>
      </c>
    </row>
    <row r="20" spans="2:18" ht="14.45" customHeight="1">
      <c r="B20" s="233"/>
      <c r="C20" s="234"/>
      <c r="D20" s="235"/>
      <c r="E20" s="236"/>
      <c r="F20" s="237"/>
      <c r="G20" s="238" t="str">
        <f>IFERROR(IF(compras_mes5[[#This Row],[CUIT]]="","-",VLOOKUP(compras_mes5[[#This Row],[CUIT]],Lista_CUIT[#All],2,0)),"CUIT NO CARGADO")</f>
        <v>-</v>
      </c>
      <c r="H20" s="239"/>
      <c r="I20" s="241" t="str">
        <f>IF(compras_mes5[[#This Row],[NETO GRAVADO]]="","",compras_mes5[[#This Row],[NETO GRAVADO]]*0.21)</f>
        <v/>
      </c>
      <c r="J20" s="241"/>
      <c r="K20" s="241"/>
      <c r="L20" s="241"/>
      <c r="M20" s="241"/>
      <c r="N20" s="241"/>
      <c r="O20" s="241"/>
      <c r="P20" s="243">
        <f>SUM(compras_mes5[[#This Row],[NETO GRAVADO]:[Otros / No Grav.]])</f>
        <v>0</v>
      </c>
      <c r="Q20" s="242" t="str">
        <f>IFERROR(IF(compras_mes5[[#This Row],[CUIT]]="","-",VLOOKUP(compras_mes5[[#This Row],[CUIT]],Lista_CUIT[#All],3,0)),"CUIT NO CARGADO")</f>
        <v>-</v>
      </c>
      <c r="R20" s="242" t="str">
        <f>IFERROR(IF(compras_mes5[[#This Row],[CUIT]]="","-",VLOOKUP(compras_mes5[[#This Row],[CUIT]],Lista_CUIT[#All],4,0)),"CUIT NO CARGADO")</f>
        <v>-</v>
      </c>
    </row>
    <row r="21" spans="2:18" ht="14.45" customHeight="1">
      <c r="B21" s="233"/>
      <c r="C21" s="234"/>
      <c r="D21" s="235"/>
      <c r="E21" s="236"/>
      <c r="F21" s="237"/>
      <c r="G21" s="238" t="str">
        <f>IFERROR(IF(compras_mes5[[#This Row],[CUIT]]="","-",VLOOKUP(compras_mes5[[#This Row],[CUIT]],Lista_CUIT[#All],2,0)),"CUIT NO CARGADO")</f>
        <v>-</v>
      </c>
      <c r="H21" s="239"/>
      <c r="I21" s="241" t="str">
        <f>IF(compras_mes5[[#This Row],[NETO GRAVADO]]="","",compras_mes5[[#This Row],[NETO GRAVADO]]*0.21)</f>
        <v/>
      </c>
      <c r="J21" s="241"/>
      <c r="K21" s="241"/>
      <c r="L21" s="241"/>
      <c r="M21" s="241"/>
      <c r="N21" s="241"/>
      <c r="O21" s="241"/>
      <c r="P21" s="243">
        <f>SUM(compras_mes5[[#This Row],[NETO GRAVADO]:[Otros / No Grav.]])</f>
        <v>0</v>
      </c>
      <c r="Q21" s="242" t="str">
        <f>IFERROR(IF(compras_mes5[[#This Row],[CUIT]]="","-",VLOOKUP(compras_mes5[[#This Row],[CUIT]],Lista_CUIT[#All],3,0)),"CUIT NO CARGADO")</f>
        <v>-</v>
      </c>
      <c r="R21" s="242" t="str">
        <f>IFERROR(IF(compras_mes5[[#This Row],[CUIT]]="","-",VLOOKUP(compras_mes5[[#This Row],[CUIT]],Lista_CUIT[#All],4,0)),"CUIT NO CARGADO")</f>
        <v>-</v>
      </c>
    </row>
    <row r="22" spans="2:18" ht="15" customHeight="1">
      <c r="B22" s="233"/>
      <c r="C22" s="234"/>
      <c r="D22" s="235"/>
      <c r="E22" s="236"/>
      <c r="F22" s="237"/>
      <c r="G22" s="238" t="str">
        <f>IFERROR(IF(compras_mes5[[#This Row],[CUIT]]="","-",VLOOKUP(compras_mes5[[#This Row],[CUIT]],Lista_CUIT[#All],2,0)),"CUIT NO CARGADO")</f>
        <v>-</v>
      </c>
      <c r="H22" s="239"/>
      <c r="I22" s="241" t="str">
        <f>IF(compras_mes5[[#This Row],[NETO GRAVADO]]="","",compras_mes5[[#This Row],[NETO GRAVADO]]*0.21)</f>
        <v/>
      </c>
      <c r="J22" s="241"/>
      <c r="K22" s="241"/>
      <c r="L22" s="241"/>
      <c r="M22" s="241"/>
      <c r="N22" s="241"/>
      <c r="O22" s="241"/>
      <c r="P22" s="243">
        <f>SUM(compras_mes5[[#This Row],[NETO GRAVADO]:[Otros / No Grav.]])</f>
        <v>0</v>
      </c>
      <c r="Q22" s="242" t="str">
        <f>IFERROR(IF(compras_mes5[[#This Row],[CUIT]]="","-",VLOOKUP(compras_mes5[[#This Row],[CUIT]],Lista_CUIT[#All],3,0)),"CUIT NO CARGADO")</f>
        <v>-</v>
      </c>
      <c r="R22" s="242" t="str">
        <f>IFERROR(IF(compras_mes5[[#This Row],[CUIT]]="","-",VLOOKUP(compras_mes5[[#This Row],[CUIT]],Lista_CUIT[#All],4,0)),"CUIT NO CARGADO")</f>
        <v>-</v>
      </c>
    </row>
    <row r="23" spans="2:18" ht="15" customHeight="1">
      <c r="B23" s="96" t="s">
        <v>91</v>
      </c>
      <c r="C23" s="96"/>
      <c r="D23" s="96"/>
      <c r="E23" s="96"/>
      <c r="F23" s="96"/>
      <c r="G23" s="97"/>
      <c r="H23" s="98">
        <f>SUBTOTAL(109,compras_mes5[NETO GRAVADO])</f>
        <v>0</v>
      </c>
      <c r="I23" s="98">
        <f>SUBTOTAL(109,compras_mes5[IVA 21 %])</f>
        <v>0</v>
      </c>
      <c r="J23" s="98">
        <f>SUBTOTAL(109,compras_mes5[IVA 27%])</f>
        <v>0</v>
      </c>
      <c r="K23" s="98">
        <f>SUBTOTAL(109,compras_mes5[IVA 10,5%])</f>
        <v>0</v>
      </c>
      <c r="L23" s="98">
        <f>SUBTOTAL(109,compras_mes5[PERC. IVA])</f>
        <v>0</v>
      </c>
      <c r="M23" s="98">
        <f>SUBTOTAL(109,compras_mes5[PERC IIBB 
BS AS])</f>
        <v>0</v>
      </c>
      <c r="N23" s="98">
        <f>SUBTOTAL(109,compras_mes5[PERC. IIBB CABA])</f>
        <v>0</v>
      </c>
      <c r="O23" s="98">
        <f>SUBTOTAL(109,compras_mes5[Otros / No Grav.])</f>
        <v>0</v>
      </c>
      <c r="P23" s="98">
        <f>SUBTOTAL(109,compras_mes5[TOTAL])</f>
        <v>0</v>
      </c>
      <c r="Q23" s="96"/>
      <c r="R23" s="96"/>
    </row>
    <row r="24" spans="2:18" ht="15" customHeight="1">
      <c r="B24" s="40"/>
      <c r="C24" s="41"/>
      <c r="D24" s="42"/>
      <c r="E24" s="43"/>
      <c r="F24" s="44"/>
      <c r="G24" s="45"/>
      <c r="H24" s="46"/>
      <c r="I24" s="47"/>
      <c r="J24" s="47"/>
      <c r="K24" s="47"/>
      <c r="L24" s="47"/>
      <c r="M24" s="47"/>
      <c r="N24" s="47"/>
      <c r="O24" s="47"/>
      <c r="P24" s="48"/>
      <c r="Q24" s="49"/>
      <c r="R24" s="49"/>
    </row>
    <row r="25" spans="2:18" ht="15" customHeight="1">
      <c r="B25" s="40"/>
      <c r="C25" s="41"/>
      <c r="D25" s="42"/>
      <c r="E25" s="43"/>
      <c r="F25" s="44"/>
      <c r="G25" s="45"/>
      <c r="H25" s="46"/>
      <c r="I25" s="47"/>
      <c r="J25" s="47"/>
      <c r="K25" s="47"/>
      <c r="L25" s="47"/>
      <c r="M25" s="47"/>
      <c r="N25" s="47"/>
      <c r="O25" s="47"/>
      <c r="P25" s="48"/>
      <c r="Q25" s="49"/>
      <c r="R25" s="49"/>
    </row>
    <row r="26" spans="2:18" ht="15" customHeight="1">
      <c r="B26" s="40"/>
      <c r="C26" s="41"/>
      <c r="D26" s="42"/>
      <c r="E26" s="43"/>
      <c r="F26" s="44"/>
      <c r="G26" s="45"/>
      <c r="H26" s="46"/>
      <c r="I26" s="47"/>
      <c r="J26" s="47"/>
      <c r="K26" s="47"/>
      <c r="L26" s="47"/>
      <c r="M26" s="47"/>
      <c r="N26" s="47"/>
      <c r="O26" s="47"/>
      <c r="P26" s="48"/>
      <c r="Q26" s="49"/>
      <c r="R26" s="49"/>
    </row>
    <row r="27" spans="2:18" ht="23.45" customHeight="1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</row>
    <row r="28" spans="2:18" ht="21">
      <c r="D28" s="428" t="s">
        <v>15</v>
      </c>
      <c r="E28" s="428"/>
      <c r="F28" s="428"/>
      <c r="G28" s="428"/>
      <c r="H28" s="428"/>
      <c r="I28" s="428"/>
      <c r="J28" s="428"/>
      <c r="K28" s="428"/>
      <c r="L28" s="428"/>
    </row>
    <row r="29" spans="2:18" ht="15.75">
      <c r="D29" s="73" t="s">
        <v>0</v>
      </c>
      <c r="E29" s="74" t="s">
        <v>26</v>
      </c>
      <c r="F29" s="74" t="s">
        <v>16</v>
      </c>
      <c r="G29" s="74" t="s">
        <v>5</v>
      </c>
      <c r="H29" s="74" t="s">
        <v>17</v>
      </c>
      <c r="I29" s="74" t="s">
        <v>7</v>
      </c>
      <c r="J29" s="75" t="s">
        <v>18</v>
      </c>
      <c r="K29" s="75" t="s">
        <v>19</v>
      </c>
      <c r="L29" s="76" t="s">
        <v>20</v>
      </c>
    </row>
    <row r="30" spans="2:18">
      <c r="D30" s="50"/>
      <c r="E30" s="79"/>
      <c r="F30" s="80"/>
      <c r="G30" s="81"/>
      <c r="H30" s="81"/>
      <c r="I30" s="81"/>
      <c r="J30" s="81"/>
      <c r="K30" s="81"/>
      <c r="L30" s="81"/>
    </row>
    <row r="31" spans="2:18">
      <c r="D31" s="50"/>
      <c r="E31" s="79"/>
      <c r="F31" s="80"/>
      <c r="G31" s="81"/>
      <c r="H31" s="81"/>
      <c r="I31" s="81"/>
      <c r="J31" s="81"/>
      <c r="K31" s="81"/>
      <c r="L31" s="81"/>
    </row>
    <row r="32" spans="2:18">
      <c r="D32" s="50"/>
      <c r="E32" s="79"/>
      <c r="F32" s="80"/>
      <c r="G32" s="81"/>
      <c r="H32" s="81"/>
      <c r="I32" s="81"/>
      <c r="J32" s="81"/>
      <c r="K32" s="81"/>
      <c r="L32" s="81"/>
    </row>
    <row r="33" spans="2:18">
      <c r="D33" s="82" t="s">
        <v>91</v>
      </c>
      <c r="E33" s="80"/>
      <c r="F33" s="80"/>
      <c r="G33" s="83">
        <f>SUBTOTAL(109,extracto_banco_mes5[NETO])</f>
        <v>0</v>
      </c>
      <c r="H33" s="83">
        <f>SUBTOTAL(109,extracto_banco_mes5[IVA 21%])</f>
        <v>0</v>
      </c>
      <c r="I33" s="83">
        <f>SUBTOTAL(109,extracto_banco_mes5[IVA 10,5%])</f>
        <v>0</v>
      </c>
      <c r="J33" s="83">
        <f>SUBTOTAL(109,extracto_banco_mes5[RET IIBB CABA])</f>
        <v>0</v>
      </c>
      <c r="K33" s="83">
        <f>SUBTOTAL(109,extracto_banco_mes5[PERC IVA])</f>
        <v>0</v>
      </c>
      <c r="L33" s="83">
        <f>SUBTOTAL(109,extracto_banco_mes5[PERC IIBB])</f>
        <v>0</v>
      </c>
    </row>
    <row r="34" spans="2:18" s="56" customFormat="1" ht="18.600000000000001" customHeight="1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7" spans="2:18" ht="21">
      <c r="D37" s="428" t="s">
        <v>25</v>
      </c>
      <c r="E37" s="428"/>
      <c r="F37" s="428"/>
      <c r="G37" s="428"/>
      <c r="H37" s="428"/>
      <c r="I37" s="428"/>
      <c r="J37" s="428"/>
      <c r="K37" s="428"/>
    </row>
    <row r="38" spans="2:18">
      <c r="D38" s="51" t="s">
        <v>0</v>
      </c>
      <c r="E38" s="51" t="s">
        <v>2</v>
      </c>
      <c r="F38" s="51" t="s">
        <v>74</v>
      </c>
      <c r="G38" s="51" t="s">
        <v>3</v>
      </c>
      <c r="H38" s="51" t="s">
        <v>4</v>
      </c>
      <c r="I38" s="52" t="s">
        <v>10</v>
      </c>
      <c r="J38" s="51" t="s">
        <v>13</v>
      </c>
      <c r="K38" s="51" t="s">
        <v>38</v>
      </c>
    </row>
    <row r="39" spans="2:18">
      <c r="D39" s="50"/>
      <c r="E39" s="42"/>
      <c r="F39" s="43"/>
      <c r="G39" s="44"/>
      <c r="H39" s="53" t="str">
        <f>IFERROR(IF(factura_c_mes5[[#This Row],[CUIT]]="","-",VLOOKUP(factura_c_mes5[[#This Row],[CUIT]],Lista_CUIT[#All],2,0)),"CUIT NO CARGADO")</f>
        <v>-</v>
      </c>
      <c r="I39" s="81"/>
      <c r="J39" s="54" t="str">
        <f>IFERROR(IF(factura_c_mes5[[#This Row],[CUIT]]="","-",VLOOKUP(factura_c_mes5[[#This Row],[CUIT]],Lista_CUIT[#All],3,0)),"CUIT NO CARGADO")</f>
        <v>-</v>
      </c>
      <c r="K39" s="54" t="str">
        <f>IFERROR(IF(factura_c_mes5[[#This Row],[CUIT]]="","-",VLOOKUP(factura_c_mes5[[#This Row],[CUIT]],Lista_CUIT[#All],4,0)),"CUIT NO CARGADO")</f>
        <v>-</v>
      </c>
    </row>
    <row r="40" spans="2:18">
      <c r="D40" s="50"/>
      <c r="E40" s="42"/>
      <c r="F40" s="43"/>
      <c r="G40" s="44"/>
      <c r="H40" s="53" t="str">
        <f>IFERROR(IF(factura_c_mes5[[#This Row],[CUIT]]="","-",VLOOKUP(factura_c_mes5[[#This Row],[CUIT]],Lista_CUIT[#All],2,0)),"CUIT NO CARGADO")</f>
        <v>-</v>
      </c>
      <c r="I40" s="81"/>
      <c r="J40" s="54" t="str">
        <f>IFERROR(IF(factura_c_mes5[[#This Row],[CUIT]]="","-",VLOOKUP(factura_c_mes5[[#This Row],[CUIT]],Lista_CUIT[#All],3,0)),"CUIT NO CARGADO")</f>
        <v>-</v>
      </c>
      <c r="K40" s="54" t="str">
        <f>IFERROR(IF(factura_c_mes5[[#This Row],[CUIT]]="","-",VLOOKUP(factura_c_mes5[[#This Row],[CUIT]],Lista_CUIT[#All],4,0)),"CUIT NO CARGADO")</f>
        <v>-</v>
      </c>
    </row>
    <row r="41" spans="2:18" ht="15.75" customHeight="1">
      <c r="D41" s="50"/>
      <c r="E41" s="42"/>
      <c r="F41" s="43"/>
      <c r="G41" s="44"/>
      <c r="H41" s="53" t="str">
        <f>IFERROR(IF(factura_c_mes5[[#This Row],[CUIT]]="","-",VLOOKUP(factura_c_mes5[[#This Row],[CUIT]],Lista_CUIT[#All],2,0)),"CUIT NO CARGADO")</f>
        <v>-</v>
      </c>
      <c r="I41" s="81"/>
      <c r="J41" s="54" t="str">
        <f>IFERROR(IF(factura_c_mes5[[#This Row],[CUIT]]="","-",VLOOKUP(factura_c_mes5[[#This Row],[CUIT]],Lista_CUIT[#All],3,0)),"CUIT NO CARGADO")</f>
        <v>-</v>
      </c>
      <c r="K41" s="54" t="str">
        <f>IFERROR(IF(factura_c_mes5[[#This Row],[CUIT]]="","-",VLOOKUP(factura_c_mes5[[#This Row],[CUIT]],Lista_CUIT[#All],4,0)),"CUIT NO CARGADO")</f>
        <v>-</v>
      </c>
    </row>
    <row r="42" spans="2:18">
      <c r="D42" s="50"/>
      <c r="E42" s="42"/>
      <c r="F42" s="43"/>
      <c r="G42" s="44"/>
      <c r="H42" s="53" t="str">
        <f>IFERROR(IF(factura_c_mes5[[#This Row],[CUIT]]="","-",VLOOKUP(factura_c_mes5[[#This Row],[CUIT]],Lista_CUIT[#All],2,0)),"CUIT NO CARGADO")</f>
        <v>-</v>
      </c>
      <c r="I42" s="81"/>
      <c r="J42" s="54" t="str">
        <f>IFERROR(IF(factura_c_mes5[[#This Row],[CUIT]]="","-",VLOOKUP(factura_c_mes5[[#This Row],[CUIT]],Lista_CUIT[#All],3,0)),"CUIT NO CARGADO")</f>
        <v>-</v>
      </c>
      <c r="K42" s="54" t="str">
        <f>IFERROR(IF(factura_c_mes5[[#This Row],[CUIT]]="","-",VLOOKUP(factura_c_mes5[[#This Row],[CUIT]],Lista_CUIT[#All],4,0)),"CUIT NO CARGADO")</f>
        <v>-</v>
      </c>
    </row>
    <row r="43" spans="2:18" ht="15" customHeight="1">
      <c r="D43" s="50"/>
      <c r="E43" s="42"/>
      <c r="F43" s="43"/>
      <c r="G43" s="44"/>
      <c r="H43" s="244" t="str">
        <f>IFERROR(IF(factura_c_mes5[[#This Row],[CUIT]]="","-",VLOOKUP(factura_c_mes5[[#This Row],[CUIT]],Lista_CUIT[#All],2,0)),"CUIT NO CARGADO")</f>
        <v>-</v>
      </c>
      <c r="I43" s="245"/>
      <c r="J43" s="246" t="str">
        <f>IFERROR(IF(factura_c_mes5[[#This Row],[CUIT]]="","-",VLOOKUP(factura_c_mes5[[#This Row],[CUIT]],Lista_CUIT[#All],3,0)),"CUIT NO CARGADO")</f>
        <v>-</v>
      </c>
      <c r="K43" s="246" t="str">
        <f>IFERROR(IF(factura_c_mes5[[#This Row],[CUIT]]="","-",VLOOKUP(factura_c_mes5[[#This Row],[CUIT]],Lista_CUIT[#All],4,0)),"CUIT NO CARGADO")</f>
        <v>-</v>
      </c>
    </row>
    <row r="44" spans="2:18">
      <c r="B44" s="56"/>
      <c r="C44" s="56"/>
      <c r="D44" s="55" t="s">
        <v>91</v>
      </c>
      <c r="E44" s="55"/>
      <c r="F44" s="55"/>
      <c r="G44" s="55"/>
      <c r="H44" s="57"/>
      <c r="I44" s="58">
        <f>SUBTOTAL(109,factura_c_mes5[TOTAL])</f>
        <v>0</v>
      </c>
      <c r="J44" s="55"/>
      <c r="K44" s="55"/>
      <c r="L44" s="56"/>
      <c r="M44" s="56"/>
      <c r="N44" s="56"/>
      <c r="O44" s="56"/>
      <c r="P44" s="56"/>
      <c r="Q44" s="56"/>
      <c r="R44" s="56"/>
    </row>
    <row r="49" spans="2:13" ht="26.25">
      <c r="B49" s="436" t="s">
        <v>29</v>
      </c>
      <c r="C49" s="436"/>
      <c r="D49" s="436"/>
      <c r="E49" s="436"/>
      <c r="F49" s="436"/>
      <c r="G49" s="436"/>
      <c r="H49" s="436"/>
      <c r="I49" s="436"/>
      <c r="J49" s="436"/>
      <c r="K49" s="432">
        <f>N1</f>
        <v>46143</v>
      </c>
      <c r="L49" s="432"/>
      <c r="M49" s="432"/>
    </row>
    <row r="51" spans="2:13" ht="21">
      <c r="B51" s="429" t="s">
        <v>30</v>
      </c>
      <c r="C51" s="429"/>
    </row>
    <row r="52" spans="2:13" ht="15.75">
      <c r="B52" s="60" t="s">
        <v>0</v>
      </c>
      <c r="C52" s="61" t="s">
        <v>1</v>
      </c>
      <c r="D52" s="61" t="s">
        <v>21</v>
      </c>
      <c r="E52" s="61" t="s">
        <v>22</v>
      </c>
      <c r="F52" s="61" t="s">
        <v>3</v>
      </c>
      <c r="G52" s="61" t="s">
        <v>4</v>
      </c>
      <c r="H52" s="61" t="s">
        <v>23</v>
      </c>
      <c r="I52" s="61" t="s">
        <v>17</v>
      </c>
      <c r="J52" s="61" t="s">
        <v>7</v>
      </c>
      <c r="K52" s="61" t="s">
        <v>24</v>
      </c>
      <c r="L52" s="61" t="s">
        <v>10</v>
      </c>
      <c r="M52" s="62" t="s">
        <v>38</v>
      </c>
    </row>
    <row r="53" spans="2:13">
      <c r="B53" s="40"/>
      <c r="C53" s="41"/>
      <c r="D53" s="42"/>
      <c r="E53" s="43"/>
      <c r="F53" s="44"/>
      <c r="G53" s="99" t="str">
        <f>IFERROR(IF(venta_a_mes5[[#This Row],[CUIT]]="","-",VLOOKUP(venta_a_mes5[[#This Row],[CUIT]],Lista_CUIT[#All],2,0)),"CUIT NO CARGADO")</f>
        <v>-</v>
      </c>
      <c r="H53" s="100"/>
      <c r="I53" s="101">
        <f>venta_a_mes5[[#This Row],[IMPORTE NETO]]*0.21</f>
        <v>0</v>
      </c>
      <c r="J53" s="65"/>
      <c r="K53" s="65"/>
      <c r="L53" s="65">
        <f>SUM(venta_a_mes5[[#This Row],[IMPORTE NETO]:[EXENTO]])</f>
        <v>0</v>
      </c>
      <c r="M53" s="59"/>
    </row>
    <row r="54" spans="2:13">
      <c r="B54" s="40"/>
      <c r="C54" s="41"/>
      <c r="D54" s="42"/>
      <c r="E54" s="43"/>
      <c r="F54" s="44"/>
      <c r="G54" s="99" t="str">
        <f>IFERROR(IF(venta_a_mes5[[#This Row],[CUIT]]="","-",VLOOKUP(venta_a_mes5[[#This Row],[CUIT]],Lista_CUIT[#All],2,0)),"CUIT NO CARGADO")</f>
        <v>-</v>
      </c>
      <c r="H54" s="100"/>
      <c r="I54" s="101">
        <f>venta_a_mes5[[#This Row],[IMPORTE NETO]]*0.21</f>
        <v>0</v>
      </c>
      <c r="J54" s="65"/>
      <c r="K54" s="65"/>
      <c r="L54" s="65">
        <f>SUM(venta_a_mes5[[#This Row],[IMPORTE NETO]:[EXENTO]])</f>
        <v>0</v>
      </c>
      <c r="M54" s="59"/>
    </row>
    <row r="55" spans="2:13" ht="17.25" customHeight="1">
      <c r="B55" s="40"/>
      <c r="C55" s="41"/>
      <c r="D55" s="42"/>
      <c r="E55" s="43"/>
      <c r="F55" s="44"/>
      <c r="G55" s="99" t="str">
        <f>IFERROR(IF(venta_a_mes5[[#This Row],[CUIT]]="","-",VLOOKUP(venta_a_mes5[[#This Row],[CUIT]],Lista_CUIT[#All],2,0)),"CUIT NO CARGADO")</f>
        <v>-</v>
      </c>
      <c r="H55" s="100"/>
      <c r="I55" s="101">
        <f>venta_a_mes5[[#This Row],[IMPORTE NETO]]*0.21</f>
        <v>0</v>
      </c>
      <c r="J55" s="65"/>
      <c r="K55" s="65"/>
      <c r="L55" s="65">
        <f>SUM(venta_a_mes5[[#This Row],[IMPORTE NETO]:[EXENTO]])</f>
        <v>0</v>
      </c>
      <c r="M55" s="59"/>
    </row>
    <row r="56" spans="2:13">
      <c r="B56" s="40"/>
      <c r="C56" s="41"/>
      <c r="D56" s="42"/>
      <c r="E56" s="43"/>
      <c r="F56" s="44"/>
      <c r="G56" s="99" t="str">
        <f>IFERROR(IF(venta_a_mes5[[#This Row],[CUIT]]="","-",VLOOKUP(venta_a_mes5[[#This Row],[CUIT]],Lista_CUIT[#All],2,0)),"CUIT NO CARGADO")</f>
        <v>-</v>
      </c>
      <c r="H56" s="100"/>
      <c r="I56" s="101">
        <f>venta_a_mes5[[#This Row],[IMPORTE NETO]]*0.21</f>
        <v>0</v>
      </c>
      <c r="J56" s="65"/>
      <c r="K56" s="65"/>
      <c r="L56" s="65">
        <f>SUM(venta_a_mes5[[#This Row],[IMPORTE NETO]:[EXENTO]])</f>
        <v>0</v>
      </c>
      <c r="M56" s="59"/>
    </row>
    <row r="57" spans="2:13">
      <c r="B57" s="40"/>
      <c r="C57" s="41"/>
      <c r="D57" s="42"/>
      <c r="E57" s="43"/>
      <c r="F57" s="44"/>
      <c r="G57" s="99" t="str">
        <f>IFERROR(IF(venta_a_mes5[[#This Row],[CUIT]]="","-",VLOOKUP(venta_a_mes5[[#This Row],[CUIT]],Lista_CUIT[#All],2,0)),"CUIT NO CARGADO")</f>
        <v>-</v>
      </c>
      <c r="H57" s="100"/>
      <c r="I57" s="101">
        <f>venta_a_mes5[[#This Row],[IMPORTE NETO]]*0.21</f>
        <v>0</v>
      </c>
      <c r="J57" s="65"/>
      <c r="K57" s="65"/>
      <c r="L57" s="65">
        <f>SUM(venta_a_mes5[[#This Row],[IMPORTE NETO]:[EXENTO]])</f>
        <v>0</v>
      </c>
      <c r="M57" s="59"/>
    </row>
    <row r="58" spans="2:13">
      <c r="B58" s="40"/>
      <c r="C58" s="41"/>
      <c r="D58" s="42"/>
      <c r="E58" s="43"/>
      <c r="F58" s="44"/>
      <c r="G58" s="99" t="str">
        <f>IFERROR(IF(venta_a_mes5[[#This Row],[CUIT]]="","-",VLOOKUP(venta_a_mes5[[#This Row],[CUIT]],Lista_CUIT[#All],2,0)),"CUIT NO CARGADO")</f>
        <v>-</v>
      </c>
      <c r="H58" s="100"/>
      <c r="I58" s="101">
        <f>venta_a_mes5[[#This Row],[IMPORTE NETO]]*0.21</f>
        <v>0</v>
      </c>
      <c r="J58" s="65"/>
      <c r="K58" s="65"/>
      <c r="L58" s="65">
        <f>SUM(venta_a_mes5[[#This Row],[IMPORTE NETO]:[EXENTO]])</f>
        <v>0</v>
      </c>
      <c r="M58" s="59"/>
    </row>
    <row r="59" spans="2:13">
      <c r="B59" s="40"/>
      <c r="C59" s="41"/>
      <c r="D59" s="42"/>
      <c r="E59" s="43"/>
      <c r="F59" s="44"/>
      <c r="G59" s="99" t="str">
        <f>IFERROR(IF(venta_a_mes5[[#This Row],[CUIT]]="","-",VLOOKUP(venta_a_mes5[[#This Row],[CUIT]],Lista_CUIT[#All],2,0)),"CUIT NO CARGADO")</f>
        <v>-</v>
      </c>
      <c r="H59" s="100"/>
      <c r="I59" s="101">
        <f>venta_a_mes5[[#This Row],[IMPORTE NETO]]*0.21</f>
        <v>0</v>
      </c>
      <c r="J59" s="65"/>
      <c r="K59" s="65"/>
      <c r="L59" s="65">
        <f>SUM(venta_a_mes5[[#This Row],[IMPORTE NETO]:[EXENTO]])</f>
        <v>0</v>
      </c>
      <c r="M59" s="63"/>
    </row>
    <row r="60" spans="2:13">
      <c r="B60" s="102"/>
      <c r="C60" s="41"/>
      <c r="D60" s="103"/>
      <c r="E60" s="104"/>
      <c r="F60" s="105"/>
      <c r="G60" s="99" t="str">
        <f>IFERROR(IF(venta_a_mes5[[#This Row],[CUIT]]="","-",VLOOKUP(venta_a_mes5[[#This Row],[CUIT]],Lista_CUIT[#All],2,0)),"CUIT NO CARGADO")</f>
        <v>-</v>
      </c>
      <c r="H60" s="106"/>
      <c r="I60" s="107">
        <f>venta_a_mes5[[#This Row],[IMPORTE NETO]]*0.21</f>
        <v>0</v>
      </c>
      <c r="J60" s="72"/>
      <c r="K60" s="72"/>
      <c r="L60" s="72">
        <f>SUM(venta_a_mes5[[#This Row],[IMPORTE NETO]:[EXENTO]])</f>
        <v>0</v>
      </c>
      <c r="M60" s="63"/>
    </row>
    <row r="61" spans="2:13">
      <c r="B61" s="108"/>
      <c r="C61" s="41"/>
      <c r="D61" s="110"/>
      <c r="E61" s="111"/>
      <c r="F61" s="112"/>
      <c r="G61" s="99" t="str">
        <f>IFERROR(IF(venta_a_mes5[[#This Row],[CUIT]]="","-",VLOOKUP(venta_a_mes5[[#This Row],[CUIT]],Lista_CUIT[#All],2,0)),"CUIT NO CARGADO")</f>
        <v>-</v>
      </c>
      <c r="H61" s="100"/>
      <c r="I61" s="101">
        <f>venta_a_mes5[[#This Row],[IMPORTE NETO]]*0.21</f>
        <v>0</v>
      </c>
      <c r="J61" s="65"/>
      <c r="K61" s="65"/>
      <c r="L61" s="65">
        <f>SUM(venta_a_mes5[[#This Row],[IMPORTE NETO]:[EXENTO]])</f>
        <v>0</v>
      </c>
      <c r="M61" s="59"/>
    </row>
    <row r="62" spans="2:13">
      <c r="B62" s="224"/>
      <c r="C62" s="41"/>
      <c r="D62" s="225"/>
      <c r="E62" s="226"/>
      <c r="F62" s="227"/>
      <c r="G62" s="228" t="str">
        <f>IFERROR(IF(venta_a_mes5[[#This Row],[CUIT]]="","-",VLOOKUP(venta_a_mes5[[#This Row],[CUIT]],Lista_CUIT[#All],2,0)),"CUIT NO CARGADO")</f>
        <v>-</v>
      </c>
      <c r="H62" s="229"/>
      <c r="I62" s="230">
        <f>venta_a_mes5[[#This Row],[IMPORTE NETO]]*0.21</f>
        <v>0</v>
      </c>
      <c r="J62" s="231"/>
      <c r="K62" s="231"/>
      <c r="L62" s="231">
        <f>SUM(venta_a_mes5[[#This Row],[IMPORTE NETO]:[EXENTO]])</f>
        <v>0</v>
      </c>
      <c r="M62" s="232"/>
    </row>
    <row r="63" spans="2:13">
      <c r="B63" s="224"/>
      <c r="C63" s="41"/>
      <c r="D63" s="225"/>
      <c r="E63" s="226"/>
      <c r="F63" s="227"/>
      <c r="G63" s="228" t="str">
        <f>IFERROR(IF(venta_a_mes5[[#This Row],[CUIT]]="","-",VLOOKUP(venta_a_mes5[[#This Row],[CUIT]],Lista_CUIT[#All],2,0)),"CUIT NO CARGADO")</f>
        <v>-</v>
      </c>
      <c r="H63" s="229"/>
      <c r="I63" s="230">
        <f>venta_a_mes5[[#This Row],[IMPORTE NETO]]*0.21</f>
        <v>0</v>
      </c>
      <c r="J63" s="231"/>
      <c r="K63" s="231"/>
      <c r="L63" s="231">
        <f>SUM(venta_a_mes5[[#This Row],[IMPORTE NETO]:[EXENTO]])</f>
        <v>0</v>
      </c>
      <c r="M63" s="232"/>
    </row>
    <row r="64" spans="2:13">
      <c r="B64" s="214"/>
      <c r="C64" s="41"/>
      <c r="D64" s="216"/>
      <c r="E64" s="217"/>
      <c r="F64" s="218"/>
      <c r="G64" s="219" t="str">
        <f>IFERROR(IF(venta_a_mes5[[#This Row],[CUIT]]="","-",VLOOKUP(venta_a_mes5[[#This Row],[CUIT]],Lista_CUIT[#All],2,0)),"CUIT NO CARGADO")</f>
        <v>-</v>
      </c>
      <c r="H64" s="220"/>
      <c r="I64" s="221">
        <f>venta_a_mes5[[#This Row],[IMPORTE NETO]]*0.21</f>
        <v>0</v>
      </c>
      <c r="J64" s="222"/>
      <c r="K64" s="222"/>
      <c r="L64" s="222">
        <f>SUM(venta_a_mes5[[#This Row],[IMPORTE NETO]:[EXENTO]])</f>
        <v>0</v>
      </c>
      <c r="M64" s="223"/>
    </row>
    <row r="65" spans="2:13">
      <c r="B65" s="214"/>
      <c r="C65" s="41"/>
      <c r="D65" s="216"/>
      <c r="E65" s="217"/>
      <c r="F65" s="218"/>
      <c r="G65" s="219" t="str">
        <f>IFERROR(IF(venta_a_mes5[[#This Row],[CUIT]]="","-",VLOOKUP(venta_a_mes5[[#This Row],[CUIT]],Lista_CUIT[#All],2,0)),"CUIT NO CARGADO")</f>
        <v>-</v>
      </c>
      <c r="H65" s="220"/>
      <c r="I65" s="221">
        <f>venta_a_mes5[[#This Row],[IMPORTE NETO]]*0.21</f>
        <v>0</v>
      </c>
      <c r="J65" s="222"/>
      <c r="K65" s="222"/>
      <c r="L65" s="222">
        <f>SUM(venta_a_mes5[[#This Row],[IMPORTE NETO]:[EXENTO]])</f>
        <v>0</v>
      </c>
      <c r="M65" s="223"/>
    </row>
    <row r="66" spans="2:13">
      <c r="B66" s="214"/>
      <c r="C66" s="41"/>
      <c r="D66" s="216"/>
      <c r="E66" s="217"/>
      <c r="F66" s="218"/>
      <c r="G66" s="219" t="str">
        <f>IFERROR(IF(venta_a_mes5[[#This Row],[CUIT]]="","-",VLOOKUP(venta_a_mes5[[#This Row],[CUIT]],Lista_CUIT[#All],2,0)),"CUIT NO CARGADO")</f>
        <v>-</v>
      </c>
      <c r="H66" s="220"/>
      <c r="I66" s="221">
        <f>venta_a_mes5[[#This Row],[IMPORTE NETO]]*0.21</f>
        <v>0</v>
      </c>
      <c r="J66" s="222"/>
      <c r="K66" s="222"/>
      <c r="L66" s="222">
        <f>SUM(venta_a_mes5[[#This Row],[IMPORTE NETO]:[EXENTO]])</f>
        <v>0</v>
      </c>
      <c r="M66" s="223"/>
    </row>
    <row r="67" spans="2:13">
      <c r="B67" s="214"/>
      <c r="C67" s="41"/>
      <c r="D67" s="216"/>
      <c r="E67" s="217"/>
      <c r="F67" s="218"/>
      <c r="G67" s="219" t="str">
        <f>IFERROR(IF(venta_a_mes5[[#This Row],[CUIT]]="","-",VLOOKUP(venta_a_mes5[[#This Row],[CUIT]],Lista_CUIT[#All],2,0)),"CUIT NO CARGADO")</f>
        <v>-</v>
      </c>
      <c r="H67" s="220"/>
      <c r="I67" s="221">
        <f>venta_a_mes5[[#This Row],[IMPORTE NETO]]*0.21</f>
        <v>0</v>
      </c>
      <c r="J67" s="222"/>
      <c r="K67" s="222"/>
      <c r="L67" s="222">
        <f>SUM(venta_a_mes5[[#This Row],[IMPORTE NETO]:[EXENTO]])</f>
        <v>0</v>
      </c>
      <c r="M67" s="223"/>
    </row>
    <row r="68" spans="2:13">
      <c r="B68" s="214"/>
      <c r="C68" s="41"/>
      <c r="D68" s="216"/>
      <c r="E68" s="217"/>
      <c r="F68" s="218"/>
      <c r="G68" s="219" t="str">
        <f>IFERROR(IF(venta_a_mes5[[#This Row],[CUIT]]="","-",VLOOKUP(venta_a_mes5[[#This Row],[CUIT]],Lista_CUIT[#All],2,0)),"CUIT NO CARGADO")</f>
        <v>-</v>
      </c>
      <c r="H68" s="220"/>
      <c r="I68" s="221">
        <f>venta_a_mes5[[#This Row],[IMPORTE NETO]]*0.21</f>
        <v>0</v>
      </c>
      <c r="J68" s="222"/>
      <c r="K68" s="222"/>
      <c r="L68" s="222">
        <f>SUM(venta_a_mes5[[#This Row],[IMPORTE NETO]:[EXENTO]])</f>
        <v>0</v>
      </c>
      <c r="M68" s="223"/>
    </row>
    <row r="69" spans="2:13">
      <c r="B69" s="214"/>
      <c r="C69" s="41"/>
      <c r="D69" s="216"/>
      <c r="E69" s="217"/>
      <c r="F69" s="218"/>
      <c r="G69" s="219" t="str">
        <f>IFERROR(IF(venta_a_mes5[[#This Row],[CUIT]]="","-",VLOOKUP(venta_a_mes5[[#This Row],[CUIT]],Lista_CUIT[#All],2,0)),"CUIT NO CARGADO")</f>
        <v>-</v>
      </c>
      <c r="H69" s="220"/>
      <c r="I69" s="221">
        <f>venta_a_mes5[[#This Row],[IMPORTE NETO]]*0.21</f>
        <v>0</v>
      </c>
      <c r="J69" s="222"/>
      <c r="K69" s="222"/>
      <c r="L69" s="222">
        <f>SUM(venta_a_mes5[[#This Row],[IMPORTE NETO]:[EXENTO]])</f>
        <v>0</v>
      </c>
      <c r="M69" s="223"/>
    </row>
    <row r="70" spans="2:13">
      <c r="B70" s="214"/>
      <c r="C70" s="41"/>
      <c r="D70" s="216"/>
      <c r="E70" s="217"/>
      <c r="F70" s="218"/>
      <c r="G70" s="219" t="str">
        <f>IFERROR(IF(venta_a_mes5[[#This Row],[CUIT]]="","-",VLOOKUP(venta_a_mes5[[#This Row],[CUIT]],Lista_CUIT[#All],2,0)),"CUIT NO CARGADO")</f>
        <v>-</v>
      </c>
      <c r="H70" s="220"/>
      <c r="I70" s="221">
        <f>venta_a_mes5[[#This Row],[IMPORTE NETO]]*0.21</f>
        <v>0</v>
      </c>
      <c r="J70" s="222"/>
      <c r="K70" s="222"/>
      <c r="L70" s="222">
        <f>SUM(venta_a_mes5[[#This Row],[IMPORTE NETO]:[EXENTO]])</f>
        <v>0</v>
      </c>
      <c r="M70" s="223"/>
    </row>
    <row r="71" spans="2:13">
      <c r="B71" s="214"/>
      <c r="C71" s="41"/>
      <c r="D71" s="216"/>
      <c r="E71" s="217"/>
      <c r="F71" s="218"/>
      <c r="G71" s="219" t="str">
        <f>IFERROR(IF(venta_a_mes5[[#This Row],[CUIT]]="","-",VLOOKUP(venta_a_mes5[[#This Row],[CUIT]],Lista_CUIT[#All],2,0)),"CUIT NO CARGADO")</f>
        <v>-</v>
      </c>
      <c r="H71" s="220"/>
      <c r="I71" s="221">
        <f>venta_a_mes5[[#This Row],[IMPORTE NETO]]*0.21</f>
        <v>0</v>
      </c>
      <c r="J71" s="222"/>
      <c r="K71" s="222"/>
      <c r="L71" s="222">
        <f>SUM(venta_a_mes5[[#This Row],[IMPORTE NETO]:[EXENTO]])</f>
        <v>0</v>
      </c>
      <c r="M71" s="223"/>
    </row>
    <row r="72" spans="2:13">
      <c r="B72" s="214"/>
      <c r="C72" s="41"/>
      <c r="D72" s="216"/>
      <c r="E72" s="217"/>
      <c r="F72" s="218"/>
      <c r="G72" s="219" t="str">
        <f>IFERROR(IF(venta_a_mes5[[#This Row],[CUIT]]="","-",VLOOKUP(venta_a_mes5[[#This Row],[CUIT]],Lista_CUIT[#All],2,0)),"CUIT NO CARGADO")</f>
        <v>-</v>
      </c>
      <c r="H72" s="220"/>
      <c r="I72" s="221">
        <f>venta_a_mes5[[#This Row],[IMPORTE NETO]]*0.21</f>
        <v>0</v>
      </c>
      <c r="J72" s="222"/>
      <c r="K72" s="222"/>
      <c r="L72" s="222">
        <f>SUM(venta_a_mes5[[#This Row],[IMPORTE NETO]:[EXENTO]])</f>
        <v>0</v>
      </c>
      <c r="M72" s="223"/>
    </row>
    <row r="73" spans="2:13">
      <c r="B73" s="66" t="s">
        <v>91</v>
      </c>
      <c r="C73" s="67"/>
      <c r="D73" s="67"/>
      <c r="E73" s="67"/>
      <c r="F73" s="67"/>
      <c r="G73" s="67"/>
      <c r="H73" s="69">
        <f>SUBTOTAL(109,venta_a_mes5[IMPORTE NETO])</f>
        <v>0</v>
      </c>
      <c r="I73" s="70">
        <f>SUBTOTAL(109,venta_a_mes5[IVA 21%])</f>
        <v>0</v>
      </c>
      <c r="J73" s="71">
        <f>SUBTOTAL(109,venta_a_mes5[IVA 10,5%])</f>
        <v>0</v>
      </c>
      <c r="K73" s="71">
        <f>SUBTOTAL(109,venta_a_mes5[EXENTO])</f>
        <v>0</v>
      </c>
      <c r="L73" s="71">
        <f>SUBTOTAL(109,venta_a_mes5[TOTAL])</f>
        <v>0</v>
      </c>
      <c r="M73" s="68">
        <f>SUBTOTAL(103,venta_a_mes5[Provincia])</f>
        <v>0</v>
      </c>
    </row>
    <row r="74" spans="2:13">
      <c r="B74" s="134"/>
      <c r="C74" s="134"/>
      <c r="D74" s="134"/>
      <c r="E74" s="134"/>
      <c r="F74" s="134"/>
      <c r="G74" s="134"/>
      <c r="H74" s="136"/>
      <c r="I74" s="137"/>
      <c r="J74" s="138"/>
      <c r="K74" s="138"/>
      <c r="L74" s="138"/>
      <c r="M74" s="135"/>
    </row>
    <row r="75" spans="2:13" ht="21">
      <c r="B75" s="429" t="s">
        <v>31</v>
      </c>
      <c r="C75" s="429"/>
    </row>
    <row r="76" spans="2:13" ht="15.75">
      <c r="B76" s="60" t="s">
        <v>0</v>
      </c>
      <c r="C76" s="61" t="s">
        <v>1</v>
      </c>
      <c r="D76" s="61" t="s">
        <v>21</v>
      </c>
      <c r="E76" s="61" t="s">
        <v>22</v>
      </c>
      <c r="F76" s="61" t="s">
        <v>3</v>
      </c>
      <c r="G76" s="61" t="s">
        <v>4</v>
      </c>
      <c r="H76" s="61" t="s">
        <v>23</v>
      </c>
      <c r="I76" s="61" t="s">
        <v>17</v>
      </c>
      <c r="J76" s="61" t="s">
        <v>7</v>
      </c>
      <c r="K76" s="61" t="s">
        <v>24</v>
      </c>
      <c r="L76" s="61" t="s">
        <v>10</v>
      </c>
      <c r="M76" s="62" t="s">
        <v>38</v>
      </c>
    </row>
    <row r="77" spans="2:13">
      <c r="B77" s="40"/>
      <c r="C77" s="41"/>
      <c r="D77" s="42"/>
      <c r="E77" s="43"/>
      <c r="F77" s="44"/>
      <c r="G77" s="1" t="str">
        <f>IFERROR(IF(ventas_b_mes5[[#This Row],[CUIT]]="","-",VLOOKUP(ventas_b_mes5[[#This Row],[CUIT]],Lista_CUIT[#All],2,0)),"CUIT NO CARGADO")</f>
        <v>-</v>
      </c>
      <c r="H77" s="64"/>
      <c r="I77" s="64">
        <f>ventas_b_mes5[[#This Row],[IMPORTE NETO]]*0.21</f>
        <v>0</v>
      </c>
      <c r="J77" s="64"/>
      <c r="K77" s="64"/>
      <c r="L77" s="64">
        <f>SUM(ventas_b_mes5[[#This Row],[IMPORTE NETO]:[EXENTO]])</f>
        <v>0</v>
      </c>
      <c r="M77" s="59"/>
    </row>
    <row r="78" spans="2:13">
      <c r="B78" s="40"/>
      <c r="C78" s="41"/>
      <c r="D78" s="42"/>
      <c r="E78" s="43"/>
      <c r="F78" s="44"/>
      <c r="G78" s="1" t="str">
        <f>IFERROR(IF(ventas_b_mes5[[#This Row],[CUIT]]="","-",VLOOKUP(ventas_b_mes5[[#This Row],[CUIT]],Lista_CUIT[#All],2,0)),"CUIT NO CARGADO")</f>
        <v>-</v>
      </c>
      <c r="H78" s="64"/>
      <c r="I78" s="64">
        <f>ventas_b_mes5[[#This Row],[IMPORTE NETO]]*0.21</f>
        <v>0</v>
      </c>
      <c r="J78" s="64"/>
      <c r="K78" s="64"/>
      <c r="L78" s="64">
        <f>SUM(ventas_b_mes5[[#This Row],[IMPORTE NETO]:[EXENTO]])</f>
        <v>0</v>
      </c>
      <c r="M78" s="59"/>
    </row>
    <row r="79" spans="2:13">
      <c r="B79" s="40"/>
      <c r="C79" s="41"/>
      <c r="D79" s="42"/>
      <c r="E79" s="43"/>
      <c r="F79" s="44"/>
      <c r="G79" s="1" t="str">
        <f>IFERROR(IF(ventas_b_mes5[[#This Row],[CUIT]]="","-",VLOOKUP(ventas_b_mes5[[#This Row],[CUIT]],Lista_CUIT[#All],2,0)),"CUIT NO CARGADO")</f>
        <v>-</v>
      </c>
      <c r="H79" s="64"/>
      <c r="I79" s="64">
        <f>ventas_b_mes5[[#This Row],[IMPORTE NETO]]*0.21</f>
        <v>0</v>
      </c>
      <c r="J79" s="64"/>
      <c r="K79" s="64"/>
      <c r="L79" s="64">
        <f>SUM(ventas_b_mes5[[#This Row],[IMPORTE NETO]:[EXENTO]])</f>
        <v>0</v>
      </c>
      <c r="M79" s="59"/>
    </row>
    <row r="80" spans="2:13">
      <c r="B80" s="40"/>
      <c r="C80" s="41"/>
      <c r="D80" s="42"/>
      <c r="E80" s="43"/>
      <c r="F80" s="44"/>
      <c r="G80" s="1" t="str">
        <f>IFERROR(IF(ventas_b_mes5[[#This Row],[CUIT]]="","-",VLOOKUP(ventas_b_mes5[[#This Row],[CUIT]],Lista_CUIT[#All],2,0)),"CUIT NO CARGADO")</f>
        <v>-</v>
      </c>
      <c r="H80" s="64"/>
      <c r="I80" s="64">
        <f>ventas_b_mes5[[#This Row],[IMPORTE NETO]]*0.21</f>
        <v>0</v>
      </c>
      <c r="J80" s="64"/>
      <c r="K80" s="64"/>
      <c r="L80" s="64">
        <f>SUM(ventas_b_mes5[[#This Row],[IMPORTE NETO]:[EXENTO]])</f>
        <v>0</v>
      </c>
      <c r="M80" s="59"/>
    </row>
    <row r="81" spans="2:13">
      <c r="B81" s="40"/>
      <c r="C81" s="41"/>
      <c r="D81" s="42"/>
      <c r="E81" s="43"/>
      <c r="F81" s="44"/>
      <c r="G81" s="1" t="str">
        <f>IFERROR(IF(ventas_b_mes5[[#This Row],[CUIT]]="","-",VLOOKUP(ventas_b_mes5[[#This Row],[CUIT]],Lista_CUIT[#All],2,0)),"CUIT NO CARGADO")</f>
        <v>-</v>
      </c>
      <c r="H81" s="64"/>
      <c r="I81" s="64">
        <f>ventas_b_mes5[[#This Row],[IMPORTE NETO]]*0.21</f>
        <v>0</v>
      </c>
      <c r="J81" s="64"/>
      <c r="K81" s="64"/>
      <c r="L81" s="64">
        <f>SUM(ventas_b_mes5[[#This Row],[IMPORTE NETO]:[EXENTO]])</f>
        <v>0</v>
      </c>
      <c r="M81" s="59"/>
    </row>
    <row r="82" spans="2:13">
      <c r="B82" s="40"/>
      <c r="C82" s="41"/>
      <c r="D82" s="42"/>
      <c r="E82" s="43"/>
      <c r="F82" s="44"/>
      <c r="G82" s="1" t="str">
        <f>IFERROR(IF(ventas_b_mes5[[#This Row],[CUIT]]="","-",VLOOKUP(ventas_b_mes5[[#This Row],[CUIT]],Lista_CUIT[#All],2,0)),"CUIT NO CARGADO")</f>
        <v>-</v>
      </c>
      <c r="H82" s="64"/>
      <c r="I82" s="64">
        <f>ventas_b_mes5[[#This Row],[IMPORTE NETO]]*0.21</f>
        <v>0</v>
      </c>
      <c r="J82" s="64"/>
      <c r="K82" s="64"/>
      <c r="L82" s="64">
        <f>SUM(ventas_b_mes5[[#This Row],[IMPORTE NETO]:[EXENTO]])</f>
        <v>0</v>
      </c>
      <c r="M82" s="59"/>
    </row>
    <row r="83" spans="2:13">
      <c r="B83" s="66" t="s">
        <v>91</v>
      </c>
      <c r="C83" s="67"/>
      <c r="D83" s="67"/>
      <c r="E83" s="67"/>
      <c r="F83" s="67"/>
      <c r="G83" s="67"/>
      <c r="H83" s="77">
        <f>SUBTOTAL(109,ventas_b_mes5[IMPORTE NETO])</f>
        <v>0</v>
      </c>
      <c r="I83" s="77">
        <f>SUBTOTAL(109,ventas_b_mes5[IVA 21%])</f>
        <v>0</v>
      </c>
      <c r="J83" s="78">
        <f>SUBTOTAL(109,ventas_b_mes5[IVA 10,5%])</f>
        <v>0</v>
      </c>
      <c r="K83" s="78">
        <f>SUBTOTAL(109,ventas_b_mes5[EXENTO])</f>
        <v>0</v>
      </c>
      <c r="L83" s="78">
        <f>SUBTOTAL(109,ventas_b_mes5[TOTAL])</f>
        <v>0</v>
      </c>
      <c r="M83" s="68">
        <f>SUBTOTAL(103,ventas_b_mes5[Provincia])</f>
        <v>0</v>
      </c>
    </row>
    <row r="90" spans="2:13" ht="15.75" thickBot="1"/>
    <row r="91" spans="2:13" ht="15.75" thickTop="1">
      <c r="C91" s="443" t="s">
        <v>66</v>
      </c>
      <c r="D91" s="443"/>
      <c r="E91" s="443"/>
      <c r="F91" s="443"/>
      <c r="G91" s="443"/>
      <c r="H91" s="32"/>
      <c r="I91" s="32"/>
      <c r="J91" s="32"/>
    </row>
    <row r="92" spans="2:13" ht="15.75">
      <c r="C92" s="113" t="s">
        <v>67</v>
      </c>
      <c r="D92" s="114" t="s">
        <v>68</v>
      </c>
      <c r="E92" s="114" t="s">
        <v>93</v>
      </c>
      <c r="F92" s="114" t="s">
        <v>3</v>
      </c>
      <c r="G92" s="114" t="s">
        <v>4</v>
      </c>
      <c r="H92" s="115" t="s">
        <v>69</v>
      </c>
      <c r="I92" s="115" t="s">
        <v>70</v>
      </c>
      <c r="J92" s="115" t="s">
        <v>71</v>
      </c>
      <c r="K92" s="115" t="s">
        <v>72</v>
      </c>
      <c r="L92" s="115" t="s">
        <v>73</v>
      </c>
    </row>
    <row r="93" spans="2:13">
      <c r="C93" s="116"/>
      <c r="D93" s="117"/>
      <c r="E93" s="117"/>
      <c r="F93" s="118"/>
      <c r="G93" s="53" t="str">
        <f>IFERROR(IF(Retenciones_mes5[[#This Row],[CUIT]]="","-",VLOOKUP(Retenciones_mes5[[#This Row],[CUIT]],Lista_CUIT[#All],2,0)),"CUIT NO CARGADO")</f>
        <v>-</v>
      </c>
      <c r="H93" s="119"/>
      <c r="I93" s="119"/>
      <c r="J93" s="119"/>
      <c r="K93" s="119"/>
      <c r="L93" s="119"/>
    </row>
    <row r="94" spans="2:13">
      <c r="C94" s="116"/>
      <c r="D94" s="117"/>
      <c r="E94" s="117"/>
      <c r="F94" s="118"/>
      <c r="G94" s="53" t="str">
        <f>IFERROR(IF(Retenciones_mes5[[#This Row],[CUIT]]="","-",VLOOKUP(Retenciones_mes5[[#This Row],[CUIT]],Lista_CUIT[#All],2,0)),"CUIT NO CARGADO")</f>
        <v>-</v>
      </c>
      <c r="H94" s="119"/>
      <c r="I94" s="119"/>
      <c r="J94" s="119"/>
      <c r="K94" s="119"/>
      <c r="L94" s="119"/>
    </row>
    <row r="95" spans="2:13">
      <c r="C95" s="116"/>
      <c r="D95" s="117"/>
      <c r="E95" s="117"/>
      <c r="F95" s="118"/>
      <c r="G95" s="53" t="str">
        <f>IFERROR(IF(Retenciones_mes5[[#This Row],[CUIT]]="","-",VLOOKUP(Retenciones_mes5[[#This Row],[CUIT]],Lista_CUIT[#All],2,0)),"CUIT NO CARGADO")</f>
        <v>-</v>
      </c>
      <c r="H95" s="119"/>
      <c r="I95" s="119"/>
      <c r="J95" s="119"/>
      <c r="K95" s="119"/>
      <c r="L95" s="119"/>
    </row>
    <row r="96" spans="2:13">
      <c r="C96" s="116"/>
      <c r="D96" s="117"/>
      <c r="E96" s="117"/>
      <c r="F96" s="118"/>
      <c r="G96" s="53" t="str">
        <f>IFERROR(IF(Retenciones_mes5[[#This Row],[CUIT]]="","-",VLOOKUP(Retenciones_mes5[[#This Row],[CUIT]],Lista_CUIT[#All],2,0)),"CUIT NO CARGADO")</f>
        <v>-</v>
      </c>
      <c r="H96" s="119"/>
      <c r="I96" s="119"/>
      <c r="J96" s="119"/>
      <c r="K96" s="119"/>
      <c r="L96" s="119"/>
    </row>
    <row r="97" spans="3:7">
      <c r="D97" s="117"/>
      <c r="E97" s="117"/>
      <c r="G97" s="53" t="str">
        <f>IFERROR(IF(Retenciones_mes5[[#This Row],[CUIT]]="","-",VLOOKUP(Retenciones_mes5[[#This Row],[CUIT]],Lista_CUIT[#All],2,0)),"CUIT NO CARGADO")</f>
        <v>-</v>
      </c>
    </row>
    <row r="98" spans="3:7">
      <c r="C98" s="33"/>
    </row>
  </sheetData>
  <mergeCells count="20">
    <mergeCell ref="C91:G91"/>
    <mergeCell ref="B4:E4"/>
    <mergeCell ref="G4:H4"/>
    <mergeCell ref="J4:K4"/>
    <mergeCell ref="M4:N4"/>
    <mergeCell ref="D37:K37"/>
    <mergeCell ref="B49:J49"/>
    <mergeCell ref="K49:M49"/>
    <mergeCell ref="B51:C51"/>
    <mergeCell ref="B75:C75"/>
    <mergeCell ref="P4:R4"/>
    <mergeCell ref="D28:L28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77:L82" xr:uid="{969388A9-907E-418C-A73C-EAC9875A1269}">
      <formula1>IF($C77=8,H77&lt;0,H77&gt;=0)</formula1>
    </dataValidation>
    <dataValidation type="custom" allowBlank="1" showInputMessage="1" showErrorMessage="1" sqref="L58:L59" xr:uid="{1D485637-5346-4BF9-AFA0-9B3D51DD70D0}">
      <formula1>IF($C23=3,L23&lt;0,L23&gt;=0)</formula1>
    </dataValidation>
    <dataValidation type="whole" allowBlank="1" showInputMessage="1" showErrorMessage="1" sqref="C77:C82" xr:uid="{14452357-EF8D-4E2C-BEBE-A15C7C0D7A53}">
      <formula1>6</formula1>
      <formula2>8</formula2>
    </dataValidation>
    <dataValidation type="custom" allowBlank="1" showInputMessage="1" showErrorMessage="1" sqref="H53:K53 H55:K55 H57:K57 H59:K59" xr:uid="{8E276390-869C-4428-8814-AF4387D2ED7B}">
      <formula1>IF($C53=3,H53&lt;0,H53&gt;=0)</formula1>
    </dataValidation>
    <dataValidation type="whole" allowBlank="1" showInputMessage="1" showErrorMessage="1" sqref="C9:C22 C24:C27 C53:C72 C74" xr:uid="{4DF20591-8B52-4E62-AD68-16AECE8B0837}">
      <formula1>1</formula1>
      <formula2>3</formula2>
    </dataValidation>
    <dataValidation type="date" allowBlank="1" showInputMessage="1" showErrorMessage="1" sqref="B9:B22 D30:D32 B74 B24:B27 B77:B82 B53:B72 D39:D43" xr:uid="{D2311789-AE7F-4E39-8A48-28E3D9193766}">
      <formula1>40179</formula1>
      <formula2>TODAY()</formula2>
    </dataValidation>
    <dataValidation type="whole" allowBlank="1" showInputMessage="1" showErrorMessage="1" sqref="F9:F22 F74 F77:F82 F53:F72 G39:G43" xr:uid="{3CC055D9-236F-40B4-8D8E-9A5C71E803DA}">
      <formula1>20000000000</formula1>
      <formula2>33999999999</formula2>
    </dataValidation>
    <dataValidation type="whole" allowBlank="1" showInputMessage="1" showErrorMessage="1" sqref="E9:E22 E74 E77:E82 E53:E72 F39:F43" xr:uid="{1A5F7DCD-66BC-442E-9286-922FC6F695AE}">
      <formula1>1</formula1>
      <formula2>99999999</formula2>
    </dataValidation>
    <dataValidation type="whole" allowBlank="1" showInputMessage="1" showErrorMessage="1" sqref="D9:D22 D74 D77:D82 D53:D72 E39:E43" xr:uid="{23B5F0FA-119A-45B3-8336-3887AF87A221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2" xr:uid="{8FDD8642-9AD8-402D-BB2C-DF5A8F928B81}">
      <formula1>IF($C9=3,H9&lt;0,H9&gt;=0)</formula1>
    </dataValidation>
    <dataValidation type="custom" allowBlank="1" showInputMessage="1" showErrorMessage="1" sqref="L53:L54" xr:uid="{1D8CCDAC-7B23-4230-AE4C-AFE9075C0AF2}">
      <formula1>IF($C9=3,L9&lt;0,L9&gt;=0)</formula1>
    </dataValidation>
    <dataValidation type="custom" allowBlank="1" showInputMessage="1" showErrorMessage="1" sqref="L56:L57" xr:uid="{B64C38A7-40EC-4E4D-B6FE-B1C948E8C6A5}">
      <formula1>IF($C23=3,L23&lt;0,L23&gt;=0)</formula1>
    </dataValidation>
    <dataValidation type="custom" allowBlank="1" showInputMessage="1" showErrorMessage="1" sqref="L55" xr:uid="{ECA5042B-76D1-4CF8-847F-22952F75AC49}">
      <formula1>IF($C13=3,L13&lt;0,L13&gt;=0)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79998168889431442"/>
  </sheetPr>
  <dimension ref="A1:Z125"/>
  <sheetViews>
    <sheetView showGridLines="0" topLeftCell="A104" zoomScaleNormal="100" workbookViewId="0">
      <selection activeCell="H73" sqref="H73:H96"/>
    </sheetView>
  </sheetViews>
  <sheetFormatPr baseColWidth="10" defaultColWidth="0" defaultRowHeight="15"/>
  <cols>
    <col min="1" max="1" width="1.7109375" customWidth="1"/>
    <col min="2" max="2" width="12.140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28515625" customWidth="1"/>
    <col min="8" max="8" width="15" customWidth="1"/>
    <col min="9" max="9" width="15.140625" bestFit="1" customWidth="1"/>
    <col min="10" max="10" width="11.42578125" customWidth="1"/>
    <col min="11" max="11" width="16.42578125" customWidth="1"/>
    <col min="12" max="12" width="12.7109375" customWidth="1"/>
    <col min="13" max="13" width="10.28515625" customWidth="1"/>
    <col min="14" max="14" width="15.28515625" customWidth="1"/>
    <col min="15" max="15" width="9.5703125" customWidth="1"/>
    <col min="16" max="16" width="12.7109375" customWidth="1"/>
    <col min="17" max="17" width="19.2851562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430" t="s">
        <v>28</v>
      </c>
      <c r="C1" s="430"/>
      <c r="D1" s="430"/>
      <c r="E1" s="430"/>
      <c r="F1" s="430"/>
      <c r="G1" s="445" t="str">
        <f>'Ene-26'!G1:M1</f>
        <v>RABLEB SRL</v>
      </c>
      <c r="H1" s="445"/>
      <c r="I1" s="445"/>
      <c r="J1" s="445"/>
      <c r="K1" s="445"/>
      <c r="L1" s="445"/>
      <c r="M1" s="445"/>
      <c r="N1" s="427">
        <f>EDATE('Ene-26'!N1,5)</f>
        <v>46174</v>
      </c>
      <c r="O1" s="427"/>
      <c r="P1" s="427"/>
      <c r="Q1" s="427"/>
      <c r="R1" s="427"/>
    </row>
    <row r="2" spans="1:26" ht="15" customHeight="1"/>
    <row r="3" spans="1:26" ht="26.45" customHeight="1">
      <c r="B3" s="433" t="s">
        <v>65</v>
      </c>
      <c r="C3" s="433"/>
      <c r="D3" s="433"/>
      <c r="E3" s="433"/>
      <c r="F3" s="38"/>
      <c r="G3" s="433" t="s">
        <v>37</v>
      </c>
      <c r="H3" s="433"/>
      <c r="I3" s="38"/>
      <c r="J3" s="441" t="s">
        <v>14</v>
      </c>
      <c r="K3" s="441"/>
      <c r="L3" s="38"/>
      <c r="M3" s="441" t="s">
        <v>12</v>
      </c>
      <c r="N3" s="441"/>
      <c r="O3" s="38"/>
      <c r="P3" s="439" t="s">
        <v>90</v>
      </c>
      <c r="Q3" s="439"/>
      <c r="R3" s="439"/>
    </row>
    <row r="4" spans="1:26" ht="25.15" customHeight="1">
      <c r="B4" s="434">
        <f>SUM(compras_mes6[[#Totals],[NETO GRAVADO]])+extracto_banco_mes6[[#Totals],[NETO]]</f>
        <v>0</v>
      </c>
      <c r="C4" s="434"/>
      <c r="D4" s="434"/>
      <c r="E4" s="434"/>
      <c r="F4" s="39"/>
      <c r="G4" s="435">
        <f>compras_mes6[[#Totals],[IVA 21 %]]+compras_mes6[[#Totals],[IVA 27%]]+compras_mes6[[#Totals],[IVA 10,5%]]+extracto_banco_mes6[[#Totals],[IVA 21%]]+extracto_banco_mes6[[#Totals],[IVA 10,5%]]</f>
        <v>0</v>
      </c>
      <c r="H4" s="435"/>
      <c r="I4" s="39"/>
      <c r="J4" s="442">
        <f>venta_a_mes6[[#Totals],[IMPORTE NETO]]+ventas_b_mes6[[#Totals],[IMPORTE NETO]]</f>
        <v>0</v>
      </c>
      <c r="K4" s="442"/>
      <c r="L4" s="39"/>
      <c r="M4" s="442">
        <f>venta_a_mes6[[#Totals],[IVA 21%]]+venta_a_mes6[[#Totals],[IVA 10,5%]]+ventas_b_mes6[[#Totals],[IVA 21%]]+ventas_b_mes6[[#Totals],[IVA 10,5%]]</f>
        <v>0</v>
      </c>
      <c r="N4" s="442"/>
      <c r="O4" s="39"/>
      <c r="P4" s="437">
        <f>G4-M4</f>
        <v>0</v>
      </c>
      <c r="Q4" s="438"/>
      <c r="R4" s="438"/>
    </row>
    <row r="5" spans="1:26" ht="13.15" customHeight="1"/>
    <row r="6" spans="1:26" ht="10.9" customHeight="1"/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40"/>
      <c r="C9" s="41"/>
      <c r="D9" s="42"/>
      <c r="E9" s="43"/>
      <c r="F9" s="44"/>
      <c r="G9" s="45" t="str">
        <f>IFERROR(IF(compras_mes6[[#This Row],[CUIT]]="","-",VLOOKUP(compras_mes6[[#This Row],[CUIT]],Lista_CUIT[#All],2,0)),"CUIT NO CARGADO")</f>
        <v>-</v>
      </c>
      <c r="H9" s="46"/>
      <c r="I9" s="85" t="str">
        <f>IF(compras_mes6[[#This Row],[NETO GRAVADO]]="","",compras_mes6[[#This Row],[NETO GRAVADO]]*0.21)</f>
        <v/>
      </c>
      <c r="J9" s="85"/>
      <c r="K9" s="85"/>
      <c r="L9" s="85"/>
      <c r="M9" s="85"/>
      <c r="N9" s="85"/>
      <c r="O9" s="85"/>
      <c r="P9" s="87">
        <f>SUM(compras_mes6[[#This Row],[NETO GRAVADO]:[Otros / No Grav.]])</f>
        <v>0</v>
      </c>
      <c r="Q9" s="49" t="str">
        <f>IFERROR(IF(compras_mes6[[#This Row],[CUIT]]="","-",VLOOKUP(compras_mes6[[#This Row],[CUIT]],Lista_CUIT[#All],3,0)),"CUIT NO CARGADO")</f>
        <v>-</v>
      </c>
      <c r="R9" s="49" t="str">
        <f>IFERROR(IF(compras_mes6[[#This Row],[CUIT]]="","-",VLOOKUP(compras_mes6[[#This Row],[CUIT]],Lista_CUIT[#All],4,0)),"CUIT NO CARGADO")</f>
        <v>-</v>
      </c>
    </row>
    <row r="10" spans="1:26">
      <c r="B10" s="40"/>
      <c r="C10" s="41"/>
      <c r="D10" s="42"/>
      <c r="E10" s="43"/>
      <c r="F10" s="44"/>
      <c r="G10" s="45" t="str">
        <f>IFERROR(IF(compras_mes6[[#This Row],[CUIT]]="","-",VLOOKUP(compras_mes6[[#This Row],[CUIT]],Lista_CUIT[#All],2,0)),"CUIT NO CARGADO")</f>
        <v>-</v>
      </c>
      <c r="H10" s="46"/>
      <c r="I10" s="85" t="str">
        <f>IF(compras_mes6[[#This Row],[NETO GRAVADO]]="","",compras_mes6[[#This Row],[NETO GRAVADO]]*0.21)</f>
        <v/>
      </c>
      <c r="J10" s="85"/>
      <c r="K10" s="85"/>
      <c r="L10" s="85"/>
      <c r="M10" s="85"/>
      <c r="N10" s="85"/>
      <c r="O10" s="85"/>
      <c r="P10" s="87">
        <f>SUM(compras_mes6[[#This Row],[NETO GRAVADO]:[Otros / No Grav.]])</f>
        <v>0</v>
      </c>
      <c r="Q10" s="49" t="str">
        <f>IFERROR(IF(compras_mes6[[#This Row],[CUIT]]="","-",VLOOKUP(compras_mes6[[#This Row],[CUIT]],Lista_CUIT[#All],3,0)),"CUIT NO CARGADO")</f>
        <v>-</v>
      </c>
      <c r="R10" s="49" t="str">
        <f>IFERROR(IF(compras_mes6[[#This Row],[CUIT]]="","-",VLOOKUP(compras_mes6[[#This Row],[CUIT]],Lista_CUIT[#All],4,0)),"CUIT NO CARGADO")</f>
        <v>-</v>
      </c>
    </row>
    <row r="11" spans="1:26">
      <c r="B11" s="89"/>
      <c r="C11" s="41"/>
      <c r="D11" s="91"/>
      <c r="E11" s="92"/>
      <c r="F11" s="93"/>
      <c r="G11" s="94" t="str">
        <f>IFERROR(IF(compras_mes6[[#This Row],[CUIT]]="","-",VLOOKUP(compras_mes6[[#This Row],[CUIT]],Lista_CUIT[#All],2,0)),"CUIT NO CARGADO")</f>
        <v>-</v>
      </c>
      <c r="H11" s="46"/>
      <c r="I11" s="86" t="str">
        <f>IF(compras_mes6[[#This Row],[NETO GRAVADO]]="","",compras_mes6[[#This Row],[NETO GRAVADO]]*0.21)</f>
        <v/>
      </c>
      <c r="J11" s="86"/>
      <c r="K11" s="86"/>
      <c r="L11" s="86"/>
      <c r="M11" s="86"/>
      <c r="N11" s="86"/>
      <c r="O11" s="86"/>
      <c r="P11" s="87">
        <f>SUM(compras_mes6[[#This Row],[NETO GRAVADO]:[Otros / No Grav.]])</f>
        <v>0</v>
      </c>
      <c r="Q11" s="88" t="str">
        <f>IFERROR(IF(compras_mes6[[#This Row],[CUIT]]="","-",VLOOKUP(compras_mes6[[#This Row],[CUIT]],Lista_CUIT[#All],3,0)),"CUIT NO CARGADO")</f>
        <v>-</v>
      </c>
      <c r="R11" s="88" t="str">
        <f>IFERROR(IF(compras_mes6[[#This Row],[CUIT]]="","-",VLOOKUP(compras_mes6[[#This Row],[CUIT]],Lista_CUIT[#All],4,0)),"CUIT NO CARGADO")</f>
        <v>-</v>
      </c>
    </row>
    <row r="12" spans="1:26">
      <c r="B12" s="89"/>
      <c r="C12" s="41"/>
      <c r="D12" s="91"/>
      <c r="E12" s="92"/>
      <c r="F12" s="93"/>
      <c r="G12" s="94" t="str">
        <f>IFERROR(IF(compras_mes6[[#This Row],[CUIT]]="","-",VLOOKUP(compras_mes6[[#This Row],[CUIT]],Lista_CUIT[#All],2,0)),"CUIT NO CARGADO")</f>
        <v>-</v>
      </c>
      <c r="H12" s="46"/>
      <c r="I12" s="86" t="str">
        <f>IF(compras_mes6[[#This Row],[NETO GRAVADO]]="","",compras_mes6[[#This Row],[NETO GRAVADO]]*0.21)</f>
        <v/>
      </c>
      <c r="J12" s="86"/>
      <c r="K12" s="86"/>
      <c r="L12" s="86"/>
      <c r="M12" s="86"/>
      <c r="N12" s="86"/>
      <c r="O12" s="86"/>
      <c r="P12" s="87">
        <f>SUM(compras_mes6[[#This Row],[NETO GRAVADO]:[Otros / No Grav.]])</f>
        <v>0</v>
      </c>
      <c r="Q12" s="88" t="str">
        <f>IFERROR(IF(compras_mes6[[#This Row],[CUIT]]="","-",VLOOKUP(compras_mes6[[#This Row],[CUIT]],Lista_CUIT[#All],3,0)),"CUIT NO CARGADO")</f>
        <v>-</v>
      </c>
      <c r="R12" s="88" t="str">
        <f>IFERROR(IF(compras_mes6[[#This Row],[CUIT]]="","-",VLOOKUP(compras_mes6[[#This Row],[CUIT]],Lista_CUIT[#All],4,0)),"CUIT NO CARGADO")</f>
        <v>-</v>
      </c>
    </row>
    <row r="13" spans="1:26">
      <c r="B13" s="40"/>
      <c r="C13" s="41"/>
      <c r="D13" s="42"/>
      <c r="E13" s="43"/>
      <c r="F13" s="44"/>
      <c r="G13" s="45" t="str">
        <f>IFERROR(IF(compras_mes6[[#This Row],[CUIT]]="","-",VLOOKUP(compras_mes6[[#This Row],[CUIT]],Lista_CUIT[#All],2,0)),"CUIT NO CARGADO")</f>
        <v>-</v>
      </c>
      <c r="H13" s="46"/>
      <c r="I13" s="85" t="str">
        <f>IF(compras_mes6[[#This Row],[NETO GRAVADO]]="","",compras_mes6[[#This Row],[NETO GRAVADO]]*0.21)</f>
        <v/>
      </c>
      <c r="J13" s="85"/>
      <c r="K13" s="85"/>
      <c r="L13" s="85"/>
      <c r="M13" s="85"/>
      <c r="N13" s="85"/>
      <c r="O13" s="85"/>
      <c r="P13" s="48">
        <f>SUM(compras_mes6[[#This Row],[NETO GRAVADO]:[Otros / No Grav.]])</f>
        <v>0</v>
      </c>
      <c r="Q13" s="49" t="str">
        <f>IFERROR(IF(compras_mes6[[#This Row],[CUIT]]="","-",VLOOKUP(compras_mes6[[#This Row],[CUIT]],Lista_CUIT[#All],3,0)),"CUIT NO CARGADO")</f>
        <v>-</v>
      </c>
      <c r="R13" s="49" t="str">
        <f>IFERROR(IF(compras_mes6[[#This Row],[CUIT]]="","-",VLOOKUP(compras_mes6[[#This Row],[CUIT]],Lista_CUIT[#All],4,0)),"CUIT NO CARGADO")</f>
        <v>-</v>
      </c>
    </row>
    <row r="14" spans="1:26">
      <c r="B14" s="40"/>
      <c r="C14" s="41"/>
      <c r="D14" s="42"/>
      <c r="E14" s="43"/>
      <c r="F14" s="44"/>
      <c r="G14" s="45" t="str">
        <f>IFERROR(IF(compras_mes6[[#This Row],[CUIT]]="","-",VLOOKUP(compras_mes6[[#This Row],[CUIT]],Lista_CUIT[#All],2,0)),"CUIT NO CARGADO")</f>
        <v>-</v>
      </c>
      <c r="H14" s="46"/>
      <c r="I14" s="85" t="str">
        <f>IF(compras_mes6[[#This Row],[NETO GRAVADO]]="","",compras_mes6[[#This Row],[NETO GRAVADO]]*0.21)</f>
        <v/>
      </c>
      <c r="J14" s="85"/>
      <c r="K14" s="85"/>
      <c r="L14" s="85"/>
      <c r="M14" s="85"/>
      <c r="N14" s="85"/>
      <c r="O14" s="85"/>
      <c r="P14" s="48">
        <f>SUM(compras_mes6[[#This Row],[NETO GRAVADO]:[Otros / No Grav.]])</f>
        <v>0</v>
      </c>
      <c r="Q14" s="49" t="str">
        <f>IFERROR(IF(compras_mes6[[#This Row],[CUIT]]="","-",VLOOKUP(compras_mes6[[#This Row],[CUIT]],Lista_CUIT[#All],3,0)),"CUIT NO CARGADO")</f>
        <v>-</v>
      </c>
      <c r="R14" s="49" t="str">
        <f>IFERROR(IF(compras_mes6[[#This Row],[CUIT]]="","-",VLOOKUP(compras_mes6[[#This Row],[CUIT]],Lista_CUIT[#All],4,0)),"CUIT NO CARGADO")</f>
        <v>-</v>
      </c>
    </row>
    <row r="15" spans="1:26">
      <c r="B15" s="40"/>
      <c r="C15" s="41"/>
      <c r="D15" s="42"/>
      <c r="E15" s="43"/>
      <c r="F15" s="44"/>
      <c r="G15" s="45" t="str">
        <f>IFERROR(IF(compras_mes6[[#This Row],[CUIT]]="","-",VLOOKUP(compras_mes6[[#This Row],[CUIT]],Lista_CUIT[#All],2,0)),"CUIT NO CARGADO")</f>
        <v>-</v>
      </c>
      <c r="H15" s="46"/>
      <c r="I15" s="85" t="str">
        <f>IF(compras_mes6[[#This Row],[NETO GRAVADO]]="","",compras_mes6[[#This Row],[NETO GRAVADO]]*0.21)</f>
        <v/>
      </c>
      <c r="J15" s="85"/>
      <c r="K15" s="85"/>
      <c r="L15" s="85"/>
      <c r="M15" s="85"/>
      <c r="N15" s="85"/>
      <c r="O15" s="85"/>
      <c r="P15" s="48">
        <f>SUM(compras_mes6[[#This Row],[NETO GRAVADO]:[Otros / No Grav.]])</f>
        <v>0</v>
      </c>
      <c r="Q15" s="49" t="str">
        <f>IFERROR(IF(compras_mes6[[#This Row],[CUIT]]="","-",VLOOKUP(compras_mes6[[#This Row],[CUIT]],Lista_CUIT[#All],3,0)),"CUIT NO CARGADO")</f>
        <v>-</v>
      </c>
      <c r="R15" s="49" t="str">
        <f>IFERROR(IF(compras_mes6[[#This Row],[CUIT]]="","-",VLOOKUP(compras_mes6[[#This Row],[CUIT]],Lista_CUIT[#All],4,0)),"CUIT NO CARGADO")</f>
        <v>-</v>
      </c>
    </row>
    <row r="16" spans="1:26">
      <c r="B16" s="233"/>
      <c r="C16" s="41"/>
      <c r="D16" s="235"/>
      <c r="E16" s="236"/>
      <c r="F16" s="237"/>
      <c r="G16" s="238" t="str">
        <f>IFERROR(IF(compras_mes6[[#This Row],[CUIT]]="","-",VLOOKUP(compras_mes6[[#This Row],[CUIT]],Lista_CUIT[#All],2,0)),"CUIT NO CARGADO")</f>
        <v>-</v>
      </c>
      <c r="H16" s="46"/>
      <c r="I16" s="241" t="str">
        <f>IF(compras_mes6[[#This Row],[NETO GRAVADO]]="","",compras_mes6[[#This Row],[NETO GRAVADO]]*0.21)</f>
        <v/>
      </c>
      <c r="J16" s="241"/>
      <c r="K16" s="241"/>
      <c r="L16" s="241"/>
      <c r="M16" s="241"/>
      <c r="N16" s="241"/>
      <c r="O16" s="241"/>
      <c r="P16" s="243">
        <f>SUM(compras_mes6[[#This Row],[NETO GRAVADO]:[Otros / No Grav.]])</f>
        <v>0</v>
      </c>
      <c r="Q16" s="242" t="str">
        <f>IFERROR(IF(compras_mes6[[#This Row],[CUIT]]="","-",VLOOKUP(compras_mes6[[#This Row],[CUIT]],Lista_CUIT[#All],3,0)),"CUIT NO CARGADO")</f>
        <v>-</v>
      </c>
      <c r="R16" s="242" t="str">
        <f>IFERROR(IF(compras_mes6[[#This Row],[CUIT]]="","-",VLOOKUP(compras_mes6[[#This Row],[CUIT]],Lista_CUIT[#All],4,0)),"CUIT NO CARGADO")</f>
        <v>-</v>
      </c>
    </row>
    <row r="17" spans="2:18">
      <c r="B17" s="233"/>
      <c r="C17" s="41"/>
      <c r="D17" s="235"/>
      <c r="E17" s="236"/>
      <c r="F17" s="237"/>
      <c r="G17" s="238" t="str">
        <f>IFERROR(IF(compras_mes6[[#This Row],[CUIT]]="","-",VLOOKUP(compras_mes6[[#This Row],[CUIT]],Lista_CUIT[#All],2,0)),"CUIT NO CARGADO")</f>
        <v>-</v>
      </c>
      <c r="H17" s="46"/>
      <c r="I17" s="241" t="str">
        <f>IF(compras_mes6[[#This Row],[NETO GRAVADO]]="","",compras_mes6[[#This Row],[NETO GRAVADO]]*0.21)</f>
        <v/>
      </c>
      <c r="J17" s="241"/>
      <c r="K17" s="241"/>
      <c r="L17" s="241"/>
      <c r="M17" s="241"/>
      <c r="N17" s="241"/>
      <c r="O17" s="241"/>
      <c r="P17" s="243">
        <f>SUM(compras_mes6[[#This Row],[NETO GRAVADO]:[Otros / No Grav.]])</f>
        <v>0</v>
      </c>
      <c r="Q17" s="242" t="str">
        <f>IFERROR(IF(compras_mes6[[#This Row],[CUIT]]="","-",VLOOKUP(compras_mes6[[#This Row],[CUIT]],Lista_CUIT[#All],3,0)),"CUIT NO CARGADO")</f>
        <v>-</v>
      </c>
      <c r="R17" s="242" t="str">
        <f>IFERROR(IF(compras_mes6[[#This Row],[CUIT]]="","-",VLOOKUP(compras_mes6[[#This Row],[CUIT]],Lista_CUIT[#All],4,0)),"CUIT NO CARGADO")</f>
        <v>-</v>
      </c>
    </row>
    <row r="18" spans="2:18">
      <c r="B18" s="233"/>
      <c r="C18" s="41"/>
      <c r="D18" s="235"/>
      <c r="E18" s="236"/>
      <c r="F18" s="237"/>
      <c r="G18" s="238" t="str">
        <f>IFERROR(IF(compras_mes6[[#This Row],[CUIT]]="","-",VLOOKUP(compras_mes6[[#This Row],[CUIT]],Lista_CUIT[#All],2,0)),"CUIT NO CARGADO")</f>
        <v>-</v>
      </c>
      <c r="H18" s="46"/>
      <c r="I18" s="241" t="str">
        <f>IF(compras_mes6[[#This Row],[NETO GRAVADO]]="","",compras_mes6[[#This Row],[NETO GRAVADO]]*0.21)</f>
        <v/>
      </c>
      <c r="J18" s="241"/>
      <c r="K18" s="241"/>
      <c r="L18" s="241"/>
      <c r="M18" s="241"/>
      <c r="N18" s="241"/>
      <c r="O18" s="241"/>
      <c r="P18" s="243">
        <f>SUM(compras_mes6[[#This Row],[NETO GRAVADO]:[Otros / No Grav.]])</f>
        <v>0</v>
      </c>
      <c r="Q18" s="242" t="str">
        <f>IFERROR(IF(compras_mes6[[#This Row],[CUIT]]="","-",VLOOKUP(compras_mes6[[#This Row],[CUIT]],Lista_CUIT[#All],3,0)),"CUIT NO CARGADO")</f>
        <v>-</v>
      </c>
      <c r="R18" s="242" t="str">
        <f>IFERROR(IF(compras_mes6[[#This Row],[CUIT]]="","-",VLOOKUP(compras_mes6[[#This Row],[CUIT]],Lista_CUIT[#All],4,0)),"CUIT NO CARGADO")</f>
        <v>-</v>
      </c>
    </row>
    <row r="19" spans="2:18" ht="14.45" customHeight="1">
      <c r="B19" s="233"/>
      <c r="C19" s="41"/>
      <c r="D19" s="235"/>
      <c r="E19" s="236"/>
      <c r="F19" s="237"/>
      <c r="G19" s="238" t="str">
        <f>IFERROR(IF(compras_mes6[[#This Row],[CUIT]]="","-",VLOOKUP(compras_mes6[[#This Row],[CUIT]],Lista_CUIT[#All],2,0)),"CUIT NO CARGADO")</f>
        <v>-</v>
      </c>
      <c r="H19" s="46"/>
      <c r="I19" s="241" t="str">
        <f>IF(compras_mes6[[#This Row],[NETO GRAVADO]]="","",compras_mes6[[#This Row],[NETO GRAVADO]]*0.21)</f>
        <v/>
      </c>
      <c r="J19" s="241"/>
      <c r="K19" s="241"/>
      <c r="L19" s="241"/>
      <c r="M19" s="241"/>
      <c r="N19" s="241"/>
      <c r="O19" s="241" t="s">
        <v>197</v>
      </c>
      <c r="P19" s="243">
        <f>SUM(compras_mes6[[#This Row],[NETO GRAVADO]:[Otros / No Grav.]])</f>
        <v>0</v>
      </c>
      <c r="Q19" s="242" t="str">
        <f>IFERROR(IF(compras_mes6[[#This Row],[CUIT]]="","-",VLOOKUP(compras_mes6[[#This Row],[CUIT]],Lista_CUIT[#All],3,0)),"CUIT NO CARGADO")</f>
        <v>-</v>
      </c>
      <c r="R19" s="242" t="str">
        <f>IFERROR(IF(compras_mes6[[#This Row],[CUIT]]="","-",VLOOKUP(compras_mes6[[#This Row],[CUIT]],Lista_CUIT[#All],4,0)),"CUIT NO CARGADO")</f>
        <v>-</v>
      </c>
    </row>
    <row r="20" spans="2:18" ht="13.5" customHeight="1">
      <c r="B20" s="233"/>
      <c r="C20" s="41"/>
      <c r="D20" s="235"/>
      <c r="E20" s="236"/>
      <c r="F20" s="237"/>
      <c r="G20" s="238" t="str">
        <f>IFERROR(IF(compras_mes6[[#This Row],[CUIT]]="","-",VLOOKUP(compras_mes6[[#This Row],[CUIT]],Lista_CUIT[#All],2,0)),"CUIT NO CARGADO")</f>
        <v>-</v>
      </c>
      <c r="H20" s="46"/>
      <c r="I20" s="241" t="str">
        <f>IF(compras_mes6[[#This Row],[NETO GRAVADO]]="","",compras_mes6[[#This Row],[NETO GRAVADO]]*0.21)</f>
        <v/>
      </c>
      <c r="J20" s="241"/>
      <c r="K20" s="241"/>
      <c r="L20" s="241"/>
      <c r="M20" s="241"/>
      <c r="N20" s="241"/>
      <c r="O20" s="241"/>
      <c r="P20" s="243">
        <f>SUM(compras_mes6[[#This Row],[NETO GRAVADO]:[Otros / No Grav.]])</f>
        <v>0</v>
      </c>
      <c r="Q20" s="242" t="str">
        <f>IFERROR(IF(compras_mes6[[#This Row],[CUIT]]="","-",VLOOKUP(compras_mes6[[#This Row],[CUIT]],Lista_CUIT[#All],3,0)),"CUIT NO CARGADO")</f>
        <v>-</v>
      </c>
      <c r="R20" s="242" t="str">
        <f>IFERROR(IF(compras_mes6[[#This Row],[CUIT]]="","-",VLOOKUP(compras_mes6[[#This Row],[CUIT]],Lista_CUIT[#All],4,0)),"CUIT NO CARGADO")</f>
        <v>-</v>
      </c>
    </row>
    <row r="21" spans="2:18">
      <c r="B21" s="233"/>
      <c r="C21" s="41"/>
      <c r="D21" s="235"/>
      <c r="E21" s="236"/>
      <c r="F21" s="237"/>
      <c r="G21" s="238" t="str">
        <f>IFERROR(IF(compras_mes6[[#This Row],[CUIT]]="","-",VLOOKUP(compras_mes6[[#This Row],[CUIT]],Lista_CUIT[#All],2,0)),"CUIT NO CARGADO")</f>
        <v>-</v>
      </c>
      <c r="H21" s="239"/>
      <c r="I21" s="241" t="str">
        <f>IF(compras_mes6[[#This Row],[NETO GRAVADO]]="","",compras_mes6[[#This Row],[NETO GRAVADO]]*0.21)</f>
        <v/>
      </c>
      <c r="J21" s="241"/>
      <c r="K21" s="241"/>
      <c r="L21" s="241"/>
      <c r="M21" s="241"/>
      <c r="N21" s="241"/>
      <c r="O21" s="241"/>
      <c r="P21" s="243">
        <f>SUM(compras_mes6[[#This Row],[NETO GRAVADO]:[Otros / No Grav.]])</f>
        <v>0</v>
      </c>
      <c r="Q21" s="242" t="str">
        <f>IFERROR(IF(compras_mes6[[#This Row],[CUIT]]="","-",VLOOKUP(compras_mes6[[#This Row],[CUIT]],Lista_CUIT[#All],3,0)),"CUIT NO CARGADO")</f>
        <v>-</v>
      </c>
      <c r="R21" s="242" t="str">
        <f>IFERROR(IF(compras_mes6[[#This Row],[CUIT]]="","-",VLOOKUP(compras_mes6[[#This Row],[CUIT]],Lista_CUIT[#All],4,0)),"CUIT NO CARGADO")</f>
        <v>-</v>
      </c>
    </row>
    <row r="22" spans="2:18" ht="14.45" customHeight="1">
      <c r="B22" s="233"/>
      <c r="C22" s="41"/>
      <c r="D22" s="235"/>
      <c r="E22" s="236"/>
      <c r="F22" s="237"/>
      <c r="G22" s="238" t="str">
        <f>IFERROR(IF(compras_mes6[[#This Row],[CUIT]]="","-",VLOOKUP(compras_mes6[[#This Row],[CUIT]],Lista_CUIT[#All],2,0)),"CUIT NO CARGADO")</f>
        <v>-</v>
      </c>
      <c r="H22" s="239"/>
      <c r="I22" s="241" t="str">
        <f>IF(compras_mes6[[#This Row],[NETO GRAVADO]]="","",compras_mes6[[#This Row],[NETO GRAVADO]]*0.21)</f>
        <v/>
      </c>
      <c r="J22" s="241"/>
      <c r="K22" s="241"/>
      <c r="L22" s="241"/>
      <c r="M22" s="241"/>
      <c r="N22" s="241"/>
      <c r="O22" s="241"/>
      <c r="P22" s="243">
        <f>SUM(compras_mes6[[#This Row],[NETO GRAVADO]:[Otros / No Grav.]])</f>
        <v>0</v>
      </c>
      <c r="Q22" s="242" t="str">
        <f>IFERROR(IF(compras_mes6[[#This Row],[CUIT]]="","-",VLOOKUP(compras_mes6[[#This Row],[CUIT]],Lista_CUIT[#All],3,0)),"CUIT NO CARGADO")</f>
        <v>-</v>
      </c>
      <c r="R22" s="242" t="str">
        <f>IFERROR(IF(compras_mes6[[#This Row],[CUIT]]="","-",VLOOKUP(compras_mes6[[#This Row],[CUIT]],Lista_CUIT[#All],4,0)),"CUIT NO CARGADO")</f>
        <v>-</v>
      </c>
    </row>
    <row r="23" spans="2:18" ht="14.45" customHeight="1">
      <c r="B23" s="233"/>
      <c r="C23" s="41"/>
      <c r="D23" s="235"/>
      <c r="E23" s="236"/>
      <c r="F23" s="237"/>
      <c r="G23" s="238" t="str">
        <f>IFERROR(IF(compras_mes6[[#This Row],[CUIT]]="","-",VLOOKUP(compras_mes6[[#This Row],[CUIT]],Lista_CUIT[#All],2,0)),"CUIT NO CARGADO")</f>
        <v>-</v>
      </c>
      <c r="H23" s="239"/>
      <c r="I23" s="241" t="str">
        <f>IF(compras_mes6[[#This Row],[NETO GRAVADO]]="","",compras_mes6[[#This Row],[NETO GRAVADO]]*0.21)</f>
        <v/>
      </c>
      <c r="J23" s="241"/>
      <c r="K23" s="241"/>
      <c r="L23" s="241"/>
      <c r="M23" s="241"/>
      <c r="N23" s="241"/>
      <c r="O23" s="241"/>
      <c r="P23" s="243">
        <f>SUM(compras_mes6[[#This Row],[NETO GRAVADO]:[Otros / No Grav.]])</f>
        <v>0</v>
      </c>
      <c r="Q23" s="242" t="str">
        <f>IFERROR(IF(compras_mes6[[#This Row],[CUIT]]="","-",VLOOKUP(compras_mes6[[#This Row],[CUIT]],Lista_CUIT[#All],3,0)),"CUIT NO CARGADO")</f>
        <v>-</v>
      </c>
      <c r="R23" s="242" t="str">
        <f>IFERROR(IF(compras_mes6[[#This Row],[CUIT]]="","-",VLOOKUP(compras_mes6[[#This Row],[CUIT]],Lista_CUIT[#All],4,0)),"CUIT NO CARGADO")</f>
        <v>-</v>
      </c>
    </row>
    <row r="24" spans="2:18" ht="15" customHeight="1">
      <c r="B24" s="233"/>
      <c r="C24" s="41"/>
      <c r="D24" s="235"/>
      <c r="E24" s="236"/>
      <c r="F24" s="237"/>
      <c r="G24" s="238" t="str">
        <f>IFERROR(IF(compras_mes6[[#This Row],[CUIT]]="","-",VLOOKUP(compras_mes6[[#This Row],[CUIT]],Lista_CUIT[#All],2,0)),"CUIT NO CARGADO")</f>
        <v>-</v>
      </c>
      <c r="H24" s="239"/>
      <c r="I24" s="241" t="str">
        <f>IF(compras_mes6[[#This Row],[NETO GRAVADO]]="","",compras_mes6[[#This Row],[NETO GRAVADO]]*0.21)</f>
        <v/>
      </c>
      <c r="J24" s="241"/>
      <c r="K24" s="241"/>
      <c r="L24" s="241"/>
      <c r="M24" s="241"/>
      <c r="N24" s="241"/>
      <c r="O24" s="241"/>
      <c r="P24" s="243">
        <f>SUM(compras_mes6[[#This Row],[NETO GRAVADO]:[Otros / No Grav.]])</f>
        <v>0</v>
      </c>
      <c r="Q24" s="242" t="str">
        <f>IFERROR(IF(compras_mes6[[#This Row],[CUIT]]="","-",VLOOKUP(compras_mes6[[#This Row],[CUIT]],Lista_CUIT[#All],3,0)),"CUIT NO CARGADO")</f>
        <v>-</v>
      </c>
      <c r="R24" s="242" t="str">
        <f>IFERROR(IF(compras_mes6[[#This Row],[CUIT]]="","-",VLOOKUP(compras_mes6[[#This Row],[CUIT]],Lista_CUIT[#All],4,0)),"CUIT NO CARGADO")</f>
        <v>-</v>
      </c>
    </row>
    <row r="25" spans="2:18" ht="15" customHeight="1">
      <c r="B25" s="233"/>
      <c r="C25" s="41"/>
      <c r="D25" s="235"/>
      <c r="E25" s="236"/>
      <c r="F25" s="237"/>
      <c r="G25" s="238" t="str">
        <f>IFERROR(IF(compras_mes6[[#This Row],[CUIT]]="","-",VLOOKUP(compras_mes6[[#This Row],[CUIT]],Lista_CUIT[#All],2,0)),"CUIT NO CARGADO")</f>
        <v>-</v>
      </c>
      <c r="H25" s="239"/>
      <c r="I25" s="241" t="str">
        <f>IF(compras_mes6[[#This Row],[NETO GRAVADO]]="","",compras_mes6[[#This Row],[NETO GRAVADO]]*0.21)</f>
        <v/>
      </c>
      <c r="J25" s="241"/>
      <c r="K25" s="241"/>
      <c r="L25" s="241"/>
      <c r="M25" s="241"/>
      <c r="N25" s="241"/>
      <c r="O25" s="241"/>
      <c r="P25" s="243">
        <f>SUM(compras_mes6[[#This Row],[NETO GRAVADO]:[Otros / No Grav.]])</f>
        <v>0</v>
      </c>
      <c r="Q25" s="242" t="str">
        <f>IFERROR(IF(compras_mes6[[#This Row],[CUIT]]="","-",VLOOKUP(compras_mes6[[#This Row],[CUIT]],Lista_CUIT[#All],3,0)),"CUIT NO CARGADO")</f>
        <v>-</v>
      </c>
      <c r="R25" s="242" t="str">
        <f>IFERROR(IF(compras_mes6[[#This Row],[CUIT]]="","-",VLOOKUP(compras_mes6[[#This Row],[CUIT]],Lista_CUIT[#All],4,0)),"CUIT NO CARGADO")</f>
        <v>-</v>
      </c>
    </row>
    <row r="26" spans="2:18" ht="15" customHeight="1">
      <c r="B26" s="233"/>
      <c r="C26" s="41"/>
      <c r="D26" s="235"/>
      <c r="E26" s="236"/>
      <c r="F26" s="237"/>
      <c r="G26" s="238" t="str">
        <f>IFERROR(IF(compras_mes6[[#This Row],[CUIT]]="","-",VLOOKUP(compras_mes6[[#This Row],[CUIT]],Lista_CUIT[#All],2,0)),"CUIT NO CARGADO")</f>
        <v>-</v>
      </c>
      <c r="H26" s="239"/>
      <c r="I26" s="241" t="str">
        <f>IF(compras_mes6[[#This Row],[NETO GRAVADO]]="","",compras_mes6[[#This Row],[NETO GRAVADO]]*0.21)</f>
        <v/>
      </c>
      <c r="J26" s="241"/>
      <c r="K26" s="241"/>
      <c r="L26" s="241"/>
      <c r="M26" s="241"/>
      <c r="N26" s="241"/>
      <c r="O26" s="241"/>
      <c r="P26" s="243">
        <f>SUM(compras_mes6[[#This Row],[NETO GRAVADO]:[Otros / No Grav.]])</f>
        <v>0</v>
      </c>
      <c r="Q26" s="242" t="str">
        <f>IFERROR(IF(compras_mes6[[#This Row],[CUIT]]="","-",VLOOKUP(compras_mes6[[#This Row],[CUIT]],Lista_CUIT[#All],3,0)),"CUIT NO CARGADO")</f>
        <v>-</v>
      </c>
      <c r="R26" s="242" t="str">
        <f>IFERROR(IF(compras_mes6[[#This Row],[CUIT]]="","-",VLOOKUP(compras_mes6[[#This Row],[CUIT]],Lista_CUIT[#All],4,0)),"CUIT NO CARGADO")</f>
        <v>-</v>
      </c>
    </row>
    <row r="27" spans="2:18" ht="15" customHeight="1">
      <c r="B27" s="233"/>
      <c r="C27" s="41"/>
      <c r="D27" s="235"/>
      <c r="E27" s="236"/>
      <c r="F27" s="237"/>
      <c r="G27" s="238" t="str">
        <f>IFERROR(IF(compras_mes6[[#This Row],[CUIT]]="","-",VLOOKUP(compras_mes6[[#This Row],[CUIT]],Lista_CUIT[#All],2,0)),"CUIT NO CARGADO")</f>
        <v>-</v>
      </c>
      <c r="H27" s="239"/>
      <c r="I27" s="241" t="str">
        <f>IF(compras_mes6[[#This Row],[NETO GRAVADO]]="","",compras_mes6[[#This Row],[NETO GRAVADO]]*0.21)</f>
        <v/>
      </c>
      <c r="J27" s="241"/>
      <c r="K27" s="241"/>
      <c r="L27" s="241"/>
      <c r="M27" s="241"/>
      <c r="N27" s="241"/>
      <c r="O27" s="241"/>
      <c r="P27" s="243">
        <f>SUM(compras_mes6[[#This Row],[NETO GRAVADO]:[Otros / No Grav.]])</f>
        <v>0</v>
      </c>
      <c r="Q27" s="242" t="str">
        <f>IFERROR(IF(compras_mes6[[#This Row],[CUIT]]="","-",VLOOKUP(compras_mes6[[#This Row],[CUIT]],Lista_CUIT[#All],3,0)),"CUIT NO CARGADO")</f>
        <v>-</v>
      </c>
      <c r="R27" s="242" t="str">
        <f>IFERROR(IF(compras_mes6[[#This Row],[CUIT]]="","-",VLOOKUP(compras_mes6[[#This Row],[CUIT]],Lista_CUIT[#All],4,0)),"CUIT NO CARGADO")</f>
        <v>-</v>
      </c>
    </row>
    <row r="28" spans="2:18" ht="15" customHeight="1">
      <c r="B28" s="233"/>
      <c r="C28" s="41"/>
      <c r="D28" s="235"/>
      <c r="E28" s="236"/>
      <c r="F28" s="237"/>
      <c r="G28" s="238" t="str">
        <f>IFERROR(IF(compras_mes6[[#This Row],[CUIT]]="","-",VLOOKUP(compras_mes6[[#This Row],[CUIT]],Lista_CUIT[#All],2,0)),"CUIT NO CARGADO")</f>
        <v>-</v>
      </c>
      <c r="H28" s="239"/>
      <c r="I28" s="241" t="str">
        <f>IF(compras_mes6[[#This Row],[NETO GRAVADO]]="","",compras_mes6[[#This Row],[NETO GRAVADO]]*0.21)</f>
        <v/>
      </c>
      <c r="J28" s="241"/>
      <c r="K28" s="241"/>
      <c r="L28" s="241"/>
      <c r="M28" s="241"/>
      <c r="N28" s="241"/>
      <c r="O28" s="241"/>
      <c r="P28" s="243">
        <f>SUM(compras_mes6[[#This Row],[NETO GRAVADO]:[Otros / No Grav.]])</f>
        <v>0</v>
      </c>
      <c r="Q28" s="242" t="str">
        <f>IFERROR(IF(compras_mes6[[#This Row],[CUIT]]="","-",VLOOKUP(compras_mes6[[#This Row],[CUIT]],Lista_CUIT[#All],3,0)),"CUIT NO CARGADO")</f>
        <v>-</v>
      </c>
      <c r="R28" s="242" t="str">
        <f>IFERROR(IF(compras_mes6[[#This Row],[CUIT]]="","-",VLOOKUP(compras_mes6[[#This Row],[CUIT]],Lista_CUIT[#All],4,0)),"CUIT NO CARGADO")</f>
        <v>-</v>
      </c>
    </row>
    <row r="29" spans="2:18" ht="14.25" customHeight="1">
      <c r="B29" s="233"/>
      <c r="C29" s="41"/>
      <c r="D29" s="235"/>
      <c r="E29" s="236"/>
      <c r="F29" s="237"/>
      <c r="G29" s="238" t="str">
        <f>IFERROR(IF(compras_mes6[[#This Row],[CUIT]]="","-",VLOOKUP(compras_mes6[[#This Row],[CUIT]],Lista_CUIT[#All],2,0)),"CUIT NO CARGADO")</f>
        <v>-</v>
      </c>
      <c r="H29" s="239"/>
      <c r="I29" s="241" t="str">
        <f>IF(compras_mes6[[#This Row],[NETO GRAVADO]]="","",compras_mes6[[#This Row],[NETO GRAVADO]]*0.21)</f>
        <v/>
      </c>
      <c r="J29" s="241"/>
      <c r="K29" s="241"/>
      <c r="L29" s="241"/>
      <c r="M29" s="241"/>
      <c r="N29" s="241"/>
      <c r="O29" s="241"/>
      <c r="P29" s="243">
        <f>SUM(compras_mes6[[#This Row],[NETO GRAVADO]:[Otros / No Grav.]])</f>
        <v>0</v>
      </c>
      <c r="Q29" s="242" t="str">
        <f>IFERROR(IF(compras_mes6[[#This Row],[CUIT]]="","-",VLOOKUP(compras_mes6[[#This Row],[CUIT]],Lista_CUIT[#All],3,0)),"CUIT NO CARGADO")</f>
        <v>-</v>
      </c>
      <c r="R29" s="242" t="str">
        <f>IFERROR(IF(compras_mes6[[#This Row],[CUIT]]="","-",VLOOKUP(compras_mes6[[#This Row],[CUIT]],Lista_CUIT[#All],4,0)),"CUIT NO CARGADO")</f>
        <v>-</v>
      </c>
    </row>
    <row r="30" spans="2:18" ht="14.25" customHeight="1">
      <c r="B30" s="233"/>
      <c r="C30" s="41"/>
      <c r="D30" s="235"/>
      <c r="E30" s="236"/>
      <c r="F30" s="237"/>
      <c r="G30" s="238" t="str">
        <f>IFERROR(IF(compras_mes6[[#This Row],[CUIT]]="","-",VLOOKUP(compras_mes6[[#This Row],[CUIT]],Lista_CUIT[#All],2,0)),"CUIT NO CARGADO")</f>
        <v>-</v>
      </c>
      <c r="H30" s="239"/>
      <c r="I30" s="241" t="str">
        <f>IF(compras_mes6[[#This Row],[NETO GRAVADO]]="","",compras_mes6[[#This Row],[NETO GRAVADO]]*0.21)</f>
        <v/>
      </c>
      <c r="J30" s="241"/>
      <c r="K30" s="241"/>
      <c r="L30" s="241"/>
      <c r="M30" s="241"/>
      <c r="N30" s="241"/>
      <c r="O30" s="241"/>
      <c r="P30" s="243">
        <f>SUM(compras_mes6[[#This Row],[NETO GRAVADO]:[Otros / No Grav.]])</f>
        <v>0</v>
      </c>
      <c r="Q30" s="242" t="str">
        <f>IFERROR(IF(compras_mes6[[#This Row],[CUIT]]="","-",VLOOKUP(compras_mes6[[#This Row],[CUIT]],Lista_CUIT[#All],3,0)),"CUIT NO CARGADO")</f>
        <v>-</v>
      </c>
      <c r="R30" s="242" t="str">
        <f>IFERROR(IF(compras_mes6[[#This Row],[CUIT]]="","-",VLOOKUP(compras_mes6[[#This Row],[CUIT]],Lista_CUIT[#All],4,0)),"CUIT NO CARGADO")</f>
        <v>-</v>
      </c>
    </row>
    <row r="31" spans="2:18">
      <c r="B31" s="233"/>
      <c r="C31" s="234"/>
      <c r="D31" s="235"/>
      <c r="E31" s="236"/>
      <c r="F31" s="237"/>
      <c r="G31" s="238" t="str">
        <f>IFERROR(IF(compras_mes6[[#This Row],[CUIT]]="","-",VLOOKUP(compras_mes6[[#This Row],[CUIT]],Lista_CUIT[#All],2,0)),"CUIT NO CARGADO")</f>
        <v>-</v>
      </c>
      <c r="H31" s="239"/>
      <c r="I31" s="241" t="str">
        <f>IF(compras_mes6[[#This Row],[NETO GRAVADO]]="","",compras_mes6[[#This Row],[NETO GRAVADO]]*0.21)</f>
        <v/>
      </c>
      <c r="J31" s="241"/>
      <c r="K31" s="241"/>
      <c r="L31" s="241"/>
      <c r="M31" s="241"/>
      <c r="N31" s="241"/>
      <c r="O31" s="241"/>
      <c r="P31" s="243">
        <f>SUM(compras_mes6[[#This Row],[NETO GRAVADO]:[Otros / No Grav.]])</f>
        <v>0</v>
      </c>
      <c r="Q31" s="242" t="str">
        <f>IFERROR(IF(compras_mes6[[#This Row],[CUIT]]="","-",VLOOKUP(compras_mes6[[#This Row],[CUIT]],Lista_CUIT[#All],3,0)),"CUIT NO CARGADO")</f>
        <v>-</v>
      </c>
      <c r="R31" s="242" t="str">
        <f>IFERROR(IF(compras_mes6[[#This Row],[CUIT]]="","-",VLOOKUP(compras_mes6[[#This Row],[CUIT]],Lista_CUIT[#All],4,0)),"CUIT NO CARGADO")</f>
        <v>-</v>
      </c>
    </row>
    <row r="32" spans="2:18">
      <c r="B32" s="233"/>
      <c r="C32" s="234"/>
      <c r="D32" s="235"/>
      <c r="E32" s="236"/>
      <c r="F32" s="237"/>
      <c r="G32" s="238" t="str">
        <f>IFERROR(IF(compras_mes6[[#This Row],[CUIT]]="","-",VLOOKUP(compras_mes6[[#This Row],[CUIT]],Lista_CUIT[#All],2,0)),"CUIT NO CARGADO")</f>
        <v>-</v>
      </c>
      <c r="H32" s="239"/>
      <c r="I32" s="241" t="str">
        <f>IF(compras_mes6[[#This Row],[NETO GRAVADO]]="","",compras_mes6[[#This Row],[NETO GRAVADO]]*0.21)</f>
        <v/>
      </c>
      <c r="J32" s="241"/>
      <c r="K32" s="241"/>
      <c r="L32" s="241"/>
      <c r="M32" s="241"/>
      <c r="N32" s="241"/>
      <c r="O32" s="241"/>
      <c r="P32" s="243">
        <f>SUM(compras_mes6[[#This Row],[NETO GRAVADO]:[Otros / No Grav.]])</f>
        <v>0</v>
      </c>
      <c r="Q32" s="242" t="str">
        <f>IFERROR(IF(compras_mes6[[#This Row],[CUIT]]="","-",VLOOKUP(compras_mes6[[#This Row],[CUIT]],Lista_CUIT[#All],3,0)),"CUIT NO CARGADO")</f>
        <v>-</v>
      </c>
      <c r="R32" s="242" t="str">
        <f>IFERROR(IF(compras_mes6[[#This Row],[CUIT]]="","-",VLOOKUP(compras_mes6[[#This Row],[CUIT]],Lista_CUIT[#All],4,0)),"CUIT NO CARGADO")</f>
        <v>-</v>
      </c>
    </row>
    <row r="33" spans="2:18">
      <c r="B33" s="233"/>
      <c r="C33" s="234"/>
      <c r="D33" s="235"/>
      <c r="E33" s="236"/>
      <c r="F33" s="237"/>
      <c r="G33" s="238" t="str">
        <f>IFERROR(IF(compras_mes6[[#This Row],[CUIT]]="","-",VLOOKUP(compras_mes6[[#This Row],[CUIT]],Lista_CUIT[#All],2,0)),"CUIT NO CARGADO")</f>
        <v>-</v>
      </c>
      <c r="H33" s="239"/>
      <c r="I33" s="241" t="str">
        <f>IF(compras_mes6[[#This Row],[NETO GRAVADO]]="","",compras_mes6[[#This Row],[NETO GRAVADO]]*0.21)</f>
        <v/>
      </c>
      <c r="J33" s="241"/>
      <c r="K33" s="241"/>
      <c r="L33" s="241"/>
      <c r="M33" s="241"/>
      <c r="N33" s="241"/>
      <c r="O33" s="241"/>
      <c r="P33" s="243">
        <f>SUM(compras_mes6[[#This Row],[NETO GRAVADO]:[Otros / No Grav.]])</f>
        <v>0</v>
      </c>
      <c r="Q33" s="242" t="str">
        <f>IFERROR(IF(compras_mes6[[#This Row],[CUIT]]="","-",VLOOKUP(compras_mes6[[#This Row],[CUIT]],Lista_CUIT[#All],3,0)),"CUIT NO CARGADO")</f>
        <v>-</v>
      </c>
      <c r="R33" s="242" t="str">
        <f>IFERROR(IF(compras_mes6[[#This Row],[CUIT]]="","-",VLOOKUP(compras_mes6[[#This Row],[CUIT]],Lista_CUIT[#All],4,0)),"CUIT NO CARGADO")</f>
        <v>-</v>
      </c>
    </row>
    <row r="34" spans="2:18">
      <c r="B34" s="233"/>
      <c r="C34" s="234"/>
      <c r="D34" s="235"/>
      <c r="E34" s="236"/>
      <c r="F34" s="237"/>
      <c r="G34" s="238" t="str">
        <f>IFERROR(IF(compras_mes6[[#This Row],[CUIT]]="","-",VLOOKUP(compras_mes6[[#This Row],[CUIT]],Lista_CUIT[#All],2,0)),"CUIT NO CARGADO")</f>
        <v>-</v>
      </c>
      <c r="H34" s="239"/>
      <c r="I34" s="241" t="str">
        <f>IF(compras_mes6[[#This Row],[NETO GRAVADO]]="","",compras_mes6[[#This Row],[NETO GRAVADO]]*0.21)</f>
        <v/>
      </c>
      <c r="J34" s="241"/>
      <c r="K34" s="241"/>
      <c r="L34" s="241"/>
      <c r="M34" s="241"/>
      <c r="N34" s="241"/>
      <c r="O34" s="241"/>
      <c r="P34" s="243">
        <f>SUM(compras_mes6[[#This Row],[NETO GRAVADO]:[Otros / No Grav.]])</f>
        <v>0</v>
      </c>
      <c r="Q34" s="242" t="str">
        <f>IFERROR(IF(compras_mes6[[#This Row],[CUIT]]="","-",VLOOKUP(compras_mes6[[#This Row],[CUIT]],Lista_CUIT[#All],3,0)),"CUIT NO CARGADO")</f>
        <v>-</v>
      </c>
      <c r="R34" s="242" t="str">
        <f>IFERROR(IF(compras_mes6[[#This Row],[CUIT]]="","-",VLOOKUP(compras_mes6[[#This Row],[CUIT]],Lista_CUIT[#All],4,0)),"CUIT NO CARGADO")</f>
        <v>-</v>
      </c>
    </row>
    <row r="35" spans="2:18">
      <c r="B35" s="233"/>
      <c r="C35" s="234"/>
      <c r="D35" s="235"/>
      <c r="E35" s="236"/>
      <c r="F35" s="237"/>
      <c r="G35" s="238" t="str">
        <f>IFERROR(IF(compras_mes6[[#This Row],[CUIT]]="","-",VLOOKUP(compras_mes6[[#This Row],[CUIT]],Lista_CUIT[#All],2,0)),"CUIT NO CARGADO")</f>
        <v>-</v>
      </c>
      <c r="H35" s="239"/>
      <c r="I35" s="241" t="str">
        <f>IF(compras_mes6[[#This Row],[NETO GRAVADO]]="","",compras_mes6[[#This Row],[NETO GRAVADO]]*0.21)</f>
        <v/>
      </c>
      <c r="J35" s="241"/>
      <c r="K35" s="241"/>
      <c r="L35" s="241"/>
      <c r="M35" s="241"/>
      <c r="N35" s="241"/>
      <c r="O35" s="241"/>
      <c r="P35" s="243">
        <f>SUM(compras_mes6[[#This Row],[NETO GRAVADO]:[Otros / No Grav.]])</f>
        <v>0</v>
      </c>
      <c r="Q35" s="242" t="str">
        <f>IFERROR(IF(compras_mes6[[#This Row],[CUIT]]="","-",VLOOKUP(compras_mes6[[#This Row],[CUIT]],Lista_CUIT[#All],3,0)),"CUIT NO CARGADO")</f>
        <v>-</v>
      </c>
      <c r="R35" s="242" t="str">
        <f>IFERROR(IF(compras_mes6[[#This Row],[CUIT]]="","-",VLOOKUP(compras_mes6[[#This Row],[CUIT]],Lista_CUIT[#All],4,0)),"CUIT NO CARGADO")</f>
        <v>-</v>
      </c>
    </row>
    <row r="36" spans="2:18" s="56" customFormat="1" ht="18.600000000000001" customHeight="1">
      <c r="B36" s="233"/>
      <c r="C36" s="234"/>
      <c r="D36" s="235"/>
      <c r="E36" s="236"/>
      <c r="F36" s="237"/>
      <c r="G36" s="238" t="str">
        <f>IFERROR(IF(compras_mes6[[#This Row],[CUIT]]="","-",VLOOKUP(compras_mes6[[#This Row],[CUIT]],Lista_CUIT[#All],2,0)),"CUIT NO CARGADO")</f>
        <v>-</v>
      </c>
      <c r="H36" s="239"/>
      <c r="I36" s="241" t="str">
        <f>IF(compras_mes6[[#This Row],[NETO GRAVADO]]="","",compras_mes6[[#This Row],[NETO GRAVADO]]*0.21)</f>
        <v/>
      </c>
      <c r="J36" s="241"/>
      <c r="K36" s="241"/>
      <c r="L36" s="241"/>
      <c r="M36" s="241"/>
      <c r="N36" s="241"/>
      <c r="O36" s="241"/>
      <c r="P36" s="243">
        <f>SUM(compras_mes6[[#This Row],[NETO GRAVADO]:[Otros / No Grav.]])</f>
        <v>0</v>
      </c>
      <c r="Q36" s="242" t="str">
        <f>IFERROR(IF(compras_mes6[[#This Row],[CUIT]]="","-",VLOOKUP(compras_mes6[[#This Row],[CUIT]],Lista_CUIT[#All],3,0)),"CUIT NO CARGADO")</f>
        <v>-</v>
      </c>
      <c r="R36" s="242" t="str">
        <f>IFERROR(IF(compras_mes6[[#This Row],[CUIT]]="","-",VLOOKUP(compras_mes6[[#This Row],[CUIT]],Lista_CUIT[#All],4,0)),"CUIT NO CARGADO")</f>
        <v>-</v>
      </c>
    </row>
    <row r="37" spans="2:18">
      <c r="B37" s="233"/>
      <c r="C37" s="234"/>
      <c r="D37" s="235"/>
      <c r="E37" s="236"/>
      <c r="F37" s="237"/>
      <c r="G37" s="238" t="str">
        <f>IFERROR(IF(compras_mes6[[#This Row],[CUIT]]="","-",VLOOKUP(compras_mes6[[#This Row],[CUIT]],Lista_CUIT[#All],2,0)),"CUIT NO CARGADO")</f>
        <v>-</v>
      </c>
      <c r="H37" s="239"/>
      <c r="I37" s="241" t="str">
        <f>IF(compras_mes6[[#This Row],[NETO GRAVADO]]="","",compras_mes6[[#This Row],[NETO GRAVADO]]*0.21)</f>
        <v/>
      </c>
      <c r="J37" s="241"/>
      <c r="K37" s="241"/>
      <c r="L37" s="241"/>
      <c r="M37" s="241"/>
      <c r="N37" s="241"/>
      <c r="O37" s="241"/>
      <c r="P37" s="243">
        <f>SUM(compras_mes6[[#This Row],[NETO GRAVADO]:[Otros / No Grav.]])</f>
        <v>0</v>
      </c>
      <c r="Q37" s="242" t="str">
        <f>IFERROR(IF(compras_mes6[[#This Row],[CUIT]]="","-",VLOOKUP(compras_mes6[[#This Row],[CUIT]],Lista_CUIT[#All],3,0)),"CUIT NO CARGADO")</f>
        <v>-</v>
      </c>
      <c r="R37" s="242" t="str">
        <f>IFERROR(IF(compras_mes6[[#This Row],[CUIT]]="","-",VLOOKUP(compras_mes6[[#This Row],[CUIT]],Lista_CUIT[#All],4,0)),"CUIT NO CARGADO")</f>
        <v>-</v>
      </c>
    </row>
    <row r="38" spans="2:18">
      <c r="B38" s="233"/>
      <c r="C38" s="234"/>
      <c r="D38" s="235"/>
      <c r="E38" s="236"/>
      <c r="F38" s="237"/>
      <c r="G38" s="238" t="str">
        <f>IFERROR(IF(compras_mes6[[#This Row],[CUIT]]="","-",VLOOKUP(compras_mes6[[#This Row],[CUIT]],Lista_CUIT[#All],2,0)),"CUIT NO CARGADO")</f>
        <v>-</v>
      </c>
      <c r="H38" s="239"/>
      <c r="I38" s="241" t="str">
        <f>IF(compras_mes6[[#This Row],[NETO GRAVADO]]="","",compras_mes6[[#This Row],[NETO GRAVADO]]*0.21)</f>
        <v/>
      </c>
      <c r="J38" s="241"/>
      <c r="K38" s="241"/>
      <c r="L38" s="241"/>
      <c r="M38" s="241"/>
      <c r="N38" s="241"/>
      <c r="O38" s="241"/>
      <c r="P38" s="243">
        <f>SUM(compras_mes6[[#This Row],[NETO GRAVADO]:[Otros / No Grav.]])</f>
        <v>0</v>
      </c>
      <c r="Q38" s="242" t="str">
        <f>IFERROR(IF(compras_mes6[[#This Row],[CUIT]]="","-",VLOOKUP(compras_mes6[[#This Row],[CUIT]],Lista_CUIT[#All],3,0)),"CUIT NO CARGADO")</f>
        <v>-</v>
      </c>
      <c r="R38" s="242" t="str">
        <f>IFERROR(IF(compras_mes6[[#This Row],[CUIT]]="","-",VLOOKUP(compras_mes6[[#This Row],[CUIT]],Lista_CUIT[#All],4,0)),"CUIT NO CARGADO")</f>
        <v>-</v>
      </c>
    </row>
    <row r="39" spans="2:18">
      <c r="B39" s="233"/>
      <c r="C39" s="234"/>
      <c r="D39" s="235"/>
      <c r="E39" s="236"/>
      <c r="F39" s="237"/>
      <c r="G39" s="238" t="str">
        <f>IFERROR(IF(compras_mes6[[#This Row],[CUIT]]="","-",VLOOKUP(compras_mes6[[#This Row],[CUIT]],Lista_CUIT[#All],2,0)),"CUIT NO CARGADO")</f>
        <v>-</v>
      </c>
      <c r="H39" s="239"/>
      <c r="I39" s="241" t="str">
        <f>IF(compras_mes6[[#This Row],[NETO GRAVADO]]="","",compras_mes6[[#This Row],[NETO GRAVADO]]*0.21)</f>
        <v/>
      </c>
      <c r="J39" s="241"/>
      <c r="K39" s="241"/>
      <c r="L39" s="241"/>
      <c r="M39" s="241"/>
      <c r="N39" s="241"/>
      <c r="O39" s="241"/>
      <c r="P39" s="243">
        <f>SUM(compras_mes6[[#This Row],[NETO GRAVADO]:[Otros / No Grav.]])</f>
        <v>0</v>
      </c>
      <c r="Q39" s="242" t="str">
        <f>IFERROR(IF(compras_mes6[[#This Row],[CUIT]]="","-",VLOOKUP(compras_mes6[[#This Row],[CUIT]],Lista_CUIT[#All],3,0)),"CUIT NO CARGADO")</f>
        <v>-</v>
      </c>
      <c r="R39" s="242" t="str">
        <f>IFERROR(IF(compras_mes6[[#This Row],[CUIT]]="","-",VLOOKUP(compras_mes6[[#This Row],[CUIT]],Lista_CUIT[#All],4,0)),"CUIT NO CARGADO")</f>
        <v>-</v>
      </c>
    </row>
    <row r="40" spans="2:18">
      <c r="B40" s="233"/>
      <c r="C40" s="234"/>
      <c r="D40" s="235"/>
      <c r="E40" s="236"/>
      <c r="F40" s="237"/>
      <c r="G40" s="238" t="str">
        <f>IFERROR(IF(compras_mes6[[#This Row],[CUIT]]="","-",VLOOKUP(compras_mes6[[#This Row],[CUIT]],Lista_CUIT[#All],2,0)),"CUIT NO CARGADO")</f>
        <v>-</v>
      </c>
      <c r="H40" s="239"/>
      <c r="I40" s="241" t="str">
        <f>IF(compras_mes6[[#This Row],[NETO GRAVADO]]="","",compras_mes6[[#This Row],[NETO GRAVADO]]*0.21)</f>
        <v/>
      </c>
      <c r="J40" s="241"/>
      <c r="K40" s="241"/>
      <c r="L40" s="241"/>
      <c r="M40" s="241"/>
      <c r="N40" s="241"/>
      <c r="O40" s="241"/>
      <c r="P40" s="243">
        <f>SUM(compras_mes6[[#This Row],[NETO GRAVADO]:[Otros / No Grav.]])</f>
        <v>0</v>
      </c>
      <c r="Q40" s="242" t="str">
        <f>IFERROR(IF(compras_mes6[[#This Row],[CUIT]]="","-",VLOOKUP(compras_mes6[[#This Row],[CUIT]],Lista_CUIT[#All],3,0)),"CUIT NO CARGADO")</f>
        <v>-</v>
      </c>
      <c r="R40" s="242" t="str">
        <f>IFERROR(IF(compras_mes6[[#This Row],[CUIT]]="","-",VLOOKUP(compras_mes6[[#This Row],[CUIT]],Lista_CUIT[#All],4,0)),"CUIT NO CARGADO")</f>
        <v>-</v>
      </c>
    </row>
    <row r="41" spans="2:18">
      <c r="B41" s="233"/>
      <c r="C41" s="234"/>
      <c r="D41" s="235"/>
      <c r="E41" s="236"/>
      <c r="F41" s="237"/>
      <c r="G41" s="238" t="str">
        <f>IFERROR(IF(compras_mes6[[#This Row],[CUIT]]="","-",VLOOKUP(compras_mes6[[#This Row],[CUIT]],Lista_CUIT[#All],2,0)),"CUIT NO CARGADO")</f>
        <v>-</v>
      </c>
      <c r="H41" s="239"/>
      <c r="I41" s="241" t="str">
        <f>IF(compras_mes6[[#This Row],[NETO GRAVADO]]="","",compras_mes6[[#This Row],[NETO GRAVADO]]*0.21)</f>
        <v/>
      </c>
      <c r="J41" s="241"/>
      <c r="K41" s="241"/>
      <c r="L41" s="241"/>
      <c r="M41" s="241"/>
      <c r="N41" s="241"/>
      <c r="O41" s="241"/>
      <c r="P41" s="243">
        <f>SUM(compras_mes6[[#This Row],[NETO GRAVADO]:[Otros / No Grav.]])</f>
        <v>0</v>
      </c>
      <c r="Q41" s="242" t="str">
        <f>IFERROR(IF(compras_mes6[[#This Row],[CUIT]]="","-",VLOOKUP(compras_mes6[[#This Row],[CUIT]],Lista_CUIT[#All],3,0)),"CUIT NO CARGADO")</f>
        <v>-</v>
      </c>
      <c r="R41" s="242" t="str">
        <f>IFERROR(IF(compras_mes6[[#This Row],[CUIT]]="","-",VLOOKUP(compras_mes6[[#This Row],[CUIT]],Lista_CUIT[#All],4,0)),"CUIT NO CARGADO")</f>
        <v>-</v>
      </c>
    </row>
    <row r="42" spans="2:18">
      <c r="B42" s="233"/>
      <c r="C42" s="234"/>
      <c r="D42" s="235"/>
      <c r="E42" s="236"/>
      <c r="F42" s="237"/>
      <c r="G42" s="238" t="str">
        <f>IFERROR(IF(compras_mes6[[#This Row],[CUIT]]="","-",VLOOKUP(compras_mes6[[#This Row],[CUIT]],Lista_CUIT[#All],2,0)),"CUIT NO CARGADO")</f>
        <v>-</v>
      </c>
      <c r="H42" s="239"/>
      <c r="I42" s="241" t="str">
        <f>IF(compras_mes6[[#This Row],[NETO GRAVADO]]="","",compras_mes6[[#This Row],[NETO GRAVADO]]*0.21)</f>
        <v/>
      </c>
      <c r="J42" s="241"/>
      <c r="K42" s="241"/>
      <c r="L42" s="241"/>
      <c r="M42" s="241"/>
      <c r="N42" s="241"/>
      <c r="O42" s="241"/>
      <c r="P42" s="243">
        <f>SUM(compras_mes6[[#This Row],[NETO GRAVADO]:[Otros / No Grav.]])</f>
        <v>0</v>
      </c>
      <c r="Q42" s="242" t="str">
        <f>IFERROR(IF(compras_mes6[[#This Row],[CUIT]]="","-",VLOOKUP(compras_mes6[[#This Row],[CUIT]],Lista_CUIT[#All],3,0)),"CUIT NO CARGADO")</f>
        <v>-</v>
      </c>
      <c r="R42" s="242" t="str">
        <f>IFERROR(IF(compras_mes6[[#This Row],[CUIT]]="","-",VLOOKUP(compras_mes6[[#This Row],[CUIT]],Lista_CUIT[#All],4,0)),"CUIT NO CARGADO")</f>
        <v>-</v>
      </c>
    </row>
    <row r="43" spans="2:18" ht="22.5" customHeight="1">
      <c r="B43" s="96" t="s">
        <v>91</v>
      </c>
      <c r="C43" s="96"/>
      <c r="D43" s="96"/>
      <c r="E43" s="96"/>
      <c r="F43" s="96"/>
      <c r="G43" s="97"/>
      <c r="H43" s="98">
        <f>SUBTOTAL(109,compras_mes6[NETO GRAVADO])</f>
        <v>0</v>
      </c>
      <c r="I43" s="98">
        <f>SUBTOTAL(109,compras_mes6[IVA 21 %])</f>
        <v>0</v>
      </c>
      <c r="J43" s="98">
        <f>SUBTOTAL(109,compras_mes6[IVA 27%])</f>
        <v>0</v>
      </c>
      <c r="K43" s="98">
        <f>SUBTOTAL(109,compras_mes6[IVA 10,5%])</f>
        <v>0</v>
      </c>
      <c r="L43" s="98">
        <f>SUBTOTAL(109,compras_mes6[PERC. IVA])</f>
        <v>0</v>
      </c>
      <c r="M43" s="98">
        <f>SUBTOTAL(109,compras_mes6[PERC IIBB 
BS AS])</f>
        <v>0</v>
      </c>
      <c r="N43" s="98">
        <f>SUBTOTAL(109,compras_mes6[PERC. IIBB CABA])</f>
        <v>0</v>
      </c>
      <c r="O43" s="98">
        <f>SUBTOTAL(109,compras_mes6[Otros / No Grav.])</f>
        <v>0</v>
      </c>
      <c r="P43" s="98">
        <f>SUBTOTAL(109,compras_mes6[TOTAL])</f>
        <v>0</v>
      </c>
      <c r="Q43" s="96"/>
      <c r="R43" s="96"/>
    </row>
    <row r="44" spans="2:18">
      <c r="B44" s="40"/>
      <c r="C44" s="41"/>
      <c r="D44" s="42"/>
      <c r="E44" s="43"/>
      <c r="F44" s="44"/>
      <c r="G44" s="45"/>
      <c r="H44" s="46"/>
      <c r="I44" s="47"/>
      <c r="J44" s="47"/>
      <c r="K44" s="47"/>
      <c r="L44" s="47"/>
      <c r="M44" s="47"/>
      <c r="N44" s="47"/>
      <c r="O44" s="47"/>
      <c r="P44" s="48"/>
      <c r="Q44" s="49"/>
      <c r="R44" s="49"/>
    </row>
    <row r="45" spans="2:18" ht="33" customHeight="1">
      <c r="B45" s="40"/>
      <c r="C45" s="41"/>
      <c r="D45" s="42"/>
      <c r="E45" s="43"/>
      <c r="F45" s="44"/>
      <c r="G45" s="45"/>
      <c r="H45" s="46"/>
      <c r="I45" s="47"/>
      <c r="J45" s="47"/>
      <c r="K45" s="47"/>
      <c r="L45" s="47"/>
      <c r="M45" s="47"/>
      <c r="N45" s="47"/>
      <c r="O45" s="47"/>
      <c r="P45" s="48"/>
      <c r="Q45" s="49"/>
      <c r="R45" s="49"/>
    </row>
    <row r="46" spans="2:18">
      <c r="B46" s="40"/>
      <c r="C46" s="41"/>
      <c r="D46" s="42"/>
      <c r="E46" s="43"/>
      <c r="F46" s="44"/>
      <c r="G46" s="45"/>
      <c r="H46" s="46"/>
      <c r="I46" s="47"/>
      <c r="J46" s="47"/>
      <c r="K46" s="47"/>
      <c r="L46" s="47"/>
      <c r="M46" s="47"/>
      <c r="N46" s="47"/>
      <c r="O46" s="47"/>
      <c r="P46" s="48"/>
      <c r="Q46" s="49"/>
      <c r="R46" s="49"/>
    </row>
    <row r="47" spans="2:18">
      <c r="B47" s="40"/>
      <c r="C47" s="41"/>
      <c r="D47" s="42"/>
      <c r="E47" s="43"/>
      <c r="F47" s="44"/>
      <c r="G47" s="45"/>
      <c r="H47" s="46"/>
      <c r="I47" s="47"/>
      <c r="J47" s="47"/>
      <c r="K47" s="47"/>
      <c r="L47" s="47"/>
    </row>
    <row r="48" spans="2:18" ht="21">
      <c r="D48" s="428" t="s">
        <v>15</v>
      </c>
      <c r="E48" s="428"/>
      <c r="F48" s="428"/>
      <c r="G48" s="428"/>
      <c r="H48" s="428"/>
      <c r="I48" s="428"/>
      <c r="J48" s="428"/>
      <c r="K48" s="428"/>
      <c r="L48" s="428"/>
    </row>
    <row r="49" spans="2:18" ht="15.75">
      <c r="D49" s="73" t="s">
        <v>0</v>
      </c>
      <c r="E49" s="74" t="s">
        <v>26</v>
      </c>
      <c r="F49" s="74" t="s">
        <v>16</v>
      </c>
      <c r="G49" s="74" t="s">
        <v>5</v>
      </c>
      <c r="H49" s="74" t="s">
        <v>17</v>
      </c>
      <c r="I49" s="74" t="s">
        <v>7</v>
      </c>
      <c r="J49" s="75" t="s">
        <v>18</v>
      </c>
      <c r="K49" s="75" t="s">
        <v>19</v>
      </c>
      <c r="L49" s="76" t="s">
        <v>20</v>
      </c>
    </row>
    <row r="50" spans="2:18">
      <c r="D50" s="50"/>
      <c r="E50" s="79"/>
      <c r="F50" s="80"/>
      <c r="G50" s="81"/>
      <c r="H50" s="81">
        <f>extracto_banco_mes6[[#This Row],[NETO]]*0.21</f>
        <v>0</v>
      </c>
      <c r="I50" s="81"/>
      <c r="J50" s="81"/>
      <c r="K50" s="81"/>
      <c r="L50" s="81"/>
    </row>
    <row r="51" spans="2:18">
      <c r="D51" s="50"/>
      <c r="E51" s="79"/>
      <c r="F51" s="80"/>
      <c r="G51" s="81"/>
      <c r="H51" s="81"/>
      <c r="I51" s="81"/>
      <c r="J51" s="81"/>
      <c r="K51" s="81"/>
      <c r="L51" s="81"/>
    </row>
    <row r="52" spans="2:18">
      <c r="D52" s="50"/>
      <c r="E52" s="79"/>
      <c r="F52" s="80"/>
      <c r="G52" s="81"/>
      <c r="H52" s="81"/>
      <c r="I52" s="81"/>
      <c r="J52" s="81"/>
      <c r="K52" s="81"/>
      <c r="L52" s="81"/>
    </row>
    <row r="53" spans="2:18">
      <c r="D53" s="82" t="s">
        <v>91</v>
      </c>
      <c r="E53" s="80"/>
      <c r="F53" s="80"/>
      <c r="G53" s="83">
        <f>SUBTOTAL(109,extracto_banco_mes6[NETO])</f>
        <v>0</v>
      </c>
      <c r="H53" s="83">
        <f>SUBTOTAL(109,extracto_banco_mes6[IVA 21%])</f>
        <v>0</v>
      </c>
      <c r="I53" s="83">
        <f>SUBTOTAL(109,extracto_banco_mes6[IVA 10,5%])</f>
        <v>0</v>
      </c>
      <c r="J53" s="83">
        <f>SUBTOTAL(109,extracto_banco_mes6[RET IIBB CABA])</f>
        <v>0</v>
      </c>
      <c r="K53" s="83">
        <f>SUBTOTAL(109,extracto_banco_mes6[PERC IVA])</f>
        <v>0</v>
      </c>
      <c r="L53" s="83">
        <f>SUBTOTAL(109,extracto_banco_mes6[PERC IIBB])</f>
        <v>0</v>
      </c>
    </row>
    <row r="57" spans="2:18" ht="17.25" customHeight="1">
      <c r="D57" s="428" t="s">
        <v>25</v>
      </c>
      <c r="E57" s="428"/>
      <c r="F57" s="428"/>
      <c r="G57" s="428"/>
      <c r="H57" s="428"/>
      <c r="I57" s="428"/>
      <c r="J57" s="428"/>
      <c r="K57" s="428"/>
    </row>
    <row r="58" spans="2:18">
      <c r="D58" s="51" t="s">
        <v>0</v>
      </c>
      <c r="E58" s="51" t="s">
        <v>2</v>
      </c>
      <c r="F58" s="51" t="s">
        <v>74</v>
      </c>
      <c r="G58" s="51" t="s">
        <v>3</v>
      </c>
      <c r="H58" s="51" t="s">
        <v>4</v>
      </c>
      <c r="I58" s="52" t="s">
        <v>10</v>
      </c>
      <c r="J58" s="51" t="s">
        <v>13</v>
      </c>
      <c r="K58" s="51" t="s">
        <v>38</v>
      </c>
    </row>
    <row r="59" spans="2:18">
      <c r="D59" s="50"/>
      <c r="E59" s="42"/>
      <c r="F59" s="42"/>
      <c r="G59" s="44"/>
      <c r="H59" s="53" t="str">
        <f>IFERROR(IF(factura_c_mes6[[#This Row],[CUIT]]="","-",VLOOKUP(factura_c_mes6[[#This Row],[CUIT]],Lista_CUIT[#All],2,0)),"CUIT NO CARGADO")</f>
        <v>-</v>
      </c>
      <c r="I59" s="81"/>
      <c r="J59" s="54" t="str">
        <f>IFERROR(IF(factura_c_mes6[[#This Row],[CUIT]]="","-",VLOOKUP(factura_c_mes6[[#This Row],[CUIT]],Lista_CUIT[#All],3,0)),"CUIT NO CARGADO")</f>
        <v>-</v>
      </c>
      <c r="K59" s="54" t="str">
        <f>IFERROR(IF(factura_c_mes6[[#This Row],[CUIT]]="","-",VLOOKUP(factura_c_mes6[[#This Row],[CUIT]],Lista_CUIT[#All],4,0)),"CUIT NO CARGADO")</f>
        <v>-</v>
      </c>
    </row>
    <row r="60" spans="2:18">
      <c r="D60" s="50"/>
      <c r="E60" s="42"/>
      <c r="F60" s="42"/>
      <c r="G60" s="44"/>
      <c r="H60" s="53" t="str">
        <f>IFERROR(IF(factura_c_mes6[[#This Row],[CUIT]]="","-",VLOOKUP(factura_c_mes6[[#This Row],[CUIT]],Lista_CUIT[#All],2,0)),"CUIT NO CARGADO")</f>
        <v>-</v>
      </c>
      <c r="I60" s="81"/>
      <c r="J60" s="54" t="str">
        <f>IFERROR(IF(factura_c_mes6[[#This Row],[CUIT]]="","-",VLOOKUP(factura_c_mes6[[#This Row],[CUIT]],Lista_CUIT[#All],3,0)),"CUIT NO CARGADO")</f>
        <v>-</v>
      </c>
      <c r="K60" s="54" t="str">
        <f>IFERROR(IF(factura_c_mes6[[#This Row],[CUIT]]="","-",VLOOKUP(factura_c_mes6[[#This Row],[CUIT]],Lista_CUIT[#All],4,0)),"CUIT NO CARGADO")</f>
        <v>-</v>
      </c>
    </row>
    <row r="61" spans="2:18">
      <c r="D61" s="50"/>
      <c r="E61" s="42"/>
      <c r="F61" s="42"/>
      <c r="G61" s="44"/>
      <c r="H61" s="53" t="str">
        <f>IFERROR(IF(factura_c_mes6[[#This Row],[CUIT]]="","-",VLOOKUP(factura_c_mes6[[#This Row],[CUIT]],Lista_CUIT[#All],2,0)),"CUIT NO CARGADO")</f>
        <v>-</v>
      </c>
      <c r="I61" s="81"/>
      <c r="J61" s="54" t="str">
        <f>IFERROR(IF(factura_c_mes6[[#This Row],[CUIT]]="","-",VLOOKUP(factura_c_mes6[[#This Row],[CUIT]],Lista_CUIT[#All],3,0)),"CUIT NO CARGADO")</f>
        <v>-</v>
      </c>
      <c r="K61" s="54" t="str">
        <f>IFERROR(IF(factura_c_mes6[[#This Row],[CUIT]]="","-",VLOOKUP(factura_c_mes6[[#This Row],[CUIT]],Lista_CUIT[#All],4,0)),"CUIT NO CARGADO")</f>
        <v>-</v>
      </c>
    </row>
    <row r="62" spans="2:18">
      <c r="D62" s="50"/>
      <c r="E62" s="42"/>
      <c r="F62" s="42"/>
      <c r="G62" s="44"/>
      <c r="H62" s="53" t="str">
        <f>IFERROR(IF(factura_c_mes6[[#This Row],[CUIT]]="","-",VLOOKUP(factura_c_mes6[[#This Row],[CUIT]],Lista_CUIT[#All],2,0)),"CUIT NO CARGADO")</f>
        <v>-</v>
      </c>
      <c r="I62" s="81"/>
      <c r="J62" s="54" t="str">
        <f>IFERROR(IF(factura_c_mes6[[#This Row],[CUIT]]="","-",VLOOKUP(factura_c_mes6[[#This Row],[CUIT]],Lista_CUIT[#All],3,0)),"CUIT NO CARGADO")</f>
        <v>-</v>
      </c>
      <c r="K62" s="54" t="str">
        <f>IFERROR(IF(factura_c_mes6[[#This Row],[CUIT]]="","-",VLOOKUP(factura_c_mes6[[#This Row],[CUIT]],Lista_CUIT[#All],4,0)),"CUIT NO CARGADO")</f>
        <v>-</v>
      </c>
    </row>
    <row r="63" spans="2:18">
      <c r="D63" s="50"/>
      <c r="E63" s="42"/>
      <c r="F63" s="42"/>
      <c r="G63" s="250"/>
      <c r="H63" s="244" t="str">
        <f>IFERROR(IF(factura_c_mes6[[#This Row],[CUIT]]="","-",VLOOKUP(factura_c_mes6[[#This Row],[CUIT]],Lista_CUIT[#All],2,0)),"CUIT NO CARGADO")</f>
        <v>-</v>
      </c>
      <c r="I63" s="245"/>
      <c r="J63" s="246" t="str">
        <f>IFERROR(IF(factura_c_mes6[[#This Row],[CUIT]]="","-",VLOOKUP(factura_c_mes6[[#This Row],[CUIT]],Lista_CUIT[#All],3,0)),"CUIT NO CARGADO")</f>
        <v>-</v>
      </c>
      <c r="K63" s="246" t="str">
        <f>IFERROR(IF(factura_c_mes6[[#This Row],[CUIT]]="","-",VLOOKUP(factura_c_mes6[[#This Row],[CUIT]],Lista_CUIT[#All],4,0)),"CUIT NO CARGADO")</f>
        <v>-</v>
      </c>
    </row>
    <row r="64" spans="2:18">
      <c r="B64" s="56"/>
      <c r="C64" s="56"/>
      <c r="D64" s="252"/>
      <c r="E64" s="252"/>
      <c r="F64" s="252"/>
      <c r="G64" s="250"/>
      <c r="H64" s="244" t="str">
        <f>IFERROR(IF(factura_c_mes6[[#This Row],[CUIT]]="","-",VLOOKUP(factura_c_mes6[[#This Row],[CUIT]],Lista_CUIT[#All],2,0)),"CUIT NO CARGADO")</f>
        <v>-</v>
      </c>
      <c r="I64" s="245"/>
      <c r="J64" s="246" t="str">
        <f>IFERROR(IF(factura_c_mes6[[#This Row],[CUIT]]="","-",VLOOKUP(factura_c_mes6[[#This Row],[CUIT]],Lista_CUIT[#All],3,0)),"CUIT NO CARGADO")</f>
        <v>-</v>
      </c>
      <c r="K64" s="246" t="str">
        <f>IFERROR(IF(factura_c_mes6[[#This Row],[CUIT]]="","-",VLOOKUP(factura_c_mes6[[#This Row],[CUIT]],Lista_CUIT[#All],4,0)),"CUIT NO CARGADO")</f>
        <v>-</v>
      </c>
      <c r="L64" s="56"/>
      <c r="M64" s="56"/>
      <c r="N64" s="56"/>
      <c r="O64" s="56"/>
      <c r="P64" s="56"/>
      <c r="Q64" s="56"/>
      <c r="R64" s="56"/>
    </row>
    <row r="65" spans="2:13">
      <c r="D65" s="55" t="s">
        <v>91</v>
      </c>
      <c r="E65" s="55"/>
      <c r="F65" s="55"/>
      <c r="G65" s="55"/>
      <c r="H65" s="57"/>
      <c r="I65" s="58">
        <f>SUBTOTAL(109,factura_c_mes6[TOTAL])</f>
        <v>0</v>
      </c>
      <c r="J65" s="55"/>
      <c r="K65" s="55"/>
    </row>
    <row r="69" spans="2:13" ht="26.25">
      <c r="B69" s="436" t="s">
        <v>29</v>
      </c>
      <c r="C69" s="436"/>
      <c r="D69" s="436"/>
      <c r="E69" s="436"/>
      <c r="F69" s="436"/>
      <c r="G69" s="436"/>
      <c r="H69" s="436"/>
      <c r="I69" s="436"/>
      <c r="J69" s="436"/>
      <c r="K69" s="432">
        <f>N1</f>
        <v>46174</v>
      </c>
      <c r="L69" s="432"/>
      <c r="M69" s="432"/>
    </row>
    <row r="71" spans="2:13" ht="21">
      <c r="B71" s="429" t="s">
        <v>30</v>
      </c>
      <c r="C71" s="429"/>
    </row>
    <row r="72" spans="2:13" ht="31.5">
      <c r="B72" s="60" t="s">
        <v>0</v>
      </c>
      <c r="C72" s="61" t="s">
        <v>1</v>
      </c>
      <c r="D72" s="61" t="s">
        <v>21</v>
      </c>
      <c r="E72" s="61" t="s">
        <v>22</v>
      </c>
      <c r="F72" s="61" t="s">
        <v>3</v>
      </c>
      <c r="G72" s="61" t="s">
        <v>4</v>
      </c>
      <c r="H72" s="61" t="s">
        <v>23</v>
      </c>
      <c r="I72" s="61" t="s">
        <v>17</v>
      </c>
      <c r="J72" s="61" t="s">
        <v>7</v>
      </c>
      <c r="K72" s="61" t="s">
        <v>24</v>
      </c>
      <c r="L72" s="61" t="s">
        <v>10</v>
      </c>
      <c r="M72" s="62" t="s">
        <v>38</v>
      </c>
    </row>
    <row r="73" spans="2:13">
      <c r="B73" s="251"/>
      <c r="C73" s="41"/>
      <c r="D73" s="42"/>
      <c r="E73" s="43"/>
      <c r="F73" s="44"/>
      <c r="G73" s="99" t="str">
        <f>IFERROR(IF(venta_a_mes6[[#This Row],[CUIT]]="","-",VLOOKUP(venta_a_mes6[[#This Row],[CUIT]],Lista_CUIT[#All],2,0)),"CUIT NO CARGADO")</f>
        <v>-</v>
      </c>
      <c r="H73" s="100"/>
      <c r="I73" s="101">
        <f>venta_a_mes6[[#This Row],[IMPORTE NETO]]*0.21</f>
        <v>0</v>
      </c>
      <c r="J73" s="65"/>
      <c r="K73" s="65"/>
      <c r="L73" s="65">
        <f>SUM(venta_a_mes6[[#This Row],[IMPORTE NETO]:[EXENTO]])</f>
        <v>0</v>
      </c>
      <c r="M73" s="59"/>
    </row>
    <row r="74" spans="2:13">
      <c r="B74" s="40"/>
      <c r="C74" s="41"/>
      <c r="D74" s="42"/>
      <c r="E74" s="43"/>
      <c r="F74" s="44"/>
      <c r="G74" s="99" t="str">
        <f>IFERROR(IF(venta_a_mes6[[#This Row],[CUIT]]="","-",VLOOKUP(venta_a_mes6[[#This Row],[CUIT]],Lista_CUIT[#All],2,0)),"CUIT NO CARGADO")</f>
        <v>-</v>
      </c>
      <c r="H74" s="100"/>
      <c r="I74" s="101">
        <f>venta_a_mes6[[#This Row],[IMPORTE NETO]]*0.21</f>
        <v>0</v>
      </c>
      <c r="J74" s="65"/>
      <c r="K74" s="65"/>
      <c r="L74" s="65">
        <f>SUM(venta_a_mes6[[#This Row],[IMPORTE NETO]:[EXENTO]])</f>
        <v>0</v>
      </c>
      <c r="M74" s="59"/>
    </row>
    <row r="75" spans="2:13">
      <c r="B75" s="40"/>
      <c r="C75" s="41"/>
      <c r="D75" s="42"/>
      <c r="E75" s="43"/>
      <c r="F75" s="44"/>
      <c r="G75" s="99" t="str">
        <f>IFERROR(IF(venta_a_mes6[[#This Row],[CUIT]]="","-",VLOOKUP(venta_a_mes6[[#This Row],[CUIT]],Lista_CUIT[#All],2,0)),"CUIT NO CARGADO")</f>
        <v>-</v>
      </c>
      <c r="H75" s="100"/>
      <c r="I75" s="101">
        <f>venta_a_mes6[[#This Row],[IMPORTE NETO]]*0.21</f>
        <v>0</v>
      </c>
      <c r="J75" s="65"/>
      <c r="K75" s="65"/>
      <c r="L75" s="65">
        <f>SUM(venta_a_mes6[[#This Row],[IMPORTE NETO]:[EXENTO]])</f>
        <v>0</v>
      </c>
      <c r="M75" s="59"/>
    </row>
    <row r="76" spans="2:13">
      <c r="B76" s="40"/>
      <c r="C76" s="41"/>
      <c r="D76" s="42"/>
      <c r="E76" s="43"/>
      <c r="F76" s="44"/>
      <c r="G76" s="99" t="str">
        <f>IFERROR(IF(venta_a_mes6[[#This Row],[CUIT]]="","-",VLOOKUP(venta_a_mes6[[#This Row],[CUIT]],Lista_CUIT[#All],2,0)),"CUIT NO CARGADO")</f>
        <v>-</v>
      </c>
      <c r="H76" s="100"/>
      <c r="I76" s="101">
        <f>venta_a_mes6[[#This Row],[IMPORTE NETO]]*0.21</f>
        <v>0</v>
      </c>
      <c r="J76" s="65"/>
      <c r="K76" s="65"/>
      <c r="L76" s="65">
        <f>SUM(venta_a_mes6[[#This Row],[IMPORTE NETO]:[EXENTO]])</f>
        <v>0</v>
      </c>
      <c r="M76" s="59"/>
    </row>
    <row r="77" spans="2:13">
      <c r="B77" s="40"/>
      <c r="C77" s="41"/>
      <c r="D77" s="42"/>
      <c r="E77" s="43"/>
      <c r="F77" s="44"/>
      <c r="G77" s="99" t="str">
        <f>IFERROR(IF(venta_a_mes6[[#This Row],[CUIT]]="","-",VLOOKUP(venta_a_mes6[[#This Row],[CUIT]],Lista_CUIT[#All],2,0)),"CUIT NO CARGADO")</f>
        <v>-</v>
      </c>
      <c r="H77" s="100"/>
      <c r="I77" s="101">
        <f>venta_a_mes6[[#This Row],[IMPORTE NETO]]*0.21</f>
        <v>0</v>
      </c>
      <c r="J77" s="65"/>
      <c r="K77" s="65"/>
      <c r="L77" s="65">
        <f>SUM(venta_a_mes6[[#This Row],[IMPORTE NETO]:[EXENTO]])</f>
        <v>0</v>
      </c>
      <c r="M77" s="59"/>
    </row>
    <row r="78" spans="2:13">
      <c r="B78" s="40"/>
      <c r="C78" s="41"/>
      <c r="D78" s="42"/>
      <c r="E78" s="43"/>
      <c r="F78" s="44"/>
      <c r="G78" s="99" t="str">
        <f>IFERROR(IF(venta_a_mes6[[#This Row],[CUIT]]="","-",VLOOKUP(venta_a_mes6[[#This Row],[CUIT]],Lista_CUIT[#All],2,0)),"CUIT NO CARGADO")</f>
        <v>-</v>
      </c>
      <c r="H78" s="100"/>
      <c r="I78" s="101">
        <f>venta_a_mes6[[#This Row],[IMPORTE NETO]]*0.21</f>
        <v>0</v>
      </c>
      <c r="J78" s="65"/>
      <c r="K78" s="65"/>
      <c r="L78" s="65">
        <f>SUM(venta_a_mes6[[#This Row],[IMPORTE NETO]:[EXENTO]])</f>
        <v>0</v>
      </c>
      <c r="M78" s="59"/>
    </row>
    <row r="79" spans="2:13">
      <c r="B79" s="40"/>
      <c r="C79" s="41"/>
      <c r="D79" s="42"/>
      <c r="E79" s="43"/>
      <c r="F79" s="44"/>
      <c r="G79" s="99" t="str">
        <f>IFERROR(IF(venta_a_mes6[[#This Row],[CUIT]]="","-",VLOOKUP(venta_a_mes6[[#This Row],[CUIT]],Lista_CUIT[#All],2,0)),"CUIT NO CARGADO")</f>
        <v>-</v>
      </c>
      <c r="H79" s="100"/>
      <c r="I79" s="101">
        <f>venta_a_mes6[[#This Row],[IMPORTE NETO]]*0.21</f>
        <v>0</v>
      </c>
      <c r="J79" s="65"/>
      <c r="K79" s="65"/>
      <c r="L79" s="65">
        <f>SUM(venta_a_mes6[[#This Row],[IMPORTE NETO]:[EXENTO]])</f>
        <v>0</v>
      </c>
      <c r="M79" s="63"/>
    </row>
    <row r="80" spans="2:13">
      <c r="B80" s="40"/>
      <c r="C80" s="41"/>
      <c r="D80" s="103"/>
      <c r="E80" s="104"/>
      <c r="F80" s="105"/>
      <c r="G80" s="99" t="str">
        <f>IFERROR(IF(venta_a_mes6[[#This Row],[CUIT]]="","-",VLOOKUP(venta_a_mes6[[#This Row],[CUIT]],Lista_CUIT[#All],2,0)),"CUIT NO CARGADO")</f>
        <v>-</v>
      </c>
      <c r="H80" s="106"/>
      <c r="I80" s="107">
        <f>venta_a_mes6[[#This Row],[IMPORTE NETO]]*0.21</f>
        <v>0</v>
      </c>
      <c r="J80" s="72"/>
      <c r="K80" s="72"/>
      <c r="L80" s="72">
        <f>SUM(venta_a_mes6[[#This Row],[IMPORTE NETO]:[EXENTO]])</f>
        <v>0</v>
      </c>
      <c r="M80" s="63"/>
    </row>
    <row r="81" spans="2:13">
      <c r="B81" s="40"/>
      <c r="C81" s="41"/>
      <c r="D81" s="110"/>
      <c r="E81" s="111"/>
      <c r="F81" s="112"/>
      <c r="G81" s="99" t="str">
        <f>IFERROR(IF(venta_a_mes6[[#This Row],[CUIT]]="","-",VLOOKUP(venta_a_mes6[[#This Row],[CUIT]],Lista_CUIT[#All],2,0)),"CUIT NO CARGADO")</f>
        <v>-</v>
      </c>
      <c r="H81" s="100"/>
      <c r="I81" s="101">
        <f>venta_a_mes6[[#This Row],[IMPORTE NETO]]*0.21</f>
        <v>0</v>
      </c>
      <c r="J81" s="65"/>
      <c r="K81" s="65"/>
      <c r="L81" s="65">
        <f>SUM(venta_a_mes6[[#This Row],[IMPORTE NETO]:[EXENTO]])</f>
        <v>0</v>
      </c>
      <c r="M81" s="59"/>
    </row>
    <row r="82" spans="2:13">
      <c r="B82" s="40"/>
      <c r="C82" s="41"/>
      <c r="D82" s="176"/>
      <c r="E82" s="177"/>
      <c r="F82" s="178"/>
      <c r="G82" s="179" t="str">
        <f>IFERROR(IF(venta_a_mes6[[#This Row],[CUIT]]="","-",VLOOKUP(venta_a_mes6[[#This Row],[CUIT]],Lista_CUIT[#All],2,0)),"CUIT NO CARGADO")</f>
        <v>-</v>
      </c>
      <c r="H82" s="180"/>
      <c r="I82" s="181">
        <f>venta_a_mes6[[#This Row],[IMPORTE NETO]]*0.21</f>
        <v>0</v>
      </c>
      <c r="J82" s="182"/>
      <c r="K82" s="182"/>
      <c r="L82" s="182">
        <f>SUM(venta_a_mes6[[#This Row],[IMPORTE NETO]:[EXENTO]])</f>
        <v>0</v>
      </c>
      <c r="M82" s="183"/>
    </row>
    <row r="83" spans="2:13">
      <c r="B83" s="40"/>
      <c r="C83" s="41"/>
      <c r="D83" s="176"/>
      <c r="E83" s="177"/>
      <c r="F83" s="178"/>
      <c r="G83" s="179" t="str">
        <f>IFERROR(IF(venta_a_mes6[[#This Row],[CUIT]]="","-",VLOOKUP(venta_a_mes6[[#This Row],[CUIT]],Lista_CUIT[#All],2,0)),"CUIT NO CARGADO")</f>
        <v>-</v>
      </c>
      <c r="H83" s="180"/>
      <c r="I83" s="181">
        <f>venta_a_mes6[[#This Row],[IMPORTE NETO]]*0.21</f>
        <v>0</v>
      </c>
      <c r="J83" s="182"/>
      <c r="K83" s="182"/>
      <c r="L83" s="182">
        <f>SUM(venta_a_mes6[[#This Row],[IMPORTE NETO]:[EXENTO]])</f>
        <v>0</v>
      </c>
      <c r="M83" s="183"/>
    </row>
    <row r="84" spans="2:13">
      <c r="B84" s="40"/>
      <c r="C84" s="41"/>
      <c r="D84" s="168"/>
      <c r="E84" s="169"/>
      <c r="F84" s="170"/>
      <c r="G84" s="171" t="str">
        <f>IFERROR(IF(venta_a_mes6[[#This Row],[CUIT]]="","-",VLOOKUP(venta_a_mes6[[#This Row],[CUIT]],Lista_CUIT[#All],2,0)),"CUIT NO CARGADO")</f>
        <v>-</v>
      </c>
      <c r="H84" s="172"/>
      <c r="I84" s="173">
        <f>venta_a_mes6[[#This Row],[IMPORTE NETO]]*0.21</f>
        <v>0</v>
      </c>
      <c r="J84" s="174"/>
      <c r="K84" s="174"/>
      <c r="L84" s="174">
        <f>SUM(venta_a_mes6[[#This Row],[IMPORTE NETO]:[EXENTO]])</f>
        <v>0</v>
      </c>
      <c r="M84" s="175"/>
    </row>
    <row r="85" spans="2:13">
      <c r="B85" s="40"/>
      <c r="C85" s="41"/>
      <c r="D85" s="168"/>
      <c r="E85" s="169"/>
      <c r="F85" s="170"/>
      <c r="G85" s="171" t="str">
        <f>IFERROR(IF(venta_a_mes6[[#This Row],[CUIT]]="","-",VLOOKUP(venta_a_mes6[[#This Row],[CUIT]],Lista_CUIT[#All],2,0)),"CUIT NO CARGADO")</f>
        <v>-</v>
      </c>
      <c r="H85" s="172"/>
      <c r="I85" s="173">
        <f>venta_a_mes6[[#This Row],[IMPORTE NETO]]*0.21</f>
        <v>0</v>
      </c>
      <c r="J85" s="174"/>
      <c r="K85" s="174"/>
      <c r="L85" s="174">
        <f>SUM(venta_a_mes6[[#This Row],[IMPORTE NETO]:[EXENTO]])</f>
        <v>0</v>
      </c>
      <c r="M85" s="175"/>
    </row>
    <row r="86" spans="2:13">
      <c r="B86" s="40"/>
      <c r="C86" s="41"/>
      <c r="D86" s="168"/>
      <c r="E86" s="169"/>
      <c r="F86" s="170"/>
      <c r="G86" s="171" t="str">
        <f>IFERROR(IF(venta_a_mes6[[#This Row],[CUIT]]="","-",VLOOKUP(venta_a_mes6[[#This Row],[CUIT]],Lista_CUIT[#All],2,0)),"CUIT NO CARGADO")</f>
        <v>-</v>
      </c>
      <c r="H86" s="172"/>
      <c r="I86" s="173">
        <f>venta_a_mes6[[#This Row],[IMPORTE NETO]]*0.21</f>
        <v>0</v>
      </c>
      <c r="J86" s="174"/>
      <c r="K86" s="174"/>
      <c r="L86" s="174">
        <f>SUM(venta_a_mes6[[#This Row],[IMPORTE NETO]:[EXENTO]])</f>
        <v>0</v>
      </c>
      <c r="M86" s="175"/>
    </row>
    <row r="87" spans="2:13">
      <c r="B87" s="40"/>
      <c r="C87" s="41"/>
      <c r="D87" s="168"/>
      <c r="E87" s="169"/>
      <c r="F87" s="170"/>
      <c r="G87" s="171" t="str">
        <f>IFERROR(IF(venta_a_mes6[[#This Row],[CUIT]]="","-",VLOOKUP(venta_a_mes6[[#This Row],[CUIT]],Lista_CUIT[#All],2,0)),"CUIT NO CARGADO")</f>
        <v>-</v>
      </c>
      <c r="H87" s="172"/>
      <c r="I87" s="173">
        <f>venta_a_mes6[[#This Row],[IMPORTE NETO]]*0.21</f>
        <v>0</v>
      </c>
      <c r="J87" s="174"/>
      <c r="K87" s="174"/>
      <c r="L87" s="174">
        <f>SUM(venta_a_mes6[[#This Row],[IMPORTE NETO]:[EXENTO]])</f>
        <v>0</v>
      </c>
      <c r="M87" s="175"/>
    </row>
    <row r="88" spans="2:13">
      <c r="B88" s="40"/>
      <c r="C88" s="41"/>
      <c r="D88" s="168"/>
      <c r="E88" s="169"/>
      <c r="F88" s="170"/>
      <c r="G88" s="171" t="str">
        <f>IFERROR(IF(venta_a_mes6[[#This Row],[CUIT]]="","-",VLOOKUP(venta_a_mes6[[#This Row],[CUIT]],Lista_CUIT[#All],2,0)),"CUIT NO CARGADO")</f>
        <v>-</v>
      </c>
      <c r="H88" s="172"/>
      <c r="I88" s="173">
        <f>venta_a_mes6[[#This Row],[IMPORTE NETO]]*0.21</f>
        <v>0</v>
      </c>
      <c r="J88" s="174"/>
      <c r="K88" s="174"/>
      <c r="L88" s="174">
        <f>SUM(venta_a_mes6[[#This Row],[IMPORTE NETO]:[EXENTO]])</f>
        <v>0</v>
      </c>
      <c r="M88" s="175"/>
    </row>
    <row r="89" spans="2:13">
      <c r="B89" s="40"/>
      <c r="C89" s="41"/>
      <c r="D89" s="168"/>
      <c r="E89" s="169"/>
      <c r="F89" s="170"/>
      <c r="G89" s="171" t="str">
        <f>IFERROR(IF(venta_a_mes6[[#This Row],[CUIT]]="","-",VLOOKUP(venta_a_mes6[[#This Row],[CUIT]],Lista_CUIT[#All],2,0)),"CUIT NO CARGADO")</f>
        <v>-</v>
      </c>
      <c r="H89" s="172"/>
      <c r="I89" s="173">
        <f>venta_a_mes6[[#This Row],[IMPORTE NETO]]*0.21</f>
        <v>0</v>
      </c>
      <c r="J89" s="174"/>
      <c r="K89" s="174"/>
      <c r="L89" s="174">
        <f>SUM(venta_a_mes6[[#This Row],[IMPORTE NETO]:[EXENTO]])</f>
        <v>0</v>
      </c>
      <c r="M89" s="175"/>
    </row>
    <row r="90" spans="2:13">
      <c r="B90" s="214"/>
      <c r="C90" s="41"/>
      <c r="D90" s="168"/>
      <c r="E90" s="217"/>
      <c r="F90" s="218"/>
      <c r="G90" s="219" t="str">
        <f>IFERROR(IF(venta_a_mes6[[#This Row],[CUIT]]="","-",VLOOKUP(venta_a_mes6[[#This Row],[CUIT]],Lista_CUIT[#All],2,0)),"CUIT NO CARGADO")</f>
        <v>-</v>
      </c>
      <c r="H90" s="220"/>
      <c r="I90" s="221">
        <f>venta_a_mes6[[#This Row],[IMPORTE NETO]]*0.21</f>
        <v>0</v>
      </c>
      <c r="J90" s="222"/>
      <c r="K90" s="222"/>
      <c r="L90" s="222">
        <f>SUM(venta_a_mes6[[#This Row],[IMPORTE NETO]:[EXENTO]])</f>
        <v>0</v>
      </c>
      <c r="M90" s="223"/>
    </row>
    <row r="91" spans="2:13">
      <c r="B91" s="167"/>
      <c r="C91" s="41"/>
      <c r="D91" s="168"/>
      <c r="E91" s="169"/>
      <c r="F91" s="170"/>
      <c r="G91" s="171" t="str">
        <f>IFERROR(IF(venta_a_mes6[[#This Row],[CUIT]]="","-",VLOOKUP(venta_a_mes6[[#This Row],[CUIT]],Lista_CUIT[#All],2,0)),"CUIT NO CARGADO")</f>
        <v>-</v>
      </c>
      <c r="H91" s="172"/>
      <c r="I91" s="173">
        <f>venta_a_mes6[[#This Row],[IMPORTE NETO]]*0.21</f>
        <v>0</v>
      </c>
      <c r="J91" s="174"/>
      <c r="K91" s="174"/>
      <c r="L91" s="174">
        <f>SUM(venta_a_mes6[[#This Row],[IMPORTE NETO]:[EXENTO]])</f>
        <v>0</v>
      </c>
      <c r="M91" s="175"/>
    </row>
    <row r="92" spans="2:13">
      <c r="B92" s="214"/>
      <c r="C92" s="41"/>
      <c r="D92" s="216"/>
      <c r="E92" s="217"/>
      <c r="F92" s="218"/>
      <c r="G92" s="219" t="str">
        <f>IFERROR(IF(venta_a_mes6[[#This Row],[CUIT]]="","-",VLOOKUP(venta_a_mes6[[#This Row],[CUIT]],Lista_CUIT[#All],2,0)),"CUIT NO CARGADO")</f>
        <v>-</v>
      </c>
      <c r="H92" s="220"/>
      <c r="I92" s="221">
        <f>venta_a_mes6[[#This Row],[IMPORTE NETO]]*0.21</f>
        <v>0</v>
      </c>
      <c r="J92" s="222"/>
      <c r="K92" s="222"/>
      <c r="L92" s="222">
        <f>SUM(venta_a_mes6[[#This Row],[IMPORTE NETO]:[EXENTO]])</f>
        <v>0</v>
      </c>
      <c r="M92" s="223"/>
    </row>
    <row r="93" spans="2:13">
      <c r="B93" s="214"/>
      <c r="C93" s="41"/>
      <c r="D93" s="216"/>
      <c r="E93" s="217"/>
      <c r="F93" s="218"/>
      <c r="G93" s="219" t="str">
        <f>IFERROR(IF(venta_a_mes6[[#This Row],[CUIT]]="","-",VLOOKUP(venta_a_mes6[[#This Row],[CUIT]],Lista_CUIT[#All],2,0)),"CUIT NO CARGADO")</f>
        <v>-</v>
      </c>
      <c r="H93" s="220"/>
      <c r="I93" s="221">
        <f>venta_a_mes6[[#This Row],[IMPORTE NETO]]*0.21</f>
        <v>0</v>
      </c>
      <c r="J93" s="222"/>
      <c r="K93" s="222"/>
      <c r="L93" s="222">
        <f>SUM(venta_a_mes6[[#This Row],[IMPORTE NETO]:[EXENTO]])</f>
        <v>0</v>
      </c>
      <c r="M93" s="223"/>
    </row>
    <row r="94" spans="2:13">
      <c r="B94" s="224"/>
      <c r="C94" s="357"/>
      <c r="D94" s="225"/>
      <c r="E94" s="226"/>
      <c r="F94" s="227"/>
      <c r="G94" s="228" t="str">
        <f>IFERROR(IF(venta_a_mes6[[#This Row],[CUIT]]="","-",VLOOKUP(venta_a_mes6[[#This Row],[CUIT]],Lista_CUIT[#All],2,0)),"CUIT NO CARGADO")</f>
        <v>-</v>
      </c>
      <c r="H94" s="229"/>
      <c r="I94" s="230">
        <f>venta_a_mes6[[#This Row],[IMPORTE NETO]]*0.21</f>
        <v>0</v>
      </c>
      <c r="J94" s="231"/>
      <c r="K94" s="231"/>
      <c r="L94" s="231">
        <f>SUM(venta_a_mes6[[#This Row],[IMPORTE NETO]:[EXENTO]])</f>
        <v>0</v>
      </c>
      <c r="M94" s="232"/>
    </row>
    <row r="95" spans="2:13">
      <c r="B95" s="214"/>
      <c r="C95" s="215"/>
      <c r="D95" s="216"/>
      <c r="E95" s="217"/>
      <c r="F95" s="218"/>
      <c r="G95" s="219" t="str">
        <f>IFERROR(IF(venta_a_mes6[[#This Row],[CUIT]]="","-",VLOOKUP(venta_a_mes6[[#This Row],[CUIT]],Lista_CUIT[#All],2,0)),"CUIT NO CARGADO")</f>
        <v>-</v>
      </c>
      <c r="H95" s="220"/>
      <c r="I95" s="221">
        <f>venta_a_mes6[[#This Row],[IMPORTE NETO]]*0.21</f>
        <v>0</v>
      </c>
      <c r="J95" s="222"/>
      <c r="K95" s="222"/>
      <c r="L95" s="222">
        <f>SUM(venta_a_mes6[[#This Row],[IMPORTE NETO]:[EXENTO]])</f>
        <v>0</v>
      </c>
      <c r="M95" s="223"/>
    </row>
    <row r="96" spans="2:13">
      <c r="B96" s="214"/>
      <c r="C96" s="215"/>
      <c r="D96" s="216"/>
      <c r="E96" s="217"/>
      <c r="F96" s="218"/>
      <c r="G96" s="219" t="str">
        <f>IFERROR(IF(venta_a_mes6[[#This Row],[CUIT]]="","-",VLOOKUP(venta_a_mes6[[#This Row],[CUIT]],Lista_CUIT[#All],2,0)),"CUIT NO CARGADO")</f>
        <v>-</v>
      </c>
      <c r="H96" s="220"/>
      <c r="I96" s="221">
        <f>venta_a_mes6[[#This Row],[IMPORTE NETO]]*0.21</f>
        <v>0</v>
      </c>
      <c r="J96" s="222"/>
      <c r="K96" s="222"/>
      <c r="L96" s="222">
        <f>SUM(venta_a_mes6[[#This Row],[IMPORTE NETO]:[EXENTO]])</f>
        <v>0</v>
      </c>
      <c r="M96" s="223"/>
    </row>
    <row r="97" spans="2:13">
      <c r="B97" s="214"/>
      <c r="C97" s="215"/>
      <c r="D97" s="216"/>
      <c r="E97" s="217"/>
      <c r="F97" s="218"/>
      <c r="G97" s="219" t="str">
        <f>IFERROR(IF(venta_a_mes6[[#This Row],[CUIT]]="","-",VLOOKUP(venta_a_mes6[[#This Row],[CUIT]],Lista_CUIT[#All],2,0)),"CUIT NO CARGADO")</f>
        <v>-</v>
      </c>
      <c r="H97" s="220"/>
      <c r="I97" s="221">
        <f>venta_a_mes6[[#This Row],[IMPORTE NETO]]*0.21</f>
        <v>0</v>
      </c>
      <c r="J97" s="222"/>
      <c r="K97" s="222"/>
      <c r="L97" s="222">
        <f>SUM(venta_a_mes6[[#This Row],[IMPORTE NETO]:[EXENTO]])</f>
        <v>0</v>
      </c>
      <c r="M97" s="223"/>
    </row>
    <row r="98" spans="2:13">
      <c r="B98" s="214"/>
      <c r="C98" s="215"/>
      <c r="D98" s="216"/>
      <c r="E98" s="217"/>
      <c r="F98" s="218"/>
      <c r="G98" s="219" t="str">
        <f>IFERROR(IF(venta_a_mes6[[#This Row],[CUIT]]="","-",VLOOKUP(venta_a_mes6[[#This Row],[CUIT]],Lista_CUIT[#All],2,0)),"CUIT NO CARGADO")</f>
        <v>-</v>
      </c>
      <c r="H98" s="220"/>
      <c r="I98" s="221">
        <f>venta_a_mes6[[#This Row],[IMPORTE NETO]]*0.21</f>
        <v>0</v>
      </c>
      <c r="J98" s="222"/>
      <c r="K98" s="222"/>
      <c r="L98" s="222">
        <f>SUM(venta_a_mes6[[#This Row],[IMPORTE NETO]:[EXENTO]])</f>
        <v>0</v>
      </c>
      <c r="M98" s="223"/>
    </row>
    <row r="99" spans="2:13">
      <c r="B99" s="214"/>
      <c r="C99" s="215"/>
      <c r="D99" s="216"/>
      <c r="E99" s="217"/>
      <c r="F99" s="218"/>
      <c r="G99" s="219" t="str">
        <f>IFERROR(IF(venta_a_mes6[[#This Row],[CUIT]]="","-",VLOOKUP(venta_a_mes6[[#This Row],[CUIT]],Lista_CUIT[#All],2,0)),"CUIT NO CARGADO")</f>
        <v>-</v>
      </c>
      <c r="H99" s="220"/>
      <c r="I99" s="221">
        <f>venta_a_mes6[[#This Row],[IMPORTE NETO]]*0.21</f>
        <v>0</v>
      </c>
      <c r="J99" s="222"/>
      <c r="K99" s="222"/>
      <c r="L99" s="222">
        <f>SUM(venta_a_mes6[[#This Row],[IMPORTE NETO]:[EXENTO]])</f>
        <v>0</v>
      </c>
      <c r="M99" s="223"/>
    </row>
    <row r="100" spans="2:13">
      <c r="B100" s="214"/>
      <c r="C100" s="215"/>
      <c r="D100" s="216"/>
      <c r="E100" s="217"/>
      <c r="F100" s="218"/>
      <c r="G100" s="219" t="str">
        <f>IFERROR(IF(venta_a_mes6[[#This Row],[CUIT]]="","-",VLOOKUP(venta_a_mes6[[#This Row],[CUIT]],Lista_CUIT[#All],2,0)),"CUIT NO CARGADO")</f>
        <v>-</v>
      </c>
      <c r="H100" s="220"/>
      <c r="I100" s="221">
        <f>venta_a_mes6[[#This Row],[IMPORTE NETO]]*0.21</f>
        <v>0</v>
      </c>
      <c r="J100" s="222"/>
      <c r="K100" s="222"/>
      <c r="L100" s="222">
        <f>SUM(venta_a_mes6[[#This Row],[IMPORTE NETO]:[EXENTO]])</f>
        <v>0</v>
      </c>
      <c r="M100" s="223"/>
    </row>
    <row r="101" spans="2:13">
      <c r="B101" s="66" t="s">
        <v>91</v>
      </c>
      <c r="C101" s="67"/>
      <c r="D101" s="67"/>
      <c r="E101" s="67"/>
      <c r="F101" s="67"/>
      <c r="G101" s="67"/>
      <c r="H101" s="69">
        <f>SUBTOTAL(109,venta_a_mes6[IMPORTE NETO])</f>
        <v>0</v>
      </c>
      <c r="I101" s="70">
        <f>SUBTOTAL(109,venta_a_mes6[IVA 21%])</f>
        <v>0</v>
      </c>
      <c r="J101" s="71">
        <f>SUBTOTAL(109,venta_a_mes6[IVA 10,5%])</f>
        <v>0</v>
      </c>
      <c r="K101" s="71">
        <f>SUBTOTAL(109,venta_a_mes6[EXENTO])</f>
        <v>0</v>
      </c>
      <c r="L101" s="71">
        <f>SUBTOTAL(109,venta_a_mes6[TOTAL])</f>
        <v>0</v>
      </c>
      <c r="M101" s="68">
        <f>SUBTOTAL(103,venta_a_mes6[Provincia])</f>
        <v>0</v>
      </c>
    </row>
    <row r="102" spans="2:13" ht="21">
      <c r="B102" s="429" t="s">
        <v>31</v>
      </c>
      <c r="C102" s="429"/>
    </row>
    <row r="103" spans="2:13" ht="31.5">
      <c r="B103" s="60" t="s">
        <v>0</v>
      </c>
      <c r="C103" s="61" t="s">
        <v>1</v>
      </c>
      <c r="D103" s="61" t="s">
        <v>21</v>
      </c>
      <c r="E103" s="61" t="s">
        <v>22</v>
      </c>
      <c r="F103" s="61" t="s">
        <v>3</v>
      </c>
      <c r="G103" s="61" t="s">
        <v>4</v>
      </c>
      <c r="H103" s="61" t="s">
        <v>23</v>
      </c>
      <c r="I103" s="61" t="s">
        <v>17</v>
      </c>
      <c r="J103" s="61" t="s">
        <v>7</v>
      </c>
      <c r="K103" s="61" t="s">
        <v>24</v>
      </c>
      <c r="L103" s="61" t="s">
        <v>10</v>
      </c>
      <c r="M103" s="62" t="s">
        <v>38</v>
      </c>
    </row>
    <row r="104" spans="2:13">
      <c r="B104" s="40"/>
      <c r="C104" s="41"/>
      <c r="D104" s="42"/>
      <c r="E104" s="43"/>
      <c r="F104" s="44"/>
      <c r="G104" s="1" t="str">
        <f>IFERROR(IF(ventas_b_mes6[[#This Row],[CUIT]]="","-",VLOOKUP(ventas_b_mes6[[#This Row],[CUIT]],Lista_CUIT[#All],2,0)),"CUIT NO CARGADO")</f>
        <v>-</v>
      </c>
      <c r="H104" s="64"/>
      <c r="I104" s="64"/>
      <c r="J104" s="64"/>
      <c r="K104" s="64"/>
      <c r="L104" s="64">
        <f>SUM(ventas_b_mes6[[#This Row],[IMPORTE NETO]:[EXENTO]])</f>
        <v>0</v>
      </c>
      <c r="M104" s="59"/>
    </row>
    <row r="105" spans="2:13">
      <c r="B105" s="40"/>
      <c r="C105" s="41"/>
      <c r="D105" s="42"/>
      <c r="E105" s="43"/>
      <c r="F105" s="44"/>
      <c r="G105" s="1" t="str">
        <f>IFERROR(IF(ventas_b_mes6[[#This Row],[CUIT]]="","-",VLOOKUP(ventas_b_mes6[[#This Row],[CUIT]],Lista_CUIT[#All],2,0)),"CUIT NO CARGADO")</f>
        <v>-</v>
      </c>
      <c r="H105" s="64"/>
      <c r="I105" s="64"/>
      <c r="J105" s="64"/>
      <c r="K105" s="64"/>
      <c r="L105" s="64">
        <f>SUM(ventas_b_mes6[[#This Row],[IMPORTE NETO]:[EXENTO]])</f>
        <v>0</v>
      </c>
      <c r="M105" s="59"/>
    </row>
    <row r="106" spans="2:13">
      <c r="B106" s="40"/>
      <c r="C106" s="41"/>
      <c r="D106" s="42"/>
      <c r="E106" s="43"/>
      <c r="F106" s="44"/>
      <c r="G106" s="1" t="str">
        <f>IFERROR(IF(ventas_b_mes6[[#This Row],[CUIT]]="","-",VLOOKUP(ventas_b_mes6[[#This Row],[CUIT]],Lista_CUIT[#All],2,0)),"CUIT NO CARGADO")</f>
        <v>-</v>
      </c>
      <c r="H106" s="64"/>
      <c r="I106" s="64"/>
      <c r="J106" s="64"/>
      <c r="K106" s="64"/>
      <c r="L106" s="64">
        <f>SUM(ventas_b_mes6[[#This Row],[IMPORTE NETO]:[EXENTO]])</f>
        <v>0</v>
      </c>
      <c r="M106" s="59"/>
    </row>
    <row r="107" spans="2:13">
      <c r="B107" s="40"/>
      <c r="C107" s="41"/>
      <c r="D107" s="42"/>
      <c r="E107" s="43"/>
      <c r="F107" s="44"/>
      <c r="G107" s="1" t="str">
        <f>IFERROR(IF(ventas_b_mes6[[#This Row],[CUIT]]="","-",VLOOKUP(ventas_b_mes6[[#This Row],[CUIT]],Lista_CUIT[#All],2,0)),"CUIT NO CARGADO")</f>
        <v>-</v>
      </c>
      <c r="H107" s="64"/>
      <c r="I107" s="64"/>
      <c r="J107" s="64"/>
      <c r="K107" s="64"/>
      <c r="L107" s="64">
        <f>SUM(ventas_b_mes6[[#This Row],[IMPORTE NETO]:[EXENTO]])</f>
        <v>0</v>
      </c>
      <c r="M107" s="59"/>
    </row>
    <row r="108" spans="2:13">
      <c r="B108" s="40"/>
      <c r="C108" s="41"/>
      <c r="D108" s="42"/>
      <c r="E108" s="43"/>
      <c r="F108" s="44"/>
      <c r="G108" s="1" t="str">
        <f>IFERROR(IF(ventas_b_mes6[[#This Row],[CUIT]]="","-",VLOOKUP(ventas_b_mes6[[#This Row],[CUIT]],Lista_CUIT[#All],2,0)),"CUIT NO CARGADO")</f>
        <v>-</v>
      </c>
      <c r="H108" s="64"/>
      <c r="I108" s="64"/>
      <c r="J108" s="64"/>
      <c r="K108" s="64"/>
      <c r="L108" s="64">
        <f>SUM(ventas_b_mes6[[#This Row],[IMPORTE NETO]:[EXENTO]])</f>
        <v>0</v>
      </c>
      <c r="M108" s="59"/>
    </row>
    <row r="109" spans="2:13">
      <c r="B109" s="40"/>
      <c r="C109" s="41"/>
      <c r="D109" s="42"/>
      <c r="E109" s="43"/>
      <c r="F109" s="44"/>
      <c r="G109" s="1" t="str">
        <f>IFERROR(IF(ventas_b_mes6[[#This Row],[CUIT]]="","-",VLOOKUP(ventas_b_mes6[[#This Row],[CUIT]],Lista_CUIT[#All],2,0)),"CUIT NO CARGADO")</f>
        <v>-</v>
      </c>
      <c r="H109" s="64"/>
      <c r="I109" s="64"/>
      <c r="J109" s="64"/>
      <c r="K109" s="64"/>
      <c r="L109" s="64">
        <f>SUM(ventas_b_mes6[[#This Row],[IMPORTE NETO]:[EXENTO]])</f>
        <v>0</v>
      </c>
      <c r="M109" s="59"/>
    </row>
    <row r="110" spans="2:13">
      <c r="B110" s="66" t="s">
        <v>91</v>
      </c>
      <c r="C110" s="67"/>
      <c r="D110" s="67"/>
      <c r="E110" s="67"/>
      <c r="F110" s="67"/>
      <c r="G110" s="67"/>
      <c r="H110" s="77">
        <f>SUBTOTAL(109,ventas_b_mes6[IMPORTE NETO])</f>
        <v>0</v>
      </c>
      <c r="I110" s="77">
        <f>SUBTOTAL(109,ventas_b_mes6[IVA 21%])</f>
        <v>0</v>
      </c>
      <c r="J110" s="78">
        <f>SUBTOTAL(109,ventas_b_mes6[IVA 10,5%])</f>
        <v>0</v>
      </c>
      <c r="K110" s="78">
        <f>SUBTOTAL(109,ventas_b_mes6[EXENTO])</f>
        <v>0</v>
      </c>
      <c r="L110" s="78">
        <f>SUBTOTAL(109,ventas_b_mes6[TOTAL])</f>
        <v>0</v>
      </c>
      <c r="M110" s="68">
        <f>SUBTOTAL(103,ventas_b_mes6[Provincia])</f>
        <v>0</v>
      </c>
    </row>
    <row r="117" spans="3:12" ht="15.75" thickBot="1"/>
    <row r="118" spans="3:12" ht="15.75" thickTop="1">
      <c r="C118" s="443" t="s">
        <v>66</v>
      </c>
      <c r="D118" s="443"/>
      <c r="E118" s="443"/>
      <c r="F118" s="443"/>
      <c r="G118" s="443"/>
      <c r="H118" s="32"/>
      <c r="I118" s="32"/>
      <c r="J118" s="32"/>
    </row>
    <row r="119" spans="3:12" ht="15.75">
      <c r="C119" s="113" t="s">
        <v>67</v>
      </c>
      <c r="D119" s="114" t="s">
        <v>68</v>
      </c>
      <c r="E119" s="114" t="s">
        <v>93</v>
      </c>
      <c r="F119" s="114" t="s">
        <v>3</v>
      </c>
      <c r="G119" s="114" t="s">
        <v>4</v>
      </c>
      <c r="H119" s="115" t="s">
        <v>69</v>
      </c>
      <c r="I119" s="115" t="s">
        <v>70</v>
      </c>
      <c r="J119" s="115" t="s">
        <v>71</v>
      </c>
      <c r="K119" s="115" t="s">
        <v>72</v>
      </c>
      <c r="L119" s="115" t="s">
        <v>73</v>
      </c>
    </row>
    <row r="120" spans="3:12">
      <c r="C120" s="116"/>
      <c r="D120" s="117"/>
      <c r="E120" s="117"/>
      <c r="F120" s="118"/>
      <c r="G120" s="53" t="str">
        <f>IFERROR(IF(Retenciones_mes6[[#This Row],[CUIT]]="","-",VLOOKUP(Retenciones_mes6[[#This Row],[CUIT]],Lista_CUIT[#All],2,0)),"CUIT NO CARGADO")</f>
        <v>-</v>
      </c>
      <c r="H120" s="119"/>
      <c r="I120" s="119"/>
      <c r="J120" s="119"/>
      <c r="K120" s="119"/>
      <c r="L120" s="119"/>
    </row>
    <row r="121" spans="3:12">
      <c r="C121" s="116"/>
      <c r="D121" s="117"/>
      <c r="E121" s="117"/>
      <c r="F121" s="118"/>
      <c r="G121" s="53" t="str">
        <f>IFERROR(IF(Retenciones_mes6[[#This Row],[CUIT]]="","-",VLOOKUP(Retenciones_mes6[[#This Row],[CUIT]],Lista_CUIT[#All],2,0)),"CUIT NO CARGADO")</f>
        <v>-</v>
      </c>
      <c r="H121" s="119"/>
      <c r="I121" s="119"/>
      <c r="J121" s="119"/>
      <c r="K121" s="119"/>
      <c r="L121" s="119"/>
    </row>
    <row r="122" spans="3:12">
      <c r="C122" s="116"/>
      <c r="D122" s="117"/>
      <c r="E122" s="117"/>
      <c r="F122" s="118"/>
      <c r="G122" s="53" t="str">
        <f>IFERROR(IF(Retenciones_mes6[[#This Row],[CUIT]]="","-",VLOOKUP(Retenciones_mes6[[#This Row],[CUIT]],Lista_CUIT[#All],2,0)),"CUIT NO CARGADO")</f>
        <v>-</v>
      </c>
      <c r="H122" s="119"/>
      <c r="I122" s="119"/>
      <c r="J122" s="119"/>
      <c r="K122" s="119"/>
      <c r="L122" s="119"/>
    </row>
    <row r="123" spans="3:12">
      <c r="C123" s="116"/>
      <c r="D123" s="117"/>
      <c r="E123" s="117"/>
      <c r="F123" s="118"/>
      <c r="G123" s="53" t="str">
        <f>IFERROR(IF(Retenciones_mes6[[#This Row],[CUIT]]="","-",VLOOKUP(Retenciones_mes6[[#This Row],[CUIT]],Lista_CUIT[#All],2,0)),"CUIT NO CARGADO")</f>
        <v>-</v>
      </c>
      <c r="H123" s="119"/>
      <c r="I123" s="119"/>
      <c r="J123" s="119"/>
      <c r="K123" s="119"/>
      <c r="L123" s="119"/>
    </row>
    <row r="124" spans="3:12">
      <c r="D124" s="117"/>
      <c r="E124" s="117"/>
      <c r="G124" s="53" t="str">
        <f>IFERROR(IF(Retenciones_mes6[[#This Row],[CUIT]]="","-",VLOOKUP(Retenciones_mes6[[#This Row],[CUIT]],Lista_CUIT[#All],2,0)),"CUIT NO CARGADO")</f>
        <v>-</v>
      </c>
    </row>
    <row r="125" spans="3:12">
      <c r="C125" s="33"/>
    </row>
  </sheetData>
  <mergeCells count="20">
    <mergeCell ref="C118:G118"/>
    <mergeCell ref="B4:E4"/>
    <mergeCell ref="G4:H4"/>
    <mergeCell ref="J4:K4"/>
    <mergeCell ref="M4:N4"/>
    <mergeCell ref="D57:K57"/>
    <mergeCell ref="B69:J69"/>
    <mergeCell ref="K69:M69"/>
    <mergeCell ref="B71:C71"/>
    <mergeCell ref="B102:C102"/>
    <mergeCell ref="P4:R4"/>
    <mergeCell ref="D48:L48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whole" allowBlank="1" showInputMessage="1" showErrorMessage="1" sqref="D9:D42 D104:D109 E59:E64 D73:D100" xr:uid="{EC8A57FB-2FB4-4458-AB8E-1C7ECEE9D83D}">
      <formula1>1</formula1>
      <formula2>9999</formula2>
    </dataValidation>
    <dataValidation type="whole" allowBlank="1" showInputMessage="1" showErrorMessage="1" sqref="E9:E42 E104:E109 F59:F64 E73:E100" xr:uid="{25B261B2-F12E-4ECA-9D9A-6D6561A4EC10}">
      <formula1>1</formula1>
      <formula2>99999999</formula2>
    </dataValidation>
    <dataValidation type="whole" allowBlank="1" showInputMessage="1" showErrorMessage="1" sqref="F9:F42 G59:G64 F104:F109 F73:F100" xr:uid="{C1F63EBE-4555-4432-B4C3-2640286D473F}">
      <formula1>20000000000</formula1>
      <formula2>33999999999</formula2>
    </dataValidation>
    <dataValidation type="date" allowBlank="1" showInputMessage="1" showErrorMessage="1" sqref="B9:B42 D50:D52 B104:B109 D59:D64 B44:B47 B74:B91" xr:uid="{2C089484-2E9A-4B56-AB81-BED0ECFB7D0E}">
      <formula1>40179</formula1>
      <formula2>TODAY()</formula2>
    </dataValidation>
    <dataValidation type="whole" allowBlank="1" showInputMessage="1" showErrorMessage="1" sqref="C44:C47 C73:C100 C9:C42" xr:uid="{A0ED13F1-5B90-4A01-A85F-966A87C1E549}">
      <formula1>1</formula1>
      <formula2>3</formula2>
    </dataValidation>
    <dataValidation type="custom" allowBlank="1" showInputMessage="1" showErrorMessage="1" sqref="H73:K73 H75:K75 H77:K77 H79:K79" xr:uid="{C462AFEB-F044-4E84-8622-79663E49629A}">
      <formula1>IF($C73=3,H73&lt;0,H73&gt;=0)</formula1>
    </dataValidation>
    <dataValidation type="whole" allowBlank="1" showInputMessage="1" showErrorMessage="1" sqref="C104:C109" xr:uid="{2F7ACE41-DCBE-4A4F-A551-12ABD40E9252}">
      <formula1>6</formula1>
      <formula2>8</formula2>
    </dataValidation>
    <dataValidation type="custom" allowBlank="1" showInputMessage="1" showErrorMessage="1" sqref="L73:L74" xr:uid="{C31F99E0-3278-4647-844A-F8105080EA2C}">
      <formula1>IF($C9=3,L9&lt;0,L9&gt;=0)</formula1>
    </dataValidation>
    <dataValidation type="custom" allowBlank="1" showInputMessage="1" showErrorMessage="1" sqref="H104:L109" xr:uid="{EC9401F0-07A5-4CBA-850D-9978FB131A74}">
      <formula1>IF($C104=8,H104&lt;0,H104&gt;=0)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42" xr:uid="{0BB33E7E-3D50-447E-9C12-BED6AD845C28}">
      <formula1>IF($C9=3,H9&lt;0,H9&gt;=0)</formula1>
    </dataValidation>
    <dataValidation type="custom" allowBlank="1" showInputMessage="1" showErrorMessage="1" sqref="L78:L79" xr:uid="{A41CBAC6-E5E8-4D89-B6F7-49F70D1130A0}">
      <formula1>IF($C43=3,L43&lt;0,L43&gt;=0)</formula1>
    </dataValidation>
    <dataValidation type="custom" allowBlank="1" showInputMessage="1" showErrorMessage="1" sqref="L75:L77" xr:uid="{E51475CA-D565-4D73-9AD9-2C4711601901}">
      <formula1>IF($C13=3,L13&lt;0,L13&gt;=0)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>
    <tabColor theme="9" tint="0.79998168889431442"/>
  </sheetPr>
  <dimension ref="A1:Z104"/>
  <sheetViews>
    <sheetView showGridLines="0" topLeftCell="A19" zoomScaleNormal="100" workbookViewId="0">
      <selection activeCell="H55" sqref="H55:I78"/>
    </sheetView>
  </sheetViews>
  <sheetFormatPr baseColWidth="10" defaultColWidth="0" defaultRowHeight="1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0.28515625" customWidth="1"/>
    <col min="7" max="7" width="19.140625" customWidth="1"/>
    <col min="8" max="8" width="15.42578125" customWidth="1"/>
    <col min="9" max="9" width="12" customWidth="1"/>
    <col min="10" max="10" width="15.5703125" customWidth="1"/>
    <col min="11" max="11" width="11.85546875" customWidth="1"/>
    <col min="12" max="12" width="15.140625" bestFit="1" customWidth="1"/>
    <col min="13" max="14" width="13.42578125" customWidth="1"/>
    <col min="15" max="15" width="9.5703125" customWidth="1"/>
    <col min="16" max="16" width="23.140625" customWidth="1"/>
    <col min="17" max="17" width="13.570312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430" t="s">
        <v>28</v>
      </c>
      <c r="C1" s="430"/>
      <c r="D1" s="430"/>
      <c r="E1" s="430"/>
      <c r="F1" s="430"/>
      <c r="G1" s="431" t="str">
        <f>'Ene-26'!G1:M1</f>
        <v>RABLEB SRL</v>
      </c>
      <c r="H1" s="431"/>
      <c r="I1" s="431"/>
      <c r="J1" s="431"/>
      <c r="K1" s="431"/>
      <c r="L1" s="431"/>
      <c r="M1" s="431"/>
      <c r="N1" s="427">
        <f>EDATE('Ene-26'!N1,6)</f>
        <v>46204</v>
      </c>
      <c r="O1" s="427"/>
      <c r="P1" s="427"/>
      <c r="Q1" s="427"/>
      <c r="R1" s="427"/>
    </row>
    <row r="2" spans="1:26" ht="15" customHeight="1"/>
    <row r="3" spans="1:26" ht="26.45" customHeight="1">
      <c r="B3" s="433" t="s">
        <v>65</v>
      </c>
      <c r="C3" s="433"/>
      <c r="D3" s="433"/>
      <c r="E3" s="433"/>
      <c r="F3" s="38"/>
      <c r="G3" s="433" t="s">
        <v>37</v>
      </c>
      <c r="H3" s="433"/>
      <c r="I3" s="38"/>
      <c r="J3" s="441" t="s">
        <v>14</v>
      </c>
      <c r="K3" s="441"/>
      <c r="L3" s="38"/>
      <c r="M3" s="441" t="s">
        <v>12</v>
      </c>
      <c r="N3" s="441"/>
      <c r="O3" s="38"/>
      <c r="P3" s="439" t="s">
        <v>90</v>
      </c>
      <c r="Q3" s="439"/>
      <c r="R3" s="439"/>
    </row>
    <row r="4" spans="1:26" ht="25.15" customHeight="1">
      <c r="B4" s="434">
        <f>SUM(compras_mes7[[#Totals],[NETO GRAVADO]])+extracto_banco_mes7[[#Totals],[NETO]]</f>
        <v>0</v>
      </c>
      <c r="C4" s="434"/>
      <c r="D4" s="434"/>
      <c r="E4" s="434"/>
      <c r="F4" s="39"/>
      <c r="G4" s="435">
        <f>compras_mes7[[#Totals],[IVA 21 %]]+compras_mes7[[#Totals],[IVA 27%]]+compras_mes7[[#Totals],[IVA 10,5%]]+extracto_banco_mes7[[#Totals],[IVA 21%]]+extracto_banco_mes7[[#Totals],[IVA 10,5%]]</f>
        <v>0</v>
      </c>
      <c r="H4" s="435"/>
      <c r="I4" s="39"/>
      <c r="J4" s="442">
        <f>venta_a_mes7[[#Totals],[IMPORTE NETO]]+ventas_b_mes7[[#Totals],[IMPORTE NETO]]</f>
        <v>0</v>
      </c>
      <c r="K4" s="442"/>
      <c r="L4" s="39"/>
      <c r="M4" s="442">
        <f>venta_a_mes7[[#Totals],[IVA 21%]]+venta_a_mes7[[#Totals],[IVA 10,5%]]+ventas_b_mes7[[#Totals],[IVA 21%]]+ventas_b_mes7[[#Totals],[IVA 10,5%]]</f>
        <v>0</v>
      </c>
      <c r="N4" s="442"/>
      <c r="O4" s="39"/>
      <c r="P4" s="437">
        <f>G4-M4</f>
        <v>0</v>
      </c>
      <c r="Q4" s="438"/>
      <c r="R4" s="438"/>
    </row>
    <row r="5" spans="1:26" ht="13.15" customHeight="1"/>
    <row r="6" spans="1:26" ht="9" customHeight="1"/>
    <row r="7" spans="1:26" s="2" customFormat="1" ht="16.5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40"/>
      <c r="C9" s="41"/>
      <c r="D9" s="42"/>
      <c r="E9" s="43"/>
      <c r="F9" s="44"/>
      <c r="G9" s="45" t="str">
        <f>IFERROR(IF(compras_mes7[[#This Row],[CUIT]]="","-",VLOOKUP(compras_mes7[[#This Row],[CUIT]],Lista_CUIT[#All],2,0)),"CUIT NO CARGADO")</f>
        <v>-</v>
      </c>
      <c r="H9" s="46"/>
      <c r="I9" s="85" t="str">
        <f>IF(compras_mes7[[#This Row],[NETO GRAVADO]]="","",compras_mes7[[#This Row],[NETO GRAVADO]]*0.21)</f>
        <v/>
      </c>
      <c r="J9" s="85"/>
      <c r="K9" s="85"/>
      <c r="L9" s="85"/>
      <c r="M9" s="85"/>
      <c r="N9" s="85"/>
      <c r="O9" s="85"/>
      <c r="P9" s="48">
        <f>SUM(compras_mes7[[#This Row],[NETO GRAVADO]:[Otros / No Grav.]])</f>
        <v>0</v>
      </c>
      <c r="Q9" s="49" t="str">
        <f>IFERROR(IF(compras_mes7[[#This Row],[CUIT]]="","-",VLOOKUP(compras_mes7[[#This Row],[CUIT]],Lista_CUIT[#All],3,0)),"CUIT NO CARGADO")</f>
        <v>-</v>
      </c>
      <c r="R9" s="49" t="str">
        <f>IFERROR(IF(compras_mes7[[#This Row],[CUIT]]="","-",VLOOKUP(compras_mes7[[#This Row],[CUIT]],Lista_CUIT[#All],4,0)),"CUIT NO CARGADO")</f>
        <v>-</v>
      </c>
    </row>
    <row r="10" spans="1:26">
      <c r="B10" s="40"/>
      <c r="C10" s="41"/>
      <c r="D10" s="42"/>
      <c r="E10" s="43"/>
      <c r="F10" s="44"/>
      <c r="G10" s="45" t="str">
        <f>IFERROR(IF(compras_mes7[[#This Row],[CUIT]]="","-",VLOOKUP(compras_mes7[[#This Row],[CUIT]],Lista_CUIT[#All],2,0)),"CUIT NO CARGADO")</f>
        <v>-</v>
      </c>
      <c r="H10" s="46"/>
      <c r="I10" s="85" t="str">
        <f>IF(compras_mes7[[#This Row],[NETO GRAVADO]]="","",compras_mes7[[#This Row],[NETO GRAVADO]]*0.21)</f>
        <v/>
      </c>
      <c r="J10" s="85"/>
      <c r="K10" s="85"/>
      <c r="L10" s="85"/>
      <c r="M10" s="85"/>
      <c r="N10" s="85"/>
      <c r="O10" s="85"/>
      <c r="P10" s="48">
        <f>SUM(compras_mes7[[#This Row],[NETO GRAVADO]:[Otros / No Grav.]])</f>
        <v>0</v>
      </c>
      <c r="Q10" s="49" t="str">
        <f>IFERROR(IF(compras_mes7[[#This Row],[CUIT]]="","-",VLOOKUP(compras_mes7[[#This Row],[CUIT]],Lista_CUIT[#All],3,0)),"CUIT NO CARGADO")</f>
        <v>-</v>
      </c>
      <c r="R10" s="49" t="str">
        <f>IFERROR(IF(compras_mes7[[#This Row],[CUIT]]="","-",VLOOKUP(compras_mes7[[#This Row],[CUIT]],Lista_CUIT[#All],4,0)),"CUIT NO CARGADO")</f>
        <v>-</v>
      </c>
    </row>
    <row r="11" spans="1:26">
      <c r="B11" s="40"/>
      <c r="C11" s="41"/>
      <c r="D11" s="42"/>
      <c r="E11" s="43"/>
      <c r="F11" s="44"/>
      <c r="G11" s="94" t="str">
        <f>IFERROR(IF(compras_mes7[[#This Row],[CUIT]]="","-",VLOOKUP(compras_mes7[[#This Row],[CUIT]],Lista_CUIT[#All],2,0)),"CUIT NO CARGADO")</f>
        <v>-</v>
      </c>
      <c r="H11" s="46"/>
      <c r="I11" s="86" t="str">
        <f>IF(compras_mes7[[#This Row],[NETO GRAVADO]]="","",compras_mes7[[#This Row],[NETO GRAVADO]]*0.21)</f>
        <v/>
      </c>
      <c r="J11" s="86"/>
      <c r="K11" s="86"/>
      <c r="L11" s="86"/>
      <c r="M11" s="86"/>
      <c r="N11" s="85"/>
      <c r="O11" s="85"/>
      <c r="P11" s="48">
        <f>SUM(compras_mes7[[#This Row],[NETO GRAVADO]:[Otros / No Grav.]])</f>
        <v>0</v>
      </c>
      <c r="Q11" s="88" t="str">
        <f>IFERROR(IF(compras_mes7[[#This Row],[CUIT]]="","-",VLOOKUP(compras_mes7[[#This Row],[CUIT]],Lista_CUIT[#All],3,0)),"CUIT NO CARGADO")</f>
        <v>-</v>
      </c>
      <c r="R11" s="88" t="str">
        <f>IFERROR(IF(compras_mes7[[#This Row],[CUIT]]="","-",VLOOKUP(compras_mes7[[#This Row],[CUIT]],Lista_CUIT[#All],4,0)),"CUIT NO CARGADO")</f>
        <v>-</v>
      </c>
    </row>
    <row r="12" spans="1:26">
      <c r="B12" s="40"/>
      <c r="C12" s="41"/>
      <c r="D12" s="42"/>
      <c r="E12" s="43"/>
      <c r="F12" s="44"/>
      <c r="G12" s="94" t="str">
        <f>IFERROR(IF(compras_mes7[[#This Row],[CUIT]]="","-",VLOOKUP(compras_mes7[[#This Row],[CUIT]],Lista_CUIT[#All],2,0)),"CUIT NO CARGADO")</f>
        <v>-</v>
      </c>
      <c r="H12" s="46"/>
      <c r="I12" s="86"/>
      <c r="J12" s="86"/>
      <c r="K12" s="86"/>
      <c r="L12" s="86"/>
      <c r="M12" s="86"/>
      <c r="N12" s="85"/>
      <c r="O12" s="85"/>
      <c r="P12" s="48">
        <f>SUM(compras_mes7[[#This Row],[NETO GRAVADO]:[Otros / No Grav.]])</f>
        <v>0</v>
      </c>
      <c r="Q12" s="88" t="str">
        <f>IFERROR(IF(compras_mes7[[#This Row],[CUIT]]="","-",VLOOKUP(compras_mes7[[#This Row],[CUIT]],Lista_CUIT[#All],3,0)),"CUIT NO CARGADO")</f>
        <v>-</v>
      </c>
      <c r="R12" s="88" t="str">
        <f>IFERROR(IF(compras_mes7[[#This Row],[CUIT]]="","-",VLOOKUP(compras_mes7[[#This Row],[CUIT]],Lista_CUIT[#All],4,0)),"CUIT NO CARGADO")</f>
        <v>-</v>
      </c>
    </row>
    <row r="13" spans="1:26">
      <c r="B13" s="40"/>
      <c r="C13" s="41"/>
      <c r="D13" s="42"/>
      <c r="E13" s="43"/>
      <c r="F13" s="44"/>
      <c r="G13" s="45" t="str">
        <f>IFERROR(IF(compras_mes7[[#This Row],[CUIT]]="","-",VLOOKUP(compras_mes7[[#This Row],[CUIT]],Lista_CUIT[#All],2,0)),"CUIT NO CARGADO")</f>
        <v>-</v>
      </c>
      <c r="H13" s="46"/>
      <c r="I13" s="85" t="str">
        <f>IF(compras_mes7[[#This Row],[NETO GRAVADO]]="","",compras_mes7[[#This Row],[NETO GRAVADO]]*0.21)</f>
        <v/>
      </c>
      <c r="J13" s="85"/>
      <c r="K13" s="85"/>
      <c r="L13" s="85"/>
      <c r="M13" s="85"/>
      <c r="N13" s="85"/>
      <c r="O13" s="85"/>
      <c r="P13" s="48">
        <f>SUM(compras_mes7[[#This Row],[NETO GRAVADO]:[Otros / No Grav.]])</f>
        <v>0</v>
      </c>
      <c r="Q13" s="49" t="str">
        <f>IFERROR(IF(compras_mes7[[#This Row],[CUIT]]="","-",VLOOKUP(compras_mes7[[#This Row],[CUIT]],Lista_CUIT[#All],3,0)),"CUIT NO CARGADO")</f>
        <v>-</v>
      </c>
      <c r="R13" s="49" t="str">
        <f>IFERROR(IF(compras_mes7[[#This Row],[CUIT]]="","-",VLOOKUP(compras_mes7[[#This Row],[CUIT]],Lista_CUIT[#All],4,0)),"CUIT NO CARGADO")</f>
        <v>-</v>
      </c>
    </row>
    <row r="14" spans="1:26">
      <c r="B14" s="40"/>
      <c r="C14" s="41"/>
      <c r="D14" s="42"/>
      <c r="E14" s="43"/>
      <c r="F14" s="44"/>
      <c r="G14" s="45" t="str">
        <f>IFERROR(IF(compras_mes7[[#This Row],[CUIT]]="","-",VLOOKUP(compras_mes7[[#This Row],[CUIT]],Lista_CUIT[#All],2,0)),"CUIT NO CARGADO")</f>
        <v>-</v>
      </c>
      <c r="H14" s="46"/>
      <c r="I14" s="85" t="str">
        <f>IF(compras_mes7[[#This Row],[NETO GRAVADO]]="","",compras_mes7[[#This Row],[NETO GRAVADO]]*0.21)</f>
        <v/>
      </c>
      <c r="J14" s="85"/>
      <c r="K14" s="85"/>
      <c r="L14" s="85"/>
      <c r="M14" s="85"/>
      <c r="N14" s="85"/>
      <c r="O14" s="85"/>
      <c r="P14" s="48">
        <f>SUM(compras_mes7[[#This Row],[NETO GRAVADO]:[Otros / No Grav.]])</f>
        <v>0</v>
      </c>
      <c r="Q14" s="49" t="str">
        <f>IFERROR(IF(compras_mes7[[#This Row],[CUIT]]="","-",VLOOKUP(compras_mes7[[#This Row],[CUIT]],Lista_CUIT[#All],3,0)),"CUIT NO CARGADO")</f>
        <v>-</v>
      </c>
      <c r="R14" s="49" t="str">
        <f>IFERROR(IF(compras_mes7[[#This Row],[CUIT]]="","-",VLOOKUP(compras_mes7[[#This Row],[CUIT]],Lista_CUIT[#All],4,0)),"CUIT NO CARGADO")</f>
        <v>-</v>
      </c>
    </row>
    <row r="15" spans="1:26">
      <c r="B15" s="40"/>
      <c r="C15" s="41"/>
      <c r="D15" s="42"/>
      <c r="E15" s="43"/>
      <c r="F15" s="44"/>
      <c r="G15" s="45" t="str">
        <f>IFERROR(IF(compras_mes7[[#This Row],[CUIT]]="","-",VLOOKUP(compras_mes7[[#This Row],[CUIT]],Lista_CUIT[#All],2,0)),"CUIT NO CARGADO")</f>
        <v>-</v>
      </c>
      <c r="H15" s="46"/>
      <c r="I15" s="85" t="str">
        <f>IF(compras_mes7[[#This Row],[NETO GRAVADO]]="","",compras_mes7[[#This Row],[NETO GRAVADO]]*0.21)</f>
        <v/>
      </c>
      <c r="J15" s="85"/>
      <c r="K15" s="85"/>
      <c r="L15" s="85"/>
      <c r="M15" s="85"/>
      <c r="N15" s="85"/>
      <c r="O15" s="85"/>
      <c r="P15" s="48">
        <f>SUM(compras_mes7[[#This Row],[NETO GRAVADO]:[Otros / No Grav.]])</f>
        <v>0</v>
      </c>
      <c r="Q15" s="49" t="str">
        <f>IFERROR(IF(compras_mes7[[#This Row],[CUIT]]="","-",VLOOKUP(compras_mes7[[#This Row],[CUIT]],Lista_CUIT[#All],3,0)),"CUIT NO CARGADO")</f>
        <v>-</v>
      </c>
      <c r="R15" s="49" t="str">
        <f>IFERROR(IF(compras_mes7[[#This Row],[CUIT]]="","-",VLOOKUP(compras_mes7[[#This Row],[CUIT]],Lista_CUIT[#All],4,0)),"CUIT NO CARGADO")</f>
        <v>-</v>
      </c>
    </row>
    <row r="16" spans="1:26" s="56" customFormat="1" ht="18.600000000000001" customHeight="1">
      <c r="B16" s="40"/>
      <c r="C16" s="41"/>
      <c r="D16" s="42"/>
      <c r="E16" s="43"/>
      <c r="F16" s="44"/>
      <c r="G16" s="94" t="str">
        <f>IFERROR(IF(compras_mes7[[#This Row],[CUIT]]="","-",VLOOKUP(compras_mes7[[#This Row],[CUIT]],Lista_CUIT[#All],2,0)),"CUIT NO CARGADO")</f>
        <v>-</v>
      </c>
      <c r="H16" s="46"/>
      <c r="I16" s="86" t="str">
        <f>IF(compras_mes7[[#This Row],[NETO GRAVADO]]="","",compras_mes7[[#This Row],[NETO GRAVADO]]*0.21)</f>
        <v/>
      </c>
      <c r="J16" s="86"/>
      <c r="K16" s="86"/>
      <c r="L16" s="86"/>
      <c r="M16" s="86"/>
      <c r="N16" s="85"/>
      <c r="O16" s="85"/>
      <c r="P16" s="48">
        <f>SUM(compras_mes7[[#This Row],[NETO GRAVADO]:[Otros / No Grav.]])</f>
        <v>0</v>
      </c>
      <c r="Q16" s="88" t="str">
        <f>IFERROR(IF(compras_mes7[[#This Row],[CUIT]]="","-",VLOOKUP(compras_mes7[[#This Row],[CUIT]],Lista_CUIT[#All],3,0)),"CUIT NO CARGADO")</f>
        <v>-</v>
      </c>
      <c r="R16" s="88" t="str">
        <f>IFERROR(IF(compras_mes7[[#This Row],[CUIT]]="","-",VLOOKUP(compras_mes7[[#This Row],[CUIT]],Lista_CUIT[#All],4,0)),"CUIT NO CARGADO")</f>
        <v>-</v>
      </c>
    </row>
    <row r="17" spans="2:18">
      <c r="B17" s="40"/>
      <c r="C17" s="41"/>
      <c r="D17" s="42"/>
      <c r="E17" s="43"/>
      <c r="F17" s="44"/>
      <c r="G17" s="189" t="str">
        <f>IFERROR(IF(compras_mes7[[#This Row],[CUIT]]="","-",VLOOKUP(compras_mes7[[#This Row],[CUIT]],Lista_CUIT[#All],2,0)),"CUIT NO CARGADO")</f>
        <v>-</v>
      </c>
      <c r="H17" s="46"/>
      <c r="I17" s="191" t="str">
        <f>IF(compras_mes7[[#This Row],[NETO GRAVADO]]="","",compras_mes7[[#This Row],[NETO GRAVADO]]*0.21)</f>
        <v/>
      </c>
      <c r="J17" s="191"/>
      <c r="K17" s="191"/>
      <c r="L17" s="191"/>
      <c r="M17" s="191"/>
      <c r="N17" s="85"/>
      <c r="O17" s="85"/>
      <c r="P17" s="48">
        <f>SUM(compras_mes7[[#This Row],[NETO GRAVADO]:[Otros / No Grav.]])</f>
        <v>0</v>
      </c>
      <c r="Q17" s="193" t="str">
        <f>IFERROR(IF(compras_mes7[[#This Row],[CUIT]]="","-",VLOOKUP(compras_mes7[[#This Row],[CUIT]],Lista_CUIT[#All],3,0)),"CUIT NO CARGADO")</f>
        <v>-</v>
      </c>
      <c r="R17" s="193" t="str">
        <f>IFERROR(IF(compras_mes7[[#This Row],[CUIT]]="","-",VLOOKUP(compras_mes7[[#This Row],[CUIT]],Lista_CUIT[#All],4,0)),"CUIT NO CARGADO")</f>
        <v>-</v>
      </c>
    </row>
    <row r="18" spans="2:18">
      <c r="B18" s="40"/>
      <c r="C18" s="41"/>
      <c r="D18" s="42"/>
      <c r="E18" s="43"/>
      <c r="F18" s="44"/>
      <c r="G18" s="189" t="str">
        <f>IFERROR(IF(compras_mes7[[#This Row],[CUIT]]="","-",VLOOKUP(compras_mes7[[#This Row],[CUIT]],Lista_CUIT[#All],2,0)),"CUIT NO CARGADO")</f>
        <v>-</v>
      </c>
      <c r="H18" s="46"/>
      <c r="I18" s="191" t="str">
        <f>IF(compras_mes7[[#This Row],[NETO GRAVADO]]="","",compras_mes7[[#This Row],[NETO GRAVADO]]*0.21)</f>
        <v/>
      </c>
      <c r="J18" s="191"/>
      <c r="K18" s="191"/>
      <c r="L18" s="191"/>
      <c r="M18" s="191"/>
      <c r="N18" s="85"/>
      <c r="O18" s="191"/>
      <c r="P18" s="192">
        <f>SUM(compras_mes7[[#This Row],[NETO GRAVADO]:[Otros / No Grav.]])</f>
        <v>0</v>
      </c>
      <c r="Q18" s="193" t="str">
        <f>IFERROR(IF(compras_mes7[[#This Row],[CUIT]]="","-",VLOOKUP(compras_mes7[[#This Row],[CUIT]],Lista_CUIT[#All],3,0)),"CUIT NO CARGADO")</f>
        <v>-</v>
      </c>
      <c r="R18" s="193" t="str">
        <f>IFERROR(IF(compras_mes7[[#This Row],[CUIT]]="","-",VLOOKUP(compras_mes7[[#This Row],[CUIT]],Lista_CUIT[#All],4,0)),"CUIT NO CARGADO")</f>
        <v>-</v>
      </c>
    </row>
    <row r="19" spans="2:18">
      <c r="B19" s="233"/>
      <c r="C19" s="41"/>
      <c r="D19" s="235"/>
      <c r="E19" s="236"/>
      <c r="F19" s="237"/>
      <c r="G19" s="238" t="str">
        <f>IFERROR(IF(compras_mes7[[#This Row],[CUIT]]="","-",VLOOKUP(compras_mes7[[#This Row],[CUIT]],Lista_CUIT[#All],2,0)),"CUIT NO CARGADO")</f>
        <v>-</v>
      </c>
      <c r="H19" s="239"/>
      <c r="I19" s="241" t="str">
        <f>IF(compras_mes7[[#This Row],[NETO GRAVADO]]="","",compras_mes7[[#This Row],[NETO GRAVADO]]*0.21)</f>
        <v/>
      </c>
      <c r="J19" s="241"/>
      <c r="K19" s="241"/>
      <c r="L19" s="241"/>
      <c r="M19" s="241"/>
      <c r="N19" s="241"/>
      <c r="O19" s="241"/>
      <c r="P19" s="243">
        <f>SUM(compras_mes7[[#This Row],[NETO GRAVADO]:[Otros / No Grav.]])</f>
        <v>0</v>
      </c>
      <c r="Q19" s="242" t="str">
        <f>IFERROR(IF(compras_mes7[[#This Row],[CUIT]]="","-",VLOOKUP(compras_mes7[[#This Row],[CUIT]],Lista_CUIT[#All],3,0)),"CUIT NO CARGADO")</f>
        <v>-</v>
      </c>
      <c r="R19" s="242" t="str">
        <f>IFERROR(IF(compras_mes7[[#This Row],[CUIT]]="","-",VLOOKUP(compras_mes7[[#This Row],[CUIT]],Lista_CUIT[#All],4,0)),"CUIT NO CARGADO")</f>
        <v>-</v>
      </c>
    </row>
    <row r="20" spans="2:18" ht="14.45" customHeight="1">
      <c r="B20" s="233"/>
      <c r="C20" s="41"/>
      <c r="D20" s="235"/>
      <c r="E20" s="236"/>
      <c r="F20" s="237"/>
      <c r="G20" s="238" t="str">
        <f>IFERROR(IF(compras_mes7[[#This Row],[CUIT]]="","-",VLOOKUP(compras_mes7[[#This Row],[CUIT]],Lista_CUIT[#All],2,0)),"CUIT NO CARGADO")</f>
        <v>-</v>
      </c>
      <c r="H20" s="239"/>
      <c r="I20" s="241" t="str">
        <f>IF(compras_mes7[[#This Row],[NETO GRAVADO]]="","",compras_mes7[[#This Row],[NETO GRAVADO]]*0.21)</f>
        <v/>
      </c>
      <c r="J20" s="241"/>
      <c r="K20" s="241"/>
      <c r="L20" s="241"/>
      <c r="M20" s="241"/>
      <c r="N20" s="241"/>
      <c r="O20" s="241"/>
      <c r="P20" s="243">
        <f>SUM(compras_mes7[[#This Row],[NETO GRAVADO]:[Otros / No Grav.]])</f>
        <v>0</v>
      </c>
      <c r="Q20" s="242" t="str">
        <f>IFERROR(IF(compras_mes7[[#This Row],[CUIT]]="","-",VLOOKUP(compras_mes7[[#This Row],[CUIT]],Lista_CUIT[#All],3,0)),"CUIT NO CARGADO")</f>
        <v>-</v>
      </c>
      <c r="R20" s="242" t="str">
        <f>IFERROR(IF(compras_mes7[[#This Row],[CUIT]]="","-",VLOOKUP(compras_mes7[[#This Row],[CUIT]],Lista_CUIT[#All],4,0)),"CUIT NO CARGADO")</f>
        <v>-</v>
      </c>
    </row>
    <row r="21" spans="2:18">
      <c r="B21" s="233"/>
      <c r="C21" s="41"/>
      <c r="D21" s="235"/>
      <c r="E21" s="236"/>
      <c r="F21" s="237"/>
      <c r="G21" s="238" t="str">
        <f>IFERROR(IF(compras_mes7[[#This Row],[CUIT]]="","-",VLOOKUP(compras_mes7[[#This Row],[CUIT]],Lista_CUIT[#All],2,0)),"CUIT NO CARGADO")</f>
        <v>-</v>
      </c>
      <c r="H21" s="239"/>
      <c r="I21" s="241" t="str">
        <f>IF(compras_mes7[[#This Row],[NETO GRAVADO]]="","",compras_mes7[[#This Row],[NETO GRAVADO]]*0.21)</f>
        <v/>
      </c>
      <c r="J21" s="241"/>
      <c r="K21" s="241"/>
      <c r="L21" s="241"/>
      <c r="M21" s="241"/>
      <c r="N21" s="241"/>
      <c r="O21" s="241"/>
      <c r="P21" s="243">
        <f>SUM(compras_mes7[[#This Row],[NETO GRAVADO]:[Otros / No Grav.]])</f>
        <v>0</v>
      </c>
      <c r="Q21" s="242" t="str">
        <f>IFERROR(IF(compras_mes7[[#This Row],[CUIT]]="","-",VLOOKUP(compras_mes7[[#This Row],[CUIT]],Lista_CUIT[#All],3,0)),"CUIT NO CARGADO")</f>
        <v>-</v>
      </c>
      <c r="R21" s="242" t="str">
        <f>IFERROR(IF(compras_mes7[[#This Row],[CUIT]]="","-",VLOOKUP(compras_mes7[[#This Row],[CUIT]],Lista_CUIT[#All],4,0)),"CUIT NO CARGADO")</f>
        <v>-</v>
      </c>
    </row>
    <row r="22" spans="2:18">
      <c r="B22" s="233"/>
      <c r="C22" s="234"/>
      <c r="D22" s="235"/>
      <c r="E22" s="236"/>
      <c r="F22" s="237"/>
      <c r="G22" s="238" t="str">
        <f>IFERROR(IF(compras_mes7[[#This Row],[CUIT]]="","-",VLOOKUP(compras_mes7[[#This Row],[CUIT]],Lista_CUIT[#All],2,0)),"CUIT NO CARGADO")</f>
        <v>-</v>
      </c>
      <c r="H22" s="239"/>
      <c r="I22" s="241" t="str">
        <f>IF(compras_mes7[[#This Row],[NETO GRAVADO]]="","",compras_mes7[[#This Row],[NETO GRAVADO]]*0.21)</f>
        <v/>
      </c>
      <c r="J22" s="241"/>
      <c r="K22" s="241"/>
      <c r="L22" s="241"/>
      <c r="M22" s="241"/>
      <c r="N22" s="241"/>
      <c r="O22" s="241"/>
      <c r="P22" s="243">
        <f>SUM(compras_mes7[[#This Row],[NETO GRAVADO]:[Otros / No Grav.]])</f>
        <v>0</v>
      </c>
      <c r="Q22" s="242" t="str">
        <f>IFERROR(IF(compras_mes7[[#This Row],[CUIT]]="","-",VLOOKUP(compras_mes7[[#This Row],[CUIT]],Lista_CUIT[#All],3,0)),"CUIT NO CARGADO")</f>
        <v>-</v>
      </c>
      <c r="R22" s="242" t="str">
        <f>IFERROR(IF(compras_mes7[[#This Row],[CUIT]]="","-",VLOOKUP(compras_mes7[[#This Row],[CUIT]],Lista_CUIT[#All],4,0)),"CUIT NO CARGADO")</f>
        <v>-</v>
      </c>
    </row>
    <row r="23" spans="2:18" ht="14.45" customHeight="1">
      <c r="B23" s="233"/>
      <c r="C23" s="234"/>
      <c r="D23" s="235"/>
      <c r="E23" s="236"/>
      <c r="F23" s="237"/>
      <c r="G23" s="238" t="str">
        <f>IFERROR(IF(compras_mes7[[#This Row],[CUIT]]="","-",VLOOKUP(compras_mes7[[#This Row],[CUIT]],Lista_CUIT[#All],2,0)),"CUIT NO CARGADO")</f>
        <v>-</v>
      </c>
      <c r="H23" s="239"/>
      <c r="I23" s="241" t="str">
        <f>IF(compras_mes7[[#This Row],[NETO GRAVADO]]="","",compras_mes7[[#This Row],[NETO GRAVADO]]*0.21)</f>
        <v/>
      </c>
      <c r="J23" s="241"/>
      <c r="K23" s="241"/>
      <c r="L23" s="241"/>
      <c r="M23" s="241"/>
      <c r="N23" s="241"/>
      <c r="O23" s="241"/>
      <c r="P23" s="243">
        <f>SUM(compras_mes7[[#This Row],[NETO GRAVADO]:[Otros / No Grav.]])</f>
        <v>0</v>
      </c>
      <c r="Q23" s="242" t="str">
        <f>IFERROR(IF(compras_mes7[[#This Row],[CUIT]]="","-",VLOOKUP(compras_mes7[[#This Row],[CUIT]],Lista_CUIT[#All],3,0)),"CUIT NO CARGADO")</f>
        <v>-</v>
      </c>
      <c r="R23" s="242" t="str">
        <f>IFERROR(IF(compras_mes7[[#This Row],[CUIT]]="","-",VLOOKUP(compras_mes7[[#This Row],[CUIT]],Lista_CUIT[#All],4,0)),"CUIT NO CARGADO")</f>
        <v>-</v>
      </c>
    </row>
    <row r="24" spans="2:18" ht="14.45" customHeight="1">
      <c r="B24" s="233"/>
      <c r="C24" s="234"/>
      <c r="D24" s="235"/>
      <c r="E24" s="236"/>
      <c r="F24" s="237"/>
      <c r="G24" s="238" t="str">
        <f>IFERROR(IF(compras_mes7[[#This Row],[CUIT]]="","-",VLOOKUP(compras_mes7[[#This Row],[CUIT]],Lista_CUIT[#All],2,0)),"CUIT NO CARGADO")</f>
        <v>-</v>
      </c>
      <c r="H24" s="239"/>
      <c r="I24" s="241" t="str">
        <f>IF(compras_mes7[[#This Row],[NETO GRAVADO]]="","",compras_mes7[[#This Row],[NETO GRAVADO]]*0.21)</f>
        <v/>
      </c>
      <c r="J24" s="241"/>
      <c r="K24" s="241"/>
      <c r="L24" s="241"/>
      <c r="M24" s="241"/>
      <c r="N24" s="241"/>
      <c r="O24" s="241"/>
      <c r="P24" s="243">
        <f>SUM(compras_mes7[[#This Row],[NETO GRAVADO]:[Otros / No Grav.]])</f>
        <v>0</v>
      </c>
      <c r="Q24" s="242" t="str">
        <f>IFERROR(IF(compras_mes7[[#This Row],[CUIT]]="","-",VLOOKUP(compras_mes7[[#This Row],[CUIT]],Lista_CUIT[#All],3,0)),"CUIT NO CARGADO")</f>
        <v>-</v>
      </c>
      <c r="R24" s="242" t="str">
        <f>IFERROR(IF(compras_mes7[[#This Row],[CUIT]]="","-",VLOOKUP(compras_mes7[[#This Row],[CUIT]],Lista_CUIT[#All],4,0)),"CUIT NO CARGADO")</f>
        <v>-</v>
      </c>
    </row>
    <row r="25" spans="2:18" ht="15" customHeight="1">
      <c r="B25" s="96" t="s">
        <v>91</v>
      </c>
      <c r="C25" s="96"/>
      <c r="D25" s="96"/>
      <c r="E25" s="96"/>
      <c r="F25" s="96"/>
      <c r="G25" s="97"/>
      <c r="H25" s="98">
        <f>SUBTOTAL(109,compras_mes7[NETO GRAVADO])</f>
        <v>0</v>
      </c>
      <c r="I25" s="98">
        <f>SUBTOTAL(109,compras_mes7[IVA 21 %])</f>
        <v>0</v>
      </c>
      <c r="J25" s="98">
        <f>SUBTOTAL(109,compras_mes7[IVA 27%])</f>
        <v>0</v>
      </c>
      <c r="K25" s="98">
        <f>SUBTOTAL(109,compras_mes7[IVA 10,5%])</f>
        <v>0</v>
      </c>
      <c r="L25" s="98">
        <f>SUBTOTAL(109,compras_mes7[PERC. IVA])</f>
        <v>0</v>
      </c>
      <c r="M25" s="98">
        <f>SUBTOTAL(109,compras_mes7[PERC IIBB 
BS AS])</f>
        <v>0</v>
      </c>
      <c r="N25" s="98">
        <f>SUBTOTAL(109,compras_mes7[PERC. IIBB CABA])</f>
        <v>0</v>
      </c>
      <c r="O25" s="98">
        <f>SUBTOTAL(109,compras_mes7[Otros / No Grav.])</f>
        <v>0</v>
      </c>
      <c r="P25" s="98">
        <f>SUBTOTAL(109,compras_mes7[TOTAL])</f>
        <v>0</v>
      </c>
      <c r="Q25" s="96"/>
      <c r="R25" s="96"/>
    </row>
    <row r="26" spans="2:18" ht="15" customHeight="1">
      <c r="B26" s="40"/>
      <c r="C26" s="41"/>
      <c r="D26" s="42"/>
      <c r="E26" s="43"/>
      <c r="F26" s="44"/>
      <c r="G26" s="45"/>
      <c r="H26" s="46"/>
      <c r="I26" s="47"/>
      <c r="J26" s="47"/>
      <c r="K26" s="47"/>
      <c r="L26" s="47"/>
      <c r="M26" s="47"/>
      <c r="N26" s="47"/>
      <c r="O26" s="47"/>
      <c r="P26" s="48"/>
      <c r="Q26" s="49"/>
      <c r="R26" s="49"/>
    </row>
    <row r="27" spans="2:18" ht="15" customHeight="1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  <c r="M27" s="47"/>
      <c r="N27" s="47"/>
      <c r="O27" s="47"/>
      <c r="P27" s="48"/>
      <c r="Q27" s="49"/>
      <c r="R27" s="49"/>
    </row>
    <row r="28" spans="2:18" ht="15" customHeight="1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2:18" ht="15" customHeight="1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</row>
    <row r="30" spans="2:18" ht="23.45" customHeight="1">
      <c r="D30" s="428" t="s">
        <v>15</v>
      </c>
      <c r="E30" s="428"/>
      <c r="F30" s="428"/>
      <c r="G30" s="428"/>
      <c r="H30" s="428"/>
      <c r="I30" s="428"/>
      <c r="J30" s="428"/>
      <c r="K30" s="428"/>
      <c r="L30" s="428"/>
    </row>
    <row r="31" spans="2:18" ht="38.450000000000003" customHeight="1">
      <c r="D31" s="73" t="s">
        <v>0</v>
      </c>
      <c r="E31" s="74" t="s">
        <v>26</v>
      </c>
      <c r="F31" s="74" t="s">
        <v>16</v>
      </c>
      <c r="G31" s="74" t="s">
        <v>5</v>
      </c>
      <c r="H31" s="74" t="s">
        <v>17</v>
      </c>
      <c r="I31" s="74" t="s">
        <v>7</v>
      </c>
      <c r="J31" s="75" t="s">
        <v>18</v>
      </c>
      <c r="K31" s="75" t="s">
        <v>19</v>
      </c>
      <c r="L31" s="76" t="s">
        <v>20</v>
      </c>
    </row>
    <row r="32" spans="2:18">
      <c r="D32" s="50"/>
      <c r="E32" s="79"/>
      <c r="F32" s="80"/>
      <c r="G32" s="81"/>
      <c r="H32" s="81"/>
      <c r="I32" s="81"/>
      <c r="J32" s="81"/>
      <c r="K32" s="81"/>
      <c r="L32" s="81"/>
    </row>
    <row r="33" spans="2:18">
      <c r="D33" s="50"/>
      <c r="E33" s="79"/>
      <c r="F33" s="80"/>
      <c r="G33" s="81"/>
      <c r="H33" s="81"/>
      <c r="I33" s="81"/>
      <c r="J33" s="81"/>
      <c r="K33" s="81"/>
      <c r="L33" s="81"/>
    </row>
    <row r="34" spans="2:18">
      <c r="D34" s="50"/>
      <c r="E34" s="79"/>
      <c r="F34" s="80"/>
      <c r="G34" s="81"/>
      <c r="H34" s="81"/>
      <c r="I34" s="81"/>
      <c r="J34" s="81"/>
      <c r="K34" s="81"/>
      <c r="L34" s="81"/>
    </row>
    <row r="35" spans="2:18">
      <c r="D35" s="82" t="s">
        <v>91</v>
      </c>
      <c r="E35" s="80"/>
      <c r="F35" s="80"/>
      <c r="G35" s="83">
        <f>SUBTOTAL(109,extracto_banco_mes7[NETO])</f>
        <v>0</v>
      </c>
      <c r="H35" s="83">
        <f>SUBTOTAL(109,extracto_banco_mes7[IVA 21%])</f>
        <v>0</v>
      </c>
      <c r="I35" s="83">
        <f>SUBTOTAL(109,extracto_banco_mes7[IVA 10,5%])</f>
        <v>0</v>
      </c>
      <c r="J35" s="83">
        <f>SUBTOTAL(109,extracto_banco_mes7[RET IIBB CABA])</f>
        <v>0</v>
      </c>
      <c r="K35" s="83">
        <f>SUBTOTAL(109,extracto_banco_mes7[PERC IVA])</f>
        <v>0</v>
      </c>
      <c r="L35" s="83">
        <f>SUBTOTAL(109,extracto_banco_mes7[PERC IIBB])</f>
        <v>0</v>
      </c>
    </row>
    <row r="37" spans="2:18" s="56" customFormat="1" ht="18.600000000000001" customHeight="1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9" spans="2:18" ht="21">
      <c r="D39" s="428" t="s">
        <v>25</v>
      </c>
      <c r="E39" s="428"/>
      <c r="F39" s="428"/>
      <c r="G39" s="428"/>
      <c r="H39" s="428"/>
      <c r="I39" s="428"/>
      <c r="J39" s="428"/>
      <c r="K39" s="428"/>
    </row>
    <row r="40" spans="2:18">
      <c r="D40" s="51" t="s">
        <v>0</v>
      </c>
      <c r="E40" s="51" t="s">
        <v>2</v>
      </c>
      <c r="F40" s="51" t="s">
        <v>74</v>
      </c>
      <c r="G40" s="51" t="s">
        <v>3</v>
      </c>
      <c r="H40" s="51" t="s">
        <v>4</v>
      </c>
      <c r="I40" s="52" t="s">
        <v>10</v>
      </c>
      <c r="J40" s="51" t="s">
        <v>13</v>
      </c>
      <c r="K40" s="51" t="s">
        <v>38</v>
      </c>
    </row>
    <row r="41" spans="2:18">
      <c r="D41" s="50"/>
      <c r="E41" s="42"/>
      <c r="F41" s="43"/>
      <c r="G41" s="44"/>
      <c r="H41" s="53" t="str">
        <f>IFERROR(IF(factura_c_mes7[[#This Row],[CUIT]]="","-",VLOOKUP(factura_c_mes7[[#This Row],[CUIT]],Lista_CUIT[#All],2,0)),"CUIT NO CARGADO")</f>
        <v>-</v>
      </c>
      <c r="I41" s="81"/>
      <c r="J41" s="54" t="str">
        <f>IFERROR(IF(factura_c_mes7[[#This Row],[CUIT]]="","-",VLOOKUP(factura_c_mes7[[#This Row],[CUIT]],Lista_CUIT[#All],3,0)),"CUIT NO CARGADO")</f>
        <v>-</v>
      </c>
      <c r="K41" s="54" t="str">
        <f>IFERROR(IF(factura_c_mes7[[#This Row],[CUIT]]="","-",VLOOKUP(factura_c_mes7[[#This Row],[CUIT]],Lista_CUIT[#All],4,0)),"CUIT NO CARGADO")</f>
        <v>-</v>
      </c>
    </row>
    <row r="42" spans="2:18">
      <c r="D42" s="50"/>
      <c r="E42" s="42"/>
      <c r="F42" s="43"/>
      <c r="G42" s="44"/>
      <c r="H42" s="53" t="str">
        <f>IFERROR(IF(factura_c_mes7[[#This Row],[CUIT]]="","-",VLOOKUP(factura_c_mes7[[#This Row],[CUIT]],Lista_CUIT[#All],2,0)),"CUIT NO CARGADO")</f>
        <v>-</v>
      </c>
      <c r="I42" s="81"/>
      <c r="J42" s="54" t="str">
        <f>IFERROR(IF(factura_c_mes7[[#This Row],[CUIT]]="","-",VLOOKUP(factura_c_mes7[[#This Row],[CUIT]],Lista_CUIT[#All],3,0)),"CUIT NO CARGADO")</f>
        <v>-</v>
      </c>
      <c r="K42" s="54" t="str">
        <f>IFERROR(IF(factura_c_mes7[[#This Row],[CUIT]]="","-",VLOOKUP(factura_c_mes7[[#This Row],[CUIT]],Lista_CUIT[#All],4,0)),"CUIT NO CARGADO")</f>
        <v>-</v>
      </c>
    </row>
    <row r="43" spans="2:18">
      <c r="D43" s="50"/>
      <c r="E43" s="42"/>
      <c r="F43" s="43"/>
      <c r="G43" s="44"/>
      <c r="H43" s="53" t="str">
        <f>IFERROR(IF(factura_c_mes7[[#This Row],[CUIT]]="","-",VLOOKUP(factura_c_mes7[[#This Row],[CUIT]],Lista_CUIT[#All],2,0)),"CUIT NO CARGADO")</f>
        <v>-</v>
      </c>
      <c r="I43" s="81"/>
      <c r="J43" s="54" t="str">
        <f>IFERROR(IF(factura_c_mes7[[#This Row],[CUIT]]="","-",VLOOKUP(factura_c_mes7[[#This Row],[CUIT]],Lista_CUIT[#All],3,0)),"CUIT NO CARGADO")</f>
        <v>-</v>
      </c>
      <c r="K43" s="54" t="str">
        <f>IFERROR(IF(factura_c_mes7[[#This Row],[CUIT]]="","-",VLOOKUP(factura_c_mes7[[#This Row],[CUIT]],Lista_CUIT[#All],4,0)),"CUIT NO CARGADO")</f>
        <v>-</v>
      </c>
    </row>
    <row r="44" spans="2:18">
      <c r="D44" s="50"/>
      <c r="E44" s="42"/>
      <c r="F44" s="43"/>
      <c r="G44" s="44"/>
      <c r="H44" s="53" t="str">
        <f>IFERROR(IF(factura_c_mes7[[#This Row],[CUIT]]="","-",VLOOKUP(factura_c_mes7[[#This Row],[CUIT]],Lista_CUIT[#All],2,0)),"CUIT NO CARGADO")</f>
        <v>-</v>
      </c>
      <c r="I44" s="81"/>
      <c r="J44" s="54" t="str">
        <f>IFERROR(IF(factura_c_mes7[[#This Row],[CUIT]]="","-",VLOOKUP(factura_c_mes7[[#This Row],[CUIT]],Lista_CUIT[#All],3,0)),"CUIT NO CARGADO")</f>
        <v>-</v>
      </c>
      <c r="K44" s="54" t="str">
        <f>IFERROR(IF(factura_c_mes7[[#This Row],[CUIT]]="","-",VLOOKUP(factura_c_mes7[[#This Row],[CUIT]],Lista_CUIT[#All],4,0)),"CUIT NO CARGADO")</f>
        <v>-</v>
      </c>
    </row>
    <row r="45" spans="2:18">
      <c r="D45" s="252"/>
      <c r="E45" s="252"/>
      <c r="F45" s="252"/>
      <c r="G45" s="250"/>
      <c r="H45" s="244" t="str">
        <f>IFERROR(IF(factura_c_mes7[[#This Row],[CUIT]]="","-",VLOOKUP(factura_c_mes7[[#This Row],[CUIT]],Lista_CUIT[#All],2,0)),"CUIT NO CARGADO")</f>
        <v>-</v>
      </c>
      <c r="I45" s="245"/>
      <c r="J45" s="246" t="str">
        <f>IFERROR(IF(factura_c_mes7[[#This Row],[CUIT]]="","-",VLOOKUP(factura_c_mes7[[#This Row],[CUIT]],Lista_CUIT[#All],3,0)),"CUIT NO CARGADO")</f>
        <v>-</v>
      </c>
      <c r="K45" s="246" t="str">
        <f>IFERROR(IF(factura_c_mes7[[#This Row],[CUIT]]="","-",VLOOKUP(factura_c_mes7[[#This Row],[CUIT]],Lista_CUIT[#All],4,0)),"CUIT NO CARGADO")</f>
        <v>-</v>
      </c>
    </row>
    <row r="46" spans="2:18" ht="18" customHeight="1">
      <c r="B46" s="56"/>
      <c r="C46" s="56"/>
      <c r="D46" s="55" t="s">
        <v>91</v>
      </c>
      <c r="E46" s="55"/>
      <c r="F46" s="55"/>
      <c r="G46" s="55"/>
      <c r="H46" s="57"/>
      <c r="I46" s="58">
        <f>SUBTOTAL(109,factura_c_mes7[TOTAL])</f>
        <v>0</v>
      </c>
      <c r="J46" s="55"/>
      <c r="K46" s="55"/>
      <c r="L46" s="56"/>
      <c r="M46" s="56"/>
      <c r="N46" s="56"/>
      <c r="O46" s="56"/>
      <c r="P46" s="56"/>
      <c r="Q46" s="56"/>
      <c r="R46" s="56"/>
    </row>
    <row r="51" spans="2:13" ht="26.25">
      <c r="B51" s="436" t="s">
        <v>29</v>
      </c>
      <c r="C51" s="436"/>
      <c r="D51" s="436"/>
      <c r="E51" s="436"/>
      <c r="F51" s="436"/>
      <c r="G51" s="436"/>
      <c r="H51" s="436"/>
      <c r="I51" s="436"/>
      <c r="J51" s="436"/>
      <c r="K51" s="432">
        <f>N1</f>
        <v>46204</v>
      </c>
      <c r="L51" s="432"/>
      <c r="M51" s="432"/>
    </row>
    <row r="53" spans="2:13" ht="21">
      <c r="B53" s="429" t="s">
        <v>30</v>
      </c>
      <c r="C53" s="429"/>
    </row>
    <row r="54" spans="2:13" ht="31.5">
      <c r="B54" s="60" t="s">
        <v>0</v>
      </c>
      <c r="C54" s="61" t="s">
        <v>1</v>
      </c>
      <c r="D54" s="61" t="s">
        <v>21</v>
      </c>
      <c r="E54" s="61" t="s">
        <v>22</v>
      </c>
      <c r="F54" s="61" t="s">
        <v>3</v>
      </c>
      <c r="G54" s="61" t="s">
        <v>4</v>
      </c>
      <c r="H54" s="61" t="s">
        <v>23</v>
      </c>
      <c r="I54" s="61" t="s">
        <v>17</v>
      </c>
      <c r="J54" s="61" t="s">
        <v>7</v>
      </c>
      <c r="K54" s="61" t="s">
        <v>24</v>
      </c>
      <c r="L54" s="61" t="s">
        <v>10</v>
      </c>
      <c r="M54" s="62" t="s">
        <v>38</v>
      </c>
    </row>
    <row r="55" spans="2:13">
      <c r="B55" s="40"/>
      <c r="C55" s="41"/>
      <c r="D55" s="42"/>
      <c r="E55" s="43"/>
      <c r="F55" s="44"/>
      <c r="G55" s="204" t="str">
        <f>IFERROR(IF(venta_a_mes7[[#This Row],[CUIT]]="","-",VLOOKUP(venta_a_mes7[[#This Row],[CUIT]],Lista_CUIT[#All],2,0)),"CUIT NO CARGADO")</f>
        <v>-</v>
      </c>
      <c r="H55" s="100"/>
      <c r="I55" s="101"/>
      <c r="J55" s="65"/>
      <c r="K55" s="65"/>
      <c r="L55" s="65">
        <f>SUM(venta_a_mes7[[#This Row],[IMPORTE NETO]:[EXENTO]])</f>
        <v>0</v>
      </c>
      <c r="M55" s="59"/>
    </row>
    <row r="56" spans="2:13">
      <c r="B56" s="40"/>
      <c r="C56" s="41"/>
      <c r="D56" s="42"/>
      <c r="E56" s="43"/>
      <c r="F56" s="44"/>
      <c r="G56" s="204" t="str">
        <f>IFERROR(IF(venta_a_mes7[[#This Row],[CUIT]]="","-",VLOOKUP(venta_a_mes7[[#This Row],[CUIT]],Lista_CUIT[#All],2,0)),"CUIT NO CARGADO")</f>
        <v>-</v>
      </c>
      <c r="H56" s="100"/>
      <c r="I56" s="101"/>
      <c r="J56" s="65"/>
      <c r="K56" s="65"/>
      <c r="L56" s="65">
        <f>SUM(venta_a_mes7[[#This Row],[IMPORTE NETO]:[EXENTO]])</f>
        <v>0</v>
      </c>
      <c r="M56" s="59"/>
    </row>
    <row r="57" spans="2:13">
      <c r="B57" s="40"/>
      <c r="C57" s="41"/>
      <c r="D57" s="42"/>
      <c r="E57" s="43"/>
      <c r="F57" s="44"/>
      <c r="G57" s="204" t="str">
        <f>IFERROR(IF(venta_a_mes7[[#This Row],[CUIT]]="","-",VLOOKUP(venta_a_mes7[[#This Row],[CUIT]],Lista_CUIT[#All],2,0)),"CUIT NO CARGADO")</f>
        <v>-</v>
      </c>
      <c r="H57" s="100"/>
      <c r="I57" s="101"/>
      <c r="J57" s="65"/>
      <c r="K57" s="65"/>
      <c r="L57" s="65">
        <f>SUM(venta_a_mes7[[#This Row],[IMPORTE NETO]:[EXENTO]])</f>
        <v>0</v>
      </c>
      <c r="M57" s="59"/>
    </row>
    <row r="58" spans="2:13">
      <c r="B58" s="40"/>
      <c r="C58" s="41"/>
      <c r="D58" s="42"/>
      <c r="E58" s="43"/>
      <c r="F58" s="44"/>
      <c r="G58" s="204" t="str">
        <f>IFERROR(IF(venta_a_mes7[[#This Row],[CUIT]]="","-",VLOOKUP(venta_a_mes7[[#This Row],[CUIT]],Lista_CUIT[#All],2,0)),"CUIT NO CARGADO")</f>
        <v>-</v>
      </c>
      <c r="H58" s="100"/>
      <c r="I58" s="101"/>
      <c r="J58" s="65"/>
      <c r="K58" s="65"/>
      <c r="L58" s="65">
        <f>SUM(venta_a_mes7[[#This Row],[IMPORTE NETO]:[EXENTO]])</f>
        <v>0</v>
      </c>
      <c r="M58" s="59"/>
    </row>
    <row r="59" spans="2:13">
      <c r="B59" s="40"/>
      <c r="C59" s="41"/>
      <c r="D59" s="42"/>
      <c r="E59" s="43"/>
      <c r="F59" s="44"/>
      <c r="G59" s="205" t="str">
        <f>IFERROR(IF(venta_a_mes7[[#This Row],[CUIT]]="","-",VLOOKUP(venta_a_mes7[[#This Row],[CUIT]],Lista_CUIT[#All],2,0)),"CUIT NO CARGADO")</f>
        <v>-</v>
      </c>
      <c r="H59" s="100"/>
      <c r="I59" s="198"/>
      <c r="J59" s="199"/>
      <c r="K59" s="199"/>
      <c r="L59" s="199">
        <f>SUM(venta_a_mes7[[#This Row],[IMPORTE NETO]:[EXENTO]])</f>
        <v>0</v>
      </c>
      <c r="M59" s="200"/>
    </row>
    <row r="60" spans="2:13">
      <c r="B60" s="40"/>
      <c r="C60" s="41"/>
      <c r="D60" s="42"/>
      <c r="E60" s="43"/>
      <c r="F60" s="44"/>
      <c r="G60" s="205" t="str">
        <f>IFERROR(IF(venta_a_mes7[[#This Row],[CUIT]]="","-",VLOOKUP(venta_a_mes7[[#This Row],[CUIT]],Lista_CUIT[#All],2,0)),"CUIT NO CARGADO")</f>
        <v>-</v>
      </c>
      <c r="H60" s="100"/>
      <c r="I60" s="198"/>
      <c r="J60" s="199"/>
      <c r="K60" s="199"/>
      <c r="L60" s="199">
        <f>SUM(venta_a_mes7[[#This Row],[IMPORTE NETO]:[EXENTO]])</f>
        <v>0</v>
      </c>
      <c r="M60" s="200"/>
    </row>
    <row r="61" spans="2:13">
      <c r="B61" s="40"/>
      <c r="C61" s="41"/>
      <c r="D61" s="42"/>
      <c r="E61" s="43"/>
      <c r="F61" s="44"/>
      <c r="G61" s="205" t="str">
        <f>IFERROR(IF(venta_a_mes7[[#This Row],[CUIT]]="","-",VLOOKUP(venta_a_mes7[[#This Row],[CUIT]],Lista_CUIT[#All],2,0)),"CUIT NO CARGADO")</f>
        <v>-</v>
      </c>
      <c r="H61" s="100"/>
      <c r="I61" s="198"/>
      <c r="J61" s="199"/>
      <c r="K61" s="199"/>
      <c r="L61" s="199">
        <f>SUM(venta_a_mes7[[#This Row],[IMPORTE NETO]:[EXENTO]])</f>
        <v>0</v>
      </c>
      <c r="M61" s="200"/>
    </row>
    <row r="62" spans="2:13">
      <c r="B62" s="40"/>
      <c r="C62" s="41"/>
      <c r="D62" s="42"/>
      <c r="E62" s="43"/>
      <c r="F62" s="44"/>
      <c r="G62" s="205" t="str">
        <f>IFERROR(IF(venta_a_mes7[[#This Row],[CUIT]]="","-",VLOOKUP(venta_a_mes7[[#This Row],[CUIT]],Lista_CUIT[#All],2,0)),"CUIT NO CARGADO")</f>
        <v>-</v>
      </c>
      <c r="H62" s="100"/>
      <c r="I62" s="198"/>
      <c r="J62" s="199"/>
      <c r="K62" s="199"/>
      <c r="L62" s="199">
        <f>SUM(venta_a_mes7[[#This Row],[IMPORTE NETO]:[EXENTO]])</f>
        <v>0</v>
      </c>
      <c r="M62" s="200"/>
    </row>
    <row r="63" spans="2:13">
      <c r="B63" s="40"/>
      <c r="C63" s="41"/>
      <c r="D63" s="42"/>
      <c r="E63" s="43"/>
      <c r="F63" s="44"/>
      <c r="G63" s="205" t="str">
        <f>IFERROR(IF(venta_a_mes7[[#This Row],[CUIT]]="","-",VLOOKUP(venta_a_mes7[[#This Row],[CUIT]],Lista_CUIT[#All],2,0)),"CUIT NO CARGADO")</f>
        <v>-</v>
      </c>
      <c r="H63" s="100"/>
      <c r="I63" s="198"/>
      <c r="J63" s="199"/>
      <c r="K63" s="199"/>
      <c r="L63" s="199">
        <f>SUM(venta_a_mes7[[#This Row],[IMPORTE NETO]:[EXENTO]])</f>
        <v>0</v>
      </c>
      <c r="M63" s="200"/>
    </row>
    <row r="64" spans="2:13">
      <c r="B64" s="40"/>
      <c r="C64" s="41"/>
      <c r="D64" s="42"/>
      <c r="E64" s="43"/>
      <c r="F64" s="44"/>
      <c r="G64" s="205" t="str">
        <f>IFERROR(IF(venta_a_mes7[[#This Row],[CUIT]]="","-",VLOOKUP(venta_a_mes7[[#This Row],[CUIT]],Lista_CUIT[#All],2,0)),"CUIT NO CARGADO")</f>
        <v>-</v>
      </c>
      <c r="H64" s="100"/>
      <c r="I64" s="198"/>
      <c r="J64" s="199"/>
      <c r="K64" s="199"/>
      <c r="L64" s="199">
        <f>SUM(venta_a_mes7[[#This Row],[IMPORTE NETO]:[EXENTO]])</f>
        <v>0</v>
      </c>
      <c r="M64" s="200"/>
    </row>
    <row r="65" spans="2:13">
      <c r="B65" s="40"/>
      <c r="C65" s="41"/>
      <c r="D65" s="42"/>
      <c r="E65" s="43"/>
      <c r="F65" s="44"/>
      <c r="G65" s="205" t="str">
        <f>IFERROR(IF(venta_a_mes7[[#This Row],[CUIT]]="","-",VLOOKUP(venta_a_mes7[[#This Row],[CUIT]],Lista_CUIT[#All],2,0)),"CUIT NO CARGADO")</f>
        <v>-</v>
      </c>
      <c r="H65" s="100"/>
      <c r="I65" s="198"/>
      <c r="J65" s="199"/>
      <c r="K65" s="199"/>
      <c r="L65" s="199">
        <f>SUM(venta_a_mes7[[#This Row],[IMPORTE NETO]:[EXENTO]])</f>
        <v>0</v>
      </c>
      <c r="M65" s="200"/>
    </row>
    <row r="66" spans="2:13">
      <c r="B66" s="40"/>
      <c r="C66" s="41"/>
      <c r="D66" s="42"/>
      <c r="E66" s="43"/>
      <c r="F66" s="44"/>
      <c r="G66" s="205" t="str">
        <f>IFERROR(IF(venta_a_mes7[[#This Row],[CUIT]]="","-",VLOOKUP(venta_a_mes7[[#This Row],[CUIT]],Lista_CUIT[#All],2,0)),"CUIT NO CARGADO")</f>
        <v>-</v>
      </c>
      <c r="H66" s="100"/>
      <c r="I66" s="198"/>
      <c r="J66" s="199"/>
      <c r="K66" s="199"/>
      <c r="L66" s="199">
        <f>SUM(venta_a_mes7[[#This Row],[IMPORTE NETO]:[EXENTO]])</f>
        <v>0</v>
      </c>
      <c r="M66" s="200"/>
    </row>
    <row r="67" spans="2:13">
      <c r="B67" s="40"/>
      <c r="C67" s="41"/>
      <c r="D67" s="42"/>
      <c r="E67" s="43"/>
      <c r="F67" s="44"/>
      <c r="G67" s="205" t="str">
        <f>IFERROR(IF(venta_a_mes7[[#This Row],[CUIT]]="","-",VLOOKUP(venta_a_mes7[[#This Row],[CUIT]],Lista_CUIT[#All],2,0)),"CUIT NO CARGADO")</f>
        <v>-</v>
      </c>
      <c r="H67" s="100"/>
      <c r="I67" s="198"/>
      <c r="J67" s="199"/>
      <c r="K67" s="199"/>
      <c r="L67" s="199">
        <f>SUM(venta_a_mes7[[#This Row],[IMPORTE NETO]:[EXENTO]])</f>
        <v>0</v>
      </c>
      <c r="M67" s="200"/>
    </row>
    <row r="68" spans="2:13">
      <c r="B68" s="40"/>
      <c r="C68" s="41"/>
      <c r="D68" s="42"/>
      <c r="E68" s="43"/>
      <c r="F68" s="44"/>
      <c r="G68" s="205" t="str">
        <f>IFERROR(IF(venta_a_mes7[[#This Row],[CUIT]]="","-",VLOOKUP(venta_a_mes7[[#This Row],[CUIT]],Lista_CUIT[#All],2,0)),"CUIT NO CARGADO")</f>
        <v>-</v>
      </c>
      <c r="H68" s="100"/>
      <c r="I68" s="198"/>
      <c r="J68" s="199"/>
      <c r="K68" s="199"/>
      <c r="L68" s="199">
        <f>SUM(venta_a_mes7[[#This Row],[IMPORTE NETO]:[EXENTO]])</f>
        <v>0</v>
      </c>
      <c r="M68" s="200"/>
    </row>
    <row r="69" spans="2:13">
      <c r="B69" s="40"/>
      <c r="C69" s="41"/>
      <c r="D69" s="42"/>
      <c r="E69" s="43"/>
      <c r="F69" s="44"/>
      <c r="G69" s="205" t="str">
        <f>IFERROR(IF(venta_a_mes7[[#This Row],[CUIT]]="","-",VLOOKUP(venta_a_mes7[[#This Row],[CUIT]],Lista_CUIT[#All],2,0)),"CUIT NO CARGADO")</f>
        <v>-</v>
      </c>
      <c r="H69" s="100"/>
      <c r="I69" s="198"/>
      <c r="J69" s="199"/>
      <c r="K69" s="199"/>
      <c r="L69" s="199">
        <f>SUM(venta_a_mes7[[#This Row],[IMPORTE NETO]:[EXENTO]])</f>
        <v>0</v>
      </c>
      <c r="M69" s="200"/>
    </row>
    <row r="70" spans="2:13" ht="16.5" customHeight="1">
      <c r="B70" s="40"/>
      <c r="C70" s="41"/>
      <c r="D70" s="42"/>
      <c r="E70" s="43"/>
      <c r="F70" s="44"/>
      <c r="G70" s="205" t="str">
        <f>IFERROR(IF(venta_a_mes7[[#This Row],[CUIT]]="","-",VLOOKUP(venta_a_mes7[[#This Row],[CUIT]],Lista_CUIT[#All],2,0)),"CUIT NO CARGADO")</f>
        <v>-</v>
      </c>
      <c r="H70" s="100"/>
      <c r="I70" s="198"/>
      <c r="J70" s="199"/>
      <c r="K70" s="199"/>
      <c r="L70" s="199">
        <f>SUM(venta_a_mes7[[#This Row],[IMPORTE NETO]:[EXENTO]])</f>
        <v>0</v>
      </c>
      <c r="M70" s="200"/>
    </row>
    <row r="71" spans="2:13">
      <c r="B71" s="40"/>
      <c r="C71" s="41"/>
      <c r="D71" s="42"/>
      <c r="E71" s="43"/>
      <c r="F71" s="44"/>
      <c r="G71" s="205" t="str">
        <f>IFERROR(IF(venta_a_mes7[[#This Row],[CUIT]]="","-",VLOOKUP(venta_a_mes7[[#This Row],[CUIT]],Lista_CUIT[#All],2,0)),"CUIT NO CARGADO")</f>
        <v>-</v>
      </c>
      <c r="H71" s="100"/>
      <c r="I71" s="198"/>
      <c r="J71" s="199"/>
      <c r="K71" s="199"/>
      <c r="L71" s="199">
        <f>SUM(venta_a_mes7[[#This Row],[IMPORTE NETO]:[EXENTO]])</f>
        <v>0</v>
      </c>
      <c r="M71" s="200"/>
    </row>
    <row r="72" spans="2:13" ht="16.5" customHeight="1">
      <c r="B72" s="40"/>
      <c r="C72" s="41"/>
      <c r="D72" s="42"/>
      <c r="E72" s="43"/>
      <c r="F72" s="44"/>
      <c r="G72" s="205" t="str">
        <f>IFERROR(IF(venta_a_mes7[[#This Row],[CUIT]]="","-",VLOOKUP(venta_a_mes7[[#This Row],[CUIT]],Lista_CUIT[#All],2,0)),"CUIT NO CARGADO")</f>
        <v>-</v>
      </c>
      <c r="H72" s="100"/>
      <c r="I72" s="198"/>
      <c r="J72" s="199"/>
      <c r="K72" s="199"/>
      <c r="L72" s="199">
        <f>SUM(venta_a_mes7[[#This Row],[IMPORTE NETO]:[EXENTO]])</f>
        <v>0</v>
      </c>
      <c r="M72" s="200"/>
    </row>
    <row r="73" spans="2:13">
      <c r="B73" s="40"/>
      <c r="C73" s="41"/>
      <c r="D73" s="42"/>
      <c r="E73" s="43"/>
      <c r="F73" s="44"/>
      <c r="G73" s="204" t="str">
        <f>IFERROR(IF(venta_a_mes7[[#This Row],[CUIT]]="","-",VLOOKUP(venta_a_mes7[[#This Row],[CUIT]],Lista_CUIT[#All],2,0)),"CUIT NO CARGADO")</f>
        <v>-</v>
      </c>
      <c r="H73" s="100"/>
      <c r="I73" s="101"/>
      <c r="J73" s="65"/>
      <c r="K73" s="65"/>
      <c r="L73" s="65">
        <f>SUM(venta_a_mes7[[#This Row],[IMPORTE NETO]:[EXENTO]])</f>
        <v>0</v>
      </c>
      <c r="M73" s="59"/>
    </row>
    <row r="74" spans="2:13">
      <c r="B74" s="40"/>
      <c r="C74" s="41"/>
      <c r="D74" s="42"/>
      <c r="E74" s="43"/>
      <c r="F74" s="44"/>
      <c r="G74" s="204" t="str">
        <f>IFERROR(IF(venta_a_mes7[[#This Row],[CUIT]]="","-",VLOOKUP(venta_a_mes7[[#This Row],[CUIT]],Lista_CUIT[#All],2,0)),"CUIT NO CARGADO")</f>
        <v>-</v>
      </c>
      <c r="H74" s="100"/>
      <c r="I74" s="101"/>
      <c r="J74" s="65"/>
      <c r="K74" s="65"/>
      <c r="L74" s="65">
        <f>SUM(venta_a_mes7[[#This Row],[IMPORTE NETO]:[EXENTO]])</f>
        <v>0</v>
      </c>
      <c r="M74" s="59"/>
    </row>
    <row r="75" spans="2:13">
      <c r="B75" s="40"/>
      <c r="C75" s="41"/>
      <c r="D75" s="42"/>
      <c r="E75" s="43"/>
      <c r="F75" s="44"/>
      <c r="G75" s="204" t="str">
        <f>IFERROR(IF(venta_a_mes7[[#This Row],[CUIT]]="","-",VLOOKUP(venta_a_mes7[[#This Row],[CUIT]],Lista_CUIT[#All],2,0)),"CUIT NO CARGADO")</f>
        <v>-</v>
      </c>
      <c r="H75" s="100"/>
      <c r="I75" s="101"/>
      <c r="J75" s="65"/>
      <c r="K75" s="65"/>
      <c r="L75" s="65">
        <f>SUM(venta_a_mes7[[#This Row],[IMPORTE NETO]:[EXENTO]])</f>
        <v>0</v>
      </c>
      <c r="M75" s="63"/>
    </row>
    <row r="76" spans="2:13">
      <c r="B76" s="40"/>
      <c r="C76" s="41"/>
      <c r="D76" s="42"/>
      <c r="E76" s="43"/>
      <c r="F76" s="44"/>
      <c r="G76" s="204" t="str">
        <f>IFERROR(IF(venta_a_mes7[[#This Row],[CUIT]]="","-",VLOOKUP(venta_a_mes7[[#This Row],[CUIT]],Lista_CUIT[#All],2,0)),"CUIT NO CARGADO")</f>
        <v>-</v>
      </c>
      <c r="H76" s="100"/>
      <c r="I76" s="107"/>
      <c r="J76" s="72"/>
      <c r="K76" s="72"/>
      <c r="L76" s="72">
        <f>SUM(venta_a_mes7[[#This Row],[IMPORTE NETO]:[EXENTO]])</f>
        <v>0</v>
      </c>
      <c r="M76" s="63"/>
    </row>
    <row r="77" spans="2:13">
      <c r="B77" s="40"/>
      <c r="C77" s="41"/>
      <c r="D77" s="42"/>
      <c r="E77" s="43"/>
      <c r="F77" s="44"/>
      <c r="G77" s="204" t="str">
        <f>IFERROR(IF(venta_a_mes7[[#This Row],[CUIT]]="","-",VLOOKUP(venta_a_mes7[[#This Row],[CUIT]],Lista_CUIT[#All],2,0)),"CUIT NO CARGADO")</f>
        <v>-</v>
      </c>
      <c r="H77" s="100"/>
      <c r="I77" s="101"/>
      <c r="J77" s="65"/>
      <c r="K77" s="65"/>
      <c r="L77" s="65">
        <f>SUM(venta_a_mes7[[#This Row],[IMPORTE NETO]:[EXENTO]])</f>
        <v>0</v>
      </c>
      <c r="M77" s="59"/>
    </row>
    <row r="78" spans="2:13">
      <c r="B78" s="40"/>
      <c r="C78" s="41"/>
      <c r="D78" s="42"/>
      <c r="E78" s="43"/>
      <c r="F78" s="44"/>
      <c r="G78" s="205" t="str">
        <f>IFERROR(IF(venta_a_mes7[[#This Row],[CUIT]]="","-",VLOOKUP(venta_a_mes7[[#This Row],[CUIT]],Lista_CUIT[#All],2,0)),"CUIT NO CARGADO")</f>
        <v>-</v>
      </c>
      <c r="H78" s="100"/>
      <c r="I78" s="198"/>
      <c r="J78" s="199"/>
      <c r="K78" s="199"/>
      <c r="L78" s="199">
        <f>SUM(venta_a_mes7[[#This Row],[IMPORTE NETO]:[EXENTO]])</f>
        <v>0</v>
      </c>
      <c r="M78" s="200"/>
    </row>
    <row r="79" spans="2:13">
      <c r="B79" s="214"/>
      <c r="C79" s="215"/>
      <c r="D79" s="216"/>
      <c r="E79" s="217"/>
      <c r="F79" s="218"/>
      <c r="G79" s="253" t="str">
        <f>IFERROR(IF(venta_a_mes7[[#This Row],[CUIT]]="","-",VLOOKUP(venta_a_mes7[[#This Row],[CUIT]],Lista_CUIT[#All],2,0)),"CUIT NO CARGADO")</f>
        <v>-</v>
      </c>
      <c r="H79" s="220"/>
      <c r="I79" s="221">
        <f>venta_a_mes7[[#This Row],[IMPORTE NETO]]*0.21</f>
        <v>0</v>
      </c>
      <c r="J79" s="222"/>
      <c r="K79" s="222"/>
      <c r="L79" s="222">
        <f>SUM(venta_a_mes7[[#This Row],[IMPORTE NETO]:[EXENTO]])</f>
        <v>0</v>
      </c>
      <c r="M79" s="223"/>
    </row>
    <row r="80" spans="2:13">
      <c r="B80" s="66" t="s">
        <v>91</v>
      </c>
      <c r="C80" s="67"/>
      <c r="D80" s="67"/>
      <c r="E80" s="67"/>
      <c r="F80" s="67"/>
      <c r="G80" s="67"/>
      <c r="H80" s="70">
        <f>SUBTOTAL(109,venta_a_mes7[IMPORTE NETO])</f>
        <v>0</v>
      </c>
      <c r="I80" s="70">
        <f>SUBTOTAL(109,venta_a_mes7[IVA 21%])</f>
        <v>0</v>
      </c>
      <c r="J80" s="70">
        <f>SUBTOTAL(109,venta_a_mes7[IVA 10,5%])</f>
        <v>0</v>
      </c>
      <c r="K80" s="70">
        <f>SUBTOTAL(109,venta_a_mes7[EXENTO])</f>
        <v>0</v>
      </c>
      <c r="L80" s="70">
        <f>SUBTOTAL(109,venta_a_mes7[TOTAL])</f>
        <v>0</v>
      </c>
      <c r="M80" s="68">
        <f>SUBTOTAL(103,venta_a_mes7[Provincia])</f>
        <v>0</v>
      </c>
    </row>
    <row r="81" spans="2:13" ht="21">
      <c r="B81" s="429" t="s">
        <v>31</v>
      </c>
      <c r="C81" s="429"/>
    </row>
    <row r="82" spans="2:13" ht="31.5">
      <c r="B82" s="60" t="s">
        <v>0</v>
      </c>
      <c r="C82" s="61" t="s">
        <v>1</v>
      </c>
      <c r="D82" s="61" t="s">
        <v>21</v>
      </c>
      <c r="E82" s="61" t="s">
        <v>22</v>
      </c>
      <c r="F82" s="61" t="s">
        <v>3</v>
      </c>
      <c r="G82" s="61" t="s">
        <v>4</v>
      </c>
      <c r="H82" s="61" t="s">
        <v>23</v>
      </c>
      <c r="I82" s="61" t="s">
        <v>17</v>
      </c>
      <c r="J82" s="61" t="s">
        <v>7</v>
      </c>
      <c r="K82" s="61" t="s">
        <v>24</v>
      </c>
      <c r="L82" s="61" t="s">
        <v>10</v>
      </c>
      <c r="M82" s="62" t="s">
        <v>38</v>
      </c>
    </row>
    <row r="83" spans="2:13" ht="15.75" customHeight="1">
      <c r="B83" s="40"/>
      <c r="C83" s="41"/>
      <c r="D83" s="42"/>
      <c r="E83" s="43"/>
      <c r="F83" s="44"/>
      <c r="G83" s="1" t="str">
        <f>IFERROR(IF(ventas_b_mes7[[#This Row],[CUIT]]="","-",VLOOKUP(ventas_b_mes7[[#This Row],[CUIT]],Lista_CUIT[#All],2,0)),"CUIT NO CARGADO")</f>
        <v>-</v>
      </c>
      <c r="H83" s="64"/>
      <c r="I83" s="64">
        <f>ventas_b_mes7[[#This Row],[IMPORTE NETO]]*0.21</f>
        <v>0</v>
      </c>
      <c r="J83" s="64"/>
      <c r="K83" s="64"/>
      <c r="L83" s="64">
        <f>SUM(ventas_b_mes7[[#This Row],[IMPORTE NETO]:[EXENTO]])</f>
        <v>0</v>
      </c>
      <c r="M83" s="59"/>
    </row>
    <row r="84" spans="2:13">
      <c r="B84" s="40"/>
      <c r="C84" s="41"/>
      <c r="D84" s="42"/>
      <c r="E84" s="43"/>
      <c r="F84" s="44"/>
      <c r="G84" s="1" t="str">
        <f>IFERROR(IF(ventas_b_mes7[[#This Row],[CUIT]]="","-",VLOOKUP(ventas_b_mes7[[#This Row],[CUIT]],Lista_CUIT[#All],2,0)),"CUIT NO CARGADO")</f>
        <v>-</v>
      </c>
      <c r="H84" s="64"/>
      <c r="I84" s="64">
        <f>ventas_b_mes7[[#This Row],[IMPORTE NETO]]*0.21</f>
        <v>0</v>
      </c>
      <c r="J84" s="64"/>
      <c r="K84" s="64"/>
      <c r="L84" s="64">
        <f>SUM(ventas_b_mes7[[#This Row],[IMPORTE NETO]:[EXENTO]])</f>
        <v>0</v>
      </c>
      <c r="M84" s="59"/>
    </row>
    <row r="85" spans="2:13">
      <c r="B85" s="40"/>
      <c r="C85" s="41"/>
      <c r="D85" s="42"/>
      <c r="E85" s="43"/>
      <c r="F85" s="44"/>
      <c r="G85" s="1" t="str">
        <f>IFERROR(IF(ventas_b_mes7[[#This Row],[CUIT]]="","-",VLOOKUP(ventas_b_mes7[[#This Row],[CUIT]],Lista_CUIT[#All],2,0)),"CUIT NO CARGADO")</f>
        <v>-</v>
      </c>
      <c r="H85" s="64"/>
      <c r="I85" s="64">
        <f>ventas_b_mes7[[#This Row],[IMPORTE NETO]]*0.21</f>
        <v>0</v>
      </c>
      <c r="J85" s="64"/>
      <c r="K85" s="64"/>
      <c r="L85" s="64">
        <f>SUM(ventas_b_mes7[[#This Row],[IMPORTE NETO]:[EXENTO]])</f>
        <v>0</v>
      </c>
      <c r="M85" s="59"/>
    </row>
    <row r="86" spans="2:13">
      <c r="B86" s="40"/>
      <c r="C86" s="41"/>
      <c r="D86" s="42"/>
      <c r="E86" s="43"/>
      <c r="F86" s="44"/>
      <c r="G86" s="1" t="str">
        <f>IFERROR(IF(ventas_b_mes7[[#This Row],[CUIT]]="","-",VLOOKUP(ventas_b_mes7[[#This Row],[CUIT]],Lista_CUIT[#All],2,0)),"CUIT NO CARGADO")</f>
        <v>-</v>
      </c>
      <c r="H86" s="64"/>
      <c r="I86" s="64">
        <f>ventas_b_mes7[[#This Row],[IMPORTE NETO]]*0.21</f>
        <v>0</v>
      </c>
      <c r="J86" s="64"/>
      <c r="K86" s="64"/>
      <c r="L86" s="64">
        <f>SUM(ventas_b_mes7[[#This Row],[IMPORTE NETO]:[EXENTO]])</f>
        <v>0</v>
      </c>
      <c r="M86" s="59"/>
    </row>
    <row r="87" spans="2:13">
      <c r="B87" s="40"/>
      <c r="C87" s="41"/>
      <c r="D87" s="42"/>
      <c r="E87" s="43"/>
      <c r="F87" s="44"/>
      <c r="G87" s="1" t="str">
        <f>IFERROR(IF(ventas_b_mes7[[#This Row],[CUIT]]="","-",VLOOKUP(ventas_b_mes7[[#This Row],[CUIT]],Lista_CUIT[#All],2,0)),"CUIT NO CARGADO")</f>
        <v>-</v>
      </c>
      <c r="H87" s="64"/>
      <c r="I87" s="64">
        <f>ventas_b_mes7[[#This Row],[IMPORTE NETO]]*0.21</f>
        <v>0</v>
      </c>
      <c r="J87" s="64"/>
      <c r="K87" s="64"/>
      <c r="L87" s="64">
        <f>SUM(ventas_b_mes7[[#This Row],[IMPORTE NETO]:[EXENTO]])</f>
        <v>0</v>
      </c>
      <c r="M87" s="59"/>
    </row>
    <row r="88" spans="2:13">
      <c r="B88" s="40"/>
      <c r="C88" s="41"/>
      <c r="D88" s="42"/>
      <c r="E88" s="43"/>
      <c r="F88" s="44"/>
      <c r="G88" s="1" t="str">
        <f>IFERROR(IF(ventas_b_mes7[[#This Row],[CUIT]]="","-",VLOOKUP(ventas_b_mes7[[#This Row],[CUIT]],Lista_CUIT[#All],2,0)),"CUIT NO CARGADO")</f>
        <v>-</v>
      </c>
      <c r="H88" s="64"/>
      <c r="I88" s="64">
        <f>ventas_b_mes7[[#This Row],[IMPORTE NETO]]*0.21</f>
        <v>0</v>
      </c>
      <c r="J88" s="64"/>
      <c r="K88" s="64"/>
      <c r="L88" s="64">
        <f>SUM(ventas_b_mes7[[#This Row],[IMPORTE NETO]:[EXENTO]])</f>
        <v>0</v>
      </c>
      <c r="M88" s="59"/>
    </row>
    <row r="89" spans="2:13">
      <c r="B89" s="40"/>
      <c r="C89" s="41"/>
      <c r="D89" s="42"/>
      <c r="E89" s="43"/>
      <c r="F89" s="44"/>
      <c r="G89" s="201" t="str">
        <f>IFERROR(IF(ventas_b_mes7[[#This Row],[CUIT]]="","-",VLOOKUP(ventas_b_mes7[[#This Row],[CUIT]],Lista_CUIT[#All],2,0)),"CUIT NO CARGADO")</f>
        <v>-</v>
      </c>
      <c r="H89" s="64"/>
      <c r="I89" s="202">
        <f>ventas_b_mes7[[#This Row],[IMPORTE NETO]]*0.21</f>
        <v>0</v>
      </c>
      <c r="J89" s="203"/>
      <c r="K89" s="203"/>
      <c r="L89" s="203">
        <f>SUM(ventas_b_mes7[[#This Row],[IMPORTE NETO]:[EXENTO]])</f>
        <v>0</v>
      </c>
      <c r="M89" s="200"/>
    </row>
    <row r="90" spans="2:13">
      <c r="B90" s="66" t="s">
        <v>91</v>
      </c>
      <c r="C90" s="67"/>
      <c r="D90" s="67"/>
      <c r="E90" s="67"/>
      <c r="F90" s="67"/>
      <c r="G90" s="67"/>
      <c r="H90" s="70">
        <f>SUBTOTAL(109,ventas_b_mes7[IMPORTE NETO])</f>
        <v>0</v>
      </c>
      <c r="I90" s="70">
        <f>SUBTOTAL(109,ventas_b_mes7[IVA 21%])</f>
        <v>0</v>
      </c>
      <c r="J90" s="70">
        <f>SUBTOTAL(109,ventas_b_mes7[IVA 10,5%])</f>
        <v>0</v>
      </c>
      <c r="K90" s="70">
        <f>SUBTOTAL(109,ventas_b_mes7[EXENTO])</f>
        <v>0</v>
      </c>
      <c r="L90" s="70">
        <f>SUBTOTAL(109,ventas_b_mes7[TOTAL])</f>
        <v>0</v>
      </c>
      <c r="M90" s="68">
        <f>SUBTOTAL(103,ventas_b_mes7[Provincia])</f>
        <v>0</v>
      </c>
    </row>
    <row r="96" spans="2:13" ht="15.75" thickBot="1"/>
    <row r="97" spans="3:12" ht="15.75" thickTop="1">
      <c r="C97" s="443" t="s">
        <v>66</v>
      </c>
      <c r="D97" s="443"/>
      <c r="E97" s="443"/>
      <c r="F97" s="443"/>
      <c r="G97" s="443"/>
      <c r="H97" s="32"/>
      <c r="I97" s="32"/>
      <c r="J97" s="32"/>
    </row>
    <row r="98" spans="3:12" ht="15.75">
      <c r="C98" s="113" t="s">
        <v>67</v>
      </c>
      <c r="D98" s="114" t="s">
        <v>68</v>
      </c>
      <c r="E98" s="114" t="s">
        <v>93</v>
      </c>
      <c r="F98" s="114" t="s">
        <v>3</v>
      </c>
      <c r="G98" s="114" t="s">
        <v>4</v>
      </c>
      <c r="H98" s="115" t="s">
        <v>69</v>
      </c>
      <c r="I98" s="115" t="s">
        <v>70</v>
      </c>
      <c r="J98" s="115" t="s">
        <v>71</v>
      </c>
      <c r="K98" s="115" t="s">
        <v>72</v>
      </c>
      <c r="L98" s="115" t="s">
        <v>73</v>
      </c>
    </row>
    <row r="99" spans="3:12">
      <c r="C99" s="116"/>
      <c r="D99" s="117"/>
      <c r="E99" s="117"/>
      <c r="F99" s="118"/>
      <c r="G99" s="53" t="str">
        <f>IFERROR(IF(Retenciones_mes7[[#This Row],[CUIT]]="","-",VLOOKUP(Retenciones_mes7[[#This Row],[CUIT]],Lista_CUIT[#All],2,0)),"CUIT NO CARGADO")</f>
        <v>-</v>
      </c>
      <c r="H99" s="119"/>
      <c r="I99" s="119"/>
      <c r="J99" s="119"/>
      <c r="K99" s="119"/>
      <c r="L99" s="119"/>
    </row>
    <row r="100" spans="3:12">
      <c r="C100" s="116"/>
      <c r="D100" s="117"/>
      <c r="E100" s="117"/>
      <c r="F100" s="118"/>
      <c r="G100" s="53" t="str">
        <f>IFERROR(IF(Retenciones_mes7[[#This Row],[CUIT]]="","-",VLOOKUP(Retenciones_mes7[[#This Row],[CUIT]],Lista_CUIT[#All],2,0)),"CUIT NO CARGADO")</f>
        <v>-</v>
      </c>
      <c r="H100" s="119"/>
      <c r="I100" s="119"/>
      <c r="J100" s="119"/>
      <c r="K100" s="119"/>
      <c r="L100" s="119"/>
    </row>
    <row r="101" spans="3:12">
      <c r="C101" s="116"/>
      <c r="D101" s="117"/>
      <c r="E101" s="117"/>
      <c r="F101" s="118"/>
      <c r="G101" s="53" t="str">
        <f>IFERROR(IF(Retenciones_mes7[[#This Row],[CUIT]]="","-",VLOOKUP(Retenciones_mes7[[#This Row],[CUIT]],Lista_CUIT[#All],2,0)),"CUIT NO CARGADO")</f>
        <v>-</v>
      </c>
      <c r="H101" s="119"/>
      <c r="I101" s="119"/>
      <c r="J101" s="119"/>
      <c r="K101" s="119"/>
      <c r="L101" s="119"/>
    </row>
    <row r="102" spans="3:12">
      <c r="C102" s="116"/>
      <c r="D102" s="117"/>
      <c r="E102" s="117"/>
      <c r="F102" s="118"/>
      <c r="G102" s="53" t="str">
        <f>IFERROR(IF(Retenciones_mes7[[#This Row],[CUIT]]="","-",VLOOKUP(Retenciones_mes7[[#This Row],[CUIT]],Lista_CUIT[#All],2,0)),"CUIT NO CARGADO")</f>
        <v>-</v>
      </c>
      <c r="H102" s="119"/>
      <c r="I102" s="119"/>
      <c r="J102" s="119"/>
      <c r="K102" s="119"/>
      <c r="L102" s="119"/>
    </row>
    <row r="103" spans="3:12">
      <c r="D103" s="117"/>
      <c r="E103" s="117"/>
      <c r="G103" s="53" t="str">
        <f>IFERROR(IF(Retenciones_mes7[[#This Row],[CUIT]]="","-",VLOOKUP(Retenciones_mes7[[#This Row],[CUIT]],Lista_CUIT[#All],2,0)),"CUIT NO CARGADO")</f>
        <v>-</v>
      </c>
    </row>
    <row r="104" spans="3:12">
      <c r="C104" s="33"/>
    </row>
  </sheetData>
  <mergeCells count="20">
    <mergeCell ref="C97:G97"/>
    <mergeCell ref="B4:E4"/>
    <mergeCell ref="G4:H4"/>
    <mergeCell ref="J4:K4"/>
    <mergeCell ref="M4:N4"/>
    <mergeCell ref="D39:K39"/>
    <mergeCell ref="B51:J51"/>
    <mergeCell ref="K51:M51"/>
    <mergeCell ref="B53:C53"/>
    <mergeCell ref="B81:C81"/>
    <mergeCell ref="P4:R4"/>
    <mergeCell ref="D30:L30"/>
    <mergeCell ref="B1:F1"/>
    <mergeCell ref="G1:M1"/>
    <mergeCell ref="N1:R1"/>
    <mergeCell ref="B3:E3"/>
    <mergeCell ref="G3:H3"/>
    <mergeCell ref="J3:K3"/>
    <mergeCell ref="M3:N3"/>
    <mergeCell ref="P3:R3"/>
  </mergeCells>
  <dataValidations count="21">
    <dataValidation type="whole" allowBlank="1" showInputMessage="1" showErrorMessage="1" sqref="D55:D79 D9:D24 E41:E45 D83:D89" xr:uid="{AD9633C5-0135-4126-8B9F-E2D9908D83D1}">
      <formula1>1</formula1>
      <formula2>9999</formula2>
    </dataValidation>
    <dataValidation type="whole" allowBlank="1" showInputMessage="1" showErrorMessage="1" sqref="E55:E79 E9:E24 F41:F45 E83:E89" xr:uid="{FE3F6579-0BD7-497F-82D3-46EA456E93EE}">
      <formula1>1</formula1>
      <formula2>99999999</formula2>
    </dataValidation>
    <dataValidation type="whole" allowBlank="1" showInputMessage="1" showErrorMessage="1" sqref="F55:F79 F83:F89 G41:G45 F9:F24" xr:uid="{5DA4D44B-1BA1-4962-9DBC-405E8A173FD6}">
      <formula1>20000000000</formula1>
      <formula2>33999999999</formula2>
    </dataValidation>
    <dataValidation type="date" allowBlank="1" showInputMessage="1" showErrorMessage="1" sqref="B55:B79 D32:D34 D41:D45 B83:B89 B26:B29 B9:B24" xr:uid="{8CCB0A6D-118E-4857-9339-989F17DDFF9A}">
      <formula1>40179</formula1>
      <formula2>TODAY()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4" xr:uid="{53230910-3A22-4EEE-AC5E-C3C7F63CB062}">
      <formula1>IF($C9=3,H9&lt;0,H9&gt;=0)</formula1>
    </dataValidation>
    <dataValidation type="whole" allowBlank="1" showInputMessage="1" showErrorMessage="1" sqref="C55:C79 C26:C29 C9:C24" xr:uid="{DA2EA20B-3A31-4A2D-9053-8B9F4EBB8A6C}">
      <formula1>1</formula1>
      <formula2>3</formula2>
    </dataValidation>
    <dataValidation type="custom" allowBlank="1" showInputMessage="1" showErrorMessage="1" sqref="H55:K55 H73:K73 H75:K75 H57:K57 H56 H58:H72 H74 H76:H78" xr:uid="{0F1CA78D-1896-46A9-A678-2A19B716B1C9}">
      <formula1>IF($C55=3,H55&lt;0,H55&gt;=0)</formula1>
    </dataValidation>
    <dataValidation type="whole" allowBlank="1" showInputMessage="1" showErrorMessage="1" sqref="C83:C89" xr:uid="{47DCA063-1664-4C87-927D-93380DDE528D}">
      <formula1>6</formula1>
      <formula2>8</formula2>
    </dataValidation>
    <dataValidation type="custom" allowBlank="1" showInputMessage="1" showErrorMessage="1" sqref="L55:L56 L71" xr:uid="{85676366-A7F1-4527-99D0-FA5DACB7F600}">
      <formula1>IF($C9=3,L9&lt;0,L9&gt;=0)</formula1>
    </dataValidation>
    <dataValidation type="custom" allowBlank="1" showInputMessage="1" showErrorMessage="1" sqref="H83:L89" xr:uid="{B6192DF7-82B9-4055-AAB5-86E9196FA07C}">
      <formula1>IF($C83=8,H83&lt;0,H83&gt;=0)</formula1>
    </dataValidation>
    <dataValidation type="custom" allowBlank="1" showInputMessage="1" showErrorMessage="1" sqref="L73" xr:uid="{52D0A919-D5BA-4913-AA5E-4B1C9425F754}">
      <formula1>IF($C15=3,L15&lt;0,L15&gt;=0)</formula1>
    </dataValidation>
    <dataValidation type="custom" allowBlank="1" showInputMessage="1" showErrorMessage="1" sqref="L74:L75" xr:uid="{8D604840-5F6F-4E9E-842E-297070A35682}">
      <formula1>IF($C25=3,L25&lt;0,L25&gt;=0)</formula1>
    </dataValidation>
    <dataValidation type="custom" allowBlank="1" showInputMessage="1" showErrorMessage="1" sqref="L65" xr:uid="{10632DCA-465B-42F1-85AA-774B09A7E422}">
      <formula1>IF($C25=3,L25&lt;0,L25&gt;=0)</formula1>
    </dataValidation>
    <dataValidation type="custom" allowBlank="1" showInputMessage="1" showErrorMessage="1" sqref="L72" xr:uid="{85280AC1-7BD1-44B4-BFE3-E1DDE799DDE6}">
      <formula1>IF($C25=3,L25&lt;0,L25&gt;=0)</formula1>
    </dataValidation>
    <dataValidation type="custom" allowBlank="1" showInputMessage="1" showErrorMessage="1" sqref="L70" xr:uid="{662D6D3F-B5C3-4DD2-AAB5-3D98BCF555DA}">
      <formula1>IF($C25=3,L25&lt;0,L25&gt;=0)</formula1>
    </dataValidation>
    <dataValidation type="custom" allowBlank="1" showInputMessage="1" showErrorMessage="1" sqref="L69 L57:L62" xr:uid="{436F84A0-C403-4E28-806A-A7E7B4F20EE7}">
      <formula1>IF($C13=3,L13&lt;0,L13&gt;=0)</formula1>
    </dataValidation>
    <dataValidation type="custom" allowBlank="1" showInputMessage="1" showErrorMessage="1" sqref="L68" xr:uid="{A8082548-90DB-4CE3-9A6F-4D9C96F108B6}">
      <formula1>IF($C25=3,L25&lt;0,L25&gt;=0)</formula1>
    </dataValidation>
    <dataValidation type="custom" allowBlank="1" showInputMessage="1" showErrorMessage="1" sqref="L67" xr:uid="{ADD11435-24EB-4BE5-BD89-B9E079E89191}">
      <formula1>IF($C25=3,L25&lt;0,L25&gt;=0)</formula1>
    </dataValidation>
    <dataValidation type="custom" allowBlank="1" showInputMessage="1" showErrorMessage="1" sqref="L66" xr:uid="{31FEB238-F64A-45F9-BCCC-77F0928335DF}">
      <formula1>IF($C25=3,L25&lt;0,L25&gt;=0)</formula1>
    </dataValidation>
    <dataValidation type="custom" allowBlank="1" showInputMessage="1" showErrorMessage="1" sqref="L63" xr:uid="{4D123A65-D7D5-4383-9232-5E88BD036146}">
      <formula1>IF($C25=3,L25&lt;0,L25&gt;=0)</formula1>
    </dataValidation>
    <dataValidation type="custom" allowBlank="1" showInputMessage="1" showErrorMessage="1" sqref="L64" xr:uid="{6B0E756F-C438-4B9B-8DC5-FF53E98A4AD3}">
      <formula1>IF($C25=3,L25&lt;0,L25&gt;=0)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>
    <tabColor theme="9" tint="0.79998168889431442"/>
  </sheetPr>
  <dimension ref="A1:Z112"/>
  <sheetViews>
    <sheetView showGridLines="0" zoomScaleNormal="100" workbookViewId="0">
      <selection activeCell="H54" sqref="H54:H84"/>
    </sheetView>
  </sheetViews>
  <sheetFormatPr baseColWidth="10" defaultColWidth="0" defaultRowHeight="1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9.85546875" customWidth="1"/>
    <col min="11" max="11" width="14.140625" customWidth="1"/>
    <col min="12" max="12" width="14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430" t="s">
        <v>28</v>
      </c>
      <c r="C1" s="430"/>
      <c r="D1" s="430"/>
      <c r="E1" s="430"/>
      <c r="F1" s="430"/>
      <c r="G1" s="445" t="str">
        <f>'Ene-26'!G1:M1</f>
        <v>RABLEB SRL</v>
      </c>
      <c r="H1" s="445"/>
      <c r="I1" s="445"/>
      <c r="J1" s="445"/>
      <c r="K1" s="445"/>
      <c r="L1" s="445"/>
      <c r="M1" s="445"/>
      <c r="N1" s="427">
        <f>EDATE('Ene-26'!N1,7)</f>
        <v>46235</v>
      </c>
      <c r="O1" s="427"/>
      <c r="P1" s="427"/>
      <c r="Q1" s="427"/>
      <c r="R1" s="427"/>
    </row>
    <row r="2" spans="1:26" ht="15" customHeight="1"/>
    <row r="3" spans="1:26" ht="26.45" customHeight="1">
      <c r="B3" s="433" t="s">
        <v>65</v>
      </c>
      <c r="C3" s="433"/>
      <c r="D3" s="433"/>
      <c r="E3" s="433"/>
      <c r="F3" s="38"/>
      <c r="G3" s="433" t="s">
        <v>37</v>
      </c>
      <c r="H3" s="433"/>
      <c r="I3" s="38"/>
      <c r="J3" s="441" t="s">
        <v>14</v>
      </c>
      <c r="K3" s="441"/>
      <c r="L3" s="38"/>
      <c r="M3" s="441" t="s">
        <v>12</v>
      </c>
      <c r="N3" s="441"/>
      <c r="O3" s="38"/>
      <c r="P3" s="439" t="s">
        <v>90</v>
      </c>
      <c r="Q3" s="439"/>
      <c r="R3" s="439"/>
    </row>
    <row r="4" spans="1:26" ht="25.15" customHeight="1">
      <c r="B4" s="434">
        <f>SUM(compras_mes8[[#Totals],[NETO GRAVADO]])+extracto_banco_mes8[[#Totals],[NETO]]</f>
        <v>0</v>
      </c>
      <c r="C4" s="434"/>
      <c r="D4" s="434"/>
      <c r="E4" s="434"/>
      <c r="F4" s="39"/>
      <c r="G4" s="435">
        <f>compras_mes8[[#Totals],[IVA 21 %]]+compras_mes8[[#Totals],[IVA 27%]]+compras_mes8[[#Totals],[IVA 10,5%]]+extracto_banco_mes8[[#Totals],[IVA 21%]]+extracto_banco_mes8[[#Totals],[IVA 10,5%]]</f>
        <v>0</v>
      </c>
      <c r="H4" s="435"/>
      <c r="I4" s="39"/>
      <c r="J4" s="442">
        <f>venta_a_mes8[[#Totals],[IMPORTE NETO]]+ventas_b_mes8[[#Totals],[IMPORTE NETO]]</f>
        <v>0</v>
      </c>
      <c r="K4" s="442"/>
      <c r="L4" s="39"/>
      <c r="M4" s="442">
        <f>venta_a_mes8[[#Totals],[IVA 21%]]+venta_a_mes8[[#Totals],[IVA 10,5%]]+ventas_b_mes8[[#Totals],[IVA 21%]]+ventas_b_mes8[[#Totals],[IVA 10,5%]]</f>
        <v>0</v>
      </c>
      <c r="N4" s="442"/>
      <c r="O4" s="39"/>
      <c r="P4" s="437">
        <f>G4-M4</f>
        <v>0</v>
      </c>
      <c r="Q4" s="438"/>
      <c r="R4" s="438"/>
    </row>
    <row r="5" spans="1:26" ht="13.15" customHeight="1"/>
    <row r="6" spans="1:26" ht="10.9" customHeight="1"/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184"/>
      <c r="C9" s="185"/>
      <c r="D9" s="186"/>
      <c r="E9" s="187"/>
      <c r="F9" s="188"/>
      <c r="G9" s="189" t="str">
        <f>IFERROR(IF(compras_mes8[[#This Row],[CUIT]]="","-",VLOOKUP(compras_mes8[[#This Row],[CUIT]],Lista_CUIT[#All],2,0)),"CUIT NO CARGADO")</f>
        <v>-</v>
      </c>
      <c r="H9" s="190"/>
      <c r="I9" s="191" t="str">
        <f>IF(compras_mes8[[#This Row],[NETO GRAVADO]]="","",compras_mes8[[#This Row],[NETO GRAVADO]]*0.21)</f>
        <v/>
      </c>
      <c r="J9" s="191"/>
      <c r="K9" s="191"/>
      <c r="L9" s="191"/>
      <c r="M9" s="191"/>
      <c r="N9" s="191"/>
      <c r="O9" s="191"/>
      <c r="P9" s="192">
        <f>SUM(compras_mes8[[#This Row],[NETO GRAVADO]:[Otros / No Grav.]])</f>
        <v>0</v>
      </c>
      <c r="Q9" s="193" t="str">
        <f>IFERROR(IF(compras_mes8[[#This Row],[CUIT]]="","-",VLOOKUP(compras_mes8[[#This Row],[CUIT]],Lista_CUIT[#All],3,0)),"CUIT NO CARGADO")</f>
        <v>-</v>
      </c>
      <c r="R9" s="193" t="str">
        <f>IFERROR(IF(compras_mes8[[#This Row],[CUIT]]="","-",VLOOKUP(compras_mes8[[#This Row],[CUIT]],Lista_CUIT[#All],4,0)),"CUIT NO CARGADO")</f>
        <v>-</v>
      </c>
    </row>
    <row r="10" spans="1:26">
      <c r="B10" s="184"/>
      <c r="C10" s="185"/>
      <c r="D10" s="186"/>
      <c r="E10" s="187"/>
      <c r="F10" s="188"/>
      <c r="G10" s="189" t="str">
        <f>IFERROR(IF(compras_mes8[[#This Row],[CUIT]]="","-",VLOOKUP(compras_mes8[[#This Row],[CUIT]],Lista_CUIT[#All],2,0)),"CUIT NO CARGADO")</f>
        <v>-</v>
      </c>
      <c r="H10" s="190"/>
      <c r="I10" s="191" t="str">
        <f>IF(compras_mes8[[#This Row],[NETO GRAVADO]]="","",compras_mes8[[#This Row],[NETO GRAVADO]]*0.21)</f>
        <v/>
      </c>
      <c r="J10" s="191"/>
      <c r="K10" s="191"/>
      <c r="L10" s="191"/>
      <c r="M10" s="191"/>
      <c r="N10" s="191"/>
      <c r="O10" s="191"/>
      <c r="P10" s="192">
        <f>SUM(compras_mes8[[#This Row],[NETO GRAVADO]:[Otros / No Grav.]])</f>
        <v>0</v>
      </c>
      <c r="Q10" s="193" t="str">
        <f>IFERROR(IF(compras_mes8[[#This Row],[CUIT]]="","-",VLOOKUP(compras_mes8[[#This Row],[CUIT]],Lista_CUIT[#All],3,0)),"CUIT NO CARGADO")</f>
        <v>-</v>
      </c>
      <c r="R10" s="193" t="str">
        <f>IFERROR(IF(compras_mes8[[#This Row],[CUIT]]="","-",VLOOKUP(compras_mes8[[#This Row],[CUIT]],Lista_CUIT[#All],4,0)),"CUIT NO CARGADO")</f>
        <v>-</v>
      </c>
    </row>
    <row r="11" spans="1:26">
      <c r="B11" s="184"/>
      <c r="C11" s="185"/>
      <c r="D11" s="186"/>
      <c r="E11" s="187"/>
      <c r="F11" s="188"/>
      <c r="G11" s="189" t="str">
        <f>IFERROR(IF(compras_mes8[[#This Row],[CUIT]]="","-",VLOOKUP(compras_mes8[[#This Row],[CUIT]],Lista_CUIT[#All],2,0)),"CUIT NO CARGADO")</f>
        <v>-</v>
      </c>
      <c r="H11" s="190"/>
      <c r="I11" s="191" t="str">
        <f>IF(compras_mes8[[#This Row],[NETO GRAVADO]]="","",compras_mes8[[#This Row],[NETO GRAVADO]]*0.21)</f>
        <v/>
      </c>
      <c r="J11" s="191"/>
      <c r="K11" s="191"/>
      <c r="L11" s="191"/>
      <c r="M11" s="191"/>
      <c r="N11" s="191"/>
      <c r="O11" s="191"/>
      <c r="P11" s="192">
        <f>SUM(compras_mes8[[#This Row],[NETO GRAVADO]:[Otros / No Grav.]])</f>
        <v>0</v>
      </c>
      <c r="Q11" s="193" t="str">
        <f>IFERROR(IF(compras_mes8[[#This Row],[CUIT]]="","-",VLOOKUP(compras_mes8[[#This Row],[CUIT]],Lista_CUIT[#All],3,0)),"CUIT NO CARGADO")</f>
        <v>-</v>
      </c>
      <c r="R11" s="193" t="str">
        <f>IFERROR(IF(compras_mes8[[#This Row],[CUIT]]="","-",VLOOKUP(compras_mes8[[#This Row],[CUIT]],Lista_CUIT[#All],4,0)),"CUIT NO CARGADO")</f>
        <v>-</v>
      </c>
    </row>
    <row r="12" spans="1:26">
      <c r="B12" s="184"/>
      <c r="C12" s="185"/>
      <c r="D12" s="186"/>
      <c r="E12" s="187"/>
      <c r="F12" s="188"/>
      <c r="G12" s="189" t="str">
        <f>IFERROR(IF(compras_mes8[[#This Row],[CUIT]]="","-",VLOOKUP(compras_mes8[[#This Row],[CUIT]],Lista_CUIT[#All],2,0)),"CUIT NO CARGADO")</f>
        <v>-</v>
      </c>
      <c r="H12" s="190"/>
      <c r="I12" s="191" t="str">
        <f>IF(compras_mes8[[#This Row],[NETO GRAVADO]]="","",compras_mes8[[#This Row],[NETO GRAVADO]]*0.21)</f>
        <v/>
      </c>
      <c r="J12" s="191"/>
      <c r="K12" s="191"/>
      <c r="L12" s="191"/>
      <c r="M12" s="191"/>
      <c r="N12" s="191"/>
      <c r="O12" s="191"/>
      <c r="P12" s="192">
        <f>SUM(compras_mes8[[#This Row],[NETO GRAVADO]:[Otros / No Grav.]])</f>
        <v>0</v>
      </c>
      <c r="Q12" s="193" t="str">
        <f>IFERROR(IF(compras_mes8[[#This Row],[CUIT]]="","-",VLOOKUP(compras_mes8[[#This Row],[CUIT]],Lista_CUIT[#All],3,0)),"CUIT NO CARGADO")</f>
        <v>-</v>
      </c>
      <c r="R12" s="193" t="str">
        <f>IFERROR(IF(compras_mes8[[#This Row],[CUIT]]="","-",VLOOKUP(compras_mes8[[#This Row],[CUIT]],Lista_CUIT[#All],4,0)),"CUIT NO CARGADO")</f>
        <v>-</v>
      </c>
    </row>
    <row r="13" spans="1:26">
      <c r="B13" s="184"/>
      <c r="C13" s="185"/>
      <c r="D13" s="186"/>
      <c r="E13" s="187"/>
      <c r="F13" s="188"/>
      <c r="G13" s="189" t="str">
        <f>IFERROR(IF(compras_mes8[[#This Row],[CUIT]]="","-",VLOOKUP(compras_mes8[[#This Row],[CUIT]],Lista_CUIT[#All],2,0)),"CUIT NO CARGADO")</f>
        <v>-</v>
      </c>
      <c r="H13" s="190"/>
      <c r="I13" s="191" t="str">
        <f>IF(compras_mes8[[#This Row],[NETO GRAVADO]]="","",compras_mes8[[#This Row],[NETO GRAVADO]]*0.21)</f>
        <v/>
      </c>
      <c r="J13" s="191"/>
      <c r="K13" s="191"/>
      <c r="L13" s="191"/>
      <c r="M13" s="191"/>
      <c r="N13" s="191"/>
      <c r="O13" s="191"/>
      <c r="P13" s="192">
        <f>SUM(compras_mes8[[#This Row],[NETO GRAVADO]:[Otros / No Grav.]])</f>
        <v>0</v>
      </c>
      <c r="Q13" s="193" t="str">
        <f>IFERROR(IF(compras_mes8[[#This Row],[CUIT]]="","-",VLOOKUP(compras_mes8[[#This Row],[CUIT]],Lista_CUIT[#All],3,0)),"CUIT NO CARGADO")</f>
        <v>-</v>
      </c>
      <c r="R13" s="193" t="str">
        <f>IFERROR(IF(compras_mes8[[#This Row],[CUIT]]="","-",VLOOKUP(compras_mes8[[#This Row],[CUIT]],Lista_CUIT[#All],4,0)),"CUIT NO CARGADO")</f>
        <v>-</v>
      </c>
    </row>
    <row r="14" spans="1:26">
      <c r="B14" s="184"/>
      <c r="C14" s="185"/>
      <c r="D14" s="186"/>
      <c r="E14" s="187"/>
      <c r="F14" s="188"/>
      <c r="G14" s="189" t="str">
        <f>IFERROR(IF(compras_mes8[[#This Row],[CUIT]]="","-",VLOOKUP(compras_mes8[[#This Row],[CUIT]],Lista_CUIT[#All],2,0)),"CUIT NO CARGADO")</f>
        <v>-</v>
      </c>
      <c r="H14" s="190"/>
      <c r="I14" s="191" t="str">
        <f>IF(compras_mes8[[#This Row],[NETO GRAVADO]]="","",compras_mes8[[#This Row],[NETO GRAVADO]]*0.21)</f>
        <v/>
      </c>
      <c r="J14" s="191"/>
      <c r="K14" s="191"/>
      <c r="L14" s="191"/>
      <c r="M14" s="191"/>
      <c r="N14" s="191"/>
      <c r="O14" s="191"/>
      <c r="P14" s="192">
        <f>SUM(compras_mes8[[#This Row],[NETO GRAVADO]:[Otros / No Grav.]])</f>
        <v>0</v>
      </c>
      <c r="Q14" s="193" t="str">
        <f>IFERROR(IF(compras_mes8[[#This Row],[CUIT]]="","-",VLOOKUP(compras_mes8[[#This Row],[CUIT]],Lista_CUIT[#All],3,0)),"CUIT NO CARGADO")</f>
        <v>-</v>
      </c>
      <c r="R14" s="193" t="str">
        <f>IFERROR(IF(compras_mes8[[#This Row],[CUIT]]="","-",VLOOKUP(compras_mes8[[#This Row],[CUIT]],Lista_CUIT[#All],4,0)),"CUIT NO CARGADO")</f>
        <v>-</v>
      </c>
    </row>
    <row r="15" spans="1:26">
      <c r="B15" s="184"/>
      <c r="C15" s="185"/>
      <c r="D15" s="186"/>
      <c r="E15" s="187"/>
      <c r="F15" s="188"/>
      <c r="G15" s="189" t="str">
        <f>IFERROR(IF(compras_mes8[[#This Row],[CUIT]]="","-",VLOOKUP(compras_mes8[[#This Row],[CUIT]],Lista_CUIT[#All],2,0)),"CUIT NO CARGADO")</f>
        <v>-</v>
      </c>
      <c r="H15" s="190"/>
      <c r="I15" s="191" t="str">
        <f>IF(compras_mes8[[#This Row],[NETO GRAVADO]]="","",compras_mes8[[#This Row],[NETO GRAVADO]]*0.21)</f>
        <v/>
      </c>
      <c r="J15" s="191"/>
      <c r="K15" s="191"/>
      <c r="L15" s="191"/>
      <c r="M15" s="191"/>
      <c r="N15" s="191"/>
      <c r="O15" s="191"/>
      <c r="P15" s="192">
        <f>SUM(compras_mes8[[#This Row],[NETO GRAVADO]:[Otros / No Grav.]])</f>
        <v>0</v>
      </c>
      <c r="Q15" s="193" t="str">
        <f>IFERROR(IF(compras_mes8[[#This Row],[CUIT]]="","-",VLOOKUP(compras_mes8[[#This Row],[CUIT]],Lista_CUIT[#All],3,0)),"CUIT NO CARGADO")</f>
        <v>-</v>
      </c>
      <c r="R15" s="193" t="str">
        <f>IFERROR(IF(compras_mes8[[#This Row],[CUIT]]="","-",VLOOKUP(compras_mes8[[#This Row],[CUIT]],Lista_CUIT[#All],4,0)),"CUIT NO CARGADO")</f>
        <v>-</v>
      </c>
    </row>
    <row r="16" spans="1:26">
      <c r="B16" s="184"/>
      <c r="C16" s="185"/>
      <c r="D16" s="186"/>
      <c r="E16" s="187"/>
      <c r="F16" s="188"/>
      <c r="G16" s="189" t="str">
        <f>IFERROR(IF(compras_mes8[[#This Row],[CUIT]]="","-",VLOOKUP(compras_mes8[[#This Row],[CUIT]],Lista_CUIT[#All],2,0)),"CUIT NO CARGADO")</f>
        <v>-</v>
      </c>
      <c r="H16" s="190"/>
      <c r="I16" s="191" t="str">
        <f>IF(compras_mes8[[#This Row],[NETO GRAVADO]]="","",compras_mes8[[#This Row],[NETO GRAVADO]]*0.21)</f>
        <v/>
      </c>
      <c r="J16" s="191"/>
      <c r="K16" s="191"/>
      <c r="L16" s="191"/>
      <c r="M16" s="191"/>
      <c r="N16" s="191"/>
      <c r="O16" s="191"/>
      <c r="P16" s="192">
        <f>SUM(compras_mes8[[#This Row],[NETO GRAVADO]:[Otros / No Grav.]])</f>
        <v>0</v>
      </c>
      <c r="Q16" s="193" t="str">
        <f>IFERROR(IF(compras_mes8[[#This Row],[CUIT]]="","-",VLOOKUP(compras_mes8[[#This Row],[CUIT]],Lista_CUIT[#All],3,0)),"CUIT NO CARGADO")</f>
        <v>-</v>
      </c>
      <c r="R16" s="193" t="str">
        <f>IFERROR(IF(compras_mes8[[#This Row],[CUIT]]="","-",VLOOKUP(compras_mes8[[#This Row],[CUIT]],Lista_CUIT[#All],4,0)),"CUIT NO CARGADO")</f>
        <v>-</v>
      </c>
    </row>
    <row r="17" spans="2:18">
      <c r="B17" s="184"/>
      <c r="C17" s="185"/>
      <c r="D17" s="186"/>
      <c r="E17" s="187"/>
      <c r="F17" s="188"/>
      <c r="G17" s="189" t="str">
        <f>IFERROR(IF(compras_mes8[[#This Row],[CUIT]]="","-",VLOOKUP(compras_mes8[[#This Row],[CUIT]],Lista_CUIT[#All],2,0)),"CUIT NO CARGADO")</f>
        <v>-</v>
      </c>
      <c r="H17" s="190"/>
      <c r="I17" s="191" t="str">
        <f>IF(compras_mes8[[#This Row],[NETO GRAVADO]]="","",compras_mes8[[#This Row],[NETO GRAVADO]]*0.21)</f>
        <v/>
      </c>
      <c r="J17" s="191"/>
      <c r="K17" s="191"/>
      <c r="L17" s="191"/>
      <c r="M17" s="191"/>
      <c r="N17" s="191"/>
      <c r="O17" s="191"/>
      <c r="P17" s="192">
        <f>SUM(compras_mes8[[#This Row],[NETO GRAVADO]:[Otros / No Grav.]])</f>
        <v>0</v>
      </c>
      <c r="Q17" s="49" t="str">
        <f>IFERROR(IF(compras_mes8[[#This Row],[CUIT]]="","-",VLOOKUP(compras_mes8[[#This Row],[CUIT]],Lista_CUIT[#All],3,0)),"CUIT NO CARGADO")</f>
        <v>-</v>
      </c>
      <c r="R17" s="49" t="str">
        <f>IFERROR(IF(compras_mes8[[#This Row],[CUIT]]="","-",VLOOKUP(compras_mes8[[#This Row],[CUIT]],Lista_CUIT[#All],4,0)),"CUIT NO CARGADO")</f>
        <v>-</v>
      </c>
    </row>
    <row r="18" spans="2:18">
      <c r="B18" s="184"/>
      <c r="C18" s="185"/>
      <c r="D18" s="186"/>
      <c r="E18" s="187"/>
      <c r="F18" s="188"/>
      <c r="G18" s="189" t="str">
        <f>IFERROR(IF(compras_mes8[[#This Row],[CUIT]]="","-",VLOOKUP(compras_mes8[[#This Row],[CUIT]],Lista_CUIT[#All],2,0)),"CUIT NO CARGADO")</f>
        <v>-</v>
      </c>
      <c r="H18" s="190"/>
      <c r="I18" s="191" t="str">
        <f>IF(compras_mes8[[#This Row],[NETO GRAVADO]]="","",compras_mes8[[#This Row],[NETO GRAVADO]]*0.21)</f>
        <v/>
      </c>
      <c r="J18" s="191"/>
      <c r="K18" s="191"/>
      <c r="L18" s="191"/>
      <c r="M18" s="191"/>
      <c r="N18" s="191"/>
      <c r="O18" s="191"/>
      <c r="P18" s="192">
        <f>SUM(compras_mes8[[#This Row],[NETO GRAVADO]:[Otros / No Grav.]])</f>
        <v>0</v>
      </c>
      <c r="Q18" s="193" t="str">
        <f>IFERROR(IF(compras_mes8[[#This Row],[CUIT]]="","-",VLOOKUP(compras_mes8[[#This Row],[CUIT]],Lista_CUIT[#All],3,0)),"CUIT NO CARGADO")</f>
        <v>-</v>
      </c>
      <c r="R18" s="193" t="str">
        <f>IFERROR(IF(compras_mes8[[#This Row],[CUIT]]="","-",VLOOKUP(compras_mes8[[#This Row],[CUIT]],Lista_CUIT[#All],4,0)),"CUIT NO CARGADO")</f>
        <v>-</v>
      </c>
    </row>
    <row r="19" spans="2:18">
      <c r="B19" s="184"/>
      <c r="C19" s="185"/>
      <c r="D19" s="186"/>
      <c r="E19" s="187"/>
      <c r="F19" s="188"/>
      <c r="G19" s="189" t="str">
        <f>IFERROR(IF(compras_mes8[[#This Row],[CUIT]]="","-",VLOOKUP(compras_mes8[[#This Row],[CUIT]],Lista_CUIT[#All],2,0)),"CUIT NO CARGADO")</f>
        <v>-</v>
      </c>
      <c r="H19" s="190"/>
      <c r="I19" s="191" t="str">
        <f>IF(compras_mes8[[#This Row],[NETO GRAVADO]]="","",compras_mes8[[#This Row],[NETO GRAVADO]]*0.21)</f>
        <v/>
      </c>
      <c r="J19" s="191"/>
      <c r="K19" s="191"/>
      <c r="L19" s="191"/>
      <c r="M19" s="191"/>
      <c r="N19" s="191"/>
      <c r="O19" s="191"/>
      <c r="P19" s="192">
        <f>SUM(compras_mes8[[#This Row],[NETO GRAVADO]:[Otros / No Grav.]])</f>
        <v>0</v>
      </c>
      <c r="Q19" s="193" t="str">
        <f>IFERROR(IF(compras_mes8[[#This Row],[CUIT]]="","-",VLOOKUP(compras_mes8[[#This Row],[CUIT]],Lista_CUIT[#All],3,0)),"CUIT NO CARGADO")</f>
        <v>-</v>
      </c>
      <c r="R19" s="193" t="str">
        <f>IFERROR(IF(compras_mes8[[#This Row],[CUIT]]="","-",VLOOKUP(compras_mes8[[#This Row],[CUIT]],Lista_CUIT[#All],4,0)),"CUIT NO CARGADO")</f>
        <v>-</v>
      </c>
    </row>
    <row r="20" spans="2:18">
      <c r="B20" s="184"/>
      <c r="C20" s="185"/>
      <c r="D20" s="186"/>
      <c r="E20" s="187"/>
      <c r="F20" s="188"/>
      <c r="G20" s="189" t="str">
        <f>IFERROR(IF(compras_mes8[[#This Row],[CUIT]]="","-",VLOOKUP(compras_mes8[[#This Row],[CUIT]],Lista_CUIT[#All],2,0)),"CUIT NO CARGADO")</f>
        <v>-</v>
      </c>
      <c r="H20" s="190"/>
      <c r="I20" s="191" t="str">
        <f>IF(compras_mes8[[#This Row],[NETO GRAVADO]]="","",compras_mes8[[#This Row],[NETO GRAVADO]]*0.21)</f>
        <v/>
      </c>
      <c r="J20" s="191"/>
      <c r="K20" s="191"/>
      <c r="L20" s="191"/>
      <c r="M20" s="191"/>
      <c r="N20" s="191"/>
      <c r="O20" s="191"/>
      <c r="P20" s="192">
        <f>SUM(compras_mes8[[#This Row],[NETO GRAVADO]:[Otros / No Grav.]])</f>
        <v>0</v>
      </c>
      <c r="Q20" s="193" t="str">
        <f>IFERROR(IF(compras_mes8[[#This Row],[CUIT]]="","-",VLOOKUP(compras_mes8[[#This Row],[CUIT]],Lista_CUIT[#All],3,0)),"CUIT NO CARGADO")</f>
        <v>-</v>
      </c>
      <c r="R20" s="193" t="str">
        <f>IFERROR(IF(compras_mes8[[#This Row],[CUIT]]="","-",VLOOKUP(compras_mes8[[#This Row],[CUIT]],Lista_CUIT[#All],4,0)),"CUIT NO CARGADO")</f>
        <v>-</v>
      </c>
    </row>
    <row r="21" spans="2:18">
      <c r="B21" s="40"/>
      <c r="C21" s="185"/>
      <c r="D21" s="42"/>
      <c r="E21" s="43"/>
      <c r="F21" s="44"/>
      <c r="G21" s="45" t="str">
        <f>IFERROR(IF(compras_mes8[[#This Row],[CUIT]]="","-",VLOOKUP(compras_mes8[[#This Row],[CUIT]],Lista_CUIT[#All],2,0)),"CUIT NO CARGADO")</f>
        <v>-</v>
      </c>
      <c r="H21" s="46"/>
      <c r="I21" s="85" t="str">
        <f>IF(compras_mes8[[#This Row],[NETO GRAVADO]]="","",compras_mes8[[#This Row],[NETO GRAVADO]]*0.21)</f>
        <v/>
      </c>
      <c r="J21" s="85"/>
      <c r="K21" s="85"/>
      <c r="L21" s="85"/>
      <c r="M21" s="85"/>
      <c r="N21" s="85"/>
      <c r="O21" s="85"/>
      <c r="P21" s="48">
        <f>SUM(compras_mes8[[#This Row],[NETO GRAVADO]:[Otros / No Grav.]])</f>
        <v>0</v>
      </c>
      <c r="Q21" s="49" t="str">
        <f>IFERROR(IF(compras_mes8[[#This Row],[CUIT]]="","-",VLOOKUP(compras_mes8[[#This Row],[CUIT]],Lista_CUIT[#All],3,0)),"CUIT NO CARGADO")</f>
        <v>-</v>
      </c>
      <c r="R21" s="49" t="str">
        <f>IFERROR(IF(compras_mes8[[#This Row],[CUIT]]="","-",VLOOKUP(compras_mes8[[#This Row],[CUIT]],Lista_CUIT[#All],4,0)),"CUIT NO CARGADO")</f>
        <v>-</v>
      </c>
    </row>
    <row r="22" spans="2:18">
      <c r="B22" s="89"/>
      <c r="C22" s="185"/>
      <c r="D22" s="91"/>
      <c r="E22" s="92"/>
      <c r="F22" s="93"/>
      <c r="G22" s="94" t="str">
        <f>IFERROR(IF(compras_mes8[[#This Row],[CUIT]]="","-",VLOOKUP(compras_mes8[[#This Row],[CUIT]],Lista_CUIT[#All],2,0)),"CUIT NO CARGADO")</f>
        <v>-</v>
      </c>
      <c r="H22" s="95"/>
      <c r="I22" s="86" t="str">
        <f>IF(compras_mes8[[#This Row],[NETO GRAVADO]]="","",compras_mes8[[#This Row],[NETO GRAVADO]]*0.21)</f>
        <v/>
      </c>
      <c r="J22" s="86"/>
      <c r="K22" s="86"/>
      <c r="L22" s="86"/>
      <c r="M22" s="86"/>
      <c r="N22" s="86"/>
      <c r="O22" s="86"/>
      <c r="P22" s="87">
        <f>SUM(compras_mes8[[#This Row],[NETO GRAVADO]:[Otros / No Grav.]])</f>
        <v>0</v>
      </c>
      <c r="Q22" s="88" t="str">
        <f>IFERROR(IF(compras_mes8[[#This Row],[CUIT]]="","-",VLOOKUP(compras_mes8[[#This Row],[CUIT]],Lista_CUIT[#All],3,0)),"CUIT NO CARGADO")</f>
        <v>-</v>
      </c>
      <c r="R22" s="88" t="str">
        <f>IFERROR(IF(compras_mes8[[#This Row],[CUIT]]="","-",VLOOKUP(compras_mes8[[#This Row],[CUIT]],Lista_CUIT[#All],4,0)),"CUIT NO CARGADO")</f>
        <v>-</v>
      </c>
    </row>
    <row r="23" spans="2:18">
      <c r="B23" s="233"/>
      <c r="C23" s="185"/>
      <c r="D23" s="235"/>
      <c r="E23" s="236"/>
      <c r="F23" s="237"/>
      <c r="G23" s="238" t="str">
        <f>IFERROR(IF(compras_mes8[[#This Row],[CUIT]]="","-",VLOOKUP(compras_mes8[[#This Row],[CUIT]],Lista_CUIT[#All],2,0)),"CUIT NO CARGADO")</f>
        <v>-</v>
      </c>
      <c r="H23" s="239"/>
      <c r="I23" s="241" t="str">
        <f>IF(compras_mes8[[#This Row],[NETO GRAVADO]]="","",compras_mes8[[#This Row],[NETO GRAVADO]]*0.21)</f>
        <v/>
      </c>
      <c r="J23" s="241"/>
      <c r="K23" s="241"/>
      <c r="L23" s="241"/>
      <c r="M23" s="241"/>
      <c r="N23" s="241"/>
      <c r="O23" s="241"/>
      <c r="P23" s="243">
        <f>SUM(compras_mes8[[#This Row],[NETO GRAVADO]:[Otros / No Grav.]])</f>
        <v>0</v>
      </c>
      <c r="Q23" s="242" t="str">
        <f>IFERROR(IF(compras_mes8[[#This Row],[CUIT]]="","-",VLOOKUP(compras_mes8[[#This Row],[CUIT]],Lista_CUIT[#All],3,0)),"CUIT NO CARGADO")</f>
        <v>-</v>
      </c>
      <c r="R23" s="242" t="str">
        <f>IFERROR(IF(compras_mes8[[#This Row],[CUIT]]="","-",VLOOKUP(compras_mes8[[#This Row],[CUIT]],Lista_CUIT[#All],4,0)),"CUIT NO CARGADO")</f>
        <v>-</v>
      </c>
    </row>
    <row r="24" spans="2:18">
      <c r="B24" s="96" t="s">
        <v>91</v>
      </c>
      <c r="C24" s="96"/>
      <c r="D24" s="96"/>
      <c r="E24" s="96"/>
      <c r="F24" s="96"/>
      <c r="G24" s="97"/>
      <c r="H24" s="98">
        <f>SUBTOTAL(109,compras_mes8[NETO GRAVADO])</f>
        <v>0</v>
      </c>
      <c r="I24" s="98">
        <f>SUBTOTAL(109,compras_mes8[IVA 21 %])</f>
        <v>0</v>
      </c>
      <c r="J24" s="98">
        <f>SUBTOTAL(109,compras_mes8[IVA 27%])</f>
        <v>0</v>
      </c>
      <c r="K24" s="98">
        <f>SUBTOTAL(109,compras_mes8[IVA 10,5%])</f>
        <v>0</v>
      </c>
      <c r="L24" s="98">
        <f>SUBTOTAL(109,compras_mes8[PERC. IVA])</f>
        <v>0</v>
      </c>
      <c r="M24" s="98">
        <f>SUBTOTAL(109,compras_mes8[PERC IIBB 
BS AS])</f>
        <v>0</v>
      </c>
      <c r="N24" s="98">
        <f>SUBTOTAL(109,compras_mes8[PERC. IIBB CABA])</f>
        <v>0</v>
      </c>
      <c r="O24" s="98">
        <f>SUBTOTAL(109,compras_mes8[Otros / No Grav.])</f>
        <v>0</v>
      </c>
      <c r="P24" s="98">
        <f>SUBTOTAL(109,compras_mes8[TOTAL])</f>
        <v>0</v>
      </c>
      <c r="Q24" s="96"/>
      <c r="R24" s="96"/>
    </row>
    <row r="25" spans="2:18">
      <c r="B25" s="40"/>
      <c r="C25" s="41"/>
      <c r="D25" s="42"/>
      <c r="E25" s="43"/>
      <c r="F25" s="44"/>
      <c r="G25" s="45"/>
      <c r="H25" s="46"/>
      <c r="I25" s="47"/>
      <c r="J25" s="47"/>
      <c r="K25" s="47"/>
      <c r="L25" s="47"/>
      <c r="M25" s="47"/>
      <c r="N25" s="47"/>
      <c r="O25" s="47"/>
      <c r="P25" s="48"/>
      <c r="Q25" s="49"/>
      <c r="R25" s="49"/>
    </row>
    <row r="26" spans="2:18" ht="14.45" customHeight="1">
      <c r="B26" s="40"/>
      <c r="C26" s="41"/>
      <c r="D26" s="42"/>
      <c r="E26" s="43"/>
      <c r="F26" s="44"/>
      <c r="G26" s="45"/>
      <c r="H26" s="46"/>
      <c r="I26" s="47"/>
      <c r="J26" s="47"/>
      <c r="K26" s="47"/>
      <c r="L26" s="47"/>
      <c r="M26" s="47"/>
      <c r="N26" s="47"/>
      <c r="O26" s="47"/>
      <c r="P26" s="48"/>
      <c r="Q26" s="49"/>
      <c r="R26" s="49"/>
    </row>
    <row r="27" spans="2:18" ht="22.9" customHeight="1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  <c r="M27" s="47"/>
      <c r="N27" s="47"/>
      <c r="O27" s="47"/>
      <c r="P27" s="48"/>
      <c r="Q27" s="49"/>
      <c r="R27" s="49"/>
    </row>
    <row r="28" spans="2:18" ht="25.9" customHeight="1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</row>
    <row r="29" spans="2:18" ht="14.45" customHeight="1">
      <c r="D29" s="428" t="s">
        <v>15</v>
      </c>
      <c r="E29" s="428"/>
      <c r="F29" s="428"/>
      <c r="G29" s="428"/>
      <c r="H29" s="428"/>
      <c r="I29" s="428"/>
      <c r="J29" s="428"/>
      <c r="K29" s="428"/>
      <c r="L29" s="428"/>
    </row>
    <row r="30" spans="2:18" ht="14.45" customHeight="1">
      <c r="D30" s="73" t="s">
        <v>0</v>
      </c>
      <c r="E30" s="74" t="s">
        <v>26</v>
      </c>
      <c r="F30" s="74" t="s">
        <v>16</v>
      </c>
      <c r="G30" s="74" t="s">
        <v>5</v>
      </c>
      <c r="H30" s="74" t="s">
        <v>17</v>
      </c>
      <c r="I30" s="74" t="s">
        <v>7</v>
      </c>
      <c r="J30" s="75" t="s">
        <v>18</v>
      </c>
      <c r="K30" s="75" t="s">
        <v>19</v>
      </c>
      <c r="L30" s="76" t="s">
        <v>20</v>
      </c>
    </row>
    <row r="31" spans="2:18" ht="15" customHeight="1">
      <c r="D31" s="50"/>
      <c r="E31" s="79"/>
      <c r="F31" s="80"/>
      <c r="G31" s="81"/>
      <c r="H31" s="81">
        <f>extracto_banco_mes8[[#This Row],[NETO]]*0.21</f>
        <v>0</v>
      </c>
      <c r="I31" s="81"/>
      <c r="J31" s="81"/>
      <c r="K31" s="81"/>
      <c r="L31" s="81"/>
    </row>
    <row r="32" spans="2:18" ht="15" customHeight="1">
      <c r="D32" s="50"/>
      <c r="E32" s="79"/>
      <c r="F32" s="80"/>
      <c r="G32" s="81"/>
      <c r="H32" s="81"/>
      <c r="I32" s="81"/>
      <c r="J32" s="81"/>
      <c r="K32" s="81"/>
      <c r="L32" s="81"/>
    </row>
    <row r="33" spans="2:18" ht="15" customHeight="1">
      <c r="D33" s="50"/>
      <c r="E33" s="79"/>
      <c r="F33" s="80"/>
      <c r="G33" s="81"/>
      <c r="H33" s="81"/>
      <c r="I33" s="81"/>
      <c r="J33" s="81"/>
      <c r="K33" s="81"/>
      <c r="L33" s="81"/>
    </row>
    <row r="34" spans="2:18" ht="15" customHeight="1">
      <c r="D34" s="82" t="s">
        <v>91</v>
      </c>
      <c r="E34" s="80"/>
      <c r="F34" s="80"/>
      <c r="G34" s="83">
        <f>SUBTOTAL(109,extracto_banco_mes8[NETO])</f>
        <v>0</v>
      </c>
      <c r="H34" s="83">
        <f>SUBTOTAL(109,extracto_banco_mes8[IVA 21%])</f>
        <v>0</v>
      </c>
      <c r="I34" s="83">
        <f>SUBTOTAL(109,extracto_banco_mes8[IVA 10,5%])</f>
        <v>0</v>
      </c>
      <c r="J34" s="83">
        <f>SUBTOTAL(109,extracto_banco_mes8[RET IIBB CABA])</f>
        <v>0</v>
      </c>
      <c r="K34" s="83">
        <f>SUBTOTAL(109,extracto_banco_mes8[PERC IVA])</f>
        <v>0</v>
      </c>
      <c r="L34" s="83">
        <f>SUBTOTAL(109,extracto_banco_mes8[PERC IIBB])</f>
        <v>0</v>
      </c>
    </row>
    <row r="35" spans="2:18" ht="15" customHeight="1"/>
    <row r="36" spans="2:18" ht="23.45" customHeight="1"/>
    <row r="37" spans="2:18" ht="38.450000000000003" customHeight="1"/>
    <row r="38" spans="2:18" ht="21">
      <c r="D38" s="428" t="s">
        <v>25</v>
      </c>
      <c r="E38" s="428"/>
      <c r="F38" s="428"/>
      <c r="G38" s="428"/>
      <c r="H38" s="428"/>
      <c r="I38" s="428"/>
      <c r="J38" s="428"/>
      <c r="K38" s="428"/>
    </row>
    <row r="39" spans="2:18">
      <c r="D39" s="51" t="s">
        <v>0</v>
      </c>
      <c r="E39" s="51" t="s">
        <v>2</v>
      </c>
      <c r="F39" s="51" t="s">
        <v>74</v>
      </c>
      <c r="G39" s="51" t="s">
        <v>3</v>
      </c>
      <c r="H39" s="51" t="s">
        <v>4</v>
      </c>
      <c r="I39" s="52" t="s">
        <v>10</v>
      </c>
      <c r="J39" s="51" t="s">
        <v>13</v>
      </c>
      <c r="K39" s="51" t="s">
        <v>38</v>
      </c>
    </row>
    <row r="40" spans="2:18">
      <c r="D40" s="128"/>
      <c r="E40" s="42"/>
      <c r="F40" s="43"/>
      <c r="G40" s="44"/>
      <c r="H40" s="53" t="str">
        <f>IFERROR(IF(factura_c_mes8[[#This Row],[CUIT]]="","-",VLOOKUP(factura_c_mes8[[#This Row],[CUIT]],Lista_CUIT[#All],2,0)),"CUIT NO CARGADO")</f>
        <v>-</v>
      </c>
      <c r="I40" s="81"/>
      <c r="J40" s="54" t="str">
        <f>IFERROR(IF(factura_c_mes8[[#This Row],[CUIT]]="","-",VLOOKUP(factura_c_mes8[[#This Row],[CUIT]],Lista_CUIT[#All],3,0)),"CUIT NO CARGADO")</f>
        <v>-</v>
      </c>
      <c r="K40" s="54" t="str">
        <f>IFERROR(IF(factura_c_mes8[[#This Row],[CUIT]]="","-",VLOOKUP(factura_c_mes8[[#This Row],[CUIT]],Lista_CUIT[#All],4,0)),"CUIT NO CARGADO")</f>
        <v>-</v>
      </c>
    </row>
    <row r="41" spans="2:18">
      <c r="D41" s="128"/>
      <c r="E41" s="42"/>
      <c r="F41" s="43"/>
      <c r="G41" s="44"/>
      <c r="H41" s="53" t="str">
        <f>IFERROR(IF(factura_c_mes8[[#This Row],[CUIT]]="","-",VLOOKUP(factura_c_mes8[[#This Row],[CUIT]],Lista_CUIT[#All],2,0)),"CUIT NO CARGADO")</f>
        <v>-</v>
      </c>
      <c r="I41" s="81"/>
      <c r="J41" s="54" t="str">
        <f>IFERROR(IF(factura_c_mes8[[#This Row],[CUIT]]="","-",VLOOKUP(factura_c_mes8[[#This Row],[CUIT]],Lista_CUIT[#All],3,0)),"CUIT NO CARGADO")</f>
        <v>-</v>
      </c>
      <c r="K41" s="54" t="str">
        <f>IFERROR(IF(factura_c_mes8[[#This Row],[CUIT]]="","-",VLOOKUP(factura_c_mes8[[#This Row],[CUIT]],Lista_CUIT[#All],4,0)),"CUIT NO CARGADO")</f>
        <v>-</v>
      </c>
    </row>
    <row r="42" spans="2:18">
      <c r="D42" s="50"/>
      <c r="E42" s="42"/>
      <c r="F42" s="43"/>
      <c r="G42" s="44"/>
      <c r="H42" s="53" t="str">
        <f>IFERROR(IF(factura_c_mes8[[#This Row],[CUIT]]="","-",VLOOKUP(factura_c_mes8[[#This Row],[CUIT]],Lista_CUIT[#All],2,0)),"CUIT NO CARGADO")</f>
        <v>-</v>
      </c>
      <c r="I42" s="81"/>
      <c r="J42" s="54" t="str">
        <f>IFERROR(IF(factura_c_mes8[[#This Row],[CUIT]]="","-",VLOOKUP(factura_c_mes8[[#This Row],[CUIT]],Lista_CUIT[#All],3,0)),"CUIT NO CARGADO")</f>
        <v>-</v>
      </c>
      <c r="K42" s="54" t="str">
        <f>IFERROR(IF(factura_c_mes8[[#This Row],[CUIT]]="","-",VLOOKUP(factura_c_mes8[[#This Row],[CUIT]],Lista_CUIT[#All],4,0)),"CUIT NO CARGADO")</f>
        <v>-</v>
      </c>
    </row>
    <row r="43" spans="2:18" s="56" customFormat="1" ht="18.600000000000001" customHeight="1">
      <c r="B43"/>
      <c r="C43"/>
      <c r="D43" s="50"/>
      <c r="E43" s="42"/>
      <c r="F43" s="43"/>
      <c r="G43" s="44"/>
      <c r="H43" s="53" t="str">
        <f>IFERROR(IF(factura_c_mes8[[#This Row],[CUIT]]="","-",VLOOKUP(factura_c_mes8[[#This Row],[CUIT]],Lista_CUIT[#All],2,0)),"CUIT NO CARGADO")</f>
        <v>-</v>
      </c>
      <c r="I43" s="81"/>
      <c r="J43" s="54" t="str">
        <f>IFERROR(IF(factura_c_mes8[[#This Row],[CUIT]]="","-",VLOOKUP(factura_c_mes8[[#This Row],[CUIT]],Lista_CUIT[#All],3,0)),"CUIT NO CARGADO")</f>
        <v>-</v>
      </c>
      <c r="K43" s="54" t="str">
        <f>IFERROR(IF(factura_c_mes8[[#This Row],[CUIT]]="","-",VLOOKUP(factura_c_mes8[[#This Row],[CUIT]],Lista_CUIT[#All],4,0)),"CUIT NO CARGADO")</f>
        <v>-</v>
      </c>
      <c r="L43"/>
      <c r="M43"/>
      <c r="N43"/>
      <c r="O43"/>
      <c r="P43"/>
      <c r="Q43"/>
      <c r="R43"/>
    </row>
    <row r="44" spans="2:18">
      <c r="D44" s="55" t="s">
        <v>91</v>
      </c>
      <c r="E44" s="55"/>
      <c r="F44" s="55"/>
      <c r="G44" s="55"/>
      <c r="H44" s="57"/>
      <c r="I44" s="58">
        <f>SUBTOTAL(109,factura_c_mes8[TOTAL])</f>
        <v>0</v>
      </c>
      <c r="J44" s="55"/>
      <c r="K44" s="55"/>
    </row>
    <row r="45" spans="2:18">
      <c r="B45" s="56"/>
      <c r="C45" s="56"/>
      <c r="L45" s="56"/>
      <c r="M45" s="56"/>
      <c r="N45" s="56"/>
      <c r="O45" s="56"/>
      <c r="P45" s="56"/>
      <c r="Q45" s="56"/>
      <c r="R45" s="56"/>
    </row>
    <row r="50" spans="2:13" ht="22.5" customHeight="1">
      <c r="B50" s="436" t="s">
        <v>29</v>
      </c>
      <c r="C50" s="436"/>
      <c r="D50" s="436"/>
      <c r="E50" s="436"/>
      <c r="F50" s="436"/>
      <c r="G50" s="436"/>
      <c r="H50" s="436"/>
      <c r="I50" s="436"/>
      <c r="J50" s="436"/>
      <c r="K50" s="432">
        <f>N1</f>
        <v>46235</v>
      </c>
      <c r="L50" s="432"/>
      <c r="M50" s="432"/>
    </row>
    <row r="52" spans="2:13" ht="18" customHeight="1">
      <c r="B52" s="429" t="s">
        <v>30</v>
      </c>
      <c r="C52" s="429"/>
    </row>
    <row r="53" spans="2:13" ht="31.5">
      <c r="B53" s="60" t="s">
        <v>0</v>
      </c>
      <c r="C53" s="61" t="s">
        <v>1</v>
      </c>
      <c r="D53" s="61" t="s">
        <v>21</v>
      </c>
      <c r="E53" s="61" t="s">
        <v>22</v>
      </c>
      <c r="F53" s="61" t="s">
        <v>3</v>
      </c>
      <c r="G53" s="61" t="s">
        <v>4</v>
      </c>
      <c r="H53" s="61" t="s">
        <v>23</v>
      </c>
      <c r="I53" s="61" t="s">
        <v>17</v>
      </c>
      <c r="J53" s="61" t="s">
        <v>7</v>
      </c>
      <c r="K53" s="61" t="s">
        <v>24</v>
      </c>
      <c r="L53" s="61" t="s">
        <v>10</v>
      </c>
      <c r="M53" s="62" t="s">
        <v>38</v>
      </c>
    </row>
    <row r="54" spans="2:13">
      <c r="B54" s="40"/>
      <c r="C54" s="41"/>
      <c r="D54" s="42"/>
      <c r="E54" s="43"/>
      <c r="F54" s="44"/>
      <c r="G54" s="99" t="str">
        <f>IFERROR(IF(venta_a_mes8[[#This Row],[CUIT]]="","-",VLOOKUP(venta_a_mes8[[#This Row],[CUIT]],Lista_CUIT[#All],2,0)),"CUIT NO CARGADO")</f>
        <v>-</v>
      </c>
      <c r="H54" s="100"/>
      <c r="I54" s="101">
        <f>venta_a_mes8[[#This Row],[IMPORTE NETO]]*0.21</f>
        <v>0</v>
      </c>
      <c r="J54" s="65"/>
      <c r="K54" s="65"/>
      <c r="L54" s="65">
        <f>SUM(venta_a_mes8[[#This Row],[IMPORTE NETO]:[EXENTO]])</f>
        <v>0</v>
      </c>
      <c r="M54" s="59"/>
    </row>
    <row r="55" spans="2:13">
      <c r="B55" s="40"/>
      <c r="C55" s="41"/>
      <c r="D55" s="42"/>
      <c r="E55" s="43"/>
      <c r="F55" s="44"/>
      <c r="G55" s="99" t="str">
        <f>IFERROR(IF(venta_a_mes8[[#This Row],[CUIT]]="","-",VLOOKUP(venta_a_mes8[[#This Row],[CUIT]],Lista_CUIT[#All],2,0)),"CUIT NO CARGADO")</f>
        <v>-</v>
      </c>
      <c r="H55" s="100"/>
      <c r="I55" s="101">
        <f>venta_a_mes8[[#This Row],[IMPORTE NETO]]*0.21</f>
        <v>0</v>
      </c>
      <c r="J55" s="65"/>
      <c r="K55" s="65"/>
      <c r="L55" s="65">
        <f>SUM(venta_a_mes8[[#This Row],[IMPORTE NETO]:[EXENTO]])</f>
        <v>0</v>
      </c>
      <c r="M55" s="59"/>
    </row>
    <row r="56" spans="2:13">
      <c r="B56" s="40"/>
      <c r="C56" s="41"/>
      <c r="D56" s="42"/>
      <c r="E56" s="43"/>
      <c r="F56" s="44"/>
      <c r="G56" s="99" t="str">
        <f>IFERROR(IF(venta_a_mes8[[#This Row],[CUIT]]="","-",VLOOKUP(venta_a_mes8[[#This Row],[CUIT]],Lista_CUIT[#All],2,0)),"CUIT NO CARGADO")</f>
        <v>-</v>
      </c>
      <c r="H56" s="100"/>
      <c r="I56" s="101">
        <f>venta_a_mes8[[#This Row],[IMPORTE NETO]]*0.21</f>
        <v>0</v>
      </c>
      <c r="J56" s="65"/>
      <c r="K56" s="65"/>
      <c r="L56" s="65">
        <f>SUM(venta_a_mes8[[#This Row],[IMPORTE NETO]:[EXENTO]])</f>
        <v>0</v>
      </c>
      <c r="M56" s="59"/>
    </row>
    <row r="57" spans="2:13">
      <c r="B57" s="40"/>
      <c r="C57" s="41"/>
      <c r="D57" s="42"/>
      <c r="E57" s="43"/>
      <c r="F57" s="44"/>
      <c r="G57" s="99" t="str">
        <f>IFERROR(IF(venta_a_mes8[[#This Row],[CUIT]]="","-",VLOOKUP(venta_a_mes8[[#This Row],[CUIT]],Lista_CUIT[#All],2,0)),"CUIT NO CARGADO")</f>
        <v>-</v>
      </c>
      <c r="H57" s="100"/>
      <c r="I57" s="101">
        <f>venta_a_mes8[[#This Row],[IMPORTE NETO]]*0.21</f>
        <v>0</v>
      </c>
      <c r="J57" s="65"/>
      <c r="K57" s="65"/>
      <c r="L57" s="65">
        <f>SUM(venta_a_mes8[[#This Row],[IMPORTE NETO]:[EXENTO]])</f>
        <v>0</v>
      </c>
      <c r="M57" s="59"/>
    </row>
    <row r="58" spans="2:13">
      <c r="B58" s="40"/>
      <c r="C58" s="41"/>
      <c r="D58" s="42"/>
      <c r="E58" s="43"/>
      <c r="F58" s="44"/>
      <c r="G58" s="99" t="str">
        <f>IFERROR(IF(venta_a_mes8[[#This Row],[CUIT]]="","-",VLOOKUP(venta_a_mes8[[#This Row],[CUIT]],Lista_CUIT[#All],2,0)),"CUIT NO CARGADO")</f>
        <v>-</v>
      </c>
      <c r="H58" s="100"/>
      <c r="I58" s="101">
        <f>venta_a_mes8[[#This Row],[IMPORTE NETO]]*0.21</f>
        <v>0</v>
      </c>
      <c r="J58" s="65"/>
      <c r="K58" s="65"/>
      <c r="L58" s="65">
        <f>SUM(venta_a_mes8[[#This Row],[IMPORTE NETO]:[EXENTO]])</f>
        <v>0</v>
      </c>
      <c r="M58" s="59"/>
    </row>
    <row r="59" spans="2:13">
      <c r="B59" s="40"/>
      <c r="C59" s="41"/>
      <c r="D59" s="195"/>
      <c r="E59" s="196"/>
      <c r="F59" s="44"/>
      <c r="G59" s="206" t="str">
        <f>IFERROR(IF(venta_a_mes8[[#This Row],[CUIT]]="","-",VLOOKUP(venta_a_mes8[[#This Row],[CUIT]],Lista_CUIT[#All],2,0)),"CUIT NO CARGADO")</f>
        <v>-</v>
      </c>
      <c r="H59" s="197"/>
      <c r="I59" s="198">
        <f>venta_a_mes8[[#This Row],[IMPORTE NETO]]*0.21</f>
        <v>0</v>
      </c>
      <c r="J59" s="199"/>
      <c r="K59" s="199"/>
      <c r="L59" s="199">
        <f>SUM(venta_a_mes8[[#This Row],[IMPORTE NETO]:[EXENTO]])</f>
        <v>0</v>
      </c>
      <c r="M59" s="200"/>
    </row>
    <row r="60" spans="2:13">
      <c r="B60" s="40"/>
      <c r="C60" s="41"/>
      <c r="D60" s="195"/>
      <c r="E60" s="196"/>
      <c r="F60" s="44"/>
      <c r="G60" s="206" t="str">
        <f>IFERROR(IF(venta_a_mes8[[#This Row],[CUIT]]="","-",VLOOKUP(venta_a_mes8[[#This Row],[CUIT]],Lista_CUIT[#All],2,0)),"CUIT NO CARGADO")</f>
        <v>-</v>
      </c>
      <c r="H60" s="197"/>
      <c r="I60" s="198">
        <f>venta_a_mes8[[#This Row],[IMPORTE NETO]]*0.21</f>
        <v>0</v>
      </c>
      <c r="J60" s="199"/>
      <c r="K60" s="199"/>
      <c r="L60" s="199">
        <f>SUM(venta_a_mes8[[#This Row],[IMPORTE NETO]:[EXENTO]])</f>
        <v>0</v>
      </c>
      <c r="M60" s="200"/>
    </row>
    <row r="61" spans="2:13">
      <c r="B61" s="40"/>
      <c r="C61" s="41"/>
      <c r="D61" s="216"/>
      <c r="E61" s="217"/>
      <c r="F61" s="44"/>
      <c r="G61" s="219" t="str">
        <f>IFERROR(IF(venta_a_mes8[[#This Row],[CUIT]]="","-",VLOOKUP(venta_a_mes8[[#This Row],[CUIT]],Lista_CUIT[#All],2,0)),"CUIT NO CARGADO")</f>
        <v>-</v>
      </c>
      <c r="H61" s="220"/>
      <c r="I61" s="221">
        <f>venta_a_mes8[[#This Row],[IMPORTE NETO]]*0.21</f>
        <v>0</v>
      </c>
      <c r="J61" s="222"/>
      <c r="K61" s="222"/>
      <c r="L61" s="222">
        <f>SUM(venta_a_mes8[[#This Row],[IMPORTE NETO]:[EXENTO]])</f>
        <v>0</v>
      </c>
      <c r="M61" s="223"/>
    </row>
    <row r="62" spans="2:13">
      <c r="B62" s="40"/>
      <c r="C62" s="41"/>
      <c r="D62" s="216"/>
      <c r="E62" s="217"/>
      <c r="F62" s="44"/>
      <c r="G62" s="219" t="str">
        <f>IFERROR(IF(venta_a_mes8[[#This Row],[CUIT]]="","-",VLOOKUP(venta_a_mes8[[#This Row],[CUIT]],Lista_CUIT[#All],2,0)),"CUIT NO CARGADO")</f>
        <v>-</v>
      </c>
      <c r="H62" s="220"/>
      <c r="I62" s="221">
        <f>venta_a_mes8[[#This Row],[IMPORTE NETO]]*0.21</f>
        <v>0</v>
      </c>
      <c r="J62" s="222"/>
      <c r="K62" s="222"/>
      <c r="L62" s="222">
        <f>SUM(venta_a_mes8[[#This Row],[IMPORTE NETO]:[EXENTO]])</f>
        <v>0</v>
      </c>
      <c r="M62" s="223"/>
    </row>
    <row r="63" spans="2:13">
      <c r="B63" s="40"/>
      <c r="C63" s="41"/>
      <c r="D63" s="216"/>
      <c r="E63" s="217"/>
      <c r="F63" s="44"/>
      <c r="G63" s="219" t="str">
        <f>IFERROR(IF(venta_a_mes8[[#This Row],[CUIT]]="","-",VLOOKUP(venta_a_mes8[[#This Row],[CUIT]],Lista_CUIT[#All],2,0)),"CUIT NO CARGADO")</f>
        <v>-</v>
      </c>
      <c r="H63" s="220"/>
      <c r="I63" s="221">
        <f>venta_a_mes8[[#This Row],[IMPORTE NETO]]*0.21</f>
        <v>0</v>
      </c>
      <c r="J63" s="222"/>
      <c r="K63" s="222"/>
      <c r="L63" s="222">
        <f>SUM(venta_a_mes8[[#This Row],[IMPORTE NETO]:[EXENTO]])</f>
        <v>0</v>
      </c>
      <c r="M63" s="223"/>
    </row>
    <row r="64" spans="2:13">
      <c r="B64" s="40"/>
      <c r="C64" s="41"/>
      <c r="D64" s="216"/>
      <c r="E64" s="217"/>
      <c r="F64" s="44"/>
      <c r="G64" s="219" t="str">
        <f>IFERROR(IF(venta_a_mes8[[#This Row],[CUIT]]="","-",VLOOKUP(venta_a_mes8[[#This Row],[CUIT]],Lista_CUIT[#All],2,0)),"CUIT NO CARGADO")</f>
        <v>-</v>
      </c>
      <c r="H64" s="220"/>
      <c r="I64" s="221">
        <f>venta_a_mes8[[#This Row],[IMPORTE NETO]]*0.21</f>
        <v>0</v>
      </c>
      <c r="J64" s="222"/>
      <c r="K64" s="222"/>
      <c r="L64" s="222">
        <f>SUM(venta_a_mes8[[#This Row],[IMPORTE NETO]:[EXENTO]])</f>
        <v>0</v>
      </c>
      <c r="M64" s="223"/>
    </row>
    <row r="65" spans="2:13">
      <c r="B65" s="40"/>
      <c r="C65" s="41"/>
      <c r="D65" s="216"/>
      <c r="E65" s="217"/>
      <c r="F65" s="44"/>
      <c r="G65" s="219" t="str">
        <f>IFERROR(IF(venta_a_mes8[[#This Row],[CUIT]]="","-",VLOOKUP(venta_a_mes8[[#This Row],[CUIT]],Lista_CUIT[#All],2,0)),"CUIT NO CARGADO")</f>
        <v>-</v>
      </c>
      <c r="H65" s="220"/>
      <c r="I65" s="221">
        <f>venta_a_mes8[[#This Row],[IMPORTE NETO]]*0.21</f>
        <v>0</v>
      </c>
      <c r="J65" s="222"/>
      <c r="K65" s="222"/>
      <c r="L65" s="222">
        <f>SUM(venta_a_mes8[[#This Row],[IMPORTE NETO]:[EXENTO]])</f>
        <v>0</v>
      </c>
      <c r="M65" s="223"/>
    </row>
    <row r="66" spans="2:13">
      <c r="B66" s="40"/>
      <c r="C66" s="41"/>
      <c r="D66" s="216"/>
      <c r="E66" s="217"/>
      <c r="F66" s="44"/>
      <c r="G66" s="219" t="str">
        <f>IFERROR(IF(venta_a_mes8[[#This Row],[CUIT]]="","-",VLOOKUP(venta_a_mes8[[#This Row],[CUIT]],Lista_CUIT[#All],2,0)),"CUIT NO CARGADO")</f>
        <v>-</v>
      </c>
      <c r="H66" s="220"/>
      <c r="I66" s="221">
        <f>venta_a_mes8[[#This Row],[IMPORTE NETO]]*0.21</f>
        <v>0</v>
      </c>
      <c r="J66" s="222"/>
      <c r="K66" s="222"/>
      <c r="L66" s="222">
        <f>SUM(venta_a_mes8[[#This Row],[IMPORTE NETO]:[EXENTO]])</f>
        <v>0</v>
      </c>
      <c r="M66" s="223"/>
    </row>
    <row r="67" spans="2:13">
      <c r="B67" s="40"/>
      <c r="C67" s="41"/>
      <c r="D67" s="216"/>
      <c r="E67" s="217"/>
      <c r="F67" s="44"/>
      <c r="G67" s="219" t="str">
        <f>IFERROR(IF(venta_a_mes8[[#This Row],[CUIT]]="","-",VLOOKUP(venta_a_mes8[[#This Row],[CUIT]],Lista_CUIT[#All],2,0)),"CUIT NO CARGADO")</f>
        <v>-</v>
      </c>
      <c r="H67" s="220"/>
      <c r="I67" s="221">
        <f>venta_a_mes8[[#This Row],[IMPORTE NETO]]*0.21</f>
        <v>0</v>
      </c>
      <c r="J67" s="222"/>
      <c r="K67" s="222"/>
      <c r="L67" s="222">
        <f>SUM(venta_a_mes8[[#This Row],[IMPORTE NETO]:[EXENTO]])</f>
        <v>0</v>
      </c>
      <c r="M67" s="223"/>
    </row>
    <row r="68" spans="2:13">
      <c r="B68" s="40"/>
      <c r="C68" s="41"/>
      <c r="D68" s="216"/>
      <c r="E68" s="217"/>
      <c r="F68" s="44"/>
      <c r="G68" s="219" t="str">
        <f>IFERROR(IF(venta_a_mes8[[#This Row],[CUIT]]="","-",VLOOKUP(venta_a_mes8[[#This Row],[CUIT]],Lista_CUIT[#All],2,0)),"CUIT NO CARGADO")</f>
        <v>-</v>
      </c>
      <c r="H68" s="220"/>
      <c r="I68" s="221">
        <f>venta_a_mes8[[#This Row],[IMPORTE NETO]]*0.21</f>
        <v>0</v>
      </c>
      <c r="J68" s="222"/>
      <c r="K68" s="222"/>
      <c r="L68" s="222">
        <f>SUM(venta_a_mes8[[#This Row],[IMPORTE NETO]:[EXENTO]])</f>
        <v>0</v>
      </c>
      <c r="M68" s="223"/>
    </row>
    <row r="69" spans="2:13">
      <c r="B69" s="40"/>
      <c r="C69" s="41"/>
      <c r="D69" s="195"/>
      <c r="E69" s="196"/>
      <c r="F69" s="44"/>
      <c r="G69" s="206" t="str">
        <f>IFERROR(IF(venta_a_mes8[[#This Row],[CUIT]]="","-",VLOOKUP(venta_a_mes8[[#This Row],[CUIT]],Lista_CUIT[#All],2,0)),"CUIT NO CARGADO")</f>
        <v>-</v>
      </c>
      <c r="H69" s="197"/>
      <c r="I69" s="198">
        <f>venta_a_mes8[[#This Row],[IMPORTE NETO]]*0.21</f>
        <v>0</v>
      </c>
      <c r="J69" s="199"/>
      <c r="K69" s="199"/>
      <c r="L69" s="199">
        <f>SUM(venta_a_mes8[[#This Row],[IMPORTE NETO]:[EXENTO]])</f>
        <v>0</v>
      </c>
      <c r="M69" s="200"/>
    </row>
    <row r="70" spans="2:13">
      <c r="B70" s="40"/>
      <c r="C70" s="41"/>
      <c r="D70" s="195"/>
      <c r="E70" s="196"/>
      <c r="F70" s="44"/>
      <c r="G70" s="206" t="str">
        <f>IFERROR(IF(venta_a_mes8[[#This Row],[CUIT]]="","-",VLOOKUP(venta_a_mes8[[#This Row],[CUIT]],Lista_CUIT[#All],2,0)),"CUIT NO CARGADO")</f>
        <v>-</v>
      </c>
      <c r="H70" s="197"/>
      <c r="I70" s="198">
        <f>venta_a_mes8[[#This Row],[IMPORTE NETO]]*0.21</f>
        <v>0</v>
      </c>
      <c r="J70" s="199"/>
      <c r="K70" s="199"/>
      <c r="L70" s="199">
        <f>SUM(venta_a_mes8[[#This Row],[IMPORTE NETO]:[EXENTO]])</f>
        <v>0</v>
      </c>
      <c r="M70" s="200"/>
    </row>
    <row r="71" spans="2:13">
      <c r="B71" s="40"/>
      <c r="C71" s="41"/>
      <c r="D71" s="195"/>
      <c r="E71" s="196"/>
      <c r="F71" s="44"/>
      <c r="G71" s="206" t="str">
        <f>IFERROR(IF(venta_a_mes8[[#This Row],[CUIT]]="","-",VLOOKUP(venta_a_mes8[[#This Row],[CUIT]],Lista_CUIT[#All],2,0)),"CUIT NO CARGADO")</f>
        <v>-</v>
      </c>
      <c r="H71" s="197"/>
      <c r="I71" s="198">
        <f>venta_a_mes8[[#This Row],[IMPORTE NETO]]*0.21</f>
        <v>0</v>
      </c>
      <c r="J71" s="199"/>
      <c r="K71" s="199"/>
      <c r="L71" s="199">
        <f>SUM(venta_a_mes8[[#This Row],[IMPORTE NETO]:[EXENTO]])</f>
        <v>0</v>
      </c>
      <c r="M71" s="200"/>
    </row>
    <row r="72" spans="2:13">
      <c r="B72" s="40"/>
      <c r="C72" s="41"/>
      <c r="D72" s="195"/>
      <c r="E72" s="196"/>
      <c r="F72" s="44"/>
      <c r="G72" s="206" t="str">
        <f>IFERROR(IF(venta_a_mes8[[#This Row],[CUIT]]="","-",VLOOKUP(venta_a_mes8[[#This Row],[CUIT]],Lista_CUIT[#All],2,0)),"CUIT NO CARGADO")</f>
        <v>-</v>
      </c>
      <c r="H72" s="197"/>
      <c r="I72" s="198">
        <f>venta_a_mes8[[#This Row],[IMPORTE NETO]]*0.21</f>
        <v>0</v>
      </c>
      <c r="J72" s="199"/>
      <c r="K72" s="199"/>
      <c r="L72" s="199">
        <f>SUM(venta_a_mes8[[#This Row],[IMPORTE NETO]:[EXENTO]])</f>
        <v>0</v>
      </c>
      <c r="M72" s="200"/>
    </row>
    <row r="73" spans="2:13">
      <c r="B73" s="40"/>
      <c r="C73" s="41"/>
      <c r="D73" s="42"/>
      <c r="E73" s="43"/>
      <c r="F73" s="44"/>
      <c r="G73" s="99" t="str">
        <f>IFERROR(IF(venta_a_mes8[[#This Row],[CUIT]]="","-",VLOOKUP(venta_a_mes8[[#This Row],[CUIT]],Lista_CUIT[#All],2,0)),"CUIT NO CARGADO")</f>
        <v>-</v>
      </c>
      <c r="H73" s="100"/>
      <c r="I73" s="101">
        <f>venta_a_mes8[[#This Row],[IMPORTE NETO]]*0.21</f>
        <v>0</v>
      </c>
      <c r="J73" s="65"/>
      <c r="K73" s="65"/>
      <c r="L73" s="65">
        <f>SUM(venta_a_mes8[[#This Row],[IMPORTE NETO]:[EXENTO]])</f>
        <v>0</v>
      </c>
      <c r="M73" s="59"/>
    </row>
    <row r="74" spans="2:13">
      <c r="B74" s="194"/>
      <c r="C74" s="41"/>
      <c r="D74" s="195"/>
      <c r="E74" s="196"/>
      <c r="F74" s="44"/>
      <c r="G74" s="206" t="str">
        <f>IFERROR(IF(venta_a_mes8[[#This Row],[CUIT]]="","-",VLOOKUP(venta_a_mes8[[#This Row],[CUIT]],Lista_CUIT[#All],2,0)),"CUIT NO CARGADO")</f>
        <v>-</v>
      </c>
      <c r="H74" s="197"/>
      <c r="I74" s="198">
        <f>venta_a_mes8[[#This Row],[IMPORTE NETO]]*0.21</f>
        <v>0</v>
      </c>
      <c r="J74" s="199"/>
      <c r="K74" s="199"/>
      <c r="L74" s="199">
        <f>SUM(venta_a_mes8[[#This Row],[IMPORTE NETO]:[EXENTO]])</f>
        <v>0</v>
      </c>
      <c r="M74" s="200"/>
    </row>
    <row r="75" spans="2:13">
      <c r="B75" s="40"/>
      <c r="C75" s="41"/>
      <c r="D75" s="42"/>
      <c r="E75" s="43"/>
      <c r="F75" s="44"/>
      <c r="G75" s="99" t="str">
        <f>IFERROR(IF(venta_a_mes8[[#This Row],[CUIT]]="","-",VLOOKUP(venta_a_mes8[[#This Row],[CUIT]],Lista_CUIT[#All],2,0)),"CUIT NO CARGADO")</f>
        <v>-</v>
      </c>
      <c r="H75" s="100"/>
      <c r="I75" s="101">
        <f>venta_a_mes8[[#This Row],[IMPORTE NETO]]*0.21</f>
        <v>0</v>
      </c>
      <c r="J75" s="65"/>
      <c r="K75" s="65"/>
      <c r="L75" s="65">
        <f>SUM(venta_a_mes8[[#This Row],[IMPORTE NETO]:[EXENTO]])</f>
        <v>0</v>
      </c>
      <c r="M75" s="63"/>
    </row>
    <row r="76" spans="2:13">
      <c r="B76" s="102"/>
      <c r="C76" s="41"/>
      <c r="D76" s="103"/>
      <c r="E76" s="104"/>
      <c r="F76" s="44"/>
      <c r="G76" s="99" t="str">
        <f>IFERROR(IF(venta_a_mes8[[#This Row],[CUIT]]="","-",VLOOKUP(venta_a_mes8[[#This Row],[CUIT]],Lista_CUIT[#All],2,0)),"CUIT NO CARGADO")</f>
        <v>-</v>
      </c>
      <c r="H76" s="106"/>
      <c r="I76" s="107">
        <f>venta_a_mes8[[#This Row],[IMPORTE NETO]]*0.21</f>
        <v>0</v>
      </c>
      <c r="J76" s="72"/>
      <c r="K76" s="72"/>
      <c r="L76" s="72">
        <f>SUM(venta_a_mes8[[#This Row],[IMPORTE NETO]:[EXENTO]])</f>
        <v>0</v>
      </c>
      <c r="M76" s="63"/>
    </row>
    <row r="77" spans="2:13" ht="17.25" customHeight="1">
      <c r="B77" s="224"/>
      <c r="C77" s="41"/>
      <c r="D77" s="225"/>
      <c r="E77" s="226"/>
      <c r="F77" s="227"/>
      <c r="G77" s="228" t="str">
        <f>IFERROR(IF(venta_a_mes8[[#This Row],[CUIT]]="","-",VLOOKUP(venta_a_mes8[[#This Row],[CUIT]],Lista_CUIT[#All],2,0)),"CUIT NO CARGADO")</f>
        <v>-</v>
      </c>
      <c r="H77" s="229"/>
      <c r="I77" s="230">
        <f>venta_a_mes8[[#This Row],[IMPORTE NETO]]*0.21</f>
        <v>0</v>
      </c>
      <c r="J77" s="231"/>
      <c r="K77" s="231"/>
      <c r="L77" s="231">
        <f>SUM(venta_a_mes8[[#This Row],[IMPORTE NETO]:[EXENTO]])</f>
        <v>0</v>
      </c>
      <c r="M77" s="232"/>
    </row>
    <row r="78" spans="2:13">
      <c r="B78" s="224"/>
      <c r="C78" s="357"/>
      <c r="D78" s="225"/>
      <c r="E78" s="226"/>
      <c r="F78" s="227"/>
      <c r="G78" s="228" t="str">
        <f>IFERROR(IF(venta_a_mes8[[#This Row],[CUIT]]="","-",VLOOKUP(venta_a_mes8[[#This Row],[CUIT]],Lista_CUIT[#All],2,0)),"CUIT NO CARGADO")</f>
        <v>-</v>
      </c>
      <c r="H78" s="229"/>
      <c r="I78" s="230">
        <f>venta_a_mes8[[#This Row],[IMPORTE NETO]]*0.21</f>
        <v>0</v>
      </c>
      <c r="J78" s="231"/>
      <c r="K78" s="231"/>
      <c r="L78" s="231">
        <f>SUM(venta_a_mes8[[#This Row],[IMPORTE NETO]:[EXENTO]])</f>
        <v>0</v>
      </c>
      <c r="M78" s="232"/>
    </row>
    <row r="79" spans="2:13">
      <c r="B79" s="214"/>
      <c r="C79" s="215"/>
      <c r="D79" s="216"/>
      <c r="E79" s="217"/>
      <c r="F79" s="218"/>
      <c r="G79" s="219" t="str">
        <f>IFERROR(IF(venta_a_mes8[[#This Row],[CUIT]]="","-",VLOOKUP(venta_a_mes8[[#This Row],[CUIT]],Lista_CUIT[#All],2,0)),"CUIT NO CARGADO")</f>
        <v>-</v>
      </c>
      <c r="H79" s="220"/>
      <c r="I79" s="221">
        <f>venta_a_mes8[[#This Row],[IMPORTE NETO]]*0.21</f>
        <v>0</v>
      </c>
      <c r="J79" s="222"/>
      <c r="K79" s="222"/>
      <c r="L79" s="222">
        <f>SUM(venta_a_mes8[[#This Row],[IMPORTE NETO]:[EXENTO]])</f>
        <v>0</v>
      </c>
      <c r="M79" s="223"/>
    </row>
    <row r="80" spans="2:13">
      <c r="B80" s="214"/>
      <c r="C80" s="215"/>
      <c r="D80" s="216"/>
      <c r="E80" s="217"/>
      <c r="F80" s="218"/>
      <c r="G80" s="219" t="str">
        <f>IFERROR(IF(venta_a_mes8[[#This Row],[CUIT]]="","-",VLOOKUP(venta_a_mes8[[#This Row],[CUIT]],Lista_CUIT[#All],2,0)),"CUIT NO CARGADO")</f>
        <v>-</v>
      </c>
      <c r="H80" s="220"/>
      <c r="I80" s="221">
        <f>venta_a_mes8[[#This Row],[IMPORTE NETO]]*0.21</f>
        <v>0</v>
      </c>
      <c r="J80" s="222"/>
      <c r="K80" s="222"/>
      <c r="L80" s="222">
        <f>SUM(venta_a_mes8[[#This Row],[IMPORTE NETO]:[EXENTO]])</f>
        <v>0</v>
      </c>
      <c r="M80" s="223"/>
    </row>
    <row r="81" spans="2:13">
      <c r="B81" s="214"/>
      <c r="C81" s="215"/>
      <c r="D81" s="216"/>
      <c r="E81" s="217"/>
      <c r="F81" s="218"/>
      <c r="G81" s="219" t="str">
        <f>IFERROR(IF(venta_a_mes8[[#This Row],[CUIT]]="","-",VLOOKUP(venta_a_mes8[[#This Row],[CUIT]],Lista_CUIT[#All],2,0)),"CUIT NO CARGADO")</f>
        <v>-</v>
      </c>
      <c r="H81" s="220"/>
      <c r="I81" s="221">
        <f>venta_a_mes8[[#This Row],[IMPORTE NETO]]*0.21</f>
        <v>0</v>
      </c>
      <c r="J81" s="222"/>
      <c r="K81" s="222"/>
      <c r="L81" s="222">
        <f>SUM(venta_a_mes8[[#This Row],[IMPORTE NETO]:[EXENTO]])</f>
        <v>0</v>
      </c>
      <c r="M81" s="223"/>
    </row>
    <row r="82" spans="2:13">
      <c r="B82" s="214"/>
      <c r="C82" s="215"/>
      <c r="D82" s="216"/>
      <c r="E82" s="217"/>
      <c r="F82" s="218"/>
      <c r="G82" s="219" t="str">
        <f>IFERROR(IF(venta_a_mes8[[#This Row],[CUIT]]="","-",VLOOKUP(venta_a_mes8[[#This Row],[CUIT]],Lista_CUIT[#All],2,0)),"CUIT NO CARGADO")</f>
        <v>-</v>
      </c>
      <c r="H82" s="220"/>
      <c r="I82" s="221">
        <f>venta_a_mes8[[#This Row],[IMPORTE NETO]]*0.21</f>
        <v>0</v>
      </c>
      <c r="J82" s="222"/>
      <c r="K82" s="222"/>
      <c r="L82" s="222">
        <f>SUM(venta_a_mes8[[#This Row],[IMPORTE NETO]:[EXENTO]])</f>
        <v>0</v>
      </c>
      <c r="M82" s="223"/>
    </row>
    <row r="83" spans="2:13">
      <c r="B83" s="214"/>
      <c r="C83" s="215"/>
      <c r="D83" s="216"/>
      <c r="E83" s="217"/>
      <c r="F83" s="218"/>
      <c r="G83" s="219" t="str">
        <f>IFERROR(IF(venta_a_mes8[[#This Row],[CUIT]]="","-",VLOOKUP(venta_a_mes8[[#This Row],[CUIT]],Lista_CUIT[#All],2,0)),"CUIT NO CARGADO")</f>
        <v>-</v>
      </c>
      <c r="H83" s="220"/>
      <c r="I83" s="221">
        <f>venta_a_mes8[[#This Row],[IMPORTE NETO]]*0.21</f>
        <v>0</v>
      </c>
      <c r="J83" s="222"/>
      <c r="K83" s="222"/>
      <c r="L83" s="222">
        <f>SUM(venta_a_mes8[[#This Row],[IMPORTE NETO]:[EXENTO]])</f>
        <v>0</v>
      </c>
      <c r="M83" s="223"/>
    </row>
    <row r="84" spans="2:13">
      <c r="B84" s="214"/>
      <c r="C84" s="215"/>
      <c r="D84" s="216"/>
      <c r="E84" s="217"/>
      <c r="F84" s="218"/>
      <c r="G84" s="219" t="str">
        <f>IFERROR(IF(venta_a_mes8[[#This Row],[CUIT]]="","-",VLOOKUP(venta_a_mes8[[#This Row],[CUIT]],Lista_CUIT[#All],2,0)),"CUIT NO CARGADO")</f>
        <v>-</v>
      </c>
      <c r="H84" s="220"/>
      <c r="I84" s="221">
        <f>venta_a_mes8[[#This Row],[IMPORTE NETO]]*0.21</f>
        <v>0</v>
      </c>
      <c r="J84" s="222"/>
      <c r="K84" s="222"/>
      <c r="L84" s="222">
        <f>SUM(venta_a_mes8[[#This Row],[IMPORTE NETO]:[EXENTO]])</f>
        <v>0</v>
      </c>
      <c r="M84" s="223"/>
    </row>
    <row r="85" spans="2:13">
      <c r="B85" s="214"/>
      <c r="C85" s="215"/>
      <c r="D85" s="216"/>
      <c r="E85" s="217"/>
      <c r="F85" s="218"/>
      <c r="G85" s="219" t="str">
        <f>IFERROR(IF(venta_a_mes8[[#This Row],[CUIT]]="","-",VLOOKUP(venta_a_mes8[[#This Row],[CUIT]],Lista_CUIT[#All],2,0)),"CUIT NO CARGADO")</f>
        <v>-</v>
      </c>
      <c r="H85" s="220"/>
      <c r="I85" s="221">
        <f>venta_a_mes8[[#This Row],[IMPORTE NETO]]*0.21</f>
        <v>0</v>
      </c>
      <c r="J85" s="222"/>
      <c r="K85" s="222"/>
      <c r="L85" s="222">
        <f>SUM(venta_a_mes8[[#This Row],[IMPORTE NETO]:[EXENTO]])</f>
        <v>0</v>
      </c>
      <c r="M85" s="223"/>
    </row>
    <row r="86" spans="2:13" ht="19.149999999999999" customHeight="1">
      <c r="B86" s="214"/>
      <c r="C86" s="215"/>
      <c r="D86" s="216"/>
      <c r="E86" s="217"/>
      <c r="F86" s="218"/>
      <c r="G86" s="219" t="str">
        <f>IFERROR(IF(venta_a_mes8[[#This Row],[CUIT]]="","-",VLOOKUP(venta_a_mes8[[#This Row],[CUIT]],Lista_CUIT[#All],2,0)),"CUIT NO CARGADO")</f>
        <v>-</v>
      </c>
      <c r="H86" s="220"/>
      <c r="I86" s="221">
        <f>venta_a_mes8[[#This Row],[IMPORTE NETO]]*0.21</f>
        <v>0</v>
      </c>
      <c r="J86" s="222"/>
      <c r="K86" s="222"/>
      <c r="L86" s="222">
        <f>SUM(venta_a_mes8[[#This Row],[IMPORTE NETO]:[EXENTO]])</f>
        <v>0</v>
      </c>
      <c r="M86" s="223"/>
    </row>
    <row r="87" spans="2:13">
      <c r="B87" s="214"/>
      <c r="C87" s="215"/>
      <c r="D87" s="216"/>
      <c r="E87" s="217"/>
      <c r="F87" s="218"/>
      <c r="G87" s="219" t="str">
        <f>IFERROR(IF(venta_a_mes8[[#This Row],[CUIT]]="","-",VLOOKUP(venta_a_mes8[[#This Row],[CUIT]],Lista_CUIT[#All],2,0)),"CUIT NO CARGADO")</f>
        <v>-</v>
      </c>
      <c r="H87" s="220"/>
      <c r="I87" s="221">
        <f>venta_a_mes8[[#This Row],[IMPORTE NETO]]*0.21</f>
        <v>0</v>
      </c>
      <c r="J87" s="222"/>
      <c r="K87" s="222"/>
      <c r="L87" s="222">
        <f>SUM(venta_a_mes8[[#This Row],[IMPORTE NETO]:[EXENTO]])</f>
        <v>0</v>
      </c>
      <c r="M87" s="223"/>
    </row>
    <row r="88" spans="2:13">
      <c r="B88" s="214"/>
      <c r="C88" s="215"/>
      <c r="D88" s="216"/>
      <c r="E88" s="217"/>
      <c r="F88" s="218"/>
      <c r="G88" s="219" t="str">
        <f>IFERROR(IF(venta_a_mes8[[#This Row],[CUIT]]="","-",VLOOKUP(venta_a_mes8[[#This Row],[CUIT]],Lista_CUIT[#All],2,0)),"CUIT NO CARGADO")</f>
        <v>-</v>
      </c>
      <c r="H88" s="220"/>
      <c r="I88" s="221">
        <f>venta_a_mes8[[#This Row],[IMPORTE NETO]]*0.21</f>
        <v>0</v>
      </c>
      <c r="J88" s="222"/>
      <c r="K88" s="222"/>
      <c r="L88" s="222">
        <f>SUM(venta_a_mes8[[#This Row],[IMPORTE NETO]:[EXENTO]])</f>
        <v>0</v>
      </c>
      <c r="M88" s="223"/>
    </row>
    <row r="89" spans="2:13">
      <c r="B89" s="214"/>
      <c r="C89" s="215"/>
      <c r="D89" s="216"/>
      <c r="E89" s="217"/>
      <c r="F89" s="218"/>
      <c r="G89" s="219" t="str">
        <f>IFERROR(IF(venta_a_mes8[[#This Row],[CUIT]]="","-",VLOOKUP(venta_a_mes8[[#This Row],[CUIT]],Lista_CUIT[#All],2,0)),"CUIT NO CARGADO")</f>
        <v>-</v>
      </c>
      <c r="H89" s="220"/>
      <c r="I89" s="221">
        <f>venta_a_mes8[[#This Row],[IMPORTE NETO]]*0.21</f>
        <v>0</v>
      </c>
      <c r="J89" s="222"/>
      <c r="K89" s="222"/>
      <c r="L89" s="222">
        <f>SUM(venta_a_mes8[[#This Row],[IMPORTE NETO]:[EXENTO]])</f>
        <v>0</v>
      </c>
      <c r="M89" s="223"/>
    </row>
    <row r="90" spans="2:13">
      <c r="B90" s="66" t="s">
        <v>91</v>
      </c>
      <c r="C90" s="67"/>
      <c r="D90" s="67"/>
      <c r="E90" s="67"/>
      <c r="F90" s="67"/>
      <c r="G90" s="67"/>
      <c r="H90" s="69">
        <f>SUBTOTAL(109,venta_a_mes8[IMPORTE NETO])</f>
        <v>0</v>
      </c>
      <c r="I90" s="70">
        <f>SUBTOTAL(109,venta_a_mes8[IVA 21%])</f>
        <v>0</v>
      </c>
      <c r="J90" s="71">
        <f>SUBTOTAL(109,venta_a_mes8[IVA 10,5%])</f>
        <v>0</v>
      </c>
      <c r="K90" s="71">
        <f>SUBTOTAL(109,venta_a_mes8[EXENTO])</f>
        <v>0</v>
      </c>
      <c r="L90" s="71">
        <f>SUBTOTAL(109,venta_a_mes8[TOTAL])</f>
        <v>0</v>
      </c>
      <c r="M90" s="68">
        <f>SUBTOTAL(103,venta_a_mes8[Provincia])</f>
        <v>0</v>
      </c>
    </row>
    <row r="91" spans="2:13" ht="21">
      <c r="B91" s="429" t="s">
        <v>31</v>
      </c>
      <c r="C91" s="429"/>
    </row>
    <row r="92" spans="2:13" ht="31.5">
      <c r="B92" s="60" t="s">
        <v>0</v>
      </c>
      <c r="C92" s="61" t="s">
        <v>1</v>
      </c>
      <c r="D92" s="61" t="s">
        <v>21</v>
      </c>
      <c r="E92" s="61" t="s">
        <v>22</v>
      </c>
      <c r="F92" s="61" t="s">
        <v>3</v>
      </c>
      <c r="G92" s="61" t="s">
        <v>4</v>
      </c>
      <c r="H92" s="61" t="s">
        <v>23</v>
      </c>
      <c r="I92" s="61" t="s">
        <v>17</v>
      </c>
      <c r="J92" s="61" t="s">
        <v>7</v>
      </c>
      <c r="K92" s="61" t="s">
        <v>24</v>
      </c>
      <c r="L92" s="61" t="s">
        <v>10</v>
      </c>
      <c r="M92" s="62" t="s">
        <v>38</v>
      </c>
    </row>
    <row r="93" spans="2:13">
      <c r="B93" s="40"/>
      <c r="C93" s="41"/>
      <c r="D93" s="42"/>
      <c r="E93" s="43"/>
      <c r="F93" s="44"/>
      <c r="G93" s="1" t="str">
        <f>IFERROR(IF(ventas_b_mes8[[#This Row],[CUIT]]="","-",VLOOKUP(ventas_b_mes8[[#This Row],[CUIT]],Lista_CUIT[#All],2,0)),"CUIT NO CARGADO")</f>
        <v>-</v>
      </c>
      <c r="H93" s="106"/>
      <c r="I93" s="64">
        <f>ventas_b_mes8[[#This Row],[IMPORTE NETO]]*0.21</f>
        <v>0</v>
      </c>
      <c r="J93" s="64"/>
      <c r="K93" s="64"/>
      <c r="L93" s="64">
        <f>SUM(ventas_b_mes8[[#This Row],[IMPORTE NETO]:[EXENTO]])</f>
        <v>0</v>
      </c>
      <c r="M93" s="59"/>
    </row>
    <row r="94" spans="2:13">
      <c r="B94" s="40"/>
      <c r="C94" s="41"/>
      <c r="D94" s="42"/>
      <c r="E94" s="43"/>
      <c r="F94" s="44"/>
      <c r="G94" s="201" t="str">
        <f>IFERROR(IF(ventas_b_mes8[[#This Row],[CUIT]]="","-",VLOOKUP(ventas_b_mes8[[#This Row],[CUIT]],Lista_CUIT[#All],2,0)),"CUIT NO CARGADO")</f>
        <v>-</v>
      </c>
      <c r="H94" s="106"/>
      <c r="I94" s="202">
        <f>ventas_b_mes8[[#This Row],[IMPORTE NETO]]*0.21</f>
        <v>0</v>
      </c>
      <c r="J94" s="203"/>
      <c r="K94" s="203"/>
      <c r="L94" s="203">
        <f>SUM(ventas_b_mes8[[#This Row],[IMPORTE NETO]:[EXENTO]])</f>
        <v>0</v>
      </c>
      <c r="M94" s="200"/>
    </row>
    <row r="95" spans="2:13">
      <c r="B95" s="40"/>
      <c r="C95" s="41"/>
      <c r="D95" s="42"/>
      <c r="E95" s="43"/>
      <c r="F95" s="44"/>
      <c r="G95" s="201" t="str">
        <f>IFERROR(IF(ventas_b_mes8[[#This Row],[CUIT]]="","-",VLOOKUP(ventas_b_mes8[[#This Row],[CUIT]],Lista_CUIT[#All],2,0)),"CUIT NO CARGADO")</f>
        <v>-</v>
      </c>
      <c r="H95" s="106"/>
      <c r="I95" s="202">
        <f>ventas_b_mes8[[#This Row],[IMPORTE NETO]]*0.21</f>
        <v>0</v>
      </c>
      <c r="J95" s="203"/>
      <c r="K95" s="203"/>
      <c r="L95" s="203">
        <f>SUM(ventas_b_mes8[[#This Row],[IMPORTE NETO]:[EXENTO]])</f>
        <v>0</v>
      </c>
      <c r="M95" s="200"/>
    </row>
    <row r="96" spans="2:13">
      <c r="B96" s="40"/>
      <c r="C96" s="41"/>
      <c r="D96" s="42"/>
      <c r="E96" s="43"/>
      <c r="F96" s="44"/>
      <c r="G96" s="201" t="str">
        <f>IFERROR(IF(ventas_b_mes8[[#This Row],[CUIT]]="","-",VLOOKUP(ventas_b_mes8[[#This Row],[CUIT]],Lista_CUIT[#All],2,0)),"CUIT NO CARGADO")</f>
        <v>-</v>
      </c>
      <c r="H96" s="106"/>
      <c r="I96" s="202">
        <f>ventas_b_mes8[[#This Row],[IMPORTE NETO]]*0.21</f>
        <v>0</v>
      </c>
      <c r="J96" s="203"/>
      <c r="K96" s="203"/>
      <c r="L96" s="203">
        <f>SUM(ventas_b_mes8[[#This Row],[IMPORTE NETO]:[EXENTO]])</f>
        <v>0</v>
      </c>
      <c r="M96" s="200"/>
    </row>
    <row r="97" spans="2:13">
      <c r="B97" s="66" t="s">
        <v>91</v>
      </c>
      <c r="C97" s="67"/>
      <c r="D97" s="67"/>
      <c r="E97" s="67"/>
      <c r="F97" s="67"/>
      <c r="G97" s="67"/>
      <c r="H97" s="77">
        <f>SUBTOTAL(109,ventas_b_mes8[IMPORTE NETO])</f>
        <v>0</v>
      </c>
      <c r="I97" s="77">
        <f>SUBTOTAL(109,ventas_b_mes8[IVA 21%])</f>
        <v>0</v>
      </c>
      <c r="J97" s="78">
        <f>SUBTOTAL(109,ventas_b_mes8[IVA 10,5%])</f>
        <v>0</v>
      </c>
      <c r="K97" s="78">
        <f>SUBTOTAL(109,ventas_b_mes8[EXENTO])</f>
        <v>0</v>
      </c>
      <c r="L97" s="78">
        <f>SUBTOTAL(109,ventas_b_mes8[TOTAL])</f>
        <v>0</v>
      </c>
      <c r="M97" s="68">
        <f>SUBTOTAL(103,ventas_b_mes8[Provincia])</f>
        <v>0</v>
      </c>
    </row>
    <row r="104" spans="2:13" ht="15.75" thickBot="1"/>
    <row r="105" spans="2:13" ht="15.75" thickTop="1">
      <c r="C105" s="443" t="s">
        <v>66</v>
      </c>
      <c r="D105" s="443"/>
      <c r="E105" s="443"/>
      <c r="F105" s="443"/>
      <c r="G105" s="443"/>
      <c r="H105" s="32"/>
      <c r="I105" s="32"/>
      <c r="J105" s="32"/>
    </row>
    <row r="106" spans="2:13" ht="15.75">
      <c r="C106" s="113" t="s">
        <v>67</v>
      </c>
      <c r="D106" s="114" t="s">
        <v>68</v>
      </c>
      <c r="E106" s="114" t="s">
        <v>93</v>
      </c>
      <c r="F106" s="114" t="s">
        <v>3</v>
      </c>
      <c r="G106" s="114" t="s">
        <v>4</v>
      </c>
      <c r="H106" s="115" t="s">
        <v>69</v>
      </c>
      <c r="I106" s="115" t="s">
        <v>70</v>
      </c>
      <c r="J106" s="115" t="s">
        <v>71</v>
      </c>
      <c r="K106" s="115" t="s">
        <v>72</v>
      </c>
      <c r="L106" s="115" t="s">
        <v>73</v>
      </c>
    </row>
    <row r="107" spans="2:13">
      <c r="C107" s="116"/>
      <c r="D107" s="117"/>
      <c r="E107" s="117"/>
      <c r="F107" s="118"/>
      <c r="G107" s="53" t="str">
        <f>IFERROR(IF(Retenciones_mes8[[#This Row],[CUIT]]="","-",VLOOKUP(Retenciones_mes8[[#This Row],[CUIT]],Lista_CUIT[#All],2,0)),"CUIT NO CARGADO")</f>
        <v>-</v>
      </c>
      <c r="H107" s="119"/>
      <c r="I107" s="119"/>
      <c r="J107" s="119"/>
      <c r="K107" s="119"/>
      <c r="L107" s="119"/>
    </row>
    <row r="108" spans="2:13">
      <c r="C108" s="116"/>
      <c r="D108" s="117"/>
      <c r="E108" s="117"/>
      <c r="F108" s="118"/>
      <c r="G108" s="53" t="str">
        <f>IFERROR(IF(Retenciones_mes8[[#This Row],[CUIT]]="","-",VLOOKUP(Retenciones_mes8[[#This Row],[CUIT]],Lista_CUIT[#All],2,0)),"CUIT NO CARGADO")</f>
        <v>-</v>
      </c>
      <c r="H108" s="119"/>
      <c r="I108" s="119"/>
      <c r="J108" s="119"/>
      <c r="K108" s="119"/>
      <c r="L108" s="119"/>
    </row>
    <row r="109" spans="2:13">
      <c r="C109" s="116"/>
      <c r="D109" s="117"/>
      <c r="E109" s="117"/>
      <c r="F109" s="118"/>
      <c r="G109" s="53" t="str">
        <f>IFERROR(IF(Retenciones_mes8[[#This Row],[CUIT]]="","-",VLOOKUP(Retenciones_mes8[[#This Row],[CUIT]],Lista_CUIT[#All],2,0)),"CUIT NO CARGADO")</f>
        <v>-</v>
      </c>
      <c r="H109" s="119"/>
      <c r="I109" s="119"/>
      <c r="J109" s="119"/>
      <c r="K109" s="119"/>
      <c r="L109" s="119"/>
    </row>
    <row r="110" spans="2:13">
      <c r="C110" s="116"/>
      <c r="D110" s="117"/>
      <c r="E110" s="117"/>
      <c r="F110" s="118"/>
      <c r="G110" s="53" t="str">
        <f>IFERROR(IF(Retenciones_mes8[[#This Row],[CUIT]]="","-",VLOOKUP(Retenciones_mes8[[#This Row],[CUIT]],Lista_CUIT[#All],2,0)),"CUIT NO CARGADO")</f>
        <v>-</v>
      </c>
      <c r="H110" s="119"/>
      <c r="I110" s="119"/>
      <c r="J110" s="119"/>
      <c r="K110" s="119"/>
      <c r="L110" s="119"/>
    </row>
    <row r="111" spans="2:13">
      <c r="D111" s="117"/>
      <c r="E111" s="117"/>
      <c r="G111" s="53" t="str">
        <f>IFERROR(IF(Retenciones_mes8[[#This Row],[CUIT]]="","-",VLOOKUP(Retenciones_mes8[[#This Row],[CUIT]],Lista_CUIT[#All],2,0)),"CUIT NO CARGADO")</f>
        <v>-</v>
      </c>
    </row>
    <row r="112" spans="2:13">
      <c r="C112" s="33"/>
    </row>
  </sheetData>
  <mergeCells count="20">
    <mergeCell ref="C105:G105"/>
    <mergeCell ref="B4:E4"/>
    <mergeCell ref="G4:H4"/>
    <mergeCell ref="J4:K4"/>
    <mergeCell ref="M4:N4"/>
    <mergeCell ref="D38:K38"/>
    <mergeCell ref="B50:J50"/>
    <mergeCell ref="K50:M50"/>
    <mergeCell ref="B52:C52"/>
    <mergeCell ref="B91:C91"/>
    <mergeCell ref="P4:R4"/>
    <mergeCell ref="D29:L29"/>
    <mergeCell ref="B1:F1"/>
    <mergeCell ref="G1:M1"/>
    <mergeCell ref="N1:R1"/>
    <mergeCell ref="B3:E3"/>
    <mergeCell ref="G3:H3"/>
    <mergeCell ref="J3:K3"/>
    <mergeCell ref="M3:N3"/>
    <mergeCell ref="P3:R3"/>
  </mergeCells>
  <dataValidations count="17">
    <dataValidation type="custom" allowBlank="1" showInputMessage="1" showErrorMessage="1" sqref="H54:K54 H56:K56 H58:K72 H75:K75" xr:uid="{0D8203B0-4A66-4753-A804-5C5D4AC7E99F}">
      <formula1>IF($C54=3,H54&lt;0,H54&gt;=0)</formula1>
    </dataValidation>
    <dataValidation type="whole" allowBlank="1" showInputMessage="1" showErrorMessage="1" sqref="C54:C89 C25:C28 C9:C23" xr:uid="{4E8C12BD-A0E1-46C8-8812-A0EF11AB37EE}">
      <formula1>1</formula1>
      <formula2>3</formula2>
    </dataValidation>
    <dataValidation type="date" allowBlank="1" showInputMessage="1" showErrorMessage="1" sqref="B93:B96 D31:D33 D40:D43 B25:B28 B9:B23 B54:B89" xr:uid="{4932233B-1DC8-406F-A916-527098262B26}">
      <formula1>40179</formula1>
      <formula2>TODAY()</formula2>
    </dataValidation>
    <dataValidation type="whole" allowBlank="1" showInputMessage="1" showErrorMessage="1" sqref="F9:F23 G40:G43 F93:F96 F54:F89" xr:uid="{621DD2C9-AB91-42E0-9747-24D170468137}">
      <formula1>20000000000</formula1>
      <formula2>33999999999</formula2>
    </dataValidation>
    <dataValidation type="whole" allowBlank="1" showInputMessage="1" showErrorMessage="1" sqref="E9:E23 F40:F43 E93:E96 E54:E89" xr:uid="{BD66F26E-9B49-47FA-B615-7822C318B7B7}">
      <formula1>1</formula1>
      <formula2>99999999</formula2>
    </dataValidation>
    <dataValidation type="whole" allowBlank="1" showInputMessage="1" showErrorMessage="1" sqref="D9:D23 E40:E43 D93:D96 D54:D89" xr:uid="{2AB06AFD-712C-4C15-944B-65C4A1A71C86}">
      <formula1>1</formula1>
      <formula2>9999</formula2>
    </dataValidation>
    <dataValidation type="custom" allowBlank="1" showInputMessage="1" showErrorMessage="1" sqref="L69:L70" xr:uid="{362C17D0-6848-4EE1-BE84-7C2DF3774FAF}">
      <formula1>IF($C25=3,L25&lt;0,L25&gt;=0)</formula1>
    </dataValidation>
    <dataValidation type="custom" allowBlank="1" showInputMessage="1" showErrorMessage="1" sqref="L55" xr:uid="{0C9B651C-2302-4DEA-9BE6-A9B945AEEEE3}">
      <formula1>IF($C21=3,L21&lt;0,L21&gt;=0)</formula1>
    </dataValidation>
    <dataValidation type="custom" allowBlank="1" showInputMessage="1" showErrorMessage="1" sqref="L75" xr:uid="{9E18E225-D364-49CB-B628-B75873878B76}">
      <formula1>IF($C25=3,L25&lt;0,L25&gt;=0)</formula1>
    </dataValidation>
    <dataValidation type="whole" allowBlank="1" showInputMessage="1" showErrorMessage="1" sqref="C93:C96" xr:uid="{9AB4F1BF-36E3-4758-898A-CBE8C3B1E610}">
      <formula1>6</formula1>
      <formula2>8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3" xr:uid="{F69BC2D5-1E24-4467-B307-E6D7ECFC88FE}">
      <formula1>IF($C9=3,H9&lt;0,H9&gt;=0)</formula1>
    </dataValidation>
    <dataValidation type="custom" allowBlank="1" showInputMessage="1" showErrorMessage="1" sqref="L56:L59" xr:uid="{FA8D720F-B8F5-4E3D-8EB9-4056991509BF}">
      <formula1>IF(#REF!=3,#REF!&lt;0,#REF!&gt;=0)</formula1>
    </dataValidation>
    <dataValidation type="custom" allowBlank="1" showInputMessage="1" showErrorMessage="1" sqref="H93:L96" xr:uid="{2CBB71D5-DF05-4CE2-B609-CF8866D52869}">
      <formula1>IF($C93=8,H93&lt;0,H93&gt;=0)</formula1>
    </dataValidation>
    <dataValidation type="custom" allowBlank="1" showInputMessage="1" showErrorMessage="1" sqref="L54" xr:uid="{83CFB822-D92C-45D8-BCFC-332462C7033B}">
      <formula1>IF($C9=3,L9&lt;0,L9&gt;=0)</formula1>
    </dataValidation>
    <dataValidation type="custom" allowBlank="1" showInputMessage="1" showErrorMessage="1" sqref="L71:L72" xr:uid="{B5D3975B-60F1-4971-BFC7-69581CBD19FD}">
      <formula1>IF($C24=3,L24&lt;0,L24&gt;=0)</formula1>
    </dataValidation>
    <dataValidation type="custom" allowBlank="1" showInputMessage="1" showErrorMessage="1" sqref="L73:L74" xr:uid="{78C6D517-4D33-4D47-AF96-8FD86C23379F}">
      <formula1>IF($C24=3,L24&lt;0,L24&gt;=0)</formula1>
    </dataValidation>
    <dataValidation type="custom" allowBlank="1" showInputMessage="1" showErrorMessage="1" sqref="L60:L68" xr:uid="{37F2D1E8-275E-482E-A45F-2364FD0584F0}">
      <formula1>IF($C24=3,L24&lt;0,L24&gt;=0)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>
    <tabColor theme="9" tint="0.79998168889431442"/>
  </sheetPr>
  <dimension ref="A1:XDS111"/>
  <sheetViews>
    <sheetView showGridLines="0" topLeftCell="A89" zoomScaleNormal="100" workbookViewId="0">
      <selection activeCell="H64" sqref="H64:H83"/>
    </sheetView>
  </sheetViews>
  <sheetFormatPr baseColWidth="10" defaultColWidth="0" defaultRowHeight="1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16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47" width="11.5703125" hidden="1"/>
    <col min="16348" max="16348" width="10.28515625" customWidth="1"/>
    <col min="16349" max="16349" width="8.140625" customWidth="1"/>
    <col min="16350" max="16350" width="7.7109375" customWidth="1"/>
    <col min="16351" max="16351" width="16.85546875" customWidth="1"/>
    <col min="16352" max="16353" width="13.28515625" customWidth="1"/>
    <col min="16354" max="16354" width="12.85546875" customWidth="1"/>
    <col min="16355" max="16355" width="12.42578125" customWidth="1"/>
    <col min="16356" max="16356" width="9" customWidth="1"/>
    <col min="16357" max="16357" width="9.28515625" customWidth="1"/>
    <col min="16358" max="16358" width="8.5703125" customWidth="1"/>
    <col min="16359" max="16359" width="6.85546875" customWidth="1"/>
    <col min="16360" max="16360" width="9" customWidth="1"/>
    <col min="16361" max="16361" width="9.140625" customWidth="1"/>
    <col min="16362" max="16362" width="7.42578125" customWidth="1"/>
    <col min="16363" max="16364" width="7.5703125" customWidth="1"/>
    <col min="16365" max="16365" width="6.7109375" customWidth="1"/>
    <col min="16366" max="16366" width="6.140625" customWidth="1"/>
    <col min="16367" max="16367" width="12.42578125" customWidth="1"/>
    <col min="16368" max="16368" width="7.140625" customWidth="1"/>
    <col min="16369" max="16369" width="5.42578125" customWidth="1"/>
    <col min="16370" max="16370" width="6.28515625" customWidth="1"/>
    <col min="16371" max="16371" width="8.5703125" customWidth="1"/>
    <col min="16372" max="16372" width="7" customWidth="1"/>
    <col min="16373" max="16373" width="9.85546875" customWidth="1"/>
    <col min="16374" max="16374" width="8.28515625" customWidth="1"/>
    <col min="16375" max="16375" width="12.42578125" customWidth="1"/>
    <col min="16376" max="16376" width="9.5703125" customWidth="1"/>
    <col min="16377" max="16377" width="13.28515625" customWidth="1"/>
    <col min="16378" max="16378" width="8.42578125" customWidth="1"/>
    <col min="16379" max="16379" width="11.28515625" customWidth="1"/>
    <col min="16380" max="16380" width="40.5703125" customWidth="1"/>
    <col min="16381" max="16381" width="29.42578125" customWidth="1"/>
    <col min="16382" max="16382" width="30.5703125" customWidth="1"/>
    <col min="16383" max="16383" width="22" customWidth="1"/>
    <col min="16384" max="16384" width="17.140625" customWidth="1"/>
  </cols>
  <sheetData>
    <row r="1" spans="1:26" ht="34.9" customHeight="1">
      <c r="A1" s="37"/>
      <c r="B1" s="430" t="s">
        <v>28</v>
      </c>
      <c r="C1" s="430"/>
      <c r="D1" s="430"/>
      <c r="E1" s="430"/>
      <c r="F1" s="430"/>
      <c r="G1" s="445" t="str">
        <f>'Ene-26'!G1:M1</f>
        <v>RABLEB SRL</v>
      </c>
      <c r="H1" s="445"/>
      <c r="I1" s="445"/>
      <c r="J1" s="445"/>
      <c r="K1" s="445"/>
      <c r="L1" s="445"/>
      <c r="M1" s="445"/>
      <c r="N1" s="427">
        <f>EDATE('Ene-26'!N1,8)</f>
        <v>46266</v>
      </c>
      <c r="O1" s="427"/>
      <c r="P1" s="427"/>
      <c r="Q1" s="427"/>
      <c r="R1" s="427"/>
    </row>
    <row r="2" spans="1:26" ht="15" customHeight="1"/>
    <row r="3" spans="1:26" ht="26.45" customHeight="1">
      <c r="B3" s="433" t="s">
        <v>65</v>
      </c>
      <c r="C3" s="433"/>
      <c r="D3" s="433"/>
      <c r="E3" s="433"/>
      <c r="F3" s="38"/>
      <c r="G3" s="433" t="s">
        <v>37</v>
      </c>
      <c r="H3" s="433"/>
      <c r="I3" s="38"/>
      <c r="J3" s="441" t="s">
        <v>14</v>
      </c>
      <c r="K3" s="441"/>
      <c r="L3" s="38"/>
      <c r="M3" s="441" t="s">
        <v>12</v>
      </c>
      <c r="N3" s="441"/>
      <c r="O3" s="38"/>
      <c r="P3" s="439" t="s">
        <v>90</v>
      </c>
      <c r="Q3" s="439"/>
      <c r="R3" s="439"/>
    </row>
    <row r="4" spans="1:26" ht="25.15" customHeight="1">
      <c r="B4" s="434">
        <f>SUM(compras_mes9[[#Totals],[NETO GRAVADO]])+extracto_banco_mes9[[#Totals],[NETO]]</f>
        <v>0</v>
      </c>
      <c r="C4" s="434"/>
      <c r="D4" s="434"/>
      <c r="E4" s="434"/>
      <c r="F4" s="39"/>
      <c r="G4" s="435">
        <f>compras_mes9[[#Totals],[IVA 21 %]]+compras_mes9[[#Totals],[IVA 27%]]+compras_mes9[[#Totals],[IVA 10,5%]]+extracto_banco_mes9[[#Totals],[IVA 21%]]+extracto_banco_mes9[[#Totals],[IVA 10,5%]]</f>
        <v>0</v>
      </c>
      <c r="H4" s="435"/>
      <c r="I4" s="39"/>
      <c r="J4" s="442">
        <f>venta_a_mes9[[#Totals],[IMPORTE NETO]]+ventas_b_mes9[[#Totals],[IMPORTE NETO]]</f>
        <v>0</v>
      </c>
      <c r="K4" s="442"/>
      <c r="L4" s="39"/>
      <c r="M4" s="442">
        <f>venta_a_mes9[[#Totals],[IVA 21%]]+venta_a_mes9[[#Totals],[IVA 10,5%]]+ventas_b_mes9[[#Totals],[IVA 21%]]+ventas_b_mes9[[#Totals],[IVA 10,5%]]</f>
        <v>0</v>
      </c>
      <c r="N4" s="442"/>
      <c r="O4" s="39"/>
      <c r="P4" s="437">
        <f>G4-M4</f>
        <v>0</v>
      </c>
      <c r="Q4" s="438"/>
      <c r="R4" s="438"/>
    </row>
    <row r="5" spans="1:26" ht="13.15" customHeight="1"/>
    <row r="6" spans="1:26" ht="17.25" customHeight="1"/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s="126" customFormat="1">
      <c r="B9" s="254"/>
      <c r="C9" s="256"/>
      <c r="D9" s="255"/>
      <c r="E9" s="257"/>
      <c r="F9" s="258"/>
      <c r="G9" s="259" t="str">
        <f>IFERROR(IF(compras_mes9[[#This Row],[CUIT]]="","-",VLOOKUP(compras_mes9[[#This Row],[CUIT]],Lista_CUIT[#All],2,0)),"CUIT NO CARGADO")</f>
        <v>-</v>
      </c>
      <c r="H9" s="127"/>
      <c r="I9" s="260" t="str">
        <f>IF(compras_mes9[[#This Row],[NETO GRAVADO]]="","",compras_mes9[[#This Row],[NETO GRAVADO]]*0.21)</f>
        <v/>
      </c>
      <c r="J9" s="260"/>
      <c r="K9" s="260"/>
      <c r="L9" s="260"/>
      <c r="M9" s="260"/>
      <c r="N9" s="260"/>
      <c r="O9" s="260"/>
      <c r="P9" s="248">
        <f>SUM(compras_mes9[[#This Row],[NETO GRAVADO]:[Otros / No Grav.]])</f>
        <v>0</v>
      </c>
      <c r="Q9" s="261" t="str">
        <f>IFERROR(IF(compras_mes9[[#This Row],[CUIT]]="","-",VLOOKUP(compras_mes9[[#This Row],[CUIT]],Lista_CUIT[#All],3,0)),"CUIT NO CARGADO")</f>
        <v>-</v>
      </c>
      <c r="R9" s="261" t="str">
        <f>IFERROR(IF(compras_mes9[[#This Row],[CUIT]]="","-",VLOOKUP(compras_mes9[[#This Row],[CUIT]],Lista_CUIT[#All],4,0)),"CUIT NO CARGADO")</f>
        <v>-</v>
      </c>
    </row>
    <row r="10" spans="1:26" s="126" customFormat="1">
      <c r="B10" s="254"/>
      <c r="C10" s="256"/>
      <c r="D10" s="255"/>
      <c r="E10" s="257"/>
      <c r="F10" s="258"/>
      <c r="G10" s="259" t="str">
        <f>IFERROR(IF(compras_mes9[[#This Row],[CUIT]]="","-",VLOOKUP(compras_mes9[[#This Row],[CUIT]],Lista_CUIT[#All],2,0)),"CUIT NO CARGADO")</f>
        <v>-</v>
      </c>
      <c r="H10" s="127"/>
      <c r="I10" s="260" t="str">
        <f>IF(compras_mes9[[#This Row],[NETO GRAVADO]]="","",compras_mes9[[#This Row],[NETO GRAVADO]]*0.21)</f>
        <v/>
      </c>
      <c r="J10" s="260"/>
      <c r="K10" s="260"/>
      <c r="L10" s="260"/>
      <c r="M10" s="260"/>
      <c r="N10" s="260"/>
      <c r="O10" s="260"/>
      <c r="P10" s="248">
        <f>SUM(compras_mes9[[#This Row],[NETO GRAVADO]:[Otros / No Grav.]])</f>
        <v>0</v>
      </c>
      <c r="Q10" s="261" t="str">
        <f>IFERROR(IF(compras_mes9[[#This Row],[CUIT]]="","-",VLOOKUP(compras_mes9[[#This Row],[CUIT]],Lista_CUIT[#All],3,0)),"CUIT NO CARGADO")</f>
        <v>-</v>
      </c>
      <c r="R10" s="261" t="str">
        <f>IFERROR(IF(compras_mes9[[#This Row],[CUIT]]="","-",VLOOKUP(compras_mes9[[#This Row],[CUIT]],Lista_CUIT[#All],4,0)),"CUIT NO CARGADO")</f>
        <v>-</v>
      </c>
    </row>
    <row r="11" spans="1:26" s="126" customFormat="1">
      <c r="B11" s="262"/>
      <c r="C11" s="256"/>
      <c r="D11" s="263"/>
      <c r="E11" s="264"/>
      <c r="F11" s="265"/>
      <c r="G11" s="266" t="str">
        <f>IFERROR(IF(compras_mes9[[#This Row],[CUIT]]="","-",VLOOKUP(compras_mes9[[#This Row],[CUIT]],Lista_CUIT[#All],2,0)),"CUIT NO CARGADO")</f>
        <v>-</v>
      </c>
      <c r="H11" s="267"/>
      <c r="I11" s="268" t="str">
        <f>IF(compras_mes9[[#This Row],[NETO GRAVADO]]="","",compras_mes9[[#This Row],[NETO GRAVADO]]*0.21)</f>
        <v/>
      </c>
      <c r="J11" s="268"/>
      <c r="K11" s="268"/>
      <c r="L11" s="268"/>
      <c r="M11" s="268"/>
      <c r="N11" s="268"/>
      <c r="O11" s="269"/>
      <c r="P11" s="247">
        <f>SUM(compras_mes9[[#This Row],[NETO GRAVADO]:[Otros / No Grav.]])</f>
        <v>0</v>
      </c>
      <c r="Q11" s="270" t="str">
        <f>IFERROR(IF(compras_mes9[[#This Row],[CUIT]]="","-",VLOOKUP(compras_mes9[[#This Row],[CUIT]],Lista_CUIT[#All],3,0)),"CUIT NO CARGADO")</f>
        <v>-</v>
      </c>
      <c r="R11" s="270" t="str">
        <f>IFERROR(IF(compras_mes9[[#This Row],[CUIT]]="","-",VLOOKUP(compras_mes9[[#This Row],[CUIT]],Lista_CUIT[#All],4,0)),"CUIT NO CARGADO")</f>
        <v>-</v>
      </c>
    </row>
    <row r="12" spans="1:26" s="126" customFormat="1">
      <c r="B12" s="262"/>
      <c r="C12" s="256"/>
      <c r="D12" s="263"/>
      <c r="E12" s="264"/>
      <c r="F12" s="265"/>
      <c r="G12" s="266" t="str">
        <f>IFERROR(IF(compras_mes9[[#This Row],[CUIT]]="","-",VLOOKUP(compras_mes9[[#This Row],[CUIT]],Lista_CUIT[#All],2,0)),"CUIT NO CARGADO")</f>
        <v>-</v>
      </c>
      <c r="H12" s="267"/>
      <c r="I12" s="268" t="str">
        <f>IF(compras_mes9[[#This Row],[NETO GRAVADO]]="","",compras_mes9[[#This Row],[NETO GRAVADO]]*0.21)</f>
        <v/>
      </c>
      <c r="J12" s="268"/>
      <c r="K12" s="268"/>
      <c r="L12" s="268"/>
      <c r="M12" s="268"/>
      <c r="N12" s="268"/>
      <c r="O12" s="268"/>
      <c r="P12" s="247">
        <f>SUM(compras_mes9[[#This Row],[NETO GRAVADO]:[Otros / No Grav.]])</f>
        <v>0</v>
      </c>
      <c r="Q12" s="270" t="str">
        <f>IFERROR(IF(compras_mes9[[#This Row],[CUIT]]="","-",VLOOKUP(compras_mes9[[#This Row],[CUIT]],Lista_CUIT[#All],3,0)),"CUIT NO CARGADO")</f>
        <v>-</v>
      </c>
      <c r="R12" s="270" t="str">
        <f>IFERROR(IF(compras_mes9[[#This Row],[CUIT]]="","-",VLOOKUP(compras_mes9[[#This Row],[CUIT]],Lista_CUIT[#All],4,0)),"CUIT NO CARGADO")</f>
        <v>-</v>
      </c>
    </row>
    <row r="13" spans="1:26" s="126" customFormat="1">
      <c r="B13" s="254"/>
      <c r="C13" s="256"/>
      <c r="D13" s="255"/>
      <c r="E13" s="257"/>
      <c r="F13" s="258"/>
      <c r="G13" s="259" t="str">
        <f>IFERROR(IF(compras_mes9[[#This Row],[CUIT]]="","-",VLOOKUP(compras_mes9[[#This Row],[CUIT]],Lista_CUIT[#All],2,0)),"CUIT NO CARGADO")</f>
        <v>-</v>
      </c>
      <c r="H13" s="127"/>
      <c r="I13" s="260" t="str">
        <f>IF(compras_mes9[[#This Row],[NETO GRAVADO]]="","",compras_mes9[[#This Row],[NETO GRAVADO]]*0.21)</f>
        <v/>
      </c>
      <c r="J13" s="260"/>
      <c r="K13" s="260"/>
      <c r="L13" s="260"/>
      <c r="M13" s="260"/>
      <c r="N13" s="260"/>
      <c r="O13" s="269"/>
      <c r="P13" s="248">
        <f>SUM(compras_mes9[[#This Row],[NETO GRAVADO]:[Otros / No Grav.]])</f>
        <v>0</v>
      </c>
      <c r="Q13" s="261" t="str">
        <f>IFERROR(IF(compras_mes9[[#This Row],[CUIT]]="","-",VLOOKUP(compras_mes9[[#This Row],[CUIT]],Lista_CUIT[#All],3,0)),"CUIT NO CARGADO")</f>
        <v>-</v>
      </c>
      <c r="R13" s="261" t="str">
        <f>IFERROR(IF(compras_mes9[[#This Row],[CUIT]]="","-",VLOOKUP(compras_mes9[[#This Row],[CUIT]],Lista_CUIT[#All],4,0)),"CUIT NO CARGADO")</f>
        <v>-</v>
      </c>
    </row>
    <row r="14" spans="1:26" s="126" customFormat="1">
      <c r="B14" s="254"/>
      <c r="C14" s="256"/>
      <c r="D14" s="255"/>
      <c r="E14" s="257"/>
      <c r="F14" s="258"/>
      <c r="G14" s="259" t="str">
        <f>IFERROR(IF(compras_mes9[[#This Row],[CUIT]]="","-",VLOOKUP(compras_mes9[[#This Row],[CUIT]],Lista_CUIT[#All],2,0)),"CUIT NO CARGADO")</f>
        <v>-</v>
      </c>
      <c r="H14" s="127"/>
      <c r="I14" s="260" t="str">
        <f>IF(compras_mes9[[#This Row],[NETO GRAVADO]]="","",compras_mes9[[#This Row],[NETO GRAVADO]]*0.21)</f>
        <v/>
      </c>
      <c r="J14" s="260"/>
      <c r="K14" s="260"/>
      <c r="L14" s="260"/>
      <c r="M14" s="260"/>
      <c r="N14" s="260"/>
      <c r="O14" s="260"/>
      <c r="P14" s="248">
        <f>SUM(compras_mes9[[#This Row],[NETO GRAVADO]:[Otros / No Grav.]])</f>
        <v>0</v>
      </c>
      <c r="Q14" s="261" t="str">
        <f>IFERROR(IF(compras_mes9[[#This Row],[CUIT]]="","-",VLOOKUP(compras_mes9[[#This Row],[CUIT]],Lista_CUIT[#All],3,0)),"CUIT NO CARGADO")</f>
        <v>-</v>
      </c>
      <c r="R14" s="261" t="str">
        <f>IFERROR(IF(compras_mes9[[#This Row],[CUIT]]="","-",VLOOKUP(compras_mes9[[#This Row],[CUIT]],Lista_CUIT[#All],4,0)),"CUIT NO CARGADO")</f>
        <v>-</v>
      </c>
    </row>
    <row r="15" spans="1:26" s="126" customFormat="1">
      <c r="B15" s="254"/>
      <c r="C15" s="256"/>
      <c r="D15" s="255"/>
      <c r="E15" s="257"/>
      <c r="F15" s="258"/>
      <c r="G15" s="259" t="str">
        <f>IFERROR(IF(compras_mes9[[#This Row],[CUIT]]="","-",VLOOKUP(compras_mes9[[#This Row],[CUIT]],Lista_CUIT[#All],2,0)),"CUIT NO CARGADO")</f>
        <v>-</v>
      </c>
      <c r="H15" s="127"/>
      <c r="I15" s="260" t="str">
        <f>IF(compras_mes9[[#This Row],[NETO GRAVADO]]="","",compras_mes9[[#This Row],[NETO GRAVADO]]*0.21)</f>
        <v/>
      </c>
      <c r="J15" s="260"/>
      <c r="K15" s="260"/>
      <c r="L15" s="260"/>
      <c r="M15" s="260"/>
      <c r="N15" s="260"/>
      <c r="O15" s="269"/>
      <c r="P15" s="248">
        <f>SUM(compras_mes9[[#This Row],[NETO GRAVADO]:[Otros / No Grav.]])</f>
        <v>0</v>
      </c>
      <c r="Q15" s="261" t="str">
        <f>IFERROR(IF(compras_mes9[[#This Row],[CUIT]]="","-",VLOOKUP(compras_mes9[[#This Row],[CUIT]],Lista_CUIT[#All],3,0)),"CUIT NO CARGADO")</f>
        <v>-</v>
      </c>
      <c r="R15" s="261" t="str">
        <f>IFERROR(IF(compras_mes9[[#This Row],[CUIT]]="","-",VLOOKUP(compras_mes9[[#This Row],[CUIT]],Lista_CUIT[#All],4,0)),"CUIT NO CARGADO")</f>
        <v>-</v>
      </c>
    </row>
    <row r="16" spans="1:26" s="271" customFormat="1" ht="18.600000000000001" customHeight="1">
      <c r="B16" s="262"/>
      <c r="C16" s="256"/>
      <c r="D16" s="263"/>
      <c r="E16" s="264"/>
      <c r="F16" s="265"/>
      <c r="G16" s="266" t="str">
        <f>IFERROR(IF(compras_mes9[[#This Row],[CUIT]]="","-",VLOOKUP(compras_mes9[[#This Row],[CUIT]],Lista_CUIT[#All],2,0)),"CUIT NO CARGADO")</f>
        <v>-</v>
      </c>
      <c r="H16" s="267"/>
      <c r="I16" s="268" t="str">
        <f>IF(compras_mes9[[#This Row],[NETO GRAVADO]]="","",compras_mes9[[#This Row],[NETO GRAVADO]]*0.21)</f>
        <v/>
      </c>
      <c r="J16" s="268"/>
      <c r="K16" s="268"/>
      <c r="L16" s="268"/>
      <c r="M16" s="268"/>
      <c r="N16" s="268"/>
      <c r="O16" s="269"/>
      <c r="P16" s="247">
        <f>SUM(compras_mes9[[#This Row],[NETO GRAVADO]:[Otros / No Grav.]])</f>
        <v>0</v>
      </c>
      <c r="Q16" s="270" t="str">
        <f>IFERROR(IF(compras_mes9[[#This Row],[CUIT]]="","-",VLOOKUP(compras_mes9[[#This Row],[CUIT]],Lista_CUIT[#All],3,0)),"CUIT NO CARGADO")</f>
        <v>-</v>
      </c>
      <c r="R16" s="270" t="str">
        <f>IFERROR(IF(compras_mes9[[#This Row],[CUIT]]="","-",VLOOKUP(compras_mes9[[#This Row],[CUIT]],Lista_CUIT[#All],4,0)),"CUIT NO CARGADO")</f>
        <v>-</v>
      </c>
    </row>
    <row r="17" spans="2:18" s="126" customFormat="1">
      <c r="B17" s="272"/>
      <c r="C17" s="256"/>
      <c r="D17" s="273"/>
      <c r="E17" s="274"/>
      <c r="F17" s="275"/>
      <c r="G17" s="276" t="str">
        <f>IFERROR(IF(compras_mes9[[#This Row],[CUIT]]="","-",VLOOKUP(compras_mes9[[#This Row],[CUIT]],Lista_CUIT[#All],2,0)),"CUIT NO CARGADO")</f>
        <v>-</v>
      </c>
      <c r="H17" s="277"/>
      <c r="I17" s="269" t="str">
        <f>IF(compras_mes9[[#This Row],[NETO GRAVADO]]="","",compras_mes9[[#This Row],[NETO GRAVADO]]*0.21)</f>
        <v/>
      </c>
      <c r="J17" s="269"/>
      <c r="K17" s="269"/>
      <c r="L17" s="269"/>
      <c r="M17" s="269"/>
      <c r="N17" s="269"/>
      <c r="O17" s="269"/>
      <c r="P17" s="278">
        <f>SUM(compras_mes9[[#This Row],[NETO GRAVADO]:[Otros / No Grav.]])</f>
        <v>0</v>
      </c>
      <c r="Q17" s="279" t="str">
        <f>IFERROR(IF(compras_mes9[[#This Row],[CUIT]]="","-",VLOOKUP(compras_mes9[[#This Row],[CUIT]],Lista_CUIT[#All],3,0)),"CUIT NO CARGADO")</f>
        <v>-</v>
      </c>
      <c r="R17" s="279" t="str">
        <f>IFERROR(IF(compras_mes9[[#This Row],[CUIT]]="","-",VLOOKUP(compras_mes9[[#This Row],[CUIT]],Lista_CUIT[#All],4,0)),"CUIT NO CARGADO")</f>
        <v>-</v>
      </c>
    </row>
    <row r="18" spans="2:18" s="126" customFormat="1">
      <c r="B18" s="272"/>
      <c r="C18" s="256"/>
      <c r="D18" s="273"/>
      <c r="E18" s="274"/>
      <c r="F18" s="275"/>
      <c r="G18" s="276" t="str">
        <f>IFERROR(IF(compras_mes9[[#This Row],[CUIT]]="","-",VLOOKUP(compras_mes9[[#This Row],[CUIT]],Lista_CUIT[#All],2,0)),"CUIT NO CARGADO")</f>
        <v>-</v>
      </c>
      <c r="H18" s="277"/>
      <c r="I18" s="269" t="str">
        <f>IF(compras_mes9[[#This Row],[NETO GRAVADO]]="","",compras_mes9[[#This Row],[NETO GRAVADO]]*0.21)</f>
        <v/>
      </c>
      <c r="J18" s="269"/>
      <c r="K18" s="269"/>
      <c r="L18" s="269"/>
      <c r="M18" s="269"/>
      <c r="N18" s="269"/>
      <c r="O18" s="269"/>
      <c r="P18" s="278">
        <f>SUM(compras_mes9[[#This Row],[NETO GRAVADO]:[Otros / No Grav.]])</f>
        <v>0</v>
      </c>
      <c r="Q18" s="279" t="str">
        <f>IFERROR(IF(compras_mes9[[#This Row],[CUIT]]="","-",VLOOKUP(compras_mes9[[#This Row],[CUIT]],Lista_CUIT[#All],3,0)),"CUIT NO CARGADO")</f>
        <v>-</v>
      </c>
      <c r="R18" s="279" t="str">
        <f>IFERROR(IF(compras_mes9[[#This Row],[CUIT]]="","-",VLOOKUP(compras_mes9[[#This Row],[CUIT]],Lista_CUIT[#All],4,0)),"CUIT NO CARGADO")</f>
        <v>-</v>
      </c>
    </row>
    <row r="19" spans="2:18" s="126" customFormat="1">
      <c r="B19" s="272"/>
      <c r="C19" s="256"/>
      <c r="D19" s="273"/>
      <c r="E19" s="274"/>
      <c r="F19" s="275"/>
      <c r="G19" s="276" t="str">
        <f>IFERROR(IF(compras_mes9[[#This Row],[CUIT]]="","-",VLOOKUP(compras_mes9[[#This Row],[CUIT]],Lista_CUIT[#All],2,0)),"CUIT NO CARGADO")</f>
        <v>-</v>
      </c>
      <c r="H19" s="277"/>
      <c r="I19" s="269" t="str">
        <f>IF(compras_mes9[[#This Row],[NETO GRAVADO]]="","",compras_mes9[[#This Row],[NETO GRAVADO]]*0.21)</f>
        <v/>
      </c>
      <c r="J19" s="269"/>
      <c r="K19" s="269"/>
      <c r="L19" s="269"/>
      <c r="M19" s="269"/>
      <c r="N19" s="269"/>
      <c r="O19" s="269"/>
      <c r="P19" s="278">
        <f>SUM(compras_mes9[[#This Row],[NETO GRAVADO]:[Otros / No Grav.]])</f>
        <v>0</v>
      </c>
      <c r="Q19" s="279" t="str">
        <f>IFERROR(IF(compras_mes9[[#This Row],[CUIT]]="","-",VLOOKUP(compras_mes9[[#This Row],[CUIT]],Lista_CUIT[#All],3,0)),"CUIT NO CARGADO")</f>
        <v>-</v>
      </c>
      <c r="R19" s="279" t="str">
        <f>IFERROR(IF(compras_mes9[[#This Row],[CUIT]]="","-",VLOOKUP(compras_mes9[[#This Row],[CUIT]],Lista_CUIT[#All],4,0)),"CUIT NO CARGADO")</f>
        <v>-</v>
      </c>
    </row>
    <row r="20" spans="2:18" s="126" customFormat="1" ht="14.45" customHeight="1">
      <c r="B20" s="272"/>
      <c r="C20" s="256"/>
      <c r="D20" s="273"/>
      <c r="E20" s="274"/>
      <c r="F20" s="275"/>
      <c r="G20" s="276" t="str">
        <f>IFERROR(IF(compras_mes9[[#This Row],[CUIT]]="","-",VLOOKUP(compras_mes9[[#This Row],[CUIT]],Lista_CUIT[#All],2,0)),"CUIT NO CARGADO")</f>
        <v>-</v>
      </c>
      <c r="H20" s="277"/>
      <c r="I20" s="269" t="str">
        <f>IF(compras_mes9[[#This Row],[NETO GRAVADO]]="","",compras_mes9[[#This Row],[NETO GRAVADO]]*0.21)</f>
        <v/>
      </c>
      <c r="J20" s="269"/>
      <c r="K20" s="269"/>
      <c r="L20" s="269"/>
      <c r="M20" s="269"/>
      <c r="N20" s="269"/>
      <c r="O20" s="269"/>
      <c r="P20" s="278">
        <f>SUM(compras_mes9[[#This Row],[NETO GRAVADO]:[Otros / No Grav.]])</f>
        <v>0</v>
      </c>
      <c r="Q20" s="279" t="str">
        <f>IFERROR(IF(compras_mes9[[#This Row],[CUIT]]="","-",VLOOKUP(compras_mes9[[#This Row],[CUIT]],Lista_CUIT[#All],3,0)),"CUIT NO CARGADO")</f>
        <v>-</v>
      </c>
      <c r="R20" s="279" t="str">
        <f>IFERROR(IF(compras_mes9[[#This Row],[CUIT]]="","-",VLOOKUP(compras_mes9[[#This Row],[CUIT]],Lista_CUIT[#All],4,0)),"CUIT NO CARGADO")</f>
        <v>-</v>
      </c>
    </row>
    <row r="21" spans="2:18" s="126" customFormat="1">
      <c r="B21" s="272"/>
      <c r="C21" s="256"/>
      <c r="D21" s="273"/>
      <c r="E21" s="274"/>
      <c r="F21" s="275"/>
      <c r="G21" s="276" t="str">
        <f>IFERROR(IF(compras_mes9[[#This Row],[CUIT]]="","-",VLOOKUP(compras_mes9[[#This Row],[CUIT]],Lista_CUIT[#All],2,0)),"CUIT NO CARGADO")</f>
        <v>-</v>
      </c>
      <c r="H21" s="277"/>
      <c r="I21" s="269" t="str">
        <f>IF(compras_mes9[[#This Row],[NETO GRAVADO]]="","",compras_mes9[[#This Row],[NETO GRAVADO]]*0.21)</f>
        <v/>
      </c>
      <c r="J21" s="269"/>
      <c r="K21" s="269"/>
      <c r="L21" s="269"/>
      <c r="M21" s="269"/>
      <c r="N21" s="269"/>
      <c r="O21" s="269"/>
      <c r="P21" s="278">
        <f>SUM(compras_mes9[[#This Row],[NETO GRAVADO]:[Otros / No Grav.]])</f>
        <v>0</v>
      </c>
      <c r="Q21" s="279" t="str">
        <f>IFERROR(IF(compras_mes9[[#This Row],[CUIT]]="","-",VLOOKUP(compras_mes9[[#This Row],[CUIT]],Lista_CUIT[#All],3,0)),"CUIT NO CARGADO")</f>
        <v>-</v>
      </c>
      <c r="R21" s="279" t="str">
        <f>IFERROR(IF(compras_mes9[[#This Row],[CUIT]]="","-",VLOOKUP(compras_mes9[[#This Row],[CUIT]],Lista_CUIT[#All],4,0)),"CUIT NO CARGADO")</f>
        <v>-</v>
      </c>
    </row>
    <row r="22" spans="2:18" s="126" customFormat="1">
      <c r="B22" s="272"/>
      <c r="C22" s="256"/>
      <c r="D22" s="273"/>
      <c r="E22" s="274"/>
      <c r="F22" s="275"/>
      <c r="G22" s="276" t="str">
        <f>IFERROR(IF(compras_mes9[[#This Row],[CUIT]]="","-",VLOOKUP(compras_mes9[[#This Row],[CUIT]],Lista_CUIT[#All],2,0)),"CUIT NO CARGADO")</f>
        <v>-</v>
      </c>
      <c r="H22" s="277"/>
      <c r="I22" s="269" t="str">
        <f>IF(compras_mes9[[#This Row],[NETO GRAVADO]]="","",compras_mes9[[#This Row],[NETO GRAVADO]]*0.21)</f>
        <v/>
      </c>
      <c r="J22" s="269"/>
      <c r="K22" s="269"/>
      <c r="L22" s="269"/>
      <c r="M22" s="269"/>
      <c r="N22" s="269"/>
      <c r="O22" s="269"/>
      <c r="P22" s="278">
        <f>SUM(compras_mes9[[#This Row],[NETO GRAVADO]:[Otros / No Grav.]])</f>
        <v>0</v>
      </c>
      <c r="Q22" s="279" t="str">
        <f>IFERROR(IF(compras_mes9[[#This Row],[CUIT]]="","-",VLOOKUP(compras_mes9[[#This Row],[CUIT]],Lista_CUIT[#All],3,0)),"CUIT NO CARGADO")</f>
        <v>-</v>
      </c>
      <c r="R22" s="279" t="str">
        <f>IFERROR(IF(compras_mes9[[#This Row],[CUIT]]="","-",VLOOKUP(compras_mes9[[#This Row],[CUIT]],Lista_CUIT[#All],4,0)),"CUIT NO CARGADO")</f>
        <v>-</v>
      </c>
    </row>
    <row r="23" spans="2:18" ht="14.45" customHeight="1">
      <c r="B23" s="293"/>
      <c r="C23" s="256"/>
      <c r="D23" s="295"/>
      <c r="E23" s="296"/>
      <c r="F23" s="297"/>
      <c r="G23" s="298" t="str">
        <f>IFERROR(IF(compras_mes9[[#This Row],[CUIT]]="","-",VLOOKUP(compras_mes9[[#This Row],[CUIT]],Lista_CUIT[#All],2,0)),"CUIT NO CARGADO")</f>
        <v>-</v>
      </c>
      <c r="H23" s="299"/>
      <c r="I23" s="300" t="str">
        <f>IF(compras_mes9[[#This Row],[NETO GRAVADO]]="","",compras_mes9[[#This Row],[NETO GRAVADO]]*0.21)</f>
        <v/>
      </c>
      <c r="J23" s="300"/>
      <c r="K23" s="300"/>
      <c r="L23" s="300"/>
      <c r="M23" s="300"/>
      <c r="N23" s="300"/>
      <c r="O23" s="300"/>
      <c r="P23" s="249">
        <f>SUM(compras_mes9[[#This Row],[NETO GRAVADO]:[Otros / No Grav.]])</f>
        <v>0</v>
      </c>
      <c r="Q23" s="301" t="str">
        <f>IFERROR(IF(compras_mes9[[#This Row],[CUIT]]="","-",VLOOKUP(compras_mes9[[#This Row],[CUIT]],Lista_CUIT[#All],3,0)),"CUIT NO CARGADO")</f>
        <v>-</v>
      </c>
      <c r="R23" s="301" t="str">
        <f>IFERROR(IF(compras_mes9[[#This Row],[CUIT]]="","-",VLOOKUP(compras_mes9[[#This Row],[CUIT]],Lista_CUIT[#All],4,0)),"CUIT NO CARGADO")</f>
        <v>-</v>
      </c>
    </row>
    <row r="24" spans="2:18" ht="14.45" customHeight="1">
      <c r="B24" s="293"/>
      <c r="C24" s="256"/>
      <c r="D24" s="295"/>
      <c r="E24" s="296"/>
      <c r="F24" s="297"/>
      <c r="G24" s="298" t="str">
        <f>IFERROR(IF(compras_mes9[[#This Row],[CUIT]]="","-",VLOOKUP(compras_mes9[[#This Row],[CUIT]],Lista_CUIT[#All],2,0)),"CUIT NO CARGADO")</f>
        <v>-</v>
      </c>
      <c r="H24" s="299"/>
      <c r="I24" s="300" t="str">
        <f>IF(compras_mes9[[#This Row],[NETO GRAVADO]]="","",compras_mes9[[#This Row],[NETO GRAVADO]]*0.21)</f>
        <v/>
      </c>
      <c r="J24" s="300"/>
      <c r="K24" s="300"/>
      <c r="L24" s="300"/>
      <c r="M24" s="300"/>
      <c r="N24" s="300"/>
      <c r="O24" s="300"/>
      <c r="P24" s="249">
        <f>SUM(compras_mes9[[#This Row],[NETO GRAVADO]:[Otros / No Grav.]])</f>
        <v>0</v>
      </c>
      <c r="Q24" s="301" t="str">
        <f>IFERROR(IF(compras_mes9[[#This Row],[CUIT]]="","-",VLOOKUP(compras_mes9[[#This Row],[CUIT]],Lista_CUIT[#All],3,0)),"CUIT NO CARGADO")</f>
        <v>-</v>
      </c>
      <c r="R24" s="301" t="str">
        <f>IFERROR(IF(compras_mes9[[#This Row],[CUIT]]="","-",VLOOKUP(compras_mes9[[#This Row],[CUIT]],Lista_CUIT[#All],4,0)),"CUIT NO CARGADO")</f>
        <v>-</v>
      </c>
    </row>
    <row r="25" spans="2:18" ht="15" customHeight="1">
      <c r="B25" s="293"/>
      <c r="C25" s="256"/>
      <c r="D25" s="295"/>
      <c r="E25" s="296"/>
      <c r="F25" s="297"/>
      <c r="G25" s="298" t="str">
        <f>IFERROR(IF(compras_mes9[[#This Row],[CUIT]]="","-",VLOOKUP(compras_mes9[[#This Row],[CUIT]],Lista_CUIT[#All],2,0)),"CUIT NO CARGADO")</f>
        <v>-</v>
      </c>
      <c r="H25" s="299"/>
      <c r="I25" s="300" t="str">
        <f>IF(compras_mes9[[#This Row],[NETO GRAVADO]]="","",compras_mes9[[#This Row],[NETO GRAVADO]]*0.21)</f>
        <v/>
      </c>
      <c r="J25" s="300"/>
      <c r="K25" s="300"/>
      <c r="L25" s="300"/>
      <c r="M25" s="300"/>
      <c r="N25" s="300"/>
      <c r="O25" s="300"/>
      <c r="P25" s="249">
        <f>SUM(compras_mes9[[#This Row],[NETO GRAVADO]:[Otros / No Grav.]])</f>
        <v>0</v>
      </c>
      <c r="Q25" s="301" t="str">
        <f>IFERROR(IF(compras_mes9[[#This Row],[CUIT]]="","-",VLOOKUP(compras_mes9[[#This Row],[CUIT]],Lista_CUIT[#All],3,0)),"CUIT NO CARGADO")</f>
        <v>-</v>
      </c>
      <c r="R25" s="301" t="str">
        <f>IFERROR(IF(compras_mes9[[#This Row],[CUIT]]="","-",VLOOKUP(compras_mes9[[#This Row],[CUIT]],Lista_CUIT[#All],4,0)),"CUIT NO CARGADO")</f>
        <v>-</v>
      </c>
    </row>
    <row r="26" spans="2:18" ht="15" customHeight="1">
      <c r="B26" s="293"/>
      <c r="C26" s="256"/>
      <c r="D26" s="295"/>
      <c r="E26" s="296"/>
      <c r="F26" s="297"/>
      <c r="G26" s="298" t="str">
        <f>IFERROR(IF(compras_mes9[[#This Row],[CUIT]]="","-",VLOOKUP(compras_mes9[[#This Row],[CUIT]],Lista_CUIT[#All],2,0)),"CUIT NO CARGADO")</f>
        <v>-</v>
      </c>
      <c r="H26" s="299"/>
      <c r="I26" s="300" t="str">
        <f>IF(compras_mes9[[#This Row],[NETO GRAVADO]]="","",compras_mes9[[#This Row],[NETO GRAVADO]]*0.21)</f>
        <v/>
      </c>
      <c r="J26" s="300"/>
      <c r="K26" s="300"/>
      <c r="L26" s="300"/>
      <c r="M26" s="300"/>
      <c r="N26" s="300"/>
      <c r="O26" s="300"/>
      <c r="P26" s="249">
        <f>SUM(compras_mes9[[#This Row],[NETO GRAVADO]:[Otros / No Grav.]])</f>
        <v>0</v>
      </c>
      <c r="Q26" s="301" t="str">
        <f>IFERROR(IF(compras_mes9[[#This Row],[CUIT]]="","-",VLOOKUP(compras_mes9[[#This Row],[CUIT]],Lista_CUIT[#All],3,0)),"CUIT NO CARGADO")</f>
        <v>-</v>
      </c>
      <c r="R26" s="301" t="str">
        <f>IFERROR(IF(compras_mes9[[#This Row],[CUIT]]="","-",VLOOKUP(compras_mes9[[#This Row],[CUIT]],Lista_CUIT[#All],4,0)),"CUIT NO CARGADO")</f>
        <v>-</v>
      </c>
    </row>
    <row r="27" spans="2:18" ht="15" customHeight="1">
      <c r="B27" s="293"/>
      <c r="C27" s="256"/>
      <c r="D27" s="295"/>
      <c r="E27" s="296"/>
      <c r="F27" s="297"/>
      <c r="G27" s="298" t="str">
        <f>IFERROR(IF(compras_mes9[[#This Row],[CUIT]]="","-",VLOOKUP(compras_mes9[[#This Row],[CUIT]],Lista_CUIT[#All],2,0)),"CUIT NO CARGADO")</f>
        <v>-</v>
      </c>
      <c r="H27" s="299"/>
      <c r="I27" s="300" t="str">
        <f>IF(compras_mes9[[#This Row],[NETO GRAVADO]]="","",compras_mes9[[#This Row],[NETO GRAVADO]]*0.21)</f>
        <v/>
      </c>
      <c r="J27" s="300"/>
      <c r="K27" s="300"/>
      <c r="L27" s="300"/>
      <c r="M27" s="300"/>
      <c r="N27" s="300"/>
      <c r="O27" s="300"/>
      <c r="P27" s="249">
        <f>SUM(compras_mes9[[#This Row],[NETO GRAVADO]:[Otros / No Grav.]])</f>
        <v>0</v>
      </c>
      <c r="Q27" s="301" t="str">
        <f>IFERROR(IF(compras_mes9[[#This Row],[CUIT]]="","-",VLOOKUP(compras_mes9[[#This Row],[CUIT]],Lista_CUIT[#All],3,0)),"CUIT NO CARGADO")</f>
        <v>-</v>
      </c>
      <c r="R27" s="301" t="str">
        <f>IFERROR(IF(compras_mes9[[#This Row],[CUIT]]="","-",VLOOKUP(compras_mes9[[#This Row],[CUIT]],Lista_CUIT[#All],4,0)),"CUIT NO CARGADO")</f>
        <v>-</v>
      </c>
    </row>
    <row r="28" spans="2:18" ht="15" customHeight="1">
      <c r="B28" s="293"/>
      <c r="C28" s="294"/>
      <c r="D28" s="295"/>
      <c r="E28" s="296"/>
      <c r="F28" s="297"/>
      <c r="G28" s="298" t="str">
        <f>IFERROR(IF(compras_mes9[[#This Row],[CUIT]]="","-",VLOOKUP(compras_mes9[[#This Row],[CUIT]],Lista_CUIT[#All],2,0)),"CUIT NO CARGADO")</f>
        <v>-</v>
      </c>
      <c r="H28" s="299"/>
      <c r="I28" s="300" t="str">
        <f>IF(compras_mes9[[#This Row],[NETO GRAVADO]]="","",compras_mes9[[#This Row],[NETO GRAVADO]]*0.21)</f>
        <v/>
      </c>
      <c r="J28" s="300"/>
      <c r="K28" s="300"/>
      <c r="L28" s="300"/>
      <c r="M28" s="300"/>
      <c r="N28" s="300"/>
      <c r="O28" s="300"/>
      <c r="P28" s="249">
        <f>SUM(compras_mes9[[#This Row],[NETO GRAVADO]:[Otros / No Grav.]])</f>
        <v>0</v>
      </c>
      <c r="Q28" s="301" t="str">
        <f>IFERROR(IF(compras_mes9[[#This Row],[CUIT]]="","-",VLOOKUP(compras_mes9[[#This Row],[CUIT]],Lista_CUIT[#All],3,0)),"CUIT NO CARGADO")</f>
        <v>-</v>
      </c>
      <c r="R28" s="301" t="str">
        <f>IFERROR(IF(compras_mes9[[#This Row],[CUIT]]="","-",VLOOKUP(compras_mes9[[#This Row],[CUIT]],Lista_CUIT[#All],4,0)),"CUIT NO CARGADO")</f>
        <v>-</v>
      </c>
    </row>
    <row r="29" spans="2:18" ht="15" customHeight="1">
      <c r="B29" s="293"/>
      <c r="C29" s="294"/>
      <c r="D29" s="295"/>
      <c r="E29" s="296"/>
      <c r="F29" s="297"/>
      <c r="G29" s="298" t="str">
        <f>IFERROR(IF(compras_mes9[[#This Row],[CUIT]]="","-",VLOOKUP(compras_mes9[[#This Row],[CUIT]],Lista_CUIT[#All],2,0)),"CUIT NO CARGADO")</f>
        <v>-</v>
      </c>
      <c r="H29" s="299"/>
      <c r="I29" s="300" t="str">
        <f>IF(compras_mes9[[#This Row],[NETO GRAVADO]]="","",compras_mes9[[#This Row],[NETO GRAVADO]]*0.21)</f>
        <v/>
      </c>
      <c r="J29" s="300"/>
      <c r="K29" s="300"/>
      <c r="L29" s="300"/>
      <c r="M29" s="300"/>
      <c r="N29" s="300"/>
      <c r="O29" s="300"/>
      <c r="P29" s="249">
        <f>SUM(compras_mes9[[#This Row],[NETO GRAVADO]:[Otros / No Grav.]])</f>
        <v>0</v>
      </c>
      <c r="Q29" s="301" t="str">
        <f>IFERROR(IF(compras_mes9[[#This Row],[CUIT]]="","-",VLOOKUP(compras_mes9[[#This Row],[CUIT]],Lista_CUIT[#All],3,0)),"CUIT NO CARGADO")</f>
        <v>-</v>
      </c>
      <c r="R29" s="301" t="str">
        <f>IFERROR(IF(compras_mes9[[#This Row],[CUIT]]="","-",VLOOKUP(compras_mes9[[#This Row],[CUIT]],Lista_CUIT[#All],4,0)),"CUIT NO CARGADO")</f>
        <v>-</v>
      </c>
    </row>
    <row r="30" spans="2:18">
      <c r="B30" s="293"/>
      <c r="C30" s="294"/>
      <c r="D30" s="295"/>
      <c r="E30" s="296"/>
      <c r="F30" s="297"/>
      <c r="G30" s="298" t="str">
        <f>IFERROR(IF(compras_mes9[[#This Row],[CUIT]]="","-",VLOOKUP(compras_mes9[[#This Row],[CUIT]],Lista_CUIT[#All],2,0)),"CUIT NO CARGADO")</f>
        <v>-</v>
      </c>
      <c r="H30" s="299"/>
      <c r="I30" s="300" t="str">
        <f>IF(compras_mes9[[#This Row],[NETO GRAVADO]]="","",compras_mes9[[#This Row],[NETO GRAVADO]]*0.21)</f>
        <v/>
      </c>
      <c r="J30" s="300"/>
      <c r="K30" s="300"/>
      <c r="L30" s="300"/>
      <c r="M30" s="300"/>
      <c r="N30" s="300"/>
      <c r="O30" s="300"/>
      <c r="P30" s="249">
        <f>SUM(compras_mes9[[#This Row],[NETO GRAVADO]:[Otros / No Grav.]])</f>
        <v>0</v>
      </c>
      <c r="Q30" s="301" t="str">
        <f>IFERROR(IF(compras_mes9[[#This Row],[CUIT]]="","-",VLOOKUP(compras_mes9[[#This Row],[CUIT]],Lista_CUIT[#All],3,0)),"CUIT NO CARGADO")</f>
        <v>-</v>
      </c>
      <c r="R30" s="301" t="str">
        <f>IFERROR(IF(compras_mes9[[#This Row],[CUIT]]="","-",VLOOKUP(compras_mes9[[#This Row],[CUIT]],Lista_CUIT[#All],4,0)),"CUIT NO CARGADO")</f>
        <v>-</v>
      </c>
    </row>
    <row r="31" spans="2:18">
      <c r="B31" s="293"/>
      <c r="C31" s="294"/>
      <c r="D31" s="295"/>
      <c r="E31" s="296"/>
      <c r="F31" s="297"/>
      <c r="G31" s="298" t="str">
        <f>IFERROR(IF(compras_mes9[[#This Row],[CUIT]]="","-",VLOOKUP(compras_mes9[[#This Row],[CUIT]],Lista_CUIT[#All],2,0)),"CUIT NO CARGADO")</f>
        <v>-</v>
      </c>
      <c r="H31" s="299"/>
      <c r="I31" s="300" t="str">
        <f>IF(compras_mes9[[#This Row],[NETO GRAVADO]]="","",compras_mes9[[#This Row],[NETO GRAVADO]]*0.21)</f>
        <v/>
      </c>
      <c r="J31" s="300"/>
      <c r="K31" s="300"/>
      <c r="L31" s="300"/>
      <c r="M31" s="300"/>
      <c r="N31" s="300"/>
      <c r="O31" s="300"/>
      <c r="P31" s="249">
        <f>SUM(compras_mes9[[#This Row],[NETO GRAVADO]:[Otros / No Grav.]])</f>
        <v>0</v>
      </c>
      <c r="Q31" s="301" t="str">
        <f>IFERROR(IF(compras_mes9[[#This Row],[CUIT]]="","-",VLOOKUP(compras_mes9[[#This Row],[CUIT]],Lista_CUIT[#All],3,0)),"CUIT NO CARGADO")</f>
        <v>-</v>
      </c>
      <c r="R31" s="301" t="str">
        <f>IFERROR(IF(compras_mes9[[#This Row],[CUIT]]="","-",VLOOKUP(compras_mes9[[#This Row],[CUIT]],Lista_CUIT[#All],4,0)),"CUIT NO CARGADO")</f>
        <v>-</v>
      </c>
    </row>
    <row r="32" spans="2:18">
      <c r="B32" s="293"/>
      <c r="C32" s="294"/>
      <c r="D32" s="295"/>
      <c r="E32" s="296"/>
      <c r="F32" s="297"/>
      <c r="G32" s="298" t="str">
        <f>IFERROR(IF(compras_mes9[[#This Row],[CUIT]]="","-",VLOOKUP(compras_mes9[[#This Row],[CUIT]],Lista_CUIT[#All],2,0)),"CUIT NO CARGADO")</f>
        <v>-</v>
      </c>
      <c r="H32" s="299"/>
      <c r="I32" s="300" t="str">
        <f>IF(compras_mes9[[#This Row],[NETO GRAVADO]]="","",compras_mes9[[#This Row],[NETO GRAVADO]]*0.21)</f>
        <v/>
      </c>
      <c r="J32" s="300"/>
      <c r="K32" s="300"/>
      <c r="L32" s="300"/>
      <c r="M32" s="300"/>
      <c r="N32" s="300"/>
      <c r="O32" s="300"/>
      <c r="P32" s="249">
        <f>SUM(compras_mes9[[#This Row],[NETO GRAVADO]:[Otros / No Grav.]])</f>
        <v>0</v>
      </c>
      <c r="Q32" s="301" t="str">
        <f>IFERROR(IF(compras_mes9[[#This Row],[CUIT]]="","-",VLOOKUP(compras_mes9[[#This Row],[CUIT]],Lista_CUIT[#All],3,0)),"CUIT NO CARGADO")</f>
        <v>-</v>
      </c>
      <c r="R32" s="301" t="str">
        <f>IFERROR(IF(compras_mes9[[#This Row],[CUIT]]="","-",VLOOKUP(compras_mes9[[#This Row],[CUIT]],Lista_CUIT[#All],4,0)),"CUIT NO CARGADO")</f>
        <v>-</v>
      </c>
    </row>
    <row r="33" spans="2:18">
      <c r="B33" s="293"/>
      <c r="C33" s="294"/>
      <c r="D33" s="295"/>
      <c r="E33" s="296"/>
      <c r="F33" s="297"/>
      <c r="G33" s="298" t="str">
        <f>IFERROR(IF(compras_mes9[[#This Row],[CUIT]]="","-",VLOOKUP(compras_mes9[[#This Row],[CUIT]],Lista_CUIT[#All],2,0)),"CUIT NO CARGADO")</f>
        <v>-</v>
      </c>
      <c r="H33" s="299"/>
      <c r="I33" s="300" t="str">
        <f>IF(compras_mes9[[#This Row],[NETO GRAVADO]]="","",compras_mes9[[#This Row],[NETO GRAVADO]]*0.21)</f>
        <v/>
      </c>
      <c r="J33" s="300"/>
      <c r="K33" s="300"/>
      <c r="L33" s="300"/>
      <c r="M33" s="300"/>
      <c r="N33" s="300"/>
      <c r="O33" s="300"/>
      <c r="P33" s="249">
        <f>SUM(compras_mes9[[#This Row],[NETO GRAVADO]:[Otros / No Grav.]])</f>
        <v>0</v>
      </c>
      <c r="Q33" s="301" t="str">
        <f>IFERROR(IF(compras_mes9[[#This Row],[CUIT]]="","-",VLOOKUP(compras_mes9[[#This Row],[CUIT]],Lista_CUIT[#All],3,0)),"CUIT NO CARGADO")</f>
        <v>-</v>
      </c>
      <c r="R33" s="301" t="str">
        <f>IFERROR(IF(compras_mes9[[#This Row],[CUIT]]="","-",VLOOKUP(compras_mes9[[#This Row],[CUIT]],Lista_CUIT[#All],4,0)),"CUIT NO CARGADO")</f>
        <v>-</v>
      </c>
    </row>
    <row r="34" spans="2:18">
      <c r="B34" s="96" t="s">
        <v>91</v>
      </c>
      <c r="C34" s="96"/>
      <c r="D34" s="96"/>
      <c r="E34" s="96"/>
      <c r="F34" s="96"/>
      <c r="G34" s="97"/>
      <c r="H34" s="98">
        <f>SUBTOTAL(109,compras_mes9[NETO GRAVADO])</f>
        <v>0</v>
      </c>
      <c r="I34" s="98">
        <f>SUBTOTAL(109,compras_mes9[IVA 21 %])</f>
        <v>0</v>
      </c>
      <c r="J34" s="98">
        <f>SUBTOTAL(109,compras_mes9[IVA 27%])</f>
        <v>0</v>
      </c>
      <c r="K34" s="98">
        <f>SUBTOTAL(109,compras_mes9[IVA 10,5%])</f>
        <v>0</v>
      </c>
      <c r="L34" s="98">
        <f>SUBTOTAL(109,compras_mes9[PERC. IVA])</f>
        <v>0</v>
      </c>
      <c r="M34" s="98">
        <f>SUBTOTAL(109,compras_mes9[PERC IIBB 
BS AS])</f>
        <v>0</v>
      </c>
      <c r="N34" s="98">
        <f>SUBTOTAL(109,compras_mes9[PERC. IIBB CABA])</f>
        <v>0</v>
      </c>
      <c r="O34" s="98">
        <f>SUBTOTAL(109,compras_mes9[Otros / No Grav.])</f>
        <v>0</v>
      </c>
      <c r="P34" s="98">
        <f>SUBTOTAL(109,compras_mes9[TOTAL])</f>
        <v>0</v>
      </c>
      <c r="Q34" s="96"/>
      <c r="R34" s="96"/>
    </row>
    <row r="35" spans="2:18">
      <c r="B35" s="40"/>
      <c r="C35" s="41"/>
      <c r="D35" s="42"/>
      <c r="E35" s="43"/>
      <c r="F35" s="44"/>
      <c r="G35" s="45"/>
      <c r="H35" s="46"/>
      <c r="I35" s="47"/>
      <c r="J35" s="47"/>
      <c r="K35" s="47"/>
      <c r="L35" s="47"/>
      <c r="M35" s="47"/>
      <c r="N35" s="47"/>
      <c r="O35" s="47"/>
      <c r="P35" s="48"/>
      <c r="Q35" s="49"/>
      <c r="R35" s="49"/>
    </row>
    <row r="36" spans="2:18">
      <c r="B36" s="40"/>
      <c r="C36" s="41"/>
      <c r="D36" s="42"/>
      <c r="E36" s="43"/>
      <c r="F36" s="44"/>
      <c r="G36" s="45"/>
      <c r="H36" s="46"/>
      <c r="I36" s="47"/>
      <c r="J36" s="47"/>
      <c r="K36" s="47"/>
      <c r="L36" s="47"/>
      <c r="M36" s="47"/>
      <c r="N36" s="47"/>
      <c r="O36" s="47"/>
      <c r="P36" s="48"/>
      <c r="Q36" s="49"/>
      <c r="R36" s="49"/>
    </row>
    <row r="37" spans="2:18">
      <c r="B37" s="40"/>
      <c r="C37" s="41"/>
      <c r="D37" s="42"/>
      <c r="E37" s="43"/>
      <c r="F37" s="44"/>
      <c r="G37" s="45"/>
      <c r="H37" s="46"/>
      <c r="I37" s="47"/>
      <c r="J37" s="47"/>
      <c r="K37" s="47"/>
      <c r="L37" s="47"/>
      <c r="M37" s="47"/>
      <c r="N37" s="47"/>
      <c r="O37" s="47"/>
      <c r="P37" s="48"/>
      <c r="Q37" s="49"/>
      <c r="R37" s="49"/>
    </row>
    <row r="38" spans="2:18">
      <c r="B38" s="40"/>
      <c r="C38" s="41"/>
      <c r="D38" s="42"/>
      <c r="E38" s="43"/>
      <c r="F38" s="44"/>
      <c r="G38" s="45"/>
      <c r="H38" s="46"/>
      <c r="I38" s="47"/>
      <c r="J38" s="47"/>
      <c r="K38" s="47"/>
      <c r="L38" s="47"/>
    </row>
    <row r="39" spans="2:18" ht="21">
      <c r="D39" s="428" t="s">
        <v>15</v>
      </c>
      <c r="E39" s="428"/>
      <c r="F39" s="428"/>
      <c r="G39" s="428"/>
      <c r="H39" s="428"/>
      <c r="I39" s="428"/>
      <c r="J39" s="428"/>
      <c r="K39" s="428"/>
      <c r="L39" s="428"/>
    </row>
    <row r="40" spans="2:18" ht="15.75">
      <c r="D40" s="73" t="s">
        <v>0</v>
      </c>
      <c r="E40" s="74" t="s">
        <v>26</v>
      </c>
      <c r="F40" s="74" t="s">
        <v>16</v>
      </c>
      <c r="G40" s="74" t="s">
        <v>5</v>
      </c>
      <c r="H40" s="74" t="s">
        <v>17</v>
      </c>
      <c r="I40" s="74" t="s">
        <v>7</v>
      </c>
      <c r="J40" s="75" t="s">
        <v>18</v>
      </c>
      <c r="K40" s="75" t="s">
        <v>19</v>
      </c>
      <c r="L40" s="76" t="s">
        <v>20</v>
      </c>
    </row>
    <row r="41" spans="2:18">
      <c r="D41" s="50"/>
      <c r="E41" s="79"/>
      <c r="F41" s="80"/>
      <c r="G41" s="81"/>
      <c r="H41" s="81">
        <f>extracto_banco_mes9[[#This Row],[NETO]]*0.21</f>
        <v>0</v>
      </c>
      <c r="I41" s="81"/>
      <c r="J41" s="81"/>
      <c r="K41" s="81"/>
      <c r="L41" s="81"/>
    </row>
    <row r="42" spans="2:18" ht="17.25" customHeight="1">
      <c r="D42" s="50"/>
      <c r="E42" s="79"/>
      <c r="F42" s="80"/>
      <c r="G42" s="81"/>
      <c r="H42" s="81">
        <f>extracto_banco_mes9[[#This Row],[NETO]]*0.21</f>
        <v>0</v>
      </c>
      <c r="I42" s="81"/>
      <c r="J42" s="81"/>
      <c r="K42" s="81"/>
      <c r="L42" s="81"/>
    </row>
    <row r="43" spans="2:18">
      <c r="D43" s="50"/>
      <c r="E43" s="79"/>
      <c r="F43" s="80"/>
      <c r="G43" s="81"/>
      <c r="H43" s="81">
        <f>extracto_banco_mes9[[#This Row],[NETO]]*0.21</f>
        <v>0</v>
      </c>
      <c r="I43" s="81"/>
      <c r="J43" s="81"/>
      <c r="K43" s="81"/>
      <c r="L43" s="81"/>
    </row>
    <row r="44" spans="2:18">
      <c r="D44" s="82" t="s">
        <v>91</v>
      </c>
      <c r="E44" s="80"/>
      <c r="F44" s="80"/>
      <c r="G44" s="83">
        <f>SUBTOTAL(109,extracto_banco_mes9[NETO])</f>
        <v>0</v>
      </c>
      <c r="H44" s="83">
        <f>SUBTOTAL(109,extracto_banco_mes9[IVA 21%])</f>
        <v>0</v>
      </c>
      <c r="I44" s="83">
        <f>SUBTOTAL(109,extracto_banco_mes9[IVA 10,5%])</f>
        <v>0</v>
      </c>
      <c r="J44" s="83">
        <f>SUBTOTAL(109,extracto_banco_mes9[RET IIBB CABA])</f>
        <v>0</v>
      </c>
      <c r="K44" s="83">
        <f>SUBTOTAL(109,extracto_banco_mes9[PERC IVA])</f>
        <v>0</v>
      </c>
      <c r="L44" s="83">
        <f>SUBTOTAL(109,extracto_banco_mes9[PERC IIBB])</f>
        <v>0</v>
      </c>
    </row>
    <row r="48" spans="2:18" ht="21">
      <c r="D48" s="428" t="s">
        <v>25</v>
      </c>
      <c r="E48" s="428"/>
      <c r="F48" s="428"/>
      <c r="G48" s="428"/>
      <c r="H48" s="428"/>
      <c r="I48" s="428"/>
      <c r="J48" s="428"/>
      <c r="K48" s="428"/>
    </row>
    <row r="49" spans="2:18">
      <c r="D49" s="51" t="s">
        <v>0</v>
      </c>
      <c r="E49" s="51" t="s">
        <v>2</v>
      </c>
      <c r="F49" s="51" t="s">
        <v>74</v>
      </c>
      <c r="G49" s="51" t="s">
        <v>3</v>
      </c>
      <c r="H49" s="51" t="s">
        <v>4</v>
      </c>
      <c r="I49" s="52" t="s">
        <v>10</v>
      </c>
      <c r="J49" s="51" t="s">
        <v>13</v>
      </c>
      <c r="K49" s="51" t="s">
        <v>38</v>
      </c>
    </row>
    <row r="50" spans="2:18">
      <c r="D50" s="50"/>
      <c r="E50" s="42"/>
      <c r="F50" s="43"/>
      <c r="G50" s="44"/>
      <c r="H50" s="53" t="str">
        <f>IFERROR(IF(factura_c_mes9[[#This Row],[CUIT]]="","-",VLOOKUP(factura_c_mes9[[#This Row],[CUIT]],Lista_CUIT[#All],2,0)),"CUIT NO CARGADO")</f>
        <v>-</v>
      </c>
      <c r="I50" s="81"/>
      <c r="J50" s="54" t="str">
        <f>IFERROR(IF(factura_c_mes9[[#This Row],[CUIT]]="","-",VLOOKUP(factura_c_mes9[[#This Row],[CUIT]],Lista_CUIT[#All],3,0)),"CUIT NO CARGADO")</f>
        <v>-</v>
      </c>
      <c r="K50" s="54" t="str">
        <f>IFERROR(IF(factura_c_mes9[[#This Row],[CUIT]]="","-",VLOOKUP(factura_c_mes9[[#This Row],[CUIT]],Lista_CUIT[#All],4,0)),"CUIT NO CARGADO")</f>
        <v>-</v>
      </c>
    </row>
    <row r="51" spans="2:18">
      <c r="D51" s="50"/>
      <c r="E51" s="42"/>
      <c r="F51" s="43"/>
      <c r="G51" s="44"/>
      <c r="H51" s="53" t="str">
        <f>IFERROR(IF(factura_c_mes9[[#This Row],[CUIT]]="","-",VLOOKUP(factura_c_mes9[[#This Row],[CUIT]],Lista_CUIT[#All],2,0)),"CUIT NO CARGADO")</f>
        <v>-</v>
      </c>
      <c r="I51" s="81"/>
      <c r="J51" s="54" t="str">
        <f>IFERROR(IF(factura_c_mes9[[#This Row],[CUIT]]="","-",VLOOKUP(factura_c_mes9[[#This Row],[CUIT]],Lista_CUIT[#All],3,0)),"CUIT NO CARGADO")</f>
        <v>-</v>
      </c>
      <c r="K51" s="54" t="str">
        <f>IFERROR(IF(factura_c_mes9[[#This Row],[CUIT]]="","-",VLOOKUP(factura_c_mes9[[#This Row],[CUIT]],Lista_CUIT[#All],4,0)),"CUIT NO CARGADO")</f>
        <v>-</v>
      </c>
    </row>
    <row r="52" spans="2:18">
      <c r="D52" s="50"/>
      <c r="E52" s="42"/>
      <c r="F52" s="43"/>
      <c r="G52" s="44"/>
      <c r="H52" s="53" t="str">
        <f>IFERROR(IF(factura_c_mes9[[#This Row],[CUIT]]="","-",VLOOKUP(factura_c_mes9[[#This Row],[CUIT]],Lista_CUIT[#All],2,0)),"CUIT NO CARGADO")</f>
        <v>-</v>
      </c>
      <c r="I52" s="81"/>
      <c r="J52" s="54" t="str">
        <f>IFERROR(IF(factura_c_mes9[[#This Row],[CUIT]]="","-",VLOOKUP(factura_c_mes9[[#This Row],[CUIT]],Lista_CUIT[#All],3,0)),"CUIT NO CARGADO")</f>
        <v>-</v>
      </c>
      <c r="K52" s="54" t="str">
        <f>IFERROR(IF(factura_c_mes9[[#This Row],[CUIT]]="","-",VLOOKUP(factura_c_mes9[[#This Row],[CUIT]],Lista_CUIT[#All],4,0)),"CUIT NO CARGADO")</f>
        <v>-</v>
      </c>
    </row>
    <row r="53" spans="2:18">
      <c r="D53" s="50"/>
      <c r="E53" s="42"/>
      <c r="F53" s="43"/>
      <c r="G53" s="44"/>
      <c r="H53" s="53" t="str">
        <f>IFERROR(IF(factura_c_mes9[[#This Row],[CUIT]]="","-",VLOOKUP(factura_c_mes9[[#This Row],[CUIT]],Lista_CUIT[#All],2,0)),"CUIT NO CARGADO")</f>
        <v>-</v>
      </c>
      <c r="I53" s="81"/>
      <c r="J53" s="54" t="str">
        <f>IFERROR(IF(factura_c_mes9[[#This Row],[CUIT]]="","-",VLOOKUP(factura_c_mes9[[#This Row],[CUIT]],Lista_CUIT[#All],3,0)),"CUIT NO CARGADO")</f>
        <v>-</v>
      </c>
      <c r="K53" s="54" t="str">
        <f>IFERROR(IF(factura_c_mes9[[#This Row],[CUIT]]="","-",VLOOKUP(factura_c_mes9[[#This Row],[CUIT]],Lista_CUIT[#All],4,0)),"CUIT NO CARGADO")</f>
        <v>-</v>
      </c>
    </row>
    <row r="54" spans="2:18">
      <c r="D54" s="252"/>
      <c r="E54" s="42"/>
      <c r="F54" s="43"/>
      <c r="G54" s="44"/>
      <c r="H54" s="244" t="str">
        <f>IFERROR(IF(factura_c_mes9[[#This Row],[CUIT]]="","-",VLOOKUP(factura_c_mes9[[#This Row],[CUIT]],Lista_CUIT[#All],2,0)),"CUIT NO CARGADO")</f>
        <v>-</v>
      </c>
      <c r="I54" s="81"/>
      <c r="J54" s="246" t="str">
        <f>IFERROR(IF(factura_c_mes9[[#This Row],[CUIT]]="","-",VLOOKUP(factura_c_mes9[[#This Row],[CUIT]],Lista_CUIT[#All],3,0)),"CUIT NO CARGADO")</f>
        <v>-</v>
      </c>
      <c r="K54" s="246" t="str">
        <f>IFERROR(IF(factura_c_mes9[[#This Row],[CUIT]]="","-",VLOOKUP(factura_c_mes9[[#This Row],[CUIT]],Lista_CUIT[#All],4,0)),"CUIT NO CARGADO")</f>
        <v>-</v>
      </c>
    </row>
    <row r="55" spans="2:18">
      <c r="B55" s="56"/>
      <c r="C55" s="56"/>
      <c r="D55" s="252"/>
      <c r="E55" s="252"/>
      <c r="F55" s="252"/>
      <c r="G55" s="250"/>
      <c r="H55" s="244" t="str">
        <f>IFERROR(IF(factura_c_mes9[[#This Row],[CUIT]]="","-",VLOOKUP(factura_c_mes9[[#This Row],[CUIT]],Lista_CUIT[#All],2,0)),"CUIT NO CARGADO")</f>
        <v>-</v>
      </c>
      <c r="I55" s="245"/>
      <c r="J55" s="246" t="str">
        <f>IFERROR(IF(factura_c_mes9[[#This Row],[CUIT]]="","-",VLOOKUP(factura_c_mes9[[#This Row],[CUIT]],Lista_CUIT[#All],3,0)),"CUIT NO CARGADO")</f>
        <v>-</v>
      </c>
      <c r="K55" s="246" t="str">
        <f>IFERROR(IF(factura_c_mes9[[#This Row],[CUIT]]="","-",VLOOKUP(factura_c_mes9[[#This Row],[CUIT]],Lista_CUIT[#All],4,0)),"CUIT NO CARGADO")</f>
        <v>-</v>
      </c>
      <c r="L55" s="56"/>
      <c r="M55" s="56"/>
      <c r="N55" s="56"/>
      <c r="O55" s="56"/>
      <c r="P55" s="56"/>
      <c r="Q55" s="56"/>
      <c r="R55" s="56"/>
    </row>
    <row r="56" spans="2:18">
      <c r="D56" s="55" t="s">
        <v>91</v>
      </c>
      <c r="E56" s="55"/>
      <c r="F56" s="55"/>
      <c r="G56" s="55"/>
      <c r="H56" s="57"/>
      <c r="I56" s="58">
        <f>SUBTOTAL(109,factura_c_mes9[TOTAL])</f>
        <v>0</v>
      </c>
      <c r="J56" s="55"/>
      <c r="K56" s="55"/>
    </row>
    <row r="60" spans="2:18" ht="26.25">
      <c r="B60" s="436" t="s">
        <v>29</v>
      </c>
      <c r="C60" s="436"/>
      <c r="D60" s="436"/>
      <c r="E60" s="436"/>
      <c r="F60" s="436"/>
      <c r="G60" s="436"/>
      <c r="H60" s="436"/>
      <c r="I60" s="436"/>
      <c r="J60" s="436"/>
      <c r="K60" s="432">
        <f>N1</f>
        <v>46266</v>
      </c>
      <c r="L60" s="432"/>
      <c r="M60" s="432"/>
    </row>
    <row r="62" spans="2:18" ht="21">
      <c r="B62" s="429" t="s">
        <v>30</v>
      </c>
      <c r="C62" s="429"/>
    </row>
    <row r="63" spans="2:18" ht="15.75">
      <c r="B63" s="60" t="s">
        <v>0</v>
      </c>
      <c r="C63" s="61" t="s">
        <v>1</v>
      </c>
      <c r="D63" s="61" t="s">
        <v>21</v>
      </c>
      <c r="E63" s="61" t="s">
        <v>22</v>
      </c>
      <c r="F63" s="61" t="s">
        <v>3</v>
      </c>
      <c r="G63" s="61" t="s">
        <v>4</v>
      </c>
      <c r="H63" s="61" t="s">
        <v>23</v>
      </c>
      <c r="I63" s="61" t="s">
        <v>17</v>
      </c>
      <c r="J63" s="61" t="s">
        <v>7</v>
      </c>
      <c r="K63" s="61" t="s">
        <v>24</v>
      </c>
      <c r="L63" s="61" t="s">
        <v>10</v>
      </c>
      <c r="M63" s="62" t="s">
        <v>38</v>
      </c>
    </row>
    <row r="64" spans="2:18">
      <c r="B64" s="40"/>
      <c r="C64" s="41"/>
      <c r="D64" s="42"/>
      <c r="E64" s="43"/>
      <c r="F64" s="44"/>
      <c r="G64" s="99" t="str">
        <f>IFERROR(IF(venta_a_mes9[[#This Row],[CUIT]]="","-",VLOOKUP(venta_a_mes9[[#This Row],[CUIT]],Lista_CUIT[#All],2,0)),"CUIT NO CARGADO")</f>
        <v>-</v>
      </c>
      <c r="H64" s="100"/>
      <c r="I64" s="101">
        <f>venta_a_mes9[[#This Row],[IMPORTE NETO]]*0.21</f>
        <v>0</v>
      </c>
      <c r="J64" s="65"/>
      <c r="K64" s="65"/>
      <c r="L64" s="65">
        <f>SUM(venta_a_mes9[[#This Row],[IMPORTE NETO]:[EXENTO]])</f>
        <v>0</v>
      </c>
      <c r="M64" s="59"/>
    </row>
    <row r="65" spans="2:13">
      <c r="B65" s="40"/>
      <c r="C65" s="41"/>
      <c r="D65" s="42"/>
      <c r="E65" s="43"/>
      <c r="F65" s="44"/>
      <c r="G65" s="99" t="str">
        <f>IFERROR(IF(venta_a_mes9[[#This Row],[CUIT]]="","-",VLOOKUP(venta_a_mes9[[#This Row],[CUIT]],Lista_CUIT[#All],2,0)),"CUIT NO CARGADO")</f>
        <v>-</v>
      </c>
      <c r="H65" s="100"/>
      <c r="I65" s="101">
        <f>venta_a_mes9[[#This Row],[IMPORTE NETO]]*0.21</f>
        <v>0</v>
      </c>
      <c r="J65" s="65"/>
      <c r="K65" s="65"/>
      <c r="L65" s="65">
        <f>SUM(venta_a_mes9[[#This Row],[IMPORTE NETO]:[EXENTO]])</f>
        <v>0</v>
      </c>
      <c r="M65" s="59"/>
    </row>
    <row r="66" spans="2:13">
      <c r="B66" s="40"/>
      <c r="C66" s="41"/>
      <c r="D66" s="42"/>
      <c r="E66" s="43"/>
      <c r="F66" s="44"/>
      <c r="G66" s="99" t="str">
        <f>IFERROR(IF(venta_a_mes9[[#This Row],[CUIT]]="","-",VLOOKUP(venta_a_mes9[[#This Row],[CUIT]],Lista_CUIT[#All],2,0)),"CUIT NO CARGADO")</f>
        <v>-</v>
      </c>
      <c r="H66" s="100"/>
      <c r="I66" s="101">
        <f>venta_a_mes9[[#This Row],[IMPORTE NETO]]*0.21</f>
        <v>0</v>
      </c>
      <c r="J66" s="65"/>
      <c r="K66" s="65"/>
      <c r="L66" s="65">
        <f>SUM(venta_a_mes9[[#This Row],[IMPORTE NETO]:[EXENTO]])</f>
        <v>0</v>
      </c>
      <c r="M66" s="59"/>
    </row>
    <row r="67" spans="2:13">
      <c r="B67" s="40"/>
      <c r="C67" s="41"/>
      <c r="D67" s="42"/>
      <c r="E67" s="43"/>
      <c r="F67" s="44"/>
      <c r="G67" s="99" t="str">
        <f>IFERROR(IF(venta_a_mes9[[#This Row],[CUIT]]="","-",VLOOKUP(venta_a_mes9[[#This Row],[CUIT]],Lista_CUIT[#All],2,0)),"CUIT NO CARGADO")</f>
        <v>-</v>
      </c>
      <c r="H67" s="100"/>
      <c r="I67" s="101">
        <f>venta_a_mes9[[#This Row],[IMPORTE NETO]]*0.21</f>
        <v>0</v>
      </c>
      <c r="J67" s="65"/>
      <c r="K67" s="65"/>
      <c r="L67" s="65">
        <f>SUM(venta_a_mes9[[#This Row],[IMPORTE NETO]:[EXENTO]])</f>
        <v>0</v>
      </c>
      <c r="M67" s="59"/>
    </row>
    <row r="68" spans="2:13">
      <c r="B68" s="40"/>
      <c r="C68" s="41"/>
      <c r="D68" s="42"/>
      <c r="E68" s="43"/>
      <c r="F68" s="44"/>
      <c r="G68" s="99" t="str">
        <f>IFERROR(IF(venta_a_mes9[[#This Row],[CUIT]]="","-",VLOOKUP(venta_a_mes9[[#This Row],[CUIT]],Lista_CUIT[#All],2,0)),"CUIT NO CARGADO")</f>
        <v>-</v>
      </c>
      <c r="H68" s="100"/>
      <c r="I68" s="101">
        <f>venta_a_mes9[[#This Row],[IMPORTE NETO]]*0.21</f>
        <v>0</v>
      </c>
      <c r="J68" s="65"/>
      <c r="K68" s="65"/>
      <c r="L68" s="65">
        <f>SUM(venta_a_mes9[[#This Row],[IMPORTE NETO]:[EXENTO]])</f>
        <v>0</v>
      </c>
      <c r="M68" s="59"/>
    </row>
    <row r="69" spans="2:13">
      <c r="B69" s="40"/>
      <c r="C69" s="41"/>
      <c r="D69" s="42"/>
      <c r="E69" s="43"/>
      <c r="F69" s="44"/>
      <c r="G69" s="99" t="str">
        <f>IFERROR(IF(venta_a_mes9[[#This Row],[CUIT]]="","-",VLOOKUP(venta_a_mes9[[#This Row],[CUIT]],Lista_CUIT[#All],2,0)),"CUIT NO CARGADO")</f>
        <v>-</v>
      </c>
      <c r="H69" s="100"/>
      <c r="I69" s="101">
        <f>venta_a_mes9[[#This Row],[IMPORTE NETO]]*0.21</f>
        <v>0</v>
      </c>
      <c r="J69" s="65"/>
      <c r="K69" s="65"/>
      <c r="L69" s="65">
        <f>SUM(venta_a_mes9[[#This Row],[IMPORTE NETO]:[EXENTO]])</f>
        <v>0</v>
      </c>
      <c r="M69" s="59"/>
    </row>
    <row r="70" spans="2:13">
      <c r="B70" s="40"/>
      <c r="C70" s="41"/>
      <c r="D70" s="42"/>
      <c r="E70" s="43"/>
      <c r="F70" s="44"/>
      <c r="G70" s="99" t="str">
        <f>IFERROR(IF(venta_a_mes9[[#This Row],[CUIT]]="","-",VLOOKUP(venta_a_mes9[[#This Row],[CUIT]],Lista_CUIT[#All],2,0)),"CUIT NO CARGADO")</f>
        <v>-</v>
      </c>
      <c r="H70" s="100"/>
      <c r="I70" s="101">
        <f>venta_a_mes9[[#This Row],[IMPORTE NETO]]*0.21</f>
        <v>0</v>
      </c>
      <c r="J70" s="65"/>
      <c r="K70" s="65"/>
      <c r="L70" s="65">
        <f>SUM(venta_a_mes9[[#This Row],[IMPORTE NETO]:[EXENTO]])</f>
        <v>0</v>
      </c>
      <c r="M70" s="63"/>
    </row>
    <row r="71" spans="2:13">
      <c r="B71" s="102"/>
      <c r="C71" s="41"/>
      <c r="D71" s="42"/>
      <c r="E71" s="43"/>
      <c r="F71" s="44"/>
      <c r="G71" s="99" t="str">
        <f>IFERROR(IF(venta_a_mes9[[#This Row],[CUIT]]="","-",VLOOKUP(venta_a_mes9[[#This Row],[CUIT]],Lista_CUIT[#All],2,0)),"CUIT NO CARGADO")</f>
        <v>-</v>
      </c>
      <c r="H71" s="100"/>
      <c r="I71" s="107">
        <f>venta_a_mes9[[#This Row],[IMPORTE NETO]]*0.21</f>
        <v>0</v>
      </c>
      <c r="J71" s="65"/>
      <c r="K71" s="72"/>
      <c r="L71" s="72">
        <f>SUM(venta_a_mes9[[#This Row],[IMPORTE NETO]:[EXENTO]])</f>
        <v>0</v>
      </c>
      <c r="M71" s="63"/>
    </row>
    <row r="72" spans="2:13">
      <c r="B72" s="108"/>
      <c r="C72" s="41"/>
      <c r="D72" s="42"/>
      <c r="E72" s="43"/>
      <c r="F72" s="44"/>
      <c r="G72" s="99" t="str">
        <f>IFERROR(IF(venta_a_mes9[[#This Row],[CUIT]]="","-",VLOOKUP(venta_a_mes9[[#This Row],[CUIT]],Lista_CUIT[#All],2,0)),"CUIT NO CARGADO")</f>
        <v>-</v>
      </c>
      <c r="H72" s="100"/>
      <c r="I72" s="101">
        <f>venta_a_mes9[[#This Row],[IMPORTE NETO]]*0.21</f>
        <v>0</v>
      </c>
      <c r="J72" s="65"/>
      <c r="K72" s="65"/>
      <c r="L72" s="65">
        <f>SUM(venta_a_mes9[[#This Row],[IMPORTE NETO]:[EXENTO]])</f>
        <v>0</v>
      </c>
      <c r="M72" s="59"/>
    </row>
    <row r="73" spans="2:13">
      <c r="B73" s="207"/>
      <c r="C73" s="41"/>
      <c r="D73" s="42"/>
      <c r="E73" s="43"/>
      <c r="F73" s="44"/>
      <c r="G73" s="208" t="str">
        <f>IFERROR(IF(venta_a_mes9[[#This Row],[CUIT]]="","-",VLOOKUP(venta_a_mes9[[#This Row],[CUIT]],Lista_CUIT[#All],2,0)),"CUIT NO CARGADO")</f>
        <v>-</v>
      </c>
      <c r="H73" s="100"/>
      <c r="I73" s="209">
        <f>venta_a_mes9[[#This Row],[IMPORTE NETO]]*0.21</f>
        <v>0</v>
      </c>
      <c r="J73" s="65"/>
      <c r="K73" s="210"/>
      <c r="L73" s="210">
        <f>SUM(venta_a_mes9[[#This Row],[IMPORTE NETO]:[EXENTO]])</f>
        <v>0</v>
      </c>
      <c r="M73" s="211"/>
    </row>
    <row r="74" spans="2:13">
      <c r="B74" s="207"/>
      <c r="C74" s="41"/>
      <c r="D74" s="42"/>
      <c r="E74" s="43"/>
      <c r="F74" s="44"/>
      <c r="G74" s="208" t="str">
        <f>IFERROR(IF(venta_a_mes9[[#This Row],[CUIT]]="","-",VLOOKUP(venta_a_mes9[[#This Row],[CUIT]],Lista_CUIT[#All],2,0)),"CUIT NO CARGADO")</f>
        <v>-</v>
      </c>
      <c r="H74" s="100"/>
      <c r="I74" s="209">
        <f>venta_a_mes9[[#This Row],[IMPORTE NETO]]*0.21</f>
        <v>0</v>
      </c>
      <c r="J74" s="65"/>
      <c r="K74" s="72"/>
      <c r="L74" s="210">
        <f>SUM(venta_a_mes9[[#This Row],[IMPORTE NETO]:[EXENTO]])</f>
        <v>0</v>
      </c>
      <c r="M74" s="211"/>
    </row>
    <row r="75" spans="2:13">
      <c r="B75" s="194"/>
      <c r="C75" s="41"/>
      <c r="D75" s="42"/>
      <c r="E75" s="43"/>
      <c r="F75" s="44"/>
      <c r="G75" s="206" t="str">
        <f>IFERROR(IF(venta_a_mes9[[#This Row],[CUIT]]="","-",VLOOKUP(venta_a_mes9[[#This Row],[CUIT]],Lista_CUIT[#All],2,0)),"CUIT NO CARGADO")</f>
        <v>-</v>
      </c>
      <c r="H75" s="100"/>
      <c r="I75" s="198">
        <f>venta_a_mes9[[#This Row],[IMPORTE NETO]]*0.21</f>
        <v>0</v>
      </c>
      <c r="J75" s="65"/>
      <c r="K75" s="65"/>
      <c r="L75" s="199">
        <f>SUM(venta_a_mes9[[#This Row],[IMPORTE NETO]:[EXENTO]])</f>
        <v>0</v>
      </c>
      <c r="M75" s="200"/>
    </row>
    <row r="76" spans="2:13">
      <c r="B76" s="194"/>
      <c r="C76" s="41"/>
      <c r="D76" s="42"/>
      <c r="E76" s="43"/>
      <c r="F76" s="44"/>
      <c r="G76" s="206" t="str">
        <f>IFERROR(IF(venta_a_mes9[[#This Row],[CUIT]]="","-",VLOOKUP(venta_a_mes9[[#This Row],[CUIT]],Lista_CUIT[#All],2,0)),"CUIT NO CARGADO")</f>
        <v>-</v>
      </c>
      <c r="H76" s="100"/>
      <c r="I76" s="198">
        <f>venta_a_mes9[[#This Row],[IMPORTE NETO]]*0.21</f>
        <v>0</v>
      </c>
      <c r="J76" s="199"/>
      <c r="K76" s="210"/>
      <c r="L76" s="199">
        <f>SUM(venta_a_mes9[[#This Row],[IMPORTE NETO]:[EXENTO]])</f>
        <v>0</v>
      </c>
      <c r="M76" s="200"/>
    </row>
    <row r="77" spans="2:13">
      <c r="B77" s="194"/>
      <c r="C77" s="41"/>
      <c r="D77" s="42"/>
      <c r="E77" s="43"/>
      <c r="F77" s="44"/>
      <c r="G77" s="206" t="str">
        <f>IFERROR(IF(venta_a_mes9[[#This Row],[CUIT]]="","-",VLOOKUP(venta_a_mes9[[#This Row],[CUIT]],Lista_CUIT[#All],2,0)),"CUIT NO CARGADO")</f>
        <v>-</v>
      </c>
      <c r="H77" s="100"/>
      <c r="I77" s="198">
        <f>venta_a_mes9[[#This Row],[IMPORTE NETO]]*0.21</f>
        <v>0</v>
      </c>
      <c r="J77" s="199"/>
      <c r="K77" s="210"/>
      <c r="L77" s="199">
        <f>SUM(venta_a_mes9[[#This Row],[IMPORTE NETO]:[EXENTO]])</f>
        <v>0</v>
      </c>
      <c r="M77" s="200"/>
    </row>
    <row r="78" spans="2:13">
      <c r="B78" s="194"/>
      <c r="C78" s="41"/>
      <c r="D78" s="42"/>
      <c r="E78" s="43"/>
      <c r="F78" s="44"/>
      <c r="G78" s="206" t="str">
        <f>IFERROR(IF(venta_a_mes9[[#This Row],[CUIT]]="","-",VLOOKUP(venta_a_mes9[[#This Row],[CUIT]],Lista_CUIT[#All],2,0)),"CUIT NO CARGADO")</f>
        <v>-</v>
      </c>
      <c r="H78" s="100"/>
      <c r="I78" s="198">
        <f>venta_a_mes9[[#This Row],[IMPORTE NETO]]*0.21</f>
        <v>0</v>
      </c>
      <c r="J78" s="199"/>
      <c r="K78" s="199"/>
      <c r="L78" s="199">
        <f>SUM(venta_a_mes9[[#This Row],[IMPORTE NETO]:[EXENTO]])</f>
        <v>0</v>
      </c>
      <c r="M78" s="200"/>
    </row>
    <row r="79" spans="2:13">
      <c r="B79" s="194"/>
      <c r="C79" s="41"/>
      <c r="D79" s="42"/>
      <c r="E79" s="43"/>
      <c r="F79" s="44"/>
      <c r="G79" s="206" t="str">
        <f>IFERROR(IF(venta_a_mes9[[#This Row],[CUIT]]="","-",VLOOKUP(venta_a_mes9[[#This Row],[CUIT]],Lista_CUIT[#All],2,0)),"CUIT NO CARGADO")</f>
        <v>-</v>
      </c>
      <c r="H79" s="100"/>
      <c r="I79" s="198">
        <f>venta_a_mes9[[#This Row],[IMPORTE NETO]]*0.21</f>
        <v>0</v>
      </c>
      <c r="J79" s="199"/>
      <c r="K79" s="199"/>
      <c r="L79" s="199">
        <f>SUM(venta_a_mes9[[#This Row],[IMPORTE NETO]:[EXENTO]])</f>
        <v>0</v>
      </c>
      <c r="M79" s="200"/>
    </row>
    <row r="80" spans="2:13">
      <c r="B80" s="194"/>
      <c r="C80" s="41"/>
      <c r="D80" s="42"/>
      <c r="E80" s="43"/>
      <c r="F80" s="44"/>
      <c r="G80" s="206" t="str">
        <f>IFERROR(IF(venta_a_mes9[[#This Row],[CUIT]]="","-",VLOOKUP(venta_a_mes9[[#This Row],[CUIT]],Lista_CUIT[#All],2,0)),"CUIT NO CARGADO")</f>
        <v>-</v>
      </c>
      <c r="H80" s="100"/>
      <c r="I80" s="198">
        <f>venta_a_mes9[[#This Row],[IMPORTE NETO]]*0.21</f>
        <v>0</v>
      </c>
      <c r="J80" s="199"/>
      <c r="K80" s="199"/>
      <c r="L80" s="199">
        <f>SUM(venta_a_mes9[[#This Row],[IMPORTE NETO]:[EXENTO]])</f>
        <v>0</v>
      </c>
      <c r="M80" s="200"/>
    </row>
    <row r="81" spans="2:13">
      <c r="B81" s="194"/>
      <c r="C81" s="41"/>
      <c r="D81" s="42"/>
      <c r="E81" s="43"/>
      <c r="F81" s="44"/>
      <c r="G81" s="206" t="str">
        <f>IFERROR(IF(venta_a_mes9[[#This Row],[CUIT]]="","-",VLOOKUP(venta_a_mes9[[#This Row],[CUIT]],Lista_CUIT[#All],2,0)),"CUIT NO CARGADO")</f>
        <v>-</v>
      </c>
      <c r="H81" s="100"/>
      <c r="I81" s="198">
        <f>venta_a_mes9[[#This Row],[IMPORTE NETO]]*0.21</f>
        <v>0</v>
      </c>
      <c r="J81" s="199"/>
      <c r="K81" s="199"/>
      <c r="L81" s="199">
        <f>SUM(venta_a_mes9[[#This Row],[IMPORTE NETO]:[EXENTO]])</f>
        <v>0</v>
      </c>
      <c r="M81" s="200"/>
    </row>
    <row r="82" spans="2:13">
      <c r="B82" s="194"/>
      <c r="C82" s="41"/>
      <c r="D82" s="42"/>
      <c r="E82" s="43"/>
      <c r="F82" s="44"/>
      <c r="G82" s="206" t="str">
        <f>IFERROR(IF(venta_a_mes9[[#This Row],[CUIT]]="","-",VLOOKUP(venta_a_mes9[[#This Row],[CUIT]],Lista_CUIT[#All],2,0)),"CUIT NO CARGADO")</f>
        <v>-</v>
      </c>
      <c r="H82" s="100"/>
      <c r="I82" s="198">
        <f>venta_a_mes9[[#This Row],[IMPORTE NETO]]*0.21</f>
        <v>0</v>
      </c>
      <c r="J82" s="199"/>
      <c r="K82" s="199"/>
      <c r="L82" s="199">
        <f>SUM(venta_a_mes9[[#This Row],[IMPORTE NETO]:[EXENTO]])</f>
        <v>0</v>
      </c>
      <c r="M82" s="200"/>
    </row>
    <row r="83" spans="2:13">
      <c r="B83" s="194"/>
      <c r="C83" s="41"/>
      <c r="D83" s="42"/>
      <c r="E83" s="43"/>
      <c r="F83" s="44"/>
      <c r="G83" s="206" t="str">
        <f>IFERROR(IF(venta_a_mes9[[#This Row],[CUIT]]="","-",VLOOKUP(venta_a_mes9[[#This Row],[CUIT]],Lista_CUIT[#All],2,0)),"CUIT NO CARGADO")</f>
        <v>-</v>
      </c>
      <c r="H83" s="100"/>
      <c r="I83" s="198">
        <f>venta_a_mes9[[#This Row],[IMPORTE NETO]]*0.21</f>
        <v>0</v>
      </c>
      <c r="J83" s="199"/>
      <c r="K83" s="199"/>
      <c r="L83" s="199">
        <f>SUM(venta_a_mes9[[#This Row],[IMPORTE NETO]:[EXENTO]])</f>
        <v>0</v>
      </c>
      <c r="M83" s="200"/>
    </row>
    <row r="84" spans="2:13">
      <c r="B84" s="214"/>
      <c r="C84" s="41"/>
      <c r="D84" s="42"/>
      <c r="E84" s="43"/>
      <c r="F84" s="44"/>
      <c r="G84" s="219" t="str">
        <f>IFERROR(IF(venta_a_mes9[[#This Row],[CUIT]]="","-",VLOOKUP(venta_a_mes9[[#This Row],[CUIT]],Lista_CUIT[#All],2,0)),"CUIT NO CARGADO")</f>
        <v>-</v>
      </c>
      <c r="H84" s="100"/>
      <c r="I84" s="221">
        <f>venta_a_mes9[[#This Row],[IMPORTE NETO]]*0.21</f>
        <v>0</v>
      </c>
      <c r="J84" s="222"/>
      <c r="K84" s="222"/>
      <c r="L84" s="222">
        <f>SUM(venta_a_mes9[[#This Row],[IMPORTE NETO]:[EXENTO]])</f>
        <v>0</v>
      </c>
      <c r="M84" s="223"/>
    </row>
    <row r="85" spans="2:13">
      <c r="B85" s="214"/>
      <c r="C85" s="41"/>
      <c r="D85" s="42"/>
      <c r="E85" s="43"/>
      <c r="F85" s="44"/>
      <c r="G85" s="219" t="str">
        <f>IFERROR(IF(venta_a_mes9[[#This Row],[CUIT]]="","-",VLOOKUP(venta_a_mes9[[#This Row],[CUIT]],Lista_CUIT[#All],2,0)),"CUIT NO CARGADO")</f>
        <v>-</v>
      </c>
      <c r="H85" s="100"/>
      <c r="I85" s="221">
        <f>venta_a_mes9[[#This Row],[IMPORTE NETO]]*0.21</f>
        <v>0</v>
      </c>
      <c r="J85" s="222"/>
      <c r="K85" s="222"/>
      <c r="L85" s="222">
        <f>SUM(venta_a_mes9[[#This Row],[IMPORTE NETO]:[EXENTO]])</f>
        <v>0</v>
      </c>
      <c r="M85" s="223"/>
    </row>
    <row r="86" spans="2:13">
      <c r="B86" s="66" t="s">
        <v>91</v>
      </c>
      <c r="C86" s="67"/>
      <c r="D86" s="67"/>
      <c r="E86" s="67"/>
      <c r="F86" s="67"/>
      <c r="G86" s="67"/>
      <c r="H86" s="69">
        <f>SUBTOTAL(109,venta_a_mes9[IMPORTE NETO])</f>
        <v>0</v>
      </c>
      <c r="I86" s="70">
        <f>SUBTOTAL(109,venta_a_mes9[IVA 21%])</f>
        <v>0</v>
      </c>
      <c r="J86" s="71">
        <f>SUBTOTAL(109,venta_a_mes9[IVA 10,5%])</f>
        <v>0</v>
      </c>
      <c r="K86" s="71">
        <f>SUBTOTAL(109,venta_a_mes9[EXENTO])</f>
        <v>0</v>
      </c>
      <c r="L86" s="71">
        <f>SUBTOTAL(109,venta_a_mes9[TOTAL])</f>
        <v>0</v>
      </c>
      <c r="M86" s="68">
        <f>SUBTOTAL(103,venta_a_mes9[Provincia])</f>
        <v>0</v>
      </c>
    </row>
    <row r="87" spans="2:13">
      <c r="B87" s="134"/>
      <c r="C87" s="134"/>
      <c r="D87" s="134"/>
      <c r="E87" s="134"/>
      <c r="F87" s="134"/>
      <c r="G87" s="134"/>
      <c r="H87" s="136"/>
      <c r="I87" s="137"/>
      <c r="J87" s="138"/>
      <c r="K87" s="138"/>
      <c r="L87" s="138"/>
      <c r="M87" s="135"/>
    </row>
    <row r="88" spans="2:13" ht="21">
      <c r="B88" s="429" t="s">
        <v>31</v>
      </c>
      <c r="C88" s="429"/>
    </row>
    <row r="89" spans="2:13" ht="15.75">
      <c r="B89" s="60" t="s">
        <v>0</v>
      </c>
      <c r="C89" s="61" t="s">
        <v>1</v>
      </c>
      <c r="D89" s="61" t="s">
        <v>21</v>
      </c>
      <c r="E89" s="61" t="s">
        <v>22</v>
      </c>
      <c r="F89" s="61" t="s">
        <v>3</v>
      </c>
      <c r="G89" s="61" t="s">
        <v>4</v>
      </c>
      <c r="H89" s="61" t="s">
        <v>23</v>
      </c>
      <c r="I89" s="61" t="s">
        <v>17</v>
      </c>
      <c r="J89" s="61" t="s">
        <v>7</v>
      </c>
      <c r="K89" s="61" t="s">
        <v>24</v>
      </c>
      <c r="L89" s="61" t="s">
        <v>10</v>
      </c>
      <c r="M89" s="62" t="s">
        <v>38</v>
      </c>
    </row>
    <row r="90" spans="2:13">
      <c r="B90" s="40"/>
      <c r="C90" s="41"/>
      <c r="D90" s="42"/>
      <c r="E90" s="43"/>
      <c r="F90" s="44"/>
      <c r="G90" s="1" t="str">
        <f>IFERROR(IF(ventas_b_mes9[[#This Row],[CUIT]]="","-",VLOOKUP(ventas_b_mes9[[#This Row],[CUIT]],Lista_CUIT[#All],2,0)),"CUIT NO CARGADO")</f>
        <v>-</v>
      </c>
      <c r="H90" s="64">
        <f>ventas_b_mes9[[#This Row],[TOTAL]]/1.21</f>
        <v>0</v>
      </c>
      <c r="I90" s="64">
        <f>ventas_b_mes9[[#This Row],[IMPORTE NETO]]*0.21</f>
        <v>0</v>
      </c>
      <c r="J90" s="64"/>
      <c r="K90" s="64"/>
      <c r="L90" s="64"/>
      <c r="M90" s="59"/>
    </row>
    <row r="91" spans="2:13">
      <c r="B91" s="40"/>
      <c r="C91" s="41"/>
      <c r="D91" s="42"/>
      <c r="E91" s="43"/>
      <c r="F91" s="44"/>
      <c r="G91" s="1" t="str">
        <f>IFERROR(IF(ventas_b_mes9[[#This Row],[CUIT]]="","-",VLOOKUP(ventas_b_mes9[[#This Row],[CUIT]],Lista_CUIT[#All],2,0)),"CUIT NO CARGADO")</f>
        <v>-</v>
      </c>
      <c r="H91" s="64">
        <f>ventas_b_mes9[[#This Row],[TOTAL]]/1.21</f>
        <v>0</v>
      </c>
      <c r="I91" s="64">
        <f>ventas_b_mes9[[#This Row],[IMPORTE NETO]]*0.21</f>
        <v>0</v>
      </c>
      <c r="J91" s="64"/>
      <c r="K91" s="64"/>
      <c r="L91" s="64"/>
      <c r="M91" s="59"/>
    </row>
    <row r="92" spans="2:13">
      <c r="B92" s="40"/>
      <c r="C92" s="41"/>
      <c r="D92" s="42"/>
      <c r="E92" s="43"/>
      <c r="F92" s="44"/>
      <c r="G92" s="1"/>
      <c r="H92" s="64">
        <f>ventas_b_mes9[[#This Row],[TOTAL]]/1.21</f>
        <v>0</v>
      </c>
      <c r="I92" s="64">
        <f>ventas_b_mes9[[#This Row],[IMPORTE NETO]]*0.21</f>
        <v>0</v>
      </c>
      <c r="J92" s="64"/>
      <c r="K92" s="64"/>
      <c r="L92" s="64"/>
      <c r="M92" s="59"/>
    </row>
    <row r="93" spans="2:13">
      <c r="B93" s="40"/>
      <c r="C93" s="41"/>
      <c r="D93" s="42"/>
      <c r="E93" s="43"/>
      <c r="F93" s="44"/>
      <c r="G93" s="1"/>
      <c r="H93" s="64">
        <f>ventas_b_mes9[[#This Row],[TOTAL]]/1.21</f>
        <v>0</v>
      </c>
      <c r="I93" s="64">
        <f>ventas_b_mes9[[#This Row],[IMPORTE NETO]]*0.21</f>
        <v>0</v>
      </c>
      <c r="J93" s="64"/>
      <c r="K93" s="64"/>
      <c r="L93" s="64"/>
      <c r="M93" s="59"/>
    </row>
    <row r="94" spans="2:13">
      <c r="B94" s="40"/>
      <c r="C94" s="41"/>
      <c r="D94" s="42"/>
      <c r="E94" s="43"/>
      <c r="F94" s="44"/>
      <c r="G94" s="1"/>
      <c r="H94" s="64">
        <f>ventas_b_mes9[[#This Row],[TOTAL]]/1.21</f>
        <v>0</v>
      </c>
      <c r="I94" s="64">
        <f>ventas_b_mes9[[#This Row],[IMPORTE NETO]]*0.21</f>
        <v>0</v>
      </c>
      <c r="J94" s="64"/>
      <c r="K94" s="64"/>
      <c r="L94" s="64"/>
      <c r="M94" s="59"/>
    </row>
    <row r="95" spans="2:13">
      <c r="B95" s="40"/>
      <c r="C95" s="41"/>
      <c r="D95" s="42"/>
      <c r="E95" s="43"/>
      <c r="F95" s="44"/>
      <c r="G95" s="1"/>
      <c r="H95" s="64">
        <f>ventas_b_mes9[[#This Row],[TOTAL]]/1.21</f>
        <v>0</v>
      </c>
      <c r="I95" s="64">
        <f>ventas_b_mes9[[#This Row],[IMPORTE NETO]]*0.21</f>
        <v>0</v>
      </c>
      <c r="J95" s="64"/>
      <c r="K95" s="64"/>
      <c r="L95" s="64"/>
      <c r="M95" s="59"/>
    </row>
    <row r="96" spans="2:13">
      <c r="B96" s="66" t="s">
        <v>91</v>
      </c>
      <c r="C96" s="67"/>
      <c r="D96" s="67"/>
      <c r="E96" s="67"/>
      <c r="F96" s="67"/>
      <c r="G96" s="67"/>
      <c r="H96" s="77">
        <f>SUBTOTAL(109,ventas_b_mes9[IMPORTE NETO])</f>
        <v>0</v>
      </c>
      <c r="I96" s="77">
        <f>SUBTOTAL(109,ventas_b_mes9[IVA 21%])</f>
        <v>0</v>
      </c>
      <c r="J96" s="78">
        <f>SUBTOTAL(109,ventas_b_mes9[IVA 10,5%])</f>
        <v>0</v>
      </c>
      <c r="K96" s="78">
        <f>SUBTOTAL(109,ventas_b_mes9[EXENTO])</f>
        <v>0</v>
      </c>
      <c r="L96" s="78">
        <f>SUBTOTAL(109,ventas_b_mes9[TOTAL])</f>
        <v>0</v>
      </c>
      <c r="M96" s="68">
        <f>SUBTOTAL(103,ventas_b_mes9[Provincia])</f>
        <v>0</v>
      </c>
    </row>
    <row r="103" spans="3:12" ht="15.75" thickBot="1"/>
    <row r="104" spans="3:12" ht="15.75" thickTop="1">
      <c r="C104" s="443" t="s">
        <v>66</v>
      </c>
      <c r="D104" s="443"/>
      <c r="E104" s="443"/>
      <c r="F104" s="443"/>
      <c r="G104" s="443"/>
      <c r="H104" s="32"/>
      <c r="I104" s="32"/>
      <c r="J104" s="32"/>
    </row>
    <row r="105" spans="3:12" ht="15.75">
      <c r="C105" s="113" t="s">
        <v>67</v>
      </c>
      <c r="D105" s="114" t="s">
        <v>68</v>
      </c>
      <c r="E105" s="114" t="s">
        <v>93</v>
      </c>
      <c r="F105" s="114" t="s">
        <v>3</v>
      </c>
      <c r="G105" s="114" t="s">
        <v>4</v>
      </c>
      <c r="H105" s="115" t="s">
        <v>69</v>
      </c>
      <c r="I105" s="115" t="s">
        <v>70</v>
      </c>
      <c r="J105" s="115" t="s">
        <v>71</v>
      </c>
      <c r="K105" s="115" t="s">
        <v>72</v>
      </c>
      <c r="L105" s="115" t="s">
        <v>73</v>
      </c>
    </row>
    <row r="106" spans="3:12">
      <c r="C106" s="116"/>
      <c r="D106" s="117"/>
      <c r="E106" s="117"/>
      <c r="F106" s="118"/>
      <c r="G106" s="53" t="str">
        <f>IFERROR(IF(Retenciones_mes9[[#This Row],[CUIT]]="","-",VLOOKUP(Retenciones_mes9[[#This Row],[CUIT]],Lista_CUIT[#All],2,0)),"CUIT NO CARGADO")</f>
        <v>-</v>
      </c>
      <c r="H106" s="119"/>
      <c r="I106" s="119"/>
      <c r="J106" s="119"/>
      <c r="K106" s="119"/>
      <c r="L106" s="119"/>
    </row>
    <row r="107" spans="3:12">
      <c r="C107" s="116"/>
      <c r="D107" s="117"/>
      <c r="E107" s="117"/>
      <c r="F107" s="118"/>
      <c r="G107" s="53" t="str">
        <f>IFERROR(IF(Retenciones_mes9[[#This Row],[CUIT]]="","-",VLOOKUP(Retenciones_mes9[[#This Row],[CUIT]],Lista_CUIT[#All],2,0)),"CUIT NO CARGADO")</f>
        <v>-</v>
      </c>
      <c r="H107" s="119"/>
      <c r="I107" s="119"/>
      <c r="J107" s="119"/>
      <c r="K107" s="119"/>
      <c r="L107" s="119"/>
    </row>
    <row r="108" spans="3:12">
      <c r="C108" s="116"/>
      <c r="D108" s="117"/>
      <c r="E108" s="117"/>
      <c r="F108" s="118"/>
      <c r="G108" s="53" t="str">
        <f>IFERROR(IF(Retenciones_mes9[[#This Row],[CUIT]]="","-",VLOOKUP(Retenciones_mes9[[#This Row],[CUIT]],Lista_CUIT[#All],2,0)),"CUIT NO CARGADO")</f>
        <v>-</v>
      </c>
      <c r="H108" s="119"/>
      <c r="I108" s="119"/>
      <c r="J108" s="119"/>
      <c r="K108" s="119"/>
      <c r="L108" s="119"/>
    </row>
    <row r="109" spans="3:12">
      <c r="C109" s="116"/>
      <c r="D109" s="117"/>
      <c r="E109" s="117"/>
      <c r="F109" s="118"/>
      <c r="G109" s="53" t="str">
        <f>IFERROR(IF(Retenciones_mes9[[#This Row],[CUIT]]="","-",VLOOKUP(Retenciones_mes9[[#This Row],[CUIT]],Lista_CUIT[#All],2,0)),"CUIT NO CARGADO")</f>
        <v>-</v>
      </c>
      <c r="H109" s="119"/>
      <c r="I109" s="119"/>
      <c r="J109" s="119"/>
      <c r="K109" s="119"/>
      <c r="L109" s="119"/>
    </row>
    <row r="110" spans="3:12">
      <c r="D110" s="117"/>
      <c r="E110" s="117"/>
      <c r="G110" s="53" t="str">
        <f>IFERROR(IF(Retenciones_mes9[[#This Row],[CUIT]]="","-",VLOOKUP(Retenciones_mes9[[#This Row],[CUIT]],Lista_CUIT[#All],2,0)),"CUIT NO CARGADO")</f>
        <v>-</v>
      </c>
    </row>
    <row r="111" spans="3:12">
      <c r="C111" s="33"/>
    </row>
  </sheetData>
  <mergeCells count="20">
    <mergeCell ref="C104:G104"/>
    <mergeCell ref="B4:E4"/>
    <mergeCell ref="G4:H4"/>
    <mergeCell ref="J4:K4"/>
    <mergeCell ref="M4:N4"/>
    <mergeCell ref="D48:K48"/>
    <mergeCell ref="B60:J60"/>
    <mergeCell ref="K60:M60"/>
    <mergeCell ref="B62:C62"/>
    <mergeCell ref="B88:C88"/>
    <mergeCell ref="P4:R4"/>
    <mergeCell ref="D39:L39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3">
    <dataValidation type="custom" allowBlank="1" showInputMessage="1" showErrorMessage="1" sqref="H90:L95" xr:uid="{00000000-0002-0000-0900-000000000000}">
      <formula1>IF($C90=8,H90&lt;0,H90&gt;=0)</formula1>
    </dataValidation>
    <dataValidation type="custom" allowBlank="1" showInputMessage="1" showErrorMessage="1" sqref="L69:L70" xr:uid="{00000000-0002-0000-0900-000001000000}">
      <formula1>IF($C34=3,L34&lt;0,L34&gt;=0)</formula1>
    </dataValidation>
    <dataValidation type="custom" allowBlank="1" showInputMessage="1" showErrorMessage="1" sqref="L64:L65" xr:uid="{00000000-0002-0000-0900-000002000000}">
      <formula1>IF($C9=3,L9&lt;0,L9&gt;=0)</formula1>
    </dataValidation>
    <dataValidation type="whole" allowBlank="1" showInputMessage="1" showErrorMessage="1" sqref="C90:C95" xr:uid="{00000000-0002-0000-0900-000003000000}">
      <formula1>6</formula1>
      <formula2>8</formula2>
    </dataValidation>
    <dataValidation type="custom" allowBlank="1" showInputMessage="1" showErrorMessage="1" sqref="H64:K64 H68:K68 H70:K70 H66:K66 H65 H67 H69 H71:H85" xr:uid="{00000000-0002-0000-0900-000004000000}">
      <formula1>IF($C64=3,H64&lt;0,H64&gt;=0)</formula1>
    </dataValidation>
    <dataValidation type="whole" allowBlank="1" showInputMessage="1" showErrorMessage="1" sqref="C35:C38 C87 C9:C33 C64:C85" xr:uid="{00000000-0002-0000-0900-000005000000}">
      <formula1>1</formula1>
      <formula2>3</formula2>
    </dataValidation>
    <dataValidation type="date" allowBlank="1" showInputMessage="1" showErrorMessage="1" sqref="B9:B33 D41:D43 D50:D55 B35:B38 B90:B95 B64:B85 B87" xr:uid="{00000000-0002-0000-0900-000006000000}">
      <formula1>40179</formula1>
      <formula2>TODAY()</formula2>
    </dataValidation>
    <dataValidation type="whole" allowBlank="1" showInputMessage="1" showErrorMessage="1" sqref="F9:F33 F87 F90:F95 G50:G55 F64:F85" xr:uid="{00000000-0002-0000-0900-000007000000}">
      <formula1>20000000000</formula1>
      <formula2>33999999999</formula2>
    </dataValidation>
    <dataValidation type="whole" allowBlank="1" showInputMessage="1" showErrorMessage="1" sqref="E9:E33 E87 E90:E95 F50:F55 E64:E85" xr:uid="{00000000-0002-0000-0900-000008000000}">
      <formula1>1</formula1>
      <formula2>99999999</formula2>
    </dataValidation>
    <dataValidation type="whole" allowBlank="1" showInputMessage="1" showErrorMessage="1" sqref="D9:D33 D87 D90:D95 E50:E55 D64:D85" xr:uid="{00000000-0002-0000-0900-000009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0 H11:N11 H12:O12 H13:N13 H14:O14 H15:N17 H18:O18 H21:O22 H19:N20" xr:uid="{00000000-0002-0000-0900-00000A000000}">
      <formula1>IF($C9=3,H9&lt;0,H9&gt;=0)</formula1>
    </dataValidation>
    <dataValidation type="custom" allowBlank="1" showInputMessage="1" showErrorMessage="1" sqref="L66 L68" xr:uid="{00000000-0002-0000-0900-00000B000000}">
      <formula1>IF($C13=3,#REF!&lt;0,#REF!&gt;=0)</formula1>
    </dataValidation>
    <dataValidation type="custom" allowBlank="1" showInputMessage="1" showErrorMessage="1" sqref="L67" xr:uid="{00000000-0002-0000-0900-00000C000000}">
      <formula1>IF($C14=3,L14&lt;0,L14&gt;=0)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>
    <tabColor theme="9" tint="0.79998168889431442"/>
  </sheetPr>
  <dimension ref="A1:Z125"/>
  <sheetViews>
    <sheetView showGridLines="0" topLeftCell="B89" zoomScale="90" zoomScaleNormal="90" workbookViewId="0">
      <selection activeCell="H58" sqref="H58:H86"/>
    </sheetView>
  </sheetViews>
  <sheetFormatPr baseColWidth="10" defaultColWidth="0" defaultRowHeight="15"/>
  <cols>
    <col min="1" max="1" width="1.7109375" customWidth="1"/>
    <col min="2" max="2" width="10.5703125" customWidth="1"/>
    <col min="3" max="3" width="9.5703125" customWidth="1"/>
    <col min="4" max="4" width="13.28515625" customWidth="1"/>
    <col min="5" max="5" width="17.140625" bestFit="1" customWidth="1"/>
    <col min="6" max="6" width="19.285156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4.85546875" customWidth="1"/>
    <col min="14" max="14" width="12.7109375" customWidth="1"/>
    <col min="15" max="15" width="18.5703125" customWidth="1"/>
    <col min="16" max="16" width="17.140625" customWidth="1"/>
    <col min="17" max="17" width="16.7109375" customWidth="1"/>
    <col min="18" max="18" width="14.28515625" customWidth="1"/>
    <col min="19" max="19" width="15.85546875" customWidth="1"/>
    <col min="20" max="20" width="23.14062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430" t="s">
        <v>28</v>
      </c>
      <c r="C1" s="430"/>
      <c r="D1" s="430"/>
      <c r="E1" s="430"/>
      <c r="F1" s="430"/>
      <c r="G1" s="431" t="str">
        <f>'Ene-26'!G1:M1</f>
        <v>RABLEB SRL</v>
      </c>
      <c r="H1" s="431"/>
      <c r="I1" s="431"/>
      <c r="J1" s="431"/>
      <c r="K1" s="431"/>
      <c r="L1" s="431"/>
      <c r="M1" s="431"/>
      <c r="N1" s="427">
        <f>EDATE('Ene-26'!N1,9)</f>
        <v>46296</v>
      </c>
      <c r="O1" s="427"/>
      <c r="P1" s="427"/>
      <c r="Q1" s="427"/>
      <c r="R1" s="427"/>
    </row>
    <row r="2" spans="1:26" ht="15" customHeight="1"/>
    <row r="3" spans="1:26" ht="26.45" customHeight="1">
      <c r="B3" s="433" t="s">
        <v>65</v>
      </c>
      <c r="C3" s="433"/>
      <c r="D3" s="433"/>
      <c r="E3" s="433"/>
      <c r="F3" s="38"/>
      <c r="G3" s="433" t="s">
        <v>37</v>
      </c>
      <c r="H3" s="433"/>
      <c r="I3" s="38"/>
      <c r="J3" s="441" t="s">
        <v>14</v>
      </c>
      <c r="K3" s="441"/>
      <c r="L3" s="38"/>
      <c r="M3" s="441" t="s">
        <v>12</v>
      </c>
      <c r="N3" s="441"/>
      <c r="O3" s="38"/>
      <c r="P3" s="439" t="s">
        <v>90</v>
      </c>
      <c r="Q3" s="439"/>
      <c r="R3" s="439"/>
    </row>
    <row r="4" spans="1:26" ht="25.15" customHeight="1">
      <c r="B4" s="434">
        <f>SUM(compras_mes10[[#Totals],[NETO GRAVADO]])+extracto_banco_mes10[[#Totals],[NETO]]</f>
        <v>0</v>
      </c>
      <c r="C4" s="434"/>
      <c r="D4" s="434"/>
      <c r="E4" s="434"/>
      <c r="F4" s="39"/>
      <c r="G4" s="435">
        <f>compras_mes10[[#Totals],[IVA 21 %]]+compras_mes10[[#Totals],[IVA 27%]]+compras_mes10[[#Totals],[IVA 10,5%]]+extracto_banco_mes10[[#Totals],[IVA 21%]]+extracto_banco_mes10[[#Totals],[IVA 10,5%]]</f>
        <v>0</v>
      </c>
      <c r="H4" s="435"/>
      <c r="I4" s="39"/>
      <c r="J4" s="442">
        <f>venta_a_mes10[[#Totals],[IMPORTE NETO]]+ventas_b_mes10[[#Totals],[IMPORTE NETO]]</f>
        <v>0</v>
      </c>
      <c r="K4" s="442"/>
      <c r="L4" s="39"/>
      <c r="M4" s="442">
        <f>venta_a_mes10[[#Totals],[IVA 21%]]+venta_a_mes10[[#Totals],[IVA 10,5%]]+ventas_b_mes10[[#Totals],[IVA 21%]]+ventas_b_mes10[[#Totals],[IVA 10,5%]]</f>
        <v>0</v>
      </c>
      <c r="N4" s="442"/>
      <c r="O4" s="39"/>
      <c r="P4" s="437">
        <f>G4-M4</f>
        <v>0</v>
      </c>
      <c r="Q4" s="438"/>
      <c r="R4" s="438"/>
    </row>
    <row r="5" spans="1:26" ht="13.5" customHeight="1"/>
    <row r="6" spans="1:26" ht="12.75" customHeight="1"/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148"/>
      <c r="C9" s="149"/>
      <c r="D9" s="150"/>
      <c r="E9" s="151"/>
      <c r="F9" s="152"/>
      <c r="G9" s="153" t="str">
        <f>IFERROR(IF(compras_mes10[[#This Row],[CUIT]]="","-",VLOOKUP(compras_mes10[[#This Row],[CUIT]],Lista_CUIT[#All],2,0)),"CUIT NO CARGADO")</f>
        <v>-</v>
      </c>
      <c r="H9" s="154"/>
      <c r="I9" s="155" t="str">
        <f>IF(compras_mes10[[#This Row],[NETO GRAVADO]]="","",compras_mes10[[#This Row],[NETO GRAVADO]]*0.21)</f>
        <v/>
      </c>
      <c r="J9" s="155"/>
      <c r="K9" s="155"/>
      <c r="L9" s="155"/>
      <c r="M9" s="155"/>
      <c r="N9" s="155"/>
      <c r="O9" s="155"/>
      <c r="P9" s="358">
        <f>SUM(compras_mes10[[#This Row],[NETO GRAVADO]:[Otros / No Grav.]])</f>
        <v>0</v>
      </c>
      <c r="Q9" s="156" t="str">
        <f>IFERROR(IF(compras_mes10[[#This Row],[CUIT]]="","-",VLOOKUP(compras_mes10[[#This Row],[CUIT]],Lista_CUIT[#All],3,0)),"CUIT NO CARGADO")</f>
        <v>-</v>
      </c>
      <c r="R9" s="156" t="str">
        <f>IFERROR(IF(compras_mes10[[#This Row],[CUIT]]="","-",VLOOKUP(compras_mes10[[#This Row],[CUIT]],Lista_CUIT[#All],4,0)),"CUIT NO CARGADO")</f>
        <v>-</v>
      </c>
    </row>
    <row r="10" spans="1:26">
      <c r="B10" s="148"/>
      <c r="C10" s="149"/>
      <c r="D10" s="150"/>
      <c r="E10" s="151"/>
      <c r="F10" s="152"/>
      <c r="G10" s="153" t="str">
        <f>IFERROR(IF(compras_mes10[[#This Row],[CUIT]]="","-",VLOOKUP(compras_mes10[[#This Row],[CUIT]],Lista_CUIT[#All],2,0)),"CUIT NO CARGADO")</f>
        <v>-</v>
      </c>
      <c r="H10" s="154"/>
      <c r="I10" s="155" t="str">
        <f>IF(compras_mes10[[#This Row],[NETO GRAVADO]]="","",compras_mes10[[#This Row],[NETO GRAVADO]]*0.21)</f>
        <v/>
      </c>
      <c r="J10" s="155"/>
      <c r="K10" s="155"/>
      <c r="L10" s="155"/>
      <c r="M10" s="155"/>
      <c r="N10" s="155"/>
      <c r="O10" s="155"/>
      <c r="P10" s="358">
        <f>SUM(compras_mes10[[#This Row],[NETO GRAVADO]:[Otros / No Grav.]])</f>
        <v>0</v>
      </c>
      <c r="Q10" s="156" t="str">
        <f>IFERROR(IF(compras_mes10[[#This Row],[CUIT]]="","-",VLOOKUP(compras_mes10[[#This Row],[CUIT]],Lista_CUIT[#All],3,0)),"CUIT NO CARGADO")</f>
        <v>-</v>
      </c>
      <c r="R10" s="156" t="str">
        <f>IFERROR(IF(compras_mes10[[#This Row],[CUIT]]="","-",VLOOKUP(compras_mes10[[#This Row],[CUIT]],Lista_CUIT[#All],4,0)),"CUIT NO CARGADO")</f>
        <v>-</v>
      </c>
    </row>
    <row r="11" spans="1:26">
      <c r="B11" s="148"/>
      <c r="C11" s="149"/>
      <c r="D11" s="150"/>
      <c r="E11" s="151"/>
      <c r="F11" s="152"/>
      <c r="G11" s="153" t="str">
        <f>IFERROR(IF(compras_mes10[[#This Row],[CUIT]]="","-",VLOOKUP(compras_mes10[[#This Row],[CUIT]],Lista_CUIT[#All],2,0)),"CUIT NO CARGADO")</f>
        <v>-</v>
      </c>
      <c r="H11" s="154"/>
      <c r="I11" s="155" t="str">
        <f>IF(compras_mes10[[#This Row],[NETO GRAVADO]]="","",compras_mes10[[#This Row],[NETO GRAVADO]]*0.21)</f>
        <v/>
      </c>
      <c r="J11" s="155"/>
      <c r="K11" s="155"/>
      <c r="L11" s="155"/>
      <c r="M11" s="155"/>
      <c r="N11" s="155"/>
      <c r="O11" s="155"/>
      <c r="P11" s="358">
        <f>SUM(compras_mes10[[#This Row],[NETO GRAVADO]:[Otros / No Grav.]])</f>
        <v>0</v>
      </c>
      <c r="Q11" s="156" t="str">
        <f>IFERROR(IF(compras_mes10[[#This Row],[CUIT]]="","-",VLOOKUP(compras_mes10[[#This Row],[CUIT]],Lista_CUIT[#All],3,0)),"CUIT NO CARGADO")</f>
        <v>-</v>
      </c>
      <c r="R11" s="156" t="str">
        <f>IFERROR(IF(compras_mes10[[#This Row],[CUIT]]="","-",VLOOKUP(compras_mes10[[#This Row],[CUIT]],Lista_CUIT[#All],4,0)),"CUIT NO CARGADO")</f>
        <v>-</v>
      </c>
    </row>
    <row r="12" spans="1:26">
      <c r="B12" s="148"/>
      <c r="C12" s="149"/>
      <c r="D12" s="150"/>
      <c r="E12" s="151"/>
      <c r="F12" s="152"/>
      <c r="G12" s="153" t="str">
        <f>IFERROR(IF(compras_mes10[[#This Row],[CUIT]]="","-",VLOOKUP(compras_mes10[[#This Row],[CUIT]],Lista_CUIT[#All],2,0)),"CUIT NO CARGADO")</f>
        <v>-</v>
      </c>
      <c r="H12" s="154"/>
      <c r="I12" s="155" t="str">
        <f>IF(compras_mes10[[#This Row],[NETO GRAVADO]]="","",compras_mes10[[#This Row],[NETO GRAVADO]]*0.21)</f>
        <v/>
      </c>
      <c r="J12" s="155"/>
      <c r="K12" s="155"/>
      <c r="L12" s="155"/>
      <c r="M12" s="155"/>
      <c r="N12" s="155"/>
      <c r="O12" s="155"/>
      <c r="P12" s="358">
        <f>SUM(compras_mes10[[#This Row],[NETO GRAVADO]:[Otros / No Grav.]])</f>
        <v>0</v>
      </c>
      <c r="Q12" s="156" t="str">
        <f>IFERROR(IF(compras_mes10[[#This Row],[CUIT]]="","-",VLOOKUP(compras_mes10[[#This Row],[CUIT]],Lista_CUIT[#All],3,0)),"CUIT NO CARGADO")</f>
        <v>-</v>
      </c>
      <c r="R12" s="156" t="str">
        <f>IFERROR(IF(compras_mes10[[#This Row],[CUIT]]="","-",VLOOKUP(compras_mes10[[#This Row],[CUIT]],Lista_CUIT[#All],4,0)),"CUIT NO CARGADO")</f>
        <v>-</v>
      </c>
    </row>
    <row r="13" spans="1:26" ht="15.75" customHeight="1">
      <c r="A13" s="126"/>
      <c r="B13" s="148"/>
      <c r="C13" s="149"/>
      <c r="D13" s="150"/>
      <c r="E13" s="151"/>
      <c r="F13" s="152"/>
      <c r="G13" s="153" t="str">
        <f>IFERROR(IF(compras_mes10[[#This Row],[CUIT]]="","-",VLOOKUP(compras_mes10[[#This Row],[CUIT]],Lista_CUIT[#All],2,0)),"CUIT NO CARGADO")</f>
        <v>-</v>
      </c>
      <c r="H13" s="154"/>
      <c r="I13" s="155" t="str">
        <f>IF(compras_mes10[[#This Row],[NETO GRAVADO]]="","",compras_mes10[[#This Row],[NETO GRAVADO]]*0.21)</f>
        <v/>
      </c>
      <c r="J13" s="155"/>
      <c r="K13" s="155"/>
      <c r="L13" s="155"/>
      <c r="M13" s="155"/>
      <c r="N13" s="155"/>
      <c r="O13" s="155"/>
      <c r="P13" s="358">
        <f>SUM(compras_mes10[[#This Row],[NETO GRAVADO]:[Otros / No Grav.]])</f>
        <v>0</v>
      </c>
      <c r="Q13" s="156" t="str">
        <f>IFERROR(IF(compras_mes10[[#This Row],[CUIT]]="","-",VLOOKUP(compras_mes10[[#This Row],[CUIT]],Lista_CUIT[#All],3,0)),"CUIT NO CARGADO")</f>
        <v>-</v>
      </c>
      <c r="R13" s="156" t="str">
        <f>IFERROR(IF(compras_mes10[[#This Row],[CUIT]]="","-",VLOOKUP(compras_mes10[[#This Row],[CUIT]],Lista_CUIT[#All],4,0)),"CUIT NO CARGADO")</f>
        <v>-</v>
      </c>
    </row>
    <row r="14" spans="1:26">
      <c r="A14" s="126"/>
      <c r="B14" s="148"/>
      <c r="C14" s="149"/>
      <c r="D14" s="150"/>
      <c r="E14" s="151"/>
      <c r="F14" s="152"/>
      <c r="G14" s="153" t="str">
        <f>IFERROR(IF(compras_mes10[[#This Row],[CUIT]]="","-",VLOOKUP(compras_mes10[[#This Row],[CUIT]],Lista_CUIT[#All],2,0)),"CUIT NO CARGADO")</f>
        <v>-</v>
      </c>
      <c r="H14" s="154"/>
      <c r="I14" s="155" t="str">
        <f>IF(compras_mes10[[#This Row],[NETO GRAVADO]]="","",compras_mes10[[#This Row],[NETO GRAVADO]]*0.21)</f>
        <v/>
      </c>
      <c r="J14" s="155"/>
      <c r="K14" s="155"/>
      <c r="L14" s="155"/>
      <c r="M14" s="155"/>
      <c r="N14" s="155"/>
      <c r="O14" s="155"/>
      <c r="P14" s="358">
        <f>SUM(compras_mes10[[#This Row],[NETO GRAVADO]:[Otros / No Grav.]])</f>
        <v>0</v>
      </c>
      <c r="Q14" s="156" t="str">
        <f>IFERROR(IF(compras_mes10[[#This Row],[CUIT]]="","-",VLOOKUP(compras_mes10[[#This Row],[CUIT]],Lista_CUIT[#All],3,0)),"CUIT NO CARGADO")</f>
        <v>-</v>
      </c>
      <c r="R14" s="156" t="str">
        <f>IFERROR(IF(compras_mes10[[#This Row],[CUIT]]="","-",VLOOKUP(compras_mes10[[#This Row],[CUIT]],Lista_CUIT[#All],4,0)),"CUIT NO CARGADO")</f>
        <v>-</v>
      </c>
    </row>
    <row r="15" spans="1:26">
      <c r="A15" s="126"/>
      <c r="B15" s="148"/>
      <c r="C15" s="149"/>
      <c r="D15" s="150"/>
      <c r="E15" s="151"/>
      <c r="F15" s="152"/>
      <c r="G15" s="153" t="str">
        <f>IFERROR(IF(compras_mes10[[#This Row],[CUIT]]="","-",VLOOKUP(compras_mes10[[#This Row],[CUIT]],Lista_CUIT[#All],2,0)),"CUIT NO CARGADO")</f>
        <v>-</v>
      </c>
      <c r="H15" s="154"/>
      <c r="I15" s="155" t="str">
        <f>IF(compras_mes10[[#This Row],[NETO GRAVADO]]="","",compras_mes10[[#This Row],[NETO GRAVADO]]*0.21)</f>
        <v/>
      </c>
      <c r="J15" s="155"/>
      <c r="K15" s="155"/>
      <c r="L15" s="155"/>
      <c r="M15" s="155"/>
      <c r="N15" s="155"/>
      <c r="O15" s="155"/>
      <c r="P15" s="358">
        <f>SUM(compras_mes10[[#This Row],[NETO GRAVADO]:[Otros / No Grav.]])</f>
        <v>0</v>
      </c>
      <c r="Q15" s="156" t="str">
        <f>IFERROR(IF(compras_mes10[[#This Row],[CUIT]]="","-",VLOOKUP(compras_mes10[[#This Row],[CUIT]],Lista_CUIT[#All],3,0)),"CUIT NO CARGADO")</f>
        <v>-</v>
      </c>
      <c r="R15" s="156" t="str">
        <f>IFERROR(IF(compras_mes10[[#This Row],[CUIT]]="","-",VLOOKUP(compras_mes10[[#This Row],[CUIT]],Lista_CUIT[#All],4,0)),"CUIT NO CARGADO")</f>
        <v>-</v>
      </c>
    </row>
    <row r="16" spans="1:26">
      <c r="A16" s="126"/>
      <c r="B16" s="148"/>
      <c r="C16" s="149"/>
      <c r="D16" s="150"/>
      <c r="E16" s="151"/>
      <c r="F16" s="152"/>
      <c r="G16" s="153" t="str">
        <f>IFERROR(IF(compras_mes10[[#This Row],[CUIT]]="","-",VLOOKUP(compras_mes10[[#This Row],[CUIT]],Lista_CUIT[#All],2,0)),"CUIT NO CARGADO")</f>
        <v>-</v>
      </c>
      <c r="H16" s="154"/>
      <c r="I16" s="155" t="str">
        <f>IF(compras_mes10[[#This Row],[NETO GRAVADO]]="","",compras_mes10[[#This Row],[NETO GRAVADO]]*0.21)</f>
        <v/>
      </c>
      <c r="J16" s="155"/>
      <c r="K16" s="155"/>
      <c r="L16" s="155"/>
      <c r="M16" s="155"/>
      <c r="N16" s="155"/>
      <c r="O16" s="155"/>
      <c r="P16" s="358">
        <f>SUM(compras_mes10[[#This Row],[NETO GRAVADO]:[Otros / No Grav.]])</f>
        <v>0</v>
      </c>
      <c r="Q16" s="156" t="str">
        <f>IFERROR(IF(compras_mes10[[#This Row],[CUIT]]="","-",VLOOKUP(compras_mes10[[#This Row],[CUIT]],Lista_CUIT[#All],3,0)),"CUIT NO CARGADO")</f>
        <v>-</v>
      </c>
      <c r="R16" s="156" t="str">
        <f>IFERROR(IF(compras_mes10[[#This Row],[CUIT]]="","-",VLOOKUP(compras_mes10[[#This Row],[CUIT]],Lista_CUIT[#All],4,0)),"CUIT NO CARGADO")</f>
        <v>-</v>
      </c>
    </row>
    <row r="17" spans="1:18">
      <c r="A17" s="126"/>
      <c r="B17" s="148"/>
      <c r="C17" s="149"/>
      <c r="D17" s="150"/>
      <c r="E17" s="151"/>
      <c r="F17" s="152"/>
      <c r="G17" s="153" t="str">
        <f>IFERROR(IF(compras_mes10[[#This Row],[CUIT]]="","-",VLOOKUP(compras_mes10[[#This Row],[CUIT]],Lista_CUIT[#All],2,0)),"CUIT NO CARGADO")</f>
        <v>-</v>
      </c>
      <c r="H17" s="154"/>
      <c r="I17" s="155" t="str">
        <f>IF(compras_mes10[[#This Row],[NETO GRAVADO]]="","",compras_mes10[[#This Row],[NETO GRAVADO]]*0.21)</f>
        <v/>
      </c>
      <c r="J17" s="155"/>
      <c r="K17" s="155"/>
      <c r="L17" s="155"/>
      <c r="M17" s="155"/>
      <c r="N17" s="155"/>
      <c r="O17" s="155"/>
      <c r="P17" s="358">
        <f>SUM(compras_mes10[[#This Row],[NETO GRAVADO]:[Otros / No Grav.]])</f>
        <v>0</v>
      </c>
      <c r="Q17" s="156" t="str">
        <f>IFERROR(IF(compras_mes10[[#This Row],[CUIT]]="","-",VLOOKUP(compras_mes10[[#This Row],[CUIT]],Lista_CUIT[#All],3,0)),"CUIT NO CARGADO")</f>
        <v>-</v>
      </c>
      <c r="R17" s="156" t="str">
        <f>IFERROR(IF(compras_mes10[[#This Row],[CUIT]]="","-",VLOOKUP(compras_mes10[[#This Row],[CUIT]],Lista_CUIT[#All],4,0)),"CUIT NO CARGADO")</f>
        <v>-</v>
      </c>
    </row>
    <row r="18" spans="1:18">
      <c r="A18" s="126"/>
      <c r="B18" s="148"/>
      <c r="C18" s="149"/>
      <c r="D18" s="150"/>
      <c r="E18" s="151"/>
      <c r="F18" s="152"/>
      <c r="G18" s="153" t="str">
        <f>IFERROR(IF(compras_mes10[[#This Row],[CUIT]]="","-",VLOOKUP(compras_mes10[[#This Row],[CUIT]],Lista_CUIT[#All],2,0)),"CUIT NO CARGADO")</f>
        <v>-</v>
      </c>
      <c r="H18" s="154"/>
      <c r="I18" s="155" t="str">
        <f>IF(compras_mes10[[#This Row],[NETO GRAVADO]]="","",compras_mes10[[#This Row],[NETO GRAVADO]]*0.21)</f>
        <v/>
      </c>
      <c r="J18" s="155"/>
      <c r="K18" s="155"/>
      <c r="L18" s="155"/>
      <c r="M18" s="155"/>
      <c r="N18" s="155"/>
      <c r="O18" s="155"/>
      <c r="P18" s="358">
        <f>SUM(compras_mes10[[#This Row],[NETO GRAVADO]:[Otros / No Grav.]])</f>
        <v>0</v>
      </c>
      <c r="Q18" s="156" t="str">
        <f>IFERROR(IF(compras_mes10[[#This Row],[CUIT]]="","-",VLOOKUP(compras_mes10[[#This Row],[CUIT]],Lista_CUIT[#All],3,0)),"CUIT NO CARGADO")</f>
        <v>-</v>
      </c>
      <c r="R18" s="156" t="str">
        <f>IFERROR(IF(compras_mes10[[#This Row],[CUIT]]="","-",VLOOKUP(compras_mes10[[#This Row],[CUIT]],Lista_CUIT[#All],4,0)),"CUIT NO CARGADO")</f>
        <v>-</v>
      </c>
    </row>
    <row r="19" spans="1:18">
      <c r="A19" s="126"/>
      <c r="B19" s="148"/>
      <c r="C19" s="149"/>
      <c r="D19" s="150"/>
      <c r="E19" s="151"/>
      <c r="F19" s="152"/>
      <c r="G19" s="153" t="str">
        <f>IFERROR(IF(compras_mes10[[#This Row],[CUIT]]="","-",VLOOKUP(compras_mes10[[#This Row],[CUIT]],Lista_CUIT[#All],2,0)),"CUIT NO CARGADO")</f>
        <v>-</v>
      </c>
      <c r="H19" s="46"/>
      <c r="I19" s="155" t="str">
        <f>IF(compras_mes10[[#This Row],[NETO GRAVADO]]="","",compras_mes10[[#This Row],[NETO GRAVADO]]*0.21)</f>
        <v/>
      </c>
      <c r="J19" s="85"/>
      <c r="K19" s="85"/>
      <c r="L19" s="85"/>
      <c r="M19" s="85"/>
      <c r="N19" s="85"/>
      <c r="O19" s="85"/>
      <c r="P19" s="358">
        <f>SUM(compras_mes10[[#This Row],[NETO GRAVADO]:[Otros / No Grav.]])</f>
        <v>0</v>
      </c>
      <c r="Q19" s="156" t="str">
        <f>IFERROR(IF(compras_mes10[[#This Row],[CUIT]]="","-",VLOOKUP(compras_mes10[[#This Row],[CUIT]],Lista_CUIT[#All],3,0)),"CUIT NO CARGADO")</f>
        <v>-</v>
      </c>
      <c r="R19" s="156" t="str">
        <f>IFERROR(IF(compras_mes10[[#This Row],[CUIT]]="","-",VLOOKUP(compras_mes10[[#This Row],[CUIT]],Lista_CUIT[#All],4,0)),"CUIT NO CARGADO")</f>
        <v>-</v>
      </c>
    </row>
    <row r="20" spans="1:18">
      <c r="B20" s="233"/>
      <c r="C20" s="149"/>
      <c r="D20" s="235"/>
      <c r="E20" s="236"/>
      <c r="F20" s="237"/>
      <c r="G20" s="238" t="str">
        <f>IFERROR(IF(compras_mes10[[#This Row],[CUIT]]="","-",VLOOKUP(compras_mes10[[#This Row],[CUIT]],Lista_CUIT[#All],2,0)),"CUIT NO CARGADO")</f>
        <v>-</v>
      </c>
      <c r="H20" s="239"/>
      <c r="I20" s="241" t="str">
        <f>IF(compras_mes10[[#This Row],[NETO GRAVADO]]="","",compras_mes10[[#This Row],[NETO GRAVADO]]*0.21)</f>
        <v/>
      </c>
      <c r="J20" s="240"/>
      <c r="K20" s="240"/>
      <c r="L20" s="240"/>
      <c r="M20" s="240"/>
      <c r="N20" s="240"/>
      <c r="O20" s="240"/>
      <c r="P20" s="243">
        <f>SUM(compras_mes10[[#This Row],[NETO GRAVADO]:[Otros / No Grav.]])</f>
        <v>0</v>
      </c>
      <c r="Q20" s="242" t="str">
        <f>IFERROR(IF(compras_mes10[[#This Row],[CUIT]]="","-",VLOOKUP(compras_mes10[[#This Row],[CUIT]],Lista_CUIT[#All],3,0)),"CUIT NO CARGADO")</f>
        <v>-</v>
      </c>
      <c r="R20" s="242" t="str">
        <f>IFERROR(IF(compras_mes10[[#This Row],[CUIT]]="","-",VLOOKUP(compras_mes10[[#This Row],[CUIT]],Lista_CUIT[#All],4,0)),"CUIT NO CARGADO")</f>
        <v>-</v>
      </c>
    </row>
    <row r="21" spans="1:18">
      <c r="B21" s="233"/>
      <c r="C21" s="149"/>
      <c r="D21" s="235"/>
      <c r="E21" s="236"/>
      <c r="F21" s="237"/>
      <c r="G21" s="238" t="str">
        <f>IFERROR(IF(compras_mes10[[#This Row],[CUIT]]="","-",VLOOKUP(compras_mes10[[#This Row],[CUIT]],Lista_CUIT[#All],2,0)),"CUIT NO CARGADO")</f>
        <v>-</v>
      </c>
      <c r="H21" s="239"/>
      <c r="I21" s="241" t="str">
        <f>IF(compras_mes10[[#This Row],[NETO GRAVADO]]="","",compras_mes10[[#This Row],[NETO GRAVADO]]*0.21)</f>
        <v/>
      </c>
      <c r="J21" s="240"/>
      <c r="K21" s="240"/>
      <c r="L21" s="240"/>
      <c r="M21" s="240"/>
      <c r="N21" s="240"/>
      <c r="O21" s="240"/>
      <c r="P21" s="243">
        <f>SUM(compras_mes10[[#This Row],[NETO GRAVADO]:[Otros / No Grav.]])</f>
        <v>0</v>
      </c>
      <c r="Q21" s="242" t="str">
        <f>IFERROR(IF(compras_mes10[[#This Row],[CUIT]]="","-",VLOOKUP(compras_mes10[[#This Row],[CUIT]],Lista_CUIT[#All],3,0)),"CUIT NO CARGADO")</f>
        <v>-</v>
      </c>
      <c r="R21" s="242" t="str">
        <f>IFERROR(IF(compras_mes10[[#This Row],[CUIT]]="","-",VLOOKUP(compras_mes10[[#This Row],[CUIT]],Lista_CUIT[#All],4,0)),"CUIT NO CARGADO")</f>
        <v>-</v>
      </c>
    </row>
    <row r="22" spans="1:18">
      <c r="B22" s="233"/>
      <c r="C22" s="149"/>
      <c r="D22" s="235"/>
      <c r="E22" s="236"/>
      <c r="F22" s="237"/>
      <c r="G22" s="238" t="str">
        <f>IFERROR(IF(compras_mes10[[#This Row],[CUIT]]="","-",VLOOKUP(compras_mes10[[#This Row],[CUIT]],Lista_CUIT[#All],2,0)),"CUIT NO CARGADO")</f>
        <v>-</v>
      </c>
      <c r="H22" s="239"/>
      <c r="I22" s="241" t="str">
        <f>IF(compras_mes10[[#This Row],[NETO GRAVADO]]="","",compras_mes10[[#This Row],[NETO GRAVADO]]*0.21)</f>
        <v/>
      </c>
      <c r="J22" s="240"/>
      <c r="K22" s="240"/>
      <c r="L22" s="240"/>
      <c r="M22" s="240"/>
      <c r="N22" s="240"/>
      <c r="O22" s="240"/>
      <c r="P22" s="243">
        <f>SUM(compras_mes10[[#This Row],[NETO GRAVADO]:[Otros / No Grav.]])</f>
        <v>0</v>
      </c>
      <c r="Q22" s="242" t="str">
        <f>IFERROR(IF(compras_mes10[[#This Row],[CUIT]]="","-",VLOOKUP(compras_mes10[[#This Row],[CUIT]],Lista_CUIT[#All],3,0)),"CUIT NO CARGADO")</f>
        <v>-</v>
      </c>
      <c r="R22" s="242" t="str">
        <f>IFERROR(IF(compras_mes10[[#This Row],[CUIT]]="","-",VLOOKUP(compras_mes10[[#This Row],[CUIT]],Lista_CUIT[#All],4,0)),"CUIT NO CARGADO")</f>
        <v>-</v>
      </c>
    </row>
    <row r="23" spans="1:18">
      <c r="B23" s="233"/>
      <c r="C23" s="234"/>
      <c r="D23" s="235"/>
      <c r="E23" s="236"/>
      <c r="F23" s="237"/>
      <c r="G23" s="238" t="str">
        <f>IFERROR(IF(compras_mes10[[#This Row],[CUIT]]="","-",VLOOKUP(compras_mes10[[#This Row],[CUIT]],Lista_CUIT[#All],2,0)),"CUIT NO CARGADO")</f>
        <v>-</v>
      </c>
      <c r="H23" s="239"/>
      <c r="I23" s="241" t="str">
        <f>IF(compras_mes10[[#This Row],[NETO GRAVADO]]="","",compras_mes10[[#This Row],[NETO GRAVADO]]*0.21)</f>
        <v/>
      </c>
      <c r="J23" s="240"/>
      <c r="K23" s="240"/>
      <c r="L23" s="240"/>
      <c r="M23" s="240"/>
      <c r="N23" s="240"/>
      <c r="O23" s="240"/>
      <c r="P23" s="243">
        <f>SUM(compras_mes10[[#This Row],[NETO GRAVADO]:[Otros / No Grav.]])</f>
        <v>0</v>
      </c>
      <c r="Q23" s="242" t="str">
        <f>IFERROR(IF(compras_mes10[[#This Row],[CUIT]]="","-",VLOOKUP(compras_mes10[[#This Row],[CUIT]],Lista_CUIT[#All],3,0)),"CUIT NO CARGADO")</f>
        <v>-</v>
      </c>
      <c r="R23" s="242" t="str">
        <f>IFERROR(IF(compras_mes10[[#This Row],[CUIT]]="","-",VLOOKUP(compras_mes10[[#This Row],[CUIT]],Lista_CUIT[#All],4,0)),"CUIT NO CARGADO")</f>
        <v>-</v>
      </c>
    </row>
    <row r="24" spans="1:18">
      <c r="B24" s="233"/>
      <c r="C24" s="234"/>
      <c r="D24" s="235"/>
      <c r="E24" s="236"/>
      <c r="F24" s="237"/>
      <c r="G24" s="238" t="str">
        <f>IFERROR(IF(compras_mes10[[#This Row],[CUIT]]="","-",VLOOKUP(compras_mes10[[#This Row],[CUIT]],Lista_CUIT[#All],2,0)),"CUIT NO CARGADO")</f>
        <v>-</v>
      </c>
      <c r="H24" s="239"/>
      <c r="I24" s="241" t="str">
        <f>IF(compras_mes10[[#This Row],[NETO GRAVADO]]="","",compras_mes10[[#This Row],[NETO GRAVADO]]*0.21)</f>
        <v/>
      </c>
      <c r="J24" s="240"/>
      <c r="K24" s="240"/>
      <c r="L24" s="240"/>
      <c r="M24" s="240"/>
      <c r="N24" s="240"/>
      <c r="O24" s="240"/>
      <c r="P24" s="243">
        <f>SUM(compras_mes10[[#This Row],[NETO GRAVADO]:[Otros / No Grav.]])</f>
        <v>0</v>
      </c>
      <c r="Q24" s="242" t="str">
        <f>IFERROR(IF(compras_mes10[[#This Row],[CUIT]]="","-",VLOOKUP(compras_mes10[[#This Row],[CUIT]],Lista_CUIT[#All],3,0)),"CUIT NO CARGADO")</f>
        <v>-</v>
      </c>
      <c r="R24" s="242" t="str">
        <f>IFERROR(IF(compras_mes10[[#This Row],[CUIT]]="","-",VLOOKUP(compras_mes10[[#This Row],[CUIT]],Lista_CUIT[#All],4,0)),"CUIT NO CARGADO")</f>
        <v>-</v>
      </c>
    </row>
    <row r="25" spans="1:18">
      <c r="B25" s="233"/>
      <c r="C25" s="234"/>
      <c r="D25" s="235"/>
      <c r="E25" s="236"/>
      <c r="F25" s="237"/>
      <c r="G25" s="238" t="str">
        <f>IFERROR(IF(compras_mes10[[#This Row],[CUIT]]="","-",VLOOKUP(compras_mes10[[#This Row],[CUIT]],Lista_CUIT[#All],2,0)),"CUIT NO CARGADO")</f>
        <v>-</v>
      </c>
      <c r="H25" s="239"/>
      <c r="I25" s="241" t="str">
        <f>IF(compras_mes10[[#This Row],[NETO GRAVADO]]="","",compras_mes10[[#This Row],[NETO GRAVADO]]*0.21)</f>
        <v/>
      </c>
      <c r="J25" s="240"/>
      <c r="K25" s="240"/>
      <c r="L25" s="240"/>
      <c r="M25" s="240"/>
      <c r="N25" s="240"/>
      <c r="O25" s="240"/>
      <c r="P25" s="243">
        <f>SUM(compras_mes10[[#This Row],[NETO GRAVADO]:[Otros / No Grav.]])</f>
        <v>0</v>
      </c>
      <c r="Q25" s="242" t="str">
        <f>IFERROR(IF(compras_mes10[[#This Row],[CUIT]]="","-",VLOOKUP(compras_mes10[[#This Row],[CUIT]],Lista_CUIT[#All],3,0)),"CUIT NO CARGADO")</f>
        <v>-</v>
      </c>
      <c r="R25" s="242" t="str">
        <f>IFERROR(IF(compras_mes10[[#This Row],[CUIT]]="","-",VLOOKUP(compras_mes10[[#This Row],[CUIT]],Lista_CUIT[#All],4,0)),"CUIT NO CARGADO")</f>
        <v>-</v>
      </c>
    </row>
    <row r="26" spans="1:18">
      <c r="B26" s="96" t="s">
        <v>91</v>
      </c>
      <c r="C26" s="96"/>
      <c r="D26" s="96"/>
      <c r="E26" s="96"/>
      <c r="F26" s="96"/>
      <c r="G26" s="97"/>
      <c r="H26" s="98">
        <f>SUBTOTAL(109,compras_mes10[NETO GRAVADO])</f>
        <v>0</v>
      </c>
      <c r="I26" s="98">
        <f>SUBTOTAL(109,compras_mes10[IVA 21 %])</f>
        <v>0</v>
      </c>
      <c r="J26" s="98">
        <f>SUBTOTAL(109,compras_mes10[IVA 27%])</f>
        <v>0</v>
      </c>
      <c r="K26" s="98">
        <f>SUBTOTAL(109,compras_mes10[IVA 10,5%])</f>
        <v>0</v>
      </c>
      <c r="L26" s="98">
        <f>SUBTOTAL(109,compras_mes10[PERC. IVA])</f>
        <v>0</v>
      </c>
      <c r="M26" s="98">
        <f>SUBTOTAL(109,compras_mes10[PERC IIBB 
BS AS])</f>
        <v>0</v>
      </c>
      <c r="N26" s="98">
        <f>SUBTOTAL(109,compras_mes10[PERC. IIBB CABA])</f>
        <v>0</v>
      </c>
      <c r="O26" s="98">
        <f>SUBTOTAL(109,compras_mes10[Otros / No Grav.])</f>
        <v>0</v>
      </c>
      <c r="P26" s="98">
        <f>SUBTOTAL(109,compras_mes10[TOTAL])</f>
        <v>0</v>
      </c>
      <c r="Q26" s="96"/>
      <c r="R26" s="96"/>
    </row>
    <row r="27" spans="1:18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  <c r="M27" s="47"/>
      <c r="N27" s="47"/>
      <c r="O27" s="47"/>
      <c r="P27" s="48"/>
      <c r="Q27" s="49"/>
      <c r="R27" s="49"/>
    </row>
    <row r="28" spans="1:18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1:18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  <c r="M29" s="47"/>
      <c r="N29" s="47"/>
      <c r="O29" s="47"/>
      <c r="P29" s="48"/>
      <c r="Q29" s="49"/>
      <c r="R29" s="49"/>
    </row>
    <row r="30" spans="1:18">
      <c r="B30" s="40"/>
      <c r="C30" s="41"/>
      <c r="D30" s="42"/>
      <c r="E30" s="43"/>
      <c r="F30" s="44"/>
      <c r="G30" s="45"/>
      <c r="H30" s="46"/>
      <c r="I30" s="47"/>
      <c r="J30" s="47"/>
      <c r="K30" s="47"/>
      <c r="L30" s="47"/>
    </row>
    <row r="31" spans="1:18" ht="21">
      <c r="D31" s="428" t="s">
        <v>15</v>
      </c>
      <c r="E31" s="428"/>
      <c r="F31" s="428"/>
      <c r="G31" s="428"/>
      <c r="H31" s="428"/>
      <c r="I31" s="428"/>
      <c r="J31" s="428"/>
      <c r="K31" s="428"/>
      <c r="L31" s="428"/>
      <c r="M31" s="428"/>
    </row>
    <row r="32" spans="1:18" ht="15.75">
      <c r="D32" s="73" t="s">
        <v>0</v>
      </c>
      <c r="E32" s="74" t="s">
        <v>26</v>
      </c>
      <c r="F32" s="74" t="s">
        <v>16</v>
      </c>
      <c r="G32" s="74" t="s">
        <v>5</v>
      </c>
      <c r="H32" s="74" t="s">
        <v>17</v>
      </c>
      <c r="I32" s="74" t="s">
        <v>7</v>
      </c>
      <c r="J32" s="75" t="s">
        <v>18</v>
      </c>
      <c r="K32" s="75" t="s">
        <v>19</v>
      </c>
      <c r="L32" s="76" t="s">
        <v>20</v>
      </c>
      <c r="M32" s="283" t="s">
        <v>10</v>
      </c>
    </row>
    <row r="33" spans="4:17">
      <c r="D33" s="50"/>
      <c r="E33" s="80"/>
      <c r="F33" s="80"/>
      <c r="G33" s="81">
        <f>extracto_banco_mes10[[#This Row],[IVA 21%]]*100/21</f>
        <v>0</v>
      </c>
      <c r="H33" s="81"/>
      <c r="I33" s="81"/>
      <c r="J33" s="81"/>
      <c r="K33" s="81"/>
      <c r="L33" s="81"/>
      <c r="M33" s="282">
        <f>extracto_banco_mes10[[#This Row],[NETO]]+extracto_banco_mes10[[#This Row],[IVA 21%]]+extracto_banco_mes10[[#This Row],[IVA 10,5%]]+extracto_banco_mes10[[#This Row],[RET IIBB CABA]]+extracto_banco_mes10[[#This Row],[PERC IVA]]+extracto_banco_mes10[[#This Row],[PERC IIBB]]</f>
        <v>0</v>
      </c>
    </row>
    <row r="34" spans="4:17">
      <c r="D34" s="50"/>
      <c r="E34" s="79"/>
      <c r="F34" s="80"/>
      <c r="G34" s="81">
        <f>extracto_banco_mes10[[#This Row],[IVA 21%]]*100/21</f>
        <v>0</v>
      </c>
      <c r="H34" s="81"/>
      <c r="I34" s="81"/>
      <c r="J34" s="81"/>
      <c r="K34" s="81"/>
      <c r="L34" s="81"/>
      <c r="M34" s="282">
        <f>extracto_banco_mes10[[#This Row],[NETO]]+extracto_banco_mes10[[#This Row],[IVA 21%]]+extracto_banco_mes10[[#This Row],[IVA 10,5%]]+extracto_banco_mes10[[#This Row],[RET IIBB CABA]]+extracto_banco_mes10[[#This Row],[PERC IVA]]+extracto_banco_mes10[[#This Row],[PERC IIBB]]</f>
        <v>0</v>
      </c>
    </row>
    <row r="35" spans="4:17">
      <c r="D35" s="50"/>
      <c r="E35" s="79"/>
      <c r="F35" s="80"/>
      <c r="G35" s="81">
        <f>extracto_banco_mes10[[#This Row],[IVA 21%]]*100/21</f>
        <v>0</v>
      </c>
      <c r="H35" s="81"/>
      <c r="I35" s="81"/>
      <c r="J35" s="81"/>
      <c r="K35" s="81"/>
      <c r="L35" s="81"/>
      <c r="M35" s="282">
        <f>extracto_banco_mes10[[#This Row],[NETO]]+extracto_banco_mes10[[#This Row],[IVA 21%]]+extracto_banco_mes10[[#This Row],[IVA 10,5%]]+extracto_banco_mes10[[#This Row],[RET IIBB CABA]]+extracto_banco_mes10[[#This Row],[PERC IVA]]+extracto_banco_mes10[[#This Row],[PERC IIBB]]</f>
        <v>0</v>
      </c>
      <c r="P35" s="280"/>
      <c r="Q35" s="280"/>
    </row>
    <row r="36" spans="4:17">
      <c r="D36" s="82" t="s">
        <v>91</v>
      </c>
      <c r="E36" s="80"/>
      <c r="F36" s="80"/>
      <c r="G36" s="83">
        <f>SUBTOTAL(109,extracto_banco_mes10[NETO])</f>
        <v>0</v>
      </c>
      <c r="H36" s="83">
        <f>SUBTOTAL(109,extracto_banco_mes10[IVA 21%])</f>
        <v>0</v>
      </c>
      <c r="I36" s="83">
        <f>SUBTOTAL(109,extracto_banco_mes10[IVA 10,5%])</f>
        <v>0</v>
      </c>
      <c r="J36" s="83">
        <f>SUBTOTAL(109,extracto_banco_mes10[RET IIBB CABA])</f>
        <v>0</v>
      </c>
      <c r="K36" s="83">
        <f>SUBTOTAL(109,extracto_banco_mes10[PERC IVA])</f>
        <v>0</v>
      </c>
      <c r="L36" s="83">
        <f>SUBTOTAL(109,extracto_banco_mes10[PERC IIBB])</f>
        <v>0</v>
      </c>
      <c r="M36" s="281">
        <f>SUBTOTAL(109,extracto_banco_mes10[TOTAL])</f>
        <v>0</v>
      </c>
    </row>
    <row r="40" spans="4:17" ht="21">
      <c r="D40" s="428" t="s">
        <v>25</v>
      </c>
      <c r="E40" s="428"/>
      <c r="F40" s="428"/>
      <c r="G40" s="428"/>
      <c r="H40" s="428"/>
      <c r="I40" s="428"/>
      <c r="J40" s="428"/>
      <c r="K40" s="428"/>
    </row>
    <row r="41" spans="4:17">
      <c r="D41" s="51" t="s">
        <v>0</v>
      </c>
      <c r="E41" s="51" t="s">
        <v>2</v>
      </c>
      <c r="F41" s="51" t="s">
        <v>74</v>
      </c>
      <c r="G41" s="51" t="s">
        <v>3</v>
      </c>
      <c r="H41" s="51" t="s">
        <v>4</v>
      </c>
      <c r="I41" s="52" t="s">
        <v>10</v>
      </c>
      <c r="J41" s="51" t="s">
        <v>13</v>
      </c>
      <c r="K41" s="51" t="s">
        <v>38</v>
      </c>
    </row>
    <row r="42" spans="4:17">
      <c r="D42" s="50"/>
      <c r="E42" s="42"/>
      <c r="F42" s="43"/>
      <c r="G42" s="44"/>
      <c r="H42" s="123" t="str">
        <f>IFERROR(IF(factura_c_mes10[[#This Row],[CUIT]]="","-",VLOOKUP(factura_c_mes10[[#This Row],[CUIT]],Lista_CUIT[#All],2,0)),"CUIT NO CARGADO")</f>
        <v>-</v>
      </c>
      <c r="I42" s="124"/>
      <c r="J42" s="125" t="str">
        <f>IFERROR(IF(factura_c_mes10[[#This Row],[CUIT]]="","-",VLOOKUP(factura_c_mes10[[#This Row],[CUIT]],Lista_CUIT[#All],3,0)),"CUIT NO CARGADO")</f>
        <v>-</v>
      </c>
      <c r="K42" s="125" t="str">
        <f>IFERROR(IF(factura_c_mes10[[#This Row],[CUIT]]="","-",VLOOKUP(factura_c_mes10[[#This Row],[CUIT]],Lista_CUIT[#All],4,0)),"CUIT NO CARGADO")</f>
        <v>-</v>
      </c>
    </row>
    <row r="43" spans="4:17">
      <c r="D43" s="50"/>
      <c r="E43" s="42"/>
      <c r="F43" s="43"/>
      <c r="G43" s="44"/>
      <c r="H43" s="123" t="str">
        <f>IFERROR(IF(factura_c_mes10[[#This Row],[CUIT]]="","-",VLOOKUP(factura_c_mes10[[#This Row],[CUIT]],Lista_CUIT[#All],2,0)),"CUIT NO CARGADO")</f>
        <v>-</v>
      </c>
      <c r="I43" s="124"/>
      <c r="J43" s="125" t="str">
        <f>IFERROR(IF(factura_c_mes10[[#This Row],[CUIT]]="","-",VLOOKUP(factura_c_mes10[[#This Row],[CUIT]],Lista_CUIT[#All],3,0)),"CUIT NO CARGADO")</f>
        <v>-</v>
      </c>
      <c r="K43" s="125" t="str">
        <f>IFERROR(IF(factura_c_mes10[[#This Row],[CUIT]]="","-",VLOOKUP(factura_c_mes10[[#This Row],[CUIT]],Lista_CUIT[#All],4,0)),"CUIT NO CARGADO")</f>
        <v>-</v>
      </c>
    </row>
    <row r="44" spans="4:17">
      <c r="D44" s="50"/>
      <c r="E44" s="42"/>
      <c r="F44" s="43"/>
      <c r="G44" s="44"/>
      <c r="H44" s="123" t="str">
        <f>IFERROR(IF(factura_c_mes10[[#This Row],[CUIT]]="","-",VLOOKUP(factura_c_mes10[[#This Row],[CUIT]],Lista_CUIT[#All],2,0)),"CUIT NO CARGADO")</f>
        <v>-</v>
      </c>
      <c r="I44" s="124"/>
      <c r="J44" s="125" t="str">
        <f>IFERROR(IF(factura_c_mes10[[#This Row],[CUIT]]="","-",VLOOKUP(factura_c_mes10[[#This Row],[CUIT]],Lista_CUIT[#All],3,0)),"CUIT NO CARGADO")</f>
        <v>-</v>
      </c>
      <c r="K44" s="125" t="str">
        <f>IFERROR(IF(factura_c_mes10[[#This Row],[CUIT]]="","-",VLOOKUP(factura_c_mes10[[#This Row],[CUIT]],Lista_CUIT[#All],4,0)),"CUIT NO CARGADO")</f>
        <v>-</v>
      </c>
    </row>
    <row r="45" spans="4:17">
      <c r="D45" s="50"/>
      <c r="E45" s="42"/>
      <c r="F45" s="43"/>
      <c r="G45" s="44"/>
      <c r="H45" s="123" t="str">
        <f>IFERROR(IF(factura_c_mes10[[#This Row],[CUIT]]="","-",VLOOKUP(factura_c_mes10[[#This Row],[CUIT]],Lista_CUIT[#All],2,0)),"CUIT NO CARGADO")</f>
        <v>-</v>
      </c>
      <c r="I45" s="124"/>
      <c r="J45" s="125" t="str">
        <f>IFERROR(IF(factura_c_mes10[[#This Row],[CUIT]]="","-",VLOOKUP(factura_c_mes10[[#This Row],[CUIT]],Lista_CUIT[#All],3,0)),"CUIT NO CARGADO")</f>
        <v>-</v>
      </c>
      <c r="K45" s="125" t="str">
        <f>IFERROR(IF(factura_c_mes10[[#This Row],[CUIT]]="","-",VLOOKUP(factura_c_mes10[[#This Row],[CUIT]],Lista_CUIT[#All],4,0)),"CUIT NO CARGADO")</f>
        <v>-</v>
      </c>
    </row>
    <row r="46" spans="4:17">
      <c r="D46" s="50"/>
      <c r="E46" s="42"/>
      <c r="F46" s="43"/>
      <c r="G46" s="44"/>
      <c r="H46" s="123" t="str">
        <f>IFERROR(IF(factura_c_mes10[[#This Row],[CUIT]]="","-",VLOOKUP(factura_c_mes10[[#This Row],[CUIT]],Lista_CUIT[#All],2,0)),"CUIT NO CARGADO")</f>
        <v>-</v>
      </c>
      <c r="I46" s="124"/>
      <c r="J46" s="125" t="str">
        <f>IFERROR(IF(factura_c_mes10[[#This Row],[CUIT]]="","-",VLOOKUP(factura_c_mes10[[#This Row],[CUIT]],Lista_CUIT[#All],3,0)),"CUIT NO CARGADO")</f>
        <v>-</v>
      </c>
      <c r="K46" s="125" t="str">
        <f>IFERROR(IF(factura_c_mes10[[#This Row],[CUIT]]="","-",VLOOKUP(factura_c_mes10[[#This Row],[CUIT]],Lista_CUIT[#All],4,0)),"CUIT NO CARGADO")</f>
        <v>-</v>
      </c>
    </row>
    <row r="47" spans="4:17">
      <c r="D47" s="50"/>
      <c r="E47" s="42"/>
      <c r="F47" s="43"/>
      <c r="G47" s="44"/>
      <c r="H47" s="123" t="str">
        <f>IFERROR(IF(factura_c_mes10[[#This Row],[CUIT]]="","-",VLOOKUP(factura_c_mes10[[#This Row],[CUIT]],Lista_CUIT[#All],2,0)),"CUIT NO CARGADO")</f>
        <v>-</v>
      </c>
      <c r="I47" s="124"/>
      <c r="J47" s="125" t="str">
        <f>IFERROR(IF(factura_c_mes10[[#This Row],[CUIT]]="","-",VLOOKUP(factura_c_mes10[[#This Row],[CUIT]],Lista_CUIT[#All],3,0)),"CUIT NO CARGADO")</f>
        <v>-</v>
      </c>
      <c r="K47" s="125" t="str">
        <f>IFERROR(IF(factura_c_mes10[[#This Row],[CUIT]]="","-",VLOOKUP(factura_c_mes10[[#This Row],[CUIT]],Lista_CUIT[#All],4,0)),"CUIT NO CARGADO")</f>
        <v>-</v>
      </c>
    </row>
    <row r="48" spans="4:17">
      <c r="D48" s="50"/>
      <c r="E48" s="42"/>
      <c r="F48" s="43"/>
      <c r="G48" s="44"/>
      <c r="H48" s="123" t="str">
        <f>IFERROR(IF(factura_c_mes10[[#This Row],[CUIT]]="","-",VLOOKUP(factura_c_mes10[[#This Row],[CUIT]],Lista_CUIT[#All],2,0)),"CUIT NO CARGADO")</f>
        <v>-</v>
      </c>
      <c r="I48" s="124"/>
      <c r="J48" s="125" t="str">
        <f>IFERROR(IF(factura_c_mes10[[#This Row],[CUIT]]="","-",VLOOKUP(factura_c_mes10[[#This Row],[CUIT]],Lista_CUIT[#All],3,0)),"CUIT NO CARGADO")</f>
        <v>-</v>
      </c>
      <c r="K48" s="125" t="str">
        <f>IFERROR(IF(factura_c_mes10[[#This Row],[CUIT]]="","-",VLOOKUP(factura_c_mes10[[#This Row],[CUIT]],Lista_CUIT[#All],4,0)),"CUIT NO CARGADO")</f>
        <v>-</v>
      </c>
    </row>
    <row r="49" spans="2:18">
      <c r="B49" s="56"/>
      <c r="C49" s="56"/>
      <c r="D49" s="55" t="s">
        <v>91</v>
      </c>
      <c r="E49" s="55"/>
      <c r="F49" s="55"/>
      <c r="G49" s="55"/>
      <c r="H49" s="57"/>
      <c r="I49" s="58">
        <f>SUBTOTAL(109,factura_c_mes10[TOTAL])</f>
        <v>0</v>
      </c>
      <c r="J49" s="55"/>
      <c r="K49" s="55"/>
      <c r="L49" s="56"/>
      <c r="M49" s="56"/>
      <c r="N49" s="56"/>
      <c r="O49" s="56"/>
      <c r="P49" s="56"/>
      <c r="Q49" s="56"/>
      <c r="R49" s="56"/>
    </row>
    <row r="54" spans="2:18" ht="26.25">
      <c r="B54" s="436" t="s">
        <v>29</v>
      </c>
      <c r="C54" s="436"/>
      <c r="D54" s="436"/>
      <c r="E54" s="436"/>
      <c r="F54" s="436"/>
      <c r="G54" s="436"/>
      <c r="H54" s="436"/>
      <c r="I54" s="436"/>
      <c r="J54" s="436"/>
      <c r="K54" s="432">
        <f>N1</f>
        <v>46296</v>
      </c>
      <c r="L54" s="432"/>
      <c r="M54" s="432"/>
    </row>
    <row r="56" spans="2:18" ht="21">
      <c r="B56" s="429" t="s">
        <v>30</v>
      </c>
      <c r="C56" s="429"/>
    </row>
    <row r="57" spans="2:18" ht="15.75">
      <c r="B57" s="60" t="s">
        <v>0</v>
      </c>
      <c r="C57" s="61" t="s">
        <v>1</v>
      </c>
      <c r="D57" s="61" t="s">
        <v>21</v>
      </c>
      <c r="E57" s="61" t="s">
        <v>22</v>
      </c>
      <c r="F57" s="61" t="s">
        <v>3</v>
      </c>
      <c r="G57" s="61" t="s">
        <v>4</v>
      </c>
      <c r="H57" s="61" t="s">
        <v>23</v>
      </c>
      <c r="I57" s="61" t="s">
        <v>17</v>
      </c>
      <c r="J57" s="61" t="s">
        <v>7</v>
      </c>
      <c r="K57" s="61" t="s">
        <v>24</v>
      </c>
      <c r="L57" s="61" t="s">
        <v>10</v>
      </c>
      <c r="M57" s="62" t="s">
        <v>38</v>
      </c>
    </row>
    <row r="58" spans="2:18">
      <c r="B58" s="40"/>
      <c r="C58" s="41"/>
      <c r="D58" s="42"/>
      <c r="E58" s="43"/>
      <c r="F58" s="44"/>
      <c r="G58" s="99" t="str">
        <f>IFERROR(IF(venta_a_mes10[[#This Row],[CUIT]]="","-",VLOOKUP(venta_a_mes10[[#This Row],[CUIT]],Lista_CUIT[#All],2,0)),"CUIT NO CARGADO")</f>
        <v>-</v>
      </c>
      <c r="H58" s="100"/>
      <c r="I58" s="101">
        <f>venta_a_mes10[[#This Row],[IMPORTE NETO]]*0.21</f>
        <v>0</v>
      </c>
      <c r="J58" s="65"/>
      <c r="K58" s="65"/>
      <c r="L58" s="65">
        <f>SUM(venta_a_mes10[[#This Row],[IMPORTE NETO]:[EXENTO]])</f>
        <v>0</v>
      </c>
      <c r="M58" s="59"/>
    </row>
    <row r="59" spans="2:18">
      <c r="B59" s="40"/>
      <c r="C59" s="41"/>
      <c r="D59" s="42"/>
      <c r="E59" s="43"/>
      <c r="F59" s="44"/>
      <c r="G59" s="99" t="str">
        <f>IFERROR(IF(venta_a_mes10[[#This Row],[CUIT]]="","-",VLOOKUP(venta_a_mes10[[#This Row],[CUIT]],Lista_CUIT[#All],2,0)),"CUIT NO CARGADO")</f>
        <v>-</v>
      </c>
      <c r="H59" s="100"/>
      <c r="I59" s="101">
        <f>venta_a_mes10[[#This Row],[IMPORTE NETO]]*0.21</f>
        <v>0</v>
      </c>
      <c r="J59" s="65"/>
      <c r="K59" s="65"/>
      <c r="L59" s="65">
        <f>SUM(venta_a_mes10[[#This Row],[IMPORTE NETO]:[EXENTO]])</f>
        <v>0</v>
      </c>
      <c r="M59" s="59"/>
    </row>
    <row r="60" spans="2:18">
      <c r="B60" s="40"/>
      <c r="C60" s="41"/>
      <c r="D60" s="42"/>
      <c r="E60" s="43"/>
      <c r="F60" s="44"/>
      <c r="G60" s="99" t="str">
        <f>IFERROR(IF(venta_a_mes10[[#This Row],[CUIT]]="","-",VLOOKUP(venta_a_mes10[[#This Row],[CUIT]],Lista_CUIT[#All],2,0)),"CUIT NO CARGADO")</f>
        <v>-</v>
      </c>
      <c r="H60" s="100"/>
      <c r="I60" s="101">
        <f>venta_a_mes10[[#This Row],[IMPORTE NETO]]*0.21</f>
        <v>0</v>
      </c>
      <c r="J60" s="65"/>
      <c r="K60" s="65"/>
      <c r="L60" s="65">
        <f>SUM(venta_a_mes10[[#This Row],[IMPORTE NETO]:[EXENTO]])</f>
        <v>0</v>
      </c>
      <c r="M60" s="59"/>
    </row>
    <row r="61" spans="2:18">
      <c r="B61" s="40"/>
      <c r="C61" s="41"/>
      <c r="D61" s="42"/>
      <c r="E61" s="43"/>
      <c r="F61" s="44"/>
      <c r="G61" s="99" t="str">
        <f>IFERROR(IF(venta_a_mes10[[#This Row],[CUIT]]="","-",VLOOKUP(venta_a_mes10[[#This Row],[CUIT]],Lista_CUIT[#All],2,0)),"CUIT NO CARGADO")</f>
        <v>-</v>
      </c>
      <c r="H61" s="100"/>
      <c r="I61" s="101">
        <f>venta_a_mes10[[#This Row],[IMPORTE NETO]]*0.21</f>
        <v>0</v>
      </c>
      <c r="J61" s="65"/>
      <c r="K61" s="65"/>
      <c r="L61" s="65">
        <f>SUM(venta_a_mes10[[#This Row],[IMPORTE NETO]:[EXENTO]])</f>
        <v>0</v>
      </c>
      <c r="M61" s="59"/>
    </row>
    <row r="62" spans="2:18">
      <c r="B62" s="40"/>
      <c r="C62" s="41"/>
      <c r="D62" s="42"/>
      <c r="E62" s="43"/>
      <c r="F62" s="44"/>
      <c r="G62" s="99" t="str">
        <f>IFERROR(IF(venta_a_mes10[[#This Row],[CUIT]]="","-",VLOOKUP(venta_a_mes10[[#This Row],[CUIT]],Lista_CUIT[#All],2,0)),"CUIT NO CARGADO")</f>
        <v>-</v>
      </c>
      <c r="H62" s="100"/>
      <c r="I62" s="101">
        <f>venta_a_mes10[[#This Row],[IMPORTE NETO]]*0.21</f>
        <v>0</v>
      </c>
      <c r="J62" s="65"/>
      <c r="K62" s="65"/>
      <c r="L62" s="65">
        <f>SUM(venta_a_mes10[[#This Row],[IMPORTE NETO]:[EXENTO]])</f>
        <v>0</v>
      </c>
      <c r="M62" s="59"/>
    </row>
    <row r="63" spans="2:18">
      <c r="B63" s="40"/>
      <c r="C63" s="41"/>
      <c r="D63" s="42"/>
      <c r="E63" s="43"/>
      <c r="F63" s="44"/>
      <c r="G63" s="99" t="str">
        <f>IFERROR(IF(venta_a_mes10[[#This Row],[CUIT]]="","-",VLOOKUP(venta_a_mes10[[#This Row],[CUIT]],Lista_CUIT[#All],2,0)),"CUIT NO CARGADO")</f>
        <v>-</v>
      </c>
      <c r="H63" s="100"/>
      <c r="I63" s="101">
        <f>venta_a_mes10[[#This Row],[IMPORTE NETO]]*0.21</f>
        <v>0</v>
      </c>
      <c r="J63" s="65"/>
      <c r="K63" s="65"/>
      <c r="L63" s="65">
        <f>SUM(venta_a_mes10[[#This Row],[IMPORTE NETO]:[EXENTO]])</f>
        <v>0</v>
      </c>
      <c r="M63" s="59"/>
    </row>
    <row r="64" spans="2:18">
      <c r="B64" s="40"/>
      <c r="C64" s="41"/>
      <c r="D64" s="42"/>
      <c r="E64" s="43"/>
      <c r="F64" s="44"/>
      <c r="G64" s="99" t="str">
        <f>IFERROR(IF(venta_a_mes10[[#This Row],[CUIT]]="","-",VLOOKUP(venta_a_mes10[[#This Row],[CUIT]],Lista_CUIT[#All],2,0)),"CUIT NO CARGADO")</f>
        <v>-</v>
      </c>
      <c r="H64" s="100"/>
      <c r="I64" s="101">
        <f>venta_a_mes10[[#This Row],[IMPORTE NETO]]*0.21</f>
        <v>0</v>
      </c>
      <c r="J64" s="65"/>
      <c r="K64" s="65"/>
      <c r="L64" s="65">
        <f>SUM(venta_a_mes10[[#This Row],[IMPORTE NETO]:[EXENTO]])</f>
        <v>0</v>
      </c>
      <c r="M64" s="59"/>
    </row>
    <row r="65" spans="2:13">
      <c r="B65" s="40"/>
      <c r="C65" s="41"/>
      <c r="D65" s="42"/>
      <c r="E65" s="43"/>
      <c r="F65" s="44"/>
      <c r="G65" s="99" t="str">
        <f>IFERROR(IF(venta_a_mes10[[#This Row],[CUIT]]="","-",VLOOKUP(venta_a_mes10[[#This Row],[CUIT]],Lista_CUIT[#All],2,0)),"CUIT NO CARGADO")</f>
        <v>-</v>
      </c>
      <c r="H65" s="100"/>
      <c r="I65" s="101">
        <f>venta_a_mes10[[#This Row],[IMPORTE NETO]]*0.21</f>
        <v>0</v>
      </c>
      <c r="J65" s="65"/>
      <c r="K65" s="65"/>
      <c r="L65" s="65">
        <f>SUM(venta_a_mes10[[#This Row],[IMPORTE NETO]:[EXENTO]])</f>
        <v>0</v>
      </c>
      <c r="M65" s="59"/>
    </row>
    <row r="66" spans="2:13">
      <c r="B66" s="40"/>
      <c r="C66" s="41"/>
      <c r="D66" s="42"/>
      <c r="E66" s="43"/>
      <c r="F66" s="44"/>
      <c r="G66" s="99" t="str">
        <f>IFERROR(IF(venta_a_mes10[[#This Row],[CUIT]]="","-",VLOOKUP(venta_a_mes10[[#This Row],[CUIT]],Lista_CUIT[#All],2,0)),"CUIT NO CARGADO")</f>
        <v>-</v>
      </c>
      <c r="H66" s="100"/>
      <c r="I66" s="101">
        <f>venta_a_mes10[[#This Row],[IMPORTE NETO]]*0.21</f>
        <v>0</v>
      </c>
      <c r="J66" s="65"/>
      <c r="K66" s="65"/>
      <c r="L66" s="65">
        <f>SUM(venta_a_mes10[[#This Row],[IMPORTE NETO]:[EXENTO]])</f>
        <v>0</v>
      </c>
      <c r="M66" s="59"/>
    </row>
    <row r="67" spans="2:13">
      <c r="B67" s="40"/>
      <c r="C67" s="41"/>
      <c r="D67" s="42"/>
      <c r="E67" s="43"/>
      <c r="F67" s="44"/>
      <c r="G67" s="99" t="str">
        <f>IFERROR(IF(venta_a_mes10[[#This Row],[CUIT]]="","-",VLOOKUP(venta_a_mes10[[#This Row],[CUIT]],Lista_CUIT[#All],2,0)),"CUIT NO CARGADO")</f>
        <v>-</v>
      </c>
      <c r="H67" s="100"/>
      <c r="I67" s="101">
        <f>venta_a_mes10[[#This Row],[IMPORTE NETO]]*0.21</f>
        <v>0</v>
      </c>
      <c r="J67" s="65"/>
      <c r="K67" s="65"/>
      <c r="L67" s="65">
        <f>SUM(venta_a_mes10[[#This Row],[IMPORTE NETO]:[EXENTO]])</f>
        <v>0</v>
      </c>
      <c r="M67" s="59"/>
    </row>
    <row r="68" spans="2:13">
      <c r="B68" s="40"/>
      <c r="C68" s="41"/>
      <c r="D68" s="42"/>
      <c r="E68" s="43"/>
      <c r="F68" s="44"/>
      <c r="G68" s="99" t="str">
        <f>IFERROR(IF(venta_a_mes10[[#This Row],[CUIT]]="","-",VLOOKUP(venta_a_mes10[[#This Row],[CUIT]],Lista_CUIT[#All],2,0)),"CUIT NO CARGADO")</f>
        <v>-</v>
      </c>
      <c r="H68" s="100"/>
      <c r="I68" s="101">
        <f>venta_a_mes10[[#This Row],[IMPORTE NETO]]*0.21</f>
        <v>0</v>
      </c>
      <c r="J68" s="65"/>
      <c r="K68" s="65"/>
      <c r="L68" s="65">
        <f>SUM(venta_a_mes10[[#This Row],[IMPORTE NETO]:[EXENTO]])</f>
        <v>0</v>
      </c>
      <c r="M68" s="59"/>
    </row>
    <row r="69" spans="2:13">
      <c r="B69" s="40"/>
      <c r="C69" s="41"/>
      <c r="D69" s="42"/>
      <c r="E69" s="43"/>
      <c r="F69" s="44"/>
      <c r="G69" s="99" t="str">
        <f>IFERROR(IF(venta_a_mes10[[#This Row],[CUIT]]="","-",VLOOKUP(venta_a_mes10[[#This Row],[CUIT]],Lista_CUIT[#All],2,0)),"CUIT NO CARGADO")</f>
        <v>-</v>
      </c>
      <c r="H69" s="100"/>
      <c r="I69" s="101">
        <f>venta_a_mes10[[#This Row],[IMPORTE NETO]]*0.21</f>
        <v>0</v>
      </c>
      <c r="J69" s="65"/>
      <c r="K69" s="65"/>
      <c r="L69" s="65">
        <f>SUM(venta_a_mes10[[#This Row],[IMPORTE NETO]:[EXENTO]])</f>
        <v>0</v>
      </c>
      <c r="M69" s="59"/>
    </row>
    <row r="70" spans="2:13">
      <c r="B70" s="40"/>
      <c r="C70" s="41"/>
      <c r="D70" s="42"/>
      <c r="E70" s="43"/>
      <c r="F70" s="44"/>
      <c r="G70" s="99" t="str">
        <f>IFERROR(IF(venta_a_mes10[[#This Row],[CUIT]]="","-",VLOOKUP(venta_a_mes10[[#This Row],[CUIT]],Lista_CUIT[#All],2,0)),"CUIT NO CARGADO")</f>
        <v>-</v>
      </c>
      <c r="H70" s="100"/>
      <c r="I70" s="101">
        <f>venta_a_mes10[[#This Row],[IMPORTE NETO]]*0.21</f>
        <v>0</v>
      </c>
      <c r="J70" s="65"/>
      <c r="K70" s="65"/>
      <c r="L70" s="65">
        <f>SUM(venta_a_mes10[[#This Row],[IMPORTE NETO]:[EXENTO]])</f>
        <v>0</v>
      </c>
      <c r="M70" s="59"/>
    </row>
    <row r="71" spans="2:13">
      <c r="B71" s="40"/>
      <c r="C71" s="41"/>
      <c r="D71" s="42"/>
      <c r="E71" s="43"/>
      <c r="F71" s="44"/>
      <c r="G71" s="99" t="str">
        <f>IFERROR(IF(venta_a_mes10[[#This Row],[CUIT]]="","-",VLOOKUP(venta_a_mes10[[#This Row],[CUIT]],Lista_CUIT[#All],2,0)),"CUIT NO CARGADO")</f>
        <v>-</v>
      </c>
      <c r="H71" s="100"/>
      <c r="I71" s="101">
        <f>venta_a_mes10[[#This Row],[IMPORTE NETO]]*0.21</f>
        <v>0</v>
      </c>
      <c r="J71" s="65"/>
      <c r="K71" s="65"/>
      <c r="L71" s="65">
        <f>SUM(venta_a_mes10[[#This Row],[IMPORTE NETO]:[EXENTO]])</f>
        <v>0</v>
      </c>
      <c r="M71" s="59"/>
    </row>
    <row r="72" spans="2:13">
      <c r="B72" s="40"/>
      <c r="C72" s="41"/>
      <c r="D72" s="42"/>
      <c r="E72" s="43"/>
      <c r="F72" s="44"/>
      <c r="G72" s="99" t="str">
        <f>IFERROR(IF(venta_a_mes10[[#This Row],[CUIT]]="","-",VLOOKUP(venta_a_mes10[[#This Row],[CUIT]],Lista_CUIT[#All],2,0)),"CUIT NO CARGADO")</f>
        <v>-</v>
      </c>
      <c r="H72" s="100"/>
      <c r="I72" s="101">
        <f>venta_a_mes10[[#This Row],[IMPORTE NETO]]*0.21</f>
        <v>0</v>
      </c>
      <c r="J72" s="65"/>
      <c r="K72" s="65"/>
      <c r="L72" s="65">
        <f>SUM(venta_a_mes10[[#This Row],[IMPORTE NETO]:[EXENTO]])</f>
        <v>0</v>
      </c>
      <c r="M72" s="59"/>
    </row>
    <row r="73" spans="2:13">
      <c r="B73" s="40"/>
      <c r="C73" s="41"/>
      <c r="D73" s="42"/>
      <c r="E73" s="43"/>
      <c r="F73" s="44"/>
      <c r="G73" s="99" t="str">
        <f>IFERROR(IF(venta_a_mes10[[#This Row],[CUIT]]="","-",VLOOKUP(venta_a_mes10[[#This Row],[CUIT]],Lista_CUIT[#All],2,0)),"CUIT NO CARGADO")</f>
        <v>-</v>
      </c>
      <c r="H73" s="100"/>
      <c r="I73" s="101">
        <f>venta_a_mes10[[#This Row],[IMPORTE NETO]]*0.21</f>
        <v>0</v>
      </c>
      <c r="J73" s="65"/>
      <c r="K73" s="65"/>
      <c r="L73" s="65">
        <f>SUM(venta_a_mes10[[#This Row],[IMPORTE NETO]:[EXENTO]])</f>
        <v>0</v>
      </c>
      <c r="M73" s="59"/>
    </row>
    <row r="74" spans="2:13">
      <c r="B74" s="40"/>
      <c r="C74" s="41"/>
      <c r="D74" s="42"/>
      <c r="E74" s="43"/>
      <c r="F74" s="44"/>
      <c r="G74" s="99" t="str">
        <f>IFERROR(IF(venta_a_mes10[[#This Row],[CUIT]]="","-",VLOOKUP(venta_a_mes10[[#This Row],[CUIT]],Lista_CUIT[#All],2,0)),"CUIT NO CARGADO")</f>
        <v>-</v>
      </c>
      <c r="H74" s="100"/>
      <c r="I74" s="101">
        <f>venta_a_mes10[[#This Row],[IMPORTE NETO]]*0.21</f>
        <v>0</v>
      </c>
      <c r="J74" s="65"/>
      <c r="K74" s="65"/>
      <c r="L74" s="65">
        <f>SUM(venta_a_mes10[[#This Row],[IMPORTE NETO]:[EXENTO]])</f>
        <v>0</v>
      </c>
      <c r="M74" s="59"/>
    </row>
    <row r="75" spans="2:13">
      <c r="B75" s="40"/>
      <c r="C75" s="41"/>
      <c r="D75" s="42"/>
      <c r="E75" s="43"/>
      <c r="F75" s="44"/>
      <c r="G75" s="99" t="str">
        <f>IFERROR(IF(venta_a_mes10[[#This Row],[CUIT]]="","-",VLOOKUP(venta_a_mes10[[#This Row],[CUIT]],Lista_CUIT[#All],2,0)),"CUIT NO CARGADO")</f>
        <v>-</v>
      </c>
      <c r="H75" s="100"/>
      <c r="I75" s="101">
        <f>venta_a_mes10[[#This Row],[IMPORTE NETO]]*0.21</f>
        <v>0</v>
      </c>
      <c r="J75" s="65"/>
      <c r="K75" s="65"/>
      <c r="L75" s="65">
        <f>SUM(venta_a_mes10[[#This Row],[IMPORTE NETO]:[EXENTO]])</f>
        <v>0</v>
      </c>
      <c r="M75" s="59"/>
    </row>
    <row r="76" spans="2:13">
      <c r="B76" s="40"/>
      <c r="C76" s="41"/>
      <c r="D76" s="42"/>
      <c r="E76" s="43"/>
      <c r="F76" s="44"/>
      <c r="G76" s="99" t="str">
        <f>IFERROR(IF(venta_a_mes10[[#This Row],[CUIT]]="","-",VLOOKUP(venta_a_mes10[[#This Row],[CUIT]],Lista_CUIT[#All],2,0)),"CUIT NO CARGADO")</f>
        <v>-</v>
      </c>
      <c r="H76" s="100"/>
      <c r="I76" s="101">
        <f>venta_a_mes10[[#This Row],[IMPORTE NETO]]*0.21</f>
        <v>0</v>
      </c>
      <c r="J76" s="65"/>
      <c r="K76" s="65"/>
      <c r="L76" s="65">
        <f>SUM(venta_a_mes10[[#This Row],[IMPORTE NETO]:[EXENTO]])</f>
        <v>0</v>
      </c>
      <c r="M76" s="59"/>
    </row>
    <row r="77" spans="2:13">
      <c r="B77" s="40"/>
      <c r="C77" s="41"/>
      <c r="D77" s="42"/>
      <c r="E77" s="43"/>
      <c r="F77" s="44"/>
      <c r="G77" s="99" t="str">
        <f>IFERROR(IF(venta_a_mes10[[#This Row],[CUIT]]="","-",VLOOKUP(venta_a_mes10[[#This Row],[CUIT]],Lista_CUIT[#All],2,0)),"CUIT NO CARGADO")</f>
        <v>-</v>
      </c>
      <c r="H77" s="100"/>
      <c r="I77" s="101">
        <f>venta_a_mes10[[#This Row],[IMPORTE NETO]]*0.21</f>
        <v>0</v>
      </c>
      <c r="J77" s="65"/>
      <c r="K77" s="65"/>
      <c r="L77" s="65">
        <f>SUM(venta_a_mes10[[#This Row],[IMPORTE NETO]:[EXENTO]])</f>
        <v>0</v>
      </c>
      <c r="M77" s="59"/>
    </row>
    <row r="78" spans="2:13">
      <c r="B78" s="40"/>
      <c r="C78" s="41"/>
      <c r="D78" s="42"/>
      <c r="E78" s="43"/>
      <c r="F78" s="44"/>
      <c r="G78" s="99" t="str">
        <f>IFERROR(IF(venta_a_mes10[[#This Row],[CUIT]]="","-",VLOOKUP(venta_a_mes10[[#This Row],[CUIT]],Lista_CUIT[#All],2,0)),"CUIT NO CARGADO")</f>
        <v>-</v>
      </c>
      <c r="H78" s="100"/>
      <c r="I78" s="101">
        <f>venta_a_mes10[[#This Row],[IMPORTE NETO]]*0.21</f>
        <v>0</v>
      </c>
      <c r="J78" s="65"/>
      <c r="K78" s="65"/>
      <c r="L78" s="65">
        <f>SUM(venta_a_mes10[[#This Row],[IMPORTE NETO]:[EXENTO]])</f>
        <v>0</v>
      </c>
      <c r="M78" s="59"/>
    </row>
    <row r="79" spans="2:13">
      <c r="B79" s="40"/>
      <c r="C79" s="41"/>
      <c r="D79" s="42"/>
      <c r="E79" s="43"/>
      <c r="F79" s="44"/>
      <c r="G79" s="99" t="str">
        <f>IFERROR(IF(venta_a_mes10[[#This Row],[CUIT]]="","-",VLOOKUP(venta_a_mes10[[#This Row],[CUIT]],Lista_CUIT[#All],2,0)),"CUIT NO CARGADO")</f>
        <v>-</v>
      </c>
      <c r="H79" s="100"/>
      <c r="I79" s="101">
        <f>venta_a_mes10[[#This Row],[IMPORTE NETO]]*0.21</f>
        <v>0</v>
      </c>
      <c r="J79" s="65"/>
      <c r="K79" s="65"/>
      <c r="L79" s="65">
        <f>SUM(venta_a_mes10[[#This Row],[IMPORTE NETO]:[EXENTO]])</f>
        <v>0</v>
      </c>
      <c r="M79" s="59"/>
    </row>
    <row r="80" spans="2:13">
      <c r="B80" s="40"/>
      <c r="C80" s="41"/>
      <c r="D80" s="42"/>
      <c r="E80" s="43"/>
      <c r="F80" s="44"/>
      <c r="G80" s="99" t="str">
        <f>IFERROR(IF(venta_a_mes10[[#This Row],[CUIT]]="","-",VLOOKUP(venta_a_mes10[[#This Row],[CUIT]],Lista_CUIT[#All],2,0)),"CUIT NO CARGADO")</f>
        <v>-</v>
      </c>
      <c r="H80" s="100"/>
      <c r="I80" s="101">
        <f>venta_a_mes10[[#This Row],[IMPORTE NETO]]*0.21</f>
        <v>0</v>
      </c>
      <c r="J80" s="65"/>
      <c r="K80" s="65"/>
      <c r="L80" s="65">
        <f>SUM(venta_a_mes10[[#This Row],[IMPORTE NETO]:[EXENTO]])</f>
        <v>0</v>
      </c>
      <c r="M80" s="59"/>
    </row>
    <row r="81" spans="2:13">
      <c r="B81" s="40"/>
      <c r="C81" s="41"/>
      <c r="D81" s="42"/>
      <c r="E81" s="43"/>
      <c r="F81" s="44"/>
      <c r="G81" s="99" t="str">
        <f>IFERROR(IF(venta_a_mes10[[#This Row],[CUIT]]="","-",VLOOKUP(venta_a_mes10[[#This Row],[CUIT]],Lista_CUIT[#All],2,0)),"CUIT NO CARGADO")</f>
        <v>-</v>
      </c>
      <c r="H81" s="100"/>
      <c r="I81" s="101">
        <f>venta_a_mes10[[#This Row],[IMPORTE NETO]]*0.21</f>
        <v>0</v>
      </c>
      <c r="J81" s="65"/>
      <c r="K81" s="65"/>
      <c r="L81" s="65">
        <f>SUM(venta_a_mes10[[#This Row],[IMPORTE NETO]:[EXENTO]])</f>
        <v>0</v>
      </c>
      <c r="M81" s="59"/>
    </row>
    <row r="82" spans="2:13">
      <c r="B82" s="40"/>
      <c r="C82" s="41"/>
      <c r="D82" s="42"/>
      <c r="E82" s="43"/>
      <c r="F82" s="44"/>
      <c r="G82" s="99" t="str">
        <f>IFERROR(IF(venta_a_mes10[[#This Row],[CUIT]]="","-",VLOOKUP(venta_a_mes10[[#This Row],[CUIT]],Lista_CUIT[#All],2,0)),"CUIT NO CARGADO")</f>
        <v>-</v>
      </c>
      <c r="H82" s="100"/>
      <c r="I82" s="101">
        <f>venta_a_mes10[[#This Row],[IMPORTE NETO]]*0.21</f>
        <v>0</v>
      </c>
      <c r="J82" s="65"/>
      <c r="K82" s="65"/>
      <c r="L82" s="65">
        <f>SUM(venta_a_mes10[[#This Row],[IMPORTE NETO]:[EXENTO]])</f>
        <v>0</v>
      </c>
      <c r="M82" s="59"/>
    </row>
    <row r="83" spans="2:13">
      <c r="B83" s="40"/>
      <c r="C83" s="41"/>
      <c r="D83" s="42"/>
      <c r="E83" s="43"/>
      <c r="F83" s="44"/>
      <c r="G83" s="99" t="str">
        <f>IFERROR(IF(venta_a_mes10[[#This Row],[CUIT]]="","-",VLOOKUP(venta_a_mes10[[#This Row],[CUIT]],Lista_CUIT[#All],2,0)),"CUIT NO CARGADO")</f>
        <v>-</v>
      </c>
      <c r="H83" s="100"/>
      <c r="I83" s="101">
        <f>venta_a_mes10[[#This Row],[IMPORTE NETO]]*0.21</f>
        <v>0</v>
      </c>
      <c r="J83" s="65"/>
      <c r="K83" s="65"/>
      <c r="L83" s="65">
        <f>SUM(venta_a_mes10[[#This Row],[IMPORTE NETO]:[EXENTO]])</f>
        <v>0</v>
      </c>
      <c r="M83" s="59"/>
    </row>
    <row r="84" spans="2:13">
      <c r="B84" s="40"/>
      <c r="C84" s="41"/>
      <c r="D84" s="42"/>
      <c r="E84" s="43"/>
      <c r="F84" s="44"/>
      <c r="G84" s="99" t="str">
        <f>IFERROR(IF(venta_a_mes10[[#This Row],[CUIT]]="","-",VLOOKUP(venta_a_mes10[[#This Row],[CUIT]],Lista_CUIT[#All],2,0)),"CUIT NO CARGADO")</f>
        <v>-</v>
      </c>
      <c r="H84" s="100"/>
      <c r="I84" s="101">
        <f>venta_a_mes10[[#This Row],[IMPORTE NETO]]*0.21</f>
        <v>0</v>
      </c>
      <c r="J84" s="65"/>
      <c r="K84" s="65"/>
      <c r="L84" s="65">
        <f>SUM(venta_a_mes10[[#This Row],[IMPORTE NETO]:[EXENTO]])</f>
        <v>0</v>
      </c>
      <c r="M84" s="59"/>
    </row>
    <row r="85" spans="2:13">
      <c r="B85" s="40"/>
      <c r="C85" s="41"/>
      <c r="D85" s="42"/>
      <c r="E85" s="43"/>
      <c r="F85" s="44"/>
      <c r="G85" s="99" t="str">
        <f>IFERROR(IF(venta_a_mes10[[#This Row],[CUIT]]="","-",VLOOKUP(venta_a_mes10[[#This Row],[CUIT]],Lista_CUIT[#All],2,0)),"CUIT NO CARGADO")</f>
        <v>-</v>
      </c>
      <c r="H85" s="100"/>
      <c r="I85" s="101">
        <f>venta_a_mes10[[#This Row],[IMPORTE NETO]]*0.21</f>
        <v>0</v>
      </c>
      <c r="J85" s="65"/>
      <c r="K85" s="65"/>
      <c r="L85" s="65">
        <f>SUM(venta_a_mes10[[#This Row],[IMPORTE NETO]:[EXENTO]])</f>
        <v>0</v>
      </c>
      <c r="M85" s="59"/>
    </row>
    <row r="86" spans="2:13">
      <c r="B86" s="40"/>
      <c r="C86" s="41"/>
      <c r="D86" s="42"/>
      <c r="E86" s="43"/>
      <c r="F86" s="44"/>
      <c r="G86" s="99" t="str">
        <f>IFERROR(IF(venta_a_mes10[[#This Row],[CUIT]]="","-",VLOOKUP(venta_a_mes10[[#This Row],[CUIT]],Lista_CUIT[#All],2,0)),"CUIT NO CARGADO")</f>
        <v>-</v>
      </c>
      <c r="H86" s="100"/>
      <c r="I86" s="101">
        <f>venta_a_mes10[[#This Row],[IMPORTE NETO]]*0.21</f>
        <v>0</v>
      </c>
      <c r="J86" s="65"/>
      <c r="K86" s="65"/>
      <c r="L86" s="65">
        <f>SUM(venta_a_mes10[[#This Row],[IMPORTE NETO]:[EXENTO]])</f>
        <v>0</v>
      </c>
      <c r="M86" s="59"/>
    </row>
    <row r="87" spans="2:13">
      <c r="B87" s="40"/>
      <c r="C87" s="41"/>
      <c r="D87" s="42"/>
      <c r="E87" s="43"/>
      <c r="F87" s="44"/>
      <c r="G87" s="99" t="str">
        <f>IFERROR(IF(venta_a_mes10[[#This Row],[CUIT]]="","-",VLOOKUP(venta_a_mes10[[#This Row],[CUIT]],Lista_CUIT[#All],2,0)),"CUIT NO CARGADO")</f>
        <v>-</v>
      </c>
      <c r="H87" s="100"/>
      <c r="I87" s="101">
        <f>venta_a_mes10[[#This Row],[IMPORTE NETO]]*0.21</f>
        <v>0</v>
      </c>
      <c r="J87" s="65"/>
      <c r="K87" s="65"/>
      <c r="L87" s="65">
        <f>SUM(venta_a_mes10[[#This Row],[IMPORTE NETO]:[EXENTO]])</f>
        <v>0</v>
      </c>
      <c r="M87" s="59"/>
    </row>
    <row r="88" spans="2:13">
      <c r="B88" s="40"/>
      <c r="C88" s="41"/>
      <c r="D88" s="42"/>
      <c r="E88" s="43"/>
      <c r="F88" s="44"/>
      <c r="G88" s="99" t="str">
        <f>IFERROR(IF(venta_a_mes10[[#This Row],[CUIT]]="","-",VLOOKUP(venta_a_mes10[[#This Row],[CUIT]],Lista_CUIT[#All],2,0)),"CUIT NO CARGADO")</f>
        <v>-</v>
      </c>
      <c r="H88" s="100"/>
      <c r="I88" s="101">
        <f>venta_a_mes10[[#This Row],[IMPORTE NETO]]*0.21</f>
        <v>0</v>
      </c>
      <c r="J88" s="65"/>
      <c r="K88" s="65"/>
      <c r="L88" s="65">
        <f>SUM(venta_a_mes10[[#This Row],[IMPORTE NETO]:[EXENTO]])</f>
        <v>0</v>
      </c>
      <c r="M88" s="59"/>
    </row>
    <row r="89" spans="2:13">
      <c r="B89" s="40"/>
      <c r="C89" s="41"/>
      <c r="D89" s="42"/>
      <c r="E89" s="43"/>
      <c r="F89" s="44"/>
      <c r="G89" s="99" t="str">
        <f>IFERROR(IF(venta_a_mes10[[#This Row],[CUIT]]="","-",VLOOKUP(venta_a_mes10[[#This Row],[CUIT]],Lista_CUIT[#All],2,0)),"CUIT NO CARGADO")</f>
        <v>-</v>
      </c>
      <c r="H89" s="100"/>
      <c r="I89" s="101">
        <f>venta_a_mes10[[#This Row],[IMPORTE NETO]]*0.21</f>
        <v>0</v>
      </c>
      <c r="J89" s="65"/>
      <c r="K89" s="65"/>
      <c r="L89" s="65">
        <f>SUM(venta_a_mes10[[#This Row],[IMPORTE NETO]:[EXENTO]])</f>
        <v>0</v>
      </c>
      <c r="M89" s="59"/>
    </row>
    <row r="90" spans="2:13">
      <c r="B90" s="40"/>
      <c r="C90" s="41"/>
      <c r="D90" s="42"/>
      <c r="E90" s="43"/>
      <c r="F90" s="44"/>
      <c r="G90" s="99" t="str">
        <f>IFERROR(IF(venta_a_mes10[[#This Row],[CUIT]]="","-",VLOOKUP(venta_a_mes10[[#This Row],[CUIT]],Lista_CUIT[#All],2,0)),"CUIT NO CARGADO")</f>
        <v>-</v>
      </c>
      <c r="H90" s="100"/>
      <c r="I90" s="101">
        <f>venta_a_mes10[[#This Row],[IMPORTE NETO]]*0.21</f>
        <v>0</v>
      </c>
      <c r="J90" s="65"/>
      <c r="K90" s="65"/>
      <c r="L90" s="65">
        <f>SUM(venta_a_mes10[[#This Row],[IMPORTE NETO]:[EXENTO]])</f>
        <v>0</v>
      </c>
      <c r="M90" s="59"/>
    </row>
    <row r="91" spans="2:13">
      <c r="B91" s="40"/>
      <c r="C91" s="41"/>
      <c r="D91" s="42"/>
      <c r="E91" s="43"/>
      <c r="F91" s="44"/>
      <c r="G91" s="99" t="str">
        <f>IFERROR(IF(venta_a_mes10[[#This Row],[CUIT]]="","-",VLOOKUP(venta_a_mes10[[#This Row],[CUIT]],Lista_CUIT[#All],2,0)),"CUIT NO CARGADO")</f>
        <v>-</v>
      </c>
      <c r="H91" s="100"/>
      <c r="I91" s="101">
        <f>venta_a_mes10[[#This Row],[IMPORTE NETO]]*0.21</f>
        <v>0</v>
      </c>
      <c r="J91" s="65"/>
      <c r="K91" s="65"/>
      <c r="L91" s="65">
        <f>SUM(venta_a_mes10[[#This Row],[IMPORTE NETO]:[EXENTO]])</f>
        <v>0</v>
      </c>
      <c r="M91" s="59"/>
    </row>
    <row r="92" spans="2:13">
      <c r="B92" s="40"/>
      <c r="C92" s="41"/>
      <c r="D92" s="42"/>
      <c r="E92" s="43"/>
      <c r="F92" s="44"/>
      <c r="G92" s="99" t="str">
        <f>IFERROR(IF(venta_a_mes10[[#This Row],[CUIT]]="","-",VLOOKUP(venta_a_mes10[[#This Row],[CUIT]],Lista_CUIT[#All],2,0)),"CUIT NO CARGADO")</f>
        <v>-</v>
      </c>
      <c r="H92" s="100"/>
      <c r="I92" s="101">
        <f>venta_a_mes10[[#This Row],[IMPORTE NETO]]*0.21</f>
        <v>0</v>
      </c>
      <c r="J92" s="65"/>
      <c r="K92" s="65"/>
      <c r="L92" s="65">
        <f>SUM(venta_a_mes10[[#This Row],[IMPORTE NETO]:[EXENTO]])</f>
        <v>0</v>
      </c>
      <c r="M92" s="59"/>
    </row>
    <row r="93" spans="2:13">
      <c r="B93" s="40"/>
      <c r="C93" s="41"/>
      <c r="D93" s="42"/>
      <c r="E93" s="43"/>
      <c r="F93" s="44"/>
      <c r="G93" s="99" t="str">
        <f>IFERROR(IF(venta_a_mes10[[#This Row],[CUIT]]="","-",VLOOKUP(venta_a_mes10[[#This Row],[CUIT]],Lista_CUIT[#All],2,0)),"CUIT NO CARGADO")</f>
        <v>-</v>
      </c>
      <c r="H93" s="100"/>
      <c r="I93" s="101">
        <f>venta_a_mes10[[#This Row],[IMPORTE NETO]]*0.21</f>
        <v>0</v>
      </c>
      <c r="J93" s="65"/>
      <c r="K93" s="65"/>
      <c r="L93" s="65">
        <f>SUM(venta_a_mes10[[#This Row],[IMPORTE NETO]:[EXENTO]])</f>
        <v>0</v>
      </c>
      <c r="M93" s="59"/>
    </row>
    <row r="94" spans="2:13">
      <c r="B94" s="40"/>
      <c r="C94" s="41"/>
      <c r="D94" s="42"/>
      <c r="E94" s="43"/>
      <c r="F94" s="44"/>
      <c r="G94" s="99" t="str">
        <f>IFERROR(IF(venta_a_mes10[[#This Row],[CUIT]]="","-",VLOOKUP(venta_a_mes10[[#This Row],[CUIT]],Lista_CUIT[#All],2,0)),"CUIT NO CARGADO")</f>
        <v>-</v>
      </c>
      <c r="H94" s="100"/>
      <c r="I94" s="101">
        <f>venta_a_mes10[[#This Row],[IMPORTE NETO]]*0.21</f>
        <v>0</v>
      </c>
      <c r="J94" s="65"/>
      <c r="K94" s="65"/>
      <c r="L94" s="65">
        <f>SUM(venta_a_mes10[[#This Row],[IMPORTE NETO]:[EXENTO]])</f>
        <v>0</v>
      </c>
      <c r="M94" s="59"/>
    </row>
    <row r="95" spans="2:13">
      <c r="B95" s="40"/>
      <c r="C95" s="41"/>
      <c r="D95" s="42"/>
      <c r="E95" s="43"/>
      <c r="F95" s="44"/>
      <c r="G95" s="99" t="str">
        <f>IFERROR(IF(venta_a_mes10[[#This Row],[CUIT]]="","-",VLOOKUP(venta_a_mes10[[#This Row],[CUIT]],Lista_CUIT[#All],2,0)),"CUIT NO CARGADO")</f>
        <v>-</v>
      </c>
      <c r="H95" s="100"/>
      <c r="I95" s="101">
        <f>venta_a_mes10[[#This Row],[IMPORTE NETO]]*0.21</f>
        <v>0</v>
      </c>
      <c r="J95" s="65"/>
      <c r="K95" s="65"/>
      <c r="L95" s="65">
        <f>SUM(venta_a_mes10[[#This Row],[IMPORTE NETO]:[EXENTO]])</f>
        <v>0</v>
      </c>
      <c r="M95" s="59"/>
    </row>
    <row r="96" spans="2:13">
      <c r="B96" s="40"/>
      <c r="C96" s="41"/>
      <c r="D96" s="42"/>
      <c r="E96" s="43"/>
      <c r="F96" s="44"/>
      <c r="G96" s="99" t="str">
        <f>IFERROR(IF(venta_a_mes10[[#This Row],[CUIT]]="","-",VLOOKUP(venta_a_mes10[[#This Row],[CUIT]],Lista_CUIT[#All],2,0)),"CUIT NO CARGADO")</f>
        <v>-</v>
      </c>
      <c r="H96" s="100"/>
      <c r="I96" s="101">
        <f>venta_a_mes10[[#This Row],[IMPORTE NETO]]*0.21</f>
        <v>0</v>
      </c>
      <c r="J96" s="65"/>
      <c r="K96" s="65"/>
      <c r="L96" s="65">
        <f>SUM(venta_a_mes10[[#This Row],[IMPORTE NETO]:[EXENTO]])</f>
        <v>0</v>
      </c>
      <c r="M96" s="59"/>
    </row>
    <row r="97" spans="2:13">
      <c r="B97" s="40"/>
      <c r="C97" s="41"/>
      <c r="D97" s="42"/>
      <c r="E97" s="43"/>
      <c r="F97" s="44"/>
      <c r="G97" s="99" t="str">
        <f>IFERROR(IF(venta_a_mes10[[#This Row],[CUIT]]="","-",VLOOKUP(venta_a_mes10[[#This Row],[CUIT]],Lista_CUIT[#All],2,0)),"CUIT NO CARGADO")</f>
        <v>-</v>
      </c>
      <c r="H97" s="100"/>
      <c r="I97" s="101">
        <f>venta_a_mes10[[#This Row],[IMPORTE NETO]]*0.21</f>
        <v>0</v>
      </c>
      <c r="J97" s="65"/>
      <c r="K97" s="65"/>
      <c r="L97" s="65">
        <f>SUM(venta_a_mes10[[#This Row],[IMPORTE NETO]:[EXENTO]])</f>
        <v>0</v>
      </c>
      <c r="M97" s="59"/>
    </row>
    <row r="98" spans="2:13">
      <c r="B98" s="40"/>
      <c r="C98" s="41"/>
      <c r="D98" s="42"/>
      <c r="E98" s="43"/>
      <c r="F98" s="44"/>
      <c r="G98" s="99" t="str">
        <f>IFERROR(IF(venta_a_mes10[[#This Row],[CUIT]]="","-",VLOOKUP(venta_a_mes10[[#This Row],[CUIT]],Lista_CUIT[#All],2,0)),"CUIT NO CARGADO")</f>
        <v>-</v>
      </c>
      <c r="H98" s="100"/>
      <c r="I98" s="101">
        <f>venta_a_mes10[[#This Row],[IMPORTE NETO]]*0.21</f>
        <v>0</v>
      </c>
      <c r="J98" s="65"/>
      <c r="K98" s="65"/>
      <c r="L98" s="65">
        <f>SUM(venta_a_mes10[[#This Row],[IMPORTE NETO]:[EXENTO]])</f>
        <v>0</v>
      </c>
      <c r="M98" s="59"/>
    </row>
    <row r="99" spans="2:13">
      <c r="B99" s="40"/>
      <c r="C99" s="41"/>
      <c r="D99" s="42"/>
      <c r="E99" s="43"/>
      <c r="F99" s="44"/>
      <c r="G99" s="99" t="str">
        <f>IFERROR(IF(venta_a_mes10[[#This Row],[CUIT]]="","-",VLOOKUP(venta_a_mes10[[#This Row],[CUIT]],Lista_CUIT[#All],2,0)),"CUIT NO CARGADO")</f>
        <v>-</v>
      </c>
      <c r="H99" s="100"/>
      <c r="I99" s="101">
        <f>venta_a_mes10[[#This Row],[IMPORTE NETO]]*0.21</f>
        <v>0</v>
      </c>
      <c r="J99" s="65"/>
      <c r="K99" s="65"/>
      <c r="L99" s="65">
        <f>SUM(venta_a_mes10[[#This Row],[IMPORTE NETO]:[EXENTO]])</f>
        <v>0</v>
      </c>
      <c r="M99" s="59"/>
    </row>
    <row r="100" spans="2:13">
      <c r="B100" s="66" t="s">
        <v>91</v>
      </c>
      <c r="C100" s="67"/>
      <c r="D100" s="67"/>
      <c r="E100" s="67"/>
      <c r="F100" s="67"/>
      <c r="G100" s="67"/>
      <c r="H100" s="69">
        <f>SUBTOTAL(109,venta_a_mes10[IMPORTE NETO])</f>
        <v>0</v>
      </c>
      <c r="I100" s="70">
        <f>SUBTOTAL(109,venta_a_mes10[IVA 21%])</f>
        <v>0</v>
      </c>
      <c r="J100" s="71">
        <f>SUBTOTAL(109,venta_a_mes10[IVA 10,5%])</f>
        <v>0</v>
      </c>
      <c r="K100" s="71">
        <f>SUBTOTAL(109,venta_a_mes10[EXENTO])</f>
        <v>0</v>
      </c>
      <c r="L100" s="71">
        <f>SUBTOTAL(109,venta_a_mes10[TOTAL])</f>
        <v>0</v>
      </c>
      <c r="M100" s="68">
        <f>SUBTOTAL(103,venta_a_mes10[Provincia])</f>
        <v>0</v>
      </c>
    </row>
    <row r="101" spans="2:13">
      <c r="B101" s="134"/>
      <c r="C101" s="134"/>
      <c r="D101" s="134"/>
      <c r="E101" s="134"/>
      <c r="F101" s="134"/>
      <c r="G101" s="134"/>
      <c r="H101" s="136"/>
      <c r="I101" s="137"/>
      <c r="J101" s="138"/>
      <c r="K101" s="138"/>
      <c r="L101" s="138"/>
      <c r="M101" s="135"/>
    </row>
    <row r="102" spans="2:13" ht="21">
      <c r="B102" s="429" t="s">
        <v>31</v>
      </c>
      <c r="C102" s="429"/>
    </row>
    <row r="103" spans="2:13" ht="15.75">
      <c r="B103" s="60" t="s">
        <v>0</v>
      </c>
      <c r="C103" s="61" t="s">
        <v>1</v>
      </c>
      <c r="D103" s="61" t="s">
        <v>21</v>
      </c>
      <c r="E103" s="61" t="s">
        <v>22</v>
      </c>
      <c r="F103" s="61" t="s">
        <v>3</v>
      </c>
      <c r="G103" s="61" t="s">
        <v>4</v>
      </c>
      <c r="H103" s="61" t="s">
        <v>23</v>
      </c>
      <c r="I103" s="61" t="s">
        <v>17</v>
      </c>
      <c r="J103" s="61" t="s">
        <v>7</v>
      </c>
      <c r="K103" s="61" t="s">
        <v>24</v>
      </c>
      <c r="L103" s="61" t="s">
        <v>10</v>
      </c>
      <c r="M103" s="62" t="s">
        <v>38</v>
      </c>
    </row>
    <row r="104" spans="2:13">
      <c r="B104" s="40"/>
      <c r="C104" s="41"/>
      <c r="D104" s="42"/>
      <c r="E104" s="43"/>
      <c r="F104" s="44"/>
      <c r="G104" s="1" t="str">
        <f>IFERROR(IF(ventas_b_mes10[[#This Row],[CUIT]]="","-",VLOOKUP(ventas_b_mes10[[#This Row],[CUIT]],Lista_CUIT[#All],2,0)),"CUIT NO CARGADO")</f>
        <v>-</v>
      </c>
      <c r="H104" s="64">
        <f>ventas_b_mes10[[#This Row],[TOTAL]]/1.21</f>
        <v>0</v>
      </c>
      <c r="I104" s="64">
        <f>ventas_b_mes10[[#This Row],[IMPORTE NETO]]*0.21</f>
        <v>0</v>
      </c>
      <c r="J104" s="64"/>
      <c r="K104" s="64"/>
      <c r="L104" s="64"/>
      <c r="M104" s="59"/>
    </row>
    <row r="105" spans="2:13">
      <c r="B105" s="40"/>
      <c r="C105" s="41"/>
      <c r="D105" s="42"/>
      <c r="E105" s="43"/>
      <c r="F105" s="44"/>
      <c r="G105" s="1" t="str">
        <f>IFERROR(IF(ventas_b_mes10[[#This Row],[CUIT]]="","-",VLOOKUP(ventas_b_mes10[[#This Row],[CUIT]],Lista_CUIT[#All],2,0)),"CUIT NO CARGADO")</f>
        <v>-</v>
      </c>
      <c r="H105" s="64">
        <f>ventas_b_mes10[[#This Row],[TOTAL]]/1.21</f>
        <v>0</v>
      </c>
      <c r="I105" s="64">
        <f>ventas_b_mes10[[#This Row],[IMPORTE NETO]]*0.21</f>
        <v>0</v>
      </c>
      <c r="J105" s="64"/>
      <c r="K105" s="64"/>
      <c r="L105" s="64"/>
      <c r="M105" s="59"/>
    </row>
    <row r="106" spans="2:13">
      <c r="B106" s="40"/>
      <c r="C106" s="41"/>
      <c r="D106" s="42"/>
      <c r="E106" s="43"/>
      <c r="F106" s="44"/>
      <c r="G106" s="1" t="str">
        <f>IFERROR(IF(ventas_b_mes10[[#This Row],[CUIT]]="","-",VLOOKUP(ventas_b_mes10[[#This Row],[CUIT]],Lista_CUIT[#All],2,0)),"CUIT NO CARGADO")</f>
        <v>-</v>
      </c>
      <c r="H106" s="64">
        <f>ventas_b_mes10[[#This Row],[TOTAL]]/1.21</f>
        <v>0</v>
      </c>
      <c r="I106" s="64">
        <f>ventas_b_mes10[[#This Row],[IMPORTE NETO]]*0.21</f>
        <v>0</v>
      </c>
      <c r="J106" s="64"/>
      <c r="K106" s="64"/>
      <c r="L106" s="64"/>
      <c r="M106" s="59"/>
    </row>
    <row r="107" spans="2:13">
      <c r="B107" s="40"/>
      <c r="C107" s="41"/>
      <c r="D107" s="42"/>
      <c r="E107" s="43"/>
      <c r="F107" s="44"/>
      <c r="G107" s="1" t="str">
        <f>IFERROR(IF(ventas_b_mes10[[#This Row],[CUIT]]="","-",VLOOKUP(ventas_b_mes10[[#This Row],[CUIT]],Lista_CUIT[#All],2,0)),"CUIT NO CARGADO")</f>
        <v>-</v>
      </c>
      <c r="H107" s="64">
        <f>ventas_b_mes10[[#This Row],[TOTAL]]/1.21</f>
        <v>0</v>
      </c>
      <c r="I107" s="64">
        <f>ventas_b_mes10[[#This Row],[IMPORTE NETO]]*0.21</f>
        <v>0</v>
      </c>
      <c r="J107" s="64"/>
      <c r="K107" s="64"/>
      <c r="L107" s="64"/>
      <c r="M107" s="59"/>
    </row>
    <row r="108" spans="2:13">
      <c r="B108" s="40"/>
      <c r="C108" s="41"/>
      <c r="D108" s="42"/>
      <c r="E108" s="43"/>
      <c r="F108" s="44"/>
      <c r="G108" s="1"/>
      <c r="H108" s="64">
        <f>ventas_b_mes10[[#This Row],[TOTAL]]/1.21</f>
        <v>0</v>
      </c>
      <c r="I108" s="64">
        <f>ventas_b_mes10[[#This Row],[IMPORTE NETO]]*0.21</f>
        <v>0</v>
      </c>
      <c r="J108" s="64"/>
      <c r="K108" s="64"/>
      <c r="L108" s="64"/>
      <c r="M108" s="59"/>
    </row>
    <row r="109" spans="2:13">
      <c r="B109" s="40"/>
      <c r="C109" s="41"/>
      <c r="D109" s="42"/>
      <c r="E109" s="43"/>
      <c r="F109" s="44"/>
      <c r="G109" s="1"/>
      <c r="H109" s="64">
        <f>ventas_b_mes10[[#This Row],[TOTAL]]/1.21</f>
        <v>0</v>
      </c>
      <c r="I109" s="64">
        <f>ventas_b_mes10[[#This Row],[IMPORTE NETO]]*0.21</f>
        <v>0</v>
      </c>
      <c r="J109" s="64"/>
      <c r="K109" s="64"/>
      <c r="L109" s="64"/>
      <c r="M109" s="59"/>
    </row>
    <row r="110" spans="2:13">
      <c r="B110" s="66" t="s">
        <v>91</v>
      </c>
      <c r="C110" s="67"/>
      <c r="D110" s="67"/>
      <c r="E110" s="67"/>
      <c r="F110" s="67"/>
      <c r="G110" s="67"/>
      <c r="H110" s="77">
        <f>SUBTOTAL(109,ventas_b_mes10[IMPORTE NETO])</f>
        <v>0</v>
      </c>
      <c r="I110" s="77">
        <f>SUBTOTAL(109,ventas_b_mes10[IVA 21%])</f>
        <v>0</v>
      </c>
      <c r="J110" s="78">
        <f>SUBTOTAL(109,ventas_b_mes10[IVA 10,5%])</f>
        <v>0</v>
      </c>
      <c r="K110" s="78">
        <f>SUBTOTAL(109,ventas_b_mes10[EXENTO])</f>
        <v>0</v>
      </c>
      <c r="L110" s="78">
        <f>SUBTOTAL(109,ventas_b_mes10[TOTAL])</f>
        <v>0</v>
      </c>
      <c r="M110" s="68">
        <f>SUBTOTAL(103,ventas_b_mes10[Provincia])</f>
        <v>0</v>
      </c>
    </row>
    <row r="117" spans="3:12" ht="15.75" thickBot="1"/>
    <row r="118" spans="3:12" ht="15.75" thickTop="1">
      <c r="C118" s="443" t="s">
        <v>66</v>
      </c>
      <c r="D118" s="443"/>
      <c r="E118" s="443"/>
      <c r="F118" s="443"/>
      <c r="G118" s="443"/>
      <c r="H118" s="32"/>
      <c r="I118" s="32"/>
      <c r="J118" s="32"/>
    </row>
    <row r="119" spans="3:12" ht="15.75">
      <c r="C119" s="113" t="s">
        <v>67</v>
      </c>
      <c r="D119" s="114" t="s">
        <v>68</v>
      </c>
      <c r="E119" s="114" t="s">
        <v>93</v>
      </c>
      <c r="F119" s="114" t="s">
        <v>3</v>
      </c>
      <c r="G119" s="114" t="s">
        <v>4</v>
      </c>
      <c r="H119" s="115" t="s">
        <v>69</v>
      </c>
      <c r="I119" s="115" t="s">
        <v>70</v>
      </c>
      <c r="J119" s="115" t="s">
        <v>71</v>
      </c>
      <c r="K119" s="115" t="s">
        <v>72</v>
      </c>
      <c r="L119" s="115" t="s">
        <v>73</v>
      </c>
    </row>
    <row r="120" spans="3:12">
      <c r="C120" s="116"/>
      <c r="D120" s="117"/>
      <c r="E120" s="117"/>
      <c r="F120" s="118"/>
      <c r="G120" s="53" t="str">
        <f>IFERROR(IF(Retenciones_mes10[[#This Row],[CUIT]]="","-",VLOOKUP(Retenciones_mes10[[#This Row],[CUIT]],Lista_CUIT[#All],2,0)),"CUIT NO CARGADO")</f>
        <v>-</v>
      </c>
      <c r="H120" s="119"/>
      <c r="I120" s="119"/>
      <c r="J120" s="119"/>
      <c r="K120" s="119"/>
      <c r="L120" s="119"/>
    </row>
    <row r="121" spans="3:12">
      <c r="C121" s="116"/>
      <c r="D121" s="117"/>
      <c r="E121" s="117"/>
      <c r="F121" s="118"/>
      <c r="G121" s="53" t="str">
        <f>IFERROR(IF(Retenciones_mes10[[#This Row],[CUIT]]="","-",VLOOKUP(Retenciones_mes10[[#This Row],[CUIT]],Lista_CUIT[#All],2,0)),"CUIT NO CARGADO")</f>
        <v>-</v>
      </c>
      <c r="H121" s="119"/>
      <c r="I121" s="119"/>
      <c r="J121" s="119"/>
      <c r="K121" s="119"/>
      <c r="L121" s="119"/>
    </row>
    <row r="122" spans="3:12">
      <c r="C122" s="116"/>
      <c r="D122" s="117"/>
      <c r="E122" s="117"/>
      <c r="F122" s="118"/>
      <c r="G122" s="53" t="str">
        <f>IFERROR(IF(Retenciones_mes10[[#This Row],[CUIT]]="","-",VLOOKUP(Retenciones_mes10[[#This Row],[CUIT]],Lista_CUIT[#All],2,0)),"CUIT NO CARGADO")</f>
        <v>-</v>
      </c>
      <c r="H122" s="119"/>
      <c r="I122" s="119"/>
      <c r="J122" s="119"/>
      <c r="K122" s="119"/>
      <c r="L122" s="119"/>
    </row>
    <row r="123" spans="3:12">
      <c r="C123" s="116"/>
      <c r="D123" s="117"/>
      <c r="E123" s="117"/>
      <c r="F123" s="118"/>
      <c r="G123" s="53" t="str">
        <f>IFERROR(IF(Retenciones_mes10[[#This Row],[CUIT]]="","-",VLOOKUP(Retenciones_mes10[[#This Row],[CUIT]],Lista_CUIT[#All],2,0)),"CUIT NO CARGADO")</f>
        <v>-</v>
      </c>
      <c r="H123" s="119"/>
      <c r="I123" s="119"/>
      <c r="J123" s="119"/>
      <c r="K123" s="119"/>
      <c r="L123" s="119"/>
    </row>
    <row r="124" spans="3:12">
      <c r="D124" s="117"/>
      <c r="E124" s="117"/>
      <c r="G124" s="53" t="str">
        <f>IFERROR(IF(Retenciones_mes10[[#This Row],[CUIT]]="","-",VLOOKUP(Retenciones_mes10[[#This Row],[CUIT]],Lista_CUIT[#All],2,0)),"CUIT NO CARGADO")</f>
        <v>-</v>
      </c>
    </row>
    <row r="125" spans="3:12">
      <c r="C125" s="33"/>
    </row>
  </sheetData>
  <mergeCells count="20">
    <mergeCell ref="C118:G118"/>
    <mergeCell ref="B4:E4"/>
    <mergeCell ref="G4:H4"/>
    <mergeCell ref="J4:K4"/>
    <mergeCell ref="M4:N4"/>
    <mergeCell ref="D40:K40"/>
    <mergeCell ref="B54:J54"/>
    <mergeCell ref="K54:M54"/>
    <mergeCell ref="B56:C56"/>
    <mergeCell ref="B102:C102"/>
    <mergeCell ref="D31:M31"/>
    <mergeCell ref="P4:R4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2">
    <dataValidation type="custom" allowBlank="1" showInputMessage="1" showErrorMessage="1" sqref="H104:L109" xr:uid="{7ADA3BE0-8BF7-4E5A-90E3-4F05DEC49A07}">
      <formula1>IF($C104=8,H104&lt;0,H104&gt;=0)</formula1>
    </dataValidation>
    <dataValidation type="whole" allowBlank="1" showInputMessage="1" showErrorMessage="1" sqref="C104:C109" xr:uid="{CD7BC9C8-F168-441E-BC37-1F7205D274AF}">
      <formula1>6</formula1>
      <formula2>8</formula2>
    </dataValidation>
    <dataValidation type="whole" allowBlank="1" showInputMessage="1" showErrorMessage="1" sqref="C27:C30 C58:C99 C9:C25" xr:uid="{78745E3A-69FA-413C-816D-0FC056B5801A}">
      <formula1>1</formula1>
      <formula2>3</formula2>
    </dataValidation>
    <dataValidation type="date" allowBlank="1" showInputMessage="1" showErrorMessage="1" sqref="D42:D48 B27:B30 B9:B25 D33:D35 B104:B109 B58:B99" xr:uid="{E98AE297-AB3D-4808-874D-76AC636273CF}">
      <formula1>40179</formula1>
      <formula2>TODAY()</formula2>
    </dataValidation>
    <dataValidation type="whole" allowBlank="1" showInputMessage="1" showErrorMessage="1" sqref="G42:G48 F9:F25 F104:F109 F58:F99" xr:uid="{7D93D287-EE14-481D-864E-1C13951CAD9F}">
      <formula1>20000000000</formula1>
      <formula2>33999999999</formula2>
    </dataValidation>
    <dataValidation type="whole" allowBlank="1" showInputMessage="1" showErrorMessage="1" sqref="F42:F48 E9:E25 E104:E109 E58:E99" xr:uid="{A2DEB9DB-288A-4A2E-BDB9-C99583EC16AF}">
      <formula1>1</formula1>
      <formula2>99999999</formula2>
    </dataValidation>
    <dataValidation type="whole" allowBlank="1" showInputMessage="1" showErrorMessage="1" sqref="E42:E48 D9:D25 D104:D109 D58:D99" xr:uid="{8284941B-A51F-4B3A-B5A6-D30ED3E8EB2F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5" xr:uid="{3039DADB-C8DB-4FFC-ADA6-BEC9FD8AD652}">
      <formula1>IF($C9=3,H9&lt;0,H9&gt;=0)</formula1>
    </dataValidation>
    <dataValidation type="custom" allowBlank="1" showInputMessage="1" showErrorMessage="1" sqref="H58:K99" xr:uid="{5E8DC6AF-FB24-40C7-B4FE-DC1750D2850A}">
      <formula1>IF($C58=3,H58&lt;0,H58&gt;=0)</formula1>
    </dataValidation>
    <dataValidation type="custom" allowBlank="1" showInputMessage="1" showErrorMessage="1" sqref="L99" xr:uid="{47C0DE98-957B-4BAF-B58D-6F472684B369}">
      <formula1>IF($C63=3,L63&lt;0,L63&gt;=0)</formula1>
    </dataValidation>
    <dataValidation type="custom" allowBlank="1" showInputMessage="1" showErrorMessage="1" sqref="L72:L98" xr:uid="{4CEF9529-BFB6-4D6F-ADD5-BE031C85BC19}">
      <formula1>IF($C26=3,L26&lt;0,L26&gt;=0)</formula1>
    </dataValidation>
    <dataValidation type="custom" allowBlank="1" showInputMessage="1" showErrorMessage="1" sqref="L58:L71" xr:uid="{677F51C1-50C9-49A2-A8A0-9A38C58C4100}">
      <formula1>IF($C9=3,L9&lt;0,L9&gt;=0)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7">
    <tabColor theme="9" tint="0.79998168889431442"/>
  </sheetPr>
  <dimension ref="A1:Z109"/>
  <sheetViews>
    <sheetView showGridLines="0" topLeftCell="A79" zoomScale="90" zoomScaleNormal="90" workbookViewId="0">
      <selection activeCell="D92" sqref="D92"/>
    </sheetView>
  </sheetViews>
  <sheetFormatPr baseColWidth="10" defaultColWidth="15.7109375" defaultRowHeight="15"/>
  <cols>
    <col min="1" max="1" width="4.28515625" customWidth="1"/>
    <col min="2" max="2" width="16" customWidth="1"/>
    <col min="3" max="3" width="9.5703125" customWidth="1"/>
    <col min="4" max="4" width="13.28515625" customWidth="1"/>
    <col min="5" max="5" width="18.42578125" customWidth="1"/>
    <col min="6" max="6" width="13.28515625" bestFit="1" customWidth="1"/>
    <col min="7" max="7" width="38.140625" bestFit="1" customWidth="1"/>
    <col min="8" max="8" width="30.7109375" bestFit="1" customWidth="1"/>
    <col min="9" max="9" width="14.85546875" customWidth="1"/>
    <col min="10" max="10" width="17.85546875" customWidth="1"/>
    <col min="11" max="11" width="12" customWidth="1"/>
    <col min="12" max="12" width="15" customWidth="1"/>
    <col min="13" max="13" width="21.570312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</cols>
  <sheetData>
    <row r="1" spans="1:26" ht="34.9" customHeight="1">
      <c r="A1" s="37"/>
      <c r="B1" s="430" t="s">
        <v>28</v>
      </c>
      <c r="C1" s="430"/>
      <c r="D1" s="430"/>
      <c r="E1" s="430"/>
      <c r="F1" s="430"/>
      <c r="G1" s="445" t="str">
        <f>'Ene-26'!G1:M1</f>
        <v>RABLEB SRL</v>
      </c>
      <c r="H1" s="445"/>
      <c r="I1" s="445"/>
      <c r="J1" s="445"/>
      <c r="K1" s="445"/>
      <c r="L1" s="445"/>
      <c r="M1" s="445"/>
      <c r="N1" s="427">
        <f>EDATE('Ene-26'!N1,10)</f>
        <v>46327</v>
      </c>
      <c r="O1" s="427"/>
      <c r="P1" s="427"/>
      <c r="Q1" s="427"/>
      <c r="R1" s="427"/>
    </row>
    <row r="2" spans="1:26" ht="15" customHeight="1"/>
    <row r="3" spans="1:26" ht="26.45" customHeight="1">
      <c r="B3" s="433" t="s">
        <v>65</v>
      </c>
      <c r="C3" s="433"/>
      <c r="D3" s="433"/>
      <c r="E3" s="433"/>
      <c r="F3" s="38"/>
      <c r="G3" s="433" t="s">
        <v>37</v>
      </c>
      <c r="H3" s="433"/>
      <c r="I3" s="38"/>
      <c r="J3" s="441" t="s">
        <v>14</v>
      </c>
      <c r="K3" s="441"/>
      <c r="L3" s="38"/>
      <c r="M3" s="441" t="s">
        <v>12</v>
      </c>
      <c r="N3" s="441"/>
      <c r="O3" s="38"/>
      <c r="P3" s="439" t="s">
        <v>90</v>
      </c>
      <c r="Q3" s="439"/>
      <c r="R3" s="439"/>
    </row>
    <row r="4" spans="1:26" ht="25.15" customHeight="1">
      <c r="B4" s="434">
        <f>SUM(compras_mes11[[#Totals],[NETO GRAVADO]])+extracto_banco_mes11[[#Totals],[NETO]]</f>
        <v>0</v>
      </c>
      <c r="C4" s="434"/>
      <c r="D4" s="434"/>
      <c r="E4" s="434"/>
      <c r="F4" s="39"/>
      <c r="G4" s="435">
        <f>compras_mes11[[#Totals],[IVA 21 %]]+compras_mes11[[#Totals],[IVA 27%]]+compras_mes11[[#Totals],[IVA 10,5%]]+extracto_banco_mes11[[#Totals],[IVA 21%]]+extracto_banco_mes11[[#Totals],[IVA 10,5%]]</f>
        <v>0</v>
      </c>
      <c r="H4" s="435"/>
      <c r="I4" s="39"/>
      <c r="J4" s="442">
        <f>venta_a_mes11[[#Totals],[IMPORTE NETO]]+ventas_b_mes11[[#Totals],[IMPORTE NETO]]</f>
        <v>0</v>
      </c>
      <c r="K4" s="442"/>
      <c r="L4" s="39"/>
      <c r="M4" s="442">
        <f>venta_a_mes11[[#Totals],[IVA 21%]]+venta_a_mes11[[#Totals],[IVA 10,5%]]+ventas_b_mes11[[#Totals],[IVA 21%]]+ventas_b_mes11[[#Totals],[IVA 10,5%]]</f>
        <v>0</v>
      </c>
      <c r="N4" s="442"/>
      <c r="O4" s="39"/>
      <c r="P4" s="437">
        <f>G4-M4</f>
        <v>0</v>
      </c>
      <c r="Q4" s="438"/>
      <c r="R4" s="438"/>
    </row>
    <row r="5" spans="1:26" ht="8.25" customHeight="1"/>
    <row r="6" spans="1:26" ht="20.25" customHeight="1">
      <c r="G6" s="35"/>
      <c r="H6" s="126"/>
      <c r="I6" s="126"/>
    </row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302" t="s">
        <v>0</v>
      </c>
      <c r="C8" s="302" t="s">
        <v>1</v>
      </c>
      <c r="D8" s="302" t="s">
        <v>2</v>
      </c>
      <c r="E8" s="302" t="s">
        <v>27</v>
      </c>
      <c r="F8" s="302" t="s">
        <v>3</v>
      </c>
      <c r="G8" s="302" t="s">
        <v>4</v>
      </c>
      <c r="H8" s="302" t="s">
        <v>34</v>
      </c>
      <c r="I8" s="302" t="s">
        <v>35</v>
      </c>
      <c r="J8" s="302" t="s">
        <v>6</v>
      </c>
      <c r="K8" s="302" t="s">
        <v>7</v>
      </c>
      <c r="L8" s="302" t="s">
        <v>8</v>
      </c>
      <c r="M8" s="302" t="s">
        <v>33</v>
      </c>
      <c r="N8" s="302" t="s">
        <v>9</v>
      </c>
      <c r="O8" s="302" t="s">
        <v>148</v>
      </c>
      <c r="P8" s="302" t="s">
        <v>10</v>
      </c>
      <c r="Q8" s="302" t="s">
        <v>11</v>
      </c>
      <c r="R8" s="302" t="s">
        <v>38</v>
      </c>
    </row>
    <row r="9" spans="1:26" s="126" customFormat="1">
      <c r="B9" s="285"/>
      <c r="C9" s="286"/>
      <c r="D9" s="287"/>
      <c r="E9" s="264"/>
      <c r="F9" s="359"/>
      <c r="G9" s="292" t="str">
        <f>IFERROR(IF(compras_mes11[[#This Row],[CUIT]]="","-",VLOOKUP(compras_mes11[[#This Row],[CUIT]],Lista_CUIT[#All],2,0)),"CUIT NO CARGADO")</f>
        <v>-</v>
      </c>
      <c r="H9" s="284"/>
      <c r="I9" s="284" t="str">
        <f>IF(compras_mes11[[#This Row],[NETO GRAVADO]]="","",compras_mes11[[#This Row],[NETO GRAVADO]]*0.21)</f>
        <v/>
      </c>
      <c r="J9" s="291"/>
      <c r="K9" s="291"/>
      <c r="L9" s="291"/>
      <c r="M9" s="291"/>
      <c r="N9" s="291"/>
      <c r="O9" s="291"/>
      <c r="P9" s="284">
        <f>SUM(compras_mes11[[#This Row],[NETO GRAVADO]:[Otros - No Grav.]])</f>
        <v>0</v>
      </c>
      <c r="Q9" s="292" t="str">
        <f>IFERROR(IF(compras_mes11[[#This Row],[CUIT]]="","-",VLOOKUP(compras_mes11[[#This Row],[CUIT]],Lista_CUIT[#All],3,0)),"CUIT NO CARGADO")</f>
        <v>-</v>
      </c>
      <c r="R9" s="292" t="str">
        <f>IFERROR(IF(compras_mes11[[#This Row],[CUIT]]="","-",VLOOKUP(compras_mes11[[#This Row],[CUIT]],Lista_CUIT[#All],4,0)),"CUIT NO CARGADO")</f>
        <v>-</v>
      </c>
    </row>
    <row r="10" spans="1:26" s="126" customFormat="1">
      <c r="B10" s="285"/>
      <c r="C10" s="286"/>
      <c r="D10" s="287"/>
      <c r="E10" s="264"/>
      <c r="F10" s="288"/>
      <c r="G10" s="292" t="str">
        <f>IFERROR(IF(compras_mes11[[#This Row],[CUIT]]="","-",VLOOKUP(compras_mes11[[#This Row],[CUIT]],Lista_CUIT[#All],2,0)),"CUIT NO CARGADO")</f>
        <v>-</v>
      </c>
      <c r="H10" s="284"/>
      <c r="I10" s="284" t="str">
        <f>IF(compras_mes11[[#This Row],[NETO GRAVADO]]="","",compras_mes11[[#This Row],[NETO GRAVADO]]*0.21)</f>
        <v/>
      </c>
      <c r="J10" s="291"/>
      <c r="K10" s="291"/>
      <c r="L10" s="291"/>
      <c r="M10" s="291"/>
      <c r="N10" s="291"/>
      <c r="O10" s="291"/>
      <c r="P10" s="284">
        <f>SUM(compras_mes11[[#This Row],[NETO GRAVADO]:[Otros - No Grav.]])</f>
        <v>0</v>
      </c>
      <c r="Q10" s="292" t="str">
        <f>IFERROR(IF(compras_mes11[[#This Row],[CUIT]]="","-",VLOOKUP(compras_mes11[[#This Row],[CUIT]],Lista_CUIT[#All],3,0)),"CUIT NO CARGADO")</f>
        <v>-</v>
      </c>
      <c r="R10" s="292" t="str">
        <f>IFERROR(IF(compras_mes11[[#This Row],[CUIT]]="","-",VLOOKUP(compras_mes11[[#This Row],[CUIT]],Lista_CUIT[#All],4,0)),"CUIT NO CARGADO")</f>
        <v>-</v>
      </c>
    </row>
    <row r="11" spans="1:26" s="126" customFormat="1">
      <c r="B11" s="285"/>
      <c r="C11" s="286"/>
      <c r="D11" s="287"/>
      <c r="E11" s="264"/>
      <c r="F11" s="288"/>
      <c r="G11" s="292" t="str">
        <f>IFERROR(IF(compras_mes11[[#This Row],[CUIT]]="","-",VLOOKUP(compras_mes11[[#This Row],[CUIT]],Lista_CUIT[#All],2,0)),"CUIT NO CARGADO")</f>
        <v>-</v>
      </c>
      <c r="H11" s="284"/>
      <c r="I11" s="284" t="str">
        <f>IF(compras_mes11[[#This Row],[NETO GRAVADO]]="","",compras_mes11[[#This Row],[NETO GRAVADO]]*0.21)</f>
        <v/>
      </c>
      <c r="J11" s="291"/>
      <c r="K11" s="291"/>
      <c r="L11" s="291"/>
      <c r="M11" s="291"/>
      <c r="N11" s="291"/>
      <c r="O11" s="291"/>
      <c r="P11" s="284">
        <f>SUM(compras_mes11[[#This Row],[NETO GRAVADO]:[Otros - No Grav.]])</f>
        <v>0</v>
      </c>
      <c r="Q11" s="292" t="str">
        <f>IFERROR(IF(compras_mes11[[#This Row],[CUIT]]="","-",VLOOKUP(compras_mes11[[#This Row],[CUIT]],Lista_CUIT[#All],3,0)),"CUIT NO CARGADO")</f>
        <v>-</v>
      </c>
      <c r="R11" s="292" t="str">
        <f>IFERROR(IF(compras_mes11[[#This Row],[CUIT]]="","-",VLOOKUP(compras_mes11[[#This Row],[CUIT]],Lista_CUIT[#All],4,0)),"CUIT NO CARGADO")</f>
        <v>-</v>
      </c>
    </row>
    <row r="12" spans="1:26" s="126" customFormat="1">
      <c r="B12" s="285"/>
      <c r="C12" s="286"/>
      <c r="D12" s="287"/>
      <c r="E12" s="264"/>
      <c r="F12" s="288"/>
      <c r="G12" s="292" t="str">
        <f>IFERROR(IF(compras_mes11[[#This Row],[CUIT]]="","-",VLOOKUP(compras_mes11[[#This Row],[CUIT]],Lista_CUIT[#All],2,0)),"CUIT NO CARGADO")</f>
        <v>-</v>
      </c>
      <c r="H12" s="284"/>
      <c r="I12" s="284" t="str">
        <f>IF(compras_mes11[[#This Row],[NETO GRAVADO]]="","",compras_mes11[[#This Row],[NETO GRAVADO]]*0.21)</f>
        <v/>
      </c>
      <c r="J12" s="291"/>
      <c r="K12" s="291"/>
      <c r="L12" s="291"/>
      <c r="M12" s="291"/>
      <c r="N12" s="291"/>
      <c r="O12" s="291"/>
      <c r="P12" s="284">
        <f>SUM(compras_mes11[[#This Row],[NETO GRAVADO]:[Otros - No Grav.]])</f>
        <v>0</v>
      </c>
      <c r="Q12" s="292" t="str">
        <f>IFERROR(IF(compras_mes11[[#This Row],[CUIT]]="","-",VLOOKUP(compras_mes11[[#This Row],[CUIT]],Lista_CUIT[#All],3,0)),"CUIT NO CARGADO")</f>
        <v>-</v>
      </c>
      <c r="R12" s="292" t="str">
        <f>IFERROR(IF(compras_mes11[[#This Row],[CUIT]]="","-",VLOOKUP(compras_mes11[[#This Row],[CUIT]],Lista_CUIT[#All],4,0)),"CUIT NO CARGADO")</f>
        <v>-</v>
      </c>
    </row>
    <row r="13" spans="1:26" s="126" customFormat="1">
      <c r="B13" s="285"/>
      <c r="C13" s="286"/>
      <c r="D13" s="287"/>
      <c r="E13" s="264"/>
      <c r="F13" s="288"/>
      <c r="G13" s="292" t="str">
        <f>IFERROR(IF(compras_mes11[[#This Row],[CUIT]]="","-",VLOOKUP(compras_mes11[[#This Row],[CUIT]],Lista_CUIT[#All],2,0)),"CUIT NO CARGADO")</f>
        <v>-</v>
      </c>
      <c r="H13" s="284"/>
      <c r="I13" s="284" t="str">
        <f>IF(compras_mes11[[#This Row],[NETO GRAVADO]]="","",compras_mes11[[#This Row],[NETO GRAVADO]]*0.21)</f>
        <v/>
      </c>
      <c r="J13" s="291"/>
      <c r="K13" s="291"/>
      <c r="L13" s="291"/>
      <c r="M13" s="291"/>
      <c r="N13" s="291"/>
      <c r="O13" s="284"/>
      <c r="P13" s="284">
        <f>SUM(compras_mes11[[#This Row],[NETO GRAVADO]:[Otros - No Grav.]])</f>
        <v>0</v>
      </c>
      <c r="Q13" s="292" t="str">
        <f>IFERROR(IF(compras_mes11[[#This Row],[CUIT]]="","-",VLOOKUP(compras_mes11[[#This Row],[CUIT]],Lista_CUIT[#All],3,0)),"CUIT NO CARGADO")</f>
        <v>-</v>
      </c>
      <c r="R13" s="292" t="str">
        <f>IFERROR(IF(compras_mes11[[#This Row],[CUIT]]="","-",VLOOKUP(compras_mes11[[#This Row],[CUIT]],Lista_CUIT[#All],4,0)),"CUIT NO CARGADO")</f>
        <v>-</v>
      </c>
    </row>
    <row r="14" spans="1:26" s="126" customFormat="1">
      <c r="B14" s="285"/>
      <c r="C14" s="286"/>
      <c r="D14" s="287"/>
      <c r="E14" s="264"/>
      <c r="F14" s="288"/>
      <c r="G14" s="292" t="str">
        <f>IFERROR(IF(compras_mes11[[#This Row],[CUIT]]="","-",VLOOKUP(compras_mes11[[#This Row],[CUIT]],Lista_CUIT[#All],2,0)),"CUIT NO CARGADO")</f>
        <v>-</v>
      </c>
      <c r="H14" s="284"/>
      <c r="I14" s="284" t="str">
        <f>IF(compras_mes11[[#This Row],[NETO GRAVADO]]="","",compras_mes11[[#This Row],[NETO GRAVADO]]*0.21)</f>
        <v/>
      </c>
      <c r="J14" s="291"/>
      <c r="K14" s="291"/>
      <c r="L14" s="291"/>
      <c r="M14" s="291"/>
      <c r="N14" s="291"/>
      <c r="O14" s="284"/>
      <c r="P14" s="284">
        <f>SUM(compras_mes11[[#This Row],[NETO GRAVADO]:[Otros - No Grav.]])</f>
        <v>0</v>
      </c>
      <c r="Q14" s="292" t="str">
        <f>IFERROR(IF(compras_mes11[[#This Row],[CUIT]]="","-",VLOOKUP(compras_mes11[[#This Row],[CUIT]],Lista_CUIT[#All],3,0)),"CUIT NO CARGADO")</f>
        <v>-</v>
      </c>
      <c r="R14" s="292" t="str">
        <f>IFERROR(IF(compras_mes11[[#This Row],[CUIT]]="","-",VLOOKUP(compras_mes11[[#This Row],[CUIT]],Lista_CUIT[#All],4,0)),"CUIT NO CARGADO")</f>
        <v>-</v>
      </c>
    </row>
    <row r="15" spans="1:26" s="126" customFormat="1">
      <c r="B15" s="285"/>
      <c r="C15" s="286"/>
      <c r="D15" s="287"/>
      <c r="E15" s="264"/>
      <c r="F15" s="288"/>
      <c r="G15" s="292" t="str">
        <f>IFERROR(IF(compras_mes11[[#This Row],[CUIT]]="","-",VLOOKUP(compras_mes11[[#This Row],[CUIT]],Lista_CUIT[#All],2,0)),"CUIT NO CARGADO")</f>
        <v>-</v>
      </c>
      <c r="H15" s="284"/>
      <c r="I15" s="284" t="str">
        <f>IF(compras_mes11[[#This Row],[NETO GRAVADO]]="","",compras_mes11[[#This Row],[NETO GRAVADO]]*0.21)</f>
        <v/>
      </c>
      <c r="J15" s="291"/>
      <c r="K15" s="291"/>
      <c r="L15" s="291"/>
      <c r="M15" s="291"/>
      <c r="N15" s="291"/>
      <c r="O15" s="284"/>
      <c r="P15" s="284">
        <f>SUM(compras_mes11[[#This Row],[NETO GRAVADO]:[Otros - No Grav.]])</f>
        <v>0</v>
      </c>
      <c r="Q15" s="292" t="str">
        <f>IFERROR(IF(compras_mes11[[#This Row],[CUIT]]="","-",VLOOKUP(compras_mes11[[#This Row],[CUIT]],Lista_CUIT[#All],3,0)),"CUIT NO CARGADO")</f>
        <v>-</v>
      </c>
      <c r="R15" s="292" t="str">
        <f>IFERROR(IF(compras_mes11[[#This Row],[CUIT]]="","-",VLOOKUP(compras_mes11[[#This Row],[CUIT]],Lista_CUIT[#All],4,0)),"CUIT NO CARGADO")</f>
        <v>-</v>
      </c>
    </row>
    <row r="16" spans="1:26" s="126" customFormat="1">
      <c r="B16" s="285"/>
      <c r="C16" s="286"/>
      <c r="D16" s="287"/>
      <c r="E16" s="264"/>
      <c r="F16" s="288"/>
      <c r="G16" s="292" t="str">
        <f>IFERROR(IF(compras_mes11[[#This Row],[CUIT]]="","-",VLOOKUP(compras_mes11[[#This Row],[CUIT]],Lista_CUIT[#All],2,0)),"CUIT NO CARGADO")</f>
        <v>-</v>
      </c>
      <c r="H16" s="284"/>
      <c r="I16" s="284" t="str">
        <f>IF(compras_mes11[[#This Row],[NETO GRAVADO]]="","",compras_mes11[[#This Row],[NETO GRAVADO]]*0.21)</f>
        <v/>
      </c>
      <c r="J16" s="291"/>
      <c r="K16" s="291"/>
      <c r="L16" s="291"/>
      <c r="M16" s="291"/>
      <c r="N16" s="291"/>
      <c r="O16" s="284"/>
      <c r="P16" s="284">
        <f>SUM(compras_mes11[[#This Row],[NETO GRAVADO]:[Otros - No Grav.]])</f>
        <v>0</v>
      </c>
      <c r="Q16" s="292" t="str">
        <f>IFERROR(IF(compras_mes11[[#This Row],[CUIT]]="","-",VLOOKUP(compras_mes11[[#This Row],[CUIT]],Lista_CUIT[#All],3,0)),"CUIT NO CARGADO")</f>
        <v>-</v>
      </c>
      <c r="R16" s="292" t="str">
        <f>IFERROR(IF(compras_mes11[[#This Row],[CUIT]]="","-",VLOOKUP(compras_mes11[[#This Row],[CUIT]],Lista_CUIT[#All],4,0)),"CUIT NO CARGADO")</f>
        <v>-</v>
      </c>
    </row>
    <row r="17" spans="2:18" s="126" customFormat="1">
      <c r="B17" s="285"/>
      <c r="C17" s="286"/>
      <c r="D17" s="287"/>
      <c r="E17" s="264"/>
      <c r="F17" s="288"/>
      <c r="G17" s="292" t="str">
        <f>IFERROR(IF(compras_mes11[[#This Row],[CUIT]]="","-",VLOOKUP(compras_mes11[[#This Row],[CUIT]],Lista_CUIT[#All],2,0)),"CUIT NO CARGADO")</f>
        <v>-</v>
      </c>
      <c r="H17" s="284"/>
      <c r="I17" s="284" t="str">
        <f>IF(compras_mes11[[#This Row],[NETO GRAVADO]]="","",compras_mes11[[#This Row],[NETO GRAVADO]]*0.21)</f>
        <v/>
      </c>
      <c r="J17" s="291"/>
      <c r="K17" s="291"/>
      <c r="L17" s="291"/>
      <c r="M17" s="291"/>
      <c r="N17" s="291"/>
      <c r="O17" s="284"/>
      <c r="P17" s="284">
        <f>SUM(compras_mes11[[#This Row],[NETO GRAVADO]:[Otros - No Grav.]])</f>
        <v>0</v>
      </c>
      <c r="Q17" s="292" t="str">
        <f>IFERROR(IF(compras_mes11[[#This Row],[CUIT]]="","-",VLOOKUP(compras_mes11[[#This Row],[CUIT]],Lista_CUIT[#All],3,0)),"CUIT NO CARGADO")</f>
        <v>-</v>
      </c>
      <c r="R17" s="292" t="str">
        <f>IFERROR(IF(compras_mes11[[#This Row],[CUIT]]="","-",VLOOKUP(compras_mes11[[#This Row],[CUIT]],Lista_CUIT[#All],4,0)),"CUIT NO CARGADO")</f>
        <v>-</v>
      </c>
    </row>
    <row r="18" spans="2:18" s="126" customFormat="1">
      <c r="B18" s="285"/>
      <c r="C18" s="286"/>
      <c r="D18" s="287"/>
      <c r="E18" s="264"/>
      <c r="F18" s="288"/>
      <c r="G18" s="292" t="str">
        <f>IFERROR(IF(compras_mes11[[#This Row],[CUIT]]="","-",VLOOKUP(compras_mes11[[#This Row],[CUIT]],Lista_CUIT[#All],2,0)),"CUIT NO CARGADO")</f>
        <v>-</v>
      </c>
      <c r="H18" s="284"/>
      <c r="I18" s="284" t="str">
        <f>IF(compras_mes11[[#This Row],[NETO GRAVADO]]="","",compras_mes11[[#This Row],[NETO GRAVADO]]*0.21)</f>
        <v/>
      </c>
      <c r="J18" s="291"/>
      <c r="K18" s="291"/>
      <c r="L18" s="291"/>
      <c r="M18" s="291"/>
      <c r="N18" s="291"/>
      <c r="O18" s="284"/>
      <c r="P18" s="284">
        <f>SUM(compras_mes11[[#This Row],[NETO GRAVADO]:[Otros - No Grav.]])</f>
        <v>0</v>
      </c>
      <c r="Q18" s="292" t="str">
        <f>IFERROR(IF(compras_mes11[[#This Row],[CUIT]]="","-",VLOOKUP(compras_mes11[[#This Row],[CUIT]],Lista_CUIT[#All],3,0)),"CUIT NO CARGADO")</f>
        <v>-</v>
      </c>
      <c r="R18" s="292" t="str">
        <f>IFERROR(IF(compras_mes11[[#This Row],[CUIT]]="","-",VLOOKUP(compras_mes11[[#This Row],[CUIT]],Lista_CUIT[#All],4,0)),"CUIT NO CARGADO")</f>
        <v>-</v>
      </c>
    </row>
    <row r="19" spans="2:18" s="126" customFormat="1" ht="14.45" customHeight="1">
      <c r="B19" s="285"/>
      <c r="C19" s="286"/>
      <c r="D19" s="287"/>
      <c r="E19" s="264"/>
      <c r="F19" s="288"/>
      <c r="G19" s="292" t="str">
        <f>IFERROR(IF(compras_mes11[[#This Row],[CUIT]]="","-",VLOOKUP(compras_mes11[[#This Row],[CUIT]],Lista_CUIT[#All],2,0)),"CUIT NO CARGADO")</f>
        <v>-</v>
      </c>
      <c r="H19" s="284"/>
      <c r="I19" s="284" t="str">
        <f>IF(compras_mes11[[#This Row],[NETO GRAVADO]]="","",compras_mes11[[#This Row],[NETO GRAVADO]]*0.21)</f>
        <v/>
      </c>
      <c r="J19" s="291"/>
      <c r="K19" s="291"/>
      <c r="L19" s="291"/>
      <c r="M19" s="291"/>
      <c r="N19" s="291"/>
      <c r="O19" s="284"/>
      <c r="P19" s="284">
        <f>SUM(compras_mes11[[#This Row],[NETO GRAVADO]:[Otros - No Grav.]])</f>
        <v>0</v>
      </c>
      <c r="Q19" s="292" t="str">
        <f>IFERROR(IF(compras_mes11[[#This Row],[CUIT]]="","-",VLOOKUP(compras_mes11[[#This Row],[CUIT]],Lista_CUIT[#All],3,0)),"CUIT NO CARGADO")</f>
        <v>-</v>
      </c>
      <c r="R19" s="292" t="str">
        <f>IFERROR(IF(compras_mes11[[#This Row],[CUIT]]="","-",VLOOKUP(compras_mes11[[#This Row],[CUIT]],Lista_CUIT[#All],4,0)),"CUIT NO CARGADO")</f>
        <v>-</v>
      </c>
    </row>
    <row r="20" spans="2:18" s="126" customFormat="1">
      <c r="B20" s="285"/>
      <c r="C20" s="286"/>
      <c r="D20" s="287"/>
      <c r="E20" s="264"/>
      <c r="F20" s="288"/>
      <c r="G20" s="289" t="str">
        <f>IFERROR(IF(compras_mes11[[#This Row],[CUIT]]="","-",VLOOKUP(compras_mes11[[#This Row],[CUIT]],Lista_CUIT[#All],2,0)),"CUIT NO CARGADO")</f>
        <v>-</v>
      </c>
      <c r="H20" s="290"/>
      <c r="I20" s="291" t="str">
        <f>IF(compras_mes11[[#This Row],[NETO GRAVADO]]="","",compras_mes11[[#This Row],[NETO GRAVADO]]*0.21)</f>
        <v/>
      </c>
      <c r="J20" s="291"/>
      <c r="K20" s="291"/>
      <c r="L20" s="291"/>
      <c r="M20" s="291"/>
      <c r="N20" s="291"/>
      <c r="O20" s="291"/>
      <c r="P20" s="284">
        <f>SUM(compras_mes11[[#This Row],[NETO GRAVADO]:[Otros - No Grav.]])</f>
        <v>0</v>
      </c>
      <c r="Q20" s="292" t="str">
        <f>IFERROR(IF(compras_mes11[[#This Row],[CUIT]]="","-",VLOOKUP(compras_mes11[[#This Row],[CUIT]],Lista_CUIT[#All],3,0)),"CUIT NO CARGADO")</f>
        <v>-</v>
      </c>
      <c r="R20" s="292" t="str">
        <f>IFERROR(IF(compras_mes11[[#This Row],[CUIT]]="","-",VLOOKUP(compras_mes11[[#This Row],[CUIT]],Lista_CUIT[#All],4,0)),"CUIT NO CARGADO")</f>
        <v>-</v>
      </c>
    </row>
    <row r="21" spans="2:18" s="126" customFormat="1">
      <c r="B21" s="285"/>
      <c r="C21" s="286"/>
      <c r="D21" s="287"/>
      <c r="E21" s="264"/>
      <c r="F21" s="288"/>
      <c r="G21" s="289" t="str">
        <f>IFERROR(IF(compras_mes11[[#This Row],[CUIT]]="","-",VLOOKUP(compras_mes11[[#This Row],[CUIT]],Lista_CUIT[#All],2,0)),"CUIT NO CARGADO")</f>
        <v>-</v>
      </c>
      <c r="H21" s="290"/>
      <c r="I21" s="291" t="str">
        <f>IF(compras_mes11[[#This Row],[NETO GRAVADO]]="","",compras_mes11[[#This Row],[NETO GRAVADO]]*0.21)</f>
        <v/>
      </c>
      <c r="J21" s="291"/>
      <c r="K21" s="291"/>
      <c r="L21" s="291"/>
      <c r="M21" s="291"/>
      <c r="N21" s="291"/>
      <c r="O21" s="291"/>
      <c r="P21" s="284">
        <f>SUM(compras_mes11[[#This Row],[NETO GRAVADO]:[Otros - No Grav.]])</f>
        <v>0</v>
      </c>
      <c r="Q21" s="292" t="str">
        <f>IFERROR(IF(compras_mes11[[#This Row],[CUIT]]="","-",VLOOKUP(compras_mes11[[#This Row],[CUIT]],Lista_CUIT[#All],3,0)),"CUIT NO CARGADO")</f>
        <v>-</v>
      </c>
      <c r="R21" s="292" t="str">
        <f>IFERROR(IF(compras_mes11[[#This Row],[CUIT]]="","-",VLOOKUP(compras_mes11[[#This Row],[CUIT]],Lista_CUIT[#All],4,0)),"CUIT NO CARGADO")</f>
        <v>-</v>
      </c>
    </row>
    <row r="22" spans="2:18" s="126" customFormat="1" ht="14.45" customHeight="1">
      <c r="B22" s="285"/>
      <c r="C22" s="286"/>
      <c r="D22" s="287"/>
      <c r="E22" s="264"/>
      <c r="F22" s="288"/>
      <c r="G22" s="289" t="str">
        <f>IFERROR(IF(compras_mes11[[#This Row],[CUIT]]="","-",VLOOKUP(compras_mes11[[#This Row],[CUIT]],Lista_CUIT[#All],2,0)),"CUIT NO CARGADO")</f>
        <v>-</v>
      </c>
      <c r="H22" s="290"/>
      <c r="I22" s="291" t="str">
        <f>IF(compras_mes11[[#This Row],[NETO GRAVADO]]="","",compras_mes11[[#This Row],[NETO GRAVADO]]*0.21)</f>
        <v/>
      </c>
      <c r="J22" s="291"/>
      <c r="K22" s="291"/>
      <c r="L22" s="291"/>
      <c r="M22" s="291"/>
      <c r="N22" s="291"/>
      <c r="O22" s="291"/>
      <c r="P22" s="284">
        <f>SUM(compras_mes11[[#This Row],[NETO GRAVADO]:[Otros - No Grav.]])</f>
        <v>0</v>
      </c>
      <c r="Q22" s="292" t="str">
        <f>IFERROR(IF(compras_mes11[[#This Row],[CUIT]]="","-",VLOOKUP(compras_mes11[[#This Row],[CUIT]],Lista_CUIT[#All],3,0)),"CUIT NO CARGADO")</f>
        <v>-</v>
      </c>
      <c r="R22" s="292" t="str">
        <f>IFERROR(IF(compras_mes11[[#This Row],[CUIT]]="","-",VLOOKUP(compras_mes11[[#This Row],[CUIT]],Lista_CUIT[#All],4,0)),"CUIT NO CARGADO")</f>
        <v>-</v>
      </c>
    </row>
    <row r="23" spans="2:18" s="126" customFormat="1" ht="15" customHeight="1">
      <c r="B23" s="285"/>
      <c r="C23" s="286"/>
      <c r="D23" s="287"/>
      <c r="E23" s="264"/>
      <c r="F23" s="288"/>
      <c r="G23" s="289" t="str">
        <f>IFERROR(IF(compras_mes11[[#This Row],[CUIT]]="","-",VLOOKUP(compras_mes11[[#This Row],[CUIT]],Lista_CUIT[#All],2,0)),"CUIT NO CARGADO")</f>
        <v>-</v>
      </c>
      <c r="H23" s="290"/>
      <c r="I23" s="291" t="str">
        <f>IF(compras_mes11[[#This Row],[NETO GRAVADO]]="","",compras_mes11[[#This Row],[NETO GRAVADO]]*0.21)</f>
        <v/>
      </c>
      <c r="J23" s="291"/>
      <c r="K23" s="291"/>
      <c r="L23" s="291"/>
      <c r="M23" s="291"/>
      <c r="N23" s="291"/>
      <c r="O23" s="291"/>
      <c r="P23" s="284">
        <f>SUM(compras_mes11[[#This Row],[NETO GRAVADO]:[Otros - No Grav.]])</f>
        <v>0</v>
      </c>
      <c r="Q23" s="292" t="str">
        <f>IFERROR(IF(compras_mes11[[#This Row],[CUIT]]="","-",VLOOKUP(compras_mes11[[#This Row],[CUIT]],Lista_CUIT[#All],3,0)),"CUIT NO CARGADO")</f>
        <v>-</v>
      </c>
      <c r="R23" s="292" t="str">
        <f>IFERROR(IF(compras_mes11[[#This Row],[CUIT]]="","-",VLOOKUP(compras_mes11[[#This Row],[CUIT]],Lista_CUIT[#All],4,0)),"CUIT NO CARGADO")</f>
        <v>-</v>
      </c>
    </row>
    <row r="24" spans="2:18" s="126" customFormat="1" ht="15" customHeight="1">
      <c r="B24" s="285"/>
      <c r="C24" s="286"/>
      <c r="D24" s="287"/>
      <c r="E24" s="264"/>
      <c r="F24" s="288"/>
      <c r="G24" s="289" t="str">
        <f>IFERROR(IF(compras_mes11[[#This Row],[CUIT]]="","-",VLOOKUP(compras_mes11[[#This Row],[CUIT]],Lista_CUIT[#All],2,0)),"CUIT NO CARGADO")</f>
        <v>-</v>
      </c>
      <c r="H24" s="290"/>
      <c r="I24" s="291" t="str">
        <f>IF(compras_mes11[[#This Row],[NETO GRAVADO]]="","",compras_mes11[[#This Row],[NETO GRAVADO]]*0.21)</f>
        <v/>
      </c>
      <c r="J24" s="291"/>
      <c r="K24" s="291"/>
      <c r="L24" s="291"/>
      <c r="M24" s="291"/>
      <c r="N24" s="291"/>
      <c r="O24" s="291"/>
      <c r="P24" s="284">
        <f>SUM(compras_mes11[[#This Row],[NETO GRAVADO]:[Otros - No Grav.]])</f>
        <v>0</v>
      </c>
      <c r="Q24" s="292" t="str">
        <f>IFERROR(IF(compras_mes11[[#This Row],[CUIT]]="","-",VLOOKUP(compras_mes11[[#This Row],[CUIT]],Lista_CUIT[#All],3,0)),"CUIT NO CARGADO")</f>
        <v>-</v>
      </c>
      <c r="R24" s="292" t="str">
        <f>IFERROR(IF(compras_mes11[[#This Row],[CUIT]]="","-",VLOOKUP(compras_mes11[[#This Row],[CUIT]],Lista_CUIT[#All],4,0)),"CUIT NO CARGADO")</f>
        <v>-</v>
      </c>
    </row>
    <row r="25" spans="2:18" ht="15" customHeight="1">
      <c r="B25" s="348"/>
      <c r="C25" s="349"/>
      <c r="D25" s="350"/>
      <c r="E25" s="92"/>
      <c r="F25" s="351"/>
      <c r="G25" s="352" t="str">
        <f>IFERROR(IF(compras_mes11[[#This Row],[CUIT]]="","-",VLOOKUP(compras_mes11[[#This Row],[CUIT]],Lista_CUIT[#All],2,0)),"CUIT NO CARGADO")</f>
        <v>-</v>
      </c>
      <c r="H25" s="353"/>
      <c r="I25" s="354" t="str">
        <f>IF(compras_mes11[[#This Row],[NETO GRAVADO]]="","",compras_mes11[[#This Row],[NETO GRAVADO]]*0.21)</f>
        <v/>
      </c>
      <c r="J25" s="354"/>
      <c r="K25" s="354"/>
      <c r="L25" s="354"/>
      <c r="M25" s="354"/>
      <c r="N25" s="354"/>
      <c r="O25" s="354"/>
      <c r="P25" s="355">
        <f>SUM(compras_mes11[[#This Row],[NETO GRAVADO]:[Otros - No Grav.]])</f>
        <v>0</v>
      </c>
      <c r="Q25" s="356" t="str">
        <f>IFERROR(IF(compras_mes11[[#This Row],[CUIT]]="","-",VLOOKUP(compras_mes11[[#This Row],[CUIT]],Lista_CUIT[#All],3,0)),"CUIT NO CARGADO")</f>
        <v>-</v>
      </c>
      <c r="R25" s="356" t="str">
        <f>IFERROR(IF(compras_mes11[[#This Row],[CUIT]]="","-",VLOOKUP(compras_mes11[[#This Row],[CUIT]],Lista_CUIT[#All],4,0)),"CUIT NO CARGADO")</f>
        <v>-</v>
      </c>
    </row>
    <row r="26" spans="2:18" s="126" customFormat="1">
      <c r="B26" s="293"/>
      <c r="C26" s="294"/>
      <c r="D26" s="295"/>
      <c r="E26" s="296"/>
      <c r="F26" s="297"/>
      <c r="G26" s="298" t="str">
        <f>IFERROR(IF(compras_mes11[[#This Row],[CUIT]]="","-",VLOOKUP(compras_mes11[[#This Row],[CUIT]],Lista_CUIT[#All],2,0)),"CUIT NO CARGADO")</f>
        <v>-</v>
      </c>
      <c r="H26" s="299"/>
      <c r="I26" s="300" t="str">
        <f>IF(compras_mes11[[#This Row],[NETO GRAVADO]]="","",compras_mes11[[#This Row],[NETO GRAVADO]]*0.21)</f>
        <v/>
      </c>
      <c r="J26" s="300"/>
      <c r="K26" s="300"/>
      <c r="L26" s="300"/>
      <c r="M26" s="300"/>
      <c r="N26" s="300"/>
      <c r="O26" s="300"/>
      <c r="P26" s="249">
        <f>SUM(compras_mes11[[#This Row],[NETO GRAVADO]:[Otros - No Grav.]])</f>
        <v>0</v>
      </c>
      <c r="Q26" s="301" t="str">
        <f>IFERROR(IF(compras_mes11[[#This Row],[CUIT]]="","-",VLOOKUP(compras_mes11[[#This Row],[CUIT]],Lista_CUIT[#All],3,0)),"CUIT NO CARGADO")</f>
        <v>-</v>
      </c>
      <c r="R26" s="301" t="str">
        <f>IFERROR(IF(compras_mes11[[#This Row],[CUIT]]="","-",VLOOKUP(compras_mes11[[#This Row],[CUIT]],Lista_CUIT[#All],4,0)),"CUIT NO CARGADO")</f>
        <v>-</v>
      </c>
    </row>
    <row r="27" spans="2:18">
      <c r="B27" s="303" t="s">
        <v>91</v>
      </c>
      <c r="C27" s="303"/>
      <c r="D27" s="303"/>
      <c r="E27" s="303"/>
      <c r="F27" s="303"/>
      <c r="G27" s="304"/>
      <c r="H27" s="305">
        <f>SUBTOTAL(109,compras_mes11[NETO GRAVADO])</f>
        <v>0</v>
      </c>
      <c r="I27" s="305">
        <f>SUBTOTAL(109,compras_mes11[IVA 21 %])</f>
        <v>0</v>
      </c>
      <c r="J27" s="305">
        <f>SUBTOTAL(109,compras_mes11[IVA 27%])</f>
        <v>0</v>
      </c>
      <c r="K27" s="305">
        <f>SUBTOTAL(109,compras_mes11[IVA 10,5%])</f>
        <v>0</v>
      </c>
      <c r="L27" s="305">
        <f>SUBTOTAL(109,compras_mes11[PERC. IVA])</f>
        <v>0</v>
      </c>
      <c r="M27" s="305">
        <f>SUBTOTAL(109,compras_mes11[PERC IIBB 
BS AS])</f>
        <v>0</v>
      </c>
      <c r="N27" s="305">
        <f>SUBTOTAL(109,compras_mes11[PERC. IIBB CABA])</f>
        <v>0</v>
      </c>
      <c r="O27" s="305">
        <f>SUBTOTAL(109,compras_mes11[Otros - No Grav.])</f>
        <v>0</v>
      </c>
      <c r="P27" s="305">
        <f>SUBTOTAL(109,compras_mes11[TOTAL])</f>
        <v>0</v>
      </c>
      <c r="Q27" s="303"/>
      <c r="R27" s="303"/>
    </row>
    <row r="28" spans="2:18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2:18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  <c r="M29" s="47"/>
      <c r="N29" s="47"/>
      <c r="O29" s="47"/>
      <c r="P29" s="48"/>
      <c r="Q29" s="49"/>
      <c r="R29" s="49"/>
    </row>
    <row r="30" spans="2:18">
      <c r="B30" s="40"/>
      <c r="C30" s="41"/>
      <c r="D30" s="42"/>
      <c r="E30" s="43"/>
      <c r="F30" s="44"/>
      <c r="G30" s="45"/>
      <c r="H30" s="127"/>
      <c r="I30" s="139"/>
      <c r="J30" s="47"/>
      <c r="K30" s="47"/>
      <c r="L30" s="47"/>
      <c r="M30" s="47"/>
      <c r="N30" s="47"/>
      <c r="O30" s="47"/>
      <c r="P30" s="48"/>
      <c r="Q30" s="49"/>
      <c r="R30" s="49"/>
    </row>
    <row r="31" spans="2:18">
      <c r="B31" s="40"/>
      <c r="C31" s="41"/>
      <c r="D31" s="42"/>
      <c r="E31" s="43"/>
      <c r="F31" s="44"/>
      <c r="G31" s="45"/>
      <c r="H31" s="46"/>
      <c r="I31" s="47"/>
      <c r="J31" s="47"/>
      <c r="K31" s="47"/>
      <c r="L31" s="47"/>
    </row>
    <row r="32" spans="2:18" ht="21">
      <c r="D32" s="428" t="s">
        <v>15</v>
      </c>
      <c r="E32" s="428"/>
      <c r="F32" s="428"/>
      <c r="G32" s="428"/>
      <c r="H32" s="428"/>
      <c r="I32" s="428"/>
      <c r="J32" s="428"/>
      <c r="K32" s="428"/>
      <c r="L32" s="428"/>
      <c r="M32" s="320"/>
    </row>
    <row r="33" spans="4:16" ht="15.75">
      <c r="D33" s="306" t="s">
        <v>0</v>
      </c>
      <c r="E33" s="307" t="s">
        <v>26</v>
      </c>
      <c r="F33" s="307" t="s">
        <v>16</v>
      </c>
      <c r="G33" s="307" t="s">
        <v>5</v>
      </c>
      <c r="H33" s="307" t="s">
        <v>17</v>
      </c>
      <c r="I33" s="307" t="s">
        <v>7</v>
      </c>
      <c r="J33" s="308" t="s">
        <v>18</v>
      </c>
      <c r="K33" s="308" t="s">
        <v>19</v>
      </c>
      <c r="L33" s="309" t="s">
        <v>20</v>
      </c>
      <c r="M33" s="319" t="s">
        <v>10</v>
      </c>
    </row>
    <row r="34" spans="4:16">
      <c r="D34" s="50"/>
      <c r="E34" s="264"/>
      <c r="F34" s="80"/>
      <c r="G34" s="81"/>
      <c r="H34" s="81">
        <f>extracto_banco_mes11[[#This Row],[NETO]]*0.21</f>
        <v>0</v>
      </c>
      <c r="I34" s="81"/>
      <c r="K34" s="280"/>
      <c r="M34" s="282">
        <f>SUM(extracto_banco_mes11[[#This Row],[NETO]:[PERC IIBB]])</f>
        <v>0</v>
      </c>
    </row>
    <row r="35" spans="4:16">
      <c r="D35" s="50"/>
      <c r="E35" s="264"/>
      <c r="F35" s="80"/>
      <c r="G35" s="81"/>
      <c r="H35" s="81">
        <f>extracto_banco_mes11[[#This Row],[NETO]]*0.21</f>
        <v>0</v>
      </c>
      <c r="I35" s="81"/>
      <c r="J35" s="81"/>
      <c r="K35" s="81"/>
      <c r="L35" s="81"/>
      <c r="M35" s="282">
        <f>SUM(extracto_banco_mes11[[#This Row],[NETO]:[PERC IIBB]])</f>
        <v>0</v>
      </c>
      <c r="N35" s="318"/>
      <c r="O35" s="318"/>
      <c r="P35" s="318"/>
    </row>
    <row r="36" spans="4:16">
      <c r="D36" s="50"/>
      <c r="E36" s="264"/>
      <c r="F36" s="80"/>
      <c r="G36" s="81"/>
      <c r="H36" s="81">
        <f>extracto_banco_mes11[[#This Row],[NETO]]*0.21</f>
        <v>0</v>
      </c>
      <c r="I36" s="81"/>
      <c r="J36" s="81"/>
      <c r="K36" s="81"/>
      <c r="L36" s="81"/>
      <c r="M36" s="282">
        <f>SUM(extracto_banco_mes11[[#This Row],[NETO]:[PERC IIBB]])</f>
        <v>0</v>
      </c>
      <c r="O36" s="280"/>
      <c r="P36" s="280"/>
    </row>
    <row r="37" spans="4:16">
      <c r="D37" s="310" t="s">
        <v>91</v>
      </c>
      <c r="E37" s="311"/>
      <c r="F37" s="311"/>
      <c r="G37" s="312">
        <f>SUBTOTAL(109,extracto_banco_mes11[NETO])</f>
        <v>0</v>
      </c>
      <c r="H37" s="312">
        <f>SUBTOTAL(109,extracto_banco_mes11[IVA 21%])</f>
        <v>0</v>
      </c>
      <c r="I37" s="312">
        <f>SUBTOTAL(109,extracto_banco_mes11[IVA 10,5%])</f>
        <v>0</v>
      </c>
      <c r="J37" s="312">
        <f>SUBTOTAL(109,extracto_banco_mes11[RET IIBB CABA])</f>
        <v>0</v>
      </c>
      <c r="K37" s="312">
        <f>SUBTOTAL(109,extracto_banco_mes11[PERC IVA])</f>
        <v>0</v>
      </c>
      <c r="L37" s="312">
        <f>SUBTOTAL(109,extracto_banco_mes11[PERC IIBB])</f>
        <v>0</v>
      </c>
      <c r="M37" s="321">
        <f>SUBTOTAL(109,extracto_banco_mes11[TOTAL])</f>
        <v>0</v>
      </c>
    </row>
    <row r="41" spans="4:16" ht="21">
      <c r="D41" s="428" t="s">
        <v>25</v>
      </c>
      <c r="E41" s="428"/>
      <c r="F41" s="428"/>
      <c r="G41" s="428"/>
      <c r="H41" s="428"/>
      <c r="I41" s="428"/>
      <c r="J41" s="428"/>
      <c r="K41" s="428"/>
    </row>
    <row r="42" spans="4:16">
      <c r="D42" s="313" t="s">
        <v>0</v>
      </c>
      <c r="E42" s="313" t="s">
        <v>2</v>
      </c>
      <c r="F42" s="313" t="s">
        <v>74</v>
      </c>
      <c r="G42" s="313" t="s">
        <v>3</v>
      </c>
      <c r="H42" s="313" t="s">
        <v>4</v>
      </c>
      <c r="I42" s="314" t="s">
        <v>10</v>
      </c>
      <c r="J42" s="313" t="s">
        <v>13</v>
      </c>
      <c r="K42" s="313" t="s">
        <v>38</v>
      </c>
    </row>
    <row r="43" spans="4:16">
      <c r="D43" s="322"/>
      <c r="E43" s="252"/>
      <c r="F43" s="252"/>
      <c r="G43" s="118"/>
      <c r="H43" s="43" t="str">
        <f>IFERROR(IF(factura_c_mes11[[#This Row],[CUIT]]="","-",VLOOKUP(factura_c_mes11[[#This Row],[CUIT]],Lista_CUIT[#All],2,0)),"CUIT NO CARGADO")</f>
        <v>-</v>
      </c>
      <c r="I43" s="362"/>
      <c r="J43" s="54"/>
      <c r="K43" s="54"/>
    </row>
    <row r="44" spans="4:16">
      <c r="D44" s="322"/>
      <c r="E44" s="252"/>
      <c r="F44" s="252"/>
      <c r="G44" s="118"/>
      <c r="H44" s="43" t="str">
        <f>IFERROR(IF(factura_c_mes11[[#This Row],[CUIT]]="","-",VLOOKUP(factura_c_mes11[[#This Row],[CUIT]],Lista_CUIT[#All],2,0)),"CUIT NO CARGADO")</f>
        <v>-</v>
      </c>
      <c r="I44" s="362"/>
      <c r="J44" s="54"/>
      <c r="K44" s="54"/>
    </row>
    <row r="45" spans="4:16">
      <c r="D45" s="50"/>
      <c r="E45" s="129"/>
      <c r="F45" s="43"/>
      <c r="G45" s="118"/>
      <c r="H45" s="43" t="str">
        <f>IFERROR(IF(factura_c_mes11[[#This Row],[CUIT]]="","-",VLOOKUP(factura_c_mes11[[#This Row],[CUIT]],Lista_CUIT[#All],2,0)),"CUIT NO CARGADO")</f>
        <v>-</v>
      </c>
      <c r="I45" s="362"/>
      <c r="J45" s="54"/>
      <c r="K45" s="54"/>
    </row>
    <row r="46" spans="4:16">
      <c r="D46" s="322"/>
      <c r="E46" s="252"/>
      <c r="F46" s="252"/>
      <c r="G46" s="118"/>
      <c r="H46" s="43" t="str">
        <f>IFERROR(IF(factura_c_mes11[[#This Row],[CUIT]]="","-",VLOOKUP(factura_c_mes11[[#This Row],[CUIT]],Lista_CUIT[#All],2,0)),"CUIT NO CARGADO")</f>
        <v>-</v>
      </c>
      <c r="I46" s="362"/>
      <c r="J46" s="54"/>
      <c r="K46" s="54"/>
    </row>
    <row r="47" spans="4:16">
      <c r="D47" s="322"/>
      <c r="E47" s="252"/>
      <c r="F47" s="252"/>
      <c r="G47" s="118"/>
      <c r="H47" s="43" t="str">
        <f>IFERROR(IF(factura_c_mes11[[#This Row],[CUIT]]="","-",VLOOKUP(factura_c_mes11[[#This Row],[CUIT]],Lista_CUIT[#All],2,0)),"CUIT NO CARGADO")</f>
        <v>-</v>
      </c>
      <c r="I47" s="362"/>
      <c r="J47" s="54"/>
      <c r="K47" s="54"/>
    </row>
    <row r="48" spans="4:16">
      <c r="D48" s="322"/>
      <c r="E48" s="252"/>
      <c r="F48" s="252"/>
      <c r="G48" s="250"/>
      <c r="H48" s="244" t="str">
        <f>IFERROR(IF(factura_c_mes11[[#This Row],[CUIT]]="","-",VLOOKUP(factura_c_mes11[[#This Row],[CUIT]],Lista_CUIT[#All],2,0)),"CUIT NO CARGADO")</f>
        <v>-</v>
      </c>
      <c r="I48" s="282"/>
      <c r="J48" s="246" t="str">
        <f>IFERROR(IF(factura_c_mes11[[#This Row],[CUIT]]="","-",VLOOKUP(factura_c_mes11[[#This Row],[CUIT]],Lista_CUIT[#All],3,0)),"CUIT NO CARGADO")</f>
        <v>-</v>
      </c>
      <c r="K48" s="246" t="str">
        <f>IFERROR(IF(factura_c_mes11[[#This Row],[CUIT]]="","-",VLOOKUP(factura_c_mes11[[#This Row],[CUIT]],Lista_CUIT[#All],4,0)),"CUIT NO CARGADO")</f>
        <v>-</v>
      </c>
    </row>
    <row r="49" spans="2:18">
      <c r="D49" s="322"/>
      <c r="E49" s="252"/>
      <c r="F49" s="252"/>
      <c r="G49" s="250"/>
      <c r="H49" s="244" t="str">
        <f>IFERROR(IF(factura_c_mes11[[#This Row],[CUIT]]="","-",VLOOKUP(factura_c_mes11[[#This Row],[CUIT]],Lista_CUIT[#All],2,0)),"CUIT NO CARGADO")</f>
        <v>-</v>
      </c>
      <c r="I49" s="282"/>
      <c r="J49" s="246" t="str">
        <f>IFERROR(IF(factura_c_mes11[[#This Row],[CUIT]]="","-",VLOOKUP(factura_c_mes11[[#This Row],[CUIT]],Lista_CUIT[#All],3,0)),"CUIT NO CARGADO")</f>
        <v>-</v>
      </c>
      <c r="K49" s="246" t="str">
        <f>IFERROR(IF(factura_c_mes11[[#This Row],[CUIT]]="","-",VLOOKUP(factura_c_mes11[[#This Row],[CUIT]],Lista_CUIT[#All],4,0)),"CUIT NO CARGADO")</f>
        <v>-</v>
      </c>
    </row>
    <row r="50" spans="2:18">
      <c r="D50" s="50"/>
      <c r="E50" s="129"/>
      <c r="F50" s="43"/>
      <c r="G50" s="118"/>
      <c r="H50" s="53" t="str">
        <f>IFERROR(IF(factura_c_mes11[[#This Row],[CUIT]]="","-",VLOOKUP(factura_c_mes11[[#This Row],[CUIT]],Lista_CUIT[#All],2,0)),"CUIT NO CARGADO")</f>
        <v>-</v>
      </c>
      <c r="I50" s="212"/>
      <c r="J50" s="54" t="str">
        <f>IFERROR(IF(factura_c_mes11[[#This Row],[CUIT]]="","-",VLOOKUP(factura_c_mes11[[#This Row],[CUIT]],Lista_CUIT[#All],3,0)),"CUIT NO CARGADO")</f>
        <v>-</v>
      </c>
      <c r="K50" s="54" t="str">
        <f>IFERROR(IF(factura_c_mes11[[#This Row],[CUIT]]="","-",VLOOKUP(factura_c_mes11[[#This Row],[CUIT]],Lista_CUIT[#All],4,0)),"CUIT NO CARGADO")</f>
        <v>-</v>
      </c>
    </row>
    <row r="51" spans="2:18">
      <c r="D51" s="315" t="s">
        <v>91</v>
      </c>
      <c r="E51" s="315"/>
      <c r="F51" s="315"/>
      <c r="G51" s="315"/>
      <c r="H51" s="316"/>
      <c r="I51" s="317">
        <f>SUBTOTAL(109,factura_c_mes11[TOTAL])</f>
        <v>0</v>
      </c>
      <c r="J51" s="315"/>
      <c r="K51" s="315"/>
    </row>
    <row r="52" spans="2:18">
      <c r="B52" s="56"/>
      <c r="C52" s="56"/>
      <c r="L52" s="56"/>
      <c r="M52" s="56"/>
      <c r="N52" s="56"/>
      <c r="O52" s="56"/>
      <c r="P52" s="56"/>
      <c r="Q52" s="56"/>
      <c r="R52" s="56"/>
    </row>
    <row r="53" spans="2:18">
      <c r="B53" s="56"/>
      <c r="C53" s="56"/>
      <c r="L53" s="56"/>
      <c r="M53" s="56"/>
      <c r="N53" s="56"/>
      <c r="O53" s="56"/>
      <c r="P53" s="56"/>
      <c r="Q53" s="56"/>
      <c r="R53" s="56"/>
    </row>
    <row r="58" spans="2:18" ht="26.25">
      <c r="B58" s="436" t="s">
        <v>29</v>
      </c>
      <c r="C58" s="436"/>
      <c r="D58" s="436"/>
      <c r="E58" s="436"/>
      <c r="F58" s="436"/>
      <c r="G58" s="436"/>
      <c r="H58" s="436"/>
      <c r="I58" s="436"/>
      <c r="J58" s="436"/>
      <c r="K58" s="432">
        <f>N1</f>
        <v>46327</v>
      </c>
      <c r="L58" s="432"/>
      <c r="M58" s="432"/>
    </row>
    <row r="60" spans="2:18" ht="21">
      <c r="B60" s="429" t="s">
        <v>30</v>
      </c>
      <c r="C60" s="429"/>
    </row>
    <row r="61" spans="2:18" ht="15.75">
      <c r="B61" s="60" t="s">
        <v>0</v>
      </c>
      <c r="C61" s="61" t="s">
        <v>1</v>
      </c>
      <c r="D61" s="61" t="s">
        <v>21</v>
      </c>
      <c r="E61" s="61" t="s">
        <v>22</v>
      </c>
      <c r="F61" s="61" t="s">
        <v>3</v>
      </c>
      <c r="G61" s="61" t="s">
        <v>4</v>
      </c>
      <c r="H61" s="61" t="s">
        <v>23</v>
      </c>
      <c r="I61" s="61" t="s">
        <v>17</v>
      </c>
      <c r="J61" s="61" t="s">
        <v>7</v>
      </c>
      <c r="K61" s="61" t="s">
        <v>24</v>
      </c>
      <c r="L61" s="61" t="s">
        <v>10</v>
      </c>
      <c r="M61" s="62" t="s">
        <v>38</v>
      </c>
    </row>
    <row r="62" spans="2:18" ht="15" customHeight="1">
      <c r="B62" s="40"/>
      <c r="C62" s="110"/>
      <c r="D62" s="110"/>
      <c r="E62" s="104"/>
      <c r="F62" s="145"/>
      <c r="G62" s="40" t="str">
        <f>IFERROR(IF(venta_a_mes11[[#This Row],[CUIT]]="","-",VLOOKUP(venta_a_mes11[[#This Row],[CUIT]],Lista_CUIT[#All],2,0)),"CUIT NO CARGADO")</f>
        <v>-</v>
      </c>
      <c r="H62" s="360"/>
      <c r="I62" s="360">
        <f>venta_a_mes11[[#This Row],[IMPORTE NETO]]*0.21</f>
        <v>0</v>
      </c>
      <c r="J62" s="40"/>
      <c r="K62" s="40"/>
      <c r="L62" s="361">
        <f>SUM(venta_a_mes11[[#This Row],[IMPORTE NETO]:[EXENTO]])</f>
        <v>0</v>
      </c>
      <c r="M62" s="40"/>
    </row>
    <row r="63" spans="2:18" ht="15" customHeight="1">
      <c r="B63" s="40"/>
      <c r="C63" s="110"/>
      <c r="D63" s="110"/>
      <c r="E63" s="104"/>
      <c r="F63" s="145"/>
      <c r="G63" s="40" t="str">
        <f>IFERROR(IF(venta_a_mes11[[#This Row],[CUIT]]="","-",VLOOKUP(venta_a_mes11[[#This Row],[CUIT]],Lista_CUIT[#All],2,0)),"CUIT NO CARGADO")</f>
        <v>-</v>
      </c>
      <c r="H63" s="360"/>
      <c r="I63" s="360">
        <f>venta_a_mes11[[#This Row],[IMPORTE NETO]]*0.21</f>
        <v>0</v>
      </c>
      <c r="J63" s="40"/>
      <c r="K63" s="40"/>
      <c r="L63" s="361">
        <f>SUM(venta_a_mes11[[#This Row],[IMPORTE NETO]:[EXENTO]])</f>
        <v>0</v>
      </c>
      <c r="M63" s="40"/>
    </row>
    <row r="64" spans="2:18" ht="15" customHeight="1">
      <c r="B64" s="40"/>
      <c r="C64" s="110"/>
      <c r="D64" s="110"/>
      <c r="E64" s="104"/>
      <c r="F64" s="145"/>
      <c r="G64" s="40" t="str">
        <f>IFERROR(IF(venta_a_mes11[[#This Row],[CUIT]]="","-",VLOOKUP(venta_a_mes11[[#This Row],[CUIT]],Lista_CUIT[#All],2,0)),"CUIT NO CARGADO")</f>
        <v>-</v>
      </c>
      <c r="H64" s="360"/>
      <c r="I64" s="360">
        <f>venta_a_mes11[[#This Row],[IMPORTE NETO]]*0.21</f>
        <v>0</v>
      </c>
      <c r="J64" s="40"/>
      <c r="K64" s="40"/>
      <c r="L64" s="361">
        <f>SUM(venta_a_mes11[[#This Row],[IMPORTE NETO]:[EXENTO]])</f>
        <v>0</v>
      </c>
      <c r="M64" s="40"/>
    </row>
    <row r="65" spans="2:13" ht="15" customHeight="1">
      <c r="B65" s="40"/>
      <c r="C65" s="110"/>
      <c r="D65" s="110"/>
      <c r="E65" s="104"/>
      <c r="F65" s="145"/>
      <c r="G65" s="40" t="str">
        <f>IFERROR(IF(venta_a_mes11[[#This Row],[CUIT]]="","-",VLOOKUP(venta_a_mes11[[#This Row],[CUIT]],Lista_CUIT[#All],2,0)),"CUIT NO CARGADO")</f>
        <v>-</v>
      </c>
      <c r="H65" s="360"/>
      <c r="I65" s="360">
        <f>venta_a_mes11[[#This Row],[IMPORTE NETO]]*0.21</f>
        <v>0</v>
      </c>
      <c r="J65" s="40"/>
      <c r="K65" s="40"/>
      <c r="L65" s="361">
        <f>SUM(venta_a_mes11[[#This Row],[IMPORTE NETO]:[EXENTO]])</f>
        <v>0</v>
      </c>
      <c r="M65" s="40"/>
    </row>
    <row r="66" spans="2:13" ht="15" customHeight="1">
      <c r="B66" s="40"/>
      <c r="C66" s="110"/>
      <c r="D66" s="110"/>
      <c r="E66" s="104"/>
      <c r="F66" s="145"/>
      <c r="G66" s="40" t="str">
        <f>IFERROR(IF(venta_a_mes11[[#This Row],[CUIT]]="","-",VLOOKUP(venta_a_mes11[[#This Row],[CUIT]],Lista_CUIT[#All],2,0)),"CUIT NO CARGADO")</f>
        <v>-</v>
      </c>
      <c r="H66" s="360"/>
      <c r="I66" s="360">
        <f>venta_a_mes11[[#This Row],[IMPORTE NETO]]*0.21</f>
        <v>0</v>
      </c>
      <c r="J66" s="40"/>
      <c r="K66" s="40"/>
      <c r="L66" s="361">
        <f>SUM(venta_a_mes11[[#This Row],[IMPORTE NETO]:[EXENTO]])</f>
        <v>0</v>
      </c>
      <c r="M66" s="40"/>
    </row>
    <row r="67" spans="2:13" ht="15" customHeight="1">
      <c r="B67" s="40"/>
      <c r="C67" s="110"/>
      <c r="D67" s="110"/>
      <c r="E67" s="104"/>
      <c r="F67" s="145"/>
      <c r="G67" s="40" t="str">
        <f>IFERROR(IF(venta_a_mes11[[#This Row],[CUIT]]="","-",VLOOKUP(venta_a_mes11[[#This Row],[CUIT]],Lista_CUIT[#All],2,0)),"CUIT NO CARGADO")</f>
        <v>-</v>
      </c>
      <c r="H67" s="360"/>
      <c r="I67" s="360">
        <f>venta_a_mes11[[#This Row],[IMPORTE NETO]]*0.21</f>
        <v>0</v>
      </c>
      <c r="J67" s="40"/>
      <c r="K67" s="40"/>
      <c r="L67" s="361">
        <f>SUM(venta_a_mes11[[#This Row],[IMPORTE NETO]:[EXENTO]])</f>
        <v>0</v>
      </c>
      <c r="M67" s="40"/>
    </row>
    <row r="68" spans="2:13" ht="15" customHeight="1">
      <c r="B68" s="40"/>
      <c r="C68" s="110"/>
      <c r="D68" s="110"/>
      <c r="E68" s="104"/>
      <c r="F68" s="145"/>
      <c r="G68" s="40" t="str">
        <f>IFERROR(IF(venta_a_mes11[[#This Row],[CUIT]]="","-",VLOOKUP(venta_a_mes11[[#This Row],[CUIT]],Lista_CUIT[#All],2,0)),"CUIT NO CARGADO")</f>
        <v>-</v>
      </c>
      <c r="H68" s="360"/>
      <c r="I68" s="360">
        <f>venta_a_mes11[[#This Row],[IMPORTE NETO]]*0.21</f>
        <v>0</v>
      </c>
      <c r="J68" s="40"/>
      <c r="K68" s="40"/>
      <c r="L68" s="361">
        <f>SUM(venta_a_mes11[[#This Row],[IMPORTE NETO]:[EXENTO]])</f>
        <v>0</v>
      </c>
      <c r="M68" s="40"/>
    </row>
    <row r="69" spans="2:13" ht="15" customHeight="1">
      <c r="B69" s="40"/>
      <c r="C69" s="110"/>
      <c r="D69" s="110"/>
      <c r="E69" s="104"/>
      <c r="F69" s="145"/>
      <c r="G69" s="40" t="str">
        <f>IFERROR(IF(venta_a_mes11[[#This Row],[CUIT]]="","-",VLOOKUP(venta_a_mes11[[#This Row],[CUIT]],Lista_CUIT[#All],2,0)),"CUIT NO CARGADO")</f>
        <v>-</v>
      </c>
      <c r="H69" s="360"/>
      <c r="I69" s="360">
        <f>venta_a_mes11[[#This Row],[IMPORTE NETO]]*0.21</f>
        <v>0</v>
      </c>
      <c r="J69" s="40"/>
      <c r="K69" s="40"/>
      <c r="L69" s="361">
        <f>SUM(venta_a_mes11[[#This Row],[IMPORTE NETO]:[EXENTO]])</f>
        <v>0</v>
      </c>
      <c r="M69" s="40"/>
    </row>
    <row r="70" spans="2:13" ht="15" customHeight="1">
      <c r="B70" s="40"/>
      <c r="C70" s="110"/>
      <c r="D70" s="110"/>
      <c r="E70" s="104"/>
      <c r="F70" s="145"/>
      <c r="G70" s="40" t="str">
        <f>IFERROR(IF(venta_a_mes11[[#This Row],[CUIT]]="","-",VLOOKUP(venta_a_mes11[[#This Row],[CUIT]],Lista_CUIT[#All],2,0)),"CUIT NO CARGADO")</f>
        <v>-</v>
      </c>
      <c r="H70" s="360"/>
      <c r="I70" s="360">
        <f>venta_a_mes11[[#This Row],[IMPORTE NETO]]*0.21</f>
        <v>0</v>
      </c>
      <c r="J70" s="40"/>
      <c r="K70" s="40"/>
      <c r="L70" s="361">
        <f>SUM(venta_a_mes11[[#This Row],[IMPORTE NETO]:[EXENTO]])</f>
        <v>0</v>
      </c>
      <c r="M70" s="40"/>
    </row>
    <row r="71" spans="2:13" ht="15" customHeight="1">
      <c r="B71" s="40"/>
      <c r="C71" s="110"/>
      <c r="D71" s="110"/>
      <c r="E71" s="104"/>
      <c r="F71" s="145"/>
      <c r="G71" s="40" t="str">
        <f>IFERROR(IF(venta_a_mes11[[#This Row],[CUIT]]="","-",VLOOKUP(venta_a_mes11[[#This Row],[CUIT]],Lista_CUIT[#All],2,0)),"CUIT NO CARGADO")</f>
        <v>-</v>
      </c>
      <c r="H71" s="360"/>
      <c r="I71" s="360">
        <f>venta_a_mes11[[#This Row],[IMPORTE NETO]]*0.21</f>
        <v>0</v>
      </c>
      <c r="J71" s="40"/>
      <c r="K71" s="40"/>
      <c r="L71" s="361">
        <f>SUM(venta_a_mes11[[#This Row],[IMPORTE NETO]:[EXENTO]])</f>
        <v>0</v>
      </c>
      <c r="M71" s="40"/>
    </row>
    <row r="72" spans="2:13" ht="15" customHeight="1">
      <c r="B72" s="40"/>
      <c r="C72" s="110"/>
      <c r="D72" s="110"/>
      <c r="E72" s="104"/>
      <c r="F72" s="145"/>
      <c r="G72" s="40" t="str">
        <f>IFERROR(IF(venta_a_mes11[[#This Row],[CUIT]]="","-",VLOOKUP(venta_a_mes11[[#This Row],[CUIT]],Lista_CUIT[#All],2,0)),"CUIT NO CARGADO")</f>
        <v>-</v>
      </c>
      <c r="H72" s="360"/>
      <c r="I72" s="360">
        <f>venta_a_mes11[[#This Row],[IMPORTE NETO]]*0.21</f>
        <v>0</v>
      </c>
      <c r="J72" s="40"/>
      <c r="K72" s="40"/>
      <c r="L72" s="361">
        <f>SUM(venta_a_mes11[[#This Row],[IMPORTE NETO]:[EXENTO]])</f>
        <v>0</v>
      </c>
      <c r="M72" s="40"/>
    </row>
    <row r="73" spans="2:13" ht="15" customHeight="1">
      <c r="B73" s="40"/>
      <c r="C73" s="110"/>
      <c r="D73" s="110"/>
      <c r="E73" s="104"/>
      <c r="F73" s="145"/>
      <c r="G73" s="40" t="str">
        <f>IFERROR(IF(venta_a_mes11[[#This Row],[CUIT]]="","-",VLOOKUP(venta_a_mes11[[#This Row],[CUIT]],Lista_CUIT[#All],2,0)),"CUIT NO CARGADO")</f>
        <v>-</v>
      </c>
      <c r="H73" s="360"/>
      <c r="I73" s="360">
        <f>venta_a_mes11[[#This Row],[IMPORTE NETO]]*0.21</f>
        <v>0</v>
      </c>
      <c r="J73" s="40"/>
      <c r="K73" s="40"/>
      <c r="L73" s="361">
        <f>SUM(venta_a_mes11[[#This Row],[IMPORTE NETO]:[EXENTO]])</f>
        <v>0</v>
      </c>
      <c r="M73" s="40"/>
    </row>
    <row r="74" spans="2:13" ht="15" customHeight="1">
      <c r="B74" s="40"/>
      <c r="C74" s="110"/>
      <c r="D74" s="110"/>
      <c r="E74" s="104"/>
      <c r="F74" s="145"/>
      <c r="G74" s="40" t="str">
        <f>IFERROR(IF(venta_a_mes11[[#This Row],[CUIT]]="","-",VLOOKUP(venta_a_mes11[[#This Row],[CUIT]],Lista_CUIT[#All],2,0)),"CUIT NO CARGADO")</f>
        <v>-</v>
      </c>
      <c r="H74" s="360"/>
      <c r="I74" s="360">
        <f>venta_a_mes11[[#This Row],[IMPORTE NETO]]*0.21</f>
        <v>0</v>
      </c>
      <c r="J74" s="40"/>
      <c r="K74" s="40"/>
      <c r="L74" s="361">
        <f>SUM(venta_a_mes11[[#This Row],[IMPORTE NETO]:[EXENTO]])</f>
        <v>0</v>
      </c>
      <c r="M74" s="40"/>
    </row>
    <row r="75" spans="2:13" ht="15" customHeight="1">
      <c r="B75" s="40"/>
      <c r="C75" s="110"/>
      <c r="D75" s="110"/>
      <c r="E75" s="104"/>
      <c r="F75" s="145"/>
      <c r="G75" s="40" t="str">
        <f>IFERROR(IF(venta_a_mes11[[#This Row],[CUIT]]="","-",VLOOKUP(venta_a_mes11[[#This Row],[CUIT]],Lista_CUIT[#All],2,0)),"CUIT NO CARGADO")</f>
        <v>-</v>
      </c>
      <c r="H75" s="360"/>
      <c r="I75" s="360">
        <f>venta_a_mes11[[#This Row],[IMPORTE NETO]]*0.21</f>
        <v>0</v>
      </c>
      <c r="J75" s="40"/>
      <c r="K75" s="40"/>
      <c r="L75" s="361">
        <f>SUM(venta_a_mes11[[#This Row],[IMPORTE NETO]:[EXENTO]])</f>
        <v>0</v>
      </c>
      <c r="M75" s="40"/>
    </row>
    <row r="76" spans="2:13" ht="15" customHeight="1">
      <c r="B76" s="40"/>
      <c r="C76" s="110"/>
      <c r="D76" s="110"/>
      <c r="E76" s="104"/>
      <c r="F76" s="145"/>
      <c r="G76" s="40" t="str">
        <f>IFERROR(IF(venta_a_mes11[[#This Row],[CUIT]]="","-",VLOOKUP(venta_a_mes11[[#This Row],[CUIT]],Lista_CUIT[#All],2,0)),"CUIT NO CARGADO")</f>
        <v>-</v>
      </c>
      <c r="H76" s="360"/>
      <c r="I76" s="360">
        <f>venta_a_mes11[[#This Row],[IMPORTE NETO]]*0.21</f>
        <v>0</v>
      </c>
      <c r="J76" s="40"/>
      <c r="K76" s="40"/>
      <c r="L76" s="361">
        <f>SUM(venta_a_mes11[[#This Row],[IMPORTE NETO]:[EXENTO]])</f>
        <v>0</v>
      </c>
      <c r="M76" s="40"/>
    </row>
    <row r="77" spans="2:13" ht="15" customHeight="1">
      <c r="B77" s="40"/>
      <c r="C77" s="110"/>
      <c r="D77" s="110"/>
      <c r="E77" s="104"/>
      <c r="F77" s="145"/>
      <c r="G77" s="40" t="str">
        <f>IFERROR(IF(venta_a_mes11[[#This Row],[CUIT]]="","-",VLOOKUP(venta_a_mes11[[#This Row],[CUIT]],Lista_CUIT[#All],2,0)),"CUIT NO CARGADO")</f>
        <v>-</v>
      </c>
      <c r="H77" s="360"/>
      <c r="I77" s="360">
        <f>venta_a_mes11[[#This Row],[IMPORTE NETO]]*0.21</f>
        <v>0</v>
      </c>
      <c r="J77" s="40"/>
      <c r="K77" s="40"/>
      <c r="L77" s="361">
        <f>SUM(venta_a_mes11[[#This Row],[IMPORTE NETO]:[EXENTO]])</f>
        <v>0</v>
      </c>
      <c r="M77" s="40"/>
    </row>
    <row r="78" spans="2:13" ht="15" customHeight="1">
      <c r="B78" s="40"/>
      <c r="C78" s="110"/>
      <c r="D78" s="110"/>
      <c r="E78" s="104"/>
      <c r="F78" s="145"/>
      <c r="G78" s="40" t="str">
        <f>IFERROR(IF(venta_a_mes11[[#This Row],[CUIT]]="","-",VLOOKUP(venta_a_mes11[[#This Row],[CUIT]],Lista_CUIT[#All],2,0)),"CUIT NO CARGADO")</f>
        <v>-</v>
      </c>
      <c r="H78" s="360"/>
      <c r="I78" s="360">
        <f>venta_a_mes11[[#This Row],[IMPORTE NETO]]*0.21</f>
        <v>0</v>
      </c>
      <c r="J78" s="40"/>
      <c r="K78" s="40"/>
      <c r="L78" s="361">
        <f>SUM(venta_a_mes11[[#This Row],[IMPORTE NETO]:[EXENTO]])</f>
        <v>0</v>
      </c>
      <c r="M78" s="40"/>
    </row>
    <row r="79" spans="2:13" ht="15" customHeight="1">
      <c r="B79" s="40"/>
      <c r="C79" s="110"/>
      <c r="D79" s="110"/>
      <c r="E79" s="104"/>
      <c r="F79" s="145"/>
      <c r="G79" s="40" t="str">
        <f>IFERROR(IF(venta_a_mes11[[#This Row],[CUIT]]="","-",VLOOKUP(venta_a_mes11[[#This Row],[CUIT]],Lista_CUIT[#All],2,0)),"CUIT NO CARGADO")</f>
        <v>-</v>
      </c>
      <c r="H79" s="360"/>
      <c r="I79" s="360">
        <f>venta_a_mes11[[#This Row],[IMPORTE NETO]]*0.21</f>
        <v>0</v>
      </c>
      <c r="J79" s="40"/>
      <c r="K79" s="40"/>
      <c r="L79" s="361">
        <f>SUM(venta_a_mes11[[#This Row],[IMPORTE NETO]:[EXENTO]])</f>
        <v>0</v>
      </c>
      <c r="M79" s="40"/>
    </row>
    <row r="80" spans="2:13" ht="15" customHeight="1">
      <c r="B80" s="40"/>
      <c r="C80" s="110"/>
      <c r="D80" s="110"/>
      <c r="E80" s="104"/>
      <c r="F80" s="145"/>
      <c r="G80" s="40" t="str">
        <f>IFERROR(IF(venta_a_mes11[[#This Row],[CUIT]]="","-",VLOOKUP(venta_a_mes11[[#This Row],[CUIT]],Lista_CUIT[#All],2,0)),"CUIT NO CARGADO")</f>
        <v>-</v>
      </c>
      <c r="H80" s="100"/>
      <c r="I80" s="101">
        <f>venta_a_mes11[[#This Row],[IMPORTE NETO]]*0.21</f>
        <v>0</v>
      </c>
      <c r="J80" s="40"/>
      <c r="K80" s="40"/>
      <c r="L80" s="65"/>
      <c r="M80" s="40"/>
    </row>
    <row r="81" spans="2:13" ht="15" customHeight="1">
      <c r="B81" s="40"/>
      <c r="C81" s="110"/>
      <c r="D81" s="110"/>
      <c r="E81" s="104"/>
      <c r="F81" s="145"/>
      <c r="G81" s="40" t="str">
        <f>IFERROR(IF(venta_a_mes11[[#This Row],[CUIT]]="","-",VLOOKUP(venta_a_mes11[[#This Row],[CUIT]],Lista_CUIT[#All],2,0)),"CUIT NO CARGADO")</f>
        <v>-</v>
      </c>
      <c r="H81" s="100"/>
      <c r="I81" s="101">
        <f>venta_a_mes11[[#This Row],[IMPORTE NETO]]*0.21</f>
        <v>0</v>
      </c>
      <c r="J81" s="40"/>
      <c r="K81" s="40"/>
      <c r="L81" s="65"/>
      <c r="M81" s="40"/>
    </row>
    <row r="82" spans="2:13" ht="15" customHeight="1">
      <c r="B82" s="40"/>
      <c r="C82" s="110"/>
      <c r="D82" s="110"/>
      <c r="E82" s="104"/>
      <c r="F82" s="145"/>
      <c r="G82" s="40" t="str">
        <f>IFERROR(IF(venta_a_mes11[[#This Row],[CUIT]]="","-",VLOOKUP(venta_a_mes11[[#This Row],[CUIT]],Lista_CUIT[#All],2,0)),"CUIT NO CARGADO")</f>
        <v>-</v>
      </c>
      <c r="H82" s="100"/>
      <c r="I82" s="101">
        <f>venta_a_mes11[[#This Row],[IMPORTE NETO]]*0.21</f>
        <v>0</v>
      </c>
      <c r="J82" s="40"/>
      <c r="K82" s="40"/>
      <c r="L82" s="65"/>
      <c r="M82" s="40"/>
    </row>
    <row r="83" spans="2:13" ht="15" customHeight="1">
      <c r="B83" s="40"/>
      <c r="C83" s="110"/>
      <c r="D83" s="110"/>
      <c r="E83" s="104"/>
      <c r="F83" s="145"/>
      <c r="G83" s="40" t="str">
        <f>IFERROR(IF(venta_a_mes11[[#This Row],[CUIT]]="","-",VLOOKUP(venta_a_mes11[[#This Row],[CUIT]],Lista_CUIT[#All],2,0)),"CUIT NO CARGADO")</f>
        <v>-</v>
      </c>
      <c r="H83" s="100"/>
      <c r="I83" s="101">
        <f>venta_a_mes11[[#This Row],[IMPORTE NETO]]*0.21</f>
        <v>0</v>
      </c>
      <c r="J83" s="40"/>
      <c r="K83" s="40"/>
      <c r="L83" s="65"/>
      <c r="M83" s="40"/>
    </row>
    <row r="84" spans="2:13" ht="15" customHeight="1">
      <c r="B84" s="40"/>
      <c r="C84" s="110"/>
      <c r="D84" s="110"/>
      <c r="E84" s="104"/>
      <c r="F84" s="145"/>
      <c r="G84" s="40" t="str">
        <f>IFERROR(IF(venta_a_mes11[[#This Row],[CUIT]]="","-",VLOOKUP(venta_a_mes11[[#This Row],[CUIT]],Lista_CUIT[#All],2,0)),"CUIT NO CARGADO")</f>
        <v>-</v>
      </c>
      <c r="H84" s="100"/>
      <c r="I84" s="101">
        <f>venta_a_mes11[[#This Row],[IMPORTE NETO]]*0.21</f>
        <v>0</v>
      </c>
      <c r="J84" s="40"/>
      <c r="K84" s="40"/>
      <c r="L84" s="65"/>
      <c r="M84" s="40"/>
    </row>
    <row r="85" spans="2:13" ht="15" customHeight="1">
      <c r="B85" s="40"/>
      <c r="C85" s="110"/>
      <c r="D85" s="110"/>
      <c r="E85" s="104"/>
      <c r="F85" s="145"/>
      <c r="G85" s="40" t="str">
        <f>IFERROR(IF(venta_a_mes11[[#This Row],[CUIT]]="","-",VLOOKUP(venta_a_mes11[[#This Row],[CUIT]],Lista_CUIT[#All],2,0)),"CUIT NO CARGADO")</f>
        <v>-</v>
      </c>
      <c r="H85" s="100"/>
      <c r="I85" s="101">
        <f>venta_a_mes11[[#This Row],[IMPORTE NETO]]*0.21</f>
        <v>0</v>
      </c>
      <c r="J85" s="40"/>
      <c r="K85" s="40"/>
      <c r="L85" s="65"/>
      <c r="M85" s="40"/>
    </row>
    <row r="86" spans="2:13" ht="15" customHeight="1">
      <c r="B86" s="40"/>
      <c r="C86" s="110"/>
      <c r="D86" s="110"/>
      <c r="E86" s="104"/>
      <c r="F86" s="145"/>
      <c r="G86" s="40" t="str">
        <f>IFERROR(IF(venta_a_mes11[[#This Row],[CUIT]]="","-",VLOOKUP(venta_a_mes11[[#This Row],[CUIT]],Lista_CUIT[#All],2,0)),"CUIT NO CARGADO")</f>
        <v>-</v>
      </c>
      <c r="H86" s="100"/>
      <c r="I86" s="101">
        <f>venta_a_mes11[[#This Row],[IMPORTE NETO]]*0.21</f>
        <v>0</v>
      </c>
      <c r="J86" s="40"/>
      <c r="K86" s="40"/>
      <c r="L86" s="65"/>
      <c r="M86" s="40"/>
    </row>
    <row r="87" spans="2:13" ht="15" customHeight="1">
      <c r="B87" s="40"/>
      <c r="C87" s="110"/>
      <c r="D87" s="110"/>
      <c r="E87" s="104"/>
      <c r="F87" s="145"/>
      <c r="G87" s="40" t="str">
        <f>IFERROR(IF(venta_a_mes11[[#This Row],[CUIT]]="","-",VLOOKUP(venta_a_mes11[[#This Row],[CUIT]],Lista_CUIT[#All],2,0)),"CUIT NO CARGADO")</f>
        <v>-</v>
      </c>
      <c r="H87" s="100"/>
      <c r="I87" s="101">
        <f>venta_a_mes11[[#This Row],[IMPORTE NETO]]*0.21</f>
        <v>0</v>
      </c>
      <c r="J87" s="40"/>
      <c r="K87" s="40"/>
      <c r="L87" s="65"/>
      <c r="M87" s="40"/>
    </row>
    <row r="88" spans="2:13">
      <c r="B88" s="66" t="s">
        <v>91</v>
      </c>
      <c r="C88" s="67"/>
      <c r="D88" s="67"/>
      <c r="E88" s="67"/>
      <c r="F88" s="67"/>
      <c r="G88" s="67"/>
      <c r="H88" s="69">
        <f>SUBTOTAL(109,venta_a_mes11[IMPORTE NETO])</f>
        <v>0</v>
      </c>
      <c r="I88" s="70">
        <f>SUBTOTAL(109,venta_a_mes11[IVA 21%])</f>
        <v>0</v>
      </c>
      <c r="J88" s="71">
        <f>SUBTOTAL(109,venta_a_mes11[IVA 10,5%])</f>
        <v>0</v>
      </c>
      <c r="K88" s="71">
        <f>SUBTOTAL(109,venta_a_mes11[EXENTO])</f>
        <v>0</v>
      </c>
      <c r="L88" s="71">
        <f>SUBTOTAL(109,venta_a_mes11[TOTAL])</f>
        <v>0</v>
      </c>
      <c r="M88" s="68">
        <f>SUBTOTAL(103,venta_a_mes11[Provincia])</f>
        <v>0</v>
      </c>
    </row>
    <row r="89" spans="2:13">
      <c r="B89" s="134"/>
      <c r="C89" s="134"/>
      <c r="D89" s="134"/>
      <c r="E89" s="134"/>
      <c r="F89" s="134"/>
      <c r="G89" s="134"/>
      <c r="H89" s="136"/>
      <c r="I89" s="137"/>
      <c r="J89" s="138"/>
      <c r="K89" s="138"/>
      <c r="L89" s="138"/>
      <c r="M89" s="135"/>
    </row>
    <row r="90" spans="2:13" ht="21">
      <c r="B90" s="429" t="s">
        <v>31</v>
      </c>
      <c r="C90" s="429"/>
    </row>
    <row r="91" spans="2:13" ht="15.75">
      <c r="B91" s="60" t="s">
        <v>0</v>
      </c>
      <c r="C91" s="61" t="s">
        <v>1</v>
      </c>
      <c r="D91" s="61" t="s">
        <v>21</v>
      </c>
      <c r="E91" s="61" t="s">
        <v>22</v>
      </c>
      <c r="F91" s="61" t="s">
        <v>3</v>
      </c>
      <c r="G91" s="61" t="s">
        <v>4</v>
      </c>
      <c r="H91" s="61" t="s">
        <v>23</v>
      </c>
      <c r="I91" s="61" t="s">
        <v>17</v>
      </c>
      <c r="J91" s="61" t="s">
        <v>7</v>
      </c>
      <c r="K91" s="61" t="s">
        <v>24</v>
      </c>
      <c r="L91" s="61" t="s">
        <v>10</v>
      </c>
      <c r="M91" s="62" t="s">
        <v>38</v>
      </c>
    </row>
    <row r="92" spans="2:13">
      <c r="B92" s="116"/>
      <c r="C92" s="146"/>
      <c r="D92" s="147"/>
      <c r="E92" s="129"/>
      <c r="F92" s="131"/>
      <c r="G92" s="1" t="str">
        <f>IFERROR(IF(ventas_b_mes11[[#This Row],[CUIT]]="","-",VLOOKUP(ventas_b_mes11[[#This Row],[CUIT]],Lista_CUIT[#All],2,0)),"CUIT NO CARGADO")</f>
        <v>-</v>
      </c>
      <c r="H92" s="64"/>
      <c r="I92" s="132">
        <f>ventas_b_mes11[[#This Row],[IMPORTE NETO]]*0.21</f>
        <v>0</v>
      </c>
      <c r="J92" s="133"/>
      <c r="K92" s="133"/>
      <c r="L92" s="133">
        <f>ventas_b_mes11[[#This Row],[EXENTO]]+ventas_b_mes11[[#This Row],[IVA 10,5%]]+ventas_b_mes11[[#This Row],[IVA 21%]]+ventas_b_mes11[[#This Row],[IMPORTE NETO]]</f>
        <v>0</v>
      </c>
      <c r="M92" s="59"/>
    </row>
    <row r="93" spans="2:13">
      <c r="B93" s="116"/>
      <c r="C93" s="146"/>
      <c r="D93" s="147"/>
      <c r="E93" s="129"/>
      <c r="F93" s="131"/>
      <c r="G93" s="1" t="str">
        <f>IFERROR(IF(ventas_b_mes11[[#This Row],[CUIT]]="","-",VLOOKUP(ventas_b_mes11[[#This Row],[CUIT]],Lista_CUIT[#All],2,0)),"CUIT NO CARGADO")</f>
        <v>-</v>
      </c>
      <c r="H93" s="64"/>
      <c r="I93" s="132">
        <f>ventas_b_mes11[[#This Row],[IMPORTE NETO]]*0.21</f>
        <v>0</v>
      </c>
      <c r="J93" s="133"/>
      <c r="K93" s="133"/>
      <c r="L93" s="133">
        <f>ventas_b_mes11[[#This Row],[EXENTO]]+ventas_b_mes11[[#This Row],[IVA 10,5%]]+ventas_b_mes11[[#This Row],[IVA 21%]]+ventas_b_mes11[[#This Row],[IMPORTE NETO]]</f>
        <v>0</v>
      </c>
      <c r="M93" s="59"/>
    </row>
    <row r="94" spans="2:13">
      <c r="B94" s="116"/>
      <c r="C94" s="146"/>
      <c r="D94" s="147"/>
      <c r="E94" s="129"/>
      <c r="F94" s="131"/>
      <c r="G94" s="1" t="str">
        <f>IFERROR(IF(ventas_b_mes11[[#This Row],[CUIT]]="","-",VLOOKUP(ventas_b_mes11[[#This Row],[CUIT]],Lista_CUIT[#All],2,0)),"CUIT NO CARGADO")</f>
        <v>-</v>
      </c>
      <c r="H94" s="64"/>
      <c r="I94" s="132">
        <f>ventas_b_mes11[[#This Row],[IMPORTE NETO]]*0.21</f>
        <v>0</v>
      </c>
      <c r="J94" s="133"/>
      <c r="K94" s="133"/>
      <c r="L94" s="133">
        <f>ventas_b_mes11[[#This Row],[EXENTO]]+ventas_b_mes11[[#This Row],[IVA 10,5%]]+ventas_b_mes11[[#This Row],[IVA 21%]]+ventas_b_mes11[[#This Row],[IMPORTE NETO]]</f>
        <v>0</v>
      </c>
      <c r="M94" s="59"/>
    </row>
    <row r="95" spans="2:13">
      <c r="B95" s="116"/>
      <c r="C95" s="146"/>
      <c r="D95" s="147"/>
      <c r="E95" s="129"/>
      <c r="F95" s="131"/>
      <c r="G95" s="1" t="str">
        <f>IFERROR(IF(ventas_b_mes11[[#This Row],[CUIT]]="","-",VLOOKUP(ventas_b_mes11[[#This Row],[CUIT]],Lista_CUIT[#All],2,0)),"CUIT NO CARGADO")</f>
        <v>-</v>
      </c>
      <c r="H95" s="64"/>
      <c r="I95" s="132">
        <f>ventas_b_mes11[[#This Row],[IMPORTE NETO]]*0.21</f>
        <v>0</v>
      </c>
      <c r="J95" s="133"/>
      <c r="K95" s="133"/>
      <c r="L95" s="133">
        <f>ventas_b_mes11[[#This Row],[EXENTO]]+ventas_b_mes11[[#This Row],[IVA 10,5%]]+ventas_b_mes11[[#This Row],[IVA 21%]]+ventas_b_mes11[[#This Row],[IMPORTE NETO]]</f>
        <v>0</v>
      </c>
      <c r="M95" s="59"/>
    </row>
    <row r="96" spans="2:13">
      <c r="B96" s="116"/>
      <c r="C96" s="146"/>
      <c r="D96" s="147"/>
      <c r="E96" s="129"/>
      <c r="F96" s="131"/>
      <c r="G96" s="1" t="str">
        <f>IFERROR(IF(ventas_b_mes11[[#This Row],[CUIT]]="","-",VLOOKUP(ventas_b_mes11[[#This Row],[CUIT]],Lista_CUIT[#All],2,0)),"CUIT NO CARGADO")</f>
        <v>-</v>
      </c>
      <c r="H96" s="64"/>
      <c r="I96" s="132">
        <f>ventas_b_mes11[[#This Row],[IMPORTE NETO]]*0.21</f>
        <v>0</v>
      </c>
      <c r="J96" s="133"/>
      <c r="K96" s="133"/>
      <c r="L96" s="133">
        <f>ventas_b_mes11[[#This Row],[EXENTO]]+ventas_b_mes11[[#This Row],[IVA 10,5%]]+ventas_b_mes11[[#This Row],[IVA 21%]]+ventas_b_mes11[[#This Row],[IMPORTE NETO]]</f>
        <v>0</v>
      </c>
      <c r="M96" s="59"/>
    </row>
    <row r="97" spans="2:13">
      <c r="B97" s="116"/>
      <c r="C97" s="146"/>
      <c r="D97" s="147"/>
      <c r="E97" s="129"/>
      <c r="F97" s="131"/>
      <c r="G97" s="1" t="str">
        <f>IFERROR(IF(ventas_b_mes11[[#This Row],[CUIT]]="","-",VLOOKUP(ventas_b_mes11[[#This Row],[CUIT]],Lista_CUIT[#All],2,0)),"CUIT NO CARGADO")</f>
        <v>-</v>
      </c>
      <c r="H97" s="64"/>
      <c r="I97" s="132">
        <f>ventas_b_mes11[[#This Row],[IMPORTE NETO]]*0.21</f>
        <v>0</v>
      </c>
      <c r="J97" s="133"/>
      <c r="K97" s="133"/>
      <c r="L97" s="133">
        <f>ventas_b_mes11[[#This Row],[EXENTO]]+ventas_b_mes11[[#This Row],[IVA 10,5%]]+ventas_b_mes11[[#This Row],[IVA 21%]]+ventas_b_mes11[[#This Row],[IMPORTE NETO]]</f>
        <v>0</v>
      </c>
      <c r="M97" s="59"/>
    </row>
    <row r="98" spans="2:13">
      <c r="B98" s="116"/>
      <c r="C98" s="146"/>
      <c r="D98" s="147"/>
      <c r="E98" s="129"/>
      <c r="F98" s="131"/>
      <c r="G98" s="1" t="str">
        <f>IFERROR(IF(ventas_b_mes11[[#This Row],[CUIT]]="","-",VLOOKUP(ventas_b_mes11[[#This Row],[CUIT]],Lista_CUIT[#All],2,0)),"CUIT NO CARGADO")</f>
        <v>-</v>
      </c>
      <c r="H98" s="64"/>
      <c r="I98" s="132">
        <f>ventas_b_mes11[[#This Row],[IMPORTE NETO]]*0.21</f>
        <v>0</v>
      </c>
      <c r="J98" s="133"/>
      <c r="K98" s="133"/>
      <c r="L98" s="133">
        <f>ventas_b_mes11[[#This Row],[EXENTO]]+ventas_b_mes11[[#This Row],[IVA 10,5%]]+ventas_b_mes11[[#This Row],[IVA 21%]]+ventas_b_mes11[[#This Row],[IMPORTE NETO]]</f>
        <v>0</v>
      </c>
      <c r="M98" s="59"/>
    </row>
    <row r="99" spans="2:13">
      <c r="B99" s="116"/>
      <c r="C99" s="146"/>
      <c r="D99" s="147"/>
      <c r="E99" s="129"/>
      <c r="F99" s="131"/>
      <c r="G99" s="1" t="str">
        <f>IFERROR(IF(ventas_b_mes11[[#This Row],[CUIT]]="","-",VLOOKUP(ventas_b_mes11[[#This Row],[CUIT]],Lista_CUIT[#All],2,0)),"CUIT NO CARGADO")</f>
        <v>-</v>
      </c>
      <c r="H99" s="64"/>
      <c r="I99" s="132">
        <f>ventas_b_mes11[[#This Row],[IMPORTE NETO]]*0.21</f>
        <v>0</v>
      </c>
      <c r="J99" s="133"/>
      <c r="K99" s="133"/>
      <c r="L99" s="133">
        <f>ventas_b_mes11[[#This Row],[EXENTO]]+ventas_b_mes11[[#This Row],[IVA 10,5%]]+ventas_b_mes11[[#This Row],[IVA 21%]]+ventas_b_mes11[[#This Row],[IMPORTE NETO]]</f>
        <v>0</v>
      </c>
      <c r="M99" s="59"/>
    </row>
    <row r="100" spans="2:13">
      <c r="B100" s="66" t="s">
        <v>91</v>
      </c>
      <c r="C100" s="67"/>
      <c r="D100" s="67"/>
      <c r="E100" s="67"/>
      <c r="F100" s="67"/>
      <c r="G100" s="67"/>
      <c r="H100" s="77">
        <f>SUBTOTAL(109,ventas_b_mes11[IMPORTE NETO])</f>
        <v>0</v>
      </c>
      <c r="I100" s="77">
        <f>SUBTOTAL(109,ventas_b_mes11[IVA 21%])</f>
        <v>0</v>
      </c>
      <c r="J100" s="78">
        <f>SUBTOTAL(109,ventas_b_mes11[IVA 10,5%])</f>
        <v>0</v>
      </c>
      <c r="K100" s="78">
        <f>SUBTOTAL(109,ventas_b_mes11[EXENTO])</f>
        <v>0</v>
      </c>
      <c r="L100" s="78">
        <f>SUBTOTAL(109,ventas_b_mes11[TOTAL])</f>
        <v>0</v>
      </c>
      <c r="M100" s="68">
        <f>SUBTOTAL(103,ventas_b_mes11[Provincia])</f>
        <v>0</v>
      </c>
    </row>
    <row r="101" spans="2:13" ht="15.75" thickBot="1">
      <c r="B101" s="134"/>
      <c r="C101" s="134"/>
      <c r="D101" s="134"/>
      <c r="E101" s="134"/>
      <c r="F101" s="134"/>
      <c r="G101" s="134"/>
      <c r="H101" s="140"/>
      <c r="I101" s="140"/>
      <c r="J101" s="141"/>
      <c r="K101" s="141"/>
      <c r="L101" s="141"/>
      <c r="M101" s="135"/>
    </row>
    <row r="102" spans="2:13" ht="15.75" thickTop="1">
      <c r="C102" s="443" t="s">
        <v>66</v>
      </c>
      <c r="D102" s="443"/>
      <c r="E102" s="443"/>
      <c r="F102" s="443"/>
      <c r="G102" s="443"/>
      <c r="H102" s="32"/>
      <c r="I102" s="32"/>
      <c r="J102" s="32"/>
    </row>
    <row r="103" spans="2:13" ht="15.75">
      <c r="C103" s="113" t="s">
        <v>67</v>
      </c>
      <c r="D103" s="114" t="s">
        <v>68</v>
      </c>
      <c r="E103" s="114" t="s">
        <v>93</v>
      </c>
      <c r="F103" s="114" t="s">
        <v>3</v>
      </c>
      <c r="G103" s="114" t="s">
        <v>4</v>
      </c>
      <c r="H103" s="115" t="s">
        <v>69</v>
      </c>
      <c r="I103" s="115" t="s">
        <v>70</v>
      </c>
      <c r="J103" s="115" t="s">
        <v>71</v>
      </c>
      <c r="K103" s="115" t="s">
        <v>72</v>
      </c>
      <c r="L103" s="115" t="s">
        <v>73</v>
      </c>
    </row>
    <row r="104" spans="2:13">
      <c r="C104" s="116"/>
      <c r="D104" s="117"/>
      <c r="E104" s="117"/>
      <c r="F104" s="118"/>
      <c r="G104" s="53" t="str">
        <f>IFERROR(IF(Retenciones_mes11[[#This Row],[CUIT]]="","-",VLOOKUP(Retenciones_mes11[[#This Row],[CUIT]],Lista_CUIT[#All],2,0)),"CUIT NO CARGADO")</f>
        <v>-</v>
      </c>
      <c r="H104" s="119"/>
      <c r="I104" s="119"/>
      <c r="J104" s="119"/>
      <c r="K104" s="119"/>
      <c r="L104" s="119"/>
    </row>
    <row r="105" spans="2:13">
      <c r="C105" s="116"/>
      <c r="D105" s="117"/>
      <c r="E105" s="117"/>
      <c r="F105" s="118"/>
      <c r="G105" s="53" t="str">
        <f>IFERROR(IF(Retenciones_mes11[[#This Row],[CUIT]]="","-",VLOOKUP(Retenciones_mes11[[#This Row],[CUIT]],Lista_CUIT[#All],2,0)),"CUIT NO CARGADO")</f>
        <v>-</v>
      </c>
      <c r="H105" s="119"/>
      <c r="I105" s="119"/>
      <c r="J105" s="119"/>
      <c r="K105" s="119"/>
      <c r="L105" s="119"/>
    </row>
    <row r="106" spans="2:13">
      <c r="C106" s="116"/>
      <c r="D106" s="117"/>
      <c r="E106" s="117"/>
      <c r="F106" s="118"/>
      <c r="G106" s="53" t="str">
        <f>IFERROR(IF(Retenciones_mes11[[#This Row],[CUIT]]="","-",VLOOKUP(Retenciones_mes11[[#This Row],[CUIT]],Lista_CUIT[#All],2,0)),"CUIT NO CARGADO")</f>
        <v>-</v>
      </c>
      <c r="H106" s="119"/>
      <c r="I106" s="119"/>
      <c r="J106" s="119"/>
      <c r="K106" s="119"/>
      <c r="L106" s="119"/>
    </row>
    <row r="107" spans="2:13">
      <c r="C107" s="116"/>
      <c r="D107" s="117"/>
      <c r="E107" s="117"/>
      <c r="F107" s="118"/>
      <c r="G107" s="53" t="str">
        <f>IFERROR(IF(Retenciones_mes11[[#This Row],[CUIT]]="","-",VLOOKUP(Retenciones_mes11[[#This Row],[CUIT]],Lista_CUIT[#All],2,0)),"CUIT NO CARGADO")</f>
        <v>-</v>
      </c>
      <c r="H107" s="119"/>
      <c r="I107" s="119"/>
      <c r="J107" s="119"/>
      <c r="K107" s="119"/>
      <c r="L107" s="119"/>
    </row>
    <row r="108" spans="2:13">
      <c r="D108" s="117"/>
      <c r="E108" s="117"/>
      <c r="G108" s="53" t="str">
        <f>IFERROR(IF(Retenciones_mes11[[#This Row],[CUIT]]="","-",VLOOKUP(Retenciones_mes11[[#This Row],[CUIT]],Lista_CUIT[#All],2,0)),"CUIT NO CARGADO")</f>
        <v>-</v>
      </c>
    </row>
    <row r="109" spans="2:13">
      <c r="C109" s="33"/>
    </row>
  </sheetData>
  <mergeCells count="20">
    <mergeCell ref="C102:G102"/>
    <mergeCell ref="B4:E4"/>
    <mergeCell ref="G4:H4"/>
    <mergeCell ref="J4:K4"/>
    <mergeCell ref="M4:N4"/>
    <mergeCell ref="D41:K41"/>
    <mergeCell ref="B58:J58"/>
    <mergeCell ref="K58:M58"/>
    <mergeCell ref="B60:C60"/>
    <mergeCell ref="B90:C90"/>
    <mergeCell ref="P4:R4"/>
    <mergeCell ref="D32:L32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1">
    <dataValidation type="whole" allowBlank="1" showInputMessage="1" showErrorMessage="1" sqref="D92:D99 E43:E49 D9:D26 D62 D64:D87" xr:uid="{00000000-0002-0000-0B00-000000000000}">
      <formula1>1</formula1>
      <formula2>9999</formula2>
    </dataValidation>
    <dataValidation type="whole" allowBlank="1" showInputMessage="1" showErrorMessage="1" sqref="F43:F49 E92:E99 E9:E26 E62:E87 E34:E36" xr:uid="{00000000-0002-0000-0B00-000001000000}">
      <formula1>1</formula1>
      <formula2>99999999</formula2>
    </dataValidation>
    <dataValidation type="whole" allowBlank="1" showInputMessage="1" showErrorMessage="1" sqref="F9:F26 G43:G49 F62:F87" xr:uid="{00000000-0002-0000-0B00-000002000000}">
      <formula1>20000000000</formula1>
      <formula2>33999999999</formula2>
    </dataValidation>
    <dataValidation type="date" allowBlank="1" showInputMessage="1" showErrorMessage="1" sqref="D34:D36 B28:B31 B92:B99 D43:D49 B9:B26 B62:B87" xr:uid="{00000000-0002-0000-0B00-000003000000}">
      <formula1>40179</formula1>
      <formula2>TODAY()</formula2>
    </dataValidation>
    <dataValidation type="whole" allowBlank="1" showInputMessage="1" showErrorMessage="1" sqref="C28:C31 C9:C26 C62:C87" xr:uid="{00000000-0002-0000-0B00-000004000000}">
      <formula1>1</formula1>
      <formula2>3</formula2>
    </dataValidation>
    <dataValidation type="custom" allowBlank="1" showInputMessage="1" showErrorMessage="1" sqref="H62:K87" xr:uid="{00000000-0002-0000-0B00-000005000000}">
      <formula1>IF($C62=3,H62&lt;0,H62&gt;=0)</formula1>
    </dataValidation>
    <dataValidation type="whole" allowBlank="1" showInputMessage="1" showErrorMessage="1" sqref="F92:F99" xr:uid="{00000000-0002-0000-0B00-000006000000}">
      <formula1>20000000000</formula1>
      <formula2>439000000000000</formula2>
    </dataValidation>
    <dataValidation type="custom" allowBlank="1" showInputMessage="1" showErrorMessage="1" sqref="L62:L87" xr:uid="{00000000-0002-0000-0B00-000007000000}">
      <formula1>IF(#REF!=3,#REF!&lt;0,#REF!&gt;=0)</formula1>
    </dataValidation>
    <dataValidation type="whole" allowBlank="1" showInputMessage="1" showErrorMessage="1" sqref="C92:C99" xr:uid="{00000000-0002-0000-0B00-000008000000}">
      <formula1>6</formula1>
      <formula2>8</formula2>
    </dataValidation>
    <dataValidation type="custom" allowBlank="1" showInputMessage="1" showErrorMessage="1" sqref="H92:L99" xr:uid="{00000000-0002-0000-0B00-000009000000}">
      <formula1>IF($C92=8,H92&lt;0,H92&gt;=0)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6" xr:uid="{00000000-0002-0000-0B00-00000C000000}">
      <formula1>IF($C9=3,H9&lt;0,H9&gt;=0)</formula1>
    </dataValidation>
  </dataValidations>
  <pageMargins left="0.7" right="0.7" top="0.75" bottom="0.75" header="0.3" footer="0.3"/>
  <pageSetup paperSize="9" orientation="portrait" r:id="rId1"/>
  <ignoredErrors>
    <ignoredError sqref="L62:L79" listDataValidation="1"/>
    <ignoredError sqref="L80:L87" listDataValidation="1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C9EA-DA0A-4B88-826C-1845B4182C6B}">
  <sheetPr>
    <tabColor theme="9" tint="0.79998168889431442"/>
  </sheetPr>
  <dimension ref="A1:Z109"/>
  <sheetViews>
    <sheetView showGridLines="0" zoomScaleNormal="100" workbookViewId="0">
      <selection activeCell="H62" sqref="H62:H81"/>
    </sheetView>
  </sheetViews>
  <sheetFormatPr baseColWidth="10" defaultColWidth="15.7109375" defaultRowHeight="15"/>
  <cols>
    <col min="1" max="1" width="7.140625" customWidth="1"/>
    <col min="2" max="8" width="15.7109375" customWidth="1"/>
    <col min="9" max="9" width="15.140625" bestFit="1" customWidth="1"/>
    <col min="10" max="18" width="15.7109375" customWidth="1"/>
  </cols>
  <sheetData>
    <row r="1" spans="1:26" ht="34.9" customHeight="1">
      <c r="A1" s="37"/>
      <c r="B1" s="430" t="s">
        <v>28</v>
      </c>
      <c r="C1" s="430"/>
      <c r="D1" s="430"/>
      <c r="E1" s="430"/>
      <c r="F1" s="430"/>
      <c r="G1" s="445" t="str">
        <f>'Ene-26'!G1:M1</f>
        <v>RABLEB SRL</v>
      </c>
      <c r="H1" s="445"/>
      <c r="I1" s="445"/>
      <c r="J1" s="445"/>
      <c r="K1" s="445"/>
      <c r="L1" s="445"/>
      <c r="M1" s="445"/>
      <c r="N1" s="427">
        <f>EDATE('Ene-26'!N1,10)</f>
        <v>46327</v>
      </c>
      <c r="O1" s="427"/>
      <c r="P1" s="427"/>
      <c r="Q1" s="427"/>
      <c r="R1" s="427"/>
    </row>
    <row r="2" spans="1:26" ht="15" customHeight="1"/>
    <row r="3" spans="1:26" ht="26.45" customHeight="1">
      <c r="B3" s="433" t="s">
        <v>65</v>
      </c>
      <c r="C3" s="433"/>
      <c r="D3" s="433"/>
      <c r="E3" s="433"/>
      <c r="F3" s="38"/>
      <c r="G3" s="433" t="s">
        <v>37</v>
      </c>
      <c r="H3" s="433"/>
      <c r="I3" s="38"/>
      <c r="J3" s="441" t="s">
        <v>14</v>
      </c>
      <c r="K3" s="441"/>
      <c r="L3" s="38"/>
      <c r="M3" s="441" t="s">
        <v>12</v>
      </c>
      <c r="N3" s="441"/>
      <c r="O3" s="38"/>
      <c r="P3" s="439" t="s">
        <v>90</v>
      </c>
      <c r="Q3" s="439"/>
      <c r="R3" s="439"/>
    </row>
    <row r="4" spans="1:26" ht="25.15" customHeight="1">
      <c r="B4" s="434">
        <f>SUM(compras_mes113[[#Totals],[NETO GRAVADO]])+extracto_banco_mes1155[[#Totals],[NETO]]</f>
        <v>0</v>
      </c>
      <c r="C4" s="434"/>
      <c r="D4" s="434"/>
      <c r="E4" s="434"/>
      <c r="F4" s="39"/>
      <c r="G4" s="435">
        <f>compras_mes113[[#Totals],[IVA 21 %]]+compras_mes113[[#Totals],[IVA 27%]]+compras_mes113[[#Totals],[IVA 10,5%]]+extracto_banco_mes1155[[#Totals],[IVA 21%]]+extracto_banco_mes1155[[#Totals],[IVA 10,5%]]</f>
        <v>0</v>
      </c>
      <c r="H4" s="435"/>
      <c r="I4" s="39"/>
      <c r="J4" s="442">
        <f>venta_a_mes1153[[#Totals],[IMPORTE NETO]]+ventas_b_mes1154[[#Totals],[IMPORTE NETO]]</f>
        <v>0</v>
      </c>
      <c r="K4" s="442"/>
      <c r="L4" s="39"/>
      <c r="M4" s="442">
        <f>venta_a_mes1153[[#Totals],[IVA 21%]]+venta_a_mes1153[[#Totals],[IVA 10,5%]]+ventas_b_mes1154[[#Totals],[IVA 21%]]+ventas_b_mes1154[[#Totals],[IVA 10,5%]]</f>
        <v>0</v>
      </c>
      <c r="N4" s="442"/>
      <c r="O4" s="39"/>
      <c r="P4" s="437">
        <f>G4-M4</f>
        <v>0</v>
      </c>
      <c r="Q4" s="438"/>
      <c r="R4" s="438"/>
    </row>
    <row r="5" spans="1:26" ht="8.25" customHeight="1"/>
    <row r="6" spans="1:26" ht="20.25" customHeight="1">
      <c r="F6" s="126"/>
      <c r="G6" s="324"/>
      <c r="H6" s="335"/>
      <c r="I6" s="330"/>
      <c r="M6" s="325"/>
      <c r="N6" s="326"/>
    </row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302" t="s">
        <v>0</v>
      </c>
      <c r="C8" s="302" t="s">
        <v>1</v>
      </c>
      <c r="D8" s="302" t="s">
        <v>2</v>
      </c>
      <c r="E8" s="302" t="s">
        <v>27</v>
      </c>
      <c r="F8" s="302" t="s">
        <v>3</v>
      </c>
      <c r="G8" s="302" t="s">
        <v>4</v>
      </c>
      <c r="H8" s="302" t="s">
        <v>34</v>
      </c>
      <c r="I8" s="302" t="s">
        <v>35</v>
      </c>
      <c r="J8" s="302" t="s">
        <v>6</v>
      </c>
      <c r="K8" s="302" t="s">
        <v>7</v>
      </c>
      <c r="L8" s="302" t="s">
        <v>8</v>
      </c>
      <c r="M8" s="302" t="s">
        <v>33</v>
      </c>
      <c r="N8" s="302" t="s">
        <v>9</v>
      </c>
      <c r="O8" s="302" t="s">
        <v>148</v>
      </c>
      <c r="P8" s="302" t="s">
        <v>10</v>
      </c>
      <c r="Q8" s="302" t="s">
        <v>11</v>
      </c>
      <c r="R8" s="302" t="s">
        <v>38</v>
      </c>
    </row>
    <row r="9" spans="1:26" s="126" customFormat="1">
      <c r="B9" s="285"/>
      <c r="C9" s="286"/>
      <c r="D9" s="287"/>
      <c r="E9" s="264"/>
      <c r="F9" s="288"/>
      <c r="G9" s="289" t="str">
        <f>IFERROR(IF(compras_mes113[[#This Row],[CUIT]]="","-",VLOOKUP(compras_mes113[[#This Row],[CUIT]],Lista_CUIT[#All],2,0)),"CUIT NO CARGADO")</f>
        <v>-</v>
      </c>
      <c r="H9" s="290"/>
      <c r="I9" s="291" t="str">
        <f>IF(compras_mes113[[#This Row],[NETO GRAVADO]]="","",compras_mes113[[#This Row],[NETO GRAVADO]]*0.21)</f>
        <v/>
      </c>
      <c r="J9" s="291"/>
      <c r="K9" s="291"/>
      <c r="L9" s="291"/>
      <c r="M9" s="291"/>
      <c r="N9" s="291"/>
      <c r="O9" s="291"/>
      <c r="P9" s="284">
        <f>SUM(compras_mes113[[#This Row],[NETO GRAVADO]:[Otros - No Grav.]])</f>
        <v>0</v>
      </c>
      <c r="Q9" s="292" t="str">
        <f>IFERROR(IF(compras_mes113[[#This Row],[CUIT]]="","-",VLOOKUP(compras_mes113[[#This Row],[CUIT]],Lista_CUIT[#All],3,0)),"CUIT NO CARGADO")</f>
        <v>-</v>
      </c>
      <c r="R9" s="292" t="str">
        <f>IFERROR(IF(compras_mes113[[#This Row],[CUIT]]="","-",VLOOKUP(compras_mes113[[#This Row],[CUIT]],Lista_CUIT[#All],4,0)),"CUIT NO CARGADO")</f>
        <v>-</v>
      </c>
    </row>
    <row r="10" spans="1:26" s="126" customFormat="1">
      <c r="B10" s="285"/>
      <c r="C10" s="286"/>
      <c r="D10" s="287"/>
      <c r="E10" s="264"/>
      <c r="F10" s="288"/>
      <c r="G10" s="289" t="str">
        <f>IFERROR(IF(compras_mes113[[#This Row],[CUIT]]="","-",VLOOKUP(compras_mes113[[#This Row],[CUIT]],Lista_CUIT[#All],2,0)),"CUIT NO CARGADO")</f>
        <v>-</v>
      </c>
      <c r="H10" s="290"/>
      <c r="I10" s="291" t="str">
        <f>IF(compras_mes113[[#This Row],[NETO GRAVADO]]="","",compras_mes113[[#This Row],[NETO GRAVADO]]*0.21)</f>
        <v/>
      </c>
      <c r="J10" s="291"/>
      <c r="K10" s="291"/>
      <c r="L10" s="291"/>
      <c r="M10" s="291"/>
      <c r="N10" s="291"/>
      <c r="O10" s="291"/>
      <c r="P10" s="284">
        <f>SUM(compras_mes113[[#This Row],[NETO GRAVADO]:[Otros - No Grav.]])</f>
        <v>0</v>
      </c>
      <c r="Q10" s="292" t="str">
        <f>IFERROR(IF(compras_mes113[[#This Row],[CUIT]]="","-",VLOOKUP(compras_mes113[[#This Row],[CUIT]],Lista_CUIT[#All],3,0)),"CUIT NO CARGADO")</f>
        <v>-</v>
      </c>
      <c r="R10" s="292" t="str">
        <f>IFERROR(IF(compras_mes113[[#This Row],[CUIT]]="","-",VLOOKUP(compras_mes113[[#This Row],[CUIT]],Lista_CUIT[#All],4,0)),"CUIT NO CARGADO")</f>
        <v>-</v>
      </c>
    </row>
    <row r="11" spans="1:26" s="126" customFormat="1">
      <c r="B11" s="285"/>
      <c r="C11" s="286"/>
      <c r="D11" s="287"/>
      <c r="E11" s="264"/>
      <c r="F11" s="288"/>
      <c r="G11" s="289" t="str">
        <f>IFERROR(IF(compras_mes113[[#This Row],[CUIT]]="","-",VLOOKUP(compras_mes113[[#This Row],[CUIT]],Lista_CUIT[#All],2,0)),"CUIT NO CARGADO")</f>
        <v>-</v>
      </c>
      <c r="H11" s="290"/>
      <c r="I11" s="291" t="str">
        <f>IF(compras_mes113[[#This Row],[NETO GRAVADO]]="","",compras_mes113[[#This Row],[NETO GRAVADO]]*0.21)</f>
        <v/>
      </c>
      <c r="J11" s="291"/>
      <c r="K11" s="291"/>
      <c r="L11" s="291"/>
      <c r="M11" s="291"/>
      <c r="N11" s="291"/>
      <c r="O11" s="291"/>
      <c r="P11" s="284">
        <f>SUM(compras_mes113[[#This Row],[NETO GRAVADO]:[Otros - No Grav.]])</f>
        <v>0</v>
      </c>
      <c r="Q11" s="292" t="str">
        <f>IFERROR(IF(compras_mes113[[#This Row],[CUIT]]="","-",VLOOKUP(compras_mes113[[#This Row],[CUIT]],Lista_CUIT[#All],3,0)),"CUIT NO CARGADO")</f>
        <v>-</v>
      </c>
      <c r="R11" s="292" t="str">
        <f>IFERROR(IF(compras_mes113[[#This Row],[CUIT]]="","-",VLOOKUP(compras_mes113[[#This Row],[CUIT]],Lista_CUIT[#All],4,0)),"CUIT NO CARGADO")</f>
        <v>-</v>
      </c>
    </row>
    <row r="12" spans="1:26" s="126" customFormat="1">
      <c r="B12" s="285"/>
      <c r="C12" s="286"/>
      <c r="D12" s="287"/>
      <c r="E12" s="264"/>
      <c r="F12" s="288"/>
      <c r="G12" s="289" t="str">
        <f>IFERROR(IF(compras_mes113[[#This Row],[CUIT]]="","-",VLOOKUP(compras_mes113[[#This Row],[CUIT]],Lista_CUIT[#All],2,0)),"CUIT NO CARGADO")</f>
        <v>-</v>
      </c>
      <c r="H12" s="290"/>
      <c r="I12" s="291" t="str">
        <f>IF(compras_mes113[[#This Row],[NETO GRAVADO]]="","",compras_mes113[[#This Row],[NETO GRAVADO]]*0.21)</f>
        <v/>
      </c>
      <c r="J12" s="291"/>
      <c r="K12" s="291"/>
      <c r="L12" s="291"/>
      <c r="M12" s="291"/>
      <c r="N12" s="291"/>
      <c r="O12" s="291"/>
      <c r="P12" s="284">
        <f>SUM(compras_mes113[[#This Row],[NETO GRAVADO]:[Otros - No Grav.]])</f>
        <v>0</v>
      </c>
      <c r="Q12" s="292" t="str">
        <f>IFERROR(IF(compras_mes113[[#This Row],[CUIT]]="","-",VLOOKUP(compras_mes113[[#This Row],[CUIT]],Lista_CUIT[#All],3,0)),"CUIT NO CARGADO")</f>
        <v>-</v>
      </c>
      <c r="R12" s="292" t="str">
        <f>IFERROR(IF(compras_mes113[[#This Row],[CUIT]]="","-",VLOOKUP(compras_mes113[[#This Row],[CUIT]],Lista_CUIT[#All],4,0)),"CUIT NO CARGADO")</f>
        <v>-</v>
      </c>
    </row>
    <row r="13" spans="1:26" s="126" customFormat="1">
      <c r="B13" s="285"/>
      <c r="C13" s="286"/>
      <c r="D13" s="287"/>
      <c r="E13" s="264"/>
      <c r="F13" s="288"/>
      <c r="G13" s="289" t="str">
        <f>IFERROR(IF(compras_mes113[[#This Row],[CUIT]]="","-",VLOOKUP(compras_mes113[[#This Row],[CUIT]],Lista_CUIT[#All],2,0)),"CUIT NO CARGADO")</f>
        <v>-</v>
      </c>
      <c r="H13" s="290"/>
      <c r="I13" s="291" t="str">
        <f>IF(compras_mes113[[#This Row],[NETO GRAVADO]]="","",compras_mes113[[#This Row],[NETO GRAVADO]]*0.21)</f>
        <v/>
      </c>
      <c r="J13" s="291"/>
      <c r="K13" s="291"/>
      <c r="L13" s="291"/>
      <c r="M13" s="291"/>
      <c r="N13" s="291"/>
      <c r="O13" s="291"/>
      <c r="P13" s="284">
        <f>SUM(compras_mes113[[#This Row],[NETO GRAVADO]:[Otros - No Grav.]])</f>
        <v>0</v>
      </c>
      <c r="Q13" s="292" t="str">
        <f>IFERROR(IF(compras_mes113[[#This Row],[CUIT]]="","-",VLOOKUP(compras_mes113[[#This Row],[CUIT]],Lista_CUIT[#All],3,0)),"CUIT NO CARGADO")</f>
        <v>-</v>
      </c>
      <c r="R13" s="292" t="str">
        <f>IFERROR(IF(compras_mes113[[#This Row],[CUIT]]="","-",VLOOKUP(compras_mes113[[#This Row],[CUIT]],Lista_CUIT[#All],4,0)),"CUIT NO CARGADO")</f>
        <v>-</v>
      </c>
    </row>
    <row r="14" spans="1:26" s="126" customFormat="1">
      <c r="B14" s="285"/>
      <c r="C14" s="286"/>
      <c r="D14" s="287"/>
      <c r="E14" s="264"/>
      <c r="F14" s="288"/>
      <c r="G14" s="289" t="str">
        <f>IFERROR(IF(compras_mes113[[#This Row],[CUIT]]="","-",VLOOKUP(compras_mes113[[#This Row],[CUIT]],Lista_CUIT[#All],2,0)),"CUIT NO CARGADO")</f>
        <v>-</v>
      </c>
      <c r="H14" s="290"/>
      <c r="I14" s="291" t="str">
        <f>IF(compras_mes113[[#This Row],[NETO GRAVADO]]="","",compras_mes113[[#This Row],[NETO GRAVADO]]*0.21)</f>
        <v/>
      </c>
      <c r="J14" s="291"/>
      <c r="K14" s="291"/>
      <c r="L14" s="291"/>
      <c r="M14" s="291"/>
      <c r="N14" s="291"/>
      <c r="O14" s="291"/>
      <c r="P14" s="284">
        <f>SUM(compras_mes113[[#This Row],[NETO GRAVADO]:[Otros - No Grav.]])</f>
        <v>0</v>
      </c>
      <c r="Q14" s="292" t="str">
        <f>IFERROR(IF(compras_mes113[[#This Row],[CUIT]]="","-",VLOOKUP(compras_mes113[[#This Row],[CUIT]],Lista_CUIT[#All],3,0)),"CUIT NO CARGADO")</f>
        <v>-</v>
      </c>
      <c r="R14" s="292" t="str">
        <f>IFERROR(IF(compras_mes113[[#This Row],[CUIT]]="","-",VLOOKUP(compras_mes113[[#This Row],[CUIT]],Lista_CUIT[#All],4,0)),"CUIT NO CARGADO")</f>
        <v>-</v>
      </c>
    </row>
    <row r="15" spans="1:26" s="126" customFormat="1">
      <c r="B15" s="285"/>
      <c r="C15" s="286"/>
      <c r="D15" s="287"/>
      <c r="E15" s="264"/>
      <c r="F15" s="288"/>
      <c r="G15" s="289" t="str">
        <f>IFERROR(IF(compras_mes113[[#This Row],[CUIT]]="","-",VLOOKUP(compras_mes113[[#This Row],[CUIT]],Lista_CUIT[#All],2,0)),"CUIT NO CARGADO")</f>
        <v>-</v>
      </c>
      <c r="H15" s="290"/>
      <c r="I15" s="291" t="str">
        <f>IF(compras_mes113[[#This Row],[NETO GRAVADO]]="","",compras_mes113[[#This Row],[NETO GRAVADO]]*0.21)</f>
        <v/>
      </c>
      <c r="J15" s="291"/>
      <c r="K15" s="291"/>
      <c r="L15" s="291"/>
      <c r="M15" s="291"/>
      <c r="N15" s="291"/>
      <c r="O15" s="291"/>
      <c r="P15" s="284">
        <f>SUM(compras_mes113[[#This Row],[NETO GRAVADO]:[Otros - No Grav.]])</f>
        <v>0</v>
      </c>
      <c r="Q15" s="292" t="str">
        <f>IFERROR(IF(compras_mes113[[#This Row],[CUIT]]="","-",VLOOKUP(compras_mes113[[#This Row],[CUIT]],Lista_CUIT[#All],3,0)),"CUIT NO CARGADO")</f>
        <v>-</v>
      </c>
      <c r="R15" s="292" t="str">
        <f>IFERROR(IF(compras_mes113[[#This Row],[CUIT]]="","-",VLOOKUP(compras_mes113[[#This Row],[CUIT]],Lista_CUIT[#All],4,0)),"CUIT NO CARGADO")</f>
        <v>-</v>
      </c>
    </row>
    <row r="16" spans="1:26" s="126" customFormat="1">
      <c r="B16" s="285"/>
      <c r="C16" s="286"/>
      <c r="D16" s="287"/>
      <c r="E16" s="264"/>
      <c r="F16" s="288"/>
      <c r="G16" s="289" t="str">
        <f>IFERROR(IF(compras_mes113[[#This Row],[CUIT]]="","-",VLOOKUP(compras_mes113[[#This Row],[CUIT]],Lista_CUIT[#All],2,0)),"CUIT NO CARGADO")</f>
        <v>-</v>
      </c>
      <c r="H16" s="290"/>
      <c r="I16" s="291" t="str">
        <f>IF(compras_mes113[[#This Row],[NETO GRAVADO]]="","",compras_mes113[[#This Row],[NETO GRAVADO]]*0.21)</f>
        <v/>
      </c>
      <c r="J16" s="291"/>
      <c r="K16" s="291"/>
      <c r="L16" s="291"/>
      <c r="M16" s="291"/>
      <c r="N16" s="291"/>
      <c r="O16" s="291"/>
      <c r="P16" s="284">
        <f>SUM(compras_mes113[[#This Row],[NETO GRAVADO]:[Otros - No Grav.]])</f>
        <v>0</v>
      </c>
      <c r="Q16" s="292" t="str">
        <f>IFERROR(IF(compras_mes113[[#This Row],[CUIT]]="","-",VLOOKUP(compras_mes113[[#This Row],[CUIT]],Lista_CUIT[#All],3,0)),"CUIT NO CARGADO")</f>
        <v>-</v>
      </c>
      <c r="R16" s="292" t="str">
        <f>IFERROR(IF(compras_mes113[[#This Row],[CUIT]]="","-",VLOOKUP(compras_mes113[[#This Row],[CUIT]],Lista_CUIT[#All],4,0)),"CUIT NO CARGADO")</f>
        <v>-</v>
      </c>
    </row>
    <row r="17" spans="2:19" s="126" customFormat="1">
      <c r="B17" s="285"/>
      <c r="C17" s="286"/>
      <c r="D17" s="287"/>
      <c r="E17" s="264"/>
      <c r="F17" s="288"/>
      <c r="G17" s="289" t="str">
        <f>IFERROR(IF(compras_mes113[[#This Row],[CUIT]]="","-",VLOOKUP(compras_mes113[[#This Row],[CUIT]],Lista_CUIT[#All],2,0)),"CUIT NO CARGADO")</f>
        <v>-</v>
      </c>
      <c r="H17" s="290"/>
      <c r="I17" s="291" t="str">
        <f>IF(compras_mes113[[#This Row],[NETO GRAVADO]]="","",compras_mes113[[#This Row],[NETO GRAVADO]]*0.21)</f>
        <v/>
      </c>
      <c r="J17" s="291"/>
      <c r="K17" s="291"/>
      <c r="L17" s="291"/>
      <c r="M17" s="291"/>
      <c r="N17" s="291"/>
      <c r="O17" s="291"/>
      <c r="P17" s="284">
        <f>SUM(compras_mes113[[#This Row],[NETO GRAVADO]:[Otros - No Grav.]])</f>
        <v>0</v>
      </c>
      <c r="Q17" s="292" t="str">
        <f>IFERROR(IF(compras_mes113[[#This Row],[CUIT]]="","-",VLOOKUP(compras_mes113[[#This Row],[CUIT]],Lista_CUIT[#All],3,0)),"CUIT NO CARGADO")</f>
        <v>-</v>
      </c>
      <c r="R17" s="292" t="str">
        <f>IFERROR(IF(compras_mes113[[#This Row],[CUIT]]="","-",VLOOKUP(compras_mes113[[#This Row],[CUIT]],Lista_CUIT[#All],4,0)),"CUIT NO CARGADO")</f>
        <v>-</v>
      </c>
    </row>
    <row r="18" spans="2:19" s="126" customFormat="1">
      <c r="B18" s="285"/>
      <c r="C18" s="286"/>
      <c r="D18" s="287"/>
      <c r="E18" s="264"/>
      <c r="F18" s="288"/>
      <c r="G18" s="289" t="str">
        <f>IFERROR(IF(compras_mes113[[#This Row],[CUIT]]="","-",VLOOKUP(compras_mes113[[#This Row],[CUIT]],Lista_CUIT[#All],2,0)),"CUIT NO CARGADO")</f>
        <v>-</v>
      </c>
      <c r="H18" s="290"/>
      <c r="I18" s="291" t="str">
        <f>IF(compras_mes113[[#This Row],[NETO GRAVADO]]="","",compras_mes113[[#This Row],[NETO GRAVADO]]*0.21)</f>
        <v/>
      </c>
      <c r="J18" s="291"/>
      <c r="K18" s="291"/>
      <c r="L18" s="291"/>
      <c r="M18" s="291"/>
      <c r="N18" s="291"/>
      <c r="O18" s="291"/>
      <c r="P18" s="284">
        <f>SUM(compras_mes113[[#This Row],[NETO GRAVADO]:[Otros - No Grav.]])</f>
        <v>0</v>
      </c>
      <c r="Q18" s="292" t="str">
        <f>IFERROR(IF(compras_mes113[[#This Row],[CUIT]]="","-",VLOOKUP(compras_mes113[[#This Row],[CUIT]],Lista_CUIT[#All],3,0)),"CUIT NO CARGADO")</f>
        <v>-</v>
      </c>
      <c r="R18" s="292" t="str">
        <f>IFERROR(IF(compras_mes113[[#This Row],[CUIT]]="","-",VLOOKUP(compras_mes113[[#This Row],[CUIT]],Lista_CUIT[#All],4,0)),"CUIT NO CARGADO")</f>
        <v>-</v>
      </c>
    </row>
    <row r="19" spans="2:19" s="126" customFormat="1" ht="14.45" customHeight="1">
      <c r="B19" s="285"/>
      <c r="C19" s="286"/>
      <c r="D19" s="287"/>
      <c r="E19" s="264"/>
      <c r="F19" s="288"/>
      <c r="G19" s="289" t="str">
        <f>IFERROR(IF(compras_mes113[[#This Row],[CUIT]]="","-",VLOOKUP(compras_mes113[[#This Row],[CUIT]],Lista_CUIT[#All],2,0)),"CUIT NO CARGADO")</f>
        <v>-</v>
      </c>
      <c r="H19" s="290"/>
      <c r="I19" s="291" t="str">
        <f>IF(compras_mes113[[#This Row],[NETO GRAVADO]]="","",compras_mes113[[#This Row],[NETO GRAVADO]]*0.21)</f>
        <v/>
      </c>
      <c r="J19" s="291"/>
      <c r="K19" s="291"/>
      <c r="L19" s="291"/>
      <c r="M19" s="291"/>
      <c r="N19" s="291"/>
      <c r="O19" s="291"/>
      <c r="P19" s="284">
        <f>SUM(compras_mes113[[#This Row],[NETO GRAVADO]:[Otros - No Grav.]])</f>
        <v>0</v>
      </c>
      <c r="Q19" s="292" t="str">
        <f>IFERROR(IF(compras_mes113[[#This Row],[CUIT]]="","-",VLOOKUP(compras_mes113[[#This Row],[CUIT]],Lista_CUIT[#All],3,0)),"CUIT NO CARGADO")</f>
        <v>-</v>
      </c>
      <c r="R19" s="292" t="str">
        <f>IFERROR(IF(compras_mes113[[#This Row],[CUIT]]="","-",VLOOKUP(compras_mes113[[#This Row],[CUIT]],Lista_CUIT[#All],4,0)),"CUIT NO CARGADO")</f>
        <v>-</v>
      </c>
    </row>
    <row r="20" spans="2:19" s="126" customFormat="1">
      <c r="B20" s="285"/>
      <c r="C20" s="286"/>
      <c r="D20" s="287"/>
      <c r="E20" s="264"/>
      <c r="F20" s="288"/>
      <c r="G20" s="289" t="str">
        <f>IFERROR(IF(compras_mes113[[#This Row],[CUIT]]="","-",VLOOKUP(compras_mes113[[#This Row],[CUIT]],Lista_CUIT[#All],2,0)),"CUIT NO CARGADO")</f>
        <v>-</v>
      </c>
      <c r="H20" s="290"/>
      <c r="I20" s="291" t="str">
        <f>IF(compras_mes113[[#This Row],[NETO GRAVADO]]="","",compras_mes113[[#This Row],[NETO GRAVADO]]*0.21)</f>
        <v/>
      </c>
      <c r="J20" s="291"/>
      <c r="K20" s="291"/>
      <c r="L20" s="291"/>
      <c r="M20" s="291"/>
      <c r="N20" s="291"/>
      <c r="O20" s="291"/>
      <c r="P20" s="284">
        <f>SUM(compras_mes113[[#This Row],[NETO GRAVADO]:[Otros - No Grav.]])</f>
        <v>0</v>
      </c>
      <c r="Q20" s="292" t="str">
        <f>IFERROR(IF(compras_mes113[[#This Row],[CUIT]]="","-",VLOOKUP(compras_mes113[[#This Row],[CUIT]],Lista_CUIT[#All],3,0)),"CUIT NO CARGADO")</f>
        <v>-</v>
      </c>
      <c r="R20" s="292" t="str">
        <f>IFERROR(IF(compras_mes113[[#This Row],[CUIT]]="","-",VLOOKUP(compras_mes113[[#This Row],[CUIT]],Lista_CUIT[#All],4,0)),"CUIT NO CARGADO")</f>
        <v>-</v>
      </c>
    </row>
    <row r="21" spans="2:19" s="126" customFormat="1">
      <c r="B21" s="285"/>
      <c r="C21" s="286"/>
      <c r="D21" s="287"/>
      <c r="E21" s="264"/>
      <c r="F21" s="288"/>
      <c r="G21" s="289" t="str">
        <f>IFERROR(IF(compras_mes113[[#This Row],[CUIT]]="","-",VLOOKUP(compras_mes113[[#This Row],[CUIT]],Lista_CUIT[#All],2,0)),"CUIT NO CARGADO")</f>
        <v>-</v>
      </c>
      <c r="H21" s="290"/>
      <c r="I21" s="291" t="str">
        <f>IF(compras_mes113[[#This Row],[NETO GRAVADO]]="","",compras_mes113[[#This Row],[NETO GRAVADO]]*0.21)</f>
        <v/>
      </c>
      <c r="J21" s="291"/>
      <c r="K21" s="291"/>
      <c r="L21" s="291"/>
      <c r="M21" s="291"/>
      <c r="N21" s="291"/>
      <c r="O21" s="291"/>
      <c r="P21" s="284">
        <f>SUM(compras_mes113[[#This Row],[NETO GRAVADO]:[Otros - No Grav.]])</f>
        <v>0</v>
      </c>
      <c r="Q21" s="292" t="str">
        <f>IFERROR(IF(compras_mes113[[#This Row],[CUIT]]="","-",VLOOKUP(compras_mes113[[#This Row],[CUIT]],Lista_CUIT[#All],3,0)),"CUIT NO CARGADO")</f>
        <v>-</v>
      </c>
      <c r="R21" s="292" t="str">
        <f>IFERROR(IF(compras_mes113[[#This Row],[CUIT]]="","-",VLOOKUP(compras_mes113[[#This Row],[CUIT]],Lista_CUIT[#All],4,0)),"CUIT NO CARGADO")</f>
        <v>-</v>
      </c>
    </row>
    <row r="22" spans="2:19" s="126" customFormat="1" ht="14.45" customHeight="1">
      <c r="B22" s="285"/>
      <c r="C22" s="286"/>
      <c r="D22" s="287"/>
      <c r="E22" s="264"/>
      <c r="F22" s="288"/>
      <c r="G22" s="289" t="str">
        <f>IFERROR(IF(compras_mes113[[#This Row],[CUIT]]="","-",VLOOKUP(compras_mes113[[#This Row],[CUIT]],Lista_CUIT[#All],2,0)),"CUIT NO CARGADO")</f>
        <v>-</v>
      </c>
      <c r="H22" s="290"/>
      <c r="I22" s="291" t="str">
        <f>IF(compras_mes113[[#This Row],[NETO GRAVADO]]="","",compras_mes113[[#This Row],[NETO GRAVADO]]*0.21)</f>
        <v/>
      </c>
      <c r="J22" s="291"/>
      <c r="K22" s="291"/>
      <c r="L22" s="291"/>
      <c r="M22" s="291"/>
      <c r="N22" s="291"/>
      <c r="O22" s="291"/>
      <c r="P22" s="284">
        <f>SUM(compras_mes113[[#This Row],[NETO GRAVADO]:[Otros - No Grav.]])</f>
        <v>0</v>
      </c>
      <c r="Q22" s="292" t="str">
        <f>IFERROR(IF(compras_mes113[[#This Row],[CUIT]]="","-",VLOOKUP(compras_mes113[[#This Row],[CUIT]],Lista_CUIT[#All],3,0)),"CUIT NO CARGADO")</f>
        <v>-</v>
      </c>
      <c r="R22" s="292" t="str">
        <f>IFERROR(IF(compras_mes113[[#This Row],[CUIT]]="","-",VLOOKUP(compras_mes113[[#This Row],[CUIT]],Lista_CUIT[#All],4,0)),"CUIT NO CARGADO")</f>
        <v>-</v>
      </c>
    </row>
    <row r="23" spans="2:19" s="126" customFormat="1" ht="15" customHeight="1">
      <c r="B23" s="285"/>
      <c r="C23" s="286"/>
      <c r="D23" s="287"/>
      <c r="E23" s="264"/>
      <c r="F23" s="288"/>
      <c r="G23" s="289" t="str">
        <f>IFERROR(IF(compras_mes113[[#This Row],[CUIT]]="","-",VLOOKUP(compras_mes113[[#This Row],[CUIT]],Lista_CUIT[#All],2,0)),"CUIT NO CARGADO")</f>
        <v>-</v>
      </c>
      <c r="H23" s="290"/>
      <c r="I23" s="291" t="str">
        <f>IF(compras_mes113[[#This Row],[NETO GRAVADO]]="","",compras_mes113[[#This Row],[NETO GRAVADO]]*0.21)</f>
        <v/>
      </c>
      <c r="J23" s="291"/>
      <c r="K23" s="291"/>
      <c r="L23" s="291"/>
      <c r="M23" s="291"/>
      <c r="N23" s="291"/>
      <c r="O23" s="291"/>
      <c r="P23" s="284">
        <f>SUM(compras_mes113[[#This Row],[NETO GRAVADO]:[Otros - No Grav.]])</f>
        <v>0</v>
      </c>
      <c r="Q23" s="292" t="str">
        <f>IFERROR(IF(compras_mes113[[#This Row],[CUIT]]="","-",VLOOKUP(compras_mes113[[#This Row],[CUIT]],Lista_CUIT[#All],3,0)),"CUIT NO CARGADO")</f>
        <v>-</v>
      </c>
      <c r="R23" s="292" t="str">
        <f>IFERROR(IF(compras_mes113[[#This Row],[CUIT]]="","-",VLOOKUP(compras_mes113[[#This Row],[CUIT]],Lista_CUIT[#All],4,0)),"CUIT NO CARGADO")</f>
        <v>-</v>
      </c>
    </row>
    <row r="24" spans="2:19" s="126" customFormat="1" ht="15" customHeight="1">
      <c r="B24" s="285"/>
      <c r="C24" s="286"/>
      <c r="D24" s="287"/>
      <c r="E24" s="264"/>
      <c r="F24" s="288"/>
      <c r="G24" s="289" t="str">
        <f>IFERROR(IF(compras_mes113[[#This Row],[CUIT]]="","-",VLOOKUP(compras_mes113[[#This Row],[CUIT]],Lista_CUIT[#All],2,0)),"CUIT NO CARGADO")</f>
        <v>-</v>
      </c>
      <c r="H24" s="290"/>
      <c r="I24" s="291" t="str">
        <f>IF(compras_mes113[[#This Row],[NETO GRAVADO]]="","",compras_mes113[[#This Row],[NETO GRAVADO]]*0.21)</f>
        <v/>
      </c>
      <c r="J24" s="291"/>
      <c r="K24" s="291"/>
      <c r="L24" s="291"/>
      <c r="M24" s="291"/>
      <c r="N24" s="291"/>
      <c r="O24" s="291"/>
      <c r="P24" s="284">
        <f>SUM(compras_mes113[[#This Row],[NETO GRAVADO]:[Otros - No Grav.]])</f>
        <v>0</v>
      </c>
      <c r="Q24" s="292" t="str">
        <f>IFERROR(IF(compras_mes113[[#This Row],[CUIT]]="","-",VLOOKUP(compras_mes113[[#This Row],[CUIT]],Lista_CUIT[#All],3,0)),"CUIT NO CARGADO")</f>
        <v>-</v>
      </c>
      <c r="R24" s="292" t="str">
        <f>IFERROR(IF(compras_mes113[[#This Row],[CUIT]]="","-",VLOOKUP(compras_mes113[[#This Row],[CUIT]],Lista_CUIT[#All],4,0)),"CUIT NO CARGADO")</f>
        <v>-</v>
      </c>
    </row>
    <row r="25" spans="2:19" s="126" customFormat="1" ht="15" customHeight="1">
      <c r="B25" s="285"/>
      <c r="C25" s="286"/>
      <c r="D25" s="287"/>
      <c r="E25" s="264"/>
      <c r="F25" s="288"/>
      <c r="G25" s="289" t="str">
        <f>IFERROR(IF(compras_mes113[[#This Row],[CUIT]]="","-",VLOOKUP(compras_mes113[[#This Row],[CUIT]],Lista_CUIT[#All],2,0)),"CUIT NO CARGADO")</f>
        <v>-</v>
      </c>
      <c r="H25" s="290"/>
      <c r="I25" s="291" t="str">
        <f>IF(compras_mes113[[#This Row],[NETO GRAVADO]]="","",compras_mes113[[#This Row],[NETO GRAVADO]]*0.21)</f>
        <v/>
      </c>
      <c r="J25" s="291"/>
      <c r="K25" s="291"/>
      <c r="L25" s="291"/>
      <c r="M25" s="291"/>
      <c r="N25" s="291"/>
      <c r="O25" s="291"/>
      <c r="P25" s="284">
        <f>SUM(compras_mes113[[#This Row],[NETO GRAVADO]:[Otros - No Grav.]])</f>
        <v>0</v>
      </c>
      <c r="Q25" s="292" t="str">
        <f>IFERROR(IF(compras_mes113[[#This Row],[CUIT]]="","-",VLOOKUP(compras_mes113[[#This Row],[CUIT]],Lista_CUIT[#All],3,0)),"CUIT NO CARGADO")</f>
        <v>-</v>
      </c>
      <c r="R25" s="292" t="str">
        <f>IFERROR(IF(compras_mes113[[#This Row],[CUIT]]="","-",VLOOKUP(compras_mes113[[#This Row],[CUIT]],Lista_CUIT[#All],4,0)),"CUIT NO CARGADO")</f>
        <v>-</v>
      </c>
    </row>
    <row r="26" spans="2:19" s="126" customFormat="1">
      <c r="B26" s="285"/>
      <c r="C26" s="286"/>
      <c r="D26" s="287"/>
      <c r="E26" s="264"/>
      <c r="F26" s="288"/>
      <c r="G26" s="289" t="str">
        <f>IFERROR(IF(compras_mes113[[#This Row],[CUIT]]="","-",VLOOKUP(compras_mes113[[#This Row],[CUIT]],Lista_CUIT[#All],2,0)),"CUIT NO CARGADO")</f>
        <v>-</v>
      </c>
      <c r="H26" s="290"/>
      <c r="I26" s="291" t="str">
        <f>IF(compras_mes113[[#This Row],[NETO GRAVADO]]="","",compras_mes113[[#This Row],[NETO GRAVADO]]*0.21)</f>
        <v/>
      </c>
      <c r="J26" s="291"/>
      <c r="K26" s="291"/>
      <c r="L26" s="291"/>
      <c r="M26" s="291"/>
      <c r="N26" s="291"/>
      <c r="O26" s="291"/>
      <c r="P26" s="284">
        <f>SUM(compras_mes113[[#This Row],[NETO GRAVADO]:[Otros - No Grav.]])</f>
        <v>0</v>
      </c>
      <c r="Q26" s="292" t="str">
        <f>IFERROR(IF(compras_mes113[[#This Row],[CUIT]]="","-",VLOOKUP(compras_mes113[[#This Row],[CUIT]],Lista_CUIT[#All],3,0)),"CUIT NO CARGADO")</f>
        <v>-</v>
      </c>
      <c r="R26" s="292" t="str">
        <f>IFERROR(IF(compras_mes113[[#This Row],[CUIT]]="","-",VLOOKUP(compras_mes113[[#This Row],[CUIT]],Lista_CUIT[#All],4,0)),"CUIT NO CARGADO")</f>
        <v>-</v>
      </c>
    </row>
    <row r="27" spans="2:19">
      <c r="B27" s="303" t="s">
        <v>91</v>
      </c>
      <c r="C27" s="303"/>
      <c r="D27" s="303"/>
      <c r="E27" s="303"/>
      <c r="F27" s="303"/>
      <c r="G27" s="304"/>
      <c r="H27" s="305">
        <f>SUBTOTAL(109,compras_mes113[NETO GRAVADO])</f>
        <v>0</v>
      </c>
      <c r="I27" s="305">
        <f>SUBTOTAL(109,compras_mes113[IVA 21 %])</f>
        <v>0</v>
      </c>
      <c r="J27" s="305">
        <f>SUBTOTAL(109,compras_mes113[IVA 27%])</f>
        <v>0</v>
      </c>
      <c r="K27" s="305">
        <f>SUBTOTAL(109,compras_mes113[IVA 10,5%])</f>
        <v>0</v>
      </c>
      <c r="L27" s="305">
        <f>SUBTOTAL(109,compras_mes113[PERC. IVA])</f>
        <v>0</v>
      </c>
      <c r="M27" s="305">
        <f>SUBTOTAL(109,compras_mes113[PERC IIBB 
BS AS])</f>
        <v>0</v>
      </c>
      <c r="N27" s="305">
        <f>SUBTOTAL(109,compras_mes113[PERC. IIBB CABA])</f>
        <v>0</v>
      </c>
      <c r="O27" s="305">
        <f>SUBTOTAL(109,compras_mes113[Otros - No Grav.])</f>
        <v>0</v>
      </c>
      <c r="P27" s="305">
        <f>SUBTOTAL(109,compras_mes113[TOTAL])</f>
        <v>0</v>
      </c>
      <c r="Q27" s="303"/>
      <c r="R27" s="303"/>
    </row>
    <row r="28" spans="2:19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2:19" ht="18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  <c r="M29" s="47"/>
      <c r="N29" s="47"/>
      <c r="O29" s="331"/>
      <c r="P29" s="248"/>
      <c r="Q29" s="332"/>
      <c r="R29" s="261"/>
      <c r="S29" s="126"/>
    </row>
    <row r="30" spans="2:19">
      <c r="B30" s="40"/>
      <c r="C30" s="41"/>
      <c r="D30" s="42"/>
      <c r="E30" s="43"/>
      <c r="F30" s="44"/>
      <c r="G30" s="45"/>
      <c r="H30" s="127"/>
      <c r="I30" s="139"/>
      <c r="J30" s="47"/>
      <c r="K30" s="47"/>
      <c r="L30" s="47"/>
      <c r="M30" s="47"/>
      <c r="N30" s="47"/>
      <c r="O30" s="139"/>
      <c r="P30" s="248"/>
      <c r="Q30" s="261"/>
      <c r="R30" s="261"/>
      <c r="S30" s="126"/>
    </row>
    <row r="31" spans="2:19">
      <c r="B31" s="40"/>
      <c r="C31" s="41"/>
      <c r="D31" s="42"/>
      <c r="E31" s="43"/>
      <c r="F31" s="44"/>
      <c r="G31" s="45"/>
      <c r="H31" s="46"/>
      <c r="I31" s="47"/>
      <c r="J31" s="47"/>
      <c r="K31" s="47"/>
      <c r="L31" s="47"/>
      <c r="O31" s="126"/>
      <c r="P31" s="333"/>
      <c r="Q31" s="334"/>
      <c r="R31" s="333"/>
      <c r="S31" s="126"/>
    </row>
    <row r="32" spans="2:19" ht="21">
      <c r="D32" s="428" t="s">
        <v>15</v>
      </c>
      <c r="E32" s="428"/>
      <c r="F32" s="428"/>
      <c r="G32" s="428"/>
      <c r="H32" s="428"/>
      <c r="I32" s="428"/>
      <c r="J32" s="428"/>
      <c r="K32" s="428"/>
      <c r="L32" s="428"/>
      <c r="M32" s="320"/>
      <c r="O32" s="331"/>
      <c r="P32" s="329"/>
      <c r="Q32" s="329"/>
      <c r="R32" s="329"/>
      <c r="S32" s="126"/>
    </row>
    <row r="33" spans="4:19" ht="15.75">
      <c r="D33" s="306" t="s">
        <v>0</v>
      </c>
      <c r="E33" s="307" t="s">
        <v>26</v>
      </c>
      <c r="F33" s="307" t="s">
        <v>16</v>
      </c>
      <c r="G33" s="307" t="s">
        <v>5</v>
      </c>
      <c r="H33" s="307" t="s">
        <v>17</v>
      </c>
      <c r="I33" s="307" t="s">
        <v>7</v>
      </c>
      <c r="J33" s="308" t="s">
        <v>18</v>
      </c>
      <c r="K33" s="308" t="s">
        <v>19</v>
      </c>
      <c r="L33" s="309" t="s">
        <v>20</v>
      </c>
      <c r="M33" s="319" t="s">
        <v>10</v>
      </c>
      <c r="O33" s="126"/>
      <c r="P33" s="329"/>
      <c r="Q33" s="329"/>
      <c r="R33" s="329"/>
      <c r="S33" s="126"/>
    </row>
    <row r="34" spans="4:19">
      <c r="D34" s="50"/>
      <c r="E34" s="264"/>
      <c r="F34" s="80"/>
      <c r="G34" s="81"/>
      <c r="H34" s="81">
        <f>extracto_banco_mes1155[[#This Row],[NETO]]*0.21</f>
        <v>0</v>
      </c>
      <c r="I34" s="81"/>
      <c r="K34" s="280"/>
      <c r="M34" s="282">
        <f>SUM(extracto_banco_mes1155[[#This Row],[NETO]:[PERC IIBB]])</f>
        <v>0</v>
      </c>
      <c r="O34" s="126"/>
      <c r="P34" s="329"/>
      <c r="Q34" s="329"/>
      <c r="R34" s="329"/>
      <c r="S34" s="126"/>
    </row>
    <row r="35" spans="4:19">
      <c r="D35" s="50"/>
      <c r="E35" s="264"/>
      <c r="F35" s="80"/>
      <c r="G35" s="81"/>
      <c r="H35" s="81">
        <f>extracto_banco_mes1155[[#This Row],[NETO]]*0.21</f>
        <v>0</v>
      </c>
      <c r="I35" s="81"/>
      <c r="J35" s="81"/>
      <c r="K35" s="81"/>
      <c r="L35" s="81"/>
      <c r="M35" s="282">
        <f>SUM(extracto_banco_mes1155[[#This Row],[NETO]:[PERC IIBB]])</f>
        <v>0</v>
      </c>
      <c r="N35" s="318"/>
      <c r="O35" s="333"/>
      <c r="P35" s="329"/>
      <c r="Q35" s="329"/>
      <c r="R35" s="329"/>
      <c r="S35" s="126"/>
    </row>
    <row r="36" spans="4:19">
      <c r="D36" s="50"/>
      <c r="E36" s="264"/>
      <c r="F36" s="80"/>
      <c r="G36" s="81"/>
      <c r="H36" s="81">
        <f>extracto_banco_mes1155[[#This Row],[NETO]]*0.21</f>
        <v>0</v>
      </c>
      <c r="I36" s="81"/>
      <c r="J36" s="81"/>
      <c r="K36" s="81"/>
      <c r="L36" s="81"/>
      <c r="M36" s="282">
        <f>SUM(extracto_banco_mes1155[[#This Row],[NETO]:[PERC IIBB]])</f>
        <v>0</v>
      </c>
      <c r="O36" s="330"/>
      <c r="P36" s="329"/>
      <c r="Q36" s="329"/>
      <c r="R36" s="329"/>
      <c r="S36" s="126"/>
    </row>
    <row r="37" spans="4:19">
      <c r="D37" s="310" t="s">
        <v>91</v>
      </c>
      <c r="E37" s="311"/>
      <c r="F37" s="311"/>
      <c r="G37" s="312">
        <f>SUBTOTAL(109,extracto_banco_mes1155[NETO])</f>
        <v>0</v>
      </c>
      <c r="H37" s="312">
        <f>SUBTOTAL(109,extracto_banco_mes1155[IVA 21%])</f>
        <v>0</v>
      </c>
      <c r="I37" s="312">
        <f>SUBTOTAL(109,extracto_banco_mes1155[IVA 10,5%])</f>
        <v>0</v>
      </c>
      <c r="J37" s="312">
        <f>SUBTOTAL(109,extracto_banco_mes1155[RET IIBB CABA])</f>
        <v>0</v>
      </c>
      <c r="K37" s="312">
        <f>SUBTOTAL(109,extracto_banco_mes1155[PERC IVA])</f>
        <v>0</v>
      </c>
      <c r="L37" s="312">
        <f>SUBTOTAL(109,extracto_banco_mes1155[PERC IIBB])</f>
        <v>0</v>
      </c>
      <c r="M37" s="321">
        <f>SUBTOTAL(109,extracto_banco_mes1155[TOTAL])</f>
        <v>0</v>
      </c>
      <c r="O37" s="126"/>
      <c r="P37" s="329"/>
      <c r="Q37" s="329"/>
      <c r="R37" s="329"/>
      <c r="S37" s="126"/>
    </row>
    <row r="38" spans="4:19">
      <c r="O38" s="126"/>
      <c r="P38" s="329"/>
      <c r="Q38" s="329"/>
      <c r="R38" s="329"/>
      <c r="S38" s="126"/>
    </row>
    <row r="39" spans="4:19">
      <c r="O39" s="126"/>
      <c r="P39" s="329"/>
      <c r="Q39" s="329"/>
      <c r="R39" s="329"/>
      <c r="S39" s="126"/>
    </row>
    <row r="40" spans="4:19">
      <c r="O40" s="126"/>
      <c r="P40" s="329"/>
      <c r="Q40" s="329"/>
      <c r="R40" s="329"/>
      <c r="S40" s="126"/>
    </row>
    <row r="41" spans="4:19" ht="21">
      <c r="D41" s="428" t="s">
        <v>25</v>
      </c>
      <c r="E41" s="428"/>
      <c r="F41" s="428"/>
      <c r="G41" s="428"/>
      <c r="H41" s="428"/>
      <c r="I41" s="428"/>
      <c r="J41" s="428"/>
      <c r="K41" s="428"/>
      <c r="O41" s="126"/>
      <c r="P41" s="329"/>
      <c r="Q41" s="329"/>
      <c r="R41" s="329"/>
      <c r="S41" s="126"/>
    </row>
    <row r="42" spans="4:19">
      <c r="D42" s="313" t="s">
        <v>0</v>
      </c>
      <c r="E42" s="313" t="s">
        <v>2</v>
      </c>
      <c r="F42" s="313" t="s">
        <v>74</v>
      </c>
      <c r="G42" s="313" t="s">
        <v>3</v>
      </c>
      <c r="H42" s="313" t="s">
        <v>4</v>
      </c>
      <c r="I42" s="314" t="s">
        <v>10</v>
      </c>
      <c r="J42" s="313" t="s">
        <v>13</v>
      </c>
      <c r="K42" s="313" t="s">
        <v>38</v>
      </c>
      <c r="O42" s="126"/>
      <c r="P42" s="329"/>
      <c r="Q42" s="329"/>
      <c r="R42" s="329"/>
      <c r="S42" s="126"/>
    </row>
    <row r="43" spans="4:19">
      <c r="D43" s="50"/>
      <c r="E43" s="42"/>
      <c r="F43" s="129"/>
      <c r="G43" s="118"/>
      <c r="H43" s="53" t="str">
        <f>IFERROR(IF(factura_c_mes1152[[#This Row],[CUIT]]="","-",VLOOKUP(factura_c_mes1152[[#This Row],[CUIT]],Lista_CUIT[#All],2,0)),"CUIT NO CARGADO")</f>
        <v>-</v>
      </c>
      <c r="I43" s="212"/>
      <c r="J43" s="54" t="str">
        <f>IFERROR(IF(factura_c_mes1152[[#This Row],[CUIT]]="","-",VLOOKUP(factura_c_mes1152[[#This Row],[CUIT]],Lista_CUIT[#All],3,0)),"CUIT NO CARGADO")</f>
        <v>-</v>
      </c>
      <c r="K43" s="54" t="str">
        <f>IFERROR(IF(factura_c_mes1152[[#This Row],[CUIT]]="","-",VLOOKUP(factura_c_mes1152[[#This Row],[CUIT]],Lista_CUIT[#All],4,0)),"CUIT NO CARGADO")</f>
        <v>-</v>
      </c>
      <c r="O43" s="126"/>
      <c r="P43" s="329"/>
      <c r="Q43" s="329"/>
      <c r="R43" s="329"/>
      <c r="S43" s="126"/>
    </row>
    <row r="44" spans="4:19">
      <c r="D44" s="50"/>
      <c r="E44" s="42"/>
      <c r="F44" s="129"/>
      <c r="G44" s="118"/>
      <c r="H44" s="53" t="str">
        <f>IFERROR(IF(factura_c_mes1152[[#This Row],[CUIT]]="","-",VLOOKUP(factura_c_mes1152[[#This Row],[CUIT]],Lista_CUIT[#All],2,0)),"CUIT NO CARGADO")</f>
        <v>-</v>
      </c>
      <c r="I44" s="212"/>
      <c r="J44" s="54" t="str">
        <f>IFERROR(IF(factura_c_mes1152[[#This Row],[CUIT]]="","-",VLOOKUP(factura_c_mes1152[[#This Row],[CUIT]],Lista_CUIT[#All],3,0)),"CUIT NO CARGADO")</f>
        <v>-</v>
      </c>
      <c r="K44" s="54" t="str">
        <f>IFERROR(IF(factura_c_mes1152[[#This Row],[CUIT]]="","-",VLOOKUP(factura_c_mes1152[[#This Row],[CUIT]],Lista_CUIT[#All],4,0)),"CUIT NO CARGADO")</f>
        <v>-</v>
      </c>
      <c r="O44" s="126"/>
      <c r="P44" s="329"/>
      <c r="Q44" s="329"/>
      <c r="R44" s="329"/>
      <c r="S44" s="126"/>
    </row>
    <row r="45" spans="4:19">
      <c r="D45" s="50"/>
      <c r="E45" s="42"/>
      <c r="F45" s="129"/>
      <c r="G45" s="118"/>
      <c r="H45" s="53" t="str">
        <f>IFERROR(IF(factura_c_mes1152[[#This Row],[CUIT]]="","-",VLOOKUP(factura_c_mes1152[[#This Row],[CUIT]],Lista_CUIT[#All],2,0)),"CUIT NO CARGADO")</f>
        <v>-</v>
      </c>
      <c r="I45" s="212"/>
      <c r="J45" s="54" t="str">
        <f>IFERROR(IF(factura_c_mes1152[[#This Row],[CUIT]]="","-",VLOOKUP(factura_c_mes1152[[#This Row],[CUIT]],Lista_CUIT[#All],3,0)),"CUIT NO CARGADO")</f>
        <v>-</v>
      </c>
      <c r="K45" s="54" t="str">
        <f>IFERROR(IF(factura_c_mes1152[[#This Row],[CUIT]]="","-",VLOOKUP(factura_c_mes1152[[#This Row],[CUIT]],Lista_CUIT[#All],4,0)),"CUIT NO CARGADO")</f>
        <v>-</v>
      </c>
      <c r="O45" s="126"/>
      <c r="P45" s="329"/>
      <c r="Q45" s="329"/>
      <c r="R45" s="329"/>
      <c r="S45" s="126"/>
    </row>
    <row r="46" spans="4:19">
      <c r="D46" s="50"/>
      <c r="E46" s="42"/>
      <c r="F46" s="129"/>
      <c r="G46" s="118"/>
      <c r="H46" s="53" t="str">
        <f>IFERROR(IF(factura_c_mes1152[[#This Row],[CUIT]]="","-",VLOOKUP(factura_c_mes1152[[#This Row],[CUIT]],Lista_CUIT[#All],2,0)),"CUIT NO CARGADO")</f>
        <v>-</v>
      </c>
      <c r="I46" s="212"/>
      <c r="J46" s="54" t="str">
        <f>IFERROR(IF(factura_c_mes1152[[#This Row],[CUIT]]="","-",VLOOKUP(factura_c_mes1152[[#This Row],[CUIT]],Lista_CUIT[#All],3,0)),"CUIT NO CARGADO")</f>
        <v>-</v>
      </c>
      <c r="K46" s="54" t="str">
        <f>IFERROR(IF(factura_c_mes1152[[#This Row],[CUIT]]="","-",VLOOKUP(factura_c_mes1152[[#This Row],[CUIT]],Lista_CUIT[#All],4,0)),"CUIT NO CARGADO")</f>
        <v>-</v>
      </c>
      <c r="O46" s="126"/>
      <c r="P46" s="329"/>
      <c r="Q46" s="329"/>
      <c r="R46" s="329"/>
      <c r="S46" s="126"/>
    </row>
    <row r="47" spans="4:19">
      <c r="D47" s="50"/>
      <c r="E47" s="42"/>
      <c r="F47" s="129"/>
      <c r="G47" s="118"/>
      <c r="H47" s="53" t="str">
        <f>IFERROR(IF(factura_c_mes1152[[#This Row],[CUIT]]="","-",VLOOKUP(factura_c_mes1152[[#This Row],[CUIT]],Lista_CUIT[#All],2,0)),"CUIT NO CARGADO")</f>
        <v>-</v>
      </c>
      <c r="I47" s="212"/>
      <c r="J47" s="54" t="str">
        <f>IFERROR(IF(factura_c_mes1152[[#This Row],[CUIT]]="","-",VLOOKUP(factura_c_mes1152[[#This Row],[CUIT]],Lista_CUIT[#All],3,0)),"CUIT NO CARGADO")</f>
        <v>-</v>
      </c>
      <c r="K47" s="54" t="str">
        <f>IFERROR(IF(factura_c_mes1152[[#This Row],[CUIT]]="","-",VLOOKUP(factura_c_mes1152[[#This Row],[CUIT]],Lista_CUIT[#All],4,0)),"CUIT NO CARGADO")</f>
        <v>-</v>
      </c>
      <c r="O47" s="126"/>
      <c r="P47" s="329"/>
      <c r="Q47" s="329"/>
      <c r="R47" s="329"/>
      <c r="S47" s="126"/>
    </row>
    <row r="48" spans="4:19">
      <c r="D48" s="50"/>
      <c r="E48" s="42"/>
      <c r="F48" s="129"/>
      <c r="G48" s="118"/>
      <c r="H48" s="53" t="str">
        <f>IFERROR(IF(factura_c_mes1152[[#This Row],[CUIT]]="","-",VLOOKUP(factura_c_mes1152[[#This Row],[CUIT]],Lista_CUIT[#All],2,0)),"CUIT NO CARGADO")</f>
        <v>-</v>
      </c>
      <c r="I48" s="212"/>
      <c r="J48" s="54" t="str">
        <f>IFERROR(IF(factura_c_mes1152[[#This Row],[CUIT]]="","-",VLOOKUP(factura_c_mes1152[[#This Row],[CUIT]],Lista_CUIT[#All],3,0)),"CUIT NO CARGADO")</f>
        <v>-</v>
      </c>
      <c r="K48" s="54" t="str">
        <f>IFERROR(IF(factura_c_mes1152[[#This Row],[CUIT]]="","-",VLOOKUP(factura_c_mes1152[[#This Row],[CUIT]],Lista_CUIT[#All],4,0)),"CUIT NO CARGADO")</f>
        <v>-</v>
      </c>
      <c r="O48" s="126"/>
      <c r="P48" s="329"/>
      <c r="Q48" s="329"/>
      <c r="R48" s="329"/>
      <c r="S48" s="126"/>
    </row>
    <row r="49" spans="2:18">
      <c r="D49" s="50"/>
      <c r="E49" s="42"/>
      <c r="F49" s="129"/>
      <c r="G49" s="118"/>
      <c r="H49" s="53" t="str">
        <f>IFERROR(IF(factura_c_mes1152[[#This Row],[CUIT]]="","-",VLOOKUP(factura_c_mes1152[[#This Row],[CUIT]],Lista_CUIT[#All],2,0)),"CUIT NO CARGADO")</f>
        <v>-</v>
      </c>
      <c r="I49" s="212"/>
      <c r="J49" s="54" t="str">
        <f>IFERROR(IF(factura_c_mes1152[[#This Row],[CUIT]]="","-",VLOOKUP(factura_c_mes1152[[#This Row],[CUIT]],Lista_CUIT[#All],3,0)),"CUIT NO CARGADO")</f>
        <v>-</v>
      </c>
      <c r="K49" s="54" t="str">
        <f>IFERROR(IF(factura_c_mes1152[[#This Row],[CUIT]]="","-",VLOOKUP(factura_c_mes1152[[#This Row],[CUIT]],Lista_CUIT[#All],4,0)),"CUIT NO CARGADO")</f>
        <v>-</v>
      </c>
      <c r="P49" s="327"/>
      <c r="Q49" s="327"/>
      <c r="R49" s="327"/>
    </row>
    <row r="50" spans="2:18">
      <c r="D50" s="50"/>
      <c r="E50" s="129"/>
      <c r="F50" s="43"/>
      <c r="G50" s="118"/>
      <c r="H50" s="53" t="str">
        <f>IFERROR(IF(factura_c_mes1152[[#This Row],[CUIT]]="","-",VLOOKUP(factura_c_mes1152[[#This Row],[CUIT]],Lista_CUIT[#All],2,0)),"CUIT NO CARGADO")</f>
        <v>-</v>
      </c>
      <c r="I50" s="212"/>
      <c r="J50" s="54" t="str">
        <f>IFERROR(IF(factura_c_mes1152[[#This Row],[CUIT]]="","-",VLOOKUP(factura_c_mes1152[[#This Row],[CUIT]],Lista_CUIT[#All],3,0)),"CUIT NO CARGADO")</f>
        <v>-</v>
      </c>
      <c r="K50" s="54" t="str">
        <f>IFERROR(IF(factura_c_mes1152[[#This Row],[CUIT]]="","-",VLOOKUP(factura_c_mes1152[[#This Row],[CUIT]],Lista_CUIT[#All],4,0)),"CUIT NO CARGADO")</f>
        <v>-</v>
      </c>
      <c r="P50" s="327"/>
      <c r="Q50" s="327"/>
      <c r="R50" s="327"/>
    </row>
    <row r="51" spans="2:18">
      <c r="D51" s="315" t="s">
        <v>91</v>
      </c>
      <c r="E51" s="315"/>
      <c r="F51" s="315"/>
      <c r="G51" s="315"/>
      <c r="H51" s="316"/>
      <c r="I51" s="317">
        <f>SUBTOTAL(109,factura_c_mes1152[TOTAL])</f>
        <v>0</v>
      </c>
      <c r="J51" s="315"/>
      <c r="K51" s="315"/>
      <c r="P51" s="327"/>
      <c r="Q51" s="327"/>
      <c r="R51" s="327"/>
    </row>
    <row r="52" spans="2:18">
      <c r="B52" s="56"/>
      <c r="C52" s="56"/>
      <c r="L52" s="56"/>
      <c r="M52" s="56"/>
      <c r="N52" s="56"/>
      <c r="O52" s="56"/>
      <c r="P52" s="328"/>
      <c r="Q52" s="328"/>
      <c r="R52" s="328"/>
    </row>
    <row r="53" spans="2:18">
      <c r="B53" s="56"/>
      <c r="C53" s="56"/>
      <c r="L53" s="56"/>
      <c r="M53" s="56"/>
      <c r="N53" s="56"/>
      <c r="O53" s="56"/>
      <c r="P53" s="328"/>
      <c r="Q53" s="328"/>
      <c r="R53" s="328"/>
    </row>
    <row r="54" spans="2:18">
      <c r="P54" s="327"/>
      <c r="Q54" s="327"/>
      <c r="R54" s="327"/>
    </row>
    <row r="55" spans="2:18">
      <c r="P55" s="327"/>
      <c r="Q55" s="327"/>
      <c r="R55" s="327"/>
    </row>
    <row r="56" spans="2:18">
      <c r="P56" s="327"/>
      <c r="Q56" s="327"/>
      <c r="R56" s="327"/>
    </row>
    <row r="57" spans="2:18">
      <c r="P57" s="327"/>
      <c r="Q57" s="327"/>
      <c r="R57" s="327"/>
    </row>
    <row r="58" spans="2:18" ht="26.25">
      <c r="B58" s="436" t="s">
        <v>29</v>
      </c>
      <c r="C58" s="436"/>
      <c r="D58" s="436"/>
      <c r="E58" s="436"/>
      <c r="F58" s="436"/>
      <c r="G58" s="436"/>
      <c r="H58" s="436"/>
      <c r="I58" s="436"/>
      <c r="J58" s="436"/>
      <c r="K58" s="432">
        <f>N1</f>
        <v>46327</v>
      </c>
      <c r="L58" s="432"/>
      <c r="M58" s="432"/>
      <c r="P58" s="327"/>
      <c r="Q58" s="327"/>
      <c r="R58" s="327"/>
    </row>
    <row r="59" spans="2:18">
      <c r="P59" s="327"/>
      <c r="Q59" s="327"/>
      <c r="R59" s="327"/>
    </row>
    <row r="60" spans="2:18" ht="21">
      <c r="B60" s="429" t="s">
        <v>30</v>
      </c>
      <c r="C60" s="429"/>
    </row>
    <row r="61" spans="2:18" ht="31.5">
      <c r="B61" s="60" t="s">
        <v>0</v>
      </c>
      <c r="C61" s="61" t="s">
        <v>1</v>
      </c>
      <c r="D61" s="61" t="s">
        <v>21</v>
      </c>
      <c r="E61" s="61" t="s">
        <v>22</v>
      </c>
      <c r="F61" s="61" t="s">
        <v>3</v>
      </c>
      <c r="G61" s="61" t="s">
        <v>4</v>
      </c>
      <c r="H61" s="61" t="s">
        <v>23</v>
      </c>
      <c r="I61" s="61" t="s">
        <v>17</v>
      </c>
      <c r="J61" s="61" t="s">
        <v>7</v>
      </c>
      <c r="K61" s="61" t="s">
        <v>24</v>
      </c>
      <c r="L61" s="61" t="s">
        <v>10</v>
      </c>
      <c r="M61" s="62" t="s">
        <v>38</v>
      </c>
    </row>
    <row r="62" spans="2:18" ht="15" customHeight="1">
      <c r="B62" s="40"/>
      <c r="C62" s="110"/>
      <c r="D62" s="110"/>
      <c r="E62" s="104"/>
      <c r="F62" s="145"/>
      <c r="G62" s="323" t="str">
        <f>IFERROR(IF(venta_a_mes1153[[#This Row],[CUIT]]="","-",VLOOKUP(venta_a_mes1153[[#This Row],[CUIT]],Lista_CUIT[#All],2,0)),"CUIT NO CARGADO")</f>
        <v>-</v>
      </c>
      <c r="H62" s="100"/>
      <c r="I62" s="101">
        <f>venta_a_mes1153[[#This Row],[IMPORTE NETO]]*0.21</f>
        <v>0</v>
      </c>
      <c r="J62" s="40"/>
      <c r="K62" s="40"/>
      <c r="L62" s="65">
        <f>SUM(venta_a_mes1153[[#This Row],[IMPORTE NETO]:[EXENTO]])</f>
        <v>0</v>
      </c>
      <c r="M62" s="40"/>
    </row>
    <row r="63" spans="2:18" ht="15" customHeight="1">
      <c r="B63" s="40"/>
      <c r="C63" s="110"/>
      <c r="D63" s="110"/>
      <c r="E63" s="104"/>
      <c r="F63" s="145"/>
      <c r="G63" s="323" t="str">
        <f>IFERROR(IF(venta_a_mes1153[[#This Row],[CUIT]]="","-",VLOOKUP(venta_a_mes1153[[#This Row],[CUIT]],Lista_CUIT[#All],2,0)),"CUIT NO CARGADO")</f>
        <v>-</v>
      </c>
      <c r="H63" s="100"/>
      <c r="I63" s="101">
        <f>venta_a_mes1153[[#This Row],[IMPORTE NETO]]*0.21</f>
        <v>0</v>
      </c>
      <c r="J63" s="40"/>
      <c r="K63" s="40"/>
      <c r="L63" s="65">
        <f>SUM(venta_a_mes1153[[#This Row],[IMPORTE NETO]:[EXENTO]])</f>
        <v>0</v>
      </c>
      <c r="M63" s="40"/>
    </row>
    <row r="64" spans="2:18" ht="15" customHeight="1">
      <c r="B64" s="40"/>
      <c r="C64" s="110"/>
      <c r="D64" s="110"/>
      <c r="E64" s="104"/>
      <c r="F64" s="145"/>
      <c r="G64" s="323" t="str">
        <f>IFERROR(IF(venta_a_mes1153[[#This Row],[CUIT]]="","-",VLOOKUP(venta_a_mes1153[[#This Row],[CUIT]],Lista_CUIT[#All],2,0)),"CUIT NO CARGADO")</f>
        <v>-</v>
      </c>
      <c r="H64" s="100"/>
      <c r="I64" s="101">
        <f>venta_a_mes1153[[#This Row],[IMPORTE NETO]]*0.21</f>
        <v>0</v>
      </c>
      <c r="J64" s="40"/>
      <c r="K64" s="40"/>
      <c r="L64" s="65">
        <f>SUM(venta_a_mes1153[[#This Row],[IMPORTE NETO]:[EXENTO]])</f>
        <v>0</v>
      </c>
      <c r="M64" s="40"/>
    </row>
    <row r="65" spans="2:13" ht="15" customHeight="1">
      <c r="B65" s="40"/>
      <c r="C65" s="110"/>
      <c r="D65" s="110"/>
      <c r="E65" s="104"/>
      <c r="F65" s="145"/>
      <c r="G65" s="323" t="str">
        <f>IFERROR(IF(venta_a_mes1153[[#This Row],[CUIT]]="","-",VLOOKUP(venta_a_mes1153[[#This Row],[CUIT]],Lista_CUIT[#All],2,0)),"CUIT NO CARGADO")</f>
        <v>-</v>
      </c>
      <c r="H65" s="100"/>
      <c r="I65" s="101">
        <f>venta_a_mes1153[[#This Row],[IMPORTE NETO]]*0.21</f>
        <v>0</v>
      </c>
      <c r="J65" s="40"/>
      <c r="K65" s="40"/>
      <c r="L65" s="65">
        <f>SUM(venta_a_mes1153[[#This Row],[IMPORTE NETO]:[EXENTO]])</f>
        <v>0</v>
      </c>
      <c r="M65" s="40"/>
    </row>
    <row r="66" spans="2:13" ht="15" customHeight="1">
      <c r="B66" s="40"/>
      <c r="C66" s="110"/>
      <c r="D66" s="110"/>
      <c r="E66" s="104"/>
      <c r="F66" s="145"/>
      <c r="G66" s="323" t="str">
        <f>IFERROR(IF(venta_a_mes1153[[#This Row],[CUIT]]="","-",VLOOKUP(venta_a_mes1153[[#This Row],[CUIT]],Lista_CUIT[#All],2,0)),"CUIT NO CARGADO")</f>
        <v>-</v>
      </c>
      <c r="H66" s="100"/>
      <c r="I66" s="101">
        <f>venta_a_mes1153[[#This Row],[IMPORTE NETO]]*0.21</f>
        <v>0</v>
      </c>
      <c r="J66" s="40"/>
      <c r="K66" s="40"/>
      <c r="L66" s="65">
        <f>SUM(venta_a_mes1153[[#This Row],[IMPORTE NETO]:[EXENTO]])</f>
        <v>0</v>
      </c>
      <c r="M66" s="40"/>
    </row>
    <row r="67" spans="2:13" ht="15" customHeight="1">
      <c r="B67" s="40"/>
      <c r="C67" s="110"/>
      <c r="D67" s="110"/>
      <c r="E67" s="104"/>
      <c r="F67" s="145"/>
      <c r="G67" s="323" t="str">
        <f>IFERROR(IF(venta_a_mes1153[[#This Row],[CUIT]]="","-",VLOOKUP(venta_a_mes1153[[#This Row],[CUIT]],Lista_CUIT[#All],2,0)),"CUIT NO CARGADO")</f>
        <v>-</v>
      </c>
      <c r="H67" s="100"/>
      <c r="I67" s="101">
        <f>venta_a_mes1153[[#This Row],[IMPORTE NETO]]*0.21</f>
        <v>0</v>
      </c>
      <c r="J67" s="40"/>
      <c r="K67" s="40"/>
      <c r="L67" s="65">
        <f>SUM(venta_a_mes1153[[#This Row],[IMPORTE NETO]:[EXENTO]])</f>
        <v>0</v>
      </c>
      <c r="M67" s="40"/>
    </row>
    <row r="68" spans="2:13" ht="15" customHeight="1">
      <c r="B68" s="40"/>
      <c r="C68" s="110"/>
      <c r="D68" s="110"/>
      <c r="E68" s="104"/>
      <c r="F68" s="145"/>
      <c r="G68" s="323" t="str">
        <f>IFERROR(IF(venta_a_mes1153[[#This Row],[CUIT]]="","-",VLOOKUP(venta_a_mes1153[[#This Row],[CUIT]],Lista_CUIT[#All],2,0)),"CUIT NO CARGADO")</f>
        <v>-</v>
      </c>
      <c r="H68" s="100"/>
      <c r="I68" s="101">
        <f>venta_a_mes1153[[#This Row],[IMPORTE NETO]]*0.21</f>
        <v>0</v>
      </c>
      <c r="J68" s="40"/>
      <c r="K68" s="40"/>
      <c r="L68" s="65">
        <f>SUM(venta_a_mes1153[[#This Row],[IMPORTE NETO]:[EXENTO]])</f>
        <v>0</v>
      </c>
      <c r="M68" s="40"/>
    </row>
    <row r="69" spans="2:13" ht="15" customHeight="1">
      <c r="B69" s="40"/>
      <c r="C69" s="110"/>
      <c r="D69" s="110"/>
      <c r="E69" s="104"/>
      <c r="F69" s="145"/>
      <c r="G69" s="323" t="str">
        <f>IFERROR(IF(venta_a_mes1153[[#This Row],[CUIT]]="","-",VLOOKUP(venta_a_mes1153[[#This Row],[CUIT]],Lista_CUIT[#All],2,0)),"CUIT NO CARGADO")</f>
        <v>-</v>
      </c>
      <c r="H69" s="100"/>
      <c r="I69" s="101">
        <f>venta_a_mes1153[[#This Row],[IMPORTE NETO]]*0.21</f>
        <v>0</v>
      </c>
      <c r="J69" s="40"/>
      <c r="K69" s="40"/>
      <c r="L69" s="65">
        <f>SUM(venta_a_mes1153[[#This Row],[IMPORTE NETO]:[EXENTO]])</f>
        <v>0</v>
      </c>
      <c r="M69" s="40"/>
    </row>
    <row r="70" spans="2:13" ht="15" customHeight="1">
      <c r="B70" s="40"/>
      <c r="C70" s="110"/>
      <c r="D70" s="110"/>
      <c r="E70" s="104"/>
      <c r="F70" s="145"/>
      <c r="G70" s="323" t="str">
        <f>IFERROR(IF(venta_a_mes1153[[#This Row],[CUIT]]="","-",VLOOKUP(venta_a_mes1153[[#This Row],[CUIT]],Lista_CUIT[#All],2,0)),"CUIT NO CARGADO")</f>
        <v>-</v>
      </c>
      <c r="H70" s="100"/>
      <c r="I70" s="101">
        <f>venta_a_mes1153[[#This Row],[IMPORTE NETO]]*0.21</f>
        <v>0</v>
      </c>
      <c r="J70" s="40"/>
      <c r="K70" s="40"/>
      <c r="L70" s="65">
        <f>SUM(venta_a_mes1153[[#This Row],[IMPORTE NETO]:[EXENTO]])</f>
        <v>0</v>
      </c>
      <c r="M70" s="40"/>
    </row>
    <row r="71" spans="2:13" ht="15" customHeight="1">
      <c r="B71" s="40"/>
      <c r="C71" s="110"/>
      <c r="D71" s="110"/>
      <c r="E71" s="104"/>
      <c r="F71" s="145"/>
      <c r="G71" s="323" t="str">
        <f>IFERROR(IF(venta_a_mes1153[[#This Row],[CUIT]]="","-",VLOOKUP(venta_a_mes1153[[#This Row],[CUIT]],Lista_CUIT[#All],2,0)),"CUIT NO CARGADO")</f>
        <v>-</v>
      </c>
      <c r="H71" s="100"/>
      <c r="I71" s="101">
        <f>venta_a_mes1153[[#This Row],[IMPORTE NETO]]*0.21</f>
        <v>0</v>
      </c>
      <c r="J71" s="40"/>
      <c r="K71" s="40"/>
      <c r="L71" s="65">
        <f>SUM(venta_a_mes1153[[#This Row],[IMPORTE NETO]:[EXENTO]])</f>
        <v>0</v>
      </c>
      <c r="M71" s="40"/>
    </row>
    <row r="72" spans="2:13" ht="15" customHeight="1">
      <c r="B72" s="40"/>
      <c r="C72" s="110"/>
      <c r="D72" s="110"/>
      <c r="E72" s="104"/>
      <c r="F72" s="145"/>
      <c r="G72" s="323" t="str">
        <f>IFERROR(IF(venta_a_mes1153[[#This Row],[CUIT]]="","-",VLOOKUP(venta_a_mes1153[[#This Row],[CUIT]],Lista_CUIT[#All],2,0)),"CUIT NO CARGADO")</f>
        <v>-</v>
      </c>
      <c r="H72" s="100"/>
      <c r="I72" s="101">
        <f>venta_a_mes1153[[#This Row],[IMPORTE NETO]]*0.21</f>
        <v>0</v>
      </c>
      <c r="J72" s="40"/>
      <c r="K72" s="40"/>
      <c r="L72" s="65">
        <f>SUM(venta_a_mes1153[[#This Row],[IMPORTE NETO]:[EXENTO]])</f>
        <v>0</v>
      </c>
      <c r="M72" s="40"/>
    </row>
    <row r="73" spans="2:13" ht="15" customHeight="1">
      <c r="B73" s="40"/>
      <c r="C73" s="110"/>
      <c r="D73" s="110"/>
      <c r="E73" s="104"/>
      <c r="F73" s="145"/>
      <c r="G73" s="323" t="str">
        <f>IFERROR(IF(venta_a_mes1153[[#This Row],[CUIT]]="","-",VLOOKUP(venta_a_mes1153[[#This Row],[CUIT]],Lista_CUIT[#All],2,0)),"CUIT NO CARGADO")</f>
        <v>-</v>
      </c>
      <c r="H73" s="100"/>
      <c r="I73" s="101">
        <f>venta_a_mes1153[[#This Row],[IMPORTE NETO]]*0.21</f>
        <v>0</v>
      </c>
      <c r="J73" s="40"/>
      <c r="K73" s="40"/>
      <c r="L73" s="65">
        <f>SUM(venta_a_mes1153[[#This Row],[IMPORTE NETO]:[EXENTO]])</f>
        <v>0</v>
      </c>
      <c r="M73" s="40"/>
    </row>
    <row r="74" spans="2:13" ht="15" customHeight="1">
      <c r="B74" s="40"/>
      <c r="C74" s="110"/>
      <c r="D74" s="110"/>
      <c r="E74" s="104"/>
      <c r="F74" s="145"/>
      <c r="G74" s="323" t="str">
        <f>IFERROR(IF(venta_a_mes1153[[#This Row],[CUIT]]="","-",VLOOKUP(venta_a_mes1153[[#This Row],[CUIT]],Lista_CUIT[#All],2,0)),"CUIT NO CARGADO")</f>
        <v>-</v>
      </c>
      <c r="H74" s="100"/>
      <c r="I74" s="101">
        <f>venta_a_mes1153[[#This Row],[IMPORTE NETO]]*0.21</f>
        <v>0</v>
      </c>
      <c r="J74" s="40"/>
      <c r="K74" s="40"/>
      <c r="L74" s="65">
        <f>SUM(venta_a_mes1153[[#This Row],[IMPORTE NETO]:[EXENTO]])</f>
        <v>0</v>
      </c>
      <c r="M74" s="40"/>
    </row>
    <row r="75" spans="2:13" ht="15" customHeight="1">
      <c r="B75" s="40"/>
      <c r="C75" s="110"/>
      <c r="D75" s="110"/>
      <c r="E75" s="104"/>
      <c r="F75" s="145"/>
      <c r="G75" s="323" t="str">
        <f>IFERROR(IF(venta_a_mes1153[[#This Row],[CUIT]]="","-",VLOOKUP(venta_a_mes1153[[#This Row],[CUIT]],Lista_CUIT[#All],2,0)),"CUIT NO CARGADO")</f>
        <v>-</v>
      </c>
      <c r="H75" s="100"/>
      <c r="I75" s="101">
        <f>venta_a_mes1153[[#This Row],[IMPORTE NETO]]*0.21</f>
        <v>0</v>
      </c>
      <c r="J75" s="40"/>
      <c r="K75" s="40"/>
      <c r="L75" s="65">
        <f>SUM(venta_a_mes1153[[#This Row],[IMPORTE NETO]:[EXENTO]])</f>
        <v>0</v>
      </c>
      <c r="M75" s="40"/>
    </row>
    <row r="76" spans="2:13" ht="15" customHeight="1">
      <c r="B76" s="40"/>
      <c r="C76" s="110"/>
      <c r="D76" s="110"/>
      <c r="E76" s="104"/>
      <c r="F76" s="145"/>
      <c r="G76" s="323" t="str">
        <f>IFERROR(IF(venta_a_mes1153[[#This Row],[CUIT]]="","-",VLOOKUP(venta_a_mes1153[[#This Row],[CUIT]],Lista_CUIT[#All],2,0)),"CUIT NO CARGADO")</f>
        <v>-</v>
      </c>
      <c r="H76" s="100"/>
      <c r="I76" s="101">
        <f>venta_a_mes1153[[#This Row],[IMPORTE NETO]]*0.21</f>
        <v>0</v>
      </c>
      <c r="J76" s="40"/>
      <c r="K76" s="40"/>
      <c r="L76" s="65">
        <f>SUM(venta_a_mes1153[[#This Row],[IMPORTE NETO]:[EXENTO]])</f>
        <v>0</v>
      </c>
      <c r="M76" s="40"/>
    </row>
    <row r="77" spans="2:13" ht="15" customHeight="1">
      <c r="B77" s="40"/>
      <c r="C77" s="110"/>
      <c r="D77" s="110"/>
      <c r="E77" s="104"/>
      <c r="F77" s="145"/>
      <c r="G77" s="323" t="str">
        <f>IFERROR(IF(venta_a_mes1153[[#This Row],[CUIT]]="","-",VLOOKUP(venta_a_mes1153[[#This Row],[CUIT]],Lista_CUIT[#All],2,0)),"CUIT NO CARGADO")</f>
        <v>-</v>
      </c>
      <c r="H77" s="100"/>
      <c r="I77" s="101">
        <f>venta_a_mes1153[[#This Row],[IMPORTE NETO]]*0.21</f>
        <v>0</v>
      </c>
      <c r="J77" s="40"/>
      <c r="K77" s="40"/>
      <c r="L77" s="65">
        <f>SUM(venta_a_mes1153[[#This Row],[IMPORTE NETO]:[EXENTO]])</f>
        <v>0</v>
      </c>
      <c r="M77" s="40"/>
    </row>
    <row r="78" spans="2:13" ht="15" customHeight="1">
      <c r="B78" s="40"/>
      <c r="C78" s="110"/>
      <c r="D78" s="110"/>
      <c r="E78" s="104"/>
      <c r="F78" s="145"/>
      <c r="G78" s="323" t="str">
        <f>IFERROR(IF(venta_a_mes1153[[#This Row],[CUIT]]="","-",VLOOKUP(venta_a_mes1153[[#This Row],[CUIT]],Lista_CUIT[#All],2,0)),"CUIT NO CARGADO")</f>
        <v>-</v>
      </c>
      <c r="H78" s="100"/>
      <c r="I78" s="101">
        <f>venta_a_mes1153[[#This Row],[IMPORTE NETO]]*0.21</f>
        <v>0</v>
      </c>
      <c r="J78" s="40"/>
      <c r="K78" s="40"/>
      <c r="L78" s="65">
        <f>SUM(venta_a_mes1153[[#This Row],[IMPORTE NETO]:[EXENTO]])</f>
        <v>0</v>
      </c>
      <c r="M78" s="40"/>
    </row>
    <row r="79" spans="2:13" ht="15" customHeight="1">
      <c r="B79" s="40"/>
      <c r="C79" s="110"/>
      <c r="D79" s="110"/>
      <c r="E79" s="104"/>
      <c r="F79" s="145"/>
      <c r="G79" s="323" t="str">
        <f>IFERROR(IF(venta_a_mes1153[[#This Row],[CUIT]]="","-",VLOOKUP(venta_a_mes1153[[#This Row],[CUIT]],Lista_CUIT[#All],2,0)),"CUIT NO CARGADO")</f>
        <v>-</v>
      </c>
      <c r="H79" s="100"/>
      <c r="I79" s="101">
        <f>venta_a_mes1153[[#This Row],[IMPORTE NETO]]*0.21</f>
        <v>0</v>
      </c>
      <c r="J79" s="40"/>
      <c r="K79" s="40"/>
      <c r="L79" s="65">
        <f>SUM(venta_a_mes1153[[#This Row],[IMPORTE NETO]:[EXENTO]])</f>
        <v>0</v>
      </c>
      <c r="M79" s="40"/>
    </row>
    <row r="80" spans="2:13" ht="15" customHeight="1">
      <c r="B80" s="40"/>
      <c r="C80" s="110"/>
      <c r="D80" s="110"/>
      <c r="E80" s="104"/>
      <c r="F80" s="145"/>
      <c r="G80" s="323" t="str">
        <f>IFERROR(IF(venta_a_mes1153[[#This Row],[CUIT]]="","-",VLOOKUP(venta_a_mes1153[[#This Row],[CUIT]],Lista_CUIT[#All],2,0)),"CUIT NO CARGADO")</f>
        <v>-</v>
      </c>
      <c r="H80" s="100"/>
      <c r="I80" s="101">
        <f>venta_a_mes1153[[#This Row],[IMPORTE NETO]]*0.21</f>
        <v>0</v>
      </c>
      <c r="J80" s="40"/>
      <c r="K80" s="40"/>
      <c r="L80" s="65">
        <f>SUM(venta_a_mes1153[[#This Row],[IMPORTE NETO]:[EXENTO]])</f>
        <v>0</v>
      </c>
      <c r="M80" s="40"/>
    </row>
    <row r="81" spans="2:13" ht="15" customHeight="1">
      <c r="B81" s="40"/>
      <c r="C81" s="110"/>
      <c r="D81" s="110"/>
      <c r="E81" s="104"/>
      <c r="F81" s="145"/>
      <c r="G81" s="323" t="str">
        <f>IFERROR(IF(venta_a_mes1153[[#This Row],[CUIT]]="","-",VLOOKUP(venta_a_mes1153[[#This Row],[CUIT]],Lista_CUIT[#All],2,0)),"CUIT NO CARGADO")</f>
        <v>-</v>
      </c>
      <c r="H81" s="100"/>
      <c r="I81" s="101">
        <f>venta_a_mes1153[[#This Row],[IMPORTE NETO]]*0.21</f>
        <v>0</v>
      </c>
      <c r="J81" s="40"/>
      <c r="K81" s="40"/>
      <c r="L81" s="65">
        <f>SUM(venta_a_mes1153[[#This Row],[IMPORTE NETO]:[EXENTO]])</f>
        <v>0</v>
      </c>
      <c r="M81" s="40"/>
    </row>
    <row r="82" spans="2:13" ht="15" customHeight="1">
      <c r="B82" s="40"/>
      <c r="C82" s="110"/>
      <c r="D82" s="110"/>
      <c r="E82" s="104"/>
      <c r="F82" s="145"/>
      <c r="G82" s="323" t="str">
        <f>IFERROR(IF(venta_a_mes1153[[#This Row],[CUIT]]="","-",VLOOKUP(venta_a_mes1153[[#This Row],[CUIT]],Lista_CUIT[#All],2,0)),"CUIT NO CARGADO")</f>
        <v>-</v>
      </c>
      <c r="H82" s="100"/>
      <c r="I82" s="101">
        <f>venta_a_mes1153[[#This Row],[IMPORTE NETO]]*0.21</f>
        <v>0</v>
      </c>
      <c r="J82" s="40"/>
      <c r="K82" s="40"/>
      <c r="L82" s="65">
        <f>SUM(venta_a_mes1153[[#This Row],[IMPORTE NETO]:[EXENTO]])</f>
        <v>0</v>
      </c>
      <c r="M82" s="40"/>
    </row>
    <row r="83" spans="2:13" ht="15" customHeight="1">
      <c r="B83" s="40"/>
      <c r="C83" s="110"/>
      <c r="D83" s="110"/>
      <c r="E83" s="104"/>
      <c r="F83" s="145"/>
      <c r="G83" s="323" t="str">
        <f>IFERROR(IF(venta_a_mes1153[[#This Row],[CUIT]]="","-",VLOOKUP(venta_a_mes1153[[#This Row],[CUIT]],Lista_CUIT[#All],2,0)),"CUIT NO CARGADO")</f>
        <v>-</v>
      </c>
      <c r="H83" s="100"/>
      <c r="I83" s="101">
        <f>venta_a_mes1153[[#This Row],[IMPORTE NETO]]*0.21</f>
        <v>0</v>
      </c>
      <c r="J83" s="40"/>
      <c r="K83" s="40"/>
      <c r="L83" s="65">
        <f>SUM(venta_a_mes1153[[#This Row],[IMPORTE NETO]:[EXENTO]])</f>
        <v>0</v>
      </c>
      <c r="M83" s="40"/>
    </row>
    <row r="84" spans="2:13" ht="15" customHeight="1">
      <c r="B84" s="40"/>
      <c r="C84" s="110"/>
      <c r="D84" s="110"/>
      <c r="E84" s="104"/>
      <c r="F84" s="145"/>
      <c r="G84" s="323" t="str">
        <f>IFERROR(IF(venta_a_mes1153[[#This Row],[CUIT]]="","-",VLOOKUP(venta_a_mes1153[[#This Row],[CUIT]],Lista_CUIT[#All],2,0)),"CUIT NO CARGADO")</f>
        <v>-</v>
      </c>
      <c r="H84" s="100"/>
      <c r="I84" s="101">
        <f>venta_a_mes1153[[#This Row],[IMPORTE NETO]]*0.21</f>
        <v>0</v>
      </c>
      <c r="J84" s="40"/>
      <c r="K84" s="40"/>
      <c r="L84" s="65">
        <f>SUM(venta_a_mes1153[[#This Row],[IMPORTE NETO]:[EXENTO]])</f>
        <v>0</v>
      </c>
      <c r="M84" s="40"/>
    </row>
    <row r="85" spans="2:13" ht="15" customHeight="1">
      <c r="B85" s="40"/>
      <c r="C85" s="110"/>
      <c r="D85" s="110"/>
      <c r="E85" s="104"/>
      <c r="F85" s="145"/>
      <c r="G85" s="323" t="str">
        <f>IFERROR(IF(venta_a_mes1153[[#This Row],[CUIT]]="","-",VLOOKUP(venta_a_mes1153[[#This Row],[CUIT]],Lista_CUIT[#All],2,0)),"CUIT NO CARGADO")</f>
        <v>-</v>
      </c>
      <c r="H85" s="100"/>
      <c r="I85" s="101">
        <f>venta_a_mes1153[[#This Row],[IMPORTE NETO]]*0.21</f>
        <v>0</v>
      </c>
      <c r="J85" s="40"/>
      <c r="K85" s="40"/>
      <c r="L85" s="65">
        <f>SUM(venta_a_mes1153[[#This Row],[IMPORTE NETO]:[EXENTO]])</f>
        <v>0</v>
      </c>
      <c r="M85" s="40"/>
    </row>
    <row r="86" spans="2:13" ht="15" customHeight="1">
      <c r="B86" s="40"/>
      <c r="C86" s="110"/>
      <c r="D86" s="110"/>
      <c r="E86" s="104"/>
      <c r="F86" s="145"/>
      <c r="G86" s="323" t="str">
        <f>IFERROR(IF(venta_a_mes1153[[#This Row],[CUIT]]="","-",VLOOKUP(venta_a_mes1153[[#This Row],[CUIT]],Lista_CUIT[#All],2,0)),"CUIT NO CARGADO")</f>
        <v>-</v>
      </c>
      <c r="H86" s="100"/>
      <c r="I86" s="101">
        <f>venta_a_mes1153[[#This Row],[IMPORTE NETO]]*0.21</f>
        <v>0</v>
      </c>
      <c r="J86" s="40"/>
      <c r="K86" s="40"/>
      <c r="L86" s="65">
        <f>SUM(venta_a_mes1153[[#This Row],[IMPORTE NETO]:[EXENTO]])</f>
        <v>0</v>
      </c>
      <c r="M86" s="40"/>
    </row>
    <row r="87" spans="2:13" ht="15" customHeight="1">
      <c r="B87" s="40"/>
      <c r="C87" s="110"/>
      <c r="D87" s="110"/>
      <c r="E87" s="104"/>
      <c r="F87" s="145"/>
      <c r="G87" s="323" t="str">
        <f>IFERROR(IF(venta_a_mes1153[[#This Row],[CUIT]]="","-",VLOOKUP(venta_a_mes1153[[#This Row],[CUIT]],Lista_CUIT[#All],2,0)),"CUIT NO CARGADO")</f>
        <v>-</v>
      </c>
      <c r="H87" s="100"/>
      <c r="I87" s="101">
        <f>venta_a_mes1153[[#This Row],[IMPORTE NETO]]*0.21</f>
        <v>0</v>
      </c>
      <c r="J87" s="40"/>
      <c r="K87" s="40"/>
      <c r="L87" s="65">
        <f>SUM(venta_a_mes1153[[#This Row],[IMPORTE NETO]:[EXENTO]])</f>
        <v>0</v>
      </c>
      <c r="M87" s="40"/>
    </row>
    <row r="88" spans="2:13">
      <c r="B88" s="66" t="s">
        <v>91</v>
      </c>
      <c r="C88" s="67"/>
      <c r="D88" s="67"/>
      <c r="E88" s="67"/>
      <c r="F88" s="67"/>
      <c r="G88" s="67"/>
      <c r="H88" s="69">
        <f>SUBTOTAL(109,venta_a_mes1153[IMPORTE NETO])</f>
        <v>0</v>
      </c>
      <c r="I88" s="70">
        <f>SUBTOTAL(109,venta_a_mes1153[IVA 21%])</f>
        <v>0</v>
      </c>
      <c r="J88" s="71">
        <f>SUBTOTAL(109,venta_a_mes1153[IVA 10,5%])</f>
        <v>0</v>
      </c>
      <c r="K88" s="71">
        <f>SUBTOTAL(109,venta_a_mes1153[EXENTO])</f>
        <v>0</v>
      </c>
      <c r="L88" s="71">
        <f>SUBTOTAL(109,venta_a_mes1153[TOTAL])</f>
        <v>0</v>
      </c>
      <c r="M88" s="68">
        <f>SUBTOTAL(103,venta_a_mes1153[Provincia])</f>
        <v>0</v>
      </c>
    </row>
    <row r="89" spans="2:13">
      <c r="B89" s="134"/>
      <c r="C89" s="134"/>
      <c r="D89" s="134"/>
      <c r="E89" s="134"/>
      <c r="F89" s="134"/>
      <c r="G89" s="134"/>
      <c r="H89" s="136"/>
      <c r="I89" s="137"/>
      <c r="J89" s="138"/>
      <c r="K89" s="138"/>
      <c r="L89" s="138"/>
      <c r="M89" s="135"/>
    </row>
    <row r="90" spans="2:13" ht="21">
      <c r="B90" s="429" t="s">
        <v>31</v>
      </c>
      <c r="C90" s="429"/>
    </row>
    <row r="91" spans="2:13" ht="31.5">
      <c r="B91" s="60" t="s">
        <v>0</v>
      </c>
      <c r="C91" s="61" t="s">
        <v>1</v>
      </c>
      <c r="D91" s="61" t="s">
        <v>21</v>
      </c>
      <c r="E91" s="61" t="s">
        <v>22</v>
      </c>
      <c r="F91" s="61" t="s">
        <v>3</v>
      </c>
      <c r="G91" s="61" t="s">
        <v>4</v>
      </c>
      <c r="H91" s="61" t="s">
        <v>23</v>
      </c>
      <c r="I91" s="61" t="s">
        <v>17</v>
      </c>
      <c r="J91" s="61" t="s">
        <v>7</v>
      </c>
      <c r="K91" s="61" t="s">
        <v>24</v>
      </c>
      <c r="L91" s="61" t="s">
        <v>10</v>
      </c>
      <c r="M91" s="62" t="s">
        <v>38</v>
      </c>
    </row>
    <row r="92" spans="2:13">
      <c r="B92" s="116"/>
      <c r="C92" s="146"/>
      <c r="D92" s="147"/>
      <c r="E92" s="129"/>
      <c r="F92" s="131"/>
      <c r="G92" s="1" t="str">
        <f>IFERROR(IF(ventas_b_mes1154[[#This Row],[CUIT]]="","-",VLOOKUP(ventas_b_mes1154[[#This Row],[CUIT]],Lista_CUIT[#All],2,0)),"CUIT NO CARGADO")</f>
        <v>-</v>
      </c>
      <c r="H92" s="64"/>
      <c r="I92" s="132">
        <f>ventas_b_mes1154[[#This Row],[IMPORTE NETO]]*0.21</f>
        <v>0</v>
      </c>
      <c r="J92" s="133"/>
      <c r="K92" s="133"/>
      <c r="L92" s="133">
        <f>ventas_b_mes1154[[#This Row],[EXENTO]]+ventas_b_mes1154[[#This Row],[IVA 10,5%]]+ventas_b_mes1154[[#This Row],[IVA 21%]]+ventas_b_mes1154[[#This Row],[IMPORTE NETO]]</f>
        <v>0</v>
      </c>
      <c r="M92" s="59"/>
    </row>
    <row r="93" spans="2:13">
      <c r="B93" s="116"/>
      <c r="C93" s="146"/>
      <c r="D93" s="147"/>
      <c r="E93" s="129"/>
      <c r="F93" s="131"/>
      <c r="G93" s="1" t="str">
        <f>IFERROR(IF(ventas_b_mes1154[[#This Row],[CUIT]]="","-",VLOOKUP(ventas_b_mes1154[[#This Row],[CUIT]],Lista_CUIT[#All],2,0)),"CUIT NO CARGADO")</f>
        <v>-</v>
      </c>
      <c r="H93" s="64"/>
      <c r="I93" s="132">
        <f>ventas_b_mes1154[[#This Row],[IMPORTE NETO]]*0.21</f>
        <v>0</v>
      </c>
      <c r="J93" s="133"/>
      <c r="K93" s="133"/>
      <c r="L93" s="133">
        <f>ventas_b_mes1154[[#This Row],[EXENTO]]+ventas_b_mes1154[[#This Row],[IVA 10,5%]]+ventas_b_mes1154[[#This Row],[IVA 21%]]+ventas_b_mes1154[[#This Row],[IMPORTE NETO]]</f>
        <v>0</v>
      </c>
      <c r="M93" s="59"/>
    </row>
    <row r="94" spans="2:13">
      <c r="B94" s="116"/>
      <c r="C94" s="146"/>
      <c r="D94" s="147"/>
      <c r="E94" s="129"/>
      <c r="F94" s="131"/>
      <c r="G94" s="1" t="str">
        <f>IFERROR(IF(ventas_b_mes1154[[#This Row],[CUIT]]="","-",VLOOKUP(ventas_b_mes1154[[#This Row],[CUIT]],Lista_CUIT[#All],2,0)),"CUIT NO CARGADO")</f>
        <v>-</v>
      </c>
      <c r="H94" s="64"/>
      <c r="I94" s="132">
        <f>ventas_b_mes1154[[#This Row],[IMPORTE NETO]]*0.21</f>
        <v>0</v>
      </c>
      <c r="J94" s="133"/>
      <c r="K94" s="133"/>
      <c r="L94" s="133">
        <f>ventas_b_mes1154[[#This Row],[EXENTO]]+ventas_b_mes1154[[#This Row],[IVA 10,5%]]+ventas_b_mes1154[[#This Row],[IVA 21%]]+ventas_b_mes1154[[#This Row],[IMPORTE NETO]]</f>
        <v>0</v>
      </c>
      <c r="M94" s="59"/>
    </row>
    <row r="95" spans="2:13">
      <c r="B95" s="116"/>
      <c r="C95" s="146"/>
      <c r="D95" s="147"/>
      <c r="E95" s="129"/>
      <c r="F95" s="131"/>
      <c r="G95" s="1" t="str">
        <f>IFERROR(IF(ventas_b_mes1154[[#This Row],[CUIT]]="","-",VLOOKUP(ventas_b_mes1154[[#This Row],[CUIT]],Lista_CUIT[#All],2,0)),"CUIT NO CARGADO")</f>
        <v>-</v>
      </c>
      <c r="H95" s="64"/>
      <c r="I95" s="132">
        <f>ventas_b_mes1154[[#This Row],[IMPORTE NETO]]*0.21</f>
        <v>0</v>
      </c>
      <c r="J95" s="133"/>
      <c r="K95" s="133"/>
      <c r="L95" s="133">
        <f>ventas_b_mes1154[[#This Row],[EXENTO]]+ventas_b_mes1154[[#This Row],[IVA 10,5%]]+ventas_b_mes1154[[#This Row],[IVA 21%]]+ventas_b_mes1154[[#This Row],[IMPORTE NETO]]</f>
        <v>0</v>
      </c>
      <c r="M95" s="59"/>
    </row>
    <row r="96" spans="2:13">
      <c r="B96" s="116"/>
      <c r="C96" s="146"/>
      <c r="D96" s="147"/>
      <c r="E96" s="129"/>
      <c r="F96" s="131"/>
      <c r="G96" s="1" t="str">
        <f>IFERROR(IF(ventas_b_mes1154[[#This Row],[CUIT]]="","-",VLOOKUP(ventas_b_mes1154[[#This Row],[CUIT]],Lista_CUIT[#All],2,0)),"CUIT NO CARGADO")</f>
        <v>-</v>
      </c>
      <c r="H96" s="64"/>
      <c r="I96" s="132">
        <f>ventas_b_mes1154[[#This Row],[IMPORTE NETO]]*0.21</f>
        <v>0</v>
      </c>
      <c r="J96" s="133"/>
      <c r="K96" s="133"/>
      <c r="L96" s="133">
        <f>ventas_b_mes1154[[#This Row],[EXENTO]]+ventas_b_mes1154[[#This Row],[IVA 10,5%]]+ventas_b_mes1154[[#This Row],[IVA 21%]]+ventas_b_mes1154[[#This Row],[IMPORTE NETO]]</f>
        <v>0</v>
      </c>
      <c r="M96" s="59"/>
    </row>
    <row r="97" spans="2:13">
      <c r="B97" s="116"/>
      <c r="C97" s="146"/>
      <c r="D97" s="147"/>
      <c r="E97" s="129"/>
      <c r="F97" s="131"/>
      <c r="G97" s="1" t="str">
        <f>IFERROR(IF(ventas_b_mes1154[[#This Row],[CUIT]]="","-",VLOOKUP(ventas_b_mes1154[[#This Row],[CUIT]],Lista_CUIT[#All],2,0)),"CUIT NO CARGADO")</f>
        <v>-</v>
      </c>
      <c r="H97" s="64"/>
      <c r="I97" s="132">
        <f>ventas_b_mes1154[[#This Row],[IMPORTE NETO]]*0.21</f>
        <v>0</v>
      </c>
      <c r="J97" s="133"/>
      <c r="K97" s="133"/>
      <c r="L97" s="133">
        <f>ventas_b_mes1154[[#This Row],[EXENTO]]+ventas_b_mes1154[[#This Row],[IVA 10,5%]]+ventas_b_mes1154[[#This Row],[IVA 21%]]+ventas_b_mes1154[[#This Row],[IMPORTE NETO]]</f>
        <v>0</v>
      </c>
      <c r="M97" s="59"/>
    </row>
    <row r="98" spans="2:13">
      <c r="B98" s="116"/>
      <c r="C98" s="146"/>
      <c r="D98" s="147"/>
      <c r="E98" s="129"/>
      <c r="F98" s="131"/>
      <c r="G98" s="1" t="str">
        <f>IFERROR(IF(ventas_b_mes1154[[#This Row],[CUIT]]="","-",VLOOKUP(ventas_b_mes1154[[#This Row],[CUIT]],Lista_CUIT[#All],2,0)),"CUIT NO CARGADO")</f>
        <v>-</v>
      </c>
      <c r="H98" s="64"/>
      <c r="I98" s="132">
        <f>ventas_b_mes1154[[#This Row],[IMPORTE NETO]]*0.21</f>
        <v>0</v>
      </c>
      <c r="J98" s="133"/>
      <c r="K98" s="133"/>
      <c r="L98" s="133">
        <f>ventas_b_mes1154[[#This Row],[EXENTO]]+ventas_b_mes1154[[#This Row],[IVA 10,5%]]+ventas_b_mes1154[[#This Row],[IVA 21%]]+ventas_b_mes1154[[#This Row],[IMPORTE NETO]]</f>
        <v>0</v>
      </c>
      <c r="M98" s="59"/>
    </row>
    <row r="99" spans="2:13">
      <c r="B99" s="116"/>
      <c r="C99" s="146"/>
      <c r="D99" s="147"/>
      <c r="E99" s="129"/>
      <c r="F99" s="131"/>
      <c r="G99" s="1" t="str">
        <f>IFERROR(IF(ventas_b_mes1154[[#This Row],[CUIT]]="","-",VLOOKUP(ventas_b_mes1154[[#This Row],[CUIT]],Lista_CUIT[#All],2,0)),"CUIT NO CARGADO")</f>
        <v>-</v>
      </c>
      <c r="H99" s="64"/>
      <c r="I99" s="132">
        <f>ventas_b_mes1154[[#This Row],[IMPORTE NETO]]*0.21</f>
        <v>0</v>
      </c>
      <c r="J99" s="133"/>
      <c r="K99" s="133"/>
      <c r="L99" s="133">
        <f>ventas_b_mes1154[[#This Row],[EXENTO]]+ventas_b_mes1154[[#This Row],[IVA 10,5%]]+ventas_b_mes1154[[#This Row],[IVA 21%]]+ventas_b_mes1154[[#This Row],[IMPORTE NETO]]</f>
        <v>0</v>
      </c>
      <c r="M99" s="59"/>
    </row>
    <row r="100" spans="2:13">
      <c r="B100" s="66" t="s">
        <v>91</v>
      </c>
      <c r="C100" s="67"/>
      <c r="D100" s="67"/>
      <c r="E100" s="67"/>
      <c r="F100" s="67"/>
      <c r="G100" s="67"/>
      <c r="H100" s="77">
        <f>SUBTOTAL(109,ventas_b_mes1154[IMPORTE NETO])</f>
        <v>0</v>
      </c>
      <c r="I100" s="77">
        <f>SUBTOTAL(109,ventas_b_mes1154[IVA 21%])</f>
        <v>0</v>
      </c>
      <c r="J100" s="78">
        <f>SUBTOTAL(109,ventas_b_mes1154[IVA 10,5%])</f>
        <v>0</v>
      </c>
      <c r="K100" s="78">
        <f>SUBTOTAL(109,ventas_b_mes1154[EXENTO])</f>
        <v>0</v>
      </c>
      <c r="L100" s="78">
        <f>SUBTOTAL(109,ventas_b_mes1154[TOTAL])</f>
        <v>0</v>
      </c>
      <c r="M100" s="68">
        <f>SUBTOTAL(103,ventas_b_mes1154[Provincia])</f>
        <v>0</v>
      </c>
    </row>
    <row r="101" spans="2:13" ht="15.75" thickBot="1">
      <c r="B101" s="134"/>
      <c r="C101" s="134"/>
      <c r="D101" s="134"/>
      <c r="E101" s="134"/>
      <c r="F101" s="134"/>
      <c r="G101" s="134"/>
      <c r="H101" s="140"/>
      <c r="I101" s="140"/>
      <c r="J101" s="141"/>
      <c r="K101" s="141"/>
      <c r="L101" s="141"/>
      <c r="M101" s="135"/>
    </row>
    <row r="102" spans="2:13" ht="15.75" thickTop="1">
      <c r="C102" s="443" t="s">
        <v>66</v>
      </c>
      <c r="D102" s="443"/>
      <c r="E102" s="443"/>
      <c r="F102" s="443"/>
      <c r="G102" s="443"/>
      <c r="H102" s="32"/>
      <c r="I102" s="32"/>
      <c r="J102" s="32"/>
    </row>
    <row r="103" spans="2:13" ht="15.75">
      <c r="C103" s="113" t="s">
        <v>67</v>
      </c>
      <c r="D103" s="114" t="s">
        <v>68</v>
      </c>
      <c r="E103" s="114" t="s">
        <v>93</v>
      </c>
      <c r="F103" s="114" t="s">
        <v>3</v>
      </c>
      <c r="G103" s="114" t="s">
        <v>4</v>
      </c>
      <c r="H103" s="115" t="s">
        <v>69</v>
      </c>
      <c r="I103" s="115" t="s">
        <v>70</v>
      </c>
      <c r="J103" s="115" t="s">
        <v>71</v>
      </c>
      <c r="K103" s="115" t="s">
        <v>72</v>
      </c>
      <c r="L103" s="115" t="s">
        <v>73</v>
      </c>
    </row>
    <row r="104" spans="2:13">
      <c r="C104" s="116"/>
      <c r="D104" s="117"/>
      <c r="E104" s="117"/>
      <c r="F104" s="118"/>
      <c r="G104" s="53" t="str">
        <f>IFERROR(IF(Retenciones_mes1156[[#This Row],[CUIT]]="","-",VLOOKUP(Retenciones_mes1156[[#This Row],[CUIT]],Lista_CUIT[#All],2,0)),"CUIT NO CARGADO")</f>
        <v>-</v>
      </c>
      <c r="H104" s="119"/>
      <c r="I104" s="119"/>
      <c r="J104" s="119"/>
      <c r="K104" s="119"/>
      <c r="L104" s="119"/>
    </row>
    <row r="105" spans="2:13">
      <c r="C105" s="116"/>
      <c r="D105" s="117"/>
      <c r="E105" s="117"/>
      <c r="F105" s="118"/>
      <c r="G105" s="53" t="str">
        <f>IFERROR(IF(Retenciones_mes1156[[#This Row],[CUIT]]="","-",VLOOKUP(Retenciones_mes1156[[#This Row],[CUIT]],Lista_CUIT[#All],2,0)),"CUIT NO CARGADO")</f>
        <v>-</v>
      </c>
      <c r="H105" s="119"/>
      <c r="I105" s="119"/>
      <c r="J105" s="119"/>
      <c r="K105" s="119"/>
      <c r="L105" s="119"/>
    </row>
    <row r="106" spans="2:13">
      <c r="C106" s="116"/>
      <c r="D106" s="117"/>
      <c r="E106" s="117"/>
      <c r="F106" s="118"/>
      <c r="G106" s="53" t="str">
        <f>IFERROR(IF(Retenciones_mes1156[[#This Row],[CUIT]]="","-",VLOOKUP(Retenciones_mes1156[[#This Row],[CUIT]],Lista_CUIT[#All],2,0)),"CUIT NO CARGADO")</f>
        <v>-</v>
      </c>
      <c r="H106" s="119"/>
      <c r="I106" s="119"/>
      <c r="J106" s="119"/>
      <c r="K106" s="119"/>
      <c r="L106" s="119"/>
    </row>
    <row r="107" spans="2:13">
      <c r="C107" s="116"/>
      <c r="D107" s="117"/>
      <c r="E107" s="117"/>
      <c r="F107" s="118"/>
      <c r="G107" s="53" t="str">
        <f>IFERROR(IF(Retenciones_mes1156[[#This Row],[CUIT]]="","-",VLOOKUP(Retenciones_mes1156[[#This Row],[CUIT]],Lista_CUIT[#All],2,0)),"CUIT NO CARGADO")</f>
        <v>-</v>
      </c>
      <c r="H107" s="119"/>
      <c r="I107" s="119"/>
      <c r="J107" s="119"/>
      <c r="K107" s="119"/>
      <c r="L107" s="119"/>
    </row>
    <row r="108" spans="2:13">
      <c r="D108" s="117"/>
      <c r="E108" s="117"/>
      <c r="G108" s="53" t="str">
        <f>IFERROR(IF(Retenciones_mes1156[[#This Row],[CUIT]]="","-",VLOOKUP(Retenciones_mes1156[[#This Row],[CUIT]],Lista_CUIT[#All],2,0)),"CUIT NO CARGADO")</f>
        <v>-</v>
      </c>
    </row>
    <row r="109" spans="2:13">
      <c r="C109" s="33"/>
    </row>
  </sheetData>
  <mergeCells count="20">
    <mergeCell ref="C102:G102"/>
    <mergeCell ref="B4:E4"/>
    <mergeCell ref="G4:H4"/>
    <mergeCell ref="J4:K4"/>
    <mergeCell ref="M4:N4"/>
    <mergeCell ref="D41:K41"/>
    <mergeCell ref="B58:J58"/>
    <mergeCell ref="K58:M58"/>
    <mergeCell ref="B60:C60"/>
    <mergeCell ref="B90:C90"/>
    <mergeCell ref="P4:R4"/>
    <mergeCell ref="D32:L32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1">
    <dataValidation type="custom" allowBlank="1" showInputMessage="1" showErrorMessage="1" errorTitle="Error de Ingreso" error="Ingreso condicionado al tipo de compra:_x000a_- Tipo 001: solo positivo_x000a_- Tipo 002: solo positivo_x000a_- Tipo 003: solo negativo" sqref="H9:O26" xr:uid="{04B5A73A-0D05-4339-BCF6-88CA7A1AFB4E}">
      <formula1>IF($C9=3,H9&lt;0,H9&gt;=0)</formula1>
    </dataValidation>
    <dataValidation type="custom" allowBlank="1" showInputMessage="1" showErrorMessage="1" sqref="H92:L99" xr:uid="{2AED985A-47B8-4DE3-9392-F4D6600E0B18}">
      <formula1>IF($C92=8,H92&lt;0,H92&gt;=0)</formula1>
    </dataValidation>
    <dataValidation type="whole" allowBlank="1" showInputMessage="1" showErrorMessage="1" sqref="C92:C99" xr:uid="{9A98BA77-9816-426C-B1FA-0848C6CCAB52}">
      <formula1>6</formula1>
      <formula2>8</formula2>
    </dataValidation>
    <dataValidation type="custom" allowBlank="1" showInputMessage="1" showErrorMessage="1" sqref="L62:L87" xr:uid="{7B1771D6-AADA-40E6-AF42-7D2415423371}">
      <formula1>IF(#REF!=3,#REF!&lt;0,#REF!&gt;=0)</formula1>
    </dataValidation>
    <dataValidation type="whole" allowBlank="1" showInputMessage="1" showErrorMessage="1" sqref="F92:F99" xr:uid="{897F8E28-486E-484B-9344-80CEAF0F1AEA}">
      <formula1>20000000000</formula1>
      <formula2>439000000000000</formula2>
    </dataValidation>
    <dataValidation type="custom" allowBlank="1" showInputMessage="1" showErrorMessage="1" sqref="H62:K87" xr:uid="{294FD3B6-3A68-459C-8906-7C5B20B183B6}">
      <formula1>IF($C62=3,H62&lt;0,H62&gt;=0)</formula1>
    </dataValidation>
    <dataValidation type="whole" allowBlank="1" showInputMessage="1" showErrorMessage="1" sqref="C28:C31 C9:C26 C62:C87" xr:uid="{8D7F974F-70DB-4CD6-B429-BF448B5CB5B6}">
      <formula1>1</formula1>
      <formula2>3</formula2>
    </dataValidation>
    <dataValidation type="date" allowBlank="1" showInputMessage="1" showErrorMessage="1" sqref="D34:D36 B28:B31 B62:B87 B9:B26 D43:D49 B92:B99" xr:uid="{F1152469-51D6-4B65-A99F-4DFC1FD0DAF4}">
      <formula1>40179</formula1>
      <formula2>TODAY()</formula2>
    </dataValidation>
    <dataValidation type="whole" allowBlank="1" showInputMessage="1" showErrorMessage="1" sqref="G43:G49 F9:F26 F62:F87" xr:uid="{EFAE0626-3C40-4C9D-882D-51DDCB97E6ED}">
      <formula1>20000000000</formula1>
      <formula2>33999999999</formula2>
    </dataValidation>
    <dataValidation type="whole" allowBlank="1" showInputMessage="1" showErrorMessage="1" sqref="E9:E26 E62:E87 E34:E36 F43:F49 E92:E99" xr:uid="{6B344A0E-36D2-46ED-AC78-31D1892D026E}">
      <formula1>1</formula1>
      <formula2>99999999</formula2>
    </dataValidation>
    <dataValidation type="whole" allowBlank="1" showInputMessage="1" showErrorMessage="1" sqref="D62:D87 D9:D26 E43:E49 D92:D99" xr:uid="{415511F1-0824-45FA-A113-6DFB68460BD2}">
      <formula1>1</formula1>
      <formula2>9999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9">
    <tabColor theme="8" tint="0.39997558519241921"/>
  </sheetPr>
  <dimension ref="B2:Q108"/>
  <sheetViews>
    <sheetView showGridLines="0" zoomScaleNormal="100" workbookViewId="0">
      <selection activeCell="D5" sqref="D5"/>
    </sheetView>
  </sheetViews>
  <sheetFormatPr baseColWidth="10" defaultRowHeight="15"/>
  <cols>
    <col min="1" max="1" width="3.42578125" customWidth="1"/>
    <col min="3" max="3" width="20.28515625" bestFit="1" customWidth="1"/>
    <col min="4" max="4" width="12.7109375" bestFit="1" customWidth="1"/>
    <col min="5" max="5" width="14.140625" customWidth="1"/>
    <col min="6" max="6" width="3.42578125" customWidth="1"/>
    <col min="8" max="8" width="20.28515625" bestFit="1" customWidth="1"/>
    <col min="9" max="9" width="12.7109375" bestFit="1" customWidth="1"/>
    <col min="10" max="10" width="13.7109375" customWidth="1"/>
    <col min="11" max="11" width="2.140625" customWidth="1"/>
    <col min="13" max="13" width="17.28515625" customWidth="1"/>
    <col min="14" max="14" width="12.7109375" bestFit="1" customWidth="1"/>
    <col min="15" max="15" width="13.85546875" customWidth="1"/>
    <col min="16" max="16" width="6.7109375" customWidth="1"/>
  </cols>
  <sheetData>
    <row r="2" spans="2:17" ht="31.5">
      <c r="B2" s="451" t="s">
        <v>59</v>
      </c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</row>
    <row r="3" spans="2:17" ht="10.9" customHeight="1" thickBot="1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9.5" thickBot="1">
      <c r="B4" s="447">
        <f>'Ene-26'!N1</f>
        <v>46023</v>
      </c>
      <c r="C4" s="448"/>
      <c r="D4" s="448"/>
      <c r="E4" s="449"/>
      <c r="F4" s="3"/>
      <c r="G4" s="447">
        <f>EDATE($B$4,1)</f>
        <v>46054</v>
      </c>
      <c r="H4" s="448"/>
      <c r="I4" s="448"/>
      <c r="J4" s="449"/>
      <c r="K4" s="3"/>
      <c r="L4" s="447">
        <f>EDATE($G$4,1)</f>
        <v>46082</v>
      </c>
      <c r="M4" s="448"/>
      <c r="N4" s="448"/>
      <c r="O4" s="449"/>
    </row>
    <row r="5" spans="2:17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>
      <c r="B25" s="11"/>
      <c r="C25" s="14"/>
      <c r="D25" s="120"/>
      <c r="E25" s="18"/>
      <c r="F25" s="3"/>
      <c r="G25" s="11" t="str">
        <f>IF($B$25="","",$B$25)</f>
        <v/>
      </c>
      <c r="H25" s="14" t="str">
        <f>IF($C$25="","",$C$25)</f>
        <v/>
      </c>
      <c r="I25" s="120"/>
      <c r="J25" s="18"/>
      <c r="K25" s="3"/>
      <c r="L25" s="11" t="str">
        <f>IF($B$25="","",$B$25)</f>
        <v/>
      </c>
      <c r="M25" s="14" t="str">
        <f>IF($C$25="","",$C$25)</f>
        <v/>
      </c>
      <c r="N25" s="120"/>
      <c r="O25" s="18"/>
    </row>
    <row r="26" spans="2:17">
      <c r="B26" s="11"/>
      <c r="C26" s="14"/>
      <c r="D26" s="120"/>
      <c r="E26" s="18"/>
      <c r="F26" s="3"/>
      <c r="G26" s="11" t="str">
        <f>IF($B$26="","",$B$26)</f>
        <v/>
      </c>
      <c r="H26" s="14" t="str">
        <f>IF($C$26="","",$C$26)</f>
        <v/>
      </c>
      <c r="I26" s="120"/>
      <c r="J26" s="18"/>
      <c r="K26" s="3"/>
      <c r="L26" s="11" t="str">
        <f>IF($B$26="","",$B$26)</f>
        <v/>
      </c>
      <c r="M26" s="14" t="str">
        <f>IF($C$26="","",$C$26)</f>
        <v/>
      </c>
      <c r="N26" s="120"/>
      <c r="O26" s="18"/>
    </row>
    <row r="27" spans="2:17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>
      <c r="B28" s="450" t="s">
        <v>54</v>
      </c>
      <c r="C28" s="450"/>
      <c r="D28" s="450"/>
      <c r="E28" s="8">
        <v>0</v>
      </c>
      <c r="F28" s="3"/>
      <c r="G28" s="450" t="s">
        <v>55</v>
      </c>
      <c r="H28" s="450"/>
      <c r="I28" s="450"/>
      <c r="J28" s="8">
        <v>0</v>
      </c>
      <c r="K28" s="3"/>
      <c r="L28" s="450" t="s">
        <v>56</v>
      </c>
      <c r="M28" s="450"/>
      <c r="N28" s="450"/>
      <c r="O28" s="8">
        <v>0</v>
      </c>
    </row>
    <row r="29" spans="2:17" ht="15.75" thickBot="1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9.5" thickBot="1">
      <c r="B30" s="447">
        <f>EDATE($L$4,1)</f>
        <v>46113</v>
      </c>
      <c r="C30" s="448"/>
      <c r="D30" s="448"/>
      <c r="E30" s="449"/>
      <c r="F30" s="3"/>
      <c r="G30" s="447">
        <f>EDATE($B$30,1)</f>
        <v>46143</v>
      </c>
      <c r="H30" s="448"/>
      <c r="I30" s="448"/>
      <c r="J30" s="449"/>
      <c r="K30" s="3"/>
      <c r="L30" s="447">
        <f>EDATE($G$30,1)</f>
        <v>46174</v>
      </c>
      <c r="M30" s="448"/>
      <c r="N30" s="448"/>
      <c r="O30" s="449"/>
    </row>
    <row r="31" spans="2:17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>
      <c r="B51" s="11" t="str">
        <f>IF($B$25="","",$B$25)</f>
        <v/>
      </c>
      <c r="C51" s="14" t="str">
        <f>IF($C$25="","",$C$25)</f>
        <v/>
      </c>
      <c r="D51" s="120"/>
      <c r="E51" s="18"/>
      <c r="F51" s="3"/>
      <c r="G51" s="11" t="str">
        <f>IF($B$25="","",$B$25)</f>
        <v/>
      </c>
      <c r="H51" s="14" t="str">
        <f>IF($C$25="","",$C$25)</f>
        <v/>
      </c>
      <c r="I51" s="120"/>
      <c r="J51" s="18"/>
      <c r="K51" s="3"/>
      <c r="L51" s="11" t="str">
        <f>IF($B$25="","",$B$25)</f>
        <v/>
      </c>
      <c r="M51" s="14" t="str">
        <f>IF($C$25="","",$C$25)</f>
        <v/>
      </c>
      <c r="N51" s="120"/>
      <c r="O51" s="18"/>
    </row>
    <row r="52" spans="2:15">
      <c r="B52" s="11" t="str">
        <f>IF($B$26="","",$B$26)</f>
        <v/>
      </c>
      <c r="C52" s="14" t="str">
        <f>IF($C$26="","",$C$26)</f>
        <v/>
      </c>
      <c r="D52" s="120"/>
      <c r="E52" s="18"/>
      <c r="F52" s="3"/>
      <c r="G52" s="11" t="str">
        <f>IF($B$26="","",$B$26)</f>
        <v/>
      </c>
      <c r="H52" s="14" t="str">
        <f>IF($C$26="","",$C$26)</f>
        <v/>
      </c>
      <c r="I52" s="120"/>
      <c r="J52" s="18"/>
      <c r="K52" s="3"/>
      <c r="L52" s="11" t="str">
        <f>IF($B$26="","",$B$26)</f>
        <v/>
      </c>
      <c r="M52" s="14" t="str">
        <f>IF($C$26="","",$C$26)</f>
        <v/>
      </c>
      <c r="N52" s="120"/>
      <c r="O52" s="18"/>
    </row>
    <row r="53" spans="2:15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>
      <c r="B54" s="450"/>
      <c r="C54" s="450"/>
      <c r="D54" s="450"/>
      <c r="E54" s="8">
        <v>0</v>
      </c>
      <c r="F54" s="3"/>
      <c r="G54" s="450"/>
      <c r="H54" s="450"/>
      <c r="I54" s="450"/>
      <c r="J54" s="8">
        <v>0</v>
      </c>
      <c r="K54" s="3"/>
      <c r="L54" s="450"/>
      <c r="M54" s="450"/>
      <c r="N54" s="450"/>
      <c r="O54" s="8">
        <v>0</v>
      </c>
    </row>
    <row r="55" spans="2:15" ht="15.75" thickBot="1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9.5" thickBot="1">
      <c r="B56" s="447">
        <f>EDATE($L$30,1)</f>
        <v>46204</v>
      </c>
      <c r="C56" s="448"/>
      <c r="D56" s="448"/>
      <c r="E56" s="449"/>
      <c r="F56" s="3"/>
      <c r="G56" s="447">
        <f>EDATE($B$56,1)</f>
        <v>46235</v>
      </c>
      <c r="H56" s="448"/>
      <c r="I56" s="448"/>
      <c r="J56" s="449"/>
      <c r="K56" s="3"/>
      <c r="L56" s="447">
        <f>EDATE($G$56,1)</f>
        <v>46266</v>
      </c>
      <c r="M56" s="448"/>
      <c r="N56" s="448"/>
      <c r="O56" s="449"/>
    </row>
    <row r="57" spans="2:15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>
      <c r="B77" s="11" t="str">
        <f>IF($B$25="","",$B$25)</f>
        <v/>
      </c>
      <c r="C77" s="14" t="str">
        <f>IF($C$25="","",$C$25)</f>
        <v/>
      </c>
      <c r="D77" s="120"/>
      <c r="E77" s="18"/>
      <c r="F77" s="3"/>
      <c r="G77" s="11" t="str">
        <f>IF($B$25="","",$B$25)</f>
        <v/>
      </c>
      <c r="H77" s="14" t="str">
        <f>IF($C$25="","",$C$25)</f>
        <v/>
      </c>
      <c r="I77" s="120"/>
      <c r="J77" s="18"/>
      <c r="K77" s="3"/>
      <c r="L77" s="11" t="str">
        <f>IF($B$25="","",$B$25)</f>
        <v/>
      </c>
      <c r="M77" s="14" t="str">
        <f>IF($C$25="","",$C$25)</f>
        <v/>
      </c>
      <c r="N77" s="120"/>
      <c r="O77" s="18"/>
    </row>
    <row r="78" spans="2:15">
      <c r="B78" s="11" t="str">
        <f>IF($B$26="","",$B$26)</f>
        <v/>
      </c>
      <c r="C78" s="14" t="str">
        <f>IF($C$26="","",$C$26)</f>
        <v/>
      </c>
      <c r="D78" s="120"/>
      <c r="E78" s="18"/>
      <c r="F78" s="3"/>
      <c r="G78" s="11" t="str">
        <f>IF($B$26="","",$B$26)</f>
        <v/>
      </c>
      <c r="H78" s="14" t="str">
        <f>IF($C$26="","",$C$26)</f>
        <v/>
      </c>
      <c r="I78" s="120"/>
      <c r="J78" s="18"/>
      <c r="K78" s="3"/>
      <c r="L78" s="11" t="str">
        <f>IF($B$26="","",$B$26)</f>
        <v/>
      </c>
      <c r="M78" s="14" t="str">
        <f>IF($C$26="","",$C$26)</f>
        <v/>
      </c>
      <c r="N78" s="120"/>
      <c r="O78" s="18"/>
    </row>
    <row r="79" spans="2:15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>
      <c r="B80" s="450"/>
      <c r="C80" s="450"/>
      <c r="D80" s="450"/>
      <c r="E80" s="8">
        <v>0</v>
      </c>
      <c r="F80" s="3"/>
      <c r="G80" s="450"/>
      <c r="H80" s="450"/>
      <c r="I80" s="450"/>
      <c r="J80" s="8">
        <v>0</v>
      </c>
      <c r="K80" s="3"/>
      <c r="L80" s="450"/>
      <c r="M80" s="450"/>
      <c r="N80" s="450"/>
      <c r="O80" s="8">
        <v>0</v>
      </c>
    </row>
    <row r="81" spans="2:15" ht="15.75" thickBo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9.5" thickBot="1">
      <c r="B82" s="447">
        <f>EDATE($L$56,1)</f>
        <v>46296</v>
      </c>
      <c r="C82" s="448"/>
      <c r="D82" s="448"/>
      <c r="E82" s="449"/>
      <c r="F82" s="3"/>
      <c r="G82" s="447">
        <f>EDATE($B$82,1)</f>
        <v>46327</v>
      </c>
      <c r="H82" s="448"/>
      <c r="I82" s="448"/>
      <c r="J82" s="449"/>
      <c r="K82" s="3"/>
      <c r="L82" s="447">
        <f>EDATE($G$82,1)</f>
        <v>46357</v>
      </c>
      <c r="M82" s="448"/>
      <c r="N82" s="448"/>
      <c r="O82" s="449"/>
    </row>
    <row r="83" spans="2:15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>
      <c r="B103" s="11" t="str">
        <f>IF($B$25="","",$B$25)</f>
        <v/>
      </c>
      <c r="C103" s="14" t="str">
        <f>IF($C$25="","",$C$25)</f>
        <v/>
      </c>
      <c r="D103" s="120"/>
      <c r="E103" s="18"/>
      <c r="F103" s="3"/>
      <c r="G103" s="11" t="str">
        <f>IF($B$25="","",$B$25)</f>
        <v/>
      </c>
      <c r="H103" s="14" t="str">
        <f>IF($C$25="","",$C$25)</f>
        <v/>
      </c>
      <c r="I103" s="120"/>
      <c r="J103" s="18"/>
      <c r="K103" s="3"/>
      <c r="L103" s="11" t="str">
        <f>IF($B$25="","",$B$25)</f>
        <v/>
      </c>
      <c r="M103" s="14" t="str">
        <f>IF($C$25="","",$C$25)</f>
        <v/>
      </c>
      <c r="N103" s="120"/>
      <c r="O103" s="18"/>
    </row>
    <row r="104" spans="2:15">
      <c r="B104" s="11" t="str">
        <f>IF($B$26="","",$B$26)</f>
        <v/>
      </c>
      <c r="C104" s="14" t="str">
        <f>IF($C$26="","",$C$26)</f>
        <v/>
      </c>
      <c r="D104" s="120"/>
      <c r="E104" s="18"/>
      <c r="F104" s="3"/>
      <c r="G104" s="11" t="str">
        <f>IF($B$26="","",$B$26)</f>
        <v/>
      </c>
      <c r="H104" s="14" t="str">
        <f>IF($C$26="","",$C$26)</f>
        <v/>
      </c>
      <c r="I104" s="120"/>
      <c r="J104" s="18"/>
      <c r="K104" s="3"/>
      <c r="L104" s="11" t="str">
        <f>IF($B$26="","",$B$26)</f>
        <v/>
      </c>
      <c r="M104" s="14" t="str">
        <f>IF($C$26="","",$C$26)</f>
        <v/>
      </c>
      <c r="N104" s="120"/>
      <c r="O104" s="18"/>
    </row>
    <row r="105" spans="2:15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>
      <c r="B106" s="450"/>
      <c r="C106" s="450"/>
      <c r="D106" s="450"/>
      <c r="E106" s="8">
        <v>0</v>
      </c>
      <c r="F106" s="3"/>
      <c r="G106" s="450"/>
      <c r="H106" s="450"/>
      <c r="I106" s="450"/>
      <c r="J106" s="8">
        <v>0</v>
      </c>
      <c r="K106" s="3"/>
      <c r="L106" s="450"/>
      <c r="M106" s="450"/>
      <c r="N106" s="450"/>
      <c r="O106" s="8">
        <v>0</v>
      </c>
    </row>
    <row r="107" spans="2:15">
      <c r="B107" s="3"/>
      <c r="C107" s="3"/>
      <c r="D107" s="3"/>
      <c r="E107" s="3"/>
      <c r="L107" s="446"/>
      <c r="M107" s="446"/>
      <c r="N107" s="446"/>
      <c r="O107" s="3"/>
    </row>
    <row r="108" spans="2:15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tabColor theme="8" tint="0.39997558519241921"/>
  </sheetPr>
  <dimension ref="A2:R30"/>
  <sheetViews>
    <sheetView showGridLines="0" workbookViewId="0">
      <selection activeCell="J47" sqref="J47"/>
    </sheetView>
  </sheetViews>
  <sheetFormatPr baseColWidth="10" defaultColWidth="0" defaultRowHeight="15"/>
  <cols>
    <col min="1" max="1" width="3.28515625" customWidth="1"/>
    <col min="2" max="5" width="11.5703125" customWidth="1"/>
    <col min="6" max="6" width="3.5703125" customWidth="1"/>
    <col min="7" max="10" width="11.5703125" customWidth="1"/>
    <col min="11" max="11" width="3" customWidth="1"/>
    <col min="12" max="18" width="11.5703125" customWidth="1"/>
    <col min="19" max="16384" width="11.5703125" hidden="1"/>
  </cols>
  <sheetData>
    <row r="2" spans="2:15" ht="31.5">
      <c r="B2" s="451" t="s">
        <v>60</v>
      </c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</row>
    <row r="3" spans="2:15" ht="15.75" thickBo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9.5" thickBot="1">
      <c r="B4" s="447">
        <f>'Ene-26'!N1</f>
        <v>46023</v>
      </c>
      <c r="C4" s="448"/>
      <c r="D4" s="448"/>
      <c r="E4" s="449"/>
      <c r="F4" s="3"/>
      <c r="G4" s="447">
        <f>EDATE($B$4,1)</f>
        <v>46054</v>
      </c>
      <c r="H4" s="448"/>
      <c r="I4" s="448"/>
      <c r="J4" s="449"/>
      <c r="K4" s="3"/>
      <c r="L4" s="447">
        <f>EDATE($B$4,2)</f>
        <v>46082</v>
      </c>
      <c r="M4" s="448"/>
      <c r="N4" s="448"/>
      <c r="O4" s="449"/>
    </row>
    <row r="5" spans="2:15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.75" thickBot="1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.75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9.5" thickBot="1">
      <c r="B11" s="447">
        <f>EDATE($B$4,3)</f>
        <v>46113</v>
      </c>
      <c r="C11" s="448"/>
      <c r="D11" s="448"/>
      <c r="E11" s="449"/>
      <c r="F11" s="3"/>
      <c r="G11" s="447">
        <f>EDATE($B$4,4)</f>
        <v>46143</v>
      </c>
      <c r="H11" s="448"/>
      <c r="I11" s="448"/>
      <c r="J11" s="449"/>
      <c r="K11" s="3"/>
      <c r="L11" s="447">
        <f>EDATE($B$4,5)</f>
        <v>46174</v>
      </c>
      <c r="M11" s="448"/>
      <c r="N11" s="448"/>
      <c r="O11" s="449"/>
    </row>
    <row r="12" spans="2:15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.75" thickBot="1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.75" thickBot="1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9.5" thickBot="1">
      <c r="B18" s="447">
        <f>EDATE($B$4,6)</f>
        <v>46204</v>
      </c>
      <c r="C18" s="448"/>
      <c r="D18" s="448"/>
      <c r="E18" s="449"/>
      <c r="F18" s="3"/>
      <c r="G18" s="447">
        <f>EDATE($B$4,7)</f>
        <v>46235</v>
      </c>
      <c r="H18" s="448"/>
      <c r="I18" s="448"/>
      <c r="J18" s="449"/>
      <c r="K18" s="3"/>
      <c r="L18" s="447">
        <f>EDATE($B$4,8)</f>
        <v>46266</v>
      </c>
      <c r="M18" s="448"/>
      <c r="N18" s="448"/>
      <c r="O18" s="449"/>
    </row>
    <row r="19" spans="2:15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.75" thickBot="1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.75" thickBot="1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9.5" thickBot="1">
      <c r="B25" s="447">
        <f>EDATE($B$4,9)</f>
        <v>46296</v>
      </c>
      <c r="C25" s="448"/>
      <c r="D25" s="448"/>
      <c r="E25" s="449"/>
      <c r="F25" s="3"/>
      <c r="G25" s="447">
        <f>EDATE($B$4,10)</f>
        <v>46327</v>
      </c>
      <c r="H25" s="448"/>
      <c r="I25" s="448"/>
      <c r="J25" s="449"/>
      <c r="K25" s="3"/>
      <c r="L25" s="447">
        <f>EDATE($B$4,11)</f>
        <v>46357</v>
      </c>
      <c r="M25" s="448"/>
      <c r="N25" s="448"/>
      <c r="O25" s="449"/>
    </row>
    <row r="26" spans="2:15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.75" thickBot="1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G18:J18"/>
    <mergeCell ref="L18:O18"/>
    <mergeCell ref="B25:E25"/>
    <mergeCell ref="G25:J25"/>
    <mergeCell ref="L25:O25"/>
    <mergeCell ref="B18:E18"/>
    <mergeCell ref="B2:O2"/>
    <mergeCell ref="B4:E4"/>
    <mergeCell ref="G4:J4"/>
    <mergeCell ref="L4:O4"/>
    <mergeCell ref="B11:E11"/>
    <mergeCell ref="G11:J11"/>
    <mergeCell ref="L11:O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Lista_CUIT</vt:lpstr>
      <vt:lpstr>Ene-26</vt:lpstr>
      <vt:lpstr>Feb-26</vt:lpstr>
      <vt:lpstr>Mar-26</vt:lpstr>
      <vt:lpstr>Abr-26</vt:lpstr>
      <vt:lpstr>May-26</vt:lpstr>
      <vt:lpstr>Jun-26</vt:lpstr>
      <vt:lpstr>Jul-26</vt:lpstr>
      <vt:lpstr>Ago-26</vt:lpstr>
      <vt:lpstr>Sep-26</vt:lpstr>
      <vt:lpstr>Oct-26</vt:lpstr>
      <vt:lpstr>Nov-26</vt:lpstr>
      <vt:lpstr>Dic-26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FEDE-PC</dc:creator>
  <cp:lastModifiedBy>Usuario</cp:lastModifiedBy>
  <cp:lastPrinted>2022-12-26T13:32:17Z</cp:lastPrinted>
  <dcterms:created xsi:type="dcterms:W3CDTF">2006-09-16T00:00:00Z</dcterms:created>
  <dcterms:modified xsi:type="dcterms:W3CDTF">2026-05-14T19:05:50Z</dcterms:modified>
</cp:coreProperties>
</file>