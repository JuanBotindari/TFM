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01. EMPRESAS\RABLEB S.R.L\02. COMPRAS Y VENTAS\COMPRAS VENTAS 2024\"/>
    </mc:Choice>
  </mc:AlternateContent>
  <xr:revisionPtr revIDLastSave="0" documentId="13_ncr:1_{7BE9396A-412D-473A-B14C-26D8C716FD0C}" xr6:coauthVersionLast="47" xr6:coauthVersionMax="47" xr10:uidLastSave="{00000000-0000-0000-0000-000000000000}"/>
  <bookViews>
    <workbookView xWindow="-108" yWindow="-108" windowWidth="30936" windowHeight="16776" tabRatio="815" activeTab="12" xr2:uid="{00000000-000D-0000-FFFF-FFFF00000000}"/>
  </bookViews>
  <sheets>
    <sheet name="Lista_CUIT" sheetId="8" r:id="rId1"/>
    <sheet name="Ene-24" sheetId="2" r:id="rId2"/>
    <sheet name="Feb-24" sheetId="10" r:id="rId3"/>
    <sheet name="Mar-24" sheetId="11" r:id="rId4"/>
    <sheet name="Abr-24" sheetId="12" r:id="rId5"/>
    <sheet name="May-24" sheetId="16" r:id="rId6"/>
    <sheet name="Jun-24" sheetId="13" r:id="rId7"/>
    <sheet name="Jul-24" sheetId="15" r:id="rId8"/>
    <sheet name="Ago-24" sheetId="18" r:id="rId9"/>
    <sheet name="Sep-24" sheetId="19" r:id="rId10"/>
    <sheet name="Oct-24" sheetId="14" r:id="rId11"/>
    <sheet name="Nov-24" sheetId="21" r:id="rId12"/>
    <sheet name="Dic-24" sheetId="22" r:id="rId13"/>
    <sheet name="Asto-Cpras" sheetId="3" r:id="rId14"/>
    <sheet name="Asto-Vtas" sheetId="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4" l="1"/>
  <c r="L25" i="19"/>
  <c r="I11" i="22"/>
  <c r="I26" i="22"/>
  <c r="I12" i="22"/>
  <c r="I25" i="22"/>
  <c r="I14" i="22"/>
  <c r="P14" i="22" s="1"/>
  <c r="I15" i="22"/>
  <c r="I16" i="22"/>
  <c r="I17" i="22"/>
  <c r="P17" i="22" s="1"/>
  <c r="I18" i="22"/>
  <c r="P18" i="22" s="1"/>
  <c r="I19" i="22"/>
  <c r="P19" i="22" s="1"/>
  <c r="I20" i="22"/>
  <c r="P20" i="22" s="1"/>
  <c r="I21" i="22"/>
  <c r="P21" i="22" s="1"/>
  <c r="I13" i="22"/>
  <c r="P13" i="22" s="1"/>
  <c r="I22" i="22"/>
  <c r="I23" i="22"/>
  <c r="I24" i="22"/>
  <c r="P24" i="22" s="1"/>
  <c r="I9" i="22"/>
  <c r="P9" i="22" s="1"/>
  <c r="I10" i="22"/>
  <c r="K12" i="22"/>
  <c r="K27" i="22" s="1"/>
  <c r="G93" i="22"/>
  <c r="I93" i="22"/>
  <c r="L93" i="22" s="1"/>
  <c r="G94" i="22"/>
  <c r="I94" i="22"/>
  <c r="L94" i="22" s="1"/>
  <c r="G95" i="22"/>
  <c r="I95" i="22"/>
  <c r="L95" i="22" s="1"/>
  <c r="G96" i="22"/>
  <c r="I96" i="22"/>
  <c r="L96" i="22" s="1"/>
  <c r="G63" i="22"/>
  <c r="I63" i="22"/>
  <c r="L63" i="22" s="1"/>
  <c r="G64" i="22"/>
  <c r="I64" i="22"/>
  <c r="L64" i="22" s="1"/>
  <c r="G65" i="22"/>
  <c r="I65" i="22"/>
  <c r="L65" i="22" s="1"/>
  <c r="G66" i="22"/>
  <c r="I66" i="22"/>
  <c r="L66" i="22" s="1"/>
  <c r="G67" i="22"/>
  <c r="I67" i="22"/>
  <c r="L67" i="22" s="1"/>
  <c r="G68" i="22"/>
  <c r="I68" i="22"/>
  <c r="L68" i="22" s="1"/>
  <c r="G69" i="22"/>
  <c r="I69" i="22"/>
  <c r="L69" i="22" s="1"/>
  <c r="G70" i="22"/>
  <c r="I70" i="22"/>
  <c r="L70" i="22" s="1"/>
  <c r="G71" i="22"/>
  <c r="I71" i="22"/>
  <c r="L71" i="22" s="1"/>
  <c r="G72" i="22"/>
  <c r="I72" i="22"/>
  <c r="L72" i="22" s="1"/>
  <c r="G73" i="22"/>
  <c r="I73" i="22"/>
  <c r="L73" i="22" s="1"/>
  <c r="G74" i="22"/>
  <c r="I74" i="22"/>
  <c r="L74" i="22" s="1"/>
  <c r="G75" i="22"/>
  <c r="I75" i="22"/>
  <c r="L75" i="22" s="1"/>
  <c r="G76" i="22"/>
  <c r="I76" i="22"/>
  <c r="L76" i="22" s="1"/>
  <c r="G77" i="22"/>
  <c r="I77" i="22"/>
  <c r="L77" i="22" s="1"/>
  <c r="G78" i="22"/>
  <c r="I78" i="22"/>
  <c r="L78" i="22" s="1"/>
  <c r="G79" i="22"/>
  <c r="I79" i="22"/>
  <c r="L79" i="22" s="1"/>
  <c r="G80" i="22"/>
  <c r="I80" i="22"/>
  <c r="L80" i="22" s="1"/>
  <c r="G81" i="22"/>
  <c r="I81" i="22"/>
  <c r="L81" i="22" s="1"/>
  <c r="G82" i="22"/>
  <c r="I82" i="22"/>
  <c r="L82" i="22" s="1"/>
  <c r="G83" i="22"/>
  <c r="I83" i="22"/>
  <c r="L83" i="22" s="1"/>
  <c r="G84" i="22"/>
  <c r="I84" i="22"/>
  <c r="L84" i="22" s="1"/>
  <c r="G85" i="22"/>
  <c r="I85" i="22"/>
  <c r="L85" i="22" s="1"/>
  <c r="G86" i="22"/>
  <c r="I86" i="22"/>
  <c r="L86" i="22" s="1"/>
  <c r="G87" i="22"/>
  <c r="I87" i="22"/>
  <c r="L87" i="22" s="1"/>
  <c r="H44" i="22"/>
  <c r="J44" i="22"/>
  <c r="K44" i="22"/>
  <c r="H45" i="22"/>
  <c r="J45" i="22"/>
  <c r="K45" i="22"/>
  <c r="H46" i="22"/>
  <c r="J46" i="22"/>
  <c r="K46" i="22"/>
  <c r="H47" i="22"/>
  <c r="J47" i="22"/>
  <c r="K47" i="22"/>
  <c r="H48" i="22"/>
  <c r="J48" i="22"/>
  <c r="K48" i="22"/>
  <c r="H49" i="22"/>
  <c r="J49" i="22"/>
  <c r="K49" i="22"/>
  <c r="G26" i="22"/>
  <c r="P26" i="22"/>
  <c r="Q26" i="22"/>
  <c r="R26" i="22"/>
  <c r="G12" i="22"/>
  <c r="Q12" i="22"/>
  <c r="R12" i="22"/>
  <c r="G25" i="22"/>
  <c r="P25" i="22"/>
  <c r="Q25" i="22"/>
  <c r="R25" i="22"/>
  <c r="G14" i="22"/>
  <c r="Q14" i="22"/>
  <c r="R14" i="22"/>
  <c r="G15" i="22"/>
  <c r="P15" i="22"/>
  <c r="Q15" i="22"/>
  <c r="R15" i="22"/>
  <c r="G16" i="22"/>
  <c r="P16" i="22"/>
  <c r="Q16" i="22"/>
  <c r="R16" i="22"/>
  <c r="G17" i="22"/>
  <c r="Q17" i="22"/>
  <c r="R17" i="22"/>
  <c r="G18" i="22"/>
  <c r="Q18" i="22"/>
  <c r="R18" i="22"/>
  <c r="G19" i="22"/>
  <c r="Q19" i="22"/>
  <c r="R19" i="22"/>
  <c r="G20" i="22"/>
  <c r="Q20" i="22"/>
  <c r="R20" i="22"/>
  <c r="G21" i="22"/>
  <c r="Q21" i="22"/>
  <c r="R21" i="22"/>
  <c r="G13" i="22"/>
  <c r="Q13" i="22"/>
  <c r="R13" i="22"/>
  <c r="G22" i="22"/>
  <c r="P22" i="22"/>
  <c r="Q22" i="22"/>
  <c r="R22" i="22"/>
  <c r="G23" i="22"/>
  <c r="P23" i="22"/>
  <c r="Q23" i="22"/>
  <c r="R23" i="22"/>
  <c r="G24" i="22"/>
  <c r="Q24" i="22"/>
  <c r="R24" i="22"/>
  <c r="G9" i="22"/>
  <c r="Q9" i="22"/>
  <c r="R9" i="22"/>
  <c r="G10" i="22"/>
  <c r="P10" i="22"/>
  <c r="Q10" i="22"/>
  <c r="R10" i="22"/>
  <c r="G108" i="22"/>
  <c r="G107" i="22"/>
  <c r="G106" i="22"/>
  <c r="G105" i="22"/>
  <c r="G104" i="22"/>
  <c r="M100" i="22"/>
  <c r="K100" i="22"/>
  <c r="J100" i="22"/>
  <c r="H100" i="22"/>
  <c r="I99" i="22"/>
  <c r="L99" i="22" s="1"/>
  <c r="G99" i="22"/>
  <c r="I98" i="22"/>
  <c r="L98" i="22" s="1"/>
  <c r="G98" i="22"/>
  <c r="I97" i="22"/>
  <c r="L97" i="22" s="1"/>
  <c r="G97" i="22"/>
  <c r="I92" i="22"/>
  <c r="L92" i="22" s="1"/>
  <c r="G92" i="22"/>
  <c r="M88" i="22"/>
  <c r="K88" i="22"/>
  <c r="J88" i="22"/>
  <c r="H88" i="22"/>
  <c r="I62" i="22"/>
  <c r="L62" i="22" s="1"/>
  <c r="G62" i="22"/>
  <c r="I51" i="22"/>
  <c r="K50" i="22"/>
  <c r="J50" i="22"/>
  <c r="H50" i="22"/>
  <c r="K43" i="22"/>
  <c r="J43" i="22"/>
  <c r="H43" i="22"/>
  <c r="L37" i="22"/>
  <c r="K37" i="22"/>
  <c r="J37" i="22"/>
  <c r="I37" i="22"/>
  <c r="G37" i="22"/>
  <c r="H36" i="22"/>
  <c r="M36" i="22" s="1"/>
  <c r="H35" i="22"/>
  <c r="H34" i="22"/>
  <c r="M34" i="22" s="1"/>
  <c r="O27" i="22"/>
  <c r="N27" i="22"/>
  <c r="M27" i="22"/>
  <c r="L27" i="22"/>
  <c r="J27" i="22"/>
  <c r="H27" i="22"/>
  <c r="R11" i="22"/>
  <c r="Q11" i="22"/>
  <c r="G11" i="22"/>
  <c r="N1" i="22"/>
  <c r="K58" i="22" s="1"/>
  <c r="G1" i="22"/>
  <c r="P12" i="22" l="1"/>
  <c r="J4" i="22"/>
  <c r="L88" i="22"/>
  <c r="H37" i="22"/>
  <c r="B4" i="22"/>
  <c r="I27" i="22"/>
  <c r="L100" i="22"/>
  <c r="M35" i="22"/>
  <c r="M37" i="22" s="1"/>
  <c r="I88" i="22"/>
  <c r="P11" i="22"/>
  <c r="I100" i="22"/>
  <c r="H34" i="21"/>
  <c r="M34" i="21" s="1"/>
  <c r="H35" i="21"/>
  <c r="M35" i="21" s="1"/>
  <c r="H36" i="21"/>
  <c r="M36" i="21" s="1"/>
  <c r="I63" i="21"/>
  <c r="L63" i="21" s="1"/>
  <c r="I64" i="21"/>
  <c r="L64" i="21" s="1"/>
  <c r="I65" i="21"/>
  <c r="L65" i="21" s="1"/>
  <c r="I66" i="21"/>
  <c r="L66" i="21" s="1"/>
  <c r="I67" i="21"/>
  <c r="L67" i="21" s="1"/>
  <c r="I68" i="21"/>
  <c r="L68" i="21" s="1"/>
  <c r="I69" i="21"/>
  <c r="L69" i="21" s="1"/>
  <c r="I70" i="21"/>
  <c r="L70" i="21" s="1"/>
  <c r="I71" i="21"/>
  <c r="L71" i="21" s="1"/>
  <c r="I72" i="21"/>
  <c r="L72" i="21" s="1"/>
  <c r="I73" i="21"/>
  <c r="L73" i="21" s="1"/>
  <c r="I74" i="21"/>
  <c r="L74" i="21" s="1"/>
  <c r="I75" i="21"/>
  <c r="L75" i="21" s="1"/>
  <c r="I76" i="21"/>
  <c r="L76" i="21" s="1"/>
  <c r="I77" i="21"/>
  <c r="L77" i="21" s="1"/>
  <c r="I78" i="21"/>
  <c r="L78" i="21" s="1"/>
  <c r="I79" i="21"/>
  <c r="L79" i="21" s="1"/>
  <c r="I80" i="21"/>
  <c r="L80" i="21" s="1"/>
  <c r="I81" i="21"/>
  <c r="L81" i="21" s="1"/>
  <c r="I82" i="21"/>
  <c r="L82" i="21" s="1"/>
  <c r="I83" i="21"/>
  <c r="L83" i="21" s="1"/>
  <c r="I84" i="21"/>
  <c r="L84" i="21" s="1"/>
  <c r="I85" i="21"/>
  <c r="L85" i="21" s="1"/>
  <c r="I86" i="21"/>
  <c r="L86" i="21" s="1"/>
  <c r="I87" i="21"/>
  <c r="L87" i="21" s="1"/>
  <c r="I26" i="21"/>
  <c r="P26" i="21" s="1"/>
  <c r="I25" i="21"/>
  <c r="P25" i="21" s="1"/>
  <c r="I24" i="21"/>
  <c r="H27" i="21"/>
  <c r="I93" i="21"/>
  <c r="L93" i="21" s="1"/>
  <c r="G94" i="21"/>
  <c r="I94" i="21"/>
  <c r="L94" i="21" s="1"/>
  <c r="G95" i="21"/>
  <c r="I95" i="21"/>
  <c r="L95" i="21" s="1"/>
  <c r="G96" i="21"/>
  <c r="I96" i="21"/>
  <c r="L96" i="21" s="1"/>
  <c r="G97" i="21"/>
  <c r="I97" i="21"/>
  <c r="L97" i="21" s="1"/>
  <c r="G98" i="21"/>
  <c r="I98" i="21"/>
  <c r="L98" i="21" s="1"/>
  <c r="G99" i="21"/>
  <c r="I99" i="21"/>
  <c r="L99" i="21" s="1"/>
  <c r="I10" i="21"/>
  <c r="P10" i="21" s="1"/>
  <c r="I11" i="21"/>
  <c r="P11" i="21" s="1"/>
  <c r="I12" i="21"/>
  <c r="P12" i="21" s="1"/>
  <c r="I13" i="21"/>
  <c r="P13" i="21" s="1"/>
  <c r="I14" i="21"/>
  <c r="P14" i="21" s="1"/>
  <c r="I15" i="21"/>
  <c r="P15" i="21" s="1"/>
  <c r="I16" i="21"/>
  <c r="P16" i="21" s="1"/>
  <c r="I17" i="21"/>
  <c r="P17" i="21" s="1"/>
  <c r="I18" i="21"/>
  <c r="P18" i="21" s="1"/>
  <c r="I19" i="21"/>
  <c r="P19" i="21" s="1"/>
  <c r="I20" i="21"/>
  <c r="P20" i="21" s="1"/>
  <c r="I21" i="21"/>
  <c r="P21" i="21" s="1"/>
  <c r="I22" i="21"/>
  <c r="P22" i="21" s="1"/>
  <c r="I23" i="21"/>
  <c r="P23" i="21" s="1"/>
  <c r="P24" i="21"/>
  <c r="I59" i="14"/>
  <c r="L59" i="14" s="1"/>
  <c r="I60" i="14"/>
  <c r="L60" i="14" s="1"/>
  <c r="I61" i="14"/>
  <c r="L61" i="14" s="1"/>
  <c r="I62" i="14"/>
  <c r="L62" i="14"/>
  <c r="I63" i="14"/>
  <c r="L63" i="14" s="1"/>
  <c r="I64" i="14"/>
  <c r="L64" i="14" s="1"/>
  <c r="I65" i="14"/>
  <c r="L65" i="14" s="1"/>
  <c r="I66" i="14"/>
  <c r="L66" i="14" s="1"/>
  <c r="I67" i="14"/>
  <c r="L67" i="14" s="1"/>
  <c r="I68" i="14"/>
  <c r="L68" i="14" s="1"/>
  <c r="I69" i="14"/>
  <c r="L69" i="14" s="1"/>
  <c r="I70" i="14"/>
  <c r="L70" i="14" s="1"/>
  <c r="I71" i="14"/>
  <c r="L71" i="14" s="1"/>
  <c r="I72" i="14"/>
  <c r="L72" i="14" s="1"/>
  <c r="I73" i="14"/>
  <c r="L73" i="14" s="1"/>
  <c r="I74" i="14"/>
  <c r="L74" i="14" s="1"/>
  <c r="I75" i="14"/>
  <c r="L75" i="14"/>
  <c r="I76" i="14"/>
  <c r="L76" i="14" s="1"/>
  <c r="I77" i="14"/>
  <c r="L77" i="14" s="1"/>
  <c r="I78" i="14"/>
  <c r="L78" i="14" s="1"/>
  <c r="I79" i="14"/>
  <c r="L79" i="14" s="1"/>
  <c r="I80" i="14"/>
  <c r="L80" i="14" s="1"/>
  <c r="I81" i="14"/>
  <c r="L81" i="14" s="1"/>
  <c r="I82" i="14"/>
  <c r="L82" i="14" s="1"/>
  <c r="I83" i="14"/>
  <c r="L83" i="14" s="1"/>
  <c r="I84" i="14"/>
  <c r="L84" i="14" s="1"/>
  <c r="I85" i="14"/>
  <c r="L85" i="14" s="1"/>
  <c r="I86" i="14"/>
  <c r="L86" i="14" s="1"/>
  <c r="I87" i="14"/>
  <c r="L87" i="14" s="1"/>
  <c r="I88" i="14"/>
  <c r="L88" i="14" s="1"/>
  <c r="I89" i="14"/>
  <c r="L89" i="14" s="1"/>
  <c r="I90" i="14"/>
  <c r="L90" i="14" s="1"/>
  <c r="I91" i="14"/>
  <c r="L91" i="14" s="1"/>
  <c r="I92" i="14"/>
  <c r="L92" i="14" s="1"/>
  <c r="I93" i="14"/>
  <c r="L93" i="14" s="1"/>
  <c r="I94" i="14"/>
  <c r="L94" i="14" s="1"/>
  <c r="G95" i="14"/>
  <c r="I95" i="14"/>
  <c r="L95" i="14" s="1"/>
  <c r="G96" i="14"/>
  <c r="I96" i="14"/>
  <c r="L96" i="14" s="1"/>
  <c r="I20" i="14"/>
  <c r="P20" i="14" s="1"/>
  <c r="I21" i="14"/>
  <c r="P21" i="14" s="1"/>
  <c r="I22" i="14"/>
  <c r="P22" i="14" s="1"/>
  <c r="G102" i="14"/>
  <c r="H102" i="14"/>
  <c r="I102" i="14" s="1"/>
  <c r="G103" i="14"/>
  <c r="H103" i="14"/>
  <c r="I103" i="14" s="1"/>
  <c r="G104" i="14"/>
  <c r="H104" i="14"/>
  <c r="I104" i="14" s="1"/>
  <c r="H101" i="14"/>
  <c r="I56" i="14"/>
  <c r="L56" i="14" s="1"/>
  <c r="I57" i="14"/>
  <c r="L57" i="14" s="1"/>
  <c r="I58" i="14"/>
  <c r="L58" i="14" s="1"/>
  <c r="I10" i="14"/>
  <c r="P10" i="14" s="1"/>
  <c r="I11" i="14"/>
  <c r="P11" i="14" s="1"/>
  <c r="I12" i="14"/>
  <c r="P12" i="14" s="1"/>
  <c r="I13" i="14"/>
  <c r="P13" i="14" s="1"/>
  <c r="I14" i="14"/>
  <c r="P14" i="14" s="1"/>
  <c r="I15" i="14"/>
  <c r="P15" i="14" s="1"/>
  <c r="I16" i="14"/>
  <c r="P16" i="14" s="1"/>
  <c r="I17" i="14"/>
  <c r="P17" i="14" s="1"/>
  <c r="I18" i="14"/>
  <c r="P18" i="14" s="1"/>
  <c r="H30" i="19"/>
  <c r="H31" i="19"/>
  <c r="H32" i="19"/>
  <c r="I73" i="19"/>
  <c r="L73" i="19" s="1"/>
  <c r="I74" i="19"/>
  <c r="L74" i="19" s="1"/>
  <c r="H79" i="19"/>
  <c r="H30" i="18"/>
  <c r="I60" i="18"/>
  <c r="I61" i="18"/>
  <c r="I62" i="18"/>
  <c r="I63" i="18"/>
  <c r="I64" i="18"/>
  <c r="I65" i="18"/>
  <c r="I66" i="18"/>
  <c r="I67" i="18"/>
  <c r="L60" i="18"/>
  <c r="L61" i="18"/>
  <c r="L62" i="18"/>
  <c r="L63" i="18"/>
  <c r="L64" i="18"/>
  <c r="L65" i="18"/>
  <c r="L66" i="18"/>
  <c r="L67" i="18"/>
  <c r="L26" i="15"/>
  <c r="K26" i="15"/>
  <c r="G26" i="15"/>
  <c r="H26" i="15" s="1"/>
  <c r="I73" i="15"/>
  <c r="L73" i="15" s="1"/>
  <c r="I57" i="15"/>
  <c r="L57" i="15" s="1"/>
  <c r="I58" i="15"/>
  <c r="L58" i="15" s="1"/>
  <c r="I59" i="15"/>
  <c r="L59" i="15" s="1"/>
  <c r="I60" i="15"/>
  <c r="L60" i="15" s="1"/>
  <c r="I61" i="15"/>
  <c r="L61" i="15" s="1"/>
  <c r="I62" i="15"/>
  <c r="L62" i="15" s="1"/>
  <c r="I63" i="15"/>
  <c r="L63" i="15" s="1"/>
  <c r="I64" i="15"/>
  <c r="L64" i="15" s="1"/>
  <c r="I65" i="15"/>
  <c r="L65" i="15" s="1"/>
  <c r="I66" i="15"/>
  <c r="L66" i="15" s="1"/>
  <c r="L28" i="13"/>
  <c r="K28" i="13"/>
  <c r="G28" i="13"/>
  <c r="H28" i="13" s="1"/>
  <c r="G80" i="13"/>
  <c r="G81" i="13"/>
  <c r="I68" i="13"/>
  <c r="L68" i="13"/>
  <c r="I71" i="13"/>
  <c r="L71" i="13" s="1"/>
  <c r="I70" i="13"/>
  <c r="L70" i="13" s="1"/>
  <c r="I16" i="13"/>
  <c r="P16" i="13" s="1"/>
  <c r="I17" i="13"/>
  <c r="P17" i="13" s="1"/>
  <c r="I18" i="13"/>
  <c r="P18" i="13" s="1"/>
  <c r="I19" i="13"/>
  <c r="P19" i="13" s="1"/>
  <c r="I20" i="13"/>
  <c r="P20" i="13" s="1"/>
  <c r="G22" i="16"/>
  <c r="I22" i="16"/>
  <c r="P22" i="16" s="1"/>
  <c r="Q22" i="16"/>
  <c r="R22" i="16"/>
  <c r="I21" i="16"/>
  <c r="P21" i="16" s="1"/>
  <c r="I20" i="16"/>
  <c r="P20" i="16" s="1"/>
  <c r="I19" i="16"/>
  <c r="P19" i="16" s="1"/>
  <c r="I18" i="16"/>
  <c r="P18" i="16" s="1"/>
  <c r="I17" i="16"/>
  <c r="P17" i="16" s="1"/>
  <c r="I16" i="16"/>
  <c r="P16" i="16" s="1"/>
  <c r="I15" i="16"/>
  <c r="P15" i="16" s="1"/>
  <c r="I14" i="16"/>
  <c r="P14" i="16" s="1"/>
  <c r="I72" i="16"/>
  <c r="L72" i="16" s="1"/>
  <c r="I71" i="16"/>
  <c r="L71" i="16" s="1"/>
  <c r="I70" i="16"/>
  <c r="L70" i="16" s="1"/>
  <c r="I69" i="16"/>
  <c r="L69" i="16" s="1"/>
  <c r="I68" i="16"/>
  <c r="L68" i="16" s="1"/>
  <c r="I67" i="16"/>
  <c r="L67" i="16" s="1"/>
  <c r="I66" i="16"/>
  <c r="L66" i="16" s="1"/>
  <c r="I65" i="16"/>
  <c r="L65" i="16" s="1"/>
  <c r="I64" i="16"/>
  <c r="L64" i="16" s="1"/>
  <c r="I63" i="16"/>
  <c r="L63" i="16" s="1"/>
  <c r="I62" i="16"/>
  <c r="L62" i="16" s="1"/>
  <c r="I77" i="16"/>
  <c r="I78" i="16"/>
  <c r="I79" i="16"/>
  <c r="I80" i="16"/>
  <c r="I81" i="16"/>
  <c r="I82" i="16"/>
  <c r="G80" i="16"/>
  <c r="G81" i="16"/>
  <c r="G82" i="16"/>
  <c r="I53" i="12"/>
  <c r="L53" i="12" s="1"/>
  <c r="I54" i="12"/>
  <c r="L54" i="12" s="1"/>
  <c r="I55" i="12"/>
  <c r="I56" i="12"/>
  <c r="I57" i="12"/>
  <c r="L57" i="12" s="1"/>
  <c r="I58" i="12"/>
  <c r="L58" i="12" s="1"/>
  <c r="L55" i="12"/>
  <c r="L56" i="12"/>
  <c r="I51" i="12"/>
  <c r="L51" i="12" s="1"/>
  <c r="I52" i="12"/>
  <c r="L52" i="12" s="1"/>
  <c r="I59" i="12"/>
  <c r="I60" i="12"/>
  <c r="I61" i="12"/>
  <c r="L61" i="12" s="1"/>
  <c r="I62" i="12"/>
  <c r="L62" i="12" s="1"/>
  <c r="L59" i="12"/>
  <c r="L60" i="12"/>
  <c r="I12" i="12"/>
  <c r="P12" i="12" s="1"/>
  <c r="I13" i="12"/>
  <c r="P13" i="12" s="1"/>
  <c r="I14" i="12"/>
  <c r="P14" i="12" s="1"/>
  <c r="I73" i="11"/>
  <c r="I74" i="11"/>
  <c r="I75" i="11"/>
  <c r="I76" i="11"/>
  <c r="I77" i="11"/>
  <c r="I78" i="11"/>
  <c r="I9" i="10"/>
  <c r="I10" i="10"/>
  <c r="I11" i="10"/>
  <c r="I12" i="10"/>
  <c r="I13" i="10"/>
  <c r="I14" i="10"/>
  <c r="I15" i="10"/>
  <c r="I16" i="10"/>
  <c r="I17" i="10"/>
  <c r="P17" i="10" s="1"/>
  <c r="H71" i="10"/>
  <c r="I71" i="10" s="1"/>
  <c r="H72" i="10"/>
  <c r="I72" i="10" s="1"/>
  <c r="H73" i="10"/>
  <c r="I73" i="10" s="1"/>
  <c r="H74" i="10"/>
  <c r="I74" i="10" s="1"/>
  <c r="H75" i="10"/>
  <c r="I75" i="10" s="1"/>
  <c r="H76" i="10"/>
  <c r="I76" i="10" s="1"/>
  <c r="I66" i="10"/>
  <c r="L66" i="10" s="1"/>
  <c r="I65" i="10"/>
  <c r="L65" i="10" s="1"/>
  <c r="I64" i="10"/>
  <c r="L64" i="10" s="1"/>
  <c r="I63" i="10"/>
  <c r="L63" i="10"/>
  <c r="I62" i="10"/>
  <c r="L62" i="10" s="1"/>
  <c r="I61" i="10"/>
  <c r="L61" i="10" s="1"/>
  <c r="I60" i="10"/>
  <c r="L60" i="10" s="1"/>
  <c r="I59" i="10"/>
  <c r="L59" i="10" s="1"/>
  <c r="I58" i="10"/>
  <c r="L58" i="10" s="1"/>
  <c r="I72" i="2"/>
  <c r="I73" i="2"/>
  <c r="I74" i="2"/>
  <c r="I75" i="2"/>
  <c r="I76" i="2"/>
  <c r="I77" i="2"/>
  <c r="G76" i="2"/>
  <c r="I66" i="2"/>
  <c r="L66" i="2" s="1"/>
  <c r="I67" i="2"/>
  <c r="L67" i="2" s="1"/>
  <c r="I68" i="2"/>
  <c r="L68" i="2" s="1"/>
  <c r="I58" i="2"/>
  <c r="L58" i="2" s="1"/>
  <c r="I59" i="2"/>
  <c r="I60" i="2"/>
  <c r="L60" i="2" s="1"/>
  <c r="I61" i="2"/>
  <c r="L59" i="2"/>
  <c r="L61" i="2"/>
  <c r="I16" i="2"/>
  <c r="P27" i="22" l="1"/>
  <c r="G4" i="22"/>
  <c r="M4" i="22"/>
  <c r="M37" i="21"/>
  <c r="I79" i="19"/>
  <c r="H80" i="19"/>
  <c r="I80" i="19" s="1"/>
  <c r="H81" i="19"/>
  <c r="I81" i="19" s="1"/>
  <c r="H82" i="19"/>
  <c r="I82" i="19" s="1"/>
  <c r="H83" i="19"/>
  <c r="I83" i="19" s="1"/>
  <c r="H84" i="19"/>
  <c r="I84" i="19" s="1"/>
  <c r="I72" i="19"/>
  <c r="L72" i="19" s="1"/>
  <c r="I71" i="19"/>
  <c r="L71" i="19" s="1"/>
  <c r="I70" i="19"/>
  <c r="L70" i="19" s="1"/>
  <c r="I69" i="19"/>
  <c r="L69" i="19" s="1"/>
  <c r="I68" i="19"/>
  <c r="L68" i="19" s="1"/>
  <c r="I67" i="19"/>
  <c r="L67" i="19" s="1"/>
  <c r="I66" i="19"/>
  <c r="L66" i="19" s="1"/>
  <c r="I65" i="19"/>
  <c r="L65" i="19" s="1"/>
  <c r="I64" i="19"/>
  <c r="L64" i="19" s="1"/>
  <c r="I63" i="19"/>
  <c r="L63" i="19" s="1"/>
  <c r="I62" i="19"/>
  <c r="L62" i="19" s="1"/>
  <c r="G22" i="19"/>
  <c r="I22" i="19"/>
  <c r="P22" i="19" s="1"/>
  <c r="Q22" i="19"/>
  <c r="R22" i="19"/>
  <c r="G21" i="19"/>
  <c r="I21" i="19"/>
  <c r="P21" i="19" s="1"/>
  <c r="Q21" i="19"/>
  <c r="R21" i="19"/>
  <c r="I20" i="19"/>
  <c r="P20" i="19" s="1"/>
  <c r="I19" i="19"/>
  <c r="P19" i="19" s="1"/>
  <c r="I18" i="19"/>
  <c r="P18" i="19" s="1"/>
  <c r="I17" i="19"/>
  <c r="P17" i="19" s="1"/>
  <c r="I81" i="18"/>
  <c r="I82" i="18"/>
  <c r="L82" i="18" s="1"/>
  <c r="I83" i="18"/>
  <c r="L83" i="18" s="1"/>
  <c r="I84" i="18"/>
  <c r="L84" i="18" s="1"/>
  <c r="I59" i="18"/>
  <c r="L59" i="18" s="1"/>
  <c r="I68" i="18"/>
  <c r="L68" i="18" s="1"/>
  <c r="I69" i="18"/>
  <c r="L69" i="18" s="1"/>
  <c r="I58" i="18"/>
  <c r="L58" i="18" s="1"/>
  <c r="I70" i="18"/>
  <c r="L70" i="18" s="1"/>
  <c r="I71" i="18"/>
  <c r="L71" i="18" s="1"/>
  <c r="I73" i="18"/>
  <c r="L73" i="18" s="1"/>
  <c r="I17" i="18"/>
  <c r="I13" i="18"/>
  <c r="P13" i="18" s="1"/>
  <c r="I18" i="18"/>
  <c r="P18" i="18" s="1"/>
  <c r="I12" i="18"/>
  <c r="P12" i="18" s="1"/>
  <c r="I15" i="18"/>
  <c r="P15" i="18" s="1"/>
  <c r="I11" i="18"/>
  <c r="P11" i="18" s="1"/>
  <c r="I10" i="18"/>
  <c r="P10" i="18" s="1"/>
  <c r="I16" i="18"/>
  <c r="P16" i="18" s="1"/>
  <c r="I9" i="18"/>
  <c r="P9" i="18" s="1"/>
  <c r="I14" i="18"/>
  <c r="P14" i="18" s="1"/>
  <c r="I19" i="18"/>
  <c r="P19" i="18" s="1"/>
  <c r="I20" i="18"/>
  <c r="P20" i="18" s="1"/>
  <c r="P4" i="22" l="1"/>
  <c r="I77" i="15"/>
  <c r="I78" i="15"/>
  <c r="I79" i="15"/>
  <c r="I80" i="15"/>
  <c r="I81" i="15"/>
  <c r="I82" i="15"/>
  <c r="I83" i="15"/>
  <c r="L83" i="15" s="1"/>
  <c r="I72" i="15"/>
  <c r="L72" i="15" s="1"/>
  <c r="I53" i="15"/>
  <c r="L53" i="15" s="1"/>
  <c r="I54" i="15"/>
  <c r="L54" i="15" s="1"/>
  <c r="I55" i="15"/>
  <c r="L55" i="15" s="1"/>
  <c r="I56" i="15"/>
  <c r="L56" i="15" s="1"/>
  <c r="I17" i="15"/>
  <c r="P17" i="15" s="1"/>
  <c r="I18" i="15"/>
  <c r="P18" i="15" s="1"/>
  <c r="I69" i="13"/>
  <c r="L69" i="13" s="1"/>
  <c r="I67" i="13"/>
  <c r="L67" i="13" s="1"/>
  <c r="I66" i="13"/>
  <c r="L66" i="13" s="1"/>
  <c r="I65" i="13"/>
  <c r="L65" i="13" s="1"/>
  <c r="I64" i="13"/>
  <c r="L64" i="13" s="1"/>
  <c r="I63" i="13"/>
  <c r="L63" i="13" s="1"/>
  <c r="I62" i="13"/>
  <c r="L62" i="13" s="1"/>
  <c r="I61" i="13"/>
  <c r="L61" i="13" s="1"/>
  <c r="I60" i="13"/>
  <c r="L60" i="13" s="1"/>
  <c r="I19" i="11" l="1"/>
  <c r="I9" i="11"/>
  <c r="I10" i="11"/>
  <c r="P10" i="11" s="1"/>
  <c r="I11" i="11"/>
  <c r="I12" i="11"/>
  <c r="I13" i="11"/>
  <c r="I14" i="11"/>
  <c r="I15" i="11"/>
  <c r="I16" i="11"/>
  <c r="I17" i="11"/>
  <c r="I18" i="11"/>
  <c r="R19" i="11" l="1"/>
  <c r="Q19" i="11"/>
  <c r="P19" i="11"/>
  <c r="G19" i="11"/>
  <c r="I68" i="11" l="1"/>
  <c r="L68" i="11" s="1"/>
  <c r="I67" i="11"/>
  <c r="L67" i="11" s="1"/>
  <c r="I66" i="11"/>
  <c r="L66" i="11" s="1"/>
  <c r="I65" i="11"/>
  <c r="L65" i="11" s="1"/>
  <c r="I64" i="11"/>
  <c r="L64" i="11" s="1"/>
  <c r="I63" i="11"/>
  <c r="L63" i="11" s="1"/>
  <c r="I50" i="11"/>
  <c r="L50" i="11" s="1"/>
  <c r="I62" i="11"/>
  <c r="L62" i="11" s="1"/>
  <c r="I60" i="11"/>
  <c r="L60" i="11" s="1"/>
  <c r="I61" i="11"/>
  <c r="L61" i="11" s="1"/>
  <c r="P18" i="11"/>
  <c r="P17" i="11"/>
  <c r="I57" i="10" l="1"/>
  <c r="L57" i="10" s="1"/>
  <c r="P10" i="10"/>
  <c r="P12" i="10"/>
  <c r="P11" i="10"/>
  <c r="P16" i="10"/>
  <c r="P9" i="10"/>
  <c r="G18" i="2"/>
  <c r="I18" i="2"/>
  <c r="P18" i="2" s="1"/>
  <c r="Q18" i="2"/>
  <c r="R18" i="2"/>
  <c r="I11" i="2" l="1"/>
  <c r="P11" i="2" s="1"/>
  <c r="I17" i="2"/>
  <c r="P17" i="2" s="1"/>
  <c r="I10" i="2"/>
  <c r="P10" i="2" s="1"/>
  <c r="I12" i="2"/>
  <c r="P12" i="2" s="1"/>
  <c r="I48" i="2"/>
  <c r="L48" i="2" s="1"/>
  <c r="I49" i="2"/>
  <c r="L49" i="2" s="1"/>
  <c r="I50" i="2"/>
  <c r="L50" i="2" s="1"/>
  <c r="I51" i="2"/>
  <c r="L51" i="2" s="1"/>
  <c r="I52" i="2"/>
  <c r="L52" i="2" s="1"/>
  <c r="I53" i="2"/>
  <c r="L53" i="2" s="1"/>
  <c r="I54" i="2"/>
  <c r="L54" i="2" s="1"/>
  <c r="I55" i="2"/>
  <c r="L55" i="2" s="1"/>
  <c r="I56" i="2"/>
  <c r="L56" i="2" s="1"/>
  <c r="I57" i="2"/>
  <c r="L57" i="2" s="1"/>
  <c r="I62" i="2"/>
  <c r="L62" i="2" s="1"/>
  <c r="I63" i="2"/>
  <c r="L63" i="2" s="1"/>
  <c r="I64" i="2"/>
  <c r="L64" i="2" s="1"/>
  <c r="I65" i="2"/>
  <c r="L65" i="2" s="1"/>
  <c r="I9" i="2"/>
  <c r="P9" i="2" s="1"/>
  <c r="I14" i="2"/>
  <c r="P14" i="2" s="1"/>
  <c r="I15" i="2" l="1"/>
  <c r="P15" i="2" s="1"/>
  <c r="I13" i="2"/>
  <c r="P13" i="2" s="1"/>
  <c r="P16" i="2"/>
  <c r="H37" i="2" l="1"/>
  <c r="J37" i="2"/>
  <c r="K37" i="2"/>
  <c r="I101" i="14"/>
  <c r="H105" i="14"/>
  <c r="I105" i="14" s="1"/>
  <c r="H106" i="14"/>
  <c r="I106" i="14" s="1"/>
  <c r="I92" i="21"/>
  <c r="L92" i="21" s="1"/>
  <c r="I62" i="21"/>
  <c r="L62" i="21" s="1"/>
  <c r="I19" i="14" l="1"/>
  <c r="A5" i="8" l="1"/>
  <c r="A4" i="8"/>
  <c r="A3" i="8"/>
  <c r="A2" i="8"/>
  <c r="H48" i="21" l="1"/>
  <c r="J49" i="21"/>
  <c r="J48" i="21"/>
  <c r="K48" i="21"/>
  <c r="K49" i="21"/>
  <c r="H49" i="21"/>
  <c r="G81" i="21"/>
  <c r="G83" i="21"/>
  <c r="G85" i="21"/>
  <c r="G87" i="21"/>
  <c r="R26" i="21"/>
  <c r="Q25" i="21"/>
  <c r="G63" i="14"/>
  <c r="G65" i="14"/>
  <c r="G67" i="14"/>
  <c r="G69" i="14"/>
  <c r="G76" i="14"/>
  <c r="G78" i="14"/>
  <c r="G80" i="14"/>
  <c r="G82" i="14"/>
  <c r="G84" i="14"/>
  <c r="G86" i="14"/>
  <c r="J45" i="14"/>
  <c r="G22" i="14"/>
  <c r="Q20" i="14"/>
  <c r="R21" i="14"/>
  <c r="J40" i="14"/>
  <c r="K41" i="14"/>
  <c r="G10" i="14"/>
  <c r="G11" i="14"/>
  <c r="G12" i="14"/>
  <c r="G13" i="14"/>
  <c r="G14" i="14"/>
  <c r="G15" i="14"/>
  <c r="G16" i="14"/>
  <c r="G17" i="14"/>
  <c r="G18" i="14"/>
  <c r="G64" i="21"/>
  <c r="G66" i="21"/>
  <c r="G68" i="21"/>
  <c r="G74" i="21"/>
  <c r="G76" i="21"/>
  <c r="G78" i="21"/>
  <c r="G93" i="21"/>
  <c r="Q12" i="21"/>
  <c r="Q15" i="21"/>
  <c r="Q18" i="21"/>
  <c r="Q20" i="21"/>
  <c r="Q22" i="21"/>
  <c r="G60" i="14"/>
  <c r="G71" i="14"/>
  <c r="G90" i="14"/>
  <c r="K45" i="14"/>
  <c r="R22" i="14"/>
  <c r="K40" i="14"/>
  <c r="G82" i="21"/>
  <c r="G84" i="21"/>
  <c r="G86" i="21"/>
  <c r="G26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G64" i="14"/>
  <c r="G66" i="14"/>
  <c r="G68" i="14"/>
  <c r="G70" i="14"/>
  <c r="G77" i="14"/>
  <c r="G79" i="14"/>
  <c r="G81" i="14"/>
  <c r="G83" i="14"/>
  <c r="G85" i="14"/>
  <c r="G20" i="14"/>
  <c r="Q22" i="14"/>
  <c r="H41" i="14"/>
  <c r="J42" i="14"/>
  <c r="Q10" i="14"/>
  <c r="Q11" i="14"/>
  <c r="Q12" i="14"/>
  <c r="Q13" i="14"/>
  <c r="Q14" i="14"/>
  <c r="Q15" i="14"/>
  <c r="Q16" i="14"/>
  <c r="Q17" i="14"/>
  <c r="Q18" i="14"/>
  <c r="G72" i="21"/>
  <c r="G80" i="21"/>
  <c r="Q11" i="21"/>
  <c r="Q14" i="21"/>
  <c r="Q17" i="21"/>
  <c r="Q19" i="21"/>
  <c r="Q23" i="21"/>
  <c r="R25" i="21"/>
  <c r="G73" i="14"/>
  <c r="G92" i="14"/>
  <c r="G58" i="14"/>
  <c r="H42" i="14"/>
  <c r="G63" i="21"/>
  <c r="G65" i="21"/>
  <c r="G67" i="21"/>
  <c r="G69" i="21"/>
  <c r="G71" i="21"/>
  <c r="G73" i="21"/>
  <c r="G75" i="21"/>
  <c r="G77" i="21"/>
  <c r="G79" i="21"/>
  <c r="Q26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59" i="14"/>
  <c r="G61" i="14"/>
  <c r="G72" i="14"/>
  <c r="G74" i="14"/>
  <c r="G87" i="14"/>
  <c r="G89" i="14"/>
  <c r="G91" i="14"/>
  <c r="G93" i="14"/>
  <c r="H45" i="14"/>
  <c r="G21" i="14"/>
  <c r="R20" i="14"/>
  <c r="G57" i="14"/>
  <c r="H40" i="14"/>
  <c r="J41" i="14"/>
  <c r="K42" i="14"/>
  <c r="R10" i="14"/>
  <c r="R11" i="14"/>
  <c r="R12" i="14"/>
  <c r="R13" i="14"/>
  <c r="R14" i="14"/>
  <c r="R15" i="14"/>
  <c r="R16" i="14"/>
  <c r="R17" i="14"/>
  <c r="R18" i="14"/>
  <c r="G70" i="21"/>
  <c r="Q10" i="21"/>
  <c r="Q13" i="21"/>
  <c r="Q16" i="21"/>
  <c r="Q21" i="21"/>
  <c r="Q24" i="21"/>
  <c r="G62" i="14"/>
  <c r="G75" i="14"/>
  <c r="G88" i="14"/>
  <c r="G94" i="14"/>
  <c r="Q21" i="14"/>
  <c r="G56" i="14"/>
  <c r="G73" i="19"/>
  <c r="H43" i="19"/>
  <c r="G63" i="18"/>
  <c r="G67" i="18"/>
  <c r="G73" i="15"/>
  <c r="G58" i="15"/>
  <c r="G60" i="15"/>
  <c r="G62" i="15"/>
  <c r="G64" i="15"/>
  <c r="J39" i="15"/>
  <c r="G79" i="13"/>
  <c r="G70" i="13"/>
  <c r="K41" i="13"/>
  <c r="G19" i="13"/>
  <c r="Q17" i="13"/>
  <c r="R16" i="13"/>
  <c r="R20" i="13"/>
  <c r="G74" i="19"/>
  <c r="J43" i="19"/>
  <c r="G60" i="18"/>
  <c r="G64" i="18"/>
  <c r="H40" i="18"/>
  <c r="G66" i="15"/>
  <c r="K39" i="15"/>
  <c r="G16" i="13"/>
  <c r="G20" i="13"/>
  <c r="Q18" i="13"/>
  <c r="R17" i="13"/>
  <c r="K43" i="19"/>
  <c r="G61" i="18"/>
  <c r="G65" i="18"/>
  <c r="J40" i="18"/>
  <c r="G57" i="15"/>
  <c r="G59" i="15"/>
  <c r="G61" i="15"/>
  <c r="G63" i="15"/>
  <c r="G77" i="13"/>
  <c r="G71" i="13"/>
  <c r="H41" i="13"/>
  <c r="G17" i="13"/>
  <c r="Q19" i="13"/>
  <c r="R18" i="13"/>
  <c r="G62" i="18"/>
  <c r="G66" i="18"/>
  <c r="K40" i="18"/>
  <c r="G65" i="15"/>
  <c r="H39" i="15"/>
  <c r="G78" i="13"/>
  <c r="G68" i="13"/>
  <c r="J41" i="13"/>
  <c r="G18" i="13"/>
  <c r="Q16" i="13"/>
  <c r="Q20" i="13"/>
  <c r="R19" i="13"/>
  <c r="G71" i="19"/>
  <c r="G72" i="19"/>
  <c r="G21" i="16"/>
  <c r="G20" i="16"/>
  <c r="G19" i="16"/>
  <c r="G18" i="16"/>
  <c r="R18" i="16"/>
  <c r="R17" i="16"/>
  <c r="R16" i="16"/>
  <c r="R15" i="16"/>
  <c r="R14" i="16"/>
  <c r="G72" i="16"/>
  <c r="G70" i="16"/>
  <c r="G68" i="16"/>
  <c r="G66" i="16"/>
  <c r="G64" i="16"/>
  <c r="G62" i="16"/>
  <c r="G78" i="16"/>
  <c r="G55" i="12"/>
  <c r="G51" i="12"/>
  <c r="G61" i="12"/>
  <c r="G14" i="12"/>
  <c r="Q12" i="12"/>
  <c r="R13" i="12"/>
  <c r="G77" i="11"/>
  <c r="G17" i="16"/>
  <c r="G16" i="16"/>
  <c r="G15" i="16"/>
  <c r="G14" i="16"/>
  <c r="H43" i="16"/>
  <c r="G79" i="16"/>
  <c r="G76" i="12"/>
  <c r="G56" i="12"/>
  <c r="G52" i="12"/>
  <c r="G62" i="12"/>
  <c r="Q13" i="12"/>
  <c r="R14" i="12"/>
  <c r="G74" i="11"/>
  <c r="Q21" i="16"/>
  <c r="Q20" i="16"/>
  <c r="Q19" i="16"/>
  <c r="J43" i="16"/>
  <c r="G71" i="16"/>
  <c r="G69" i="16"/>
  <c r="G67" i="16"/>
  <c r="G65" i="16"/>
  <c r="G63" i="16"/>
  <c r="G53" i="12"/>
  <c r="G57" i="12"/>
  <c r="G59" i="12"/>
  <c r="G12" i="12"/>
  <c r="Q14" i="12"/>
  <c r="G75" i="11"/>
  <c r="R21" i="16"/>
  <c r="R20" i="16"/>
  <c r="R19" i="16"/>
  <c r="Q18" i="16"/>
  <c r="Q17" i="16"/>
  <c r="Q16" i="16"/>
  <c r="Q15" i="16"/>
  <c r="Q14" i="16"/>
  <c r="K43" i="16"/>
  <c r="G54" i="12"/>
  <c r="G58" i="12"/>
  <c r="G60" i="12"/>
  <c r="G13" i="12"/>
  <c r="R12" i="12"/>
  <c r="G76" i="11"/>
  <c r="G68" i="11"/>
  <c r="G66" i="11"/>
  <c r="G64" i="11"/>
  <c r="G65" i="11"/>
  <c r="G63" i="11"/>
  <c r="G67" i="11"/>
  <c r="G58" i="10"/>
  <c r="G66" i="2"/>
  <c r="G63" i="10"/>
  <c r="G67" i="2"/>
  <c r="G68" i="2"/>
  <c r="G61" i="10"/>
  <c r="G66" i="10"/>
  <c r="G58" i="2"/>
  <c r="G62" i="10"/>
  <c r="G60" i="10"/>
  <c r="G73" i="2"/>
  <c r="G59" i="2"/>
  <c r="G61" i="2"/>
  <c r="G17" i="10"/>
  <c r="G65" i="10"/>
  <c r="G74" i="2"/>
  <c r="G60" i="2"/>
  <c r="G75" i="2"/>
  <c r="Q17" i="10"/>
  <c r="G59" i="10"/>
  <c r="R17" i="10"/>
  <c r="G64" i="10"/>
  <c r="G92" i="21"/>
  <c r="G70" i="19"/>
  <c r="G69" i="19"/>
  <c r="G68" i="19"/>
  <c r="G67" i="19"/>
  <c r="G66" i="19"/>
  <c r="G65" i="19"/>
  <c r="G64" i="19"/>
  <c r="G63" i="19"/>
  <c r="G62" i="19"/>
  <c r="G20" i="19"/>
  <c r="Q20" i="19"/>
  <c r="G19" i="19"/>
  <c r="Q19" i="19"/>
  <c r="G18" i="19"/>
  <c r="Q18" i="19"/>
  <c r="G17" i="19"/>
  <c r="Q17" i="19"/>
  <c r="G80" i="19"/>
  <c r="R20" i="19"/>
  <c r="R19" i="19"/>
  <c r="R18" i="19"/>
  <c r="R17" i="19"/>
  <c r="G83" i="18"/>
  <c r="G68" i="18"/>
  <c r="G58" i="18"/>
  <c r="G71" i="18"/>
  <c r="G73" i="18"/>
  <c r="G18" i="18"/>
  <c r="G15" i="18"/>
  <c r="Q18" i="18"/>
  <c r="Q15" i="18"/>
  <c r="R18" i="18"/>
  <c r="R15" i="18"/>
  <c r="G10" i="18"/>
  <c r="G9" i="18"/>
  <c r="Q10" i="18"/>
  <c r="Q9" i="18"/>
  <c r="R10" i="18"/>
  <c r="R9" i="18"/>
  <c r="G19" i="18"/>
  <c r="Q19" i="18"/>
  <c r="R14" i="18"/>
  <c r="R20" i="18"/>
  <c r="G82" i="18"/>
  <c r="G84" i="18"/>
  <c r="G59" i="18"/>
  <c r="G69" i="18"/>
  <c r="G70" i="18"/>
  <c r="G13" i="18"/>
  <c r="G12" i="18"/>
  <c r="Q13" i="18"/>
  <c r="Q12" i="18"/>
  <c r="R13" i="18"/>
  <c r="R12" i="18"/>
  <c r="G11" i="18"/>
  <c r="G16" i="18"/>
  <c r="Q11" i="18"/>
  <c r="Q16" i="18"/>
  <c r="R11" i="18"/>
  <c r="R16" i="18"/>
  <c r="G14" i="18"/>
  <c r="G20" i="18"/>
  <c r="Q14" i="18"/>
  <c r="Q20" i="18"/>
  <c r="R19" i="18"/>
  <c r="G79" i="15"/>
  <c r="G80" i="15"/>
  <c r="G54" i="15"/>
  <c r="G18" i="15"/>
  <c r="Q17" i="15"/>
  <c r="G81" i="15"/>
  <c r="G72" i="15"/>
  <c r="G55" i="15"/>
  <c r="Q18" i="15"/>
  <c r="G53" i="15"/>
  <c r="R18" i="15"/>
  <c r="G78" i="15"/>
  <c r="G82" i="15"/>
  <c r="G56" i="15"/>
  <c r="R17" i="15"/>
  <c r="G83" i="15"/>
  <c r="G17" i="15"/>
  <c r="G67" i="13"/>
  <c r="G65" i="13"/>
  <c r="G63" i="13"/>
  <c r="G61" i="13"/>
  <c r="G60" i="13"/>
  <c r="G69" i="13"/>
  <c r="G66" i="13"/>
  <c r="G64" i="13"/>
  <c r="G62" i="13"/>
  <c r="G60" i="11"/>
  <c r="G50" i="11"/>
  <c r="G62" i="11"/>
  <c r="G18" i="11"/>
  <c r="Q18" i="11"/>
  <c r="G17" i="11"/>
  <c r="Q17" i="11"/>
  <c r="G61" i="11"/>
  <c r="R18" i="11"/>
  <c r="R17" i="11"/>
  <c r="G57" i="10"/>
  <c r="G10" i="10"/>
  <c r="G9" i="10"/>
  <c r="G16" i="10"/>
  <c r="Q12" i="10"/>
  <c r="R11" i="10"/>
  <c r="G12" i="10"/>
  <c r="R10" i="10"/>
  <c r="R9" i="10"/>
  <c r="R16" i="10"/>
  <c r="Q11" i="10"/>
  <c r="R12" i="10"/>
  <c r="G11" i="10"/>
  <c r="Q10" i="10"/>
  <c r="Q9" i="10"/>
  <c r="Q16" i="10"/>
  <c r="G11" i="2"/>
  <c r="Q11" i="2"/>
  <c r="G17" i="2"/>
  <c r="Q17" i="2"/>
  <c r="G10" i="2"/>
  <c r="Q10" i="2"/>
  <c r="G12" i="2"/>
  <c r="Q12" i="2"/>
  <c r="G48" i="2"/>
  <c r="G50" i="2"/>
  <c r="G52" i="2"/>
  <c r="G54" i="2"/>
  <c r="G56" i="2"/>
  <c r="R9" i="2"/>
  <c r="R14" i="2"/>
  <c r="R11" i="2"/>
  <c r="R17" i="2"/>
  <c r="R10" i="2"/>
  <c r="R12" i="2"/>
  <c r="G49" i="2"/>
  <c r="G51" i="2"/>
  <c r="G53" i="2"/>
  <c r="G55" i="2"/>
  <c r="G9" i="2"/>
  <c r="Q9" i="2"/>
  <c r="G14" i="2"/>
  <c r="Q14" i="2"/>
  <c r="G15" i="2"/>
  <c r="Q15" i="2"/>
  <c r="G13" i="2"/>
  <c r="Q13" i="2"/>
  <c r="G16" i="2"/>
  <c r="Q16" i="2"/>
  <c r="R15" i="2"/>
  <c r="R13" i="2"/>
  <c r="R16" i="2"/>
  <c r="H36" i="2"/>
  <c r="K36" i="2"/>
  <c r="J36" i="2"/>
  <c r="H43" i="21"/>
  <c r="J43" i="21"/>
  <c r="K43" i="21"/>
  <c r="H44" i="21"/>
  <c r="J44" i="21"/>
  <c r="K44" i="21"/>
  <c r="H45" i="21"/>
  <c r="J45" i="21"/>
  <c r="K45" i="21"/>
  <c r="H46" i="21"/>
  <c r="J46" i="21"/>
  <c r="K46" i="21"/>
  <c r="H47" i="21"/>
  <c r="J47" i="21"/>
  <c r="K47" i="21"/>
  <c r="G1" i="10" l="1"/>
  <c r="G62" i="21" l="1"/>
  <c r="H39" i="18" l="1"/>
  <c r="J39" i="18"/>
  <c r="K39" i="18"/>
  <c r="H41" i="18"/>
  <c r="J41" i="18"/>
  <c r="K41" i="18"/>
  <c r="H42" i="18"/>
  <c r="J42" i="18"/>
  <c r="K42" i="18"/>
  <c r="G9" i="21"/>
  <c r="I9" i="21"/>
  <c r="P9" i="21" s="1"/>
  <c r="Q9" i="21"/>
  <c r="R9" i="21"/>
  <c r="J27" i="21"/>
  <c r="K27" i="21"/>
  <c r="L27" i="21"/>
  <c r="M27" i="21"/>
  <c r="G37" i="21"/>
  <c r="B4" i="21" s="1"/>
  <c r="H37" i="21"/>
  <c r="I37" i="21"/>
  <c r="J37" i="21"/>
  <c r="K37" i="21"/>
  <c r="L37" i="21"/>
  <c r="H50" i="21"/>
  <c r="J50" i="21"/>
  <c r="K50" i="21"/>
  <c r="I51" i="21"/>
  <c r="H88" i="21"/>
  <c r="J88" i="21"/>
  <c r="K88" i="21"/>
  <c r="M88" i="21"/>
  <c r="H100" i="21"/>
  <c r="I100" i="21"/>
  <c r="J100" i="21"/>
  <c r="K100" i="21"/>
  <c r="M100" i="21"/>
  <c r="G104" i="21"/>
  <c r="G105" i="21"/>
  <c r="G106" i="21"/>
  <c r="G107" i="21"/>
  <c r="G108" i="21"/>
  <c r="L100" i="21" l="1"/>
  <c r="L88" i="21"/>
  <c r="I88" i="21"/>
  <c r="G30" i="14" l="1"/>
  <c r="M30" i="14" s="1"/>
  <c r="M33" i="14" s="1"/>
  <c r="G31" i="14"/>
  <c r="M31" i="14" s="1"/>
  <c r="G32" i="14"/>
  <c r="M32" i="14" s="1"/>
  <c r="H33" i="14"/>
  <c r="G9" i="14" l="1"/>
  <c r="I9" i="14"/>
  <c r="P9" i="14" s="1"/>
  <c r="Q9" i="14"/>
  <c r="R9" i="14"/>
  <c r="G11" i="19"/>
  <c r="I11" i="19"/>
  <c r="P11" i="19" s="1"/>
  <c r="Q11" i="19"/>
  <c r="R11" i="19"/>
  <c r="H39" i="14"/>
  <c r="J39" i="14"/>
  <c r="K39" i="14"/>
  <c r="H43" i="14"/>
  <c r="J43" i="14"/>
  <c r="K43" i="14"/>
  <c r="H44" i="14"/>
  <c r="J44" i="14"/>
  <c r="K44" i="14"/>
  <c r="G19" i="14" l="1"/>
  <c r="P19" i="14"/>
  <c r="Q19" i="14"/>
  <c r="R19" i="14"/>
  <c r="G87" i="10"/>
  <c r="G88" i="10"/>
  <c r="G89" i="10"/>
  <c r="G90" i="10"/>
  <c r="G91" i="10"/>
  <c r="G117" i="14" l="1"/>
  <c r="G118" i="14"/>
  <c r="G119" i="14"/>
  <c r="G120" i="14"/>
  <c r="G121" i="14"/>
  <c r="G95" i="19"/>
  <c r="G96" i="19"/>
  <c r="G97" i="19"/>
  <c r="G98" i="19"/>
  <c r="G99" i="19"/>
  <c r="G95" i="18"/>
  <c r="G96" i="18"/>
  <c r="G97" i="18"/>
  <c r="G98" i="18"/>
  <c r="G99" i="18"/>
  <c r="G93" i="15"/>
  <c r="G94" i="15"/>
  <c r="G95" i="15"/>
  <c r="G96" i="15"/>
  <c r="G97" i="15"/>
  <c r="G92" i="13"/>
  <c r="G93" i="13"/>
  <c r="G94" i="13"/>
  <c r="G95" i="13"/>
  <c r="G96" i="13"/>
  <c r="G93" i="16"/>
  <c r="G94" i="16"/>
  <c r="G95" i="16"/>
  <c r="G96" i="16"/>
  <c r="G97" i="16"/>
  <c r="G91" i="12"/>
  <c r="G92" i="12"/>
  <c r="G93" i="12"/>
  <c r="G94" i="12"/>
  <c r="G95" i="12"/>
  <c r="G90" i="11"/>
  <c r="G91" i="11"/>
  <c r="G92" i="11"/>
  <c r="G93" i="11"/>
  <c r="G89" i="11"/>
  <c r="G89" i="2"/>
  <c r="G90" i="2"/>
  <c r="G91" i="2"/>
  <c r="G92" i="2"/>
  <c r="G88" i="2"/>
  <c r="G72" i="10"/>
  <c r="G73" i="10"/>
  <c r="G74" i="10"/>
  <c r="G75" i="10"/>
  <c r="G76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1"/>
  <c r="K58" i="21" s="1"/>
  <c r="N1" i="14"/>
  <c r="K51" i="14" s="1"/>
  <c r="N1" i="19"/>
  <c r="K49" i="19" s="1"/>
  <c r="N1" i="18"/>
  <c r="K49" i="18" s="1"/>
  <c r="N1" i="15"/>
  <c r="K45" i="15" s="1"/>
  <c r="N1" i="13"/>
  <c r="K47" i="13" s="1"/>
  <c r="N1" i="16"/>
  <c r="K49" i="16" s="1"/>
  <c r="N1" i="12"/>
  <c r="K45" i="12" s="1"/>
  <c r="N1" i="11"/>
  <c r="K46" i="11" s="1"/>
  <c r="G1" i="21"/>
  <c r="G1" i="14"/>
  <c r="G1" i="19"/>
  <c r="G1" i="18"/>
  <c r="G1" i="15"/>
  <c r="G1" i="13"/>
  <c r="G1" i="16"/>
  <c r="G1" i="12"/>
  <c r="G1" i="11"/>
  <c r="O27" i="21"/>
  <c r="N27" i="21"/>
  <c r="I27" i="21"/>
  <c r="G4" i="21" s="1"/>
  <c r="M85" i="19"/>
  <c r="K85" i="19"/>
  <c r="J85" i="19"/>
  <c r="I85" i="19"/>
  <c r="H85" i="19"/>
  <c r="G79" i="19"/>
  <c r="M75" i="19"/>
  <c r="K75" i="19"/>
  <c r="J75" i="19"/>
  <c r="H75" i="19"/>
  <c r="I61" i="19"/>
  <c r="L61" i="19" s="1"/>
  <c r="G61" i="19"/>
  <c r="I60" i="19"/>
  <c r="L60" i="19" s="1"/>
  <c r="G60" i="19"/>
  <c r="I59" i="19"/>
  <c r="L59" i="19" s="1"/>
  <c r="G59" i="19"/>
  <c r="I58" i="19"/>
  <c r="L58" i="19" s="1"/>
  <c r="G58" i="19"/>
  <c r="I57" i="19"/>
  <c r="L57" i="19" s="1"/>
  <c r="G57" i="19"/>
  <c r="I56" i="19"/>
  <c r="L56" i="19" s="1"/>
  <c r="G56" i="19"/>
  <c r="I55" i="19"/>
  <c r="L55" i="19" s="1"/>
  <c r="G55" i="19"/>
  <c r="I54" i="19"/>
  <c r="L54" i="19" s="1"/>
  <c r="G54" i="19"/>
  <c r="I53" i="19"/>
  <c r="G53" i="19"/>
  <c r="I44" i="19"/>
  <c r="K42" i="19"/>
  <c r="J42" i="19"/>
  <c r="H42" i="19"/>
  <c r="K41" i="19"/>
  <c r="J41" i="19"/>
  <c r="H41" i="19"/>
  <c r="K40" i="19"/>
  <c r="J40" i="19"/>
  <c r="H40" i="19"/>
  <c r="K39" i="19"/>
  <c r="J39" i="19"/>
  <c r="H39" i="19"/>
  <c r="L33" i="19"/>
  <c r="K33" i="19"/>
  <c r="J33" i="19"/>
  <c r="I33" i="19"/>
  <c r="H33" i="19"/>
  <c r="G33" i="19"/>
  <c r="O23" i="19"/>
  <c r="N23" i="19"/>
  <c r="M23" i="19"/>
  <c r="L23" i="19"/>
  <c r="K23" i="19"/>
  <c r="J23" i="19"/>
  <c r="H23" i="19"/>
  <c r="R16" i="19"/>
  <c r="Q16" i="19"/>
  <c r="I16" i="19"/>
  <c r="P16" i="19" s="1"/>
  <c r="G16" i="19"/>
  <c r="R15" i="19"/>
  <c r="Q15" i="19"/>
  <c r="I15" i="19"/>
  <c r="P15" i="19" s="1"/>
  <c r="G15" i="19"/>
  <c r="R14" i="19"/>
  <c r="Q14" i="19"/>
  <c r="I14" i="19"/>
  <c r="P14" i="19" s="1"/>
  <c r="G14" i="19"/>
  <c r="R13" i="19"/>
  <c r="Q13" i="19"/>
  <c r="I13" i="19"/>
  <c r="P13" i="19" s="1"/>
  <c r="G13" i="19"/>
  <c r="R12" i="19"/>
  <c r="Q12" i="19"/>
  <c r="I12" i="19"/>
  <c r="P12" i="19" s="1"/>
  <c r="G12" i="19"/>
  <c r="R10" i="19"/>
  <c r="Q10" i="19"/>
  <c r="I10" i="19"/>
  <c r="P10" i="19" s="1"/>
  <c r="G10" i="19"/>
  <c r="R9" i="19"/>
  <c r="Q9" i="19"/>
  <c r="I9" i="19"/>
  <c r="P9" i="19" s="1"/>
  <c r="G9" i="19"/>
  <c r="M85" i="18"/>
  <c r="K85" i="18"/>
  <c r="J85" i="18"/>
  <c r="I85" i="18"/>
  <c r="H85" i="18"/>
  <c r="L81" i="18"/>
  <c r="G81" i="18"/>
  <c r="M76" i="18"/>
  <c r="K76" i="18"/>
  <c r="J76" i="18"/>
  <c r="H76" i="18"/>
  <c r="I75" i="18"/>
  <c r="L75" i="18" s="1"/>
  <c r="G75" i="18"/>
  <c r="I74" i="18"/>
  <c r="L74" i="18" s="1"/>
  <c r="G74" i="18"/>
  <c r="I72" i="18"/>
  <c r="L72" i="18" s="1"/>
  <c r="G72" i="18"/>
  <c r="I57" i="18"/>
  <c r="L57" i="18" s="1"/>
  <c r="G57" i="18"/>
  <c r="I56" i="18"/>
  <c r="L56" i="18" s="1"/>
  <c r="G56" i="18"/>
  <c r="I55" i="18"/>
  <c r="L55" i="18" s="1"/>
  <c r="G55" i="18"/>
  <c r="I54" i="18"/>
  <c r="L54" i="18" s="1"/>
  <c r="G54" i="18"/>
  <c r="I53" i="18"/>
  <c r="G53" i="18"/>
  <c r="I43" i="18"/>
  <c r="L33" i="18"/>
  <c r="K33" i="18"/>
  <c r="J33" i="18"/>
  <c r="I33" i="18"/>
  <c r="H33" i="18"/>
  <c r="G33" i="18"/>
  <c r="O23" i="18"/>
  <c r="N23" i="18"/>
  <c r="M23" i="18"/>
  <c r="L23" i="18"/>
  <c r="K23" i="18"/>
  <c r="J23" i="18"/>
  <c r="H23" i="18"/>
  <c r="R22" i="18"/>
  <c r="Q22" i="18"/>
  <c r="I22" i="18"/>
  <c r="P22" i="18" s="1"/>
  <c r="G22" i="18"/>
  <c r="R21" i="18"/>
  <c r="Q21" i="18"/>
  <c r="I21" i="18"/>
  <c r="P21" i="18" s="1"/>
  <c r="G21" i="18"/>
  <c r="R17" i="18"/>
  <c r="Q17" i="18"/>
  <c r="P17" i="18"/>
  <c r="G17" i="18"/>
  <c r="M83" i="16"/>
  <c r="K83" i="16"/>
  <c r="J83" i="16"/>
  <c r="I83" i="16"/>
  <c r="H83" i="16"/>
  <c r="L82" i="16"/>
  <c r="L81" i="16"/>
  <c r="L80" i="16"/>
  <c r="L79" i="16"/>
  <c r="L78" i="16"/>
  <c r="L77" i="16"/>
  <c r="G77" i="16"/>
  <c r="M73" i="16"/>
  <c r="K73" i="16"/>
  <c r="J73" i="16"/>
  <c r="H73" i="16"/>
  <c r="I61" i="16"/>
  <c r="L61" i="16" s="1"/>
  <c r="G61" i="16"/>
  <c r="I60" i="16"/>
  <c r="L60" i="16" s="1"/>
  <c r="G60" i="16"/>
  <c r="I59" i="16"/>
  <c r="L59" i="16" s="1"/>
  <c r="G59" i="16"/>
  <c r="I58" i="16"/>
  <c r="L58" i="16" s="1"/>
  <c r="G58" i="16"/>
  <c r="I57" i="16"/>
  <c r="L57" i="16" s="1"/>
  <c r="G57" i="16"/>
  <c r="I56" i="16"/>
  <c r="L56" i="16" s="1"/>
  <c r="G56" i="16"/>
  <c r="I55" i="16"/>
  <c r="L55" i="16" s="1"/>
  <c r="G55" i="16"/>
  <c r="I54" i="16"/>
  <c r="L54" i="16" s="1"/>
  <c r="G54" i="16"/>
  <c r="I53" i="16"/>
  <c r="G53" i="16"/>
  <c r="I44" i="16"/>
  <c r="K42" i="16"/>
  <c r="J42" i="16"/>
  <c r="H42" i="16"/>
  <c r="K41" i="16"/>
  <c r="J41" i="16"/>
  <c r="H41" i="16"/>
  <c r="K40" i="16"/>
  <c r="J40" i="16"/>
  <c r="H40" i="16"/>
  <c r="K39" i="16"/>
  <c r="J39" i="16"/>
  <c r="H39" i="16"/>
  <c r="L33" i="16"/>
  <c r="K33" i="16"/>
  <c r="J33" i="16"/>
  <c r="I33" i="16"/>
  <c r="H33" i="16"/>
  <c r="G33" i="16"/>
  <c r="O23" i="16"/>
  <c r="N23" i="16"/>
  <c r="M23" i="16"/>
  <c r="L23" i="16"/>
  <c r="K23" i="16"/>
  <c r="J23" i="16"/>
  <c r="H23" i="16"/>
  <c r="R13" i="16"/>
  <c r="Q13" i="16"/>
  <c r="I13" i="16"/>
  <c r="P13" i="16" s="1"/>
  <c r="G13" i="16"/>
  <c r="R12" i="16"/>
  <c r="Q12" i="16"/>
  <c r="I12" i="16"/>
  <c r="P12" i="16" s="1"/>
  <c r="G12" i="16"/>
  <c r="R11" i="16"/>
  <c r="Q11" i="16"/>
  <c r="I11" i="16"/>
  <c r="P11" i="16" s="1"/>
  <c r="G11" i="16"/>
  <c r="R10" i="16"/>
  <c r="Q10" i="16"/>
  <c r="I10" i="16"/>
  <c r="P10" i="16" s="1"/>
  <c r="G10" i="16"/>
  <c r="R9" i="16"/>
  <c r="Q9" i="16"/>
  <c r="I9" i="16"/>
  <c r="G9" i="16"/>
  <c r="M84" i="15"/>
  <c r="K84" i="15"/>
  <c r="J84" i="15"/>
  <c r="I84" i="15"/>
  <c r="H84" i="15"/>
  <c r="L82" i="15"/>
  <c r="L81" i="15"/>
  <c r="L80" i="15"/>
  <c r="L79" i="15"/>
  <c r="L78" i="15"/>
  <c r="L77" i="15"/>
  <c r="G77" i="15"/>
  <c r="M74" i="15"/>
  <c r="K74" i="15"/>
  <c r="J74" i="15"/>
  <c r="H74" i="15"/>
  <c r="I71" i="15"/>
  <c r="L71" i="15" s="1"/>
  <c r="G71" i="15"/>
  <c r="I70" i="15"/>
  <c r="L70" i="15" s="1"/>
  <c r="G70" i="15"/>
  <c r="I69" i="15"/>
  <c r="L69" i="15" s="1"/>
  <c r="G69" i="15"/>
  <c r="I68" i="15"/>
  <c r="L68" i="15" s="1"/>
  <c r="G68" i="15"/>
  <c r="I67" i="15"/>
  <c r="L67" i="15" s="1"/>
  <c r="G67" i="15"/>
  <c r="I52" i="15"/>
  <c r="L52" i="15" s="1"/>
  <c r="G52" i="15"/>
  <c r="I51" i="15"/>
  <c r="L51" i="15" s="1"/>
  <c r="G51" i="15"/>
  <c r="I50" i="15"/>
  <c r="L50" i="15" s="1"/>
  <c r="G50" i="15"/>
  <c r="I49" i="15"/>
  <c r="G49" i="15"/>
  <c r="I40" i="15"/>
  <c r="K38" i="15"/>
  <c r="J38" i="15"/>
  <c r="H38" i="15"/>
  <c r="K37" i="15"/>
  <c r="J37" i="15"/>
  <c r="H37" i="15"/>
  <c r="K36" i="15"/>
  <c r="J36" i="15"/>
  <c r="H36" i="15"/>
  <c r="K35" i="15"/>
  <c r="J35" i="15"/>
  <c r="H35" i="15"/>
  <c r="L29" i="15"/>
  <c r="K29" i="15"/>
  <c r="J29" i="15"/>
  <c r="I29" i="15"/>
  <c r="H29" i="15"/>
  <c r="G29" i="15"/>
  <c r="O19" i="15"/>
  <c r="N19" i="15"/>
  <c r="M19" i="15"/>
  <c r="L19" i="15"/>
  <c r="K19" i="15"/>
  <c r="J19" i="15"/>
  <c r="H19" i="15"/>
  <c r="R16" i="15"/>
  <c r="Q16" i="15"/>
  <c r="I16" i="15"/>
  <c r="P16" i="15" s="1"/>
  <c r="G16" i="15"/>
  <c r="R15" i="15"/>
  <c r="Q15" i="15"/>
  <c r="I15" i="15"/>
  <c r="P15" i="15" s="1"/>
  <c r="G15" i="15"/>
  <c r="R14" i="15"/>
  <c r="Q14" i="15"/>
  <c r="I14" i="15"/>
  <c r="P14" i="15" s="1"/>
  <c r="G14" i="15"/>
  <c r="R13" i="15"/>
  <c r="Q13" i="15"/>
  <c r="I13" i="15"/>
  <c r="P13" i="15" s="1"/>
  <c r="G13" i="15"/>
  <c r="R12" i="15"/>
  <c r="Q12" i="15"/>
  <c r="I12" i="15"/>
  <c r="P12" i="15" s="1"/>
  <c r="G12" i="15"/>
  <c r="R11" i="15"/>
  <c r="Q11" i="15"/>
  <c r="I11" i="15"/>
  <c r="P11" i="15" s="1"/>
  <c r="G11" i="15"/>
  <c r="R10" i="15"/>
  <c r="Q10" i="15"/>
  <c r="I10" i="15"/>
  <c r="P10" i="15" s="1"/>
  <c r="G10" i="15"/>
  <c r="R9" i="15"/>
  <c r="Q9" i="15"/>
  <c r="I9" i="15"/>
  <c r="P9" i="15" s="1"/>
  <c r="G9" i="15"/>
  <c r="M107" i="14"/>
  <c r="K107" i="14"/>
  <c r="J107" i="14"/>
  <c r="I107" i="14"/>
  <c r="H107" i="14"/>
  <c r="G101" i="14"/>
  <c r="M97" i="14"/>
  <c r="K97" i="14"/>
  <c r="J97" i="14"/>
  <c r="H97" i="14"/>
  <c r="I55" i="14"/>
  <c r="G55" i="14"/>
  <c r="I46" i="14"/>
  <c r="L33" i="14"/>
  <c r="K33" i="14"/>
  <c r="J33" i="14"/>
  <c r="I33" i="14"/>
  <c r="G33" i="14"/>
  <c r="O23" i="14"/>
  <c r="N23" i="14"/>
  <c r="M23" i="14"/>
  <c r="L23" i="14"/>
  <c r="K23" i="14"/>
  <c r="J23" i="14"/>
  <c r="H23" i="14"/>
  <c r="M82" i="13"/>
  <c r="K82" i="13"/>
  <c r="J82" i="13"/>
  <c r="I82" i="13"/>
  <c r="H82" i="13"/>
  <c r="L81" i="13"/>
  <c r="L80" i="13"/>
  <c r="L79" i="13"/>
  <c r="L78" i="13"/>
  <c r="L77" i="13"/>
  <c r="L76" i="13"/>
  <c r="G76" i="13"/>
  <c r="M72" i="13"/>
  <c r="K72" i="13"/>
  <c r="J72" i="13"/>
  <c r="H72" i="13"/>
  <c r="I59" i="13"/>
  <c r="L59" i="13" s="1"/>
  <c r="G59" i="13"/>
  <c r="I58" i="13"/>
  <c r="L58" i="13" s="1"/>
  <c r="G58" i="13"/>
  <c r="I57" i="13"/>
  <c r="L57" i="13" s="1"/>
  <c r="G57" i="13"/>
  <c r="I56" i="13"/>
  <c r="L56" i="13" s="1"/>
  <c r="G56" i="13"/>
  <c r="I55" i="13"/>
  <c r="L55" i="13" s="1"/>
  <c r="G55" i="13"/>
  <c r="I54" i="13"/>
  <c r="L54" i="13" s="1"/>
  <c r="G54" i="13"/>
  <c r="I53" i="13"/>
  <c r="L53" i="13" s="1"/>
  <c r="G53" i="13"/>
  <c r="I52" i="13"/>
  <c r="L52" i="13" s="1"/>
  <c r="G52" i="13"/>
  <c r="I51" i="13"/>
  <c r="G51" i="13"/>
  <c r="I42" i="13"/>
  <c r="K40" i="13"/>
  <c r="J40" i="13"/>
  <c r="H40" i="13"/>
  <c r="K39" i="13"/>
  <c r="J39" i="13"/>
  <c r="H39" i="13"/>
  <c r="K38" i="13"/>
  <c r="J38" i="13"/>
  <c r="H38" i="13"/>
  <c r="K37" i="13"/>
  <c r="J37" i="13"/>
  <c r="H37" i="13"/>
  <c r="L31" i="13"/>
  <c r="K31" i="13"/>
  <c r="J31" i="13"/>
  <c r="I31" i="13"/>
  <c r="H31" i="13"/>
  <c r="G31" i="13"/>
  <c r="O21" i="13"/>
  <c r="N21" i="13"/>
  <c r="M21" i="13"/>
  <c r="L21" i="13"/>
  <c r="K21" i="13"/>
  <c r="J21" i="13"/>
  <c r="H21" i="13"/>
  <c r="K24" i="13" s="1"/>
  <c r="R15" i="13"/>
  <c r="Q15" i="13"/>
  <c r="I15" i="13"/>
  <c r="P15" i="13" s="1"/>
  <c r="G15" i="13"/>
  <c r="R14" i="13"/>
  <c r="Q14" i="13"/>
  <c r="I14" i="13"/>
  <c r="P14" i="13" s="1"/>
  <c r="G14" i="13"/>
  <c r="R13" i="13"/>
  <c r="Q13" i="13"/>
  <c r="I13" i="13"/>
  <c r="P13" i="13" s="1"/>
  <c r="G13" i="13"/>
  <c r="R12" i="13"/>
  <c r="Q12" i="13"/>
  <c r="I12" i="13"/>
  <c r="P12" i="13" s="1"/>
  <c r="G12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P9" i="13" s="1"/>
  <c r="G9" i="13"/>
  <c r="M81" i="12"/>
  <c r="K81" i="12"/>
  <c r="J81" i="12"/>
  <c r="I81" i="12"/>
  <c r="H81" i="12"/>
  <c r="L80" i="12"/>
  <c r="L79" i="12"/>
  <c r="L78" i="12"/>
  <c r="L77" i="12"/>
  <c r="L76" i="12"/>
  <c r="L75" i="12"/>
  <c r="G75" i="12"/>
  <c r="M70" i="12"/>
  <c r="K70" i="12"/>
  <c r="J70" i="12"/>
  <c r="H70" i="12"/>
  <c r="I69" i="12"/>
  <c r="L69" i="12" s="1"/>
  <c r="G69" i="12"/>
  <c r="I68" i="12"/>
  <c r="L68" i="12" s="1"/>
  <c r="G68" i="12"/>
  <c r="I67" i="12"/>
  <c r="L67" i="12" s="1"/>
  <c r="G67" i="12"/>
  <c r="I66" i="12"/>
  <c r="L66" i="12" s="1"/>
  <c r="G66" i="12"/>
  <c r="I65" i="12"/>
  <c r="L65" i="12" s="1"/>
  <c r="G65" i="12"/>
  <c r="I64" i="12"/>
  <c r="L64" i="12" s="1"/>
  <c r="G64" i="12"/>
  <c r="I63" i="12"/>
  <c r="L63" i="12" s="1"/>
  <c r="G63" i="12"/>
  <c r="I50" i="12"/>
  <c r="L50" i="12" s="1"/>
  <c r="G50" i="12"/>
  <c r="I49" i="12"/>
  <c r="G49" i="12"/>
  <c r="I39" i="12"/>
  <c r="K38" i="12"/>
  <c r="J38" i="12"/>
  <c r="H38" i="12"/>
  <c r="K37" i="12"/>
  <c r="J37" i="12"/>
  <c r="H37" i="12"/>
  <c r="K36" i="12"/>
  <c r="J36" i="12"/>
  <c r="H36" i="12"/>
  <c r="K35" i="12"/>
  <c r="J35" i="12"/>
  <c r="H35" i="12"/>
  <c r="L29" i="12"/>
  <c r="K29" i="12"/>
  <c r="J29" i="12"/>
  <c r="I29" i="12"/>
  <c r="H29" i="12"/>
  <c r="G29" i="12"/>
  <c r="O19" i="12"/>
  <c r="N19" i="12"/>
  <c r="M19" i="12"/>
  <c r="L19" i="12"/>
  <c r="K19" i="12"/>
  <c r="J19" i="12"/>
  <c r="H19" i="12"/>
  <c r="R18" i="12"/>
  <c r="Q18" i="12"/>
  <c r="I18" i="12"/>
  <c r="P18" i="12" s="1"/>
  <c r="G18" i="12"/>
  <c r="R17" i="12"/>
  <c r="Q17" i="12"/>
  <c r="I17" i="12"/>
  <c r="P17" i="12" s="1"/>
  <c r="G17" i="12"/>
  <c r="R16" i="12"/>
  <c r="Q16" i="12"/>
  <c r="I16" i="12"/>
  <c r="P16" i="12" s="1"/>
  <c r="G16" i="12"/>
  <c r="R15" i="12"/>
  <c r="Q15" i="12"/>
  <c r="I15" i="12"/>
  <c r="P15" i="12" s="1"/>
  <c r="G15" i="12"/>
  <c r="R11" i="12"/>
  <c r="Q11" i="12"/>
  <c r="I11" i="12"/>
  <c r="P11" i="12" s="1"/>
  <c r="G11" i="12"/>
  <c r="R10" i="12"/>
  <c r="Q10" i="12"/>
  <c r="I10" i="12"/>
  <c r="P10" i="12" s="1"/>
  <c r="G10" i="12"/>
  <c r="R9" i="12"/>
  <c r="Q9" i="12"/>
  <c r="I9" i="12"/>
  <c r="P9" i="12" s="1"/>
  <c r="G9" i="12"/>
  <c r="M79" i="11"/>
  <c r="K79" i="11"/>
  <c r="J79" i="11"/>
  <c r="I79" i="11"/>
  <c r="H79" i="11"/>
  <c r="L78" i="11"/>
  <c r="L77" i="11"/>
  <c r="L76" i="11"/>
  <c r="L75" i="11"/>
  <c r="L74" i="11"/>
  <c r="L73" i="11"/>
  <c r="G73" i="11"/>
  <c r="M69" i="11"/>
  <c r="K69" i="11"/>
  <c r="J69" i="11"/>
  <c r="H69" i="11"/>
  <c r="I59" i="11"/>
  <c r="L59" i="11" s="1"/>
  <c r="G59" i="11"/>
  <c r="I57" i="11"/>
  <c r="L57" i="11" s="1"/>
  <c r="G57" i="11"/>
  <c r="I58" i="11"/>
  <c r="L58" i="11" s="1"/>
  <c r="G58" i="11"/>
  <c r="I55" i="11"/>
  <c r="L55" i="11" s="1"/>
  <c r="G55" i="11"/>
  <c r="I56" i="11"/>
  <c r="L56" i="11" s="1"/>
  <c r="G56" i="11"/>
  <c r="I52" i="11"/>
  <c r="L52" i="11" s="1"/>
  <c r="G52" i="11"/>
  <c r="I51" i="11"/>
  <c r="L51" i="11" s="1"/>
  <c r="G51" i="11"/>
  <c r="I54" i="11"/>
  <c r="L54" i="11" s="1"/>
  <c r="G54" i="11"/>
  <c r="I53" i="11"/>
  <c r="G53" i="11"/>
  <c r="I40" i="11"/>
  <c r="K39" i="11"/>
  <c r="J39" i="11"/>
  <c r="H39" i="11"/>
  <c r="K38" i="11"/>
  <c r="J38" i="11"/>
  <c r="H38" i="11"/>
  <c r="K37" i="11"/>
  <c r="J37" i="11"/>
  <c r="H37" i="11"/>
  <c r="K36" i="11"/>
  <c r="J36" i="11"/>
  <c r="H36" i="11"/>
  <c r="L30" i="11"/>
  <c r="K30" i="11"/>
  <c r="J30" i="11"/>
  <c r="I30" i="11"/>
  <c r="H30" i="11"/>
  <c r="G30" i="11"/>
  <c r="O20" i="11"/>
  <c r="N20" i="11"/>
  <c r="M20" i="11"/>
  <c r="L20" i="11"/>
  <c r="K20" i="11"/>
  <c r="H20" i="11"/>
  <c r="R16" i="11"/>
  <c r="Q16" i="11"/>
  <c r="P16" i="11"/>
  <c r="G16" i="11"/>
  <c r="R15" i="11"/>
  <c r="Q15" i="11"/>
  <c r="P15" i="11"/>
  <c r="G15" i="11"/>
  <c r="R14" i="11"/>
  <c r="Q14" i="11"/>
  <c r="P14" i="11"/>
  <c r="G14" i="11"/>
  <c r="R13" i="11"/>
  <c r="Q13" i="11"/>
  <c r="P13" i="11"/>
  <c r="G13" i="11"/>
  <c r="R12" i="11"/>
  <c r="Q12" i="11"/>
  <c r="P12" i="11"/>
  <c r="G12" i="11"/>
  <c r="R11" i="11"/>
  <c r="Q11" i="11"/>
  <c r="P11" i="11"/>
  <c r="G11" i="11"/>
  <c r="R10" i="11"/>
  <c r="Q10" i="11"/>
  <c r="G10" i="11"/>
  <c r="R9" i="11"/>
  <c r="Q9" i="11"/>
  <c r="P9" i="11"/>
  <c r="G9" i="11"/>
  <c r="N1" i="10"/>
  <c r="K44" i="10" s="1"/>
  <c r="M77" i="10"/>
  <c r="K77" i="10"/>
  <c r="J77" i="10"/>
  <c r="I77" i="10"/>
  <c r="H77" i="10"/>
  <c r="G71" i="10"/>
  <c r="M67" i="10"/>
  <c r="K67" i="10"/>
  <c r="J67" i="10"/>
  <c r="H67" i="10"/>
  <c r="I56" i="10"/>
  <c r="L56" i="10" s="1"/>
  <c r="G56" i="10"/>
  <c r="I55" i="10"/>
  <c r="L55" i="10" s="1"/>
  <c r="G55" i="10"/>
  <c r="I54" i="10"/>
  <c r="L54" i="10" s="1"/>
  <c r="G54" i="10"/>
  <c r="I53" i="10"/>
  <c r="L53" i="10" s="1"/>
  <c r="G53" i="10"/>
  <c r="I52" i="10"/>
  <c r="L52" i="10" s="1"/>
  <c r="G52" i="10"/>
  <c r="I51" i="10"/>
  <c r="L51" i="10" s="1"/>
  <c r="G51" i="10"/>
  <c r="I50" i="10"/>
  <c r="L50" i="10" s="1"/>
  <c r="G50" i="10"/>
  <c r="I49" i="10"/>
  <c r="L49" i="10" s="1"/>
  <c r="G49" i="10"/>
  <c r="I48" i="10"/>
  <c r="G48" i="10"/>
  <c r="I38" i="10"/>
  <c r="K37" i="10"/>
  <c r="J37" i="10"/>
  <c r="H37" i="10"/>
  <c r="K36" i="10"/>
  <c r="J36" i="10"/>
  <c r="H36" i="10"/>
  <c r="K35" i="10"/>
  <c r="J35" i="10"/>
  <c r="H35" i="10"/>
  <c r="K34" i="10"/>
  <c r="J34" i="10"/>
  <c r="H34" i="10"/>
  <c r="L28" i="10"/>
  <c r="K28" i="10"/>
  <c r="J28" i="10"/>
  <c r="I28" i="10"/>
  <c r="H28" i="10"/>
  <c r="G28" i="10"/>
  <c r="O18" i="10"/>
  <c r="N18" i="10"/>
  <c r="M18" i="10"/>
  <c r="L18" i="10"/>
  <c r="K18" i="10"/>
  <c r="J18" i="10"/>
  <c r="H18" i="10"/>
  <c r="R14" i="10"/>
  <c r="Q14" i="10"/>
  <c r="P14" i="10"/>
  <c r="G14" i="10"/>
  <c r="R15" i="10"/>
  <c r="Q15" i="10"/>
  <c r="P15" i="10"/>
  <c r="G15" i="10"/>
  <c r="R13" i="10"/>
  <c r="Q13" i="10"/>
  <c r="P13" i="10"/>
  <c r="G13" i="10"/>
  <c r="G63" i="2"/>
  <c r="G64" i="2"/>
  <c r="G65" i="2"/>
  <c r="G62" i="2"/>
  <c r="L74" i="2"/>
  <c r="L75" i="2"/>
  <c r="L77" i="2"/>
  <c r="L73" i="2"/>
  <c r="L76" i="2"/>
  <c r="G72" i="2"/>
  <c r="L72" i="2"/>
  <c r="I38" i="2"/>
  <c r="K29" i="2"/>
  <c r="J29" i="2"/>
  <c r="I29" i="2"/>
  <c r="H29" i="2"/>
  <c r="G29" i="2"/>
  <c r="L29" i="2"/>
  <c r="K78" i="2"/>
  <c r="J78" i="2"/>
  <c r="I78" i="2"/>
  <c r="H78" i="2"/>
  <c r="M78" i="2"/>
  <c r="K44" i="2"/>
  <c r="K69" i="2"/>
  <c r="J69" i="2"/>
  <c r="H69" i="2"/>
  <c r="M69" i="2"/>
  <c r="G57" i="2"/>
  <c r="K35" i="2"/>
  <c r="J35" i="2"/>
  <c r="H35" i="2"/>
  <c r="O19" i="2"/>
  <c r="N19" i="2"/>
  <c r="M19" i="2"/>
  <c r="L19" i="2"/>
  <c r="K19" i="2"/>
  <c r="J19" i="2"/>
  <c r="H19" i="2"/>
  <c r="J4" i="13" l="1"/>
  <c r="B4" i="13"/>
  <c r="B4" i="18"/>
  <c r="I75" i="19"/>
  <c r="M4" i="19" s="1"/>
  <c r="I23" i="16"/>
  <c r="G4" i="16" s="1"/>
  <c r="I74" i="15"/>
  <c r="M4" i="15" s="1"/>
  <c r="I76" i="18"/>
  <c r="M4" i="18" s="1"/>
  <c r="J4" i="12"/>
  <c r="J4" i="16"/>
  <c r="B4" i="10"/>
  <c r="J20" i="11"/>
  <c r="B4" i="11"/>
  <c r="B4" i="15"/>
  <c r="I72" i="13"/>
  <c r="M4" i="13" s="1"/>
  <c r="I70" i="12"/>
  <c r="M4" i="12" s="1"/>
  <c r="L79" i="11"/>
  <c r="L84" i="15"/>
  <c r="J4" i="11"/>
  <c r="B4" i="12"/>
  <c r="J4" i="15"/>
  <c r="P27" i="21"/>
  <c r="B4" i="16"/>
  <c r="I73" i="16"/>
  <c r="M4" i="16" s="1"/>
  <c r="L83" i="16"/>
  <c r="J4" i="18"/>
  <c r="J4" i="19"/>
  <c r="I67" i="10"/>
  <c r="M4" i="10" s="1"/>
  <c r="J4" i="10"/>
  <c r="J4" i="21"/>
  <c r="I97" i="14"/>
  <c r="M4" i="14" s="1"/>
  <c r="B4" i="19"/>
  <c r="B4" i="14"/>
  <c r="J4" i="14"/>
  <c r="I20" i="11"/>
  <c r="I69" i="11"/>
  <c r="M4" i="11" s="1"/>
  <c r="L81" i="12"/>
  <c r="I23" i="14"/>
  <c r="G4" i="14" s="1"/>
  <c r="L107" i="14"/>
  <c r="I19" i="15"/>
  <c r="G4" i="15" s="1"/>
  <c r="P9" i="16"/>
  <c r="P23" i="16" s="1"/>
  <c r="L85" i="18"/>
  <c r="I23" i="19"/>
  <c r="G4" i="19" s="1"/>
  <c r="L53" i="19"/>
  <c r="L75" i="19" s="1"/>
  <c r="L85" i="19"/>
  <c r="M4" i="21"/>
  <c r="G4" i="4"/>
  <c r="B11" i="4"/>
  <c r="L11" i="4"/>
  <c r="G18" i="4"/>
  <c r="B25" i="4"/>
  <c r="L25" i="4"/>
  <c r="L4" i="4"/>
  <c r="G11" i="4"/>
  <c r="B18" i="4"/>
  <c r="L18" i="4"/>
  <c r="P23" i="19"/>
  <c r="L82" i="13"/>
  <c r="L77" i="10"/>
  <c r="P23" i="18"/>
  <c r="L53" i="18"/>
  <c r="L76" i="18" s="1"/>
  <c r="I23" i="18"/>
  <c r="G4" i="18" s="1"/>
  <c r="L53" i="16"/>
  <c r="L73" i="16" s="1"/>
  <c r="P19" i="15"/>
  <c r="L49" i="15"/>
  <c r="L74" i="15" s="1"/>
  <c r="P23" i="14"/>
  <c r="L55" i="14"/>
  <c r="L97" i="14" s="1"/>
  <c r="P21" i="13"/>
  <c r="L51" i="13"/>
  <c r="L72" i="13" s="1"/>
  <c r="I21" i="13"/>
  <c r="G4" i="13" s="1"/>
  <c r="P19" i="12"/>
  <c r="L49" i="12"/>
  <c r="L70" i="12" s="1"/>
  <c r="I19" i="12"/>
  <c r="G4" i="12" s="1"/>
  <c r="P20" i="11"/>
  <c r="L53" i="11"/>
  <c r="L69" i="11" s="1"/>
  <c r="P18" i="10"/>
  <c r="L48" i="10"/>
  <c r="L67" i="10" s="1"/>
  <c r="I18" i="10"/>
  <c r="G4" i="10" s="1"/>
  <c r="I69" i="2"/>
  <c r="M4" i="2" s="1"/>
  <c r="I19" i="2"/>
  <c r="G4" i="2" s="1"/>
  <c r="B4" i="2"/>
  <c r="J4" i="2"/>
  <c r="L78" i="2"/>
  <c r="L69" i="2"/>
  <c r="P19" i="2"/>
  <c r="P4" i="18" l="1"/>
  <c r="P4" i="16"/>
  <c r="P4" i="19"/>
  <c r="G4" i="11"/>
  <c r="P4" i="11" s="1"/>
  <c r="P4" i="12"/>
  <c r="P4" i="15"/>
  <c r="P4" i="13"/>
  <c r="P4" i="21"/>
  <c r="P4" i="10"/>
  <c r="P4" i="14"/>
  <c r="P4" i="2"/>
</calcChain>
</file>

<file path=xl/sharedStrings.xml><?xml version="1.0" encoding="utf-8"?>
<sst xmlns="http://schemas.openxmlformats.org/spreadsheetml/2006/main" count="1455" uniqueCount="239">
  <si>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</si>
  <si>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</si>
  <si>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</si>
  <si>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</si>
  <si>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</si>
  <si>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</si>
  <si>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</si>
  <si>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</si>
  <si>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</si>
  <si>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</si>
  <si>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</si>
  <si>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</si>
  <si>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</si>
  <si>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</si>
  <si>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</si>
  <si>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</si>
  <si>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</si>
  <si>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</si>
  <si>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</si>
  <si>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</si>
  <si>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</si>
  <si>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</si>
  <si>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</si>
  <si>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</si>
  <si>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</si>
  <si>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</si>
  <si>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</si>
  <si>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</si>
  <si>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</si>
  <si>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</si>
  <si>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</si>
  <si>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</si>
  <si>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</si>
  <si>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</si>
  <si>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</si>
  <si>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</si>
  <si>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</si>
  <si>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</si>
  <si>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</si>
  <si>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</si>
  <si>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</si>
  <si>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</si>
  <si>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</si>
  <si>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</si>
  <si>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</si>
  <si>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</si>
  <si>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</si>
  <si>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</si>
  <si>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</si>
  <si>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</si>
  <si>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</si>
  <si>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</si>
  <si>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</si>
  <si>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</si>
  <si>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</si>
  <si>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</si>
  <si>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</si>
  <si>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</si>
  <si>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</si>
  <si>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</si>
  <si>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</si>
  <si>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</si>
  <si>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</si>
  <si>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</si>
  <si>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</si>
  <si>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</si>
  <si>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</si>
  <si>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</si>
  <si>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</si>
  <si>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</si>
  <si>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</si>
  <si>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</si>
  <si>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</si>
  <si>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</si>
  <si>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</si>
  <si>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</si>
  <si>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</si>
  <si>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</si>
  <si>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</si>
  <si>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</si>
  <si>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</si>
  <si>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</si>
  <si>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</si>
  <si>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</si>
  <si>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</si>
  <si>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</si>
  <si>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</si>
  <si>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</si>
  <si>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</si>
  <si>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Librería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</si>
  <si>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</si>
  <si>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</si>
  <si>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</si>
  <si>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</si>
  <si>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</si>
  <si>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</si>
  <si>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</si>
  <si>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</si>
  <si>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</si>
  <si>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</si>
  <si>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</si>
  <si>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</si>
  <si>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</si>
  <si>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</si>
  <si>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</si>
  <si>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</si>
  <si>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FRAVEGA S A C I E I</t>
  </si>
  <si>
    <t>BUENOS AIRES</t>
  </si>
  <si>
    <t>RABLEB SRL</t>
  </si>
  <si>
    <t>GOOGLE ARGENTINA S.R.L.</t>
  </si>
  <si>
    <t>TC TIENDAS AR S.R.L.</t>
  </si>
  <si>
    <t>insumos</t>
  </si>
  <si>
    <t>WAIKI S.A.</t>
  </si>
  <si>
    <t>GAIGA RENZO MIGUEL</t>
  </si>
  <si>
    <t>SENS GROUP SRL</t>
  </si>
  <si>
    <t>F&amp;R S.A.S.</t>
  </si>
  <si>
    <t>JD SOURCING S.R.L</t>
  </si>
  <si>
    <t>VITTOR LORENA MARCELA</t>
  </si>
  <si>
    <t>FEIDAS FERNANDO EMILIANO</t>
  </si>
  <si>
    <t>GRUPO FAM SA</t>
  </si>
  <si>
    <t>STM ESTILO S.R.L</t>
  </si>
  <si>
    <t>INDUSTRIA4 S.R.L.</t>
  </si>
  <si>
    <t>PERROS Y GATOS FOOD S.A.S.</t>
  </si>
  <si>
    <t>BARLETTA MAXIMILIANO SEBASTIAN</t>
  </si>
  <si>
    <t>BARISCI MATIAS NICOLAS</t>
  </si>
  <si>
    <t>TOURMALHYN S.R.L.</t>
  </si>
  <si>
    <t>GARCIA VAUTRIN ANDRES ALBERTO</t>
  </si>
  <si>
    <t>BORGES BUENOS AIRES SRL</t>
  </si>
  <si>
    <t>TODOVISION S.A</t>
  </si>
  <si>
    <t>CASTROMAN AGUSTIN</t>
  </si>
  <si>
    <t>BOSSI MARIA PAULA</t>
  </si>
  <si>
    <t>GONZALEZ NESTOR RICARDO</t>
  </si>
  <si>
    <t>FLEET KYAN SRL</t>
  </si>
  <si>
    <t>GRIMALDI NICOLAS</t>
  </si>
  <si>
    <t>MATTEO DANIEL ERNESTO</t>
  </si>
  <si>
    <t>DENATALE MARCELA BEATRIZ</t>
  </si>
  <si>
    <t>PEISER</t>
  </si>
  <si>
    <t>LANDI GERONIMO</t>
  </si>
  <si>
    <t>CENTRO DE ENTRENAMIENTO DE MANEJO S.A.</t>
  </si>
  <si>
    <t>BACANES</t>
  </si>
  <si>
    <t>CECCO ALVARO GONZALO</t>
  </si>
  <si>
    <t>E S B A LUGANO S A</t>
  </si>
  <si>
    <t>ESBA FLORESS A</t>
  </si>
  <si>
    <t>INSTITUTO ORSINO SA</t>
  </si>
  <si>
    <t>ROSSO FAVIO DANIEL</t>
  </si>
  <si>
    <t>DATTATEC.COM S.R.L.</t>
  </si>
  <si>
    <t>MARQUISAS SA</t>
  </si>
  <si>
    <t>Otros - No Grav.</t>
  </si>
  <si>
    <t>EMPRENDIMIENTOS SHOPGLASS S. R. L.</t>
  </si>
  <si>
    <t>FADIGA OSCAR ALBERTO</t>
  </si>
  <si>
    <t>INSTITUTO DE ESTUDIOS SUPERIORES DE BUENOS AIRES S A</t>
  </si>
  <si>
    <t>ARAUJO CARLOS MARTIN</t>
  </si>
  <si>
    <t>FABIO Y RAUL ROSSO S.A.S.</t>
  </si>
  <si>
    <t>DEHEZA SOCIEDAD ANONIMA INDUSTRIAL COMERCIAL FINANCIERA INMOBILIARIA</t>
  </si>
  <si>
    <t>OPANASIUK MACARENA ANTONELLA</t>
  </si>
  <si>
    <t>BOTINDARI FEDERICO DANIEL</t>
  </si>
  <si>
    <t>HONORARIOS CONTABLE</t>
  </si>
  <si>
    <t>LISERAR S A</t>
  </si>
  <si>
    <t>LEVINT PARTNERS S.R.L.</t>
  </si>
  <si>
    <t>CRESPO LEONARDO GUILLERMO</t>
  </si>
  <si>
    <t>01/02/2024</t>
  </si>
  <si>
    <t>09/02/2024</t>
  </si>
  <si>
    <t>LAMARI FRANCO AGUSTIN</t>
  </si>
  <si>
    <t>29/02/2024</t>
  </si>
  <si>
    <t>05/02/2024</t>
  </si>
  <si>
    <t>11/02/2024</t>
  </si>
  <si>
    <t>FRANCISCO ADRIAN MARCELO</t>
  </si>
  <si>
    <t>01/03/2024</t>
  </si>
  <si>
    <t>12/03/2024</t>
  </si>
  <si>
    <t>20/03/2024</t>
  </si>
  <si>
    <t>LAMATEC S.R.L.</t>
  </si>
  <si>
    <t>CAVALLOTTI MARCOS DANIEL</t>
  </si>
  <si>
    <t>GERVASI MAXIMILIANO ARIEL</t>
  </si>
  <si>
    <t>31/03/2024</t>
  </si>
  <si>
    <t>04/03/2024</t>
  </si>
  <si>
    <t>05/03/2024</t>
  </si>
  <si>
    <t>NARVAEZ SANTIAGO GABRIEL</t>
  </si>
  <si>
    <t>FERRARETTO CARLA ROMINA</t>
  </si>
  <si>
    <t>GRUPO NACER ECOLOGICO S.R.L</t>
  </si>
  <si>
    <t>SANTA FE COMERCIAL SOCIEDAD DE RESPONSABILIDAD LIMITADA</t>
  </si>
  <si>
    <t>NETSHOP GROUP S.R.L.</t>
  </si>
  <si>
    <t>GALICIA</t>
  </si>
  <si>
    <t>01/07/2024</t>
  </si>
  <si>
    <t>03/07/2024</t>
  </si>
  <si>
    <t>05/07/2024</t>
  </si>
  <si>
    <t>02/07/2024</t>
  </si>
  <si>
    <t>11/07/2024</t>
  </si>
  <si>
    <t>17/07/2024</t>
  </si>
  <si>
    <t>26/07/2024</t>
  </si>
  <si>
    <t>EMIGRA CON TU MASCOTA S.R.L.</t>
  </si>
  <si>
    <t>MARANO CORVALAN MARTIN MARIANO</t>
  </si>
  <si>
    <t>YAÑEZ GERMAN</t>
  </si>
  <si>
    <t>SUPERMERCADOS BONANNO S.A.</t>
  </si>
  <si>
    <t>LAPTOP SERVICE S.R.L.</t>
  </si>
  <si>
    <t>CONSMITEC S.R.L.</t>
  </si>
  <si>
    <t>GONZALEZ JOSE RAUL</t>
  </si>
  <si>
    <t>ERMAN CUSTODIAR S.A.</t>
  </si>
  <si>
    <t>22/09/2024</t>
  </si>
  <si>
    <t>30/09/2024</t>
  </si>
  <si>
    <t>02/09/2024</t>
  </si>
  <si>
    <t>04/09/2024</t>
  </si>
  <si>
    <t>FUNDACION EDUCACION PARA EL PROGRESO</t>
  </si>
  <si>
    <t>05/09/2024</t>
  </si>
  <si>
    <t>11/09/2024</t>
  </si>
  <si>
    <t>RODRIGUES DAIANA DENISE</t>
  </si>
  <si>
    <t>Galicia</t>
  </si>
  <si>
    <t>01/10/2024</t>
  </si>
  <si>
    <t>08/10/2024</t>
  </si>
  <si>
    <t>09/10/2024</t>
  </si>
  <si>
    <t>31/10/2024</t>
  </si>
  <si>
    <t>03/10/2024</t>
  </si>
  <si>
    <t>07/10/2024</t>
  </si>
  <si>
    <t>14/10/2024</t>
  </si>
  <si>
    <t>23/10/2024</t>
  </si>
  <si>
    <t>29/10/2024</t>
  </si>
  <si>
    <t>02/10/2024</t>
  </si>
  <si>
    <t>22/10/2024</t>
  </si>
  <si>
    <t>VIANI IVANNA</t>
  </si>
  <si>
    <t>POWER-RECORDS S.A</t>
  </si>
  <si>
    <t>TIXIT SRL</t>
  </si>
  <si>
    <t>FACTUMAR SRL</t>
  </si>
  <si>
    <t>no la tienen en el drive</t>
  </si>
  <si>
    <t>01/11/2024</t>
  </si>
  <si>
    <t>04/11/2024</t>
  </si>
  <si>
    <t>28/11/2024</t>
  </si>
  <si>
    <t>29/11/2024</t>
  </si>
  <si>
    <t>CBGB DISTRIBUCION S.R.L.</t>
  </si>
  <si>
    <t>SIMZ S. R. L.</t>
  </si>
  <si>
    <t>CENCOSUD S A</t>
  </si>
  <si>
    <t>HERAS ROMEO</t>
  </si>
  <si>
    <t>LA VALENZIANA S.R.L.</t>
  </si>
  <si>
    <t>NORDENPET SRL</t>
  </si>
  <si>
    <t>COOPERATIVA DE TRABAJO LOS REMANSEROS LIMITADA</t>
  </si>
  <si>
    <t>Gastos Publicidad y Propaganda</t>
  </si>
  <si>
    <t>HON. ADMINISTRATIVOS</t>
  </si>
  <si>
    <t>Diseño Grafico</t>
  </si>
  <si>
    <t>Honorarios Profesionales</t>
  </si>
  <si>
    <t>Serv. Informaticos</t>
  </si>
  <si>
    <t>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</si>
</sst>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#,##0.00\ _€;[Red]\-#,##0.00\ _€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0"/>
      <color theme="6" tint="-0.499984740745262"/>
      <name val="Times New Roman"/>
      <family val="1"/>
    </font>
    <font>
      <sz val="10"/>
      <color theme="6" tint="-0.499984740745262"/>
      <name val="Calibri"/>
      <family val="2"/>
    </font>
    <font>
      <b/>
      <sz val="10"/>
      <color theme="6" tint="-0.499984740745262"/>
      <name val="Calibri"/>
      <family val="2"/>
    </font>
    <font>
      <b/>
      <sz val="12"/>
      <color theme="6" tint="-0.499984740745262"/>
      <name val="Calibri"/>
      <family val="2"/>
    </font>
    <font>
      <b/>
      <sz val="11"/>
      <color theme="6" tint="-0.499984740745262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9"/>
      <color theme="6" tint="-0.499984740745262"/>
      <name val="Calibri"/>
      <family val="2"/>
    </font>
    <font>
      <sz val="10"/>
      <name val="Calibri"/>
      <family val="2"/>
      <scheme val="minor"/>
    </font>
    <font>
      <sz val="14"/>
      <color rgb="FF1111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</cellStyleXfs>
  <cellXfs count="383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40" fontId="7" fillId="24" borderId="0" xfId="3" applyNumberFormat="1" applyFont="1" applyFill="1" applyAlignment="1">
      <alignment horizontal="right" vertical="center"/>
    </xf>
    <xf numFmtId="169" fontId="6" fillId="25" borderId="1" xfId="3" applyNumberFormat="1" applyFont="1" applyFill="1" applyBorder="1" applyAlignment="1">
      <alignment horizontal="center" vertical="center"/>
    </xf>
    <xf numFmtId="172" fontId="10" fillId="0" borderId="0" xfId="3" applyNumberFormat="1" applyFont="1" applyAlignment="1">
      <alignment horizontal="center"/>
    </xf>
    <xf numFmtId="173" fontId="6" fillId="0" borderId="28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40" fontId="6" fillId="24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73" fontId="6" fillId="25" borderId="1" xfId="3" applyNumberFormat="1" applyFont="1" applyFill="1" applyBorder="1" applyAlignment="1">
      <alignment horizontal="center"/>
    </xf>
    <xf numFmtId="169" fontId="6" fillId="0" borderId="9" xfId="3" applyNumberFormat="1" applyFont="1" applyBorder="1" applyAlignment="1">
      <alignment horizontal="center" vertical="center"/>
    </xf>
    <xf numFmtId="172" fontId="6" fillId="0" borderId="1" xfId="3" applyNumberFormat="1" applyFont="1" applyBorder="1" applyAlignment="1">
      <alignment horizontal="center" vertical="center"/>
    </xf>
    <xf numFmtId="173" fontId="6" fillId="0" borderId="28" xfId="3" applyNumberFormat="1" applyFont="1" applyBorder="1" applyAlignment="1">
      <alignment horizontal="center" vertical="center"/>
    </xf>
    <xf numFmtId="170" fontId="10" fillId="0" borderId="0" xfId="3" applyNumberFormat="1" applyFont="1" applyAlignment="1">
      <alignment horizontal="center"/>
    </xf>
    <xf numFmtId="171" fontId="10" fillId="0" borderId="0" xfId="3" applyNumberFormat="1" applyFont="1" applyAlignment="1">
      <alignment horizontal="center"/>
    </xf>
    <xf numFmtId="169" fontId="42" fillId="0" borderId="0" xfId="3" applyNumberFormat="1" applyFont="1" applyAlignment="1">
      <alignment horizontal="center" vertical="center"/>
    </xf>
    <xf numFmtId="170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1" fontId="6" fillId="0" borderId="1" xfId="3" applyNumberFormat="1" applyFont="1" applyBorder="1" applyAlignment="1">
      <alignment horizontal="center" vertical="center"/>
    </xf>
    <xf numFmtId="169" fontId="47" fillId="0" borderId="0" xfId="3" applyNumberFormat="1" applyFont="1" applyAlignment="1">
      <alignment horizontal="center" vertical="center"/>
    </xf>
    <xf numFmtId="170" fontId="47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 vertical="center"/>
    </xf>
    <xf numFmtId="172" fontId="47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40" fontId="48" fillId="0" borderId="0" xfId="3" applyNumberFormat="1" applyFont="1" applyAlignment="1">
      <alignment horizontal="right" vertical="center"/>
    </xf>
    <xf numFmtId="40" fontId="48" fillId="0" borderId="0" xfId="3" applyNumberFormat="1" applyFont="1" applyAlignment="1">
      <alignment vertical="center"/>
    </xf>
    <xf numFmtId="40" fontId="48" fillId="0" borderId="0" xfId="3" applyNumberFormat="1" applyFont="1" applyAlignment="1">
      <alignment horizontal="center" vertical="center"/>
    </xf>
    <xf numFmtId="169" fontId="49" fillId="0" borderId="9" xfId="3" applyNumberFormat="1" applyFont="1" applyBorder="1" applyAlignment="1">
      <alignment horizontal="center"/>
    </xf>
    <xf numFmtId="171" fontId="49" fillId="0" borderId="1" xfId="3" applyNumberFormat="1" applyFont="1" applyBorder="1" applyAlignment="1">
      <alignment horizontal="center"/>
    </xf>
    <xf numFmtId="172" fontId="49" fillId="0" borderId="1" xfId="3" applyNumberFormat="1" applyFont="1" applyBorder="1" applyAlignment="1">
      <alignment horizontal="center"/>
    </xf>
    <xf numFmtId="0" fontId="49" fillId="0" borderId="1" xfId="3" applyFont="1" applyBorder="1" applyAlignment="1">
      <alignment horizontal="center"/>
    </xf>
    <xf numFmtId="173" fontId="49" fillId="0" borderId="1" xfId="3" applyNumberFormat="1" applyFont="1" applyBorder="1" applyAlignment="1">
      <alignment horizontal="center"/>
    </xf>
    <xf numFmtId="179" fontId="49" fillId="0" borderId="1" xfId="3" applyNumberFormat="1" applyFont="1" applyBorder="1"/>
    <xf numFmtId="179" fontId="49" fillId="0" borderId="1" xfId="3" applyNumberFormat="1" applyFont="1" applyBorder="1" applyAlignment="1">
      <alignment horizontal="right"/>
    </xf>
    <xf numFmtId="179" fontId="49" fillId="0" borderId="1" xfId="3" applyNumberFormat="1" applyFont="1" applyBorder="1" applyAlignment="1">
      <alignment horizontal="right" vertical="center"/>
    </xf>
    <xf numFmtId="40" fontId="49" fillId="0" borderId="13" xfId="3" applyNumberFormat="1" applyFont="1" applyBorder="1" applyAlignment="1">
      <alignment horizontal="right" vertical="center"/>
    </xf>
    <xf numFmtId="171" fontId="49" fillId="0" borderId="28" xfId="3" applyNumberFormat="1" applyFont="1" applyBorder="1" applyAlignment="1">
      <alignment horizontal="center"/>
    </xf>
    <xf numFmtId="172" fontId="49" fillId="0" borderId="28" xfId="3" applyNumberFormat="1" applyFont="1" applyBorder="1" applyAlignment="1">
      <alignment horizontal="center"/>
    </xf>
    <xf numFmtId="0" fontId="49" fillId="0" borderId="28" xfId="3" applyFont="1" applyBorder="1" applyAlignment="1">
      <alignment horizontal="center"/>
    </xf>
    <xf numFmtId="173" fontId="49" fillId="0" borderId="28" xfId="3" applyNumberFormat="1" applyFont="1" applyBorder="1" applyAlignment="1">
      <alignment horizontal="center"/>
    </xf>
    <xf numFmtId="179" fontId="49" fillId="0" borderId="28" xfId="3" applyNumberFormat="1" applyFont="1" applyBorder="1"/>
    <xf numFmtId="179" fontId="49" fillId="0" borderId="28" xfId="3" applyNumberFormat="1" applyFont="1" applyBorder="1" applyAlignment="1">
      <alignment horizontal="right"/>
    </xf>
    <xf numFmtId="179" fontId="49" fillId="0" borderId="28" xfId="3" applyNumberFormat="1" applyFont="1" applyBorder="1" applyAlignment="1">
      <alignment horizontal="right" vertical="center"/>
    </xf>
    <xf numFmtId="40" fontId="49" fillId="0" borderId="29" xfId="3" applyNumberFormat="1" applyFont="1" applyBorder="1" applyAlignment="1">
      <alignment horizontal="right" vertical="center"/>
    </xf>
    <xf numFmtId="0" fontId="50" fillId="0" borderId="0" xfId="0" applyFont="1" applyAlignment="1">
      <alignment horizontal="center"/>
    </xf>
    <xf numFmtId="179" fontId="50" fillId="0" borderId="0" xfId="0" applyNumberFormat="1" applyFont="1"/>
    <xf numFmtId="179" fontId="51" fillId="0" borderId="0" xfId="0" applyNumberFormat="1" applyFont="1" applyAlignment="1">
      <alignment horizontal="right"/>
    </xf>
    <xf numFmtId="179" fontId="49" fillId="0" borderId="0" xfId="0" applyNumberFormat="1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169" fontId="52" fillId="0" borderId="0" xfId="3" applyNumberFormat="1" applyFont="1" applyAlignment="1">
      <alignment horizontal="center" vertical="center"/>
    </xf>
    <xf numFmtId="170" fontId="52" fillId="0" borderId="0" xfId="3" applyNumberFormat="1" applyFont="1" applyAlignment="1">
      <alignment horizontal="center" vertical="center"/>
    </xf>
    <xf numFmtId="171" fontId="52" fillId="0" borderId="0" xfId="3" applyNumberFormat="1" applyFont="1" applyAlignment="1">
      <alignment horizontal="center" vertical="center"/>
    </xf>
    <xf numFmtId="172" fontId="52" fillId="0" borderId="0" xfId="3" applyNumberFormat="1" applyFont="1" applyAlignment="1">
      <alignment horizontal="center" vertical="center"/>
    </xf>
    <xf numFmtId="173" fontId="52" fillId="0" borderId="0" xfId="3" applyNumberFormat="1" applyFont="1" applyAlignment="1">
      <alignment horizontal="center" vertical="center"/>
    </xf>
    <xf numFmtId="0" fontId="52" fillId="0" borderId="0" xfId="3" applyFont="1" applyAlignment="1">
      <alignment horizontal="left" vertical="center"/>
    </xf>
    <xf numFmtId="40" fontId="53" fillId="0" borderId="0" xfId="3" applyNumberFormat="1" applyFont="1" applyAlignment="1">
      <alignment horizontal="right" vertical="center"/>
    </xf>
    <xf numFmtId="40" fontId="53" fillId="0" borderId="0" xfId="3" applyNumberFormat="1" applyFont="1" applyAlignment="1">
      <alignment vertical="center"/>
    </xf>
    <xf numFmtId="40" fontId="53" fillId="0" borderId="0" xfId="3" applyNumberFormat="1" applyFont="1" applyAlignment="1">
      <alignment horizontal="center" vertical="center"/>
    </xf>
    <xf numFmtId="0" fontId="52" fillId="0" borderId="0" xfId="3" applyFont="1" applyAlignment="1">
      <alignment horizontal="center" vertical="center"/>
    </xf>
    <xf numFmtId="169" fontId="52" fillId="0" borderId="9" xfId="3" applyNumberFormat="1" applyFont="1" applyBorder="1" applyAlignment="1">
      <alignment horizontal="center"/>
    </xf>
    <xf numFmtId="171" fontId="52" fillId="0" borderId="1" xfId="3" applyNumberFormat="1" applyFont="1" applyBorder="1" applyAlignment="1">
      <alignment horizontal="center"/>
    </xf>
    <xf numFmtId="172" fontId="52" fillId="0" borderId="1" xfId="3" applyNumberFormat="1" applyFont="1" applyBorder="1" applyAlignment="1">
      <alignment horizontal="center"/>
    </xf>
    <xf numFmtId="179" fontId="52" fillId="0" borderId="1" xfId="3" applyNumberFormat="1" applyFont="1" applyBorder="1"/>
    <xf numFmtId="179" fontId="52" fillId="0" borderId="1" xfId="3" applyNumberFormat="1" applyFont="1" applyBorder="1" applyAlignment="1">
      <alignment horizontal="right"/>
    </xf>
    <xf numFmtId="179" fontId="52" fillId="0" borderId="1" xfId="3" applyNumberFormat="1" applyFont="1" applyBorder="1" applyAlignment="1">
      <alignment horizontal="right" vertical="center"/>
    </xf>
    <xf numFmtId="40" fontId="52" fillId="0" borderId="13" xfId="3" applyNumberFormat="1" applyFont="1" applyBorder="1" applyAlignment="1">
      <alignment horizontal="right" vertical="center"/>
    </xf>
    <xf numFmtId="173" fontId="54" fillId="0" borderId="1" xfId="3" applyNumberFormat="1" applyFont="1" applyBorder="1" applyAlignment="1">
      <alignment horizontal="center"/>
    </xf>
    <xf numFmtId="179" fontId="54" fillId="0" borderId="1" xfId="3" applyNumberFormat="1" applyFont="1" applyBorder="1" applyAlignment="1">
      <alignment horizontal="right"/>
    </xf>
    <xf numFmtId="179" fontId="54" fillId="0" borderId="1" xfId="3" applyNumberFormat="1" applyFont="1" applyBorder="1" applyAlignment="1">
      <alignment horizontal="right" vertical="center"/>
    </xf>
    <xf numFmtId="173" fontId="6" fillId="0" borderId="1" xfId="3" applyNumberFormat="1" applyFont="1" applyBorder="1" applyAlignment="1">
      <alignment horizontal="left"/>
    </xf>
    <xf numFmtId="173" fontId="52" fillId="0" borderId="1" xfId="3" applyNumberFormat="1" applyFont="1" applyBorder="1" applyAlignment="1">
      <alignment horizontal="left"/>
    </xf>
    <xf numFmtId="170" fontId="52" fillId="0" borderId="1" xfId="3" applyNumberFormat="1" applyFont="1" applyBorder="1" applyAlignment="1">
      <alignment horizontal="center"/>
    </xf>
    <xf numFmtId="173" fontId="52" fillId="0" borderId="1" xfId="3" applyNumberFormat="1" applyFont="1" applyBorder="1" applyAlignment="1">
      <alignment horizontal="center"/>
    </xf>
    <xf numFmtId="169" fontId="52" fillId="0" borderId="27" xfId="3" applyNumberFormat="1" applyFont="1" applyBorder="1" applyAlignment="1">
      <alignment horizontal="center"/>
    </xf>
    <xf numFmtId="173" fontId="52" fillId="0" borderId="28" xfId="3" applyNumberFormat="1" applyFont="1" applyBorder="1" applyAlignment="1">
      <alignment horizontal="center"/>
    </xf>
    <xf numFmtId="179" fontId="52" fillId="0" borderId="28" xfId="3" applyNumberFormat="1" applyFont="1" applyBorder="1" applyAlignment="1">
      <alignment horizontal="right"/>
    </xf>
    <xf numFmtId="179" fontId="52" fillId="0" borderId="28" xfId="3" applyNumberFormat="1" applyFont="1" applyBorder="1" applyAlignment="1">
      <alignment horizontal="right" vertical="center"/>
    </xf>
    <xf numFmtId="40" fontId="52" fillId="0" borderId="29" xfId="3" applyNumberFormat="1" applyFont="1" applyBorder="1" applyAlignment="1">
      <alignment horizontal="right" vertical="center"/>
    </xf>
    <xf numFmtId="4" fontId="6" fillId="0" borderId="0" xfId="3" applyNumberFormat="1" applyFont="1" applyAlignment="1">
      <alignment horizontal="right" vertical="center"/>
    </xf>
    <xf numFmtId="172" fontId="6" fillId="0" borderId="0" xfId="0" applyNumberFormat="1" applyFont="1" applyAlignment="1">
      <alignment horizontal="center" vertical="center"/>
    </xf>
    <xf numFmtId="169" fontId="55" fillId="0" borderId="9" xfId="3" applyNumberFormat="1" applyFont="1" applyBorder="1" applyAlignment="1">
      <alignment horizontal="center"/>
    </xf>
    <xf numFmtId="170" fontId="55" fillId="0" borderId="1" xfId="3" applyNumberFormat="1" applyFont="1" applyBorder="1" applyAlignment="1">
      <alignment horizontal="center"/>
    </xf>
    <xf numFmtId="171" fontId="55" fillId="0" borderId="1" xfId="3" applyNumberFormat="1" applyFont="1" applyBorder="1" applyAlignment="1">
      <alignment horizontal="center"/>
    </xf>
    <xf numFmtId="172" fontId="55" fillId="0" borderId="1" xfId="3" applyNumberFormat="1" applyFont="1" applyBorder="1" applyAlignment="1">
      <alignment horizontal="center"/>
    </xf>
    <xf numFmtId="0" fontId="55" fillId="0" borderId="1" xfId="3" applyFont="1" applyBorder="1" applyAlignment="1">
      <alignment horizontal="center"/>
    </xf>
    <xf numFmtId="173" fontId="55" fillId="0" borderId="1" xfId="3" applyNumberFormat="1" applyFont="1" applyBorder="1" applyAlignment="1">
      <alignment horizontal="center"/>
    </xf>
    <xf numFmtId="179" fontId="55" fillId="0" borderId="1" xfId="3" applyNumberFormat="1" applyFont="1" applyBorder="1"/>
    <xf numFmtId="179" fontId="55" fillId="0" borderId="1" xfId="3" applyNumberFormat="1" applyFont="1" applyBorder="1" applyAlignment="1">
      <alignment horizontal="right"/>
    </xf>
    <xf numFmtId="179" fontId="55" fillId="0" borderId="1" xfId="3" applyNumberFormat="1" applyFont="1" applyBorder="1" applyAlignment="1">
      <alignment horizontal="right" vertical="center"/>
    </xf>
    <xf numFmtId="40" fontId="55" fillId="0" borderId="13" xfId="3" applyNumberFormat="1" applyFont="1" applyBorder="1" applyAlignment="1">
      <alignment horizontal="right" vertical="center"/>
    </xf>
    <xf numFmtId="169" fontId="55" fillId="0" borderId="27" xfId="3" applyNumberFormat="1" applyFont="1" applyBorder="1" applyAlignment="1">
      <alignment horizontal="center"/>
    </xf>
    <xf numFmtId="171" fontId="55" fillId="0" borderId="28" xfId="3" applyNumberFormat="1" applyFont="1" applyBorder="1" applyAlignment="1">
      <alignment horizontal="center"/>
    </xf>
    <xf numFmtId="172" fontId="55" fillId="0" borderId="28" xfId="3" applyNumberFormat="1" applyFont="1" applyBorder="1" applyAlignment="1">
      <alignment horizontal="center"/>
    </xf>
    <xf numFmtId="0" fontId="55" fillId="0" borderId="28" xfId="3" applyFont="1" applyBorder="1" applyAlignment="1">
      <alignment horizontal="center"/>
    </xf>
    <xf numFmtId="173" fontId="55" fillId="0" borderId="28" xfId="3" applyNumberFormat="1" applyFont="1" applyBorder="1" applyAlignment="1">
      <alignment horizontal="center"/>
    </xf>
    <xf numFmtId="179" fontId="55" fillId="0" borderId="28" xfId="3" applyNumberFormat="1" applyFont="1" applyBorder="1"/>
    <xf numFmtId="179" fontId="55" fillId="0" borderId="28" xfId="3" applyNumberFormat="1" applyFont="1" applyBorder="1" applyAlignment="1">
      <alignment horizontal="right"/>
    </xf>
    <xf numFmtId="179" fontId="55" fillId="0" borderId="28" xfId="3" applyNumberFormat="1" applyFont="1" applyBorder="1" applyAlignment="1">
      <alignment horizontal="right" vertical="center"/>
    </xf>
    <xf numFmtId="40" fontId="55" fillId="0" borderId="29" xfId="3" applyNumberFormat="1" applyFont="1" applyBorder="1" applyAlignment="1">
      <alignment horizontal="right" vertical="center"/>
    </xf>
    <xf numFmtId="169" fontId="55" fillId="0" borderId="0" xfId="3" applyNumberFormat="1" applyFont="1" applyAlignment="1">
      <alignment horizontal="center" vertical="center"/>
    </xf>
    <xf numFmtId="170" fontId="55" fillId="0" borderId="0" xfId="3" applyNumberFormat="1" applyFont="1" applyAlignment="1">
      <alignment horizontal="center" vertical="center"/>
    </xf>
    <xf numFmtId="171" fontId="55" fillId="0" borderId="0" xfId="3" applyNumberFormat="1" applyFont="1" applyAlignment="1">
      <alignment horizontal="center" vertical="center"/>
    </xf>
    <xf numFmtId="172" fontId="55" fillId="0" borderId="0" xfId="3" applyNumberFormat="1" applyFont="1" applyAlignment="1">
      <alignment horizontal="center" vertical="center"/>
    </xf>
    <xf numFmtId="173" fontId="55" fillId="0" borderId="0" xfId="3" applyNumberFormat="1" applyFont="1" applyAlignment="1">
      <alignment horizontal="center" vertical="center"/>
    </xf>
    <xf numFmtId="0" fontId="55" fillId="0" borderId="0" xfId="3" applyFont="1" applyAlignment="1">
      <alignment horizontal="left" vertical="center"/>
    </xf>
    <xf numFmtId="40" fontId="56" fillId="0" borderId="0" xfId="3" applyNumberFormat="1" applyFont="1" applyAlignment="1">
      <alignment horizontal="right" vertical="center"/>
    </xf>
    <xf numFmtId="180" fontId="56" fillId="0" borderId="0" xfId="3" applyNumberFormat="1" applyFont="1" applyAlignment="1">
      <alignment vertical="center"/>
    </xf>
    <xf numFmtId="40" fontId="56" fillId="0" borderId="0" xfId="3" applyNumberFormat="1" applyFont="1" applyAlignment="1">
      <alignment vertical="center"/>
    </xf>
    <xf numFmtId="0" fontId="55" fillId="0" borderId="0" xfId="3" applyFont="1" applyAlignment="1">
      <alignment horizontal="center" vertical="center"/>
    </xf>
    <xf numFmtId="40" fontId="56" fillId="0" borderId="0" xfId="3" applyNumberFormat="1" applyFont="1" applyAlignment="1">
      <alignment horizontal="center" vertical="center"/>
    </xf>
    <xf numFmtId="0" fontId="57" fillId="0" borderId="0" xfId="3" applyFont="1" applyAlignment="1">
      <alignment horizontal="left"/>
    </xf>
    <xf numFmtId="4" fontId="57" fillId="0" borderId="0" xfId="3" applyNumberFormat="1" applyFont="1" applyAlignment="1">
      <alignment horizontal="right" vertical="center"/>
    </xf>
    <xf numFmtId="0" fontId="57" fillId="0" borderId="0" xfId="3" applyFont="1" applyAlignment="1">
      <alignment horizontal="center" vertical="center"/>
    </xf>
    <xf numFmtId="40" fontId="40" fillId="24" borderId="0" xfId="3" applyNumberFormat="1" applyFont="1" applyFill="1" applyAlignment="1">
      <alignment horizontal="center" vertical="center"/>
    </xf>
    <xf numFmtId="40" fontId="7" fillId="24" borderId="0" xfId="3" applyNumberFormat="1" applyFont="1" applyFill="1" applyAlignment="1">
      <alignment horizontal="center" vertical="center"/>
    </xf>
    <xf numFmtId="40" fontId="56" fillId="24" borderId="0" xfId="3" applyNumberFormat="1" applyFont="1" applyFill="1" applyAlignment="1">
      <alignment horizontal="center" vertical="center"/>
    </xf>
    <xf numFmtId="173" fontId="57" fillId="0" borderId="0" xfId="3" applyNumberFormat="1" applyFont="1" applyAlignment="1">
      <alignment horizontal="center"/>
    </xf>
    <xf numFmtId="169" fontId="55" fillId="0" borderId="25" xfId="3" applyNumberFormat="1" applyFont="1" applyBorder="1" applyAlignment="1">
      <alignment horizontal="center"/>
    </xf>
    <xf numFmtId="172" fontId="57" fillId="0" borderId="0" xfId="3" applyNumberFormat="1" applyFont="1" applyAlignment="1">
      <alignment horizontal="center"/>
    </xf>
    <xf numFmtId="173" fontId="55" fillId="0" borderId="1" xfId="3" applyNumberFormat="1" applyFont="1" applyBorder="1" applyAlignment="1">
      <alignment horizontal="left"/>
    </xf>
    <xf numFmtId="169" fontId="6" fillId="24" borderId="0" xfId="3" applyNumberFormat="1" applyFont="1" applyFill="1" applyAlignment="1">
      <alignment horizontal="center" vertical="center"/>
    </xf>
    <xf numFmtId="171" fontId="6" fillId="24" borderId="0" xfId="3" applyNumberFormat="1" applyFont="1" applyFill="1" applyAlignment="1">
      <alignment horizontal="center" vertical="center"/>
    </xf>
    <xf numFmtId="170" fontId="6" fillId="24" borderId="0" xfId="3" applyNumberFormat="1" applyFont="1" applyFill="1" applyAlignment="1">
      <alignment horizontal="center" vertical="center"/>
    </xf>
    <xf numFmtId="172" fontId="6" fillId="24" borderId="0" xfId="3" applyNumberFormat="1" applyFont="1" applyFill="1" applyAlignment="1">
      <alignment horizontal="center" vertical="center"/>
    </xf>
    <xf numFmtId="173" fontId="6" fillId="24" borderId="0" xfId="3" applyNumberFormat="1" applyFont="1" applyFill="1" applyAlignment="1">
      <alignment horizontal="center" vertical="center"/>
    </xf>
    <xf numFmtId="0" fontId="6" fillId="24" borderId="0" xfId="3" applyFont="1" applyFill="1" applyAlignment="1">
      <alignment horizontal="left" vertical="center"/>
    </xf>
    <xf numFmtId="40" fontId="7" fillId="24" borderId="0" xfId="3" applyNumberFormat="1" applyFont="1" applyFill="1" applyAlignment="1">
      <alignment vertical="center"/>
    </xf>
    <xf numFmtId="0" fontId="6" fillId="24" borderId="0" xfId="3" applyFont="1" applyFill="1" applyAlignment="1">
      <alignment horizontal="center" vertical="center"/>
    </xf>
    <xf numFmtId="169" fontId="39" fillId="24" borderId="0" xfId="3" applyNumberFormat="1" applyFont="1" applyFill="1" applyAlignment="1">
      <alignment horizontal="center" vertical="center"/>
    </xf>
    <xf numFmtId="171" fontId="39" fillId="24" borderId="0" xfId="3" applyNumberFormat="1" applyFont="1" applyFill="1" applyAlignment="1">
      <alignment horizontal="center" vertical="center"/>
    </xf>
    <xf numFmtId="172" fontId="39" fillId="24" borderId="0" xfId="3" applyNumberFormat="1" applyFont="1" applyFill="1" applyAlignment="1">
      <alignment horizontal="center" vertical="center"/>
    </xf>
    <xf numFmtId="173" fontId="39" fillId="24" borderId="0" xfId="3" applyNumberFormat="1" applyFont="1" applyFill="1" applyAlignment="1">
      <alignment horizontal="center" vertical="center"/>
    </xf>
    <xf numFmtId="0" fontId="39" fillId="24" borderId="0" xfId="3" applyFont="1" applyFill="1" applyAlignment="1">
      <alignment horizontal="left" vertical="center"/>
    </xf>
    <xf numFmtId="40" fontId="40" fillId="24" borderId="0" xfId="3" applyNumberFormat="1" applyFont="1" applyFill="1" applyAlignment="1">
      <alignment horizontal="right" vertical="center"/>
    </xf>
    <xf numFmtId="40" fontId="40" fillId="24" borderId="0" xfId="3" applyNumberFormat="1" applyFont="1" applyFill="1" applyAlignment="1">
      <alignment vertical="center"/>
    </xf>
    <xf numFmtId="40" fontId="53" fillId="24" borderId="0" xfId="3" applyNumberFormat="1" applyFont="1" applyFill="1" applyAlignment="1">
      <alignment vertical="center"/>
    </xf>
    <xf numFmtId="0" fontId="39" fillId="24" borderId="0" xfId="3" applyFont="1" applyFill="1" applyAlignment="1">
      <alignment horizontal="center" vertical="center"/>
    </xf>
    <xf numFmtId="0" fontId="0" fillId="24" borderId="0" xfId="0" applyFill="1" applyAlignment="1">
      <alignment vertical="center"/>
    </xf>
    <xf numFmtId="169" fontId="52" fillId="24" borderId="0" xfId="3" applyNumberFormat="1" applyFont="1" applyFill="1" applyAlignment="1">
      <alignment horizontal="center" vertical="center"/>
    </xf>
    <xf numFmtId="171" fontId="52" fillId="24" borderId="0" xfId="3" applyNumberFormat="1" applyFont="1" applyFill="1" applyAlignment="1">
      <alignment horizontal="center" vertical="center"/>
    </xf>
    <xf numFmtId="172" fontId="52" fillId="24" borderId="0" xfId="3" applyNumberFormat="1" applyFont="1" applyFill="1" applyAlignment="1">
      <alignment horizontal="center" vertical="center"/>
    </xf>
    <xf numFmtId="173" fontId="52" fillId="24" borderId="0" xfId="3" applyNumberFormat="1" applyFont="1" applyFill="1" applyAlignment="1">
      <alignment horizontal="center" vertical="center"/>
    </xf>
    <xf numFmtId="0" fontId="52" fillId="24" borderId="0" xfId="3" applyFont="1" applyFill="1" applyAlignment="1">
      <alignment horizontal="left" vertical="center"/>
    </xf>
    <xf numFmtId="40" fontId="53" fillId="24" borderId="0" xfId="3" applyNumberFormat="1" applyFont="1" applyFill="1" applyAlignment="1">
      <alignment horizontal="right" vertical="center"/>
    </xf>
    <xf numFmtId="40" fontId="53" fillId="24" borderId="0" xfId="3" applyNumberFormat="1" applyFont="1" applyFill="1" applyAlignment="1">
      <alignment horizontal="center" vertical="center"/>
    </xf>
    <xf numFmtId="0" fontId="52" fillId="24" borderId="0" xfId="3" applyFont="1" applyFill="1" applyAlignment="1">
      <alignment horizontal="center" vertical="center"/>
    </xf>
    <xf numFmtId="170" fontId="52" fillId="24" borderId="0" xfId="3" applyNumberFormat="1" applyFont="1" applyFill="1" applyAlignment="1">
      <alignment horizontal="center" vertical="center"/>
    </xf>
    <xf numFmtId="4" fontId="0" fillId="0" borderId="0" xfId="0" applyNumberFormat="1"/>
    <xf numFmtId="40" fontId="43" fillId="24" borderId="0" xfId="3" applyNumberFormat="1" applyFont="1" applyFill="1" applyAlignment="1">
      <alignment horizontal="center" vertical="center"/>
    </xf>
    <xf numFmtId="0" fontId="36" fillId="0" borderId="0" xfId="0" applyFont="1" applyAlignment="1">
      <alignment horizontal="right" vertical="center"/>
    </xf>
    <xf numFmtId="4" fontId="55" fillId="0" borderId="0" xfId="3" applyNumberFormat="1" applyFont="1" applyAlignment="1">
      <alignment horizontal="right" vertical="center"/>
    </xf>
    <xf numFmtId="0" fontId="3" fillId="22" borderId="34" xfId="0" applyFont="1" applyFill="1" applyBorder="1" applyAlignment="1">
      <alignment horizontal="center" vertical="center"/>
    </xf>
    <xf numFmtId="40" fontId="46" fillId="24" borderId="0" xfId="3" applyNumberFormat="1" applyFont="1" applyFill="1" applyAlignment="1">
      <alignment horizontal="center" vertical="center"/>
    </xf>
    <xf numFmtId="169" fontId="45" fillId="26" borderId="0" xfId="3" applyNumberFormat="1" applyFont="1" applyFill="1" applyAlignment="1">
      <alignment horizontal="center" vertical="center"/>
    </xf>
    <xf numFmtId="170" fontId="45" fillId="26" borderId="0" xfId="3" applyNumberFormat="1" applyFont="1" applyFill="1" applyAlignment="1">
      <alignment horizontal="center" vertical="center"/>
    </xf>
    <xf numFmtId="171" fontId="45" fillId="26" borderId="0" xfId="3" applyNumberFormat="1" applyFont="1" applyFill="1" applyAlignment="1">
      <alignment horizontal="center" vertical="center"/>
    </xf>
    <xf numFmtId="172" fontId="39" fillId="26" borderId="0" xfId="3" applyNumberFormat="1" applyFont="1" applyFill="1" applyAlignment="1">
      <alignment horizontal="center" vertical="center"/>
    </xf>
    <xf numFmtId="173" fontId="45" fillId="26" borderId="0" xfId="3" applyNumberFormat="1" applyFont="1" applyFill="1" applyAlignment="1">
      <alignment horizontal="center" vertical="center"/>
    </xf>
    <xf numFmtId="0" fontId="45" fillId="26" borderId="0" xfId="3" applyFont="1" applyFill="1" applyAlignment="1">
      <alignment horizontal="left" vertical="center"/>
    </xf>
    <xf numFmtId="40" fontId="46" fillId="26" borderId="0" xfId="3" applyNumberFormat="1" applyFont="1" applyFill="1" applyAlignment="1">
      <alignment horizontal="right" vertical="center"/>
    </xf>
    <xf numFmtId="40" fontId="46" fillId="26" borderId="0" xfId="3" applyNumberFormat="1" applyFont="1" applyFill="1" applyAlignment="1">
      <alignment vertical="center"/>
    </xf>
    <xf numFmtId="40" fontId="46" fillId="26" borderId="0" xfId="3" applyNumberFormat="1" applyFont="1" applyFill="1" applyAlignment="1">
      <alignment horizontal="center" vertical="center"/>
    </xf>
    <xf numFmtId="0" fontId="45" fillId="26" borderId="0" xfId="3" applyFont="1" applyFill="1" applyAlignment="1">
      <alignment horizontal="center" vertical="center"/>
    </xf>
    <xf numFmtId="169" fontId="45" fillId="24" borderId="0" xfId="3" applyNumberFormat="1" applyFont="1" applyFill="1" applyAlignment="1">
      <alignment horizontal="center" vertical="center"/>
    </xf>
    <xf numFmtId="170" fontId="45" fillId="24" borderId="0" xfId="3" applyNumberFormat="1" applyFont="1" applyFill="1" applyAlignment="1">
      <alignment horizontal="center" vertical="center"/>
    </xf>
    <xf numFmtId="171" fontId="45" fillId="24" borderId="0" xfId="3" applyNumberFormat="1" applyFont="1" applyFill="1" applyAlignment="1">
      <alignment horizontal="center" vertical="center"/>
    </xf>
    <xf numFmtId="173" fontId="45" fillId="24" borderId="0" xfId="3" applyNumberFormat="1" applyFont="1" applyFill="1" applyAlignment="1">
      <alignment horizontal="center" vertical="center"/>
    </xf>
    <xf numFmtId="0" fontId="45" fillId="24" borderId="0" xfId="3" applyFont="1" applyFill="1" applyAlignment="1">
      <alignment horizontal="left" vertical="center"/>
    </xf>
    <xf numFmtId="40" fontId="46" fillId="24" borderId="0" xfId="3" applyNumberFormat="1" applyFont="1" applyFill="1" applyAlignment="1">
      <alignment horizontal="right" vertical="center"/>
    </xf>
    <xf numFmtId="40" fontId="46" fillId="24" borderId="0" xfId="3" applyNumberFormat="1" applyFont="1" applyFill="1" applyAlignment="1">
      <alignment vertical="center"/>
    </xf>
    <xf numFmtId="0" fontId="45" fillId="24" borderId="0" xfId="3" applyFont="1" applyFill="1" applyAlignment="1">
      <alignment horizontal="center" vertical="center"/>
    </xf>
    <xf numFmtId="169" fontId="55" fillId="24" borderId="0" xfId="3" applyNumberFormat="1" applyFont="1" applyFill="1" applyAlignment="1">
      <alignment horizontal="center" vertical="center"/>
    </xf>
    <xf numFmtId="170" fontId="55" fillId="24" borderId="0" xfId="3" applyNumberFormat="1" applyFont="1" applyFill="1" applyAlignment="1">
      <alignment horizontal="center" vertical="center"/>
    </xf>
    <xf numFmtId="171" fontId="55" fillId="24" borderId="0" xfId="3" applyNumberFormat="1" applyFont="1" applyFill="1" applyAlignment="1">
      <alignment horizontal="center" vertical="center"/>
    </xf>
    <xf numFmtId="172" fontId="55" fillId="24" borderId="0" xfId="3" applyNumberFormat="1" applyFont="1" applyFill="1" applyAlignment="1">
      <alignment horizontal="center" vertical="center"/>
    </xf>
    <xf numFmtId="173" fontId="55" fillId="24" borderId="0" xfId="3" applyNumberFormat="1" applyFont="1" applyFill="1" applyAlignment="1">
      <alignment horizontal="center" vertical="center"/>
    </xf>
    <xf numFmtId="0" fontId="55" fillId="24" borderId="0" xfId="3" applyFont="1" applyFill="1" applyAlignment="1">
      <alignment horizontal="left" vertical="center"/>
    </xf>
    <xf numFmtId="40" fontId="56" fillId="24" borderId="0" xfId="3" applyNumberFormat="1" applyFont="1" applyFill="1" applyAlignment="1">
      <alignment horizontal="right" vertical="center"/>
    </xf>
    <xf numFmtId="40" fontId="56" fillId="24" borderId="0" xfId="3" applyNumberFormat="1" applyFont="1" applyFill="1" applyAlignment="1">
      <alignment vertical="center"/>
    </xf>
    <xf numFmtId="0" fontId="55" fillId="24" borderId="0" xfId="3" applyFont="1" applyFill="1" applyAlignment="1">
      <alignment horizontal="center" vertical="center"/>
    </xf>
    <xf numFmtId="0" fontId="0" fillId="26" borderId="0" xfId="0" applyFill="1" applyAlignment="1">
      <alignment horizontal="center"/>
    </xf>
    <xf numFmtId="0" fontId="58" fillId="6" borderId="0" xfId="3" applyFont="1" applyFill="1" applyAlignment="1">
      <alignment horizontal="center" vertical="center" wrapText="1"/>
    </xf>
    <xf numFmtId="0" fontId="59" fillId="6" borderId="0" xfId="0" applyFont="1" applyFill="1" applyAlignment="1">
      <alignment horizontal="center" vertical="center"/>
    </xf>
    <xf numFmtId="0" fontId="59" fillId="6" borderId="0" xfId="0" applyFont="1" applyFill="1" applyAlignment="1">
      <alignment horizontal="left" vertical="center"/>
    </xf>
    <xf numFmtId="40" fontId="60" fillId="6" borderId="0" xfId="0" applyNumberFormat="1" applyFont="1" applyFill="1" applyAlignment="1">
      <alignment horizontal="right" vertical="center"/>
    </xf>
    <xf numFmtId="14" fontId="61" fillId="6" borderId="31" xfId="3" applyNumberFormat="1" applyFont="1" applyFill="1" applyBorder="1" applyAlignment="1">
      <alignment horizontal="center" vertical="center"/>
    </xf>
    <xf numFmtId="14" fontId="61" fillId="6" borderId="30" xfId="3" applyNumberFormat="1" applyFont="1" applyFill="1" applyBorder="1" applyAlignment="1">
      <alignment horizontal="center" vertical="center"/>
    </xf>
    <xf numFmtId="0" fontId="62" fillId="6" borderId="30" xfId="0" applyFont="1" applyFill="1" applyBorder="1" applyAlignment="1">
      <alignment horizontal="center" vertical="center"/>
    </xf>
    <xf numFmtId="0" fontId="62" fillId="6" borderId="32" xfId="0" applyFont="1" applyFill="1" applyBorder="1" applyAlignment="1">
      <alignment horizontal="center" vertical="center"/>
    </xf>
    <xf numFmtId="0" fontId="63" fillId="6" borderId="0" xfId="0" applyFont="1" applyFill="1" applyAlignment="1">
      <alignment horizontal="center" vertical="center"/>
    </xf>
    <xf numFmtId="0" fontId="63" fillId="6" borderId="0" xfId="0" applyFont="1" applyFill="1" applyAlignment="1">
      <alignment horizontal="center"/>
    </xf>
    <xf numFmtId="4" fontId="63" fillId="6" borderId="0" xfId="0" applyNumberFormat="1" applyFont="1" applyFill="1" applyAlignment="1">
      <alignment horizontal="right" vertical="center"/>
    </xf>
    <xf numFmtId="0" fontId="58" fillId="6" borderId="0" xfId="3" applyFont="1" applyFill="1" applyAlignment="1">
      <alignment horizontal="center" vertical="center"/>
    </xf>
    <xf numFmtId="4" fontId="58" fillId="6" borderId="0" xfId="3" applyNumberFormat="1" applyFont="1" applyFill="1" applyAlignment="1">
      <alignment horizontal="center" vertical="center"/>
    </xf>
    <xf numFmtId="0" fontId="64" fillId="6" borderId="0" xfId="0" applyFont="1" applyFill="1" applyAlignment="1">
      <alignment horizontal="center" vertical="center"/>
    </xf>
    <xf numFmtId="0" fontId="64" fillId="6" borderId="0" xfId="0" applyFont="1" applyFill="1" applyAlignment="1">
      <alignment horizontal="left" vertical="center"/>
    </xf>
    <xf numFmtId="4" fontId="64" fillId="6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/>
    </xf>
    <xf numFmtId="0" fontId="62" fillId="6" borderId="34" xfId="0" applyFont="1" applyFill="1" applyBorder="1" applyAlignment="1">
      <alignment horizontal="center" vertical="center"/>
    </xf>
    <xf numFmtId="0" fontId="0" fillId="27" borderId="0" xfId="0" applyFill="1"/>
    <xf numFmtId="43" fontId="63" fillId="6" borderId="0" xfId="0" applyNumberFormat="1" applyFont="1" applyFill="1" applyAlignment="1">
      <alignment horizontal="right" vertical="center"/>
    </xf>
    <xf numFmtId="169" fontId="65" fillId="0" borderId="0" xfId="3" applyNumberFormat="1" applyFont="1" applyAlignment="1">
      <alignment horizontal="center" vertical="center"/>
    </xf>
    <xf numFmtId="169" fontId="6" fillId="0" borderId="0" xfId="3" applyNumberFormat="1" applyFont="1" applyAlignment="1">
      <alignment horizontal="left" vertical="center"/>
    </xf>
    <xf numFmtId="4" fontId="66" fillId="0" borderId="0" xfId="0" applyNumberFormat="1" applyFont="1"/>
    <xf numFmtId="43" fontId="0" fillId="0" borderId="0" xfId="27" applyFont="1"/>
    <xf numFmtId="165" fontId="0" fillId="0" borderId="0" xfId="0" applyNumberFormat="1"/>
    <xf numFmtId="43" fontId="0" fillId="0" borderId="0" xfId="27" applyFont="1" applyBorder="1" applyAlignment="1">
      <alignment horizontal="right"/>
    </xf>
    <xf numFmtId="43" fontId="0" fillId="0" borderId="0" xfId="27" applyFont="1" applyBorder="1" applyAlignment="1">
      <alignment horizontal="right" vertical="center"/>
    </xf>
    <xf numFmtId="43" fontId="0" fillId="24" borderId="0" xfId="27" applyFont="1" applyFill="1" applyBorder="1" applyAlignment="1">
      <alignment horizontal="right"/>
    </xf>
    <xf numFmtId="4" fontId="0" fillId="24" borderId="0" xfId="0" applyNumberFormat="1" applyFill="1"/>
    <xf numFmtId="4" fontId="66" fillId="24" borderId="0" xfId="0" applyNumberFormat="1" applyFont="1" applyFill="1"/>
    <xf numFmtId="4" fontId="6" fillId="24" borderId="0" xfId="3" applyNumberFormat="1" applyFont="1" applyFill="1" applyAlignment="1">
      <alignment horizontal="center" vertical="center"/>
    </xf>
    <xf numFmtId="0" fontId="0" fillId="24" borderId="0" xfId="0" applyFill="1" applyAlignment="1">
      <alignment horizontal="right"/>
    </xf>
    <xf numFmtId="4" fontId="0" fillId="24" borderId="0" xfId="0" applyNumberFormat="1" applyFill="1" applyAlignment="1">
      <alignment horizontal="right"/>
    </xf>
    <xf numFmtId="0" fontId="66" fillId="0" borderId="0" xfId="0" applyFont="1"/>
    <xf numFmtId="0" fontId="32" fillId="17" borderId="33" xfId="15" applyFont="1" applyBorder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left" vertical="center"/>
    </xf>
    <xf numFmtId="174" fontId="41" fillId="10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71" fontId="6" fillId="24" borderId="0" xfId="3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69" fontId="6" fillId="24" borderId="0" xfId="3" applyNumberFormat="1" applyFont="1" applyFill="1" applyAlignment="1">
      <alignment horizontal="center" vertical="center"/>
    </xf>
    <xf numFmtId="0" fontId="27" fillId="2" borderId="0" xfId="2" applyFont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0" fontId="28" fillId="0" borderId="0" xfId="6" applyFont="1" applyAlignment="1">
      <alignment horizontal="center"/>
    </xf>
  </cellXfs>
  <cellStyles count="28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6000000}"/>
    <cellStyle name="Millares 2 2" xfId="17" xr:uid="{00000000-0005-0000-0000-000007000000}"/>
    <cellStyle name="Moneda" xfId="1" builtinId="4"/>
    <cellStyle name="Moneda 2" xfId="10" xr:uid="{00000000-0005-0000-0000-000009000000}"/>
    <cellStyle name="Moneda 2 2" xfId="20" xr:uid="{00000000-0005-0000-0000-00000A000000}"/>
    <cellStyle name="Moneda 3" xfId="23" xr:uid="{00000000-0005-0000-0000-00000B000000}"/>
    <cellStyle name="No completar" xfId="11" xr:uid="{00000000-0005-0000-0000-00000C000000}"/>
    <cellStyle name="No completar 2" xfId="18" xr:uid="{00000000-0005-0000-0000-00000D000000}"/>
    <cellStyle name="Normal" xfId="0" builtinId="0"/>
    <cellStyle name="Normal 10" xfId="26" xr:uid="{00000000-0005-0000-0000-00000F000000}"/>
    <cellStyle name="Normal 2" xfId="4" xr:uid="{00000000-0005-0000-0000-000010000000}"/>
    <cellStyle name="Normal 2 2" xfId="19" xr:uid="{00000000-0005-0000-0000-000011000000}"/>
    <cellStyle name="Normal 3" xfId="3" xr:uid="{00000000-0005-0000-0000-000012000000}"/>
    <cellStyle name="Normal 4" xfId="12" xr:uid="{00000000-0005-0000-0000-000013000000}"/>
    <cellStyle name="Normal 5" xfId="13" xr:uid="{00000000-0005-0000-0000-000014000000}"/>
    <cellStyle name="Normal 6" xfId="14" xr:uid="{00000000-0005-0000-0000-000015000000}"/>
    <cellStyle name="Normal 6 2" xfId="21" xr:uid="{00000000-0005-0000-0000-000016000000}"/>
    <cellStyle name="Normal 7" xfId="6" xr:uid="{00000000-0005-0000-0000-000017000000}"/>
    <cellStyle name="Normal 7 2" xfId="22" xr:uid="{00000000-0005-0000-0000-000018000000}"/>
    <cellStyle name="Normal 8" xfId="24" xr:uid="{00000000-0005-0000-0000-000019000000}"/>
    <cellStyle name="Normal 9" xfId="25" xr:uid="{00000000-0005-0000-0000-00001A000000}"/>
  </cellStyles>
  <dxfs count="17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  <alignment vertical="center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 xr9:uid="{00000000-0011-0000-FFFF-FFFF00000000}">
      <tableStyleElement type="wholeTable" dxfId="1766"/>
      <tableStyleElement type="headerRow" dxfId="1765"/>
      <tableStyleElement type="totalRow" dxfId="1764"/>
      <tableStyleElement type="firstRowStripe" dxfId="1763"/>
    </tableStyle>
    <tableStyle name="Tabla Ventas" pivot="0" count="5" xr9:uid="{00000000-0011-0000-FFFF-FFFF01000000}">
      <tableStyleElement type="wholeTable" dxfId="1762"/>
      <tableStyleElement type="headerRow" dxfId="1761"/>
      <tableStyleElement type="totalRow" dxfId="1760"/>
      <tableStyleElement type="firstRowStripe" dxfId="1759"/>
      <tableStyleElement type="secondRowStripe" dxfId="1758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482" totalsRowShown="0" headerRowDxfId="1607">
  <autoFilter ref="A1:D2482" xr:uid="{00000000-0009-0000-0100-000006000000}"/>
  <sortState xmlns:xlrd2="http://schemas.microsoft.com/office/spreadsheetml/2017/richdata2" ref="A2:D1862">
    <sortCondition ref="B1:B1861"/>
  </sortState>
  <tableColumns count="4">
    <tableColumn id="1" xr3:uid="{00000000-0010-0000-0000-000001000000}" name="CUIT" dataDxfId="1606"/>
    <tableColumn id="2" xr3:uid="{00000000-0010-0000-0000-000002000000}" name="RAZON SOCIAL" dataDxfId="1605"/>
    <tableColumn id="3" xr3:uid="{00000000-0010-0000-0000-000003000000}" name="Tipo de Gasto" dataDxfId="1604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19" totalsRowCount="1" headerRowDxfId="1603" totalsRowDxfId="1602">
  <autoFilter ref="B8:R18" xr:uid="{00000000-0009-0000-0100-000008000000}"/>
  <sortState xmlns:xlrd2="http://schemas.microsoft.com/office/spreadsheetml/2017/richdata2" ref="B9:R17">
    <sortCondition ref="B8:B17"/>
  </sortState>
  <tableColumns count="17">
    <tableColumn id="1" xr3:uid="{00000000-0010-0000-0100-000001000000}" name="FECHA" totalsRowLabel="Total" dataDxfId="1601" totalsRowDxfId="1600" dataCellStyle="Normal 3"/>
    <tableColumn id="2" xr3:uid="{00000000-0010-0000-0100-000002000000}" name="TIPO" dataDxfId="1599" totalsRowDxfId="1598" dataCellStyle="Normal 3"/>
    <tableColumn id="3" xr3:uid="{00000000-0010-0000-0100-000003000000}" name="PTO VTA" dataDxfId="1597" totalsRowDxfId="1596" dataCellStyle="Normal 3"/>
    <tableColumn id="4" xr3:uid="{00000000-0010-0000-0100-000004000000}" name="NRO. CPTE" dataDxfId="1595" totalsRowDxfId="1594" dataCellStyle="Normal 3"/>
    <tableColumn id="5" xr3:uid="{00000000-0010-0000-0100-000005000000}" name="CUIT" dataDxfId="1593" totalsRowDxfId="1592" dataCellStyle="Normal 3"/>
    <tableColumn id="6" xr3:uid="{00000000-0010-0000-0100-000006000000}" name="RAZON SOCIAL" dataDxfId="1591" totalsRowDxfId="1590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589" totalsRowDxfId="1588" dataCellStyle="Normal 3"/>
    <tableColumn id="8" xr3:uid="{00000000-0010-0000-0100-000008000000}" name="IVA 21 %" totalsRowFunction="sum" dataDxfId="1587" totalsRowDxfId="1586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585" totalsRowDxfId="1584" dataCellStyle="Normal 3"/>
    <tableColumn id="10" xr3:uid="{00000000-0010-0000-0100-00000A000000}" name="IVA 10,5%" totalsRowFunction="sum" dataDxfId="1583" totalsRowDxfId="1582" dataCellStyle="Normal 3"/>
    <tableColumn id="11" xr3:uid="{00000000-0010-0000-0100-00000B000000}" name="PERC. IVA" totalsRowFunction="sum" dataDxfId="1581" totalsRowDxfId="1580" dataCellStyle="Normal 3"/>
    <tableColumn id="12" xr3:uid="{00000000-0010-0000-0100-00000C000000}" name="PERC IIBB _x000a_BS AS" totalsRowFunction="sum" dataDxfId="1579" totalsRowDxfId="1578" dataCellStyle="Normal 3"/>
    <tableColumn id="13" xr3:uid="{00000000-0010-0000-0100-00000D000000}" name="PERC. IIBB CABA" totalsRowFunction="sum" dataDxfId="1577" totalsRowDxfId="1576" dataCellStyle="Normal 3"/>
    <tableColumn id="14" xr3:uid="{00000000-0010-0000-0100-00000E000000}" name="Otros / No Grav." totalsRowFunction="sum" dataDxfId="1575" totalsRowDxfId="1574" dataCellStyle="Normal 3"/>
    <tableColumn id="15" xr3:uid="{00000000-0010-0000-0100-00000F000000}" name="TOTAL" totalsRowFunction="sum" dataDxfId="1573" totalsRowDxfId="1572" dataCellStyle="Normal 3">
      <calculatedColumnFormula>SUM(compras_mes1[[#This Row],[NETO GRAVADO]:[Otros / No Grav.]])</calculatedColumnFormula>
    </tableColumn>
    <tableColumn id="16" xr3:uid="{00000000-0010-0000-0100-000010000000}" name="Tipo de Gasto" dataDxfId="1571" totalsRowDxfId="1570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569" totalsRowDxfId="1568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34:K38" totalsRowCount="1" headerRowDxfId="1567" totalsRowDxfId="1566" headerRowCellStyle="Normal 3">
  <autoFilter ref="D34:K37" xr:uid="{00000000-0009-0000-0100-00000A000000}"/>
  <tableColumns count="8">
    <tableColumn id="1" xr3:uid="{00000000-0010-0000-0200-000001000000}" name="FECHA" totalsRowLabel="Total" dataDxfId="1565" totalsRowDxfId="1564" dataCellStyle="Normal 3"/>
    <tableColumn id="2" xr3:uid="{00000000-0010-0000-0200-000002000000}" name="PTO VTA" dataDxfId="1563" totalsRowDxfId="1562" dataCellStyle="Normal 3"/>
    <tableColumn id="3" xr3:uid="{00000000-0010-0000-0200-000003000000}" name="FC Nº" dataDxfId="1561" totalsRowDxfId="1560" dataCellStyle="Normal 3"/>
    <tableColumn id="4" xr3:uid="{00000000-0010-0000-0200-000004000000}" name="CUIT" dataDxfId="1559" totalsRowDxfId="1558" dataCellStyle="Normal 3"/>
    <tableColumn id="5" xr3:uid="{00000000-0010-0000-0200-000005000000}" name="RAZON SOCIAL" dataDxfId="1557" totalsRowDxfId="1556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555" totalsRowDxfId="1554" dataCellStyle="Normal 3"/>
    <tableColumn id="7" xr3:uid="{00000000-0010-0000-0200-000007000000}" name="TIPO DE GASTO" dataDxfId="1553" totalsRowDxfId="1552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551" totalsRowDxfId="1550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47:M69" totalsRowCount="1" headerRowDxfId="1549" dataDxfId="1547" headerRowBorderDxfId="1548" tableBorderDxfId="1546" totalsRowBorderDxfId="1545" dataCellStyle="Normal 3">
  <autoFilter ref="B47:M68" xr:uid="{00000000-0009-0000-0100-000001000000}"/>
  <tableColumns count="12">
    <tableColumn id="1" xr3:uid="{00000000-0010-0000-0300-000001000000}" name="FECHA" totalsRowLabel="Total" dataDxfId="1544" totalsRowDxfId="1543" dataCellStyle="Normal 3"/>
    <tableColumn id="2" xr3:uid="{00000000-0010-0000-0300-000002000000}" name="TIPO" dataDxfId="1542" totalsRowDxfId="1541" dataCellStyle="Normal 3"/>
    <tableColumn id="3" xr3:uid="{00000000-0010-0000-0300-000003000000}" name="PTO VENTA" dataDxfId="1540" totalsRowDxfId="1539" dataCellStyle="Normal 3"/>
    <tableColumn id="4" xr3:uid="{00000000-0010-0000-0300-000004000000}" name="Nº FACTURA" dataDxfId="1538" totalsRowDxfId="1537" dataCellStyle="Normal 3"/>
    <tableColumn id="5" xr3:uid="{00000000-0010-0000-0300-000005000000}" name="CUIT" dataDxfId="1536" totalsRowDxfId="1535" dataCellStyle="Normal 3"/>
    <tableColumn id="6" xr3:uid="{00000000-0010-0000-0300-000006000000}" name="RAZON SOCIAL" dataDxfId="1534" totalsRowDxfId="1533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532" totalsRowDxfId="1531" dataCellStyle="Normal 3"/>
    <tableColumn id="8" xr3:uid="{00000000-0010-0000-0300-000008000000}" name="IVA 21%" totalsRowFunction="sum" dataDxfId="1530" totalsRowDxfId="1529" dataCellStyle="Normal 3">
      <calculatedColumnFormula>venta_a_mes1[[#This Row],[IMPORTE NETO]]*0.21</calculatedColumnFormula>
    </tableColumn>
    <tableColumn id="9" xr3:uid="{00000000-0010-0000-0300-000009000000}" name="IVA 10,5%" totalsRowFunction="sum" dataDxfId="1528" totalsRowDxfId="1527" dataCellStyle="Normal 3"/>
    <tableColumn id="10" xr3:uid="{00000000-0010-0000-0300-00000A000000}" name="EXENTO" totalsRowFunction="sum" dataDxfId="1526" totalsRowDxfId="1525" dataCellStyle="Normal 3"/>
    <tableColumn id="11" xr3:uid="{00000000-0010-0000-0300-00000B000000}" name="TOTAL" totalsRowFunction="sum" dataDxfId="1524" totalsRowDxfId="1523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522" totalsRowDxfId="1521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71:M78" totalsRowCount="1" headerRowDxfId="1520" dataDxfId="1518" headerRowBorderDxfId="1519" tableBorderDxfId="1517" totalsRowBorderDxfId="1516" dataCellStyle="Normal 3">
  <autoFilter ref="B71:M77" xr:uid="{00000000-0009-0000-0100-000003000000}"/>
  <tableColumns count="12">
    <tableColumn id="1" xr3:uid="{00000000-0010-0000-0400-000001000000}" name="FECHA" totalsRowLabel="Total" dataDxfId="1515" totalsRowDxfId="1514" dataCellStyle="Normal 3"/>
    <tableColumn id="2" xr3:uid="{00000000-0010-0000-0400-000002000000}" name="TIPO" dataDxfId="1513" totalsRowDxfId="1512" dataCellStyle="Normal 3"/>
    <tableColumn id="3" xr3:uid="{00000000-0010-0000-0400-000003000000}" name="PTO VENTA" dataDxfId="1511" totalsRowDxfId="1510" dataCellStyle="Normal 3"/>
    <tableColumn id="4" xr3:uid="{00000000-0010-0000-0400-000004000000}" name="Nº FACTURA" dataDxfId="1509" totalsRowDxfId="1508" dataCellStyle="Normal 3"/>
    <tableColumn id="5" xr3:uid="{00000000-0010-0000-0400-000005000000}" name="CUIT" dataDxfId="1507" totalsRowDxfId="1506" dataCellStyle="Normal 3"/>
    <tableColumn id="6" xr3:uid="{00000000-0010-0000-0400-000006000000}" name="RAZON SOCIAL" dataDxfId="1505" totalsRowDxfId="1504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503" totalsRowDxfId="1502" dataCellStyle="Normal 3"/>
    <tableColumn id="8" xr3:uid="{00000000-0010-0000-0400-000008000000}" name="IVA 21%" totalsRowFunction="sum" dataDxfId="1501" totalsRowDxfId="1500" dataCellStyle="Normal 3">
      <calculatedColumnFormula>ventas_b_mes1[[#This Row],[IMPORTE NETO]]*0.21</calculatedColumnFormula>
    </tableColumn>
    <tableColumn id="9" xr3:uid="{00000000-0010-0000-0400-000009000000}" name="IVA 10,5%" totalsRowFunction="sum" dataDxfId="1499" totalsRowDxfId="1498" dataCellStyle="Normal 3"/>
    <tableColumn id="10" xr3:uid="{00000000-0010-0000-0400-00000A000000}" name="EXENTO" totalsRowFunction="sum" dataDxfId="1497" totalsRowDxfId="1496" dataCellStyle="Normal 3"/>
    <tableColumn id="11" xr3:uid="{00000000-0010-0000-0400-00000B000000}" name="TOTAL" totalsRowFunction="sum" dataDxfId="1495" totalsRowDxfId="1494" dataCellStyle="Normal 3">
      <calculatedColumnFormula>SUM(ventas_b_mes1[[#This Row],[IMPORTE NETO]:[EXENTO]])</calculatedColumnFormula>
    </tableColumn>
    <tableColumn id="12" xr3:uid="{00000000-0010-0000-0400-00000C000000}" name="Provincia" totalsRowFunction="count" dataDxfId="1493" totalsRowDxfId="1492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25:L29" totalsRowCount="1" headerRowDxfId="1491" dataDxfId="1490" tableBorderDxfId="1489" dataCellStyle="Normal 3">
  <autoFilter ref="D25:L28" xr:uid="{00000000-0009-0000-0100-000004000000}"/>
  <tableColumns count="9">
    <tableColumn id="1" xr3:uid="{00000000-0010-0000-0500-000001000000}" name="FECHA" totalsRowLabel="Total" dataDxfId="1488" totalsRowDxfId="1487" dataCellStyle="Normal 3"/>
    <tableColumn id="2" xr3:uid="{00000000-0010-0000-0500-000002000000}" name="NRO CPTE" dataDxfId="1486" totalsRowDxfId="1485"/>
    <tableColumn id="3" xr3:uid="{00000000-0010-0000-0500-000003000000}" name="BANCO" dataDxfId="1484" totalsRowDxfId="1483"/>
    <tableColumn id="4" xr3:uid="{00000000-0010-0000-0500-000004000000}" name="NETO" totalsRowFunction="sum" dataDxfId="1482" totalsRowDxfId="1481" dataCellStyle="Normal 3"/>
    <tableColumn id="5" xr3:uid="{00000000-0010-0000-0500-000005000000}" name="IVA 21%" totalsRowFunction="sum" dataDxfId="1480" totalsRowDxfId="1479" dataCellStyle="Normal 3"/>
    <tableColumn id="6" xr3:uid="{00000000-0010-0000-0500-000006000000}" name="IVA 10,5%" totalsRowFunction="sum" dataDxfId="1478" totalsRowDxfId="1477" dataCellStyle="Normal 3"/>
    <tableColumn id="7" xr3:uid="{00000000-0010-0000-0500-000007000000}" name="RET IIBB CABA" totalsRowFunction="sum" dataDxfId="1476" totalsRowDxfId="1475" dataCellStyle="Normal 3"/>
    <tableColumn id="8" xr3:uid="{00000000-0010-0000-0500-000008000000}" name="PERC IVA" totalsRowFunction="sum" dataDxfId="1474" totalsRowDxfId="1473" dataCellStyle="Normal 3"/>
    <tableColumn id="9" xr3:uid="{00000000-0010-0000-0500-000009000000}" name="PERC IIBB" totalsRowFunction="sum" dataDxfId="1472" totalsRowDxfId="1471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87:L92" totalsRowShown="0" headerRowDxfId="1470" dataDxfId="1469" headerRowCellStyle="Normal 3" dataCellStyle="Normal 3">
  <autoFilter ref="C87:L92" xr:uid="{00000000-0009-0000-0100-000005000000}"/>
  <tableColumns count="10">
    <tableColumn id="1" xr3:uid="{00000000-0010-0000-0600-000001000000}" name="FECHA " dataDxfId="1468" dataCellStyle="Normal 3"/>
    <tableColumn id="2" xr3:uid="{00000000-0010-0000-0600-000002000000}" name="COMP Nº" dataDxfId="1467" dataCellStyle="Normal 3"/>
    <tableColumn id="3" xr3:uid="{00000000-0010-0000-0600-000003000000}" name="Columna1" dataDxfId="1466" dataCellStyle="Normal 3"/>
    <tableColumn id="4" xr3:uid="{00000000-0010-0000-0600-000004000000}" name="CUIT" dataDxfId="1465" dataCellStyle="Normal 3"/>
    <tableColumn id="5" xr3:uid="{00000000-0010-0000-0600-000005000000}" name="RAZON SOCIAL" dataDxfId="1464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463" dataCellStyle="Normal 3"/>
    <tableColumn id="7" xr3:uid="{00000000-0010-0000-0600-000007000000}" name="IVA" dataDxfId="1462" dataCellStyle="Normal 3"/>
    <tableColumn id="8" xr3:uid="{00000000-0010-0000-0600-000008000000}" name="SUSS" dataDxfId="1461" dataCellStyle="Normal 3"/>
    <tableColumn id="9" xr3:uid="{00000000-0010-0000-0600-000009000000}" name="IIBB BSAS" dataDxfId="1460" dataCellStyle="Normal 3"/>
    <tableColumn id="10" xr3:uid="{00000000-0010-0000-0600-00000A000000}" name="IIBB CABA" dataDxfId="1459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8:R18" totalsRowCount="1" headerRowDxfId="1458" totalsRowDxfId="1457">
  <autoFilter ref="B8:R17" xr:uid="{00000000-0009-0000-0100-000007000000}"/>
  <sortState xmlns:xlrd2="http://schemas.microsoft.com/office/spreadsheetml/2017/richdata2" ref="B9:R34">
    <sortCondition ref="B9:B34"/>
  </sortState>
  <tableColumns count="17">
    <tableColumn id="1" xr3:uid="{00000000-0010-0000-0700-000001000000}" name="FECHA" totalsRowLabel="Total" dataDxfId="1456" totalsRowDxfId="1455" dataCellStyle="Normal 3"/>
    <tableColumn id="2" xr3:uid="{00000000-0010-0000-0700-000002000000}" name="TIPO" dataDxfId="1454" totalsRowDxfId="1453" dataCellStyle="Normal 3"/>
    <tableColumn id="3" xr3:uid="{00000000-0010-0000-0700-000003000000}" name="PTO VTA" dataDxfId="1452" totalsRowDxfId="1451" dataCellStyle="Normal 3"/>
    <tableColumn id="4" xr3:uid="{00000000-0010-0000-0700-000004000000}" name="NRO. CPTE" dataDxfId="1450" totalsRowDxfId="1449" dataCellStyle="Normal 3"/>
    <tableColumn id="5" xr3:uid="{00000000-0010-0000-0700-000005000000}" name="CUIT" dataDxfId="1448" totalsRowDxfId="1447" dataCellStyle="Normal 3"/>
    <tableColumn id="6" xr3:uid="{00000000-0010-0000-0700-000006000000}" name="RAZON SOCIAL" dataDxfId="1446" totalsRowDxfId="1445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444" totalsRowDxfId="1443" dataCellStyle="Normal 3"/>
    <tableColumn id="8" xr3:uid="{00000000-0010-0000-0700-000008000000}" name="IVA 21 %" totalsRowFunction="sum" dataDxfId="1442" totalsRowDxfId="1441" dataCellStyle="Normal 3">
      <calculatedColumnFormula>compras_mes2[[#This Row],[NETO GRAVADO]]*0.21</calculatedColumnFormula>
    </tableColumn>
    <tableColumn id="9" xr3:uid="{00000000-0010-0000-0700-000009000000}" name="IVA 27%" totalsRowFunction="sum" dataDxfId="1440" totalsRowDxfId="1439" dataCellStyle="Normal 3"/>
    <tableColumn id="10" xr3:uid="{00000000-0010-0000-0700-00000A000000}" name="IVA 10,5%" totalsRowFunction="sum" dataDxfId="1438" totalsRowDxfId="1437" dataCellStyle="Normal 3"/>
    <tableColumn id="11" xr3:uid="{00000000-0010-0000-0700-00000B000000}" name="PERC. IVA" totalsRowFunction="sum" dataDxfId="1436" totalsRowDxfId="1435" dataCellStyle="Normal 3"/>
    <tableColumn id="12" xr3:uid="{00000000-0010-0000-0700-00000C000000}" name="PERC IIBB _x000a_BS AS" totalsRowFunction="sum" dataDxfId="1434" totalsRowDxfId="1433" dataCellStyle="Normal 3"/>
    <tableColumn id="13" xr3:uid="{00000000-0010-0000-0700-00000D000000}" name="PERC. IIBB CABA" totalsRowFunction="sum" dataDxfId="1432" totalsRowDxfId="1431" dataCellStyle="Normal 3"/>
    <tableColumn id="14" xr3:uid="{00000000-0010-0000-0700-00000E000000}" name="Otros / No Grav." totalsRowFunction="sum" dataDxfId="1430" totalsRowDxfId="1429" dataCellStyle="Normal 3"/>
    <tableColumn id="15" xr3:uid="{00000000-0010-0000-0700-00000F000000}" name="TOTAL" totalsRowFunction="sum" dataDxfId="1428" totalsRowDxfId="1427" dataCellStyle="Normal 3">
      <calculatedColumnFormula>SUM(compras_mes2[[#This Row],[NETO GRAVADO]:[Otros / No Grav.]])</calculatedColumnFormula>
    </tableColumn>
    <tableColumn id="16" xr3:uid="{00000000-0010-0000-0700-000010000000}" name="Tipo de Gasto" dataDxfId="1426" totalsRowDxfId="1425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424" totalsRowDxfId="1423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33:K38" totalsRowCount="1" headerRowDxfId="1422" totalsRowDxfId="1421" headerRowCellStyle="Normal 3">
  <autoFilter ref="D33:K37" xr:uid="{00000000-0009-0000-0100-000009000000}"/>
  <tableColumns count="8">
    <tableColumn id="1" xr3:uid="{00000000-0010-0000-0800-000001000000}" name="FECHA" totalsRowLabel="Total" dataDxfId="1420" totalsRowDxfId="1419" dataCellStyle="Normal 3"/>
    <tableColumn id="2" xr3:uid="{00000000-0010-0000-0800-000002000000}" name="PTO VTA" dataDxfId="1418" totalsRowDxfId="1417" dataCellStyle="Normal 3"/>
    <tableColumn id="3" xr3:uid="{00000000-0010-0000-0800-000003000000}" name="FC Nº" dataDxfId="1416" totalsRowDxfId="1415" dataCellStyle="Normal 3"/>
    <tableColumn id="4" xr3:uid="{00000000-0010-0000-0800-000004000000}" name="CUIT" dataDxfId="1414" totalsRowDxfId="1413" dataCellStyle="Normal 3"/>
    <tableColumn id="5" xr3:uid="{00000000-0010-0000-0800-000005000000}" name="RAZON SOCIAL" dataDxfId="1412" totalsRowDxfId="1411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410" totalsRowDxfId="1409" dataCellStyle="Normal 3"/>
    <tableColumn id="7" xr3:uid="{00000000-0010-0000-0800-000007000000}" name="TIPO DE GASTO" dataDxfId="1408" totalsRowDxfId="1407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406" totalsRowDxfId="1405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47:M67" totalsRowCount="1" headerRowDxfId="1404" dataDxfId="1402" headerRowBorderDxfId="1403" tableBorderDxfId="1401" totalsRowBorderDxfId="1400" dataCellStyle="Normal 3">
  <autoFilter ref="B47:M66" xr:uid="{00000000-0009-0000-0100-00000B000000}"/>
  <tableColumns count="12">
    <tableColumn id="1" xr3:uid="{00000000-0010-0000-0900-000001000000}" name="FECHA" totalsRowLabel="Total" dataDxfId="1399" totalsRowDxfId="1398" dataCellStyle="Normal 3"/>
    <tableColumn id="2" xr3:uid="{00000000-0010-0000-0900-000002000000}" name="TIPO" dataDxfId="1397" totalsRowDxfId="1396" dataCellStyle="Normal 3"/>
    <tableColumn id="3" xr3:uid="{00000000-0010-0000-0900-000003000000}" name="PTO VENTA" dataDxfId="1395" totalsRowDxfId="1394" dataCellStyle="Normal 3"/>
    <tableColumn id="4" xr3:uid="{00000000-0010-0000-0900-000004000000}" name="Nº FACTURA" dataDxfId="1393" totalsRowDxfId="1392" dataCellStyle="Normal 3"/>
    <tableColumn id="5" xr3:uid="{00000000-0010-0000-0900-000005000000}" name="CUIT" dataDxfId="1391" totalsRowDxfId="1390" dataCellStyle="Normal 3"/>
    <tableColumn id="6" xr3:uid="{00000000-0010-0000-0900-000006000000}" name="RAZON SOCIAL" dataDxfId="1389" totalsRowDxfId="1388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387" totalsRowDxfId="1386" dataCellStyle="Normal 3"/>
    <tableColumn id="8" xr3:uid="{00000000-0010-0000-0900-000008000000}" name="IVA 21%" totalsRowFunction="sum" dataDxfId="1385" totalsRowDxfId="1384" dataCellStyle="Normal 3">
      <calculatedColumnFormula>venta_a_mes2[[#This Row],[IMPORTE NETO]]*0.21</calculatedColumnFormula>
    </tableColumn>
    <tableColumn id="9" xr3:uid="{00000000-0010-0000-0900-000009000000}" name="IVA 10,5%" totalsRowFunction="sum" dataDxfId="1383" totalsRowDxfId="1382" dataCellStyle="Normal 3"/>
    <tableColumn id="10" xr3:uid="{00000000-0010-0000-0900-00000A000000}" name="EXENTO" totalsRowFunction="sum" dataDxfId="1381" totalsRowDxfId="1380" dataCellStyle="Normal 3"/>
    <tableColumn id="11" xr3:uid="{00000000-0010-0000-0900-00000B000000}" name="TOTAL" totalsRowFunction="sum" dataDxfId="1379" totalsRowDxfId="1378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377" totalsRowDxfId="1376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70:M77" totalsRowCount="1" headerRowDxfId="1375" dataDxfId="1373" headerRowBorderDxfId="1374" tableBorderDxfId="1372" totalsRowBorderDxfId="1371" dataCellStyle="Normal 3">
  <autoFilter ref="B70:M76" xr:uid="{00000000-0009-0000-0100-00000C000000}"/>
  <tableColumns count="12">
    <tableColumn id="1" xr3:uid="{00000000-0010-0000-0A00-000001000000}" name="FECHA" totalsRowLabel="Total" dataDxfId="1370" totalsRowDxfId="1369" dataCellStyle="Normal 3"/>
    <tableColumn id="2" xr3:uid="{00000000-0010-0000-0A00-000002000000}" name="TIPO" dataDxfId="1368" totalsRowDxfId="1367" dataCellStyle="Normal 3"/>
    <tableColumn id="3" xr3:uid="{00000000-0010-0000-0A00-000003000000}" name="PTO VENTA" dataDxfId="1366" totalsRowDxfId="1365" dataCellStyle="Normal 3"/>
    <tableColumn id="4" xr3:uid="{00000000-0010-0000-0A00-000004000000}" name="Nº FACTURA" dataDxfId="1364" totalsRowDxfId="1363" dataCellStyle="Normal 3"/>
    <tableColumn id="5" xr3:uid="{00000000-0010-0000-0A00-000005000000}" name="CUIT" dataDxfId="1362" totalsRowDxfId="1361" dataCellStyle="Normal 3"/>
    <tableColumn id="6" xr3:uid="{00000000-0010-0000-0A00-000006000000}" name="RAZON SOCIAL" dataDxfId="1360" totalsRowDxfId="1359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358" totalsRowDxfId="1357" dataCellStyle="Normal 3">
      <calculatedColumnFormula>ventas_b_mes2[[#This Row],[TOTAL]]/1.21</calculatedColumnFormula>
    </tableColumn>
    <tableColumn id="8" xr3:uid="{00000000-0010-0000-0A00-000008000000}" name="IVA 21%" totalsRowFunction="sum" dataDxfId="1356" totalsRowDxfId="1355" dataCellStyle="Normal 3">
      <calculatedColumnFormula>ventas_b_mes2[[#This Row],[IMPORTE NETO]]*0.21</calculatedColumnFormula>
    </tableColumn>
    <tableColumn id="9" xr3:uid="{00000000-0010-0000-0A00-000009000000}" name="IVA 10,5%" totalsRowFunction="sum" dataDxfId="1354" totalsRowDxfId="1353" dataCellStyle="Normal 3"/>
    <tableColumn id="10" xr3:uid="{00000000-0010-0000-0A00-00000A000000}" name="EXENTO" totalsRowFunction="sum" dataDxfId="1352" totalsRowDxfId="1351" dataCellStyle="Normal 3"/>
    <tableColumn id="11" xr3:uid="{00000000-0010-0000-0A00-00000B000000}" name="TOTAL" totalsRowFunction="sum" dataDxfId="1350" totalsRowDxfId="1349" dataCellStyle="Normal 3"/>
    <tableColumn id="12" xr3:uid="{00000000-0010-0000-0A00-00000C000000}" name="Provincia" totalsRowFunction="count" dataDxfId="1348" totalsRowDxfId="1347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24:L28" totalsRowCount="1" headerRowDxfId="1346" dataDxfId="1345" tableBorderDxfId="1344" dataCellStyle="Normal 3">
  <autoFilter ref="D24:L27" xr:uid="{00000000-0009-0000-0100-00000D000000}"/>
  <tableColumns count="9">
    <tableColumn id="1" xr3:uid="{00000000-0010-0000-0B00-000001000000}" name="FECHA" totalsRowLabel="Total" dataDxfId="1343" totalsRowDxfId="1342" dataCellStyle="Normal 3"/>
    <tableColumn id="2" xr3:uid="{00000000-0010-0000-0B00-000002000000}" name="NRO CPTE" dataDxfId="1341" totalsRowDxfId="1340"/>
    <tableColumn id="3" xr3:uid="{00000000-0010-0000-0B00-000003000000}" name="BANCO" dataDxfId="1339" totalsRowDxfId="1338"/>
    <tableColumn id="4" xr3:uid="{00000000-0010-0000-0B00-000004000000}" name="NETO" totalsRowFunction="sum" dataDxfId="1337" totalsRowDxfId="1336" dataCellStyle="Normal 3"/>
    <tableColumn id="5" xr3:uid="{00000000-0010-0000-0B00-000005000000}" name="IVA 21%" totalsRowFunction="sum" dataDxfId="1335" totalsRowDxfId="1334" dataCellStyle="Normal 3"/>
    <tableColumn id="6" xr3:uid="{00000000-0010-0000-0B00-000006000000}" name="IVA 10,5%" totalsRowFunction="sum" dataDxfId="1333" totalsRowDxfId="1332" dataCellStyle="Normal 3"/>
    <tableColumn id="7" xr3:uid="{00000000-0010-0000-0B00-000007000000}" name="RET IIBB CABA" totalsRowFunction="sum" dataDxfId="1331" totalsRowDxfId="1330" dataCellStyle="Normal 3"/>
    <tableColumn id="8" xr3:uid="{00000000-0010-0000-0B00-000008000000}" name="PERC IVA" totalsRowFunction="sum" dataDxfId="1329" totalsRowDxfId="1328" dataCellStyle="Normal 3"/>
    <tableColumn id="9" xr3:uid="{00000000-0010-0000-0B00-000009000000}" name="PERC IIBB" totalsRowFunction="sum" dataDxfId="1327" totalsRowDxfId="1326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86:L91" totalsRowShown="0" headerRowDxfId="1325" dataDxfId="1324" headerRowCellStyle="Normal 3" dataCellStyle="Normal 3">
  <autoFilter ref="C86:L91" xr:uid="{00000000-0009-0000-0100-00000E000000}"/>
  <tableColumns count="10">
    <tableColumn id="1" xr3:uid="{00000000-0010-0000-0C00-000001000000}" name="FECHA " dataDxfId="1323" dataCellStyle="Normal 3"/>
    <tableColumn id="2" xr3:uid="{00000000-0010-0000-0C00-000002000000}" name="COMP Nº" dataDxfId="1322" dataCellStyle="Normal 3"/>
    <tableColumn id="3" xr3:uid="{00000000-0010-0000-0C00-000003000000}" name="Columna1" dataDxfId="1321" dataCellStyle="Normal 3"/>
    <tableColumn id="4" xr3:uid="{00000000-0010-0000-0C00-000004000000}" name="CUIT" dataDxfId="1320" dataCellStyle="Normal 3"/>
    <tableColumn id="5" xr3:uid="{00000000-0010-0000-0C00-000005000000}" name="RAZON SOCIAL" dataDxfId="1319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318" dataCellStyle="Normal 3"/>
    <tableColumn id="7" xr3:uid="{00000000-0010-0000-0C00-000007000000}" name="IVA" dataDxfId="1317" dataCellStyle="Normal 3"/>
    <tableColumn id="8" xr3:uid="{00000000-0010-0000-0C00-000008000000}" name="SUSS" dataDxfId="1316" dataCellStyle="Normal 3"/>
    <tableColumn id="9" xr3:uid="{00000000-0010-0000-0C00-000009000000}" name="IIBB BSAS" dataDxfId="1315" dataCellStyle="Normal 3"/>
    <tableColumn id="10" xr3:uid="{00000000-0010-0000-0C00-00000A000000}" name="IIBB CABA" dataDxfId="1314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compras_mes3" displayName="compras_mes3" ref="B8:R20" totalsRowCount="1" headerRowDxfId="1313" totalsRowDxfId="1312">
  <autoFilter ref="B8:R19" xr:uid="{00000000-0009-0000-0100-00000F000000}"/>
  <tableColumns count="17">
    <tableColumn id="1" xr3:uid="{00000000-0010-0000-0D00-000001000000}" name="FECHA" totalsRowLabel="Total" dataDxfId="1311" totalsRowDxfId="1310" dataCellStyle="Normal 3"/>
    <tableColumn id="2" xr3:uid="{00000000-0010-0000-0D00-000002000000}" name="TIPO" dataDxfId="1309" totalsRowDxfId="1308" dataCellStyle="Normal 3"/>
    <tableColumn id="3" xr3:uid="{00000000-0010-0000-0D00-000003000000}" name="PTO VTA" dataDxfId="1307" totalsRowDxfId="1306" dataCellStyle="Normal 3"/>
    <tableColumn id="4" xr3:uid="{00000000-0010-0000-0D00-000004000000}" name="NRO. CPTE" dataDxfId="1305" totalsRowDxfId="1304" dataCellStyle="Normal 3"/>
    <tableColumn id="5" xr3:uid="{00000000-0010-0000-0D00-000005000000}" name="CUIT" dataDxfId="1303" totalsRowDxfId="1302" dataCellStyle="Normal 3"/>
    <tableColumn id="6" xr3:uid="{00000000-0010-0000-0D00-000006000000}" name="RAZON SOCIAL" dataDxfId="1301" totalsRowDxfId="1300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D00-000007000000}" name="NETO GRAVADO" totalsRowFunction="sum" dataDxfId="1299" totalsRowDxfId="1298" dataCellStyle="Normal 3"/>
    <tableColumn id="8" xr3:uid="{00000000-0010-0000-0D00-000008000000}" name="IVA 21 %" totalsRowFunction="sum" dataDxfId="1297" totalsRowDxfId="1296" dataCellStyle="Normal 3">
      <calculatedColumnFormula>IF(compras_mes3[[#This Row],[NETO GRAVADO]]="","",compras_mes3[[#This Row],[NETO GRAVADO]]*0.21)</calculatedColumnFormula>
    </tableColumn>
    <tableColumn id="9" xr3:uid="{00000000-0010-0000-0D00-000009000000}" name="IVA 27%" totalsRowFunction="sum" dataDxfId="1295" totalsRowDxfId="1294" dataCellStyle="Normal 3"/>
    <tableColumn id="10" xr3:uid="{00000000-0010-0000-0D00-00000A000000}" name="IVA 10,5%" totalsRowFunction="sum" dataDxfId="1293" totalsRowDxfId="1292" dataCellStyle="Normal 3"/>
    <tableColumn id="11" xr3:uid="{00000000-0010-0000-0D00-00000B000000}" name="PERC. IVA" totalsRowFunction="sum" dataDxfId="1291" totalsRowDxfId="1290" dataCellStyle="Normal 3"/>
    <tableColumn id="12" xr3:uid="{00000000-0010-0000-0D00-00000C000000}" name="PERC IIBB _x000a_BS AS" totalsRowFunction="sum" dataDxfId="1289" totalsRowDxfId="1288" dataCellStyle="Normal 3"/>
    <tableColumn id="13" xr3:uid="{00000000-0010-0000-0D00-00000D000000}" name="PERC. IIBB CABA" totalsRowFunction="sum" dataDxfId="1287" totalsRowDxfId="1286" dataCellStyle="Normal 3"/>
    <tableColumn id="14" xr3:uid="{00000000-0010-0000-0D00-00000E000000}" name="Otros / No Grav." totalsRowFunction="sum" dataDxfId="1285" totalsRowDxfId="1284" dataCellStyle="Normal 3"/>
    <tableColumn id="15" xr3:uid="{00000000-0010-0000-0D00-00000F000000}" name="TOTAL" totalsRowFunction="sum" dataDxfId="1283" totalsRowDxfId="1282" dataCellStyle="Normal 3">
      <calculatedColumnFormula>SUM(compras_mes3[[#This Row],[NETO GRAVADO]:[Otros / No Grav.]])</calculatedColumnFormula>
    </tableColumn>
    <tableColumn id="16" xr3:uid="{00000000-0010-0000-0D00-000010000000}" name="Tipo de Gasto" dataDxfId="1281" totalsRowDxfId="1280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D00-000011000000}" name="Provincia" dataDxfId="1279" totalsRowDxfId="1278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factura_c_mes3" displayName="factura_c_mes3" ref="D35:K40" totalsRowCount="1" headerRowDxfId="1277" totalsRowDxfId="1276" headerRowCellStyle="Normal 3">
  <autoFilter ref="D35:K39" xr:uid="{00000000-0009-0000-0100-000010000000}"/>
  <tableColumns count="8">
    <tableColumn id="1" xr3:uid="{00000000-0010-0000-0E00-000001000000}" name="FECHA" totalsRowLabel="Total" dataDxfId="1275" totalsRowDxfId="1274" dataCellStyle="Normal 3"/>
    <tableColumn id="2" xr3:uid="{00000000-0010-0000-0E00-000002000000}" name="PTO VTA" dataDxfId="1273" totalsRowDxfId="1272" dataCellStyle="Normal 3"/>
    <tableColumn id="3" xr3:uid="{00000000-0010-0000-0E00-000003000000}" name="FC Nº" dataDxfId="1271" totalsRowDxfId="1270" dataCellStyle="Normal 3"/>
    <tableColumn id="4" xr3:uid="{00000000-0010-0000-0E00-000004000000}" name="CUIT" dataDxfId="1269" totalsRowDxfId="1268" dataCellStyle="Normal 3"/>
    <tableColumn id="5" xr3:uid="{00000000-0010-0000-0E00-000005000000}" name="RAZON SOCIAL" dataDxfId="1267" totalsRowDxfId="1266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E00-000006000000}" name="TOTAL" totalsRowFunction="sum" dataDxfId="1265" totalsRowDxfId="1264" dataCellStyle="Normal 3"/>
    <tableColumn id="7" xr3:uid="{00000000-0010-0000-0E00-000007000000}" name="TIPO DE GASTO" dataDxfId="1263" totalsRowDxfId="1262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E00-000008000000}" name="Provincia" dataDxfId="1261" totalsRowDxfId="1260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venta_a_mes3" displayName="venta_a_mes3" ref="B49:M69" totalsRowCount="1" headerRowDxfId="1259" dataDxfId="1257" headerRowBorderDxfId="1258" tableBorderDxfId="1256" totalsRowBorderDxfId="1255" dataCellStyle="Normal 3">
  <autoFilter ref="B49:M68" xr:uid="{00000000-0009-0000-0100-000011000000}"/>
  <sortState xmlns:xlrd2="http://schemas.microsoft.com/office/spreadsheetml/2017/richdata2" ref="B62:M80">
    <sortCondition ref="E62:E80"/>
  </sortState>
  <tableColumns count="12">
    <tableColumn id="1" xr3:uid="{00000000-0010-0000-0F00-000001000000}" name="FECHA" totalsRowLabel="Total" dataDxfId="1254" totalsRowDxfId="1253" dataCellStyle="Normal 3"/>
    <tableColumn id="2" xr3:uid="{00000000-0010-0000-0F00-000002000000}" name="TIPO" dataDxfId="1252" totalsRowDxfId="1251" dataCellStyle="Normal 3"/>
    <tableColumn id="3" xr3:uid="{00000000-0010-0000-0F00-000003000000}" name="PTO VENTA" dataDxfId="1250" totalsRowDxfId="1249" dataCellStyle="Normal 3"/>
    <tableColumn id="4" xr3:uid="{00000000-0010-0000-0F00-000004000000}" name="Nº FACTURA" dataDxfId="1248" totalsRowDxfId="1247" dataCellStyle="Normal 3"/>
    <tableColumn id="5" xr3:uid="{00000000-0010-0000-0F00-000005000000}" name="CUIT" dataDxfId="1246" totalsRowDxfId="1245" dataCellStyle="Normal 3"/>
    <tableColumn id="6" xr3:uid="{00000000-0010-0000-0F00-000006000000}" name="RAZON SOCIAL" dataDxfId="1244" totalsRowDxfId="1243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0F00-000007000000}" name="IMPORTE NETO" totalsRowFunction="sum" dataDxfId="1242" totalsRowDxfId="1241" dataCellStyle="Normal 3"/>
    <tableColumn id="8" xr3:uid="{00000000-0010-0000-0F00-000008000000}" name="IVA 21%" totalsRowFunction="sum" dataDxfId="1240" totalsRowDxfId="1239" dataCellStyle="Normal 3">
      <calculatedColumnFormula>venta_a_mes3[[#This Row],[IMPORTE NETO]]*0.21</calculatedColumnFormula>
    </tableColumn>
    <tableColumn id="9" xr3:uid="{00000000-0010-0000-0F00-000009000000}" name="IVA 10,5%" totalsRowFunction="sum" dataDxfId="1238" totalsRowDxfId="1237" dataCellStyle="Normal 3"/>
    <tableColumn id="10" xr3:uid="{00000000-0010-0000-0F00-00000A000000}" name="EXENTO" totalsRowFunction="sum" dataDxfId="1236" totalsRowDxfId="1235" dataCellStyle="Normal 3"/>
    <tableColumn id="11" xr3:uid="{00000000-0010-0000-0F00-00000B000000}" name="TOTAL" totalsRowFunction="sum" dataDxfId="1234" totalsRowDxfId="1233" dataCellStyle="Normal 3">
      <calculatedColumnFormula>SUM(venta_a_mes3[[#This Row],[IMPORTE NETO]:[EXENTO]])</calculatedColumnFormula>
    </tableColumn>
    <tableColumn id="12" xr3:uid="{00000000-0010-0000-0F00-00000C000000}" name="Provincia" totalsRowFunction="count" dataDxfId="1232" totalsRowDxfId="1231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ventas_b_mes3" displayName="ventas_b_mes3" ref="B72:M79" totalsRowCount="1" headerRowDxfId="1230" dataDxfId="1228" headerRowBorderDxfId="1229" tableBorderDxfId="1227" totalsRowBorderDxfId="1226" dataCellStyle="Normal 3">
  <autoFilter ref="B72:M78" xr:uid="{00000000-0009-0000-0100-000012000000}"/>
  <tableColumns count="12">
    <tableColumn id="1" xr3:uid="{00000000-0010-0000-1000-000001000000}" name="FECHA" totalsRowLabel="Total" dataDxfId="1225" totalsRowDxfId="1224" dataCellStyle="Normal 3"/>
    <tableColumn id="2" xr3:uid="{00000000-0010-0000-1000-000002000000}" name="TIPO" dataDxfId="1223" totalsRowDxfId="1222" dataCellStyle="Normal 3"/>
    <tableColumn id="3" xr3:uid="{00000000-0010-0000-1000-000003000000}" name="PTO VENTA" dataDxfId="1221" totalsRowDxfId="1220" dataCellStyle="Normal 3"/>
    <tableColumn id="4" xr3:uid="{00000000-0010-0000-1000-000004000000}" name="Nº FACTURA" dataDxfId="1219" totalsRowDxfId="1218" dataCellStyle="Normal 3"/>
    <tableColumn id="5" xr3:uid="{00000000-0010-0000-1000-000005000000}" name="CUIT" dataDxfId="1217" totalsRowDxfId="1216" dataCellStyle="Normal 3"/>
    <tableColumn id="6" xr3:uid="{00000000-0010-0000-1000-000006000000}" name="RAZON SOCIAL" dataDxfId="1215" totalsRowDxfId="1214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000-000007000000}" name="IMPORTE NETO" totalsRowFunction="sum" dataDxfId="1213" totalsRowDxfId="1212" dataCellStyle="Normal 3"/>
    <tableColumn id="8" xr3:uid="{00000000-0010-0000-1000-000008000000}" name="IVA 21%" totalsRowFunction="sum" dataDxfId="1211" totalsRowDxfId="1210" dataCellStyle="Normal 3">
      <calculatedColumnFormula>ventas_b_mes3[[#This Row],[IMPORTE NETO]]*0.21</calculatedColumnFormula>
    </tableColumn>
    <tableColumn id="9" xr3:uid="{00000000-0010-0000-1000-000009000000}" name="IVA 10,5%" totalsRowFunction="sum" dataDxfId="1209" totalsRowDxfId="1208" dataCellStyle="Normal 3"/>
    <tableColumn id="10" xr3:uid="{00000000-0010-0000-1000-00000A000000}" name="EXENTO" totalsRowFunction="sum" dataDxfId="1207" totalsRowDxfId="1206" dataCellStyle="Normal 3"/>
    <tableColumn id="11" xr3:uid="{00000000-0010-0000-1000-00000B000000}" name="TOTAL" totalsRowFunction="sum" dataDxfId="1205" totalsRowDxfId="1204" dataCellStyle="Normal 3">
      <calculatedColumnFormula>SUM(ventas_b_mes3[[#This Row],[IMPORTE NETO]:[EXENTO]])</calculatedColumnFormula>
    </tableColumn>
    <tableColumn id="12" xr3:uid="{00000000-0010-0000-1000-00000C000000}" name="Provincia" totalsRowFunction="count" dataDxfId="1203" totalsRowDxfId="1202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extracto_banco_mes3" displayName="extracto_banco_mes3" ref="D26:L30" totalsRowCount="1" headerRowDxfId="1201" dataDxfId="1200" tableBorderDxfId="1199" dataCellStyle="Normal 3">
  <autoFilter ref="D26:L29" xr:uid="{00000000-0009-0000-0100-000013000000}"/>
  <tableColumns count="9">
    <tableColumn id="1" xr3:uid="{00000000-0010-0000-1100-000001000000}" name="FECHA" totalsRowLabel="Total" dataDxfId="1198" totalsRowDxfId="1197" dataCellStyle="Normal 3"/>
    <tableColumn id="2" xr3:uid="{00000000-0010-0000-1100-000002000000}" name="NRO CPTE" dataDxfId="1196" totalsRowDxfId="1195"/>
    <tableColumn id="3" xr3:uid="{00000000-0010-0000-1100-000003000000}" name="BANCO" dataDxfId="1194" totalsRowDxfId="1193"/>
    <tableColumn id="4" xr3:uid="{00000000-0010-0000-1100-000004000000}" name="NETO" totalsRowFunction="sum" dataDxfId="1192" totalsRowDxfId="1191" dataCellStyle="Normal 3"/>
    <tableColumn id="5" xr3:uid="{00000000-0010-0000-1100-000005000000}" name="IVA 21%" totalsRowFunction="sum" dataDxfId="1190" totalsRowDxfId="1189" dataCellStyle="Normal 3"/>
    <tableColumn id="6" xr3:uid="{00000000-0010-0000-1100-000006000000}" name="IVA 10,5%" totalsRowFunction="sum" dataDxfId="1188" totalsRowDxfId="1187" dataCellStyle="Normal 3"/>
    <tableColumn id="7" xr3:uid="{00000000-0010-0000-1100-000007000000}" name="RET IIBB CABA" totalsRowFunction="sum" dataDxfId="1186" totalsRowDxfId="1185" dataCellStyle="Normal 3"/>
    <tableColumn id="8" xr3:uid="{00000000-0010-0000-1100-000008000000}" name="PERC IVA" totalsRowFunction="sum" dataDxfId="1184" totalsRowDxfId="1183" dataCellStyle="Normal 3"/>
    <tableColumn id="9" xr3:uid="{00000000-0010-0000-1100-000009000000}" name="PERC IIBB" totalsRowFunction="sum" dataDxfId="1182" totalsRowDxfId="1181" dataCellStyle="Normal 3"/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Retenciones_mes3" displayName="Retenciones_mes3" ref="C88:L93" totalsRowShown="0" headerRowDxfId="1180" dataDxfId="1179" headerRowCellStyle="Normal 3" dataCellStyle="Normal 3">
  <autoFilter ref="C88:L93" xr:uid="{00000000-0009-0000-0100-000014000000}"/>
  <tableColumns count="10">
    <tableColumn id="1" xr3:uid="{00000000-0010-0000-1200-000001000000}" name="FECHA " dataDxfId="1178" dataCellStyle="Normal 3"/>
    <tableColumn id="2" xr3:uid="{00000000-0010-0000-1200-000002000000}" name="COMP Nº" dataDxfId="1177" dataCellStyle="Normal 3"/>
    <tableColumn id="3" xr3:uid="{00000000-0010-0000-1200-000003000000}" name="Columna1" dataDxfId="1176" dataCellStyle="Normal 3"/>
    <tableColumn id="4" xr3:uid="{00000000-0010-0000-1200-000004000000}" name="CUIT" dataDxfId="1175" dataCellStyle="Normal 3"/>
    <tableColumn id="5" xr3:uid="{00000000-0010-0000-1200-000005000000}" name="RAZON SOCIAL" dataDxfId="1174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200-000006000000}" name="Ganancias" dataDxfId="1173" dataCellStyle="Normal 3"/>
    <tableColumn id="7" xr3:uid="{00000000-0010-0000-1200-000007000000}" name="IVA" dataDxfId="1172" dataCellStyle="Normal 3"/>
    <tableColumn id="8" xr3:uid="{00000000-0010-0000-1200-000008000000}" name="SUSS" dataDxfId="1171" dataCellStyle="Normal 3"/>
    <tableColumn id="9" xr3:uid="{00000000-0010-0000-1200-000009000000}" name="IIBB BSAS" dataDxfId="1170" dataCellStyle="Normal 3"/>
    <tableColumn id="10" xr3:uid="{00000000-0010-0000-1200-00000A000000}" name="IIBB CABA" dataDxfId="1169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3000000}" name="compras_mes4" displayName="compras_mes4" ref="B8:R19" totalsRowCount="1" headerRowDxfId="1168" totalsRowDxfId="1167">
  <autoFilter ref="B8:R18" xr:uid="{00000000-0009-0000-0100-000015000000}"/>
  <tableColumns count="17">
    <tableColumn id="1" xr3:uid="{00000000-0010-0000-1300-000001000000}" name="FECHA" totalsRowLabel="Total" dataDxfId="1166" totalsRowDxfId="1165" dataCellStyle="Normal 3"/>
    <tableColumn id="2" xr3:uid="{00000000-0010-0000-1300-000002000000}" name="TIPO" dataDxfId="1164" totalsRowDxfId="1163" dataCellStyle="Normal 3"/>
    <tableColumn id="3" xr3:uid="{00000000-0010-0000-1300-000003000000}" name="PTO VTA" dataDxfId="1162" totalsRowDxfId="1161" dataCellStyle="Normal 3"/>
    <tableColumn id="4" xr3:uid="{00000000-0010-0000-1300-000004000000}" name="NRO. CPTE" dataDxfId="1160" totalsRowDxfId="1159" dataCellStyle="Normal 3"/>
    <tableColumn id="5" xr3:uid="{00000000-0010-0000-1300-000005000000}" name="CUIT" dataDxfId="1158" totalsRowDxfId="1157" dataCellStyle="Normal 3"/>
    <tableColumn id="6" xr3:uid="{00000000-0010-0000-1300-000006000000}" name="RAZON SOCIAL" dataDxfId="1156" totalsRowDxfId="1155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300-000007000000}" name="NETO GRAVADO" totalsRowFunction="sum" dataDxfId="1154" totalsRowDxfId="1153" dataCellStyle="Normal 3"/>
    <tableColumn id="8" xr3:uid="{00000000-0010-0000-1300-000008000000}" name="IVA 21 %" totalsRowFunction="sum" dataDxfId="1152" totalsRowDxfId="1151" dataCellStyle="Normal 3">
      <calculatedColumnFormula>IF(compras_mes4[[#This Row],[NETO GRAVADO]]="","",compras_mes4[[#This Row],[NETO GRAVADO]]*0.21)</calculatedColumnFormula>
    </tableColumn>
    <tableColumn id="9" xr3:uid="{00000000-0010-0000-1300-000009000000}" name="IVA 27%" totalsRowFunction="sum" dataDxfId="1150" totalsRowDxfId="1149" dataCellStyle="Normal 3"/>
    <tableColumn id="10" xr3:uid="{00000000-0010-0000-1300-00000A000000}" name="IVA 10,5%" totalsRowFunction="sum" dataDxfId="1148" totalsRowDxfId="1147" dataCellStyle="Normal 3"/>
    <tableColumn id="11" xr3:uid="{00000000-0010-0000-1300-00000B000000}" name="PERC. IVA" totalsRowFunction="sum" dataDxfId="1146" totalsRowDxfId="1145" dataCellStyle="Normal 3"/>
    <tableColumn id="12" xr3:uid="{00000000-0010-0000-1300-00000C000000}" name="PERC IIBB _x000a_BS AS" totalsRowFunction="sum" dataDxfId="1144" totalsRowDxfId="1143" dataCellStyle="Normal 3"/>
    <tableColumn id="13" xr3:uid="{00000000-0010-0000-1300-00000D000000}" name="PERC. IIBB CABA" totalsRowFunction="sum" dataDxfId="1142" totalsRowDxfId="1141" dataCellStyle="Normal 3"/>
    <tableColumn id="14" xr3:uid="{00000000-0010-0000-1300-00000E000000}" name="Otros / No Grav." totalsRowFunction="sum" dataDxfId="1140" totalsRowDxfId="1139" dataCellStyle="Normal 3"/>
    <tableColumn id="15" xr3:uid="{00000000-0010-0000-1300-00000F000000}" name="TOTAL" totalsRowFunction="sum" dataDxfId="1138" totalsRowDxfId="1137" dataCellStyle="Normal 3">
      <calculatedColumnFormula>SUM(compras_mes4[[#This Row],[NETO GRAVADO]:[Otros / No Grav.]])</calculatedColumnFormula>
    </tableColumn>
    <tableColumn id="16" xr3:uid="{00000000-0010-0000-1300-000010000000}" name="Tipo de Gasto" dataDxfId="1136" totalsRowDxfId="1135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300-000011000000}" name="Provincia" dataDxfId="1134" totalsRowDxfId="1133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factura_c_mes4" displayName="factura_c_mes4" ref="D34:K39" totalsRowCount="1" headerRowDxfId="1132" totalsRowDxfId="1131" headerRowCellStyle="Normal 3">
  <autoFilter ref="D34:K38" xr:uid="{00000000-0009-0000-0100-000016000000}"/>
  <tableColumns count="8">
    <tableColumn id="1" xr3:uid="{00000000-0010-0000-1400-000001000000}" name="FECHA" totalsRowLabel="Total" dataDxfId="1130" totalsRowDxfId="1129" dataCellStyle="Normal 3"/>
    <tableColumn id="2" xr3:uid="{00000000-0010-0000-1400-000002000000}" name="PTO VTA" dataDxfId="1128" totalsRowDxfId="1127" dataCellStyle="Normal 3"/>
    <tableColumn id="3" xr3:uid="{00000000-0010-0000-1400-000003000000}" name="FC Nº" dataDxfId="1126" totalsRowDxfId="1125" dataCellStyle="Normal 3"/>
    <tableColumn id="4" xr3:uid="{00000000-0010-0000-1400-000004000000}" name="CUIT" dataDxfId="1124" totalsRowDxfId="1123" dataCellStyle="Normal 3"/>
    <tableColumn id="5" xr3:uid="{00000000-0010-0000-1400-000005000000}" name="RAZON SOCIAL" dataDxfId="1122" totalsRowDxfId="1121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400-000006000000}" name="TOTAL" totalsRowFunction="sum" dataDxfId="1120" totalsRowDxfId="1119" dataCellStyle="Normal 3"/>
    <tableColumn id="7" xr3:uid="{00000000-0010-0000-1400-000007000000}" name="TIPO DE GASTO" dataDxfId="1118" totalsRowDxfId="1117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400-000008000000}" name="Provincia" dataDxfId="1116" totalsRowDxfId="1115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venta_a_mes4" displayName="venta_a_mes4" ref="B48:M70" totalsRowCount="1" headerRowDxfId="1114" dataDxfId="1112" headerRowBorderDxfId="1113" tableBorderDxfId="1111" totalsRowBorderDxfId="1110" dataCellStyle="Normal 3">
  <autoFilter ref="B48:M69" xr:uid="{00000000-0009-0000-0100-000017000000}"/>
  <tableColumns count="12">
    <tableColumn id="1" xr3:uid="{00000000-0010-0000-1500-000001000000}" name="FECHA" totalsRowLabel="Total" dataDxfId="1109" totalsRowDxfId="1108" dataCellStyle="Normal 3"/>
    <tableColumn id="2" xr3:uid="{00000000-0010-0000-1500-000002000000}" name="TIPO" dataDxfId="1107" totalsRowDxfId="1106" dataCellStyle="Normal 3"/>
    <tableColumn id="3" xr3:uid="{00000000-0010-0000-1500-000003000000}" name="PTO VENTA" dataDxfId="1105" totalsRowDxfId="1104" dataCellStyle="Normal 3"/>
    <tableColumn id="4" xr3:uid="{00000000-0010-0000-1500-000004000000}" name="Nº FACTURA" dataDxfId="1103" totalsRowDxfId="1102" dataCellStyle="Normal 3"/>
    <tableColumn id="5" xr3:uid="{00000000-0010-0000-1500-000005000000}" name="CUIT" dataDxfId="1101" totalsRowDxfId="1100" dataCellStyle="Normal 3"/>
    <tableColumn id="6" xr3:uid="{00000000-0010-0000-1500-000006000000}" name="RAZON SOCIAL" dataDxfId="1099" totalsRowDxfId="1098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500-000007000000}" name="IMPORTE NETO" totalsRowFunction="sum" dataDxfId="1097" totalsRowDxfId="1096" dataCellStyle="Normal 3"/>
    <tableColumn id="8" xr3:uid="{00000000-0010-0000-1500-000008000000}" name="IVA 21%" totalsRowFunction="sum" dataDxfId="1095" totalsRowDxfId="1094" dataCellStyle="Normal 3">
      <calculatedColumnFormula>venta_a_mes4[[#This Row],[IMPORTE NETO]]*0.21</calculatedColumnFormula>
    </tableColumn>
    <tableColumn id="9" xr3:uid="{00000000-0010-0000-1500-000009000000}" name="IVA 10,5%" totalsRowFunction="sum" dataDxfId="1093" totalsRowDxfId="1092" dataCellStyle="Normal 3"/>
    <tableColumn id="10" xr3:uid="{00000000-0010-0000-1500-00000A000000}" name="EXENTO" totalsRowFunction="sum" dataDxfId="1091" totalsRowDxfId="1090" dataCellStyle="Normal 3"/>
    <tableColumn id="11" xr3:uid="{00000000-0010-0000-1500-00000B000000}" name="TOTAL" totalsRowFunction="sum" dataDxfId="1089" totalsRowDxfId="1088" dataCellStyle="Normal 3">
      <calculatedColumnFormula>SUM(venta_a_mes4[[#This Row],[IMPORTE NETO]:[EXENTO]])</calculatedColumnFormula>
    </tableColumn>
    <tableColumn id="12" xr3:uid="{00000000-0010-0000-1500-00000C000000}" name="Provincia" totalsRowFunction="count" dataDxfId="1087" totalsRowDxfId="1086" dataCellStyle="Normal 3"/>
  </tableColumns>
  <tableStyleInfo name="Tabla Ventas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ventas_b_mes4" displayName="ventas_b_mes4" ref="B74:M81" totalsRowCount="1" headerRowDxfId="1085" dataDxfId="1083" headerRowBorderDxfId="1084" tableBorderDxfId="1082" totalsRowBorderDxfId="1081" dataCellStyle="Normal 3">
  <autoFilter ref="B74:M80" xr:uid="{00000000-0009-0000-0100-000018000000}"/>
  <tableColumns count="12">
    <tableColumn id="1" xr3:uid="{00000000-0010-0000-1600-000001000000}" name="FECHA" totalsRowLabel="Total" dataDxfId="1080" totalsRowDxfId="1079" dataCellStyle="Normal 3"/>
    <tableColumn id="2" xr3:uid="{00000000-0010-0000-1600-000002000000}" name="TIPO" dataDxfId="1078" totalsRowDxfId="1077" dataCellStyle="Normal 3"/>
    <tableColumn id="3" xr3:uid="{00000000-0010-0000-1600-000003000000}" name="PTO VENTA" dataDxfId="1076" totalsRowDxfId="1075" dataCellStyle="Normal 3"/>
    <tableColumn id="4" xr3:uid="{00000000-0010-0000-1600-000004000000}" name="Nº FACTURA" dataDxfId="1074" totalsRowDxfId="1073" dataCellStyle="Normal 3"/>
    <tableColumn id="5" xr3:uid="{00000000-0010-0000-1600-000005000000}" name="CUIT" dataDxfId="1072" totalsRowDxfId="1071" dataCellStyle="Normal 3"/>
    <tableColumn id="6" xr3:uid="{00000000-0010-0000-1600-000006000000}" name="RAZON SOCIAL" dataDxfId="1070" totalsRowDxfId="1069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600-000007000000}" name="IMPORTE NETO" totalsRowFunction="sum" dataDxfId="1068" totalsRowDxfId="1067" dataCellStyle="Normal 3"/>
    <tableColumn id="8" xr3:uid="{00000000-0010-0000-1600-000008000000}" name="IVA 21%" totalsRowFunction="sum" dataDxfId="1066" totalsRowDxfId="1065" dataCellStyle="Normal 3"/>
    <tableColumn id="9" xr3:uid="{00000000-0010-0000-1600-000009000000}" name="IVA 10,5%" totalsRowFunction="sum" dataDxfId="1064" totalsRowDxfId="1063" dataCellStyle="Normal 3"/>
    <tableColumn id="10" xr3:uid="{00000000-0010-0000-1600-00000A000000}" name="EXENTO" totalsRowFunction="sum" dataDxfId="1062" totalsRowDxfId="1061" dataCellStyle="Normal 3"/>
    <tableColumn id="11" xr3:uid="{00000000-0010-0000-1600-00000B000000}" name="TOTAL" totalsRowFunction="sum" dataDxfId="1060" totalsRowDxfId="1059" dataCellStyle="Normal 3">
      <calculatedColumnFormula>SUM(ventas_b_mes4[[#This Row],[IMPORTE NETO]:[EXENTO]])</calculatedColumnFormula>
    </tableColumn>
    <tableColumn id="12" xr3:uid="{00000000-0010-0000-1600-00000C000000}" name="Provincia" totalsRowFunction="count" dataDxfId="1058" totalsRowDxfId="1057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xtracto_banco_mes4" displayName="extracto_banco_mes4" ref="D25:L29" totalsRowCount="1" headerRowDxfId="1056" dataDxfId="1055" tableBorderDxfId="1054" dataCellStyle="Normal 3">
  <autoFilter ref="D25:L28" xr:uid="{00000000-0009-0000-0100-000019000000}"/>
  <tableColumns count="9">
    <tableColumn id="1" xr3:uid="{00000000-0010-0000-1700-000001000000}" name="FECHA" totalsRowLabel="Total" dataDxfId="1053" totalsRowDxfId="1052" dataCellStyle="Normal 3"/>
    <tableColumn id="2" xr3:uid="{00000000-0010-0000-1700-000002000000}" name="NRO CPTE" dataDxfId="1051" totalsRowDxfId="1050"/>
    <tableColumn id="3" xr3:uid="{00000000-0010-0000-1700-000003000000}" name="BANCO" dataDxfId="1049" totalsRowDxfId="1048"/>
    <tableColumn id="4" xr3:uid="{00000000-0010-0000-1700-000004000000}" name="NETO" totalsRowFunction="sum" dataDxfId="1047" totalsRowDxfId="1046" dataCellStyle="Normal 3"/>
    <tableColumn id="5" xr3:uid="{00000000-0010-0000-1700-000005000000}" name="IVA 21%" totalsRowFunction="sum" dataDxfId="1045" totalsRowDxfId="1044" dataCellStyle="Normal 3"/>
    <tableColumn id="6" xr3:uid="{00000000-0010-0000-1700-000006000000}" name="IVA 10,5%" totalsRowFunction="sum" dataDxfId="1043" totalsRowDxfId="1042" dataCellStyle="Normal 3"/>
    <tableColumn id="7" xr3:uid="{00000000-0010-0000-1700-000007000000}" name="RET IIBB CABA" totalsRowFunction="sum" dataDxfId="1041" totalsRowDxfId="1040" dataCellStyle="Normal 3"/>
    <tableColumn id="8" xr3:uid="{00000000-0010-0000-1700-000008000000}" name="PERC IVA" totalsRowFunction="sum" dataDxfId="1039" totalsRowDxfId="1038" dataCellStyle="Normal 3"/>
    <tableColumn id="9" xr3:uid="{00000000-0010-0000-1700-000009000000}" name="PERC IIBB" totalsRowFunction="sum" dataDxfId="1037" totalsRowDxfId="1036" dataCellStyle="Normal 3"/>
  </tableColumns>
  <tableStyleInfo name="Estilo de tabla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Retenciones_mes4" displayName="Retenciones_mes4" ref="C90:L95" totalsRowShown="0" headerRowDxfId="1035" dataDxfId="1034" headerRowCellStyle="Normal 3" dataCellStyle="Normal 3">
  <autoFilter ref="C90:L95" xr:uid="{00000000-0009-0000-0100-00001A000000}"/>
  <tableColumns count="10">
    <tableColumn id="1" xr3:uid="{00000000-0010-0000-1800-000001000000}" name="FECHA " dataDxfId="1033" dataCellStyle="Normal 3"/>
    <tableColumn id="2" xr3:uid="{00000000-0010-0000-1800-000002000000}" name="COMP Nº" dataDxfId="1032" dataCellStyle="Normal 3"/>
    <tableColumn id="3" xr3:uid="{00000000-0010-0000-1800-000003000000}" name="Columna1" dataDxfId="1031" dataCellStyle="Normal 3"/>
    <tableColumn id="4" xr3:uid="{00000000-0010-0000-1800-000004000000}" name="CUIT" dataDxfId="1030" dataCellStyle="Normal 3"/>
    <tableColumn id="5" xr3:uid="{00000000-0010-0000-1800-000005000000}" name="RAZON SOCIAL" dataDxfId="1029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800-000006000000}" name="Ganancias" dataDxfId="1028" dataCellStyle="Normal 3"/>
    <tableColumn id="7" xr3:uid="{00000000-0010-0000-1800-000007000000}" name="IVA" dataDxfId="1027" dataCellStyle="Normal 3"/>
    <tableColumn id="8" xr3:uid="{00000000-0010-0000-1800-000008000000}" name="SUSS" dataDxfId="1026" dataCellStyle="Normal 3"/>
    <tableColumn id="9" xr3:uid="{00000000-0010-0000-1800-000009000000}" name="IIBB BSAS" dataDxfId="1025" dataCellStyle="Normal 3"/>
    <tableColumn id="10" xr3:uid="{00000000-0010-0000-1800-00000A000000}" name="IIBB CABA" dataDxfId="1024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9000000}" name="compras_mes5" displayName="compras_mes5" ref="B8:R23" totalsRowCount="1" headerRowDxfId="1023" totalsRowDxfId="1022">
  <autoFilter ref="B8:R22" xr:uid="{00000000-0009-0000-0100-00002D000000}"/>
  <sortState xmlns:xlrd2="http://schemas.microsoft.com/office/spreadsheetml/2017/richdata2" ref="B9:R22">
    <sortCondition ref="B8:B22"/>
  </sortState>
  <tableColumns count="17">
    <tableColumn id="1" xr3:uid="{00000000-0010-0000-1900-000001000000}" name="FECHA" totalsRowLabel="Total" dataDxfId="1021" totalsRowDxfId="1020" dataCellStyle="Normal 3"/>
    <tableColumn id="2" xr3:uid="{00000000-0010-0000-1900-000002000000}" name="TIPO" dataDxfId="1019" totalsRowDxfId="1018" dataCellStyle="Normal 3"/>
    <tableColumn id="3" xr3:uid="{00000000-0010-0000-1900-000003000000}" name="PTO VTA" dataDxfId="1017" totalsRowDxfId="1016" dataCellStyle="Normal 3"/>
    <tableColumn id="4" xr3:uid="{00000000-0010-0000-1900-000004000000}" name="NRO. CPTE" dataDxfId="1015" totalsRowDxfId="1014" dataCellStyle="Normal 3"/>
    <tableColumn id="5" xr3:uid="{00000000-0010-0000-1900-000005000000}" name="CUIT" dataDxfId="1013" totalsRowDxfId="1012" dataCellStyle="Normal 3"/>
    <tableColumn id="6" xr3:uid="{00000000-0010-0000-1900-000006000000}" name="RAZON SOCIAL" dataDxfId="1011" totalsRowDxfId="1010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900-000007000000}" name="NETO GRAVADO" totalsRowFunction="sum" dataDxfId="1009" totalsRowDxfId="1008" dataCellStyle="Normal 3"/>
    <tableColumn id="8" xr3:uid="{00000000-0010-0000-1900-000008000000}" name="IVA 21 %" totalsRowFunction="sum" dataDxfId="1007" totalsRowDxfId="1006" dataCellStyle="Normal 3">
      <calculatedColumnFormula>IF(compras_mes5[[#This Row],[NETO GRAVADO]]="","",compras_mes5[[#This Row],[NETO GRAVADO]]*0.21)</calculatedColumnFormula>
    </tableColumn>
    <tableColumn id="9" xr3:uid="{00000000-0010-0000-1900-000009000000}" name="IVA 27%" totalsRowFunction="sum" dataDxfId="1005" totalsRowDxfId="1004" dataCellStyle="Normal 3"/>
    <tableColumn id="10" xr3:uid="{00000000-0010-0000-1900-00000A000000}" name="IVA 10,5%" totalsRowFunction="sum" dataDxfId="1003" totalsRowDxfId="1002" dataCellStyle="Normal 3"/>
    <tableColumn id="11" xr3:uid="{00000000-0010-0000-1900-00000B000000}" name="PERC. IVA" totalsRowFunction="sum" dataDxfId="1001" totalsRowDxfId="1000" dataCellStyle="Normal 3"/>
    <tableColumn id="12" xr3:uid="{00000000-0010-0000-1900-00000C000000}" name="PERC IIBB _x000a_BS AS" totalsRowFunction="sum" dataDxfId="999" totalsRowDxfId="998" dataCellStyle="Normal 3"/>
    <tableColumn id="13" xr3:uid="{00000000-0010-0000-1900-00000D000000}" name="PERC. IIBB CABA" totalsRowFunction="sum" dataDxfId="997" totalsRowDxfId="996" dataCellStyle="Normal 3"/>
    <tableColumn id="14" xr3:uid="{00000000-0010-0000-1900-00000E000000}" name="Otros / No Grav." totalsRowFunction="sum" dataDxfId="995" totalsRowDxfId="994" dataCellStyle="Normal 3"/>
    <tableColumn id="15" xr3:uid="{00000000-0010-0000-1900-00000F000000}" name="TOTAL" totalsRowFunction="sum" dataDxfId="993" totalsRowDxfId="992" dataCellStyle="Normal 3">
      <calculatedColumnFormula>SUM(compras_mes5[[#This Row],[NETO GRAVADO]:[Otros / No Grav.]])</calculatedColumnFormula>
    </tableColumn>
    <tableColumn id="16" xr3:uid="{00000000-0010-0000-1900-000010000000}" name="Tipo de Gasto" dataDxfId="991" totalsRowDxfId="990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900-000011000000}" name="Provincia" dataDxfId="989" totalsRowDxfId="988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A000000}" name="factura_c_mes5" displayName="factura_c_mes5" ref="D38:K44" totalsRowCount="1" headerRowDxfId="987" totalsRowDxfId="986" headerRowCellStyle="Normal 3">
  <autoFilter ref="D38:K43" xr:uid="{00000000-0009-0000-0100-00002E000000}"/>
  <tableColumns count="8">
    <tableColumn id="1" xr3:uid="{00000000-0010-0000-1A00-000001000000}" name="FECHA" totalsRowLabel="Total" dataDxfId="985" totalsRowDxfId="984" dataCellStyle="Normal 3"/>
    <tableColumn id="2" xr3:uid="{00000000-0010-0000-1A00-000002000000}" name="PTO VTA" dataDxfId="983" totalsRowDxfId="982" dataCellStyle="Normal 3"/>
    <tableColumn id="3" xr3:uid="{00000000-0010-0000-1A00-000003000000}" name="FC Nº" dataDxfId="981" totalsRowDxfId="980" dataCellStyle="Normal 3"/>
    <tableColumn id="4" xr3:uid="{00000000-0010-0000-1A00-000004000000}" name="CUIT" dataDxfId="979" totalsRowDxfId="978" dataCellStyle="Normal 3"/>
    <tableColumn id="5" xr3:uid="{00000000-0010-0000-1A00-000005000000}" name="RAZON SOCIAL" dataDxfId="977" totalsRowDxfId="976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A00-000006000000}" name="TOTAL" totalsRowFunction="sum" dataDxfId="975" totalsRowDxfId="974" dataCellStyle="Normal 3"/>
    <tableColumn id="7" xr3:uid="{00000000-0010-0000-1A00-000007000000}" name="TIPO DE GASTO" dataDxfId="973" totalsRowDxfId="972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A00-000008000000}" name="Provincia" dataDxfId="971" totalsRowDxfId="970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B000000}" name="venta_a_mes5" displayName="venta_a_mes5" ref="B52:M73" totalsRowCount="1" headerRowDxfId="969" dataDxfId="967" headerRowBorderDxfId="968" tableBorderDxfId="966" totalsRowBorderDxfId="965" dataCellStyle="Normal 3">
  <autoFilter ref="B52:M72" xr:uid="{00000000-0009-0000-0100-00002F000000}"/>
  <tableColumns count="12">
    <tableColumn id="1" xr3:uid="{00000000-0010-0000-1B00-000001000000}" name="FECHA" totalsRowLabel="Total" dataDxfId="964" totalsRowDxfId="963" dataCellStyle="Normal 3"/>
    <tableColumn id="2" xr3:uid="{00000000-0010-0000-1B00-000002000000}" name="TIPO" dataDxfId="962" totalsRowDxfId="961" dataCellStyle="Normal 3"/>
    <tableColumn id="3" xr3:uid="{00000000-0010-0000-1B00-000003000000}" name="PTO VENTA" dataDxfId="960" totalsRowDxfId="959" dataCellStyle="Normal 3"/>
    <tableColumn id="4" xr3:uid="{00000000-0010-0000-1B00-000004000000}" name="Nº FACTURA" dataDxfId="958" totalsRowDxfId="957" dataCellStyle="Normal 3"/>
    <tableColumn id="5" xr3:uid="{00000000-0010-0000-1B00-000005000000}" name="CUIT" dataDxfId="956" totalsRowDxfId="955" dataCellStyle="Normal 3"/>
    <tableColumn id="6" xr3:uid="{00000000-0010-0000-1B00-000006000000}" name="RAZON SOCIAL" dataDxfId="954" totalsRowDxfId="953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B00-000007000000}" name="IMPORTE NETO" totalsRowFunction="sum" dataDxfId="952" totalsRowDxfId="951" dataCellStyle="Normal 3"/>
    <tableColumn id="8" xr3:uid="{00000000-0010-0000-1B00-000008000000}" name="IVA 21%" totalsRowFunction="sum" dataDxfId="950" totalsRowDxfId="949" dataCellStyle="Normal 3">
      <calculatedColumnFormula>venta_a_mes5[[#This Row],[IMPORTE NETO]]*0.21</calculatedColumnFormula>
    </tableColumn>
    <tableColumn id="9" xr3:uid="{00000000-0010-0000-1B00-000009000000}" name="IVA 10,5%" totalsRowFunction="sum" dataDxfId="948" totalsRowDxfId="947" dataCellStyle="Normal 3"/>
    <tableColumn id="10" xr3:uid="{00000000-0010-0000-1B00-00000A000000}" name="EXENTO" totalsRowFunction="sum" dataDxfId="946" totalsRowDxfId="945" dataCellStyle="Normal 3"/>
    <tableColumn id="11" xr3:uid="{00000000-0010-0000-1B00-00000B000000}" name="TOTAL" totalsRowFunction="sum" dataDxfId="944" totalsRowDxfId="943" dataCellStyle="Normal 3">
      <calculatedColumnFormula>SUM(venta_a_mes5[[#This Row],[IMPORTE NETO]:[EXENTO]])</calculatedColumnFormula>
    </tableColumn>
    <tableColumn id="12" xr3:uid="{00000000-0010-0000-1B00-00000C000000}" name="Provincia" totalsRowFunction="count" dataDxfId="942" totalsRowDxfId="941" dataCellStyle="Normal 3"/>
  </tableColumns>
  <tableStyleInfo name="Tabla Ventas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C000000}" name="ventas_b_mes5" displayName="ventas_b_mes5" ref="B76:M83" totalsRowCount="1" headerRowDxfId="940" dataDxfId="938" headerRowBorderDxfId="939" tableBorderDxfId="937" totalsRowBorderDxfId="936" dataCellStyle="Normal 3">
  <autoFilter ref="B76:M82" xr:uid="{00000000-0009-0000-0100-000030000000}"/>
  <tableColumns count="12">
    <tableColumn id="1" xr3:uid="{00000000-0010-0000-1C00-000001000000}" name="FECHA" totalsRowLabel="Total" dataDxfId="935" totalsRowDxfId="934" dataCellStyle="Normal 3"/>
    <tableColumn id="2" xr3:uid="{00000000-0010-0000-1C00-000002000000}" name="TIPO" dataDxfId="933" totalsRowDxfId="932" dataCellStyle="Normal 3"/>
    <tableColumn id="3" xr3:uid="{00000000-0010-0000-1C00-000003000000}" name="PTO VENTA" dataDxfId="931" totalsRowDxfId="930" dataCellStyle="Normal 3"/>
    <tableColumn id="4" xr3:uid="{00000000-0010-0000-1C00-000004000000}" name="Nº FACTURA" dataDxfId="929" totalsRowDxfId="928" dataCellStyle="Normal 3"/>
    <tableColumn id="5" xr3:uid="{00000000-0010-0000-1C00-000005000000}" name="CUIT" dataDxfId="927" totalsRowDxfId="926" dataCellStyle="Normal 3"/>
    <tableColumn id="6" xr3:uid="{00000000-0010-0000-1C00-000006000000}" name="RAZON SOCIAL" dataDxfId="925" totalsRowDxfId="924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C00-000007000000}" name="IMPORTE NETO" totalsRowFunction="sum" dataDxfId="923" totalsRowDxfId="922" dataCellStyle="Normal 3"/>
    <tableColumn id="8" xr3:uid="{00000000-0010-0000-1C00-000008000000}" name="IVA 21%" totalsRowFunction="sum" dataDxfId="921" totalsRowDxfId="920" dataCellStyle="Normal 3">
      <calculatedColumnFormula>ventas_b_mes5[[#This Row],[IMPORTE NETO]]*0.21</calculatedColumnFormula>
    </tableColumn>
    <tableColumn id="9" xr3:uid="{00000000-0010-0000-1C00-000009000000}" name="IVA 10,5%" totalsRowFunction="sum" dataDxfId="919" totalsRowDxfId="918" dataCellStyle="Normal 3"/>
    <tableColumn id="10" xr3:uid="{00000000-0010-0000-1C00-00000A000000}" name="EXENTO" totalsRowFunction="sum" dataDxfId="917" totalsRowDxfId="916" dataCellStyle="Normal 3"/>
    <tableColumn id="11" xr3:uid="{00000000-0010-0000-1C00-00000B000000}" name="TOTAL" totalsRowFunction="sum" dataDxfId="915" totalsRowDxfId="914" dataCellStyle="Normal 3">
      <calculatedColumnFormula>SUM(ventas_b_mes5[[#This Row],[IMPORTE NETO]:[EXENTO]])</calculatedColumnFormula>
    </tableColumn>
    <tableColumn id="12" xr3:uid="{00000000-0010-0000-1C00-00000C000000}" name="Provincia" totalsRowFunction="count" dataDxfId="913" totalsRowDxfId="912" dataCellStyle="Normal 3"/>
  </tableColumns>
  <tableStyleInfo name="Tabla Ventas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D000000}" name="extracto_banco_mes5" displayName="extracto_banco_mes5" ref="D29:L33" totalsRowCount="1" headerRowDxfId="911" dataDxfId="910" tableBorderDxfId="909" dataCellStyle="Normal 3">
  <autoFilter ref="D29:L32" xr:uid="{00000000-0009-0000-0100-000031000000}"/>
  <tableColumns count="9">
    <tableColumn id="1" xr3:uid="{00000000-0010-0000-1D00-000001000000}" name="FECHA" totalsRowLabel="Total" dataDxfId="908" totalsRowDxfId="907" dataCellStyle="Normal 3"/>
    <tableColumn id="2" xr3:uid="{00000000-0010-0000-1D00-000002000000}" name="NRO CPTE" dataDxfId="906" totalsRowDxfId="905"/>
    <tableColumn id="3" xr3:uid="{00000000-0010-0000-1D00-000003000000}" name="BANCO" dataDxfId="904" totalsRowDxfId="903"/>
    <tableColumn id="4" xr3:uid="{00000000-0010-0000-1D00-000004000000}" name="NETO" totalsRowFunction="sum" dataDxfId="902" totalsRowDxfId="901" dataCellStyle="Normal 3"/>
    <tableColumn id="5" xr3:uid="{00000000-0010-0000-1D00-000005000000}" name="IVA 21%" totalsRowFunction="sum" dataDxfId="900" totalsRowDxfId="899" dataCellStyle="Normal 3"/>
    <tableColumn id="6" xr3:uid="{00000000-0010-0000-1D00-000006000000}" name="IVA 10,5%" totalsRowFunction="sum" dataDxfId="898" totalsRowDxfId="897" dataCellStyle="Normal 3"/>
    <tableColumn id="7" xr3:uid="{00000000-0010-0000-1D00-000007000000}" name="RET IIBB CABA" totalsRowFunction="sum" dataDxfId="896" totalsRowDxfId="895" dataCellStyle="Normal 3"/>
    <tableColumn id="8" xr3:uid="{00000000-0010-0000-1D00-000008000000}" name="PERC IVA" totalsRowFunction="sum" dataDxfId="894" totalsRowDxfId="893" dataCellStyle="Normal 3"/>
    <tableColumn id="9" xr3:uid="{00000000-0010-0000-1D00-000009000000}" name="PERC IIBB" totalsRowFunction="sum" dataDxfId="892" totalsRowDxfId="891" dataCellStyle="Normal 3"/>
  </tableColumns>
  <tableStyleInfo name="Estilo de tabla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E000000}" name="Retenciones_mes5" displayName="Retenciones_mes5" ref="C92:L97" totalsRowShown="0" headerRowDxfId="890" dataDxfId="889" headerRowCellStyle="Normal 3" dataCellStyle="Normal 3">
  <autoFilter ref="C92:L97" xr:uid="{00000000-0009-0000-0100-000032000000}"/>
  <tableColumns count="10">
    <tableColumn id="1" xr3:uid="{00000000-0010-0000-1E00-000001000000}" name="FECHA " dataDxfId="888" dataCellStyle="Normal 3"/>
    <tableColumn id="2" xr3:uid="{00000000-0010-0000-1E00-000002000000}" name="COMP Nº" dataDxfId="887" dataCellStyle="Normal 3"/>
    <tableColumn id="3" xr3:uid="{00000000-0010-0000-1E00-000003000000}" name="Columna1" dataDxfId="886" dataCellStyle="Normal 3"/>
    <tableColumn id="4" xr3:uid="{00000000-0010-0000-1E00-000004000000}" name="CUIT" dataDxfId="885" dataCellStyle="Normal 3"/>
    <tableColumn id="5" xr3:uid="{00000000-0010-0000-1E00-000005000000}" name="RAZON SOCIAL" dataDxfId="884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1E00-000006000000}" name="Ganancias" dataDxfId="883" dataCellStyle="Normal 3"/>
    <tableColumn id="7" xr3:uid="{00000000-0010-0000-1E00-000007000000}" name="IVA" dataDxfId="882" dataCellStyle="Normal 3"/>
    <tableColumn id="8" xr3:uid="{00000000-0010-0000-1E00-000008000000}" name="SUSS" dataDxfId="881" dataCellStyle="Normal 3"/>
    <tableColumn id="9" xr3:uid="{00000000-0010-0000-1E00-000009000000}" name="IIBB BSAS" dataDxfId="880" dataCellStyle="Normal 3"/>
    <tableColumn id="10" xr3:uid="{00000000-0010-0000-1E00-00000A000000}" name="IIBB CABA" dataDxfId="879" dataCellStyle="Normal 3"/>
  </tableColumns>
  <tableStyleInfo name="Estilo de tabla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F000000}" name="compras_mes6" displayName="compras_mes6" ref="B8:R21" totalsRowCount="1" headerRowDxfId="878" totalsRowDxfId="877">
  <autoFilter ref="B8:R20" xr:uid="{00000000-0009-0000-0100-00001B000000}"/>
  <tableColumns count="17">
    <tableColumn id="1" xr3:uid="{00000000-0010-0000-1F00-000001000000}" name="FECHA" totalsRowLabel="Total" dataDxfId="876" totalsRowDxfId="875" dataCellStyle="Normal 3"/>
    <tableColumn id="2" xr3:uid="{00000000-0010-0000-1F00-000002000000}" name="TIPO" dataDxfId="874" totalsRowDxfId="873" dataCellStyle="Normal 3"/>
    <tableColumn id="3" xr3:uid="{00000000-0010-0000-1F00-000003000000}" name="PTO VTA" dataDxfId="872" totalsRowDxfId="871" dataCellStyle="Normal 3"/>
    <tableColumn id="4" xr3:uid="{00000000-0010-0000-1F00-000004000000}" name="NRO. CPTE" dataDxfId="870" totalsRowDxfId="869" dataCellStyle="Normal 3"/>
    <tableColumn id="5" xr3:uid="{00000000-0010-0000-1F00-000005000000}" name="CUIT" dataDxfId="868" totalsRowDxfId="867" dataCellStyle="Normal 3"/>
    <tableColumn id="6" xr3:uid="{00000000-0010-0000-1F00-000006000000}" name="RAZON SOCIAL" dataDxfId="866" totalsRowDxfId="865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1F00-000007000000}" name="NETO GRAVADO" totalsRowFunction="sum" dataDxfId="864" totalsRowDxfId="863" dataCellStyle="Normal 3"/>
    <tableColumn id="8" xr3:uid="{00000000-0010-0000-1F00-000008000000}" name="IVA 21 %" totalsRowFunction="sum" dataDxfId="862" totalsRowDxfId="861" dataCellStyle="Normal 3">
      <calculatedColumnFormula>IF(compras_mes6[[#This Row],[NETO GRAVADO]]="","",compras_mes6[[#This Row],[NETO GRAVADO]]*0.21)</calculatedColumnFormula>
    </tableColumn>
    <tableColumn id="9" xr3:uid="{00000000-0010-0000-1F00-000009000000}" name="IVA 27%" totalsRowFunction="sum" dataDxfId="860" totalsRowDxfId="859" dataCellStyle="Normal 3"/>
    <tableColumn id="10" xr3:uid="{00000000-0010-0000-1F00-00000A000000}" name="IVA 10,5%" totalsRowFunction="sum" dataDxfId="858" totalsRowDxfId="857" dataCellStyle="Normal 3"/>
    <tableColumn id="11" xr3:uid="{00000000-0010-0000-1F00-00000B000000}" name="PERC. IVA" totalsRowFunction="sum" dataDxfId="856" totalsRowDxfId="855" dataCellStyle="Normal 3"/>
    <tableColumn id="12" xr3:uid="{00000000-0010-0000-1F00-00000C000000}" name="PERC IIBB _x000a_BS AS" totalsRowFunction="sum" dataDxfId="854" totalsRowDxfId="853" dataCellStyle="Normal 3"/>
    <tableColumn id="13" xr3:uid="{00000000-0010-0000-1F00-00000D000000}" name="PERC. IIBB CABA" totalsRowFunction="sum" dataDxfId="852" totalsRowDxfId="851" dataCellStyle="Normal 3"/>
    <tableColumn id="14" xr3:uid="{00000000-0010-0000-1F00-00000E000000}" name="Otros / No Grav." totalsRowFunction="sum" dataDxfId="850" totalsRowDxfId="849" dataCellStyle="Normal 3"/>
    <tableColumn id="15" xr3:uid="{00000000-0010-0000-1F00-00000F000000}" name="TOTAL" totalsRowFunction="sum" dataDxfId="848" totalsRowDxfId="847" dataCellStyle="Normal 3">
      <calculatedColumnFormula>SUM(compras_mes6[[#This Row],[NETO GRAVADO]:[Otros / No Grav.]])</calculatedColumnFormula>
    </tableColumn>
    <tableColumn id="16" xr3:uid="{00000000-0010-0000-1F00-000010000000}" name="Tipo de Gasto" dataDxfId="846" totalsRowDxfId="845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1F00-000011000000}" name="Provincia" dataDxfId="844" totalsRowDxfId="843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0000000}" name="factura_c_mes6" displayName="factura_c_mes6" ref="D36:K42" totalsRowCount="1" headerRowDxfId="842" totalsRowDxfId="841" headerRowCellStyle="Normal 3">
  <autoFilter ref="D36:K41" xr:uid="{00000000-0009-0000-0100-00001C000000}"/>
  <tableColumns count="8">
    <tableColumn id="1" xr3:uid="{00000000-0010-0000-2000-000001000000}" name="FECHA" totalsRowLabel="Total" dataDxfId="840" totalsRowDxfId="839" dataCellStyle="Normal 3"/>
    <tableColumn id="2" xr3:uid="{00000000-0010-0000-2000-000002000000}" name="PTO VTA" dataDxfId="838" totalsRowDxfId="837" dataCellStyle="Normal 3"/>
    <tableColumn id="3" xr3:uid="{00000000-0010-0000-2000-000003000000}" name="FC Nº" dataDxfId="836" totalsRowDxfId="835" dataCellStyle="Normal 3"/>
    <tableColumn id="4" xr3:uid="{00000000-0010-0000-2000-000004000000}" name="CUIT" dataDxfId="834" totalsRowDxfId="833" dataCellStyle="Normal 3"/>
    <tableColumn id="5" xr3:uid="{00000000-0010-0000-2000-000005000000}" name="RAZON SOCIAL" dataDxfId="832" totalsRowDxfId="831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000-000006000000}" name="TOTAL" totalsRowFunction="sum" dataDxfId="830" totalsRowDxfId="829" dataCellStyle="Normal 3"/>
    <tableColumn id="7" xr3:uid="{00000000-0010-0000-2000-000007000000}" name="TIPO DE GASTO" dataDxfId="828" totalsRowDxfId="827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000-000008000000}" name="Provincia" dataDxfId="826" totalsRowDxfId="825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1000000}" name="venta_a_mes6" displayName="venta_a_mes6" ref="B50:M72" totalsRowCount="1" headerRowDxfId="824" dataDxfId="822" headerRowBorderDxfId="823" tableBorderDxfId="821" totalsRowBorderDxfId="820" dataCellStyle="Normal 3">
  <autoFilter ref="B50:M71" xr:uid="{00000000-0009-0000-0100-00001D000000}"/>
  <tableColumns count="12">
    <tableColumn id="1" xr3:uid="{00000000-0010-0000-2100-000001000000}" name="FECHA" totalsRowLabel="Total" dataDxfId="819" totalsRowDxfId="818" dataCellStyle="Normal 3"/>
    <tableColumn id="2" xr3:uid="{00000000-0010-0000-2100-000002000000}" name="TIPO" dataDxfId="817" totalsRowDxfId="816" dataCellStyle="Normal 3"/>
    <tableColumn id="3" xr3:uid="{00000000-0010-0000-2100-000003000000}" name="PTO VENTA" dataDxfId="815" totalsRowDxfId="814" dataCellStyle="Normal 3"/>
    <tableColumn id="4" xr3:uid="{00000000-0010-0000-2100-000004000000}" name="Nº FACTURA" dataDxfId="813" totalsRowDxfId="812" dataCellStyle="Normal 3"/>
    <tableColumn id="5" xr3:uid="{00000000-0010-0000-2100-000005000000}" name="CUIT" dataDxfId="811" totalsRowDxfId="810" dataCellStyle="Normal 3"/>
    <tableColumn id="6" xr3:uid="{00000000-0010-0000-2100-000006000000}" name="RAZON SOCIAL" dataDxfId="809" totalsRowDxfId="808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100-000007000000}" name="IMPORTE NETO" totalsRowFunction="sum" dataDxfId="807" totalsRowDxfId="806" dataCellStyle="Normal 3"/>
    <tableColumn id="8" xr3:uid="{00000000-0010-0000-2100-000008000000}" name="IVA 21%" totalsRowFunction="sum" dataDxfId="805" totalsRowDxfId="804" dataCellStyle="Normal 3">
      <calculatedColumnFormula>venta_a_mes6[[#This Row],[IMPORTE NETO]]*0.21</calculatedColumnFormula>
    </tableColumn>
    <tableColumn id="9" xr3:uid="{00000000-0010-0000-2100-000009000000}" name="IVA 10,5%" totalsRowFunction="sum" dataDxfId="803" totalsRowDxfId="802" dataCellStyle="Normal 3"/>
    <tableColumn id="10" xr3:uid="{00000000-0010-0000-2100-00000A000000}" name="EXENTO" totalsRowFunction="sum" dataDxfId="801" totalsRowDxfId="800" dataCellStyle="Normal 3"/>
    <tableColumn id="11" xr3:uid="{00000000-0010-0000-2100-00000B000000}" name="TOTAL" totalsRowFunction="sum" dataDxfId="799" totalsRowDxfId="798" dataCellStyle="Normal 3">
      <calculatedColumnFormula>SUM(venta_a_mes6[[#This Row],[IMPORTE NETO]:[EXENTO]])</calculatedColumnFormula>
    </tableColumn>
    <tableColumn id="12" xr3:uid="{00000000-0010-0000-2100-00000C000000}" name="Provincia" totalsRowFunction="count" dataDxfId="797" totalsRowDxfId="796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2000000}" name="ventas_b_mes6" displayName="ventas_b_mes6" ref="B75:M82" totalsRowCount="1" headerRowDxfId="795" dataDxfId="793" headerRowBorderDxfId="794" tableBorderDxfId="792" totalsRowBorderDxfId="791" dataCellStyle="Normal 3">
  <autoFilter ref="B75:M81" xr:uid="{00000000-0009-0000-0100-00001E000000}"/>
  <tableColumns count="12">
    <tableColumn id="1" xr3:uid="{00000000-0010-0000-2200-000001000000}" name="FECHA" totalsRowLabel="Total" dataDxfId="790" totalsRowDxfId="789" dataCellStyle="Normal 3"/>
    <tableColumn id="2" xr3:uid="{00000000-0010-0000-2200-000002000000}" name="TIPO" dataDxfId="788" totalsRowDxfId="787" dataCellStyle="Normal 3"/>
    <tableColumn id="3" xr3:uid="{00000000-0010-0000-2200-000003000000}" name="PTO VENTA" dataDxfId="786" totalsRowDxfId="785" dataCellStyle="Normal 3"/>
    <tableColumn id="4" xr3:uid="{00000000-0010-0000-2200-000004000000}" name="Nº FACTURA" dataDxfId="784" totalsRowDxfId="783" dataCellStyle="Normal 3"/>
    <tableColumn id="5" xr3:uid="{00000000-0010-0000-2200-000005000000}" name="CUIT" dataDxfId="782" totalsRowDxfId="781" dataCellStyle="Normal 3"/>
    <tableColumn id="6" xr3:uid="{00000000-0010-0000-2200-000006000000}" name="RAZON SOCIAL" dataDxfId="780" totalsRowDxfId="779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200-000007000000}" name="IMPORTE NETO" totalsRowFunction="sum" dataDxfId="778" totalsRowDxfId="777" dataCellStyle="Normal 3"/>
    <tableColumn id="8" xr3:uid="{00000000-0010-0000-2200-000008000000}" name="IVA 21%" totalsRowFunction="sum" dataDxfId="776" totalsRowDxfId="775" dataCellStyle="Normal 3"/>
    <tableColumn id="9" xr3:uid="{00000000-0010-0000-2200-000009000000}" name="IVA 10,5%" totalsRowFunction="sum" dataDxfId="774" totalsRowDxfId="773" dataCellStyle="Normal 3"/>
    <tableColumn id="10" xr3:uid="{00000000-0010-0000-2200-00000A000000}" name="EXENTO" totalsRowFunction="sum" dataDxfId="772" totalsRowDxfId="771" dataCellStyle="Normal 3"/>
    <tableColumn id="11" xr3:uid="{00000000-0010-0000-2200-00000B000000}" name="TOTAL" totalsRowFunction="sum" dataDxfId="770" totalsRowDxfId="769" dataCellStyle="Normal 3">
      <calculatedColumnFormula>SUM(ventas_b_mes6[[#This Row],[IMPORTE NETO]:[EXENTO]])</calculatedColumnFormula>
    </tableColumn>
    <tableColumn id="12" xr3:uid="{00000000-0010-0000-2200-00000C000000}" name="Provincia" totalsRowFunction="count" dataDxfId="768" totalsRowDxfId="767" dataCellStyle="Normal 3"/>
  </tableColumns>
  <tableStyleInfo name="Tabla Ventas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3000000}" name="extracto_banco_mes6" displayName="extracto_banco_mes6" ref="D27:L31" totalsRowCount="1" headerRowDxfId="766" dataDxfId="765" tableBorderDxfId="764" dataCellStyle="Normal 3">
  <autoFilter ref="D27:L30" xr:uid="{00000000-0009-0000-0100-00001F000000}"/>
  <tableColumns count="9">
    <tableColumn id="1" xr3:uid="{00000000-0010-0000-2300-000001000000}" name="FECHA" totalsRowLabel="Total" dataDxfId="763" totalsRowDxfId="762" dataCellStyle="Normal 3"/>
    <tableColumn id="2" xr3:uid="{00000000-0010-0000-2300-000002000000}" name="NRO CPTE" dataDxfId="761" totalsRowDxfId="760"/>
    <tableColumn id="3" xr3:uid="{00000000-0010-0000-2300-000003000000}" name="BANCO" dataDxfId="759" totalsRowDxfId="758"/>
    <tableColumn id="4" xr3:uid="{00000000-0010-0000-2300-000004000000}" name="NETO" totalsRowFunction="sum" dataDxfId="757" totalsRowDxfId="756" dataCellStyle="Normal 3"/>
    <tableColumn id="5" xr3:uid="{00000000-0010-0000-2300-000005000000}" name="IVA 21%" totalsRowFunction="sum" dataDxfId="755" totalsRowDxfId="754" dataCellStyle="Normal 3"/>
    <tableColumn id="6" xr3:uid="{00000000-0010-0000-2300-000006000000}" name="IVA 10,5%" totalsRowFunction="sum" dataDxfId="753" totalsRowDxfId="752" dataCellStyle="Normal 3"/>
    <tableColumn id="7" xr3:uid="{00000000-0010-0000-2300-000007000000}" name="RET IIBB CABA" totalsRowFunction="sum" dataDxfId="751" totalsRowDxfId="750" dataCellStyle="Normal 3"/>
    <tableColumn id="8" xr3:uid="{00000000-0010-0000-2300-000008000000}" name="PERC IVA" totalsRowFunction="sum" dataDxfId="749" totalsRowDxfId="748" dataCellStyle="Normal 3"/>
    <tableColumn id="9" xr3:uid="{00000000-0010-0000-2300-000009000000}" name="PERC IIBB" totalsRowFunction="sum" dataDxfId="747" totalsRowDxfId="746" dataCellStyle="Normal 3"/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4000000}" name="Retenciones_mes6" displayName="Retenciones_mes6" ref="C91:L96" totalsRowShown="0" headerRowDxfId="745" dataDxfId="744" headerRowCellStyle="Normal 3" dataCellStyle="Normal 3">
  <autoFilter ref="C91:L96" xr:uid="{00000000-0009-0000-0100-000020000000}"/>
  <tableColumns count="10">
    <tableColumn id="1" xr3:uid="{00000000-0010-0000-2400-000001000000}" name="FECHA " dataDxfId="743" dataCellStyle="Normal 3"/>
    <tableColumn id="2" xr3:uid="{00000000-0010-0000-2400-000002000000}" name="COMP Nº" dataDxfId="742" dataCellStyle="Normal 3"/>
    <tableColumn id="3" xr3:uid="{00000000-0010-0000-2400-000003000000}" name="Columna1" dataDxfId="741" dataCellStyle="Normal 3"/>
    <tableColumn id="4" xr3:uid="{00000000-0010-0000-2400-000004000000}" name="CUIT" dataDxfId="740" dataCellStyle="Normal 3"/>
    <tableColumn id="5" xr3:uid="{00000000-0010-0000-2400-000005000000}" name="RAZON SOCIAL" dataDxfId="739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400-000006000000}" name="Ganancias" dataDxfId="738" dataCellStyle="Normal 3"/>
    <tableColumn id="7" xr3:uid="{00000000-0010-0000-2400-000007000000}" name="IVA" dataDxfId="737" dataCellStyle="Normal 3"/>
    <tableColumn id="8" xr3:uid="{00000000-0010-0000-2400-000008000000}" name="SUSS" dataDxfId="736" dataCellStyle="Normal 3"/>
    <tableColumn id="9" xr3:uid="{00000000-0010-0000-2400-000009000000}" name="IIBB BSAS" dataDxfId="735" dataCellStyle="Normal 3"/>
    <tableColumn id="10" xr3:uid="{00000000-0010-0000-2400-00000A000000}" name="IIBB CABA" dataDxfId="734" dataCellStyle="Normal 3"/>
  </tableColumns>
  <tableStyleInfo name="Estilo de tabla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5000000}" name="compras_mes7" displayName="compras_mes7" ref="B8:R19" totalsRowCount="1" headerRowDxfId="733" totalsRowDxfId="732">
  <autoFilter ref="B8:R18" xr:uid="{00000000-0009-0000-0100-000027000000}"/>
  <tableColumns count="17">
    <tableColumn id="1" xr3:uid="{00000000-0010-0000-2500-000001000000}" name="FECHA" totalsRowLabel="Total" dataDxfId="731" totalsRowDxfId="730" dataCellStyle="Normal 3"/>
    <tableColumn id="2" xr3:uid="{00000000-0010-0000-2500-000002000000}" name="TIPO" dataDxfId="729" totalsRowDxfId="728" dataCellStyle="Normal 3"/>
    <tableColumn id="3" xr3:uid="{00000000-0010-0000-2500-000003000000}" name="PTO VTA" dataDxfId="727" totalsRowDxfId="726" dataCellStyle="Normal 3"/>
    <tableColumn id="4" xr3:uid="{00000000-0010-0000-2500-000004000000}" name="NRO. CPTE" dataDxfId="725" totalsRowDxfId="724" dataCellStyle="Normal 3"/>
    <tableColumn id="5" xr3:uid="{00000000-0010-0000-2500-000005000000}" name="CUIT" dataDxfId="723" totalsRowDxfId="722" dataCellStyle="Normal 3"/>
    <tableColumn id="6" xr3:uid="{00000000-0010-0000-2500-000006000000}" name="RAZON SOCIAL" dataDxfId="721" totalsRowDxfId="720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2500-000007000000}" name="NETO GRAVADO" totalsRowFunction="sum" dataDxfId="719" totalsRowDxfId="718" dataCellStyle="Normal 3"/>
    <tableColumn id="8" xr3:uid="{00000000-0010-0000-2500-000008000000}" name="IVA 21 %" totalsRowFunction="sum" dataDxfId="717" totalsRowDxfId="716" dataCellStyle="Normal 3">
      <calculatedColumnFormula>IF(compras_mes7[[#This Row],[NETO GRAVADO]]="","",compras_mes7[[#This Row],[NETO GRAVADO]]*0.21)</calculatedColumnFormula>
    </tableColumn>
    <tableColumn id="9" xr3:uid="{00000000-0010-0000-2500-000009000000}" name="IVA 27%" totalsRowFunction="sum" dataDxfId="715" totalsRowDxfId="714" dataCellStyle="Normal 3"/>
    <tableColumn id="10" xr3:uid="{00000000-0010-0000-2500-00000A000000}" name="IVA 10,5%" totalsRowFunction="sum" dataDxfId="713" totalsRowDxfId="712" dataCellStyle="Normal 3"/>
    <tableColumn id="11" xr3:uid="{00000000-0010-0000-2500-00000B000000}" name="PERC. IVA" totalsRowFunction="sum" dataDxfId="711" totalsRowDxfId="710" dataCellStyle="Normal 3"/>
    <tableColumn id="12" xr3:uid="{00000000-0010-0000-2500-00000C000000}" name="PERC IIBB _x000a_BS AS" totalsRowFunction="sum" dataDxfId="709" totalsRowDxfId="708" dataCellStyle="Normal 3"/>
    <tableColumn id="13" xr3:uid="{00000000-0010-0000-2500-00000D000000}" name="PERC. IIBB CABA" totalsRowFunction="sum" dataDxfId="707" totalsRowDxfId="706" dataCellStyle="Normal 3"/>
    <tableColumn id="14" xr3:uid="{00000000-0010-0000-2500-00000E000000}" name="Otros / No Grav." totalsRowFunction="sum" dataDxfId="705" totalsRowDxfId="704" dataCellStyle="Normal 3"/>
    <tableColumn id="15" xr3:uid="{00000000-0010-0000-2500-00000F000000}" name="TOTAL" totalsRowFunction="sum" dataDxfId="703" totalsRowDxfId="702" dataCellStyle="Normal 3">
      <calculatedColumnFormula>SUM(compras_mes7[[#This Row],[NETO GRAVADO]:[Otros / No Grav.]])</calculatedColumnFormula>
    </tableColumn>
    <tableColumn id="16" xr3:uid="{00000000-0010-0000-2500-000010000000}" name="Tipo de Gasto" dataDxfId="701" totalsRowDxfId="700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2500-000011000000}" name="Provincia" dataDxfId="699" totalsRowDxfId="698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6000000}" name="factura_c_mes7" displayName="factura_c_mes7" ref="D34:K40" totalsRowCount="1" headerRowDxfId="697" totalsRowDxfId="696" headerRowCellStyle="Normal 3">
  <autoFilter ref="D34:K39" xr:uid="{00000000-0009-0000-0100-000028000000}"/>
  <tableColumns count="8">
    <tableColumn id="1" xr3:uid="{00000000-0010-0000-2600-000001000000}" name="FECHA" totalsRowLabel="Total" dataDxfId="695" totalsRowDxfId="694" dataCellStyle="Normal 3"/>
    <tableColumn id="2" xr3:uid="{00000000-0010-0000-2600-000002000000}" name="PTO VTA" dataDxfId="693" totalsRowDxfId="692" dataCellStyle="Normal 3"/>
    <tableColumn id="3" xr3:uid="{00000000-0010-0000-2600-000003000000}" name="FC Nº" dataDxfId="691" totalsRowDxfId="690" dataCellStyle="Normal 3"/>
    <tableColumn id="4" xr3:uid="{00000000-0010-0000-2600-000004000000}" name="CUIT" dataDxfId="689" totalsRowDxfId="688" dataCellStyle="Normal 3"/>
    <tableColumn id="5" xr3:uid="{00000000-0010-0000-2600-000005000000}" name="RAZON SOCIAL" dataDxfId="687" totalsRowDxfId="686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2600-000006000000}" name="TOTAL" totalsRowFunction="sum" dataDxfId="685" totalsRowDxfId="684" dataCellStyle="Normal 3"/>
    <tableColumn id="7" xr3:uid="{00000000-0010-0000-2600-000007000000}" name="TIPO DE GASTO" dataDxfId="683" totalsRowDxfId="682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2600-000008000000}" name="Provincia" dataDxfId="681" totalsRowDxfId="680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7000000}" name="venta_a_mes7" displayName="venta_a_mes7" ref="B48:M74" totalsRowCount="1" headerRowDxfId="679" dataDxfId="677" headerRowBorderDxfId="678" tableBorderDxfId="676" totalsRowBorderDxfId="675" dataCellStyle="Normal 3">
  <autoFilter ref="B48:M73" xr:uid="{00000000-0009-0000-0100-000029000000}"/>
  <tableColumns count="12">
    <tableColumn id="1" xr3:uid="{00000000-0010-0000-2700-000001000000}" name="FECHA" totalsRowLabel="Total" dataDxfId="674" totalsRowDxfId="673" dataCellStyle="Normal 3"/>
    <tableColumn id="2" xr3:uid="{00000000-0010-0000-2700-000002000000}" name="TIPO" dataDxfId="672" totalsRowDxfId="671" dataCellStyle="Normal 3"/>
    <tableColumn id="3" xr3:uid="{00000000-0010-0000-2700-000003000000}" name="PTO VENTA" dataDxfId="670" totalsRowDxfId="669" dataCellStyle="Normal 3"/>
    <tableColumn id="4" xr3:uid="{00000000-0010-0000-2700-000004000000}" name="Nº FACTURA" dataDxfId="668" totalsRowDxfId="667" dataCellStyle="Normal 3"/>
    <tableColumn id="5" xr3:uid="{00000000-0010-0000-2700-000005000000}" name="CUIT" dataDxfId="666" totalsRowDxfId="665" dataCellStyle="Normal 3"/>
    <tableColumn id="6" xr3:uid="{00000000-0010-0000-2700-000006000000}" name="RAZON SOCIAL" dataDxfId="664" totalsRowDxfId="663" dataCellStyle="Normal 3">
      <calculatedColumnFormula>IFERROR(IF(venta_a_mes7[[#This Row],[CUIT]]="","-",VLOOKUP(venta_a_mes7[[#This Row],[CUIT]],Lista_CUIT[#All],2,0)),"CUIT NO CARGADO")</calculatedColumnFormula>
    </tableColumn>
    <tableColumn id="7" xr3:uid="{00000000-0010-0000-2700-000007000000}" name="IMPORTE NETO" totalsRowFunction="sum" dataDxfId="662" totalsRowDxfId="661" dataCellStyle="Normal 3"/>
    <tableColumn id="8" xr3:uid="{00000000-0010-0000-2700-000008000000}" name="IVA 21%" totalsRowFunction="sum" dataDxfId="660" totalsRowDxfId="659" dataCellStyle="Normal 3">
      <calculatedColumnFormula>venta_a_mes7[[#This Row],[IMPORTE NETO]]*0.21</calculatedColumnFormula>
    </tableColumn>
    <tableColumn id="9" xr3:uid="{00000000-0010-0000-2700-000009000000}" name="IVA 10,5%" totalsRowFunction="sum" dataDxfId="658" totalsRowDxfId="657" dataCellStyle="Normal 3"/>
    <tableColumn id="10" xr3:uid="{00000000-0010-0000-2700-00000A000000}" name="EXENTO" totalsRowFunction="sum" dataDxfId="656" totalsRowDxfId="655" dataCellStyle="Normal 3"/>
    <tableColumn id="11" xr3:uid="{00000000-0010-0000-2700-00000B000000}" name="TOTAL" totalsRowFunction="sum" dataDxfId="654" totalsRowDxfId="653" dataCellStyle="Normal 3">
      <calculatedColumnFormula>SUM(venta_a_mes7[[#This Row],[IMPORTE NETO]:[EXENTO]])</calculatedColumnFormula>
    </tableColumn>
    <tableColumn id="12" xr3:uid="{00000000-0010-0000-2700-00000C000000}" name="Provincia" totalsRowFunction="count" dataDxfId="652" totalsRowDxfId="651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8000000}" name="ventas_b_mes7" displayName="ventas_b_mes7" ref="B76:M84" totalsRowCount="1" headerRowDxfId="650" dataDxfId="648" headerRowBorderDxfId="649" tableBorderDxfId="647" totalsRowBorderDxfId="646" dataCellStyle="Normal 3">
  <autoFilter ref="B76:M83" xr:uid="{00000000-0009-0000-0100-00002A000000}"/>
  <tableColumns count="12">
    <tableColumn id="1" xr3:uid="{00000000-0010-0000-2800-000001000000}" name="FECHA" totalsRowLabel="Total" dataDxfId="645" totalsRowDxfId="644" dataCellStyle="Normal 3"/>
    <tableColumn id="2" xr3:uid="{00000000-0010-0000-2800-000002000000}" name="TIPO" dataDxfId="643" totalsRowDxfId="642" dataCellStyle="Normal 3"/>
    <tableColumn id="3" xr3:uid="{00000000-0010-0000-2800-000003000000}" name="PTO VENTA" dataDxfId="641" totalsRowDxfId="640" dataCellStyle="Normal 3"/>
    <tableColumn id="4" xr3:uid="{00000000-0010-0000-2800-000004000000}" name="Nº FACTURA" dataDxfId="639" totalsRowDxfId="638" dataCellStyle="Normal 3"/>
    <tableColumn id="5" xr3:uid="{00000000-0010-0000-2800-000005000000}" name="CUIT" dataDxfId="637" totalsRowDxfId="636" dataCellStyle="Normal 3"/>
    <tableColumn id="6" xr3:uid="{00000000-0010-0000-2800-000006000000}" name="RAZON SOCIAL" dataDxfId="635" totalsRowDxfId="634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2800-000007000000}" name="IMPORTE NETO" totalsRowFunction="sum" dataDxfId="633" totalsRowDxfId="632" dataCellStyle="Normal 3"/>
    <tableColumn id="8" xr3:uid="{00000000-0010-0000-2800-000008000000}" name="IVA 21%" totalsRowFunction="sum" dataDxfId="631" totalsRowDxfId="630" dataCellStyle="Normal 3">
      <calculatedColumnFormula>ventas_b_mes7[[#This Row],[IMPORTE NETO]]*0.21</calculatedColumnFormula>
    </tableColumn>
    <tableColumn id="9" xr3:uid="{00000000-0010-0000-2800-000009000000}" name="IVA 10,5%" totalsRowFunction="sum" dataDxfId="629" totalsRowDxfId="628" dataCellStyle="Normal 3"/>
    <tableColumn id="10" xr3:uid="{00000000-0010-0000-2800-00000A000000}" name="EXENTO" totalsRowFunction="sum" dataDxfId="627" totalsRowDxfId="626" dataCellStyle="Normal 3"/>
    <tableColumn id="11" xr3:uid="{00000000-0010-0000-2800-00000B000000}" name="TOTAL" totalsRowFunction="sum" dataDxfId="625" totalsRowDxfId="624" dataCellStyle="Normal 3">
      <calculatedColumnFormula>SUM(ventas_b_mes7[[#This Row],[IMPORTE NETO]:[EXENTO]])</calculatedColumnFormula>
    </tableColumn>
    <tableColumn id="12" xr3:uid="{00000000-0010-0000-2800-00000C000000}" name="Provincia" totalsRowFunction="count" dataDxfId="623" totalsRowDxfId="622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9000000}" name="extracto_banco_mes7" displayName="extracto_banco_mes7" ref="D25:L29" totalsRowCount="1" headerRowDxfId="621" dataDxfId="620" tableBorderDxfId="619" dataCellStyle="Normal 3">
  <autoFilter ref="D25:L28" xr:uid="{00000000-0009-0000-0100-00002B000000}"/>
  <tableColumns count="9">
    <tableColumn id="1" xr3:uid="{00000000-0010-0000-2900-000001000000}" name="FECHA" totalsRowLabel="Total" dataDxfId="618" totalsRowDxfId="617" dataCellStyle="Normal 3"/>
    <tableColumn id="2" xr3:uid="{00000000-0010-0000-2900-000002000000}" name="NRO CPTE" dataDxfId="616" totalsRowDxfId="615"/>
    <tableColumn id="3" xr3:uid="{00000000-0010-0000-2900-000003000000}" name="BANCO" dataDxfId="614" totalsRowDxfId="613"/>
    <tableColumn id="4" xr3:uid="{00000000-0010-0000-2900-000004000000}" name="NETO" totalsRowFunction="sum" dataDxfId="612" totalsRowDxfId="611" dataCellStyle="Normal 3"/>
    <tableColumn id="5" xr3:uid="{00000000-0010-0000-2900-000005000000}" name="IVA 21%" totalsRowFunction="sum" dataDxfId="610" totalsRowDxfId="609" dataCellStyle="Normal 3"/>
    <tableColumn id="6" xr3:uid="{00000000-0010-0000-2900-000006000000}" name="IVA 10,5%" totalsRowFunction="sum" dataDxfId="608" totalsRowDxfId="607" dataCellStyle="Normal 3"/>
    <tableColumn id="7" xr3:uid="{00000000-0010-0000-2900-000007000000}" name="RET IIBB CABA" totalsRowFunction="sum" dataDxfId="606" totalsRowDxfId="605" dataCellStyle="Normal 3"/>
    <tableColumn id="8" xr3:uid="{00000000-0010-0000-2900-000008000000}" name="PERC IVA" totalsRowFunction="sum" dataDxfId="604" totalsRowDxfId="603" dataCellStyle="Normal 3"/>
    <tableColumn id="9" xr3:uid="{00000000-0010-0000-2900-000009000000}" name="PERC IIBB" totalsRowFunction="sum" dataDxfId="602" totalsRowDxfId="601" dataCellStyle="Normal 3"/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A000000}" name="Retenciones_mes7" displayName="Retenciones_mes7" ref="C92:L97" totalsRowShown="0" headerRowDxfId="600" dataDxfId="599" headerRowCellStyle="Normal 3" dataCellStyle="Normal 3">
  <autoFilter ref="C92:L97" xr:uid="{00000000-0009-0000-0100-00002C000000}"/>
  <tableColumns count="10">
    <tableColumn id="1" xr3:uid="{00000000-0010-0000-2A00-000001000000}" name="FECHA " dataDxfId="598" dataCellStyle="Normal 3"/>
    <tableColumn id="2" xr3:uid="{00000000-0010-0000-2A00-000002000000}" name="COMP Nº" dataDxfId="597" dataCellStyle="Normal 3"/>
    <tableColumn id="3" xr3:uid="{00000000-0010-0000-2A00-000003000000}" name="Columna1" dataDxfId="596" dataCellStyle="Normal 3"/>
    <tableColumn id="4" xr3:uid="{00000000-0010-0000-2A00-000004000000}" name="CUIT" dataDxfId="595" dataCellStyle="Normal 3"/>
    <tableColumn id="5" xr3:uid="{00000000-0010-0000-2A00-000005000000}" name="RAZON SOCIAL" dataDxfId="594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2A00-000006000000}" name="Ganancias" dataDxfId="593" dataCellStyle="Normal 3"/>
    <tableColumn id="7" xr3:uid="{00000000-0010-0000-2A00-000007000000}" name="IVA" dataDxfId="592" dataCellStyle="Normal 3"/>
    <tableColumn id="8" xr3:uid="{00000000-0010-0000-2A00-000008000000}" name="SUSS" dataDxfId="591" dataCellStyle="Normal 3"/>
    <tableColumn id="9" xr3:uid="{00000000-0010-0000-2A00-000009000000}" name="IIBB BSAS" dataDxfId="590" dataCellStyle="Normal 3"/>
    <tableColumn id="10" xr3:uid="{00000000-0010-0000-2A00-00000A000000}" name="IIBB CABA" dataDxfId="589" dataCellStyle="Normal 3"/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compras_mes8" displayName="compras_mes8" ref="B8:R23" totalsRowCount="1" headerRowDxfId="588" totalsRowDxfId="587">
  <autoFilter ref="B8:R22" xr:uid="{00000000-0009-0000-0100-000039000000}"/>
  <sortState xmlns:xlrd2="http://schemas.microsoft.com/office/spreadsheetml/2017/richdata2" ref="B9:R22">
    <sortCondition ref="B8:B22"/>
  </sortState>
  <tableColumns count="17">
    <tableColumn id="1" xr3:uid="{00000000-0010-0000-2B00-000001000000}" name="FECHA" totalsRowLabel="Total" dataDxfId="586" totalsRowDxfId="585" dataCellStyle="Normal 3"/>
    <tableColumn id="2" xr3:uid="{00000000-0010-0000-2B00-000002000000}" name="TIPO" dataDxfId="584" totalsRowDxfId="583" dataCellStyle="Normal 3"/>
    <tableColumn id="3" xr3:uid="{00000000-0010-0000-2B00-000003000000}" name="PTO VTA" dataDxfId="582" totalsRowDxfId="581" dataCellStyle="Normal 3"/>
    <tableColumn id="4" xr3:uid="{00000000-0010-0000-2B00-000004000000}" name="NRO. CPTE" dataDxfId="580" totalsRowDxfId="579" dataCellStyle="Normal 3"/>
    <tableColumn id="5" xr3:uid="{00000000-0010-0000-2B00-000005000000}" name="CUIT" dataDxfId="578" totalsRowDxfId="577" dataCellStyle="Normal 3"/>
    <tableColumn id="6" xr3:uid="{00000000-0010-0000-2B00-000006000000}" name="RAZON SOCIAL" dataDxfId="576" totalsRowDxfId="575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B00-000007000000}" name="NETO GRAVADO" totalsRowFunction="sum" dataDxfId="574" totalsRowDxfId="573" dataCellStyle="Normal 3"/>
    <tableColumn id="8" xr3:uid="{00000000-0010-0000-2B00-000008000000}" name="IVA 21 %" totalsRowFunction="sum" dataDxfId="572" totalsRowDxfId="571" dataCellStyle="Normal 3">
      <calculatedColumnFormula>IF(compras_mes8[[#This Row],[NETO GRAVADO]]="","",compras_mes8[[#This Row],[NETO GRAVADO]]*0.21)</calculatedColumnFormula>
    </tableColumn>
    <tableColumn id="9" xr3:uid="{00000000-0010-0000-2B00-000009000000}" name="IVA 27%" totalsRowFunction="sum" dataDxfId="570" totalsRowDxfId="569" dataCellStyle="Normal 3"/>
    <tableColumn id="10" xr3:uid="{00000000-0010-0000-2B00-00000A000000}" name="IVA 10,5%" totalsRowFunction="sum" dataDxfId="568" totalsRowDxfId="567" dataCellStyle="Normal 3"/>
    <tableColumn id="11" xr3:uid="{00000000-0010-0000-2B00-00000B000000}" name="PERC. IVA" totalsRowFunction="sum" dataDxfId="566" totalsRowDxfId="565" dataCellStyle="Normal 3"/>
    <tableColumn id="12" xr3:uid="{00000000-0010-0000-2B00-00000C000000}" name="PERC IIBB _x000a_BS AS" totalsRowFunction="sum" dataDxfId="564" totalsRowDxfId="563" dataCellStyle="Normal 3"/>
    <tableColumn id="13" xr3:uid="{00000000-0010-0000-2B00-00000D000000}" name="PERC. IIBB CABA" totalsRowFunction="sum" dataDxfId="562" totalsRowDxfId="561" dataCellStyle="Normal 3"/>
    <tableColumn id="14" xr3:uid="{00000000-0010-0000-2B00-00000E000000}" name="Otros / No Grav." totalsRowFunction="sum" dataDxfId="560" totalsRowDxfId="559" dataCellStyle="Normal 3"/>
    <tableColumn id="15" xr3:uid="{00000000-0010-0000-2B00-00000F000000}" name="TOTAL" totalsRowFunction="sum" dataDxfId="558" totalsRowDxfId="557" dataCellStyle="Normal 3">
      <calculatedColumnFormula>SUM(compras_mes8[[#This Row],[NETO GRAVADO]:[Otros / No Grav.]])</calculatedColumnFormula>
    </tableColumn>
    <tableColumn id="16" xr3:uid="{00000000-0010-0000-2B00-000010000000}" name="Tipo de Gasto" dataDxfId="556" totalsRowDxfId="555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B00-000011000000}" name="Provincia" dataDxfId="554" totalsRowDxfId="553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factura_c_mes8" displayName="factura_c_mes8" ref="D38:K43" totalsRowCount="1" headerRowDxfId="552" totalsRowDxfId="551" headerRowCellStyle="Normal 3">
  <autoFilter ref="D38:K42" xr:uid="{00000000-0009-0000-0100-00003A000000}"/>
  <tableColumns count="8">
    <tableColumn id="1" xr3:uid="{00000000-0010-0000-2C00-000001000000}" name="FECHA" totalsRowLabel="Total" dataDxfId="550" totalsRowDxfId="549" dataCellStyle="Normal 3"/>
    <tableColumn id="2" xr3:uid="{00000000-0010-0000-2C00-000002000000}" name="PTO VTA" dataDxfId="548" totalsRowDxfId="547" dataCellStyle="Normal 3"/>
    <tableColumn id="3" xr3:uid="{00000000-0010-0000-2C00-000003000000}" name="FC Nº" dataDxfId="546" totalsRowDxfId="545" dataCellStyle="Normal 3"/>
    <tableColumn id="4" xr3:uid="{00000000-0010-0000-2C00-000004000000}" name="CUIT" dataDxfId="544" totalsRowDxfId="543" dataCellStyle="Normal 3"/>
    <tableColumn id="5" xr3:uid="{00000000-0010-0000-2C00-000005000000}" name="RAZON SOCIAL" dataDxfId="542" totalsRowDxfId="541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C00-000006000000}" name="TOTAL" totalsRowFunction="sum" dataDxfId="540" totalsRowDxfId="539" dataCellStyle="Normal 3"/>
    <tableColumn id="7" xr3:uid="{00000000-0010-0000-2C00-000007000000}" name="TIPO DE GASTO" dataDxfId="538" totalsRowDxfId="537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C00-000008000000}" name="Provincia" dataDxfId="536" totalsRowDxfId="535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venta_a_mes8" displayName="venta_a_mes8" ref="B52:M76" totalsRowCount="1" headerRowDxfId="534" dataDxfId="532" headerRowBorderDxfId="533" tableBorderDxfId="531" totalsRowBorderDxfId="530" dataCellStyle="Normal 3">
  <autoFilter ref="B52:M75" xr:uid="{00000000-0009-0000-0100-00003B000000}"/>
  <tableColumns count="12">
    <tableColumn id="1" xr3:uid="{00000000-0010-0000-2D00-000001000000}" name="FECHA" totalsRowLabel="Total" dataDxfId="529" totalsRowDxfId="528" dataCellStyle="Normal 3"/>
    <tableColumn id="2" xr3:uid="{00000000-0010-0000-2D00-000002000000}" name="TIPO" dataDxfId="527" totalsRowDxfId="526" dataCellStyle="Normal 3"/>
    <tableColumn id="3" xr3:uid="{00000000-0010-0000-2D00-000003000000}" name="PTO VENTA" dataDxfId="525" totalsRowDxfId="524" dataCellStyle="Normal 3"/>
    <tableColumn id="4" xr3:uid="{00000000-0010-0000-2D00-000004000000}" name="Nº FACTURA" dataDxfId="523" totalsRowDxfId="522" dataCellStyle="Normal 3"/>
    <tableColumn id="5" xr3:uid="{00000000-0010-0000-2D00-000005000000}" name="CUIT" dataDxfId="521" totalsRowDxfId="520" dataCellStyle="Normal 3"/>
    <tableColumn id="6" xr3:uid="{00000000-0010-0000-2D00-000006000000}" name="RAZON SOCIAL" dataDxfId="519" totalsRowDxfId="518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D00-000007000000}" name="IMPORTE NETO" totalsRowFunction="sum" dataDxfId="517" totalsRowDxfId="516" dataCellStyle="Normal 3"/>
    <tableColumn id="8" xr3:uid="{00000000-0010-0000-2D00-000008000000}" name="IVA 21%" totalsRowFunction="sum" dataDxfId="515" totalsRowDxfId="514" dataCellStyle="Normal 3">
      <calculatedColumnFormula>venta_a_mes8[[#This Row],[IMPORTE NETO]]*0.21</calculatedColumnFormula>
    </tableColumn>
    <tableColumn id="9" xr3:uid="{00000000-0010-0000-2D00-000009000000}" name="IVA 10,5%" totalsRowFunction="sum" dataDxfId="513" totalsRowDxfId="512" dataCellStyle="Normal 3"/>
    <tableColumn id="10" xr3:uid="{00000000-0010-0000-2D00-00000A000000}" name="EXENTO" totalsRowFunction="sum" dataDxfId="511" totalsRowDxfId="510" dataCellStyle="Normal 3"/>
    <tableColumn id="11" xr3:uid="{00000000-0010-0000-2D00-00000B000000}" name="TOTAL" totalsRowFunction="sum" dataDxfId="509" totalsRowDxfId="508" dataCellStyle="Normal 3">
      <calculatedColumnFormula>SUM(venta_a_mes8[[#This Row],[IMPORTE NETO]:[EXENTO]])</calculatedColumnFormula>
    </tableColumn>
    <tableColumn id="12" xr3:uid="{00000000-0010-0000-2D00-00000C000000}" name="Provincia" totalsRowFunction="count" dataDxfId="507" totalsRowDxfId="506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ventas_b_mes8" displayName="ventas_b_mes8" ref="B80:M85" totalsRowCount="1" headerRowDxfId="505" dataDxfId="503" headerRowBorderDxfId="504" tableBorderDxfId="502" totalsRowBorderDxfId="501" dataCellStyle="Normal 3">
  <autoFilter ref="B80:M84" xr:uid="{00000000-0009-0000-0100-00003C000000}"/>
  <tableColumns count="12">
    <tableColumn id="1" xr3:uid="{00000000-0010-0000-2E00-000001000000}" name="FECHA" totalsRowLabel="Total" dataDxfId="500" totalsRowDxfId="499" dataCellStyle="Normal 3"/>
    <tableColumn id="2" xr3:uid="{00000000-0010-0000-2E00-000002000000}" name="TIPO" dataDxfId="498" totalsRowDxfId="497" dataCellStyle="Normal 3"/>
    <tableColumn id="3" xr3:uid="{00000000-0010-0000-2E00-000003000000}" name="PTO VENTA" dataDxfId="496" totalsRowDxfId="495" dataCellStyle="Normal 3"/>
    <tableColumn id="4" xr3:uid="{00000000-0010-0000-2E00-000004000000}" name="Nº FACTURA" dataDxfId="494" totalsRowDxfId="493" dataCellStyle="Normal 3"/>
    <tableColumn id="5" xr3:uid="{00000000-0010-0000-2E00-000005000000}" name="CUIT" dataDxfId="492" totalsRowDxfId="491" dataCellStyle="Normal 3"/>
    <tableColumn id="6" xr3:uid="{00000000-0010-0000-2E00-000006000000}" name="RAZON SOCIAL" dataDxfId="490" totalsRowDxfId="489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2E00-000007000000}" name="IMPORTE NETO" totalsRowFunction="sum" dataDxfId="488" totalsRowDxfId="487" dataCellStyle="Normal 3"/>
    <tableColumn id="8" xr3:uid="{00000000-0010-0000-2E00-000008000000}" name="IVA 21%" totalsRowFunction="sum" dataDxfId="486" totalsRowDxfId="485" dataCellStyle="Normal 3">
      <calculatedColumnFormula>ventas_b_mes8[[#This Row],[IMPORTE NETO]]*0.21</calculatedColumnFormula>
    </tableColumn>
    <tableColumn id="9" xr3:uid="{00000000-0010-0000-2E00-000009000000}" name="IVA 10,5%" totalsRowFunction="sum" dataDxfId="484" totalsRowDxfId="483" dataCellStyle="Normal 3"/>
    <tableColumn id="10" xr3:uid="{00000000-0010-0000-2E00-00000A000000}" name="EXENTO" totalsRowFunction="sum" dataDxfId="482" totalsRowDxfId="481" dataCellStyle="Normal 3"/>
    <tableColumn id="11" xr3:uid="{00000000-0010-0000-2E00-00000B000000}" name="TOTAL" totalsRowFunction="sum" dataDxfId="480" totalsRowDxfId="479" dataCellStyle="Normal 3">
      <calculatedColumnFormula>SUM(ventas_b_mes8[[#This Row],[IMPORTE NETO]:[EXENTO]])</calculatedColumnFormula>
    </tableColumn>
    <tableColumn id="12" xr3:uid="{00000000-0010-0000-2E00-00000C000000}" name="Provincia" totalsRowFunction="count" dataDxfId="478" totalsRowDxfId="477" dataCellStyle="Normal 3"/>
  </tableColumns>
  <tableStyleInfo name="Tabla Ventas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xtracto_banco_mes8" displayName="extracto_banco_mes8" ref="D29:L33" totalsRowCount="1" headerRowDxfId="476" dataDxfId="475" tableBorderDxfId="474" dataCellStyle="Normal 3">
  <autoFilter ref="D29:L32" xr:uid="{00000000-0009-0000-0100-00003D000000}"/>
  <tableColumns count="9">
    <tableColumn id="1" xr3:uid="{00000000-0010-0000-2F00-000001000000}" name="FECHA" totalsRowLabel="Total" dataDxfId="473" totalsRowDxfId="472" dataCellStyle="Normal 3"/>
    <tableColumn id="2" xr3:uid="{00000000-0010-0000-2F00-000002000000}" name="NRO CPTE" dataDxfId="471" totalsRowDxfId="470"/>
    <tableColumn id="3" xr3:uid="{00000000-0010-0000-2F00-000003000000}" name="BANCO" dataDxfId="469" totalsRowDxfId="468"/>
    <tableColumn id="4" xr3:uid="{00000000-0010-0000-2F00-000004000000}" name="NETO" totalsRowFunction="sum" dataDxfId="467" totalsRowDxfId="466" dataCellStyle="Normal 3"/>
    <tableColumn id="5" xr3:uid="{00000000-0010-0000-2F00-000005000000}" name="IVA 21%" totalsRowFunction="sum" dataDxfId="465" totalsRowDxfId="464" dataCellStyle="Normal 3"/>
    <tableColumn id="6" xr3:uid="{00000000-0010-0000-2F00-000006000000}" name="IVA 10,5%" totalsRowFunction="sum" dataDxfId="463" totalsRowDxfId="462" dataCellStyle="Normal 3"/>
    <tableColumn id="7" xr3:uid="{00000000-0010-0000-2F00-000007000000}" name="RET IIBB CABA" totalsRowFunction="sum" dataDxfId="461" totalsRowDxfId="460" dataCellStyle="Normal 3"/>
    <tableColumn id="8" xr3:uid="{00000000-0010-0000-2F00-000008000000}" name="PERC IVA" totalsRowFunction="sum" dataDxfId="459" totalsRowDxfId="458" dataCellStyle="Normal 3"/>
    <tableColumn id="9" xr3:uid="{00000000-0010-0000-2F00-000009000000}" name="PERC IIBB" totalsRowFunction="sum" dataDxfId="457" totalsRowDxfId="456" dataCellStyle="Normal 3"/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0000000}" name="Retenciones_mes8" displayName="Retenciones_mes8" ref="C94:L99" totalsRowShown="0" headerRowDxfId="455" dataDxfId="454" headerRowCellStyle="Normal 3" dataCellStyle="Normal 3">
  <autoFilter ref="C94:L99" xr:uid="{00000000-0009-0000-0100-00003E000000}"/>
  <tableColumns count="10">
    <tableColumn id="1" xr3:uid="{00000000-0010-0000-3000-000001000000}" name="FECHA " dataDxfId="453" dataCellStyle="Normal 3"/>
    <tableColumn id="2" xr3:uid="{00000000-0010-0000-3000-000002000000}" name="COMP Nº" dataDxfId="452" dataCellStyle="Normal 3"/>
    <tableColumn id="3" xr3:uid="{00000000-0010-0000-3000-000003000000}" name="Columna1" dataDxfId="451" dataCellStyle="Normal 3"/>
    <tableColumn id="4" xr3:uid="{00000000-0010-0000-3000-000004000000}" name="CUIT" dataDxfId="450" dataCellStyle="Normal 3"/>
    <tableColumn id="5" xr3:uid="{00000000-0010-0000-3000-000005000000}" name="RAZON SOCIAL" dataDxfId="449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000-000006000000}" name="Ganancias" dataDxfId="448" dataCellStyle="Normal 3"/>
    <tableColumn id="7" xr3:uid="{00000000-0010-0000-3000-000007000000}" name="IVA" dataDxfId="447" dataCellStyle="Normal 3"/>
    <tableColumn id="8" xr3:uid="{00000000-0010-0000-3000-000008000000}" name="SUSS" dataDxfId="446" dataCellStyle="Normal 3"/>
    <tableColumn id="9" xr3:uid="{00000000-0010-0000-3000-000009000000}" name="IIBB BSAS" dataDxfId="445" dataCellStyle="Normal 3"/>
    <tableColumn id="10" xr3:uid="{00000000-0010-0000-3000-00000A000000}" name="IIBB CABA" dataDxfId="444" dataCellStyle="Normal 3"/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1000000}" name="compras_mes9" displayName="compras_mes9" ref="B8:R23" totalsRowCount="1" headerRowDxfId="443" dataDxfId="442" totalsRowDxfId="441">
  <autoFilter ref="B8:R22" xr:uid="{00000000-0009-0000-0100-00003F000000}"/>
  <tableColumns count="17">
    <tableColumn id="1" xr3:uid="{00000000-0010-0000-3100-000001000000}" name="FECHA" totalsRowLabel="Total" dataDxfId="440" totalsRowDxfId="439" dataCellStyle="Normal 3"/>
    <tableColumn id="2" xr3:uid="{00000000-0010-0000-3100-000002000000}" name="TIPO" dataDxfId="438" totalsRowDxfId="437" dataCellStyle="Normal 3"/>
    <tableColumn id="3" xr3:uid="{00000000-0010-0000-3100-000003000000}" name="PTO VTA" dataDxfId="436" totalsRowDxfId="435" dataCellStyle="Normal 3"/>
    <tableColumn id="4" xr3:uid="{00000000-0010-0000-3100-000004000000}" name="NRO. CPTE" dataDxfId="434" totalsRowDxfId="433" dataCellStyle="Normal 3"/>
    <tableColumn id="5" xr3:uid="{00000000-0010-0000-3100-000005000000}" name="CUIT" dataDxfId="432" totalsRowDxfId="431" dataCellStyle="Normal 3"/>
    <tableColumn id="6" xr3:uid="{00000000-0010-0000-3100-000006000000}" name="RAZON SOCIAL" dataDxfId="430" totalsRowDxfId="429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100-000007000000}" name="NETO GRAVADO" totalsRowFunction="sum" dataDxfId="428" totalsRowDxfId="427" dataCellStyle="Normal 3"/>
    <tableColumn id="8" xr3:uid="{00000000-0010-0000-3100-000008000000}" name="IVA 21 %" totalsRowFunction="sum" dataDxfId="426" totalsRowDxfId="425" dataCellStyle="Normal 3">
      <calculatedColumnFormula>IF(compras_mes9[[#This Row],[NETO GRAVADO]]="","",compras_mes9[[#This Row],[NETO GRAVADO]]*0.21)</calculatedColumnFormula>
    </tableColumn>
    <tableColumn id="9" xr3:uid="{00000000-0010-0000-3100-000009000000}" name="IVA 27%" totalsRowFunction="sum" dataDxfId="424" totalsRowDxfId="423" dataCellStyle="Normal 3"/>
    <tableColumn id="10" xr3:uid="{00000000-0010-0000-3100-00000A000000}" name="IVA 10,5%" totalsRowFunction="sum" dataDxfId="422" totalsRowDxfId="421" dataCellStyle="Normal 3"/>
    <tableColumn id="11" xr3:uid="{00000000-0010-0000-3100-00000B000000}" name="PERC. IVA" totalsRowFunction="sum" dataDxfId="420" totalsRowDxfId="419" dataCellStyle="Normal 3"/>
    <tableColumn id="12" xr3:uid="{00000000-0010-0000-3100-00000C000000}" name="PERC IIBB _x000a_BS AS" totalsRowFunction="sum" dataDxfId="418" totalsRowDxfId="417" dataCellStyle="Normal 3"/>
    <tableColumn id="13" xr3:uid="{00000000-0010-0000-3100-00000D000000}" name="PERC. IIBB CABA" totalsRowFunction="sum" dataDxfId="416" totalsRowDxfId="415" dataCellStyle="Normal 3"/>
    <tableColumn id="14" xr3:uid="{00000000-0010-0000-3100-00000E000000}" name="Otros / No Grav." totalsRowFunction="sum" dataDxfId="414" totalsRowDxfId="413" dataCellStyle="Normal 3"/>
    <tableColumn id="15" xr3:uid="{00000000-0010-0000-3100-00000F000000}" name="TOTAL" totalsRowFunction="sum" dataDxfId="412" totalsRowDxfId="411" dataCellStyle="Normal 3">
      <calculatedColumnFormula>SUM(compras_mes9[[#This Row],[NETO GRAVADO]:[Otros / No Grav.]])</calculatedColumnFormula>
    </tableColumn>
    <tableColumn id="16" xr3:uid="{00000000-0010-0000-3100-000010000000}" name="Tipo de Gasto" dataDxfId="410" totalsRowDxfId="409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100-000011000000}" name="Provincia" dataDxfId="408" totalsRowDxfId="407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2000000}" name="factura_c_mes9" displayName="factura_c_mes9" ref="D38:K44" totalsRowCount="1" headerRowDxfId="406" totalsRowDxfId="405" headerRowCellStyle="Normal 3">
  <autoFilter ref="D38:K43" xr:uid="{00000000-0009-0000-0100-000040000000}"/>
  <tableColumns count="8">
    <tableColumn id="1" xr3:uid="{00000000-0010-0000-3200-000001000000}" name="FECHA" totalsRowLabel="Total" dataDxfId="404" totalsRowDxfId="403" dataCellStyle="Normal 3"/>
    <tableColumn id="2" xr3:uid="{00000000-0010-0000-3200-000002000000}" name="PTO VTA" dataDxfId="402" totalsRowDxfId="401" dataCellStyle="Normal 3"/>
    <tableColumn id="3" xr3:uid="{00000000-0010-0000-3200-000003000000}" name="FC Nº" dataDxfId="400" totalsRowDxfId="399" dataCellStyle="Normal 3"/>
    <tableColumn id="4" xr3:uid="{00000000-0010-0000-3200-000004000000}" name="CUIT" dataDxfId="398" totalsRowDxfId="397" dataCellStyle="Normal 3"/>
    <tableColumn id="5" xr3:uid="{00000000-0010-0000-3200-000005000000}" name="RAZON SOCIAL" dataDxfId="396" totalsRowDxfId="395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200-000006000000}" name="TOTAL" totalsRowFunction="sum" dataDxfId="394" totalsRowDxfId="393" dataCellStyle="Normal 3"/>
    <tableColumn id="7" xr3:uid="{00000000-0010-0000-3200-000007000000}" name="TIPO DE GASTO" dataDxfId="392" totalsRowDxfId="391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200-000008000000}" name="Provincia" dataDxfId="390" totalsRowDxfId="389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3000000}" name="venta_a_mes9" displayName="venta_a_mes9" ref="B52:M75" totalsRowCount="1" headerRowDxfId="388" dataDxfId="386" headerRowBorderDxfId="387" tableBorderDxfId="385" totalsRowBorderDxfId="384" dataCellStyle="Normal 3">
  <autoFilter ref="B52:M74" xr:uid="{00000000-0009-0000-0100-000041000000}"/>
  <tableColumns count="12">
    <tableColumn id="1" xr3:uid="{00000000-0010-0000-3300-000001000000}" name="FECHA" totalsRowLabel="Total" dataDxfId="383" totalsRowDxfId="382" dataCellStyle="Normal 3"/>
    <tableColumn id="2" xr3:uid="{00000000-0010-0000-3300-000002000000}" name="TIPO" dataDxfId="381" totalsRowDxfId="380" dataCellStyle="Normal 3"/>
    <tableColumn id="3" xr3:uid="{00000000-0010-0000-3300-000003000000}" name="PTO VENTA" dataDxfId="379" totalsRowDxfId="378" dataCellStyle="Normal 3"/>
    <tableColumn id="4" xr3:uid="{00000000-0010-0000-3300-000004000000}" name="Nº FACTURA" dataDxfId="377" totalsRowDxfId="376" dataCellStyle="Normal 3"/>
    <tableColumn id="5" xr3:uid="{00000000-0010-0000-3300-000005000000}" name="CUIT" dataDxfId="375" totalsRowDxfId="374" dataCellStyle="Normal 3"/>
    <tableColumn id="6" xr3:uid="{00000000-0010-0000-3300-000006000000}" name="RAZON SOCIAL" dataDxfId="373" totalsRowDxfId="372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300-000007000000}" name="IMPORTE NETO" totalsRowFunction="sum" dataDxfId="371" totalsRowDxfId="370" dataCellStyle="Normal 3"/>
    <tableColumn id="8" xr3:uid="{00000000-0010-0000-3300-000008000000}" name="IVA 21%" totalsRowFunction="sum" dataDxfId="369" totalsRowDxfId="368" dataCellStyle="Normal 3">
      <calculatedColumnFormula>venta_a_mes9[[#This Row],[IMPORTE NETO]]*0.21</calculatedColumnFormula>
    </tableColumn>
    <tableColumn id="9" xr3:uid="{00000000-0010-0000-3300-000009000000}" name="IVA 10,5%" totalsRowFunction="sum" dataDxfId="367" totalsRowDxfId="366" dataCellStyle="Normal 3"/>
    <tableColumn id="10" xr3:uid="{00000000-0010-0000-3300-00000A000000}" name="EXENTO" totalsRowFunction="sum" dataDxfId="365" totalsRowDxfId="364" dataCellStyle="Normal 3"/>
    <tableColumn id="11" xr3:uid="{00000000-0010-0000-3300-00000B000000}" name="TOTAL" totalsRowFunction="sum" dataDxfId="363" totalsRowDxfId="362" dataCellStyle="Normal 3">
      <calculatedColumnFormula>SUM(venta_a_mes9[[#This Row],[IMPORTE NETO]:[EXENTO]])</calculatedColumnFormula>
    </tableColumn>
    <tableColumn id="12" xr3:uid="{00000000-0010-0000-3300-00000C000000}" name="Provincia" totalsRowFunction="count" dataDxfId="361" totalsRowDxfId="360" dataCellStyle="Normal 3"/>
  </tableColumns>
  <tableStyleInfo name="Tabla Ventas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4000000}" name="ventas_b_mes9" displayName="ventas_b_mes9" ref="B78:M85" totalsRowCount="1" headerRowDxfId="359" dataDxfId="357" headerRowBorderDxfId="358" tableBorderDxfId="356" totalsRowBorderDxfId="355" dataCellStyle="Normal 3">
  <autoFilter ref="B78:M84" xr:uid="{00000000-0009-0000-0100-000042000000}"/>
  <tableColumns count="12">
    <tableColumn id="1" xr3:uid="{00000000-0010-0000-3400-000001000000}" name="FECHA" totalsRowLabel="Total" dataDxfId="354" totalsRowDxfId="353" dataCellStyle="Normal 3"/>
    <tableColumn id="2" xr3:uid="{00000000-0010-0000-3400-000002000000}" name="TIPO" dataDxfId="352" totalsRowDxfId="351" dataCellStyle="Normal 3"/>
    <tableColumn id="3" xr3:uid="{00000000-0010-0000-3400-000003000000}" name="PTO VENTA" dataDxfId="350" totalsRowDxfId="349" dataCellStyle="Normal 3"/>
    <tableColumn id="4" xr3:uid="{00000000-0010-0000-3400-000004000000}" name="Nº FACTURA" dataDxfId="348" totalsRowDxfId="347" dataCellStyle="Normal 3"/>
    <tableColumn id="5" xr3:uid="{00000000-0010-0000-3400-000005000000}" name="CUIT" dataDxfId="346" totalsRowDxfId="345" dataCellStyle="Normal 3"/>
    <tableColumn id="6" xr3:uid="{00000000-0010-0000-3400-000006000000}" name="RAZON SOCIAL" dataDxfId="344" totalsRowDxfId="343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400-000007000000}" name="IMPORTE NETO" totalsRowFunction="sum" dataDxfId="342" totalsRowDxfId="341" dataCellStyle="Normal 3">
      <calculatedColumnFormula>ventas_b_mes9[[#This Row],[TOTAL]]/1.21</calculatedColumnFormula>
    </tableColumn>
    <tableColumn id="8" xr3:uid="{00000000-0010-0000-3400-000008000000}" name="IVA 21%" totalsRowFunction="sum" dataDxfId="340" totalsRowDxfId="339" dataCellStyle="Normal 3">
      <calculatedColumnFormula>ventas_b_mes9[[#This Row],[IMPORTE NETO]]*0.21</calculatedColumnFormula>
    </tableColumn>
    <tableColumn id="9" xr3:uid="{00000000-0010-0000-3400-000009000000}" name="IVA 10,5%" totalsRowFunction="sum" dataDxfId="338" totalsRowDxfId="337" dataCellStyle="Normal 3"/>
    <tableColumn id="10" xr3:uid="{00000000-0010-0000-3400-00000A000000}" name="EXENTO" totalsRowFunction="sum" dataDxfId="336" totalsRowDxfId="335" dataCellStyle="Normal 3"/>
    <tableColumn id="11" xr3:uid="{00000000-0010-0000-3400-00000B000000}" name="TOTAL" totalsRowFunction="sum" dataDxfId="334" totalsRowDxfId="333" dataCellStyle="Normal 3"/>
    <tableColumn id="12" xr3:uid="{00000000-0010-0000-3400-00000C000000}" name="Provincia" totalsRowFunction="count" dataDxfId="332" totalsRowDxfId="331" dataCellStyle="Normal 3"/>
  </tableColumns>
  <tableStyleInfo name="Tabla Ventas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5000000}" name="extracto_banco_mes9" displayName="extracto_banco_mes9" ref="D29:L33" totalsRowCount="1" headerRowDxfId="330" dataDxfId="329" tableBorderDxfId="328" dataCellStyle="Normal 3">
  <autoFilter ref="D29:L32" xr:uid="{00000000-0009-0000-0100-000043000000}"/>
  <tableColumns count="9">
    <tableColumn id="1" xr3:uid="{00000000-0010-0000-3500-000001000000}" name="FECHA" totalsRowLabel="Total" dataDxfId="327" totalsRowDxfId="326" dataCellStyle="Normal 3"/>
    <tableColumn id="2" xr3:uid="{00000000-0010-0000-3500-000002000000}" name="NRO CPTE" dataDxfId="325" totalsRowDxfId="324"/>
    <tableColumn id="3" xr3:uid="{00000000-0010-0000-3500-000003000000}" name="BANCO" dataDxfId="323" totalsRowDxfId="322"/>
    <tableColumn id="4" xr3:uid="{00000000-0010-0000-3500-000004000000}" name="NETO" totalsRowFunction="sum" dataDxfId="321" totalsRowDxfId="320" dataCellStyle="Normal 3"/>
    <tableColumn id="5" xr3:uid="{00000000-0010-0000-3500-000005000000}" name="IVA 21%" totalsRowFunction="sum" dataDxfId="319" totalsRowDxfId="318" dataCellStyle="Normal 3">
      <calculatedColumnFormula>extracto_banco_mes9[[#This Row],[NETO]]*0.21</calculatedColumnFormula>
    </tableColumn>
    <tableColumn id="6" xr3:uid="{00000000-0010-0000-3500-000006000000}" name="IVA 10,5%" totalsRowFunction="sum" dataDxfId="317" totalsRowDxfId="316" dataCellStyle="Normal 3"/>
    <tableColumn id="7" xr3:uid="{00000000-0010-0000-3500-000007000000}" name="RET IIBB CABA" totalsRowFunction="sum" dataDxfId="315" totalsRowDxfId="314" dataCellStyle="Normal 3"/>
    <tableColumn id="8" xr3:uid="{00000000-0010-0000-3500-000008000000}" name="PERC IVA" totalsRowFunction="sum" dataDxfId="313" totalsRowDxfId="312" dataCellStyle="Normal 3"/>
    <tableColumn id="9" xr3:uid="{00000000-0010-0000-3500-000009000000}" name="PERC IIBB" totalsRowFunction="sum" dataDxfId="311" totalsRowDxfId="310" dataCellStyle="Normal 3"/>
  </tableColumns>
  <tableStyleInfo name="Estilo de tabla 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6000000}" name="Retenciones_mes9" displayName="Retenciones_mes9" ref="C94:L99" totalsRowShown="0" headerRowDxfId="309" dataDxfId="308" headerRowCellStyle="Normal 3" dataCellStyle="Normal 3">
  <autoFilter ref="C94:L99" xr:uid="{00000000-0009-0000-0100-000044000000}"/>
  <tableColumns count="10">
    <tableColumn id="1" xr3:uid="{00000000-0010-0000-3600-000001000000}" name="FECHA " dataDxfId="307" dataCellStyle="Normal 3"/>
    <tableColumn id="2" xr3:uid="{00000000-0010-0000-3600-000002000000}" name="COMP Nº" dataDxfId="306" dataCellStyle="Normal 3"/>
    <tableColumn id="3" xr3:uid="{00000000-0010-0000-3600-000003000000}" name="Columna1" dataDxfId="305" dataCellStyle="Normal 3"/>
    <tableColumn id="4" xr3:uid="{00000000-0010-0000-3600-000004000000}" name="CUIT" dataDxfId="304" dataCellStyle="Normal 3"/>
    <tableColumn id="5" xr3:uid="{00000000-0010-0000-3600-000005000000}" name="RAZON SOCIAL" dataDxfId="303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600-000006000000}" name="Ganancias" dataDxfId="302" dataCellStyle="Normal 3"/>
    <tableColumn id="7" xr3:uid="{00000000-0010-0000-3600-000007000000}" name="IVA" dataDxfId="301" dataCellStyle="Normal 3"/>
    <tableColumn id="8" xr3:uid="{00000000-0010-0000-3600-000008000000}" name="SUSS" dataDxfId="300" dataCellStyle="Normal 3"/>
    <tableColumn id="9" xr3:uid="{00000000-0010-0000-3600-000009000000}" name="IIBB BSAS" dataDxfId="299" dataCellStyle="Normal 3"/>
    <tableColumn id="10" xr3:uid="{00000000-0010-0000-3600-00000A000000}" name="IIBB CABA" dataDxfId="298" dataCellStyle="Normal 3"/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7000000}" name="compras_mes10" displayName="compras_mes10" ref="B8:R23" totalsRowCount="1" headerRowDxfId="297" dataDxfId="296" totalsRowDxfId="295">
  <autoFilter ref="B8:R22" xr:uid="{00000000-0009-0000-0100-000021000000}"/>
  <sortState xmlns:xlrd2="http://schemas.microsoft.com/office/spreadsheetml/2017/richdata2" ref="B9:R19">
    <sortCondition ref="G9:G19"/>
  </sortState>
  <tableColumns count="17">
    <tableColumn id="1" xr3:uid="{00000000-0010-0000-3700-000001000000}" name="FECHA" totalsRowLabel="Total" dataDxfId="294" totalsRowDxfId="293" dataCellStyle="Normal 3"/>
    <tableColumn id="2" xr3:uid="{00000000-0010-0000-3700-000002000000}" name="TIPO" dataDxfId="292" totalsRowDxfId="291" dataCellStyle="Normal 3"/>
    <tableColumn id="3" xr3:uid="{00000000-0010-0000-3700-000003000000}" name="PTO VTA" dataDxfId="290" totalsRowDxfId="289" dataCellStyle="Normal 3"/>
    <tableColumn id="4" xr3:uid="{00000000-0010-0000-3700-000004000000}" name="NRO. CPTE" dataDxfId="288" totalsRowDxfId="287" dataCellStyle="Normal 3"/>
    <tableColumn id="5" xr3:uid="{00000000-0010-0000-3700-000005000000}" name="CUIT" dataDxfId="286" totalsRowDxfId="285" dataCellStyle="Normal 3"/>
    <tableColumn id="6" xr3:uid="{00000000-0010-0000-3700-000006000000}" name="RAZON SOCIAL" dataDxfId="284" totalsRowDxfId="283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700-000007000000}" name="NETO GRAVADO" totalsRowFunction="sum" dataDxfId="282" totalsRowDxfId="281" dataCellStyle="Normal 3"/>
    <tableColumn id="8" xr3:uid="{00000000-0010-0000-3700-000008000000}" name="IVA 21 %" totalsRowFunction="sum" dataDxfId="280" totalsRowDxfId="279" dataCellStyle="Normal 3">
      <calculatedColumnFormula>IF(compras_mes10[[#This Row],[NETO GRAVADO]]="","",compras_mes10[[#This Row],[NETO GRAVADO]]*0.21)</calculatedColumnFormula>
    </tableColumn>
    <tableColumn id="9" xr3:uid="{00000000-0010-0000-3700-000009000000}" name="IVA 27%" totalsRowFunction="sum" dataDxfId="278" totalsRowDxfId="277" dataCellStyle="Normal 3"/>
    <tableColumn id="10" xr3:uid="{00000000-0010-0000-3700-00000A000000}" name="IVA 10,5%" totalsRowFunction="sum" dataDxfId="276" totalsRowDxfId="275" dataCellStyle="Normal 3"/>
    <tableColumn id="11" xr3:uid="{00000000-0010-0000-3700-00000B000000}" name="PERC. IVA" totalsRowFunction="sum" dataDxfId="274" totalsRowDxfId="273" dataCellStyle="Normal 3"/>
    <tableColumn id="12" xr3:uid="{00000000-0010-0000-3700-00000C000000}" name="PERC IIBB _x000a_BS AS" totalsRowFunction="sum" dataDxfId="272" totalsRowDxfId="271" dataCellStyle="Normal 3"/>
    <tableColumn id="13" xr3:uid="{00000000-0010-0000-3700-00000D000000}" name="PERC. IIBB CABA" totalsRowFunction="sum" dataDxfId="270" totalsRowDxfId="269" dataCellStyle="Normal 3"/>
    <tableColumn id="14" xr3:uid="{00000000-0010-0000-3700-00000E000000}" name="Otros / No Grav." totalsRowFunction="sum" dataDxfId="268" totalsRowDxfId="267" dataCellStyle="Normal 3"/>
    <tableColumn id="15" xr3:uid="{00000000-0010-0000-3700-00000F000000}" name="TOTAL" totalsRowFunction="sum" dataDxfId="266" totalsRowDxfId="265" dataCellStyle="Normal 3">
      <calculatedColumnFormula>SUM(compras_mes10[[#This Row],[NETO GRAVADO]:[Otros / No Grav.]])</calculatedColumnFormula>
    </tableColumn>
    <tableColumn id="16" xr3:uid="{00000000-0010-0000-3700-000010000000}" name="Tipo de Gasto" dataDxfId="264" totalsRowDxfId="263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700-000011000000}" name="Provincia" dataDxfId="262" totalsRowDxfId="261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8000000}" name="factura_c_mes10" displayName="factura_c_mes10" ref="D38:K46" totalsRowCount="1" headerRowDxfId="260" totalsRowDxfId="259" headerRowCellStyle="Normal 3">
  <autoFilter ref="D38:K45" xr:uid="{00000000-0009-0000-0100-000022000000}"/>
  <sortState xmlns:xlrd2="http://schemas.microsoft.com/office/spreadsheetml/2017/richdata2" ref="D40:K48">
    <sortCondition ref="F40:F48"/>
  </sortState>
  <tableColumns count="8">
    <tableColumn id="1" xr3:uid="{00000000-0010-0000-3800-000001000000}" name="FECHA" totalsRowLabel="Total" dataDxfId="258" totalsRowDxfId="257" dataCellStyle="Normal 3"/>
    <tableColumn id="2" xr3:uid="{00000000-0010-0000-3800-000002000000}" name="PTO VTA" dataDxfId="256" totalsRowDxfId="255" dataCellStyle="Normal 3"/>
    <tableColumn id="3" xr3:uid="{00000000-0010-0000-3800-000003000000}" name="FC Nº" dataDxfId="254" totalsRowDxfId="253" dataCellStyle="Normal 3"/>
    <tableColumn id="4" xr3:uid="{00000000-0010-0000-3800-000004000000}" name="CUIT" dataDxfId="252" totalsRowDxfId="251" dataCellStyle="Normal 3"/>
    <tableColumn id="5" xr3:uid="{00000000-0010-0000-3800-000005000000}" name="RAZON SOCIAL" dataDxfId="250" totalsRowDxfId="249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800-000006000000}" name="TOTAL" totalsRowFunction="sum" dataDxfId="248" totalsRowDxfId="247" dataCellStyle="Normal 3"/>
    <tableColumn id="7" xr3:uid="{00000000-0010-0000-3800-000007000000}" name="TIPO DE GASTO" dataDxfId="246" totalsRowDxfId="245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800-000008000000}" name="Provincia" dataDxfId="244" totalsRowDxfId="243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9000000}" name="venta_a_mes10" displayName="venta_a_mes10" ref="B54:M97" totalsRowCount="1" headerRowDxfId="242" dataDxfId="240" headerRowBorderDxfId="241" tableBorderDxfId="239" totalsRowBorderDxfId="238" dataCellStyle="Normal 3">
  <autoFilter ref="B54:M96" xr:uid="{00000000-0009-0000-0100-000023000000}"/>
  <tableColumns count="12">
    <tableColumn id="1" xr3:uid="{00000000-0010-0000-3900-000001000000}" name="FECHA" totalsRowLabel="Total" dataDxfId="237" totalsRowDxfId="236" dataCellStyle="Normal 3"/>
    <tableColumn id="2" xr3:uid="{00000000-0010-0000-3900-000002000000}" name="TIPO" dataDxfId="235" totalsRowDxfId="234" dataCellStyle="Normal 3"/>
    <tableColumn id="3" xr3:uid="{00000000-0010-0000-3900-000003000000}" name="PTO VENTA" dataDxfId="233" totalsRowDxfId="232" dataCellStyle="Normal 3"/>
    <tableColumn id="4" xr3:uid="{00000000-0010-0000-3900-000004000000}" name="Nº FACTURA" dataDxfId="231" totalsRowDxfId="230" dataCellStyle="Normal 3"/>
    <tableColumn id="5" xr3:uid="{00000000-0010-0000-3900-000005000000}" name="CUIT" dataDxfId="229" totalsRowDxfId="228" dataCellStyle="Normal 3"/>
    <tableColumn id="6" xr3:uid="{00000000-0010-0000-3900-000006000000}" name="RAZON SOCIAL" dataDxfId="227" totalsRowDxfId="226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900-000007000000}" name="IMPORTE NETO" totalsRowFunction="sum" dataDxfId="225" totalsRowDxfId="224" dataCellStyle="Normal 3"/>
    <tableColumn id="8" xr3:uid="{00000000-0010-0000-3900-000008000000}" name="IVA 21%" totalsRowFunction="sum" dataDxfId="223" totalsRowDxfId="222" dataCellStyle="Normal 3">
      <calculatedColumnFormula>venta_a_mes10[[#This Row],[IMPORTE NETO]]*0.21</calculatedColumnFormula>
    </tableColumn>
    <tableColumn id="9" xr3:uid="{00000000-0010-0000-3900-000009000000}" name="IVA 10,5%" totalsRowFunction="sum" dataDxfId="221" totalsRowDxfId="220" dataCellStyle="Normal 3"/>
    <tableColumn id="10" xr3:uid="{00000000-0010-0000-3900-00000A000000}" name="EXENTO" totalsRowFunction="sum" dataDxfId="219" totalsRowDxfId="218" dataCellStyle="Normal 3"/>
    <tableColumn id="11" xr3:uid="{00000000-0010-0000-3900-00000B000000}" name="TOTAL" totalsRowFunction="sum" dataDxfId="217" totalsRowDxfId="216" dataCellStyle="Normal 3">
      <calculatedColumnFormula>SUM(venta_a_mes10[[#This Row],[IMPORTE NETO]:[EXENTO]])</calculatedColumnFormula>
    </tableColumn>
    <tableColumn id="12" xr3:uid="{00000000-0010-0000-3900-00000C000000}" name="Provincia" totalsRowFunction="count" dataDxfId="215" totalsRowDxfId="214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A000000}" name="ventas_b_mes10" displayName="ventas_b_mes10" ref="B100:M107" totalsRowCount="1" headerRowDxfId="213" dataDxfId="211" headerRowBorderDxfId="212" tableBorderDxfId="210" totalsRowBorderDxfId="209" dataCellStyle="Normal 3">
  <autoFilter ref="B100:M106" xr:uid="{00000000-0009-0000-0100-000024000000}"/>
  <tableColumns count="12">
    <tableColumn id="1" xr3:uid="{00000000-0010-0000-3A00-000001000000}" name="FECHA" totalsRowLabel="Total" dataDxfId="208" totalsRowDxfId="207" dataCellStyle="Normal 3"/>
    <tableColumn id="2" xr3:uid="{00000000-0010-0000-3A00-000002000000}" name="TIPO" dataDxfId="206" totalsRowDxfId="205" dataCellStyle="Normal 3"/>
    <tableColumn id="3" xr3:uid="{00000000-0010-0000-3A00-000003000000}" name="PTO VENTA" dataDxfId="204" totalsRowDxfId="203" dataCellStyle="Normal 3"/>
    <tableColumn id="4" xr3:uid="{00000000-0010-0000-3A00-000004000000}" name="Nº FACTURA" dataDxfId="202" totalsRowDxfId="201" dataCellStyle="Normal 3"/>
    <tableColumn id="5" xr3:uid="{00000000-0010-0000-3A00-000005000000}" name="CUIT" dataDxfId="200" totalsRowDxfId="199" dataCellStyle="Normal 3"/>
    <tableColumn id="6" xr3:uid="{00000000-0010-0000-3A00-000006000000}" name="RAZON SOCIAL" dataDxfId="198" totalsRowDxfId="197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A00-000007000000}" name="IMPORTE NETO" totalsRowFunction="sum" dataDxfId="196" totalsRowDxfId="195" dataCellStyle="Normal 3">
      <calculatedColumnFormula>ventas_b_mes10[[#This Row],[TOTAL]]/1.21</calculatedColumnFormula>
    </tableColumn>
    <tableColumn id="8" xr3:uid="{00000000-0010-0000-3A00-000008000000}" name="IVA 21%" totalsRowFunction="sum" dataDxfId="194" totalsRowDxfId="193" dataCellStyle="Normal 3">
      <calculatedColumnFormula>ventas_b_mes10[[#This Row],[IMPORTE NETO]]*0.21</calculatedColumnFormula>
    </tableColumn>
    <tableColumn id="9" xr3:uid="{00000000-0010-0000-3A00-000009000000}" name="IVA 10,5%" totalsRowFunction="sum" dataDxfId="192" totalsRowDxfId="191" dataCellStyle="Normal 3"/>
    <tableColumn id="10" xr3:uid="{00000000-0010-0000-3A00-00000A000000}" name="EXENTO" totalsRowFunction="sum" dataDxfId="190" totalsRowDxfId="189" dataCellStyle="Normal 3"/>
    <tableColumn id="11" xr3:uid="{00000000-0010-0000-3A00-00000B000000}" name="TOTAL" totalsRowFunction="sum" dataDxfId="188" totalsRowDxfId="187" dataCellStyle="Normal 3"/>
    <tableColumn id="12" xr3:uid="{00000000-0010-0000-3A00-00000C000000}" name="Provincia" totalsRowFunction="count" dataDxfId="186" totalsRowDxfId="185" dataCellStyle="Normal 3"/>
  </tableColumns>
  <tableStyleInfo name="Tabla Ventas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3B000000}" name="extracto_banco_mes10" displayName="extracto_banco_mes10" ref="D29:M33" totalsRowCount="1" headerRowDxfId="184" dataDxfId="183" tableBorderDxfId="182" dataCellStyle="Normal 3">
  <autoFilter ref="D29:M32" xr:uid="{00000000-0009-0000-0100-000025000000}"/>
  <tableColumns count="10">
    <tableColumn id="1" xr3:uid="{00000000-0010-0000-3B00-000001000000}" name="FECHA" totalsRowLabel="Total" dataDxfId="181" totalsRowDxfId="180" dataCellStyle="Normal 3"/>
    <tableColumn id="2" xr3:uid="{00000000-0010-0000-3B00-000002000000}" name="NRO CPTE" dataDxfId="179" totalsRowDxfId="178"/>
    <tableColumn id="3" xr3:uid="{00000000-0010-0000-3B00-000003000000}" name="BANCO" dataDxfId="177" totalsRowDxfId="176"/>
    <tableColumn id="4" xr3:uid="{00000000-0010-0000-3B00-000004000000}" name="NETO" totalsRowFunction="sum" dataDxfId="175" totalsRowDxfId="174" dataCellStyle="Normal 3">
      <calculatedColumnFormula>extracto_banco_mes10[[#This Row],[IVA 21%]]*100/21</calculatedColumnFormula>
    </tableColumn>
    <tableColumn id="5" xr3:uid="{00000000-0010-0000-3B00-000005000000}" name="IVA 21%" totalsRowFunction="sum" dataDxfId="173" totalsRowDxfId="172" dataCellStyle="Normal 3"/>
    <tableColumn id="6" xr3:uid="{00000000-0010-0000-3B00-000006000000}" name="IVA 10,5%" totalsRowFunction="sum" dataDxfId="171" totalsRowDxfId="170" dataCellStyle="Normal 3"/>
    <tableColumn id="7" xr3:uid="{00000000-0010-0000-3B00-000007000000}" name="RET IIBB CABA" totalsRowFunction="sum" dataDxfId="169" totalsRowDxfId="168" dataCellStyle="Normal 3"/>
    <tableColumn id="8" xr3:uid="{00000000-0010-0000-3B00-000008000000}" name="PERC IVA" totalsRowFunction="sum" dataDxfId="167" totalsRowDxfId="166" dataCellStyle="Normal 3"/>
    <tableColumn id="9" xr3:uid="{00000000-0010-0000-3B00-000009000000}" name="PERC IIBB" totalsRowFunction="sum" dataDxfId="165" totalsRowDxfId="164" dataCellStyle="Normal 3"/>
    <tableColumn id="10" xr3:uid="{9A8EA33B-E1F0-4ABC-91F6-9E881BF0C807}" name="TOTAL" totalsRowFunction="sum" dataDxfId="163" totalsRowDxfId="162" dataCellStyle="Normal 3">
      <calculatedColumnFormula>extracto_banco_mes10[[#This Row],[NETO]]+extracto_banco_mes10[[#This Row],[IVA 21%]]+extracto_banco_mes10[[#This Row],[IVA 10,5%]]+extracto_banco_mes10[[#This Row],[RET IIBB CABA]]+extracto_banco_mes10[[#This Row],[PERC IVA]]+extracto_banco_mes10[[#This Row],[PERC IIBB]]</calculatedColumnFormula>
    </tableColumn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C000000}" name="Retenciones_mes10" displayName="Retenciones_mes10" ref="C116:L121" totalsRowShown="0" headerRowDxfId="161" dataDxfId="160" headerRowCellStyle="Normal 3" dataCellStyle="Normal 3">
  <autoFilter ref="C116:L121" xr:uid="{00000000-0009-0000-0100-000026000000}"/>
  <tableColumns count="10">
    <tableColumn id="1" xr3:uid="{00000000-0010-0000-3C00-000001000000}" name="FECHA " dataDxfId="159" dataCellStyle="Normal 3"/>
    <tableColumn id="2" xr3:uid="{00000000-0010-0000-3C00-000002000000}" name="COMP Nº" dataDxfId="158" dataCellStyle="Normal 3"/>
    <tableColumn id="3" xr3:uid="{00000000-0010-0000-3C00-000003000000}" name="Columna1" dataDxfId="157" dataCellStyle="Normal 3"/>
    <tableColumn id="4" xr3:uid="{00000000-0010-0000-3C00-000004000000}" name="CUIT" dataDxfId="156" dataCellStyle="Normal 3"/>
    <tableColumn id="5" xr3:uid="{00000000-0010-0000-3C00-000005000000}" name="RAZON SOCIAL" dataDxfId="155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3C00-000006000000}" name="Ganancias" dataDxfId="154" dataCellStyle="Normal 3"/>
    <tableColumn id="7" xr3:uid="{00000000-0010-0000-3C00-000007000000}" name="IVA" dataDxfId="153" dataCellStyle="Normal 3"/>
    <tableColumn id="8" xr3:uid="{00000000-0010-0000-3C00-000008000000}" name="SUSS" dataDxfId="152" dataCellStyle="Normal 3"/>
    <tableColumn id="9" xr3:uid="{00000000-0010-0000-3C00-000009000000}" name="IIBB BSAS" dataDxfId="151" dataCellStyle="Normal 3"/>
    <tableColumn id="10" xr3:uid="{00000000-0010-0000-3C00-00000A000000}" name="IIBB CABA" dataDxfId="150" dataCellStyle="Normal 3"/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3D000000}" name="compras_mes11" displayName="compras_mes11" ref="B8:R27" totalsRowCount="1" headerRowDxfId="149" dataDxfId="148" totalsRowDxfId="147">
  <autoFilter ref="B8:R26" xr:uid="{00000000-0009-0000-0100-00004B000000}"/>
  <sortState xmlns:xlrd2="http://schemas.microsoft.com/office/spreadsheetml/2017/richdata2" ref="B9:R25">
    <sortCondition ref="B8:B25"/>
  </sortState>
  <tableColumns count="17">
    <tableColumn id="1" xr3:uid="{00000000-0010-0000-3D00-000001000000}" name="FECHA" totalsRowLabel="Total" dataDxfId="146" totalsRowDxfId="145" dataCellStyle="Normal 3"/>
    <tableColumn id="2" xr3:uid="{00000000-0010-0000-3D00-000002000000}" name="TIPO" dataDxfId="144" totalsRowDxfId="143" dataCellStyle="Normal 3"/>
    <tableColumn id="3" xr3:uid="{00000000-0010-0000-3D00-000003000000}" name="PTO VTA" dataDxfId="142" totalsRowDxfId="141" dataCellStyle="Normal 3"/>
    <tableColumn id="4" xr3:uid="{00000000-0010-0000-3D00-000004000000}" name="NRO. CPTE" dataDxfId="140" totalsRowDxfId="139" dataCellStyle="Normal 3"/>
    <tableColumn id="5" xr3:uid="{00000000-0010-0000-3D00-000005000000}" name="CUIT" dataDxfId="138" totalsRowDxfId="137" dataCellStyle="Normal 3"/>
    <tableColumn id="6" xr3:uid="{00000000-0010-0000-3D00-000006000000}" name="RAZON SOCIAL" dataDxfId="136" totalsRowDxfId="135" dataCellStyle="Normal 3">
      <calculatedColumnFormula>IFERROR(IF(compras_mes11[[#This Row],[CUIT]]="","-",VLOOKUP(compras_mes11[[#This Row],[CUIT]],Lista_CUIT[#All],2,0)),"CUIT NO CARGADO")</calculatedColumnFormula>
    </tableColumn>
    <tableColumn id="7" xr3:uid="{00000000-0010-0000-3D00-000007000000}" name="NETO GRAVADO" totalsRowFunction="sum" dataDxfId="134" totalsRowDxfId="133" dataCellStyle="Normal 3"/>
    <tableColumn id="8" xr3:uid="{00000000-0010-0000-3D00-000008000000}" name="IVA 21 %" totalsRowFunction="sum" dataDxfId="132" totalsRowDxfId="131" dataCellStyle="Normal 3">
      <calculatedColumnFormula>IF(compras_mes11[[#This Row],[NETO GRAVADO]]="","",compras_mes11[[#This Row],[NETO GRAVADO]]*0.21)</calculatedColumnFormula>
    </tableColumn>
    <tableColumn id="9" xr3:uid="{00000000-0010-0000-3D00-000009000000}" name="IVA 27%" totalsRowFunction="sum" dataDxfId="130" totalsRowDxfId="129" dataCellStyle="Normal 3"/>
    <tableColumn id="10" xr3:uid="{00000000-0010-0000-3D00-00000A000000}" name="IVA 10,5%" totalsRowFunction="sum" dataDxfId="128" totalsRowDxfId="127" dataCellStyle="Normal 3"/>
    <tableColumn id="11" xr3:uid="{00000000-0010-0000-3D00-00000B000000}" name="PERC. IVA" totalsRowFunction="sum" dataDxfId="126" totalsRowDxfId="125" dataCellStyle="Normal 3"/>
    <tableColumn id="12" xr3:uid="{00000000-0010-0000-3D00-00000C000000}" name="PERC IIBB _x000a_BS AS" totalsRowFunction="sum" dataDxfId="124" totalsRowDxfId="123" dataCellStyle="Normal 3"/>
    <tableColumn id="13" xr3:uid="{00000000-0010-0000-3D00-00000D000000}" name="PERC. IIBB CABA" totalsRowFunction="sum" dataDxfId="122" totalsRowDxfId="121" dataCellStyle="Normal 3"/>
    <tableColumn id="14" xr3:uid="{00000000-0010-0000-3D00-00000E000000}" name="Otros - No Grav." totalsRowFunction="sum" dataDxfId="120" totalsRowDxfId="119" dataCellStyle="Normal 3"/>
    <tableColumn id="15" xr3:uid="{00000000-0010-0000-3D00-00000F000000}" name="TOTAL" totalsRowFunction="sum" dataDxfId="118" totalsRowDxfId="117" dataCellStyle="Normal 3">
      <calculatedColumnFormula>SUM(compras_mes11[[#This Row],[NETO GRAVADO]:[Otros - No Grav.]])</calculatedColumnFormula>
    </tableColumn>
    <tableColumn id="16" xr3:uid="{00000000-0010-0000-3D00-000010000000}" name="Tipo de Gasto" dataDxfId="116" totalsRowDxfId="115" dataCellStyle="Normal 3">
      <calculatedColumnFormula>IFERROR(IF(compras_mes11[[#This Row],[CUIT]]="","-",VLOOKUP(compras_mes11[[#This Row],[CUIT]],Lista_CUIT[#All],3,0)),"CUIT NO CARGADO")</calculatedColumnFormula>
    </tableColumn>
    <tableColumn id="17" xr3:uid="{00000000-0010-0000-3D00-000011000000}" name="Provincia" dataDxfId="114" totalsRowDxfId="113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E000000}" name="factura_c_mes11" displayName="factura_c_mes11" ref="D42:K51" totalsRowCount="1" headerRowDxfId="112" dataDxfId="111" totalsRowDxfId="110" headerRowCellStyle="Normal 3">
  <autoFilter ref="D42:K50" xr:uid="{00000000-0009-0000-0100-00004C000000}"/>
  <sortState xmlns:xlrd2="http://schemas.microsoft.com/office/spreadsheetml/2017/richdata2" ref="D167:K209">
    <sortCondition ref="F167:F209"/>
  </sortState>
  <tableColumns count="8">
    <tableColumn id="1" xr3:uid="{00000000-0010-0000-3E00-000001000000}" name="FECHA" totalsRowLabel="Total" dataDxfId="109" totalsRowDxfId="108" dataCellStyle="Normal 3"/>
    <tableColumn id="2" xr3:uid="{00000000-0010-0000-3E00-000002000000}" name="PTO VTA" dataDxfId="107" totalsRowDxfId="106" dataCellStyle="Normal 3"/>
    <tableColumn id="3" xr3:uid="{00000000-0010-0000-3E00-000003000000}" name="FC Nº" dataDxfId="105" totalsRowDxfId="104" dataCellStyle="Normal 3"/>
    <tableColumn id="4" xr3:uid="{00000000-0010-0000-3E00-000004000000}" name="CUIT" dataDxfId="103" totalsRowDxfId="102" dataCellStyle="Normal 3"/>
    <tableColumn id="5" xr3:uid="{00000000-0010-0000-3E00-000005000000}" name="RAZON SOCIAL" dataDxfId="101" totalsRowDxfId="100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3E00-000006000000}" name="TOTAL" totalsRowFunction="sum" dataDxfId="99" totalsRowDxfId="98" dataCellStyle="Normal 3"/>
    <tableColumn id="7" xr3:uid="{00000000-0010-0000-3E00-000007000000}" name="TIPO DE GASTO" dataDxfId="97" totalsRowDxfId="96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3E00-000008000000}" name="Provincia" dataDxfId="95" totalsRowDxfId="94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3F000000}" name="venta_a_mes11" displayName="venta_a_mes11" ref="B61:M88" totalsRowCount="1" headerRowDxfId="93" dataDxfId="91" headerRowBorderDxfId="92" tableBorderDxfId="90" totalsRowBorderDxfId="89" dataCellStyle="Normal 3">
  <autoFilter ref="B61:M87" xr:uid="{00000000-0009-0000-0100-00004D000000}"/>
  <sortState xmlns:xlrd2="http://schemas.microsoft.com/office/spreadsheetml/2017/richdata2" ref="B89:M229">
    <sortCondition ref="D88:D229"/>
  </sortState>
  <tableColumns count="12">
    <tableColumn id="1" xr3:uid="{00000000-0010-0000-3F00-000001000000}" name="FECHA" totalsRowLabel="Total" dataDxfId="88" totalsRowDxfId="87" dataCellStyle="Normal 3"/>
    <tableColumn id="2" xr3:uid="{00000000-0010-0000-3F00-000002000000}" name="TIPO" dataDxfId="86" totalsRowDxfId="85" dataCellStyle="Normal 3"/>
    <tableColumn id="3" xr3:uid="{00000000-0010-0000-3F00-000003000000}" name="PTO VENTA" dataDxfId="84" totalsRowDxfId="83" dataCellStyle="Normal 3"/>
    <tableColumn id="4" xr3:uid="{00000000-0010-0000-3F00-000004000000}" name="Nº FACTURA" dataDxfId="82" totalsRowDxfId="81" dataCellStyle="Normal 3"/>
    <tableColumn id="5" xr3:uid="{00000000-0010-0000-3F00-000005000000}" name="CUIT" dataDxfId="80" totalsRowDxfId="79" dataCellStyle="Normal 3"/>
    <tableColumn id="6" xr3:uid="{00000000-0010-0000-3F00-000006000000}" name="RAZON SOCIAL" dataDxfId="78" totalsRowDxfId="77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3F00-000007000000}" name="IMPORTE NETO" totalsRowFunction="sum" dataDxfId="76" totalsRowDxfId="75" dataCellStyle="Normal 3"/>
    <tableColumn id="8" xr3:uid="{00000000-0010-0000-3F00-000008000000}" name="IVA 21%" totalsRowFunction="sum" dataDxfId="74" totalsRowDxfId="73" dataCellStyle="Normal 3">
      <calculatedColumnFormula>venta_a_mes11[[#This Row],[IMPORTE NETO]]*0.21</calculatedColumnFormula>
    </tableColumn>
    <tableColumn id="9" xr3:uid="{00000000-0010-0000-3F00-000009000000}" name="IVA 10,5%" totalsRowFunction="sum" dataDxfId="72" totalsRowDxfId="71" dataCellStyle="Normal 3"/>
    <tableColumn id="10" xr3:uid="{00000000-0010-0000-3F00-00000A000000}" name="EXENTO" totalsRowFunction="sum" dataDxfId="70" totalsRowDxfId="69" dataCellStyle="Normal 3"/>
    <tableColumn id="11" xr3:uid="{00000000-0010-0000-3F00-00000B000000}" name="TOTAL" totalsRowFunction="sum" dataDxfId="68" totalsRowDxfId="67" dataCellStyle="Normal 3">
      <calculatedColumnFormula>SUM(venta_a_mes11[[#This Row],[IMPORTE NETO]:[EXENTO]])</calculatedColumnFormula>
    </tableColumn>
    <tableColumn id="12" xr3:uid="{00000000-0010-0000-3F00-00000C000000}" name="Provincia" totalsRowFunction="count" dataDxfId="66" totalsRowDxfId="65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0000000}" name="ventas_b_mes11" displayName="ventas_b_mes11" ref="B91:M100" totalsRowCount="1" headerRowDxfId="64" dataDxfId="62" headerRowBorderDxfId="63" tableBorderDxfId="61" totalsRowBorderDxfId="60" dataCellStyle="Normal 3">
  <autoFilter ref="B91:M99" xr:uid="{00000000-0009-0000-0100-00004E000000}"/>
  <sortState xmlns:xlrd2="http://schemas.microsoft.com/office/spreadsheetml/2017/richdata2" ref="B101:M241">
    <sortCondition ref="E100:E241"/>
  </sortState>
  <tableColumns count="12">
    <tableColumn id="1" xr3:uid="{00000000-0010-0000-4000-000001000000}" name="FECHA" totalsRowLabel="Total" dataDxfId="59" totalsRowDxfId="58" dataCellStyle="Normal 3"/>
    <tableColumn id="2" xr3:uid="{00000000-0010-0000-4000-000002000000}" name="TIPO" dataDxfId="57" totalsRowDxfId="56" dataCellStyle="Normal 3"/>
    <tableColumn id="3" xr3:uid="{00000000-0010-0000-4000-000003000000}" name="PTO VENTA" dataDxfId="55" totalsRowDxfId="54" dataCellStyle="Normal 3"/>
    <tableColumn id="4" xr3:uid="{00000000-0010-0000-4000-000004000000}" name="Nº FACTURA" dataDxfId="53" totalsRowDxfId="52" dataCellStyle="Normal 3"/>
    <tableColumn id="5" xr3:uid="{00000000-0010-0000-4000-000005000000}" name="CUIT" dataDxfId="51" totalsRowDxfId="50" dataCellStyle="Normal 3"/>
    <tableColumn id="6" xr3:uid="{00000000-0010-0000-4000-000006000000}" name="RAZON SOCIAL" dataDxfId="49" totalsRowDxfId="48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4000-000007000000}" name="IMPORTE NETO" totalsRowFunction="sum" dataDxfId="47" totalsRowDxfId="46" dataCellStyle="Normal 3"/>
    <tableColumn id="8" xr3:uid="{00000000-0010-0000-4000-000008000000}" name="IVA 21%" totalsRowFunction="sum" dataDxfId="45" totalsRowDxfId="44" dataCellStyle="Normal 3">
      <calculatedColumnFormula>ventas_b_mes11[[#This Row],[IMPORTE NETO]]*0.21</calculatedColumnFormula>
    </tableColumn>
    <tableColumn id="9" xr3:uid="{00000000-0010-0000-4000-000009000000}" name="IVA 10,5%" totalsRowFunction="sum" dataDxfId="43" totalsRowDxfId="42" dataCellStyle="Normal 3"/>
    <tableColumn id="10" xr3:uid="{00000000-0010-0000-4000-00000A000000}" name="EXENTO" totalsRowFunction="sum" dataDxfId="41" totalsRowDxfId="40" dataCellStyle="Normal 3"/>
    <tableColumn id="11" xr3:uid="{00000000-0010-0000-4000-00000B000000}" name="TOTAL" totalsRowFunction="sum" dataDxfId="39" totalsRowDxfId="38" dataCellStyle="Normal 3">
      <calculatedColumnFormula>ventas_b_mes11[[#This Row],[EXENTO]]+ventas_b_mes11[[#This Row],[IVA 10,5%]]+ventas_b_mes11[[#This Row],[IVA 21%]]+ventas_b_mes11[[#This Row],[IMPORTE NETO]]</calculatedColumnFormula>
    </tableColumn>
    <tableColumn id="12" xr3:uid="{00000000-0010-0000-4000-00000C000000}" name="Provincia" totalsRowFunction="count" dataDxfId="37" totalsRowDxfId="36" dataCellStyle="Normal 3"/>
  </tableColumns>
  <tableStyleInfo name="Tabla Ventas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1000000}" name="extracto_banco_mes11" displayName="extracto_banco_mes11" ref="D33:M37" totalsRowCount="1" headerRowDxfId="35" dataDxfId="34" totalsRowDxfId="32" tableBorderDxfId="33" dataCellStyle="Normal 3">
  <autoFilter ref="D33:M36" xr:uid="{00000000-0009-0000-0100-00004F000000}"/>
  <tableColumns count="10">
    <tableColumn id="1" xr3:uid="{00000000-0010-0000-4100-000001000000}" name="FECHA" totalsRowLabel="Total" dataDxfId="31" totalsRowDxfId="30" dataCellStyle="Normal 3"/>
    <tableColumn id="2" xr3:uid="{00000000-0010-0000-4100-000002000000}" name="NRO CPTE" dataDxfId="29" totalsRowDxfId="28"/>
    <tableColumn id="3" xr3:uid="{00000000-0010-0000-4100-000003000000}" name="BANCO" dataDxfId="27" totalsRowDxfId="26"/>
    <tableColumn id="4" xr3:uid="{00000000-0010-0000-4100-000004000000}" name="NETO" totalsRowFunction="sum" dataDxfId="25" totalsRowDxfId="24" dataCellStyle="Normal 3"/>
    <tableColumn id="5" xr3:uid="{00000000-0010-0000-4100-000005000000}" name="IVA 21%" totalsRowFunction="sum" dataDxfId="23" totalsRowDxfId="22" dataCellStyle="Normal 3">
      <calculatedColumnFormula>extracto_banco_mes11[[#This Row],[NETO]]*0.21</calculatedColumnFormula>
    </tableColumn>
    <tableColumn id="6" xr3:uid="{00000000-0010-0000-4100-000006000000}" name="IVA 10,5%" totalsRowFunction="sum" dataDxfId="21" totalsRowDxfId="20" dataCellStyle="Normal 3"/>
    <tableColumn id="7" xr3:uid="{00000000-0010-0000-4100-000007000000}" name="RET IIBB CABA" totalsRowFunction="sum" dataDxfId="19" totalsRowDxfId="18" dataCellStyle="Normal 3"/>
    <tableColumn id="8" xr3:uid="{00000000-0010-0000-4100-000008000000}" name="PERC IVA" totalsRowFunction="sum" dataDxfId="17" totalsRowDxfId="16" dataCellStyle="Normal 3"/>
    <tableColumn id="9" xr3:uid="{00000000-0010-0000-4100-000009000000}" name="PERC IIBB" totalsRowFunction="sum" dataDxfId="15" totalsRowDxfId="14" dataCellStyle="Normal 3"/>
    <tableColumn id="10" xr3:uid="{6409A44E-49B3-43DE-9AE2-D2A9126D8DD8}" name="TOTAL" totalsRowFunction="sum" dataDxfId="13" totalsRowDxfId="12" dataCellStyle="Normal 3">
      <calculatedColumnFormula>SUM(extracto_banco_mes11[[#This Row],[NETO]:[PERC IIBB]])</calculatedColumnFormula>
    </tableColumn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2000000}" name="Retenciones_mes11" displayName="Retenciones_mes11" ref="C103:L108" totalsRowShown="0" headerRowDxfId="11" dataDxfId="10" headerRowCellStyle="Normal 3" dataCellStyle="Normal 3">
  <autoFilter ref="C103:L108" xr:uid="{00000000-0009-0000-0100-000050000000}"/>
  <tableColumns count="10">
    <tableColumn id="1" xr3:uid="{00000000-0010-0000-4200-000001000000}" name="FECHA " dataDxfId="9" dataCellStyle="Normal 3"/>
    <tableColumn id="2" xr3:uid="{00000000-0010-0000-4200-000002000000}" name="COMP Nº" dataDxfId="8" dataCellStyle="Normal 3"/>
    <tableColumn id="3" xr3:uid="{00000000-0010-0000-4200-000003000000}" name="Columna1" dataDxfId="7" dataCellStyle="Normal 3"/>
    <tableColumn id="4" xr3:uid="{00000000-0010-0000-4200-000004000000}" name="CUIT" dataDxfId="6" dataCellStyle="Normal 3"/>
    <tableColumn id="5" xr3:uid="{00000000-0010-0000-4200-000005000000}" name="RAZON SOCIAL" dataDxfId="5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4200-000006000000}" name="Ganancias" dataDxfId="4" dataCellStyle="Normal 3"/>
    <tableColumn id="7" xr3:uid="{00000000-0010-0000-4200-000007000000}" name="IVA" dataDxfId="3" dataCellStyle="Normal 3"/>
    <tableColumn id="8" xr3:uid="{00000000-0010-0000-4200-000008000000}" name="SUSS" dataDxfId="2" dataCellStyle="Normal 3"/>
    <tableColumn id="9" xr3:uid="{00000000-0010-0000-4200-000009000000}" name="IIBB BSAS" dataDxfId="1" dataCellStyle="Normal 3"/>
    <tableColumn id="10" xr3:uid="{00000000-0010-0000-4200-00000A000000}" name="IIBB CABA" dataDxfId="0" dataCellStyle="Normal 3"/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DFE517-60E2-4569-B8BE-9BE4895329B0}" name="compras_mes113" displayName="compras_mes113" ref="B8:R27" totalsRowCount="1" headerRowDxfId="1757" dataDxfId="1756" totalsRowDxfId="1755">
  <autoFilter ref="B8:R26" xr:uid="{00000000-0009-0000-0100-00004B000000}"/>
  <sortState xmlns:xlrd2="http://schemas.microsoft.com/office/spreadsheetml/2017/richdata2" ref="B9:R26">
    <sortCondition ref="G8:G26"/>
  </sortState>
  <tableColumns count="17">
    <tableColumn id="1" xr3:uid="{8D1AA45E-086A-46E0-B700-921731772A1A}" name="FECHA" totalsRowLabel="Total" dataDxfId="1754" totalsRowDxfId="1753" dataCellStyle="Normal 3"/>
    <tableColumn id="2" xr3:uid="{54EBA93B-C40E-488B-862B-484F05716492}" name="TIPO" dataDxfId="1752" totalsRowDxfId="1751" dataCellStyle="Normal 3"/>
    <tableColumn id="3" xr3:uid="{2E2EEDDE-9798-4BE2-850F-8B4ABDE476AF}" name="PTO VTA" dataDxfId="1750" totalsRowDxfId="1749" dataCellStyle="Normal 3"/>
    <tableColumn id="4" xr3:uid="{D222D109-3BE8-4D68-A0F6-25F6EF59A066}" name="NRO. CPTE" dataDxfId="1748" totalsRowDxfId="1747" dataCellStyle="Normal 3"/>
    <tableColumn id="5" xr3:uid="{C862C2EA-D85B-4F37-8D5E-F6F6DC9AE046}" name="CUIT" dataDxfId="1746" totalsRowDxfId="1745" dataCellStyle="Normal 3"/>
    <tableColumn id="6" xr3:uid="{409B591F-1102-409B-8A0B-F3ED85144A6C}" name="RAZON SOCIAL" dataDxfId="1744" totalsRowDxfId="1743" dataCellStyle="Normal 3">
      <calculatedColumnFormula>IFERROR(IF(compras_mes113[[#This Row],[CUIT]]="","-",VLOOKUP(compras_mes113[[#This Row],[CUIT]],Lista_CUIT[#All],2,0)),"CUIT NO CARGADO")</calculatedColumnFormula>
    </tableColumn>
    <tableColumn id="7" xr3:uid="{C0395F1B-BD95-45A4-BDB0-72FF02CE10CF}" name="NETO GRAVADO" totalsRowFunction="sum" dataDxfId="1742" totalsRowDxfId="1741" dataCellStyle="Normal 3"/>
    <tableColumn id="8" xr3:uid="{451FF8DB-B8AB-4518-8660-32CE6BBD3370}" name="IVA 21 %" totalsRowFunction="sum" dataDxfId="1740" totalsRowDxfId="1739" dataCellStyle="Normal 3">
      <calculatedColumnFormula>IF(compras_mes113[[#This Row],[NETO GRAVADO]]="","",compras_mes113[[#This Row],[NETO GRAVADO]]*0.21)</calculatedColumnFormula>
    </tableColumn>
    <tableColumn id="9" xr3:uid="{CC6D8066-A3CA-406F-A0CB-D9AE0F5E72D4}" name="IVA 27%" totalsRowFunction="sum" dataDxfId="1738" totalsRowDxfId="1737" dataCellStyle="Normal 3"/>
    <tableColumn id="10" xr3:uid="{CB54114F-8A97-458B-8C2D-B0456E6771F8}" name="IVA 10,5%" totalsRowFunction="sum" dataDxfId="1736" totalsRowDxfId="1735" dataCellStyle="Normal 3"/>
    <tableColumn id="11" xr3:uid="{C4320030-4958-44E4-85CD-027DB3453710}" name="PERC. IVA" totalsRowFunction="sum" dataDxfId="1734" totalsRowDxfId="1733" dataCellStyle="Normal 3"/>
    <tableColumn id="12" xr3:uid="{EF5EF11A-83DD-44C9-A669-C35DEC01FFB0}" name="PERC IIBB _x000a_BS AS" totalsRowFunction="sum" dataDxfId="1732" totalsRowDxfId="1731" dataCellStyle="Normal 3"/>
    <tableColumn id="13" xr3:uid="{2E46AFBF-CE50-4C9C-937C-53F9E4337DCE}" name="PERC. IIBB CABA" totalsRowFunction="sum" dataDxfId="1730" totalsRowDxfId="1729" dataCellStyle="Normal 3"/>
    <tableColumn id="14" xr3:uid="{77FC7380-F55D-4883-92AF-D119D4DC4283}" name="Otros - No Grav." totalsRowFunction="sum" dataDxfId="1728" totalsRowDxfId="1727" dataCellStyle="Normal 3"/>
    <tableColumn id="15" xr3:uid="{70129695-63CB-4E3C-97A5-62770AD87532}" name="TOTAL" totalsRowFunction="sum" dataDxfId="1726" totalsRowDxfId="1725" dataCellStyle="Normal 3">
      <calculatedColumnFormula>SUM(compras_mes113[[#This Row],[NETO GRAVADO]:[Otros - No Grav.]])</calculatedColumnFormula>
    </tableColumn>
    <tableColumn id="16" xr3:uid="{BC0F6BB2-9ACB-49B9-A69A-E39304713C36}" name="Tipo de Gasto" dataDxfId="1724" totalsRowDxfId="1723" dataCellStyle="Normal 3">
      <calculatedColumnFormula>IFERROR(IF(compras_mes113[[#This Row],[CUIT]]="","-",VLOOKUP(compras_mes113[[#This Row],[CUIT]],Lista_CUIT[#All],3,0)),"CUIT NO CARGADO")</calculatedColumnFormula>
    </tableColumn>
    <tableColumn id="17" xr3:uid="{2C90EB26-3C7D-4F94-8667-5DA3AB094E63}" name="Provincia" dataDxfId="1722" totalsRowDxfId="1721" dataCellStyle="Normal 3">
      <calculatedColumnFormula>IFERROR(IF(compras_mes113[[#This Row],[CUIT]]="","-",VLOOKUP(compras_mes113[[#This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7BDF31C-2425-4E69-8DD2-93437D1D14DB}" name="factura_c_mes1152" displayName="factura_c_mes1152" ref="D42:K51" totalsRowCount="1" headerRowDxfId="1720" dataDxfId="1719" totalsRowDxfId="1718" headerRowCellStyle="Normal 3">
  <autoFilter ref="D42:K50" xr:uid="{00000000-0009-0000-0100-00004C000000}"/>
  <sortState xmlns:xlrd2="http://schemas.microsoft.com/office/spreadsheetml/2017/richdata2" ref="D43:K85">
    <sortCondition ref="F167:F209"/>
  </sortState>
  <tableColumns count="8">
    <tableColumn id="1" xr3:uid="{93ACDE1F-545A-42CD-8A3B-DAF35116C436}" name="FECHA" totalsRowLabel="Total" dataDxfId="1717" totalsRowDxfId="1716" dataCellStyle="Normal 3"/>
    <tableColumn id="2" xr3:uid="{E9039DBF-239F-44AD-8FC7-B7DC9437E78D}" name="PTO VTA" dataDxfId="1715" totalsRowDxfId="1714" dataCellStyle="Normal 3"/>
    <tableColumn id="3" xr3:uid="{303093EE-7E79-4CCD-9B91-C67FB5AEF9CE}" name="FC Nº" dataDxfId="1713" totalsRowDxfId="1712" dataCellStyle="Normal 3"/>
    <tableColumn id="4" xr3:uid="{68A1A8E5-C080-49F7-AB02-FD07C165E696}" name="CUIT" dataDxfId="1711" totalsRowDxfId="1710" dataCellStyle="Normal 3"/>
    <tableColumn id="5" xr3:uid="{50A03FE2-2D95-483C-B6B8-1504F45F6EB1}" name="RAZON SOCIAL" dataDxfId="1709" totalsRowDxfId="1708" dataCellStyle="Normal 3">
      <calculatedColumnFormula>IFERROR(IF(factura_c_mes1152[[#This Row],[CUIT]]="","-",VLOOKUP(factura_c_mes1152[[#This Row],[CUIT]],Lista_CUIT[#All],2,0)),"CUIT NO CARGADO")</calculatedColumnFormula>
    </tableColumn>
    <tableColumn id="6" xr3:uid="{35FB9B7A-D054-4D73-88C8-9006A94EC540}" name="TOTAL" totalsRowFunction="sum" dataDxfId="1707" totalsRowDxfId="1706" dataCellStyle="Normal 3"/>
    <tableColumn id="7" xr3:uid="{10D2DD0A-25F0-41BA-B0B4-5AB614025BC0}" name="TIPO DE GASTO" dataDxfId="1705" totalsRowDxfId="1704" dataCellStyle="Normal 3">
      <calculatedColumnFormula>IFERROR(IF(factura_c_mes1152[[#This Row],[CUIT]]="","-",VLOOKUP(factura_c_mes1152[[#This Row],[CUIT]],Lista_CUIT[#All],3,0)),"CUIT NO CARGADO")</calculatedColumnFormula>
    </tableColumn>
    <tableColumn id="8" xr3:uid="{BC017311-7B6D-46DB-9FD5-BBD81B81D28F}" name="Provincia" dataDxfId="1703" totalsRowDxfId="1702" dataCellStyle="Normal 3">
      <calculatedColumnFormula>IFERROR(IF(factura_c_mes1152[[#This Row],[CUIT]]="","-",VLOOKUP(factura_c_mes1152[[#This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002428A-ED2B-4E96-84FC-0AB095B321A7}" name="venta_a_mes1153" displayName="venta_a_mes1153" ref="B61:M88" totalsRowCount="1" headerRowDxfId="1701" dataDxfId="1699" headerRowBorderDxfId="1700" tableBorderDxfId="1698" totalsRowBorderDxfId="1697" dataCellStyle="Normal 3">
  <autoFilter ref="B61:M87" xr:uid="{00000000-0009-0000-0100-00004D000000}"/>
  <sortState xmlns:xlrd2="http://schemas.microsoft.com/office/spreadsheetml/2017/richdata2" ref="B62:M202">
    <sortCondition ref="D88:D229"/>
  </sortState>
  <tableColumns count="12">
    <tableColumn id="1" xr3:uid="{2F72F9E2-4461-46F7-B249-EABEC294E805}" name="FECHA" totalsRowLabel="Total" dataDxfId="1696" totalsRowDxfId="1695" dataCellStyle="Normal 3"/>
    <tableColumn id="2" xr3:uid="{3A1A1555-57B6-43F2-B42D-5313A95D8CA3}" name="TIPO" dataDxfId="1694" totalsRowDxfId="1693" dataCellStyle="Normal 3"/>
    <tableColumn id="3" xr3:uid="{087A9A71-844A-494B-93B8-1F4175FF20EE}" name="PTO VENTA" dataDxfId="1692" totalsRowDxfId="1691" dataCellStyle="Normal 3"/>
    <tableColumn id="4" xr3:uid="{6C12199B-790B-45D5-A9EE-78841DA85641}" name="Nº FACTURA" dataDxfId="1690" totalsRowDxfId="1689" dataCellStyle="Normal 3"/>
    <tableColumn id="5" xr3:uid="{953C3AEE-3642-4BB9-B5FD-7E1808763EC9}" name="CUIT" dataDxfId="1688" totalsRowDxfId="1687" dataCellStyle="Normal 3"/>
    <tableColumn id="6" xr3:uid="{EF02AED0-EF9E-4BE3-882B-F5653C76CFBE}" name="RAZON SOCIAL" dataDxfId="1686" totalsRowDxfId="1685" dataCellStyle="Normal 3">
      <calculatedColumnFormula>IFERROR(IF(venta_a_mes1153[[#This Row],[CUIT]]="","-",VLOOKUP(venta_a_mes1153[[#This Row],[CUIT]],Lista_CUIT[#All],2,0)),"CUIT NO CARGADO")</calculatedColumnFormula>
    </tableColumn>
    <tableColumn id="7" xr3:uid="{DEAD6DAE-C5E9-42B0-BD5A-B3114246214D}" name="IMPORTE NETO" totalsRowFunction="sum" dataDxfId="1684" totalsRowDxfId="1683" dataCellStyle="Normal 3"/>
    <tableColumn id="8" xr3:uid="{EF2BDED6-3EB0-4521-954B-A58D5924ECDA}" name="IVA 21%" totalsRowFunction="sum" dataDxfId="1682" totalsRowDxfId="1681" dataCellStyle="Normal 3">
      <calculatedColumnFormula>venta_a_mes1153[[#This Row],[IMPORTE NETO]]*0.21</calculatedColumnFormula>
    </tableColumn>
    <tableColumn id="9" xr3:uid="{72FE4575-895D-4948-86B5-862635C5177F}" name="IVA 10,5%" totalsRowFunction="sum" dataDxfId="1680" totalsRowDxfId="1679" dataCellStyle="Normal 3"/>
    <tableColumn id="10" xr3:uid="{4500E067-9C00-40BE-B781-FA4532552AC4}" name="EXENTO" totalsRowFunction="sum" dataDxfId="1678" totalsRowDxfId="1677" dataCellStyle="Normal 3"/>
    <tableColumn id="11" xr3:uid="{A96790F8-3DE3-4D06-BC99-F538354E55B4}" name="TOTAL" totalsRowFunction="sum" dataDxfId="1676" totalsRowDxfId="1675" dataCellStyle="Normal 3">
      <calculatedColumnFormula>SUM(venta_a_mes1153[[#This Row],[IMPORTE NETO]:[EXENTO]])</calculatedColumnFormula>
    </tableColumn>
    <tableColumn id="12" xr3:uid="{FD2F3906-3A5D-462D-86A9-FE6024DC4A92}" name="Provincia" totalsRowFunction="count" dataDxfId="1674" totalsRowDxfId="1673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0065795-5730-46F8-B492-6B6912B4B20F}" name="ventas_b_mes1154" displayName="ventas_b_mes1154" ref="B91:M100" totalsRowCount="1" headerRowDxfId="1672" dataDxfId="1670" headerRowBorderDxfId="1671" tableBorderDxfId="1669" totalsRowBorderDxfId="1668" dataCellStyle="Normal 3">
  <autoFilter ref="B91:M99" xr:uid="{00000000-0009-0000-0100-00004E000000}"/>
  <sortState xmlns:xlrd2="http://schemas.microsoft.com/office/spreadsheetml/2017/richdata2" ref="B92:M232">
    <sortCondition ref="E100:E241"/>
  </sortState>
  <tableColumns count="12">
    <tableColumn id="1" xr3:uid="{61FD5BFC-B4C0-49E1-ABBA-A89262BF7C2B}" name="FECHA" totalsRowLabel="Total" dataDxfId="1667" totalsRowDxfId="1666" dataCellStyle="Normal 3"/>
    <tableColumn id="2" xr3:uid="{C8BDDEDF-1E9C-47E4-8B3D-882329437629}" name="TIPO" dataDxfId="1665" totalsRowDxfId="1664" dataCellStyle="Normal 3"/>
    <tableColumn id="3" xr3:uid="{53E8D132-A1C7-470A-8963-38789BA6D0E5}" name="PTO VENTA" dataDxfId="1663" totalsRowDxfId="1662" dataCellStyle="Normal 3"/>
    <tableColumn id="4" xr3:uid="{B984D540-EDA9-4ED6-BC37-C423774240DA}" name="Nº FACTURA" dataDxfId="1661" totalsRowDxfId="1660" dataCellStyle="Normal 3"/>
    <tableColumn id="5" xr3:uid="{464B19D3-E49E-444E-89B0-CE1DAD033405}" name="CUIT" dataDxfId="1659" totalsRowDxfId="1658" dataCellStyle="Normal 3"/>
    <tableColumn id="6" xr3:uid="{DC861524-D5DC-496F-97E8-BF4AB28B939B}" name="RAZON SOCIAL" dataDxfId="1657" totalsRowDxfId="1656" dataCellStyle="Normal 3">
      <calculatedColumnFormula>IFERROR(IF(ventas_b_mes1154[[#This Row],[CUIT]]="","-",VLOOKUP(ventas_b_mes1154[[#This Row],[CUIT]],Lista_CUIT[#All],2,0)),"CUIT NO CARGADO")</calculatedColumnFormula>
    </tableColumn>
    <tableColumn id="7" xr3:uid="{B0F2DAEF-52FE-46D7-A809-9B45EBAF2DBB}" name="IMPORTE NETO" totalsRowFunction="sum" dataDxfId="1655" totalsRowDxfId="1654" dataCellStyle="Normal 3"/>
    <tableColumn id="8" xr3:uid="{381268F3-D211-4189-A5FF-DDEF0665D1B8}" name="IVA 21%" totalsRowFunction="sum" dataDxfId="1653" totalsRowDxfId="1652" dataCellStyle="Normal 3">
      <calculatedColumnFormula>ventas_b_mes1154[[#This Row],[IMPORTE NETO]]*0.21</calculatedColumnFormula>
    </tableColumn>
    <tableColumn id="9" xr3:uid="{5FF0A915-1DF8-460B-AECC-C49A8BCD11F9}" name="IVA 10,5%" totalsRowFunction="sum" dataDxfId="1651" totalsRowDxfId="1650" dataCellStyle="Normal 3"/>
    <tableColumn id="10" xr3:uid="{1150D9DF-788A-4341-94D9-9CB0E7651B1C}" name="EXENTO" totalsRowFunction="sum" dataDxfId="1649" totalsRowDxfId="1648" dataCellStyle="Normal 3"/>
    <tableColumn id="11" xr3:uid="{BEC97ACA-1529-4B56-BD2A-5FF3E3BDEBCB}" name="TOTAL" totalsRowFunction="sum" dataDxfId="1647" totalsRowDxfId="1646" dataCellStyle="Normal 3">
      <calculatedColumnFormula>ventas_b_mes1154[[#This Row],[EXENTO]]+ventas_b_mes1154[[#This Row],[IVA 10,5%]]+ventas_b_mes1154[[#This Row],[IVA 21%]]+ventas_b_mes1154[[#This Row],[IMPORTE NETO]]</calculatedColumnFormula>
    </tableColumn>
    <tableColumn id="12" xr3:uid="{4292E524-2E2E-48F5-AFE3-B60C2D2A255A}" name="Provincia" totalsRowFunction="count" dataDxfId="1645" totalsRowDxfId="1644" dataCellStyle="Normal 3"/>
  </tableColumns>
  <tableStyleInfo name="Tabla Ventas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5A91A21-9ABA-47ED-93A8-89DFFB74EEAD}" name="extracto_banco_mes1155" displayName="extracto_banco_mes1155" ref="D33:M37" totalsRowCount="1" headerRowDxfId="1643" dataDxfId="1642" totalsRowDxfId="1640" tableBorderDxfId="1641" dataCellStyle="Normal 3">
  <autoFilter ref="D33:M36" xr:uid="{00000000-0009-0000-0100-00004F000000}"/>
  <tableColumns count="10">
    <tableColumn id="1" xr3:uid="{ABB45894-1322-451E-A23D-6833BD2E1FB2}" name="FECHA" totalsRowLabel="Total" dataDxfId="1639" totalsRowDxfId="1638" dataCellStyle="Normal 3"/>
    <tableColumn id="2" xr3:uid="{513CCE93-76D6-41CA-9699-728B107EF641}" name="NRO CPTE" dataDxfId="1637" totalsRowDxfId="1636"/>
    <tableColumn id="3" xr3:uid="{9FF81CF0-5FE5-4957-AC5B-FBCF36612CD1}" name="BANCO" dataDxfId="1635" totalsRowDxfId="1634"/>
    <tableColumn id="4" xr3:uid="{C151F455-24B7-4E5A-90E4-A38DF483CA1A}" name="NETO" totalsRowFunction="sum" dataDxfId="1633" totalsRowDxfId="1632" dataCellStyle="Normal 3"/>
    <tableColumn id="5" xr3:uid="{47BD4BC7-DB28-4D90-ABFC-27C549BD42D4}" name="IVA 21%" totalsRowFunction="sum" dataDxfId="1631" totalsRowDxfId="1630" dataCellStyle="Normal 3">
      <calculatedColumnFormula>extracto_banco_mes1155[[#This Row],[NETO]]*0.21</calculatedColumnFormula>
    </tableColumn>
    <tableColumn id="6" xr3:uid="{F65B8E7D-15FD-497D-9FC3-E0D9F9461BF8}" name="IVA 10,5%" totalsRowFunction="sum" dataDxfId="1629" totalsRowDxfId="1628" dataCellStyle="Normal 3"/>
    <tableColumn id="7" xr3:uid="{410C673F-1D00-45AF-ACCD-629C116174A2}" name="RET IIBB CABA" totalsRowFunction="sum" dataDxfId="1627" totalsRowDxfId="1626" dataCellStyle="Normal 3"/>
    <tableColumn id="8" xr3:uid="{D144966A-DF6C-41E8-8D26-004971347144}" name="PERC IVA" totalsRowFunction="sum" dataDxfId="1625" totalsRowDxfId="1624" dataCellStyle="Normal 3"/>
    <tableColumn id="9" xr3:uid="{D11DB4B6-4DF2-446B-BB16-BF90C813A965}" name="PERC IIBB" totalsRowFunction="sum" dataDxfId="1623" totalsRowDxfId="1622" dataCellStyle="Normal 3"/>
    <tableColumn id="10" xr3:uid="{B70DCF18-B26D-46B9-8F52-B2A8773E5532}" name="TOTAL" totalsRowFunction="sum" dataDxfId="1621" totalsRowDxfId="1620" dataCellStyle="Normal 3">
      <calculatedColumnFormula>SUM(extracto_banco_mes1155[[#This Row],[NETO]:[PERC IIBB]])</calculatedColumnFormula>
    </tableColumn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589916D-5AB1-4400-808E-A30182C4646D}" name="Retenciones_mes1156" displayName="Retenciones_mes1156" ref="C103:L108" totalsRowShown="0" headerRowDxfId="1619" dataDxfId="1618" headerRowCellStyle="Normal 3" dataCellStyle="Normal 3">
  <autoFilter ref="C103:L108" xr:uid="{00000000-0009-0000-0100-000050000000}"/>
  <tableColumns count="10">
    <tableColumn id="1" xr3:uid="{F5F00534-1B22-4F38-B6E5-03EE8E15360B}" name="FECHA " dataDxfId="1617" dataCellStyle="Normal 3"/>
    <tableColumn id="2" xr3:uid="{70FA6993-D042-4591-ADCB-1D26B7BAAC59}" name="COMP Nº" dataDxfId="1616" dataCellStyle="Normal 3"/>
    <tableColumn id="3" xr3:uid="{D6FF7625-453B-483C-95EB-A221F43CD843}" name="Columna1" dataDxfId="1615" dataCellStyle="Normal 3"/>
    <tableColumn id="4" xr3:uid="{FCF87B51-A287-4172-AD3D-E8ED3E08DE79}" name="CUIT" dataDxfId="1614" dataCellStyle="Normal 3"/>
    <tableColumn id="5" xr3:uid="{172FB672-0087-45B1-97BA-7F8F3A7332DC}" name="RAZON SOCIAL" dataDxfId="1613" dataCellStyle="Normal 3">
      <calculatedColumnFormula>IFERROR(IF(Retenciones_mes1156[[#This Row],[CUIT]]="","-",VLOOKUP(Retenciones_mes1156[[#This Row],[CUIT]],Lista_CUIT[#All],2,0)),"CUIT NO CARGADO")</calculatedColumnFormula>
    </tableColumn>
    <tableColumn id="6" xr3:uid="{F63C4EA1-B0F0-425A-9ED3-DB9975FFA6C0}" name="Ganancias" dataDxfId="1612" dataCellStyle="Normal 3"/>
    <tableColumn id="7" xr3:uid="{1A1DB9AB-DBE5-4320-BB11-379979E16804}" name="IVA" dataDxfId="1611" dataCellStyle="Normal 3"/>
    <tableColumn id="8" xr3:uid="{54A84614-AF28-45FE-8717-AA9050BE26FC}" name="SUSS" dataDxfId="1610" dataCellStyle="Normal 3"/>
    <tableColumn id="9" xr3:uid="{714A188A-B527-4B92-B01D-B8020AE9C837}" name="IIBB BSAS" dataDxfId="1609" dataCellStyle="Normal 3"/>
    <tableColumn id="10" xr3:uid="{18865C36-D2E4-43F5-B54D-7A31A6347CF0}" name="IIBB CABA" dataDxfId="1608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482"/>
  <sheetViews>
    <sheetView zoomScaleNormal="100" workbookViewId="0">
      <selection activeCell="B1" sqref="B1"/>
    </sheetView>
  </sheetViews>
  <sheetFormatPr baseColWidth="10" defaultRowHeight="14.4" x14ac:dyDescent="0.3"/>
  <cols>
    <col min="1" max="1" width="14.5546875" style="35" customWidth="1"/>
    <col min="2" max="2" width="80.88671875" bestFit="1" customWidth="1"/>
    <col min="3" max="3" width="20" style="35" bestFit="1" customWidth="1"/>
    <col min="4" max="4" width="15" bestFit="1" customWidth="1"/>
    <col min="7" max="7" width="20.5546875" customWidth="1"/>
  </cols>
  <sheetData>
    <row r="1" spans="1:7" x14ac:dyDescent="0.3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3">
      <c r="A2" s="36">
        <f>21779325</f>
        <v>21779325</v>
      </c>
      <c r="B2" t="s">
        <v>102</v>
      </c>
      <c r="C2" s="35" t="s">
        <v>78</v>
      </c>
      <c r="G2" s="122" t="s">
        <v>83</v>
      </c>
    </row>
    <row r="3" spans="1:7" x14ac:dyDescent="0.3">
      <c r="A3" s="36">
        <f>12999779</f>
        <v>12999779</v>
      </c>
      <c r="B3" t="s">
        <v>103</v>
      </c>
      <c r="G3" s="123" t="s">
        <v>80</v>
      </c>
    </row>
    <row r="4" spans="1:7" x14ac:dyDescent="0.3">
      <c r="A4" s="36">
        <f>475785</f>
        <v>475785</v>
      </c>
      <c r="B4" t="s">
        <v>104</v>
      </c>
      <c r="G4" s="122" t="s">
        <v>94</v>
      </c>
    </row>
    <row r="5" spans="1:7" x14ac:dyDescent="0.3">
      <c r="A5" s="36">
        <f>32052462</f>
        <v>32052462</v>
      </c>
      <c r="B5" t="s">
        <v>105</v>
      </c>
      <c r="G5" s="123" t="s">
        <v>84</v>
      </c>
    </row>
    <row r="6" spans="1:7" x14ac:dyDescent="0.3">
      <c r="A6" s="36">
        <v>33709585229</v>
      </c>
      <c r="B6" s="2" t="s">
        <v>109</v>
      </c>
      <c r="C6" s="35" t="s">
        <v>233</v>
      </c>
      <c r="G6" s="122" t="s">
        <v>79</v>
      </c>
    </row>
    <row r="7" spans="1:7" x14ac:dyDescent="0.3">
      <c r="A7" s="36">
        <v>30526874249</v>
      </c>
      <c r="B7" t="s">
        <v>106</v>
      </c>
      <c r="C7" s="35" t="s">
        <v>96</v>
      </c>
      <c r="G7" s="123" t="s">
        <v>95</v>
      </c>
    </row>
    <row r="8" spans="1:7" x14ac:dyDescent="0.3">
      <c r="A8" s="36">
        <v>30716711621</v>
      </c>
      <c r="B8" t="s">
        <v>110</v>
      </c>
      <c r="C8" s="35" t="s">
        <v>111</v>
      </c>
      <c r="D8" t="s">
        <v>107</v>
      </c>
      <c r="G8" s="122" t="s">
        <v>89</v>
      </c>
    </row>
    <row r="9" spans="1:7" x14ac:dyDescent="0.3">
      <c r="A9" s="36">
        <v>30713550201</v>
      </c>
      <c r="B9" t="s">
        <v>112</v>
      </c>
      <c r="G9" s="123" t="s">
        <v>78</v>
      </c>
    </row>
    <row r="10" spans="1:7" x14ac:dyDescent="0.3">
      <c r="A10" s="36">
        <v>20357182914</v>
      </c>
      <c r="B10" t="s">
        <v>113</v>
      </c>
      <c r="G10" s="122" t="s">
        <v>96</v>
      </c>
    </row>
    <row r="11" spans="1:7" x14ac:dyDescent="0.3">
      <c r="A11" s="36">
        <v>30715380567</v>
      </c>
      <c r="B11" t="s">
        <v>114</v>
      </c>
      <c r="G11" s="123" t="s">
        <v>87</v>
      </c>
    </row>
    <row r="12" spans="1:7" x14ac:dyDescent="0.3">
      <c r="A12" s="36">
        <v>33716435909</v>
      </c>
      <c r="B12" t="s">
        <v>115</v>
      </c>
      <c r="G12" s="122" t="s">
        <v>92</v>
      </c>
    </row>
    <row r="13" spans="1:7" x14ac:dyDescent="0.3">
      <c r="A13" s="36">
        <v>30715313967</v>
      </c>
      <c r="B13" t="s">
        <v>116</v>
      </c>
      <c r="G13" s="123" t="s">
        <v>97</v>
      </c>
    </row>
    <row r="14" spans="1:7" x14ac:dyDescent="0.3">
      <c r="A14" s="36">
        <v>27240934499</v>
      </c>
      <c r="B14" t="s">
        <v>117</v>
      </c>
      <c r="G14" s="122" t="s">
        <v>98</v>
      </c>
    </row>
    <row r="15" spans="1:7" x14ac:dyDescent="0.3">
      <c r="A15" s="36">
        <v>20367341808</v>
      </c>
      <c r="B15" t="s">
        <v>118</v>
      </c>
      <c r="G15" s="123" t="s">
        <v>85</v>
      </c>
    </row>
    <row r="16" spans="1:7" x14ac:dyDescent="0.3">
      <c r="A16" s="36">
        <v>30717477681</v>
      </c>
      <c r="B16" t="s">
        <v>119</v>
      </c>
      <c r="G16" s="122" t="s">
        <v>82</v>
      </c>
    </row>
    <row r="17" spans="1:7" x14ac:dyDescent="0.3">
      <c r="A17" s="36">
        <v>30717973166</v>
      </c>
      <c r="B17" t="s">
        <v>120</v>
      </c>
      <c r="G17" s="123" t="s">
        <v>99</v>
      </c>
    </row>
    <row r="18" spans="1:7" x14ac:dyDescent="0.3">
      <c r="A18" s="36">
        <v>30717170594</v>
      </c>
      <c r="B18" t="s">
        <v>121</v>
      </c>
      <c r="G18" s="122" t="s">
        <v>81</v>
      </c>
    </row>
    <row r="19" spans="1:7" x14ac:dyDescent="0.3">
      <c r="A19" s="36">
        <v>30716778041</v>
      </c>
      <c r="B19" t="s">
        <v>122</v>
      </c>
      <c r="G19" s="123" t="s">
        <v>100</v>
      </c>
    </row>
    <row r="20" spans="1:7" x14ac:dyDescent="0.3">
      <c r="A20" s="36">
        <v>20284212488</v>
      </c>
      <c r="B20" t="s">
        <v>123</v>
      </c>
      <c r="G20" s="122" t="s">
        <v>86</v>
      </c>
    </row>
    <row r="21" spans="1:7" x14ac:dyDescent="0.3">
      <c r="A21" s="36">
        <v>20391525227</v>
      </c>
      <c r="B21" t="s">
        <v>124</v>
      </c>
      <c r="G21" s="123" t="s">
        <v>88</v>
      </c>
    </row>
    <row r="22" spans="1:7" x14ac:dyDescent="0.3">
      <c r="A22" s="36">
        <v>30715941763</v>
      </c>
      <c r="B22" t="s">
        <v>125</v>
      </c>
      <c r="G22" s="122" t="s">
        <v>101</v>
      </c>
    </row>
    <row r="23" spans="1:7" x14ac:dyDescent="0.3">
      <c r="A23" s="36">
        <v>20252582704</v>
      </c>
      <c r="B23" t="s">
        <v>126</v>
      </c>
      <c r="G23" t="s">
        <v>233</v>
      </c>
    </row>
    <row r="24" spans="1:7" x14ac:dyDescent="0.3">
      <c r="A24" s="36">
        <v>20391525227</v>
      </c>
      <c r="B24" t="s">
        <v>124</v>
      </c>
    </row>
    <row r="25" spans="1:7" x14ac:dyDescent="0.3">
      <c r="A25" s="36">
        <v>30715380567</v>
      </c>
      <c r="B25" t="s">
        <v>114</v>
      </c>
    </row>
    <row r="26" spans="1:7" x14ac:dyDescent="0.3">
      <c r="A26" s="36">
        <v>20367341808</v>
      </c>
      <c r="B26" t="s">
        <v>118</v>
      </c>
    </row>
    <row r="27" spans="1:7" x14ac:dyDescent="0.3">
      <c r="A27" s="36">
        <v>33716435909</v>
      </c>
      <c r="B27" t="s">
        <v>115</v>
      </c>
    </row>
    <row r="28" spans="1:7" x14ac:dyDescent="0.3">
      <c r="A28" s="36">
        <v>30708026200</v>
      </c>
      <c r="B28" t="s">
        <v>127</v>
      </c>
    </row>
    <row r="29" spans="1:7" x14ac:dyDescent="0.3">
      <c r="A29" s="36">
        <v>30707040900</v>
      </c>
      <c r="B29" t="s">
        <v>128</v>
      </c>
    </row>
    <row r="30" spans="1:7" x14ac:dyDescent="0.3">
      <c r="A30" s="36">
        <v>23380288079</v>
      </c>
      <c r="B30" t="s">
        <v>129</v>
      </c>
      <c r="C30" s="35" t="s">
        <v>235</v>
      </c>
    </row>
    <row r="31" spans="1:7" x14ac:dyDescent="0.3">
      <c r="A31" s="36">
        <v>27341104845</v>
      </c>
      <c r="B31" t="s">
        <v>130</v>
      </c>
      <c r="C31" s="35" t="s">
        <v>234</v>
      </c>
    </row>
    <row r="32" spans="1:7" x14ac:dyDescent="0.3">
      <c r="A32" s="36">
        <v>20300985158</v>
      </c>
      <c r="B32" t="s">
        <v>131</v>
      </c>
      <c r="C32" s="35" t="s">
        <v>235</v>
      </c>
    </row>
    <row r="33" spans="1:3" x14ac:dyDescent="0.3">
      <c r="A33" s="36">
        <v>33712058019</v>
      </c>
      <c r="B33" t="s">
        <v>132</v>
      </c>
    </row>
    <row r="34" spans="1:3" x14ac:dyDescent="0.3">
      <c r="A34" s="36">
        <v>20369492528</v>
      </c>
      <c r="B34" t="s">
        <v>133</v>
      </c>
    </row>
    <row r="35" spans="1:3" x14ac:dyDescent="0.3">
      <c r="A35" s="36">
        <v>20202853391</v>
      </c>
      <c r="B35" t="s">
        <v>134</v>
      </c>
    </row>
    <row r="36" spans="1:3" x14ac:dyDescent="0.3">
      <c r="A36" s="36">
        <v>27165844748</v>
      </c>
      <c r="B36" t="s">
        <v>135</v>
      </c>
    </row>
    <row r="37" spans="1:3" x14ac:dyDescent="0.3">
      <c r="A37" s="36">
        <v>30716797437</v>
      </c>
      <c r="B37" t="s">
        <v>136</v>
      </c>
    </row>
    <row r="38" spans="1:3" x14ac:dyDescent="0.3">
      <c r="A38" s="36">
        <v>20287305460</v>
      </c>
      <c r="B38" t="s">
        <v>137</v>
      </c>
    </row>
    <row r="39" spans="1:3" x14ac:dyDescent="0.3">
      <c r="A39" s="36">
        <v>30710008635</v>
      </c>
      <c r="B39" t="s">
        <v>138</v>
      </c>
    </row>
    <row r="40" spans="1:3" x14ac:dyDescent="0.3">
      <c r="A40" s="36">
        <v>30716914077</v>
      </c>
      <c r="B40" t="s">
        <v>139</v>
      </c>
    </row>
    <row r="41" spans="1:3" x14ac:dyDescent="0.3">
      <c r="A41" s="36">
        <v>20279415656</v>
      </c>
      <c r="B41" t="s">
        <v>140</v>
      </c>
    </row>
    <row r="42" spans="1:3" x14ac:dyDescent="0.3">
      <c r="A42" s="36">
        <v>30681452423</v>
      </c>
      <c r="B42" t="s">
        <v>141</v>
      </c>
    </row>
    <row r="43" spans="1:3" x14ac:dyDescent="0.3">
      <c r="A43" s="36">
        <v>30700477920</v>
      </c>
      <c r="B43" t="s">
        <v>142</v>
      </c>
    </row>
    <row r="44" spans="1:3" x14ac:dyDescent="0.3">
      <c r="A44" s="36">
        <v>30521448608</v>
      </c>
      <c r="B44" t="s">
        <v>143</v>
      </c>
    </row>
    <row r="45" spans="1:3" x14ac:dyDescent="0.3">
      <c r="A45" s="36">
        <v>29811544</v>
      </c>
      <c r="B45" t="s">
        <v>144</v>
      </c>
    </row>
    <row r="46" spans="1:3" x14ac:dyDescent="0.3">
      <c r="A46" s="36">
        <v>30710173652</v>
      </c>
      <c r="B46" t="s">
        <v>145</v>
      </c>
      <c r="C46" s="35" t="s">
        <v>233</v>
      </c>
    </row>
    <row r="47" spans="1:3" x14ac:dyDescent="0.3">
      <c r="A47" s="36">
        <v>33708727569</v>
      </c>
      <c r="B47" t="s">
        <v>146</v>
      </c>
    </row>
    <row r="48" spans="1:3" x14ac:dyDescent="0.3">
      <c r="A48" s="36">
        <v>30717465101</v>
      </c>
      <c r="B48" t="s">
        <v>148</v>
      </c>
    </row>
    <row r="49" spans="1:3" x14ac:dyDescent="0.3">
      <c r="A49" s="36">
        <v>20132082198</v>
      </c>
      <c r="B49" t="s">
        <v>149</v>
      </c>
    </row>
    <row r="50" spans="1:3" x14ac:dyDescent="0.3">
      <c r="A50" s="36">
        <v>30592508830</v>
      </c>
      <c r="B50" t="s">
        <v>150</v>
      </c>
    </row>
    <row r="51" spans="1:3" x14ac:dyDescent="0.3">
      <c r="A51" s="36">
        <v>20246239364</v>
      </c>
      <c r="B51" t="s">
        <v>151</v>
      </c>
    </row>
    <row r="52" spans="1:3" x14ac:dyDescent="0.3">
      <c r="A52" s="36">
        <v>30717969061</v>
      </c>
      <c r="B52" t="s">
        <v>152</v>
      </c>
    </row>
    <row r="53" spans="1:3" x14ac:dyDescent="0.3">
      <c r="A53" s="36">
        <v>30516186670</v>
      </c>
      <c r="B53" t="s">
        <v>153</v>
      </c>
      <c r="C53" s="35" t="s">
        <v>44</v>
      </c>
    </row>
    <row r="54" spans="1:3" x14ac:dyDescent="0.3">
      <c r="A54" s="36">
        <v>27386311000</v>
      </c>
      <c r="B54" t="s">
        <v>154</v>
      </c>
      <c r="C54" s="35" t="s">
        <v>236</v>
      </c>
    </row>
    <row r="55" spans="1:3" x14ac:dyDescent="0.3">
      <c r="A55" s="36">
        <v>20400104094</v>
      </c>
      <c r="B55" t="s">
        <v>155</v>
      </c>
      <c r="C55" s="35" t="s">
        <v>156</v>
      </c>
    </row>
    <row r="56" spans="1:3" x14ac:dyDescent="0.3">
      <c r="A56" s="36">
        <v>30688955749</v>
      </c>
      <c r="B56" t="s">
        <v>157</v>
      </c>
    </row>
    <row r="57" spans="1:3" x14ac:dyDescent="0.3">
      <c r="A57" s="36">
        <v>30716234815</v>
      </c>
      <c r="B57" t="s">
        <v>158</v>
      </c>
    </row>
    <row r="58" spans="1:3" x14ac:dyDescent="0.3">
      <c r="A58" s="36">
        <v>20319747975</v>
      </c>
      <c r="B58" t="s">
        <v>159</v>
      </c>
    </row>
    <row r="59" spans="1:3" x14ac:dyDescent="0.3">
      <c r="A59" s="36">
        <v>20369499956</v>
      </c>
      <c r="B59" t="s">
        <v>162</v>
      </c>
    </row>
    <row r="60" spans="1:3" x14ac:dyDescent="0.3">
      <c r="A60" s="36">
        <v>20178248201</v>
      </c>
      <c r="B60" t="s">
        <v>166</v>
      </c>
    </row>
    <row r="61" spans="1:3" x14ac:dyDescent="0.3">
      <c r="A61" s="36">
        <v>30716549107</v>
      </c>
      <c r="B61" t="s">
        <v>170</v>
      </c>
    </row>
    <row r="62" spans="1:3" x14ac:dyDescent="0.3">
      <c r="A62" s="36">
        <v>20320573948</v>
      </c>
      <c r="B62" t="s">
        <v>171</v>
      </c>
    </row>
    <row r="63" spans="1:3" x14ac:dyDescent="0.3">
      <c r="A63" s="36">
        <v>20277452872</v>
      </c>
      <c r="B63" t="s">
        <v>172</v>
      </c>
    </row>
    <row r="64" spans="1:3" x14ac:dyDescent="0.3">
      <c r="A64" s="36">
        <v>20238882975</v>
      </c>
      <c r="B64" t="s">
        <v>176</v>
      </c>
    </row>
    <row r="65" spans="1:3" x14ac:dyDescent="0.3">
      <c r="A65" s="36">
        <v>27312707980</v>
      </c>
      <c r="B65" t="s">
        <v>177</v>
      </c>
    </row>
    <row r="66" spans="1:3" x14ac:dyDescent="0.3">
      <c r="A66" s="36">
        <v>30718044894</v>
      </c>
      <c r="B66" t="s">
        <v>178</v>
      </c>
    </row>
    <row r="67" spans="1:3" x14ac:dyDescent="0.3">
      <c r="A67" s="36">
        <v>30586172308</v>
      </c>
      <c r="B67" t="s">
        <v>179</v>
      </c>
      <c r="C67" s="35" t="s">
        <v>46</v>
      </c>
    </row>
    <row r="68" spans="1:3" x14ac:dyDescent="0.3">
      <c r="A68" s="36">
        <v>30715428349</v>
      </c>
      <c r="B68" t="s">
        <v>180</v>
      </c>
      <c r="C68" s="35" t="s">
        <v>79</v>
      </c>
    </row>
    <row r="69" spans="1:3" x14ac:dyDescent="0.3">
      <c r="A69" s="36">
        <v>30718553357</v>
      </c>
      <c r="B69" t="s">
        <v>189</v>
      </c>
    </row>
    <row r="70" spans="1:3" x14ac:dyDescent="0.3">
      <c r="A70" s="36">
        <v>24368969350</v>
      </c>
      <c r="B70" t="s">
        <v>190</v>
      </c>
    </row>
    <row r="71" spans="1:3" x14ac:dyDescent="0.3">
      <c r="A71" s="36">
        <v>20347443787</v>
      </c>
      <c r="B71" t="s">
        <v>191</v>
      </c>
    </row>
    <row r="72" spans="1:3" x14ac:dyDescent="0.3">
      <c r="A72" s="36">
        <v>33717319309</v>
      </c>
      <c r="B72" t="s">
        <v>194</v>
      </c>
    </row>
    <row r="73" spans="1:3" x14ac:dyDescent="0.3">
      <c r="A73" s="36">
        <v>33715154809</v>
      </c>
      <c r="B73" t="s">
        <v>192</v>
      </c>
    </row>
    <row r="74" spans="1:3" x14ac:dyDescent="0.3">
      <c r="A74" s="36">
        <v>30718295900</v>
      </c>
      <c r="B74" t="s">
        <v>193</v>
      </c>
    </row>
    <row r="75" spans="1:3" x14ac:dyDescent="0.3">
      <c r="A75" s="36">
        <v>23107861939</v>
      </c>
      <c r="B75" t="s">
        <v>195</v>
      </c>
    </row>
    <row r="76" spans="1:3" x14ac:dyDescent="0.3">
      <c r="A76" s="36">
        <v>30715438360</v>
      </c>
      <c r="B76" t="s">
        <v>196</v>
      </c>
    </row>
    <row r="77" spans="1:3" x14ac:dyDescent="0.3">
      <c r="A77" s="36">
        <v>30711942412</v>
      </c>
      <c r="B77" t="s">
        <v>201</v>
      </c>
    </row>
    <row r="78" spans="1:3" x14ac:dyDescent="0.3">
      <c r="A78" s="36">
        <v>27335747254</v>
      </c>
      <c r="B78" t="s">
        <v>204</v>
      </c>
    </row>
    <row r="79" spans="1:3" x14ac:dyDescent="0.3">
      <c r="A79" s="36">
        <v>27284608637</v>
      </c>
      <c r="B79" t="s">
        <v>217</v>
      </c>
      <c r="C79" s="35" t="s">
        <v>87</v>
      </c>
    </row>
    <row r="80" spans="1:3" x14ac:dyDescent="0.3">
      <c r="A80" s="36">
        <v>30714375241</v>
      </c>
      <c r="B80" t="s">
        <v>218</v>
      </c>
    </row>
    <row r="81" spans="1:3" x14ac:dyDescent="0.3">
      <c r="A81" s="36">
        <v>30715751557</v>
      </c>
      <c r="B81" t="s">
        <v>219</v>
      </c>
    </row>
    <row r="82" spans="1:3" x14ac:dyDescent="0.3">
      <c r="A82" s="36">
        <v>30718464931</v>
      </c>
      <c r="B82" t="s">
        <v>220</v>
      </c>
      <c r="C82" s="35" t="s">
        <v>237</v>
      </c>
    </row>
    <row r="83" spans="1:3" x14ac:dyDescent="0.3">
      <c r="A83" s="36">
        <v>30712186573</v>
      </c>
      <c r="B83" t="s">
        <v>226</v>
      </c>
      <c r="C83" s="35" t="s">
        <v>238</v>
      </c>
    </row>
    <row r="84" spans="1:3" x14ac:dyDescent="0.3">
      <c r="A84" s="36">
        <v>30718631730</v>
      </c>
      <c r="B84" t="s">
        <v>227</v>
      </c>
      <c r="C84" s="35" t="s">
        <v>237</v>
      </c>
    </row>
    <row r="85" spans="1:3" x14ac:dyDescent="0.3">
      <c r="A85" s="36">
        <v>30590360763</v>
      </c>
      <c r="B85" t="s">
        <v>228</v>
      </c>
      <c r="C85" s="35" t="s">
        <v>79</v>
      </c>
    </row>
    <row r="86" spans="1:3" x14ac:dyDescent="0.3">
      <c r="A86" s="36">
        <v>33718113739</v>
      </c>
      <c r="B86" t="s">
        <v>229</v>
      </c>
      <c r="C86" s="35" t="s">
        <v>236</v>
      </c>
    </row>
    <row r="87" spans="1:3" x14ac:dyDescent="0.3">
      <c r="A87" s="36">
        <v>30709058807</v>
      </c>
      <c r="B87" t="s">
        <v>230</v>
      </c>
    </row>
    <row r="88" spans="1:3" x14ac:dyDescent="0.3">
      <c r="A88" s="36">
        <v>33716094559</v>
      </c>
      <c r="B88" t="s">
        <v>231</v>
      </c>
    </row>
    <row r="89" spans="1:3" x14ac:dyDescent="0.3">
      <c r="A89" s="36">
        <v>33717568899</v>
      </c>
      <c r="B89" t="s">
        <v>232</v>
      </c>
      <c r="C89" s="35" t="s">
        <v>79</v>
      </c>
    </row>
    <row r="90" spans="1:3" x14ac:dyDescent="0.3">
      <c r="A90" s="36"/>
    </row>
    <row r="91" spans="1:3" x14ac:dyDescent="0.3">
      <c r="A91" s="36"/>
    </row>
    <row r="92" spans="1:3" x14ac:dyDescent="0.3">
      <c r="A92" s="36"/>
    </row>
    <row r="93" spans="1:3" x14ac:dyDescent="0.3">
      <c r="A93" s="36"/>
    </row>
    <row r="94" spans="1:3" x14ac:dyDescent="0.3">
      <c r="A94" s="36"/>
    </row>
    <row r="95" spans="1:3" x14ac:dyDescent="0.3">
      <c r="A95" s="36"/>
    </row>
    <row r="96" spans="1:3" x14ac:dyDescent="0.3">
      <c r="A96" s="36"/>
    </row>
    <row r="97" spans="1:1" x14ac:dyDescent="0.3">
      <c r="A97" s="36"/>
    </row>
    <row r="98" spans="1:1" x14ac:dyDescent="0.3">
      <c r="A98" s="36"/>
    </row>
    <row r="99" spans="1:1" x14ac:dyDescent="0.3">
      <c r="A99" s="36"/>
    </row>
    <row r="100" spans="1:1" x14ac:dyDescent="0.3">
      <c r="A100" s="36"/>
    </row>
    <row r="101" spans="1:1" x14ac:dyDescent="0.3">
      <c r="A101" s="36"/>
    </row>
    <row r="102" spans="1:1" x14ac:dyDescent="0.3">
      <c r="A102" s="36"/>
    </row>
    <row r="103" spans="1:1" x14ac:dyDescent="0.3">
      <c r="A103" s="36"/>
    </row>
    <row r="104" spans="1:1" x14ac:dyDescent="0.3">
      <c r="A104" s="36"/>
    </row>
    <row r="105" spans="1:1" x14ac:dyDescent="0.3">
      <c r="A105" s="36"/>
    </row>
    <row r="106" spans="1:1" x14ac:dyDescent="0.3">
      <c r="A106" s="36"/>
    </row>
    <row r="107" spans="1:1" x14ac:dyDescent="0.3">
      <c r="A107" s="36"/>
    </row>
    <row r="108" spans="1:1" x14ac:dyDescent="0.3">
      <c r="A108" s="36"/>
    </row>
    <row r="109" spans="1:1" x14ac:dyDescent="0.3">
      <c r="A109" s="36"/>
    </row>
    <row r="110" spans="1:1" x14ac:dyDescent="0.3">
      <c r="A110" s="36"/>
    </row>
    <row r="111" spans="1:1" x14ac:dyDescent="0.3">
      <c r="A111" s="36"/>
    </row>
    <row r="112" spans="1:1" x14ac:dyDescent="0.3">
      <c r="A112" s="36"/>
    </row>
    <row r="113" spans="1:1" x14ac:dyDescent="0.3">
      <c r="A113" s="36"/>
    </row>
    <row r="114" spans="1:1" x14ac:dyDescent="0.3">
      <c r="A114" s="36"/>
    </row>
    <row r="115" spans="1:1" x14ac:dyDescent="0.3">
      <c r="A115" s="36"/>
    </row>
    <row r="116" spans="1:1" x14ac:dyDescent="0.3">
      <c r="A116" s="36"/>
    </row>
    <row r="117" spans="1:1" x14ac:dyDescent="0.3">
      <c r="A117" s="36"/>
    </row>
    <row r="118" spans="1:1" x14ac:dyDescent="0.3">
      <c r="A118" s="36"/>
    </row>
    <row r="119" spans="1:1" x14ac:dyDescent="0.3">
      <c r="A119" s="36"/>
    </row>
    <row r="120" spans="1:1" x14ac:dyDescent="0.3">
      <c r="A120" s="36"/>
    </row>
    <row r="121" spans="1:1" x14ac:dyDescent="0.3">
      <c r="A121" s="36"/>
    </row>
    <row r="122" spans="1:1" x14ac:dyDescent="0.3">
      <c r="A122" s="36"/>
    </row>
    <row r="123" spans="1:1" x14ac:dyDescent="0.3">
      <c r="A123" s="36"/>
    </row>
    <row r="124" spans="1:1" x14ac:dyDescent="0.3">
      <c r="A124" s="36"/>
    </row>
    <row r="125" spans="1:1" x14ac:dyDescent="0.3">
      <c r="A125" s="36"/>
    </row>
    <row r="126" spans="1:1" x14ac:dyDescent="0.3">
      <c r="A126" s="36"/>
    </row>
    <row r="127" spans="1:1" x14ac:dyDescent="0.3">
      <c r="A127" s="36"/>
    </row>
    <row r="128" spans="1:1" x14ac:dyDescent="0.3">
      <c r="A128" s="36"/>
    </row>
    <row r="129" spans="1:1" x14ac:dyDescent="0.3">
      <c r="A129" s="36"/>
    </row>
    <row r="130" spans="1:1" x14ac:dyDescent="0.3">
      <c r="A130" s="36"/>
    </row>
    <row r="131" spans="1:1" x14ac:dyDescent="0.3">
      <c r="A131" s="36"/>
    </row>
    <row r="132" spans="1:1" x14ac:dyDescent="0.3">
      <c r="A132" s="36"/>
    </row>
    <row r="133" spans="1:1" x14ac:dyDescent="0.3">
      <c r="A133" s="36"/>
    </row>
    <row r="134" spans="1:1" x14ac:dyDescent="0.3">
      <c r="A134" s="36"/>
    </row>
    <row r="135" spans="1:1" x14ac:dyDescent="0.3">
      <c r="A135" s="36"/>
    </row>
    <row r="136" spans="1:1" x14ac:dyDescent="0.3">
      <c r="A136" s="36"/>
    </row>
    <row r="137" spans="1:1" x14ac:dyDescent="0.3">
      <c r="A137" s="36"/>
    </row>
    <row r="138" spans="1:1" x14ac:dyDescent="0.3">
      <c r="A138" s="36"/>
    </row>
    <row r="139" spans="1:1" x14ac:dyDescent="0.3">
      <c r="A139" s="36"/>
    </row>
    <row r="140" spans="1:1" x14ac:dyDescent="0.3">
      <c r="A140" s="36"/>
    </row>
    <row r="141" spans="1:1" x14ac:dyDescent="0.3">
      <c r="A141" s="36"/>
    </row>
    <row r="142" spans="1:1" x14ac:dyDescent="0.3">
      <c r="A142" s="36"/>
    </row>
    <row r="143" spans="1:1" x14ac:dyDescent="0.3">
      <c r="A143" s="36"/>
    </row>
    <row r="144" spans="1:1" x14ac:dyDescent="0.3">
      <c r="A144" s="36"/>
    </row>
    <row r="145" spans="1:1" x14ac:dyDescent="0.3">
      <c r="A145" s="36"/>
    </row>
    <row r="146" spans="1:1" x14ac:dyDescent="0.3">
      <c r="A146" s="36"/>
    </row>
    <row r="147" spans="1:1" x14ac:dyDescent="0.3">
      <c r="A147" s="36"/>
    </row>
    <row r="148" spans="1:1" x14ac:dyDescent="0.3">
      <c r="A148" s="36"/>
    </row>
    <row r="149" spans="1:1" x14ac:dyDescent="0.3">
      <c r="A149" s="36"/>
    </row>
    <row r="150" spans="1:1" x14ac:dyDescent="0.3">
      <c r="A150" s="36"/>
    </row>
    <row r="151" spans="1:1" x14ac:dyDescent="0.3">
      <c r="A151" s="36"/>
    </row>
    <row r="152" spans="1:1" x14ac:dyDescent="0.3">
      <c r="A152" s="36"/>
    </row>
    <row r="153" spans="1:1" x14ac:dyDescent="0.3">
      <c r="A153" s="36"/>
    </row>
    <row r="154" spans="1:1" x14ac:dyDescent="0.3">
      <c r="A154" s="36"/>
    </row>
    <row r="155" spans="1:1" x14ac:dyDescent="0.3">
      <c r="A155" s="36"/>
    </row>
    <row r="156" spans="1:1" x14ac:dyDescent="0.3">
      <c r="A156" s="36"/>
    </row>
    <row r="157" spans="1:1" x14ac:dyDescent="0.3">
      <c r="A157" s="36"/>
    </row>
    <row r="158" spans="1:1" x14ac:dyDescent="0.3">
      <c r="A158" s="36"/>
    </row>
    <row r="159" spans="1:1" x14ac:dyDescent="0.3">
      <c r="A159" s="36"/>
    </row>
    <row r="160" spans="1:1" x14ac:dyDescent="0.3">
      <c r="A160" s="36"/>
    </row>
    <row r="161" spans="1:1" x14ac:dyDescent="0.3">
      <c r="A161" s="36"/>
    </row>
    <row r="162" spans="1:1" x14ac:dyDescent="0.3">
      <c r="A162" s="36"/>
    </row>
    <row r="163" spans="1:1" x14ac:dyDescent="0.3">
      <c r="A163" s="36"/>
    </row>
    <row r="164" spans="1:1" x14ac:dyDescent="0.3">
      <c r="A164" s="36"/>
    </row>
    <row r="165" spans="1:1" x14ac:dyDescent="0.3">
      <c r="A165" s="36"/>
    </row>
    <row r="166" spans="1:1" x14ac:dyDescent="0.3">
      <c r="A166" s="36"/>
    </row>
    <row r="167" spans="1:1" x14ac:dyDescent="0.3">
      <c r="A167" s="36"/>
    </row>
    <row r="168" spans="1:1" x14ac:dyDescent="0.3">
      <c r="A168" s="36"/>
    </row>
    <row r="169" spans="1:1" x14ac:dyDescent="0.3">
      <c r="A169" s="36"/>
    </row>
    <row r="170" spans="1:1" x14ac:dyDescent="0.3">
      <c r="A170" s="36"/>
    </row>
    <row r="171" spans="1:1" x14ac:dyDescent="0.3">
      <c r="A171" s="36"/>
    </row>
    <row r="172" spans="1:1" x14ac:dyDescent="0.3">
      <c r="A172" s="36"/>
    </row>
    <row r="173" spans="1:1" x14ac:dyDescent="0.3">
      <c r="A173" s="36"/>
    </row>
    <row r="174" spans="1:1" x14ac:dyDescent="0.3">
      <c r="A174" s="36"/>
    </row>
    <row r="175" spans="1:1" x14ac:dyDescent="0.3">
      <c r="A175" s="36"/>
    </row>
    <row r="176" spans="1:1" x14ac:dyDescent="0.3">
      <c r="A176" s="36"/>
    </row>
    <row r="177" spans="1:1" x14ac:dyDescent="0.3">
      <c r="A177" s="36"/>
    </row>
    <row r="178" spans="1:1" x14ac:dyDescent="0.3">
      <c r="A178" s="36"/>
    </row>
    <row r="179" spans="1:1" x14ac:dyDescent="0.3">
      <c r="A179" s="36"/>
    </row>
    <row r="180" spans="1:1" x14ac:dyDescent="0.3">
      <c r="A180" s="36"/>
    </row>
    <row r="181" spans="1:1" x14ac:dyDescent="0.3">
      <c r="A181" s="36"/>
    </row>
    <row r="182" spans="1:1" x14ac:dyDescent="0.3">
      <c r="A182" s="36"/>
    </row>
    <row r="183" spans="1:1" x14ac:dyDescent="0.3">
      <c r="A183" s="36"/>
    </row>
    <row r="184" spans="1:1" x14ac:dyDescent="0.3">
      <c r="A184" s="36"/>
    </row>
    <row r="185" spans="1:1" x14ac:dyDescent="0.3">
      <c r="A185" s="36"/>
    </row>
    <row r="186" spans="1:1" x14ac:dyDescent="0.3">
      <c r="A186" s="36"/>
    </row>
    <row r="187" spans="1:1" x14ac:dyDescent="0.3">
      <c r="A187" s="36"/>
    </row>
    <row r="188" spans="1:1" x14ac:dyDescent="0.3">
      <c r="A188" s="36"/>
    </row>
    <row r="189" spans="1:1" x14ac:dyDescent="0.3">
      <c r="A189" s="36"/>
    </row>
    <row r="190" spans="1:1" x14ac:dyDescent="0.3">
      <c r="A190" s="36"/>
    </row>
    <row r="191" spans="1:1" x14ac:dyDescent="0.3">
      <c r="A191" s="36"/>
    </row>
    <row r="192" spans="1:1" x14ac:dyDescent="0.3">
      <c r="A192" s="36"/>
    </row>
    <row r="193" spans="1:1" x14ac:dyDescent="0.3">
      <c r="A193" s="36"/>
    </row>
    <row r="194" spans="1:1" x14ac:dyDescent="0.3">
      <c r="A194" s="36"/>
    </row>
    <row r="195" spans="1:1" x14ac:dyDescent="0.3">
      <c r="A195" s="36"/>
    </row>
    <row r="196" spans="1:1" x14ac:dyDescent="0.3">
      <c r="A196" s="36"/>
    </row>
    <row r="197" spans="1:1" x14ac:dyDescent="0.3">
      <c r="A197" s="36"/>
    </row>
    <row r="198" spans="1:1" x14ac:dyDescent="0.3">
      <c r="A198" s="36"/>
    </row>
    <row r="199" spans="1:1" x14ac:dyDescent="0.3">
      <c r="A199" s="36"/>
    </row>
    <row r="200" spans="1:1" x14ac:dyDescent="0.3">
      <c r="A200" s="36"/>
    </row>
    <row r="201" spans="1:1" x14ac:dyDescent="0.3">
      <c r="A201" s="36"/>
    </row>
    <row r="202" spans="1:1" x14ac:dyDescent="0.3">
      <c r="A202" s="36"/>
    </row>
    <row r="203" spans="1:1" x14ac:dyDescent="0.3">
      <c r="A203" s="36"/>
    </row>
    <row r="204" spans="1:1" x14ac:dyDescent="0.3">
      <c r="A204" s="36"/>
    </row>
    <row r="205" spans="1:1" x14ac:dyDescent="0.3">
      <c r="A205" s="36"/>
    </row>
    <row r="206" spans="1:1" x14ac:dyDescent="0.3">
      <c r="A206" s="36"/>
    </row>
    <row r="207" spans="1:1" x14ac:dyDescent="0.3">
      <c r="A207" s="36"/>
    </row>
    <row r="208" spans="1:1" x14ac:dyDescent="0.3">
      <c r="A208" s="143"/>
    </row>
    <row r="209" spans="1:1" x14ac:dyDescent="0.3">
      <c r="A209" s="36"/>
    </row>
    <row r="210" spans="1:1" x14ac:dyDescent="0.3">
      <c r="A210" s="36"/>
    </row>
    <row r="211" spans="1:1" x14ac:dyDescent="0.3">
      <c r="A211" s="36"/>
    </row>
    <row r="212" spans="1:1" x14ac:dyDescent="0.3">
      <c r="A212" s="36"/>
    </row>
    <row r="213" spans="1:1" x14ac:dyDescent="0.3">
      <c r="A213" s="36"/>
    </row>
    <row r="214" spans="1:1" x14ac:dyDescent="0.3">
      <c r="A214" s="36"/>
    </row>
    <row r="215" spans="1:1" x14ac:dyDescent="0.3">
      <c r="A215" s="36"/>
    </row>
    <row r="216" spans="1:1" x14ac:dyDescent="0.3">
      <c r="A216" s="36"/>
    </row>
    <row r="217" spans="1:1" x14ac:dyDescent="0.3">
      <c r="A217" s="36"/>
    </row>
    <row r="218" spans="1:1" x14ac:dyDescent="0.3">
      <c r="A218" s="36"/>
    </row>
    <row r="219" spans="1:1" x14ac:dyDescent="0.3">
      <c r="A219" s="36"/>
    </row>
    <row r="220" spans="1:1" x14ac:dyDescent="0.3">
      <c r="A220" s="36"/>
    </row>
    <row r="221" spans="1:1" x14ac:dyDescent="0.3">
      <c r="A221" s="36"/>
    </row>
    <row r="222" spans="1:1" x14ac:dyDescent="0.3">
      <c r="A222" s="36"/>
    </row>
    <row r="223" spans="1:1" x14ac:dyDescent="0.3">
      <c r="A223" s="36"/>
    </row>
    <row r="224" spans="1:1" x14ac:dyDescent="0.3">
      <c r="A224" s="36"/>
    </row>
    <row r="225" spans="1:1" x14ac:dyDescent="0.3">
      <c r="A225" s="36"/>
    </row>
    <row r="226" spans="1:1" x14ac:dyDescent="0.3">
      <c r="A226" s="36"/>
    </row>
    <row r="227" spans="1:1" x14ac:dyDescent="0.3">
      <c r="A227" s="36"/>
    </row>
    <row r="228" spans="1:1" x14ac:dyDescent="0.3">
      <c r="A228" s="36"/>
    </row>
    <row r="229" spans="1:1" x14ac:dyDescent="0.3">
      <c r="A229" s="36"/>
    </row>
    <row r="230" spans="1:1" x14ac:dyDescent="0.3">
      <c r="A230" s="36"/>
    </row>
    <row r="231" spans="1:1" x14ac:dyDescent="0.3">
      <c r="A231" s="36"/>
    </row>
    <row r="232" spans="1:1" x14ac:dyDescent="0.3">
      <c r="A232" s="36"/>
    </row>
    <row r="233" spans="1:1" x14ac:dyDescent="0.3">
      <c r="A233" s="36"/>
    </row>
    <row r="234" spans="1:1" x14ac:dyDescent="0.3">
      <c r="A234" s="36"/>
    </row>
    <row r="235" spans="1:1" x14ac:dyDescent="0.3">
      <c r="A235" s="36"/>
    </row>
    <row r="236" spans="1:1" x14ac:dyDescent="0.3">
      <c r="A236" s="36"/>
    </row>
    <row r="237" spans="1:1" x14ac:dyDescent="0.3">
      <c r="A237" s="36"/>
    </row>
    <row r="238" spans="1:1" x14ac:dyDescent="0.3">
      <c r="A238" s="36"/>
    </row>
    <row r="239" spans="1:1" x14ac:dyDescent="0.3">
      <c r="A239" s="36"/>
    </row>
    <row r="240" spans="1:1" x14ac:dyDescent="0.3">
      <c r="A240" s="36"/>
    </row>
    <row r="241" spans="1:1" x14ac:dyDescent="0.3">
      <c r="A241" s="36"/>
    </row>
    <row r="242" spans="1:1" x14ac:dyDescent="0.3">
      <c r="A242" s="36"/>
    </row>
    <row r="243" spans="1:1" x14ac:dyDescent="0.3">
      <c r="A243" s="36"/>
    </row>
    <row r="244" spans="1:1" x14ac:dyDescent="0.3">
      <c r="A244" s="36"/>
    </row>
    <row r="245" spans="1:1" x14ac:dyDescent="0.3">
      <c r="A245" s="36"/>
    </row>
    <row r="246" spans="1:1" x14ac:dyDescent="0.3">
      <c r="A246" s="36"/>
    </row>
    <row r="247" spans="1:1" x14ac:dyDescent="0.3">
      <c r="A247" s="36"/>
    </row>
    <row r="248" spans="1:1" x14ac:dyDescent="0.3">
      <c r="A248" s="36"/>
    </row>
    <row r="249" spans="1:1" x14ac:dyDescent="0.3">
      <c r="A249" s="36"/>
    </row>
    <row r="250" spans="1:1" x14ac:dyDescent="0.3">
      <c r="A250" s="36"/>
    </row>
    <row r="251" spans="1:1" x14ac:dyDescent="0.3">
      <c r="A251" s="36"/>
    </row>
    <row r="252" spans="1:1" x14ac:dyDescent="0.3">
      <c r="A252" s="36"/>
    </row>
    <row r="253" spans="1:1" x14ac:dyDescent="0.3">
      <c r="A253" s="36"/>
    </row>
    <row r="254" spans="1:1" x14ac:dyDescent="0.3">
      <c r="A254" s="36"/>
    </row>
    <row r="255" spans="1:1" x14ac:dyDescent="0.3">
      <c r="A255" s="36"/>
    </row>
    <row r="256" spans="1:1" x14ac:dyDescent="0.3">
      <c r="A256" s="36"/>
    </row>
    <row r="257" spans="1:1" x14ac:dyDescent="0.3">
      <c r="A257" s="36"/>
    </row>
    <row r="258" spans="1:1" x14ac:dyDescent="0.3">
      <c r="A258" s="36"/>
    </row>
    <row r="259" spans="1:1" x14ac:dyDescent="0.3">
      <c r="A259" s="36"/>
    </row>
    <row r="260" spans="1:1" x14ac:dyDescent="0.3">
      <c r="A260" s="36"/>
    </row>
    <row r="261" spans="1:1" x14ac:dyDescent="0.3">
      <c r="A261" s="36"/>
    </row>
    <row r="262" spans="1:1" x14ac:dyDescent="0.3">
      <c r="A262" s="36"/>
    </row>
    <row r="263" spans="1:1" x14ac:dyDescent="0.3">
      <c r="A263" s="36"/>
    </row>
    <row r="264" spans="1:1" x14ac:dyDescent="0.3">
      <c r="A264" s="36"/>
    </row>
    <row r="265" spans="1:1" x14ac:dyDescent="0.3">
      <c r="A265" s="36"/>
    </row>
    <row r="266" spans="1:1" x14ac:dyDescent="0.3">
      <c r="A266" s="36"/>
    </row>
    <row r="267" spans="1:1" x14ac:dyDescent="0.3">
      <c r="A267" s="36"/>
    </row>
    <row r="268" spans="1:1" x14ac:dyDescent="0.3">
      <c r="A268" s="36"/>
    </row>
    <row r="269" spans="1:1" x14ac:dyDescent="0.3">
      <c r="A269" s="36"/>
    </row>
    <row r="270" spans="1:1" x14ac:dyDescent="0.3">
      <c r="A270" s="36"/>
    </row>
    <row r="271" spans="1:1" x14ac:dyDescent="0.3">
      <c r="A271" s="36"/>
    </row>
    <row r="272" spans="1:1" x14ac:dyDescent="0.3">
      <c r="A272" s="36"/>
    </row>
    <row r="273" spans="1:1" x14ac:dyDescent="0.3">
      <c r="A273" s="36"/>
    </row>
    <row r="274" spans="1:1" x14ac:dyDescent="0.3">
      <c r="A274" s="36"/>
    </row>
    <row r="275" spans="1:1" x14ac:dyDescent="0.3">
      <c r="A275" s="36"/>
    </row>
    <row r="276" spans="1:1" x14ac:dyDescent="0.3">
      <c r="A276" s="36"/>
    </row>
    <row r="277" spans="1:1" x14ac:dyDescent="0.3">
      <c r="A277" s="36"/>
    </row>
    <row r="278" spans="1:1" x14ac:dyDescent="0.3">
      <c r="A278" s="36"/>
    </row>
    <row r="279" spans="1:1" x14ac:dyDescent="0.3">
      <c r="A279" s="36"/>
    </row>
    <row r="280" spans="1:1" x14ac:dyDescent="0.3">
      <c r="A280" s="36"/>
    </row>
    <row r="281" spans="1:1" x14ac:dyDescent="0.3">
      <c r="A281" s="36"/>
    </row>
    <row r="282" spans="1:1" x14ac:dyDescent="0.3">
      <c r="A282" s="36"/>
    </row>
    <row r="283" spans="1:1" x14ac:dyDescent="0.3">
      <c r="A283" s="36"/>
    </row>
    <row r="284" spans="1:1" x14ac:dyDescent="0.3">
      <c r="A284" s="36"/>
    </row>
    <row r="285" spans="1:1" x14ac:dyDescent="0.3">
      <c r="A285" s="36"/>
    </row>
    <row r="286" spans="1:1" x14ac:dyDescent="0.3">
      <c r="A286" s="36"/>
    </row>
    <row r="287" spans="1:1" x14ac:dyDescent="0.3">
      <c r="A287" s="36"/>
    </row>
    <row r="288" spans="1:1" x14ac:dyDescent="0.3">
      <c r="A288" s="36"/>
    </row>
    <row r="289" spans="1:1" x14ac:dyDescent="0.3">
      <c r="A289" s="36"/>
    </row>
    <row r="290" spans="1:1" x14ac:dyDescent="0.3">
      <c r="A290" s="36"/>
    </row>
    <row r="291" spans="1:1" x14ac:dyDescent="0.3">
      <c r="A291" s="36"/>
    </row>
    <row r="292" spans="1:1" x14ac:dyDescent="0.3">
      <c r="A292" s="36"/>
    </row>
    <row r="293" spans="1:1" x14ac:dyDescent="0.3">
      <c r="A293" s="36"/>
    </row>
    <row r="294" spans="1:1" x14ac:dyDescent="0.3">
      <c r="A294" s="36"/>
    </row>
    <row r="295" spans="1:1" x14ac:dyDescent="0.3">
      <c r="A295" s="36"/>
    </row>
    <row r="296" spans="1:1" x14ac:dyDescent="0.3">
      <c r="A296" s="36"/>
    </row>
    <row r="297" spans="1:1" x14ac:dyDescent="0.3">
      <c r="A297" s="36"/>
    </row>
    <row r="298" spans="1:1" x14ac:dyDescent="0.3">
      <c r="A298" s="36"/>
    </row>
    <row r="299" spans="1:1" x14ac:dyDescent="0.3">
      <c r="A299" s="36"/>
    </row>
    <row r="300" spans="1:1" x14ac:dyDescent="0.3">
      <c r="A300" s="36"/>
    </row>
    <row r="301" spans="1:1" x14ac:dyDescent="0.3">
      <c r="A301" s="36"/>
    </row>
    <row r="302" spans="1:1" x14ac:dyDescent="0.3">
      <c r="A302" s="36"/>
    </row>
    <row r="303" spans="1:1" x14ac:dyDescent="0.3">
      <c r="A303" s="36"/>
    </row>
    <row r="304" spans="1:1" x14ac:dyDescent="0.3">
      <c r="A304" s="36"/>
    </row>
    <row r="305" spans="1:1" x14ac:dyDescent="0.3">
      <c r="A305" s="36"/>
    </row>
    <row r="306" spans="1:1" x14ac:dyDescent="0.3">
      <c r="A306" s="36"/>
    </row>
    <row r="307" spans="1:1" x14ac:dyDescent="0.3">
      <c r="A307" s="36"/>
    </row>
    <row r="308" spans="1:1" x14ac:dyDescent="0.3">
      <c r="A308" s="36"/>
    </row>
    <row r="309" spans="1:1" x14ac:dyDescent="0.3">
      <c r="A309" s="36"/>
    </row>
    <row r="310" spans="1:1" x14ac:dyDescent="0.3">
      <c r="A310" s="36"/>
    </row>
    <row r="311" spans="1:1" x14ac:dyDescent="0.3">
      <c r="A311" s="36"/>
    </row>
    <row r="312" spans="1:1" x14ac:dyDescent="0.3">
      <c r="A312" s="36"/>
    </row>
    <row r="313" spans="1:1" x14ac:dyDescent="0.3">
      <c r="A313" s="36"/>
    </row>
    <row r="314" spans="1:1" x14ac:dyDescent="0.3">
      <c r="A314" s="36"/>
    </row>
    <row r="315" spans="1:1" x14ac:dyDescent="0.3">
      <c r="A315" s="36"/>
    </row>
    <row r="316" spans="1:1" x14ac:dyDescent="0.3">
      <c r="A316" s="36"/>
    </row>
    <row r="317" spans="1:1" x14ac:dyDescent="0.3">
      <c r="A317" s="36"/>
    </row>
    <row r="318" spans="1:1" x14ac:dyDescent="0.3">
      <c r="A318" s="36"/>
    </row>
    <row r="319" spans="1:1" x14ac:dyDescent="0.3">
      <c r="A319" s="36"/>
    </row>
    <row r="320" spans="1:1" x14ac:dyDescent="0.3">
      <c r="A320" s="36"/>
    </row>
    <row r="321" spans="1:1" x14ac:dyDescent="0.3">
      <c r="A321" s="36"/>
    </row>
    <row r="322" spans="1:1" x14ac:dyDescent="0.3">
      <c r="A322" s="36"/>
    </row>
    <row r="323" spans="1:1" x14ac:dyDescent="0.3">
      <c r="A323" s="36"/>
    </row>
    <row r="324" spans="1:1" x14ac:dyDescent="0.3">
      <c r="A324" s="36"/>
    </row>
    <row r="325" spans="1:1" x14ac:dyDescent="0.3">
      <c r="A325" s="36"/>
    </row>
    <row r="326" spans="1:1" x14ac:dyDescent="0.3">
      <c r="A326" s="36"/>
    </row>
    <row r="327" spans="1:1" x14ac:dyDescent="0.3">
      <c r="A327" s="36"/>
    </row>
    <row r="328" spans="1:1" x14ac:dyDescent="0.3">
      <c r="A328" s="36"/>
    </row>
    <row r="329" spans="1:1" x14ac:dyDescent="0.3">
      <c r="A329" s="36"/>
    </row>
    <row r="330" spans="1:1" x14ac:dyDescent="0.3">
      <c r="A330" s="36"/>
    </row>
    <row r="331" spans="1:1" x14ac:dyDescent="0.3">
      <c r="A331" s="36"/>
    </row>
    <row r="332" spans="1:1" x14ac:dyDescent="0.3">
      <c r="A332" s="36"/>
    </row>
    <row r="333" spans="1:1" x14ac:dyDescent="0.3">
      <c r="A333" s="36"/>
    </row>
    <row r="334" spans="1:1" x14ac:dyDescent="0.3">
      <c r="A334" s="36"/>
    </row>
    <row r="335" spans="1:1" x14ac:dyDescent="0.3">
      <c r="A335" s="36"/>
    </row>
    <row r="336" spans="1:1" x14ac:dyDescent="0.3">
      <c r="A336" s="36"/>
    </row>
    <row r="337" spans="1:1" x14ac:dyDescent="0.3">
      <c r="A337" s="36"/>
    </row>
    <row r="338" spans="1:1" x14ac:dyDescent="0.3">
      <c r="A338" s="36"/>
    </row>
    <row r="339" spans="1:1" x14ac:dyDescent="0.3">
      <c r="A339" s="36"/>
    </row>
    <row r="340" spans="1:1" x14ac:dyDescent="0.3">
      <c r="A340" s="36"/>
    </row>
    <row r="341" spans="1:1" x14ac:dyDescent="0.3">
      <c r="A341" s="36"/>
    </row>
    <row r="342" spans="1:1" x14ac:dyDescent="0.3">
      <c r="A342" s="36"/>
    </row>
    <row r="343" spans="1:1" x14ac:dyDescent="0.3">
      <c r="A343" s="36"/>
    </row>
    <row r="344" spans="1:1" x14ac:dyDescent="0.3">
      <c r="A344" s="36"/>
    </row>
    <row r="345" spans="1:1" x14ac:dyDescent="0.3">
      <c r="A345" s="36"/>
    </row>
    <row r="346" spans="1:1" x14ac:dyDescent="0.3">
      <c r="A346" s="36"/>
    </row>
    <row r="347" spans="1:1" x14ac:dyDescent="0.3">
      <c r="A347" s="36"/>
    </row>
    <row r="348" spans="1:1" x14ac:dyDescent="0.3">
      <c r="A348" s="36"/>
    </row>
    <row r="349" spans="1:1" x14ac:dyDescent="0.3">
      <c r="A349" s="36"/>
    </row>
    <row r="350" spans="1:1" x14ac:dyDescent="0.3">
      <c r="A350" s="36"/>
    </row>
    <row r="351" spans="1:1" x14ac:dyDescent="0.3">
      <c r="A351" s="36"/>
    </row>
    <row r="352" spans="1:1" x14ac:dyDescent="0.3">
      <c r="A352" s="36"/>
    </row>
    <row r="353" spans="1:1" x14ac:dyDescent="0.3">
      <c r="A353" s="36"/>
    </row>
    <row r="354" spans="1:1" x14ac:dyDescent="0.3">
      <c r="A354" s="36"/>
    </row>
    <row r="355" spans="1:1" x14ac:dyDescent="0.3">
      <c r="A355" s="36"/>
    </row>
    <row r="356" spans="1:1" x14ac:dyDescent="0.3">
      <c r="A356" s="36"/>
    </row>
    <row r="357" spans="1:1" x14ac:dyDescent="0.3">
      <c r="A357" s="36"/>
    </row>
    <row r="358" spans="1:1" x14ac:dyDescent="0.3">
      <c r="A358" s="36"/>
    </row>
    <row r="359" spans="1:1" x14ac:dyDescent="0.3">
      <c r="A359" s="36"/>
    </row>
    <row r="360" spans="1:1" x14ac:dyDescent="0.3">
      <c r="A360" s="36"/>
    </row>
    <row r="361" spans="1:1" x14ac:dyDescent="0.3">
      <c r="A361" s="36"/>
    </row>
    <row r="362" spans="1:1" x14ac:dyDescent="0.3">
      <c r="A362" s="36"/>
    </row>
    <row r="363" spans="1:1" x14ac:dyDescent="0.3">
      <c r="A363" s="36"/>
    </row>
    <row r="364" spans="1:1" x14ac:dyDescent="0.3">
      <c r="A364" s="36"/>
    </row>
    <row r="365" spans="1:1" x14ac:dyDescent="0.3">
      <c r="A365" s="36"/>
    </row>
    <row r="366" spans="1:1" x14ac:dyDescent="0.3">
      <c r="A366" s="36"/>
    </row>
    <row r="367" spans="1:1" x14ac:dyDescent="0.3">
      <c r="A367" s="36"/>
    </row>
    <row r="368" spans="1:1" x14ac:dyDescent="0.3">
      <c r="A368" s="36"/>
    </row>
    <row r="369" spans="1:1" x14ac:dyDescent="0.3">
      <c r="A369" s="36"/>
    </row>
    <row r="370" spans="1:1" x14ac:dyDescent="0.3">
      <c r="A370" s="36"/>
    </row>
    <row r="371" spans="1:1" x14ac:dyDescent="0.3">
      <c r="A371" s="36"/>
    </row>
    <row r="372" spans="1:1" x14ac:dyDescent="0.3">
      <c r="A372" s="36"/>
    </row>
    <row r="373" spans="1:1" x14ac:dyDescent="0.3">
      <c r="A373" s="36"/>
    </row>
    <row r="374" spans="1:1" x14ac:dyDescent="0.3">
      <c r="A374" s="36"/>
    </row>
    <row r="375" spans="1:1" x14ac:dyDescent="0.3">
      <c r="A375" s="36"/>
    </row>
    <row r="376" spans="1:1" x14ac:dyDescent="0.3">
      <c r="A376" s="36"/>
    </row>
    <row r="377" spans="1:1" x14ac:dyDescent="0.3">
      <c r="A377" s="36"/>
    </row>
    <row r="378" spans="1:1" x14ac:dyDescent="0.3">
      <c r="A378" s="36"/>
    </row>
    <row r="379" spans="1:1" x14ac:dyDescent="0.3">
      <c r="A379" s="36"/>
    </row>
    <row r="380" spans="1:1" x14ac:dyDescent="0.3">
      <c r="A380" s="36"/>
    </row>
    <row r="381" spans="1:1" x14ac:dyDescent="0.3">
      <c r="A381" s="36"/>
    </row>
    <row r="382" spans="1:1" x14ac:dyDescent="0.3">
      <c r="A382" s="36"/>
    </row>
    <row r="383" spans="1:1" x14ac:dyDescent="0.3">
      <c r="A383" s="36"/>
    </row>
    <row r="384" spans="1:1" x14ac:dyDescent="0.3">
      <c r="A384" s="36"/>
    </row>
    <row r="385" spans="1:1" x14ac:dyDescent="0.3">
      <c r="A385" s="36"/>
    </row>
    <row r="386" spans="1:1" x14ac:dyDescent="0.3">
      <c r="A386" s="36"/>
    </row>
    <row r="387" spans="1:1" x14ac:dyDescent="0.3">
      <c r="A387" s="36"/>
    </row>
    <row r="388" spans="1:1" x14ac:dyDescent="0.3">
      <c r="A388" s="36"/>
    </row>
    <row r="389" spans="1:1" x14ac:dyDescent="0.3">
      <c r="A389" s="36"/>
    </row>
    <row r="390" spans="1:1" x14ac:dyDescent="0.3">
      <c r="A390" s="36"/>
    </row>
    <row r="391" spans="1:1" x14ac:dyDescent="0.3">
      <c r="A391" s="36"/>
    </row>
    <row r="392" spans="1:1" x14ac:dyDescent="0.3">
      <c r="A392" s="36"/>
    </row>
    <row r="393" spans="1:1" x14ac:dyDescent="0.3">
      <c r="A393" s="36"/>
    </row>
    <row r="394" spans="1:1" x14ac:dyDescent="0.3">
      <c r="A394" s="36"/>
    </row>
    <row r="395" spans="1:1" x14ac:dyDescent="0.3">
      <c r="A395" s="36"/>
    </row>
    <row r="396" spans="1:1" x14ac:dyDescent="0.3">
      <c r="A396" s="36"/>
    </row>
    <row r="397" spans="1:1" x14ac:dyDescent="0.3">
      <c r="A397" s="36"/>
    </row>
    <row r="398" spans="1:1" x14ac:dyDescent="0.3">
      <c r="A398" s="36"/>
    </row>
    <row r="399" spans="1:1" x14ac:dyDescent="0.3">
      <c r="A399" s="36"/>
    </row>
    <row r="400" spans="1:1" x14ac:dyDescent="0.3">
      <c r="A400" s="36"/>
    </row>
    <row r="401" spans="1:1" x14ac:dyDescent="0.3">
      <c r="A401" s="36"/>
    </row>
    <row r="402" spans="1:1" x14ac:dyDescent="0.3">
      <c r="A402" s="36"/>
    </row>
    <row r="403" spans="1:1" x14ac:dyDescent="0.3">
      <c r="A403" s="36"/>
    </row>
    <row r="404" spans="1:1" x14ac:dyDescent="0.3">
      <c r="A404" s="36"/>
    </row>
    <row r="405" spans="1:1" x14ac:dyDescent="0.3">
      <c r="A405" s="36"/>
    </row>
    <row r="406" spans="1:1" x14ac:dyDescent="0.3">
      <c r="A406" s="36"/>
    </row>
    <row r="407" spans="1:1" x14ac:dyDescent="0.3">
      <c r="A407" s="36"/>
    </row>
    <row r="408" spans="1:1" x14ac:dyDescent="0.3">
      <c r="A408" s="36"/>
    </row>
    <row r="409" spans="1:1" x14ac:dyDescent="0.3">
      <c r="A409" s="36"/>
    </row>
    <row r="410" spans="1:1" x14ac:dyDescent="0.3">
      <c r="A410" s="36"/>
    </row>
    <row r="411" spans="1:1" x14ac:dyDescent="0.3">
      <c r="A411" s="36"/>
    </row>
    <row r="412" spans="1:1" x14ac:dyDescent="0.3">
      <c r="A412" s="36"/>
    </row>
    <row r="413" spans="1:1" x14ac:dyDescent="0.3">
      <c r="A413" s="36"/>
    </row>
    <row r="414" spans="1:1" x14ac:dyDescent="0.3">
      <c r="A414" s="36"/>
    </row>
    <row r="415" spans="1:1" x14ac:dyDescent="0.3">
      <c r="A415" s="36"/>
    </row>
    <row r="416" spans="1:1" x14ac:dyDescent="0.3">
      <c r="A416" s="36"/>
    </row>
    <row r="417" spans="1:1" x14ac:dyDescent="0.3">
      <c r="A417" s="36"/>
    </row>
    <row r="418" spans="1:1" x14ac:dyDescent="0.3">
      <c r="A418" s="36"/>
    </row>
    <row r="419" spans="1:1" x14ac:dyDescent="0.3">
      <c r="A419" s="36"/>
    </row>
    <row r="420" spans="1:1" x14ac:dyDescent="0.3">
      <c r="A420" s="36"/>
    </row>
    <row r="421" spans="1:1" x14ac:dyDescent="0.3">
      <c r="A421" s="36"/>
    </row>
    <row r="422" spans="1:1" x14ac:dyDescent="0.3">
      <c r="A422" s="36"/>
    </row>
    <row r="423" spans="1:1" x14ac:dyDescent="0.3">
      <c r="A423" s="36"/>
    </row>
    <row r="424" spans="1:1" x14ac:dyDescent="0.3">
      <c r="A424" s="36"/>
    </row>
    <row r="425" spans="1:1" x14ac:dyDescent="0.3">
      <c r="A425" s="36"/>
    </row>
    <row r="426" spans="1:1" x14ac:dyDescent="0.3">
      <c r="A426" s="36"/>
    </row>
    <row r="427" spans="1:1" x14ac:dyDescent="0.3">
      <c r="A427" s="36"/>
    </row>
    <row r="428" spans="1:1" x14ac:dyDescent="0.3">
      <c r="A428" s="36"/>
    </row>
    <row r="429" spans="1:1" x14ac:dyDescent="0.3">
      <c r="A429" s="36"/>
    </row>
    <row r="430" spans="1:1" x14ac:dyDescent="0.3">
      <c r="A430" s="36"/>
    </row>
    <row r="431" spans="1:1" x14ac:dyDescent="0.3">
      <c r="A431" s="36"/>
    </row>
    <row r="432" spans="1:1" x14ac:dyDescent="0.3">
      <c r="A432" s="36"/>
    </row>
    <row r="433" spans="1:1" x14ac:dyDescent="0.3">
      <c r="A433" s="36"/>
    </row>
    <row r="434" spans="1:1" x14ac:dyDescent="0.3">
      <c r="A434" s="36"/>
    </row>
    <row r="435" spans="1:1" x14ac:dyDescent="0.3">
      <c r="A435" s="36"/>
    </row>
    <row r="436" spans="1:1" x14ac:dyDescent="0.3">
      <c r="A436" s="36"/>
    </row>
    <row r="437" spans="1:1" x14ac:dyDescent="0.3">
      <c r="A437" s="36"/>
    </row>
    <row r="438" spans="1:1" x14ac:dyDescent="0.3">
      <c r="A438" s="36"/>
    </row>
    <row r="439" spans="1:1" x14ac:dyDescent="0.3">
      <c r="A439" s="36"/>
    </row>
    <row r="440" spans="1:1" x14ac:dyDescent="0.3">
      <c r="A440" s="36"/>
    </row>
    <row r="441" spans="1:1" x14ac:dyDescent="0.3">
      <c r="A441" s="36"/>
    </row>
    <row r="442" spans="1:1" x14ac:dyDescent="0.3">
      <c r="A442" s="36"/>
    </row>
    <row r="443" spans="1:1" x14ac:dyDescent="0.3">
      <c r="A443" s="36"/>
    </row>
    <row r="444" spans="1:1" x14ac:dyDescent="0.3">
      <c r="A444" s="36"/>
    </row>
    <row r="445" spans="1:1" x14ac:dyDescent="0.3">
      <c r="A445" s="36"/>
    </row>
    <row r="446" spans="1:1" x14ac:dyDescent="0.3">
      <c r="A446" s="36"/>
    </row>
    <row r="447" spans="1:1" x14ac:dyDescent="0.3">
      <c r="A447" s="36"/>
    </row>
    <row r="448" spans="1:1" x14ac:dyDescent="0.3">
      <c r="A448" s="36"/>
    </row>
    <row r="449" spans="1:1" x14ac:dyDescent="0.3">
      <c r="A449" s="36"/>
    </row>
    <row r="450" spans="1:1" x14ac:dyDescent="0.3">
      <c r="A450" s="36"/>
    </row>
    <row r="451" spans="1:1" x14ac:dyDescent="0.3">
      <c r="A451" s="36"/>
    </row>
    <row r="452" spans="1:1" x14ac:dyDescent="0.3">
      <c r="A452" s="36"/>
    </row>
    <row r="453" spans="1:1" x14ac:dyDescent="0.3">
      <c r="A453" s="36"/>
    </row>
    <row r="454" spans="1:1" x14ac:dyDescent="0.3">
      <c r="A454" s="36"/>
    </row>
    <row r="455" spans="1:1" x14ac:dyDescent="0.3">
      <c r="A455" s="36"/>
    </row>
    <row r="456" spans="1:1" x14ac:dyDescent="0.3">
      <c r="A456" s="36"/>
    </row>
    <row r="457" spans="1:1" x14ac:dyDescent="0.3">
      <c r="A457" s="36"/>
    </row>
    <row r="458" spans="1:1" x14ac:dyDescent="0.3">
      <c r="A458" s="36"/>
    </row>
    <row r="459" spans="1:1" x14ac:dyDescent="0.3">
      <c r="A459" s="36"/>
    </row>
    <row r="460" spans="1:1" x14ac:dyDescent="0.3">
      <c r="A460" s="36"/>
    </row>
    <row r="461" spans="1:1" x14ac:dyDescent="0.3">
      <c r="A461" s="36"/>
    </row>
    <row r="462" spans="1:1" x14ac:dyDescent="0.3">
      <c r="A462" s="36"/>
    </row>
    <row r="463" spans="1:1" x14ac:dyDescent="0.3">
      <c r="A463" s="36"/>
    </row>
    <row r="464" spans="1:1" x14ac:dyDescent="0.3">
      <c r="A464" s="36"/>
    </row>
    <row r="465" spans="1:1" x14ac:dyDescent="0.3">
      <c r="A465" s="36"/>
    </row>
    <row r="466" spans="1:1" x14ac:dyDescent="0.3">
      <c r="A466" s="36"/>
    </row>
    <row r="467" spans="1:1" x14ac:dyDescent="0.3">
      <c r="A467" s="36"/>
    </row>
    <row r="468" spans="1:1" x14ac:dyDescent="0.3">
      <c r="A468" s="36"/>
    </row>
    <row r="469" spans="1:1" x14ac:dyDescent="0.3">
      <c r="A469" s="36"/>
    </row>
    <row r="470" spans="1:1" x14ac:dyDescent="0.3">
      <c r="A470" s="36"/>
    </row>
    <row r="471" spans="1:1" x14ac:dyDescent="0.3">
      <c r="A471" s="36"/>
    </row>
    <row r="472" spans="1:1" x14ac:dyDescent="0.3">
      <c r="A472" s="36"/>
    </row>
    <row r="473" spans="1:1" x14ac:dyDescent="0.3">
      <c r="A473" s="36"/>
    </row>
    <row r="474" spans="1:1" x14ac:dyDescent="0.3">
      <c r="A474" s="36"/>
    </row>
    <row r="475" spans="1:1" x14ac:dyDescent="0.3">
      <c r="A475" s="36"/>
    </row>
    <row r="476" spans="1:1" x14ac:dyDescent="0.3">
      <c r="A476" s="36"/>
    </row>
    <row r="477" spans="1:1" x14ac:dyDescent="0.3">
      <c r="A477" s="36"/>
    </row>
    <row r="478" spans="1:1" x14ac:dyDescent="0.3">
      <c r="A478" s="36"/>
    </row>
    <row r="479" spans="1:1" x14ac:dyDescent="0.3">
      <c r="A479" s="36"/>
    </row>
    <row r="480" spans="1:1" x14ac:dyDescent="0.3">
      <c r="A480" s="36"/>
    </row>
    <row r="481" spans="1:1" x14ac:dyDescent="0.3">
      <c r="A481" s="36"/>
    </row>
    <row r="482" spans="1:1" x14ac:dyDescent="0.3">
      <c r="A482" s="36"/>
    </row>
    <row r="483" spans="1:1" x14ac:dyDescent="0.3">
      <c r="A483" s="36"/>
    </row>
    <row r="484" spans="1:1" x14ac:dyDescent="0.3">
      <c r="A484" s="36"/>
    </row>
    <row r="485" spans="1:1" x14ac:dyDescent="0.3">
      <c r="A485" s="36"/>
    </row>
    <row r="486" spans="1:1" x14ac:dyDescent="0.3">
      <c r="A486" s="36"/>
    </row>
    <row r="487" spans="1:1" x14ac:dyDescent="0.3">
      <c r="A487" s="36"/>
    </row>
    <row r="488" spans="1:1" x14ac:dyDescent="0.3">
      <c r="A488" s="36"/>
    </row>
    <row r="489" spans="1:1" x14ac:dyDescent="0.3">
      <c r="A489" s="36"/>
    </row>
    <row r="490" spans="1:1" x14ac:dyDescent="0.3">
      <c r="A490" s="36"/>
    </row>
    <row r="491" spans="1:1" x14ac:dyDescent="0.3">
      <c r="A491" s="36"/>
    </row>
    <row r="492" spans="1:1" x14ac:dyDescent="0.3">
      <c r="A492" s="36"/>
    </row>
    <row r="493" spans="1:1" x14ac:dyDescent="0.3">
      <c r="A493" s="36"/>
    </row>
    <row r="494" spans="1:1" x14ac:dyDescent="0.3">
      <c r="A494" s="36"/>
    </row>
    <row r="495" spans="1:1" x14ac:dyDescent="0.3">
      <c r="A495" s="36"/>
    </row>
    <row r="496" spans="1:1" x14ac:dyDescent="0.3">
      <c r="A496" s="36"/>
    </row>
    <row r="497" spans="1:1" x14ac:dyDescent="0.3">
      <c r="A497" s="36"/>
    </row>
    <row r="498" spans="1:1" x14ac:dyDescent="0.3">
      <c r="A498" s="36"/>
    </row>
    <row r="499" spans="1:1" x14ac:dyDescent="0.3">
      <c r="A499" s="36"/>
    </row>
    <row r="500" spans="1:1" x14ac:dyDescent="0.3">
      <c r="A500" s="36"/>
    </row>
    <row r="501" spans="1:1" x14ac:dyDescent="0.3">
      <c r="A501" s="36"/>
    </row>
    <row r="502" spans="1:1" x14ac:dyDescent="0.3">
      <c r="A502" s="36"/>
    </row>
    <row r="503" spans="1:1" x14ac:dyDescent="0.3">
      <c r="A503" s="36"/>
    </row>
    <row r="504" spans="1:1" x14ac:dyDescent="0.3">
      <c r="A504" s="36"/>
    </row>
    <row r="505" spans="1:1" x14ac:dyDescent="0.3">
      <c r="A505" s="36"/>
    </row>
    <row r="506" spans="1:1" x14ac:dyDescent="0.3">
      <c r="A506" s="36"/>
    </row>
    <row r="507" spans="1:1" x14ac:dyDescent="0.3">
      <c r="A507" s="36"/>
    </row>
    <row r="508" spans="1:1" x14ac:dyDescent="0.3">
      <c r="A508" s="36"/>
    </row>
    <row r="509" spans="1:1" x14ac:dyDescent="0.3">
      <c r="A509" s="36"/>
    </row>
    <row r="510" spans="1:1" x14ac:dyDescent="0.3">
      <c r="A510" s="36"/>
    </row>
    <row r="511" spans="1:1" x14ac:dyDescent="0.3">
      <c r="A511" s="36"/>
    </row>
    <row r="512" spans="1:1" x14ac:dyDescent="0.3">
      <c r="A512" s="36"/>
    </row>
    <row r="513" spans="1:1" x14ac:dyDescent="0.3">
      <c r="A513" s="36"/>
    </row>
    <row r="514" spans="1:1" x14ac:dyDescent="0.3">
      <c r="A514" s="36"/>
    </row>
    <row r="515" spans="1:1" x14ac:dyDescent="0.3">
      <c r="A515" s="36"/>
    </row>
    <row r="516" spans="1:1" x14ac:dyDescent="0.3">
      <c r="A516" s="36"/>
    </row>
    <row r="517" spans="1:1" x14ac:dyDescent="0.3">
      <c r="A517" s="36"/>
    </row>
    <row r="518" spans="1:1" x14ac:dyDescent="0.3">
      <c r="A518" s="36"/>
    </row>
    <row r="519" spans="1:1" x14ac:dyDescent="0.3">
      <c r="A519" s="36"/>
    </row>
    <row r="520" spans="1:1" x14ac:dyDescent="0.3">
      <c r="A520" s="36"/>
    </row>
    <row r="521" spans="1:1" x14ac:dyDescent="0.3">
      <c r="A521" s="36"/>
    </row>
    <row r="522" spans="1:1" x14ac:dyDescent="0.3">
      <c r="A522" s="36"/>
    </row>
    <row r="523" spans="1:1" x14ac:dyDescent="0.3">
      <c r="A523" s="36"/>
    </row>
    <row r="524" spans="1:1" x14ac:dyDescent="0.3">
      <c r="A524" s="36"/>
    </row>
    <row r="525" spans="1:1" x14ac:dyDescent="0.3">
      <c r="A525" s="36"/>
    </row>
    <row r="526" spans="1:1" x14ac:dyDescent="0.3">
      <c r="A526" s="36"/>
    </row>
    <row r="527" spans="1:1" x14ac:dyDescent="0.3">
      <c r="A527" s="36"/>
    </row>
    <row r="528" spans="1:1" x14ac:dyDescent="0.3">
      <c r="A528" s="36"/>
    </row>
    <row r="529" spans="1:1" x14ac:dyDescent="0.3">
      <c r="A529" s="36"/>
    </row>
    <row r="530" spans="1:1" x14ac:dyDescent="0.3">
      <c r="A530" s="36"/>
    </row>
    <row r="531" spans="1:1" x14ac:dyDescent="0.3">
      <c r="A531" s="36"/>
    </row>
    <row r="532" spans="1:1" x14ac:dyDescent="0.3">
      <c r="A532" s="36"/>
    </row>
    <row r="533" spans="1:1" x14ac:dyDescent="0.3">
      <c r="A533" s="36"/>
    </row>
    <row r="534" spans="1:1" x14ac:dyDescent="0.3">
      <c r="A534" s="36"/>
    </row>
    <row r="535" spans="1:1" x14ac:dyDescent="0.3">
      <c r="A535" s="36"/>
    </row>
    <row r="536" spans="1:1" x14ac:dyDescent="0.3">
      <c r="A536" s="36"/>
    </row>
    <row r="537" spans="1:1" x14ac:dyDescent="0.3">
      <c r="A537" s="36"/>
    </row>
    <row r="538" spans="1:1" x14ac:dyDescent="0.3">
      <c r="A538" s="36"/>
    </row>
    <row r="539" spans="1:1" x14ac:dyDescent="0.3">
      <c r="A539" s="36"/>
    </row>
    <row r="540" spans="1:1" x14ac:dyDescent="0.3">
      <c r="A540" s="36"/>
    </row>
    <row r="541" spans="1:1" x14ac:dyDescent="0.3">
      <c r="A541" s="36"/>
    </row>
    <row r="542" spans="1:1" x14ac:dyDescent="0.3">
      <c r="A542" s="36"/>
    </row>
    <row r="543" spans="1:1" x14ac:dyDescent="0.3">
      <c r="A543" s="36"/>
    </row>
    <row r="544" spans="1:1" x14ac:dyDescent="0.3">
      <c r="A544" s="36"/>
    </row>
    <row r="545" spans="1:1" x14ac:dyDescent="0.3">
      <c r="A545" s="36"/>
    </row>
    <row r="546" spans="1:1" x14ac:dyDescent="0.3">
      <c r="A546" s="36"/>
    </row>
    <row r="547" spans="1:1" x14ac:dyDescent="0.3">
      <c r="A547" s="36"/>
    </row>
    <row r="548" spans="1:1" x14ac:dyDescent="0.3">
      <c r="A548" s="36"/>
    </row>
    <row r="549" spans="1:1" x14ac:dyDescent="0.3">
      <c r="A549" s="36"/>
    </row>
    <row r="550" spans="1:1" x14ac:dyDescent="0.3">
      <c r="A550" s="36"/>
    </row>
    <row r="551" spans="1:1" x14ac:dyDescent="0.3">
      <c r="A551" s="36"/>
    </row>
    <row r="552" spans="1:1" x14ac:dyDescent="0.3">
      <c r="A552" s="36"/>
    </row>
    <row r="553" spans="1:1" x14ac:dyDescent="0.3">
      <c r="A553" s="36"/>
    </row>
    <row r="554" spans="1:1" x14ac:dyDescent="0.3">
      <c r="A554" s="36"/>
    </row>
    <row r="555" spans="1:1" x14ac:dyDescent="0.3">
      <c r="A555" s="36"/>
    </row>
    <row r="556" spans="1:1" x14ac:dyDescent="0.3">
      <c r="A556" s="36"/>
    </row>
    <row r="557" spans="1:1" x14ac:dyDescent="0.3">
      <c r="A557" s="36"/>
    </row>
    <row r="558" spans="1:1" x14ac:dyDescent="0.3">
      <c r="A558" s="36"/>
    </row>
    <row r="559" spans="1:1" x14ac:dyDescent="0.3">
      <c r="A559" s="36"/>
    </row>
    <row r="560" spans="1:1" x14ac:dyDescent="0.3">
      <c r="A560" s="36"/>
    </row>
    <row r="561" spans="1:1" x14ac:dyDescent="0.3">
      <c r="A561" s="36"/>
    </row>
    <row r="562" spans="1:1" x14ac:dyDescent="0.3">
      <c r="A562" s="36"/>
    </row>
    <row r="563" spans="1:1" x14ac:dyDescent="0.3">
      <c r="A563" s="36"/>
    </row>
    <row r="564" spans="1:1" x14ac:dyDescent="0.3">
      <c r="A564" s="36"/>
    </row>
    <row r="565" spans="1:1" x14ac:dyDescent="0.3">
      <c r="A565" s="36"/>
    </row>
    <row r="566" spans="1:1" x14ac:dyDescent="0.3">
      <c r="A566" s="36"/>
    </row>
    <row r="567" spans="1:1" x14ac:dyDescent="0.3">
      <c r="A567" s="36"/>
    </row>
    <row r="568" spans="1:1" x14ac:dyDescent="0.3">
      <c r="A568" s="36"/>
    </row>
    <row r="569" spans="1:1" x14ac:dyDescent="0.3">
      <c r="A569" s="36"/>
    </row>
    <row r="570" spans="1:1" x14ac:dyDescent="0.3">
      <c r="A570" s="36"/>
    </row>
    <row r="571" spans="1:1" x14ac:dyDescent="0.3">
      <c r="A571" s="36"/>
    </row>
    <row r="572" spans="1:1" x14ac:dyDescent="0.3">
      <c r="A572" s="36"/>
    </row>
    <row r="573" spans="1:1" x14ac:dyDescent="0.3">
      <c r="A573" s="36"/>
    </row>
    <row r="574" spans="1:1" x14ac:dyDescent="0.3">
      <c r="A574" s="36"/>
    </row>
    <row r="575" spans="1:1" x14ac:dyDescent="0.3">
      <c r="A575" s="36"/>
    </row>
    <row r="576" spans="1:1" x14ac:dyDescent="0.3">
      <c r="A576" s="36"/>
    </row>
    <row r="577" spans="1:1" x14ac:dyDescent="0.3">
      <c r="A577" s="36"/>
    </row>
    <row r="578" spans="1:1" x14ac:dyDescent="0.3">
      <c r="A578" s="36"/>
    </row>
    <row r="579" spans="1:1" x14ac:dyDescent="0.3">
      <c r="A579" s="36"/>
    </row>
    <row r="580" spans="1:1" x14ac:dyDescent="0.3">
      <c r="A580" s="36"/>
    </row>
    <row r="581" spans="1:1" x14ac:dyDescent="0.3">
      <c r="A581" s="36"/>
    </row>
    <row r="582" spans="1:1" x14ac:dyDescent="0.3">
      <c r="A582" s="36"/>
    </row>
    <row r="583" spans="1:1" x14ac:dyDescent="0.3">
      <c r="A583" s="36"/>
    </row>
    <row r="584" spans="1:1" x14ac:dyDescent="0.3">
      <c r="A584" s="36"/>
    </row>
    <row r="585" spans="1:1" x14ac:dyDescent="0.3">
      <c r="A585" s="36"/>
    </row>
    <row r="586" spans="1:1" x14ac:dyDescent="0.3">
      <c r="A586" s="36"/>
    </row>
    <row r="587" spans="1:1" x14ac:dyDescent="0.3">
      <c r="A587" s="36"/>
    </row>
    <row r="588" spans="1:1" x14ac:dyDescent="0.3">
      <c r="A588" s="36"/>
    </row>
    <row r="589" spans="1:1" x14ac:dyDescent="0.3">
      <c r="A589" s="36"/>
    </row>
    <row r="590" spans="1:1" x14ac:dyDescent="0.3">
      <c r="A590" s="36"/>
    </row>
    <row r="591" spans="1:1" x14ac:dyDescent="0.3">
      <c r="A591" s="36"/>
    </row>
    <row r="592" spans="1:1" x14ac:dyDescent="0.3">
      <c r="A592" s="36"/>
    </row>
    <row r="593" spans="1:1" x14ac:dyDescent="0.3">
      <c r="A593" s="36"/>
    </row>
    <row r="594" spans="1:1" x14ac:dyDescent="0.3">
      <c r="A594" s="36"/>
    </row>
    <row r="595" spans="1:1" x14ac:dyDescent="0.3">
      <c r="A595" s="36"/>
    </row>
    <row r="596" spans="1:1" x14ac:dyDescent="0.3">
      <c r="A596" s="36"/>
    </row>
    <row r="597" spans="1:1" x14ac:dyDescent="0.3">
      <c r="A597" s="36"/>
    </row>
    <row r="598" spans="1:1" x14ac:dyDescent="0.3">
      <c r="A598" s="36"/>
    </row>
    <row r="599" spans="1:1" x14ac:dyDescent="0.3">
      <c r="A599" s="36"/>
    </row>
    <row r="600" spans="1:1" x14ac:dyDescent="0.3">
      <c r="A600" s="36"/>
    </row>
    <row r="601" spans="1:1" x14ac:dyDescent="0.3">
      <c r="A601" s="36"/>
    </row>
    <row r="602" spans="1:1" x14ac:dyDescent="0.3">
      <c r="A602" s="36"/>
    </row>
    <row r="603" spans="1:1" x14ac:dyDescent="0.3">
      <c r="A603" s="36"/>
    </row>
    <row r="604" spans="1:1" x14ac:dyDescent="0.3">
      <c r="A604" s="36"/>
    </row>
    <row r="605" spans="1:1" x14ac:dyDescent="0.3">
      <c r="A605" s="36"/>
    </row>
    <row r="606" spans="1:1" x14ac:dyDescent="0.3">
      <c r="A606" s="36"/>
    </row>
    <row r="607" spans="1:1" x14ac:dyDescent="0.3">
      <c r="A607" s="36"/>
    </row>
    <row r="608" spans="1:1" x14ac:dyDescent="0.3">
      <c r="A608" s="36"/>
    </row>
    <row r="609" spans="1:1" x14ac:dyDescent="0.3">
      <c r="A609" s="36"/>
    </row>
    <row r="610" spans="1:1" x14ac:dyDescent="0.3">
      <c r="A610" s="36"/>
    </row>
    <row r="611" spans="1:1" x14ac:dyDescent="0.3">
      <c r="A611" s="36"/>
    </row>
    <row r="612" spans="1:1" x14ac:dyDescent="0.3">
      <c r="A612" s="36"/>
    </row>
    <row r="613" spans="1:1" x14ac:dyDescent="0.3">
      <c r="A613" s="36"/>
    </row>
    <row r="614" spans="1:1" x14ac:dyDescent="0.3">
      <c r="A614" s="36"/>
    </row>
    <row r="615" spans="1:1" x14ac:dyDescent="0.3">
      <c r="A615" s="36"/>
    </row>
    <row r="616" spans="1:1" x14ac:dyDescent="0.3">
      <c r="A616" s="36"/>
    </row>
    <row r="617" spans="1:1" x14ac:dyDescent="0.3">
      <c r="A617" s="36"/>
    </row>
    <row r="618" spans="1:1" x14ac:dyDescent="0.3">
      <c r="A618" s="36"/>
    </row>
    <row r="619" spans="1:1" x14ac:dyDescent="0.3">
      <c r="A619" s="36"/>
    </row>
    <row r="620" spans="1:1" x14ac:dyDescent="0.3">
      <c r="A620" s="36"/>
    </row>
    <row r="621" spans="1:1" x14ac:dyDescent="0.3">
      <c r="A621" s="36"/>
    </row>
    <row r="622" spans="1:1" x14ac:dyDescent="0.3">
      <c r="A622" s="36"/>
    </row>
    <row r="623" spans="1:1" x14ac:dyDescent="0.3">
      <c r="A623" s="36"/>
    </row>
    <row r="624" spans="1:1" x14ac:dyDescent="0.3">
      <c r="A624" s="36"/>
    </row>
    <row r="625" spans="1:1" x14ac:dyDescent="0.3">
      <c r="A625" s="36"/>
    </row>
    <row r="626" spans="1:1" x14ac:dyDescent="0.3">
      <c r="A626" s="36"/>
    </row>
    <row r="627" spans="1:1" x14ac:dyDescent="0.3">
      <c r="A627" s="36"/>
    </row>
    <row r="628" spans="1:1" x14ac:dyDescent="0.3">
      <c r="A628" s="36"/>
    </row>
    <row r="629" spans="1:1" x14ac:dyDescent="0.3">
      <c r="A629" s="36"/>
    </row>
    <row r="630" spans="1:1" x14ac:dyDescent="0.3">
      <c r="A630" s="36"/>
    </row>
    <row r="631" spans="1:1" x14ac:dyDescent="0.3">
      <c r="A631" s="36"/>
    </row>
    <row r="632" spans="1:1" x14ac:dyDescent="0.3">
      <c r="A632" s="36"/>
    </row>
    <row r="633" spans="1:1" x14ac:dyDescent="0.3">
      <c r="A633" s="36"/>
    </row>
    <row r="634" spans="1:1" x14ac:dyDescent="0.3">
      <c r="A634" s="36"/>
    </row>
    <row r="635" spans="1:1" x14ac:dyDescent="0.3">
      <c r="A635" s="36"/>
    </row>
    <row r="636" spans="1:1" x14ac:dyDescent="0.3">
      <c r="A636" s="36"/>
    </row>
    <row r="637" spans="1:1" x14ac:dyDescent="0.3">
      <c r="A637" s="36"/>
    </row>
    <row r="638" spans="1:1" x14ac:dyDescent="0.3">
      <c r="A638" s="36"/>
    </row>
    <row r="639" spans="1:1" x14ac:dyDescent="0.3">
      <c r="A639" s="36"/>
    </row>
    <row r="640" spans="1:1" x14ac:dyDescent="0.3">
      <c r="A640" s="36"/>
    </row>
    <row r="641" spans="1:1" x14ac:dyDescent="0.3">
      <c r="A641" s="36"/>
    </row>
    <row r="642" spans="1:1" x14ac:dyDescent="0.3">
      <c r="A642" s="36"/>
    </row>
    <row r="643" spans="1:1" x14ac:dyDescent="0.3">
      <c r="A643" s="36"/>
    </row>
    <row r="644" spans="1:1" x14ac:dyDescent="0.3">
      <c r="A644" s="36"/>
    </row>
    <row r="645" spans="1:1" x14ac:dyDescent="0.3">
      <c r="A645" s="36"/>
    </row>
    <row r="646" spans="1:1" x14ac:dyDescent="0.3">
      <c r="A646" s="36"/>
    </row>
    <row r="647" spans="1:1" x14ac:dyDescent="0.3">
      <c r="A647" s="36"/>
    </row>
    <row r="648" spans="1:1" x14ac:dyDescent="0.3">
      <c r="A648" s="36"/>
    </row>
    <row r="649" spans="1:1" x14ac:dyDescent="0.3">
      <c r="A649" s="36"/>
    </row>
    <row r="650" spans="1:1" x14ac:dyDescent="0.3">
      <c r="A650" s="36"/>
    </row>
    <row r="651" spans="1:1" x14ac:dyDescent="0.3">
      <c r="A651" s="36"/>
    </row>
    <row r="652" spans="1:1" x14ac:dyDescent="0.3">
      <c r="A652" s="36"/>
    </row>
    <row r="653" spans="1:1" x14ac:dyDescent="0.3">
      <c r="A653" s="36"/>
    </row>
    <row r="654" spans="1:1" x14ac:dyDescent="0.3">
      <c r="A654" s="36"/>
    </row>
    <row r="655" spans="1:1" x14ac:dyDescent="0.3">
      <c r="A655" s="36"/>
    </row>
    <row r="656" spans="1:1" x14ac:dyDescent="0.3">
      <c r="A656" s="36"/>
    </row>
    <row r="657" spans="1:1" x14ac:dyDescent="0.3">
      <c r="A657" s="36"/>
    </row>
    <row r="658" spans="1:1" x14ac:dyDescent="0.3">
      <c r="A658" s="36"/>
    </row>
    <row r="659" spans="1:1" x14ac:dyDescent="0.3">
      <c r="A659" s="36"/>
    </row>
    <row r="660" spans="1:1" x14ac:dyDescent="0.3">
      <c r="A660" s="36"/>
    </row>
    <row r="661" spans="1:1" x14ac:dyDescent="0.3">
      <c r="A661" s="36"/>
    </row>
    <row r="662" spans="1:1" x14ac:dyDescent="0.3">
      <c r="A662" s="36"/>
    </row>
    <row r="663" spans="1:1" x14ac:dyDescent="0.3">
      <c r="A663" s="36"/>
    </row>
    <row r="664" spans="1:1" x14ac:dyDescent="0.3">
      <c r="A664" s="36"/>
    </row>
    <row r="665" spans="1:1" x14ac:dyDescent="0.3">
      <c r="A665" s="36"/>
    </row>
    <row r="666" spans="1:1" x14ac:dyDescent="0.3">
      <c r="A666" s="36"/>
    </row>
    <row r="667" spans="1:1" x14ac:dyDescent="0.3">
      <c r="A667" s="36"/>
    </row>
    <row r="668" spans="1:1" x14ac:dyDescent="0.3">
      <c r="A668" s="36"/>
    </row>
    <row r="669" spans="1:1" x14ac:dyDescent="0.3">
      <c r="A669" s="36"/>
    </row>
    <row r="670" spans="1:1" x14ac:dyDescent="0.3">
      <c r="A670" s="36"/>
    </row>
    <row r="671" spans="1:1" x14ac:dyDescent="0.3">
      <c r="A671" s="36"/>
    </row>
    <row r="672" spans="1:1" x14ac:dyDescent="0.3">
      <c r="A672" s="36"/>
    </row>
    <row r="673" spans="1:1" x14ac:dyDescent="0.3">
      <c r="A673" s="36"/>
    </row>
    <row r="674" spans="1:1" x14ac:dyDescent="0.3">
      <c r="A674" s="36"/>
    </row>
    <row r="675" spans="1:1" x14ac:dyDescent="0.3">
      <c r="A675" s="36"/>
    </row>
    <row r="676" spans="1:1" x14ac:dyDescent="0.3">
      <c r="A676" s="36"/>
    </row>
    <row r="677" spans="1:1" x14ac:dyDescent="0.3">
      <c r="A677" s="36"/>
    </row>
    <row r="678" spans="1:1" x14ac:dyDescent="0.3">
      <c r="A678" s="36"/>
    </row>
    <row r="679" spans="1:1" x14ac:dyDescent="0.3">
      <c r="A679" s="36"/>
    </row>
    <row r="680" spans="1:1" x14ac:dyDescent="0.3">
      <c r="A680" s="36"/>
    </row>
    <row r="681" spans="1:1" x14ac:dyDescent="0.3">
      <c r="A681" s="36"/>
    </row>
    <row r="682" spans="1:1" x14ac:dyDescent="0.3">
      <c r="A682" s="36"/>
    </row>
    <row r="683" spans="1:1" x14ac:dyDescent="0.3">
      <c r="A683" s="36"/>
    </row>
    <row r="684" spans="1:1" x14ac:dyDescent="0.3">
      <c r="A684" s="36"/>
    </row>
    <row r="685" spans="1:1" x14ac:dyDescent="0.3">
      <c r="A685" s="36"/>
    </row>
    <row r="686" spans="1:1" x14ac:dyDescent="0.3">
      <c r="A686" s="36"/>
    </row>
    <row r="687" spans="1:1" x14ac:dyDescent="0.3">
      <c r="A687" s="36"/>
    </row>
    <row r="688" spans="1:1" x14ac:dyDescent="0.3">
      <c r="A688" s="36"/>
    </row>
    <row r="689" spans="1:1" x14ac:dyDescent="0.3">
      <c r="A689" s="36"/>
    </row>
    <row r="690" spans="1:1" x14ac:dyDescent="0.3">
      <c r="A690" s="36"/>
    </row>
    <row r="691" spans="1:1" x14ac:dyDescent="0.3">
      <c r="A691" s="36"/>
    </row>
    <row r="692" spans="1:1" x14ac:dyDescent="0.3">
      <c r="A692" s="36"/>
    </row>
    <row r="693" spans="1:1" x14ac:dyDescent="0.3">
      <c r="A693" s="36"/>
    </row>
    <row r="694" spans="1:1" x14ac:dyDescent="0.3">
      <c r="A694" s="36"/>
    </row>
    <row r="695" spans="1:1" x14ac:dyDescent="0.3">
      <c r="A695" s="36"/>
    </row>
    <row r="696" spans="1:1" x14ac:dyDescent="0.3">
      <c r="A696" s="36"/>
    </row>
    <row r="697" spans="1:1" x14ac:dyDescent="0.3">
      <c r="A697" s="36"/>
    </row>
    <row r="698" spans="1:1" x14ac:dyDescent="0.3">
      <c r="A698" s="36"/>
    </row>
    <row r="699" spans="1:1" x14ac:dyDescent="0.3">
      <c r="A699" s="36"/>
    </row>
    <row r="700" spans="1:1" x14ac:dyDescent="0.3">
      <c r="A700" s="36"/>
    </row>
    <row r="701" spans="1:1" x14ac:dyDescent="0.3">
      <c r="A701" s="36"/>
    </row>
    <row r="702" spans="1:1" x14ac:dyDescent="0.3">
      <c r="A702" s="36"/>
    </row>
    <row r="703" spans="1:1" x14ac:dyDescent="0.3">
      <c r="A703" s="36"/>
    </row>
    <row r="704" spans="1:1" x14ac:dyDescent="0.3">
      <c r="A704" s="36"/>
    </row>
    <row r="705" spans="1:1" x14ac:dyDescent="0.3">
      <c r="A705" s="36"/>
    </row>
    <row r="706" spans="1:1" x14ac:dyDescent="0.3">
      <c r="A706" s="36"/>
    </row>
    <row r="707" spans="1:1" x14ac:dyDescent="0.3">
      <c r="A707" s="36"/>
    </row>
    <row r="708" spans="1:1" x14ac:dyDescent="0.3">
      <c r="A708" s="36"/>
    </row>
    <row r="709" spans="1:1" x14ac:dyDescent="0.3">
      <c r="A709" s="36"/>
    </row>
    <row r="710" spans="1:1" x14ac:dyDescent="0.3">
      <c r="A710" s="36"/>
    </row>
    <row r="711" spans="1:1" x14ac:dyDescent="0.3">
      <c r="A711" s="36"/>
    </row>
    <row r="712" spans="1:1" x14ac:dyDescent="0.3">
      <c r="A712" s="36"/>
    </row>
    <row r="713" spans="1:1" x14ac:dyDescent="0.3">
      <c r="A713" s="36"/>
    </row>
    <row r="714" spans="1:1" x14ac:dyDescent="0.3">
      <c r="A714" s="36"/>
    </row>
    <row r="715" spans="1:1" x14ac:dyDescent="0.3">
      <c r="A715" s="36"/>
    </row>
    <row r="716" spans="1:1" x14ac:dyDescent="0.3">
      <c r="A716" s="36"/>
    </row>
    <row r="717" spans="1:1" x14ac:dyDescent="0.3">
      <c r="A717" s="36"/>
    </row>
    <row r="718" spans="1:1" x14ac:dyDescent="0.3">
      <c r="A718" s="36"/>
    </row>
    <row r="719" spans="1:1" x14ac:dyDescent="0.3">
      <c r="A719" s="36"/>
    </row>
    <row r="720" spans="1:1" x14ac:dyDescent="0.3">
      <c r="A720" s="36"/>
    </row>
    <row r="721" spans="1:1" x14ac:dyDescent="0.3">
      <c r="A721" s="36"/>
    </row>
    <row r="722" spans="1:1" x14ac:dyDescent="0.3">
      <c r="A722" s="36"/>
    </row>
    <row r="723" spans="1:1" x14ac:dyDescent="0.3">
      <c r="A723" s="36"/>
    </row>
    <row r="724" spans="1:1" x14ac:dyDescent="0.3">
      <c r="A724" s="36"/>
    </row>
    <row r="725" spans="1:1" x14ac:dyDescent="0.3">
      <c r="A725" s="36"/>
    </row>
    <row r="726" spans="1:1" x14ac:dyDescent="0.3">
      <c r="A726" s="36"/>
    </row>
    <row r="727" spans="1:1" x14ac:dyDescent="0.3">
      <c r="A727" s="36"/>
    </row>
    <row r="728" spans="1:1" x14ac:dyDescent="0.3">
      <c r="A728" s="36"/>
    </row>
    <row r="729" spans="1:1" x14ac:dyDescent="0.3">
      <c r="A729" s="36"/>
    </row>
    <row r="730" spans="1:1" x14ac:dyDescent="0.3">
      <c r="A730" s="36"/>
    </row>
    <row r="731" spans="1:1" x14ac:dyDescent="0.3">
      <c r="A731" s="36"/>
    </row>
    <row r="732" spans="1:1" x14ac:dyDescent="0.3">
      <c r="A732" s="36"/>
    </row>
    <row r="733" spans="1:1" x14ac:dyDescent="0.3">
      <c r="A733" s="36"/>
    </row>
    <row r="734" spans="1:1" x14ac:dyDescent="0.3">
      <c r="A734" s="36"/>
    </row>
    <row r="735" spans="1:1" x14ac:dyDescent="0.3">
      <c r="A735" s="36"/>
    </row>
    <row r="736" spans="1:1" x14ac:dyDescent="0.3">
      <c r="A736" s="36"/>
    </row>
    <row r="737" spans="1:1" x14ac:dyDescent="0.3">
      <c r="A737" s="36"/>
    </row>
    <row r="738" spans="1:1" x14ac:dyDescent="0.3">
      <c r="A738" s="36"/>
    </row>
    <row r="739" spans="1:1" x14ac:dyDescent="0.3">
      <c r="A739" s="36"/>
    </row>
    <row r="740" spans="1:1" x14ac:dyDescent="0.3">
      <c r="A740" s="36"/>
    </row>
    <row r="741" spans="1:1" x14ac:dyDescent="0.3">
      <c r="A741" s="36"/>
    </row>
    <row r="742" spans="1:1" x14ac:dyDescent="0.3">
      <c r="A742" s="36"/>
    </row>
    <row r="743" spans="1:1" x14ac:dyDescent="0.3">
      <c r="A743" s="36"/>
    </row>
    <row r="744" spans="1:1" x14ac:dyDescent="0.3">
      <c r="A744" s="36"/>
    </row>
    <row r="745" spans="1:1" x14ac:dyDescent="0.3">
      <c r="A745" s="36"/>
    </row>
    <row r="746" spans="1:1" x14ac:dyDescent="0.3">
      <c r="A746" s="36"/>
    </row>
    <row r="747" spans="1:1" x14ac:dyDescent="0.3">
      <c r="A747" s="36"/>
    </row>
    <row r="748" spans="1:1" x14ac:dyDescent="0.3">
      <c r="A748" s="36"/>
    </row>
    <row r="749" spans="1:1" x14ac:dyDescent="0.3">
      <c r="A749" s="36"/>
    </row>
    <row r="750" spans="1:1" x14ac:dyDescent="0.3">
      <c r="A750" s="36"/>
    </row>
    <row r="751" spans="1:1" x14ac:dyDescent="0.3">
      <c r="A751" s="36"/>
    </row>
    <row r="752" spans="1:1" x14ac:dyDescent="0.3">
      <c r="A752" s="36"/>
    </row>
    <row r="753" spans="1:1" x14ac:dyDescent="0.3">
      <c r="A753" s="36"/>
    </row>
    <row r="754" spans="1:1" x14ac:dyDescent="0.3">
      <c r="A754" s="36"/>
    </row>
    <row r="755" spans="1:1" x14ac:dyDescent="0.3">
      <c r="A755" s="36"/>
    </row>
    <row r="756" spans="1:1" x14ac:dyDescent="0.3">
      <c r="A756" s="36"/>
    </row>
    <row r="757" spans="1:1" x14ac:dyDescent="0.3">
      <c r="A757" s="36"/>
    </row>
    <row r="758" spans="1:1" x14ac:dyDescent="0.3">
      <c r="A758" s="36"/>
    </row>
    <row r="759" spans="1:1" x14ac:dyDescent="0.3">
      <c r="A759" s="36"/>
    </row>
    <row r="760" spans="1:1" x14ac:dyDescent="0.3">
      <c r="A760" s="36"/>
    </row>
    <row r="761" spans="1:1" x14ac:dyDescent="0.3">
      <c r="A761" s="36"/>
    </row>
    <row r="762" spans="1:1" x14ac:dyDescent="0.3">
      <c r="A762" s="36"/>
    </row>
    <row r="763" spans="1:1" x14ac:dyDescent="0.3">
      <c r="A763" s="36"/>
    </row>
    <row r="764" spans="1:1" x14ac:dyDescent="0.3">
      <c r="A764" s="36"/>
    </row>
    <row r="765" spans="1:1" x14ac:dyDescent="0.3">
      <c r="A765" s="36"/>
    </row>
    <row r="766" spans="1:1" x14ac:dyDescent="0.3">
      <c r="A766" s="36"/>
    </row>
    <row r="767" spans="1:1" x14ac:dyDescent="0.3">
      <c r="A767" s="36"/>
    </row>
    <row r="768" spans="1:1" x14ac:dyDescent="0.3">
      <c r="A768" s="36"/>
    </row>
    <row r="769" spans="1:1" x14ac:dyDescent="0.3">
      <c r="A769" s="36"/>
    </row>
    <row r="770" spans="1:1" x14ac:dyDescent="0.3">
      <c r="A770" s="36"/>
    </row>
    <row r="771" spans="1:1" x14ac:dyDescent="0.3">
      <c r="A771" s="36"/>
    </row>
    <row r="772" spans="1:1" x14ac:dyDescent="0.3">
      <c r="A772" s="36"/>
    </row>
    <row r="773" spans="1:1" x14ac:dyDescent="0.3">
      <c r="A773" s="36"/>
    </row>
    <row r="774" spans="1:1" x14ac:dyDescent="0.3">
      <c r="A774" s="36"/>
    </row>
    <row r="775" spans="1:1" x14ac:dyDescent="0.3">
      <c r="A775" s="36"/>
    </row>
    <row r="776" spans="1:1" x14ac:dyDescent="0.3">
      <c r="A776" s="36"/>
    </row>
    <row r="777" spans="1:1" x14ac:dyDescent="0.3">
      <c r="A777" s="36"/>
    </row>
    <row r="778" spans="1:1" x14ac:dyDescent="0.3">
      <c r="A778" s="36"/>
    </row>
    <row r="779" spans="1:1" x14ac:dyDescent="0.3">
      <c r="A779" s="36"/>
    </row>
    <row r="780" spans="1:1" x14ac:dyDescent="0.3">
      <c r="A780" s="36"/>
    </row>
    <row r="781" spans="1:1" x14ac:dyDescent="0.3">
      <c r="A781" s="36"/>
    </row>
    <row r="782" spans="1:1" x14ac:dyDescent="0.3">
      <c r="A782" s="36"/>
    </row>
    <row r="783" spans="1:1" x14ac:dyDescent="0.3">
      <c r="A783" s="36"/>
    </row>
    <row r="784" spans="1:1" x14ac:dyDescent="0.3">
      <c r="A784" s="36"/>
    </row>
    <row r="785" spans="1:1" x14ac:dyDescent="0.3">
      <c r="A785" s="36"/>
    </row>
    <row r="786" spans="1:1" x14ac:dyDescent="0.3">
      <c r="A786" s="36"/>
    </row>
    <row r="787" spans="1:1" x14ac:dyDescent="0.3">
      <c r="A787" s="36"/>
    </row>
    <row r="788" spans="1:1" x14ac:dyDescent="0.3">
      <c r="A788" s="36"/>
    </row>
    <row r="789" spans="1:1" x14ac:dyDescent="0.3">
      <c r="A789" s="36"/>
    </row>
    <row r="790" spans="1:1" x14ac:dyDescent="0.3">
      <c r="A790" s="36"/>
    </row>
    <row r="791" spans="1:1" x14ac:dyDescent="0.3">
      <c r="A791" s="36"/>
    </row>
    <row r="792" spans="1:1" x14ac:dyDescent="0.3">
      <c r="A792" s="36"/>
    </row>
    <row r="793" spans="1:1" x14ac:dyDescent="0.3">
      <c r="A793" s="36"/>
    </row>
    <row r="794" spans="1:1" x14ac:dyDescent="0.3">
      <c r="A794" s="36"/>
    </row>
    <row r="795" spans="1:1" x14ac:dyDescent="0.3">
      <c r="A795" s="36"/>
    </row>
    <row r="796" spans="1:1" x14ac:dyDescent="0.3">
      <c r="A796" s="36"/>
    </row>
    <row r="797" spans="1:1" x14ac:dyDescent="0.3">
      <c r="A797" s="36"/>
    </row>
    <row r="798" spans="1:1" x14ac:dyDescent="0.3">
      <c r="A798" s="36"/>
    </row>
    <row r="799" spans="1:1" x14ac:dyDescent="0.3">
      <c r="A799" s="36"/>
    </row>
    <row r="800" spans="1:1" x14ac:dyDescent="0.3">
      <c r="A800" s="36"/>
    </row>
    <row r="801" spans="1:1" x14ac:dyDescent="0.3">
      <c r="A801" s="36"/>
    </row>
    <row r="802" spans="1:1" x14ac:dyDescent="0.3">
      <c r="A802" s="36"/>
    </row>
    <row r="803" spans="1:1" x14ac:dyDescent="0.3">
      <c r="A803" s="36"/>
    </row>
    <row r="804" spans="1:1" x14ac:dyDescent="0.3">
      <c r="A804" s="36"/>
    </row>
    <row r="805" spans="1:1" x14ac:dyDescent="0.3">
      <c r="A805" s="36"/>
    </row>
    <row r="806" spans="1:1" x14ac:dyDescent="0.3">
      <c r="A806" s="36"/>
    </row>
    <row r="807" spans="1:1" x14ac:dyDescent="0.3">
      <c r="A807" s="36"/>
    </row>
    <row r="808" spans="1:1" x14ac:dyDescent="0.3">
      <c r="A808" s="36"/>
    </row>
    <row r="809" spans="1:1" x14ac:dyDescent="0.3">
      <c r="A809" s="36"/>
    </row>
    <row r="810" spans="1:1" x14ac:dyDescent="0.3">
      <c r="A810" s="36"/>
    </row>
    <row r="811" spans="1:1" x14ac:dyDescent="0.3">
      <c r="A811" s="36"/>
    </row>
    <row r="812" spans="1:1" x14ac:dyDescent="0.3">
      <c r="A812" s="36"/>
    </row>
    <row r="813" spans="1:1" x14ac:dyDescent="0.3">
      <c r="A813" s="36"/>
    </row>
    <row r="814" spans="1:1" x14ac:dyDescent="0.3">
      <c r="A814" s="36"/>
    </row>
    <row r="815" spans="1:1" x14ac:dyDescent="0.3">
      <c r="A815" s="36"/>
    </row>
    <row r="816" spans="1:1" x14ac:dyDescent="0.3">
      <c r="A816" s="36"/>
    </row>
    <row r="817" spans="1:1" x14ac:dyDescent="0.3">
      <c r="A817" s="36"/>
    </row>
    <row r="818" spans="1:1" x14ac:dyDescent="0.3">
      <c r="A818" s="36"/>
    </row>
    <row r="819" spans="1:1" x14ac:dyDescent="0.3">
      <c r="A819" s="36"/>
    </row>
    <row r="820" spans="1:1" x14ac:dyDescent="0.3">
      <c r="A820" s="36"/>
    </row>
    <row r="821" spans="1:1" x14ac:dyDescent="0.3">
      <c r="A821" s="36"/>
    </row>
    <row r="822" spans="1:1" x14ac:dyDescent="0.3">
      <c r="A822" s="36"/>
    </row>
    <row r="823" spans="1:1" x14ac:dyDescent="0.3">
      <c r="A823" s="36"/>
    </row>
    <row r="824" spans="1:1" x14ac:dyDescent="0.3">
      <c r="A824" s="36"/>
    </row>
    <row r="825" spans="1:1" x14ac:dyDescent="0.3">
      <c r="A825" s="36"/>
    </row>
    <row r="826" spans="1:1" x14ac:dyDescent="0.3">
      <c r="A826" s="36"/>
    </row>
    <row r="827" spans="1:1" x14ac:dyDescent="0.3">
      <c r="A827" s="36"/>
    </row>
    <row r="828" spans="1:1" x14ac:dyDescent="0.3">
      <c r="A828" s="36"/>
    </row>
    <row r="829" spans="1:1" x14ac:dyDescent="0.3">
      <c r="A829" s="36"/>
    </row>
    <row r="830" spans="1:1" x14ac:dyDescent="0.3">
      <c r="A830" s="36"/>
    </row>
    <row r="831" spans="1:1" x14ac:dyDescent="0.3">
      <c r="A831" s="36"/>
    </row>
    <row r="832" spans="1:1" x14ac:dyDescent="0.3">
      <c r="A832" s="36"/>
    </row>
    <row r="833" spans="1:1" x14ac:dyDescent="0.3">
      <c r="A833" s="36"/>
    </row>
    <row r="834" spans="1:1" x14ac:dyDescent="0.3">
      <c r="A834" s="36"/>
    </row>
    <row r="835" spans="1:1" x14ac:dyDescent="0.3">
      <c r="A835" s="36"/>
    </row>
    <row r="836" spans="1:1" x14ac:dyDescent="0.3">
      <c r="A836" s="36"/>
    </row>
    <row r="837" spans="1:1" x14ac:dyDescent="0.3">
      <c r="A837" s="36"/>
    </row>
    <row r="838" spans="1:1" x14ac:dyDescent="0.3">
      <c r="A838" s="36"/>
    </row>
    <row r="839" spans="1:1" x14ac:dyDescent="0.3">
      <c r="A839" s="36"/>
    </row>
    <row r="840" spans="1:1" x14ac:dyDescent="0.3">
      <c r="A840" s="36"/>
    </row>
    <row r="841" spans="1:1" x14ac:dyDescent="0.3">
      <c r="A841" s="36"/>
    </row>
    <row r="842" spans="1:1" x14ac:dyDescent="0.3">
      <c r="A842" s="36"/>
    </row>
    <row r="843" spans="1:1" x14ac:dyDescent="0.3">
      <c r="A843" s="36"/>
    </row>
    <row r="844" spans="1:1" x14ac:dyDescent="0.3">
      <c r="A844" s="36"/>
    </row>
    <row r="845" spans="1:1" x14ac:dyDescent="0.3">
      <c r="A845" s="36"/>
    </row>
    <row r="846" spans="1:1" x14ac:dyDescent="0.3">
      <c r="A846" s="36"/>
    </row>
    <row r="847" spans="1:1" x14ac:dyDescent="0.3">
      <c r="A847" s="36"/>
    </row>
    <row r="848" spans="1:1" x14ac:dyDescent="0.3">
      <c r="A848" s="36"/>
    </row>
    <row r="849" spans="1:1" x14ac:dyDescent="0.3">
      <c r="A849" s="36"/>
    </row>
    <row r="850" spans="1:1" x14ac:dyDescent="0.3">
      <c r="A850" s="36"/>
    </row>
    <row r="851" spans="1:1" x14ac:dyDescent="0.3">
      <c r="A851" s="36"/>
    </row>
    <row r="852" spans="1:1" x14ac:dyDescent="0.3">
      <c r="A852" s="36"/>
    </row>
    <row r="853" spans="1:1" x14ac:dyDescent="0.3">
      <c r="A853" s="36"/>
    </row>
    <row r="854" spans="1:1" x14ac:dyDescent="0.3">
      <c r="A854" s="36"/>
    </row>
    <row r="855" spans="1:1" x14ac:dyDescent="0.3">
      <c r="A855" s="36"/>
    </row>
    <row r="856" spans="1:1" x14ac:dyDescent="0.3">
      <c r="A856" s="36"/>
    </row>
    <row r="857" spans="1:1" x14ac:dyDescent="0.3">
      <c r="A857" s="36"/>
    </row>
    <row r="858" spans="1:1" x14ac:dyDescent="0.3">
      <c r="A858" s="36"/>
    </row>
    <row r="859" spans="1:1" x14ac:dyDescent="0.3">
      <c r="A859" s="36"/>
    </row>
    <row r="860" spans="1:1" x14ac:dyDescent="0.3">
      <c r="A860" s="36"/>
    </row>
    <row r="861" spans="1:1" x14ac:dyDescent="0.3">
      <c r="A861" s="36"/>
    </row>
    <row r="862" spans="1:1" x14ac:dyDescent="0.3">
      <c r="A862" s="36"/>
    </row>
    <row r="863" spans="1:1" x14ac:dyDescent="0.3">
      <c r="A863" s="36"/>
    </row>
    <row r="864" spans="1:1" x14ac:dyDescent="0.3">
      <c r="A864" s="36"/>
    </row>
    <row r="865" spans="1:1" x14ac:dyDescent="0.3">
      <c r="A865" s="36"/>
    </row>
    <row r="866" spans="1:1" x14ac:dyDescent="0.3">
      <c r="A866" s="36"/>
    </row>
    <row r="867" spans="1:1" x14ac:dyDescent="0.3">
      <c r="A867" s="36"/>
    </row>
    <row r="868" spans="1:1" x14ac:dyDescent="0.3">
      <c r="A868" s="36"/>
    </row>
    <row r="869" spans="1:1" x14ac:dyDescent="0.3">
      <c r="A869" s="36"/>
    </row>
    <row r="870" spans="1:1" x14ac:dyDescent="0.3">
      <c r="A870" s="36"/>
    </row>
    <row r="871" spans="1:1" x14ac:dyDescent="0.3">
      <c r="A871" s="36"/>
    </row>
    <row r="872" spans="1:1" x14ac:dyDescent="0.3">
      <c r="A872" s="36"/>
    </row>
    <row r="873" spans="1:1" x14ac:dyDescent="0.3">
      <c r="A873" s="36"/>
    </row>
    <row r="874" spans="1:1" x14ac:dyDescent="0.3">
      <c r="A874" s="36"/>
    </row>
    <row r="875" spans="1:1" x14ac:dyDescent="0.3">
      <c r="A875" s="36"/>
    </row>
    <row r="876" spans="1:1" x14ac:dyDescent="0.3">
      <c r="A876" s="36"/>
    </row>
    <row r="877" spans="1:1" x14ac:dyDescent="0.3">
      <c r="A877" s="36"/>
    </row>
    <row r="878" spans="1:1" x14ac:dyDescent="0.3">
      <c r="A878" s="36"/>
    </row>
    <row r="879" spans="1:1" x14ac:dyDescent="0.3">
      <c r="A879" s="36"/>
    </row>
    <row r="880" spans="1:1" x14ac:dyDescent="0.3">
      <c r="A880" s="36"/>
    </row>
    <row r="881" spans="1:1" x14ac:dyDescent="0.3">
      <c r="A881" s="36"/>
    </row>
    <row r="882" spans="1:1" x14ac:dyDescent="0.3">
      <c r="A882" s="36"/>
    </row>
    <row r="883" spans="1:1" x14ac:dyDescent="0.3">
      <c r="A883" s="36"/>
    </row>
    <row r="884" spans="1:1" x14ac:dyDescent="0.3">
      <c r="A884" s="36"/>
    </row>
    <row r="885" spans="1:1" x14ac:dyDescent="0.3">
      <c r="A885" s="36"/>
    </row>
    <row r="886" spans="1:1" x14ac:dyDescent="0.3">
      <c r="A886" s="36"/>
    </row>
    <row r="887" spans="1:1" x14ac:dyDescent="0.3">
      <c r="A887" s="36"/>
    </row>
    <row r="888" spans="1:1" x14ac:dyDescent="0.3">
      <c r="A888" s="36"/>
    </row>
    <row r="889" spans="1:1" x14ac:dyDescent="0.3">
      <c r="A889" s="36"/>
    </row>
    <row r="890" spans="1:1" x14ac:dyDescent="0.3">
      <c r="A890" s="36"/>
    </row>
    <row r="891" spans="1:1" x14ac:dyDescent="0.3">
      <c r="A891" s="36"/>
    </row>
    <row r="892" spans="1:1" x14ac:dyDescent="0.3">
      <c r="A892" s="36"/>
    </row>
    <row r="893" spans="1:1" x14ac:dyDescent="0.3">
      <c r="A893" s="36"/>
    </row>
    <row r="894" spans="1:1" x14ac:dyDescent="0.3">
      <c r="A894" s="36"/>
    </row>
    <row r="895" spans="1:1" x14ac:dyDescent="0.3">
      <c r="A895" s="36"/>
    </row>
    <row r="896" spans="1:1" x14ac:dyDescent="0.3">
      <c r="A896" s="36"/>
    </row>
    <row r="897" spans="1:1" x14ac:dyDescent="0.3">
      <c r="A897" s="36"/>
    </row>
    <row r="898" spans="1:1" x14ac:dyDescent="0.3">
      <c r="A898" s="36"/>
    </row>
    <row r="899" spans="1:1" x14ac:dyDescent="0.3">
      <c r="A899" s="36"/>
    </row>
    <row r="900" spans="1:1" x14ac:dyDescent="0.3">
      <c r="A900" s="36"/>
    </row>
    <row r="901" spans="1:1" x14ac:dyDescent="0.3">
      <c r="A901" s="36"/>
    </row>
    <row r="902" spans="1:1" x14ac:dyDescent="0.3">
      <c r="A902" s="36"/>
    </row>
    <row r="903" spans="1:1" x14ac:dyDescent="0.3">
      <c r="A903" s="36"/>
    </row>
    <row r="904" spans="1:1" x14ac:dyDescent="0.3">
      <c r="A904" s="36"/>
    </row>
    <row r="905" spans="1:1" x14ac:dyDescent="0.3">
      <c r="A905" s="36"/>
    </row>
    <row r="906" spans="1:1" x14ac:dyDescent="0.3">
      <c r="A906" s="36"/>
    </row>
    <row r="907" spans="1:1" x14ac:dyDescent="0.3">
      <c r="A907" s="36"/>
    </row>
    <row r="908" spans="1:1" x14ac:dyDescent="0.3">
      <c r="A908" s="36"/>
    </row>
    <row r="909" spans="1:1" x14ac:dyDescent="0.3">
      <c r="A909" s="36"/>
    </row>
    <row r="910" spans="1:1" x14ac:dyDescent="0.3">
      <c r="A910" s="36"/>
    </row>
    <row r="911" spans="1:1" x14ac:dyDescent="0.3">
      <c r="A911" s="36"/>
    </row>
    <row r="912" spans="1:1" x14ac:dyDescent="0.3">
      <c r="A912" s="36"/>
    </row>
    <row r="913" spans="1:1" x14ac:dyDescent="0.3">
      <c r="A913" s="36"/>
    </row>
    <row r="914" spans="1:1" x14ac:dyDescent="0.3">
      <c r="A914" s="36"/>
    </row>
    <row r="915" spans="1:1" x14ac:dyDescent="0.3">
      <c r="A915" s="36"/>
    </row>
    <row r="916" spans="1:1" x14ac:dyDescent="0.3">
      <c r="A916" s="36"/>
    </row>
    <row r="917" spans="1:1" x14ac:dyDescent="0.3">
      <c r="A917" s="36"/>
    </row>
    <row r="918" spans="1:1" x14ac:dyDescent="0.3">
      <c r="A918" s="36"/>
    </row>
    <row r="919" spans="1:1" x14ac:dyDescent="0.3">
      <c r="A919" s="36"/>
    </row>
    <row r="920" spans="1:1" x14ac:dyDescent="0.3">
      <c r="A920" s="36"/>
    </row>
    <row r="921" spans="1:1" x14ac:dyDescent="0.3">
      <c r="A921" s="36"/>
    </row>
    <row r="922" spans="1:1" x14ac:dyDescent="0.3">
      <c r="A922" s="36"/>
    </row>
    <row r="923" spans="1:1" x14ac:dyDescent="0.3">
      <c r="A923" s="36"/>
    </row>
    <row r="924" spans="1:1" x14ac:dyDescent="0.3">
      <c r="A924" s="36"/>
    </row>
    <row r="925" spans="1:1" x14ac:dyDescent="0.3">
      <c r="A925" s="36"/>
    </row>
    <row r="926" spans="1:1" x14ac:dyDescent="0.3">
      <c r="A926" s="36"/>
    </row>
    <row r="927" spans="1:1" x14ac:dyDescent="0.3">
      <c r="A927" s="36"/>
    </row>
    <row r="928" spans="1:1" x14ac:dyDescent="0.3">
      <c r="A928" s="36"/>
    </row>
    <row r="929" spans="1:1" x14ac:dyDescent="0.3">
      <c r="A929" s="36"/>
    </row>
    <row r="930" spans="1:1" x14ac:dyDescent="0.3">
      <c r="A930" s="36"/>
    </row>
    <row r="931" spans="1:1" x14ac:dyDescent="0.3">
      <c r="A931" s="36"/>
    </row>
    <row r="932" spans="1:1" x14ac:dyDescent="0.3">
      <c r="A932" s="36"/>
    </row>
    <row r="933" spans="1:1" x14ac:dyDescent="0.3">
      <c r="A933" s="36"/>
    </row>
    <row r="934" spans="1:1" x14ac:dyDescent="0.3">
      <c r="A934" s="36"/>
    </row>
    <row r="935" spans="1:1" x14ac:dyDescent="0.3">
      <c r="A935" s="36"/>
    </row>
    <row r="936" spans="1:1" x14ac:dyDescent="0.3">
      <c r="A936" s="36"/>
    </row>
    <row r="937" spans="1:1" x14ac:dyDescent="0.3">
      <c r="A937" s="36"/>
    </row>
    <row r="938" spans="1:1" x14ac:dyDescent="0.3">
      <c r="A938" s="36"/>
    </row>
    <row r="939" spans="1:1" x14ac:dyDescent="0.3">
      <c r="A939" s="36"/>
    </row>
    <row r="940" spans="1:1" x14ac:dyDescent="0.3">
      <c r="A940" s="36"/>
    </row>
    <row r="941" spans="1:1" x14ac:dyDescent="0.3">
      <c r="A941" s="36"/>
    </row>
    <row r="942" spans="1:1" x14ac:dyDescent="0.3">
      <c r="A942" s="36"/>
    </row>
    <row r="943" spans="1:1" x14ac:dyDescent="0.3">
      <c r="A943" s="36"/>
    </row>
    <row r="944" spans="1:1" x14ac:dyDescent="0.3">
      <c r="A944" s="36"/>
    </row>
    <row r="945" spans="1:1" x14ac:dyDescent="0.3">
      <c r="A945" s="36"/>
    </row>
    <row r="946" spans="1:1" x14ac:dyDescent="0.3">
      <c r="A946" s="36"/>
    </row>
    <row r="947" spans="1:1" x14ac:dyDescent="0.3">
      <c r="A947" s="36"/>
    </row>
    <row r="948" spans="1:1" x14ac:dyDescent="0.3">
      <c r="A948" s="36"/>
    </row>
    <row r="949" spans="1:1" x14ac:dyDescent="0.3">
      <c r="A949" s="36"/>
    </row>
    <row r="950" spans="1:1" x14ac:dyDescent="0.3">
      <c r="A950" s="36"/>
    </row>
    <row r="951" spans="1:1" x14ac:dyDescent="0.3">
      <c r="A951" s="36"/>
    </row>
    <row r="952" spans="1:1" x14ac:dyDescent="0.3">
      <c r="A952" s="36"/>
    </row>
    <row r="953" spans="1:1" x14ac:dyDescent="0.3">
      <c r="A953" s="36"/>
    </row>
    <row r="954" spans="1:1" x14ac:dyDescent="0.3">
      <c r="A954" s="36"/>
    </row>
    <row r="955" spans="1:1" x14ac:dyDescent="0.3">
      <c r="A955" s="36"/>
    </row>
    <row r="956" spans="1:1" x14ac:dyDescent="0.3">
      <c r="A956" s="36"/>
    </row>
    <row r="957" spans="1:1" x14ac:dyDescent="0.3">
      <c r="A957" s="36"/>
    </row>
    <row r="958" spans="1:1" x14ac:dyDescent="0.3">
      <c r="A958" s="36"/>
    </row>
    <row r="959" spans="1:1" x14ac:dyDescent="0.3">
      <c r="A959" s="36"/>
    </row>
    <row r="960" spans="1:1" x14ac:dyDescent="0.3">
      <c r="A960" s="36"/>
    </row>
    <row r="961" spans="1:1" x14ac:dyDescent="0.3">
      <c r="A961" s="36"/>
    </row>
    <row r="962" spans="1:1" x14ac:dyDescent="0.3">
      <c r="A962" s="36"/>
    </row>
    <row r="963" spans="1:1" x14ac:dyDescent="0.3">
      <c r="A963" s="36"/>
    </row>
    <row r="964" spans="1:1" x14ac:dyDescent="0.3">
      <c r="A964" s="36"/>
    </row>
    <row r="965" spans="1:1" x14ac:dyDescent="0.3">
      <c r="A965" s="36"/>
    </row>
    <row r="966" spans="1:1" x14ac:dyDescent="0.3">
      <c r="A966" s="36"/>
    </row>
    <row r="967" spans="1:1" x14ac:dyDescent="0.3">
      <c r="A967" s="36"/>
    </row>
    <row r="968" spans="1:1" x14ac:dyDescent="0.3">
      <c r="A968" s="36"/>
    </row>
    <row r="969" spans="1:1" x14ac:dyDescent="0.3">
      <c r="A969" s="36"/>
    </row>
    <row r="970" spans="1:1" x14ac:dyDescent="0.3">
      <c r="A970" s="36"/>
    </row>
    <row r="971" spans="1:1" x14ac:dyDescent="0.3">
      <c r="A971" s="36"/>
    </row>
    <row r="972" spans="1:1" x14ac:dyDescent="0.3">
      <c r="A972" s="36"/>
    </row>
    <row r="973" spans="1:1" x14ac:dyDescent="0.3">
      <c r="A973" s="36"/>
    </row>
    <row r="974" spans="1:1" x14ac:dyDescent="0.3">
      <c r="A974" s="36"/>
    </row>
    <row r="975" spans="1:1" x14ac:dyDescent="0.3">
      <c r="A975" s="36"/>
    </row>
    <row r="976" spans="1:1" x14ac:dyDescent="0.3">
      <c r="A976" s="36"/>
    </row>
    <row r="977" spans="1:1" x14ac:dyDescent="0.3">
      <c r="A977" s="36"/>
    </row>
    <row r="978" spans="1:1" x14ac:dyDescent="0.3">
      <c r="A978" s="36"/>
    </row>
    <row r="979" spans="1:1" x14ac:dyDescent="0.3">
      <c r="A979" s="36"/>
    </row>
    <row r="980" spans="1:1" x14ac:dyDescent="0.3">
      <c r="A980" s="36"/>
    </row>
    <row r="981" spans="1:1" x14ac:dyDescent="0.3">
      <c r="A981" s="36"/>
    </row>
    <row r="982" spans="1:1" x14ac:dyDescent="0.3">
      <c r="A982" s="36"/>
    </row>
    <row r="983" spans="1:1" x14ac:dyDescent="0.3">
      <c r="A983" s="36"/>
    </row>
    <row r="984" spans="1:1" x14ac:dyDescent="0.3">
      <c r="A984" s="36"/>
    </row>
    <row r="985" spans="1:1" x14ac:dyDescent="0.3">
      <c r="A985" s="36"/>
    </row>
    <row r="986" spans="1:1" x14ac:dyDescent="0.3">
      <c r="A986" s="36"/>
    </row>
    <row r="987" spans="1:1" x14ac:dyDescent="0.3">
      <c r="A987" s="36"/>
    </row>
    <row r="988" spans="1:1" x14ac:dyDescent="0.3">
      <c r="A988" s="36"/>
    </row>
    <row r="989" spans="1:1" x14ac:dyDescent="0.3">
      <c r="A989" s="36"/>
    </row>
    <row r="990" spans="1:1" x14ac:dyDescent="0.3">
      <c r="A990" s="36"/>
    </row>
    <row r="991" spans="1:1" x14ac:dyDescent="0.3">
      <c r="A991" s="36"/>
    </row>
    <row r="992" spans="1:1" x14ac:dyDescent="0.3">
      <c r="A992" s="36"/>
    </row>
    <row r="993" spans="1:1" x14ac:dyDescent="0.3">
      <c r="A993" s="36"/>
    </row>
    <row r="994" spans="1:1" x14ac:dyDescent="0.3">
      <c r="A994" s="36"/>
    </row>
    <row r="995" spans="1:1" x14ac:dyDescent="0.3">
      <c r="A995" s="36"/>
    </row>
    <row r="996" spans="1:1" x14ac:dyDescent="0.3">
      <c r="A996" s="36"/>
    </row>
    <row r="997" spans="1:1" x14ac:dyDescent="0.3">
      <c r="A997" s="36"/>
    </row>
    <row r="998" spans="1:1" x14ac:dyDescent="0.3">
      <c r="A998" s="36"/>
    </row>
    <row r="999" spans="1:1" x14ac:dyDescent="0.3">
      <c r="A999" s="36"/>
    </row>
    <row r="1000" spans="1:1" x14ac:dyDescent="0.3">
      <c r="A1000" s="36"/>
    </row>
    <row r="1001" spans="1:1" x14ac:dyDescent="0.3">
      <c r="A1001" s="36"/>
    </row>
    <row r="1002" spans="1:1" x14ac:dyDescent="0.3">
      <c r="A1002" s="36"/>
    </row>
    <row r="1003" spans="1:1" x14ac:dyDescent="0.3">
      <c r="A1003" s="36"/>
    </row>
    <row r="1004" spans="1:1" x14ac:dyDescent="0.3">
      <c r="A1004" s="36"/>
    </row>
    <row r="1005" spans="1:1" x14ac:dyDescent="0.3">
      <c r="A1005" s="36"/>
    </row>
    <row r="1006" spans="1:1" x14ac:dyDescent="0.3">
      <c r="A1006" s="36"/>
    </row>
    <row r="1007" spans="1:1" x14ac:dyDescent="0.3">
      <c r="A1007" s="36"/>
    </row>
    <row r="1008" spans="1:1" x14ac:dyDescent="0.3">
      <c r="A1008" s="36"/>
    </row>
    <row r="1009" spans="1:1" x14ac:dyDescent="0.3">
      <c r="A1009" s="36"/>
    </row>
    <row r="1010" spans="1:1" x14ac:dyDescent="0.3">
      <c r="A1010" s="36"/>
    </row>
    <row r="1011" spans="1:1" x14ac:dyDescent="0.3">
      <c r="A1011" s="36"/>
    </row>
    <row r="1012" spans="1:1" x14ac:dyDescent="0.3">
      <c r="A1012" s="36"/>
    </row>
    <row r="1013" spans="1:1" x14ac:dyDescent="0.3">
      <c r="A1013" s="36"/>
    </row>
    <row r="1014" spans="1:1" x14ac:dyDescent="0.3">
      <c r="A1014" s="36"/>
    </row>
    <row r="1015" spans="1:1" x14ac:dyDescent="0.3">
      <c r="A1015" s="36"/>
    </row>
    <row r="1016" spans="1:1" x14ac:dyDescent="0.3">
      <c r="A1016" s="36"/>
    </row>
    <row r="1017" spans="1:1" x14ac:dyDescent="0.3">
      <c r="A1017" s="36"/>
    </row>
    <row r="1018" spans="1:1" x14ac:dyDescent="0.3">
      <c r="A1018" s="36"/>
    </row>
    <row r="1019" spans="1:1" x14ac:dyDescent="0.3">
      <c r="A1019" s="36"/>
    </row>
    <row r="1020" spans="1:1" x14ac:dyDescent="0.3">
      <c r="A1020" s="36"/>
    </row>
    <row r="1021" spans="1:1" x14ac:dyDescent="0.3">
      <c r="A1021" s="36"/>
    </row>
    <row r="1022" spans="1:1" x14ac:dyDescent="0.3">
      <c r="A1022" s="36"/>
    </row>
    <row r="1023" spans="1:1" x14ac:dyDescent="0.3">
      <c r="A1023" s="36"/>
    </row>
    <row r="1024" spans="1:1" x14ac:dyDescent="0.3">
      <c r="A1024" s="36"/>
    </row>
    <row r="1025" spans="1:1" x14ac:dyDescent="0.3">
      <c r="A1025" s="36"/>
    </row>
    <row r="1026" spans="1:1" x14ac:dyDescent="0.3">
      <c r="A1026" s="36"/>
    </row>
    <row r="1027" spans="1:1" x14ac:dyDescent="0.3">
      <c r="A1027" s="36"/>
    </row>
    <row r="1028" spans="1:1" x14ac:dyDescent="0.3">
      <c r="A1028" s="36"/>
    </row>
    <row r="1029" spans="1:1" x14ac:dyDescent="0.3">
      <c r="A1029" s="36"/>
    </row>
    <row r="1030" spans="1:1" x14ac:dyDescent="0.3">
      <c r="A1030" s="36"/>
    </row>
    <row r="1031" spans="1:1" x14ac:dyDescent="0.3">
      <c r="A1031" s="36"/>
    </row>
    <row r="1032" spans="1:1" x14ac:dyDescent="0.3">
      <c r="A1032" s="36"/>
    </row>
    <row r="1033" spans="1:1" x14ac:dyDescent="0.3">
      <c r="A1033" s="36"/>
    </row>
    <row r="1034" spans="1:1" x14ac:dyDescent="0.3">
      <c r="A1034" s="36"/>
    </row>
    <row r="1035" spans="1:1" x14ac:dyDescent="0.3">
      <c r="A1035" s="36"/>
    </row>
    <row r="1036" spans="1:1" x14ac:dyDescent="0.3">
      <c r="A1036" s="36"/>
    </row>
    <row r="1037" spans="1:1" x14ac:dyDescent="0.3">
      <c r="A1037" s="36"/>
    </row>
    <row r="1038" spans="1:1" x14ac:dyDescent="0.3">
      <c r="A1038" s="36"/>
    </row>
    <row r="1039" spans="1:1" x14ac:dyDescent="0.3">
      <c r="A1039" s="36"/>
    </row>
    <row r="1040" spans="1:1" x14ac:dyDescent="0.3">
      <c r="A1040" s="36"/>
    </row>
    <row r="1041" spans="1:1" x14ac:dyDescent="0.3">
      <c r="A1041" s="36"/>
    </row>
    <row r="1042" spans="1:1" x14ac:dyDescent="0.3">
      <c r="A1042" s="36"/>
    </row>
    <row r="1043" spans="1:1" x14ac:dyDescent="0.3">
      <c r="A1043" s="36"/>
    </row>
    <row r="1044" spans="1:1" x14ac:dyDescent="0.3">
      <c r="A1044" s="36"/>
    </row>
    <row r="1045" spans="1:1" x14ac:dyDescent="0.3">
      <c r="A1045" s="36"/>
    </row>
    <row r="1046" spans="1:1" x14ac:dyDescent="0.3">
      <c r="A1046" s="36"/>
    </row>
    <row r="1047" spans="1:1" x14ac:dyDescent="0.3">
      <c r="A1047" s="36"/>
    </row>
    <row r="1048" spans="1:1" x14ac:dyDescent="0.3">
      <c r="A1048" s="36"/>
    </row>
    <row r="1049" spans="1:1" x14ac:dyDescent="0.3">
      <c r="A1049" s="36"/>
    </row>
    <row r="1050" spans="1:1" x14ac:dyDescent="0.3">
      <c r="A1050" s="36"/>
    </row>
    <row r="1051" spans="1:1" x14ac:dyDescent="0.3">
      <c r="A1051" s="36"/>
    </row>
    <row r="1052" spans="1:1" x14ac:dyDescent="0.3">
      <c r="A1052" s="36"/>
    </row>
    <row r="1053" spans="1:1" x14ac:dyDescent="0.3">
      <c r="A1053" s="36"/>
    </row>
    <row r="1054" spans="1:1" x14ac:dyDescent="0.3">
      <c r="A1054" s="36"/>
    </row>
    <row r="1055" spans="1:1" x14ac:dyDescent="0.3">
      <c r="A1055" s="36"/>
    </row>
    <row r="1056" spans="1:1" x14ac:dyDescent="0.3">
      <c r="A1056" s="36"/>
    </row>
    <row r="1057" spans="1:1" x14ac:dyDescent="0.3">
      <c r="A1057" s="36"/>
    </row>
    <row r="1058" spans="1:1" x14ac:dyDescent="0.3">
      <c r="A1058" s="36"/>
    </row>
    <row r="1059" spans="1:1" x14ac:dyDescent="0.3">
      <c r="A1059" s="36"/>
    </row>
    <row r="1060" spans="1:1" x14ac:dyDescent="0.3">
      <c r="A1060" s="36"/>
    </row>
    <row r="1061" spans="1:1" x14ac:dyDescent="0.3">
      <c r="A1061" s="36"/>
    </row>
    <row r="1062" spans="1:1" x14ac:dyDescent="0.3">
      <c r="A1062" s="36"/>
    </row>
    <row r="1063" spans="1:1" x14ac:dyDescent="0.3">
      <c r="A1063" s="36"/>
    </row>
    <row r="1064" spans="1:1" x14ac:dyDescent="0.3">
      <c r="A1064" s="36"/>
    </row>
    <row r="1065" spans="1:1" x14ac:dyDescent="0.3">
      <c r="A1065" s="36"/>
    </row>
    <row r="1066" spans="1:1" x14ac:dyDescent="0.3">
      <c r="A1066" s="36"/>
    </row>
    <row r="1067" spans="1:1" x14ac:dyDescent="0.3">
      <c r="A1067" s="36"/>
    </row>
    <row r="1068" spans="1:1" x14ac:dyDescent="0.3">
      <c r="A1068" s="36"/>
    </row>
    <row r="1069" spans="1:1" x14ac:dyDescent="0.3">
      <c r="A1069" s="36"/>
    </row>
    <row r="1070" spans="1:1" x14ac:dyDescent="0.3">
      <c r="A1070" s="36"/>
    </row>
    <row r="1071" spans="1:1" x14ac:dyDescent="0.3">
      <c r="A1071" s="36"/>
    </row>
    <row r="1072" spans="1:1" x14ac:dyDescent="0.3">
      <c r="A1072" s="36"/>
    </row>
    <row r="1073" spans="1:1" x14ac:dyDescent="0.3">
      <c r="A1073" s="36"/>
    </row>
    <row r="1074" spans="1:1" x14ac:dyDescent="0.3">
      <c r="A1074" s="36"/>
    </row>
    <row r="1075" spans="1:1" x14ac:dyDescent="0.3">
      <c r="A1075" s="36"/>
    </row>
    <row r="1076" spans="1:1" x14ac:dyDescent="0.3">
      <c r="A1076" s="36"/>
    </row>
    <row r="1077" spans="1:1" x14ac:dyDescent="0.3">
      <c r="A1077" s="36"/>
    </row>
    <row r="1078" spans="1:1" x14ac:dyDescent="0.3">
      <c r="A1078" s="36"/>
    </row>
    <row r="1079" spans="1:1" x14ac:dyDescent="0.3">
      <c r="A1079" s="36"/>
    </row>
    <row r="1080" spans="1:1" x14ac:dyDescent="0.3">
      <c r="A1080" s="36"/>
    </row>
    <row r="1081" spans="1:1" x14ac:dyDescent="0.3">
      <c r="A1081" s="36"/>
    </row>
    <row r="1082" spans="1:1" x14ac:dyDescent="0.3">
      <c r="A1082" s="36"/>
    </row>
    <row r="1083" spans="1:1" x14ac:dyDescent="0.3">
      <c r="A1083" s="36"/>
    </row>
    <row r="1084" spans="1:1" x14ac:dyDescent="0.3">
      <c r="A1084" s="36"/>
    </row>
    <row r="1085" spans="1:1" x14ac:dyDescent="0.3">
      <c r="A1085" s="36"/>
    </row>
    <row r="1086" spans="1:1" x14ac:dyDescent="0.3">
      <c r="A1086" s="36"/>
    </row>
    <row r="1087" spans="1:1" x14ac:dyDescent="0.3">
      <c r="A1087" s="36"/>
    </row>
    <row r="1088" spans="1:1" x14ac:dyDescent="0.3">
      <c r="A1088" s="36"/>
    </row>
    <row r="1089" spans="1:1" x14ac:dyDescent="0.3">
      <c r="A1089" s="36"/>
    </row>
    <row r="1090" spans="1:1" x14ac:dyDescent="0.3">
      <c r="A1090" s="36"/>
    </row>
    <row r="1091" spans="1:1" x14ac:dyDescent="0.3">
      <c r="A1091" s="36"/>
    </row>
    <row r="1092" spans="1:1" x14ac:dyDescent="0.3">
      <c r="A1092" s="36"/>
    </row>
    <row r="1093" spans="1:1" x14ac:dyDescent="0.3">
      <c r="A1093" s="36"/>
    </row>
    <row r="1094" spans="1:1" x14ac:dyDescent="0.3">
      <c r="A1094" s="36"/>
    </row>
    <row r="1095" spans="1:1" x14ac:dyDescent="0.3">
      <c r="A1095" s="36"/>
    </row>
    <row r="1096" spans="1:1" x14ac:dyDescent="0.3">
      <c r="A1096" s="36"/>
    </row>
    <row r="1097" spans="1:1" x14ac:dyDescent="0.3">
      <c r="A1097" s="36"/>
    </row>
    <row r="1098" spans="1:1" x14ac:dyDescent="0.3">
      <c r="A1098" s="36"/>
    </row>
    <row r="1099" spans="1:1" x14ac:dyDescent="0.3">
      <c r="A1099" s="36"/>
    </row>
    <row r="1100" spans="1:1" x14ac:dyDescent="0.3">
      <c r="A1100" s="36"/>
    </row>
    <row r="1101" spans="1:1" x14ac:dyDescent="0.3">
      <c r="A1101" s="36"/>
    </row>
    <row r="1102" spans="1:1" x14ac:dyDescent="0.3">
      <c r="A1102" s="36"/>
    </row>
    <row r="1103" spans="1:1" x14ac:dyDescent="0.3">
      <c r="A1103" s="36"/>
    </row>
    <row r="1104" spans="1:1" x14ac:dyDescent="0.3">
      <c r="A1104" s="36"/>
    </row>
    <row r="1105" spans="1:1" x14ac:dyDescent="0.3">
      <c r="A1105" s="36"/>
    </row>
    <row r="1106" spans="1:1" x14ac:dyDescent="0.3">
      <c r="A1106" s="36"/>
    </row>
    <row r="1107" spans="1:1" x14ac:dyDescent="0.3">
      <c r="A1107" s="36"/>
    </row>
    <row r="1108" spans="1:1" x14ac:dyDescent="0.3">
      <c r="A1108" s="36"/>
    </row>
    <row r="1109" spans="1:1" x14ac:dyDescent="0.3">
      <c r="A1109" s="36"/>
    </row>
    <row r="1110" spans="1:1" x14ac:dyDescent="0.3">
      <c r="A1110" s="36"/>
    </row>
    <row r="1111" spans="1:1" x14ac:dyDescent="0.3">
      <c r="A1111" s="36"/>
    </row>
    <row r="1112" spans="1:1" x14ac:dyDescent="0.3">
      <c r="A1112" s="36"/>
    </row>
    <row r="1113" spans="1:1" x14ac:dyDescent="0.3">
      <c r="A1113" s="36"/>
    </row>
    <row r="1114" spans="1:1" x14ac:dyDescent="0.3">
      <c r="A1114" s="36"/>
    </row>
    <row r="1115" spans="1:1" x14ac:dyDescent="0.3">
      <c r="A1115" s="36"/>
    </row>
    <row r="1116" spans="1:1" x14ac:dyDescent="0.3">
      <c r="A1116" s="36"/>
    </row>
    <row r="1117" spans="1:1" x14ac:dyDescent="0.3">
      <c r="A1117" s="36"/>
    </row>
    <row r="1118" spans="1:1" x14ac:dyDescent="0.3">
      <c r="A1118" s="36"/>
    </row>
    <row r="1119" spans="1:1" x14ac:dyDescent="0.3">
      <c r="A1119" s="36"/>
    </row>
    <row r="1120" spans="1:1" x14ac:dyDescent="0.3">
      <c r="A1120" s="36"/>
    </row>
    <row r="1121" spans="1:1" x14ac:dyDescent="0.3">
      <c r="A1121" s="36"/>
    </row>
    <row r="1122" spans="1:1" x14ac:dyDescent="0.3">
      <c r="A1122" s="36"/>
    </row>
    <row r="1123" spans="1:1" x14ac:dyDescent="0.3">
      <c r="A1123" s="36"/>
    </row>
    <row r="1124" spans="1:1" x14ac:dyDescent="0.3">
      <c r="A1124" s="36"/>
    </row>
    <row r="1125" spans="1:1" x14ac:dyDescent="0.3">
      <c r="A1125" s="36"/>
    </row>
    <row r="1126" spans="1:1" x14ac:dyDescent="0.3">
      <c r="A1126" s="36"/>
    </row>
    <row r="1127" spans="1:1" x14ac:dyDescent="0.3">
      <c r="A1127" s="36"/>
    </row>
    <row r="1128" spans="1:1" x14ac:dyDescent="0.3">
      <c r="A1128" s="36"/>
    </row>
    <row r="1129" spans="1:1" x14ac:dyDescent="0.3">
      <c r="A1129" s="36"/>
    </row>
    <row r="1130" spans="1:1" x14ac:dyDescent="0.3">
      <c r="A1130" s="36"/>
    </row>
    <row r="1131" spans="1:1" x14ac:dyDescent="0.3">
      <c r="A1131" s="36"/>
    </row>
    <row r="1132" spans="1:1" x14ac:dyDescent="0.3">
      <c r="A1132" s="36"/>
    </row>
    <row r="1133" spans="1:1" x14ac:dyDescent="0.3">
      <c r="A1133" s="36"/>
    </row>
    <row r="1134" spans="1:1" x14ac:dyDescent="0.3">
      <c r="A1134" s="36"/>
    </row>
    <row r="1135" spans="1:1" x14ac:dyDescent="0.3">
      <c r="A1135" s="36"/>
    </row>
    <row r="1136" spans="1:1" x14ac:dyDescent="0.3">
      <c r="A1136" s="36"/>
    </row>
    <row r="1137" spans="1:1" x14ac:dyDescent="0.3">
      <c r="A1137" s="36"/>
    </row>
    <row r="1138" spans="1:1" x14ac:dyDescent="0.3">
      <c r="A1138" s="36"/>
    </row>
    <row r="1139" spans="1:1" x14ac:dyDescent="0.3">
      <c r="A1139" s="36"/>
    </row>
    <row r="1140" spans="1:1" x14ac:dyDescent="0.3">
      <c r="A1140" s="36"/>
    </row>
    <row r="1141" spans="1:1" x14ac:dyDescent="0.3">
      <c r="A1141" s="36"/>
    </row>
    <row r="1142" spans="1:1" x14ac:dyDescent="0.3">
      <c r="A1142" s="36"/>
    </row>
    <row r="1143" spans="1:1" x14ac:dyDescent="0.3">
      <c r="A1143" s="36"/>
    </row>
    <row r="1144" spans="1:1" x14ac:dyDescent="0.3">
      <c r="A1144" s="36"/>
    </row>
    <row r="1145" spans="1:1" x14ac:dyDescent="0.3">
      <c r="A1145" s="36"/>
    </row>
    <row r="1146" spans="1:1" x14ac:dyDescent="0.3">
      <c r="A1146" s="36"/>
    </row>
    <row r="1147" spans="1:1" x14ac:dyDescent="0.3">
      <c r="A1147" s="36"/>
    </row>
    <row r="1148" spans="1:1" x14ac:dyDescent="0.3">
      <c r="A1148" s="36"/>
    </row>
    <row r="1149" spans="1:1" x14ac:dyDescent="0.3">
      <c r="A1149" s="36"/>
    </row>
    <row r="1150" spans="1:1" x14ac:dyDescent="0.3">
      <c r="A1150" s="36"/>
    </row>
    <row r="1151" spans="1:1" x14ac:dyDescent="0.3">
      <c r="A1151" s="36"/>
    </row>
    <row r="1152" spans="1:1" x14ac:dyDescent="0.3">
      <c r="A1152" s="36"/>
    </row>
    <row r="1153" spans="1:1" x14ac:dyDescent="0.3">
      <c r="A1153" s="36"/>
    </row>
    <row r="1154" spans="1:1" x14ac:dyDescent="0.3">
      <c r="A1154" s="36"/>
    </row>
    <row r="1155" spans="1:1" x14ac:dyDescent="0.3">
      <c r="A1155" s="36"/>
    </row>
    <row r="1156" spans="1:1" x14ac:dyDescent="0.3">
      <c r="A1156" s="36"/>
    </row>
    <row r="1157" spans="1:1" x14ac:dyDescent="0.3">
      <c r="A1157" s="36"/>
    </row>
    <row r="1158" spans="1:1" x14ac:dyDescent="0.3">
      <c r="A1158" s="36"/>
    </row>
    <row r="1159" spans="1:1" x14ac:dyDescent="0.3">
      <c r="A1159" s="36"/>
    </row>
    <row r="1160" spans="1:1" x14ac:dyDescent="0.3">
      <c r="A1160" s="36"/>
    </row>
    <row r="1161" spans="1:1" x14ac:dyDescent="0.3">
      <c r="A1161" s="36"/>
    </row>
    <row r="1162" spans="1:1" x14ac:dyDescent="0.3">
      <c r="A1162" s="36"/>
    </row>
    <row r="1163" spans="1:1" x14ac:dyDescent="0.3">
      <c r="A1163" s="36"/>
    </row>
    <row r="1164" spans="1:1" x14ac:dyDescent="0.3">
      <c r="A1164" s="36"/>
    </row>
    <row r="1165" spans="1:1" x14ac:dyDescent="0.3">
      <c r="A1165" s="36"/>
    </row>
    <row r="1166" spans="1:1" x14ac:dyDescent="0.3">
      <c r="A1166" s="36"/>
    </row>
    <row r="1167" spans="1:1" x14ac:dyDescent="0.3">
      <c r="A1167" s="36"/>
    </row>
    <row r="1168" spans="1:1" x14ac:dyDescent="0.3">
      <c r="A1168" s="36"/>
    </row>
    <row r="1169" spans="1:1" x14ac:dyDescent="0.3">
      <c r="A1169" s="36"/>
    </row>
    <row r="1170" spans="1:1" x14ac:dyDescent="0.3">
      <c r="A1170" s="36"/>
    </row>
    <row r="1171" spans="1:1" x14ac:dyDescent="0.3">
      <c r="A1171" s="36"/>
    </row>
    <row r="1172" spans="1:1" x14ac:dyDescent="0.3">
      <c r="A1172" s="36"/>
    </row>
    <row r="1173" spans="1:1" x14ac:dyDescent="0.3">
      <c r="A1173" s="36"/>
    </row>
    <row r="1174" spans="1:1" x14ac:dyDescent="0.3">
      <c r="A1174" s="36"/>
    </row>
    <row r="1175" spans="1:1" x14ac:dyDescent="0.3">
      <c r="A1175" s="36"/>
    </row>
    <row r="1176" spans="1:1" x14ac:dyDescent="0.3">
      <c r="A1176" s="36"/>
    </row>
    <row r="1177" spans="1:1" x14ac:dyDescent="0.3">
      <c r="A1177" s="36"/>
    </row>
    <row r="1178" spans="1:1" x14ac:dyDescent="0.3">
      <c r="A1178" s="36"/>
    </row>
    <row r="1179" spans="1:1" x14ac:dyDescent="0.3">
      <c r="A1179" s="36"/>
    </row>
    <row r="1180" spans="1:1" x14ac:dyDescent="0.3">
      <c r="A1180" s="36"/>
    </row>
    <row r="1181" spans="1:1" x14ac:dyDescent="0.3">
      <c r="A1181" s="36"/>
    </row>
    <row r="1182" spans="1:1" x14ac:dyDescent="0.3">
      <c r="A1182" s="36"/>
    </row>
    <row r="1183" spans="1:1" x14ac:dyDescent="0.3">
      <c r="A1183" s="36"/>
    </row>
    <row r="1184" spans="1:1" x14ac:dyDescent="0.3">
      <c r="A1184" s="36"/>
    </row>
    <row r="1185" spans="1:1" x14ac:dyDescent="0.3">
      <c r="A1185" s="36"/>
    </row>
    <row r="1186" spans="1:1" x14ac:dyDescent="0.3">
      <c r="A1186" s="36"/>
    </row>
    <row r="1187" spans="1:1" x14ac:dyDescent="0.3">
      <c r="A1187" s="36"/>
    </row>
    <row r="1188" spans="1:1" x14ac:dyDescent="0.3">
      <c r="A1188" s="36"/>
    </row>
    <row r="1189" spans="1:1" x14ac:dyDescent="0.3">
      <c r="A1189" s="36"/>
    </row>
    <row r="1190" spans="1:1" x14ac:dyDescent="0.3">
      <c r="A1190" s="36"/>
    </row>
    <row r="1191" spans="1:1" x14ac:dyDescent="0.3">
      <c r="A1191" s="36"/>
    </row>
    <row r="1192" spans="1:1" x14ac:dyDescent="0.3">
      <c r="A1192" s="36"/>
    </row>
    <row r="1193" spans="1:1" x14ac:dyDescent="0.3">
      <c r="A1193" s="36"/>
    </row>
    <row r="1194" spans="1:1" x14ac:dyDescent="0.3">
      <c r="A1194" s="36"/>
    </row>
    <row r="1195" spans="1:1" x14ac:dyDescent="0.3">
      <c r="A1195" s="36"/>
    </row>
    <row r="1196" spans="1:1" x14ac:dyDescent="0.3">
      <c r="A1196" s="36"/>
    </row>
    <row r="1197" spans="1:1" x14ac:dyDescent="0.3">
      <c r="A1197" s="36"/>
    </row>
    <row r="1198" spans="1:1" x14ac:dyDescent="0.3">
      <c r="A1198" s="36"/>
    </row>
    <row r="1199" spans="1:1" x14ac:dyDescent="0.3">
      <c r="A1199" s="36"/>
    </row>
    <row r="1200" spans="1:1" x14ac:dyDescent="0.3">
      <c r="A1200" s="36"/>
    </row>
    <row r="1201" spans="1:1" x14ac:dyDescent="0.3">
      <c r="A1201" s="36"/>
    </row>
    <row r="1202" spans="1:1" x14ac:dyDescent="0.3">
      <c r="A1202" s="36"/>
    </row>
    <row r="1203" spans="1:1" x14ac:dyDescent="0.3">
      <c r="A1203" s="36"/>
    </row>
    <row r="1204" spans="1:1" x14ac:dyDescent="0.3">
      <c r="A1204" s="36"/>
    </row>
    <row r="1205" spans="1:1" x14ac:dyDescent="0.3">
      <c r="A1205" s="36"/>
    </row>
    <row r="1206" spans="1:1" x14ac:dyDescent="0.3">
      <c r="A1206" s="36"/>
    </row>
    <row r="1207" spans="1:1" x14ac:dyDescent="0.3">
      <c r="A1207" s="36"/>
    </row>
    <row r="1208" spans="1:1" x14ac:dyDescent="0.3">
      <c r="A1208" s="36"/>
    </row>
    <row r="1209" spans="1:1" x14ac:dyDescent="0.3">
      <c r="A1209" s="36"/>
    </row>
    <row r="1210" spans="1:1" x14ac:dyDescent="0.3">
      <c r="A1210" s="36"/>
    </row>
    <row r="1211" spans="1:1" x14ac:dyDescent="0.3">
      <c r="A1211" s="36"/>
    </row>
    <row r="1212" spans="1:1" x14ac:dyDescent="0.3">
      <c r="A1212" s="36"/>
    </row>
    <row r="1213" spans="1:1" x14ac:dyDescent="0.3">
      <c r="A1213" s="36"/>
    </row>
    <row r="1214" spans="1:1" x14ac:dyDescent="0.3">
      <c r="A1214" s="36"/>
    </row>
    <row r="1215" spans="1:1" x14ac:dyDescent="0.3">
      <c r="A1215" s="36"/>
    </row>
    <row r="1216" spans="1:1" x14ac:dyDescent="0.3">
      <c r="A1216" s="36"/>
    </row>
    <row r="1217" spans="1:1" x14ac:dyDescent="0.3">
      <c r="A1217" s="36"/>
    </row>
    <row r="1218" spans="1:1" x14ac:dyDescent="0.3">
      <c r="A1218" s="36"/>
    </row>
    <row r="1219" spans="1:1" x14ac:dyDescent="0.3">
      <c r="A1219" s="36"/>
    </row>
    <row r="1220" spans="1:1" x14ac:dyDescent="0.3">
      <c r="A1220" s="36"/>
    </row>
    <row r="1221" spans="1:1" x14ac:dyDescent="0.3">
      <c r="A1221" s="36"/>
    </row>
    <row r="1222" spans="1:1" x14ac:dyDescent="0.3">
      <c r="A1222" s="36"/>
    </row>
    <row r="1223" spans="1:1" x14ac:dyDescent="0.3">
      <c r="A1223" s="36"/>
    </row>
    <row r="1224" spans="1:1" x14ac:dyDescent="0.3">
      <c r="A1224" s="36"/>
    </row>
    <row r="1225" spans="1:1" x14ac:dyDescent="0.3">
      <c r="A1225" s="36"/>
    </row>
    <row r="1226" spans="1:1" x14ac:dyDescent="0.3">
      <c r="A1226" s="36"/>
    </row>
    <row r="1227" spans="1:1" x14ac:dyDescent="0.3">
      <c r="A1227" s="36"/>
    </row>
    <row r="1228" spans="1:1" x14ac:dyDescent="0.3">
      <c r="A1228" s="36"/>
    </row>
    <row r="1229" spans="1:1" x14ac:dyDescent="0.3">
      <c r="A1229" s="36"/>
    </row>
    <row r="1230" spans="1:1" x14ac:dyDescent="0.3">
      <c r="A1230" s="36"/>
    </row>
    <row r="1231" spans="1:1" x14ac:dyDescent="0.3">
      <c r="A1231" s="36"/>
    </row>
    <row r="1232" spans="1:1" x14ac:dyDescent="0.3">
      <c r="A1232" s="36"/>
    </row>
    <row r="1233" spans="1:1" x14ac:dyDescent="0.3">
      <c r="A1233" s="36"/>
    </row>
    <row r="1234" spans="1:1" x14ac:dyDescent="0.3">
      <c r="A1234" s="36"/>
    </row>
    <row r="1235" spans="1:1" x14ac:dyDescent="0.3">
      <c r="A1235" s="36"/>
    </row>
    <row r="1236" spans="1:1" x14ac:dyDescent="0.3">
      <c r="A1236" s="36"/>
    </row>
    <row r="1237" spans="1:1" x14ac:dyDescent="0.3">
      <c r="A1237" s="36"/>
    </row>
    <row r="1238" spans="1:1" x14ac:dyDescent="0.3">
      <c r="A1238" s="36"/>
    </row>
    <row r="1239" spans="1:1" x14ac:dyDescent="0.3">
      <c r="A1239" s="36"/>
    </row>
    <row r="1240" spans="1:1" x14ac:dyDescent="0.3">
      <c r="A1240" s="36"/>
    </row>
    <row r="1241" spans="1:1" x14ac:dyDescent="0.3">
      <c r="A1241" s="36"/>
    </row>
    <row r="1242" spans="1:1" x14ac:dyDescent="0.3">
      <c r="A1242" s="36"/>
    </row>
    <row r="1243" spans="1:1" x14ac:dyDescent="0.3">
      <c r="A1243" s="36"/>
    </row>
    <row r="1244" spans="1:1" x14ac:dyDescent="0.3">
      <c r="A1244" s="36"/>
    </row>
    <row r="1245" spans="1:1" x14ac:dyDescent="0.3">
      <c r="A1245" s="36"/>
    </row>
    <row r="1246" spans="1:1" x14ac:dyDescent="0.3">
      <c r="A1246" s="36"/>
    </row>
    <row r="1247" spans="1:1" x14ac:dyDescent="0.3">
      <c r="A1247" s="36"/>
    </row>
    <row r="1248" spans="1:1" x14ac:dyDescent="0.3">
      <c r="A1248" s="36"/>
    </row>
    <row r="1249" spans="1:1" x14ac:dyDescent="0.3">
      <c r="A1249" s="36"/>
    </row>
    <row r="1250" spans="1:1" x14ac:dyDescent="0.3">
      <c r="A1250" s="36"/>
    </row>
    <row r="1251" spans="1:1" x14ac:dyDescent="0.3">
      <c r="A1251" s="36"/>
    </row>
    <row r="1252" spans="1:1" x14ac:dyDescent="0.3">
      <c r="A1252" s="36"/>
    </row>
    <row r="1253" spans="1:1" x14ac:dyDescent="0.3">
      <c r="A1253" s="36"/>
    </row>
    <row r="1254" spans="1:1" x14ac:dyDescent="0.3">
      <c r="A1254" s="36"/>
    </row>
    <row r="1255" spans="1:1" x14ac:dyDescent="0.3">
      <c r="A1255" s="36"/>
    </row>
    <row r="1256" spans="1:1" x14ac:dyDescent="0.3">
      <c r="A1256" s="36"/>
    </row>
    <row r="1257" spans="1:1" x14ac:dyDescent="0.3">
      <c r="A1257" s="36"/>
    </row>
    <row r="1258" spans="1:1" x14ac:dyDescent="0.3">
      <c r="A1258" s="36"/>
    </row>
    <row r="1259" spans="1:1" x14ac:dyDescent="0.3">
      <c r="A1259" s="36"/>
    </row>
    <row r="1260" spans="1:1" x14ac:dyDescent="0.3">
      <c r="A1260" s="36"/>
    </row>
    <row r="1261" spans="1:1" x14ac:dyDescent="0.3">
      <c r="A1261" s="36"/>
    </row>
    <row r="1262" spans="1:1" x14ac:dyDescent="0.3">
      <c r="A1262" s="36"/>
    </row>
    <row r="1263" spans="1:1" x14ac:dyDescent="0.3">
      <c r="A1263" s="36"/>
    </row>
    <row r="1264" spans="1:1" x14ac:dyDescent="0.3">
      <c r="A1264" s="36"/>
    </row>
    <row r="1265" spans="1:1" x14ac:dyDescent="0.3">
      <c r="A1265" s="36"/>
    </row>
    <row r="1266" spans="1:1" x14ac:dyDescent="0.3">
      <c r="A1266" s="36"/>
    </row>
    <row r="1267" spans="1:1" x14ac:dyDescent="0.3">
      <c r="A1267" s="36"/>
    </row>
    <row r="1268" spans="1:1" x14ac:dyDescent="0.3">
      <c r="A1268" s="36"/>
    </row>
    <row r="1269" spans="1:1" x14ac:dyDescent="0.3">
      <c r="A1269" s="36"/>
    </row>
    <row r="1270" spans="1:1" x14ac:dyDescent="0.3">
      <c r="A1270" s="36"/>
    </row>
    <row r="1271" spans="1:1" x14ac:dyDescent="0.3">
      <c r="A1271" s="36"/>
    </row>
    <row r="1272" spans="1:1" x14ac:dyDescent="0.3">
      <c r="A1272" s="36"/>
    </row>
    <row r="1273" spans="1:1" x14ac:dyDescent="0.3">
      <c r="A1273" s="36"/>
    </row>
    <row r="1274" spans="1:1" x14ac:dyDescent="0.3">
      <c r="A1274" s="36"/>
    </row>
    <row r="1275" spans="1:1" x14ac:dyDescent="0.3">
      <c r="A1275" s="36"/>
    </row>
    <row r="1276" spans="1:1" x14ac:dyDescent="0.3">
      <c r="A1276" s="36"/>
    </row>
    <row r="1277" spans="1:1" x14ac:dyDescent="0.3">
      <c r="A1277" s="36"/>
    </row>
    <row r="1278" spans="1:1" x14ac:dyDescent="0.3">
      <c r="A1278" s="36"/>
    </row>
    <row r="1279" spans="1:1" x14ac:dyDescent="0.3">
      <c r="A1279" s="36"/>
    </row>
    <row r="1280" spans="1:1" x14ac:dyDescent="0.3">
      <c r="A1280" s="36"/>
    </row>
    <row r="1281" spans="1:1" x14ac:dyDescent="0.3">
      <c r="A1281" s="36"/>
    </row>
    <row r="1282" spans="1:1" x14ac:dyDescent="0.3">
      <c r="A1282" s="36"/>
    </row>
    <row r="1283" spans="1:1" x14ac:dyDescent="0.3">
      <c r="A1283" s="36"/>
    </row>
    <row r="1284" spans="1:1" x14ac:dyDescent="0.3">
      <c r="A1284" s="36"/>
    </row>
    <row r="1285" spans="1:1" x14ac:dyDescent="0.3">
      <c r="A1285" s="36"/>
    </row>
    <row r="1286" spans="1:1" x14ac:dyDescent="0.3">
      <c r="A1286" s="36"/>
    </row>
    <row r="1287" spans="1:1" x14ac:dyDescent="0.3">
      <c r="A1287" s="36"/>
    </row>
    <row r="1288" spans="1:1" x14ac:dyDescent="0.3">
      <c r="A1288" s="36"/>
    </row>
    <row r="1289" spans="1:1" x14ac:dyDescent="0.3">
      <c r="A1289" s="36"/>
    </row>
    <row r="1290" spans="1:1" x14ac:dyDescent="0.3">
      <c r="A1290" s="36"/>
    </row>
    <row r="1291" spans="1:1" x14ac:dyDescent="0.3">
      <c r="A1291" s="36"/>
    </row>
    <row r="1292" spans="1:1" x14ac:dyDescent="0.3">
      <c r="A1292" s="36"/>
    </row>
    <row r="1293" spans="1:1" x14ac:dyDescent="0.3">
      <c r="A1293" s="36"/>
    </row>
    <row r="1294" spans="1:1" x14ac:dyDescent="0.3">
      <c r="A1294" s="36"/>
    </row>
    <row r="1295" spans="1:1" x14ac:dyDescent="0.3">
      <c r="A1295" s="36"/>
    </row>
    <row r="1296" spans="1:1" x14ac:dyDescent="0.3">
      <c r="A1296" s="36"/>
    </row>
    <row r="1297" spans="1:1" x14ac:dyDescent="0.3">
      <c r="A1297" s="36"/>
    </row>
    <row r="1298" spans="1:1" x14ac:dyDescent="0.3">
      <c r="A1298" s="36"/>
    </row>
    <row r="1299" spans="1:1" x14ac:dyDescent="0.3">
      <c r="A1299" s="36"/>
    </row>
    <row r="1300" spans="1:1" x14ac:dyDescent="0.3">
      <c r="A1300" s="36"/>
    </row>
    <row r="1301" spans="1:1" x14ac:dyDescent="0.3">
      <c r="A1301" s="36"/>
    </row>
    <row r="1302" spans="1:1" x14ac:dyDescent="0.3">
      <c r="A1302" s="36"/>
    </row>
    <row r="1303" spans="1:1" x14ac:dyDescent="0.3">
      <c r="A1303" s="36"/>
    </row>
    <row r="1304" spans="1:1" x14ac:dyDescent="0.3">
      <c r="A1304" s="36"/>
    </row>
    <row r="1305" spans="1:1" x14ac:dyDescent="0.3">
      <c r="A1305" s="36"/>
    </row>
    <row r="1306" spans="1:1" x14ac:dyDescent="0.3">
      <c r="A1306" s="36"/>
    </row>
    <row r="1307" spans="1:1" x14ac:dyDescent="0.3">
      <c r="A1307" s="36"/>
    </row>
    <row r="1308" spans="1:1" x14ac:dyDescent="0.3">
      <c r="A1308" s="36"/>
    </row>
    <row r="1309" spans="1:1" x14ac:dyDescent="0.3">
      <c r="A1309" s="36"/>
    </row>
    <row r="1310" spans="1:1" x14ac:dyDescent="0.3">
      <c r="A1310" s="36"/>
    </row>
    <row r="1311" spans="1:1" x14ac:dyDescent="0.3">
      <c r="A1311" s="36"/>
    </row>
    <row r="1312" spans="1:1" x14ac:dyDescent="0.3">
      <c r="A1312" s="36"/>
    </row>
    <row r="1313" spans="1:1" x14ac:dyDescent="0.3">
      <c r="A1313" s="36"/>
    </row>
    <row r="1314" spans="1:1" x14ac:dyDescent="0.3">
      <c r="A1314" s="36"/>
    </row>
    <row r="1315" spans="1:1" x14ac:dyDescent="0.3">
      <c r="A1315" s="36"/>
    </row>
    <row r="1316" spans="1:1" x14ac:dyDescent="0.3">
      <c r="A1316" s="36"/>
    </row>
    <row r="1317" spans="1:1" x14ac:dyDescent="0.3">
      <c r="A1317" s="36"/>
    </row>
    <row r="1318" spans="1:1" x14ac:dyDescent="0.3">
      <c r="A1318" s="36"/>
    </row>
    <row r="1319" spans="1:1" x14ac:dyDescent="0.3">
      <c r="A1319" s="36"/>
    </row>
    <row r="1320" spans="1:1" x14ac:dyDescent="0.3">
      <c r="A1320" s="36"/>
    </row>
    <row r="1321" spans="1:1" x14ac:dyDescent="0.3">
      <c r="A1321" s="36"/>
    </row>
    <row r="1322" spans="1:1" x14ac:dyDescent="0.3">
      <c r="A1322" s="36"/>
    </row>
    <row r="1323" spans="1:1" x14ac:dyDescent="0.3">
      <c r="A1323" s="36"/>
    </row>
    <row r="1324" spans="1:1" x14ac:dyDescent="0.3">
      <c r="A1324" s="36"/>
    </row>
    <row r="1325" spans="1:1" x14ac:dyDescent="0.3">
      <c r="A1325" s="36"/>
    </row>
    <row r="1326" spans="1:1" x14ac:dyDescent="0.3">
      <c r="A1326" s="36"/>
    </row>
    <row r="1327" spans="1:1" x14ac:dyDescent="0.3">
      <c r="A1327" s="36"/>
    </row>
    <row r="1328" spans="1:1" x14ac:dyDescent="0.3">
      <c r="A1328" s="36"/>
    </row>
    <row r="1329" spans="1:1" x14ac:dyDescent="0.3">
      <c r="A1329" s="36"/>
    </row>
    <row r="1330" spans="1:1" x14ac:dyDescent="0.3">
      <c r="A1330" s="36"/>
    </row>
    <row r="1331" spans="1:1" x14ac:dyDescent="0.3">
      <c r="A1331" s="36"/>
    </row>
    <row r="1332" spans="1:1" x14ac:dyDescent="0.3">
      <c r="A1332" s="36"/>
    </row>
    <row r="1333" spans="1:1" x14ac:dyDescent="0.3">
      <c r="A1333" s="36"/>
    </row>
    <row r="1334" spans="1:1" x14ac:dyDescent="0.3">
      <c r="A1334" s="36"/>
    </row>
    <row r="1335" spans="1:1" x14ac:dyDescent="0.3">
      <c r="A1335" s="36"/>
    </row>
    <row r="1336" spans="1:1" x14ac:dyDescent="0.3">
      <c r="A1336" s="36"/>
    </row>
    <row r="1337" spans="1:1" x14ac:dyDescent="0.3">
      <c r="A1337" s="36"/>
    </row>
    <row r="1338" spans="1:1" x14ac:dyDescent="0.3">
      <c r="A1338" s="36"/>
    </row>
    <row r="1339" spans="1:1" x14ac:dyDescent="0.3">
      <c r="A1339" s="36"/>
    </row>
    <row r="1340" spans="1:1" x14ac:dyDescent="0.3">
      <c r="A1340" s="36"/>
    </row>
    <row r="1341" spans="1:1" x14ac:dyDescent="0.3">
      <c r="A1341" s="36"/>
    </row>
    <row r="1342" spans="1:1" x14ac:dyDescent="0.3">
      <c r="A1342" s="36"/>
    </row>
    <row r="1343" spans="1:1" x14ac:dyDescent="0.3">
      <c r="A1343" s="36"/>
    </row>
    <row r="1344" spans="1:1" x14ac:dyDescent="0.3">
      <c r="A1344" s="36"/>
    </row>
    <row r="1345" spans="1:1" x14ac:dyDescent="0.3">
      <c r="A1345" s="36"/>
    </row>
    <row r="1346" spans="1:1" x14ac:dyDescent="0.3">
      <c r="A1346" s="36"/>
    </row>
    <row r="1347" spans="1:1" x14ac:dyDescent="0.3">
      <c r="A1347" s="36"/>
    </row>
    <row r="1348" spans="1:1" x14ac:dyDescent="0.3">
      <c r="A1348" s="36"/>
    </row>
    <row r="1349" spans="1:1" x14ac:dyDescent="0.3">
      <c r="A1349" s="36"/>
    </row>
    <row r="1350" spans="1:1" x14ac:dyDescent="0.3">
      <c r="A1350" s="36"/>
    </row>
    <row r="1351" spans="1:1" x14ac:dyDescent="0.3">
      <c r="A1351" s="36"/>
    </row>
    <row r="1352" spans="1:1" x14ac:dyDescent="0.3">
      <c r="A1352" s="36"/>
    </row>
    <row r="1353" spans="1:1" x14ac:dyDescent="0.3">
      <c r="A1353" s="36"/>
    </row>
    <row r="1354" spans="1:1" x14ac:dyDescent="0.3">
      <c r="A1354" s="36"/>
    </row>
    <row r="1355" spans="1:1" x14ac:dyDescent="0.3">
      <c r="A1355" s="36"/>
    </row>
    <row r="1356" spans="1:1" x14ac:dyDescent="0.3">
      <c r="A1356" s="36"/>
    </row>
    <row r="1357" spans="1:1" x14ac:dyDescent="0.3">
      <c r="A1357" s="36"/>
    </row>
    <row r="1358" spans="1:1" x14ac:dyDescent="0.3">
      <c r="A1358" s="36"/>
    </row>
    <row r="1359" spans="1:1" x14ac:dyDescent="0.3">
      <c r="A1359" s="36"/>
    </row>
    <row r="1360" spans="1:1" x14ac:dyDescent="0.3">
      <c r="A1360" s="36"/>
    </row>
    <row r="1361" spans="1:1" x14ac:dyDescent="0.3">
      <c r="A1361" s="36"/>
    </row>
    <row r="1362" spans="1:1" x14ac:dyDescent="0.3">
      <c r="A1362" s="36"/>
    </row>
    <row r="1363" spans="1:1" x14ac:dyDescent="0.3">
      <c r="A1363" s="36"/>
    </row>
    <row r="1364" spans="1:1" x14ac:dyDescent="0.3">
      <c r="A1364" s="36"/>
    </row>
    <row r="1365" spans="1:1" x14ac:dyDescent="0.3">
      <c r="A1365" s="36"/>
    </row>
    <row r="1366" spans="1:1" x14ac:dyDescent="0.3">
      <c r="A1366" s="36"/>
    </row>
    <row r="1367" spans="1:1" x14ac:dyDescent="0.3">
      <c r="A1367" s="36"/>
    </row>
    <row r="1368" spans="1:1" x14ac:dyDescent="0.3">
      <c r="A1368" s="36"/>
    </row>
    <row r="1369" spans="1:1" x14ac:dyDescent="0.3">
      <c r="A1369" s="36"/>
    </row>
    <row r="1370" spans="1:1" x14ac:dyDescent="0.3">
      <c r="A1370" s="36"/>
    </row>
    <row r="1371" spans="1:1" x14ac:dyDescent="0.3">
      <c r="A1371" s="36"/>
    </row>
    <row r="1372" spans="1:1" x14ac:dyDescent="0.3">
      <c r="A1372" s="36"/>
    </row>
    <row r="1373" spans="1:1" x14ac:dyDescent="0.3">
      <c r="A1373" s="36"/>
    </row>
    <row r="1374" spans="1:1" x14ac:dyDescent="0.3">
      <c r="A1374" s="36"/>
    </row>
    <row r="1375" spans="1:1" x14ac:dyDescent="0.3">
      <c r="A1375" s="36"/>
    </row>
    <row r="1376" spans="1:1" x14ac:dyDescent="0.3">
      <c r="A1376" s="36"/>
    </row>
    <row r="1377" spans="1:1" x14ac:dyDescent="0.3">
      <c r="A1377" s="36"/>
    </row>
    <row r="1378" spans="1:1" x14ac:dyDescent="0.3">
      <c r="A1378" s="36"/>
    </row>
    <row r="1379" spans="1:1" x14ac:dyDescent="0.3">
      <c r="A1379" s="36"/>
    </row>
    <row r="1380" spans="1:1" x14ac:dyDescent="0.3">
      <c r="A1380" s="36"/>
    </row>
    <row r="1381" spans="1:1" x14ac:dyDescent="0.3">
      <c r="A1381" s="36"/>
    </row>
    <row r="1382" spans="1:1" x14ac:dyDescent="0.3">
      <c r="A1382" s="36"/>
    </row>
    <row r="1383" spans="1:1" x14ac:dyDescent="0.3">
      <c r="A1383" s="36"/>
    </row>
    <row r="1384" spans="1:1" x14ac:dyDescent="0.3">
      <c r="A1384" s="36"/>
    </row>
    <row r="1385" spans="1:1" x14ac:dyDescent="0.3">
      <c r="A1385" s="36"/>
    </row>
    <row r="1386" spans="1:1" x14ac:dyDescent="0.3">
      <c r="A1386" s="36"/>
    </row>
    <row r="1387" spans="1:1" x14ac:dyDescent="0.3">
      <c r="A1387" s="36"/>
    </row>
    <row r="1388" spans="1:1" x14ac:dyDescent="0.3">
      <c r="A1388" s="36"/>
    </row>
    <row r="1389" spans="1:1" x14ac:dyDescent="0.3">
      <c r="A1389" s="36"/>
    </row>
    <row r="1390" spans="1:1" x14ac:dyDescent="0.3">
      <c r="A1390" s="36"/>
    </row>
    <row r="1391" spans="1:1" x14ac:dyDescent="0.3">
      <c r="A1391" s="36"/>
    </row>
    <row r="1392" spans="1:1" x14ac:dyDescent="0.3">
      <c r="A1392" s="36"/>
    </row>
    <row r="1393" spans="1:1" x14ac:dyDescent="0.3">
      <c r="A1393" s="36"/>
    </row>
    <row r="1394" spans="1:1" x14ac:dyDescent="0.3">
      <c r="A1394" s="36"/>
    </row>
    <row r="1395" spans="1:1" x14ac:dyDescent="0.3">
      <c r="A1395" s="36"/>
    </row>
    <row r="1396" spans="1:1" x14ac:dyDescent="0.3">
      <c r="A1396" s="36"/>
    </row>
    <row r="1397" spans="1:1" x14ac:dyDescent="0.3">
      <c r="A1397" s="36"/>
    </row>
    <row r="1398" spans="1:1" x14ac:dyDescent="0.3">
      <c r="A1398" s="36"/>
    </row>
    <row r="1399" spans="1:1" x14ac:dyDescent="0.3">
      <c r="A1399" s="36"/>
    </row>
    <row r="1400" spans="1:1" x14ac:dyDescent="0.3">
      <c r="A1400" s="36"/>
    </row>
    <row r="1401" spans="1:1" x14ac:dyDescent="0.3">
      <c r="A1401" s="36"/>
    </row>
    <row r="1402" spans="1:1" x14ac:dyDescent="0.3">
      <c r="A1402" s="36"/>
    </row>
    <row r="1403" spans="1:1" x14ac:dyDescent="0.3">
      <c r="A1403" s="36"/>
    </row>
    <row r="1404" spans="1:1" x14ac:dyDescent="0.3">
      <c r="A1404" s="36"/>
    </row>
    <row r="1405" spans="1:1" x14ac:dyDescent="0.3">
      <c r="A1405" s="36"/>
    </row>
    <row r="1406" spans="1:1" x14ac:dyDescent="0.3">
      <c r="A1406" s="36"/>
    </row>
    <row r="1407" spans="1:1" x14ac:dyDescent="0.3">
      <c r="A1407" s="36"/>
    </row>
    <row r="1408" spans="1:1" x14ac:dyDescent="0.3">
      <c r="A1408" s="36"/>
    </row>
    <row r="1409" spans="1:1" x14ac:dyDescent="0.3">
      <c r="A1409" s="36"/>
    </row>
    <row r="1410" spans="1:1" x14ac:dyDescent="0.3">
      <c r="A1410" s="36"/>
    </row>
    <row r="1411" spans="1:1" x14ac:dyDescent="0.3">
      <c r="A1411" s="36"/>
    </row>
    <row r="1412" spans="1:1" x14ac:dyDescent="0.3">
      <c r="A1412" s="36"/>
    </row>
    <row r="1413" spans="1:1" x14ac:dyDescent="0.3">
      <c r="A1413" s="36"/>
    </row>
    <row r="1414" spans="1:1" x14ac:dyDescent="0.3">
      <c r="A1414" s="36"/>
    </row>
    <row r="1415" spans="1:1" x14ac:dyDescent="0.3">
      <c r="A1415" s="36"/>
    </row>
    <row r="1416" spans="1:1" x14ac:dyDescent="0.3">
      <c r="A1416" s="36"/>
    </row>
    <row r="1417" spans="1:1" x14ac:dyDescent="0.3">
      <c r="A1417" s="36"/>
    </row>
    <row r="1418" spans="1:1" x14ac:dyDescent="0.3">
      <c r="A1418" s="36"/>
    </row>
    <row r="1419" spans="1:1" x14ac:dyDescent="0.3">
      <c r="A1419" s="36"/>
    </row>
    <row r="1420" spans="1:1" x14ac:dyDescent="0.3">
      <c r="A1420" s="36"/>
    </row>
    <row r="1421" spans="1:1" x14ac:dyDescent="0.3">
      <c r="A1421" s="36"/>
    </row>
    <row r="1422" spans="1:1" x14ac:dyDescent="0.3">
      <c r="A1422" s="36"/>
    </row>
    <row r="1423" spans="1:1" x14ac:dyDescent="0.3">
      <c r="A1423" s="36"/>
    </row>
    <row r="1424" spans="1:1" x14ac:dyDescent="0.3">
      <c r="A1424" s="36"/>
    </row>
    <row r="1425" spans="1:1" x14ac:dyDescent="0.3">
      <c r="A1425" s="36"/>
    </row>
    <row r="1426" spans="1:1" x14ac:dyDescent="0.3">
      <c r="A1426" s="36"/>
    </row>
    <row r="1427" spans="1:1" x14ac:dyDescent="0.3">
      <c r="A1427" s="36"/>
    </row>
    <row r="1428" spans="1:1" x14ac:dyDescent="0.3">
      <c r="A1428" s="36"/>
    </row>
    <row r="1429" spans="1:1" x14ac:dyDescent="0.3">
      <c r="A1429" s="36"/>
    </row>
    <row r="1430" spans="1:1" x14ac:dyDescent="0.3">
      <c r="A1430" s="36"/>
    </row>
    <row r="1431" spans="1:1" x14ac:dyDescent="0.3">
      <c r="A1431" s="36"/>
    </row>
    <row r="1432" spans="1:1" x14ac:dyDescent="0.3">
      <c r="A1432" s="36"/>
    </row>
    <row r="1433" spans="1:1" x14ac:dyDescent="0.3">
      <c r="A1433" s="36"/>
    </row>
    <row r="1434" spans="1:1" x14ac:dyDescent="0.3">
      <c r="A1434" s="36"/>
    </row>
    <row r="1435" spans="1:1" x14ac:dyDescent="0.3">
      <c r="A1435" s="36"/>
    </row>
    <row r="1436" spans="1:1" x14ac:dyDescent="0.3">
      <c r="A1436" s="36"/>
    </row>
    <row r="1437" spans="1:1" x14ac:dyDescent="0.3">
      <c r="A1437" s="36"/>
    </row>
    <row r="1438" spans="1:1" x14ac:dyDescent="0.3">
      <c r="A1438" s="36"/>
    </row>
    <row r="1439" spans="1:1" x14ac:dyDescent="0.3">
      <c r="A1439" s="36"/>
    </row>
    <row r="1440" spans="1:1" x14ac:dyDescent="0.3">
      <c r="A1440" s="36"/>
    </row>
    <row r="1441" spans="1:1" x14ac:dyDescent="0.3">
      <c r="A1441" s="36"/>
    </row>
    <row r="1442" spans="1:1" x14ac:dyDescent="0.3">
      <c r="A1442" s="36"/>
    </row>
    <row r="1443" spans="1:1" x14ac:dyDescent="0.3">
      <c r="A1443" s="36"/>
    </row>
    <row r="1444" spans="1:1" x14ac:dyDescent="0.3">
      <c r="A1444" s="36"/>
    </row>
    <row r="1445" spans="1:1" x14ac:dyDescent="0.3">
      <c r="A1445" s="36"/>
    </row>
    <row r="1446" spans="1:1" x14ac:dyDescent="0.3">
      <c r="A1446" s="36"/>
    </row>
    <row r="1447" spans="1:1" x14ac:dyDescent="0.3">
      <c r="A1447" s="36"/>
    </row>
    <row r="1448" spans="1:1" x14ac:dyDescent="0.3">
      <c r="A1448" s="36"/>
    </row>
    <row r="1449" spans="1:1" x14ac:dyDescent="0.3">
      <c r="A1449" s="36"/>
    </row>
    <row r="1450" spans="1:1" x14ac:dyDescent="0.3">
      <c r="A1450" s="36"/>
    </row>
    <row r="1451" spans="1:1" x14ac:dyDescent="0.3">
      <c r="A1451" s="36"/>
    </row>
    <row r="1452" spans="1:1" x14ac:dyDescent="0.3">
      <c r="A1452" s="36"/>
    </row>
    <row r="1453" spans="1:1" x14ac:dyDescent="0.3">
      <c r="A1453" s="36"/>
    </row>
    <row r="1454" spans="1:1" x14ac:dyDescent="0.3">
      <c r="A1454" s="36"/>
    </row>
    <row r="1455" spans="1:1" x14ac:dyDescent="0.3">
      <c r="A1455" s="36"/>
    </row>
    <row r="1456" spans="1:1" x14ac:dyDescent="0.3">
      <c r="A1456" s="36"/>
    </row>
    <row r="1457" spans="1:1" x14ac:dyDescent="0.3">
      <c r="A1457" s="36"/>
    </row>
    <row r="1458" spans="1:1" x14ac:dyDescent="0.3">
      <c r="A1458" s="36"/>
    </row>
    <row r="1459" spans="1:1" x14ac:dyDescent="0.3">
      <c r="A1459" s="36"/>
    </row>
    <row r="1460" spans="1:1" x14ac:dyDescent="0.3">
      <c r="A1460" s="36"/>
    </row>
    <row r="1461" spans="1:1" x14ac:dyDescent="0.3">
      <c r="A1461" s="36"/>
    </row>
    <row r="1462" spans="1:1" x14ac:dyDescent="0.3">
      <c r="A1462" s="36"/>
    </row>
    <row r="1463" spans="1:1" x14ac:dyDescent="0.3">
      <c r="A1463" s="36"/>
    </row>
    <row r="1464" spans="1:1" x14ac:dyDescent="0.3">
      <c r="A1464" s="36"/>
    </row>
    <row r="1465" spans="1:1" x14ac:dyDescent="0.3">
      <c r="A1465" s="36"/>
    </row>
    <row r="1466" spans="1:1" x14ac:dyDescent="0.3">
      <c r="A1466" s="36"/>
    </row>
    <row r="1467" spans="1:1" x14ac:dyDescent="0.3">
      <c r="A1467" s="36"/>
    </row>
    <row r="1468" spans="1:1" x14ac:dyDescent="0.3">
      <c r="A1468" s="36"/>
    </row>
    <row r="1469" spans="1:1" x14ac:dyDescent="0.3">
      <c r="A1469" s="36"/>
    </row>
    <row r="1470" spans="1:1" x14ac:dyDescent="0.3">
      <c r="A1470" s="36"/>
    </row>
    <row r="1471" spans="1:1" x14ac:dyDescent="0.3">
      <c r="A1471" s="36"/>
    </row>
    <row r="1472" spans="1:1" x14ac:dyDescent="0.3">
      <c r="A1472" s="36"/>
    </row>
    <row r="1473" spans="1:1" x14ac:dyDescent="0.3">
      <c r="A1473" s="36"/>
    </row>
    <row r="1474" spans="1:1" x14ac:dyDescent="0.3">
      <c r="A1474" s="36"/>
    </row>
    <row r="1475" spans="1:1" x14ac:dyDescent="0.3">
      <c r="A1475" s="36"/>
    </row>
    <row r="1476" spans="1:1" x14ac:dyDescent="0.3">
      <c r="A1476" s="36"/>
    </row>
    <row r="1477" spans="1:1" x14ac:dyDescent="0.3">
      <c r="A1477" s="36"/>
    </row>
    <row r="1478" spans="1:1" x14ac:dyDescent="0.3">
      <c r="A1478" s="36"/>
    </row>
    <row r="1479" spans="1:1" x14ac:dyDescent="0.3">
      <c r="A1479" s="36"/>
    </row>
    <row r="1480" spans="1:1" x14ac:dyDescent="0.3">
      <c r="A1480" s="36"/>
    </row>
    <row r="1481" spans="1:1" x14ac:dyDescent="0.3">
      <c r="A1481" s="36"/>
    </row>
    <row r="1482" spans="1:1" x14ac:dyDescent="0.3">
      <c r="A1482" s="36"/>
    </row>
    <row r="1483" spans="1:1" x14ac:dyDescent="0.3">
      <c r="A1483" s="36"/>
    </row>
    <row r="1484" spans="1:1" x14ac:dyDescent="0.3">
      <c r="A1484" s="36"/>
    </row>
    <row r="1485" spans="1:1" x14ac:dyDescent="0.3">
      <c r="A1485" s="36"/>
    </row>
    <row r="1486" spans="1:1" x14ac:dyDescent="0.3">
      <c r="A1486" s="36"/>
    </row>
    <row r="1487" spans="1:1" x14ac:dyDescent="0.3">
      <c r="A1487" s="36"/>
    </row>
    <row r="1488" spans="1:1" x14ac:dyDescent="0.3">
      <c r="A1488" s="36"/>
    </row>
    <row r="1489" spans="1:1" x14ac:dyDescent="0.3">
      <c r="A1489" s="36"/>
    </row>
    <row r="1490" spans="1:1" x14ac:dyDescent="0.3">
      <c r="A1490" s="36"/>
    </row>
    <row r="1491" spans="1:1" x14ac:dyDescent="0.3">
      <c r="A1491" s="36"/>
    </row>
    <row r="1492" spans="1:1" x14ac:dyDescent="0.3">
      <c r="A1492" s="36"/>
    </row>
    <row r="1493" spans="1:1" x14ac:dyDescent="0.3">
      <c r="A1493" s="36"/>
    </row>
    <row r="1494" spans="1:1" x14ac:dyDescent="0.3">
      <c r="A1494" s="36"/>
    </row>
    <row r="1495" spans="1:1" x14ac:dyDescent="0.3">
      <c r="A1495" s="36"/>
    </row>
    <row r="1496" spans="1:1" x14ac:dyDescent="0.3">
      <c r="A1496" s="36"/>
    </row>
    <row r="1497" spans="1:1" x14ac:dyDescent="0.3">
      <c r="A1497" s="36"/>
    </row>
    <row r="1498" spans="1:1" x14ac:dyDescent="0.3">
      <c r="A1498" s="36"/>
    </row>
    <row r="1499" spans="1:1" x14ac:dyDescent="0.3">
      <c r="A1499" s="36"/>
    </row>
    <row r="1500" spans="1:1" x14ac:dyDescent="0.3">
      <c r="A1500" s="36"/>
    </row>
    <row r="1501" spans="1:1" x14ac:dyDescent="0.3">
      <c r="A1501" s="36"/>
    </row>
    <row r="1502" spans="1:1" x14ac:dyDescent="0.3">
      <c r="A1502" s="36"/>
    </row>
    <row r="1503" spans="1:1" x14ac:dyDescent="0.3">
      <c r="A1503" s="36"/>
    </row>
    <row r="1504" spans="1:1" x14ac:dyDescent="0.3">
      <c r="A1504" s="36"/>
    </row>
    <row r="1505" spans="1:1" x14ac:dyDescent="0.3">
      <c r="A1505" s="36"/>
    </row>
    <row r="1506" spans="1:1" x14ac:dyDescent="0.3">
      <c r="A1506" s="36"/>
    </row>
    <row r="1507" spans="1:1" x14ac:dyDescent="0.3">
      <c r="A1507" s="36"/>
    </row>
    <row r="1508" spans="1:1" x14ac:dyDescent="0.3">
      <c r="A1508" s="36"/>
    </row>
    <row r="1509" spans="1:1" x14ac:dyDescent="0.3">
      <c r="A1509" s="36"/>
    </row>
    <row r="1510" spans="1:1" x14ac:dyDescent="0.3">
      <c r="A1510" s="36"/>
    </row>
    <row r="1511" spans="1:1" x14ac:dyDescent="0.3">
      <c r="A1511" s="36"/>
    </row>
    <row r="1512" spans="1:1" x14ac:dyDescent="0.3">
      <c r="A1512" s="36"/>
    </row>
    <row r="1513" spans="1:1" x14ac:dyDescent="0.3">
      <c r="A1513" s="36"/>
    </row>
    <row r="1514" spans="1:1" x14ac:dyDescent="0.3">
      <c r="A1514" s="36"/>
    </row>
    <row r="1515" spans="1:1" x14ac:dyDescent="0.3">
      <c r="A1515" s="36"/>
    </row>
    <row r="1516" spans="1:1" x14ac:dyDescent="0.3">
      <c r="A1516" s="36"/>
    </row>
    <row r="1517" spans="1:1" x14ac:dyDescent="0.3">
      <c r="A1517" s="36"/>
    </row>
    <row r="1518" spans="1:1" x14ac:dyDescent="0.3">
      <c r="A1518" s="36"/>
    </row>
    <row r="1519" spans="1:1" x14ac:dyDescent="0.3">
      <c r="A1519" s="36"/>
    </row>
    <row r="1520" spans="1:1" x14ac:dyDescent="0.3">
      <c r="A1520" s="36"/>
    </row>
    <row r="1521" spans="1:1" x14ac:dyDescent="0.3">
      <c r="A1521" s="36"/>
    </row>
    <row r="1522" spans="1:1" x14ac:dyDescent="0.3">
      <c r="A1522" s="36"/>
    </row>
    <row r="1523" spans="1:1" x14ac:dyDescent="0.3">
      <c r="A1523" s="36"/>
    </row>
    <row r="1524" spans="1:1" x14ac:dyDescent="0.3">
      <c r="A1524" s="36"/>
    </row>
    <row r="1525" spans="1:1" x14ac:dyDescent="0.3">
      <c r="A1525" s="36"/>
    </row>
    <row r="1526" spans="1:1" x14ac:dyDescent="0.3">
      <c r="A1526" s="36"/>
    </row>
    <row r="1527" spans="1:1" x14ac:dyDescent="0.3">
      <c r="A1527" s="36"/>
    </row>
    <row r="1528" spans="1:1" x14ac:dyDescent="0.3">
      <c r="A1528" s="36"/>
    </row>
    <row r="1529" spans="1:1" x14ac:dyDescent="0.3">
      <c r="A1529" s="36"/>
    </row>
    <row r="1530" spans="1:1" x14ac:dyDescent="0.3">
      <c r="A1530" s="36"/>
    </row>
    <row r="1531" spans="1:1" x14ac:dyDescent="0.3">
      <c r="A1531" s="36"/>
    </row>
    <row r="1532" spans="1:1" x14ac:dyDescent="0.3">
      <c r="A1532" s="36"/>
    </row>
    <row r="1533" spans="1:1" x14ac:dyDescent="0.3">
      <c r="A1533" s="36"/>
    </row>
    <row r="1534" spans="1:1" x14ac:dyDescent="0.3">
      <c r="A1534" s="36"/>
    </row>
    <row r="1535" spans="1:1" x14ac:dyDescent="0.3">
      <c r="A1535" s="36"/>
    </row>
    <row r="1536" spans="1:1" x14ac:dyDescent="0.3">
      <c r="A1536" s="36"/>
    </row>
    <row r="1537" spans="1:1" x14ac:dyDescent="0.3">
      <c r="A1537" s="36"/>
    </row>
    <row r="1538" spans="1:1" x14ac:dyDescent="0.3">
      <c r="A1538" s="36"/>
    </row>
    <row r="1539" spans="1:1" x14ac:dyDescent="0.3">
      <c r="A1539" s="36"/>
    </row>
    <row r="1540" spans="1:1" x14ac:dyDescent="0.3">
      <c r="A1540" s="36"/>
    </row>
    <row r="1541" spans="1:1" x14ac:dyDescent="0.3">
      <c r="A1541" s="36"/>
    </row>
    <row r="1542" spans="1:1" x14ac:dyDescent="0.3">
      <c r="A1542" s="36"/>
    </row>
    <row r="1543" spans="1:1" x14ac:dyDescent="0.3">
      <c r="A1543" s="36"/>
    </row>
    <row r="1544" spans="1:1" x14ac:dyDescent="0.3">
      <c r="A1544" s="36"/>
    </row>
    <row r="1545" spans="1:1" x14ac:dyDescent="0.3">
      <c r="A1545" s="36"/>
    </row>
    <row r="1546" spans="1:1" x14ac:dyDescent="0.3">
      <c r="A1546" s="36"/>
    </row>
    <row r="1547" spans="1:1" x14ac:dyDescent="0.3">
      <c r="A1547" s="36"/>
    </row>
    <row r="1548" spans="1:1" x14ac:dyDescent="0.3">
      <c r="A1548" s="36"/>
    </row>
    <row r="1549" spans="1:1" x14ac:dyDescent="0.3">
      <c r="A1549" s="36"/>
    </row>
    <row r="1550" spans="1:1" x14ac:dyDescent="0.3">
      <c r="A1550" s="36"/>
    </row>
    <row r="1551" spans="1:1" x14ac:dyDescent="0.3">
      <c r="A1551" s="36"/>
    </row>
    <row r="1552" spans="1:1" x14ac:dyDescent="0.3">
      <c r="A1552" s="36"/>
    </row>
    <row r="1553" spans="1:1" x14ac:dyDescent="0.3">
      <c r="A1553" s="36"/>
    </row>
    <row r="1554" spans="1:1" x14ac:dyDescent="0.3">
      <c r="A1554" s="36"/>
    </row>
    <row r="1555" spans="1:1" x14ac:dyDescent="0.3">
      <c r="A1555" s="36"/>
    </row>
    <row r="1556" spans="1:1" x14ac:dyDescent="0.3">
      <c r="A1556" s="36"/>
    </row>
    <row r="1557" spans="1:1" x14ac:dyDescent="0.3">
      <c r="A1557" s="36"/>
    </row>
    <row r="1558" spans="1:1" x14ac:dyDescent="0.3">
      <c r="A1558" s="36"/>
    </row>
    <row r="1559" spans="1:1" x14ac:dyDescent="0.3">
      <c r="A1559" s="36"/>
    </row>
    <row r="1560" spans="1:1" x14ac:dyDescent="0.3">
      <c r="A1560" s="36"/>
    </row>
    <row r="1561" spans="1:1" x14ac:dyDescent="0.3">
      <c r="A1561" s="36"/>
    </row>
    <row r="1562" spans="1:1" x14ac:dyDescent="0.3">
      <c r="A1562" s="36"/>
    </row>
    <row r="1563" spans="1:1" x14ac:dyDescent="0.3">
      <c r="A1563" s="36"/>
    </row>
    <row r="1564" spans="1:1" x14ac:dyDescent="0.3">
      <c r="A1564" s="36"/>
    </row>
    <row r="1565" spans="1:1" x14ac:dyDescent="0.3">
      <c r="A1565" s="36"/>
    </row>
    <row r="1566" spans="1:1" x14ac:dyDescent="0.3">
      <c r="A1566" s="36"/>
    </row>
    <row r="1567" spans="1:1" x14ac:dyDescent="0.3">
      <c r="A1567" s="36"/>
    </row>
    <row r="1568" spans="1:1" x14ac:dyDescent="0.3">
      <c r="A1568" s="36"/>
    </row>
    <row r="1569" spans="1:1" x14ac:dyDescent="0.3">
      <c r="A1569" s="36"/>
    </row>
    <row r="1570" spans="1:1" x14ac:dyDescent="0.3">
      <c r="A1570" s="36"/>
    </row>
    <row r="1571" spans="1:1" x14ac:dyDescent="0.3">
      <c r="A1571" s="36"/>
    </row>
    <row r="1572" spans="1:1" x14ac:dyDescent="0.3">
      <c r="A1572" s="36"/>
    </row>
    <row r="1573" spans="1:1" x14ac:dyDescent="0.3">
      <c r="A1573" s="36"/>
    </row>
    <row r="1574" spans="1:1" x14ac:dyDescent="0.3">
      <c r="A1574" s="36"/>
    </row>
    <row r="1575" spans="1:1" x14ac:dyDescent="0.3">
      <c r="A1575" s="36"/>
    </row>
    <row r="1576" spans="1:1" x14ac:dyDescent="0.3">
      <c r="A1576" s="36"/>
    </row>
    <row r="1577" spans="1:1" x14ac:dyDescent="0.3">
      <c r="A1577" s="36"/>
    </row>
    <row r="1578" spans="1:1" x14ac:dyDescent="0.3">
      <c r="A1578" s="36"/>
    </row>
    <row r="1579" spans="1:1" x14ac:dyDescent="0.3">
      <c r="A1579" s="36"/>
    </row>
    <row r="1580" spans="1:1" x14ac:dyDescent="0.3">
      <c r="A1580" s="36"/>
    </row>
    <row r="1581" spans="1:1" x14ac:dyDescent="0.3">
      <c r="A1581" s="36"/>
    </row>
    <row r="1582" spans="1:1" x14ac:dyDescent="0.3">
      <c r="A1582" s="36"/>
    </row>
    <row r="1583" spans="1:1" x14ac:dyDescent="0.3">
      <c r="A1583" s="36"/>
    </row>
    <row r="1584" spans="1:1" x14ac:dyDescent="0.3">
      <c r="A1584" s="36"/>
    </row>
    <row r="1585" spans="1:1" x14ac:dyDescent="0.3">
      <c r="A1585" s="36"/>
    </row>
    <row r="1586" spans="1:1" x14ac:dyDescent="0.3">
      <c r="A1586" s="36"/>
    </row>
    <row r="1587" spans="1:1" x14ac:dyDescent="0.3">
      <c r="A1587" s="36"/>
    </row>
    <row r="1588" spans="1:1" x14ac:dyDescent="0.3">
      <c r="A1588" s="36"/>
    </row>
    <row r="1589" spans="1:1" x14ac:dyDescent="0.3">
      <c r="A1589" s="36"/>
    </row>
    <row r="1590" spans="1:1" x14ac:dyDescent="0.3">
      <c r="A1590" s="36"/>
    </row>
    <row r="1591" spans="1:1" x14ac:dyDescent="0.3">
      <c r="A1591" s="36"/>
    </row>
    <row r="1592" spans="1:1" x14ac:dyDescent="0.3">
      <c r="A1592" s="36"/>
    </row>
    <row r="1593" spans="1:1" x14ac:dyDescent="0.3">
      <c r="A1593" s="36"/>
    </row>
    <row r="1594" spans="1:1" x14ac:dyDescent="0.3">
      <c r="A1594" s="36"/>
    </row>
    <row r="1595" spans="1:1" x14ac:dyDescent="0.3">
      <c r="A1595" s="36"/>
    </row>
    <row r="1596" spans="1:1" x14ac:dyDescent="0.3">
      <c r="A1596" s="36"/>
    </row>
    <row r="1597" spans="1:1" x14ac:dyDescent="0.3">
      <c r="A1597" s="36"/>
    </row>
    <row r="1598" spans="1:1" x14ac:dyDescent="0.3">
      <c r="A1598" s="36"/>
    </row>
    <row r="1599" spans="1:1" x14ac:dyDescent="0.3">
      <c r="A1599" s="36"/>
    </row>
    <row r="1600" spans="1:1" x14ac:dyDescent="0.3">
      <c r="A1600" s="36"/>
    </row>
    <row r="1601" spans="1:1" x14ac:dyDescent="0.3">
      <c r="A1601" s="36"/>
    </row>
    <row r="1602" spans="1:1" x14ac:dyDescent="0.3">
      <c r="A1602" s="36"/>
    </row>
    <row r="1603" spans="1:1" x14ac:dyDescent="0.3">
      <c r="A1603" s="36"/>
    </row>
    <row r="1604" spans="1:1" x14ac:dyDescent="0.3">
      <c r="A1604" s="36"/>
    </row>
    <row r="1605" spans="1:1" x14ac:dyDescent="0.3">
      <c r="A1605" s="36"/>
    </row>
    <row r="1606" spans="1:1" x14ac:dyDescent="0.3">
      <c r="A1606" s="36"/>
    </row>
    <row r="1607" spans="1:1" x14ac:dyDescent="0.3">
      <c r="A1607" s="36"/>
    </row>
    <row r="1608" spans="1:1" x14ac:dyDescent="0.3">
      <c r="A1608" s="36"/>
    </row>
    <row r="1609" spans="1:1" x14ac:dyDescent="0.3">
      <c r="A1609" s="36"/>
    </row>
    <row r="1610" spans="1:1" x14ac:dyDescent="0.3">
      <c r="A1610" s="36"/>
    </row>
    <row r="1611" spans="1:1" x14ac:dyDescent="0.3">
      <c r="A1611" s="36"/>
    </row>
    <row r="1612" spans="1:1" x14ac:dyDescent="0.3">
      <c r="A1612" s="36"/>
    </row>
    <row r="1613" spans="1:1" x14ac:dyDescent="0.3">
      <c r="A1613" s="36"/>
    </row>
    <row r="1614" spans="1:1" x14ac:dyDescent="0.3">
      <c r="A1614" s="36"/>
    </row>
    <row r="1615" spans="1:1" x14ac:dyDescent="0.3">
      <c r="A1615" s="36"/>
    </row>
    <row r="1616" spans="1:1" x14ac:dyDescent="0.3">
      <c r="A1616" s="36"/>
    </row>
    <row r="1617" spans="1:1" x14ac:dyDescent="0.3">
      <c r="A1617" s="36"/>
    </row>
    <row r="1618" spans="1:1" x14ac:dyDescent="0.3">
      <c r="A1618" s="36"/>
    </row>
    <row r="1619" spans="1:1" x14ac:dyDescent="0.3">
      <c r="A1619" s="36"/>
    </row>
    <row r="1620" spans="1:1" x14ac:dyDescent="0.3">
      <c r="A1620" s="36"/>
    </row>
    <row r="1621" spans="1:1" x14ac:dyDescent="0.3">
      <c r="A1621" s="36"/>
    </row>
    <row r="1622" spans="1:1" x14ac:dyDescent="0.3">
      <c r="A1622" s="36"/>
    </row>
    <row r="1623" spans="1:1" x14ac:dyDescent="0.3">
      <c r="A1623" s="36"/>
    </row>
    <row r="1624" spans="1:1" x14ac:dyDescent="0.3">
      <c r="A1624" s="36"/>
    </row>
    <row r="1625" spans="1:1" x14ac:dyDescent="0.3">
      <c r="A1625" s="36"/>
    </row>
    <row r="1626" spans="1:1" x14ac:dyDescent="0.3">
      <c r="A1626" s="36"/>
    </row>
    <row r="1627" spans="1:1" x14ac:dyDescent="0.3">
      <c r="A1627" s="36"/>
    </row>
    <row r="1628" spans="1:1" x14ac:dyDescent="0.3">
      <c r="A1628" s="36"/>
    </row>
    <row r="1629" spans="1:1" x14ac:dyDescent="0.3">
      <c r="A1629" s="36"/>
    </row>
    <row r="1630" spans="1:1" x14ac:dyDescent="0.3">
      <c r="A1630" s="36"/>
    </row>
    <row r="1631" spans="1:1" x14ac:dyDescent="0.3">
      <c r="A1631" s="36"/>
    </row>
    <row r="1632" spans="1:1" x14ac:dyDescent="0.3">
      <c r="A1632" s="36"/>
    </row>
    <row r="1633" spans="1:1" x14ac:dyDescent="0.3">
      <c r="A1633" s="36"/>
    </row>
    <row r="1634" spans="1:1" x14ac:dyDescent="0.3">
      <c r="A1634" s="36"/>
    </row>
    <row r="1635" spans="1:1" x14ac:dyDescent="0.3">
      <c r="A1635" s="36"/>
    </row>
    <row r="1636" spans="1:1" x14ac:dyDescent="0.3">
      <c r="A1636" s="36"/>
    </row>
    <row r="1637" spans="1:1" x14ac:dyDescent="0.3">
      <c r="A1637" s="36"/>
    </row>
    <row r="1638" spans="1:1" x14ac:dyDescent="0.3">
      <c r="A1638" s="36"/>
    </row>
    <row r="1639" spans="1:1" x14ac:dyDescent="0.3">
      <c r="A1639" s="36"/>
    </row>
    <row r="1640" spans="1:1" x14ac:dyDescent="0.3">
      <c r="A1640" s="36"/>
    </row>
    <row r="1641" spans="1:1" x14ac:dyDescent="0.3">
      <c r="A1641" s="36"/>
    </row>
    <row r="1642" spans="1:1" x14ac:dyDescent="0.3">
      <c r="A1642" s="36"/>
    </row>
    <row r="1643" spans="1:1" x14ac:dyDescent="0.3">
      <c r="A1643" s="36"/>
    </row>
    <row r="1644" spans="1:1" x14ac:dyDescent="0.3">
      <c r="A1644" s="36"/>
    </row>
    <row r="1645" spans="1:1" x14ac:dyDescent="0.3">
      <c r="A1645" s="36"/>
    </row>
    <row r="1646" spans="1:1" x14ac:dyDescent="0.3">
      <c r="A1646" s="36"/>
    </row>
    <row r="1647" spans="1:1" x14ac:dyDescent="0.3">
      <c r="A1647" s="36"/>
    </row>
    <row r="1648" spans="1:1" x14ac:dyDescent="0.3">
      <c r="A1648" s="36"/>
    </row>
    <row r="1649" spans="1:1" x14ac:dyDescent="0.3">
      <c r="A1649" s="36"/>
    </row>
    <row r="1650" spans="1:1" x14ac:dyDescent="0.3">
      <c r="A1650" s="36"/>
    </row>
    <row r="1651" spans="1:1" x14ac:dyDescent="0.3">
      <c r="A1651" s="36"/>
    </row>
    <row r="1652" spans="1:1" x14ac:dyDescent="0.3">
      <c r="A1652" s="36"/>
    </row>
    <row r="1653" spans="1:1" x14ac:dyDescent="0.3">
      <c r="A1653" s="36"/>
    </row>
    <row r="1654" spans="1:1" x14ac:dyDescent="0.3">
      <c r="A1654" s="36"/>
    </row>
    <row r="1655" spans="1:1" x14ac:dyDescent="0.3">
      <c r="A1655" s="36"/>
    </row>
    <row r="1656" spans="1:1" x14ac:dyDescent="0.3">
      <c r="A1656" s="36"/>
    </row>
    <row r="1657" spans="1:1" x14ac:dyDescent="0.3">
      <c r="A1657" s="36"/>
    </row>
    <row r="1658" spans="1:1" x14ac:dyDescent="0.3">
      <c r="A1658" s="36"/>
    </row>
    <row r="1659" spans="1:1" x14ac:dyDescent="0.3">
      <c r="A1659" s="36"/>
    </row>
    <row r="1660" spans="1:1" x14ac:dyDescent="0.3">
      <c r="A1660" s="36"/>
    </row>
    <row r="1661" spans="1:1" x14ac:dyDescent="0.3">
      <c r="A1661" s="36"/>
    </row>
    <row r="1662" spans="1:1" x14ac:dyDescent="0.3">
      <c r="A1662" s="36"/>
    </row>
    <row r="1663" spans="1:1" x14ac:dyDescent="0.3">
      <c r="A1663" s="36"/>
    </row>
    <row r="1664" spans="1:1" x14ac:dyDescent="0.3">
      <c r="A1664" s="36"/>
    </row>
    <row r="1665" spans="1:1" x14ac:dyDescent="0.3">
      <c r="A1665" s="36"/>
    </row>
    <row r="1666" spans="1:1" x14ac:dyDescent="0.3">
      <c r="A1666" s="36"/>
    </row>
    <row r="1667" spans="1:1" x14ac:dyDescent="0.3">
      <c r="A1667" s="36"/>
    </row>
    <row r="1668" spans="1:1" x14ac:dyDescent="0.3">
      <c r="A1668" s="36"/>
    </row>
    <row r="1669" spans="1:1" x14ac:dyDescent="0.3">
      <c r="A1669" s="36"/>
    </row>
    <row r="1670" spans="1:1" x14ac:dyDescent="0.3">
      <c r="A1670" s="36"/>
    </row>
    <row r="1671" spans="1:1" x14ac:dyDescent="0.3">
      <c r="A1671" s="36"/>
    </row>
    <row r="1672" spans="1:1" x14ac:dyDescent="0.3">
      <c r="A1672" s="36"/>
    </row>
    <row r="1673" spans="1:1" x14ac:dyDescent="0.3">
      <c r="A1673" s="36"/>
    </row>
    <row r="1674" spans="1:1" x14ac:dyDescent="0.3">
      <c r="A1674" s="36"/>
    </row>
    <row r="1675" spans="1:1" x14ac:dyDescent="0.3">
      <c r="A1675" s="36"/>
    </row>
    <row r="1676" spans="1:1" x14ac:dyDescent="0.3">
      <c r="A1676" s="36"/>
    </row>
    <row r="1677" spans="1:1" x14ac:dyDescent="0.3">
      <c r="A1677" s="36"/>
    </row>
    <row r="1678" spans="1:1" x14ac:dyDescent="0.3">
      <c r="A1678" s="36"/>
    </row>
    <row r="1679" spans="1:1" x14ac:dyDescent="0.3">
      <c r="A1679" s="36"/>
    </row>
    <row r="1680" spans="1:1" x14ac:dyDescent="0.3">
      <c r="A1680" s="36"/>
    </row>
    <row r="1681" spans="1:1" x14ac:dyDescent="0.3">
      <c r="A1681" s="36"/>
    </row>
    <row r="1682" spans="1:1" x14ac:dyDescent="0.3">
      <c r="A1682" s="36"/>
    </row>
    <row r="1683" spans="1:1" x14ac:dyDescent="0.3">
      <c r="A1683" s="36"/>
    </row>
    <row r="1684" spans="1:1" x14ac:dyDescent="0.3">
      <c r="A1684" s="36"/>
    </row>
    <row r="1685" spans="1:1" x14ac:dyDescent="0.3">
      <c r="A1685" s="36"/>
    </row>
    <row r="1686" spans="1:1" x14ac:dyDescent="0.3">
      <c r="A1686" s="36"/>
    </row>
    <row r="1687" spans="1:1" x14ac:dyDescent="0.3">
      <c r="A1687" s="36"/>
    </row>
    <row r="1688" spans="1:1" x14ac:dyDescent="0.3">
      <c r="A1688" s="36"/>
    </row>
    <row r="1689" spans="1:1" x14ac:dyDescent="0.3">
      <c r="A1689" s="36"/>
    </row>
    <row r="1690" spans="1:1" x14ac:dyDescent="0.3">
      <c r="A1690" s="36"/>
    </row>
    <row r="1691" spans="1:1" x14ac:dyDescent="0.3">
      <c r="A1691" s="36"/>
    </row>
    <row r="1692" spans="1:1" x14ac:dyDescent="0.3">
      <c r="A1692" s="36"/>
    </row>
    <row r="1693" spans="1:1" x14ac:dyDescent="0.3">
      <c r="A1693" s="36"/>
    </row>
    <row r="1694" spans="1:1" x14ac:dyDescent="0.3">
      <c r="A1694" s="36"/>
    </row>
    <row r="1695" spans="1:1" x14ac:dyDescent="0.3">
      <c r="A1695" s="36"/>
    </row>
    <row r="1696" spans="1:1" x14ac:dyDescent="0.3">
      <c r="A1696" s="36"/>
    </row>
    <row r="1697" spans="1:1" x14ac:dyDescent="0.3">
      <c r="A1697" s="36"/>
    </row>
    <row r="1698" spans="1:1" x14ac:dyDescent="0.3">
      <c r="A1698" s="36"/>
    </row>
    <row r="1699" spans="1:1" x14ac:dyDescent="0.3">
      <c r="A1699" s="36"/>
    </row>
    <row r="1700" spans="1:1" x14ac:dyDescent="0.3">
      <c r="A1700" s="36"/>
    </row>
    <row r="1701" spans="1:1" x14ac:dyDescent="0.3">
      <c r="A1701" s="36"/>
    </row>
    <row r="1702" spans="1:1" x14ac:dyDescent="0.3">
      <c r="A1702" s="36"/>
    </row>
    <row r="1703" spans="1:1" x14ac:dyDescent="0.3">
      <c r="A1703" s="36"/>
    </row>
    <row r="1704" spans="1:1" x14ac:dyDescent="0.3">
      <c r="A1704" s="36"/>
    </row>
    <row r="1705" spans="1:1" x14ac:dyDescent="0.3">
      <c r="A1705" s="36"/>
    </row>
    <row r="1706" spans="1:1" x14ac:dyDescent="0.3">
      <c r="A1706" s="36"/>
    </row>
    <row r="1707" spans="1:1" x14ac:dyDescent="0.3">
      <c r="A1707" s="36"/>
    </row>
    <row r="1708" spans="1:1" x14ac:dyDescent="0.3">
      <c r="A1708" s="36"/>
    </row>
    <row r="1709" spans="1:1" x14ac:dyDescent="0.3">
      <c r="A1709" s="36"/>
    </row>
    <row r="1710" spans="1:1" x14ac:dyDescent="0.3">
      <c r="A1710" s="36"/>
    </row>
    <row r="1711" spans="1:1" x14ac:dyDescent="0.3">
      <c r="A1711" s="36"/>
    </row>
    <row r="1712" spans="1:1" x14ac:dyDescent="0.3">
      <c r="A1712" s="36"/>
    </row>
    <row r="1713" spans="1:1" x14ac:dyDescent="0.3">
      <c r="A1713" s="36"/>
    </row>
    <row r="1714" spans="1:1" x14ac:dyDescent="0.3">
      <c r="A1714" s="36"/>
    </row>
    <row r="1715" spans="1:1" x14ac:dyDescent="0.3">
      <c r="A1715" s="36"/>
    </row>
    <row r="1716" spans="1:1" x14ac:dyDescent="0.3">
      <c r="A1716" s="36"/>
    </row>
    <row r="1717" spans="1:1" x14ac:dyDescent="0.3">
      <c r="A1717" s="36"/>
    </row>
    <row r="1718" spans="1:1" x14ac:dyDescent="0.3">
      <c r="A1718" s="36"/>
    </row>
    <row r="1719" spans="1:1" x14ac:dyDescent="0.3">
      <c r="A1719" s="36"/>
    </row>
    <row r="1720" spans="1:1" x14ac:dyDescent="0.3">
      <c r="A1720" s="36"/>
    </row>
    <row r="1721" spans="1:1" x14ac:dyDescent="0.3">
      <c r="A1721" s="36"/>
    </row>
    <row r="1722" spans="1:1" x14ac:dyDescent="0.3">
      <c r="A1722" s="36"/>
    </row>
    <row r="1723" spans="1:1" x14ac:dyDescent="0.3">
      <c r="A1723" s="36"/>
    </row>
    <row r="1724" spans="1:1" x14ac:dyDescent="0.3">
      <c r="A1724" s="36"/>
    </row>
    <row r="1725" spans="1:1" x14ac:dyDescent="0.3">
      <c r="A1725" s="36"/>
    </row>
    <row r="1726" spans="1:1" x14ac:dyDescent="0.3">
      <c r="A1726" s="36"/>
    </row>
    <row r="1727" spans="1:1" x14ac:dyDescent="0.3">
      <c r="A1727" s="36"/>
    </row>
    <row r="1728" spans="1:1" x14ac:dyDescent="0.3">
      <c r="A1728" s="36"/>
    </row>
    <row r="1729" spans="1:1" x14ac:dyDescent="0.3">
      <c r="A1729" s="36"/>
    </row>
    <row r="1730" spans="1:1" x14ac:dyDescent="0.3">
      <c r="A1730" s="36"/>
    </row>
    <row r="1731" spans="1:1" x14ac:dyDescent="0.3">
      <c r="A1731" s="36"/>
    </row>
    <row r="1732" spans="1:1" x14ac:dyDescent="0.3">
      <c r="A1732" s="36"/>
    </row>
    <row r="1733" spans="1:1" x14ac:dyDescent="0.3">
      <c r="A1733" s="36"/>
    </row>
    <row r="1734" spans="1:1" x14ac:dyDescent="0.3">
      <c r="A1734" s="36"/>
    </row>
    <row r="1735" spans="1:1" x14ac:dyDescent="0.3">
      <c r="A1735" s="36"/>
    </row>
    <row r="1736" spans="1:1" x14ac:dyDescent="0.3">
      <c r="A1736" s="36"/>
    </row>
    <row r="1737" spans="1:1" x14ac:dyDescent="0.3">
      <c r="A1737" s="36"/>
    </row>
    <row r="1738" spans="1:1" x14ac:dyDescent="0.3">
      <c r="A1738" s="36"/>
    </row>
    <row r="1739" spans="1:1" x14ac:dyDescent="0.3">
      <c r="A1739" s="36"/>
    </row>
    <row r="1740" spans="1:1" x14ac:dyDescent="0.3">
      <c r="A1740" s="36"/>
    </row>
    <row r="1741" spans="1:1" x14ac:dyDescent="0.3">
      <c r="A1741" s="36"/>
    </row>
    <row r="1742" spans="1:1" x14ac:dyDescent="0.3">
      <c r="A1742" s="36"/>
    </row>
    <row r="1743" spans="1:1" x14ac:dyDescent="0.3">
      <c r="A1743" s="36"/>
    </row>
    <row r="1744" spans="1:1" x14ac:dyDescent="0.3">
      <c r="A1744" s="36"/>
    </row>
    <row r="1745" spans="1:1" x14ac:dyDescent="0.3">
      <c r="A1745" s="36"/>
    </row>
    <row r="1746" spans="1:1" x14ac:dyDescent="0.3">
      <c r="A1746" s="36"/>
    </row>
    <row r="1747" spans="1:1" x14ac:dyDescent="0.3">
      <c r="A1747" s="36"/>
    </row>
    <row r="1748" spans="1:1" x14ac:dyDescent="0.3">
      <c r="A1748" s="36"/>
    </row>
    <row r="1749" spans="1:1" x14ac:dyDescent="0.3">
      <c r="A1749" s="36"/>
    </row>
    <row r="1750" spans="1:1" x14ac:dyDescent="0.3">
      <c r="A1750" s="36"/>
    </row>
    <row r="1751" spans="1:1" x14ac:dyDescent="0.3">
      <c r="A1751" s="36"/>
    </row>
    <row r="1752" spans="1:1" x14ac:dyDescent="0.3">
      <c r="A1752" s="36"/>
    </row>
    <row r="1753" spans="1:1" x14ac:dyDescent="0.3">
      <c r="A1753" s="36"/>
    </row>
    <row r="1754" spans="1:1" x14ac:dyDescent="0.3">
      <c r="A1754" s="36"/>
    </row>
    <row r="1755" spans="1:1" x14ac:dyDescent="0.3">
      <c r="A1755" s="36"/>
    </row>
    <row r="1756" spans="1:1" x14ac:dyDescent="0.3">
      <c r="A1756" s="36"/>
    </row>
    <row r="1757" spans="1:1" x14ac:dyDescent="0.3">
      <c r="A1757" s="36"/>
    </row>
    <row r="1758" spans="1:1" x14ac:dyDescent="0.3">
      <c r="A1758" s="36"/>
    </row>
    <row r="1759" spans="1:1" x14ac:dyDescent="0.3">
      <c r="A1759" s="36"/>
    </row>
    <row r="1760" spans="1:1" x14ac:dyDescent="0.3">
      <c r="A1760" s="36"/>
    </row>
    <row r="1761" spans="1:1" x14ac:dyDescent="0.3">
      <c r="A1761" s="36"/>
    </row>
    <row r="1762" spans="1:1" x14ac:dyDescent="0.3">
      <c r="A1762" s="36"/>
    </row>
    <row r="1763" spans="1:1" x14ac:dyDescent="0.3">
      <c r="A1763" s="36"/>
    </row>
    <row r="1764" spans="1:1" x14ac:dyDescent="0.3">
      <c r="A1764" s="36"/>
    </row>
    <row r="1765" spans="1:1" x14ac:dyDescent="0.3">
      <c r="A1765" s="36"/>
    </row>
    <row r="1766" spans="1:1" x14ac:dyDescent="0.3">
      <c r="A1766" s="36"/>
    </row>
    <row r="1767" spans="1:1" x14ac:dyDescent="0.3">
      <c r="A1767" s="36"/>
    </row>
    <row r="1768" spans="1:1" x14ac:dyDescent="0.3">
      <c r="A1768" s="36"/>
    </row>
    <row r="1769" spans="1:1" x14ac:dyDescent="0.3">
      <c r="A1769" s="36"/>
    </row>
    <row r="1770" spans="1:1" x14ac:dyDescent="0.3">
      <c r="A1770" s="36"/>
    </row>
    <row r="1771" spans="1:1" x14ac:dyDescent="0.3">
      <c r="A1771" s="36"/>
    </row>
    <row r="1772" spans="1:1" x14ac:dyDescent="0.3">
      <c r="A1772" s="36"/>
    </row>
    <row r="1773" spans="1:1" x14ac:dyDescent="0.3">
      <c r="A1773" s="36"/>
    </row>
    <row r="1774" spans="1:1" x14ac:dyDescent="0.3">
      <c r="A1774" s="36"/>
    </row>
    <row r="1775" spans="1:1" x14ac:dyDescent="0.3">
      <c r="A1775" s="36"/>
    </row>
    <row r="1776" spans="1:1" x14ac:dyDescent="0.3">
      <c r="A1776" s="36"/>
    </row>
    <row r="1777" spans="1:1" x14ac:dyDescent="0.3">
      <c r="A1777" s="36"/>
    </row>
    <row r="1778" spans="1:1" x14ac:dyDescent="0.3">
      <c r="A1778" s="36"/>
    </row>
    <row r="1779" spans="1:1" x14ac:dyDescent="0.3">
      <c r="A1779" s="36"/>
    </row>
    <row r="1780" spans="1:1" x14ac:dyDescent="0.3">
      <c r="A1780" s="36"/>
    </row>
    <row r="1781" spans="1:1" x14ac:dyDescent="0.3">
      <c r="A1781" s="36"/>
    </row>
    <row r="1782" spans="1:1" x14ac:dyDescent="0.3">
      <c r="A1782" s="36"/>
    </row>
    <row r="1783" spans="1:1" x14ac:dyDescent="0.3">
      <c r="A1783" s="36"/>
    </row>
    <row r="1784" spans="1:1" x14ac:dyDescent="0.3">
      <c r="A1784" s="36"/>
    </row>
    <row r="1785" spans="1:1" x14ac:dyDescent="0.3">
      <c r="A1785" s="36"/>
    </row>
    <row r="1786" spans="1:1" x14ac:dyDescent="0.3">
      <c r="A1786" s="36"/>
    </row>
    <row r="1787" spans="1:1" x14ac:dyDescent="0.3">
      <c r="A1787" s="36"/>
    </row>
    <row r="1788" spans="1:1" x14ac:dyDescent="0.3">
      <c r="A1788" s="36"/>
    </row>
    <row r="1789" spans="1:1" x14ac:dyDescent="0.3">
      <c r="A1789" s="36"/>
    </row>
    <row r="1790" spans="1:1" x14ac:dyDescent="0.3">
      <c r="A1790" s="36"/>
    </row>
    <row r="1791" spans="1:1" x14ac:dyDescent="0.3">
      <c r="A1791" s="36"/>
    </row>
    <row r="1792" spans="1:1" x14ac:dyDescent="0.3">
      <c r="A1792" s="36"/>
    </row>
    <row r="1793" spans="1:1" x14ac:dyDescent="0.3">
      <c r="A1793" s="36"/>
    </row>
    <row r="1794" spans="1:1" x14ac:dyDescent="0.3">
      <c r="A1794" s="36"/>
    </row>
    <row r="1795" spans="1:1" x14ac:dyDescent="0.3">
      <c r="A1795" s="36"/>
    </row>
    <row r="1796" spans="1:1" x14ac:dyDescent="0.3">
      <c r="A1796" s="36"/>
    </row>
    <row r="1797" spans="1:1" x14ac:dyDescent="0.3">
      <c r="A1797" s="36"/>
    </row>
    <row r="1798" spans="1:1" x14ac:dyDescent="0.3">
      <c r="A1798" s="36"/>
    </row>
    <row r="1799" spans="1:1" x14ac:dyDescent="0.3">
      <c r="A1799" s="36"/>
    </row>
    <row r="1800" spans="1:1" x14ac:dyDescent="0.3">
      <c r="A1800" s="36"/>
    </row>
    <row r="1801" spans="1:1" x14ac:dyDescent="0.3">
      <c r="A1801" s="36"/>
    </row>
    <row r="1802" spans="1:1" x14ac:dyDescent="0.3">
      <c r="A1802" s="36"/>
    </row>
    <row r="1803" spans="1:1" x14ac:dyDescent="0.3">
      <c r="A1803" s="36"/>
    </row>
    <row r="1804" spans="1:1" x14ac:dyDescent="0.3">
      <c r="A1804" s="36"/>
    </row>
    <row r="1805" spans="1:1" x14ac:dyDescent="0.3">
      <c r="A1805" s="36"/>
    </row>
    <row r="1806" spans="1:1" x14ac:dyDescent="0.3">
      <c r="A1806" s="36"/>
    </row>
    <row r="1807" spans="1:1" x14ac:dyDescent="0.3">
      <c r="A1807" s="36"/>
    </row>
    <row r="1808" spans="1:1" x14ac:dyDescent="0.3">
      <c r="A1808" s="36"/>
    </row>
    <row r="1809" spans="1:1" x14ac:dyDescent="0.3">
      <c r="A1809" s="36"/>
    </row>
    <row r="1810" spans="1:1" x14ac:dyDescent="0.3">
      <c r="A1810" s="36"/>
    </row>
    <row r="1811" spans="1:1" x14ac:dyDescent="0.3">
      <c r="A1811" s="36"/>
    </row>
    <row r="1812" spans="1:1" x14ac:dyDescent="0.3">
      <c r="A1812" s="36"/>
    </row>
    <row r="1813" spans="1:1" x14ac:dyDescent="0.3">
      <c r="A1813" s="36"/>
    </row>
    <row r="1814" spans="1:1" x14ac:dyDescent="0.3">
      <c r="A1814" s="36"/>
    </row>
    <row r="1815" spans="1:1" x14ac:dyDescent="0.3">
      <c r="A1815" s="36"/>
    </row>
    <row r="1816" spans="1:1" x14ac:dyDescent="0.3">
      <c r="A1816" s="36"/>
    </row>
    <row r="1817" spans="1:1" x14ac:dyDescent="0.3">
      <c r="A1817" s="36"/>
    </row>
    <row r="1818" spans="1:1" x14ac:dyDescent="0.3">
      <c r="A1818" s="36"/>
    </row>
    <row r="1819" spans="1:1" x14ac:dyDescent="0.3">
      <c r="A1819" s="36"/>
    </row>
    <row r="1820" spans="1:1" x14ac:dyDescent="0.3">
      <c r="A1820" s="36"/>
    </row>
    <row r="1821" spans="1:1" x14ac:dyDescent="0.3">
      <c r="A1821" s="36"/>
    </row>
    <row r="1822" spans="1:1" x14ac:dyDescent="0.3">
      <c r="A1822" s="36"/>
    </row>
    <row r="1823" spans="1:1" x14ac:dyDescent="0.3">
      <c r="A1823" s="36"/>
    </row>
    <row r="1824" spans="1:1" x14ac:dyDescent="0.3">
      <c r="A1824" s="36"/>
    </row>
    <row r="1825" spans="1:1" x14ac:dyDescent="0.3">
      <c r="A1825" s="36"/>
    </row>
    <row r="1826" spans="1:1" x14ac:dyDescent="0.3">
      <c r="A1826" s="36"/>
    </row>
    <row r="1827" spans="1:1" x14ac:dyDescent="0.3">
      <c r="A1827" s="36"/>
    </row>
    <row r="1828" spans="1:1" x14ac:dyDescent="0.3">
      <c r="A1828" s="36"/>
    </row>
    <row r="1829" spans="1:1" x14ac:dyDescent="0.3">
      <c r="A1829" s="36"/>
    </row>
    <row r="1830" spans="1:1" x14ac:dyDescent="0.3">
      <c r="A1830" s="36"/>
    </row>
    <row r="1831" spans="1:1" x14ac:dyDescent="0.3">
      <c r="A1831" s="36"/>
    </row>
    <row r="1832" spans="1:1" x14ac:dyDescent="0.3">
      <c r="A1832" s="36"/>
    </row>
    <row r="1833" spans="1:1" x14ac:dyDescent="0.3">
      <c r="A1833" s="36"/>
    </row>
    <row r="1834" spans="1:1" x14ac:dyDescent="0.3">
      <c r="A1834" s="36"/>
    </row>
    <row r="1835" spans="1:1" x14ac:dyDescent="0.3">
      <c r="A1835" s="36"/>
    </row>
    <row r="1836" spans="1:1" x14ac:dyDescent="0.3">
      <c r="A1836" s="36"/>
    </row>
    <row r="1837" spans="1:1" x14ac:dyDescent="0.3">
      <c r="A1837" s="36"/>
    </row>
    <row r="1838" spans="1:1" x14ac:dyDescent="0.3">
      <c r="A1838" s="36"/>
    </row>
    <row r="1839" spans="1:1" x14ac:dyDescent="0.3">
      <c r="A1839" s="36"/>
    </row>
    <row r="1840" spans="1:1" x14ac:dyDescent="0.3">
      <c r="A1840" s="36"/>
    </row>
    <row r="1841" spans="1:1" x14ac:dyDescent="0.3">
      <c r="A1841" s="36"/>
    </row>
    <row r="1842" spans="1:1" x14ac:dyDescent="0.3">
      <c r="A1842" s="36"/>
    </row>
    <row r="1843" spans="1:1" x14ac:dyDescent="0.3">
      <c r="A1843" s="36"/>
    </row>
    <row r="1844" spans="1:1" x14ac:dyDescent="0.3">
      <c r="A1844" s="36"/>
    </row>
    <row r="1845" spans="1:1" x14ac:dyDescent="0.3">
      <c r="A1845" s="36"/>
    </row>
    <row r="1846" spans="1:1" x14ac:dyDescent="0.3">
      <c r="A1846" s="36"/>
    </row>
    <row r="1847" spans="1:1" x14ac:dyDescent="0.3">
      <c r="A1847" s="36"/>
    </row>
    <row r="1848" spans="1:1" x14ac:dyDescent="0.3">
      <c r="A1848" s="36"/>
    </row>
    <row r="1849" spans="1:1" x14ac:dyDescent="0.3">
      <c r="A1849" s="36"/>
    </row>
    <row r="1850" spans="1:1" x14ac:dyDescent="0.3">
      <c r="A1850" s="36"/>
    </row>
    <row r="1851" spans="1:1" x14ac:dyDescent="0.3">
      <c r="A1851" s="36"/>
    </row>
    <row r="1852" spans="1:1" x14ac:dyDescent="0.3">
      <c r="A1852" s="36"/>
    </row>
    <row r="1853" spans="1:1" x14ac:dyDescent="0.3">
      <c r="A1853" s="36"/>
    </row>
    <row r="1854" spans="1:1" x14ac:dyDescent="0.3">
      <c r="A1854" s="36"/>
    </row>
    <row r="1855" spans="1:1" x14ac:dyDescent="0.3">
      <c r="A1855" s="36"/>
    </row>
    <row r="1856" spans="1:1" x14ac:dyDescent="0.3">
      <c r="A1856" s="36"/>
    </row>
    <row r="1857" spans="1:1" x14ac:dyDescent="0.3">
      <c r="A1857" s="36"/>
    </row>
    <row r="1858" spans="1:1" x14ac:dyDescent="0.3">
      <c r="A1858" s="36"/>
    </row>
    <row r="1859" spans="1:1" x14ac:dyDescent="0.3">
      <c r="A1859" s="36"/>
    </row>
    <row r="1860" spans="1:1" x14ac:dyDescent="0.3">
      <c r="A1860" s="36"/>
    </row>
    <row r="1861" spans="1:1" x14ac:dyDescent="0.3">
      <c r="A1861" s="36"/>
    </row>
    <row r="1862" spans="1:1" x14ac:dyDescent="0.3">
      <c r="A1862" s="36"/>
    </row>
    <row r="1863" spans="1:1" x14ac:dyDescent="0.3">
      <c r="A1863" s="36"/>
    </row>
    <row r="1864" spans="1:1" x14ac:dyDescent="0.3">
      <c r="A1864" s="36"/>
    </row>
    <row r="1865" spans="1:1" x14ac:dyDescent="0.3">
      <c r="A1865" s="36"/>
    </row>
    <row r="1866" spans="1:1" x14ac:dyDescent="0.3">
      <c r="A1866" s="36"/>
    </row>
    <row r="1867" spans="1:1" x14ac:dyDescent="0.3">
      <c r="A1867" s="36"/>
    </row>
    <row r="1868" spans="1:1" x14ac:dyDescent="0.3">
      <c r="A1868" s="36"/>
    </row>
    <row r="1869" spans="1:1" x14ac:dyDescent="0.3">
      <c r="A1869" s="36"/>
    </row>
    <row r="1870" spans="1:1" x14ac:dyDescent="0.3">
      <c r="A1870" s="36"/>
    </row>
    <row r="1871" spans="1:1" x14ac:dyDescent="0.3">
      <c r="A1871" s="36"/>
    </row>
    <row r="1872" spans="1:1" x14ac:dyDescent="0.3">
      <c r="A1872" s="36"/>
    </row>
    <row r="1873" spans="1:1" x14ac:dyDescent="0.3">
      <c r="A1873" s="36"/>
    </row>
    <row r="1874" spans="1:1" x14ac:dyDescent="0.3">
      <c r="A1874" s="36"/>
    </row>
    <row r="1875" spans="1:1" x14ac:dyDescent="0.3">
      <c r="A1875" s="36"/>
    </row>
    <row r="1876" spans="1:1" x14ac:dyDescent="0.3">
      <c r="A1876" s="36"/>
    </row>
    <row r="1877" spans="1:1" x14ac:dyDescent="0.3">
      <c r="A1877" s="36"/>
    </row>
    <row r="1878" spans="1:1" x14ac:dyDescent="0.3">
      <c r="A1878" s="36"/>
    </row>
    <row r="1879" spans="1:1" x14ac:dyDescent="0.3">
      <c r="A1879" s="36"/>
    </row>
    <row r="1880" spans="1:1" x14ac:dyDescent="0.3">
      <c r="A1880" s="36"/>
    </row>
    <row r="1881" spans="1:1" x14ac:dyDescent="0.3">
      <c r="A1881" s="36"/>
    </row>
    <row r="1882" spans="1:1" x14ac:dyDescent="0.3">
      <c r="A1882" s="36"/>
    </row>
    <row r="1883" spans="1:1" x14ac:dyDescent="0.3">
      <c r="A1883" s="36"/>
    </row>
    <row r="1884" spans="1:1" x14ac:dyDescent="0.3">
      <c r="A1884" s="36"/>
    </row>
    <row r="1885" spans="1:1" x14ac:dyDescent="0.3">
      <c r="A1885" s="36"/>
    </row>
    <row r="1886" spans="1:1" x14ac:dyDescent="0.3">
      <c r="A1886" s="36"/>
    </row>
    <row r="1887" spans="1:1" x14ac:dyDescent="0.3">
      <c r="A1887" s="36"/>
    </row>
    <row r="1888" spans="1:1" x14ac:dyDescent="0.3">
      <c r="A1888" s="36"/>
    </row>
    <row r="1889" spans="1:1" x14ac:dyDescent="0.3">
      <c r="A1889" s="36"/>
    </row>
    <row r="1890" spans="1:1" x14ac:dyDescent="0.3">
      <c r="A1890" s="36"/>
    </row>
    <row r="1891" spans="1:1" x14ac:dyDescent="0.3">
      <c r="A1891" s="36"/>
    </row>
    <row r="1892" spans="1:1" x14ac:dyDescent="0.3">
      <c r="A1892" s="36"/>
    </row>
    <row r="1893" spans="1:1" x14ac:dyDescent="0.3">
      <c r="A1893" s="36"/>
    </row>
    <row r="1894" spans="1:1" x14ac:dyDescent="0.3">
      <c r="A1894" s="36"/>
    </row>
    <row r="1895" spans="1:1" x14ac:dyDescent="0.3">
      <c r="A1895" s="36"/>
    </row>
    <row r="1896" spans="1:1" x14ac:dyDescent="0.3">
      <c r="A1896" s="36"/>
    </row>
    <row r="1897" spans="1:1" x14ac:dyDescent="0.3">
      <c r="A1897" s="36"/>
    </row>
    <row r="1898" spans="1:1" x14ac:dyDescent="0.3">
      <c r="A1898" s="36"/>
    </row>
    <row r="1899" spans="1:1" x14ac:dyDescent="0.3">
      <c r="A1899" s="36"/>
    </row>
    <row r="1900" spans="1:1" x14ac:dyDescent="0.3">
      <c r="A1900" s="36"/>
    </row>
    <row r="1901" spans="1:1" x14ac:dyDescent="0.3">
      <c r="A1901" s="36"/>
    </row>
    <row r="1902" spans="1:1" x14ac:dyDescent="0.3">
      <c r="A1902" s="36"/>
    </row>
    <row r="1903" spans="1:1" x14ac:dyDescent="0.3">
      <c r="A1903" s="36"/>
    </row>
    <row r="1904" spans="1:1" x14ac:dyDescent="0.3">
      <c r="A1904" s="36"/>
    </row>
    <row r="1905" spans="1:1" x14ac:dyDescent="0.3">
      <c r="A1905" s="36"/>
    </row>
    <row r="1906" spans="1:1" x14ac:dyDescent="0.3">
      <c r="A1906" s="36"/>
    </row>
    <row r="1907" spans="1:1" x14ac:dyDescent="0.3">
      <c r="A1907" s="36"/>
    </row>
    <row r="1908" spans="1:1" x14ac:dyDescent="0.3">
      <c r="A1908" s="36"/>
    </row>
    <row r="1909" spans="1:1" x14ac:dyDescent="0.3">
      <c r="A1909" s="36"/>
    </row>
    <row r="1910" spans="1:1" x14ac:dyDescent="0.3">
      <c r="A1910" s="36"/>
    </row>
    <row r="1911" spans="1:1" x14ac:dyDescent="0.3">
      <c r="A1911" s="36"/>
    </row>
    <row r="1912" spans="1:1" x14ac:dyDescent="0.3">
      <c r="A1912" s="36"/>
    </row>
    <row r="1913" spans="1:1" x14ac:dyDescent="0.3">
      <c r="A1913" s="36"/>
    </row>
    <row r="1914" spans="1:1" x14ac:dyDescent="0.3">
      <c r="A1914" s="36"/>
    </row>
    <row r="1915" spans="1:1" x14ac:dyDescent="0.3">
      <c r="A1915" s="36"/>
    </row>
    <row r="1916" spans="1:1" x14ac:dyDescent="0.3">
      <c r="A1916" s="36"/>
    </row>
    <row r="1917" spans="1:1" x14ac:dyDescent="0.3">
      <c r="A1917" s="36"/>
    </row>
    <row r="1918" spans="1:1" x14ac:dyDescent="0.3">
      <c r="A1918" s="36"/>
    </row>
    <row r="1919" spans="1:1" x14ac:dyDescent="0.3">
      <c r="A1919" s="36"/>
    </row>
    <row r="1920" spans="1:1" x14ac:dyDescent="0.3">
      <c r="A1920" s="36"/>
    </row>
    <row r="1921" spans="1:1" x14ac:dyDescent="0.3">
      <c r="A1921" s="36"/>
    </row>
    <row r="1922" spans="1:1" x14ac:dyDescent="0.3">
      <c r="A1922" s="36"/>
    </row>
    <row r="1923" spans="1:1" x14ac:dyDescent="0.3">
      <c r="A1923" s="36"/>
    </row>
    <row r="1924" spans="1:1" x14ac:dyDescent="0.3">
      <c r="A1924" s="36"/>
    </row>
    <row r="1925" spans="1:1" x14ac:dyDescent="0.3">
      <c r="A1925" s="36"/>
    </row>
    <row r="1926" spans="1:1" x14ac:dyDescent="0.3">
      <c r="A1926" s="36"/>
    </row>
    <row r="1927" spans="1:1" x14ac:dyDescent="0.3">
      <c r="A1927" s="36"/>
    </row>
    <row r="1928" spans="1:1" x14ac:dyDescent="0.3">
      <c r="A1928" s="36"/>
    </row>
    <row r="1929" spans="1:1" x14ac:dyDescent="0.3">
      <c r="A1929" s="36"/>
    </row>
    <row r="1930" spans="1:1" x14ac:dyDescent="0.3">
      <c r="A1930" s="36"/>
    </row>
    <row r="1931" spans="1:1" x14ac:dyDescent="0.3">
      <c r="A1931" s="36"/>
    </row>
    <row r="1932" spans="1:1" x14ac:dyDescent="0.3">
      <c r="A1932" s="36"/>
    </row>
    <row r="1933" spans="1:1" x14ac:dyDescent="0.3">
      <c r="A1933" s="36"/>
    </row>
    <row r="1934" spans="1:1" x14ac:dyDescent="0.3">
      <c r="A1934" s="36"/>
    </row>
    <row r="1935" spans="1:1" x14ac:dyDescent="0.3">
      <c r="A1935" s="36"/>
    </row>
    <row r="1936" spans="1:1" x14ac:dyDescent="0.3">
      <c r="A1936" s="36"/>
    </row>
    <row r="1937" spans="1:1" x14ac:dyDescent="0.3">
      <c r="A1937" s="36"/>
    </row>
    <row r="1938" spans="1:1" x14ac:dyDescent="0.3">
      <c r="A1938" s="36"/>
    </row>
    <row r="1939" spans="1:1" x14ac:dyDescent="0.3">
      <c r="A1939" s="36"/>
    </row>
    <row r="1940" spans="1:1" x14ac:dyDescent="0.3">
      <c r="A1940" s="36"/>
    </row>
    <row r="1941" spans="1:1" x14ac:dyDescent="0.3">
      <c r="A1941" s="36"/>
    </row>
    <row r="1942" spans="1:1" x14ac:dyDescent="0.3">
      <c r="A1942" s="36"/>
    </row>
    <row r="1943" spans="1:1" x14ac:dyDescent="0.3">
      <c r="A1943" s="36"/>
    </row>
    <row r="1944" spans="1:1" x14ac:dyDescent="0.3">
      <c r="A1944" s="36"/>
    </row>
    <row r="1945" spans="1:1" x14ac:dyDescent="0.3">
      <c r="A1945" s="36"/>
    </row>
    <row r="1946" spans="1:1" x14ac:dyDescent="0.3">
      <c r="A1946" s="36"/>
    </row>
    <row r="1947" spans="1:1" x14ac:dyDescent="0.3">
      <c r="A1947" s="36"/>
    </row>
    <row r="1948" spans="1:1" x14ac:dyDescent="0.3">
      <c r="A1948" s="36"/>
    </row>
    <row r="1949" spans="1:1" x14ac:dyDescent="0.3">
      <c r="A1949" s="36"/>
    </row>
    <row r="1950" spans="1:1" x14ac:dyDescent="0.3">
      <c r="A1950" s="36"/>
    </row>
    <row r="1951" spans="1:1" x14ac:dyDescent="0.3">
      <c r="A1951" s="36"/>
    </row>
    <row r="1952" spans="1:1" x14ac:dyDescent="0.3">
      <c r="A1952" s="36"/>
    </row>
    <row r="1953" spans="1:1" x14ac:dyDescent="0.3">
      <c r="A1953" s="36"/>
    </row>
    <row r="1954" spans="1:1" x14ac:dyDescent="0.3">
      <c r="A1954" s="36"/>
    </row>
    <row r="1955" spans="1:1" x14ac:dyDescent="0.3">
      <c r="A1955" s="36"/>
    </row>
    <row r="1956" spans="1:1" x14ac:dyDescent="0.3">
      <c r="A1956" s="36"/>
    </row>
    <row r="1957" spans="1:1" x14ac:dyDescent="0.3">
      <c r="A1957" s="36"/>
    </row>
    <row r="1958" spans="1:1" x14ac:dyDescent="0.3">
      <c r="A1958" s="36"/>
    </row>
    <row r="1959" spans="1:1" x14ac:dyDescent="0.3">
      <c r="A1959" s="36"/>
    </row>
    <row r="1960" spans="1:1" x14ac:dyDescent="0.3">
      <c r="A1960" s="36"/>
    </row>
    <row r="1961" spans="1:1" x14ac:dyDescent="0.3">
      <c r="A1961" s="36"/>
    </row>
    <row r="1962" spans="1:1" x14ac:dyDescent="0.3">
      <c r="A1962" s="36"/>
    </row>
    <row r="1963" spans="1:1" x14ac:dyDescent="0.3">
      <c r="A1963" s="36"/>
    </row>
    <row r="1964" spans="1:1" x14ac:dyDescent="0.3">
      <c r="A1964" s="36"/>
    </row>
    <row r="1965" spans="1:1" x14ac:dyDescent="0.3">
      <c r="A1965" s="36"/>
    </row>
    <row r="1966" spans="1:1" x14ac:dyDescent="0.3">
      <c r="A1966" s="36"/>
    </row>
    <row r="1967" spans="1:1" x14ac:dyDescent="0.3">
      <c r="A1967" s="36"/>
    </row>
    <row r="1968" spans="1:1" x14ac:dyDescent="0.3">
      <c r="A1968" s="36"/>
    </row>
    <row r="1969" spans="1:1" x14ac:dyDescent="0.3">
      <c r="A1969" s="36"/>
    </row>
    <row r="1970" spans="1:1" x14ac:dyDescent="0.3">
      <c r="A1970" s="36"/>
    </row>
    <row r="1971" spans="1:1" x14ac:dyDescent="0.3">
      <c r="A1971" s="36"/>
    </row>
    <row r="1972" spans="1:1" x14ac:dyDescent="0.3">
      <c r="A1972" s="36"/>
    </row>
    <row r="1973" spans="1:1" x14ac:dyDescent="0.3">
      <c r="A1973" s="36"/>
    </row>
    <row r="1974" spans="1:1" x14ac:dyDescent="0.3">
      <c r="A1974" s="36"/>
    </row>
    <row r="1975" spans="1:1" x14ac:dyDescent="0.3">
      <c r="A1975" s="36"/>
    </row>
    <row r="1976" spans="1:1" x14ac:dyDescent="0.3">
      <c r="A1976" s="36"/>
    </row>
    <row r="1977" spans="1:1" x14ac:dyDescent="0.3">
      <c r="A1977" s="36"/>
    </row>
    <row r="1978" spans="1:1" x14ac:dyDescent="0.3">
      <c r="A1978" s="36"/>
    </row>
    <row r="1979" spans="1:1" x14ac:dyDescent="0.3">
      <c r="A1979" s="36"/>
    </row>
    <row r="1980" spans="1:1" x14ac:dyDescent="0.3">
      <c r="A1980" s="36"/>
    </row>
    <row r="1981" spans="1:1" x14ac:dyDescent="0.3">
      <c r="A1981" s="36"/>
    </row>
    <row r="1982" spans="1:1" x14ac:dyDescent="0.3">
      <c r="A1982" s="36"/>
    </row>
    <row r="1983" spans="1:1" x14ac:dyDescent="0.3">
      <c r="A1983" s="36"/>
    </row>
    <row r="1984" spans="1:1" x14ac:dyDescent="0.3">
      <c r="A1984" s="36"/>
    </row>
    <row r="1985" spans="1:1" x14ac:dyDescent="0.3">
      <c r="A1985" s="36"/>
    </row>
    <row r="1986" spans="1:1" x14ac:dyDescent="0.3">
      <c r="A1986" s="36"/>
    </row>
    <row r="1987" spans="1:1" x14ac:dyDescent="0.3">
      <c r="A1987" s="36"/>
    </row>
    <row r="1988" spans="1:1" x14ac:dyDescent="0.3">
      <c r="A1988" s="36"/>
    </row>
    <row r="1989" spans="1:1" x14ac:dyDescent="0.3">
      <c r="A1989" s="36"/>
    </row>
    <row r="1990" spans="1:1" x14ac:dyDescent="0.3">
      <c r="A1990" s="36"/>
    </row>
    <row r="1991" spans="1:1" x14ac:dyDescent="0.3">
      <c r="A1991" s="36"/>
    </row>
    <row r="1992" spans="1:1" x14ac:dyDescent="0.3">
      <c r="A1992" s="36"/>
    </row>
    <row r="1993" spans="1:1" x14ac:dyDescent="0.3">
      <c r="A1993" s="36"/>
    </row>
    <row r="1994" spans="1:1" x14ac:dyDescent="0.3">
      <c r="A1994" s="36"/>
    </row>
    <row r="1995" spans="1:1" x14ac:dyDescent="0.3">
      <c r="A1995" s="36"/>
    </row>
    <row r="1996" spans="1:1" x14ac:dyDescent="0.3">
      <c r="A1996" s="36"/>
    </row>
    <row r="1997" spans="1:1" x14ac:dyDescent="0.3">
      <c r="A1997" s="36"/>
    </row>
    <row r="1998" spans="1:1" x14ac:dyDescent="0.3">
      <c r="A1998" s="36"/>
    </row>
    <row r="1999" spans="1:1" x14ac:dyDescent="0.3">
      <c r="A1999" s="36"/>
    </row>
    <row r="2000" spans="1:1" x14ac:dyDescent="0.3">
      <c r="A2000" s="36"/>
    </row>
    <row r="2001" spans="1:1" x14ac:dyDescent="0.3">
      <c r="A2001" s="36"/>
    </row>
    <row r="2002" spans="1:1" x14ac:dyDescent="0.3">
      <c r="A2002" s="36"/>
    </row>
    <row r="2003" spans="1:1" x14ac:dyDescent="0.3">
      <c r="A2003" s="36"/>
    </row>
    <row r="2004" spans="1:1" x14ac:dyDescent="0.3">
      <c r="A2004" s="36"/>
    </row>
    <row r="2005" spans="1:1" x14ac:dyDescent="0.3">
      <c r="A2005" s="36"/>
    </row>
    <row r="2006" spans="1:1" x14ac:dyDescent="0.3">
      <c r="A2006" s="36"/>
    </row>
    <row r="2007" spans="1:1" x14ac:dyDescent="0.3">
      <c r="A2007" s="36"/>
    </row>
    <row r="2008" spans="1:1" x14ac:dyDescent="0.3">
      <c r="A2008" s="36"/>
    </row>
    <row r="2009" spans="1:1" x14ac:dyDescent="0.3">
      <c r="A2009" s="36"/>
    </row>
    <row r="2010" spans="1:1" x14ac:dyDescent="0.3">
      <c r="A2010" s="36"/>
    </row>
    <row r="2011" spans="1:1" x14ac:dyDescent="0.3">
      <c r="A2011" s="36"/>
    </row>
    <row r="2012" spans="1:1" x14ac:dyDescent="0.3">
      <c r="A2012" s="36"/>
    </row>
    <row r="2013" spans="1:1" x14ac:dyDescent="0.3">
      <c r="A2013" s="36"/>
    </row>
    <row r="2014" spans="1:1" x14ac:dyDescent="0.3">
      <c r="A2014" s="36"/>
    </row>
    <row r="2015" spans="1:1" x14ac:dyDescent="0.3">
      <c r="A2015" s="36"/>
    </row>
    <row r="2016" spans="1:1" x14ac:dyDescent="0.3">
      <c r="A2016" s="36"/>
    </row>
    <row r="2017" spans="1:1" x14ac:dyDescent="0.3">
      <c r="A2017" s="36"/>
    </row>
    <row r="2018" spans="1:1" x14ac:dyDescent="0.3">
      <c r="A2018" s="36"/>
    </row>
    <row r="2019" spans="1:1" x14ac:dyDescent="0.3">
      <c r="A2019" s="36"/>
    </row>
    <row r="2020" spans="1:1" x14ac:dyDescent="0.3">
      <c r="A2020" s="36"/>
    </row>
    <row r="2021" spans="1:1" x14ac:dyDescent="0.3">
      <c r="A2021" s="36"/>
    </row>
    <row r="2022" spans="1:1" x14ac:dyDescent="0.3">
      <c r="A2022" s="36"/>
    </row>
    <row r="2023" spans="1:1" x14ac:dyDescent="0.3">
      <c r="A2023" s="36"/>
    </row>
    <row r="2024" spans="1:1" x14ac:dyDescent="0.3">
      <c r="A2024" s="36"/>
    </row>
    <row r="2025" spans="1:1" x14ac:dyDescent="0.3">
      <c r="A2025" s="36"/>
    </row>
    <row r="2026" spans="1:1" x14ac:dyDescent="0.3">
      <c r="A2026" s="36"/>
    </row>
    <row r="2027" spans="1:1" x14ac:dyDescent="0.3">
      <c r="A2027" s="36"/>
    </row>
    <row r="2028" spans="1:1" x14ac:dyDescent="0.3">
      <c r="A2028" s="36"/>
    </row>
    <row r="2029" spans="1:1" x14ac:dyDescent="0.3">
      <c r="A2029" s="36"/>
    </row>
    <row r="2030" spans="1:1" x14ac:dyDescent="0.3">
      <c r="A2030" s="36"/>
    </row>
    <row r="2031" spans="1:1" x14ac:dyDescent="0.3">
      <c r="A2031" s="36"/>
    </row>
    <row r="2032" spans="1:1" x14ac:dyDescent="0.3">
      <c r="A2032" s="36"/>
    </row>
    <row r="2033" spans="1:1" x14ac:dyDescent="0.3">
      <c r="A2033" s="36"/>
    </row>
    <row r="2034" spans="1:1" x14ac:dyDescent="0.3">
      <c r="A2034" s="36"/>
    </row>
    <row r="2035" spans="1:1" x14ac:dyDescent="0.3">
      <c r="A2035" s="36"/>
    </row>
    <row r="2036" spans="1:1" x14ac:dyDescent="0.3">
      <c r="A2036" s="36"/>
    </row>
    <row r="2037" spans="1:1" x14ac:dyDescent="0.3">
      <c r="A2037" s="36"/>
    </row>
    <row r="2038" spans="1:1" x14ac:dyDescent="0.3">
      <c r="A2038" s="36"/>
    </row>
    <row r="2039" spans="1:1" x14ac:dyDescent="0.3">
      <c r="A2039" s="36"/>
    </row>
    <row r="2040" spans="1:1" x14ac:dyDescent="0.3">
      <c r="A2040" s="36"/>
    </row>
    <row r="2041" spans="1:1" x14ac:dyDescent="0.3">
      <c r="A2041" s="36"/>
    </row>
    <row r="2042" spans="1:1" x14ac:dyDescent="0.3">
      <c r="A2042" s="36"/>
    </row>
    <row r="2043" spans="1:1" x14ac:dyDescent="0.3">
      <c r="A2043" s="36"/>
    </row>
    <row r="2044" spans="1:1" x14ac:dyDescent="0.3">
      <c r="A2044" s="36"/>
    </row>
    <row r="2045" spans="1:1" x14ac:dyDescent="0.3">
      <c r="A2045" s="36"/>
    </row>
    <row r="2046" spans="1:1" x14ac:dyDescent="0.3">
      <c r="A2046" s="36"/>
    </row>
    <row r="2047" spans="1:1" x14ac:dyDescent="0.3">
      <c r="A2047" s="36"/>
    </row>
    <row r="2048" spans="1:1" x14ac:dyDescent="0.3">
      <c r="A2048" s="36"/>
    </row>
    <row r="2049" spans="1:1" x14ac:dyDescent="0.3">
      <c r="A2049" s="36"/>
    </row>
    <row r="2050" spans="1:1" x14ac:dyDescent="0.3">
      <c r="A2050" s="36"/>
    </row>
    <row r="2051" spans="1:1" x14ac:dyDescent="0.3">
      <c r="A2051" s="36"/>
    </row>
    <row r="2052" spans="1:1" x14ac:dyDescent="0.3">
      <c r="A2052" s="36"/>
    </row>
    <row r="2053" spans="1:1" x14ac:dyDescent="0.3">
      <c r="A2053" s="36"/>
    </row>
    <row r="2054" spans="1:1" x14ac:dyDescent="0.3">
      <c r="A2054" s="36"/>
    </row>
    <row r="2055" spans="1:1" x14ac:dyDescent="0.3">
      <c r="A2055" s="36"/>
    </row>
    <row r="2056" spans="1:1" x14ac:dyDescent="0.3">
      <c r="A2056" s="36"/>
    </row>
    <row r="2057" spans="1:1" x14ac:dyDescent="0.3">
      <c r="A2057" s="36"/>
    </row>
    <row r="2058" spans="1:1" x14ac:dyDescent="0.3">
      <c r="A2058" s="36"/>
    </row>
    <row r="2059" spans="1:1" x14ac:dyDescent="0.3">
      <c r="A2059" s="36"/>
    </row>
    <row r="2060" spans="1:1" x14ac:dyDescent="0.3">
      <c r="A2060" s="36"/>
    </row>
    <row r="2061" spans="1:1" x14ac:dyDescent="0.3">
      <c r="A2061" s="36"/>
    </row>
    <row r="2062" spans="1:1" x14ac:dyDescent="0.3">
      <c r="A2062" s="36"/>
    </row>
    <row r="2063" spans="1:1" x14ac:dyDescent="0.3">
      <c r="A2063" s="36"/>
    </row>
    <row r="2064" spans="1:1" x14ac:dyDescent="0.3">
      <c r="A2064" s="36"/>
    </row>
    <row r="2065" spans="1:1" x14ac:dyDescent="0.3">
      <c r="A2065" s="36"/>
    </row>
    <row r="2066" spans="1:1" x14ac:dyDescent="0.3">
      <c r="A2066" s="36"/>
    </row>
    <row r="2067" spans="1:1" x14ac:dyDescent="0.3">
      <c r="A2067" s="36"/>
    </row>
    <row r="2068" spans="1:1" x14ac:dyDescent="0.3">
      <c r="A2068" s="36"/>
    </row>
    <row r="2069" spans="1:1" x14ac:dyDescent="0.3">
      <c r="A2069" s="36"/>
    </row>
    <row r="2070" spans="1:1" x14ac:dyDescent="0.3">
      <c r="A2070" s="36"/>
    </row>
    <row r="2071" spans="1:1" x14ac:dyDescent="0.3">
      <c r="A2071" s="36"/>
    </row>
    <row r="2072" spans="1:1" x14ac:dyDescent="0.3">
      <c r="A2072" s="36"/>
    </row>
    <row r="2073" spans="1:1" x14ac:dyDescent="0.3">
      <c r="A2073" s="36"/>
    </row>
    <row r="2074" spans="1:1" x14ac:dyDescent="0.3">
      <c r="A2074" s="36"/>
    </row>
    <row r="2075" spans="1:1" x14ac:dyDescent="0.3">
      <c r="A2075" s="36"/>
    </row>
    <row r="2076" spans="1:1" x14ac:dyDescent="0.3">
      <c r="A2076" s="36"/>
    </row>
    <row r="2077" spans="1:1" x14ac:dyDescent="0.3">
      <c r="A2077" s="36"/>
    </row>
    <row r="2078" spans="1:1" x14ac:dyDescent="0.3">
      <c r="A2078" s="36"/>
    </row>
    <row r="2079" spans="1:1" x14ac:dyDescent="0.3">
      <c r="A2079" s="36"/>
    </row>
    <row r="2080" spans="1:1" x14ac:dyDescent="0.3">
      <c r="A2080" s="36"/>
    </row>
    <row r="2081" spans="1:1" x14ac:dyDescent="0.3">
      <c r="A2081" s="36"/>
    </row>
    <row r="2082" spans="1:1" x14ac:dyDescent="0.3">
      <c r="A2082" s="36"/>
    </row>
    <row r="2083" spans="1:1" x14ac:dyDescent="0.3">
      <c r="A2083" s="36"/>
    </row>
    <row r="2084" spans="1:1" x14ac:dyDescent="0.3">
      <c r="A2084" s="36"/>
    </row>
    <row r="2085" spans="1:1" x14ac:dyDescent="0.3">
      <c r="A2085" s="36"/>
    </row>
    <row r="2086" spans="1:1" x14ac:dyDescent="0.3">
      <c r="A2086" s="36"/>
    </row>
    <row r="2087" spans="1:1" x14ac:dyDescent="0.3">
      <c r="A2087" s="36"/>
    </row>
    <row r="2088" spans="1:1" x14ac:dyDescent="0.3">
      <c r="A2088" s="36"/>
    </row>
    <row r="2089" spans="1:1" x14ac:dyDescent="0.3">
      <c r="A2089" s="36"/>
    </row>
    <row r="2090" spans="1:1" x14ac:dyDescent="0.3">
      <c r="A2090" s="36"/>
    </row>
    <row r="2091" spans="1:1" x14ac:dyDescent="0.3">
      <c r="A2091" s="36"/>
    </row>
    <row r="2092" spans="1:1" x14ac:dyDescent="0.3">
      <c r="A2092" s="36"/>
    </row>
    <row r="2093" spans="1:1" x14ac:dyDescent="0.3">
      <c r="A2093" s="36"/>
    </row>
    <row r="2094" spans="1:1" x14ac:dyDescent="0.3">
      <c r="A2094" s="36"/>
    </row>
    <row r="2095" spans="1:1" x14ac:dyDescent="0.3">
      <c r="A2095" s="36"/>
    </row>
    <row r="2096" spans="1:1" x14ac:dyDescent="0.3">
      <c r="A2096" s="36"/>
    </row>
    <row r="2097" spans="1:1" x14ac:dyDescent="0.3">
      <c r="A2097" s="36"/>
    </row>
    <row r="2098" spans="1:1" x14ac:dyDescent="0.3">
      <c r="A2098" s="36"/>
    </row>
    <row r="2099" spans="1:1" x14ac:dyDescent="0.3">
      <c r="A2099" s="36"/>
    </row>
    <row r="2100" spans="1:1" x14ac:dyDescent="0.3">
      <c r="A2100" s="36"/>
    </row>
    <row r="2101" spans="1:1" x14ac:dyDescent="0.3">
      <c r="A2101" s="36"/>
    </row>
    <row r="2102" spans="1:1" x14ac:dyDescent="0.3">
      <c r="A2102" s="36"/>
    </row>
    <row r="2103" spans="1:1" x14ac:dyDescent="0.3">
      <c r="A2103" s="36"/>
    </row>
    <row r="2104" spans="1:1" x14ac:dyDescent="0.3">
      <c r="A2104" s="36"/>
    </row>
    <row r="2105" spans="1:1" x14ac:dyDescent="0.3">
      <c r="A2105" s="36"/>
    </row>
    <row r="2106" spans="1:1" x14ac:dyDescent="0.3">
      <c r="A2106" s="36"/>
    </row>
    <row r="2107" spans="1:1" x14ac:dyDescent="0.3">
      <c r="A2107" s="36"/>
    </row>
    <row r="2108" spans="1:1" x14ac:dyDescent="0.3">
      <c r="A2108" s="36"/>
    </row>
    <row r="2109" spans="1:1" x14ac:dyDescent="0.3">
      <c r="A2109" s="36"/>
    </row>
    <row r="2110" spans="1:1" x14ac:dyDescent="0.3">
      <c r="A2110" s="36"/>
    </row>
    <row r="2111" spans="1:1" x14ac:dyDescent="0.3">
      <c r="A2111" s="36"/>
    </row>
    <row r="2112" spans="1:1" x14ac:dyDescent="0.3">
      <c r="A2112" s="36"/>
    </row>
    <row r="2113" spans="1:1" x14ac:dyDescent="0.3">
      <c r="A2113" s="36"/>
    </row>
    <row r="2114" spans="1:1" x14ac:dyDescent="0.3">
      <c r="A2114" s="36"/>
    </row>
    <row r="2115" spans="1:1" x14ac:dyDescent="0.3">
      <c r="A2115" s="36"/>
    </row>
    <row r="2116" spans="1:1" x14ac:dyDescent="0.3">
      <c r="A2116" s="36"/>
    </row>
    <row r="2117" spans="1:1" x14ac:dyDescent="0.3">
      <c r="A2117" s="36"/>
    </row>
    <row r="2118" spans="1:1" x14ac:dyDescent="0.3">
      <c r="A2118" s="36"/>
    </row>
    <row r="2119" spans="1:1" x14ac:dyDescent="0.3">
      <c r="A2119" s="36"/>
    </row>
    <row r="2120" spans="1:1" x14ac:dyDescent="0.3">
      <c r="A2120" s="36"/>
    </row>
    <row r="2121" spans="1:1" x14ac:dyDescent="0.3">
      <c r="A2121" s="36"/>
    </row>
    <row r="2122" spans="1:1" x14ac:dyDescent="0.3">
      <c r="A2122" s="36"/>
    </row>
    <row r="2123" spans="1:1" x14ac:dyDescent="0.3">
      <c r="A2123" s="36"/>
    </row>
    <row r="2124" spans="1:1" x14ac:dyDescent="0.3">
      <c r="A2124" s="36"/>
    </row>
    <row r="2125" spans="1:1" x14ac:dyDescent="0.3">
      <c r="A2125" s="36"/>
    </row>
    <row r="2126" spans="1:1" x14ac:dyDescent="0.3">
      <c r="A2126" s="36"/>
    </row>
    <row r="2127" spans="1:1" x14ac:dyDescent="0.3">
      <c r="A2127" s="36"/>
    </row>
    <row r="2128" spans="1:1" x14ac:dyDescent="0.3">
      <c r="A2128" s="36"/>
    </row>
    <row r="2129" spans="1:1" x14ac:dyDescent="0.3">
      <c r="A2129" s="36"/>
    </row>
    <row r="2130" spans="1:1" x14ac:dyDescent="0.3">
      <c r="A2130" s="36"/>
    </row>
    <row r="2131" spans="1:1" x14ac:dyDescent="0.3">
      <c r="A2131" s="36"/>
    </row>
    <row r="2132" spans="1:1" x14ac:dyDescent="0.3">
      <c r="A2132" s="36"/>
    </row>
    <row r="2133" spans="1:1" x14ac:dyDescent="0.3">
      <c r="A2133" s="36"/>
    </row>
    <row r="2134" spans="1:1" x14ac:dyDescent="0.3">
      <c r="A2134" s="36"/>
    </row>
    <row r="2135" spans="1:1" x14ac:dyDescent="0.3">
      <c r="A2135" s="36"/>
    </row>
    <row r="2136" spans="1:1" x14ac:dyDescent="0.3">
      <c r="A2136" s="36"/>
    </row>
    <row r="2137" spans="1:1" x14ac:dyDescent="0.3">
      <c r="A2137" s="36"/>
    </row>
    <row r="2138" spans="1:1" x14ac:dyDescent="0.3">
      <c r="A2138" s="36"/>
    </row>
    <row r="2139" spans="1:1" x14ac:dyDescent="0.3">
      <c r="A2139" s="36"/>
    </row>
    <row r="2140" spans="1:1" x14ac:dyDescent="0.3">
      <c r="A2140" s="36"/>
    </row>
    <row r="2141" spans="1:1" x14ac:dyDescent="0.3">
      <c r="A2141" s="36"/>
    </row>
    <row r="2142" spans="1:1" x14ac:dyDescent="0.3">
      <c r="A2142" s="36"/>
    </row>
    <row r="2143" spans="1:1" x14ac:dyDescent="0.3">
      <c r="A2143" s="36"/>
    </row>
    <row r="2144" spans="1:1" x14ac:dyDescent="0.3">
      <c r="A2144" s="36"/>
    </row>
    <row r="2145" spans="1:1" x14ac:dyDescent="0.3">
      <c r="A2145" s="36"/>
    </row>
    <row r="2146" spans="1:1" x14ac:dyDescent="0.3">
      <c r="A2146" s="36"/>
    </row>
    <row r="2147" spans="1:1" x14ac:dyDescent="0.3">
      <c r="A2147" s="36"/>
    </row>
    <row r="2148" spans="1:1" x14ac:dyDescent="0.3">
      <c r="A2148" s="36"/>
    </row>
    <row r="2149" spans="1:1" x14ac:dyDescent="0.3">
      <c r="A2149" s="36"/>
    </row>
    <row r="2150" spans="1:1" x14ac:dyDescent="0.3">
      <c r="A2150" s="36"/>
    </row>
    <row r="2151" spans="1:1" x14ac:dyDescent="0.3">
      <c r="A2151" s="36"/>
    </row>
    <row r="2152" spans="1:1" x14ac:dyDescent="0.3">
      <c r="A2152" s="36"/>
    </row>
    <row r="2153" spans="1:1" x14ac:dyDescent="0.3">
      <c r="A2153" s="36"/>
    </row>
    <row r="2154" spans="1:1" x14ac:dyDescent="0.3">
      <c r="A2154" s="36"/>
    </row>
    <row r="2155" spans="1:1" x14ac:dyDescent="0.3">
      <c r="A2155" s="36"/>
    </row>
    <row r="2156" spans="1:1" x14ac:dyDescent="0.3">
      <c r="A2156" s="36"/>
    </row>
    <row r="2157" spans="1:1" x14ac:dyDescent="0.3">
      <c r="A2157" s="36"/>
    </row>
    <row r="2158" spans="1:1" x14ac:dyDescent="0.3">
      <c r="A2158" s="36"/>
    </row>
    <row r="2159" spans="1:1" x14ac:dyDescent="0.3">
      <c r="A2159" s="36"/>
    </row>
    <row r="2160" spans="1:1" x14ac:dyDescent="0.3">
      <c r="A2160" s="36"/>
    </row>
    <row r="2161" spans="1:1" x14ac:dyDescent="0.3">
      <c r="A2161" s="36"/>
    </row>
    <row r="2162" spans="1:1" x14ac:dyDescent="0.3">
      <c r="A2162" s="36"/>
    </row>
    <row r="2163" spans="1:1" x14ac:dyDescent="0.3">
      <c r="A2163" s="36"/>
    </row>
    <row r="2164" spans="1:1" x14ac:dyDescent="0.3">
      <c r="A2164" s="36"/>
    </row>
    <row r="2165" spans="1:1" x14ac:dyDescent="0.3">
      <c r="A2165" s="36"/>
    </row>
    <row r="2166" spans="1:1" x14ac:dyDescent="0.3">
      <c r="A2166" s="36"/>
    </row>
    <row r="2167" spans="1:1" x14ac:dyDescent="0.3">
      <c r="A2167" s="36"/>
    </row>
    <row r="2168" spans="1:1" x14ac:dyDescent="0.3">
      <c r="A2168" s="36"/>
    </row>
    <row r="2169" spans="1:1" x14ac:dyDescent="0.3">
      <c r="A2169" s="36"/>
    </row>
    <row r="2170" spans="1:1" x14ac:dyDescent="0.3">
      <c r="A2170" s="36"/>
    </row>
    <row r="2171" spans="1:1" x14ac:dyDescent="0.3">
      <c r="A2171" s="36"/>
    </row>
    <row r="2172" spans="1:1" x14ac:dyDescent="0.3">
      <c r="A2172" s="36"/>
    </row>
    <row r="2173" spans="1:1" x14ac:dyDescent="0.3">
      <c r="A2173" s="36"/>
    </row>
    <row r="2174" spans="1:1" x14ac:dyDescent="0.3">
      <c r="A2174" s="36"/>
    </row>
    <row r="2175" spans="1:1" x14ac:dyDescent="0.3">
      <c r="A2175" s="36"/>
    </row>
    <row r="2176" spans="1:1" x14ac:dyDescent="0.3">
      <c r="A2176" s="36"/>
    </row>
    <row r="2177" spans="1:1" x14ac:dyDescent="0.3">
      <c r="A2177" s="36"/>
    </row>
    <row r="2178" spans="1:1" x14ac:dyDescent="0.3">
      <c r="A2178" s="36"/>
    </row>
    <row r="2179" spans="1:1" x14ac:dyDescent="0.3">
      <c r="A2179" s="36"/>
    </row>
    <row r="2180" spans="1:1" x14ac:dyDescent="0.3">
      <c r="A2180" s="36"/>
    </row>
    <row r="2181" spans="1:1" x14ac:dyDescent="0.3">
      <c r="A2181" s="36"/>
    </row>
    <row r="2182" spans="1:1" x14ac:dyDescent="0.3">
      <c r="A2182" s="36"/>
    </row>
    <row r="2183" spans="1:1" x14ac:dyDescent="0.3">
      <c r="A2183" s="36"/>
    </row>
    <row r="2184" spans="1:1" x14ac:dyDescent="0.3">
      <c r="A2184" s="36"/>
    </row>
    <row r="2185" spans="1:1" x14ac:dyDescent="0.3">
      <c r="A2185" s="36"/>
    </row>
    <row r="2186" spans="1:1" x14ac:dyDescent="0.3">
      <c r="A2186" s="36"/>
    </row>
    <row r="2187" spans="1:1" x14ac:dyDescent="0.3">
      <c r="A2187" s="36"/>
    </row>
    <row r="2188" spans="1:1" x14ac:dyDescent="0.3">
      <c r="A2188" s="36"/>
    </row>
    <row r="2189" spans="1:1" x14ac:dyDescent="0.3">
      <c r="A2189" s="36"/>
    </row>
    <row r="2190" spans="1:1" x14ac:dyDescent="0.3">
      <c r="A2190" s="36"/>
    </row>
    <row r="2191" spans="1:1" x14ac:dyDescent="0.3">
      <c r="A2191" s="36"/>
    </row>
    <row r="2192" spans="1:1" x14ac:dyDescent="0.3">
      <c r="A2192" s="36"/>
    </row>
    <row r="2193" spans="1:1" x14ac:dyDescent="0.3">
      <c r="A2193" s="36"/>
    </row>
    <row r="2194" spans="1:1" x14ac:dyDescent="0.3">
      <c r="A2194" s="36"/>
    </row>
    <row r="2195" spans="1:1" x14ac:dyDescent="0.3">
      <c r="A2195" s="36"/>
    </row>
    <row r="2196" spans="1:1" x14ac:dyDescent="0.3">
      <c r="A2196" s="36"/>
    </row>
    <row r="2197" spans="1:1" x14ac:dyDescent="0.3">
      <c r="A2197" s="36"/>
    </row>
    <row r="2198" spans="1:1" x14ac:dyDescent="0.3">
      <c r="A2198" s="36"/>
    </row>
    <row r="2199" spans="1:1" x14ac:dyDescent="0.3">
      <c r="A2199" s="36"/>
    </row>
    <row r="2200" spans="1:1" x14ac:dyDescent="0.3">
      <c r="A2200" s="36"/>
    </row>
    <row r="2201" spans="1:1" x14ac:dyDescent="0.3">
      <c r="A2201" s="36"/>
    </row>
    <row r="2202" spans="1:1" x14ac:dyDescent="0.3">
      <c r="A2202" s="36"/>
    </row>
    <row r="2203" spans="1:1" x14ac:dyDescent="0.3">
      <c r="A2203" s="36"/>
    </row>
    <row r="2204" spans="1:1" x14ac:dyDescent="0.3">
      <c r="A2204" s="36"/>
    </row>
    <row r="2205" spans="1:1" x14ac:dyDescent="0.3">
      <c r="A2205" s="36"/>
    </row>
    <row r="2206" spans="1:1" x14ac:dyDescent="0.3">
      <c r="A2206" s="36"/>
    </row>
    <row r="2207" spans="1:1" x14ac:dyDescent="0.3">
      <c r="A2207" s="36"/>
    </row>
    <row r="2208" spans="1:1" x14ac:dyDescent="0.3">
      <c r="A2208" s="36"/>
    </row>
    <row r="2209" spans="1:1" x14ac:dyDescent="0.3">
      <c r="A2209" s="36"/>
    </row>
    <row r="2210" spans="1:1" x14ac:dyDescent="0.3">
      <c r="A2210" s="36"/>
    </row>
    <row r="2211" spans="1:1" x14ac:dyDescent="0.3">
      <c r="A2211" s="36"/>
    </row>
    <row r="2212" spans="1:1" x14ac:dyDescent="0.3">
      <c r="A2212" s="36"/>
    </row>
    <row r="2213" spans="1:1" x14ac:dyDescent="0.3">
      <c r="A2213" s="36"/>
    </row>
    <row r="2214" spans="1:1" x14ac:dyDescent="0.3">
      <c r="A2214" s="36"/>
    </row>
    <row r="2215" spans="1:1" x14ac:dyDescent="0.3">
      <c r="A2215" s="36"/>
    </row>
    <row r="2216" spans="1:1" x14ac:dyDescent="0.3">
      <c r="A2216" s="36"/>
    </row>
    <row r="2217" spans="1:1" x14ac:dyDescent="0.3">
      <c r="A2217" s="36"/>
    </row>
    <row r="2218" spans="1:1" x14ac:dyDescent="0.3">
      <c r="A2218" s="36"/>
    </row>
    <row r="2219" spans="1:1" x14ac:dyDescent="0.3">
      <c r="A2219" s="36"/>
    </row>
    <row r="2220" spans="1:1" x14ac:dyDescent="0.3">
      <c r="A2220" s="36"/>
    </row>
    <row r="2221" spans="1:1" x14ac:dyDescent="0.3">
      <c r="A2221" s="36"/>
    </row>
    <row r="2222" spans="1:1" x14ac:dyDescent="0.3">
      <c r="A2222" s="36"/>
    </row>
    <row r="2223" spans="1:1" x14ac:dyDescent="0.3">
      <c r="A2223" s="36"/>
    </row>
    <row r="2224" spans="1:1" x14ac:dyDescent="0.3">
      <c r="A2224" s="36"/>
    </row>
    <row r="2225" spans="1:1" x14ac:dyDescent="0.3">
      <c r="A2225" s="36"/>
    </row>
    <row r="2226" spans="1:1" x14ac:dyDescent="0.3">
      <c r="A2226" s="36"/>
    </row>
    <row r="2227" spans="1:1" x14ac:dyDescent="0.3">
      <c r="A2227" s="36"/>
    </row>
    <row r="2228" spans="1:1" x14ac:dyDescent="0.3">
      <c r="A2228" s="36"/>
    </row>
    <row r="2229" spans="1:1" x14ac:dyDescent="0.3">
      <c r="A2229" s="36"/>
    </row>
    <row r="2230" spans="1:1" x14ac:dyDescent="0.3">
      <c r="A2230" s="36"/>
    </row>
    <row r="2231" spans="1:1" x14ac:dyDescent="0.3">
      <c r="A2231" s="36"/>
    </row>
    <row r="2232" spans="1:1" x14ac:dyDescent="0.3">
      <c r="A2232" s="36"/>
    </row>
    <row r="2233" spans="1:1" x14ac:dyDescent="0.3">
      <c r="A2233" s="36"/>
    </row>
    <row r="2234" spans="1:1" x14ac:dyDescent="0.3">
      <c r="A2234" s="36"/>
    </row>
    <row r="2235" spans="1:1" x14ac:dyDescent="0.3">
      <c r="A2235" s="36"/>
    </row>
    <row r="2236" spans="1:1" x14ac:dyDescent="0.3">
      <c r="A2236" s="36"/>
    </row>
    <row r="2237" spans="1:1" x14ac:dyDescent="0.3">
      <c r="A2237" s="36"/>
    </row>
    <row r="2238" spans="1:1" x14ac:dyDescent="0.3">
      <c r="A2238" s="36"/>
    </row>
    <row r="2239" spans="1:1" x14ac:dyDescent="0.3">
      <c r="A2239" s="36"/>
    </row>
    <row r="2240" spans="1:1" x14ac:dyDescent="0.3">
      <c r="A2240" s="36"/>
    </row>
    <row r="2241" spans="1:1" x14ac:dyDescent="0.3">
      <c r="A2241" s="36"/>
    </row>
    <row r="2242" spans="1:1" x14ac:dyDescent="0.3">
      <c r="A2242" s="36"/>
    </row>
    <row r="2243" spans="1:1" x14ac:dyDescent="0.3">
      <c r="A2243" s="36"/>
    </row>
    <row r="2244" spans="1:1" x14ac:dyDescent="0.3">
      <c r="A2244" s="36"/>
    </row>
    <row r="2245" spans="1:1" x14ac:dyDescent="0.3">
      <c r="A2245" s="36"/>
    </row>
    <row r="2246" spans="1:1" x14ac:dyDescent="0.3">
      <c r="A2246" s="36"/>
    </row>
    <row r="2247" spans="1:1" x14ac:dyDescent="0.3">
      <c r="A2247" s="36"/>
    </row>
    <row r="2248" spans="1:1" x14ac:dyDescent="0.3">
      <c r="A2248" s="36"/>
    </row>
    <row r="2249" spans="1:1" x14ac:dyDescent="0.3">
      <c r="A2249" s="36"/>
    </row>
    <row r="2250" spans="1:1" x14ac:dyDescent="0.3">
      <c r="A2250" s="36"/>
    </row>
    <row r="2251" spans="1:1" x14ac:dyDescent="0.3">
      <c r="A2251" s="36"/>
    </row>
    <row r="2252" spans="1:1" x14ac:dyDescent="0.3">
      <c r="A2252" s="36"/>
    </row>
    <row r="2253" spans="1:1" x14ac:dyDescent="0.3">
      <c r="A2253" s="36"/>
    </row>
    <row r="2254" spans="1:1" x14ac:dyDescent="0.3">
      <c r="A2254" s="36"/>
    </row>
    <row r="2255" spans="1:1" x14ac:dyDescent="0.3">
      <c r="A2255" s="36"/>
    </row>
    <row r="2256" spans="1:1" x14ac:dyDescent="0.3">
      <c r="A2256" s="36"/>
    </row>
    <row r="2257" spans="1:1" x14ac:dyDescent="0.3">
      <c r="A2257" s="36"/>
    </row>
    <row r="2258" spans="1:1" x14ac:dyDescent="0.3">
      <c r="A2258" s="36"/>
    </row>
    <row r="2259" spans="1:1" x14ac:dyDescent="0.3">
      <c r="A2259" s="36"/>
    </row>
    <row r="2260" spans="1:1" x14ac:dyDescent="0.3">
      <c r="A2260" s="36"/>
    </row>
    <row r="2261" spans="1:1" x14ac:dyDescent="0.3">
      <c r="A2261" s="36"/>
    </row>
    <row r="2262" spans="1:1" x14ac:dyDescent="0.3">
      <c r="A2262" s="36"/>
    </row>
    <row r="2263" spans="1:1" x14ac:dyDescent="0.3">
      <c r="A2263" s="36"/>
    </row>
    <row r="2264" spans="1:1" x14ac:dyDescent="0.3">
      <c r="A2264" s="36"/>
    </row>
    <row r="2265" spans="1:1" x14ac:dyDescent="0.3">
      <c r="A2265" s="36"/>
    </row>
    <row r="2266" spans="1:1" x14ac:dyDescent="0.3">
      <c r="A2266" s="36"/>
    </row>
    <row r="2267" spans="1:1" x14ac:dyDescent="0.3">
      <c r="A2267" s="36"/>
    </row>
    <row r="2268" spans="1:1" x14ac:dyDescent="0.3">
      <c r="A2268" s="36"/>
    </row>
    <row r="2269" spans="1:1" x14ac:dyDescent="0.3">
      <c r="A2269" s="36"/>
    </row>
    <row r="2270" spans="1:1" x14ac:dyDescent="0.3">
      <c r="A2270" s="36"/>
    </row>
    <row r="2271" spans="1:1" x14ac:dyDescent="0.3">
      <c r="A2271" s="36"/>
    </row>
    <row r="2272" spans="1:1" x14ac:dyDescent="0.3">
      <c r="A2272" s="36"/>
    </row>
    <row r="2273" spans="1:1" x14ac:dyDescent="0.3">
      <c r="A2273" s="36"/>
    </row>
    <row r="2274" spans="1:1" x14ac:dyDescent="0.3">
      <c r="A2274" s="36"/>
    </row>
    <row r="2275" spans="1:1" x14ac:dyDescent="0.3">
      <c r="A2275" s="36"/>
    </row>
    <row r="2276" spans="1:1" x14ac:dyDescent="0.3">
      <c r="A2276" s="36"/>
    </row>
    <row r="2277" spans="1:1" x14ac:dyDescent="0.3">
      <c r="A2277" s="36"/>
    </row>
    <row r="2278" spans="1:1" x14ac:dyDescent="0.3">
      <c r="A2278" s="36"/>
    </row>
    <row r="2279" spans="1:1" x14ac:dyDescent="0.3">
      <c r="A2279" s="36"/>
    </row>
    <row r="2280" spans="1:1" x14ac:dyDescent="0.3">
      <c r="A2280" s="36"/>
    </row>
    <row r="2281" spans="1:1" x14ac:dyDescent="0.3">
      <c r="A2281" s="36"/>
    </row>
    <row r="2282" spans="1:1" x14ac:dyDescent="0.3">
      <c r="A2282" s="36"/>
    </row>
    <row r="2283" spans="1:1" x14ac:dyDescent="0.3">
      <c r="A2283" s="36"/>
    </row>
    <row r="2284" spans="1:1" x14ac:dyDescent="0.3">
      <c r="A2284" s="36"/>
    </row>
    <row r="2285" spans="1:1" x14ac:dyDescent="0.3">
      <c r="A2285" s="36"/>
    </row>
    <row r="2286" spans="1:1" x14ac:dyDescent="0.3">
      <c r="A2286" s="36"/>
    </row>
    <row r="2287" spans="1:1" x14ac:dyDescent="0.3">
      <c r="A2287" s="36"/>
    </row>
    <row r="2288" spans="1:1" x14ac:dyDescent="0.3">
      <c r="A2288" s="36"/>
    </row>
    <row r="2289" spans="1:1" x14ac:dyDescent="0.3">
      <c r="A2289" s="36"/>
    </row>
    <row r="2290" spans="1:1" x14ac:dyDescent="0.3">
      <c r="A2290" s="36"/>
    </row>
    <row r="2291" spans="1:1" x14ac:dyDescent="0.3">
      <c r="A2291" s="36"/>
    </row>
    <row r="2292" spans="1:1" x14ac:dyDescent="0.3">
      <c r="A2292" s="36"/>
    </row>
    <row r="2293" spans="1:1" x14ac:dyDescent="0.3">
      <c r="A2293" s="36"/>
    </row>
    <row r="2294" spans="1:1" x14ac:dyDescent="0.3">
      <c r="A2294" s="36"/>
    </row>
    <row r="2295" spans="1:1" x14ac:dyDescent="0.3">
      <c r="A2295" s="36"/>
    </row>
    <row r="2296" spans="1:1" x14ac:dyDescent="0.3">
      <c r="A2296" s="36"/>
    </row>
    <row r="2297" spans="1:1" x14ac:dyDescent="0.3">
      <c r="A2297" s="36"/>
    </row>
    <row r="2298" spans="1:1" x14ac:dyDescent="0.3">
      <c r="A2298" s="36"/>
    </row>
    <row r="2299" spans="1:1" x14ac:dyDescent="0.3">
      <c r="A2299" s="36"/>
    </row>
    <row r="2300" spans="1:1" x14ac:dyDescent="0.3">
      <c r="A2300" s="36"/>
    </row>
    <row r="2301" spans="1:1" x14ac:dyDescent="0.3">
      <c r="A2301" s="36"/>
    </row>
    <row r="2302" spans="1:1" x14ac:dyDescent="0.3">
      <c r="A2302" s="36"/>
    </row>
    <row r="2303" spans="1:1" x14ac:dyDescent="0.3">
      <c r="A2303" s="36"/>
    </row>
    <row r="2304" spans="1:1" x14ac:dyDescent="0.3">
      <c r="A2304" s="36"/>
    </row>
    <row r="2305" spans="1:1" x14ac:dyDescent="0.3">
      <c r="A2305" s="36"/>
    </row>
    <row r="2306" spans="1:1" x14ac:dyDescent="0.3">
      <c r="A2306" s="36"/>
    </row>
    <row r="2307" spans="1:1" x14ac:dyDescent="0.3">
      <c r="A2307" s="36"/>
    </row>
    <row r="2308" spans="1:1" x14ac:dyDescent="0.3">
      <c r="A2308" s="36"/>
    </row>
    <row r="2309" spans="1:1" x14ac:dyDescent="0.3">
      <c r="A2309" s="36"/>
    </row>
    <row r="2310" spans="1:1" x14ac:dyDescent="0.3">
      <c r="A2310" s="36"/>
    </row>
    <row r="2311" spans="1:1" x14ac:dyDescent="0.3">
      <c r="A2311" s="36"/>
    </row>
    <row r="2312" spans="1:1" x14ac:dyDescent="0.3">
      <c r="A2312" s="36"/>
    </row>
    <row r="2313" spans="1:1" x14ac:dyDescent="0.3">
      <c r="A2313" s="36"/>
    </row>
    <row r="2314" spans="1:1" x14ac:dyDescent="0.3">
      <c r="A2314" s="36"/>
    </row>
    <row r="2315" spans="1:1" x14ac:dyDescent="0.3">
      <c r="A2315" s="36"/>
    </row>
    <row r="2316" spans="1:1" x14ac:dyDescent="0.3">
      <c r="A2316" s="36"/>
    </row>
    <row r="2317" spans="1:1" x14ac:dyDescent="0.3">
      <c r="A2317" s="36"/>
    </row>
    <row r="2318" spans="1:1" x14ac:dyDescent="0.3">
      <c r="A2318" s="36"/>
    </row>
    <row r="2319" spans="1:1" x14ac:dyDescent="0.3">
      <c r="A2319" s="36"/>
    </row>
    <row r="2320" spans="1:1" x14ac:dyDescent="0.3">
      <c r="A2320" s="36"/>
    </row>
    <row r="2321" spans="1:1" x14ac:dyDescent="0.3">
      <c r="A2321" s="36"/>
    </row>
    <row r="2322" spans="1:1" x14ac:dyDescent="0.3">
      <c r="A2322" s="36"/>
    </row>
    <row r="2323" spans="1:1" x14ac:dyDescent="0.3">
      <c r="A2323" s="36"/>
    </row>
    <row r="2324" spans="1:1" x14ac:dyDescent="0.3">
      <c r="A2324" s="36"/>
    </row>
    <row r="2325" spans="1:1" x14ac:dyDescent="0.3">
      <c r="A2325" s="36"/>
    </row>
    <row r="2326" spans="1:1" x14ac:dyDescent="0.3">
      <c r="A2326" s="36"/>
    </row>
    <row r="2327" spans="1:1" x14ac:dyDescent="0.3">
      <c r="A2327" s="36"/>
    </row>
    <row r="2328" spans="1:1" x14ac:dyDescent="0.3">
      <c r="A2328" s="36"/>
    </row>
    <row r="2329" spans="1:1" x14ac:dyDescent="0.3">
      <c r="A2329" s="36"/>
    </row>
    <row r="2330" spans="1:1" x14ac:dyDescent="0.3">
      <c r="A2330" s="36"/>
    </row>
    <row r="2331" spans="1:1" x14ac:dyDescent="0.3">
      <c r="A2331" s="36"/>
    </row>
    <row r="2332" spans="1:1" x14ac:dyDescent="0.3">
      <c r="A2332" s="36"/>
    </row>
    <row r="2333" spans="1:1" x14ac:dyDescent="0.3">
      <c r="A2333" s="36"/>
    </row>
    <row r="2334" spans="1:1" x14ac:dyDescent="0.3">
      <c r="A2334" s="36"/>
    </row>
    <row r="2335" spans="1:1" x14ac:dyDescent="0.3">
      <c r="A2335" s="36"/>
    </row>
    <row r="2336" spans="1:1" x14ac:dyDescent="0.3">
      <c r="A2336" s="36"/>
    </row>
    <row r="2337" spans="1:1" x14ac:dyDescent="0.3">
      <c r="A2337" s="36"/>
    </row>
    <row r="2338" spans="1:1" x14ac:dyDescent="0.3">
      <c r="A2338" s="36"/>
    </row>
    <row r="2339" spans="1:1" x14ac:dyDescent="0.3">
      <c r="A2339" s="36"/>
    </row>
    <row r="2340" spans="1:1" x14ac:dyDescent="0.3">
      <c r="A2340" s="36"/>
    </row>
    <row r="2341" spans="1:1" x14ac:dyDescent="0.3">
      <c r="A2341" s="36"/>
    </row>
    <row r="2342" spans="1:1" x14ac:dyDescent="0.3">
      <c r="A2342" s="36"/>
    </row>
    <row r="2343" spans="1:1" x14ac:dyDescent="0.3">
      <c r="A2343" s="36"/>
    </row>
    <row r="2344" spans="1:1" x14ac:dyDescent="0.3">
      <c r="A2344" s="36"/>
    </row>
    <row r="2345" spans="1:1" x14ac:dyDescent="0.3">
      <c r="A2345" s="36"/>
    </row>
    <row r="2346" spans="1:1" x14ac:dyDescent="0.3">
      <c r="A2346" s="36"/>
    </row>
    <row r="2347" spans="1:1" x14ac:dyDescent="0.3">
      <c r="A2347" s="36"/>
    </row>
    <row r="2348" spans="1:1" x14ac:dyDescent="0.3">
      <c r="A2348" s="36"/>
    </row>
    <row r="2349" spans="1:1" x14ac:dyDescent="0.3">
      <c r="A2349" s="36"/>
    </row>
    <row r="2350" spans="1:1" x14ac:dyDescent="0.3">
      <c r="A2350" s="36"/>
    </row>
    <row r="2351" spans="1:1" x14ac:dyDescent="0.3">
      <c r="A2351" s="36"/>
    </row>
    <row r="2352" spans="1:1" x14ac:dyDescent="0.3">
      <c r="A2352" s="36"/>
    </row>
    <row r="2353" spans="1:1" x14ac:dyDescent="0.3">
      <c r="A2353" s="36"/>
    </row>
    <row r="2354" spans="1:1" x14ac:dyDescent="0.3">
      <c r="A2354" s="36"/>
    </row>
    <row r="2355" spans="1:1" x14ac:dyDescent="0.3">
      <c r="A2355" s="36"/>
    </row>
    <row r="2356" spans="1:1" x14ac:dyDescent="0.3">
      <c r="A2356" s="36"/>
    </row>
    <row r="2357" spans="1:1" x14ac:dyDescent="0.3">
      <c r="A2357" s="36"/>
    </row>
    <row r="2358" spans="1:1" x14ac:dyDescent="0.3">
      <c r="A2358" s="36"/>
    </row>
    <row r="2359" spans="1:1" x14ac:dyDescent="0.3">
      <c r="A2359" s="36"/>
    </row>
    <row r="2360" spans="1:1" x14ac:dyDescent="0.3">
      <c r="A2360" s="36"/>
    </row>
    <row r="2361" spans="1:1" x14ac:dyDescent="0.3">
      <c r="A2361" s="36"/>
    </row>
    <row r="2362" spans="1:1" x14ac:dyDescent="0.3">
      <c r="A2362" s="36"/>
    </row>
    <row r="2363" spans="1:1" x14ac:dyDescent="0.3">
      <c r="A2363" s="36"/>
    </row>
    <row r="2364" spans="1:1" x14ac:dyDescent="0.3">
      <c r="A2364" s="36"/>
    </row>
    <row r="2365" spans="1:1" x14ac:dyDescent="0.3">
      <c r="A2365" s="36"/>
    </row>
    <row r="2366" spans="1:1" x14ac:dyDescent="0.3">
      <c r="A2366" s="36"/>
    </row>
    <row r="2367" spans="1:1" x14ac:dyDescent="0.3">
      <c r="A2367" s="36"/>
    </row>
    <row r="2368" spans="1:1" x14ac:dyDescent="0.3">
      <c r="A2368" s="36"/>
    </row>
    <row r="2369" spans="1:1" x14ac:dyDescent="0.3">
      <c r="A2369" s="36"/>
    </row>
    <row r="2370" spans="1:1" x14ac:dyDescent="0.3">
      <c r="A2370" s="36"/>
    </row>
    <row r="2371" spans="1:1" x14ac:dyDescent="0.3">
      <c r="A2371" s="36"/>
    </row>
    <row r="2372" spans="1:1" x14ac:dyDescent="0.3">
      <c r="A2372" s="36"/>
    </row>
    <row r="2373" spans="1:1" x14ac:dyDescent="0.3">
      <c r="A2373" s="36"/>
    </row>
    <row r="2374" spans="1:1" x14ac:dyDescent="0.3">
      <c r="A2374" s="36"/>
    </row>
    <row r="2375" spans="1:1" x14ac:dyDescent="0.3">
      <c r="A2375" s="36"/>
    </row>
    <row r="2376" spans="1:1" x14ac:dyDescent="0.3">
      <c r="A2376" s="36"/>
    </row>
    <row r="2377" spans="1:1" x14ac:dyDescent="0.3">
      <c r="A2377" s="36"/>
    </row>
    <row r="2378" spans="1:1" x14ac:dyDescent="0.3">
      <c r="A2378" s="36"/>
    </row>
    <row r="2379" spans="1:1" x14ac:dyDescent="0.3">
      <c r="A2379" s="36"/>
    </row>
    <row r="2380" spans="1:1" x14ac:dyDescent="0.3">
      <c r="A2380" s="36"/>
    </row>
    <row r="2381" spans="1:1" x14ac:dyDescent="0.3">
      <c r="A2381" s="36"/>
    </row>
    <row r="2382" spans="1:1" x14ac:dyDescent="0.3">
      <c r="A2382" s="36"/>
    </row>
    <row r="2383" spans="1:1" x14ac:dyDescent="0.3">
      <c r="A2383" s="36"/>
    </row>
    <row r="2384" spans="1:1" x14ac:dyDescent="0.3">
      <c r="A2384" s="36"/>
    </row>
    <row r="2385" spans="1:1" x14ac:dyDescent="0.3">
      <c r="A2385" s="36"/>
    </row>
    <row r="2386" spans="1:1" x14ac:dyDescent="0.3">
      <c r="A2386" s="36"/>
    </row>
    <row r="2387" spans="1:1" x14ac:dyDescent="0.3">
      <c r="A2387" s="36"/>
    </row>
    <row r="2388" spans="1:1" x14ac:dyDescent="0.3">
      <c r="A2388" s="36"/>
    </row>
    <row r="2389" spans="1:1" x14ac:dyDescent="0.3">
      <c r="A2389" s="36"/>
    </row>
    <row r="2390" spans="1:1" x14ac:dyDescent="0.3">
      <c r="A2390" s="36"/>
    </row>
    <row r="2391" spans="1:1" x14ac:dyDescent="0.3">
      <c r="A2391" s="36"/>
    </row>
    <row r="2392" spans="1:1" x14ac:dyDescent="0.3">
      <c r="A2392" s="36"/>
    </row>
    <row r="2393" spans="1:1" x14ac:dyDescent="0.3">
      <c r="A2393" s="36"/>
    </row>
    <row r="2394" spans="1:1" x14ac:dyDescent="0.3">
      <c r="A2394" s="36"/>
    </row>
    <row r="2395" spans="1:1" x14ac:dyDescent="0.3">
      <c r="A2395" s="36"/>
    </row>
    <row r="2396" spans="1:1" x14ac:dyDescent="0.3">
      <c r="A2396" s="36"/>
    </row>
    <row r="2397" spans="1:1" x14ac:dyDescent="0.3">
      <c r="A2397" s="36"/>
    </row>
    <row r="2398" spans="1:1" x14ac:dyDescent="0.3">
      <c r="A2398" s="36"/>
    </row>
    <row r="2399" spans="1:1" x14ac:dyDescent="0.3">
      <c r="A2399" s="36"/>
    </row>
    <row r="2400" spans="1:1" x14ac:dyDescent="0.3">
      <c r="A2400" s="36"/>
    </row>
    <row r="2401" spans="1:1" x14ac:dyDescent="0.3">
      <c r="A2401" s="36"/>
    </row>
    <row r="2402" spans="1:1" x14ac:dyDescent="0.3">
      <c r="A2402" s="36"/>
    </row>
    <row r="2403" spans="1:1" x14ac:dyDescent="0.3">
      <c r="A2403" s="44"/>
    </row>
    <row r="2404" spans="1:1" x14ac:dyDescent="0.3">
      <c r="A2404" s="36"/>
    </row>
    <row r="2405" spans="1:1" x14ac:dyDescent="0.3">
      <c r="A2405" s="36"/>
    </row>
    <row r="2406" spans="1:1" x14ac:dyDescent="0.3">
      <c r="A2406" s="36"/>
    </row>
    <row r="2407" spans="1:1" x14ac:dyDescent="0.3">
      <c r="A2407" s="36"/>
    </row>
    <row r="2408" spans="1:1" x14ac:dyDescent="0.3">
      <c r="A2408" s="36"/>
    </row>
    <row r="2409" spans="1:1" x14ac:dyDescent="0.3">
      <c r="A2409" s="36"/>
    </row>
    <row r="2410" spans="1:1" x14ac:dyDescent="0.3">
      <c r="A2410" s="36"/>
    </row>
    <row r="2411" spans="1:1" x14ac:dyDescent="0.3">
      <c r="A2411" s="36"/>
    </row>
    <row r="2412" spans="1:1" x14ac:dyDescent="0.3">
      <c r="A2412" s="36"/>
    </row>
    <row r="2413" spans="1:1" x14ac:dyDescent="0.3">
      <c r="A2413" s="36"/>
    </row>
    <row r="2414" spans="1:1" x14ac:dyDescent="0.3">
      <c r="A2414" s="36"/>
    </row>
    <row r="2415" spans="1:1" x14ac:dyDescent="0.3">
      <c r="A2415" s="36"/>
    </row>
    <row r="2416" spans="1:1" x14ac:dyDescent="0.3">
      <c r="A2416" s="36"/>
    </row>
    <row r="2417" spans="1:1" x14ac:dyDescent="0.3">
      <c r="A2417" s="36"/>
    </row>
    <row r="2418" spans="1:1" x14ac:dyDescent="0.3">
      <c r="A2418" s="36"/>
    </row>
    <row r="2419" spans="1:1" x14ac:dyDescent="0.3">
      <c r="A2419" s="36"/>
    </row>
    <row r="2420" spans="1:1" x14ac:dyDescent="0.3">
      <c r="A2420" s="36"/>
    </row>
    <row r="2421" spans="1:1" x14ac:dyDescent="0.3">
      <c r="A2421" s="36"/>
    </row>
    <row r="2422" spans="1:1" x14ac:dyDescent="0.3">
      <c r="A2422" s="36"/>
    </row>
    <row r="2423" spans="1:1" x14ac:dyDescent="0.3">
      <c r="A2423" s="36"/>
    </row>
    <row r="2424" spans="1:1" x14ac:dyDescent="0.3">
      <c r="A2424" s="36"/>
    </row>
    <row r="2425" spans="1:1" x14ac:dyDescent="0.3">
      <c r="A2425" s="36"/>
    </row>
    <row r="2426" spans="1:1" x14ac:dyDescent="0.3">
      <c r="A2426" s="36"/>
    </row>
    <row r="2427" spans="1:1" x14ac:dyDescent="0.3">
      <c r="A2427" s="36"/>
    </row>
    <row r="2428" spans="1:1" x14ac:dyDescent="0.3">
      <c r="A2428" s="36"/>
    </row>
    <row r="2429" spans="1:1" x14ac:dyDescent="0.3">
      <c r="A2429" s="36"/>
    </row>
    <row r="2430" spans="1:1" x14ac:dyDescent="0.3">
      <c r="A2430" s="36"/>
    </row>
    <row r="2431" spans="1:1" x14ac:dyDescent="0.3">
      <c r="A2431" s="36"/>
    </row>
    <row r="2432" spans="1:1" x14ac:dyDescent="0.3">
      <c r="A2432" s="36"/>
    </row>
    <row r="2433" spans="1:1" x14ac:dyDescent="0.3">
      <c r="A2433" s="36"/>
    </row>
    <row r="2434" spans="1:1" x14ac:dyDescent="0.3">
      <c r="A2434" s="36"/>
    </row>
    <row r="2435" spans="1:1" x14ac:dyDescent="0.3">
      <c r="A2435" s="36"/>
    </row>
    <row r="2436" spans="1:1" x14ac:dyDescent="0.3">
      <c r="A2436" s="36"/>
    </row>
    <row r="2437" spans="1:1" x14ac:dyDescent="0.3">
      <c r="A2437" s="36"/>
    </row>
    <row r="2438" spans="1:1" x14ac:dyDescent="0.3">
      <c r="A2438" s="36"/>
    </row>
    <row r="2439" spans="1:1" x14ac:dyDescent="0.3">
      <c r="A2439" s="36"/>
    </row>
    <row r="2440" spans="1:1" x14ac:dyDescent="0.3">
      <c r="A2440" s="36"/>
    </row>
    <row r="2441" spans="1:1" x14ac:dyDescent="0.3">
      <c r="A2441" s="36"/>
    </row>
    <row r="2442" spans="1:1" x14ac:dyDescent="0.3">
      <c r="A2442" s="44"/>
    </row>
    <row r="2443" spans="1:1" x14ac:dyDescent="0.3">
      <c r="A2443" s="36"/>
    </row>
    <row r="2444" spans="1:1" x14ac:dyDescent="0.3">
      <c r="A2444" s="44"/>
    </row>
    <row r="2445" spans="1:1" x14ac:dyDescent="0.3">
      <c r="A2445" s="44"/>
    </row>
    <row r="2446" spans="1:1" x14ac:dyDescent="0.3">
      <c r="A2446" s="44"/>
    </row>
    <row r="2447" spans="1:1" x14ac:dyDescent="0.3">
      <c r="A2447" s="44"/>
    </row>
    <row r="2448" spans="1:1" x14ac:dyDescent="0.3">
      <c r="A2448" s="44"/>
    </row>
    <row r="2449" spans="1:1" x14ac:dyDescent="0.3">
      <c r="A2449" s="36"/>
    </row>
    <row r="2450" spans="1:1" x14ac:dyDescent="0.3">
      <c r="A2450" s="36"/>
    </row>
    <row r="2451" spans="1:1" x14ac:dyDescent="0.3">
      <c r="A2451" s="36"/>
    </row>
    <row r="2452" spans="1:1" x14ac:dyDescent="0.3">
      <c r="A2452" s="36"/>
    </row>
    <row r="2453" spans="1:1" x14ac:dyDescent="0.3">
      <c r="A2453" s="36"/>
    </row>
    <row r="2454" spans="1:1" x14ac:dyDescent="0.3">
      <c r="A2454" s="36"/>
    </row>
    <row r="2455" spans="1:1" x14ac:dyDescent="0.3">
      <c r="A2455" s="36"/>
    </row>
    <row r="2456" spans="1:1" x14ac:dyDescent="0.3">
      <c r="A2456" s="36"/>
    </row>
    <row r="2457" spans="1:1" x14ac:dyDescent="0.3">
      <c r="A2457" s="36"/>
    </row>
    <row r="2458" spans="1:1" x14ac:dyDescent="0.3">
      <c r="A2458" s="36"/>
    </row>
    <row r="2459" spans="1:1" x14ac:dyDescent="0.3">
      <c r="A2459" s="36"/>
    </row>
    <row r="2460" spans="1:1" x14ac:dyDescent="0.3">
      <c r="A2460" s="36"/>
    </row>
    <row r="2461" spans="1:1" x14ac:dyDescent="0.3">
      <c r="A2461" s="36"/>
    </row>
    <row r="2462" spans="1:1" x14ac:dyDescent="0.3">
      <c r="A2462" s="36"/>
    </row>
    <row r="2463" spans="1:1" x14ac:dyDescent="0.3">
      <c r="A2463" s="36"/>
    </row>
    <row r="2464" spans="1:1" x14ac:dyDescent="0.3">
      <c r="A2464" s="36"/>
    </row>
    <row r="2465" spans="1:1" x14ac:dyDescent="0.3">
      <c r="A2465" s="36"/>
    </row>
    <row r="2466" spans="1:1" x14ac:dyDescent="0.3">
      <c r="A2466" s="36"/>
    </row>
    <row r="2467" spans="1:1" x14ac:dyDescent="0.3">
      <c r="A2467" s="44"/>
    </row>
    <row r="2468" spans="1:1" x14ac:dyDescent="0.3">
      <c r="A2468" s="44"/>
    </row>
    <row r="2469" spans="1:1" x14ac:dyDescent="0.3">
      <c r="A2469" s="44"/>
    </row>
    <row r="2470" spans="1:1" x14ac:dyDescent="0.3">
      <c r="A2470" s="44"/>
    </row>
    <row r="2471" spans="1:1" x14ac:dyDescent="0.3">
      <c r="A2471" s="44"/>
    </row>
    <row r="2472" spans="1:1" x14ac:dyDescent="0.3">
      <c r="A2472" s="36"/>
    </row>
    <row r="2473" spans="1:1" x14ac:dyDescent="0.3">
      <c r="A2473" s="36"/>
    </row>
    <row r="2474" spans="1:1" x14ac:dyDescent="0.3">
      <c r="A2474" s="36"/>
    </row>
    <row r="2475" spans="1:1" x14ac:dyDescent="0.3">
      <c r="A2475" s="36"/>
    </row>
    <row r="2476" spans="1:1" x14ac:dyDescent="0.3">
      <c r="A2476" s="36"/>
    </row>
    <row r="2477" spans="1:1" x14ac:dyDescent="0.3">
      <c r="A2477" s="36"/>
    </row>
    <row r="2478" spans="1:1" x14ac:dyDescent="0.3">
      <c r="A2478" s="36"/>
    </row>
    <row r="2479" spans="1:1" x14ac:dyDescent="0.3">
      <c r="A2479" s="36"/>
    </row>
    <row r="2480" spans="1:1" x14ac:dyDescent="0.3">
      <c r="A2480" s="36"/>
    </row>
    <row r="2481" spans="1:1" x14ac:dyDescent="0.3">
      <c r="A2481" s="36"/>
    </row>
    <row r="2482" spans="1:1" x14ac:dyDescent="0.3">
      <c r="A2482" s="36"/>
    </row>
  </sheetData>
  <dataValidations count="1">
    <dataValidation type="whole" allowBlank="1" showInputMessage="1" showErrorMessage="1" sqref="A95 A2442 A2444:A2448 A2467:A2471" xr:uid="{00000000-0002-0000-0000-000000000000}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</sheetPr>
  <dimension ref="A1:Z93"/>
  <sheetViews>
    <sheetView showGridLines="0" topLeftCell="H1" zoomScale="70" zoomScaleNormal="70" workbookViewId="0">
      <selection activeCell="D24" sqref="D24:L24"/>
    </sheetView>
  </sheetViews>
  <sheetFormatPr baseColWidth="10" defaultColWidth="15.6640625" defaultRowHeight="14.4" x14ac:dyDescent="0.3"/>
  <cols>
    <col min="1" max="1" width="8.44140625" customWidth="1"/>
    <col min="2" max="17" width="15.6640625" customWidth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75" t="s">
        <v>108</v>
      </c>
      <c r="H1" s="375"/>
      <c r="I1" s="375"/>
      <c r="J1" s="375"/>
      <c r="K1" s="375"/>
      <c r="L1" s="375"/>
      <c r="M1" s="375"/>
      <c r="N1" s="370">
        <v>45292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SUM(compras_mes1[[#Totals],[NETO GRAVADO]])+extracto_banco_mes1[[#Totals],[NETO]]</f>
        <v>723376.81000000017</v>
      </c>
      <c r="C4" s="359"/>
      <c r="D4" s="359"/>
      <c r="E4" s="359"/>
      <c r="F4" s="39"/>
      <c r="G4" s="360">
        <f>compras_mes1[[#Totals],[IVA 21 %]]+compras_mes1[[#Totals],[IVA 27%]]+compras_mes1[[#Totals],[IVA 10,5%]]+extracto_banco_mes1[[#Totals],[IVA 21%]]+extracto_banco_mes1[[#Totals],[IVA 10,5%]]</f>
        <v>151909.13010000001</v>
      </c>
      <c r="H4" s="360"/>
      <c r="I4" s="39"/>
      <c r="J4" s="361">
        <f>venta_a_mes1[[#Totals],[IMPORTE NETO]]+ventas_b_mes1[[#Totals],[IMPORTE NETO]]</f>
        <v>1382498.0799999998</v>
      </c>
      <c r="K4" s="361"/>
      <c r="L4" s="39"/>
      <c r="M4" s="361">
        <f>venta_a_mes1[[#Totals],[IVA 21%]]+venta_a_mes1[[#Totals],[IVA 10,5%]]+ventas_b_mes1[[#Totals],[IVA 21%]]+ventas_b_mes1[[#Totals],[IVA 10,5%]]</f>
        <v>290324.59679999994</v>
      </c>
      <c r="N4" s="361"/>
      <c r="O4" s="39"/>
      <c r="P4" s="366">
        <f>G4-M4</f>
        <v>-138415.46669999993</v>
      </c>
      <c r="Q4" s="367"/>
      <c r="R4" s="367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76"/>
      <c r="C7" s="376"/>
      <c r="D7" s="374"/>
      <c r="E7" s="374"/>
      <c r="F7" s="44"/>
      <c r="G7" s="45"/>
      <c r="H7" s="46"/>
      <c r="I7" s="140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45322</v>
      </c>
      <c r="C9" s="41">
        <v>1</v>
      </c>
      <c r="D9" s="42">
        <v>11</v>
      </c>
      <c r="E9" s="43">
        <v>941540</v>
      </c>
      <c r="F9" s="44">
        <v>33709585229</v>
      </c>
      <c r="G9" s="45" t="str">
        <f>IFERROR(IF(compras_mes1[[#This Row],[CUIT]]="","-",VLOOKUP(compras_mes1[[#This Row],[CUIT]],Lista_CUIT[#All],2,0)),"CUIT NO CARGADO")</f>
        <v>GOOGLE ARGENTINA S.R.L.</v>
      </c>
      <c r="H9" s="46">
        <v>73116.08</v>
      </c>
      <c r="I9" s="85">
        <f>IF(compras_mes1[[#This Row],[NETO GRAVADO]]="","",compras_mes1[[#This Row],[NETO GRAVADO]]*0.21)</f>
        <v>15354.3768</v>
      </c>
      <c r="J9" s="85"/>
      <c r="K9" s="85"/>
      <c r="L9" s="85">
        <v>2193.48</v>
      </c>
      <c r="M9" s="85"/>
      <c r="N9" s="85">
        <v>1096.74</v>
      </c>
      <c r="O9" s="85"/>
      <c r="P9" s="48">
        <f>SUM(compras_mes1[[#This Row],[NETO GRAVADO]:[Otros / No Grav.]])</f>
        <v>91760.676800000001</v>
      </c>
      <c r="Q9" s="49" t="str">
        <f>IFERROR(IF(compras_mes1[[#This Row],[CUIT]]="","-",VLOOKUP(compras_mes1[[#This Row],[CUIT]],Lista_CUIT[#All],3,0)),"CUIT NO CARGADO")</f>
        <v>Gastos Publicidad y Propaganda</v>
      </c>
      <c r="R9" s="49">
        <f>IFERROR(IF(compras_mes1[[#This Row],[CUIT]]="","-",VLOOKUP(compras_mes1[[#This Row],[CUIT]],Lista_CUIT[#All],4,0)),"CUIT NO CARGADO")</f>
        <v>0</v>
      </c>
    </row>
    <row r="10" spans="1:26" x14ac:dyDescent="0.3">
      <c r="B10" s="40">
        <v>45322</v>
      </c>
      <c r="C10" s="41">
        <v>1</v>
      </c>
      <c r="D10" s="42">
        <v>11</v>
      </c>
      <c r="E10" s="43">
        <v>937071</v>
      </c>
      <c r="F10" s="44">
        <v>33709585229</v>
      </c>
      <c r="G10" s="45" t="str">
        <f>IFERROR(IF(compras_mes1[[#This Row],[CUIT]]="","-",VLOOKUP(compras_mes1[[#This Row],[CUIT]],Lista_CUIT[#All],2,0)),"CUIT NO CARGADO")</f>
        <v>GOOGLE ARGENTINA S.R.L.</v>
      </c>
      <c r="H10" s="46">
        <v>31817.43</v>
      </c>
      <c r="I10" s="85">
        <f>IF(compras_mes1[[#This Row],[NETO GRAVADO]]="","",compras_mes1[[#This Row],[NETO GRAVADO]]*0.21)</f>
        <v>6681.6602999999996</v>
      </c>
      <c r="J10" s="85"/>
      <c r="K10" s="85"/>
      <c r="L10" s="85">
        <v>954.52</v>
      </c>
      <c r="M10" s="85"/>
      <c r="N10" s="85">
        <v>477.26</v>
      </c>
      <c r="O10" s="85"/>
      <c r="P10" s="48">
        <f>SUM(compras_mes1[[#This Row],[NETO GRAVADO]:[Otros / No Grav.]])</f>
        <v>39930.870299999995</v>
      </c>
      <c r="Q10" s="49" t="str">
        <f>IFERROR(IF(compras_mes1[[#This Row],[CUIT]]="","-",VLOOKUP(compras_mes1[[#This Row],[CUIT]],Lista_CUIT[#All],3,0)),"CUIT NO CARGADO")</f>
        <v>Gastos Publicidad y Propaganda</v>
      </c>
      <c r="R10" s="49">
        <f>IFERROR(IF(compras_mes1[[#This Row],[CUIT]]="","-",VLOOKUP(compras_mes1[[#This Row],[CUIT]],Lista_CUIT[#All],4,0)),"CUIT NO CARGADO")</f>
        <v>0</v>
      </c>
    </row>
    <row r="11" spans="1:26" x14ac:dyDescent="0.3">
      <c r="B11" s="40">
        <v>45322</v>
      </c>
      <c r="C11" s="41">
        <v>1</v>
      </c>
      <c r="D11" s="42">
        <v>11</v>
      </c>
      <c r="E11" s="43">
        <v>935773</v>
      </c>
      <c r="F11" s="44">
        <v>33709585229</v>
      </c>
      <c r="G11" s="45" t="str">
        <f>IFERROR(IF(compras_mes1[[#This Row],[CUIT]]="","-",VLOOKUP(compras_mes1[[#This Row],[CUIT]],Lista_CUIT[#All],2,0)),"CUIT NO CARGADO")</f>
        <v>GOOGLE ARGENTINA S.R.L.</v>
      </c>
      <c r="H11" s="46">
        <v>41418.76</v>
      </c>
      <c r="I11" s="85">
        <f>IF(compras_mes1[[#This Row],[NETO GRAVADO]]="","",compras_mes1[[#This Row],[NETO GRAVADO]]*0.21)</f>
        <v>8697.9395999999997</v>
      </c>
      <c r="J11" s="85"/>
      <c r="K11" s="85"/>
      <c r="L11" s="85">
        <v>1242.56</v>
      </c>
      <c r="M11" s="85"/>
      <c r="N11" s="85">
        <v>621.28</v>
      </c>
      <c r="O11" s="85"/>
      <c r="P11" s="48">
        <f>SUM(compras_mes1[[#This Row],[NETO GRAVADO]:[Otros / No Grav.]])</f>
        <v>51980.539599999996</v>
      </c>
      <c r="Q11" s="49" t="str">
        <f>IFERROR(IF(compras_mes1[[#This Row],[CUIT]]="","-",VLOOKUP(compras_mes1[[#This Row],[CUIT]],Lista_CUIT[#All],3,0)),"CUIT NO CARGADO")</f>
        <v>Gastos Publicidad y Propaganda</v>
      </c>
      <c r="R11" s="49">
        <f>IFERROR(IF(compras_mes1[[#This Row],[CUIT]]="","-",VLOOKUP(compras_mes1[[#This Row],[CUIT]],Lista_CUIT[#All],4,0)),"CUIT NO CARGADO")</f>
        <v>0</v>
      </c>
    </row>
    <row r="12" spans="1:26" x14ac:dyDescent="0.3">
      <c r="B12" s="40">
        <v>45322</v>
      </c>
      <c r="C12" s="41">
        <v>1</v>
      </c>
      <c r="D12" s="42">
        <v>11</v>
      </c>
      <c r="E12" s="43">
        <v>936068</v>
      </c>
      <c r="F12" s="44">
        <v>33709585229</v>
      </c>
      <c r="G12" s="45" t="str">
        <f>IFERROR(IF(compras_mes1[[#This Row],[CUIT]]="","-",VLOOKUP(compras_mes1[[#This Row],[CUIT]],Lista_CUIT[#All],2,0)),"CUIT NO CARGADO")</f>
        <v>GOOGLE ARGENTINA S.R.L.</v>
      </c>
      <c r="H12" s="46">
        <v>477557.3</v>
      </c>
      <c r="I12" s="85">
        <f>IF(compras_mes1[[#This Row],[NETO GRAVADO]]="","",compras_mes1[[#This Row],[NETO GRAVADO]]*0.21)</f>
        <v>100287.033</v>
      </c>
      <c r="J12" s="85"/>
      <c r="K12" s="85"/>
      <c r="L12" s="85">
        <v>14326.72</v>
      </c>
      <c r="M12" s="85"/>
      <c r="N12" s="85">
        <v>7163.36</v>
      </c>
      <c r="O12" s="85"/>
      <c r="P12" s="48">
        <f>SUM(compras_mes1[[#This Row],[NETO GRAVADO]:[Otros / No Grav.]])</f>
        <v>599334.41299999994</v>
      </c>
      <c r="Q12" s="49" t="str">
        <f>IFERROR(IF(compras_mes1[[#This Row],[CUIT]]="","-",VLOOKUP(compras_mes1[[#This Row],[CUIT]],Lista_CUIT[#All],3,0)),"CUIT NO CARGADO")</f>
        <v>Gastos Publicidad y Propaganda</v>
      </c>
      <c r="R12" s="49">
        <f>IFERROR(IF(compras_mes1[[#This Row],[CUIT]]="","-",VLOOKUP(compras_mes1[[#This Row],[CUIT]],Lista_CUIT[#All],4,0)),"CUIT NO CARGADO")</f>
        <v>0</v>
      </c>
    </row>
    <row r="13" spans="1:26" x14ac:dyDescent="0.3">
      <c r="B13" s="40">
        <v>45322</v>
      </c>
      <c r="C13" s="41">
        <v>1</v>
      </c>
      <c r="D13" s="42">
        <v>11</v>
      </c>
      <c r="E13" s="43">
        <v>932631</v>
      </c>
      <c r="F13" s="44">
        <v>33709585229</v>
      </c>
      <c r="G13" s="45" t="str">
        <f>IFERROR(IF(compras_mes1[[#This Row],[CUIT]]="","-",VLOOKUP(compras_mes1[[#This Row],[CUIT]],Lista_CUIT[#All],2,0)),"CUIT NO CARGADO")</f>
        <v>GOOGLE ARGENTINA S.R.L.</v>
      </c>
      <c r="H13" s="46">
        <v>30522.81</v>
      </c>
      <c r="I13" s="85">
        <f>IF(compras_mes1[[#This Row],[NETO GRAVADO]]="","",compras_mes1[[#This Row],[NETO GRAVADO]]*0.21)</f>
        <v>6409.7901000000002</v>
      </c>
      <c r="J13" s="85"/>
      <c r="K13" s="85"/>
      <c r="L13" s="85">
        <v>915.68</v>
      </c>
      <c r="M13" s="85"/>
      <c r="N13" s="85">
        <v>457.84</v>
      </c>
      <c r="O13" s="85"/>
      <c r="P13" s="48">
        <f>SUM(compras_mes1[[#This Row],[NETO GRAVADO]:[Otros / No Grav.]])</f>
        <v>38306.1201</v>
      </c>
      <c r="Q13" s="49" t="str">
        <f>IFERROR(IF(compras_mes1[[#This Row],[CUIT]]="","-",VLOOKUP(compras_mes1[[#This Row],[CUIT]],Lista_CUIT[#All],3,0)),"CUIT NO CARGADO")</f>
        <v>Gastos Publicidad y Propaganda</v>
      </c>
      <c r="R13" s="49">
        <f>IFERROR(IF(compras_mes1[[#This Row],[CUIT]]="","-",VLOOKUP(compras_mes1[[#This Row],[CUIT]],Lista_CUIT[#All],4,0)),"CUIT NO CARGADO")</f>
        <v>0</v>
      </c>
    </row>
    <row r="14" spans="1:26" x14ac:dyDescent="0.3">
      <c r="B14" s="40">
        <v>45322</v>
      </c>
      <c r="C14" s="41">
        <v>1</v>
      </c>
      <c r="D14" s="42">
        <v>11</v>
      </c>
      <c r="E14" s="43">
        <v>931692</v>
      </c>
      <c r="F14" s="44">
        <v>33709585229</v>
      </c>
      <c r="G14" s="45" t="str">
        <f>IFERROR(IF(compras_mes1[[#This Row],[CUIT]]="","-",VLOOKUP(compras_mes1[[#This Row],[CUIT]],Lista_CUIT[#All],2,0)),"CUIT NO CARGADO")</f>
        <v>GOOGLE ARGENTINA S.R.L.</v>
      </c>
      <c r="H14" s="46">
        <v>68993.02</v>
      </c>
      <c r="I14" s="85">
        <f>IF(compras_mes1[[#This Row],[NETO GRAVADO]]="","",compras_mes1[[#This Row],[NETO GRAVADO]]*0.21)</f>
        <v>14488.5342</v>
      </c>
      <c r="J14" s="85"/>
      <c r="K14" s="85"/>
      <c r="L14" s="85">
        <v>2069.79</v>
      </c>
      <c r="M14" s="85"/>
      <c r="N14" s="85">
        <v>1034.9000000000001</v>
      </c>
      <c r="O14" s="85"/>
      <c r="P14" s="48">
        <f>SUM(compras_mes1[[#This Row],[NETO GRAVADO]:[Otros / No Grav.]])</f>
        <v>86586.244199999986</v>
      </c>
      <c r="Q14" s="49" t="str">
        <f>IFERROR(IF(compras_mes1[[#This Row],[CUIT]]="","-",VLOOKUP(compras_mes1[[#This Row],[CUIT]],Lista_CUIT[#All],3,0)),"CUIT NO CARGADO")</f>
        <v>Gastos Publicidad y Propaganda</v>
      </c>
      <c r="R14" s="49">
        <f>IFERROR(IF(compras_mes1[[#This Row],[CUIT]]="","-",VLOOKUP(compras_mes1[[#This Row],[CUIT]],Lista_CUIT[#All],4,0)),"CUIT NO CARGADO")</f>
        <v>0</v>
      </c>
    </row>
    <row r="15" spans="1:26" x14ac:dyDescent="0.3">
      <c r="B15" s="40">
        <v>45322</v>
      </c>
      <c r="C15" s="41">
        <v>3</v>
      </c>
      <c r="D15" s="42">
        <v>11</v>
      </c>
      <c r="E15" s="43">
        <v>691643</v>
      </c>
      <c r="F15" s="44">
        <v>33709585229</v>
      </c>
      <c r="G15" s="45" t="str">
        <f>IFERROR(IF(compras_mes1[[#This Row],[CUIT]]="","-",VLOOKUP(compras_mes1[[#This Row],[CUIT]],Lista_CUIT[#All],2,0)),"CUIT NO CARGADO")</f>
        <v>GOOGLE ARGENTINA S.R.L.</v>
      </c>
      <c r="H15" s="46">
        <v>-48.59</v>
      </c>
      <c r="I15" s="85">
        <f>IF(compras_mes1[[#This Row],[NETO GRAVADO]]="","",compras_mes1[[#This Row],[NETO GRAVADO]]*0.21)</f>
        <v>-10.203900000000001</v>
      </c>
      <c r="J15" s="85"/>
      <c r="K15" s="85"/>
      <c r="L15" s="85"/>
      <c r="M15" s="85"/>
      <c r="N15" s="85"/>
      <c r="O15" s="85"/>
      <c r="P15" s="48">
        <f>SUM(compras_mes1[[#This Row],[NETO GRAVADO]:[Otros / No Grav.]])</f>
        <v>-58.793900000000008</v>
      </c>
      <c r="Q15" s="49" t="str">
        <f>IFERROR(IF(compras_mes1[[#This Row],[CUIT]]="","-",VLOOKUP(compras_mes1[[#This Row],[CUIT]],Lista_CUIT[#All],3,0)),"CUIT NO CARGADO")</f>
        <v>Gastos Publicidad y Propaganda</v>
      </c>
      <c r="R15" s="49">
        <f>IFERROR(IF(compras_mes1[[#This Row],[CUIT]]="","-",VLOOKUP(compras_mes1[[#This Row],[CUIT]],Lista_CUIT[#All],4,0)),"CUIT NO CARGADO")</f>
        <v>0</v>
      </c>
    </row>
    <row r="16" spans="1:26" x14ac:dyDescent="0.3">
      <c r="B16" s="40">
        <v>45322</v>
      </c>
      <c r="C16" s="41">
        <v>3</v>
      </c>
      <c r="D16" s="42">
        <v>11</v>
      </c>
      <c r="E16" s="43">
        <v>689632</v>
      </c>
      <c r="F16" s="44">
        <v>33709585229</v>
      </c>
      <c r="G16" s="45" t="str">
        <f>IFERROR(IF(compras_mes1[[#This Row],[CUIT]]="","-",VLOOKUP(compras_mes1[[#This Row],[CUIT]],Lista_CUIT[#All],2,0)),"CUIT NO CARGADO")</f>
        <v>GOOGLE ARGENTINA S.R.L.</v>
      </c>
      <c r="H16" s="46">
        <v>0</v>
      </c>
      <c r="I16" s="85">
        <f>IF(compras_mes1[[#This Row],[NETO GRAVADO]]="","",compras_mes1[[#This Row],[NETO GRAVADO]]*0.21)</f>
        <v>0</v>
      </c>
      <c r="J16" s="85"/>
      <c r="K16" s="85"/>
      <c r="L16" s="85"/>
      <c r="M16" s="85"/>
      <c r="N16" s="85"/>
      <c r="O16" s="85"/>
      <c r="P16" s="48">
        <f>SUM(compras_mes1[[#This Row],[NETO GRAVADO]:[Otros / No Grav.]])</f>
        <v>0</v>
      </c>
      <c r="Q16" s="49" t="str">
        <f>IFERROR(IF(compras_mes1[[#This Row],[CUIT]]="","-",VLOOKUP(compras_mes1[[#This Row],[CUIT]],Lista_CUIT[#All],3,0)),"CUIT NO CARGADO")</f>
        <v>Gastos Publicidad y Propaganda</v>
      </c>
      <c r="R16" s="49">
        <f>IFERROR(IF(compras_mes1[[#This Row],[CUIT]]="","-",VLOOKUP(compras_mes1[[#This Row],[CUIT]],Lista_CUIT[#All],4,0)),"CUIT NO CARGADO")</f>
        <v>0</v>
      </c>
    </row>
    <row r="17" spans="2:18" x14ac:dyDescent="0.3">
      <c r="B17" s="40"/>
      <c r="C17" s="41"/>
      <c r="D17" s="42"/>
      <c r="E17" s="43"/>
      <c r="F17" s="44"/>
      <c r="G17" s="45" t="str">
        <f>IFERROR(IF(compras_mes1[[#This Row],[CUIT]]="","-",VLOOKUP(compras_mes1[[#This Row],[CUIT]],Lista_CUIT[#All],2,0)),"CUIT NO CARGADO")</f>
        <v>-</v>
      </c>
      <c r="H17" s="46"/>
      <c r="I17" s="85" t="str">
        <f>IF(compras_mes1[[#This Row],[NETO GRAVADO]]="","",compras_mes1[[#This Row],[NETO GRAVADO]]*0.21)</f>
        <v/>
      </c>
      <c r="J17" s="85"/>
      <c r="K17" s="85"/>
      <c r="L17" s="85"/>
      <c r="M17" s="85"/>
      <c r="N17" s="85"/>
      <c r="O17" s="85"/>
      <c r="P17" s="48">
        <f>SUM(compras_mes1[[#This Row],[NETO GRAVADO]:[Otros / No Grav.]])</f>
        <v>0</v>
      </c>
      <c r="Q17" s="49" t="str">
        <f>IFERROR(IF(compras_mes1[[#This Row],[CUIT]]="","-",VLOOKUP(compras_mes1[[#This Row],[CUIT]],Lista_CUIT[#All],3,0)),"CUIT NO CARGADO")</f>
        <v>-</v>
      </c>
      <c r="R17" s="49" t="str">
        <f>IFERROR(IF(compras_mes1[[#This Row],[CUIT]]="","-",VLOOKUP(compras_mes1[[#This Row],[CUIT]],Lista_CUIT[#All],4,0)),"CUIT NO CARGADO")</f>
        <v>-</v>
      </c>
    </row>
    <row r="18" spans="2:18" x14ac:dyDescent="0.3">
      <c r="B18" s="40"/>
      <c r="C18" s="41"/>
      <c r="D18" s="42"/>
      <c r="E18" s="43"/>
      <c r="F18" s="44"/>
      <c r="G18" s="45" t="str">
        <f>IFERROR(IF(compras_mes1[[#This Row],[CUIT]]="","-",VLOOKUP(compras_mes1[[#This Row],[CUIT]],Lista_CUIT[#All],2,0)),"CUIT NO CARGADO")</f>
        <v>-</v>
      </c>
      <c r="H18" s="46"/>
      <c r="I18" s="85" t="str">
        <f>IF(compras_mes1[[#This Row],[NETO GRAVADO]]="","",compras_mes1[[#This Row],[NETO GRAVADO]]*0.21)</f>
        <v/>
      </c>
      <c r="J18" s="85"/>
      <c r="K18" s="85"/>
      <c r="L18" s="85"/>
      <c r="M18" s="85"/>
      <c r="N18" s="85"/>
      <c r="O18" s="85"/>
      <c r="P18" s="48">
        <f>SUM(compras_mes1[[#This Row],[NETO GRAVADO]:[Otros / No Grav.]])</f>
        <v>0</v>
      </c>
      <c r="Q18" s="49" t="str">
        <f>IFERROR(IF(compras_mes1[[#This Row],[CUIT]]="","-",VLOOKUP(compras_mes1[[#This Row],[CUIT]],Lista_CUIT[#All],3,0)),"CUIT NO CARGADO")</f>
        <v>-</v>
      </c>
      <c r="R18" s="49" t="str">
        <f>IFERROR(IF(compras_mes1[[#This Row],[CUIT]]="","-",VLOOKUP(compras_mes1[[#This Row],[CUIT]],Lista_CUIT[#All],4,0)),"CUIT NO CARGADO")</f>
        <v>-</v>
      </c>
    </row>
    <row r="19" spans="2:18" x14ac:dyDescent="0.3">
      <c r="B19" s="96" t="s">
        <v>91</v>
      </c>
      <c r="C19" s="96"/>
      <c r="D19" s="96"/>
      <c r="E19" s="222"/>
      <c r="F19" s="96"/>
      <c r="G19" s="97"/>
      <c r="H19" s="98">
        <f>SUBTOTAL(109,compras_mes1[NETO GRAVADO])</f>
        <v>723376.81000000017</v>
      </c>
      <c r="I19" s="98">
        <f>SUBTOTAL(109,compras_mes1[IVA 21 %])</f>
        <v>151909.13010000001</v>
      </c>
      <c r="J19" s="98">
        <f>SUBTOTAL(109,compras_mes1[IVA 27%])</f>
        <v>0</v>
      </c>
      <c r="K19" s="98">
        <f>SUBTOTAL(109,compras_mes1[IVA 10,5%])</f>
        <v>0</v>
      </c>
      <c r="L19" s="98">
        <f>SUBTOTAL(109,compras_mes1[PERC. IVA])</f>
        <v>21702.75</v>
      </c>
      <c r="M19" s="98">
        <f>SUBTOTAL(109,compras_mes1[PERC IIBB 
BS AS])</f>
        <v>0</v>
      </c>
      <c r="N19" s="98">
        <f>SUBTOTAL(109,compras_mes1[PERC. IIBB CABA])</f>
        <v>10851.38</v>
      </c>
      <c r="O19" s="98">
        <f>SUBTOTAL(109,compras_mes1[Otros / No Grav.])</f>
        <v>0</v>
      </c>
      <c r="P19" s="98">
        <f>SUBTOTAL(109,compras_mes1[TOTAL])</f>
        <v>907840.0700999999</v>
      </c>
      <c r="Q19" s="96"/>
      <c r="R19" s="96"/>
    </row>
    <row r="20" spans="2:18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  <c r="M20" s="47"/>
      <c r="N20" s="47"/>
      <c r="O20" s="47"/>
      <c r="P20" s="48"/>
      <c r="Q20" s="49"/>
      <c r="R20" s="49"/>
    </row>
    <row r="21" spans="2:18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2:18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M22" s="47"/>
      <c r="N22" s="47"/>
      <c r="O22" s="47"/>
      <c r="P22" s="48"/>
      <c r="Q22" s="49"/>
      <c r="R22" s="49"/>
    </row>
    <row r="23" spans="2:18" x14ac:dyDescent="0.3">
      <c r="B23" s="40"/>
      <c r="C23" s="41"/>
      <c r="D23" s="42"/>
      <c r="E23" s="43"/>
      <c r="F23" s="44"/>
      <c r="G23" s="45"/>
      <c r="H23" s="46"/>
      <c r="I23" s="47"/>
      <c r="J23" s="47"/>
      <c r="K23" s="47"/>
      <c r="L23" s="47"/>
    </row>
    <row r="24" spans="2:18" ht="21" x14ac:dyDescent="0.3">
      <c r="D24" s="362" t="s">
        <v>15</v>
      </c>
      <c r="E24" s="362"/>
      <c r="F24" s="362"/>
      <c r="G24" s="362"/>
      <c r="H24" s="362"/>
      <c r="I24" s="362"/>
      <c r="J24" s="362"/>
      <c r="K24" s="362"/>
      <c r="L24" s="362"/>
      <c r="O24" s="33"/>
    </row>
    <row r="25" spans="2:18" ht="15.6" x14ac:dyDescent="0.3">
      <c r="D25" s="73" t="s">
        <v>0</v>
      </c>
      <c r="E25" s="74" t="s">
        <v>26</v>
      </c>
      <c r="F25" s="74" t="s">
        <v>16</v>
      </c>
      <c r="G25" s="74" t="s">
        <v>5</v>
      </c>
      <c r="H25" s="74" t="s">
        <v>17</v>
      </c>
      <c r="I25" s="74" t="s">
        <v>7</v>
      </c>
      <c r="J25" s="75" t="s">
        <v>18</v>
      </c>
      <c r="K25" s="75" t="s">
        <v>19</v>
      </c>
      <c r="L25" s="76" t="s">
        <v>20</v>
      </c>
    </row>
    <row r="26" spans="2:18" x14ac:dyDescent="0.3">
      <c r="D26" s="50"/>
      <c r="E26" s="79"/>
      <c r="F26" s="80"/>
      <c r="G26" s="81"/>
      <c r="H26" s="81"/>
      <c r="I26" s="81"/>
      <c r="J26" s="81"/>
      <c r="K26" s="81"/>
      <c r="L26" s="81"/>
    </row>
    <row r="27" spans="2:18" x14ac:dyDescent="0.3">
      <c r="D27" s="50"/>
      <c r="E27" s="79"/>
      <c r="F27" s="80"/>
      <c r="G27" s="81"/>
      <c r="H27" s="81"/>
      <c r="I27" s="81"/>
      <c r="J27" s="81"/>
      <c r="K27" s="81"/>
      <c r="L27" s="81"/>
    </row>
    <row r="28" spans="2:18" x14ac:dyDescent="0.3">
      <c r="D28" s="50"/>
      <c r="E28" s="79"/>
      <c r="F28" s="80"/>
      <c r="G28" s="81"/>
      <c r="H28" s="81"/>
      <c r="I28" s="81"/>
      <c r="J28" s="81"/>
      <c r="K28" s="81"/>
      <c r="L28" s="81"/>
    </row>
    <row r="29" spans="2:18" x14ac:dyDescent="0.3">
      <c r="D29" s="82" t="s">
        <v>91</v>
      </c>
      <c r="E29" s="80"/>
      <c r="F29" s="80"/>
      <c r="G29" s="83">
        <f>SUBTOTAL(109,extracto_banco_mes1[NETO])</f>
        <v>0</v>
      </c>
      <c r="H29" s="83">
        <f>SUBTOTAL(109,extracto_banco_mes1[IVA 21%])</f>
        <v>0</v>
      </c>
      <c r="I29" s="83">
        <f>SUBTOTAL(109,extracto_banco_mes1[IVA 10,5%])</f>
        <v>0</v>
      </c>
      <c r="J29" s="83">
        <f>SUBTOTAL(109,extracto_banco_mes1[RET IIBB CABA])</f>
        <v>0</v>
      </c>
      <c r="K29" s="83">
        <f>SUBTOTAL(109,extracto_banco_mes1[PERC IVA])</f>
        <v>0</v>
      </c>
      <c r="L29" s="83">
        <f>SUBTOTAL(109,extracto_banco_mes1[PERC IIBB])</f>
        <v>0</v>
      </c>
    </row>
    <row r="33" spans="2:18" ht="21" x14ac:dyDescent="0.3">
      <c r="D33" s="362" t="s">
        <v>25</v>
      </c>
      <c r="E33" s="362"/>
      <c r="F33" s="362"/>
      <c r="G33" s="362"/>
      <c r="H33" s="362"/>
      <c r="I33" s="362"/>
      <c r="J33" s="362"/>
      <c r="K33" s="362"/>
    </row>
    <row r="34" spans="2:18" x14ac:dyDescent="0.3">
      <c r="D34" s="51" t="s">
        <v>0</v>
      </c>
      <c r="E34" s="51" t="s">
        <v>2</v>
      </c>
      <c r="F34" s="51" t="s">
        <v>74</v>
      </c>
      <c r="G34" s="51" t="s">
        <v>3</v>
      </c>
      <c r="H34" s="51" t="s">
        <v>4</v>
      </c>
      <c r="I34" s="52" t="s">
        <v>10</v>
      </c>
      <c r="J34" s="51" t="s">
        <v>13</v>
      </c>
      <c r="K34" s="51" t="s">
        <v>38</v>
      </c>
    </row>
    <row r="35" spans="2:18" x14ac:dyDescent="0.3">
      <c r="D35" s="40">
        <v>45293</v>
      </c>
      <c r="E35" s="42">
        <v>2</v>
      </c>
      <c r="F35" s="43">
        <v>698</v>
      </c>
      <c r="G35" s="44">
        <v>20400104094</v>
      </c>
      <c r="H35" s="53" t="str">
        <f>IFERROR(IF(factura_c_mes1[[#This Row],[CUIT]]="","-",VLOOKUP(factura_c_mes1[[#This Row],[CUIT]],Lista_CUIT[#All],2,0)),"CUIT NO CARGADO")</f>
        <v>BOTINDARI FEDERICO DANIEL</v>
      </c>
      <c r="I35" s="46">
        <v>46500</v>
      </c>
      <c r="J35" s="54" t="str">
        <f>IFERROR(IF(factura_c_mes1[[#This Row],[CUIT]]="","-",VLOOKUP(factura_c_mes1[[#This Row],[CUIT]],Lista_CUIT[#All],3,0)),"CUIT NO CARGADO")</f>
        <v>HONORARIOS CONTABLE</v>
      </c>
      <c r="K35" s="54">
        <f>IFERROR(IF(factura_c_mes1[[#This Row],[CUIT]]="","-",VLOOKUP(factura_c_mes1[[#This Row],[CUIT]],Lista_CUIT[#All],4,0)),"CUIT NO CARGADO")</f>
        <v>0</v>
      </c>
    </row>
    <row r="36" spans="2:18" x14ac:dyDescent="0.3">
      <c r="D36" s="40">
        <v>45294</v>
      </c>
      <c r="E36" s="42">
        <v>1</v>
      </c>
      <c r="F36" s="43">
        <v>299</v>
      </c>
      <c r="G36" s="44">
        <v>27386311000</v>
      </c>
      <c r="H36" s="53" t="str">
        <f>IFERROR(IF(factura_c_mes1[[#This Row],[CUIT]]="","-",VLOOKUP(factura_c_mes1[[#This Row],[CUIT]],Lista_CUIT[#All],2,0)),"CUIT NO CARGADO")</f>
        <v>OPANASIUK MACARENA ANTONELLA</v>
      </c>
      <c r="I36" s="46">
        <v>500000</v>
      </c>
      <c r="J36" s="54" t="str">
        <f>IFERROR(IF(factura_c_mes1[[#This Row],[CUIT]]="","-",VLOOKUP(factura_c_mes1[[#This Row],[CUIT]],Lista_CUIT[#All],3,0)),"CUIT NO CARGADO")</f>
        <v>Honorarios Profesionales</v>
      </c>
      <c r="K36" s="54">
        <f>IFERROR(IF(factura_c_mes1[[#This Row],[CUIT]]="","-",VLOOKUP(factura_c_mes1[[#This Row],[CUIT]],Lista_CUIT[#All],4,0)),"CUIT NO CARGADO")</f>
        <v>0</v>
      </c>
    </row>
    <row r="37" spans="2:18" x14ac:dyDescent="0.3">
      <c r="D37" s="50"/>
      <c r="E37" s="130"/>
      <c r="F37" s="130"/>
      <c r="G37" s="44"/>
      <c r="H37" s="53" t="str">
        <f>IFERROR(IF(factura_c_mes1[[#This Row],[CUIT]]="","-",VLOOKUP(factura_c_mes1[[#This Row],[CUIT]],Lista_CUIT[#All],2,0)),"CUIT NO CARGADO")</f>
        <v>-</v>
      </c>
      <c r="I37" s="81"/>
      <c r="J37" s="54" t="str">
        <f>IFERROR(IF(factura_c_mes1[[#This Row],[CUIT]]="","-",VLOOKUP(factura_c_mes1[[#This Row],[CUIT]],Lista_CUIT[#All],3,0)),"CUIT NO CARGADO")</f>
        <v>-</v>
      </c>
      <c r="K37" s="54" t="str">
        <f>IFERROR(IF(factura_c_mes1[[#This Row],[CUIT]]="","-",VLOOKUP(factura_c_mes1[[#This Row],[CUIT]],Lista_CUIT[#All],4,0)),"CUIT NO CARGADO")</f>
        <v>-</v>
      </c>
    </row>
    <row r="38" spans="2:18" x14ac:dyDescent="0.3">
      <c r="D38" s="55" t="s">
        <v>91</v>
      </c>
      <c r="E38" s="55"/>
      <c r="F38" s="55"/>
      <c r="G38" s="55"/>
      <c r="H38" s="57"/>
      <c r="I38" s="58">
        <f>SUBTOTAL(109,factura_c_mes1[TOTAL])</f>
        <v>546500</v>
      </c>
      <c r="J38" s="55"/>
      <c r="K38" s="55"/>
    </row>
    <row r="39" spans="2:18" x14ac:dyDescent="0.3">
      <c r="B39" s="56"/>
      <c r="C39" s="56"/>
      <c r="L39" s="56"/>
      <c r="M39" s="56"/>
      <c r="N39" s="56"/>
      <c r="O39" s="56"/>
      <c r="P39" s="56"/>
      <c r="Q39" s="56"/>
      <c r="R39" s="56"/>
    </row>
    <row r="44" spans="2:18" ht="25.8" x14ac:dyDescent="0.3">
      <c r="B44" s="363" t="s">
        <v>29</v>
      </c>
      <c r="C44" s="363"/>
      <c r="D44" s="363"/>
      <c r="E44" s="363"/>
      <c r="F44" s="363"/>
      <c r="G44" s="363"/>
      <c r="H44" s="363"/>
      <c r="I44" s="363"/>
      <c r="J44" s="363"/>
      <c r="K44" s="364">
        <f>N1</f>
        <v>45292</v>
      </c>
      <c r="L44" s="364"/>
      <c r="M44" s="364"/>
    </row>
    <row r="46" spans="2:18" ht="21" x14ac:dyDescent="0.3">
      <c r="B46" s="365" t="s">
        <v>30</v>
      </c>
      <c r="C46" s="365"/>
    </row>
    <row r="47" spans="2:18" ht="15.6" x14ac:dyDescent="0.3">
      <c r="B47" s="60" t="s">
        <v>0</v>
      </c>
      <c r="C47" s="61" t="s">
        <v>1</v>
      </c>
      <c r="D47" s="61" t="s">
        <v>21</v>
      </c>
      <c r="E47" s="61" t="s">
        <v>22</v>
      </c>
      <c r="F47" s="61" t="s">
        <v>3</v>
      </c>
      <c r="G47" s="61" t="s">
        <v>4</v>
      </c>
      <c r="H47" s="61" t="s">
        <v>23</v>
      </c>
      <c r="I47" s="61" t="s">
        <v>17</v>
      </c>
      <c r="J47" s="61" t="s">
        <v>7</v>
      </c>
      <c r="K47" s="61" t="s">
        <v>24</v>
      </c>
      <c r="L47" s="61" t="s">
        <v>10</v>
      </c>
      <c r="M47" s="62" t="s">
        <v>38</v>
      </c>
    </row>
    <row r="48" spans="2:18" x14ac:dyDescent="0.3">
      <c r="B48" s="223">
        <v>45293</v>
      </c>
      <c r="C48" s="110">
        <v>1</v>
      </c>
      <c r="D48" s="111">
        <v>2</v>
      </c>
      <c r="E48" s="112">
        <v>6</v>
      </c>
      <c r="F48" s="113">
        <v>30715380567</v>
      </c>
      <c r="G48" s="99" t="str">
        <f>IFERROR(IF(venta_a_mes1[[#This Row],[CUIT]]="","-",VLOOKUP(venta_a_mes1[[#This Row],[CUIT]],Lista_CUIT[#All],2,0)),"CUIT NO CARGADO")</f>
        <v>SENS GROUP SRL</v>
      </c>
      <c r="H48" s="100">
        <v>184981.05</v>
      </c>
      <c r="I48" s="101">
        <f>venta_a_mes1[[#This Row],[IMPORTE NETO]]*0.21</f>
        <v>38846.020499999999</v>
      </c>
      <c r="J48" s="65"/>
      <c r="K48" s="65"/>
      <c r="L48" s="65">
        <f>SUM(venta_a_mes1[[#This Row],[IMPORTE NETO]:[EXENTO]])</f>
        <v>223827.07049999997</v>
      </c>
      <c r="M48" s="59"/>
    </row>
    <row r="49" spans="2:13" x14ac:dyDescent="0.3">
      <c r="B49" s="223">
        <v>45293</v>
      </c>
      <c r="C49" s="110">
        <v>1</v>
      </c>
      <c r="D49" s="111">
        <v>1</v>
      </c>
      <c r="E49" s="112">
        <v>107</v>
      </c>
      <c r="F49" s="113">
        <v>30717973166</v>
      </c>
      <c r="G49" s="99" t="str">
        <f>IFERROR(IF(venta_a_mes1[[#This Row],[CUIT]]="","-",VLOOKUP(venta_a_mes1[[#This Row],[CUIT]],Lista_CUIT[#All],2,0)),"CUIT NO CARGADO")</f>
        <v>STM ESTILO S.R.L</v>
      </c>
      <c r="H49" s="100">
        <v>37685.949999999997</v>
      </c>
      <c r="I49" s="101">
        <f>venta_a_mes1[[#This Row],[IMPORTE NETO]]*0.21</f>
        <v>7914.0494999999992</v>
      </c>
      <c r="J49" s="65"/>
      <c r="K49" s="65"/>
      <c r="L49" s="65">
        <f>SUM(venta_a_mes1[[#This Row],[IMPORTE NETO]:[EXENTO]])</f>
        <v>45599.999499999998</v>
      </c>
      <c r="M49" s="59"/>
    </row>
    <row r="50" spans="2:13" x14ac:dyDescent="0.3">
      <c r="B50" s="223">
        <v>45293</v>
      </c>
      <c r="C50" s="110">
        <v>1</v>
      </c>
      <c r="D50" s="111">
        <v>1</v>
      </c>
      <c r="E50" s="112">
        <v>105</v>
      </c>
      <c r="F50" s="113">
        <v>30717170594</v>
      </c>
      <c r="G50" s="99" t="str">
        <f>IFERROR(IF(venta_a_mes1[[#This Row],[CUIT]]="","-",VLOOKUP(venta_a_mes1[[#This Row],[CUIT]],Lista_CUIT[#All],2,0)),"CUIT NO CARGADO")</f>
        <v>INDUSTRIA4 S.R.L.</v>
      </c>
      <c r="H50" s="100">
        <v>75371.899999999994</v>
      </c>
      <c r="I50" s="101">
        <f>venta_a_mes1[[#This Row],[IMPORTE NETO]]*0.21</f>
        <v>15828.098999999998</v>
      </c>
      <c r="J50" s="65"/>
      <c r="K50" s="65"/>
      <c r="L50" s="65">
        <f>SUM(venta_a_mes1[[#This Row],[IMPORTE NETO]:[EXENTO]])</f>
        <v>91199.998999999996</v>
      </c>
      <c r="M50" s="59"/>
    </row>
    <row r="51" spans="2:13" x14ac:dyDescent="0.3">
      <c r="B51" s="223">
        <v>45293</v>
      </c>
      <c r="C51" s="110">
        <v>1</v>
      </c>
      <c r="D51" s="111">
        <v>1</v>
      </c>
      <c r="E51" s="112">
        <v>111</v>
      </c>
      <c r="F51" s="113">
        <v>20279415656</v>
      </c>
      <c r="G51" s="99" t="str">
        <f>IFERROR(IF(venta_a_mes1[[#This Row],[CUIT]]="","-",VLOOKUP(venta_a_mes1[[#This Row],[CUIT]],Lista_CUIT[#All],2,0)),"CUIT NO CARGADO")</f>
        <v>CECCO ALVARO GONZALO</v>
      </c>
      <c r="H51" s="100">
        <v>75371.899999999994</v>
      </c>
      <c r="I51" s="101">
        <f>venta_a_mes1[[#This Row],[IMPORTE NETO]]*0.21</f>
        <v>15828.098999999998</v>
      </c>
      <c r="J51" s="65"/>
      <c r="K51" s="65"/>
      <c r="L51" s="65">
        <f>SUM(venta_a_mes1[[#This Row],[IMPORTE NETO]:[EXENTO]])</f>
        <v>91199.998999999996</v>
      </c>
      <c r="M51" s="59"/>
    </row>
    <row r="52" spans="2:13" x14ac:dyDescent="0.3">
      <c r="B52" s="223">
        <v>45293</v>
      </c>
      <c r="C52" s="110">
        <v>1</v>
      </c>
      <c r="D52" s="111">
        <v>1</v>
      </c>
      <c r="E52" s="112">
        <v>110</v>
      </c>
      <c r="F52" s="113">
        <v>20287305460</v>
      </c>
      <c r="G52" s="99" t="str">
        <f>IFERROR(IF(venta_a_mes1[[#This Row],[CUIT]]="","-",VLOOKUP(venta_a_mes1[[#This Row],[CUIT]],Lista_CUIT[#All],2,0)),"CUIT NO CARGADO")</f>
        <v>LANDI GERONIMO</v>
      </c>
      <c r="H52" s="100">
        <v>37685.949999999997</v>
      </c>
      <c r="I52" s="101">
        <f>venta_a_mes1[[#This Row],[IMPORTE NETO]]*0.21</f>
        <v>7914.0494999999992</v>
      </c>
      <c r="J52" s="65"/>
      <c r="K52" s="65"/>
      <c r="L52" s="65">
        <f>SUM(venta_a_mes1[[#This Row],[IMPORTE NETO]:[EXENTO]])</f>
        <v>45599.999499999998</v>
      </c>
      <c r="M52" s="59"/>
    </row>
    <row r="53" spans="2:13" x14ac:dyDescent="0.3">
      <c r="B53" s="223">
        <v>45293</v>
      </c>
      <c r="C53" s="110">
        <v>1</v>
      </c>
      <c r="D53" s="111">
        <v>1</v>
      </c>
      <c r="E53" s="112">
        <v>104</v>
      </c>
      <c r="F53" s="113">
        <v>20284212488</v>
      </c>
      <c r="G53" s="99" t="str">
        <f>IFERROR(IF(venta_a_mes1[[#This Row],[CUIT]]="","-",VLOOKUP(venta_a_mes1[[#This Row],[CUIT]],Lista_CUIT[#All],2,0)),"CUIT NO CARGADO")</f>
        <v>BARLETTA MAXIMILIANO SEBASTIAN</v>
      </c>
      <c r="H53" s="100">
        <v>37685.949999999997</v>
      </c>
      <c r="I53" s="101">
        <f>venta_a_mes1[[#This Row],[IMPORTE NETO]]*0.21</f>
        <v>7914.0494999999992</v>
      </c>
      <c r="J53" s="65"/>
      <c r="K53" s="65"/>
      <c r="L53" s="65">
        <f>SUM(venta_a_mes1[[#This Row],[IMPORTE NETO]:[EXENTO]])</f>
        <v>45599.999499999998</v>
      </c>
      <c r="M53" s="59"/>
    </row>
    <row r="54" spans="2:13" x14ac:dyDescent="0.3">
      <c r="B54" s="223">
        <v>45293</v>
      </c>
      <c r="C54" s="110">
        <v>1</v>
      </c>
      <c r="D54" s="111">
        <v>1</v>
      </c>
      <c r="E54" s="112">
        <v>115</v>
      </c>
      <c r="F54" s="113">
        <v>30717465101</v>
      </c>
      <c r="G54" s="99" t="str">
        <f>IFERROR(IF(venta_a_mes1[[#This Row],[CUIT]]="","-",VLOOKUP(venta_a_mes1[[#This Row],[CUIT]],Lista_CUIT[#All],2,0)),"CUIT NO CARGADO")</f>
        <v>EMPRENDIMIENTOS SHOPGLASS S. R. L.</v>
      </c>
      <c r="H54" s="100">
        <v>37685.949999999997</v>
      </c>
      <c r="I54" s="101">
        <f>venta_a_mes1[[#This Row],[IMPORTE NETO]]*0.21</f>
        <v>7914.0494999999992</v>
      </c>
      <c r="J54" s="65"/>
      <c r="K54" s="65"/>
      <c r="L54" s="65">
        <f>SUM(venta_a_mes1[[#This Row],[IMPORTE NETO]:[EXENTO]])</f>
        <v>45599.999499999998</v>
      </c>
      <c r="M54" s="59"/>
    </row>
    <row r="55" spans="2:13" x14ac:dyDescent="0.3">
      <c r="B55" s="223">
        <v>45293</v>
      </c>
      <c r="C55" s="110">
        <v>1</v>
      </c>
      <c r="D55" s="111">
        <v>1</v>
      </c>
      <c r="E55" s="112">
        <v>106</v>
      </c>
      <c r="F55" s="113">
        <v>30717170594</v>
      </c>
      <c r="G55" s="99" t="str">
        <f>IFERROR(IF(venta_a_mes1[[#This Row],[CUIT]]="","-",VLOOKUP(venta_a_mes1[[#This Row],[CUIT]],Lista_CUIT[#All],2,0)),"CUIT NO CARGADO")</f>
        <v>INDUSTRIA4 S.R.L.</v>
      </c>
      <c r="H55" s="100">
        <v>37685.949999999997</v>
      </c>
      <c r="I55" s="101">
        <f>venta_a_mes1[[#This Row],[IMPORTE NETO]]*0.21</f>
        <v>7914.0494999999992</v>
      </c>
      <c r="J55" s="65"/>
      <c r="K55" s="65"/>
      <c r="L55" s="65">
        <f>SUM(venta_a_mes1[[#This Row],[IMPORTE NETO]:[EXENTO]])</f>
        <v>45599.999499999998</v>
      </c>
      <c r="M55" s="59"/>
    </row>
    <row r="56" spans="2:13" x14ac:dyDescent="0.3">
      <c r="B56" s="223">
        <v>45293</v>
      </c>
      <c r="C56" s="110">
        <v>1</v>
      </c>
      <c r="D56" s="111">
        <v>1</v>
      </c>
      <c r="E56" s="112">
        <v>114</v>
      </c>
      <c r="F56" s="113">
        <v>30717969061</v>
      </c>
      <c r="G56" s="99" t="str">
        <f>IFERROR(IF(venta_a_mes1[[#This Row],[CUIT]]="","-",VLOOKUP(venta_a_mes1[[#This Row],[CUIT]],Lista_CUIT[#All],2,0)),"CUIT NO CARGADO")</f>
        <v>FABIO Y RAUL ROSSO S.A.S.</v>
      </c>
      <c r="H56" s="100">
        <v>37685.949999999997</v>
      </c>
      <c r="I56" s="101">
        <f>venta_a_mes1[[#This Row],[IMPORTE NETO]]*0.21</f>
        <v>7914.0494999999992</v>
      </c>
      <c r="J56" s="65"/>
      <c r="K56" s="65"/>
      <c r="L56" s="65">
        <f>SUM(venta_a_mes1[[#This Row],[IMPORTE NETO]:[EXENTO]])</f>
        <v>45599.999499999998</v>
      </c>
      <c r="M56" s="59"/>
    </row>
    <row r="57" spans="2:13" x14ac:dyDescent="0.3">
      <c r="B57" s="223">
        <v>45293</v>
      </c>
      <c r="C57" s="110">
        <v>1</v>
      </c>
      <c r="D57" s="111">
        <v>1</v>
      </c>
      <c r="E57" s="43">
        <v>103</v>
      </c>
      <c r="F57" s="44">
        <v>30717477681</v>
      </c>
      <c r="G57" s="99" t="str">
        <f>IFERROR(IF(venta_a_mes1[[#This Row],[CUIT]]="","-",VLOOKUP(venta_a_mes1[[#This Row],[CUIT]],Lista_CUIT[#All],2,0)),"CUIT NO CARGADO")</f>
        <v>GRUPO FAM SA</v>
      </c>
      <c r="H57" s="100">
        <v>52479.33</v>
      </c>
      <c r="I57" s="101">
        <f>venta_a_mes1[[#This Row],[IMPORTE NETO]]*0.21</f>
        <v>11020.659299999999</v>
      </c>
      <c r="J57" s="65"/>
      <c r="K57" s="65"/>
      <c r="L57" s="65">
        <f>SUM(venta_a_mes1[[#This Row],[IMPORTE NETO]:[EXENTO]])</f>
        <v>63499.989300000001</v>
      </c>
      <c r="M57" s="59"/>
    </row>
    <row r="58" spans="2:13" x14ac:dyDescent="0.3">
      <c r="B58" s="223">
        <v>45293</v>
      </c>
      <c r="C58" s="110">
        <v>1</v>
      </c>
      <c r="D58" s="225">
        <v>1</v>
      </c>
      <c r="E58" s="226">
        <v>113</v>
      </c>
      <c r="F58" s="227">
        <v>30715941763</v>
      </c>
      <c r="G58" s="228" t="str">
        <f>IFERROR(IF(venta_a_mes1[[#This Row],[CUIT]]="","-",VLOOKUP(venta_a_mes1[[#This Row],[CUIT]],Lista_CUIT[#All],2,0)),"CUIT NO CARGADO")</f>
        <v>TOURMALHYN S.R.L.</v>
      </c>
      <c r="H58" s="229">
        <v>20661.14</v>
      </c>
      <c r="I58" s="230">
        <f>venta_a_mes1[[#This Row],[IMPORTE NETO]]*0.21</f>
        <v>4338.8393999999998</v>
      </c>
      <c r="J58" s="231"/>
      <c r="K58" s="231"/>
      <c r="L58" s="231">
        <f>SUM(venta_a_mes1[[#This Row],[IMPORTE NETO]:[EXENTO]])</f>
        <v>24999.9794</v>
      </c>
      <c r="M58" s="232"/>
    </row>
    <row r="59" spans="2:13" x14ac:dyDescent="0.3">
      <c r="B59" s="223">
        <v>45293</v>
      </c>
      <c r="C59" s="110">
        <v>1</v>
      </c>
      <c r="D59" s="225">
        <v>1</v>
      </c>
      <c r="E59" s="226">
        <v>109</v>
      </c>
      <c r="F59" s="227">
        <v>20252582704</v>
      </c>
      <c r="G59" s="228" t="str">
        <f>IFERROR(IF(venta_a_mes1[[#This Row],[CUIT]]="","-",VLOOKUP(venta_a_mes1[[#This Row],[CUIT]],Lista_CUIT[#All],2,0)),"CUIT NO CARGADO")</f>
        <v>GARCIA VAUTRIN ANDRES ALBERTO</v>
      </c>
      <c r="H59" s="229">
        <v>75371.899999999994</v>
      </c>
      <c r="I59" s="230">
        <f>venta_a_mes1[[#This Row],[IMPORTE NETO]]*0.21</f>
        <v>15828.098999999998</v>
      </c>
      <c r="J59" s="231"/>
      <c r="K59" s="231"/>
      <c r="L59" s="231">
        <f>SUM(venta_a_mes1[[#This Row],[IMPORTE NETO]:[EXENTO]])</f>
        <v>91199.998999999996</v>
      </c>
      <c r="M59" s="232"/>
    </row>
    <row r="60" spans="2:13" x14ac:dyDescent="0.3">
      <c r="B60" s="223">
        <v>45293</v>
      </c>
      <c r="C60" s="110">
        <v>1</v>
      </c>
      <c r="D60" s="225">
        <v>1</v>
      </c>
      <c r="E60" s="226">
        <v>112</v>
      </c>
      <c r="F60" s="227">
        <v>20367341808</v>
      </c>
      <c r="G60" s="228" t="str">
        <f>IFERROR(IF(venta_a_mes1[[#This Row],[CUIT]]="","-",VLOOKUP(venta_a_mes1[[#This Row],[CUIT]],Lista_CUIT[#All],2,0)),"CUIT NO CARGADO")</f>
        <v>FEIDAS FERNANDO EMILIANO</v>
      </c>
      <c r="H60" s="229">
        <v>49586.76</v>
      </c>
      <c r="I60" s="230">
        <f>venta_a_mes1[[#This Row],[IMPORTE NETO]]*0.21</f>
        <v>10413.2196</v>
      </c>
      <c r="J60" s="231"/>
      <c r="K60" s="231"/>
      <c r="L60" s="231">
        <f>SUM(venta_a_mes1[[#This Row],[IMPORTE NETO]:[EXENTO]])</f>
        <v>59999.979600000006</v>
      </c>
      <c r="M60" s="232"/>
    </row>
    <row r="61" spans="2:13" x14ac:dyDescent="0.3">
      <c r="B61" s="223">
        <v>45293</v>
      </c>
      <c r="C61" s="110">
        <v>1</v>
      </c>
      <c r="D61" s="225">
        <v>1</v>
      </c>
      <c r="E61" s="226">
        <v>116</v>
      </c>
      <c r="F61" s="227">
        <v>20132082198</v>
      </c>
      <c r="G61" s="228" t="str">
        <f>IFERROR(IF(venta_a_mes1[[#This Row],[CUIT]]="","-",VLOOKUP(venta_a_mes1[[#This Row],[CUIT]],Lista_CUIT[#All],2,0)),"CUIT NO CARGADO")</f>
        <v>FADIGA OSCAR ALBERTO</v>
      </c>
      <c r="H61" s="229">
        <v>37685.949999999997</v>
      </c>
      <c r="I61" s="230">
        <f>venta_a_mes1[[#This Row],[IMPORTE NETO]]*0.21</f>
        <v>7914.0494999999992</v>
      </c>
      <c r="J61" s="231"/>
      <c r="K61" s="231"/>
      <c r="L61" s="231">
        <f>SUM(venta_a_mes1[[#This Row],[IMPORTE NETO]:[EXENTO]])</f>
        <v>45599.999499999998</v>
      </c>
      <c r="M61" s="232"/>
    </row>
    <row r="62" spans="2:13" x14ac:dyDescent="0.3">
      <c r="B62" s="223">
        <v>45293</v>
      </c>
      <c r="C62" s="110">
        <v>1</v>
      </c>
      <c r="D62" s="111">
        <v>1</v>
      </c>
      <c r="E62" s="43">
        <v>108</v>
      </c>
      <c r="F62" s="44">
        <v>27165844748</v>
      </c>
      <c r="G62" s="99" t="str">
        <f>IFERROR(IF(venta_a_mes1[[#This Row],[CUIT]]="","-",VLOOKUP(venta_a_mes1[[#This Row],[CUIT]],Lista_CUIT[#All],2,0)),"CUIT NO CARGADO")</f>
        <v>DENATALE MARCELA BEATRIZ</v>
      </c>
      <c r="H62" s="100">
        <v>96694.24</v>
      </c>
      <c r="I62" s="101">
        <f>venta_a_mes1[[#This Row],[IMPORTE NETO]]*0.21</f>
        <v>20305.790400000002</v>
      </c>
      <c r="J62" s="65"/>
      <c r="K62" s="65"/>
      <c r="L62" s="65">
        <f>SUM(venta_a_mes1[[#This Row],[IMPORTE NETO]:[EXENTO]])</f>
        <v>117000.0304</v>
      </c>
      <c r="M62" s="59"/>
    </row>
    <row r="63" spans="2:13" x14ac:dyDescent="0.3">
      <c r="B63" s="223">
        <v>45293</v>
      </c>
      <c r="C63" s="110">
        <v>1</v>
      </c>
      <c r="D63" s="111">
        <v>1</v>
      </c>
      <c r="E63" s="43">
        <v>102</v>
      </c>
      <c r="F63" s="44">
        <v>30716914077</v>
      </c>
      <c r="G63" s="99" t="str">
        <f>IFERROR(IF(venta_a_mes1[[#This Row],[CUIT]]="","-",VLOOKUP(venta_a_mes1[[#This Row],[CUIT]],Lista_CUIT[#All],2,0)),"CUIT NO CARGADO")</f>
        <v>BACANES</v>
      </c>
      <c r="H63" s="100">
        <v>96694.24</v>
      </c>
      <c r="I63" s="101">
        <f>venta_a_mes1[[#This Row],[IMPORTE NETO]]*0.21</f>
        <v>20305.790400000002</v>
      </c>
      <c r="J63" s="65"/>
      <c r="K63" s="65"/>
      <c r="L63" s="65">
        <f>SUM(venta_a_mes1[[#This Row],[IMPORTE NETO]:[EXENTO]])</f>
        <v>117000.0304</v>
      </c>
      <c r="M63" s="59"/>
    </row>
    <row r="64" spans="2:13" x14ac:dyDescent="0.3">
      <c r="B64" s="223">
        <v>45302</v>
      </c>
      <c r="C64" s="110">
        <v>1</v>
      </c>
      <c r="D64" s="111">
        <v>1</v>
      </c>
      <c r="E64" s="43">
        <v>117</v>
      </c>
      <c r="F64" s="44">
        <v>30715380567</v>
      </c>
      <c r="G64" s="99" t="str">
        <f>IFERROR(IF(venta_a_mes1[[#This Row],[CUIT]]="","-",VLOOKUP(venta_a_mes1[[#This Row],[CUIT]],Lista_CUIT[#All],2,0)),"CUIT NO CARGADO")</f>
        <v>SENS GROUP SRL</v>
      </c>
      <c r="H64" s="100">
        <v>154150.85999999999</v>
      </c>
      <c r="I64" s="101">
        <f>venta_a_mes1[[#This Row],[IMPORTE NETO]]*0.21</f>
        <v>32371.680599999996</v>
      </c>
      <c r="J64" s="65"/>
      <c r="K64" s="65"/>
      <c r="L64" s="65">
        <f>SUM(venta_a_mes1[[#This Row],[IMPORTE NETO]:[EXENTO]])</f>
        <v>186522.54059999998</v>
      </c>
      <c r="M64" s="59"/>
    </row>
    <row r="65" spans="2:13" x14ac:dyDescent="0.3">
      <c r="B65" s="223">
        <v>45310</v>
      </c>
      <c r="C65" s="110">
        <v>1</v>
      </c>
      <c r="D65" s="111">
        <v>1</v>
      </c>
      <c r="E65" s="43">
        <v>118</v>
      </c>
      <c r="F65" s="44">
        <v>30688955749</v>
      </c>
      <c r="G65" s="99" t="str">
        <f>IFERROR(IF(venta_a_mes1[[#This Row],[CUIT]]="","-",VLOOKUP(venta_a_mes1[[#This Row],[CUIT]],Lista_CUIT[#All],2,0)),"CUIT NO CARGADO")</f>
        <v>LISERAR S A</v>
      </c>
      <c r="H65" s="100">
        <v>96694.24</v>
      </c>
      <c r="I65" s="101">
        <f>venta_a_mes1[[#This Row],[IMPORTE NETO]]*0.21</f>
        <v>20305.790400000002</v>
      </c>
      <c r="J65" s="65"/>
      <c r="K65" s="65"/>
      <c r="L65" s="65">
        <f>SUM(venta_a_mes1[[#This Row],[IMPORTE NETO]:[EXENTO]])</f>
        <v>117000.0304</v>
      </c>
      <c r="M65" s="59"/>
    </row>
    <row r="66" spans="2:13" x14ac:dyDescent="0.3">
      <c r="B66" s="223">
        <v>45314</v>
      </c>
      <c r="C66" s="110">
        <v>1</v>
      </c>
      <c r="D66" s="225">
        <v>1</v>
      </c>
      <c r="E66" s="226">
        <v>119</v>
      </c>
      <c r="F66" s="227">
        <v>30716234815</v>
      </c>
      <c r="G66" s="228" t="str">
        <f>IFERROR(IF(venta_a_mes1[[#This Row],[CUIT]]="","-",VLOOKUP(venta_a_mes1[[#This Row],[CUIT]],Lista_CUIT[#All],2,0)),"CUIT NO CARGADO")</f>
        <v>LEVINT PARTNERS S.R.L.</v>
      </c>
      <c r="H66" s="229">
        <v>96694.24</v>
      </c>
      <c r="I66" s="230">
        <f>venta_a_mes1[[#This Row],[IMPORTE NETO]]*0.21</f>
        <v>20305.790400000002</v>
      </c>
      <c r="J66" s="231"/>
      <c r="K66" s="231"/>
      <c r="L66" s="231">
        <f>SUM(venta_a_mes1[[#This Row],[IMPORTE NETO]:[EXENTO]])</f>
        <v>117000.0304</v>
      </c>
      <c r="M66" s="232"/>
    </row>
    <row r="67" spans="2:13" x14ac:dyDescent="0.3">
      <c r="B67" s="223">
        <v>45317</v>
      </c>
      <c r="C67" s="224">
        <v>1</v>
      </c>
      <c r="D67" s="225">
        <v>1</v>
      </c>
      <c r="E67" s="226">
        <v>120</v>
      </c>
      <c r="F67" s="227">
        <v>20319747975</v>
      </c>
      <c r="G67" s="228" t="str">
        <f>IFERROR(IF(venta_a_mes1[[#This Row],[CUIT]]="","-",VLOOKUP(venta_a_mes1[[#This Row],[CUIT]],Lista_CUIT[#All],2,0)),"CUIT NO CARGADO")</f>
        <v>CRESPO LEONARDO GUILLERMO</v>
      </c>
      <c r="H67" s="229">
        <v>96694.24</v>
      </c>
      <c r="I67" s="230">
        <f>venta_a_mes1[[#This Row],[IMPORTE NETO]]*0.21</f>
        <v>20305.790400000002</v>
      </c>
      <c r="J67" s="231"/>
      <c r="K67" s="231"/>
      <c r="L67" s="231">
        <f>SUM(venta_a_mes1[[#This Row],[IMPORTE NETO]:[EXENTO]])</f>
        <v>117000.0304</v>
      </c>
      <c r="M67" s="232"/>
    </row>
    <row r="68" spans="2:13" x14ac:dyDescent="0.3">
      <c r="B68" s="223">
        <v>45302</v>
      </c>
      <c r="C68" s="224">
        <v>3</v>
      </c>
      <c r="D68" s="225">
        <v>2</v>
      </c>
      <c r="E68" s="226">
        <v>1</v>
      </c>
      <c r="F68" s="227">
        <v>30715380567</v>
      </c>
      <c r="G68" s="228" t="str">
        <f>IFERROR(IF(venta_a_mes1[[#This Row],[CUIT]]="","-",VLOOKUP(venta_a_mes1[[#This Row],[CUIT]],Lista_CUIT[#All],2,0)),"CUIT NO CARGADO")</f>
        <v>SENS GROUP SRL</v>
      </c>
      <c r="H68" s="229">
        <v>-184981.05</v>
      </c>
      <c r="I68" s="230">
        <f>venta_a_mes1[[#This Row],[IMPORTE NETO]]*0.21</f>
        <v>-38846.020499999999</v>
      </c>
      <c r="J68" s="231"/>
      <c r="K68" s="231"/>
      <c r="L68" s="231">
        <f>SUM(venta_a_mes1[[#This Row],[IMPORTE NETO]:[EXENTO]])</f>
        <v>-223827.07049999997</v>
      </c>
      <c r="M68" s="232"/>
    </row>
    <row r="69" spans="2:13" x14ac:dyDescent="0.3">
      <c r="B69" s="66" t="s">
        <v>91</v>
      </c>
      <c r="C69" s="67"/>
      <c r="D69" s="67"/>
      <c r="E69" s="67"/>
      <c r="F69" s="67"/>
      <c r="G69" s="67"/>
      <c r="H69" s="69">
        <f>SUBTOTAL(109,venta_a_mes1[IMPORTE NETO])</f>
        <v>1250266.6399999999</v>
      </c>
      <c r="I69" s="70">
        <f>SUBTOTAL(109,venta_a_mes1[IVA 21%])</f>
        <v>262555.99439999997</v>
      </c>
      <c r="J69" s="71">
        <f>SUBTOTAL(109,venta_a_mes1[IVA 10,5%])</f>
        <v>0</v>
      </c>
      <c r="K69" s="71">
        <f>SUBTOTAL(109,venta_a_mes1[EXENTO])</f>
        <v>0</v>
      </c>
      <c r="L69" s="71">
        <f>SUBTOTAL(109,venta_a_mes1[TOTAL])</f>
        <v>1512822.6344000001</v>
      </c>
      <c r="M69" s="68">
        <f>SUBTOTAL(103,venta_a_mes1[Provincia])</f>
        <v>0</v>
      </c>
    </row>
    <row r="70" spans="2:13" ht="21" x14ac:dyDescent="0.3">
      <c r="B70" s="365" t="s">
        <v>31</v>
      </c>
      <c r="C70" s="365"/>
    </row>
    <row r="71" spans="2:13" ht="15.6" x14ac:dyDescent="0.3">
      <c r="B71" s="60" t="s">
        <v>0</v>
      </c>
      <c r="C71" s="61" t="s">
        <v>1</v>
      </c>
      <c r="D71" s="61" t="s">
        <v>21</v>
      </c>
      <c r="E71" s="61" t="s">
        <v>22</v>
      </c>
      <c r="F71" s="61" t="s">
        <v>3</v>
      </c>
      <c r="G71" s="61" t="s">
        <v>4</v>
      </c>
      <c r="H71" s="61" t="s">
        <v>23</v>
      </c>
      <c r="I71" s="61" t="s">
        <v>17</v>
      </c>
      <c r="J71" s="61" t="s">
        <v>7</v>
      </c>
      <c r="K71" s="61" t="s">
        <v>24</v>
      </c>
      <c r="L71" s="61" t="s">
        <v>10</v>
      </c>
      <c r="M71" s="62" t="s">
        <v>38</v>
      </c>
    </row>
    <row r="72" spans="2:13" x14ac:dyDescent="0.3">
      <c r="B72" s="40">
        <v>45293</v>
      </c>
      <c r="C72" s="41">
        <v>6</v>
      </c>
      <c r="D72" s="42">
        <v>1</v>
      </c>
      <c r="E72" s="43">
        <v>20</v>
      </c>
      <c r="F72" s="44">
        <v>30521448608</v>
      </c>
      <c r="G72" s="1" t="str">
        <f>IFERROR(IF(ventas_b_mes1[[#This Row],[CUIT]]="","-",VLOOKUP(ventas_b_mes1[[#This Row],[CUIT]],Lista_CUIT[#All],2,0)),"CUIT NO CARGADO")</f>
        <v>INSTITUTO ORSINO SA</v>
      </c>
      <c r="H72" s="64">
        <v>33057.86</v>
      </c>
      <c r="I72" s="64">
        <f>ventas_b_mes1[[#This Row],[IMPORTE NETO]]*0.21</f>
        <v>6942.1505999999999</v>
      </c>
      <c r="J72" s="64"/>
      <c r="K72" s="64"/>
      <c r="L72" s="64">
        <f>SUM(ventas_b_mes1[[#This Row],[IMPORTE NETO]:[EXENTO]])</f>
        <v>40000.010600000001</v>
      </c>
      <c r="M72" s="59"/>
    </row>
    <row r="73" spans="2:13" x14ac:dyDescent="0.3">
      <c r="B73" s="40">
        <v>45293</v>
      </c>
      <c r="C73" s="41">
        <v>6</v>
      </c>
      <c r="D73" s="42">
        <v>1</v>
      </c>
      <c r="E73" s="43">
        <v>19</v>
      </c>
      <c r="F73" s="44">
        <v>30700477920</v>
      </c>
      <c r="G73" s="1" t="str">
        <f>IFERROR(IF(ventas_b_mes1[[#This Row],[CUIT]]="","-",VLOOKUP(ventas_b_mes1[[#This Row],[CUIT]],Lista_CUIT[#All],2,0)),"CUIT NO CARGADO")</f>
        <v>ESBA FLORESS A</v>
      </c>
      <c r="H73" s="64">
        <v>33057.86</v>
      </c>
      <c r="I73" s="64">
        <f>ventas_b_mes1[[#This Row],[IMPORTE NETO]]*0.21</f>
        <v>6942.1505999999999</v>
      </c>
      <c r="J73" s="64"/>
      <c r="K73" s="64"/>
      <c r="L73" s="64">
        <f>SUM(ventas_b_mes1[[#This Row],[IMPORTE NETO]:[EXENTO]])</f>
        <v>40000.010600000001</v>
      </c>
      <c r="M73" s="59"/>
    </row>
    <row r="74" spans="2:13" x14ac:dyDescent="0.3">
      <c r="B74" s="40">
        <v>45293</v>
      </c>
      <c r="C74" s="41">
        <v>6</v>
      </c>
      <c r="D74" s="42">
        <v>1</v>
      </c>
      <c r="E74" s="43">
        <v>18</v>
      </c>
      <c r="F74" s="44">
        <v>30681452423</v>
      </c>
      <c r="G74" s="1" t="str">
        <f>IFERROR(IF(ventas_b_mes1[[#This Row],[CUIT]]="","-",VLOOKUP(ventas_b_mes1[[#This Row],[CUIT]],Lista_CUIT[#All],2,0)),"CUIT NO CARGADO")</f>
        <v>E S B A LUGANO S A</v>
      </c>
      <c r="H74" s="64">
        <v>33057.86</v>
      </c>
      <c r="I74" s="64">
        <f>ventas_b_mes1[[#This Row],[IMPORTE NETO]]*0.21</f>
        <v>6942.1505999999999</v>
      </c>
      <c r="J74" s="64"/>
      <c r="K74" s="64"/>
      <c r="L74" s="64">
        <f>SUM(ventas_b_mes1[[#This Row],[IMPORTE NETO]:[EXENTO]])</f>
        <v>40000.010600000001</v>
      </c>
      <c r="M74" s="59"/>
    </row>
    <row r="75" spans="2:13" x14ac:dyDescent="0.3">
      <c r="B75" s="40">
        <v>45293</v>
      </c>
      <c r="C75" s="41">
        <v>6</v>
      </c>
      <c r="D75" s="42">
        <v>1</v>
      </c>
      <c r="E75" s="43">
        <v>21</v>
      </c>
      <c r="F75" s="44">
        <v>30592508830</v>
      </c>
      <c r="G75" s="1" t="str">
        <f>IFERROR(IF(ventas_b_mes1[[#This Row],[CUIT]]="","-",VLOOKUP(ventas_b_mes1[[#This Row],[CUIT]],Lista_CUIT[#All],2,0)),"CUIT NO CARGADO")</f>
        <v>INSTITUTO DE ESTUDIOS SUPERIORES DE BUENOS AIRES S A</v>
      </c>
      <c r="H75" s="64">
        <v>33057.86</v>
      </c>
      <c r="I75" s="64">
        <f>ventas_b_mes1[[#This Row],[IMPORTE NETO]]*0.21</f>
        <v>6942.1505999999999</v>
      </c>
      <c r="J75" s="64"/>
      <c r="K75" s="64"/>
      <c r="L75" s="64">
        <f>SUM(ventas_b_mes1[[#This Row],[IMPORTE NETO]:[EXENTO]])</f>
        <v>40000.010600000001</v>
      </c>
      <c r="M75" s="59"/>
    </row>
    <row r="76" spans="2:13" x14ac:dyDescent="0.3">
      <c r="B76" s="40"/>
      <c r="C76" s="41"/>
      <c r="D76" s="42"/>
      <c r="E76" s="43"/>
      <c r="F76" s="44"/>
      <c r="G76" s="1" t="str">
        <f>IFERROR(IF(ventas_b_mes1[[#This Row],[CUIT]]="","-",VLOOKUP(ventas_b_mes1[[#This Row],[CUIT]],Lista_CUIT[#All],2,0)),"CUIT NO CARGADO")</f>
        <v>-</v>
      </c>
      <c r="H76" s="64"/>
      <c r="I76" s="64">
        <f>ventas_b_mes1[[#This Row],[IMPORTE NETO]]*0.21</f>
        <v>0</v>
      </c>
      <c r="J76" s="64"/>
      <c r="K76" s="64"/>
      <c r="L76" s="64">
        <f>SUM(ventas_b_mes1[[#This Row],[IMPORTE NETO]:[EXENTO]])</f>
        <v>0</v>
      </c>
      <c r="M76" s="59"/>
    </row>
    <row r="77" spans="2:13" x14ac:dyDescent="0.3">
      <c r="B77" s="40"/>
      <c r="C77" s="41"/>
      <c r="D77" s="42"/>
      <c r="E77" s="43"/>
      <c r="F77" s="44"/>
      <c r="G77" s="1"/>
      <c r="H77" s="64"/>
      <c r="I77" s="64">
        <f>ventas_b_mes1[[#This Row],[IMPORTE NETO]]*0.21</f>
        <v>0</v>
      </c>
      <c r="J77" s="64"/>
      <c r="K77" s="64"/>
      <c r="L77" s="64">
        <f>SUM(ventas_b_mes1[[#This Row],[IMPORTE NETO]:[EXENTO]])</f>
        <v>0</v>
      </c>
      <c r="M77" s="59"/>
    </row>
    <row r="78" spans="2:13" x14ac:dyDescent="0.3">
      <c r="B78" s="66" t="s">
        <v>91</v>
      </c>
      <c r="C78" s="67"/>
      <c r="D78" s="67"/>
      <c r="E78" s="67"/>
      <c r="F78" s="67"/>
      <c r="G78" s="67"/>
      <c r="H78" s="77">
        <f>SUBTOTAL(109,ventas_b_mes1[IMPORTE NETO])</f>
        <v>132231.44</v>
      </c>
      <c r="I78" s="77">
        <f>SUBTOTAL(109,ventas_b_mes1[IVA 21%])</f>
        <v>27768.6024</v>
      </c>
      <c r="J78" s="78">
        <f>SUBTOTAL(109,ventas_b_mes1[IVA 10,5%])</f>
        <v>0</v>
      </c>
      <c r="K78" s="78">
        <f>SUBTOTAL(109,ventas_b_mes1[EXENTO])</f>
        <v>0</v>
      </c>
      <c r="L78" s="78">
        <f>SUBTOTAL(109,ventas_b_mes1[TOTAL])</f>
        <v>160000.04240000001</v>
      </c>
      <c r="M78" s="68">
        <f>SUBTOTAL(103,ventas_b_mes1[Provincia])</f>
        <v>0</v>
      </c>
    </row>
    <row r="85" spans="3:12" ht="15" thickBot="1" x14ac:dyDescent="0.35"/>
    <row r="86" spans="3:12" ht="15" thickTop="1" x14ac:dyDescent="0.3">
      <c r="C86" s="358" t="s">
        <v>66</v>
      </c>
      <c r="D86" s="358"/>
      <c r="E86" s="358"/>
      <c r="F86" s="358"/>
      <c r="G86" s="358"/>
      <c r="H86" s="32"/>
      <c r="I86" s="32"/>
      <c r="J86" s="32"/>
    </row>
    <row r="87" spans="3:12" ht="15.6" x14ac:dyDescent="0.3">
      <c r="C87" s="114" t="s">
        <v>67</v>
      </c>
      <c r="D87" s="115" t="s">
        <v>68</v>
      </c>
      <c r="E87" s="115" t="s">
        <v>93</v>
      </c>
      <c r="F87" s="115" t="s">
        <v>3</v>
      </c>
      <c r="G87" s="115" t="s">
        <v>4</v>
      </c>
      <c r="H87" s="116" t="s">
        <v>69</v>
      </c>
      <c r="I87" s="116" t="s">
        <v>70</v>
      </c>
      <c r="J87" s="116" t="s">
        <v>71</v>
      </c>
      <c r="K87" s="116" t="s">
        <v>72</v>
      </c>
      <c r="L87" s="116" t="s">
        <v>73</v>
      </c>
    </row>
    <row r="88" spans="3:12" x14ac:dyDescent="0.3">
      <c r="C88" s="117"/>
      <c r="D88" s="118"/>
      <c r="E88" s="118"/>
      <c r="F88" s="119"/>
      <c r="G88" s="53" t="str">
        <f>IFERROR(IF(retenciones_mes1[[#This Row],[CUIT]]="","-",VLOOKUP(retenciones_mes1[[#This Row],[CUIT]],Lista_CUIT[#All],2,0)),"CUIT NO CARGADO")</f>
        <v>-</v>
      </c>
      <c r="H88" s="120"/>
      <c r="I88" s="120"/>
      <c r="J88" s="120"/>
      <c r="K88" s="120"/>
      <c r="L88" s="120"/>
    </row>
    <row r="89" spans="3:12" x14ac:dyDescent="0.3">
      <c r="C89" s="117"/>
      <c r="D89" s="118"/>
      <c r="E89" s="118"/>
      <c r="F89" s="119"/>
      <c r="G89" s="53" t="str">
        <f>IFERROR(IF(retenciones_mes1[[#This Row],[CUIT]]="","-",VLOOKUP(retenciones_mes1[[#This Row],[CUIT]],Lista_CUIT[#All],2,0)),"CUIT NO CARGADO")</f>
        <v>-</v>
      </c>
      <c r="H89" s="120"/>
      <c r="I89" s="120"/>
      <c r="J89" s="120"/>
      <c r="K89" s="120"/>
      <c r="L89" s="120"/>
    </row>
    <row r="90" spans="3:12" x14ac:dyDescent="0.3">
      <c r="C90" s="117"/>
      <c r="D90" s="118"/>
      <c r="E90" s="118"/>
      <c r="F90" s="119"/>
      <c r="G90" s="53" t="str">
        <f>IFERROR(IF(retenciones_mes1[[#This Row],[CUIT]]="","-",VLOOKUP(retenciones_mes1[[#This Row],[CUIT]],Lista_CUIT[#All],2,0)),"CUIT NO CARGADO")</f>
        <v>-</v>
      </c>
      <c r="H90" s="120"/>
      <c r="I90" s="120"/>
      <c r="J90" s="120"/>
      <c r="K90" s="120"/>
      <c r="L90" s="120"/>
    </row>
    <row r="91" spans="3:12" x14ac:dyDescent="0.3">
      <c r="C91" s="117"/>
      <c r="D91" s="118"/>
      <c r="E91" s="118"/>
      <c r="F91" s="119"/>
      <c r="G91" s="53" t="str">
        <f>IFERROR(IF(retenciones_mes1[[#This Row],[CUIT]]="","-",VLOOKUP(retenciones_mes1[[#This Row],[CUIT]],Lista_CUIT[#All],2,0)),"CUIT NO CARGADO")</f>
        <v>-</v>
      </c>
      <c r="H91" s="120"/>
      <c r="I91" s="120"/>
      <c r="J91" s="120"/>
      <c r="K91" s="120"/>
      <c r="L91" s="120"/>
    </row>
    <row r="92" spans="3:12" x14ac:dyDescent="0.3">
      <c r="D92" s="118"/>
      <c r="E92" s="118"/>
      <c r="G92" s="53" t="str">
        <f>IFERROR(IF(retenciones_mes1[[#This Row],[CUIT]]="","-",VLOOKUP(retenciones_mes1[[#This Row],[CUIT]],Lista_CUIT[#All],2,0)),"CUIT NO CARGADO")</f>
        <v>-</v>
      </c>
    </row>
    <row r="93" spans="3:12" x14ac:dyDescent="0.3">
      <c r="C93" s="33"/>
    </row>
  </sheetData>
  <mergeCells count="22">
    <mergeCell ref="N1:R1"/>
    <mergeCell ref="D24:L24"/>
    <mergeCell ref="B46:C46"/>
    <mergeCell ref="B70:C70"/>
    <mergeCell ref="B1:F1"/>
    <mergeCell ref="G1:M1"/>
    <mergeCell ref="K44:M44"/>
    <mergeCell ref="B3:E3"/>
    <mergeCell ref="B4:E4"/>
    <mergeCell ref="G4:H4"/>
    <mergeCell ref="G3:H3"/>
    <mergeCell ref="B44:J44"/>
    <mergeCell ref="D33:K33"/>
    <mergeCell ref="P4:R4"/>
    <mergeCell ref="P3:R3"/>
    <mergeCell ref="B7:C7"/>
    <mergeCell ref="J3:K3"/>
    <mergeCell ref="J4:K4"/>
    <mergeCell ref="M4:N4"/>
    <mergeCell ref="M3:N3"/>
    <mergeCell ref="C86:G86"/>
    <mergeCell ref="D7:E7"/>
  </mergeCells>
  <phoneticPr fontId="38" type="noConversion"/>
  <dataValidations count="9">
    <dataValidation type="whole" allowBlank="1" showInputMessage="1" showErrorMessage="1" sqref="D72:D77 D48:D68 D9:D18 E35:E37" xr:uid="{00000000-0002-0000-0100-000000000000}">
      <formula1>1</formula1>
      <formula2>9999</formula2>
    </dataValidation>
    <dataValidation type="whole" allowBlank="1" showInputMessage="1" showErrorMessage="1" sqref="E48:E68 E72:E77 E9:E18 F35:F37" xr:uid="{00000000-0002-0000-0100-000001000000}">
      <formula1>1</formula1>
      <formula2>99999999</formula2>
    </dataValidation>
    <dataValidation type="whole" allowBlank="1" showInputMessage="1" showErrorMessage="1" sqref="F72:F77 F48:F68 F9:F18 G35:G37" xr:uid="{00000000-0002-0000-0100-000002000000}">
      <formula1>20000000000</formula1>
      <formula2>33999999999</formula2>
    </dataValidation>
    <dataValidation type="date" allowBlank="1" showInputMessage="1" showErrorMessage="1" sqref="D26:D28 B48:B68 B20:B23 B72:B77 B9:B18 D35:D37" xr:uid="{00000000-0002-0000-0100-000003000000}">
      <formula1>40179</formula1>
      <formula2>TODAY()</formula2>
    </dataValidation>
    <dataValidation type="whole" allowBlank="1" showInputMessage="1" showErrorMessage="1" sqref="C20:C23 C48:C68 C9:C18" xr:uid="{00000000-0002-0000-0100-000004000000}">
      <formula1>1</formula1>
      <formula2>3</formula2>
    </dataValidation>
    <dataValidation type="custom" allowBlank="1" showInputMessage="1" showErrorMessage="1" sqref="H57:K61 H63:K63 H65:K65" xr:uid="{00000000-0002-0000-0100-000005000000}">
      <formula1>IF($C57=3,H57&lt;0,H57&gt;=0)</formula1>
    </dataValidation>
    <dataValidation type="whole" allowBlank="1" showInputMessage="1" showErrorMessage="1" sqref="C72:C77" xr:uid="{00000000-0002-0000-0100-000006000000}">
      <formula1>6</formula1>
      <formula2>8</formula2>
    </dataValidation>
    <dataValidation type="custom" allowBlank="1" showInputMessage="1" showErrorMessage="1" sqref="H72:L77" xr:uid="{00000000-0002-0000-0100-000007000000}">
      <formula1>IF($C72=8,H72&lt;0,H72&gt;=0)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35 H9:O18" xr:uid="{00000000-0002-0000-0100-000008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</sheetPr>
  <dimension ref="A1:Z92"/>
  <sheetViews>
    <sheetView showGridLines="0" zoomScale="90" zoomScaleNormal="90" workbookViewId="0">
      <selection activeCell="P33" sqref="P33"/>
    </sheetView>
  </sheetViews>
  <sheetFormatPr baseColWidth="10" defaultColWidth="0" defaultRowHeight="14.4" x14ac:dyDescent="0.3"/>
  <cols>
    <col min="1" max="1" width="1.6640625" customWidth="1"/>
    <col min="2" max="2" width="11.33203125" customWidth="1"/>
    <col min="3" max="3" width="9.5546875" customWidth="1"/>
    <col min="4" max="4" width="13.33203125" customWidth="1"/>
    <col min="5" max="5" width="15.88671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2" customWidth="1"/>
    <col min="11" max="11" width="12.5546875" customWidth="1"/>
    <col min="12" max="12" width="15.44140625" bestFit="1" customWidth="1"/>
    <col min="13" max="14" width="15.10937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69" t="str">
        <f>'Ene-24'!G1:M1</f>
        <v>RABLEB SRL</v>
      </c>
      <c r="H1" s="369"/>
      <c r="I1" s="369"/>
      <c r="J1" s="369"/>
      <c r="K1" s="369"/>
      <c r="L1" s="369"/>
      <c r="M1" s="369"/>
      <c r="N1" s="370">
        <f>EDATE('Ene-24'!N1,1)</f>
        <v>45323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SUM(compras_mes2[[#Totals],[NETO GRAVADO]])+extracto_banco_mes2[[#Totals],[NETO]]</f>
        <v>908825.01</v>
      </c>
      <c r="C4" s="359"/>
      <c r="D4" s="359"/>
      <c r="E4" s="359"/>
      <c r="F4" s="39"/>
      <c r="G4" s="360">
        <f>compras_mes2[[#Totals],[IVA 21 %]]+compras_mes2[[#Totals],[IVA 27%]]+compras_mes2[[#Totals],[IVA 10,5%]]+extracto_banco_mes2[[#Totals],[IVA 21%]]+extracto_banco_mes2[[#Totals],[IVA 10,5%]]</f>
        <v>190853.25210000001</v>
      </c>
      <c r="H4" s="360"/>
      <c r="I4" s="39"/>
      <c r="J4" s="361">
        <f>venta_a_mes2[[#Totals],[IMPORTE NETO]]+ventas_b_mes2[[#Totals],[IMPORTE NETO]]</f>
        <v>1292484.6149586779</v>
      </c>
      <c r="K4" s="361"/>
      <c r="L4" s="39"/>
      <c r="M4" s="361">
        <f>venta_a_mes2[[#Totals],[IVA 21%]]+venta_a_mes2[[#Totals],[IVA 10,5%]]+ventas_b_mes2[[#Totals],[IVA 21%]]+ventas_b_mes2[[#Totals],[IVA 10,5%]]</f>
        <v>271421.76914132229</v>
      </c>
      <c r="N4" s="361"/>
      <c r="O4" s="39"/>
      <c r="P4" s="366">
        <f>G4-M4</f>
        <v>-80568.51704132228</v>
      </c>
      <c r="Q4" s="367"/>
      <c r="R4" s="367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 t="s">
        <v>163</v>
      </c>
      <c r="C9" s="41">
        <v>1</v>
      </c>
      <c r="D9" s="42">
        <v>11</v>
      </c>
      <c r="E9" s="43">
        <v>945335</v>
      </c>
      <c r="F9" s="44">
        <v>33709585229</v>
      </c>
      <c r="G9" s="45" t="str">
        <f>IFERROR(IF(compras_mes2[[#This Row],[CUIT]]="","-",VLOOKUP(compras_mes2[[#This Row],[CUIT]],Lista_CUIT[#All],2,0)),"CUIT NO CARGADO")</f>
        <v>GOOGLE ARGENTINA S.R.L.</v>
      </c>
      <c r="H9" s="46">
        <v>30120.52</v>
      </c>
      <c r="I9" s="85">
        <f>compras_mes2[[#This Row],[NETO GRAVADO]]*0.21</f>
        <v>6325.3091999999997</v>
      </c>
      <c r="J9" s="85"/>
      <c r="K9" s="85"/>
      <c r="L9" s="85"/>
      <c r="M9" s="85"/>
      <c r="N9" s="85">
        <v>451.81</v>
      </c>
      <c r="O9" s="85">
        <v>903.62</v>
      </c>
      <c r="P9" s="48">
        <f>SUM(compras_mes2[[#This Row],[NETO GRAVADO]:[Otros / No Grav.]])</f>
        <v>37801.2592</v>
      </c>
      <c r="Q9" s="49" t="str">
        <f>IFERROR(IF(compras_mes2[[#This Row],[CUIT]]="","-",VLOOKUP(compras_mes2[[#This Row],[CUIT]],Lista_CUIT[#All],3,0)),"CUIT NO CARGADO")</f>
        <v>Gastos Publicidad y Propaganda</v>
      </c>
      <c r="R9" s="49">
        <f>IFERROR(IF(compras_mes2[[#This Row],[CUIT]]="","-",VLOOKUP(compras_mes2[[#This Row],[CUIT]],Lista_CUIT[#All],4,0)),"CUIT NO CARGADO")</f>
        <v>0</v>
      </c>
    </row>
    <row r="10" spans="1:26" x14ac:dyDescent="0.3">
      <c r="B10" s="40" t="s">
        <v>163</v>
      </c>
      <c r="C10" s="41">
        <v>1</v>
      </c>
      <c r="D10" s="42">
        <v>11</v>
      </c>
      <c r="E10" s="43">
        <v>945919</v>
      </c>
      <c r="F10" s="44">
        <v>33709585229</v>
      </c>
      <c r="G10" s="45" t="str">
        <f>IFERROR(IF(compras_mes2[[#This Row],[CUIT]]="","-",VLOOKUP(compras_mes2[[#This Row],[CUIT]],Lista_CUIT[#All],2,0)),"CUIT NO CARGADO")</f>
        <v>GOOGLE ARGENTINA S.R.L.</v>
      </c>
      <c r="H10" s="46">
        <v>428219.51</v>
      </c>
      <c r="I10" s="85">
        <f>compras_mes2[[#This Row],[NETO GRAVADO]]*0.21</f>
        <v>89926.097099999999</v>
      </c>
      <c r="J10" s="85"/>
      <c r="K10" s="85"/>
      <c r="L10" s="85"/>
      <c r="M10" s="85"/>
      <c r="N10" s="85">
        <v>6423.29</v>
      </c>
      <c r="O10" s="85">
        <v>12846.59</v>
      </c>
      <c r="P10" s="48">
        <f>SUM(compras_mes2[[#This Row],[NETO GRAVADO]:[Otros / No Grav.]])</f>
        <v>537415.48710000003</v>
      </c>
      <c r="Q10" s="49" t="str">
        <f>IFERROR(IF(compras_mes2[[#This Row],[CUIT]]="","-",VLOOKUP(compras_mes2[[#This Row],[CUIT]],Lista_CUIT[#All],3,0)),"CUIT NO CARGADO")</f>
        <v>Gastos Publicidad y Propaganda</v>
      </c>
      <c r="R10" s="49">
        <f>IFERROR(IF(compras_mes2[[#This Row],[CUIT]]="","-",VLOOKUP(compras_mes2[[#This Row],[CUIT]],Lista_CUIT[#All],4,0)),"CUIT NO CARGADO")</f>
        <v>0</v>
      </c>
    </row>
    <row r="11" spans="1:26" x14ac:dyDescent="0.3">
      <c r="B11" s="40" t="s">
        <v>163</v>
      </c>
      <c r="C11" s="41">
        <v>1</v>
      </c>
      <c r="D11" s="42">
        <v>11</v>
      </c>
      <c r="E11" s="43">
        <v>950110</v>
      </c>
      <c r="F11" s="44">
        <v>33709585229</v>
      </c>
      <c r="G11" s="45" t="str">
        <f>IFERROR(IF(compras_mes2[[#This Row],[CUIT]]="","-",VLOOKUP(compras_mes2[[#This Row],[CUIT]],Lista_CUIT[#All],2,0)),"CUIT NO CARGADO")</f>
        <v>GOOGLE ARGENTINA S.R.L.</v>
      </c>
      <c r="H11" s="46">
        <v>34780.14</v>
      </c>
      <c r="I11" s="85">
        <f>compras_mes2[[#This Row],[NETO GRAVADO]]*0.21</f>
        <v>7303.8293999999996</v>
      </c>
      <c r="J11" s="85"/>
      <c r="K11" s="85"/>
      <c r="L11" s="250"/>
      <c r="M11" s="85"/>
      <c r="N11" s="85">
        <v>521.70000000000005</v>
      </c>
      <c r="O11" s="85">
        <v>1043.4000000000001</v>
      </c>
      <c r="P11" s="48">
        <f>SUM(compras_mes2[[#This Row],[NETO GRAVADO]:[Otros / No Grav.]])</f>
        <v>43649.0694</v>
      </c>
      <c r="Q11" s="49" t="str">
        <f>IFERROR(IF(compras_mes2[[#This Row],[CUIT]]="","-",VLOOKUP(compras_mes2[[#This Row],[CUIT]],Lista_CUIT[#All],3,0)),"CUIT NO CARGADO")</f>
        <v>Gastos Publicidad y Propaganda</v>
      </c>
      <c r="R11" s="49">
        <f>IFERROR(IF(compras_mes2[[#This Row],[CUIT]]="","-",VLOOKUP(compras_mes2[[#This Row],[CUIT]],Lista_CUIT[#All],4,0)),"CUIT NO CARGADO")</f>
        <v>0</v>
      </c>
    </row>
    <row r="12" spans="1:26" x14ac:dyDescent="0.3">
      <c r="B12" s="40" t="s">
        <v>163</v>
      </c>
      <c r="C12" s="41">
        <v>1</v>
      </c>
      <c r="D12" s="42">
        <v>11</v>
      </c>
      <c r="E12" s="43">
        <v>950338</v>
      </c>
      <c r="F12" s="44">
        <v>33709585229</v>
      </c>
      <c r="G12" s="45" t="str">
        <f>IFERROR(IF(compras_mes2[[#This Row],[CUIT]]="","-",VLOOKUP(compras_mes2[[#This Row],[CUIT]],Lista_CUIT[#All],2,0)),"CUIT NO CARGADO")</f>
        <v>GOOGLE ARGENTINA S.R.L.</v>
      </c>
      <c r="H12" s="46">
        <v>58023.31</v>
      </c>
      <c r="I12" s="85">
        <f>compras_mes2[[#This Row],[NETO GRAVADO]]*0.21</f>
        <v>12184.8951</v>
      </c>
      <c r="J12" s="85"/>
      <c r="K12" s="85"/>
      <c r="L12" s="85"/>
      <c r="M12" s="85"/>
      <c r="N12" s="85">
        <v>870.35</v>
      </c>
      <c r="O12" s="85">
        <v>1740.7</v>
      </c>
      <c r="P12" s="48">
        <f>SUM(compras_mes2[[#This Row],[NETO GRAVADO]:[Otros / No Grav.]])</f>
        <v>72819.255099999995</v>
      </c>
      <c r="Q12" s="49" t="str">
        <f>IFERROR(IF(compras_mes2[[#This Row],[CUIT]]="","-",VLOOKUP(compras_mes2[[#This Row],[CUIT]],Lista_CUIT[#All],3,0)),"CUIT NO CARGADO")</f>
        <v>Gastos Publicidad y Propaganda</v>
      </c>
      <c r="R12" s="49">
        <f>IFERROR(IF(compras_mes2[[#This Row],[CUIT]]="","-",VLOOKUP(compras_mes2[[#This Row],[CUIT]],Lista_CUIT[#All],4,0)),"CUIT NO CARGADO")</f>
        <v>0</v>
      </c>
    </row>
    <row r="13" spans="1:26" x14ac:dyDescent="0.3">
      <c r="B13" s="40" t="s">
        <v>163</v>
      </c>
      <c r="C13" s="41">
        <v>1</v>
      </c>
      <c r="D13" s="42">
        <v>11</v>
      </c>
      <c r="E13" s="43">
        <v>951705</v>
      </c>
      <c r="F13" s="44">
        <v>33709585229</v>
      </c>
      <c r="G13" s="45" t="str">
        <f>IFERROR(IF(compras_mes2[[#This Row],[CUIT]]="","-",VLOOKUP(compras_mes2[[#This Row],[CUIT]],Lista_CUIT[#All],2,0)),"CUIT NO CARGADO")</f>
        <v>GOOGLE ARGENTINA S.R.L.</v>
      </c>
      <c r="H13" s="46">
        <v>246532.43</v>
      </c>
      <c r="I13" s="85">
        <f>compras_mes2[[#This Row],[NETO GRAVADO]]*0.21</f>
        <v>51771.810299999997</v>
      </c>
      <c r="J13" s="85"/>
      <c r="K13" s="85"/>
      <c r="L13" s="85"/>
      <c r="M13" s="85"/>
      <c r="N13" s="250">
        <v>3697.99</v>
      </c>
      <c r="O13" s="85">
        <v>7395.97</v>
      </c>
      <c r="P13" s="48">
        <f>SUM(compras_mes2[[#This Row],[NETO GRAVADO]:[Otros / No Grav.]])</f>
        <v>309398.20029999997</v>
      </c>
      <c r="Q13" s="49" t="str">
        <f>IFERROR(IF(compras_mes2[[#This Row],[CUIT]]="","-",VLOOKUP(compras_mes2[[#This Row],[CUIT]],Lista_CUIT[#All],3,0)),"CUIT NO CARGADO")</f>
        <v>Gastos Publicidad y Propaganda</v>
      </c>
      <c r="R13" s="49">
        <f>IFERROR(IF(compras_mes2[[#This Row],[CUIT]]="","-",VLOOKUP(compras_mes2[[#This Row],[CUIT]],Lista_CUIT[#All],4,0)),"CUIT NO CARGADO")</f>
        <v>0</v>
      </c>
    </row>
    <row r="14" spans="1:26" x14ac:dyDescent="0.3">
      <c r="B14" s="40" t="s">
        <v>163</v>
      </c>
      <c r="C14" s="41">
        <v>1</v>
      </c>
      <c r="D14" s="42">
        <v>11</v>
      </c>
      <c r="E14" s="43">
        <v>948578</v>
      </c>
      <c r="F14" s="44">
        <v>33709585229</v>
      </c>
      <c r="G14" s="45" t="str">
        <f>IFERROR(IF(compras_mes2[[#This Row],[CUIT]]="","-",VLOOKUP(compras_mes2[[#This Row],[CUIT]],Lista_CUIT[#All],2,0)),"CUIT NO CARGADO")</f>
        <v>GOOGLE ARGENTINA S.R.L.</v>
      </c>
      <c r="H14" s="46">
        <v>61234.13</v>
      </c>
      <c r="I14" s="85">
        <f>compras_mes2[[#This Row],[NETO GRAVADO]]*0.21</f>
        <v>12859.167299999999</v>
      </c>
      <c r="J14" s="85"/>
      <c r="K14" s="85"/>
      <c r="L14" s="85"/>
      <c r="M14" s="85"/>
      <c r="N14" s="85">
        <v>918.51</v>
      </c>
      <c r="O14" s="85">
        <v>1837.02</v>
      </c>
      <c r="P14" s="48">
        <f>SUM(compras_mes2[[#This Row],[NETO GRAVADO]:[Otros / No Grav.]])</f>
        <v>76848.82729999999</v>
      </c>
      <c r="Q14" s="49" t="str">
        <f>IFERROR(IF(compras_mes2[[#This Row],[CUIT]]="","-",VLOOKUP(compras_mes2[[#This Row],[CUIT]],Lista_CUIT[#All],3,0)),"CUIT NO CARGADO")</f>
        <v>Gastos Publicidad y Propaganda</v>
      </c>
      <c r="R14" s="49">
        <f>IFERROR(IF(compras_mes2[[#This Row],[CUIT]]="","-",VLOOKUP(compras_mes2[[#This Row],[CUIT]],Lista_CUIT[#All],4,0)),"CUIT NO CARGADO")</f>
        <v>0</v>
      </c>
    </row>
    <row r="15" spans="1:26" x14ac:dyDescent="0.3">
      <c r="B15" s="40" t="s">
        <v>163</v>
      </c>
      <c r="C15" s="41">
        <v>1</v>
      </c>
      <c r="D15" s="42">
        <v>11</v>
      </c>
      <c r="E15" s="43">
        <v>943854</v>
      </c>
      <c r="F15" s="44">
        <v>33709585229</v>
      </c>
      <c r="G15" s="45" t="str">
        <f>IFERROR(IF(compras_mes2[[#This Row],[CUIT]]="","-",VLOOKUP(compras_mes2[[#This Row],[CUIT]],Lista_CUIT[#All],2,0)),"CUIT NO CARGADO")</f>
        <v>GOOGLE ARGENTINA S.R.L.</v>
      </c>
      <c r="H15" s="46">
        <v>18570.740000000002</v>
      </c>
      <c r="I15" s="85">
        <f>compras_mes2[[#This Row],[NETO GRAVADO]]*0.21</f>
        <v>3899.8554000000004</v>
      </c>
      <c r="J15" s="85"/>
      <c r="K15" s="85"/>
      <c r="L15" s="85"/>
      <c r="M15" s="85"/>
      <c r="N15" s="85">
        <v>557.12</v>
      </c>
      <c r="O15" s="85">
        <v>278.56</v>
      </c>
      <c r="P15" s="48">
        <f>SUM(compras_mes2[[#This Row],[NETO GRAVADO]:[Otros / No Grav.]])</f>
        <v>23306.275400000002</v>
      </c>
      <c r="Q15" s="49" t="str">
        <f>IFERROR(IF(compras_mes2[[#This Row],[CUIT]]="","-",VLOOKUP(compras_mes2[[#This Row],[CUIT]],Lista_CUIT[#All],3,0)),"CUIT NO CARGADO")</f>
        <v>Gastos Publicidad y Propaganda</v>
      </c>
      <c r="R15" s="49">
        <f>IFERROR(IF(compras_mes2[[#This Row],[CUIT]]="","-",VLOOKUP(compras_mes2[[#This Row],[CUIT]],Lista_CUIT[#All],4,0)),"CUIT NO CARGADO")</f>
        <v>0</v>
      </c>
    </row>
    <row r="16" spans="1:26" x14ac:dyDescent="0.3">
      <c r="B16" s="40" t="s">
        <v>163</v>
      </c>
      <c r="C16" s="41">
        <v>1</v>
      </c>
      <c r="D16" s="42">
        <v>11</v>
      </c>
      <c r="E16" s="43">
        <v>943049</v>
      </c>
      <c r="F16" s="44">
        <v>33709585229</v>
      </c>
      <c r="G16" s="45" t="str">
        <f>IFERROR(IF(compras_mes2[[#This Row],[CUIT]]="","-",VLOOKUP(compras_mes2[[#This Row],[CUIT]],Lista_CUIT[#All],2,0)),"CUIT NO CARGADO")</f>
        <v>GOOGLE ARGENTINA S.R.L.</v>
      </c>
      <c r="H16" s="46">
        <v>31927.67</v>
      </c>
      <c r="I16" s="85">
        <f>compras_mes2[[#This Row],[NETO GRAVADO]]*0.21</f>
        <v>6704.8106999999991</v>
      </c>
      <c r="J16" s="85"/>
      <c r="K16" s="85"/>
      <c r="L16" s="85"/>
      <c r="M16" s="85"/>
      <c r="N16" s="85">
        <v>478.92</v>
      </c>
      <c r="O16" s="85">
        <v>957.83</v>
      </c>
      <c r="P16" s="48">
        <f>SUM(compras_mes2[[#This Row],[NETO GRAVADO]:[Otros / No Grav.]])</f>
        <v>40069.2307</v>
      </c>
      <c r="Q16" s="49" t="str">
        <f>IFERROR(IF(compras_mes2[[#This Row],[CUIT]]="","-",VLOOKUP(compras_mes2[[#This Row],[CUIT]],Lista_CUIT[#All],3,0)),"CUIT NO CARGADO")</f>
        <v>Gastos Publicidad y Propaganda</v>
      </c>
      <c r="R16" s="49">
        <f>IFERROR(IF(compras_mes2[[#This Row],[CUIT]]="","-",VLOOKUP(compras_mes2[[#This Row],[CUIT]],Lista_CUIT[#All],4,0)),"CUIT NO CARGADO")</f>
        <v>0</v>
      </c>
    </row>
    <row r="17" spans="2:18" x14ac:dyDescent="0.3">
      <c r="B17" s="242" t="s">
        <v>163</v>
      </c>
      <c r="C17" s="243">
        <v>3</v>
      </c>
      <c r="D17" s="244">
        <v>11</v>
      </c>
      <c r="E17" s="245">
        <v>698844</v>
      </c>
      <c r="F17" s="246">
        <v>33709585229</v>
      </c>
      <c r="G17" s="247" t="str">
        <f>IFERROR(IF(compras_mes2[[#This Row],[CUIT]]="","-",VLOOKUP(compras_mes2[[#This Row],[CUIT]],Lista_CUIT[#All],2,0)),"CUIT NO CARGADO")</f>
        <v>GOOGLE ARGENTINA S.R.L.</v>
      </c>
      <c r="H17" s="248">
        <v>-583.44000000000005</v>
      </c>
      <c r="I17" s="249">
        <f>compras_mes2[[#This Row],[NETO GRAVADO]]*0.21</f>
        <v>-122.5224</v>
      </c>
      <c r="J17" s="250"/>
      <c r="K17" s="250"/>
      <c r="L17" s="250"/>
      <c r="M17" s="250"/>
      <c r="N17" s="250">
        <v>-8.75</v>
      </c>
      <c r="O17" s="250"/>
      <c r="P17" s="252">
        <f>SUM(compras_mes2[[#This Row],[NETO GRAVADO]:[Otros / No Grav.]])</f>
        <v>-714.71240000000012</v>
      </c>
      <c r="Q17" s="251" t="str">
        <f>IFERROR(IF(compras_mes2[[#This Row],[CUIT]]="","-",VLOOKUP(compras_mes2[[#This Row],[CUIT]],Lista_CUIT[#All],3,0)),"CUIT NO CARGADO")</f>
        <v>Gastos Publicidad y Propaganda</v>
      </c>
      <c r="R17" s="251">
        <f>IFERROR(IF(compras_mes2[[#This Row],[CUIT]]="","-",VLOOKUP(compras_mes2[[#This Row],[CUIT]],Lista_CUIT[#All],4,0)),"CUIT NO CARGADO")</f>
        <v>0</v>
      </c>
    </row>
    <row r="18" spans="2:18" ht="14.4" customHeight="1" x14ac:dyDescent="0.3">
      <c r="B18" s="96" t="s">
        <v>91</v>
      </c>
      <c r="C18" s="96"/>
      <c r="D18" s="96"/>
      <c r="E18" s="96"/>
      <c r="F18" s="96"/>
      <c r="G18" s="97"/>
      <c r="H18" s="98">
        <f>SUBTOTAL(109,compras_mes2[NETO GRAVADO])</f>
        <v>908825.01</v>
      </c>
      <c r="I18" s="98">
        <f>SUBTOTAL(109,compras_mes2[IVA 21 %])</f>
        <v>190853.25210000001</v>
      </c>
      <c r="J18" s="98">
        <f>SUBTOTAL(109,compras_mes2[IVA 27%])</f>
        <v>0</v>
      </c>
      <c r="K18" s="98">
        <f>SUBTOTAL(109,compras_mes2[IVA 10,5%])</f>
        <v>0</v>
      </c>
      <c r="L18" s="98">
        <f>SUBTOTAL(109,compras_mes2[PERC. IVA])</f>
        <v>0</v>
      </c>
      <c r="M18" s="98">
        <f>SUBTOTAL(109,compras_mes2[PERC IIBB 
BS AS])</f>
        <v>0</v>
      </c>
      <c r="N18" s="98">
        <f>SUBTOTAL(109,compras_mes2[PERC. IIBB CABA])</f>
        <v>13910.94</v>
      </c>
      <c r="O18" s="98">
        <f>SUBTOTAL(109,compras_mes2[Otros / No Grav.])</f>
        <v>27003.690000000006</v>
      </c>
      <c r="P18" s="98">
        <f>SUBTOTAL(109,compras_mes2[TOTAL])</f>
        <v>1140592.8920999998</v>
      </c>
      <c r="Q18" s="96"/>
      <c r="R18" s="96"/>
    </row>
    <row r="19" spans="2:18" ht="14.4" customHeight="1" x14ac:dyDescent="0.3">
      <c r="B19" s="40"/>
      <c r="C19" s="41"/>
      <c r="D19" s="42"/>
      <c r="E19" s="43"/>
      <c r="F19" s="44"/>
      <c r="G19" s="45"/>
      <c r="H19" s="46"/>
      <c r="I19" s="47"/>
      <c r="J19" s="47"/>
      <c r="K19" s="47"/>
      <c r="L19" s="47"/>
      <c r="M19" s="47"/>
      <c r="N19" s="47"/>
      <c r="O19" s="47"/>
      <c r="P19" s="48"/>
      <c r="Q19" s="49"/>
      <c r="R19" s="49"/>
    </row>
    <row r="20" spans="2:18" ht="15" customHeight="1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  <c r="M20" s="47"/>
      <c r="N20" s="47"/>
      <c r="O20" s="47"/>
      <c r="P20" s="48"/>
      <c r="Q20" s="49"/>
      <c r="R20" s="49"/>
    </row>
    <row r="21" spans="2:18" ht="15" customHeight="1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2:18" ht="15" customHeight="1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N22" s="33"/>
    </row>
    <row r="23" spans="2:18" ht="15" customHeight="1" x14ac:dyDescent="0.3">
      <c r="D23" s="362" t="s">
        <v>15</v>
      </c>
      <c r="E23" s="362"/>
      <c r="F23" s="362"/>
      <c r="G23" s="362"/>
      <c r="H23" s="362"/>
      <c r="I23" s="362"/>
      <c r="J23" s="362"/>
      <c r="K23" s="362"/>
      <c r="L23" s="362"/>
    </row>
    <row r="24" spans="2:18" ht="15" customHeight="1" x14ac:dyDescent="0.3">
      <c r="D24" s="73" t="s">
        <v>0</v>
      </c>
      <c r="E24" s="74" t="s">
        <v>26</v>
      </c>
      <c r="F24" s="74" t="s">
        <v>16</v>
      </c>
      <c r="G24" s="74" t="s">
        <v>5</v>
      </c>
      <c r="H24" s="74" t="s">
        <v>17</v>
      </c>
      <c r="I24" s="74" t="s">
        <v>7</v>
      </c>
      <c r="J24" s="75" t="s">
        <v>18</v>
      </c>
      <c r="K24" s="75" t="s">
        <v>19</v>
      </c>
      <c r="L24" s="76" t="s">
        <v>20</v>
      </c>
    </row>
    <row r="25" spans="2:18" x14ac:dyDescent="0.3">
      <c r="D25" s="50"/>
      <c r="E25" s="79"/>
      <c r="F25" s="80"/>
      <c r="G25" s="81"/>
      <c r="H25" s="81"/>
      <c r="I25" s="81"/>
      <c r="J25" s="81"/>
      <c r="K25" s="81"/>
      <c r="L25" s="81"/>
    </row>
    <row r="26" spans="2:18" x14ac:dyDescent="0.3">
      <c r="D26" s="50"/>
      <c r="E26" s="79"/>
      <c r="F26" s="80"/>
      <c r="G26" s="81"/>
      <c r="H26" s="81"/>
      <c r="I26" s="81"/>
      <c r="J26" s="81"/>
      <c r="K26" s="81"/>
      <c r="L26" s="81"/>
      <c r="P26" s="33"/>
    </row>
    <row r="27" spans="2:18" x14ac:dyDescent="0.3">
      <c r="D27" s="50"/>
      <c r="E27" s="79"/>
      <c r="F27" s="80"/>
      <c r="G27" s="81"/>
      <c r="H27" s="81"/>
      <c r="I27" s="81"/>
      <c r="J27" s="81"/>
      <c r="K27" s="81"/>
      <c r="L27" s="81"/>
    </row>
    <row r="28" spans="2:18" x14ac:dyDescent="0.3">
      <c r="D28" s="82" t="s">
        <v>91</v>
      </c>
      <c r="E28" s="80"/>
      <c r="F28" s="80"/>
      <c r="G28" s="83">
        <f>SUBTOTAL(109,extracto_banco_mes2[NETO])</f>
        <v>0</v>
      </c>
      <c r="H28" s="83">
        <f>SUBTOTAL(109,extracto_banco_mes2[IVA 21%])</f>
        <v>0</v>
      </c>
      <c r="I28" s="83">
        <f>SUBTOTAL(109,extracto_banco_mes2[IVA 10,5%])</f>
        <v>0</v>
      </c>
      <c r="J28" s="83">
        <f>SUBTOTAL(109,extracto_banco_mes2[RET IIBB CABA])</f>
        <v>0</v>
      </c>
      <c r="K28" s="83">
        <f>SUBTOTAL(109,extracto_banco_mes2[PERC IVA])</f>
        <v>0</v>
      </c>
      <c r="L28" s="83">
        <f>SUBTOTAL(109,extracto_banco_mes2[PERC IIBB])</f>
        <v>0</v>
      </c>
    </row>
    <row r="32" spans="2:18" s="56" customFormat="1" ht="18.600000000000001" customHeight="1" x14ac:dyDescent="0.3">
      <c r="B32"/>
      <c r="C32"/>
      <c r="D32" s="362" t="s">
        <v>25</v>
      </c>
      <c r="E32" s="362"/>
      <c r="F32" s="362"/>
      <c r="G32" s="362"/>
      <c r="H32" s="362"/>
      <c r="I32" s="362"/>
      <c r="J32" s="362"/>
      <c r="K32" s="362"/>
      <c r="L32"/>
      <c r="M32"/>
      <c r="N32"/>
      <c r="O32"/>
      <c r="P32"/>
      <c r="Q32"/>
      <c r="R32"/>
    </row>
    <row r="33" spans="2:18" x14ac:dyDescent="0.3">
      <c r="D33" s="51" t="s">
        <v>0</v>
      </c>
      <c r="E33" s="51" t="s">
        <v>2</v>
      </c>
      <c r="F33" s="51" t="s">
        <v>74</v>
      </c>
      <c r="G33" s="51" t="s">
        <v>3</v>
      </c>
      <c r="H33" s="51" t="s">
        <v>4</v>
      </c>
      <c r="I33" s="52" t="s">
        <v>10</v>
      </c>
      <c r="J33" s="51" t="s">
        <v>13</v>
      </c>
      <c r="K33" s="51" t="s">
        <v>38</v>
      </c>
    </row>
    <row r="34" spans="2:18" x14ac:dyDescent="0.3">
      <c r="D34" s="50" t="s">
        <v>164</v>
      </c>
      <c r="E34" s="42">
        <v>2</v>
      </c>
      <c r="F34" s="43">
        <v>716</v>
      </c>
      <c r="G34" s="44">
        <v>20400104094</v>
      </c>
      <c r="H34" s="53" t="str">
        <f>IFERROR(IF(factura_c_mes2[[#This Row],[CUIT]]="","-",VLOOKUP(factura_c_mes2[[#This Row],[CUIT]],Lista_CUIT[#All],2,0)),"CUIT NO CARGADO")</f>
        <v>BOTINDARI FEDERICO DANIEL</v>
      </c>
      <c r="I34" s="81">
        <v>46500</v>
      </c>
      <c r="J34" s="54" t="str">
        <f>IFERROR(IF(factura_c_mes2[[#This Row],[CUIT]]="","-",VLOOKUP(factura_c_mes2[[#This Row],[CUIT]],Lista_CUIT[#All],3,0)),"CUIT NO CARGADO")</f>
        <v>HONORARIOS CONTABLE</v>
      </c>
      <c r="K34" s="54">
        <f>IFERROR(IF(factura_c_mes2[[#This Row],[CUIT]]="","-",VLOOKUP(factura_c_mes2[[#This Row],[CUIT]],Lista_CUIT[#All],4,0)),"CUIT NO CARGADO")</f>
        <v>0</v>
      </c>
    </row>
    <row r="35" spans="2:18" x14ac:dyDescent="0.3">
      <c r="D35" s="50" t="s">
        <v>165</v>
      </c>
      <c r="E35" s="42">
        <v>3</v>
      </c>
      <c r="F35" s="43">
        <v>401</v>
      </c>
      <c r="G35" s="44">
        <v>20178248201</v>
      </c>
      <c r="H35" s="53" t="str">
        <f>IFERROR(IF(factura_c_mes2[[#This Row],[CUIT]]="","-",VLOOKUP(factura_c_mes2[[#This Row],[CUIT]],Lista_CUIT[#All],2,0)),"CUIT NO CARGADO")</f>
        <v>FRANCISCO ADRIAN MARCELO</v>
      </c>
      <c r="I35" s="81">
        <v>47500</v>
      </c>
      <c r="J35" s="54">
        <f>IFERROR(IF(factura_c_mes2[[#This Row],[CUIT]]="","-",VLOOKUP(factura_c_mes2[[#This Row],[CUIT]],Lista_CUIT[#All],3,0)),"CUIT NO CARGADO")</f>
        <v>0</v>
      </c>
      <c r="K35" s="54">
        <f>IFERROR(IF(factura_c_mes2[[#This Row],[CUIT]]="","-",VLOOKUP(factura_c_mes2[[#This Row],[CUIT]],Lista_CUIT[#All],4,0)),"CUIT NO CARGADO")</f>
        <v>0</v>
      </c>
    </row>
    <row r="36" spans="2:18" x14ac:dyDescent="0.3">
      <c r="D36" s="50"/>
      <c r="E36" s="42"/>
      <c r="F36" s="43"/>
      <c r="G36" s="44"/>
      <c r="H36" s="53" t="str">
        <f>IFERROR(IF(factura_c_mes2[[#This Row],[CUIT]]="","-",VLOOKUP(factura_c_mes2[[#This Row],[CUIT]],Lista_CUIT[#All],2,0)),"CUIT NO CARGADO")</f>
        <v>-</v>
      </c>
      <c r="I36" s="81"/>
      <c r="J36" s="54" t="str">
        <f>IFERROR(IF(factura_c_mes2[[#This Row],[CUIT]]="","-",VLOOKUP(factura_c_mes2[[#This Row],[CUIT]],Lista_CUIT[#All],3,0)),"CUIT NO CARGADO")</f>
        <v>-</v>
      </c>
      <c r="K36" s="54" t="str">
        <f>IFERROR(IF(factura_c_mes2[[#This Row],[CUIT]]="","-",VLOOKUP(factura_c_mes2[[#This Row],[CUIT]],Lista_CUIT[#All],4,0)),"CUIT NO CARGADO")</f>
        <v>-</v>
      </c>
    </row>
    <row r="37" spans="2:18" x14ac:dyDescent="0.3">
      <c r="D37" s="50"/>
      <c r="E37" s="42"/>
      <c r="F37" s="43"/>
      <c r="G37" s="44"/>
      <c r="H37" s="53" t="str">
        <f>IFERROR(IF(factura_c_mes2[[#This Row],[CUIT]]="","-",VLOOKUP(factura_c_mes2[[#This Row],[CUIT]],Lista_CUIT[#All],2,0)),"CUIT NO CARGADO")</f>
        <v>-</v>
      </c>
      <c r="I37" s="81"/>
      <c r="J37" s="54" t="str">
        <f>IFERROR(IF(factura_c_mes2[[#This Row],[CUIT]]="","-",VLOOKUP(factura_c_mes2[[#This Row],[CUIT]],Lista_CUIT[#All],3,0)),"CUIT NO CARGADO")</f>
        <v>-</v>
      </c>
      <c r="K37" s="54" t="str">
        <f>IFERROR(IF(factura_c_mes2[[#This Row],[CUIT]]="","-",VLOOKUP(factura_c_mes2[[#This Row],[CUIT]],Lista_CUIT[#All],4,0)),"CUIT NO CARGADO")</f>
        <v>-</v>
      </c>
    </row>
    <row r="38" spans="2:18" x14ac:dyDescent="0.3">
      <c r="D38" s="55" t="s">
        <v>91</v>
      </c>
      <c r="E38" s="55"/>
      <c r="F38" s="55"/>
      <c r="G38" s="55"/>
      <c r="H38" s="57"/>
      <c r="I38" s="58">
        <f>SUBTOTAL(109,factura_c_mes2[TOTAL])</f>
        <v>94000</v>
      </c>
      <c r="J38" s="55"/>
      <c r="K38" s="55"/>
    </row>
    <row r="39" spans="2:18" ht="22.5" customHeight="1" x14ac:dyDescent="0.3">
      <c r="B39" s="56"/>
      <c r="C39" s="56"/>
      <c r="L39" s="56"/>
      <c r="M39" s="56"/>
      <c r="N39" s="56"/>
      <c r="O39" s="56"/>
      <c r="P39" s="56"/>
      <c r="Q39" s="56"/>
      <c r="R39" s="56"/>
    </row>
    <row r="41" spans="2:18" ht="18" customHeight="1" x14ac:dyDescent="0.3"/>
    <row r="44" spans="2:18" ht="25.8" x14ac:dyDescent="0.3">
      <c r="B44" s="363" t="s">
        <v>29</v>
      </c>
      <c r="C44" s="363"/>
      <c r="D44" s="363"/>
      <c r="E44" s="363"/>
      <c r="F44" s="363"/>
      <c r="G44" s="363"/>
      <c r="H44" s="363"/>
      <c r="I44" s="363"/>
      <c r="J44" s="363"/>
      <c r="K44" s="364">
        <f>N1</f>
        <v>45323</v>
      </c>
      <c r="L44" s="364"/>
      <c r="M44" s="364"/>
    </row>
    <row r="46" spans="2:18" ht="21" x14ac:dyDescent="0.3">
      <c r="B46" s="365" t="s">
        <v>30</v>
      </c>
      <c r="C46" s="365"/>
    </row>
    <row r="47" spans="2:18" ht="15.6" x14ac:dyDescent="0.3">
      <c r="B47" s="60" t="s">
        <v>0</v>
      </c>
      <c r="C47" s="61" t="s">
        <v>1</v>
      </c>
      <c r="D47" s="61" t="s">
        <v>21</v>
      </c>
      <c r="E47" s="61" t="s">
        <v>22</v>
      </c>
      <c r="F47" s="61" t="s">
        <v>3</v>
      </c>
      <c r="G47" s="61" t="s">
        <v>4</v>
      </c>
      <c r="H47" s="61" t="s">
        <v>23</v>
      </c>
      <c r="I47" s="61" t="s">
        <v>17</v>
      </c>
      <c r="J47" s="61" t="s">
        <v>7</v>
      </c>
      <c r="K47" s="61" t="s">
        <v>24</v>
      </c>
      <c r="L47" s="61" t="s">
        <v>10</v>
      </c>
      <c r="M47" s="62" t="s">
        <v>38</v>
      </c>
    </row>
    <row r="48" spans="2:18" x14ac:dyDescent="0.3">
      <c r="B48" t="s">
        <v>160</v>
      </c>
      <c r="C48" s="41">
        <v>1</v>
      </c>
      <c r="D48" s="42">
        <v>1</v>
      </c>
      <c r="E48" s="43">
        <v>125</v>
      </c>
      <c r="F48" s="44">
        <v>20284212488</v>
      </c>
      <c r="G48" s="99" t="str">
        <f>IFERROR(IF(venta_a_mes2[[#This Row],[CUIT]]="","-",VLOOKUP(venta_a_mes2[[#This Row],[CUIT]],Lista_CUIT[#All],2,0)),"CUIT NO CARGADO")</f>
        <v>BARLETTA MAXIMILIANO SEBASTIAN</v>
      </c>
      <c r="H48" s="100">
        <v>37685.949999999997</v>
      </c>
      <c r="I48" s="101">
        <f>venta_a_mes2[[#This Row],[IMPORTE NETO]]*0.21</f>
        <v>7914.0494999999992</v>
      </c>
      <c r="J48" s="65"/>
      <c r="K48" s="65"/>
      <c r="L48" s="65">
        <f>SUM(venta_a_mes2[[#This Row],[IMPORTE NETO]:[EXENTO]])</f>
        <v>45599.999499999998</v>
      </c>
      <c r="M48" s="59"/>
    </row>
    <row r="49" spans="2:13" x14ac:dyDescent="0.3">
      <c r="B49" t="s">
        <v>160</v>
      </c>
      <c r="C49" s="41">
        <v>1</v>
      </c>
      <c r="D49" s="42">
        <v>1</v>
      </c>
      <c r="E49" s="43">
        <v>132</v>
      </c>
      <c r="F49" s="44">
        <v>20287305460</v>
      </c>
      <c r="G49" s="99" t="str">
        <f>IFERROR(IF(venta_a_mes2[[#This Row],[CUIT]]="","-",VLOOKUP(venta_a_mes2[[#This Row],[CUIT]],Lista_CUIT[#All],2,0)),"CUIT NO CARGADO")</f>
        <v>LANDI GERONIMO</v>
      </c>
      <c r="H49" s="100">
        <v>37685.949999999997</v>
      </c>
      <c r="I49" s="101">
        <f>venta_a_mes2[[#This Row],[IMPORTE NETO]]*0.21</f>
        <v>7914.0494999999992</v>
      </c>
      <c r="J49" s="65"/>
      <c r="K49" s="65"/>
      <c r="L49" s="65">
        <f>SUM(venta_a_mes2[[#This Row],[IMPORTE NETO]:[EXENTO]])</f>
        <v>45599.999499999998</v>
      </c>
      <c r="M49" s="59"/>
    </row>
    <row r="50" spans="2:13" x14ac:dyDescent="0.3">
      <c r="B50" t="s">
        <v>160</v>
      </c>
      <c r="C50" s="41">
        <v>1</v>
      </c>
      <c r="D50" s="42">
        <v>1</v>
      </c>
      <c r="E50" s="43">
        <v>138</v>
      </c>
      <c r="F50" s="44">
        <v>20132082198</v>
      </c>
      <c r="G50" s="99" t="str">
        <f>IFERROR(IF(venta_a_mes2[[#This Row],[CUIT]]="","-",VLOOKUP(venta_a_mes2[[#This Row],[CUIT]],Lista_CUIT[#All],2,0)),"CUIT NO CARGADO")</f>
        <v>FADIGA OSCAR ALBERTO</v>
      </c>
      <c r="H50" s="100">
        <v>37685.949999999997</v>
      </c>
      <c r="I50" s="101">
        <f>venta_a_mes2[[#This Row],[IMPORTE NETO]]*0.21</f>
        <v>7914.0494999999992</v>
      </c>
      <c r="J50" s="65"/>
      <c r="K50" s="65"/>
      <c r="L50" s="65">
        <f>SUM(venta_a_mes2[[#This Row],[IMPORTE NETO]:[EXENTO]])</f>
        <v>45599.999499999998</v>
      </c>
      <c r="M50" s="59"/>
    </row>
    <row r="51" spans="2:13" x14ac:dyDescent="0.3">
      <c r="B51" t="s">
        <v>160</v>
      </c>
      <c r="C51" s="41">
        <v>1</v>
      </c>
      <c r="D51" s="42">
        <v>1</v>
      </c>
      <c r="E51" s="43">
        <v>136</v>
      </c>
      <c r="F51" s="44">
        <v>30717969061</v>
      </c>
      <c r="G51" s="99" t="str">
        <f>IFERROR(IF(venta_a_mes2[[#This Row],[CUIT]]="","-",VLOOKUP(venta_a_mes2[[#This Row],[CUIT]],Lista_CUIT[#All],2,0)),"CUIT NO CARGADO")</f>
        <v>FABIO Y RAUL ROSSO S.A.S.</v>
      </c>
      <c r="H51" s="100">
        <v>37685.949999999997</v>
      </c>
      <c r="I51" s="101">
        <f>venta_a_mes2[[#This Row],[IMPORTE NETO]]*0.21</f>
        <v>7914.0494999999992</v>
      </c>
      <c r="J51" s="65"/>
      <c r="K51" s="65"/>
      <c r="L51" s="65">
        <f>SUM(venta_a_mes2[[#This Row],[IMPORTE NETO]:[EXENTO]])</f>
        <v>45599.999499999998</v>
      </c>
      <c r="M51" s="59"/>
    </row>
    <row r="52" spans="2:13" x14ac:dyDescent="0.3">
      <c r="B52" t="s">
        <v>160</v>
      </c>
      <c r="C52" s="41">
        <v>1</v>
      </c>
      <c r="D52" s="42">
        <v>1</v>
      </c>
      <c r="E52" s="43">
        <v>137</v>
      </c>
      <c r="F52" s="44">
        <v>30717465101</v>
      </c>
      <c r="G52" s="99" t="str">
        <f>IFERROR(IF(venta_a_mes2[[#This Row],[CUIT]]="","-",VLOOKUP(venta_a_mes2[[#This Row],[CUIT]],Lista_CUIT[#All],2,0)),"CUIT NO CARGADO")</f>
        <v>EMPRENDIMIENTOS SHOPGLASS S. R. L.</v>
      </c>
      <c r="H52" s="100">
        <v>37685.949999999997</v>
      </c>
      <c r="I52" s="101">
        <f>venta_a_mes2[[#This Row],[IMPORTE NETO]]*0.21</f>
        <v>7914.0494999999992</v>
      </c>
      <c r="J52" s="65"/>
      <c r="K52" s="65"/>
      <c r="L52" s="65">
        <f>SUM(venta_a_mes2[[#This Row],[IMPORTE NETO]:[EXENTO]])</f>
        <v>45599.999499999998</v>
      </c>
      <c r="M52" s="59"/>
    </row>
    <row r="53" spans="2:13" x14ac:dyDescent="0.3">
      <c r="B53" t="s">
        <v>160</v>
      </c>
      <c r="C53" s="41">
        <v>1</v>
      </c>
      <c r="D53" s="42">
        <v>1</v>
      </c>
      <c r="E53" s="43">
        <v>131</v>
      </c>
      <c r="F53" s="44">
        <v>20252582704</v>
      </c>
      <c r="G53" s="99" t="str">
        <f>IFERROR(IF(venta_a_mes2[[#This Row],[CUIT]]="","-",VLOOKUP(venta_a_mes2[[#This Row],[CUIT]],Lista_CUIT[#All],2,0)),"CUIT NO CARGADO")</f>
        <v>GARCIA VAUTRIN ANDRES ALBERTO</v>
      </c>
      <c r="H53" s="100">
        <v>75371.899999999994</v>
      </c>
      <c r="I53" s="101">
        <f>venta_a_mes2[[#This Row],[IMPORTE NETO]]*0.21</f>
        <v>15828.098999999998</v>
      </c>
      <c r="J53" s="65"/>
      <c r="K53" s="65"/>
      <c r="L53" s="65">
        <f>SUM(venta_a_mes2[[#This Row],[IMPORTE NETO]:[EXENTO]])</f>
        <v>91199.998999999996</v>
      </c>
      <c r="M53" s="59"/>
    </row>
    <row r="54" spans="2:13" x14ac:dyDescent="0.3">
      <c r="B54" t="s">
        <v>160</v>
      </c>
      <c r="C54" s="41">
        <v>1</v>
      </c>
      <c r="D54" s="42">
        <v>1</v>
      </c>
      <c r="E54" s="43">
        <v>124</v>
      </c>
      <c r="F54" s="44">
        <v>30717477681</v>
      </c>
      <c r="G54" s="99" t="str">
        <f>IFERROR(IF(venta_a_mes2[[#This Row],[CUIT]]="","-",VLOOKUP(venta_a_mes2[[#This Row],[CUIT]],Lista_CUIT[#All],2,0)),"CUIT NO CARGADO")</f>
        <v>GRUPO FAM SA</v>
      </c>
      <c r="H54" s="100">
        <v>52479.33</v>
      </c>
      <c r="I54" s="101">
        <f>venta_a_mes2[[#This Row],[IMPORTE NETO]]*0.21</f>
        <v>11020.659299999999</v>
      </c>
      <c r="J54" s="65"/>
      <c r="K54" s="65"/>
      <c r="L54" s="65">
        <f>SUM(venta_a_mes2[[#This Row],[IMPORTE NETO]:[EXENTO]])</f>
        <v>63499.989300000001</v>
      </c>
      <c r="M54" s="63"/>
    </row>
    <row r="55" spans="2:13" x14ac:dyDescent="0.3">
      <c r="B55" t="s">
        <v>160</v>
      </c>
      <c r="C55" s="41">
        <v>1</v>
      </c>
      <c r="D55" s="42">
        <v>1</v>
      </c>
      <c r="E55" s="105">
        <v>123</v>
      </c>
      <c r="F55" s="106">
        <v>30716914077</v>
      </c>
      <c r="G55" s="99" t="str">
        <f>IFERROR(IF(venta_a_mes2[[#This Row],[CUIT]]="","-",VLOOKUP(venta_a_mes2[[#This Row],[CUIT]],Lista_CUIT[#All],2,0)),"CUIT NO CARGADO")</f>
        <v>BACANES</v>
      </c>
      <c r="H55" s="107">
        <v>96694.24</v>
      </c>
      <c r="I55" s="108">
        <f>venta_a_mes2[[#This Row],[IMPORTE NETO]]*0.21</f>
        <v>20305.790400000002</v>
      </c>
      <c r="J55" s="72"/>
      <c r="K55" s="72"/>
      <c r="L55" s="72">
        <f>SUM(venta_a_mes2[[#This Row],[IMPORTE NETO]:[EXENTO]])</f>
        <v>117000.0304</v>
      </c>
      <c r="M55" s="63"/>
    </row>
    <row r="56" spans="2:13" x14ac:dyDescent="0.3">
      <c r="B56" t="s">
        <v>160</v>
      </c>
      <c r="C56" s="41">
        <v>1</v>
      </c>
      <c r="D56" s="42">
        <v>1</v>
      </c>
      <c r="E56" s="112">
        <v>127</v>
      </c>
      <c r="F56" s="113">
        <v>30717170594</v>
      </c>
      <c r="G56" s="99" t="str">
        <f>IFERROR(IF(venta_a_mes2[[#This Row],[CUIT]]="","-",VLOOKUP(venta_a_mes2[[#This Row],[CUIT]],Lista_CUIT[#All],2,0)),"CUIT NO CARGADO")</f>
        <v>INDUSTRIA4 S.R.L.</v>
      </c>
      <c r="H56" s="100">
        <v>37685.949999999997</v>
      </c>
      <c r="I56" s="101">
        <f>venta_a_mes2[[#This Row],[IMPORTE NETO]]*0.21</f>
        <v>7914.0494999999992</v>
      </c>
      <c r="J56" s="65"/>
      <c r="K56" s="65"/>
      <c r="L56" s="65">
        <f>SUM(venta_a_mes2[[#This Row],[IMPORTE NETO]:[EXENTO]])</f>
        <v>45599.999499999998</v>
      </c>
      <c r="M56" s="59"/>
    </row>
    <row r="57" spans="2:13" x14ac:dyDescent="0.3">
      <c r="B57" t="s">
        <v>160</v>
      </c>
      <c r="C57" s="41">
        <v>1</v>
      </c>
      <c r="D57" s="42">
        <v>1</v>
      </c>
      <c r="E57" s="112">
        <v>122</v>
      </c>
      <c r="F57" s="113">
        <v>20369499956</v>
      </c>
      <c r="G57" s="99" t="str">
        <f>IFERROR(IF(venta_a_mes2[[#This Row],[CUIT]]="","-",VLOOKUP(venta_a_mes2[[#This Row],[CUIT]],Lista_CUIT[#All],2,0)),"CUIT NO CARGADO")</f>
        <v>LAMARI FRANCO AGUSTIN</v>
      </c>
      <c r="H57" s="100">
        <v>96694.24</v>
      </c>
      <c r="I57" s="101">
        <f>venta_a_mes2[[#This Row],[IMPORTE NETO]]*0.21</f>
        <v>20305.790400000002</v>
      </c>
      <c r="J57" s="65"/>
      <c r="K57" s="65"/>
      <c r="L57" s="65">
        <f>SUM(venta_a_mes2[[#This Row],[IMPORTE NETO]:[EXENTO]])</f>
        <v>117000.0304</v>
      </c>
      <c r="M57" s="59"/>
    </row>
    <row r="58" spans="2:13" x14ac:dyDescent="0.3">
      <c r="B58" s="233" t="s">
        <v>160</v>
      </c>
      <c r="C58" s="41">
        <v>1</v>
      </c>
      <c r="D58" s="234">
        <v>1</v>
      </c>
      <c r="E58" s="235">
        <v>135</v>
      </c>
      <c r="F58" s="236">
        <v>30715941763</v>
      </c>
      <c r="G58" s="237" t="str">
        <f>IFERROR(IF(venta_a_mes2[[#This Row],[CUIT]]="","-",VLOOKUP(venta_a_mes2[[#This Row],[CUIT]],Lista_CUIT[#All],2,0)),"CUIT NO CARGADO")</f>
        <v>TOURMALHYN S.R.L.</v>
      </c>
      <c r="H58" s="238">
        <v>20661.14</v>
      </c>
      <c r="I58" s="239">
        <f>venta_a_mes2[[#This Row],[IMPORTE NETO]]*0.21</f>
        <v>4338.8393999999998</v>
      </c>
      <c r="J58" s="240"/>
      <c r="K58" s="240"/>
      <c r="L58" s="240">
        <f>SUM(venta_a_mes2[[#This Row],[IMPORTE NETO]:[EXENTO]])</f>
        <v>24999.9794</v>
      </c>
      <c r="M58" s="241"/>
    </row>
    <row r="59" spans="2:13" x14ac:dyDescent="0.3">
      <c r="B59" s="223" t="s">
        <v>160</v>
      </c>
      <c r="C59" s="41">
        <v>1</v>
      </c>
      <c r="D59" s="225">
        <v>1</v>
      </c>
      <c r="E59" s="226">
        <v>130</v>
      </c>
      <c r="F59" s="227">
        <v>27165844748</v>
      </c>
      <c r="G59" s="228" t="str">
        <f>IFERROR(IF(venta_a_mes2[[#This Row],[CUIT]]="","-",VLOOKUP(venta_a_mes2[[#This Row],[CUIT]],Lista_CUIT[#All],2,0)),"CUIT NO CARGADO")</f>
        <v>DENATALE MARCELA BEATRIZ</v>
      </c>
      <c r="H59" s="229">
        <v>96694.24</v>
      </c>
      <c r="I59" s="230">
        <f>venta_a_mes2[[#This Row],[IMPORTE NETO]]*0.21</f>
        <v>20305.790400000002</v>
      </c>
      <c r="J59" s="231"/>
      <c r="K59" s="231"/>
      <c r="L59" s="231">
        <f>SUM(venta_a_mes2[[#This Row],[IMPORTE NETO]:[EXENTO]])</f>
        <v>117000.0304</v>
      </c>
      <c r="M59" s="232"/>
    </row>
    <row r="60" spans="2:13" x14ac:dyDescent="0.3">
      <c r="B60" s="223" t="s">
        <v>160</v>
      </c>
      <c r="C60" s="41">
        <v>1</v>
      </c>
      <c r="D60" s="225">
        <v>1</v>
      </c>
      <c r="E60" s="226">
        <v>129</v>
      </c>
      <c r="F60" s="227">
        <v>30717973166</v>
      </c>
      <c r="G60" s="228" t="str">
        <f>IFERROR(IF(venta_a_mes2[[#This Row],[CUIT]]="","-",VLOOKUP(venta_a_mes2[[#This Row],[CUIT]],Lista_CUIT[#All],2,0)),"CUIT NO CARGADO")</f>
        <v>STM ESTILO S.R.L</v>
      </c>
      <c r="H60" s="229">
        <v>37685.949999999997</v>
      </c>
      <c r="I60" s="230">
        <f>venta_a_mes2[[#This Row],[IMPORTE NETO]]*0.21</f>
        <v>7914.0494999999992</v>
      </c>
      <c r="J60" s="231"/>
      <c r="K60" s="231"/>
      <c r="L60" s="231">
        <f>SUM(venta_a_mes2[[#This Row],[IMPORTE NETO]:[EXENTO]])</f>
        <v>45599.999499999998</v>
      </c>
      <c r="M60" s="232"/>
    </row>
    <row r="61" spans="2:13" x14ac:dyDescent="0.3">
      <c r="B61" s="223" t="s">
        <v>160</v>
      </c>
      <c r="C61" s="41">
        <v>1</v>
      </c>
      <c r="D61" s="225">
        <v>1</v>
      </c>
      <c r="E61" s="226">
        <v>121</v>
      </c>
      <c r="F61" s="227">
        <v>30716549107</v>
      </c>
      <c r="G61" s="228" t="str">
        <f>IFERROR(IF(venta_a_mes2[[#This Row],[CUIT]]="","-",VLOOKUP(venta_a_mes2[[#This Row],[CUIT]],Lista_CUIT[#All],2,0)),"CUIT NO CARGADO")</f>
        <v>LAMATEC S.R.L.</v>
      </c>
      <c r="H61" s="229">
        <v>96694.24</v>
      </c>
      <c r="I61" s="230">
        <f>venta_a_mes2[[#This Row],[IMPORTE NETO]]*0.21</f>
        <v>20305.790400000002</v>
      </c>
      <c r="J61" s="231"/>
      <c r="K61" s="231"/>
      <c r="L61" s="231">
        <f>SUM(venta_a_mes2[[#This Row],[IMPORTE NETO]:[EXENTO]])</f>
        <v>117000.0304</v>
      </c>
      <c r="M61" s="232"/>
    </row>
    <row r="62" spans="2:13" x14ac:dyDescent="0.3">
      <c r="B62" s="223" t="s">
        <v>160</v>
      </c>
      <c r="C62" s="41">
        <v>1</v>
      </c>
      <c r="D62" s="225">
        <v>1</v>
      </c>
      <c r="E62" s="226">
        <v>126</v>
      </c>
      <c r="F62" s="227">
        <v>30717170594</v>
      </c>
      <c r="G62" s="228" t="str">
        <f>IFERROR(IF(venta_a_mes2[[#This Row],[CUIT]]="","-",VLOOKUP(venta_a_mes2[[#This Row],[CUIT]],Lista_CUIT[#All],2,0)),"CUIT NO CARGADO")</f>
        <v>INDUSTRIA4 S.R.L.</v>
      </c>
      <c r="H62" s="229">
        <v>75371.899999999994</v>
      </c>
      <c r="I62" s="230">
        <f>venta_a_mes2[[#This Row],[IMPORTE NETO]]*0.21</f>
        <v>15828.098999999998</v>
      </c>
      <c r="J62" s="231"/>
      <c r="K62" s="231"/>
      <c r="L62" s="231">
        <f>SUM(venta_a_mes2[[#This Row],[IMPORTE NETO]:[EXENTO]])</f>
        <v>91199.998999999996</v>
      </c>
      <c r="M62" s="232"/>
    </row>
    <row r="63" spans="2:13" x14ac:dyDescent="0.3">
      <c r="B63" s="223" t="s">
        <v>160</v>
      </c>
      <c r="C63" s="41">
        <v>1</v>
      </c>
      <c r="D63" s="225">
        <v>1</v>
      </c>
      <c r="E63" s="226">
        <v>134</v>
      </c>
      <c r="F63" s="227">
        <v>20367341808</v>
      </c>
      <c r="G63" s="228" t="str">
        <f>IFERROR(IF(venta_a_mes2[[#This Row],[CUIT]]="","-",VLOOKUP(venta_a_mes2[[#This Row],[CUIT]],Lista_CUIT[#All],2,0)),"CUIT NO CARGADO")</f>
        <v>FEIDAS FERNANDO EMILIANO</v>
      </c>
      <c r="H63" s="229">
        <v>49586.76</v>
      </c>
      <c r="I63" s="230">
        <f>venta_a_mes2[[#This Row],[IMPORTE NETO]]*0.21</f>
        <v>10413.2196</v>
      </c>
      <c r="J63" s="231"/>
      <c r="K63" s="231"/>
      <c r="L63" s="231">
        <f>SUM(venta_a_mes2[[#This Row],[IMPORTE NETO]:[EXENTO]])</f>
        <v>59999.979600000006</v>
      </c>
      <c r="M63" s="232"/>
    </row>
    <row r="64" spans="2:13" ht="19.2" customHeight="1" x14ac:dyDescent="0.3">
      <c r="B64" s="223" t="s">
        <v>160</v>
      </c>
      <c r="C64" s="41">
        <v>1</v>
      </c>
      <c r="D64" s="225">
        <v>1</v>
      </c>
      <c r="E64" s="226">
        <v>133</v>
      </c>
      <c r="F64" s="227">
        <v>20279415656</v>
      </c>
      <c r="G64" s="228" t="str">
        <f>IFERROR(IF(venta_a_mes2[[#This Row],[CUIT]]="","-",VLOOKUP(venta_a_mes2[[#This Row],[CUIT]],Lista_CUIT[#All],2,0)),"CUIT NO CARGADO")</f>
        <v>CECCO ALVARO GONZALO</v>
      </c>
      <c r="H64" s="229">
        <v>75371.899999999994</v>
      </c>
      <c r="I64" s="230">
        <f>venta_a_mes2[[#This Row],[IMPORTE NETO]]*0.21</f>
        <v>15828.098999999998</v>
      </c>
      <c r="J64" s="231"/>
      <c r="K64" s="231"/>
      <c r="L64" s="231">
        <f>SUM(venta_a_mes2[[#This Row],[IMPORTE NETO]:[EXENTO]])</f>
        <v>91199.998999999996</v>
      </c>
      <c r="M64" s="232"/>
    </row>
    <row r="65" spans="2:13" x14ac:dyDescent="0.3">
      <c r="B65" s="223" t="s">
        <v>160</v>
      </c>
      <c r="C65" s="41">
        <v>1</v>
      </c>
      <c r="D65" s="225">
        <v>1</v>
      </c>
      <c r="E65" s="226">
        <v>128</v>
      </c>
      <c r="F65" s="227">
        <v>30715380567</v>
      </c>
      <c r="G65" s="228" t="str">
        <f>IFERROR(IF(venta_a_mes2[[#This Row],[CUIT]]="","-",VLOOKUP(venta_a_mes2[[#This Row],[CUIT]],Lista_CUIT[#All],2,0)),"CUIT NO CARGADO")</f>
        <v>SENS GROUP SRL</v>
      </c>
      <c r="H65" s="229">
        <v>198517.62</v>
      </c>
      <c r="I65" s="230">
        <f>venta_a_mes2[[#This Row],[IMPORTE NETO]]*0.21</f>
        <v>41688.700199999999</v>
      </c>
      <c r="J65" s="231"/>
      <c r="K65" s="231"/>
      <c r="L65" s="231">
        <f>SUM(venta_a_mes2[[#This Row],[IMPORTE NETO]:[EXENTO]])</f>
        <v>240206.32019999999</v>
      </c>
      <c r="M65" s="232"/>
    </row>
    <row r="66" spans="2:13" x14ac:dyDescent="0.3">
      <c r="B66" s="223" t="s">
        <v>161</v>
      </c>
      <c r="C66" s="224">
        <v>3</v>
      </c>
      <c r="D66" s="225">
        <v>1</v>
      </c>
      <c r="E66" s="226">
        <v>8</v>
      </c>
      <c r="F66" s="227">
        <v>30717170594</v>
      </c>
      <c r="G66" s="228" t="str">
        <f>IFERROR(IF(venta_a_mes2[[#This Row],[CUIT]]="","-",VLOOKUP(venta_a_mes2[[#This Row],[CUIT]],Lista_CUIT[#All],2,0)),"CUIT NO CARGADO")</f>
        <v>INDUSTRIA4 S.R.L.</v>
      </c>
      <c r="H66" s="229">
        <v>-37685.949999999997</v>
      </c>
      <c r="I66" s="230">
        <f>venta_a_mes2[[#This Row],[IMPORTE NETO]]*0.21</f>
        <v>-7914.0494999999992</v>
      </c>
      <c r="J66" s="231"/>
      <c r="K66" s="231"/>
      <c r="L66" s="231">
        <f>SUM(venta_a_mes2[[#This Row],[IMPORTE NETO]:[EXENTO]])</f>
        <v>-45599.999499999998</v>
      </c>
      <c r="M66" s="232"/>
    </row>
    <row r="67" spans="2:13" x14ac:dyDescent="0.3">
      <c r="B67" s="66" t="s">
        <v>91</v>
      </c>
      <c r="C67" s="67"/>
      <c r="D67" s="67"/>
      <c r="E67" s="67"/>
      <c r="F67" s="67"/>
      <c r="G67" s="67"/>
      <c r="H67" s="69">
        <f>SUBTOTAL(109,venta_a_mes2[IMPORTE NETO])</f>
        <v>1160253.2100000002</v>
      </c>
      <c r="I67" s="70">
        <f>SUBTOTAL(109,venta_a_mes2[IVA 21%])</f>
        <v>243653.17409999997</v>
      </c>
      <c r="J67" s="71">
        <f>SUBTOTAL(109,venta_a_mes2[IVA 10,5%])</f>
        <v>0</v>
      </c>
      <c r="K67" s="71">
        <f>SUBTOTAL(109,venta_a_mes2[EXENTO])</f>
        <v>0</v>
      </c>
      <c r="L67" s="71">
        <f>SUBTOTAL(109,venta_a_mes2[TOTAL])</f>
        <v>1403906.3841000001</v>
      </c>
      <c r="M67" s="68">
        <f>SUBTOTAL(103,venta_a_mes2[Provincia])</f>
        <v>0</v>
      </c>
    </row>
    <row r="68" spans="2:13" x14ac:dyDescent="0.3">
      <c r="B68" s="135"/>
      <c r="C68" s="135"/>
      <c r="D68" s="135"/>
      <c r="E68" s="135"/>
      <c r="F68" s="135"/>
      <c r="G68" s="135"/>
      <c r="H68" s="137"/>
      <c r="I68" s="138"/>
      <c r="J68" s="139"/>
      <c r="K68" s="139"/>
      <c r="L68" s="139"/>
      <c r="M68" s="136"/>
    </row>
    <row r="69" spans="2:13" ht="21" x14ac:dyDescent="0.3">
      <c r="B69" s="365" t="s">
        <v>31</v>
      </c>
      <c r="C69" s="365"/>
    </row>
    <row r="70" spans="2:13" ht="15.6" x14ac:dyDescent="0.3">
      <c r="B70" s="60" t="s">
        <v>0</v>
      </c>
      <c r="C70" s="61" t="s">
        <v>1</v>
      </c>
      <c r="D70" s="61" t="s">
        <v>21</v>
      </c>
      <c r="E70" s="61" t="s">
        <v>22</v>
      </c>
      <c r="F70" s="61" t="s">
        <v>3</v>
      </c>
      <c r="G70" s="61" t="s">
        <v>4</v>
      </c>
      <c r="H70" s="61" t="s">
        <v>23</v>
      </c>
      <c r="I70" s="61" t="s">
        <v>17</v>
      </c>
      <c r="J70" s="61" t="s">
        <v>7</v>
      </c>
      <c r="K70" s="61" t="s">
        <v>24</v>
      </c>
      <c r="L70" s="61" t="s">
        <v>10</v>
      </c>
      <c r="M70" s="62" t="s">
        <v>38</v>
      </c>
    </row>
    <row r="71" spans="2:13" x14ac:dyDescent="0.3">
      <c r="B71" t="s">
        <v>160</v>
      </c>
      <c r="C71" s="41">
        <v>6</v>
      </c>
      <c r="D71" s="42">
        <v>1</v>
      </c>
      <c r="E71" s="43">
        <v>25</v>
      </c>
      <c r="F71" s="44">
        <v>30592508830</v>
      </c>
      <c r="G71" s="1" t="str">
        <f>IFERROR(IF(ventas_b_mes2[[#This Row],[CUIT]]="","-",VLOOKUP(ventas_b_mes2[[#This Row],[CUIT]],Lista_CUIT[#All],2,0)),"CUIT NO CARGADO")</f>
        <v>INSTITUTO DE ESTUDIOS SUPERIORES DE BUENOS AIRES S A</v>
      </c>
      <c r="H71" s="64">
        <f>ventas_b_mes2[[#This Row],[TOTAL]]/1.21</f>
        <v>33057.85123966942</v>
      </c>
      <c r="I71" s="64">
        <f>ventas_b_mes2[[#This Row],[IMPORTE NETO]]*0.21</f>
        <v>6942.1487603305777</v>
      </c>
      <c r="J71" s="64"/>
      <c r="K71" s="64"/>
      <c r="L71" s="64">
        <v>40000</v>
      </c>
      <c r="M71" s="59"/>
    </row>
    <row r="72" spans="2:13" x14ac:dyDescent="0.3">
      <c r="B72" t="s">
        <v>160</v>
      </c>
      <c r="C72" s="41">
        <v>6</v>
      </c>
      <c r="D72" s="42">
        <v>1</v>
      </c>
      <c r="E72" s="43">
        <v>24</v>
      </c>
      <c r="F72" s="44">
        <v>30521448608</v>
      </c>
      <c r="G72" s="1" t="str">
        <f>IFERROR(IF(ventas_b_mes2[[#This Row],[CUIT]]="","-",VLOOKUP(ventas_b_mes2[[#This Row],[CUIT]],Lista_CUIT[#All],2,0)),"CUIT NO CARGADO")</f>
        <v>INSTITUTO ORSINO SA</v>
      </c>
      <c r="H72" s="64">
        <f>ventas_b_mes2[[#This Row],[TOTAL]]/1.21</f>
        <v>33057.85123966942</v>
      </c>
      <c r="I72" s="64">
        <f>ventas_b_mes2[[#This Row],[IMPORTE NETO]]*0.21</f>
        <v>6942.1487603305777</v>
      </c>
      <c r="J72" s="64"/>
      <c r="K72" s="64"/>
      <c r="L72" s="64">
        <v>40000</v>
      </c>
      <c r="M72" s="59"/>
    </row>
    <row r="73" spans="2:13" x14ac:dyDescent="0.3">
      <c r="B73" t="s">
        <v>160</v>
      </c>
      <c r="C73" s="41">
        <v>6</v>
      </c>
      <c r="D73" s="42">
        <v>1</v>
      </c>
      <c r="E73" s="43">
        <v>23</v>
      </c>
      <c r="F73" s="44">
        <v>30700477920</v>
      </c>
      <c r="G73" s="1" t="str">
        <f>IFERROR(IF(ventas_b_mes2[[#This Row],[CUIT]]="","-",VLOOKUP(ventas_b_mes2[[#This Row],[CUIT]],Lista_CUIT[#All],2,0)),"CUIT NO CARGADO")</f>
        <v>ESBA FLORESS A</v>
      </c>
      <c r="H73" s="64">
        <f>ventas_b_mes2[[#This Row],[TOTAL]]/1.21</f>
        <v>33057.85123966942</v>
      </c>
      <c r="I73" s="64">
        <f>ventas_b_mes2[[#This Row],[IMPORTE NETO]]*0.21</f>
        <v>6942.1487603305777</v>
      </c>
      <c r="J73" s="64"/>
      <c r="K73" s="64"/>
      <c r="L73" s="64">
        <v>40000</v>
      </c>
      <c r="M73" s="59"/>
    </row>
    <row r="74" spans="2:13" x14ac:dyDescent="0.3">
      <c r="B74" t="s">
        <v>160</v>
      </c>
      <c r="C74" s="41">
        <v>6</v>
      </c>
      <c r="D74" s="42">
        <v>1</v>
      </c>
      <c r="E74" s="43">
        <v>22</v>
      </c>
      <c r="F74" s="44">
        <v>30681452423</v>
      </c>
      <c r="G74" s="1" t="str">
        <f>IFERROR(IF(ventas_b_mes2[[#This Row],[CUIT]]="","-",VLOOKUP(ventas_b_mes2[[#This Row],[CUIT]],Lista_CUIT[#All],2,0)),"CUIT NO CARGADO")</f>
        <v>E S B A LUGANO S A</v>
      </c>
      <c r="H74" s="64">
        <f>ventas_b_mes2[[#This Row],[TOTAL]]/1.21</f>
        <v>33057.85123966942</v>
      </c>
      <c r="I74" s="64">
        <f>ventas_b_mes2[[#This Row],[IMPORTE NETO]]*0.21</f>
        <v>6942.1487603305777</v>
      </c>
      <c r="J74" s="64"/>
      <c r="K74" s="64"/>
      <c r="L74" s="64">
        <v>40000</v>
      </c>
      <c r="M74" s="59"/>
    </row>
    <row r="75" spans="2:13" x14ac:dyDescent="0.3">
      <c r="B75" s="40"/>
      <c r="C75" s="41"/>
      <c r="D75" s="42"/>
      <c r="E75" s="43"/>
      <c r="F75" s="44"/>
      <c r="G75" s="1" t="str">
        <f>IFERROR(IF(ventas_b_mes2[[#This Row],[CUIT]]="","-",VLOOKUP(ventas_b_mes2[[#This Row],[CUIT]],Lista_CUIT[#All],2,0)),"CUIT NO CARGADO")</f>
        <v>-</v>
      </c>
      <c r="H75" s="64">
        <f>ventas_b_mes2[[#This Row],[TOTAL]]/1.21</f>
        <v>0</v>
      </c>
      <c r="I75" s="64">
        <f>ventas_b_mes2[[#This Row],[IMPORTE NETO]]*0.21</f>
        <v>0</v>
      </c>
      <c r="J75" s="64"/>
      <c r="K75" s="64"/>
      <c r="L75" s="64"/>
      <c r="M75" s="59"/>
    </row>
    <row r="76" spans="2:13" x14ac:dyDescent="0.3">
      <c r="B76" s="40"/>
      <c r="C76" s="41"/>
      <c r="D76" s="42"/>
      <c r="E76" s="43"/>
      <c r="F76" s="44"/>
      <c r="G76" s="1" t="str">
        <f>IFERROR(IF(ventas_b_mes2[[#This Row],[CUIT]]="","-",VLOOKUP(ventas_b_mes2[[#This Row],[CUIT]],Lista_CUIT[#All],2,0)),"CUIT NO CARGADO")</f>
        <v>-</v>
      </c>
      <c r="H76" s="64">
        <f>ventas_b_mes2[[#This Row],[TOTAL]]/1.21</f>
        <v>0</v>
      </c>
      <c r="I76" s="64">
        <f>ventas_b_mes2[[#This Row],[IMPORTE NETO]]*0.21</f>
        <v>0</v>
      </c>
      <c r="J76" s="64"/>
      <c r="K76" s="64"/>
      <c r="L76" s="64"/>
      <c r="M76" s="59"/>
    </row>
    <row r="77" spans="2:13" x14ac:dyDescent="0.3">
      <c r="B77" s="66" t="s">
        <v>91</v>
      </c>
      <c r="C77" s="67"/>
      <c r="D77" s="67"/>
      <c r="E77" s="67"/>
      <c r="F77" s="67"/>
      <c r="G77" s="67"/>
      <c r="H77" s="77">
        <f>SUBTOTAL(109,ventas_b_mes2[IMPORTE NETO])</f>
        <v>132231.40495867768</v>
      </c>
      <c r="I77" s="77">
        <f>SUBTOTAL(109,ventas_b_mes2[IVA 21%])</f>
        <v>27768.595041322311</v>
      </c>
      <c r="J77" s="78">
        <f>SUBTOTAL(109,ventas_b_mes2[IVA 10,5%])</f>
        <v>0</v>
      </c>
      <c r="K77" s="78">
        <f>SUBTOTAL(109,ventas_b_mes2[EXENTO])</f>
        <v>0</v>
      </c>
      <c r="L77" s="78">
        <f>SUBTOTAL(109,ventas_b_mes2[TOTAL])</f>
        <v>160000</v>
      </c>
      <c r="M77" s="68">
        <f>SUBTOTAL(103,ventas_b_mes2[Provincia])</f>
        <v>0</v>
      </c>
    </row>
    <row r="84" spans="3:12" ht="15" thickBot="1" x14ac:dyDescent="0.35"/>
    <row r="85" spans="3:12" ht="15" thickTop="1" x14ac:dyDescent="0.3">
      <c r="C85" s="358" t="s">
        <v>66</v>
      </c>
      <c r="D85" s="358"/>
      <c r="E85" s="358"/>
      <c r="F85" s="358"/>
      <c r="G85" s="358"/>
      <c r="H85" s="32"/>
      <c r="I85" s="32"/>
      <c r="J85" s="32"/>
    </row>
    <row r="86" spans="3:12" ht="15.6" x14ac:dyDescent="0.3">
      <c r="C86" s="114" t="s">
        <v>67</v>
      </c>
      <c r="D86" s="115" t="s">
        <v>68</v>
      </c>
      <c r="E86" s="115" t="s">
        <v>93</v>
      </c>
      <c r="F86" s="115" t="s">
        <v>3</v>
      </c>
      <c r="G86" s="115" t="s">
        <v>4</v>
      </c>
      <c r="H86" s="116" t="s">
        <v>69</v>
      </c>
      <c r="I86" s="116" t="s">
        <v>70</v>
      </c>
      <c r="J86" s="116" t="s">
        <v>71</v>
      </c>
      <c r="K86" s="116" t="s">
        <v>72</v>
      </c>
      <c r="L86" s="116" t="s">
        <v>73</v>
      </c>
    </row>
    <row r="87" spans="3:12" x14ac:dyDescent="0.3">
      <c r="C87" s="117"/>
      <c r="D87" s="118"/>
      <c r="E87" s="118"/>
      <c r="F87" s="119"/>
      <c r="G87" s="53" t="str">
        <f>IFERROR(IF(Retenciones_mes2[[#This Row],[CUIT]]="","-",VLOOKUP(Retenciones_mes2[[#This Row],[CUIT]],Lista_CUIT[#All],2,0)),"CUIT NO CARGADO")</f>
        <v>-</v>
      </c>
      <c r="H87" s="120"/>
      <c r="I87" s="120"/>
      <c r="J87" s="120"/>
      <c r="K87" s="120"/>
      <c r="L87" s="120"/>
    </row>
    <row r="88" spans="3:12" x14ac:dyDescent="0.3">
      <c r="C88" s="117"/>
      <c r="D88" s="118"/>
      <c r="E88" s="118"/>
      <c r="F88" s="119"/>
      <c r="G88" s="53" t="str">
        <f>IFERROR(IF(Retenciones_mes2[[#This Row],[CUIT]]="","-",VLOOKUP(Retenciones_mes2[[#This Row],[CUIT]],Lista_CUIT[#All],2,0)),"CUIT NO CARGADO")</f>
        <v>-</v>
      </c>
      <c r="H88" s="120"/>
      <c r="I88" s="120"/>
      <c r="J88" s="120"/>
      <c r="K88" s="120"/>
      <c r="L88" s="120"/>
    </row>
    <row r="89" spans="3:12" x14ac:dyDescent="0.3">
      <c r="C89" s="117"/>
      <c r="D89" s="118"/>
      <c r="E89" s="118"/>
      <c r="F89" s="119"/>
      <c r="G89" s="53" t="str">
        <f>IFERROR(IF(Retenciones_mes2[[#This Row],[CUIT]]="","-",VLOOKUP(Retenciones_mes2[[#This Row],[CUIT]],Lista_CUIT[#All],2,0)),"CUIT NO CARGADO")</f>
        <v>-</v>
      </c>
      <c r="H89" s="120"/>
      <c r="I89" s="120"/>
      <c r="J89" s="120"/>
      <c r="K89" s="120"/>
      <c r="L89" s="120"/>
    </row>
    <row r="90" spans="3:12" x14ac:dyDescent="0.3">
      <c r="C90" s="117"/>
      <c r="D90" s="118"/>
      <c r="E90" s="118"/>
      <c r="F90" s="119"/>
      <c r="G90" s="53" t="str">
        <f>IFERROR(IF(Retenciones_mes2[[#This Row],[CUIT]]="","-",VLOOKUP(Retenciones_mes2[[#This Row],[CUIT]],Lista_CUIT[#All],2,0)),"CUIT NO CARGADO")</f>
        <v>-</v>
      </c>
      <c r="H90" s="120"/>
      <c r="I90" s="120"/>
      <c r="J90" s="120"/>
      <c r="K90" s="120"/>
      <c r="L90" s="120"/>
    </row>
    <row r="91" spans="3:12" x14ac:dyDescent="0.3">
      <c r="D91" s="118"/>
      <c r="E91" s="118"/>
      <c r="G91" s="53" t="str">
        <f>IFERROR(IF(Retenciones_mes2[[#This Row],[CUIT]]="","-",VLOOKUP(Retenciones_mes2[[#This Row],[CUIT]],Lista_CUIT[#All],2,0)),"CUIT NO CARGADO")</f>
        <v>-</v>
      </c>
    </row>
    <row r="92" spans="3:12" x14ac:dyDescent="0.3">
      <c r="C92" s="33"/>
    </row>
  </sheetData>
  <mergeCells count="20">
    <mergeCell ref="P4:R4"/>
    <mergeCell ref="D23:L23"/>
    <mergeCell ref="B1:F1"/>
    <mergeCell ref="G1:M1"/>
    <mergeCell ref="N1:R1"/>
    <mergeCell ref="B3:E3"/>
    <mergeCell ref="G3:H3"/>
    <mergeCell ref="J3:K3"/>
    <mergeCell ref="M3:N3"/>
    <mergeCell ref="P3:R3"/>
    <mergeCell ref="C85:G85"/>
    <mergeCell ref="B4:E4"/>
    <mergeCell ref="G4:H4"/>
    <mergeCell ref="J4:K4"/>
    <mergeCell ref="M4:N4"/>
    <mergeCell ref="D32:K32"/>
    <mergeCell ref="B44:J44"/>
    <mergeCell ref="K44:M44"/>
    <mergeCell ref="B46:C46"/>
    <mergeCell ref="B69:C69"/>
  </mergeCells>
  <dataValidations count="12">
    <dataValidation type="custom" allowBlank="1" showInputMessage="1" showErrorMessage="1" sqref="H71:L76" xr:uid="{F6DFA909-BE6D-494D-87F4-446D76716536}">
      <formula1>IF($C71=8,H71&lt;0,H71&gt;=0)</formula1>
    </dataValidation>
    <dataValidation type="custom" allowBlank="1" showInputMessage="1" showErrorMessage="1" sqref="L50:L52" xr:uid="{E34FD42C-C43C-488E-AD86-F866D9B96022}">
      <formula1>IF($C12=3,L12&lt;0,L12&gt;=0)</formula1>
    </dataValidation>
    <dataValidation type="custom" allowBlank="1" showInputMessage="1" showErrorMessage="1" sqref="L48:L49" xr:uid="{25E37E3E-42B0-4BCA-A911-3CE143DFCE5B}">
      <formula1>IF($C9=3,L9&lt;0,L9&gt;=0)</formula1>
    </dataValidation>
    <dataValidation type="whole" allowBlank="1" showInputMessage="1" showErrorMessage="1" sqref="C71:C76" xr:uid="{D33ED8A2-DD6B-4964-A66F-56940269D6B0}">
      <formula1>6</formula1>
      <formula2>8</formula2>
    </dataValidation>
    <dataValidation type="custom" allowBlank="1" showInputMessage="1" showErrorMessage="1" sqref="H48:K48 H50:K50 H52:K52 H54:K54" xr:uid="{E17AD577-106F-4A83-BBB1-F6FB7AA0100F}">
      <formula1>IF($C48=3,H48&lt;0,H48&gt;=0)</formula1>
    </dataValidation>
    <dataValidation type="whole" allowBlank="1" showInputMessage="1" showErrorMessage="1" sqref="C19:C22 C9:C17 C48:C66 C68" xr:uid="{0F0F9154-AD1D-4CE0-B5D7-1141F2839B7A}">
      <formula1>1</formula1>
      <formula2>3</formula2>
    </dataValidation>
    <dataValidation type="date" allowBlank="1" showInputMessage="1" showErrorMessage="1" sqref="D25:D27 D34:D37 B19:B22 B71:B76 B9:B17 B48:B66 B68" xr:uid="{1425F417-B3AD-4F3E-994A-2BC63B70CE1E}">
      <formula1>40179</formula1>
      <formula2>TODAY()</formula2>
    </dataValidation>
    <dataValidation type="whole" allowBlank="1" showInputMessage="1" showErrorMessage="1" sqref="F71:F76 G34:G37 F9:F17 F48:F66 F68" xr:uid="{1CEF323D-5EF4-4E51-8AA0-08FC56FE2A8E}">
      <formula1>20000000000</formula1>
      <formula2>33999999999</formula2>
    </dataValidation>
    <dataValidation type="whole" allowBlank="1" showInputMessage="1" showErrorMessage="1" sqref="F34:F37 E71:E76 E9:E17 E48:E66 E68" xr:uid="{D0FA6E35-C573-4A9D-966E-A1CA2ABECFA7}">
      <formula1>1</formula1>
      <formula2>99999999</formula2>
    </dataValidation>
    <dataValidation type="whole" allowBlank="1" showInputMessage="1" showErrorMessage="1" sqref="E34:E37 D71:D76 D9:D17 D48:D66 D68" xr:uid="{27E712F3-2952-49DB-8B86-6F63ADDEBEA4}">
      <formula1>1</formula1>
      <formula2>9999</formula2>
    </dataValidation>
    <dataValidation type="custom" allowBlank="1" showInputMessage="1" showErrorMessage="1" sqref="L53:L54" xr:uid="{064E4F92-5AD0-4E44-B768-8D8608B483A9}">
      <formula1>IF($C18=3,L18&lt;0,L18&gt;=0)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:O17 H9:O10 N11:N12 O11:O13 H12:M13 H11:K11 M11" xr:uid="{7E482DFC-496A-4613-ADC2-FB50CC79E8BC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</sheetPr>
  <dimension ref="A1:Z94"/>
  <sheetViews>
    <sheetView showGridLines="0" topLeftCell="B1" zoomScaleNormal="100" workbookViewId="0">
      <selection activeCell="M22" sqref="M22:Q26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5.109375" customWidth="1"/>
    <col min="8" max="8" width="17.6640625" customWidth="1"/>
    <col min="9" max="9" width="14.33203125" customWidth="1"/>
    <col min="10" max="10" width="10.33203125" customWidth="1"/>
    <col min="11" max="11" width="14.88671875" bestFit="1" customWidth="1"/>
    <col min="12" max="12" width="15.109375" bestFit="1" customWidth="1"/>
    <col min="13" max="13" width="11.109375" customWidth="1"/>
    <col min="14" max="14" width="14.109375" customWidth="1"/>
    <col min="15" max="15" width="13.664062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14.664062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75" t="str">
        <f>'Ene-24'!G1:M1</f>
        <v>RABLEB SRL</v>
      </c>
      <c r="H1" s="375"/>
      <c r="I1" s="375"/>
      <c r="J1" s="375"/>
      <c r="K1" s="375"/>
      <c r="L1" s="375"/>
      <c r="M1" s="375"/>
      <c r="N1" s="370">
        <f>EDATE('Ene-24'!N1,2)</f>
        <v>45352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SUM(compras_mes3[[#Totals],[NETO GRAVADO]])+extracto_banco_mes3[[#Totals],[NETO]]</f>
        <v>1081034.1599999999</v>
      </c>
      <c r="C4" s="359"/>
      <c r="D4" s="359"/>
      <c r="E4" s="359"/>
      <c r="F4" s="39"/>
      <c r="G4" s="360">
        <f>compras_mes3[[#Totals],[IVA 21 %]]+compras_mes3[[#Totals],[IVA 27%]]+compras_mes3[[#Totals],[IVA 10,5%]]+extracto_banco_mes3[[#Totals],[IVA 21%]]+extracto_banco_mes3[[#Totals],[IVA 10,5%]]</f>
        <v>227017.17359999998</v>
      </c>
      <c r="H4" s="360"/>
      <c r="I4" s="39"/>
      <c r="J4" s="361">
        <f>venta_a_mes3[[#Totals],[IMPORTE NETO]]+ventas_b_mes3[[#Totals],[IMPORTE NETO]]</f>
        <v>1876164.0999999999</v>
      </c>
      <c r="K4" s="361"/>
      <c r="L4" s="39"/>
      <c r="M4" s="361">
        <f>venta_a_mes3[[#Totals],[IVA 21%]]+venta_a_mes3[[#Totals],[IVA 10,5%]]+ventas_b_mes3[[#Totals],[IVA 21%]]+ventas_b_mes3[[#Totals],[IVA 10,5%]]</f>
        <v>393994.46099999989</v>
      </c>
      <c r="N4" s="361"/>
      <c r="O4" s="39"/>
      <c r="P4" s="366">
        <f>G4-M4</f>
        <v>-166977.28739999991</v>
      </c>
      <c r="Q4" s="367"/>
      <c r="R4" s="367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ht="15" customHeight="1" x14ac:dyDescent="0.3">
      <c r="B9" s="160" t="s">
        <v>173</v>
      </c>
      <c r="C9" s="161">
        <v>1</v>
      </c>
      <c r="D9" s="162">
        <v>11</v>
      </c>
      <c r="E9" s="163">
        <v>964700</v>
      </c>
      <c r="F9" s="166">
        <v>33709585229</v>
      </c>
      <c r="G9" s="164" t="str">
        <f>IFERROR(IF(compras_mes3[[#This Row],[CUIT]]="","-",VLOOKUP(compras_mes3[[#This Row],[CUIT]],Lista_CUIT[#All],2,0)),"CUIT NO CARGADO")</f>
        <v>GOOGLE ARGENTINA S.R.L.</v>
      </c>
      <c r="H9" s="167">
        <v>28962.51</v>
      </c>
      <c r="I9" s="81">
        <f>IF(compras_mes3[[#This Row],[NETO GRAVADO]]="","",compras_mes3[[#This Row],[NETO GRAVADO]]*0.21)</f>
        <v>6082.1270999999997</v>
      </c>
      <c r="J9" s="168"/>
      <c r="K9" s="168"/>
      <c r="L9" s="168"/>
      <c r="M9" s="168"/>
      <c r="N9" s="168">
        <v>434.44</v>
      </c>
      <c r="O9" s="168">
        <v>868.88</v>
      </c>
      <c r="P9" s="169">
        <f>SUM(compras_mes3[[#This Row],[NETO GRAVADO]:[Otros / No Grav.]])</f>
        <v>36347.9571</v>
      </c>
      <c r="Q9" s="165" t="str">
        <f>IFERROR(IF(compras_mes3[[#This Row],[CUIT]]="","-",VLOOKUP(compras_mes3[[#This Row],[CUIT]],Lista_CUIT[#All],3,0)),"CUIT NO CARGADO")</f>
        <v>Gastos Publicidad y Propaganda</v>
      </c>
      <c r="R9" s="165">
        <f>IFERROR(IF(compras_mes3[[#This Row],[CUIT]]="","-",VLOOKUP(compras_mes3[[#This Row],[CUIT]],Lista_CUIT[#All],4,0)),"CUIT NO CARGADO")</f>
        <v>0</v>
      </c>
    </row>
    <row r="10" spans="1:26" ht="15" customHeight="1" x14ac:dyDescent="0.3">
      <c r="B10" s="160" t="s">
        <v>173</v>
      </c>
      <c r="C10" s="161">
        <v>1</v>
      </c>
      <c r="D10" s="162">
        <v>11</v>
      </c>
      <c r="E10" s="163">
        <v>957922</v>
      </c>
      <c r="F10" s="166">
        <v>33709585229</v>
      </c>
      <c r="G10" s="164" t="str">
        <f>IFERROR(IF(compras_mes3[[#This Row],[CUIT]]="","-",VLOOKUP(compras_mes3[[#This Row],[CUIT]],Lista_CUIT[#All],2,0)),"CUIT NO CARGADO")</f>
        <v>GOOGLE ARGENTINA S.R.L.</v>
      </c>
      <c r="H10" s="167">
        <v>5316.32</v>
      </c>
      <c r="I10" s="81">
        <f>IF(compras_mes3[[#This Row],[NETO GRAVADO]]="","",compras_mes3[[#This Row],[NETO GRAVADO]]*0.21)</f>
        <v>1116.4271999999999</v>
      </c>
      <c r="J10" s="168"/>
      <c r="K10" s="168"/>
      <c r="L10" s="168"/>
      <c r="M10" s="168"/>
      <c r="N10" s="168">
        <v>79.739999999999995</v>
      </c>
      <c r="O10" s="168">
        <v>159.49</v>
      </c>
      <c r="P10" s="169">
        <f>SUM(compras_mes3[[#This Row],[NETO GRAVADO]:[Otros / No Grav.]])</f>
        <v>6671.9771999999994</v>
      </c>
      <c r="Q10" s="165" t="str">
        <f>IFERROR(IF(compras_mes3[[#This Row],[CUIT]]="","-",VLOOKUP(compras_mes3[[#This Row],[CUIT]],Lista_CUIT[#All],3,0)),"CUIT NO CARGADO")</f>
        <v>Gastos Publicidad y Propaganda</v>
      </c>
      <c r="R10" s="165">
        <f>IFERROR(IF(compras_mes3[[#This Row],[CUIT]]="","-",VLOOKUP(compras_mes3[[#This Row],[CUIT]],Lista_CUIT[#All],4,0)),"CUIT NO CARGADO")</f>
        <v>0</v>
      </c>
    </row>
    <row r="11" spans="1:26" ht="15" customHeight="1" x14ac:dyDescent="0.3">
      <c r="B11" s="160" t="s">
        <v>173</v>
      </c>
      <c r="C11" s="161">
        <v>1</v>
      </c>
      <c r="D11" s="162">
        <v>11</v>
      </c>
      <c r="E11" s="163">
        <v>959718</v>
      </c>
      <c r="F11" s="166">
        <v>33709585229</v>
      </c>
      <c r="G11" s="164" t="str">
        <f>IFERROR(IF(compras_mes3[[#This Row],[CUIT]]="","-",VLOOKUP(compras_mes3[[#This Row],[CUIT]],Lista_CUIT[#All],2,0)),"CUIT NO CARGADO")</f>
        <v>GOOGLE ARGENTINA S.R.L.</v>
      </c>
      <c r="H11" s="167">
        <v>9324.4</v>
      </c>
      <c r="I11" s="81">
        <f>IF(compras_mes3[[#This Row],[NETO GRAVADO]]="","",compras_mes3[[#This Row],[NETO GRAVADO]]*0.21)</f>
        <v>1958.1239999999998</v>
      </c>
      <c r="J11" s="168"/>
      <c r="K11" s="168"/>
      <c r="L11" s="168"/>
      <c r="M11" s="168"/>
      <c r="N11" s="168">
        <v>139.87</v>
      </c>
      <c r="O11" s="168">
        <v>279.73</v>
      </c>
      <c r="P11" s="169">
        <f>SUM(compras_mes3[[#This Row],[NETO GRAVADO]:[Otros / No Grav.]])</f>
        <v>11702.124</v>
      </c>
      <c r="Q11" s="165" t="str">
        <f>IFERROR(IF(compras_mes3[[#This Row],[CUIT]]="","-",VLOOKUP(compras_mes3[[#This Row],[CUIT]],Lista_CUIT[#All],3,0)),"CUIT NO CARGADO")</f>
        <v>Gastos Publicidad y Propaganda</v>
      </c>
      <c r="R11" s="165">
        <f>IFERROR(IF(compras_mes3[[#This Row],[CUIT]]="","-",VLOOKUP(compras_mes3[[#This Row],[CUIT]],Lista_CUIT[#All],4,0)),"CUIT NO CARGADO")</f>
        <v>0</v>
      </c>
    </row>
    <row r="12" spans="1:26" ht="15" customHeight="1" x14ac:dyDescent="0.3">
      <c r="B12" s="160" t="s">
        <v>173</v>
      </c>
      <c r="C12" s="161">
        <v>1</v>
      </c>
      <c r="D12" s="162">
        <v>11</v>
      </c>
      <c r="E12" s="163">
        <v>960009</v>
      </c>
      <c r="F12" s="166">
        <v>33709585229</v>
      </c>
      <c r="G12" s="164" t="str">
        <f>IFERROR(IF(compras_mes3[[#This Row],[CUIT]]="","-",VLOOKUP(compras_mes3[[#This Row],[CUIT]],Lista_CUIT[#All],2,0)),"CUIT NO CARGADO")</f>
        <v>GOOGLE ARGENTINA S.R.L.</v>
      </c>
      <c r="H12" s="167">
        <v>291853.48</v>
      </c>
      <c r="I12" s="81">
        <f>IF(compras_mes3[[#This Row],[NETO GRAVADO]]="","",compras_mes3[[#This Row],[NETO GRAVADO]]*0.21)</f>
        <v>61289.23079999999</v>
      </c>
      <c r="J12" s="168"/>
      <c r="K12" s="168"/>
      <c r="L12" s="168"/>
      <c r="M12" s="168"/>
      <c r="N12" s="168">
        <v>4377.8</v>
      </c>
      <c r="O12" s="168">
        <v>8755.6</v>
      </c>
      <c r="P12" s="169">
        <f>SUM(compras_mes3[[#This Row],[NETO GRAVADO]:[Otros / No Grav.]])</f>
        <v>366276.11079999997</v>
      </c>
      <c r="Q12" s="165" t="str">
        <f>IFERROR(IF(compras_mes3[[#This Row],[CUIT]]="","-",VLOOKUP(compras_mes3[[#This Row],[CUIT]],Lista_CUIT[#All],3,0)),"CUIT NO CARGADO")</f>
        <v>Gastos Publicidad y Propaganda</v>
      </c>
      <c r="R12" s="165">
        <f>IFERROR(IF(compras_mes3[[#This Row],[CUIT]]="","-",VLOOKUP(compras_mes3[[#This Row],[CUIT]],Lista_CUIT[#All],4,0)),"CUIT NO CARGADO")</f>
        <v>0</v>
      </c>
    </row>
    <row r="13" spans="1:26" ht="15" customHeight="1" x14ac:dyDescent="0.3">
      <c r="B13" s="160" t="s">
        <v>173</v>
      </c>
      <c r="C13" s="161">
        <v>1</v>
      </c>
      <c r="D13" s="162">
        <v>11</v>
      </c>
      <c r="E13" s="163">
        <v>960015</v>
      </c>
      <c r="F13" s="166">
        <v>33709585229</v>
      </c>
      <c r="G13" s="164" t="str">
        <f>IFERROR(IF(compras_mes3[[#This Row],[CUIT]]="","-",VLOOKUP(compras_mes3[[#This Row],[CUIT]],Lista_CUIT[#All],2,0)),"CUIT NO CARGADO")</f>
        <v>GOOGLE ARGENTINA S.R.L.</v>
      </c>
      <c r="H13" s="167">
        <v>571266.35</v>
      </c>
      <c r="I13" s="81">
        <f>IF(compras_mes3[[#This Row],[NETO GRAVADO]]="","",compras_mes3[[#This Row],[NETO GRAVADO]]*0.21)</f>
        <v>119965.93349999998</v>
      </c>
      <c r="J13" s="168"/>
      <c r="K13" s="168"/>
      <c r="L13" s="168"/>
      <c r="M13" s="168"/>
      <c r="N13" s="168">
        <v>8569</v>
      </c>
      <c r="O13" s="168">
        <v>17137.990000000002</v>
      </c>
      <c r="P13" s="169">
        <f>SUM(compras_mes3[[#This Row],[NETO GRAVADO]:[Otros / No Grav.]])</f>
        <v>716939.27349999989</v>
      </c>
      <c r="Q13" s="165" t="str">
        <f>IFERROR(IF(compras_mes3[[#This Row],[CUIT]]="","-",VLOOKUP(compras_mes3[[#This Row],[CUIT]],Lista_CUIT[#All],3,0)),"CUIT NO CARGADO")</f>
        <v>Gastos Publicidad y Propaganda</v>
      </c>
      <c r="R13" s="165">
        <f>IFERROR(IF(compras_mes3[[#This Row],[CUIT]]="","-",VLOOKUP(compras_mes3[[#This Row],[CUIT]],Lista_CUIT[#All],4,0)),"CUIT NO CARGADO")</f>
        <v>0</v>
      </c>
    </row>
    <row r="14" spans="1:26" ht="15" customHeight="1" x14ac:dyDescent="0.3">
      <c r="B14" s="160" t="s">
        <v>173</v>
      </c>
      <c r="C14" s="161">
        <v>1</v>
      </c>
      <c r="D14" s="162">
        <v>11</v>
      </c>
      <c r="E14" s="163">
        <v>967082</v>
      </c>
      <c r="F14" s="166">
        <v>33709585229</v>
      </c>
      <c r="G14" s="164" t="str">
        <f>IFERROR(IF(compras_mes3[[#This Row],[CUIT]]="","-",VLOOKUP(compras_mes3[[#This Row],[CUIT]],Lista_CUIT[#All],2,0)),"CUIT NO CARGADO")</f>
        <v>GOOGLE ARGENTINA S.R.L.</v>
      </c>
      <c r="H14" s="167">
        <v>98213.46</v>
      </c>
      <c r="I14" s="81">
        <f>IF(compras_mes3[[#This Row],[NETO GRAVADO]]="","",compras_mes3[[#This Row],[NETO GRAVADO]]*0.21)</f>
        <v>20624.8266</v>
      </c>
      <c r="J14" s="168"/>
      <c r="K14" s="168"/>
      <c r="L14" s="168"/>
      <c r="M14" s="168"/>
      <c r="N14" s="168">
        <v>1473.2</v>
      </c>
      <c r="O14" s="168">
        <v>2946.4</v>
      </c>
      <c r="P14" s="169">
        <f>SUM(compras_mes3[[#This Row],[NETO GRAVADO]:[Otros / No Grav.]])</f>
        <v>123257.8866</v>
      </c>
      <c r="Q14" s="165" t="str">
        <f>IFERROR(IF(compras_mes3[[#This Row],[CUIT]]="","-",VLOOKUP(compras_mes3[[#This Row],[CUIT]],Lista_CUIT[#All],3,0)),"CUIT NO CARGADO")</f>
        <v>Gastos Publicidad y Propaganda</v>
      </c>
      <c r="R14" s="165">
        <f>IFERROR(IF(compras_mes3[[#This Row],[CUIT]]="","-",VLOOKUP(compras_mes3[[#This Row],[CUIT]],Lista_CUIT[#All],4,0)),"CUIT NO CARGADO")</f>
        <v>0</v>
      </c>
    </row>
    <row r="15" spans="1:26" ht="15" customHeight="1" x14ac:dyDescent="0.3">
      <c r="B15" s="160" t="s">
        <v>173</v>
      </c>
      <c r="C15" s="161">
        <v>1</v>
      </c>
      <c r="D15" s="162">
        <v>11</v>
      </c>
      <c r="E15" s="163">
        <v>965149</v>
      </c>
      <c r="F15" s="166">
        <v>33709585229</v>
      </c>
      <c r="G15" s="164" t="str">
        <f>IFERROR(IF(compras_mes3[[#This Row],[CUIT]]="","-",VLOOKUP(compras_mes3[[#This Row],[CUIT]],Lista_CUIT[#All],2,0)),"CUIT NO CARGADO")</f>
        <v>GOOGLE ARGENTINA S.R.L.</v>
      </c>
      <c r="H15" s="167">
        <v>30531.42</v>
      </c>
      <c r="I15" s="81">
        <f>IF(compras_mes3[[#This Row],[NETO GRAVADO]]="","",compras_mes3[[#This Row],[NETO GRAVADO]]*0.21)</f>
        <v>6411.5981999999995</v>
      </c>
      <c r="J15" s="168"/>
      <c r="K15" s="168"/>
      <c r="L15" s="168"/>
      <c r="M15" s="168"/>
      <c r="N15" s="168">
        <v>457.97</v>
      </c>
      <c r="O15" s="168">
        <v>915.94</v>
      </c>
      <c r="P15" s="169">
        <f>SUM(compras_mes3[[#This Row],[NETO GRAVADO]:[Otros / No Grav.]])</f>
        <v>38316.928200000002</v>
      </c>
      <c r="Q15" s="165" t="str">
        <f>IFERROR(IF(compras_mes3[[#This Row],[CUIT]]="","-",VLOOKUP(compras_mes3[[#This Row],[CUIT]],Lista_CUIT[#All],3,0)),"CUIT NO CARGADO")</f>
        <v>Gastos Publicidad y Propaganda</v>
      </c>
      <c r="R15" s="165">
        <f>IFERROR(IF(compras_mes3[[#This Row],[CUIT]]="","-",VLOOKUP(compras_mes3[[#This Row],[CUIT]],Lista_CUIT[#All],4,0)),"CUIT NO CARGADO")</f>
        <v>0</v>
      </c>
    </row>
    <row r="16" spans="1:26" s="56" customFormat="1" ht="15" customHeight="1" x14ac:dyDescent="0.3">
      <c r="B16" s="160" t="s">
        <v>173</v>
      </c>
      <c r="C16" s="161">
        <v>1</v>
      </c>
      <c r="D16" s="162">
        <v>11</v>
      </c>
      <c r="E16" s="163">
        <v>967210</v>
      </c>
      <c r="F16" s="166">
        <v>33709585229</v>
      </c>
      <c r="G16" s="164" t="str">
        <f>IFERROR(IF(compras_mes3[[#This Row],[CUIT]]="","-",VLOOKUP(compras_mes3[[#This Row],[CUIT]],Lista_CUIT[#All],2,0)),"CUIT NO CARGADO")</f>
        <v>GOOGLE ARGENTINA S.R.L.</v>
      </c>
      <c r="H16" s="167">
        <v>47758.97</v>
      </c>
      <c r="I16" s="81">
        <f>IF(compras_mes3[[#This Row],[NETO GRAVADO]]="","",compras_mes3[[#This Row],[NETO GRAVADO]]*0.21)</f>
        <v>10029.3837</v>
      </c>
      <c r="J16" s="168"/>
      <c r="K16" s="168"/>
      <c r="L16" s="168"/>
      <c r="M16" s="168"/>
      <c r="N16" s="168">
        <v>716.38</v>
      </c>
      <c r="O16" s="168">
        <v>1432.77</v>
      </c>
      <c r="P16" s="169">
        <f>SUM(compras_mes3[[#This Row],[NETO GRAVADO]:[Otros / No Grav.]])</f>
        <v>59937.503699999994</v>
      </c>
      <c r="Q16" s="165" t="str">
        <f>IFERROR(IF(compras_mes3[[#This Row],[CUIT]]="","-",VLOOKUP(compras_mes3[[#This Row],[CUIT]],Lista_CUIT[#All],3,0)),"CUIT NO CARGADO")</f>
        <v>Gastos Publicidad y Propaganda</v>
      </c>
      <c r="R16" s="165">
        <f>IFERROR(IF(compras_mes3[[#This Row],[CUIT]]="","-",VLOOKUP(compras_mes3[[#This Row],[CUIT]],Lista_CUIT[#All],4,0)),"CUIT NO CARGADO")</f>
        <v>0</v>
      </c>
    </row>
    <row r="17" spans="2:18" ht="15" customHeight="1" x14ac:dyDescent="0.3">
      <c r="B17" s="160" t="s">
        <v>173</v>
      </c>
      <c r="C17" s="161">
        <v>3</v>
      </c>
      <c r="D17" s="162">
        <v>11</v>
      </c>
      <c r="E17" s="163">
        <v>707678</v>
      </c>
      <c r="F17" s="166">
        <v>33709585229</v>
      </c>
      <c r="G17" s="164" t="str">
        <f>IFERROR(IF(compras_mes3[[#This Row],[CUIT]]="","-",VLOOKUP(compras_mes3[[#This Row],[CUIT]],Lista_CUIT[#All],2,0)),"CUIT NO CARGADO")</f>
        <v>GOOGLE ARGENTINA S.R.L.</v>
      </c>
      <c r="H17" s="167">
        <v>-2192.75</v>
      </c>
      <c r="I17" s="81">
        <f>IF(compras_mes3[[#This Row],[NETO GRAVADO]]="","",compras_mes3[[#This Row],[NETO GRAVADO]]*0.21)</f>
        <v>-460.47749999999996</v>
      </c>
      <c r="J17" s="168"/>
      <c r="K17" s="168"/>
      <c r="L17" s="168"/>
      <c r="M17" s="168"/>
      <c r="N17" s="168">
        <v>-32.89</v>
      </c>
      <c r="O17" s="168">
        <v>-65.78</v>
      </c>
      <c r="P17" s="169">
        <f>SUM(compras_mes3[[#This Row],[NETO GRAVADO]:[Otros / No Grav.]])</f>
        <v>-2751.8975</v>
      </c>
      <c r="Q17" s="165" t="str">
        <f>IFERROR(IF(compras_mes3[[#This Row],[CUIT]]="","-",VLOOKUP(compras_mes3[[#This Row],[CUIT]],Lista_CUIT[#All],3,0)),"CUIT NO CARGADO")</f>
        <v>Gastos Publicidad y Propaganda</v>
      </c>
      <c r="R17" s="165">
        <f>IFERROR(IF(compras_mes3[[#This Row],[CUIT]]="","-",VLOOKUP(compras_mes3[[#This Row],[CUIT]],Lista_CUIT[#All],4,0)),"CUIT NO CARGADO")</f>
        <v>0</v>
      </c>
    </row>
    <row r="18" spans="2:18" ht="15" customHeight="1" x14ac:dyDescent="0.3">
      <c r="B18" s="160"/>
      <c r="C18" s="161"/>
      <c r="D18" s="162"/>
      <c r="E18" s="163"/>
      <c r="F18" s="166"/>
      <c r="G18" s="164" t="str">
        <f>IFERROR(IF(compras_mes3[[#This Row],[CUIT]]="","-",VLOOKUP(compras_mes3[[#This Row],[CUIT]],Lista_CUIT[#All],2,0)),"CUIT NO CARGADO")</f>
        <v>-</v>
      </c>
      <c r="H18" s="167"/>
      <c r="I18" s="81" t="str">
        <f>IF(compras_mes3[[#This Row],[NETO GRAVADO]]="","",compras_mes3[[#This Row],[NETO GRAVADO]]*0.21)</f>
        <v/>
      </c>
      <c r="J18" s="168"/>
      <c r="K18" s="168"/>
      <c r="L18" s="168"/>
      <c r="M18" s="168"/>
      <c r="N18" s="168"/>
      <c r="O18" s="168"/>
      <c r="P18" s="169">
        <f>SUM(compras_mes3[[#This Row],[NETO GRAVADO]:[Otros / No Grav.]])</f>
        <v>0</v>
      </c>
      <c r="Q18" s="165" t="str">
        <f>IFERROR(IF(compras_mes3[[#This Row],[CUIT]]="","-",VLOOKUP(compras_mes3[[#This Row],[CUIT]],Lista_CUIT[#All],3,0)),"CUIT NO CARGADO")</f>
        <v>-</v>
      </c>
      <c r="R18" s="165" t="str">
        <f>IFERROR(IF(compras_mes3[[#This Row],[CUIT]]="","-",VLOOKUP(compras_mes3[[#This Row],[CUIT]],Lista_CUIT[#All],4,0)),"CUIT NO CARGADO")</f>
        <v>-</v>
      </c>
    </row>
    <row r="19" spans="2:18" ht="15" customHeight="1" x14ac:dyDescent="0.3">
      <c r="B19" s="160"/>
      <c r="C19" s="161"/>
      <c r="D19" s="162"/>
      <c r="E19" s="163"/>
      <c r="F19" s="166"/>
      <c r="G19" s="164" t="str">
        <f>IFERROR(IF(compras_mes3[[#This Row],[CUIT]]="","-",VLOOKUP(compras_mes3[[#This Row],[CUIT]],Lista_CUIT[#All],2,0)),"CUIT NO CARGADO")</f>
        <v>-</v>
      </c>
      <c r="H19" s="167"/>
      <c r="I19" s="81" t="str">
        <f>IF(compras_mes3[[#This Row],[NETO GRAVADO]]="","",compras_mes3[[#This Row],[NETO GRAVADO]]*0.21)</f>
        <v/>
      </c>
      <c r="J19" s="168"/>
      <c r="K19" s="168"/>
      <c r="L19" s="168"/>
      <c r="M19" s="168"/>
      <c r="N19" s="168"/>
      <c r="O19" s="168"/>
      <c r="P19" s="169">
        <f>SUM(compras_mes3[[#This Row],[NETO GRAVADO]:[Otros / No Grav.]])</f>
        <v>0</v>
      </c>
      <c r="Q19" s="165" t="str">
        <f>IFERROR(IF(compras_mes3[[#This Row],[CUIT]]="","-",VLOOKUP(compras_mes3[[#This Row],[CUIT]],Lista_CUIT[#All],3,0)),"CUIT NO CARGADO")</f>
        <v>-</v>
      </c>
      <c r="R19" s="165" t="str">
        <f>IFERROR(IF(compras_mes3[[#This Row],[CUIT]]="","-",VLOOKUP(compras_mes3[[#This Row],[CUIT]],Lista_CUIT[#All],4,0)),"CUIT NO CARGADO")</f>
        <v>-</v>
      </c>
    </row>
    <row r="20" spans="2:18" ht="15" customHeight="1" x14ac:dyDescent="0.3">
      <c r="B20" s="96" t="s">
        <v>91</v>
      </c>
      <c r="C20" s="96"/>
      <c r="D20" s="96"/>
      <c r="E20" s="96"/>
      <c r="F20" s="96"/>
      <c r="G20" s="97"/>
      <c r="H20" s="98">
        <f>SUBTOTAL(109,compras_mes3[NETO GRAVADO])</f>
        <v>1081034.1599999999</v>
      </c>
      <c r="I20" s="98">
        <f>SUBTOTAL(109,compras_mes3[IVA 21 %])</f>
        <v>227017.17359999998</v>
      </c>
      <c r="J20" s="98">
        <f>SUBTOTAL(109,compras_mes3[IVA 27%])</f>
        <v>0</v>
      </c>
      <c r="K20" s="98">
        <f>SUBTOTAL(109,compras_mes3[IVA 10,5%])</f>
        <v>0</v>
      </c>
      <c r="L20" s="98">
        <f>SUBTOTAL(109,compras_mes3[PERC. IVA])</f>
        <v>0</v>
      </c>
      <c r="M20" s="98">
        <f>SUBTOTAL(109,compras_mes3[PERC IIBB 
BS AS])</f>
        <v>0</v>
      </c>
      <c r="N20" s="98">
        <f>SUBTOTAL(109,compras_mes3[PERC. IIBB CABA])</f>
        <v>16215.51</v>
      </c>
      <c r="O20" s="98">
        <f>SUBTOTAL(109,compras_mes3[Otros / No Grav.])</f>
        <v>32431.020000000004</v>
      </c>
      <c r="P20" s="98">
        <f>SUBTOTAL(109,compras_mes3[TOTAL])</f>
        <v>1356697.8635999998</v>
      </c>
      <c r="Q20" s="96"/>
      <c r="R20" s="96"/>
    </row>
    <row r="21" spans="2:18" ht="23.4" customHeight="1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2:18" ht="38.4" customHeight="1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M22" s="47"/>
      <c r="N22" s="47"/>
      <c r="O22" s="47"/>
      <c r="P22" s="48"/>
      <c r="Q22" s="49"/>
      <c r="R22" s="49"/>
    </row>
    <row r="23" spans="2:18" x14ac:dyDescent="0.3">
      <c r="B23" s="40"/>
      <c r="C23" s="41"/>
      <c r="D23" s="42"/>
      <c r="E23" s="43"/>
      <c r="F23" s="44"/>
      <c r="G23" s="45"/>
      <c r="H23" s="46"/>
      <c r="I23" s="47"/>
      <c r="J23" s="47"/>
      <c r="K23" s="47"/>
      <c r="L23" s="47"/>
      <c r="M23" s="47"/>
      <c r="N23" s="47"/>
      <c r="O23" s="47"/>
      <c r="P23" s="48"/>
      <c r="Q23" s="49"/>
      <c r="R23" s="49"/>
    </row>
    <row r="24" spans="2:18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</row>
    <row r="25" spans="2:18" ht="21" x14ac:dyDescent="0.3">
      <c r="D25" s="362" t="s">
        <v>15</v>
      </c>
      <c r="E25" s="362"/>
      <c r="F25" s="362"/>
      <c r="G25" s="362"/>
      <c r="H25" s="362"/>
      <c r="I25" s="362"/>
      <c r="J25" s="362"/>
      <c r="K25" s="362"/>
      <c r="L25" s="362"/>
      <c r="P25" s="33"/>
    </row>
    <row r="26" spans="2:18" ht="15.6" x14ac:dyDescent="0.3">
      <c r="D26" s="73" t="s">
        <v>0</v>
      </c>
      <c r="E26" s="74" t="s">
        <v>26</v>
      </c>
      <c r="F26" s="74" t="s">
        <v>16</v>
      </c>
      <c r="G26" s="74" t="s">
        <v>5</v>
      </c>
      <c r="H26" s="74" t="s">
        <v>17</v>
      </c>
      <c r="I26" s="74" t="s">
        <v>7</v>
      </c>
      <c r="J26" s="75" t="s">
        <v>18</v>
      </c>
      <c r="K26" s="75" t="s">
        <v>19</v>
      </c>
      <c r="L26" s="76" t="s">
        <v>20</v>
      </c>
    </row>
    <row r="27" spans="2:18" x14ac:dyDescent="0.3">
      <c r="D27" s="50"/>
      <c r="E27" s="79"/>
      <c r="F27" s="80"/>
      <c r="G27" s="81"/>
      <c r="H27" s="81"/>
      <c r="I27" s="81"/>
      <c r="J27" s="81"/>
      <c r="K27" s="81"/>
      <c r="L27" s="81"/>
    </row>
    <row r="28" spans="2:18" s="56" customFormat="1" ht="18.600000000000001" customHeight="1" x14ac:dyDescent="0.3">
      <c r="B28"/>
      <c r="C28"/>
      <c r="D28" s="50"/>
      <c r="E28" s="79"/>
      <c r="F28" s="80"/>
      <c r="G28" s="81"/>
      <c r="H28" s="81"/>
      <c r="I28" s="81"/>
      <c r="J28" s="81"/>
      <c r="K28" s="81"/>
      <c r="L28" s="81"/>
      <c r="M28"/>
      <c r="N28"/>
      <c r="O28"/>
      <c r="P28"/>
      <c r="Q28"/>
      <c r="R28"/>
    </row>
    <row r="29" spans="2:18" x14ac:dyDescent="0.3">
      <c r="D29" s="50"/>
      <c r="E29" s="79"/>
      <c r="F29" s="80"/>
      <c r="G29" s="81"/>
      <c r="H29" s="81"/>
      <c r="I29" s="81"/>
      <c r="J29" s="81"/>
      <c r="K29" s="81"/>
      <c r="L29" s="81"/>
    </row>
    <row r="30" spans="2:18" x14ac:dyDescent="0.3">
      <c r="D30" s="82" t="s">
        <v>91</v>
      </c>
      <c r="E30" s="80"/>
      <c r="F30" s="80"/>
      <c r="G30" s="83">
        <f>SUBTOTAL(109,extracto_banco_mes3[NETO])</f>
        <v>0</v>
      </c>
      <c r="H30" s="83">
        <f>SUBTOTAL(109,extracto_banco_mes3[IVA 21%])</f>
        <v>0</v>
      </c>
      <c r="I30" s="83">
        <f>SUBTOTAL(109,extracto_banco_mes3[IVA 10,5%])</f>
        <v>0</v>
      </c>
      <c r="J30" s="83">
        <f>SUBTOTAL(109,extracto_banco_mes3[RET IIBB CABA])</f>
        <v>0</v>
      </c>
      <c r="K30" s="83">
        <f>SUBTOTAL(109,extracto_banco_mes3[PERC IVA])</f>
        <v>0</v>
      </c>
      <c r="L30" s="83">
        <f>SUBTOTAL(109,extracto_banco_mes3[PERC IIBB])</f>
        <v>0</v>
      </c>
    </row>
    <row r="34" spans="2:18" ht="21" x14ac:dyDescent="0.3">
      <c r="D34" s="362" t="s">
        <v>25</v>
      </c>
      <c r="E34" s="362"/>
      <c r="F34" s="362"/>
      <c r="G34" s="362"/>
      <c r="H34" s="362"/>
      <c r="I34" s="362"/>
      <c r="J34" s="362"/>
      <c r="K34" s="362"/>
    </row>
    <row r="35" spans="2:18" ht="22.5" customHeight="1" x14ac:dyDescent="0.3">
      <c r="D35" s="51" t="s">
        <v>0</v>
      </c>
      <c r="E35" s="51" t="s">
        <v>2</v>
      </c>
      <c r="F35" s="51" t="s">
        <v>74</v>
      </c>
      <c r="G35" s="51" t="s">
        <v>3</v>
      </c>
      <c r="H35" s="51" t="s">
        <v>4</v>
      </c>
      <c r="I35" s="52" t="s">
        <v>10</v>
      </c>
      <c r="J35" s="51" t="s">
        <v>13</v>
      </c>
      <c r="K35" s="51" t="s">
        <v>38</v>
      </c>
    </row>
    <row r="36" spans="2:18" x14ac:dyDescent="0.3">
      <c r="D36" s="50" t="s">
        <v>174</v>
      </c>
      <c r="E36" s="42">
        <v>2</v>
      </c>
      <c r="F36" s="43">
        <v>732</v>
      </c>
      <c r="G36" s="44">
        <v>20400104094</v>
      </c>
      <c r="H36" s="53" t="str">
        <f>IFERROR(IF(factura_c_mes3[[#This Row],[CUIT]]="","-",VLOOKUP(factura_c_mes3[[#This Row],[CUIT]],Lista_CUIT[#All],2,0)),"CUIT NO CARGADO")</f>
        <v>BOTINDARI FEDERICO DANIEL</v>
      </c>
      <c r="I36" s="81">
        <v>75000</v>
      </c>
      <c r="J36" s="54" t="str">
        <f>IFERROR(IF(factura_c_mes3[[#This Row],[CUIT]]="","-",VLOOKUP(factura_c_mes3[[#This Row],[CUIT]],Lista_CUIT[#All],3,0)),"CUIT NO CARGADO")</f>
        <v>HONORARIOS CONTABLE</v>
      </c>
      <c r="K36" s="54">
        <f>IFERROR(IF(factura_c_mes3[[#This Row],[CUIT]]="","-",VLOOKUP(factura_c_mes3[[#This Row],[CUIT]],Lista_CUIT[#All],4,0)),"CUIT NO CARGADO")</f>
        <v>0</v>
      </c>
    </row>
    <row r="37" spans="2:18" ht="18" customHeight="1" x14ac:dyDescent="0.3">
      <c r="D37" s="50" t="s">
        <v>175</v>
      </c>
      <c r="E37" s="42">
        <v>1</v>
      </c>
      <c r="F37" s="43">
        <v>300</v>
      </c>
      <c r="G37" s="44">
        <v>27386311000</v>
      </c>
      <c r="H37" s="53" t="str">
        <f>IFERROR(IF(factura_c_mes3[[#This Row],[CUIT]]="","-",VLOOKUP(factura_c_mes3[[#This Row],[CUIT]],Lista_CUIT[#All],2,0)),"CUIT NO CARGADO")</f>
        <v>OPANASIUK MACARENA ANTONELLA</v>
      </c>
      <c r="I37" s="81">
        <v>250000</v>
      </c>
      <c r="J37" s="54" t="str">
        <f>IFERROR(IF(factura_c_mes3[[#This Row],[CUIT]]="","-",VLOOKUP(factura_c_mes3[[#This Row],[CUIT]],Lista_CUIT[#All],3,0)),"CUIT NO CARGADO")</f>
        <v>Honorarios Profesionales</v>
      </c>
      <c r="K37" s="54">
        <f>IFERROR(IF(factura_c_mes3[[#This Row],[CUIT]]="","-",VLOOKUP(factura_c_mes3[[#This Row],[CUIT]],Lista_CUIT[#All],4,0)),"CUIT NO CARGADO")</f>
        <v>0</v>
      </c>
    </row>
    <row r="38" spans="2:18" x14ac:dyDescent="0.3">
      <c r="D38" s="50"/>
      <c r="E38" s="42"/>
      <c r="F38" s="43"/>
      <c r="G38" s="44"/>
      <c r="H38" s="53" t="str">
        <f>IFERROR(IF(factura_c_mes3[[#This Row],[CUIT]]="","-",VLOOKUP(factura_c_mes3[[#This Row],[CUIT]],Lista_CUIT[#All],2,0)),"CUIT NO CARGADO")</f>
        <v>-</v>
      </c>
      <c r="I38" s="81"/>
      <c r="J38" s="54" t="str">
        <f>IFERROR(IF(factura_c_mes3[[#This Row],[CUIT]]="","-",VLOOKUP(factura_c_mes3[[#This Row],[CUIT]],Lista_CUIT[#All],3,0)),"CUIT NO CARGADO")</f>
        <v>-</v>
      </c>
      <c r="K38" s="54" t="str">
        <f>IFERROR(IF(factura_c_mes3[[#This Row],[CUIT]]="","-",VLOOKUP(factura_c_mes3[[#This Row],[CUIT]],Lista_CUIT[#All],4,0)),"CUIT NO CARGADO")</f>
        <v>-</v>
      </c>
    </row>
    <row r="39" spans="2:18" x14ac:dyDescent="0.3">
      <c r="D39" s="50"/>
      <c r="E39" s="42"/>
      <c r="F39" s="43"/>
      <c r="G39" s="44"/>
      <c r="H39" s="53" t="str">
        <f>IFERROR(IF(factura_c_mes3[[#This Row],[CUIT]]="","-",VLOOKUP(factura_c_mes3[[#This Row],[CUIT]],Lista_CUIT[#All],2,0)),"CUIT NO CARGADO")</f>
        <v>-</v>
      </c>
      <c r="I39" s="81"/>
      <c r="J39" s="54" t="str">
        <f>IFERROR(IF(factura_c_mes3[[#This Row],[CUIT]]="","-",VLOOKUP(factura_c_mes3[[#This Row],[CUIT]],Lista_CUIT[#All],3,0)),"CUIT NO CARGADO")</f>
        <v>-</v>
      </c>
      <c r="K39" s="54" t="str">
        <f>IFERROR(IF(factura_c_mes3[[#This Row],[CUIT]]="","-",VLOOKUP(factura_c_mes3[[#This Row],[CUIT]],Lista_CUIT[#All],4,0)),"CUIT NO CARGADO")</f>
        <v>-</v>
      </c>
    </row>
    <row r="40" spans="2:18" x14ac:dyDescent="0.3">
      <c r="D40" s="55" t="s">
        <v>91</v>
      </c>
      <c r="E40" s="55"/>
      <c r="F40" s="55"/>
      <c r="G40" s="55"/>
      <c r="H40" s="57"/>
      <c r="I40" s="58">
        <f>SUBTOTAL(109,factura_c_mes3[TOTAL])</f>
        <v>325000</v>
      </c>
      <c r="J40" s="55"/>
      <c r="K40" s="55"/>
    </row>
    <row r="41" spans="2:18" x14ac:dyDescent="0.3">
      <c r="B41" s="56"/>
      <c r="C41" s="56"/>
      <c r="L41" s="56"/>
      <c r="M41" s="56"/>
      <c r="N41" s="56"/>
      <c r="O41" s="56"/>
      <c r="P41" s="56"/>
      <c r="Q41" s="56"/>
      <c r="R41" s="56"/>
    </row>
    <row r="46" spans="2:18" ht="25.8" x14ac:dyDescent="0.3">
      <c r="B46" s="363" t="s">
        <v>29</v>
      </c>
      <c r="C46" s="363"/>
      <c r="D46" s="363"/>
      <c r="E46" s="363"/>
      <c r="F46" s="363"/>
      <c r="G46" s="363"/>
      <c r="H46" s="363"/>
      <c r="I46" s="363"/>
      <c r="J46" s="363"/>
      <c r="K46" s="364">
        <f>N1</f>
        <v>45352</v>
      </c>
      <c r="L46" s="364"/>
      <c r="M46" s="364"/>
    </row>
    <row r="47" spans="2:18" ht="25.95" customHeight="1" x14ac:dyDescent="0.3"/>
    <row r="48" spans="2:18" ht="21" x14ac:dyDescent="0.3">
      <c r="B48" s="365" t="s">
        <v>30</v>
      </c>
      <c r="C48" s="365"/>
    </row>
    <row r="49" spans="2:13" ht="31.5" customHeight="1" x14ac:dyDescent="0.3">
      <c r="B49" s="60" t="s">
        <v>0</v>
      </c>
      <c r="C49" s="61" t="s">
        <v>1</v>
      </c>
      <c r="D49" s="61" t="s">
        <v>21</v>
      </c>
      <c r="E49" s="61" t="s">
        <v>22</v>
      </c>
      <c r="F49" s="61" t="s">
        <v>3</v>
      </c>
      <c r="G49" s="61" t="s">
        <v>4</v>
      </c>
      <c r="H49" s="61" t="s">
        <v>23</v>
      </c>
      <c r="I49" s="61" t="s">
        <v>17</v>
      </c>
      <c r="J49" s="61" t="s">
        <v>7</v>
      </c>
      <c r="K49" s="61" t="s">
        <v>24</v>
      </c>
      <c r="L49" s="61" t="s">
        <v>10</v>
      </c>
      <c r="M49" s="62" t="s">
        <v>38</v>
      </c>
    </row>
    <row r="50" spans="2:13" ht="15" customHeight="1" x14ac:dyDescent="0.3">
      <c r="B50" s="40" t="s">
        <v>167</v>
      </c>
      <c r="C50" s="41">
        <v>1</v>
      </c>
      <c r="D50" s="42">
        <v>1</v>
      </c>
      <c r="E50" s="43">
        <v>150</v>
      </c>
      <c r="F50" s="44">
        <v>30715941763</v>
      </c>
      <c r="G50" s="99" t="str">
        <f>IFERROR(IF(venta_a_mes3[[#This Row],[CUIT]]="","-",VLOOKUP(venta_a_mes3[[#This Row],[CUIT]],Lista_CUIT[#All],2,0)),"CUIT NO CARGADO")</f>
        <v>TOURMALHYN S.R.L.</v>
      </c>
      <c r="H50" s="100">
        <v>20661.14</v>
      </c>
      <c r="I50" s="101">
        <f>venta_a_mes3[[#This Row],[IMPORTE NETO]]*0.21</f>
        <v>4338.8393999999998</v>
      </c>
      <c r="J50" s="65"/>
      <c r="K50" s="65"/>
      <c r="L50" s="65">
        <f>SUM(venta_a_mes3[[#This Row],[IMPORTE NETO]:[EXENTO]])</f>
        <v>24999.9794</v>
      </c>
      <c r="M50" s="59"/>
    </row>
    <row r="51" spans="2:13" ht="15" customHeight="1" x14ac:dyDescent="0.3">
      <c r="B51" s="40" t="s">
        <v>167</v>
      </c>
      <c r="C51" s="41">
        <v>1</v>
      </c>
      <c r="D51" s="42">
        <v>1</v>
      </c>
      <c r="E51" s="43">
        <v>151</v>
      </c>
      <c r="F51" s="44">
        <v>30717969061</v>
      </c>
      <c r="G51" s="99" t="str">
        <f>IFERROR(IF(venta_a_mes3[[#This Row],[CUIT]]="","-",VLOOKUP(venta_a_mes3[[#This Row],[CUIT]],Lista_CUIT[#All],2,0)),"CUIT NO CARGADO")</f>
        <v>FABIO Y RAUL ROSSO S.A.S.</v>
      </c>
      <c r="H51" s="100">
        <v>37685.949999999997</v>
      </c>
      <c r="I51" s="101">
        <f>venta_a_mes3[[#This Row],[IMPORTE NETO]]*0.21</f>
        <v>7914.0494999999992</v>
      </c>
      <c r="J51" s="65"/>
      <c r="K51" s="65"/>
      <c r="L51" s="65">
        <f>SUM(venta_a_mes3[[#This Row],[IMPORTE NETO]:[EXENTO]])</f>
        <v>45599.999499999998</v>
      </c>
      <c r="M51" s="59"/>
    </row>
    <row r="52" spans="2:13" ht="15" customHeight="1" x14ac:dyDescent="0.3">
      <c r="B52" s="40" t="s">
        <v>167</v>
      </c>
      <c r="C52" s="41">
        <v>1</v>
      </c>
      <c r="D52" s="42">
        <v>1</v>
      </c>
      <c r="E52" s="43">
        <v>154</v>
      </c>
      <c r="F52" s="44">
        <v>30688955749</v>
      </c>
      <c r="G52" s="99" t="str">
        <f>IFERROR(IF(venta_a_mes3[[#This Row],[CUIT]]="","-",VLOOKUP(venta_a_mes3[[#This Row],[CUIT]],Lista_CUIT[#All],2,0)),"CUIT NO CARGADO")</f>
        <v>LISERAR S A</v>
      </c>
      <c r="H52" s="100">
        <v>96694.24</v>
      </c>
      <c r="I52" s="101">
        <f>venta_a_mes3[[#This Row],[IMPORTE NETO]]*0.21</f>
        <v>20305.790400000002</v>
      </c>
      <c r="J52" s="65"/>
      <c r="K52" s="65"/>
      <c r="L52" s="65">
        <f>SUM(venta_a_mes3[[#This Row],[IMPORTE NETO]:[EXENTO]])</f>
        <v>117000.0304</v>
      </c>
      <c r="M52" s="59"/>
    </row>
    <row r="53" spans="2:13" ht="15" customHeight="1" x14ac:dyDescent="0.3">
      <c r="B53" s="40" t="s">
        <v>167</v>
      </c>
      <c r="C53" s="41">
        <v>1</v>
      </c>
      <c r="D53" s="42">
        <v>1</v>
      </c>
      <c r="E53" s="43">
        <v>146</v>
      </c>
      <c r="F53" s="44">
        <v>27165844748</v>
      </c>
      <c r="G53" s="99" t="str">
        <f>IFERROR(IF(venta_a_mes3[[#This Row],[CUIT]]="","-",VLOOKUP(venta_a_mes3[[#This Row],[CUIT]],Lista_CUIT[#All],2,0)),"CUIT NO CARGADO")</f>
        <v>DENATALE MARCELA BEATRIZ</v>
      </c>
      <c r="H53" s="100">
        <v>96694.24</v>
      </c>
      <c r="I53" s="101">
        <f>venta_a_mes3[[#This Row],[IMPORTE NETO]]*0.21</f>
        <v>20305.790400000002</v>
      </c>
      <c r="J53" s="65"/>
      <c r="K53" s="65"/>
      <c r="L53" s="65">
        <f>SUM(venta_a_mes3[[#This Row],[IMPORTE NETO]:[EXENTO]])</f>
        <v>117000.0304</v>
      </c>
      <c r="M53" s="59"/>
    </row>
    <row r="54" spans="2:13" ht="15" customHeight="1" x14ac:dyDescent="0.3">
      <c r="B54" s="40" t="s">
        <v>167</v>
      </c>
      <c r="C54" s="41">
        <v>1</v>
      </c>
      <c r="D54" s="42">
        <v>1</v>
      </c>
      <c r="E54" s="43">
        <v>148</v>
      </c>
      <c r="F54" s="44">
        <v>20279415656</v>
      </c>
      <c r="G54" s="99" t="str">
        <f>IFERROR(IF(venta_a_mes3[[#This Row],[CUIT]]="","-",VLOOKUP(venta_a_mes3[[#This Row],[CUIT]],Lista_CUIT[#All],2,0)),"CUIT NO CARGADO")</f>
        <v>CECCO ALVARO GONZALO</v>
      </c>
      <c r="H54" s="100">
        <v>75371.899999999994</v>
      </c>
      <c r="I54" s="101">
        <f>venta_a_mes3[[#This Row],[IMPORTE NETO]]*0.21</f>
        <v>15828.098999999998</v>
      </c>
      <c r="J54" s="65"/>
      <c r="K54" s="65"/>
      <c r="L54" s="65">
        <f>SUM(venta_a_mes3[[#This Row],[IMPORTE NETO]:[EXENTO]])</f>
        <v>91199.998999999996</v>
      </c>
      <c r="M54" s="59"/>
    </row>
    <row r="55" spans="2:13" ht="15" customHeight="1" x14ac:dyDescent="0.3">
      <c r="B55" s="40" t="s">
        <v>167</v>
      </c>
      <c r="C55" s="41">
        <v>1</v>
      </c>
      <c r="D55" s="42">
        <v>1</v>
      </c>
      <c r="E55" s="43">
        <v>143</v>
      </c>
      <c r="F55" s="44">
        <v>20284212488</v>
      </c>
      <c r="G55" s="99" t="str">
        <f>IFERROR(IF(venta_a_mes3[[#This Row],[CUIT]]="","-",VLOOKUP(venta_a_mes3[[#This Row],[CUIT]],Lista_CUIT[#All],2,0)),"CUIT NO CARGADO")</f>
        <v>BARLETTA MAXIMILIANO SEBASTIAN</v>
      </c>
      <c r="H55" s="100">
        <v>37685.949999999997</v>
      </c>
      <c r="I55" s="101">
        <f>venta_a_mes3[[#This Row],[IMPORTE NETO]]*0.21</f>
        <v>7914.0494999999992</v>
      </c>
      <c r="J55" s="65"/>
      <c r="K55" s="65"/>
      <c r="L55" s="65">
        <f>SUM(venta_a_mes3[[#This Row],[IMPORTE NETO]:[EXENTO]])</f>
        <v>45599.999499999998</v>
      </c>
      <c r="M55" s="59"/>
    </row>
    <row r="56" spans="2:13" ht="15" customHeight="1" x14ac:dyDescent="0.3">
      <c r="B56" s="40" t="s">
        <v>167</v>
      </c>
      <c r="C56" s="41">
        <v>1</v>
      </c>
      <c r="D56" s="42">
        <v>1</v>
      </c>
      <c r="E56" s="43">
        <v>149</v>
      </c>
      <c r="F56" s="44">
        <v>20367341808</v>
      </c>
      <c r="G56" s="99" t="str">
        <f>IFERROR(IF(venta_a_mes3[[#This Row],[CUIT]]="","-",VLOOKUP(venta_a_mes3[[#This Row],[CUIT]],Lista_CUIT[#All],2,0)),"CUIT NO CARGADO")</f>
        <v>FEIDAS FERNANDO EMILIANO</v>
      </c>
      <c r="H56" s="100">
        <v>49586.76</v>
      </c>
      <c r="I56" s="101">
        <f>venta_a_mes3[[#This Row],[IMPORTE NETO]]*0.21</f>
        <v>10413.2196</v>
      </c>
      <c r="J56" s="65"/>
      <c r="K56" s="65"/>
      <c r="L56" s="65">
        <f>SUM(venta_a_mes3[[#This Row],[IMPORTE NETO]:[EXENTO]])</f>
        <v>59999.979600000006</v>
      </c>
      <c r="M56" s="63"/>
    </row>
    <row r="57" spans="2:13" ht="15" customHeight="1" x14ac:dyDescent="0.3">
      <c r="B57" s="102" t="s">
        <v>167</v>
      </c>
      <c r="C57" s="41">
        <v>1</v>
      </c>
      <c r="D57" s="104">
        <v>1</v>
      </c>
      <c r="E57" s="105">
        <v>145</v>
      </c>
      <c r="F57" s="44">
        <v>30717973166</v>
      </c>
      <c r="G57" s="99" t="str">
        <f>IFERROR(IF(venta_a_mes3[[#This Row],[CUIT]]="","-",VLOOKUP(venta_a_mes3[[#This Row],[CUIT]],Lista_CUIT[#All],2,0)),"CUIT NO CARGADO")</f>
        <v>STM ESTILO S.R.L</v>
      </c>
      <c r="H57" s="107">
        <v>37685.949999999997</v>
      </c>
      <c r="I57" s="108">
        <f>venta_a_mes3[[#This Row],[IMPORTE NETO]]*0.21</f>
        <v>7914.0494999999992</v>
      </c>
      <c r="J57" s="72"/>
      <c r="K57" s="72"/>
      <c r="L57" s="72">
        <f>SUM(venta_a_mes3[[#This Row],[IMPORTE NETO]:[EXENTO]])</f>
        <v>45599.999499999998</v>
      </c>
      <c r="M57" s="63"/>
    </row>
    <row r="58" spans="2:13" ht="15" customHeight="1" x14ac:dyDescent="0.3">
      <c r="B58" s="144" t="s">
        <v>167</v>
      </c>
      <c r="C58" s="41">
        <v>1</v>
      </c>
      <c r="D58" s="159">
        <v>1</v>
      </c>
      <c r="E58" s="145">
        <v>144</v>
      </c>
      <c r="F58" s="44">
        <v>30715380567</v>
      </c>
      <c r="G58" s="99" t="str">
        <f>IFERROR(IF(venta_a_mes3[[#This Row],[CUIT]]="","-",VLOOKUP(venta_a_mes3[[#This Row],[CUIT]],Lista_CUIT[#All],2,0)),"CUIT NO CARGADO")</f>
        <v>SENS GROUP SRL</v>
      </c>
      <c r="H58" s="100">
        <v>141205.24</v>
      </c>
      <c r="I58" s="101">
        <f>venta_a_mes3[[#This Row],[IMPORTE NETO]]*0.21</f>
        <v>29653.100399999996</v>
      </c>
      <c r="J58" s="65"/>
      <c r="K58" s="65"/>
      <c r="L58" s="65">
        <f>SUM(venta_a_mes3[[#This Row],[IMPORTE NETO]:[EXENTO]])</f>
        <v>170858.34039999999</v>
      </c>
      <c r="M58" s="59"/>
    </row>
    <row r="59" spans="2:13" ht="15" customHeight="1" x14ac:dyDescent="0.3">
      <c r="B59" s="102" t="s">
        <v>167</v>
      </c>
      <c r="C59" s="41">
        <v>1</v>
      </c>
      <c r="D59" s="104">
        <v>1</v>
      </c>
      <c r="E59" s="105">
        <v>142</v>
      </c>
      <c r="F59" s="44">
        <v>30717477681</v>
      </c>
      <c r="G59" s="131" t="str">
        <f>IFERROR(IF(venta_a_mes3[[#This Row],[CUIT]]="","-",VLOOKUP(venta_a_mes3[[#This Row],[CUIT]],Lista_CUIT[#All],2,0)),"CUIT NO CARGADO")</f>
        <v>GRUPO FAM SA</v>
      </c>
      <c r="H59" s="107">
        <v>52479.33</v>
      </c>
      <c r="I59" s="108">
        <f>venta_a_mes3[[#This Row],[IMPORTE NETO]]*0.21</f>
        <v>11020.659299999999</v>
      </c>
      <c r="J59" s="72"/>
      <c r="K59" s="72"/>
      <c r="L59" s="72">
        <f>SUM(venta_a_mes3[[#This Row],[IMPORTE NETO]:[EXENTO]])</f>
        <v>63499.989300000001</v>
      </c>
      <c r="M59" s="63"/>
    </row>
    <row r="60" spans="2:13" ht="15" customHeight="1" x14ac:dyDescent="0.3">
      <c r="B60" s="102" t="s">
        <v>167</v>
      </c>
      <c r="C60" s="41">
        <v>1</v>
      </c>
      <c r="D60" s="104">
        <v>1</v>
      </c>
      <c r="E60" s="105">
        <v>141</v>
      </c>
      <c r="F60" s="44">
        <v>30716914077</v>
      </c>
      <c r="G60" s="131" t="str">
        <f>IFERROR(IF(venta_a_mes3[[#This Row],[CUIT]]="","-",VLOOKUP(venta_a_mes3[[#This Row],[CUIT]],Lista_CUIT[#All],2,0)),"CUIT NO CARGADO")</f>
        <v>BACANES</v>
      </c>
      <c r="H60" s="107">
        <v>96694.24</v>
      </c>
      <c r="I60" s="108">
        <f>venta_a_mes3[[#This Row],[IMPORTE NETO]]*0.21</f>
        <v>20305.790400000002</v>
      </c>
      <c r="J60" s="72"/>
      <c r="K60" s="72"/>
      <c r="L60" s="72">
        <f>SUM(venta_a_mes3[[#This Row],[IMPORTE NETO]:[EXENTO]])</f>
        <v>117000.0304</v>
      </c>
      <c r="M60" s="63"/>
    </row>
    <row r="61" spans="2:13" ht="15" customHeight="1" x14ac:dyDescent="0.3">
      <c r="B61" s="109" t="s">
        <v>167</v>
      </c>
      <c r="C61" s="41">
        <v>1</v>
      </c>
      <c r="D61" s="111">
        <v>1</v>
      </c>
      <c r="E61" s="112">
        <v>147</v>
      </c>
      <c r="F61" s="44">
        <v>20287305460</v>
      </c>
      <c r="G61" s="99" t="str">
        <f>IFERROR(IF(venta_a_mes3[[#This Row],[CUIT]]="","-",VLOOKUP(venta_a_mes3[[#This Row],[CUIT]],Lista_CUIT[#All],2,0)),"CUIT NO CARGADO")</f>
        <v>LANDI GERONIMO</v>
      </c>
      <c r="H61" s="100">
        <v>37685.949999999997</v>
      </c>
      <c r="I61" s="101">
        <f>venta_a_mes3[[#This Row],[IMPORTE NETO]]*0.21</f>
        <v>7914.0494999999992</v>
      </c>
      <c r="J61" s="65"/>
      <c r="K61" s="65"/>
      <c r="L61" s="65">
        <f>SUM(venta_a_mes3[[#This Row],[IMPORTE NETO]:[EXENTO]])</f>
        <v>45599.999499999998</v>
      </c>
      <c r="M61" s="59"/>
    </row>
    <row r="62" spans="2:13" ht="15" customHeight="1" x14ac:dyDescent="0.3">
      <c r="B62" s="109" t="s">
        <v>167</v>
      </c>
      <c r="C62" s="41">
        <v>1</v>
      </c>
      <c r="D62" s="111">
        <v>1</v>
      </c>
      <c r="E62" s="112">
        <v>140</v>
      </c>
      <c r="F62" s="44">
        <v>20369499956</v>
      </c>
      <c r="G62" s="99" t="str">
        <f>IFERROR(IF(venta_a_mes3[[#This Row],[CUIT]]="","-",VLOOKUP(venta_a_mes3[[#This Row],[CUIT]],Lista_CUIT[#All],2,0)),"CUIT NO CARGADO")</f>
        <v>LAMARI FRANCO AGUSTIN</v>
      </c>
      <c r="H62" s="100">
        <v>96694.24</v>
      </c>
      <c r="I62" s="101">
        <f>venta_a_mes3[[#This Row],[IMPORTE NETO]]*0.21</f>
        <v>20305.790400000002</v>
      </c>
      <c r="J62" s="65"/>
      <c r="K62" s="65"/>
      <c r="L62" s="65">
        <f>SUM(venta_a_mes3[[#This Row],[IMPORTE NETO]:[EXENTO]])</f>
        <v>117000.0304</v>
      </c>
      <c r="M62" s="59"/>
    </row>
    <row r="63" spans="2:13" x14ac:dyDescent="0.3">
      <c r="B63" s="109" t="s">
        <v>167</v>
      </c>
      <c r="C63" s="41">
        <v>1</v>
      </c>
      <c r="D63" s="111">
        <v>1</v>
      </c>
      <c r="E63" s="112">
        <v>153</v>
      </c>
      <c r="F63" s="113">
        <v>20132082198</v>
      </c>
      <c r="G63" s="99" t="str">
        <f>IFERROR(IF(venta_a_mes3[[#This Row],[CUIT]]="","-",VLOOKUP(venta_a_mes3[[#This Row],[CUIT]],Lista_CUIT[#All],2,0)),"CUIT NO CARGADO")</f>
        <v>FADIGA OSCAR ALBERTO</v>
      </c>
      <c r="H63" s="100">
        <v>37685.949999999997</v>
      </c>
      <c r="I63" s="101">
        <f>venta_a_mes3[[#This Row],[IMPORTE NETO]]*0.21</f>
        <v>7914.0494999999992</v>
      </c>
      <c r="J63" s="65"/>
      <c r="K63" s="65"/>
      <c r="L63" s="65">
        <f>SUM(venta_a_mes3[[#This Row],[IMPORTE NETO]:[EXENTO]])</f>
        <v>45599.999499999998</v>
      </c>
      <c r="M63" s="59"/>
    </row>
    <row r="64" spans="2:13" x14ac:dyDescent="0.3">
      <c r="B64" s="109" t="s">
        <v>167</v>
      </c>
      <c r="C64" s="41">
        <v>1</v>
      </c>
      <c r="D64" s="111">
        <v>1</v>
      </c>
      <c r="E64" s="112">
        <v>152</v>
      </c>
      <c r="F64" s="113">
        <v>30717465101</v>
      </c>
      <c r="G64" s="99" t="str">
        <f>IFERROR(IF(venta_a_mes3[[#This Row],[CUIT]]="","-",VLOOKUP(venta_a_mes3[[#This Row],[CUIT]],Lista_CUIT[#All],2,0)),"CUIT NO CARGADO")</f>
        <v>EMPRENDIMIENTOS SHOPGLASS S. R. L.</v>
      </c>
      <c r="H64" s="100">
        <v>37685.949999999997</v>
      </c>
      <c r="I64" s="101">
        <f>venta_a_mes3[[#This Row],[IMPORTE NETO]]*0.21</f>
        <v>7914.0494999999992</v>
      </c>
      <c r="J64" s="65"/>
      <c r="K64" s="65"/>
      <c r="L64" s="65">
        <f>SUM(venta_a_mes3[[#This Row],[IMPORTE NETO]:[EXENTO]])</f>
        <v>45599.999499999998</v>
      </c>
      <c r="M64" s="59"/>
    </row>
    <row r="65" spans="2:13" x14ac:dyDescent="0.3">
      <c r="B65" s="109" t="s">
        <v>167</v>
      </c>
      <c r="C65" s="41">
        <v>1</v>
      </c>
      <c r="D65" s="111">
        <v>1</v>
      </c>
      <c r="E65" s="112">
        <v>139</v>
      </c>
      <c r="F65" s="113">
        <v>30716549107</v>
      </c>
      <c r="G65" s="99" t="str">
        <f>IFERROR(IF(venta_a_mes3[[#This Row],[CUIT]]="","-",VLOOKUP(venta_a_mes3[[#This Row],[CUIT]],Lista_CUIT[#All],2,0)),"CUIT NO CARGADO")</f>
        <v>LAMATEC S.R.L.</v>
      </c>
      <c r="H65" s="100">
        <v>96694.24</v>
      </c>
      <c r="I65" s="101">
        <f>venta_a_mes3[[#This Row],[IMPORTE NETO]]*0.21</f>
        <v>20305.790400000002</v>
      </c>
      <c r="J65" s="65"/>
      <c r="K65" s="65"/>
      <c r="L65" s="65">
        <f>SUM(venta_a_mes3[[#This Row],[IMPORTE NETO]:[EXENTO]])</f>
        <v>117000.0304</v>
      </c>
      <c r="M65" s="59"/>
    </row>
    <row r="66" spans="2:13" x14ac:dyDescent="0.3">
      <c r="B66" s="109" t="s">
        <v>167</v>
      </c>
      <c r="C66" s="41">
        <v>1</v>
      </c>
      <c r="D66" s="111">
        <v>1</v>
      </c>
      <c r="E66" s="112">
        <v>155</v>
      </c>
      <c r="F66" s="113">
        <v>30716234815</v>
      </c>
      <c r="G66" s="99" t="str">
        <f>IFERROR(IF(venta_a_mes3[[#This Row],[CUIT]]="","-",VLOOKUP(venta_a_mes3[[#This Row],[CUIT]],Lista_CUIT[#All],2,0)),"CUIT NO CARGADO")</f>
        <v>LEVINT PARTNERS S.R.L.</v>
      </c>
      <c r="H66" s="100">
        <v>96694.24</v>
      </c>
      <c r="I66" s="101">
        <f>venta_a_mes3[[#This Row],[IMPORTE NETO]]*0.21</f>
        <v>20305.790400000002</v>
      </c>
      <c r="J66" s="65"/>
      <c r="K66" s="65"/>
      <c r="L66" s="65">
        <f>SUM(venta_a_mes3[[#This Row],[IMPORTE NETO]:[EXENTO]])</f>
        <v>117000.0304</v>
      </c>
      <c r="M66" s="59"/>
    </row>
    <row r="67" spans="2:13" x14ac:dyDescent="0.3">
      <c r="B67" s="109" t="s">
        <v>168</v>
      </c>
      <c r="C67" s="41">
        <v>1</v>
      </c>
      <c r="D67" s="111">
        <v>1</v>
      </c>
      <c r="E67" s="112">
        <v>156</v>
      </c>
      <c r="F67" s="113">
        <v>20320573948</v>
      </c>
      <c r="G67" s="99" t="str">
        <f>IFERROR(IF(venta_a_mes3[[#This Row],[CUIT]]="","-",VLOOKUP(venta_a_mes3[[#This Row],[CUIT]],Lista_CUIT[#All],2,0)),"CUIT NO CARGADO")</f>
        <v>CAVALLOTTI MARCOS DANIEL</v>
      </c>
      <c r="H67" s="100">
        <v>108264.48</v>
      </c>
      <c r="I67" s="101">
        <f>venta_a_mes3[[#This Row],[IMPORTE NETO]]*0.21</f>
        <v>22735.540799999999</v>
      </c>
      <c r="J67" s="65"/>
      <c r="K67" s="65"/>
      <c r="L67" s="65">
        <f>SUM(venta_a_mes3[[#This Row],[IMPORTE NETO]:[EXENTO]])</f>
        <v>131000.0208</v>
      </c>
      <c r="M67" s="59"/>
    </row>
    <row r="68" spans="2:13" x14ac:dyDescent="0.3">
      <c r="B68" s="109" t="s">
        <v>169</v>
      </c>
      <c r="C68" s="41">
        <v>1</v>
      </c>
      <c r="D68" s="111">
        <v>1</v>
      </c>
      <c r="E68" s="112">
        <v>157</v>
      </c>
      <c r="F68" s="113">
        <v>20277452872</v>
      </c>
      <c r="G68" s="99" t="str">
        <f>IFERROR(IF(venta_a_mes3[[#This Row],[CUIT]]="","-",VLOOKUP(venta_a_mes3[[#This Row],[CUIT]],Lista_CUIT[#All],2,0)),"CUIT NO CARGADO")</f>
        <v>GERVASI MAXIMILIANO ARIEL</v>
      </c>
      <c r="H68" s="100">
        <v>390909.1</v>
      </c>
      <c r="I68" s="101">
        <f>venta_a_mes3[[#This Row],[IMPORTE NETO]]*0.21</f>
        <v>82090.910999999993</v>
      </c>
      <c r="J68" s="65"/>
      <c r="K68" s="65"/>
      <c r="L68" s="65">
        <f>SUM(venta_a_mes3[[#This Row],[IMPORTE NETO]:[EXENTO]])</f>
        <v>473000.01099999994</v>
      </c>
      <c r="M68" s="59"/>
    </row>
    <row r="69" spans="2:13" x14ac:dyDescent="0.3">
      <c r="B69" s="66" t="s">
        <v>91</v>
      </c>
      <c r="C69" s="67"/>
      <c r="D69" s="67"/>
      <c r="E69" s="67"/>
      <c r="F69" s="67"/>
      <c r="G69" s="67"/>
      <c r="H69" s="69">
        <f>SUBTOTAL(109,venta_a_mes3[IMPORTE NETO])</f>
        <v>1644759.0899999999</v>
      </c>
      <c r="I69" s="70">
        <f>SUBTOTAL(109,venta_a_mes3[IVA 21%])</f>
        <v>345399.40889999992</v>
      </c>
      <c r="J69" s="71">
        <f>SUBTOTAL(109,venta_a_mes3[IVA 10,5%])</f>
        <v>0</v>
      </c>
      <c r="K69" s="71">
        <f>SUBTOTAL(109,venta_a_mes3[EXENTO])</f>
        <v>0</v>
      </c>
      <c r="L69" s="71">
        <f>SUBTOTAL(109,venta_a_mes3[TOTAL])</f>
        <v>1990158.4989</v>
      </c>
      <c r="M69" s="68">
        <f>SUBTOTAL(103,venta_a_mes3[Provincia])</f>
        <v>0</v>
      </c>
    </row>
    <row r="70" spans="2:13" x14ac:dyDescent="0.3">
      <c r="B70" s="135"/>
      <c r="C70" s="135"/>
      <c r="D70" s="135"/>
      <c r="E70" s="135"/>
      <c r="F70" s="135"/>
      <c r="G70" s="135"/>
      <c r="H70" s="137"/>
      <c r="I70" s="138"/>
      <c r="J70" s="139"/>
      <c r="K70" s="139"/>
      <c r="L70" s="139"/>
      <c r="M70" s="136"/>
    </row>
    <row r="71" spans="2:13" ht="21" x14ac:dyDescent="0.3">
      <c r="B71" s="365" t="s">
        <v>31</v>
      </c>
      <c r="C71" s="365"/>
    </row>
    <row r="72" spans="2:13" ht="15.6" x14ac:dyDescent="0.3">
      <c r="B72" s="60" t="s">
        <v>0</v>
      </c>
      <c r="C72" s="61" t="s">
        <v>1</v>
      </c>
      <c r="D72" s="61" t="s">
        <v>21</v>
      </c>
      <c r="E72" s="61" t="s">
        <v>22</v>
      </c>
      <c r="F72" s="61" t="s">
        <v>3</v>
      </c>
      <c r="G72" s="61" t="s">
        <v>4</v>
      </c>
      <c r="H72" s="61" t="s">
        <v>23</v>
      </c>
      <c r="I72" s="61" t="s">
        <v>17</v>
      </c>
      <c r="J72" s="61" t="s">
        <v>7</v>
      </c>
      <c r="K72" s="61" t="s">
        <v>24</v>
      </c>
      <c r="L72" s="61" t="s">
        <v>10</v>
      </c>
      <c r="M72" s="62" t="s">
        <v>38</v>
      </c>
    </row>
    <row r="73" spans="2:13" x14ac:dyDescent="0.3">
      <c r="B73" s="40" t="s">
        <v>167</v>
      </c>
      <c r="C73" s="41">
        <v>6</v>
      </c>
      <c r="D73" s="42">
        <v>1</v>
      </c>
      <c r="E73" s="43">
        <v>30</v>
      </c>
      <c r="F73" s="44">
        <v>20252582704</v>
      </c>
      <c r="G73" s="1" t="str">
        <f>IFERROR(IF(ventas_b_mes3[[#This Row],[CUIT]]="","-",VLOOKUP(ventas_b_mes3[[#This Row],[CUIT]],Lista_CUIT[#All],2,0)),"CUIT NO CARGADO")</f>
        <v>GARCIA VAUTRIN ANDRES ALBERTO</v>
      </c>
      <c r="H73" s="64">
        <v>99173.57</v>
      </c>
      <c r="I73" s="64">
        <f>ventas_b_mes3[[#This Row],[IMPORTE NETO]]*0.21</f>
        <v>20826.449700000001</v>
      </c>
      <c r="J73" s="64"/>
      <c r="K73" s="64"/>
      <c r="L73" s="64">
        <f>SUM(ventas_b_mes3[[#This Row],[IMPORTE NETO]:[EXENTO]])</f>
        <v>120000.0197</v>
      </c>
      <c r="M73" s="59"/>
    </row>
    <row r="74" spans="2:13" x14ac:dyDescent="0.3">
      <c r="B74" s="40" t="s">
        <v>167</v>
      </c>
      <c r="C74" s="41">
        <v>6</v>
      </c>
      <c r="D74" s="42">
        <v>1</v>
      </c>
      <c r="E74" s="43">
        <v>28</v>
      </c>
      <c r="F74" s="44">
        <v>30521448608</v>
      </c>
      <c r="G74" s="1" t="str">
        <f>IFERROR(IF(ventas_b_mes3[[#This Row],[CUIT]]="","-",VLOOKUP(ventas_b_mes3[[#This Row],[CUIT]],Lista_CUIT[#All],2,0)),"CUIT NO CARGADO")</f>
        <v>INSTITUTO ORSINO SA</v>
      </c>
      <c r="H74" s="64">
        <v>33057.86</v>
      </c>
      <c r="I74" s="64">
        <f>ventas_b_mes3[[#This Row],[IMPORTE NETO]]*0.21</f>
        <v>6942.1505999999999</v>
      </c>
      <c r="J74" s="64"/>
      <c r="K74" s="64"/>
      <c r="L74" s="64">
        <f>SUM(ventas_b_mes3[[#This Row],[IMPORTE NETO]:[EXENTO]])</f>
        <v>40000.010600000001</v>
      </c>
      <c r="M74" s="59"/>
    </row>
    <row r="75" spans="2:13" x14ac:dyDescent="0.3">
      <c r="B75" s="40" t="s">
        <v>167</v>
      </c>
      <c r="C75" s="41">
        <v>6</v>
      </c>
      <c r="D75" s="42">
        <v>1</v>
      </c>
      <c r="E75" s="43">
        <v>29</v>
      </c>
      <c r="F75" s="44">
        <v>30592508830</v>
      </c>
      <c r="G75" s="1" t="str">
        <f>IFERROR(IF(ventas_b_mes3[[#This Row],[CUIT]]="","-",VLOOKUP(ventas_b_mes3[[#This Row],[CUIT]],Lista_CUIT[#All],2,0)),"CUIT NO CARGADO")</f>
        <v>INSTITUTO DE ESTUDIOS SUPERIORES DE BUENOS AIRES S A</v>
      </c>
      <c r="H75" s="64">
        <v>33057.86</v>
      </c>
      <c r="I75" s="64">
        <f>ventas_b_mes3[[#This Row],[IMPORTE NETO]]*0.21</f>
        <v>6942.1505999999999</v>
      </c>
      <c r="J75" s="64"/>
      <c r="K75" s="64"/>
      <c r="L75" s="64">
        <f>SUM(ventas_b_mes3[[#This Row],[IMPORTE NETO]:[EXENTO]])</f>
        <v>40000.010600000001</v>
      </c>
      <c r="M75" s="59"/>
    </row>
    <row r="76" spans="2:13" x14ac:dyDescent="0.3">
      <c r="B76" s="40" t="s">
        <v>167</v>
      </c>
      <c r="C76" s="41">
        <v>6</v>
      </c>
      <c r="D76" s="42">
        <v>1</v>
      </c>
      <c r="E76" s="43">
        <v>27</v>
      </c>
      <c r="F76" s="44">
        <v>30700477920</v>
      </c>
      <c r="G76" s="1" t="str">
        <f>IFERROR(IF(ventas_b_mes3[[#This Row],[CUIT]]="","-",VLOOKUP(ventas_b_mes3[[#This Row],[CUIT]],Lista_CUIT[#All],2,0)),"CUIT NO CARGADO")</f>
        <v>ESBA FLORESS A</v>
      </c>
      <c r="H76" s="64">
        <v>33057.86</v>
      </c>
      <c r="I76" s="64">
        <f>ventas_b_mes3[[#This Row],[IMPORTE NETO]]*0.21</f>
        <v>6942.1505999999999</v>
      </c>
      <c r="J76" s="64"/>
      <c r="K76" s="64"/>
      <c r="L76" s="64">
        <f>SUM(ventas_b_mes3[[#This Row],[IMPORTE NETO]:[EXENTO]])</f>
        <v>40000.010600000001</v>
      </c>
      <c r="M76" s="59"/>
    </row>
    <row r="77" spans="2:13" x14ac:dyDescent="0.3">
      <c r="B77" s="40" t="s">
        <v>167</v>
      </c>
      <c r="C77" s="41">
        <v>6</v>
      </c>
      <c r="D77" s="42">
        <v>1</v>
      </c>
      <c r="E77" s="43">
        <v>26</v>
      </c>
      <c r="F77" s="44">
        <v>30681452423</v>
      </c>
      <c r="G77" s="1" t="str">
        <f>IFERROR(IF(ventas_b_mes3[[#This Row],[CUIT]]="","-",VLOOKUP(ventas_b_mes3[[#This Row],[CUIT]],Lista_CUIT[#All],2,0)),"CUIT NO CARGADO")</f>
        <v>E S B A LUGANO S A</v>
      </c>
      <c r="H77" s="64">
        <v>33057.86</v>
      </c>
      <c r="I77" s="64">
        <f>ventas_b_mes3[[#This Row],[IMPORTE NETO]]*0.21</f>
        <v>6942.1505999999999</v>
      </c>
      <c r="J77" s="64"/>
      <c r="K77" s="64"/>
      <c r="L77" s="64">
        <f>SUM(ventas_b_mes3[[#This Row],[IMPORTE NETO]:[EXENTO]])</f>
        <v>40000.010600000001</v>
      </c>
      <c r="M77" s="59"/>
    </row>
    <row r="78" spans="2:13" x14ac:dyDescent="0.3">
      <c r="B78" s="40"/>
      <c r="C78" s="41"/>
      <c r="D78" s="42"/>
      <c r="E78" s="43"/>
      <c r="F78" s="44"/>
      <c r="G78" s="1"/>
      <c r="H78" s="64"/>
      <c r="I78" s="64">
        <f>ventas_b_mes3[[#This Row],[IMPORTE NETO]]*0.21</f>
        <v>0</v>
      </c>
      <c r="J78" s="64"/>
      <c r="K78" s="64"/>
      <c r="L78" s="64">
        <f>SUM(ventas_b_mes3[[#This Row],[IMPORTE NETO]:[EXENTO]])</f>
        <v>0</v>
      </c>
      <c r="M78" s="59"/>
    </row>
    <row r="79" spans="2:13" x14ac:dyDescent="0.3">
      <c r="B79" s="66" t="s">
        <v>91</v>
      </c>
      <c r="C79" s="67"/>
      <c r="D79" s="67"/>
      <c r="E79" s="67"/>
      <c r="F79" s="67"/>
      <c r="G79" s="67"/>
      <c r="H79" s="77">
        <f>SUBTOTAL(109,ventas_b_mes3[IMPORTE NETO])</f>
        <v>231405.00999999995</v>
      </c>
      <c r="I79" s="77">
        <f>SUBTOTAL(109,ventas_b_mes3[IVA 21%])</f>
        <v>48595.052100000001</v>
      </c>
      <c r="J79" s="78">
        <f>SUBTOTAL(109,ventas_b_mes3[IVA 10,5%])</f>
        <v>0</v>
      </c>
      <c r="K79" s="78">
        <f>SUBTOTAL(109,ventas_b_mes3[EXENTO])</f>
        <v>0</v>
      </c>
      <c r="L79" s="78">
        <f>SUBTOTAL(109,ventas_b_mes3[TOTAL])</f>
        <v>280000.06210000004</v>
      </c>
      <c r="M79" s="68">
        <f>SUBTOTAL(103,ventas_b_mes3[Provincia])</f>
        <v>0</v>
      </c>
    </row>
    <row r="86" spans="3:12" ht="15" thickBot="1" x14ac:dyDescent="0.35"/>
    <row r="87" spans="3:12" ht="15" thickTop="1" x14ac:dyDescent="0.3">
      <c r="C87" s="358" t="s">
        <v>66</v>
      </c>
      <c r="D87" s="358"/>
      <c r="E87" s="358"/>
      <c r="F87" s="358"/>
      <c r="G87" s="358"/>
      <c r="H87" s="32"/>
      <c r="I87" s="32"/>
      <c r="J87" s="32"/>
    </row>
    <row r="88" spans="3:12" ht="15.6" x14ac:dyDescent="0.3">
      <c r="C88" s="114" t="s">
        <v>67</v>
      </c>
      <c r="D88" s="115" t="s">
        <v>68</v>
      </c>
      <c r="E88" s="115" t="s">
        <v>93</v>
      </c>
      <c r="F88" s="115" t="s">
        <v>3</v>
      </c>
      <c r="G88" s="115" t="s">
        <v>4</v>
      </c>
      <c r="H88" s="116" t="s">
        <v>69</v>
      </c>
      <c r="I88" s="116" t="s">
        <v>70</v>
      </c>
      <c r="J88" s="116" t="s">
        <v>71</v>
      </c>
      <c r="K88" s="116" t="s">
        <v>72</v>
      </c>
      <c r="L88" s="116" t="s">
        <v>73</v>
      </c>
    </row>
    <row r="89" spans="3:12" x14ac:dyDescent="0.3">
      <c r="C89" s="117"/>
      <c r="D89" s="118"/>
      <c r="E89" s="118"/>
      <c r="F89" s="119"/>
      <c r="G89" s="53" t="str">
        <f>IFERROR(IF(Retenciones_mes3[[#This Row],[CUIT]]="","-",VLOOKUP(Retenciones_mes3[[#This Row],[CUIT]],Lista_CUIT[#All],2,0)),"CUIT NO CARGADO")</f>
        <v>-</v>
      </c>
      <c r="H89" s="120"/>
      <c r="I89" s="120"/>
      <c r="J89" s="120"/>
      <c r="K89" s="120"/>
      <c r="L89" s="120"/>
    </row>
    <row r="90" spans="3:12" x14ac:dyDescent="0.3">
      <c r="C90" s="117"/>
      <c r="D90" s="118"/>
      <c r="E90" s="118"/>
      <c r="F90" s="119"/>
      <c r="G90" s="53" t="str">
        <f>IFERROR(IF(Retenciones_mes3[[#This Row],[CUIT]]="","-",VLOOKUP(Retenciones_mes3[[#This Row],[CUIT]],Lista_CUIT[#All],2,0)),"CUIT NO CARGADO")</f>
        <v>-</v>
      </c>
      <c r="H90" s="120"/>
      <c r="I90" s="120"/>
      <c r="J90" s="120"/>
      <c r="K90" s="120"/>
      <c r="L90" s="120"/>
    </row>
    <row r="91" spans="3:12" x14ac:dyDescent="0.3">
      <c r="C91" s="117"/>
      <c r="D91" s="118"/>
      <c r="E91" s="118"/>
      <c r="F91" s="119"/>
      <c r="G91" s="53" t="str">
        <f>IFERROR(IF(Retenciones_mes3[[#This Row],[CUIT]]="","-",VLOOKUP(Retenciones_mes3[[#This Row],[CUIT]],Lista_CUIT[#All],2,0)),"CUIT NO CARGADO")</f>
        <v>-</v>
      </c>
      <c r="H91" s="120"/>
      <c r="I91" s="120"/>
      <c r="J91" s="120"/>
      <c r="K91" s="120"/>
      <c r="L91" s="120"/>
    </row>
    <row r="92" spans="3:12" x14ac:dyDescent="0.3">
      <c r="C92" s="117"/>
      <c r="D92" s="118"/>
      <c r="E92" s="118"/>
      <c r="F92" s="119"/>
      <c r="G92" s="53" t="str">
        <f>IFERROR(IF(Retenciones_mes3[[#This Row],[CUIT]]="","-",VLOOKUP(Retenciones_mes3[[#This Row],[CUIT]],Lista_CUIT[#All],2,0)),"CUIT NO CARGADO")</f>
        <v>-</v>
      </c>
      <c r="H92" s="120"/>
      <c r="I92" s="120"/>
      <c r="J92" s="120"/>
      <c r="K92" s="120"/>
      <c r="L92" s="120"/>
    </row>
    <row r="93" spans="3:12" x14ac:dyDescent="0.3">
      <c r="D93" s="118"/>
      <c r="E93" s="118"/>
      <c r="G93" s="53" t="str">
        <f>IFERROR(IF(Retenciones_mes3[[#This Row],[CUIT]]="","-",VLOOKUP(Retenciones_mes3[[#This Row],[CUIT]],Lista_CUIT[#All],2,0)),"CUIT NO CARGADO")</f>
        <v>-</v>
      </c>
    </row>
    <row r="94" spans="3:12" x14ac:dyDescent="0.3">
      <c r="C94" s="33"/>
    </row>
  </sheetData>
  <mergeCells count="20">
    <mergeCell ref="P4:R4"/>
    <mergeCell ref="D25:L25"/>
    <mergeCell ref="B1:F1"/>
    <mergeCell ref="G1:M1"/>
    <mergeCell ref="N1:R1"/>
    <mergeCell ref="B3:E3"/>
    <mergeCell ref="G3:H3"/>
    <mergeCell ref="J3:K3"/>
    <mergeCell ref="M3:N3"/>
    <mergeCell ref="P3:R3"/>
    <mergeCell ref="C87:G87"/>
    <mergeCell ref="B4:E4"/>
    <mergeCell ref="G4:H4"/>
    <mergeCell ref="J4:K4"/>
    <mergeCell ref="M4:N4"/>
    <mergeCell ref="D34:K34"/>
    <mergeCell ref="B46:J46"/>
    <mergeCell ref="K46:M46"/>
    <mergeCell ref="B48:C48"/>
    <mergeCell ref="B71:C71"/>
  </mergeCells>
  <dataValidations count="12">
    <dataValidation type="whole" allowBlank="1" showInputMessage="1" showErrorMessage="1" sqref="E36:E39 D73:D78 D50:D68 D9:D19" xr:uid="{00000000-0002-0000-0300-000000000000}">
      <formula1>1</formula1>
      <formula2>9999</formula2>
    </dataValidation>
    <dataValidation type="whole" allowBlank="1" showInputMessage="1" showErrorMessage="1" sqref="F36:F39 E73:E78 E50:E68 E9:E19" xr:uid="{00000000-0002-0000-0300-000001000000}">
      <formula1>1</formula1>
      <formula2>99999999</formula2>
    </dataValidation>
    <dataValidation type="whole" allowBlank="1" showInputMessage="1" showErrorMessage="1" sqref="F50:F68 G36:G39 F73:F78 F9:F19" xr:uid="{00000000-0002-0000-0300-000002000000}">
      <formula1>20000000000</formula1>
      <formula2>33999999999</formula2>
    </dataValidation>
    <dataValidation type="date" allowBlank="1" showInputMessage="1" showErrorMessage="1" sqref="D27:D29 B73:B78 D36:D39 B21:B24 B50:B68 B9:B19" xr:uid="{00000000-0002-0000-0300-000003000000}">
      <formula1>40179</formula1>
      <formula2>TODAY()</formula2>
    </dataValidation>
    <dataValidation type="whole" allowBlank="1" showInputMessage="1" showErrorMessage="1" sqref="C21:C24 C50:C68 C9:C19" xr:uid="{00000000-0002-0000-0300-000004000000}">
      <formula1>1</formula1>
      <formula2>3</formula2>
    </dataValidation>
    <dataValidation type="custom" allowBlank="1" showInputMessage="1" showErrorMessage="1" sqref="H50:K50 H52:K52 H54:K54 H56:K56" xr:uid="{00000000-0002-0000-0300-000005000000}">
      <formula1>IF($C50=3,H50&lt;0,H50&gt;=0)</formula1>
    </dataValidation>
    <dataValidation type="whole" allowBlank="1" showInputMessage="1" showErrorMessage="1" sqref="C73:C78" xr:uid="{00000000-0002-0000-0300-000006000000}">
      <formula1>6</formula1>
      <formula2>8</formula2>
    </dataValidation>
    <dataValidation type="custom" allowBlank="1" showInputMessage="1" showErrorMessage="1" sqref="L50:L51" xr:uid="{00000000-0002-0000-0300-000007000000}">
      <formula1>IF($C9=3,L9&lt;0,L9&gt;=0)</formula1>
    </dataValidation>
    <dataValidation type="custom" allowBlank="1" showInputMessage="1" showErrorMessage="1" sqref="L52:L54" xr:uid="{00000000-0002-0000-0300-000008000000}">
      <formula1>IF($C13=3,L13&lt;0,L13&gt;=0)</formula1>
    </dataValidation>
    <dataValidation type="custom" allowBlank="1" showInputMessage="1" showErrorMessage="1" sqref="H73:L78" xr:uid="{00000000-0002-0000-0300-000009000000}">
      <formula1>IF($C73=8,H73&lt;0,H73&gt;=0)</formula1>
    </dataValidation>
    <dataValidation type="custom" allowBlank="1" showInputMessage="1" showErrorMessage="1" sqref="L55:L56" xr:uid="{00000000-0002-0000-0300-00000A000000}">
      <formula1>IF($C20=3,L20&lt;0,L20&gt;=0)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9" xr:uid="{00000000-0002-0000-03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</sheetPr>
  <dimension ref="A1:Z96"/>
  <sheetViews>
    <sheetView showGridLines="0" zoomScale="85" zoomScaleNormal="85" workbookViewId="0">
      <selection activeCell="O25" sqref="O25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69" t="str">
        <f>'Ene-24'!G1:M1</f>
        <v>RABLEB SRL</v>
      </c>
      <c r="H1" s="369"/>
      <c r="I1" s="369"/>
      <c r="J1" s="369"/>
      <c r="K1" s="369"/>
      <c r="L1" s="369"/>
      <c r="M1" s="369"/>
      <c r="N1" s="370">
        <f>EDATE('Ene-24'!N1,3)</f>
        <v>45383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SUM(compras_mes4[[#Totals],[NETO GRAVADO]])+extracto_banco_mes4[[#Totals],[NETO]]</f>
        <v>1085466.42</v>
      </c>
      <c r="C4" s="359"/>
      <c r="D4" s="359"/>
      <c r="E4" s="359"/>
      <c r="F4" s="39"/>
      <c r="G4" s="360">
        <f>compras_mes4[[#Totals],[IVA 21 %]]+compras_mes4[[#Totals],[IVA 27%]]+compras_mes4[[#Totals],[IVA 10,5%]]+extracto_banco_mes4[[#Totals],[IVA 21%]]+extracto_banco_mes4[[#Totals],[IVA 10,5%]]</f>
        <v>227947.94819999996</v>
      </c>
      <c r="H4" s="360"/>
      <c r="I4" s="39"/>
      <c r="J4" s="361">
        <f>venta_a_mes4[[#Totals],[IMPORTE NETO]]+ventas_b_mes4[[#Totals],[IMPORTE NETO]]</f>
        <v>1892977.0399999998</v>
      </c>
      <c r="K4" s="361"/>
      <c r="L4" s="39"/>
      <c r="M4" s="361">
        <f>venta_a_mes4[[#Totals],[IVA 21%]]+venta_a_mes4[[#Totals],[IVA 10,5%]]+ventas_b_mes4[[#Totals],[IVA 21%]]+ventas_b_mes4[[#Totals],[IVA 10,5%]]</f>
        <v>397525.17830000009</v>
      </c>
      <c r="N4" s="361"/>
      <c r="O4" s="39"/>
      <c r="P4" s="366">
        <f>G4-M4</f>
        <v>-169577.23010000013</v>
      </c>
      <c r="Q4" s="367"/>
      <c r="R4" s="367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45408</v>
      </c>
      <c r="C9" s="41">
        <v>1</v>
      </c>
      <c r="D9" s="42">
        <v>11</v>
      </c>
      <c r="E9" s="43">
        <v>967928</v>
      </c>
      <c r="F9" s="44">
        <v>33709585229</v>
      </c>
      <c r="G9" s="45" t="str">
        <f>IFERROR(IF(compras_mes4[[#This Row],[CUIT]]="","-",VLOOKUP(compras_mes4[[#This Row],[CUIT]],Lista_CUIT[#All],2,0)),"CUIT NO CARGADO")</f>
        <v>GOOGLE ARGENTINA S.R.L.</v>
      </c>
      <c r="H9" s="46">
        <v>10880.12</v>
      </c>
      <c r="I9" s="85">
        <f>IF(compras_mes4[[#This Row],[NETO GRAVADO]]="","",compras_mes4[[#This Row],[NETO GRAVADO]]*0.21)</f>
        <v>2284.8252000000002</v>
      </c>
      <c r="J9" s="85"/>
      <c r="K9" s="85"/>
      <c r="L9" s="85">
        <v>326.39999999999998</v>
      </c>
      <c r="M9" s="85"/>
      <c r="N9" s="85">
        <v>163.19999999999999</v>
      </c>
      <c r="O9" s="85"/>
      <c r="P9" s="48">
        <f>SUM(compras_mes4[[#This Row],[NETO GRAVADO]:[Otros / No Grav.]])</f>
        <v>13654.545200000002</v>
      </c>
      <c r="Q9" s="49" t="str">
        <f>IFERROR(IF(compras_mes4[[#This Row],[CUIT]]="","-",VLOOKUP(compras_mes4[[#This Row],[CUIT]],Lista_CUIT[#All],3,0)),"CUIT NO CARGADO")</f>
        <v>Gastos Publicidad y Propaganda</v>
      </c>
      <c r="R9" s="49">
        <f>IFERROR(IF(compras_mes4[[#This Row],[CUIT]]="","-",VLOOKUP(compras_mes4[[#This Row],[CUIT]],Lista_CUIT[#All],4,0)),"CUIT NO CARGADO")</f>
        <v>0</v>
      </c>
    </row>
    <row r="10" spans="1:26" x14ac:dyDescent="0.3">
      <c r="B10" s="40">
        <v>45412</v>
      </c>
      <c r="C10" s="41">
        <v>1</v>
      </c>
      <c r="D10" s="42">
        <v>11</v>
      </c>
      <c r="E10" s="43">
        <v>976843</v>
      </c>
      <c r="F10" s="44">
        <v>33709585229</v>
      </c>
      <c r="G10" s="45" t="str">
        <f>IFERROR(IF(compras_mes4[[#This Row],[CUIT]]="","-",VLOOKUP(compras_mes4[[#This Row],[CUIT]],Lista_CUIT[#All],2,0)),"CUIT NO CARGADO")</f>
        <v>GOOGLE ARGENTINA S.R.L.</v>
      </c>
      <c r="H10" s="46">
        <v>173192.04</v>
      </c>
      <c r="I10" s="85">
        <f>IF(compras_mes4[[#This Row],[NETO GRAVADO]]="","",compras_mes4[[#This Row],[NETO GRAVADO]]*0.21)</f>
        <v>36370.328399999999</v>
      </c>
      <c r="J10" s="85"/>
      <c r="K10" s="85"/>
      <c r="L10" s="85">
        <v>5195.76</v>
      </c>
      <c r="M10" s="85"/>
      <c r="N10" s="85">
        <v>2597.88</v>
      </c>
      <c r="O10" s="85"/>
      <c r="P10" s="48">
        <f>SUM(compras_mes4[[#This Row],[NETO GRAVADO]:[Otros / No Grav.]])</f>
        <v>217356.00840000002</v>
      </c>
      <c r="Q10" s="49" t="str">
        <f>IFERROR(IF(compras_mes4[[#This Row],[CUIT]]="","-",VLOOKUP(compras_mes4[[#This Row],[CUIT]],Lista_CUIT[#All],3,0)),"CUIT NO CARGADO")</f>
        <v>Gastos Publicidad y Propaganda</v>
      </c>
      <c r="R10" s="49">
        <f>IFERROR(IF(compras_mes4[[#This Row],[CUIT]]="","-",VLOOKUP(compras_mes4[[#This Row],[CUIT]],Lista_CUIT[#All],4,0)),"CUIT NO CARGADO")</f>
        <v>0</v>
      </c>
    </row>
    <row r="11" spans="1:26" x14ac:dyDescent="0.3">
      <c r="B11" s="89">
        <v>45412</v>
      </c>
      <c r="C11" s="41">
        <v>1</v>
      </c>
      <c r="D11" s="91">
        <v>11</v>
      </c>
      <c r="E11" s="92">
        <v>971874</v>
      </c>
      <c r="F11" s="93">
        <v>33709585229</v>
      </c>
      <c r="G11" s="94" t="str">
        <f>IFERROR(IF(compras_mes4[[#This Row],[CUIT]]="","-",VLOOKUP(compras_mes4[[#This Row],[CUIT]],Lista_CUIT[#All],2,0)),"CUIT NO CARGADO")</f>
        <v>GOOGLE ARGENTINA S.R.L.</v>
      </c>
      <c r="H11" s="95">
        <v>152788.54999999999</v>
      </c>
      <c r="I11" s="86">
        <f>IF(compras_mes4[[#This Row],[NETO GRAVADO]]="","",compras_mes4[[#This Row],[NETO GRAVADO]]*0.21)</f>
        <v>32085.595499999996</v>
      </c>
      <c r="J11" s="86"/>
      <c r="K11" s="86"/>
      <c r="L11" s="86">
        <v>4583.66</v>
      </c>
      <c r="M11" s="86"/>
      <c r="N11" s="86">
        <v>2291.83</v>
      </c>
      <c r="O11" s="86"/>
      <c r="P11" s="87">
        <f>SUM(compras_mes4[[#This Row],[NETO GRAVADO]:[Otros / No Grav.]])</f>
        <v>191749.63549999997</v>
      </c>
      <c r="Q11" s="88" t="str">
        <f>IFERROR(IF(compras_mes4[[#This Row],[CUIT]]="","-",VLOOKUP(compras_mes4[[#This Row],[CUIT]],Lista_CUIT[#All],3,0)),"CUIT NO CARGADO")</f>
        <v>Gastos Publicidad y Propaganda</v>
      </c>
      <c r="R11" s="88">
        <f>IFERROR(IF(compras_mes4[[#This Row],[CUIT]]="","-",VLOOKUP(compras_mes4[[#This Row],[CUIT]],Lista_CUIT[#All],4,0)),"CUIT NO CARGADO")</f>
        <v>0</v>
      </c>
    </row>
    <row r="12" spans="1:26" x14ac:dyDescent="0.3">
      <c r="B12" s="242">
        <v>45412</v>
      </c>
      <c r="C12" s="41">
        <v>1</v>
      </c>
      <c r="D12" s="244">
        <v>11</v>
      </c>
      <c r="E12" s="245">
        <v>969884</v>
      </c>
      <c r="F12" s="246">
        <v>33709585229</v>
      </c>
      <c r="G12" s="247" t="str">
        <f>IFERROR(IF(compras_mes4[[#This Row],[CUIT]]="","-",VLOOKUP(compras_mes4[[#This Row],[CUIT]],Lista_CUIT[#All],2,0)),"CUIT NO CARGADO")</f>
        <v>GOOGLE ARGENTINA S.R.L.</v>
      </c>
      <c r="H12" s="248">
        <v>32999.279999999999</v>
      </c>
      <c r="I12" s="250">
        <f>IF(compras_mes4[[#This Row],[NETO GRAVADO]]="","",compras_mes4[[#This Row],[NETO GRAVADO]]*0.21)</f>
        <v>6929.8487999999998</v>
      </c>
      <c r="J12" s="250"/>
      <c r="K12" s="250"/>
      <c r="L12" s="250">
        <v>989.98</v>
      </c>
      <c r="M12" s="250"/>
      <c r="N12" s="250">
        <v>494.99</v>
      </c>
      <c r="O12" s="250"/>
      <c r="P12" s="252">
        <f>SUM(compras_mes4[[#This Row],[NETO GRAVADO]:[Otros / No Grav.]])</f>
        <v>41414.0988</v>
      </c>
      <c r="Q12" s="251" t="str">
        <f>IFERROR(IF(compras_mes4[[#This Row],[CUIT]]="","-",VLOOKUP(compras_mes4[[#This Row],[CUIT]],Lista_CUIT[#All],3,0)),"CUIT NO CARGADO")</f>
        <v>Gastos Publicidad y Propaganda</v>
      </c>
      <c r="R12" s="251">
        <f>IFERROR(IF(compras_mes4[[#This Row],[CUIT]]="","-",VLOOKUP(compras_mes4[[#This Row],[CUIT]],Lista_CUIT[#All],4,0)),"CUIT NO CARGADO")</f>
        <v>0</v>
      </c>
    </row>
    <row r="13" spans="1:26" x14ac:dyDescent="0.3">
      <c r="B13" s="242">
        <v>45412</v>
      </c>
      <c r="C13" s="41">
        <v>1</v>
      </c>
      <c r="D13" s="244">
        <v>11</v>
      </c>
      <c r="E13" s="245">
        <v>971340</v>
      </c>
      <c r="F13" s="246">
        <v>33709585229</v>
      </c>
      <c r="G13" s="247" t="str">
        <f>IFERROR(IF(compras_mes4[[#This Row],[CUIT]]="","-",VLOOKUP(compras_mes4[[#This Row],[CUIT]],Lista_CUIT[#All],2,0)),"CUIT NO CARGADO")</f>
        <v>GOOGLE ARGENTINA S.R.L.</v>
      </c>
      <c r="H13" s="248">
        <v>597227.94999999995</v>
      </c>
      <c r="I13" s="250">
        <f>IF(compras_mes4[[#This Row],[NETO GRAVADO]]="","",compras_mes4[[#This Row],[NETO GRAVADO]]*0.21)</f>
        <v>125417.86949999999</v>
      </c>
      <c r="J13" s="250"/>
      <c r="K13" s="250"/>
      <c r="L13" s="250">
        <v>17916.84</v>
      </c>
      <c r="M13" s="250"/>
      <c r="N13" s="250">
        <v>8958.42</v>
      </c>
      <c r="O13" s="250"/>
      <c r="P13" s="252">
        <f>SUM(compras_mes4[[#This Row],[NETO GRAVADO]:[Otros / No Grav.]])</f>
        <v>749521.07949999999</v>
      </c>
      <c r="Q13" s="251" t="str">
        <f>IFERROR(IF(compras_mes4[[#This Row],[CUIT]]="","-",VLOOKUP(compras_mes4[[#This Row],[CUIT]],Lista_CUIT[#All],3,0)),"CUIT NO CARGADO")</f>
        <v>Gastos Publicidad y Propaganda</v>
      </c>
      <c r="R13" s="251">
        <f>IFERROR(IF(compras_mes4[[#This Row],[CUIT]]="","-",VLOOKUP(compras_mes4[[#This Row],[CUIT]],Lista_CUIT[#All],4,0)),"CUIT NO CARGADO")</f>
        <v>0</v>
      </c>
    </row>
    <row r="14" spans="1:26" x14ac:dyDescent="0.3">
      <c r="B14" s="242">
        <v>45412</v>
      </c>
      <c r="C14" s="41">
        <v>1</v>
      </c>
      <c r="D14" s="244">
        <v>11</v>
      </c>
      <c r="E14" s="245">
        <v>977142</v>
      </c>
      <c r="F14" s="246">
        <v>33709585229</v>
      </c>
      <c r="G14" s="247" t="str">
        <f>IFERROR(IF(compras_mes4[[#This Row],[CUIT]]="","-",VLOOKUP(compras_mes4[[#This Row],[CUIT]],Lista_CUIT[#All],2,0)),"CUIT NO CARGADO")</f>
        <v>GOOGLE ARGENTINA S.R.L.</v>
      </c>
      <c r="H14" s="248">
        <v>52051.21</v>
      </c>
      <c r="I14" s="250">
        <f>IF(compras_mes4[[#This Row],[NETO GRAVADO]]="","",compras_mes4[[#This Row],[NETO GRAVADO]]*0.21)</f>
        <v>10930.7541</v>
      </c>
      <c r="J14" s="250"/>
      <c r="K14" s="250"/>
      <c r="L14" s="250">
        <v>1561.54</v>
      </c>
      <c r="M14" s="250"/>
      <c r="N14" s="250">
        <v>780.77</v>
      </c>
      <c r="O14" s="250"/>
      <c r="P14" s="252">
        <f>SUM(compras_mes4[[#This Row],[NETO GRAVADO]:[Otros / No Grav.]])</f>
        <v>65324.274099999995</v>
      </c>
      <c r="Q14" s="251" t="str">
        <f>IFERROR(IF(compras_mes4[[#This Row],[CUIT]]="","-",VLOOKUP(compras_mes4[[#This Row],[CUIT]],Lista_CUIT[#All],3,0)),"CUIT NO CARGADO")</f>
        <v>Gastos Publicidad y Propaganda</v>
      </c>
      <c r="R14" s="251">
        <f>IFERROR(IF(compras_mes4[[#This Row],[CUIT]]="","-",VLOOKUP(compras_mes4[[#This Row],[CUIT]],Lista_CUIT[#All],4,0)),"CUIT NO CARGADO")</f>
        <v>0</v>
      </c>
    </row>
    <row r="15" spans="1:26" x14ac:dyDescent="0.3">
      <c r="B15" s="89">
        <v>45412</v>
      </c>
      <c r="C15" s="41">
        <v>1</v>
      </c>
      <c r="D15" s="91">
        <v>11</v>
      </c>
      <c r="E15" s="92">
        <v>977820</v>
      </c>
      <c r="F15" s="93">
        <v>33709585229</v>
      </c>
      <c r="G15" s="94" t="str">
        <f>IFERROR(IF(compras_mes4[[#This Row],[CUIT]]="","-",VLOOKUP(compras_mes4[[#This Row],[CUIT]],Lista_CUIT[#All],2,0)),"CUIT NO CARGADO")</f>
        <v>GOOGLE ARGENTINA S.R.L.</v>
      </c>
      <c r="H15" s="95">
        <v>3153.56</v>
      </c>
      <c r="I15" s="86">
        <f>IF(compras_mes4[[#This Row],[NETO GRAVADO]]="","",compras_mes4[[#This Row],[NETO GRAVADO]]*0.21)</f>
        <v>662.24759999999992</v>
      </c>
      <c r="J15" s="86"/>
      <c r="K15" s="86"/>
      <c r="L15" s="86">
        <v>94.61</v>
      </c>
      <c r="M15" s="86"/>
      <c r="N15" s="86">
        <v>47.3</v>
      </c>
      <c r="O15" s="86"/>
      <c r="P15" s="87">
        <f>SUM(compras_mes4[[#This Row],[NETO GRAVADO]:[Otros / No Grav.]])</f>
        <v>3957.7176000000004</v>
      </c>
      <c r="Q15" s="88" t="str">
        <f>IFERROR(IF(compras_mes4[[#This Row],[CUIT]]="","-",VLOOKUP(compras_mes4[[#This Row],[CUIT]],Lista_CUIT[#All],3,0)),"CUIT NO CARGADO")</f>
        <v>Gastos Publicidad y Propaganda</v>
      </c>
      <c r="R15" s="88">
        <f>IFERROR(IF(compras_mes4[[#This Row],[CUIT]]="","-",VLOOKUP(compras_mes4[[#This Row],[CUIT]],Lista_CUIT[#All],4,0)),"CUIT NO CARGADO")</f>
        <v>0</v>
      </c>
    </row>
    <row r="16" spans="1:26" x14ac:dyDescent="0.3">
      <c r="B16" s="40">
        <v>45412</v>
      </c>
      <c r="C16" s="41">
        <v>1</v>
      </c>
      <c r="D16" s="42">
        <v>11</v>
      </c>
      <c r="E16" s="43">
        <v>978859</v>
      </c>
      <c r="F16" s="44">
        <v>33709585229</v>
      </c>
      <c r="G16" s="45" t="str">
        <f>IFERROR(IF(compras_mes4[[#This Row],[CUIT]]="","-",VLOOKUP(compras_mes4[[#This Row],[CUIT]],Lista_CUIT[#All],2,0)),"CUIT NO CARGADO")</f>
        <v>GOOGLE ARGENTINA S.R.L.</v>
      </c>
      <c r="H16" s="46">
        <v>12713.65</v>
      </c>
      <c r="I16" s="85">
        <f>IF(compras_mes4[[#This Row],[NETO GRAVADO]]="","",compras_mes4[[#This Row],[NETO GRAVADO]]*0.21)</f>
        <v>2669.8664999999996</v>
      </c>
      <c r="J16" s="85"/>
      <c r="K16" s="85"/>
      <c r="L16" s="85">
        <v>381.41</v>
      </c>
      <c r="M16" s="85"/>
      <c r="N16" s="85">
        <v>190.7</v>
      </c>
      <c r="O16" s="85"/>
      <c r="P16" s="48">
        <f>SUM(compras_mes4[[#This Row],[NETO GRAVADO]:[Otros / No Grav.]])</f>
        <v>15955.6265</v>
      </c>
      <c r="Q16" s="49" t="str">
        <f>IFERROR(IF(compras_mes4[[#This Row],[CUIT]]="","-",VLOOKUP(compras_mes4[[#This Row],[CUIT]],Lista_CUIT[#All],3,0)),"CUIT NO CARGADO")</f>
        <v>Gastos Publicidad y Propaganda</v>
      </c>
      <c r="R16" s="49">
        <f>IFERROR(IF(compras_mes4[[#This Row],[CUIT]]="","-",VLOOKUP(compras_mes4[[#This Row],[CUIT]],Lista_CUIT[#All],4,0)),"CUIT NO CARGADO")</f>
        <v>0</v>
      </c>
    </row>
    <row r="17" spans="2:18" x14ac:dyDescent="0.3">
      <c r="B17" s="40">
        <v>45412</v>
      </c>
      <c r="C17" s="41">
        <v>1</v>
      </c>
      <c r="D17" s="42">
        <v>11</v>
      </c>
      <c r="E17" s="43">
        <v>978488</v>
      </c>
      <c r="F17" s="44">
        <v>33709585229</v>
      </c>
      <c r="G17" s="45" t="str">
        <f>IFERROR(IF(compras_mes4[[#This Row],[CUIT]]="","-",VLOOKUP(compras_mes4[[#This Row],[CUIT]],Lista_CUIT[#All],2,0)),"CUIT NO CARGADO")</f>
        <v>GOOGLE ARGENTINA S.R.L.</v>
      </c>
      <c r="H17" s="46">
        <v>50460.06</v>
      </c>
      <c r="I17" s="85">
        <f>IF(compras_mes4[[#This Row],[NETO GRAVADO]]="","",compras_mes4[[#This Row],[NETO GRAVADO]]*0.21)</f>
        <v>10596.612599999999</v>
      </c>
      <c r="J17" s="85"/>
      <c r="K17" s="85"/>
      <c r="L17" s="85">
        <v>1513.8</v>
      </c>
      <c r="M17" s="85"/>
      <c r="N17" s="85">
        <v>756.9</v>
      </c>
      <c r="O17" s="85"/>
      <c r="P17" s="48">
        <f>SUM(compras_mes4[[#This Row],[NETO GRAVADO]:[Otros / No Grav.]])</f>
        <v>63327.372600000002</v>
      </c>
      <c r="Q17" s="49" t="str">
        <f>IFERROR(IF(compras_mes4[[#This Row],[CUIT]]="","-",VLOOKUP(compras_mes4[[#This Row],[CUIT]],Lista_CUIT[#All],3,0)),"CUIT NO CARGADO")</f>
        <v>Gastos Publicidad y Propaganda</v>
      </c>
      <c r="R17" s="49">
        <f>IFERROR(IF(compras_mes4[[#This Row],[CUIT]]="","-",VLOOKUP(compras_mes4[[#This Row],[CUIT]],Lista_CUIT[#All],4,0)),"CUIT NO CARGADO")</f>
        <v>0</v>
      </c>
    </row>
    <row r="18" spans="2:18" s="56" customFormat="1" ht="18.600000000000001" customHeight="1" x14ac:dyDescent="0.3">
      <c r="B18" s="89">
        <v>45412</v>
      </c>
      <c r="C18" s="90">
        <v>3</v>
      </c>
      <c r="D18" s="91">
        <v>11</v>
      </c>
      <c r="E18" s="92">
        <v>713776</v>
      </c>
      <c r="F18" s="44">
        <v>33709585229</v>
      </c>
      <c r="G18" s="94" t="str">
        <f>IFERROR(IF(compras_mes4[[#This Row],[CUIT]]="","-",VLOOKUP(compras_mes4[[#This Row],[CUIT]],Lista_CUIT[#All],2,0)),"CUIT NO CARGADO")</f>
        <v>GOOGLE ARGENTINA S.R.L.</v>
      </c>
      <c r="H18" s="95"/>
      <c r="I18" s="86" t="str">
        <f>IF(compras_mes4[[#This Row],[NETO GRAVADO]]="","",compras_mes4[[#This Row],[NETO GRAVADO]]*0.21)</f>
        <v/>
      </c>
      <c r="J18" s="86"/>
      <c r="K18" s="86"/>
      <c r="L18" s="86"/>
      <c r="M18" s="86"/>
      <c r="N18" s="86"/>
      <c r="O18" s="86"/>
      <c r="P18" s="87">
        <f>SUM(compras_mes4[[#This Row],[NETO GRAVADO]:[Otros / No Grav.]])</f>
        <v>0</v>
      </c>
      <c r="Q18" s="88" t="str">
        <f>IFERROR(IF(compras_mes4[[#This Row],[CUIT]]="","-",VLOOKUP(compras_mes4[[#This Row],[CUIT]],Lista_CUIT[#All],3,0)),"CUIT NO CARGADO")</f>
        <v>Gastos Publicidad y Propaganda</v>
      </c>
      <c r="R18" s="88">
        <f>IFERROR(IF(compras_mes4[[#This Row],[CUIT]]="","-",VLOOKUP(compras_mes4[[#This Row],[CUIT]],Lista_CUIT[#All],4,0)),"CUIT NO CARGADO")</f>
        <v>0</v>
      </c>
    </row>
    <row r="19" spans="2:18" x14ac:dyDescent="0.3">
      <c r="B19" s="96" t="s">
        <v>91</v>
      </c>
      <c r="C19" s="96"/>
      <c r="D19" s="96"/>
      <c r="E19" s="96"/>
      <c r="F19" s="96"/>
      <c r="G19" s="97"/>
      <c r="H19" s="98">
        <f>SUBTOTAL(109,compras_mes4[NETO GRAVADO])</f>
        <v>1085466.42</v>
      </c>
      <c r="I19" s="98">
        <f>SUBTOTAL(109,compras_mes4[IVA 21 %])</f>
        <v>227947.94819999996</v>
      </c>
      <c r="J19" s="98">
        <f>SUBTOTAL(109,compras_mes4[IVA 27%])</f>
        <v>0</v>
      </c>
      <c r="K19" s="98">
        <f>SUBTOTAL(109,compras_mes4[IVA 10,5%])</f>
        <v>0</v>
      </c>
      <c r="L19" s="98">
        <f>SUBTOTAL(109,compras_mes4[PERC. IVA])</f>
        <v>32564</v>
      </c>
      <c r="M19" s="98">
        <f>SUBTOTAL(109,compras_mes4[PERC IIBB 
BS AS])</f>
        <v>0</v>
      </c>
      <c r="N19" s="98">
        <f>SUBTOTAL(109,compras_mes4[PERC. IIBB CABA])</f>
        <v>16281.99</v>
      </c>
      <c r="O19" s="98">
        <f>SUBTOTAL(109,compras_mes4[Otros / No Grav.])</f>
        <v>0</v>
      </c>
      <c r="P19" s="98">
        <f>SUBTOTAL(109,compras_mes4[TOTAL])</f>
        <v>1362260.3582000001</v>
      </c>
      <c r="Q19" s="96"/>
      <c r="R19" s="96"/>
    </row>
    <row r="20" spans="2:18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  <c r="M20" s="47"/>
      <c r="N20" s="47"/>
      <c r="O20" s="47"/>
      <c r="P20" s="48"/>
      <c r="Q20" s="49"/>
      <c r="R20" s="49"/>
    </row>
    <row r="21" spans="2:18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2:18" ht="14.4" customHeight="1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M22" s="47"/>
      <c r="N22" s="47"/>
      <c r="O22" s="47"/>
      <c r="P22" s="48"/>
      <c r="Q22" s="49"/>
      <c r="R22" s="49"/>
    </row>
    <row r="23" spans="2:18" ht="22.95" customHeight="1" x14ac:dyDescent="0.3">
      <c r="B23" s="40"/>
      <c r="C23" s="41"/>
      <c r="D23" s="42"/>
      <c r="E23" s="43"/>
      <c r="F23" s="44"/>
      <c r="G23" s="45"/>
      <c r="H23" s="46"/>
      <c r="I23" s="47"/>
      <c r="J23" s="47"/>
      <c r="K23" s="47"/>
      <c r="L23" s="47"/>
    </row>
    <row r="24" spans="2:18" ht="25.95" customHeight="1" x14ac:dyDescent="0.3">
      <c r="D24" s="362" t="s">
        <v>15</v>
      </c>
      <c r="E24" s="362"/>
      <c r="F24" s="362"/>
      <c r="G24" s="362"/>
      <c r="H24" s="362"/>
      <c r="I24" s="362"/>
      <c r="J24" s="362"/>
      <c r="K24" s="362"/>
      <c r="L24" s="362"/>
    </row>
    <row r="25" spans="2:18" ht="14.4" customHeight="1" x14ac:dyDescent="0.3">
      <c r="D25" s="73" t="s">
        <v>0</v>
      </c>
      <c r="E25" s="74" t="s">
        <v>26</v>
      </c>
      <c r="F25" s="74" t="s">
        <v>16</v>
      </c>
      <c r="G25" s="74" t="s">
        <v>5</v>
      </c>
      <c r="H25" s="74" t="s">
        <v>17</v>
      </c>
      <c r="I25" s="74" t="s">
        <v>7</v>
      </c>
      <c r="J25" s="75" t="s">
        <v>18</v>
      </c>
      <c r="K25" s="75" t="s">
        <v>19</v>
      </c>
      <c r="L25" s="76" t="s">
        <v>20</v>
      </c>
    </row>
    <row r="26" spans="2:18" ht="14.4" customHeight="1" x14ac:dyDescent="0.3">
      <c r="D26" s="50"/>
      <c r="E26" s="79"/>
      <c r="F26" s="80"/>
      <c r="G26" s="81"/>
      <c r="H26" s="81"/>
      <c r="I26" s="81"/>
      <c r="J26" s="81"/>
      <c r="K26" s="81"/>
      <c r="L26" s="81"/>
    </row>
    <row r="27" spans="2:18" ht="15" customHeight="1" x14ac:dyDescent="0.3">
      <c r="D27" s="50"/>
      <c r="E27" s="79"/>
      <c r="F27" s="80"/>
      <c r="G27" s="81"/>
      <c r="H27" s="81"/>
      <c r="I27" s="81"/>
      <c r="J27" s="81"/>
      <c r="K27" s="81"/>
      <c r="L27" s="81"/>
    </row>
    <row r="28" spans="2:18" ht="15" customHeight="1" x14ac:dyDescent="0.3">
      <c r="D28" s="50"/>
      <c r="E28" s="79"/>
      <c r="F28" s="80"/>
      <c r="G28" s="81"/>
      <c r="H28" s="81"/>
      <c r="I28" s="81"/>
      <c r="J28" s="81"/>
      <c r="K28" s="81"/>
      <c r="L28" s="81"/>
    </row>
    <row r="29" spans="2:18" ht="15" customHeight="1" x14ac:dyDescent="0.3">
      <c r="D29" s="82" t="s">
        <v>91</v>
      </c>
      <c r="E29" s="80"/>
      <c r="F29" s="80"/>
      <c r="G29" s="83">
        <f>SUBTOTAL(109,extracto_banco_mes4[NETO])</f>
        <v>0</v>
      </c>
      <c r="H29" s="83">
        <f>SUBTOTAL(109,extracto_banco_mes4[IVA 21%])</f>
        <v>0</v>
      </c>
      <c r="I29" s="83">
        <f>SUBTOTAL(109,extracto_banco_mes4[IVA 10,5%])</f>
        <v>0</v>
      </c>
      <c r="J29" s="83">
        <f>SUBTOTAL(109,extracto_banco_mes4[RET IIBB CABA])</f>
        <v>0</v>
      </c>
      <c r="K29" s="83">
        <f>SUBTOTAL(109,extracto_banco_mes4[PERC IVA])</f>
        <v>0</v>
      </c>
      <c r="L29" s="83">
        <f>SUBTOTAL(109,extracto_banco_mes4[PERC IIBB])</f>
        <v>0</v>
      </c>
    </row>
    <row r="30" spans="2:18" ht="15" customHeight="1" x14ac:dyDescent="0.3"/>
    <row r="31" spans="2:18" ht="15" customHeight="1" x14ac:dyDescent="0.3"/>
    <row r="32" spans="2:18" ht="23.4" customHeight="1" x14ac:dyDescent="0.3"/>
    <row r="33" spans="2:18" ht="38.4" customHeight="1" x14ac:dyDescent="0.3">
      <c r="D33" s="362" t="s">
        <v>25</v>
      </c>
      <c r="E33" s="362"/>
      <c r="F33" s="362"/>
      <c r="G33" s="362"/>
      <c r="H33" s="362"/>
      <c r="I33" s="362"/>
      <c r="J33" s="362"/>
      <c r="K33" s="362"/>
    </row>
    <row r="34" spans="2:18" x14ac:dyDescent="0.3">
      <c r="D34" s="51" t="s">
        <v>0</v>
      </c>
      <c r="E34" s="51" t="s">
        <v>2</v>
      </c>
      <c r="F34" s="51" t="s">
        <v>74</v>
      </c>
      <c r="G34" s="51" t="s">
        <v>3</v>
      </c>
      <c r="H34" s="51" t="s">
        <v>4</v>
      </c>
      <c r="I34" s="52" t="s">
        <v>10</v>
      </c>
      <c r="J34" s="51" t="s">
        <v>13</v>
      </c>
      <c r="K34" s="51" t="s">
        <v>38</v>
      </c>
    </row>
    <row r="35" spans="2:18" x14ac:dyDescent="0.3">
      <c r="D35" s="50">
        <v>45385</v>
      </c>
      <c r="E35" s="42">
        <v>2</v>
      </c>
      <c r="F35" s="43">
        <v>105</v>
      </c>
      <c r="G35" s="44">
        <v>27341104845</v>
      </c>
      <c r="H35" s="53" t="str">
        <f>IFERROR(IF(factura_c_mes4[[#This Row],[CUIT]]="","-",VLOOKUP(factura_c_mes4[[#This Row],[CUIT]],Lista_CUIT[#All],2,0)),"CUIT NO CARGADO")</f>
        <v>BOSSI MARIA PAULA</v>
      </c>
      <c r="I35" s="81">
        <v>94668</v>
      </c>
      <c r="J35" s="54" t="str">
        <f>IFERROR(IF(factura_c_mes4[[#This Row],[CUIT]]="","-",VLOOKUP(factura_c_mes4[[#This Row],[CUIT]],Lista_CUIT[#All],3,0)),"CUIT NO CARGADO")</f>
        <v>HON. ADMINISTRATIVOS</v>
      </c>
      <c r="K35" s="54">
        <f>IFERROR(IF(factura_c_mes4[[#This Row],[CUIT]]="","-",VLOOKUP(factura_c_mes4[[#This Row],[CUIT]],Lista_CUIT[#All],4,0)),"CUIT NO CARGADO")</f>
        <v>0</v>
      </c>
    </row>
    <row r="36" spans="2:18" x14ac:dyDescent="0.3">
      <c r="D36" s="50">
        <v>45385</v>
      </c>
      <c r="E36" s="42">
        <v>2</v>
      </c>
      <c r="F36" s="43">
        <v>751</v>
      </c>
      <c r="G36" s="44">
        <v>20400104094</v>
      </c>
      <c r="H36" s="53" t="str">
        <f>IFERROR(IF(factura_c_mes4[[#This Row],[CUIT]]="","-",VLOOKUP(factura_c_mes4[[#This Row],[CUIT]],Lista_CUIT[#All],2,0)),"CUIT NO CARGADO")</f>
        <v>BOTINDARI FEDERICO DANIEL</v>
      </c>
      <c r="I36" s="81">
        <v>50000</v>
      </c>
      <c r="J36" s="54" t="str">
        <f>IFERROR(IF(factura_c_mes4[[#This Row],[CUIT]]="","-",VLOOKUP(factura_c_mes4[[#This Row],[CUIT]],Lista_CUIT[#All],3,0)),"CUIT NO CARGADO")</f>
        <v>HONORARIOS CONTABLE</v>
      </c>
      <c r="K36" s="54">
        <f>IFERROR(IF(factura_c_mes4[[#This Row],[CUIT]]="","-",VLOOKUP(factura_c_mes4[[#This Row],[CUIT]],Lista_CUIT[#All],4,0)),"CUIT NO CARGADO")</f>
        <v>0</v>
      </c>
    </row>
    <row r="37" spans="2:18" x14ac:dyDescent="0.3">
      <c r="D37" s="50">
        <v>45387</v>
      </c>
      <c r="E37" s="42">
        <v>2</v>
      </c>
      <c r="F37" s="43">
        <v>41</v>
      </c>
      <c r="G37" s="44">
        <v>23380288079</v>
      </c>
      <c r="H37" s="53" t="str">
        <f>IFERROR(IF(factura_c_mes4[[#This Row],[CUIT]]="","-",VLOOKUP(factura_c_mes4[[#This Row],[CUIT]],Lista_CUIT[#All],2,0)),"CUIT NO CARGADO")</f>
        <v>CASTROMAN AGUSTIN</v>
      </c>
      <c r="I37" s="81">
        <v>130811.8</v>
      </c>
      <c r="J37" s="54" t="str">
        <f>IFERROR(IF(factura_c_mes4[[#This Row],[CUIT]]="","-",VLOOKUP(factura_c_mes4[[#This Row],[CUIT]],Lista_CUIT[#All],3,0)),"CUIT NO CARGADO")</f>
        <v>Diseño Grafico</v>
      </c>
      <c r="K37" s="54">
        <f>IFERROR(IF(factura_c_mes4[[#This Row],[CUIT]]="","-",VLOOKUP(factura_c_mes4[[#This Row],[CUIT]],Lista_CUIT[#All],4,0)),"CUIT NO CARGADO")</f>
        <v>0</v>
      </c>
    </row>
    <row r="38" spans="2:18" x14ac:dyDescent="0.3">
      <c r="D38" s="50">
        <v>45412</v>
      </c>
      <c r="E38" s="42">
        <v>1</v>
      </c>
      <c r="F38" s="43">
        <v>301</v>
      </c>
      <c r="G38" s="44">
        <v>27386311000</v>
      </c>
      <c r="H38" s="53" t="str">
        <f>IFERROR(IF(factura_c_mes4[[#This Row],[CUIT]]="","-",VLOOKUP(factura_c_mes4[[#This Row],[CUIT]],Lista_CUIT[#All],2,0)),"CUIT NO CARGADO")</f>
        <v>OPANASIUK MACARENA ANTONELLA</v>
      </c>
      <c r="I38" s="81">
        <v>250000</v>
      </c>
      <c r="J38" s="54" t="str">
        <f>IFERROR(IF(factura_c_mes4[[#This Row],[CUIT]]="","-",VLOOKUP(factura_c_mes4[[#This Row],[CUIT]],Lista_CUIT[#All],3,0)),"CUIT NO CARGADO")</f>
        <v>Honorarios Profesionales</v>
      </c>
      <c r="K38" s="54">
        <f>IFERROR(IF(factura_c_mes4[[#This Row],[CUIT]]="","-",VLOOKUP(factura_c_mes4[[#This Row],[CUIT]],Lista_CUIT[#All],4,0)),"CUIT NO CARGADO")</f>
        <v>0</v>
      </c>
    </row>
    <row r="39" spans="2:18" s="56" customFormat="1" ht="18.600000000000001" customHeight="1" x14ac:dyDescent="0.3">
      <c r="B39"/>
      <c r="C39"/>
      <c r="D39" s="55" t="s">
        <v>91</v>
      </c>
      <c r="E39" s="55"/>
      <c r="F39" s="55"/>
      <c r="G39" s="55"/>
      <c r="H39" s="57"/>
      <c r="I39" s="58">
        <f>SUBTOTAL(109,factura_c_mes4[TOTAL])</f>
        <v>525479.80000000005</v>
      </c>
      <c r="J39" s="55"/>
      <c r="K39" s="55"/>
      <c r="L39"/>
      <c r="M39"/>
      <c r="N39"/>
      <c r="O39"/>
      <c r="P39"/>
      <c r="Q39"/>
      <c r="R39"/>
    </row>
    <row r="40" spans="2:18" x14ac:dyDescent="0.3">
      <c r="B40" s="56"/>
      <c r="C40" s="56"/>
      <c r="L40" s="56"/>
      <c r="M40" s="56"/>
      <c r="N40" s="56"/>
      <c r="O40" s="56"/>
      <c r="P40" s="56"/>
      <c r="Q40" s="56"/>
      <c r="R40" s="56"/>
    </row>
    <row r="45" spans="2:18" ht="25.8" x14ac:dyDescent="0.3">
      <c r="B45" s="363" t="s">
        <v>29</v>
      </c>
      <c r="C45" s="363"/>
      <c r="D45" s="363"/>
      <c r="E45" s="363"/>
      <c r="F45" s="363"/>
      <c r="G45" s="363"/>
      <c r="H45" s="363"/>
      <c r="I45" s="363"/>
      <c r="J45" s="363"/>
      <c r="K45" s="364">
        <f>N1</f>
        <v>45383</v>
      </c>
      <c r="L45" s="364"/>
      <c r="M45" s="364"/>
    </row>
    <row r="46" spans="2:18" ht="22.5" customHeight="1" x14ac:dyDescent="0.3"/>
    <row r="47" spans="2:18" ht="21" x14ac:dyDescent="0.3">
      <c r="B47" s="365" t="s">
        <v>30</v>
      </c>
      <c r="C47" s="365"/>
    </row>
    <row r="48" spans="2:18" ht="18" customHeight="1" x14ac:dyDescent="0.3">
      <c r="B48" s="60" t="s">
        <v>0</v>
      </c>
      <c r="C48" s="61" t="s">
        <v>1</v>
      </c>
      <c r="D48" s="61" t="s">
        <v>21</v>
      </c>
      <c r="E48" s="61" t="s">
        <v>22</v>
      </c>
      <c r="F48" s="61" t="s">
        <v>3</v>
      </c>
      <c r="G48" s="61" t="s">
        <v>4</v>
      </c>
      <c r="H48" s="61" t="s">
        <v>23</v>
      </c>
      <c r="I48" s="61" t="s">
        <v>17</v>
      </c>
      <c r="J48" s="61" t="s">
        <v>7</v>
      </c>
      <c r="K48" s="61" t="s">
        <v>24</v>
      </c>
      <c r="L48" s="61" t="s">
        <v>10</v>
      </c>
      <c r="M48" s="62" t="s">
        <v>38</v>
      </c>
    </row>
    <row r="49" spans="2:13" x14ac:dyDescent="0.3">
      <c r="B49" s="40">
        <v>45385</v>
      </c>
      <c r="C49" s="41">
        <v>1</v>
      </c>
      <c r="D49" s="42">
        <v>2</v>
      </c>
      <c r="E49" s="43">
        <v>7</v>
      </c>
      <c r="F49" s="44">
        <v>20279415656</v>
      </c>
      <c r="G49" s="99" t="str">
        <f>IFERROR(IF(venta_a_mes4[[#This Row],[CUIT]]="","-",VLOOKUP(venta_a_mes4[[#This Row],[CUIT]],Lista_CUIT[#All],2,0)),"CUIT NO CARGADO")</f>
        <v>CECCO ALVARO GONZALO</v>
      </c>
      <c r="H49" s="100">
        <v>75371.899999999994</v>
      </c>
      <c r="I49" s="101">
        <f>venta_a_mes4[[#This Row],[IMPORTE NETO]]*0.21</f>
        <v>15828.098999999998</v>
      </c>
      <c r="J49" s="65"/>
      <c r="K49" s="65"/>
      <c r="L49" s="65">
        <f>SUM(venta_a_mes4[[#This Row],[IMPORTE NETO]:[EXENTO]])</f>
        <v>91199.998999999996</v>
      </c>
      <c r="M49" s="59"/>
    </row>
    <row r="50" spans="2:13" x14ac:dyDescent="0.3">
      <c r="B50" s="40">
        <v>45385</v>
      </c>
      <c r="C50" s="41">
        <v>1</v>
      </c>
      <c r="D50" s="42">
        <v>1</v>
      </c>
      <c r="E50" s="43">
        <v>158</v>
      </c>
      <c r="F50" s="44">
        <v>30716549107</v>
      </c>
      <c r="G50" s="99" t="str">
        <f>IFERROR(IF(venta_a_mes4[[#This Row],[CUIT]]="","-",VLOOKUP(venta_a_mes4[[#This Row],[CUIT]],Lista_CUIT[#All],2,0)),"CUIT NO CARGADO")</f>
        <v>LAMATEC S.R.L.</v>
      </c>
      <c r="H50" s="100">
        <v>108264.48</v>
      </c>
      <c r="I50" s="101">
        <f>venta_a_mes4[[#This Row],[IMPORTE NETO]]*0.21</f>
        <v>22735.540799999999</v>
      </c>
      <c r="J50" s="65"/>
      <c r="K50" s="65"/>
      <c r="L50" s="65">
        <f>SUM(venta_a_mes4[[#This Row],[IMPORTE NETO]:[EXENTO]])</f>
        <v>131000.0208</v>
      </c>
      <c r="M50" s="59"/>
    </row>
    <row r="51" spans="2:13" x14ac:dyDescent="0.3">
      <c r="B51" s="223">
        <v>45385</v>
      </c>
      <c r="C51" s="41">
        <v>1</v>
      </c>
      <c r="D51" s="225">
        <v>1</v>
      </c>
      <c r="E51" s="226">
        <v>159</v>
      </c>
      <c r="F51" s="227">
        <v>20369499956</v>
      </c>
      <c r="G51" s="228" t="str">
        <f>IFERROR(IF(venta_a_mes4[[#This Row],[CUIT]]="","-",VLOOKUP(venta_a_mes4[[#This Row],[CUIT]],Lista_CUIT[#All],2,0)),"CUIT NO CARGADO")</f>
        <v>LAMARI FRANCO AGUSTIN</v>
      </c>
      <c r="H51" s="229">
        <v>108264.48</v>
      </c>
      <c r="I51" s="230">
        <f>venta_a_mes4[[#This Row],[IMPORTE NETO]]*0.21</f>
        <v>22735.540799999999</v>
      </c>
      <c r="J51" s="231"/>
      <c r="K51" s="231"/>
      <c r="L51" s="231">
        <f>SUM(venta_a_mes4[[#This Row],[IMPORTE NETO]:[EXENTO]])</f>
        <v>131000.0208</v>
      </c>
      <c r="M51" s="232"/>
    </row>
    <row r="52" spans="2:13" x14ac:dyDescent="0.3">
      <c r="B52" s="223">
        <v>45385</v>
      </c>
      <c r="C52" s="41">
        <v>1</v>
      </c>
      <c r="D52" s="225">
        <v>1</v>
      </c>
      <c r="E52" s="226">
        <v>160</v>
      </c>
      <c r="F52" s="227">
        <v>30716914077</v>
      </c>
      <c r="G52" s="228" t="str">
        <f>IFERROR(IF(venta_a_mes4[[#This Row],[CUIT]]="","-",VLOOKUP(venta_a_mes4[[#This Row],[CUIT]],Lista_CUIT[#All],2,0)),"CUIT NO CARGADO")</f>
        <v>BACANES</v>
      </c>
      <c r="H52" s="229">
        <v>108264.48</v>
      </c>
      <c r="I52" s="230">
        <f>venta_a_mes4[[#This Row],[IMPORTE NETO]]*0.21</f>
        <v>22735.540799999999</v>
      </c>
      <c r="J52" s="231"/>
      <c r="K52" s="231"/>
      <c r="L52" s="231">
        <f>SUM(venta_a_mes4[[#This Row],[IMPORTE NETO]:[EXENTO]])</f>
        <v>131000.0208</v>
      </c>
      <c r="M52" s="232"/>
    </row>
    <row r="53" spans="2:13" x14ac:dyDescent="0.3">
      <c r="B53" s="223">
        <v>45385</v>
      </c>
      <c r="C53" s="41">
        <v>1</v>
      </c>
      <c r="D53" s="225">
        <v>1</v>
      </c>
      <c r="E53" s="226">
        <v>161</v>
      </c>
      <c r="F53" s="227">
        <v>30717477681</v>
      </c>
      <c r="G53" s="228" t="str">
        <f>IFERROR(IF(venta_a_mes4[[#This Row],[CUIT]]="","-",VLOOKUP(venta_a_mes4[[#This Row],[CUIT]],Lista_CUIT[#All],2,0)),"CUIT NO CARGADO")</f>
        <v>GRUPO FAM SA</v>
      </c>
      <c r="H53" s="229">
        <v>61157.05</v>
      </c>
      <c r="I53" s="230">
        <f>venta_a_mes4[[#This Row],[IMPORTE NETO]]*0.21</f>
        <v>12842.9805</v>
      </c>
      <c r="J53" s="231"/>
      <c r="K53" s="231"/>
      <c r="L53" s="231">
        <f>SUM(venta_a_mes4[[#This Row],[IMPORTE NETO]:[EXENTO]])</f>
        <v>74000.030500000008</v>
      </c>
      <c r="M53" s="232"/>
    </row>
    <row r="54" spans="2:13" x14ac:dyDescent="0.3">
      <c r="B54" s="223">
        <v>45385</v>
      </c>
      <c r="C54" s="41">
        <v>1</v>
      </c>
      <c r="D54" s="225">
        <v>1</v>
      </c>
      <c r="E54" s="226">
        <v>162</v>
      </c>
      <c r="F54" s="227">
        <v>20284212488</v>
      </c>
      <c r="G54" s="228" t="str">
        <f>IFERROR(IF(venta_a_mes4[[#This Row],[CUIT]]="","-",VLOOKUP(venta_a_mes4[[#This Row],[CUIT]],Lista_CUIT[#All],2,0)),"CUIT NO CARGADO")</f>
        <v>BARLETTA MAXIMILIANO SEBASTIAN</v>
      </c>
      <c r="H54" s="229">
        <v>47107.43</v>
      </c>
      <c r="I54" s="230">
        <f>venta_a_mes4[[#This Row],[IMPORTE NETO]]*0.21</f>
        <v>9892.5602999999992</v>
      </c>
      <c r="J54" s="231"/>
      <c r="K54" s="231"/>
      <c r="L54" s="231">
        <f>SUM(venta_a_mes4[[#This Row],[IMPORTE NETO]:[EXENTO]])</f>
        <v>56999.990299999998</v>
      </c>
      <c r="M54" s="232"/>
    </row>
    <row r="55" spans="2:13" x14ac:dyDescent="0.3">
      <c r="B55" s="223">
        <v>45385</v>
      </c>
      <c r="C55" s="41">
        <v>1</v>
      </c>
      <c r="D55" s="225">
        <v>1</v>
      </c>
      <c r="E55" s="226">
        <v>163</v>
      </c>
      <c r="F55" s="227">
        <v>30715380567</v>
      </c>
      <c r="G55" s="228" t="str">
        <f>IFERROR(IF(venta_a_mes4[[#This Row],[CUIT]]="","-",VLOOKUP(venta_a_mes4[[#This Row],[CUIT]],Lista_CUIT[#All],2,0)),"CUIT NO CARGADO")</f>
        <v>SENS GROUP SRL</v>
      </c>
      <c r="H55" s="229">
        <v>196971.43</v>
      </c>
      <c r="I55" s="230">
        <f>venta_a_mes4[[#This Row],[IMPORTE NETO]]*0.21</f>
        <v>41364.0003</v>
      </c>
      <c r="J55" s="231"/>
      <c r="K55" s="231"/>
      <c r="L55" s="231">
        <f>SUM(venta_a_mes4[[#This Row],[IMPORTE NETO]:[EXENTO]])</f>
        <v>238335.43030000001</v>
      </c>
      <c r="M55" s="232"/>
    </row>
    <row r="56" spans="2:13" x14ac:dyDescent="0.3">
      <c r="B56" s="223">
        <v>45385</v>
      </c>
      <c r="C56" s="41">
        <v>1</v>
      </c>
      <c r="D56" s="225">
        <v>1</v>
      </c>
      <c r="E56" s="226">
        <v>164</v>
      </c>
      <c r="F56" s="227">
        <v>30717973166</v>
      </c>
      <c r="G56" s="228" t="str">
        <f>IFERROR(IF(venta_a_mes4[[#This Row],[CUIT]]="","-",VLOOKUP(venta_a_mes4[[#This Row],[CUIT]],Lista_CUIT[#All],2,0)),"CUIT NO CARGADO")</f>
        <v>STM ESTILO S.R.L</v>
      </c>
      <c r="H56" s="229">
        <v>47107.43</v>
      </c>
      <c r="I56" s="230">
        <f>venta_a_mes4[[#This Row],[IMPORTE NETO]]*0.21</f>
        <v>9892.5602999999992</v>
      </c>
      <c r="J56" s="231"/>
      <c r="K56" s="231"/>
      <c r="L56" s="231">
        <f>SUM(venta_a_mes4[[#This Row],[IMPORTE NETO]:[EXENTO]])</f>
        <v>56999.990299999998</v>
      </c>
      <c r="M56" s="232"/>
    </row>
    <row r="57" spans="2:13" x14ac:dyDescent="0.3">
      <c r="B57" s="223">
        <v>45385</v>
      </c>
      <c r="C57" s="41">
        <v>1</v>
      </c>
      <c r="D57" s="225">
        <v>1</v>
      </c>
      <c r="E57" s="226">
        <v>165</v>
      </c>
      <c r="F57" s="227">
        <v>27165844748</v>
      </c>
      <c r="G57" s="228" t="str">
        <f>IFERROR(IF(venta_a_mes4[[#This Row],[CUIT]]="","-",VLOOKUP(venta_a_mes4[[#This Row],[CUIT]],Lista_CUIT[#All],2,0)),"CUIT NO CARGADO")</f>
        <v>DENATALE MARCELA BEATRIZ</v>
      </c>
      <c r="H57" s="229">
        <v>108264.48</v>
      </c>
      <c r="I57" s="230">
        <f>venta_a_mes4[[#This Row],[IMPORTE NETO]]*0.21</f>
        <v>22735.540799999999</v>
      </c>
      <c r="J57" s="231"/>
      <c r="K57" s="231"/>
      <c r="L57" s="231">
        <f>SUM(venta_a_mes4[[#This Row],[IMPORTE NETO]:[EXENTO]])</f>
        <v>131000.0208</v>
      </c>
      <c r="M57" s="232"/>
    </row>
    <row r="58" spans="2:13" x14ac:dyDescent="0.3">
      <c r="B58" s="223">
        <v>45385</v>
      </c>
      <c r="C58" s="41">
        <v>1</v>
      </c>
      <c r="D58" s="225">
        <v>1</v>
      </c>
      <c r="E58" s="226">
        <v>166</v>
      </c>
      <c r="F58" s="227">
        <v>20287305460</v>
      </c>
      <c r="G58" s="228" t="str">
        <f>IFERROR(IF(venta_a_mes4[[#This Row],[CUIT]]="","-",VLOOKUP(venta_a_mes4[[#This Row],[CUIT]],Lista_CUIT[#All],2,0)),"CUIT NO CARGADO")</f>
        <v>LANDI GERONIMO</v>
      </c>
      <c r="H58" s="229">
        <v>47107.43</v>
      </c>
      <c r="I58" s="230">
        <f>venta_a_mes4[[#This Row],[IMPORTE NETO]]*0.21</f>
        <v>9892.5602999999992</v>
      </c>
      <c r="J58" s="231"/>
      <c r="K58" s="231"/>
      <c r="L58" s="231">
        <f>SUM(venta_a_mes4[[#This Row],[IMPORTE NETO]:[EXENTO]])</f>
        <v>56999.990299999998</v>
      </c>
      <c r="M58" s="232"/>
    </row>
    <row r="59" spans="2:13" x14ac:dyDescent="0.3">
      <c r="B59" s="223">
        <v>45385</v>
      </c>
      <c r="C59" s="41">
        <v>1</v>
      </c>
      <c r="D59" s="225">
        <v>1</v>
      </c>
      <c r="E59" s="226">
        <v>167</v>
      </c>
      <c r="F59" s="227">
        <v>20367341808</v>
      </c>
      <c r="G59" s="228" t="str">
        <f>IFERROR(IF(venta_a_mes4[[#This Row],[CUIT]]="","-",VLOOKUP(venta_a_mes4[[#This Row],[CUIT]],Lista_CUIT[#All],2,0)),"CUIT NO CARGADO")</f>
        <v>FEIDAS FERNANDO EMILIANO</v>
      </c>
      <c r="H59" s="229">
        <v>54545.48</v>
      </c>
      <c r="I59" s="230">
        <f>venta_a_mes4[[#This Row],[IMPORTE NETO]]*0.21</f>
        <v>11454.550800000001</v>
      </c>
      <c r="J59" s="231"/>
      <c r="K59" s="231"/>
      <c r="L59" s="231">
        <f>SUM(venta_a_mes4[[#This Row],[IMPORTE NETO]:[EXENTO]])</f>
        <v>66000.030800000008</v>
      </c>
      <c r="M59" s="232"/>
    </row>
    <row r="60" spans="2:13" x14ac:dyDescent="0.3">
      <c r="B60" s="223">
        <v>45385</v>
      </c>
      <c r="C60" s="41">
        <v>1</v>
      </c>
      <c r="D60" s="225">
        <v>1</v>
      </c>
      <c r="E60" s="226">
        <v>168</v>
      </c>
      <c r="F60" s="227">
        <v>30715941763</v>
      </c>
      <c r="G60" s="228" t="str">
        <f>IFERROR(IF(venta_a_mes4[[#This Row],[CUIT]]="","-",VLOOKUP(venta_a_mes4[[#This Row],[CUIT]],Lista_CUIT[#All],2,0)),"CUIT NO CARGADO")</f>
        <v>TOURMALHYN S.R.L.</v>
      </c>
      <c r="H60" s="229">
        <v>24793.38</v>
      </c>
      <c r="I60" s="230">
        <f>venta_a_mes4[[#This Row],[IMPORTE NETO]]*0.21</f>
        <v>5206.6098000000002</v>
      </c>
      <c r="J60" s="231"/>
      <c r="K60" s="231"/>
      <c r="L60" s="231">
        <f>SUM(venta_a_mes4[[#This Row],[IMPORTE NETO]:[EXENTO]])</f>
        <v>29999.989800000003</v>
      </c>
      <c r="M60" s="232"/>
    </row>
    <row r="61" spans="2:13" x14ac:dyDescent="0.3">
      <c r="B61" s="223">
        <v>45385</v>
      </c>
      <c r="C61" s="41">
        <v>1</v>
      </c>
      <c r="D61" s="225">
        <v>1</v>
      </c>
      <c r="E61" s="226">
        <v>169</v>
      </c>
      <c r="F61" s="227">
        <v>30717969061</v>
      </c>
      <c r="G61" s="228" t="str">
        <f>IFERROR(IF(venta_a_mes4[[#This Row],[CUIT]]="","-",VLOOKUP(venta_a_mes4[[#This Row],[CUIT]],Lista_CUIT[#All],2,0)),"CUIT NO CARGADO")</f>
        <v>FABIO Y RAUL ROSSO S.A.S.</v>
      </c>
      <c r="H61" s="229">
        <v>47107.43</v>
      </c>
      <c r="I61" s="230">
        <f>venta_a_mes4[[#This Row],[IMPORTE NETO]]*0.21</f>
        <v>9892.5602999999992</v>
      </c>
      <c r="J61" s="231"/>
      <c r="K61" s="231"/>
      <c r="L61" s="231">
        <f>SUM(venta_a_mes4[[#This Row],[IMPORTE NETO]:[EXENTO]])</f>
        <v>56999.990299999998</v>
      </c>
      <c r="M61" s="232"/>
    </row>
    <row r="62" spans="2:13" x14ac:dyDescent="0.3">
      <c r="B62" s="223">
        <v>45385</v>
      </c>
      <c r="C62" s="41">
        <v>1</v>
      </c>
      <c r="D62" s="225">
        <v>1</v>
      </c>
      <c r="E62" s="226">
        <v>170</v>
      </c>
      <c r="F62" s="227">
        <v>30717465101</v>
      </c>
      <c r="G62" s="228" t="str">
        <f>IFERROR(IF(venta_a_mes4[[#This Row],[CUIT]]="","-",VLOOKUP(venta_a_mes4[[#This Row],[CUIT]],Lista_CUIT[#All],2,0)),"CUIT NO CARGADO")</f>
        <v>EMPRENDIMIENTOS SHOPGLASS S. R. L.</v>
      </c>
      <c r="H62" s="229">
        <v>47107.43</v>
      </c>
      <c r="I62" s="230">
        <f>venta_a_mes4[[#This Row],[IMPORTE NETO]]*0.21</f>
        <v>9892.5602999999992</v>
      </c>
      <c r="J62" s="231"/>
      <c r="K62" s="231"/>
      <c r="L62" s="231">
        <f>SUM(venta_a_mes4[[#This Row],[IMPORTE NETO]:[EXENTO]])</f>
        <v>56999.990299999998</v>
      </c>
      <c r="M62" s="232"/>
    </row>
    <row r="63" spans="2:13" x14ac:dyDescent="0.3">
      <c r="B63" s="40">
        <v>45385</v>
      </c>
      <c r="C63" s="41">
        <v>1</v>
      </c>
      <c r="D63" s="42">
        <v>1</v>
      </c>
      <c r="E63" s="43">
        <v>171</v>
      </c>
      <c r="F63" s="44">
        <v>20132082198</v>
      </c>
      <c r="G63" s="99" t="str">
        <f>IFERROR(IF(venta_a_mes4[[#This Row],[CUIT]]="","-",VLOOKUP(venta_a_mes4[[#This Row],[CUIT]],Lista_CUIT[#All],2,0)),"CUIT NO CARGADO")</f>
        <v>FADIGA OSCAR ALBERTO</v>
      </c>
      <c r="H63" s="100">
        <v>47107.43</v>
      </c>
      <c r="I63" s="101">
        <f>venta_a_mes4[[#This Row],[IMPORTE NETO]]*0.21</f>
        <v>9892.5602999999992</v>
      </c>
      <c r="J63" s="65"/>
      <c r="K63" s="65"/>
      <c r="L63" s="65">
        <f>SUM(venta_a_mes4[[#This Row],[IMPORTE NETO]:[EXENTO]])</f>
        <v>56999.990299999998</v>
      </c>
      <c r="M63" s="59"/>
    </row>
    <row r="64" spans="2:13" x14ac:dyDescent="0.3">
      <c r="B64" s="40">
        <v>45385</v>
      </c>
      <c r="C64" s="41">
        <v>1</v>
      </c>
      <c r="D64" s="42">
        <v>1</v>
      </c>
      <c r="E64" s="43">
        <v>172</v>
      </c>
      <c r="F64" s="44">
        <v>30688955749</v>
      </c>
      <c r="G64" s="99" t="str">
        <f>IFERROR(IF(venta_a_mes4[[#This Row],[CUIT]]="","-",VLOOKUP(venta_a_mes4[[#This Row],[CUIT]],Lista_CUIT[#All],2,0)),"CUIT NO CARGADO")</f>
        <v>LISERAR S A</v>
      </c>
      <c r="H64" s="100">
        <v>108264.48</v>
      </c>
      <c r="I64" s="101">
        <f>venta_a_mes4[[#This Row],[IMPORTE NETO]]*0.21</f>
        <v>22735.540799999999</v>
      </c>
      <c r="J64" s="65"/>
      <c r="K64" s="65"/>
      <c r="L64" s="65">
        <f>SUM(venta_a_mes4[[#This Row],[IMPORTE NETO]:[EXENTO]])</f>
        <v>131000.0208</v>
      </c>
      <c r="M64" s="59"/>
    </row>
    <row r="65" spans="2:13" x14ac:dyDescent="0.3">
      <c r="B65" s="40">
        <v>45385</v>
      </c>
      <c r="C65" s="41">
        <v>1</v>
      </c>
      <c r="D65" s="42">
        <v>1</v>
      </c>
      <c r="E65" s="43">
        <v>173</v>
      </c>
      <c r="F65" s="44">
        <v>30716234815</v>
      </c>
      <c r="G65" s="99" t="str">
        <f>IFERROR(IF(venta_a_mes4[[#This Row],[CUIT]]="","-",VLOOKUP(venta_a_mes4[[#This Row],[CUIT]],Lista_CUIT[#All],2,0)),"CUIT NO CARGADO")</f>
        <v>LEVINT PARTNERS S.R.L.</v>
      </c>
      <c r="H65" s="100">
        <v>108264.48</v>
      </c>
      <c r="I65" s="101">
        <f>venta_a_mes4[[#This Row],[IMPORTE NETO]]*0.21</f>
        <v>22735.540799999999</v>
      </c>
      <c r="J65" s="65"/>
      <c r="K65" s="65"/>
      <c r="L65" s="65">
        <f>SUM(venta_a_mes4[[#This Row],[IMPORTE NETO]:[EXENTO]])</f>
        <v>131000.0208</v>
      </c>
      <c r="M65" s="59"/>
    </row>
    <row r="66" spans="2:13" x14ac:dyDescent="0.3">
      <c r="B66" s="40">
        <v>45385</v>
      </c>
      <c r="C66" s="41">
        <v>1</v>
      </c>
      <c r="D66" s="42">
        <v>1</v>
      </c>
      <c r="E66" s="43">
        <v>174</v>
      </c>
      <c r="F66" s="44">
        <v>20320573948</v>
      </c>
      <c r="G66" s="99" t="str">
        <f>IFERROR(IF(venta_a_mes4[[#This Row],[CUIT]]="","-",VLOOKUP(venta_a_mes4[[#This Row],[CUIT]],Lista_CUIT[#All],2,0)),"CUIT NO CARGADO")</f>
        <v>CAVALLOTTI MARCOS DANIEL</v>
      </c>
      <c r="H66" s="100">
        <v>68567.48</v>
      </c>
      <c r="I66" s="101">
        <f>venta_a_mes4[[#This Row],[IMPORTE NETO]]*0.21</f>
        <v>14399.170799999998</v>
      </c>
      <c r="J66" s="65"/>
      <c r="K66" s="65"/>
      <c r="L66" s="65">
        <f>SUM(venta_a_mes4[[#This Row],[IMPORTE NETO]:[EXENTO]])</f>
        <v>82966.650799999989</v>
      </c>
      <c r="M66" s="59"/>
    </row>
    <row r="67" spans="2:13" x14ac:dyDescent="0.3">
      <c r="B67" s="40">
        <v>45405</v>
      </c>
      <c r="C67" s="41">
        <v>1</v>
      </c>
      <c r="D67" s="42">
        <v>1</v>
      </c>
      <c r="E67" s="43">
        <v>175</v>
      </c>
      <c r="F67" s="44">
        <v>20238882975</v>
      </c>
      <c r="G67" s="99" t="str">
        <f>IFERROR(IF(venta_a_mes4[[#This Row],[CUIT]]="","-",VLOOKUP(venta_a_mes4[[#This Row],[CUIT]],Lista_CUIT[#All],2,0)),"CUIT NO CARGADO")</f>
        <v>NARVAEZ SANTIAGO GABRIEL</v>
      </c>
      <c r="H67" s="100">
        <v>390909.1</v>
      </c>
      <c r="I67" s="101">
        <f>venta_a_mes4[[#This Row],[IMPORTE NETO]]*0.21</f>
        <v>82090.910999999993</v>
      </c>
      <c r="J67" s="65"/>
      <c r="K67" s="65"/>
      <c r="L67" s="65">
        <f>SUM(venta_a_mes4[[#This Row],[IMPORTE NETO]:[EXENTO]])</f>
        <v>473000.01099999994</v>
      </c>
      <c r="M67" s="63"/>
    </row>
    <row r="68" spans="2:13" x14ac:dyDescent="0.3">
      <c r="B68" s="102">
        <v>45387</v>
      </c>
      <c r="C68" s="103">
        <v>3</v>
      </c>
      <c r="D68" s="104">
        <v>1</v>
      </c>
      <c r="E68" s="105">
        <v>9</v>
      </c>
      <c r="F68" s="106">
        <v>30717477681</v>
      </c>
      <c r="G68" s="99" t="str">
        <f>IFERROR(IF(venta_a_mes4[[#This Row],[CUIT]]="","-",VLOOKUP(venta_a_mes4[[#This Row],[CUIT]],Lista_CUIT[#All],2,0)),"CUIT NO CARGADO")</f>
        <v>GRUPO FAM SA</v>
      </c>
      <c r="H68" s="107">
        <v>-61157.05</v>
      </c>
      <c r="I68" s="108">
        <f>venta_a_mes4[[#This Row],[IMPORTE NETO]]*0.21</f>
        <v>-12842.9805</v>
      </c>
      <c r="J68" s="72"/>
      <c r="K68" s="72"/>
      <c r="L68" s="72">
        <f>SUM(venta_a_mes4[[#This Row],[IMPORTE NETO]:[EXENTO]])</f>
        <v>-74000.030500000008</v>
      </c>
      <c r="M68" s="63"/>
    </row>
    <row r="69" spans="2:13" x14ac:dyDescent="0.3">
      <c r="B69" s="109"/>
      <c r="C69" s="110"/>
      <c r="D69" s="111"/>
      <c r="E69" s="112"/>
      <c r="F69" s="113"/>
      <c r="G69" s="99" t="str">
        <f>IFERROR(IF(venta_a_mes4[[#This Row],[CUIT]]="","-",VLOOKUP(venta_a_mes4[[#This Row],[CUIT]],Lista_CUIT[#All],2,0)),"CUIT NO CARGADO")</f>
        <v>-</v>
      </c>
      <c r="H69" s="100"/>
      <c r="I69" s="101">
        <f>venta_a_mes4[[#This Row],[IMPORTE NETO]]*0.21</f>
        <v>0</v>
      </c>
      <c r="J69" s="65"/>
      <c r="K69" s="65"/>
      <c r="L69" s="65">
        <f>SUM(venta_a_mes4[[#This Row],[IMPORTE NETO]:[EXENTO]])</f>
        <v>0</v>
      </c>
      <c r="M69" s="59"/>
    </row>
    <row r="70" spans="2:13" ht="25.95" customHeight="1" x14ac:dyDescent="0.3">
      <c r="B70" s="66" t="s">
        <v>91</v>
      </c>
      <c r="C70" s="67"/>
      <c r="D70" s="67"/>
      <c r="E70" s="67"/>
      <c r="F70" s="67"/>
      <c r="G70" s="67"/>
      <c r="H70" s="69">
        <f>SUBTOTAL(109,venta_a_mes4[IMPORTE NETO])</f>
        <v>1743390.2299999997</v>
      </c>
      <c r="I70" s="70">
        <f>SUBTOTAL(109,venta_a_mes4[IVA 21%])</f>
        <v>366111.94830000011</v>
      </c>
      <c r="J70" s="71">
        <f>SUBTOTAL(109,venta_a_mes4[IVA 10,5%])</f>
        <v>0</v>
      </c>
      <c r="K70" s="71">
        <f>SUBTOTAL(109,venta_a_mes4[EXENTO])</f>
        <v>0</v>
      </c>
      <c r="L70" s="71">
        <f>SUBTOTAL(109,venta_a_mes4[TOTAL])</f>
        <v>2109502.1783000003</v>
      </c>
      <c r="M70" s="68">
        <f>SUBTOTAL(103,venta_a_mes4[Provincia])</f>
        <v>0</v>
      </c>
    </row>
    <row r="72" spans="2:13" ht="17.25" customHeight="1" x14ac:dyDescent="0.3"/>
    <row r="73" spans="2:13" ht="31.5" customHeight="1" x14ac:dyDescent="0.3">
      <c r="B73" s="365" t="s">
        <v>31</v>
      </c>
      <c r="C73" s="365"/>
    </row>
    <row r="74" spans="2:13" ht="15.6" x14ac:dyDescent="0.3">
      <c r="B74" s="60" t="s">
        <v>0</v>
      </c>
      <c r="C74" s="61" t="s">
        <v>1</v>
      </c>
      <c r="D74" s="61" t="s">
        <v>21</v>
      </c>
      <c r="E74" s="61" t="s">
        <v>22</v>
      </c>
      <c r="F74" s="61" t="s">
        <v>3</v>
      </c>
      <c r="G74" s="61" t="s">
        <v>4</v>
      </c>
      <c r="H74" s="61" t="s">
        <v>23</v>
      </c>
      <c r="I74" s="61" t="s">
        <v>17</v>
      </c>
      <c r="J74" s="61" t="s">
        <v>7</v>
      </c>
      <c r="K74" s="61" t="s">
        <v>24</v>
      </c>
      <c r="L74" s="61" t="s">
        <v>10</v>
      </c>
      <c r="M74" s="62" t="s">
        <v>38</v>
      </c>
    </row>
    <row r="75" spans="2:13" x14ac:dyDescent="0.3">
      <c r="B75" s="40">
        <v>45385</v>
      </c>
      <c r="C75" s="41">
        <v>6</v>
      </c>
      <c r="D75" s="42">
        <v>1</v>
      </c>
      <c r="E75" s="43">
        <v>31</v>
      </c>
      <c r="F75" s="44">
        <v>30592508830</v>
      </c>
      <c r="G75" s="1" t="str">
        <f>IFERROR(IF(ventas_b_mes4[[#This Row],[CUIT]]="","-",VLOOKUP(ventas_b_mes4[[#This Row],[CUIT]],Lista_CUIT[#All],2,0)),"CUIT NO CARGADO")</f>
        <v>INSTITUTO DE ESTUDIOS SUPERIORES DE BUENOS AIRES S A</v>
      </c>
      <c r="H75" s="64">
        <v>41322.33</v>
      </c>
      <c r="I75" s="64">
        <v>8677.69</v>
      </c>
      <c r="J75" s="64"/>
      <c r="K75" s="64"/>
      <c r="L75" s="64">
        <f>SUM(ventas_b_mes4[[#This Row],[IMPORTE NETO]:[EXENTO]])</f>
        <v>50000.020000000004</v>
      </c>
      <c r="M75" s="59"/>
    </row>
    <row r="76" spans="2:13" x14ac:dyDescent="0.3">
      <c r="B76" s="40">
        <v>45385</v>
      </c>
      <c r="C76" s="41">
        <v>6</v>
      </c>
      <c r="D76" s="42">
        <v>1</v>
      </c>
      <c r="E76" s="43">
        <v>32</v>
      </c>
      <c r="F76" s="44">
        <v>20252582704</v>
      </c>
      <c r="G76" s="1" t="str">
        <f>IFERROR(IF(ventas_b_mes4[[#This Row],[CUIT]]="","-",VLOOKUP(ventas_b_mes4[[#This Row],[CUIT]],Lista_CUIT[#All],2,0)),"CUIT NO CARGADO")</f>
        <v>GARCIA VAUTRIN ANDRES ALBERTO</v>
      </c>
      <c r="H76" s="64">
        <v>108264.48</v>
      </c>
      <c r="I76" s="64">
        <v>22735.54</v>
      </c>
      <c r="J76" s="64"/>
      <c r="K76" s="64"/>
      <c r="L76" s="64">
        <f>SUM(ventas_b_mes4[[#This Row],[IMPORTE NETO]:[EXENTO]])</f>
        <v>131000.01999999999</v>
      </c>
      <c r="M76" s="59"/>
    </row>
    <row r="77" spans="2:13" x14ac:dyDescent="0.3">
      <c r="B77" s="40"/>
      <c r="C77" s="41"/>
      <c r="D77" s="42"/>
      <c r="E77" s="43"/>
      <c r="F77" s="44"/>
      <c r="G77" s="1"/>
      <c r="H77" s="64"/>
      <c r="I77" s="64"/>
      <c r="J77" s="64"/>
      <c r="K77" s="64"/>
      <c r="L77" s="64">
        <f>SUM(ventas_b_mes4[[#This Row],[IMPORTE NETO]:[EXENTO]])</f>
        <v>0</v>
      </c>
      <c r="M77" s="59"/>
    </row>
    <row r="78" spans="2:13" x14ac:dyDescent="0.3">
      <c r="B78" s="40"/>
      <c r="C78" s="41"/>
      <c r="D78" s="42"/>
      <c r="E78" s="43"/>
      <c r="F78" s="44"/>
      <c r="G78" s="1"/>
      <c r="H78" s="64"/>
      <c r="I78" s="64"/>
      <c r="J78" s="64"/>
      <c r="K78" s="64"/>
      <c r="L78" s="64">
        <f>SUM(ventas_b_mes4[[#This Row],[IMPORTE NETO]:[EXENTO]])</f>
        <v>0</v>
      </c>
      <c r="M78" s="59"/>
    </row>
    <row r="79" spans="2:13" x14ac:dyDescent="0.3">
      <c r="B79" s="40"/>
      <c r="C79" s="41"/>
      <c r="D79" s="42"/>
      <c r="E79" s="43"/>
      <c r="F79" s="44"/>
      <c r="G79" s="1"/>
      <c r="H79" s="64"/>
      <c r="I79" s="64"/>
      <c r="J79" s="64"/>
      <c r="K79" s="64"/>
      <c r="L79" s="64">
        <f>SUM(ventas_b_mes4[[#This Row],[IMPORTE NETO]:[EXENTO]])</f>
        <v>0</v>
      </c>
      <c r="M79" s="59"/>
    </row>
    <row r="80" spans="2:13" x14ac:dyDescent="0.3">
      <c r="B80" s="40"/>
      <c r="C80" s="41"/>
      <c r="D80" s="42"/>
      <c r="E80" s="43"/>
      <c r="F80" s="44"/>
      <c r="G80" s="1"/>
      <c r="H80" s="64"/>
      <c r="I80" s="64"/>
      <c r="J80" s="64"/>
      <c r="K80" s="64"/>
      <c r="L80" s="64">
        <f>SUM(ventas_b_mes4[[#This Row],[IMPORTE NETO]:[EXENTO]])</f>
        <v>0</v>
      </c>
      <c r="M80" s="59"/>
    </row>
    <row r="81" spans="2:13" x14ac:dyDescent="0.3">
      <c r="B81" s="66" t="s">
        <v>91</v>
      </c>
      <c r="C81" s="67"/>
      <c r="D81" s="67"/>
      <c r="E81" s="67"/>
      <c r="F81" s="67"/>
      <c r="G81" s="67"/>
      <c r="H81" s="77">
        <f>SUBTOTAL(109,ventas_b_mes4[IMPORTE NETO])</f>
        <v>149586.81</v>
      </c>
      <c r="I81" s="77">
        <f>SUBTOTAL(109,ventas_b_mes4[IVA 21%])</f>
        <v>31413.230000000003</v>
      </c>
      <c r="J81" s="78">
        <f>SUBTOTAL(109,ventas_b_mes4[IVA 10,5%])</f>
        <v>0</v>
      </c>
      <c r="K81" s="78">
        <f>SUBTOTAL(109,ventas_b_mes4[EXENTO])</f>
        <v>0</v>
      </c>
      <c r="L81" s="78">
        <f>SUBTOTAL(109,ventas_b_mes4[TOTAL])</f>
        <v>181000.03999999998</v>
      </c>
      <c r="M81" s="68">
        <f>SUBTOTAL(103,ventas_b_mes4[Provincia])</f>
        <v>0</v>
      </c>
    </row>
    <row r="83" spans="2:13" ht="19.2" customHeight="1" x14ac:dyDescent="0.3"/>
    <row r="84" spans="2:13" ht="28.95" customHeight="1" x14ac:dyDescent="0.3"/>
    <row r="88" spans="2:13" ht="15" thickBot="1" x14ac:dyDescent="0.35"/>
    <row r="89" spans="2:13" ht="15" thickTop="1" x14ac:dyDescent="0.3">
      <c r="C89" s="358" t="s">
        <v>66</v>
      </c>
      <c r="D89" s="358"/>
      <c r="E89" s="358"/>
      <c r="F89" s="358"/>
      <c r="G89" s="358"/>
      <c r="H89" s="32"/>
      <c r="I89" s="32"/>
      <c r="J89" s="32"/>
    </row>
    <row r="90" spans="2:13" ht="15.6" x14ac:dyDescent="0.3">
      <c r="C90" s="114" t="s">
        <v>67</v>
      </c>
      <c r="D90" s="115" t="s">
        <v>68</v>
      </c>
      <c r="E90" s="115" t="s">
        <v>93</v>
      </c>
      <c r="F90" s="115" t="s">
        <v>3</v>
      </c>
      <c r="G90" s="115" t="s">
        <v>4</v>
      </c>
      <c r="H90" s="116" t="s">
        <v>69</v>
      </c>
      <c r="I90" s="116" t="s">
        <v>70</v>
      </c>
      <c r="J90" s="116" t="s">
        <v>71</v>
      </c>
      <c r="K90" s="116" t="s">
        <v>72</v>
      </c>
      <c r="L90" s="116" t="s">
        <v>73</v>
      </c>
    </row>
    <row r="91" spans="2:13" x14ac:dyDescent="0.3">
      <c r="C91" s="117"/>
      <c r="D91" s="118"/>
      <c r="E91" s="118"/>
      <c r="F91" s="119"/>
      <c r="G91" s="53" t="str">
        <f>IFERROR(IF(Retenciones_mes4[[#This Row],[CUIT]]="","-",VLOOKUP(Retenciones_mes4[[#This Row],[CUIT]],Lista_CUIT[#All],2,0)),"CUIT NO CARGADO")</f>
        <v>-</v>
      </c>
      <c r="H91" s="120"/>
      <c r="I91" s="120"/>
      <c r="J91" s="120"/>
      <c r="K91" s="120"/>
      <c r="L91" s="120"/>
    </row>
    <row r="92" spans="2:13" x14ac:dyDescent="0.3">
      <c r="C92" s="117"/>
      <c r="D92" s="118"/>
      <c r="E92" s="118"/>
      <c r="F92" s="119"/>
      <c r="G92" s="53" t="str">
        <f>IFERROR(IF(Retenciones_mes4[[#This Row],[CUIT]]="","-",VLOOKUP(Retenciones_mes4[[#This Row],[CUIT]],Lista_CUIT[#All],2,0)),"CUIT NO CARGADO")</f>
        <v>-</v>
      </c>
      <c r="H92" s="120"/>
      <c r="I92" s="120"/>
      <c r="J92" s="120"/>
      <c r="K92" s="120"/>
      <c r="L92" s="120"/>
    </row>
    <row r="93" spans="2:13" x14ac:dyDescent="0.3">
      <c r="C93" s="117"/>
      <c r="D93" s="118"/>
      <c r="E93" s="118"/>
      <c r="F93" s="119"/>
      <c r="G93" s="53" t="str">
        <f>IFERROR(IF(Retenciones_mes4[[#This Row],[CUIT]]="","-",VLOOKUP(Retenciones_mes4[[#This Row],[CUIT]],Lista_CUIT[#All],2,0)),"CUIT NO CARGADO")</f>
        <v>-</v>
      </c>
      <c r="H93" s="120"/>
      <c r="I93" s="120"/>
      <c r="J93" s="120"/>
      <c r="K93" s="120"/>
      <c r="L93" s="120"/>
    </row>
    <row r="94" spans="2:13" x14ac:dyDescent="0.3">
      <c r="C94" s="117"/>
      <c r="D94" s="118"/>
      <c r="E94" s="118"/>
      <c r="F94" s="119"/>
      <c r="G94" s="53" t="str">
        <f>IFERROR(IF(Retenciones_mes4[[#This Row],[CUIT]]="","-",VLOOKUP(Retenciones_mes4[[#This Row],[CUIT]],Lista_CUIT[#All],2,0)),"CUIT NO CARGADO")</f>
        <v>-</v>
      </c>
      <c r="H94" s="120"/>
      <c r="I94" s="120"/>
      <c r="J94" s="120"/>
      <c r="K94" s="120"/>
      <c r="L94" s="120"/>
    </row>
    <row r="95" spans="2:13" x14ac:dyDescent="0.3">
      <c r="D95" s="118"/>
      <c r="E95" s="118"/>
      <c r="G95" s="53" t="str">
        <f>IFERROR(IF(Retenciones_mes4[[#This Row],[CUIT]]="","-",VLOOKUP(Retenciones_mes4[[#This Row],[CUIT]],Lista_CUIT[#All],2,0)),"CUIT NO CARGADO")</f>
        <v>-</v>
      </c>
    </row>
    <row r="96" spans="2:13" x14ac:dyDescent="0.3">
      <c r="C96" s="33"/>
    </row>
  </sheetData>
  <mergeCells count="20">
    <mergeCell ref="P4:R4"/>
    <mergeCell ref="D24:L24"/>
    <mergeCell ref="B1:F1"/>
    <mergeCell ref="G1:M1"/>
    <mergeCell ref="N1:R1"/>
    <mergeCell ref="B3:E3"/>
    <mergeCell ref="G3:H3"/>
    <mergeCell ref="J3:K3"/>
    <mergeCell ref="M3:N3"/>
    <mergeCell ref="P3:R3"/>
    <mergeCell ref="C89:G89"/>
    <mergeCell ref="B4:E4"/>
    <mergeCell ref="G4:H4"/>
    <mergeCell ref="J4:K4"/>
    <mergeCell ref="M4:N4"/>
    <mergeCell ref="D33:K33"/>
    <mergeCell ref="B45:J45"/>
    <mergeCell ref="K45:M45"/>
    <mergeCell ref="B47:C47"/>
    <mergeCell ref="B73:C73"/>
  </mergeCells>
  <dataValidations count="12">
    <dataValidation type="custom" allowBlank="1" showInputMessage="1" showErrorMessage="1" sqref="H75:L80" xr:uid="{72E1DB63-A433-4F94-985B-9E4918BB6435}">
      <formula1>IF($C75=8,H75&lt;0,H75&gt;=0)</formula1>
    </dataValidation>
    <dataValidation type="custom" allowBlank="1" showInputMessage="1" showErrorMessage="1" sqref="L63:L67" xr:uid="{AEAC8926-74AD-46EB-8EF9-840AE52AFBCB}">
      <formula1>IF($C16=3,L16&lt;0,L16&gt;=0)</formula1>
    </dataValidation>
    <dataValidation type="whole" allowBlank="1" showInputMessage="1" showErrorMessage="1" sqref="C75:C80" xr:uid="{56D72345-76C2-4741-BC70-4E515EAB81BA}">
      <formula1>6</formula1>
      <formula2>8</formula2>
    </dataValidation>
    <dataValidation type="custom" allowBlank="1" showInputMessage="1" showErrorMessage="1" sqref="H49:K49 H63:K63 H65:K65 H67:K67" xr:uid="{AFEBB2D2-3A7F-414B-B998-C97C2FA3596A}">
      <formula1>IF($C49=3,H49&lt;0,H49&gt;=0)</formula1>
    </dataValidation>
    <dataValidation type="whole" allowBlank="1" showInputMessage="1" showErrorMessage="1" sqref="C20:C23 C9:C18 C49:C69" xr:uid="{431004CC-DCAC-4B46-B887-7EE259F83945}">
      <formula1>1</formula1>
      <formula2>3</formula2>
    </dataValidation>
    <dataValidation type="date" allowBlank="1" showInputMessage="1" showErrorMessage="1" sqref="D26:D28 B49:B69 D35:D38 B20:B23 B75:B80 B9:B18" xr:uid="{C059F733-B57A-4B64-A6E1-549F607952B3}">
      <formula1>40179</formula1>
      <formula2>TODAY()</formula2>
    </dataValidation>
    <dataValidation type="whole" allowBlank="1" showInputMessage="1" showErrorMessage="1" sqref="G35:G38 F49:F69 F75:F80 F9:F18" xr:uid="{8C08F5FB-9533-4F3F-A6CA-95EFDFC09DC2}">
      <formula1>20000000000</formula1>
      <formula2>33999999999</formula2>
    </dataValidation>
    <dataValidation type="whole" allowBlank="1" showInputMessage="1" showErrorMessage="1" sqref="F35:F38 E49:E69 E75:E80 E9:E18" xr:uid="{25B6C4A6-9035-46AC-8B4C-E12F83F473BD}">
      <formula1>1</formula1>
      <formula2>99999999</formula2>
    </dataValidation>
    <dataValidation type="whole" allowBlank="1" showInputMessage="1" showErrorMessage="1" sqref="E35:E38 D49:D69 D75:D80 D9:D18" xr:uid="{A25501D4-5C35-4496-B359-D82D7EDD6492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" xr:uid="{4500B43C-5E03-4B56-A75B-3F3AC65ED634}">
      <formula1>IF($C9=3,H9&lt;0,H9&gt;=0)</formula1>
    </dataValidation>
    <dataValidation type="custom" allowBlank="1" showInputMessage="1" showErrorMessage="1" sqref="L49:L58" xr:uid="{1EBB324B-2F79-4469-83F5-3F4DAE47FDF8}">
      <formula1>IF($C9=3,L9&lt;0,L9&gt;=0)</formula1>
    </dataValidation>
    <dataValidation type="custom" allowBlank="1" showInputMessage="1" showErrorMessage="1" sqref="L59:L62" xr:uid="{C86A3CC1-B1C6-4E92-AC00-EFC3AED0B949}">
      <formula1>IF($C13=3,L13&lt;0,L13&gt;=0)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</sheetPr>
  <dimension ref="A1:Z98"/>
  <sheetViews>
    <sheetView showGridLines="0" zoomScaleNormal="100" workbookViewId="0">
      <selection activeCell="O27" sqref="O27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7.5546875" customWidth="1"/>
    <col min="9" max="9" width="15.109375" customWidth="1"/>
    <col min="10" max="10" width="19.88671875" customWidth="1"/>
    <col min="11" max="11" width="11.109375" customWidth="1"/>
    <col min="12" max="12" width="15.109375" bestFit="1" customWidth="1"/>
    <col min="13" max="13" width="14.6640625" bestFit="1" customWidth="1"/>
    <col min="14" max="14" width="14.88671875" bestFit="1" customWidth="1"/>
    <col min="15" max="15" width="11" customWidth="1"/>
    <col min="16" max="16" width="19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75" t="str">
        <f>'Ene-24'!G1:M1</f>
        <v>RABLEB SRL</v>
      </c>
      <c r="H1" s="375"/>
      <c r="I1" s="375"/>
      <c r="J1" s="375"/>
      <c r="K1" s="375"/>
      <c r="L1" s="375"/>
      <c r="M1" s="375"/>
      <c r="N1" s="370">
        <f>EDATE('Ene-24'!N1,4)</f>
        <v>45413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SUM(compras_mes5[[#Totals],[NETO GRAVADO]])+extracto_banco_mes5[[#Totals],[NETO]]</f>
        <v>1224307.01</v>
      </c>
      <c r="C4" s="359"/>
      <c r="D4" s="359"/>
      <c r="E4" s="359"/>
      <c r="F4" s="39"/>
      <c r="G4" s="360">
        <f>compras_mes5[[#Totals],[IVA 21 %]]+compras_mes5[[#Totals],[IVA 27%]]+compras_mes5[[#Totals],[IVA 10,5%]]+extracto_banco_mes5[[#Totals],[IVA 21%]]+extracto_banco_mes5[[#Totals],[IVA 10,5%]]</f>
        <v>257104.47210000001</v>
      </c>
      <c r="H4" s="360"/>
      <c r="I4" s="39"/>
      <c r="J4" s="361">
        <f>venta_a_mes5[[#Totals],[IMPORTE NETO]]+ventas_b_mes5[[#Totals],[IMPORTE NETO]]</f>
        <v>2238151</v>
      </c>
      <c r="K4" s="361"/>
      <c r="L4" s="39"/>
      <c r="M4" s="361">
        <f>venta_a_mes5[[#Totals],[IVA 21%]]+venta_a_mes5[[#Totals],[IVA 10,5%]]+ventas_b_mes5[[#Totals],[IVA 21%]]+ventas_b_mes5[[#Totals],[IVA 10,5%]]</f>
        <v>470011.71</v>
      </c>
      <c r="N4" s="361"/>
      <c r="O4" s="39"/>
      <c r="P4" s="366">
        <f>G4-M4</f>
        <v>-212907.23790000001</v>
      </c>
      <c r="Q4" s="367"/>
      <c r="R4" s="367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45439</v>
      </c>
      <c r="C9" s="41">
        <v>1</v>
      </c>
      <c r="D9" s="42">
        <v>8</v>
      </c>
      <c r="E9" s="43">
        <v>79142</v>
      </c>
      <c r="F9" s="44">
        <v>30586172308</v>
      </c>
      <c r="G9" s="45" t="str">
        <f>IFERROR(IF(compras_mes5[[#This Row],[CUIT]]="","-",VLOOKUP(compras_mes5[[#This Row],[CUIT]],Lista_CUIT[#All],2,0)),"CUIT NO CARGADO")</f>
        <v>SANTA FE COMERCIAL SOCIEDAD DE RESPONSABILIDAD LIMITADA</v>
      </c>
      <c r="H9" s="46">
        <v>4132.2299999999996</v>
      </c>
      <c r="I9" s="85">
        <f>IF(compras_mes5[[#This Row],[NETO GRAVADO]]="","",compras_mes5[[#This Row],[NETO GRAVADO]]*0.21)</f>
        <v>867.76829999999984</v>
      </c>
      <c r="J9" s="85"/>
      <c r="K9" s="85"/>
      <c r="L9" s="85"/>
      <c r="M9" s="85"/>
      <c r="N9" s="85"/>
      <c r="O9" s="85"/>
      <c r="P9" s="48">
        <f>SUM(compras_mes5[[#This Row],[NETO GRAVADO]:[Otros / No Grav.]])</f>
        <v>4999.9982999999993</v>
      </c>
      <c r="Q9" s="49" t="str">
        <f>IFERROR(IF(compras_mes5[[#This Row],[CUIT]]="","-",VLOOKUP(compras_mes5[[#This Row],[CUIT]],Lista_CUIT[#All],3,0)),"CUIT NO CARGADO")</f>
        <v>LIBRERÍA</v>
      </c>
      <c r="R9" s="49">
        <f>IFERROR(IF(compras_mes5[[#This Row],[CUIT]]="","-",VLOOKUP(compras_mes5[[#This Row],[CUIT]],Lista_CUIT[#All],4,0)),"CUIT NO CARGADO")</f>
        <v>0</v>
      </c>
    </row>
    <row r="10" spans="1:26" x14ac:dyDescent="0.3">
      <c r="B10" s="40">
        <v>45440</v>
      </c>
      <c r="C10" s="41">
        <v>1</v>
      </c>
      <c r="D10" s="42">
        <v>3</v>
      </c>
      <c r="E10" s="43">
        <v>34509</v>
      </c>
      <c r="F10" s="44">
        <v>30715428349</v>
      </c>
      <c r="G10" s="45" t="str">
        <f>IFERROR(IF(compras_mes5[[#This Row],[CUIT]]="","-",VLOOKUP(compras_mes5[[#This Row],[CUIT]],Lista_CUIT[#All],2,0)),"CUIT NO CARGADO")</f>
        <v>NETSHOP GROUP S.R.L.</v>
      </c>
      <c r="H10" s="46">
        <v>65120.36</v>
      </c>
      <c r="I10" s="85">
        <f>IF(compras_mes5[[#This Row],[NETO GRAVADO]]="","",compras_mes5[[#This Row],[NETO GRAVADO]]*0.21)</f>
        <v>13675.275599999999</v>
      </c>
      <c r="J10" s="85"/>
      <c r="K10" s="85"/>
      <c r="L10" s="85"/>
      <c r="M10" s="85"/>
      <c r="N10" s="85"/>
      <c r="O10" s="85"/>
      <c r="P10" s="48">
        <f>SUM(compras_mes5[[#This Row],[NETO GRAVADO]:[Otros / No Grav.]])</f>
        <v>78795.635599999994</v>
      </c>
      <c r="Q10" s="49" t="str">
        <f>IFERROR(IF(compras_mes5[[#This Row],[CUIT]]="","-",VLOOKUP(compras_mes5[[#This Row],[CUIT]],Lista_CUIT[#All],3,0)),"CUIT NO CARGADO")</f>
        <v>Gastos Varios</v>
      </c>
      <c r="R10" s="49">
        <f>IFERROR(IF(compras_mes5[[#This Row],[CUIT]]="","-",VLOOKUP(compras_mes5[[#This Row],[CUIT]],Lista_CUIT[#All],4,0)),"CUIT NO CARGADO")</f>
        <v>0</v>
      </c>
    </row>
    <row r="11" spans="1:26" x14ac:dyDescent="0.3">
      <c r="B11" s="89">
        <v>45440</v>
      </c>
      <c r="C11" s="90">
        <v>1</v>
      </c>
      <c r="D11" s="91">
        <v>3</v>
      </c>
      <c r="E11" s="92">
        <v>34510</v>
      </c>
      <c r="F11" s="93">
        <v>30715428349</v>
      </c>
      <c r="G11" s="94" t="str">
        <f>IFERROR(IF(compras_mes5[[#This Row],[CUIT]]="","-",VLOOKUP(compras_mes5[[#This Row],[CUIT]],Lista_CUIT[#All],2,0)),"CUIT NO CARGADO")</f>
        <v>NETSHOP GROUP S.R.L.</v>
      </c>
      <c r="H11" s="95">
        <v>130240.71</v>
      </c>
      <c r="I11" s="86">
        <f>IF(compras_mes5[[#This Row],[NETO GRAVADO]]="","",compras_mes5[[#This Row],[NETO GRAVADO]]*0.21)</f>
        <v>27350.5491</v>
      </c>
      <c r="J11" s="86"/>
      <c r="K11" s="86"/>
      <c r="L11" s="86"/>
      <c r="M11" s="86"/>
      <c r="N11" s="86"/>
      <c r="O11" s="86"/>
      <c r="P11" s="87">
        <f>SUM(compras_mes5[[#This Row],[NETO GRAVADO]:[Otros / No Grav.]])</f>
        <v>157591.2591</v>
      </c>
      <c r="Q11" s="88" t="str">
        <f>IFERROR(IF(compras_mes5[[#This Row],[CUIT]]="","-",VLOOKUP(compras_mes5[[#This Row],[CUIT]],Lista_CUIT[#All],3,0)),"CUIT NO CARGADO")</f>
        <v>Gastos Varios</v>
      </c>
      <c r="R11" s="88">
        <f>IFERROR(IF(compras_mes5[[#This Row],[CUIT]]="","-",VLOOKUP(compras_mes5[[#This Row],[CUIT]],Lista_CUIT[#All],4,0)),"CUIT NO CARGADO")</f>
        <v>0</v>
      </c>
    </row>
    <row r="12" spans="1:26" x14ac:dyDescent="0.3">
      <c r="B12" s="89">
        <v>45443</v>
      </c>
      <c r="C12" s="90">
        <v>1</v>
      </c>
      <c r="D12" s="91">
        <v>11</v>
      </c>
      <c r="E12" s="92">
        <v>983202</v>
      </c>
      <c r="F12" s="93">
        <v>33709585229</v>
      </c>
      <c r="G12" s="94" t="str">
        <f>IFERROR(IF(compras_mes5[[#This Row],[CUIT]]="","-",VLOOKUP(compras_mes5[[#This Row],[CUIT]],Lista_CUIT[#All],2,0)),"CUIT NO CARGADO")</f>
        <v>GOOGLE ARGENTINA S.R.L.</v>
      </c>
      <c r="H12" s="95">
        <v>19157.55</v>
      </c>
      <c r="I12" s="86">
        <f>IF(compras_mes5[[#This Row],[NETO GRAVADO]]="","",compras_mes5[[#This Row],[NETO GRAVADO]]*0.21)</f>
        <v>4023.0854999999997</v>
      </c>
      <c r="J12" s="86"/>
      <c r="K12" s="86"/>
      <c r="L12" s="86"/>
      <c r="M12" s="86"/>
      <c r="N12" s="86">
        <v>287.36</v>
      </c>
      <c r="O12" s="86">
        <v>574.73</v>
      </c>
      <c r="P12" s="87">
        <f>SUM(compras_mes5[[#This Row],[NETO GRAVADO]:[Otros / No Grav.]])</f>
        <v>24042.7255</v>
      </c>
      <c r="Q12" s="88" t="str">
        <f>IFERROR(IF(compras_mes5[[#This Row],[CUIT]]="","-",VLOOKUP(compras_mes5[[#This Row],[CUIT]],Lista_CUIT[#All],3,0)),"CUIT NO CARGADO")</f>
        <v>Gastos Publicidad y Propaganda</v>
      </c>
      <c r="R12" s="88">
        <f>IFERROR(IF(compras_mes5[[#This Row],[CUIT]]="","-",VLOOKUP(compras_mes5[[#This Row],[CUIT]],Lista_CUIT[#All],4,0)),"CUIT NO CARGADO")</f>
        <v>0</v>
      </c>
    </row>
    <row r="13" spans="1:26" x14ac:dyDescent="0.3">
      <c r="B13" s="40">
        <v>45443</v>
      </c>
      <c r="C13" s="41">
        <v>1</v>
      </c>
      <c r="D13" s="42">
        <v>11</v>
      </c>
      <c r="E13" s="43">
        <v>987835</v>
      </c>
      <c r="F13" s="44">
        <v>33709585229</v>
      </c>
      <c r="G13" s="45" t="str">
        <f>IFERROR(IF(compras_mes5[[#This Row],[CUIT]]="","-",VLOOKUP(compras_mes5[[#This Row],[CUIT]],Lista_CUIT[#All],2,0)),"CUIT NO CARGADO")</f>
        <v>GOOGLE ARGENTINA S.R.L.</v>
      </c>
      <c r="H13" s="46">
        <v>63483.31</v>
      </c>
      <c r="I13" s="85">
        <f>IF(compras_mes5[[#This Row],[NETO GRAVADO]]="","",compras_mes5[[#This Row],[NETO GRAVADO]]*0.21)</f>
        <v>13331.495099999998</v>
      </c>
      <c r="J13" s="85"/>
      <c r="K13" s="85"/>
      <c r="L13" s="85"/>
      <c r="M13" s="85"/>
      <c r="N13" s="85">
        <v>952.25</v>
      </c>
      <c r="O13" s="85">
        <v>1904.5</v>
      </c>
      <c r="P13" s="48">
        <f>SUM(compras_mes5[[#This Row],[NETO GRAVADO]:[Otros / No Grav.]])</f>
        <v>79671.555099999998</v>
      </c>
      <c r="Q13" s="49" t="str">
        <f>IFERROR(IF(compras_mes5[[#This Row],[CUIT]]="","-",VLOOKUP(compras_mes5[[#This Row],[CUIT]],Lista_CUIT[#All],3,0)),"CUIT NO CARGADO")</f>
        <v>Gastos Publicidad y Propaganda</v>
      </c>
      <c r="R13" s="49">
        <f>IFERROR(IF(compras_mes5[[#This Row],[CUIT]]="","-",VLOOKUP(compras_mes5[[#This Row],[CUIT]],Lista_CUIT[#All],4,0)),"CUIT NO CARGADO")</f>
        <v>0</v>
      </c>
    </row>
    <row r="14" spans="1:26" x14ac:dyDescent="0.3">
      <c r="B14" s="242">
        <v>45443</v>
      </c>
      <c r="C14" s="243">
        <v>1</v>
      </c>
      <c r="D14" s="244">
        <v>11</v>
      </c>
      <c r="E14" s="245">
        <v>987160</v>
      </c>
      <c r="F14" s="246">
        <v>33709585229</v>
      </c>
      <c r="G14" s="247" t="str">
        <f>IFERROR(IF(compras_mes5[[#This Row],[CUIT]]="","-",VLOOKUP(compras_mes5[[#This Row],[CUIT]],Lista_CUIT[#All],2,0)),"CUIT NO CARGADO")</f>
        <v>GOOGLE ARGENTINA S.R.L.</v>
      </c>
      <c r="H14" s="248">
        <v>618160.16</v>
      </c>
      <c r="I14" s="250">
        <f>IF(compras_mes5[[#This Row],[NETO GRAVADO]]="","",compras_mes5[[#This Row],[NETO GRAVADO]]*0.21)</f>
        <v>129813.6336</v>
      </c>
      <c r="J14" s="250"/>
      <c r="K14" s="250"/>
      <c r="L14" s="250"/>
      <c r="M14" s="250"/>
      <c r="N14" s="250">
        <v>9272.4</v>
      </c>
      <c r="O14" s="250">
        <v>18544.8</v>
      </c>
      <c r="P14" s="252">
        <f>SUM(compras_mes5[[#This Row],[NETO GRAVADO]:[Otros / No Grav.]])</f>
        <v>775790.99360000005</v>
      </c>
      <c r="Q14" s="251" t="str">
        <f>IFERROR(IF(compras_mes5[[#This Row],[CUIT]]="","-",VLOOKUP(compras_mes5[[#This Row],[CUIT]],Lista_CUIT[#All],3,0)),"CUIT NO CARGADO")</f>
        <v>Gastos Publicidad y Propaganda</v>
      </c>
      <c r="R14" s="251">
        <f>IFERROR(IF(compras_mes5[[#This Row],[CUIT]]="","-",VLOOKUP(compras_mes5[[#This Row],[CUIT]],Lista_CUIT[#All],4,0)),"CUIT NO CARGADO")</f>
        <v>0</v>
      </c>
    </row>
    <row r="15" spans="1:26" x14ac:dyDescent="0.3">
      <c r="B15" s="242">
        <v>45443</v>
      </c>
      <c r="C15" s="243">
        <v>1</v>
      </c>
      <c r="D15" s="244">
        <v>11</v>
      </c>
      <c r="E15" s="245">
        <v>981752</v>
      </c>
      <c r="F15" s="246">
        <v>33709585229</v>
      </c>
      <c r="G15" s="247" t="str">
        <f>IFERROR(IF(compras_mes5[[#This Row],[CUIT]]="","-",VLOOKUP(compras_mes5[[#This Row],[CUIT]],Lista_CUIT[#All],2,0)),"CUIT NO CARGADO")</f>
        <v>GOOGLE ARGENTINA S.R.L.</v>
      </c>
      <c r="H15" s="248">
        <v>53213.88</v>
      </c>
      <c r="I15" s="250">
        <f>IF(compras_mes5[[#This Row],[NETO GRAVADO]]="","",compras_mes5[[#This Row],[NETO GRAVADO]]*0.21)</f>
        <v>11174.914799999999</v>
      </c>
      <c r="J15" s="250"/>
      <c r="K15" s="250"/>
      <c r="L15" s="250"/>
      <c r="M15" s="250"/>
      <c r="N15" s="250">
        <v>798.21</v>
      </c>
      <c r="O15" s="250">
        <v>1596.42</v>
      </c>
      <c r="P15" s="252">
        <f>SUM(compras_mes5[[#This Row],[NETO GRAVADO]:[Otros / No Grav.]])</f>
        <v>66783.424799999993</v>
      </c>
      <c r="Q15" s="251" t="str">
        <f>IFERROR(IF(compras_mes5[[#This Row],[CUIT]]="","-",VLOOKUP(compras_mes5[[#This Row],[CUIT]],Lista_CUIT[#All],3,0)),"CUIT NO CARGADO")</f>
        <v>Gastos Publicidad y Propaganda</v>
      </c>
      <c r="R15" s="251">
        <f>IFERROR(IF(compras_mes5[[#This Row],[CUIT]]="","-",VLOOKUP(compras_mes5[[#This Row],[CUIT]],Lista_CUIT[#All],4,0)),"CUIT NO CARGADO")</f>
        <v>0</v>
      </c>
    </row>
    <row r="16" spans="1:26" x14ac:dyDescent="0.3">
      <c r="B16" s="242">
        <v>45443</v>
      </c>
      <c r="C16" s="243">
        <v>1</v>
      </c>
      <c r="D16" s="244">
        <v>11</v>
      </c>
      <c r="E16" s="245">
        <v>992129</v>
      </c>
      <c r="F16" s="246">
        <v>33709585229</v>
      </c>
      <c r="G16" s="247" t="str">
        <f>IFERROR(IF(compras_mes5[[#This Row],[CUIT]]="","-",VLOOKUP(compras_mes5[[#This Row],[CUIT]],Lista_CUIT[#All],2,0)),"CUIT NO CARGADO")</f>
        <v>GOOGLE ARGENTINA S.R.L.</v>
      </c>
      <c r="H16" s="248">
        <v>226574.05</v>
      </c>
      <c r="I16" s="250">
        <f>IF(compras_mes5[[#This Row],[NETO GRAVADO]]="","",compras_mes5[[#This Row],[NETO GRAVADO]]*0.21)</f>
        <v>47580.550499999998</v>
      </c>
      <c r="J16" s="250"/>
      <c r="K16" s="250"/>
      <c r="L16" s="250"/>
      <c r="M16" s="250"/>
      <c r="N16" s="250">
        <v>3398.61</v>
      </c>
      <c r="O16" s="250">
        <v>6797.22</v>
      </c>
      <c r="P16" s="252">
        <f>SUM(compras_mes5[[#This Row],[NETO GRAVADO]:[Otros / No Grav.]])</f>
        <v>284350.43049999996</v>
      </c>
      <c r="Q16" s="251" t="str">
        <f>IFERROR(IF(compras_mes5[[#This Row],[CUIT]]="","-",VLOOKUP(compras_mes5[[#This Row],[CUIT]],Lista_CUIT[#All],3,0)),"CUIT NO CARGADO")</f>
        <v>Gastos Publicidad y Propaganda</v>
      </c>
      <c r="R16" s="251">
        <f>IFERROR(IF(compras_mes5[[#This Row],[CUIT]]="","-",VLOOKUP(compras_mes5[[#This Row],[CUIT]],Lista_CUIT[#All],4,0)),"CUIT NO CARGADO")</f>
        <v>0</v>
      </c>
    </row>
    <row r="17" spans="2:18" ht="14.4" customHeight="1" x14ac:dyDescent="0.3">
      <c r="B17" s="242">
        <v>45443</v>
      </c>
      <c r="C17" s="243">
        <v>1</v>
      </c>
      <c r="D17" s="244">
        <v>11</v>
      </c>
      <c r="E17" s="245">
        <v>991112</v>
      </c>
      <c r="F17" s="246">
        <v>33709585229</v>
      </c>
      <c r="G17" s="247" t="str">
        <f>IFERROR(IF(compras_mes5[[#This Row],[CUIT]]="","-",VLOOKUP(compras_mes5[[#This Row],[CUIT]],Lista_CUIT[#All],2,0)),"CUIT NO CARGADO")</f>
        <v>GOOGLE ARGENTINA S.R.L.</v>
      </c>
      <c r="H17" s="248">
        <v>131779.5</v>
      </c>
      <c r="I17" s="250">
        <f>IF(compras_mes5[[#This Row],[NETO GRAVADO]]="","",compras_mes5[[#This Row],[NETO GRAVADO]]*0.21)</f>
        <v>27673.695</v>
      </c>
      <c r="J17" s="250"/>
      <c r="K17" s="250"/>
      <c r="L17" s="250"/>
      <c r="M17" s="250"/>
      <c r="N17" s="250">
        <v>1976.69</v>
      </c>
      <c r="O17" s="250">
        <v>3953.39</v>
      </c>
      <c r="P17" s="252">
        <f>SUM(compras_mes5[[#This Row],[NETO GRAVADO]:[Otros / No Grav.]])</f>
        <v>165383.27500000002</v>
      </c>
      <c r="Q17" s="251" t="str">
        <f>IFERROR(IF(compras_mes5[[#This Row],[CUIT]]="","-",VLOOKUP(compras_mes5[[#This Row],[CUIT]],Lista_CUIT[#All],3,0)),"CUIT NO CARGADO")</f>
        <v>Gastos Publicidad y Propaganda</v>
      </c>
      <c r="R17" s="251">
        <f>IFERROR(IF(compras_mes5[[#This Row],[CUIT]]="","-",VLOOKUP(compras_mes5[[#This Row],[CUIT]],Lista_CUIT[#All],4,0)),"CUIT NO CARGADO")</f>
        <v>0</v>
      </c>
    </row>
    <row r="18" spans="2:18" x14ac:dyDescent="0.3">
      <c r="B18" s="242">
        <v>45443</v>
      </c>
      <c r="C18" s="243">
        <v>1</v>
      </c>
      <c r="D18" s="244">
        <v>11</v>
      </c>
      <c r="E18" s="245">
        <v>992009</v>
      </c>
      <c r="F18" s="246">
        <v>33709585229</v>
      </c>
      <c r="G18" s="247" t="str">
        <f>IFERROR(IF(compras_mes5[[#This Row],[CUIT]]="","-",VLOOKUP(compras_mes5[[#This Row],[CUIT]],Lista_CUIT[#All],2,0)),"CUIT NO CARGADO")</f>
        <v>GOOGLE ARGENTINA S.R.L.</v>
      </c>
      <c r="H18" s="248">
        <v>21804.16</v>
      </c>
      <c r="I18" s="250">
        <f>IF(compras_mes5[[#This Row],[NETO GRAVADO]]="","",compras_mes5[[#This Row],[NETO GRAVADO]]*0.21)</f>
        <v>4578.8735999999999</v>
      </c>
      <c r="J18" s="250"/>
      <c r="K18" s="250"/>
      <c r="L18" s="250"/>
      <c r="M18" s="250"/>
      <c r="N18" s="250">
        <v>327.06</v>
      </c>
      <c r="O18" s="250">
        <v>654.12</v>
      </c>
      <c r="P18" s="252">
        <f>SUM(compras_mes5[[#This Row],[NETO GRAVADO]:[Otros / No Grav.]])</f>
        <v>27364.213599999999</v>
      </c>
      <c r="Q18" s="251" t="str">
        <f>IFERROR(IF(compras_mes5[[#This Row],[CUIT]]="","-",VLOOKUP(compras_mes5[[#This Row],[CUIT]],Lista_CUIT[#All],3,0)),"CUIT NO CARGADO")</f>
        <v>Gastos Publicidad y Propaganda</v>
      </c>
      <c r="R18" s="251">
        <f>IFERROR(IF(compras_mes5[[#This Row],[CUIT]]="","-",VLOOKUP(compras_mes5[[#This Row],[CUIT]],Lista_CUIT[#All],4,0)),"CUIT NO CARGADO")</f>
        <v>0</v>
      </c>
    </row>
    <row r="19" spans="2:18" x14ac:dyDescent="0.3">
      <c r="B19" s="242">
        <v>45443</v>
      </c>
      <c r="C19" s="243">
        <v>3</v>
      </c>
      <c r="D19" s="244">
        <v>11</v>
      </c>
      <c r="E19" s="245">
        <v>723909</v>
      </c>
      <c r="F19" s="246">
        <v>33709585229</v>
      </c>
      <c r="G19" s="247" t="str">
        <f>IFERROR(IF(compras_mes5[[#This Row],[CUIT]]="","-",VLOOKUP(compras_mes5[[#This Row],[CUIT]],Lista_CUIT[#All],2,0)),"CUIT NO CARGADO")</f>
        <v>GOOGLE ARGENTINA S.R.L.</v>
      </c>
      <c r="H19" s="248">
        <v>-42662.98</v>
      </c>
      <c r="I19" s="250">
        <f>IF(compras_mes5[[#This Row],[NETO GRAVADO]]="","",compras_mes5[[#This Row],[NETO GRAVADO]]*0.21)</f>
        <v>-8959.2258000000002</v>
      </c>
      <c r="J19" s="250"/>
      <c r="K19" s="250"/>
      <c r="L19" s="250"/>
      <c r="M19" s="250"/>
      <c r="N19" s="250">
        <v>-639.94000000000005</v>
      </c>
      <c r="O19" s="250">
        <v>-1279.8900000000001</v>
      </c>
      <c r="P19" s="252">
        <f>SUM(compras_mes5[[#This Row],[NETO GRAVADO]:[Otros / No Grav.]])</f>
        <v>-53542.035800000005</v>
      </c>
      <c r="Q19" s="251" t="str">
        <f>IFERROR(IF(compras_mes5[[#This Row],[CUIT]]="","-",VLOOKUP(compras_mes5[[#This Row],[CUIT]],Lista_CUIT[#All],3,0)),"CUIT NO CARGADO")</f>
        <v>Gastos Publicidad y Propaganda</v>
      </c>
      <c r="R19" s="251">
        <f>IFERROR(IF(compras_mes5[[#This Row],[CUIT]]="","-",VLOOKUP(compras_mes5[[#This Row],[CUIT]],Lista_CUIT[#All],4,0)),"CUIT NO CARGADO")</f>
        <v>0</v>
      </c>
    </row>
    <row r="20" spans="2:18" ht="14.4" customHeight="1" x14ac:dyDescent="0.3">
      <c r="B20" s="242">
        <v>45443</v>
      </c>
      <c r="C20" s="243">
        <v>3</v>
      </c>
      <c r="D20" s="244">
        <v>11</v>
      </c>
      <c r="E20" s="245">
        <v>726541</v>
      </c>
      <c r="F20" s="246">
        <v>33709585229</v>
      </c>
      <c r="G20" s="247" t="str">
        <f>IFERROR(IF(compras_mes5[[#This Row],[CUIT]]="","-",VLOOKUP(compras_mes5[[#This Row],[CUIT]],Lista_CUIT[#All],2,0)),"CUIT NO CARGADO")</f>
        <v>GOOGLE ARGENTINA S.R.L.</v>
      </c>
      <c r="H20" s="248">
        <v>-65083.75</v>
      </c>
      <c r="I20" s="250">
        <f>IF(compras_mes5[[#This Row],[NETO GRAVADO]]="","",compras_mes5[[#This Row],[NETO GRAVADO]]*0.21)</f>
        <v>-13667.5875</v>
      </c>
      <c r="J20" s="250"/>
      <c r="K20" s="250"/>
      <c r="L20" s="250"/>
      <c r="M20" s="250"/>
      <c r="N20" s="250">
        <v>-976.26</v>
      </c>
      <c r="O20" s="250">
        <v>-1952.51</v>
      </c>
      <c r="P20" s="252">
        <f>SUM(compras_mes5[[#This Row],[NETO GRAVADO]:[Otros / No Grav.]])</f>
        <v>-81680.107499999984</v>
      </c>
      <c r="Q20" s="251" t="str">
        <f>IFERROR(IF(compras_mes5[[#This Row],[CUIT]]="","-",VLOOKUP(compras_mes5[[#This Row],[CUIT]],Lista_CUIT[#All],3,0)),"CUIT NO CARGADO")</f>
        <v>Gastos Publicidad y Propaganda</v>
      </c>
      <c r="R20" s="251">
        <f>IFERROR(IF(compras_mes5[[#This Row],[CUIT]]="","-",VLOOKUP(compras_mes5[[#This Row],[CUIT]],Lista_CUIT[#All],4,0)),"CUIT NO CARGADO")</f>
        <v>0</v>
      </c>
    </row>
    <row r="21" spans="2:18" ht="14.4" customHeight="1" x14ac:dyDescent="0.3">
      <c r="B21" s="242">
        <v>45443</v>
      </c>
      <c r="C21" s="243">
        <v>3</v>
      </c>
      <c r="D21" s="244">
        <v>11</v>
      </c>
      <c r="E21" s="245">
        <v>724444</v>
      </c>
      <c r="F21" s="246">
        <v>33709585229</v>
      </c>
      <c r="G21" s="247" t="str">
        <f>IFERROR(IF(compras_mes5[[#This Row],[CUIT]]="","-",VLOOKUP(compras_mes5[[#This Row],[CUIT]],Lista_CUIT[#All],2,0)),"CUIT NO CARGADO")</f>
        <v>GOOGLE ARGENTINA S.R.L.</v>
      </c>
      <c r="H21" s="248">
        <v>-1612.17</v>
      </c>
      <c r="I21" s="250">
        <f>IF(compras_mes5[[#This Row],[NETO GRAVADO]]="","",compras_mes5[[#This Row],[NETO GRAVADO]]*0.21)</f>
        <v>-338.5557</v>
      </c>
      <c r="J21" s="250"/>
      <c r="K21" s="250"/>
      <c r="L21" s="250"/>
      <c r="M21" s="250"/>
      <c r="N21" s="250">
        <v>-24.18</v>
      </c>
      <c r="O21" s="250"/>
      <c r="P21" s="252">
        <f>SUM(compras_mes5[[#This Row],[NETO GRAVADO]:[Otros / No Grav.]])</f>
        <v>-1974.9057</v>
      </c>
      <c r="Q21" s="251" t="str">
        <f>IFERROR(IF(compras_mes5[[#This Row],[CUIT]]="","-",VLOOKUP(compras_mes5[[#This Row],[CUIT]],Lista_CUIT[#All],3,0)),"CUIT NO CARGADO")</f>
        <v>Gastos Publicidad y Propaganda</v>
      </c>
      <c r="R21" s="251">
        <f>IFERROR(IF(compras_mes5[[#This Row],[CUIT]]="","-",VLOOKUP(compras_mes5[[#This Row],[CUIT]],Lista_CUIT[#All],4,0)),"CUIT NO CARGADO")</f>
        <v>0</v>
      </c>
    </row>
    <row r="22" spans="2:18" ht="15" customHeight="1" x14ac:dyDescent="0.3">
      <c r="B22" s="242"/>
      <c r="C22" s="243"/>
      <c r="D22" s="244"/>
      <c r="E22" s="245"/>
      <c r="F22" s="246"/>
      <c r="G22" s="247" t="str">
        <f>IFERROR(IF(compras_mes5[[#This Row],[CUIT]]="","-",VLOOKUP(compras_mes5[[#This Row],[CUIT]],Lista_CUIT[#All],2,0)),"CUIT NO CARGADO")</f>
        <v>-</v>
      </c>
      <c r="H22" s="248"/>
      <c r="I22" s="250" t="str">
        <f>IF(compras_mes5[[#This Row],[NETO GRAVADO]]="","",compras_mes5[[#This Row],[NETO GRAVADO]]*0.21)</f>
        <v/>
      </c>
      <c r="J22" s="250"/>
      <c r="K22" s="250"/>
      <c r="L22" s="250"/>
      <c r="M22" s="250"/>
      <c r="N22" s="250"/>
      <c r="O22" s="250"/>
      <c r="P22" s="252">
        <f>SUM(compras_mes5[[#This Row],[NETO GRAVADO]:[Otros / No Grav.]])</f>
        <v>0</v>
      </c>
      <c r="Q22" s="251" t="str">
        <f>IFERROR(IF(compras_mes5[[#This Row],[CUIT]]="","-",VLOOKUP(compras_mes5[[#This Row],[CUIT]],Lista_CUIT[#All],3,0)),"CUIT NO CARGADO")</f>
        <v>-</v>
      </c>
      <c r="R22" s="251" t="str">
        <f>IFERROR(IF(compras_mes5[[#This Row],[CUIT]]="","-",VLOOKUP(compras_mes5[[#This Row],[CUIT]],Lista_CUIT[#All],4,0)),"CUIT NO CARGADO")</f>
        <v>-</v>
      </c>
    </row>
    <row r="23" spans="2:18" ht="15" customHeight="1" x14ac:dyDescent="0.3">
      <c r="B23" s="96" t="s">
        <v>91</v>
      </c>
      <c r="C23" s="96"/>
      <c r="D23" s="96"/>
      <c r="E23" s="96"/>
      <c r="F23" s="96"/>
      <c r="G23" s="97"/>
      <c r="H23" s="98">
        <f>SUBTOTAL(109,compras_mes5[NETO GRAVADO])</f>
        <v>1224307.01</v>
      </c>
      <c r="I23" s="98">
        <f>SUBTOTAL(109,compras_mes5[IVA 21 %])</f>
        <v>257104.47210000001</v>
      </c>
      <c r="J23" s="98">
        <f>SUBTOTAL(109,compras_mes5[IVA 27%])</f>
        <v>0</v>
      </c>
      <c r="K23" s="98">
        <f>SUBTOTAL(109,compras_mes5[IVA 10,5%])</f>
        <v>0</v>
      </c>
      <c r="L23" s="98">
        <f>SUBTOTAL(109,compras_mes5[PERC. IVA])</f>
        <v>0</v>
      </c>
      <c r="M23" s="98">
        <f>SUBTOTAL(109,compras_mes5[PERC IIBB 
BS AS])</f>
        <v>0</v>
      </c>
      <c r="N23" s="98">
        <f>SUBTOTAL(109,compras_mes5[PERC. IIBB CABA])</f>
        <v>15372.2</v>
      </c>
      <c r="O23" s="98">
        <f>SUBTOTAL(109,compras_mes5[Otros / No Grav.])</f>
        <v>30792.780000000002</v>
      </c>
      <c r="P23" s="98">
        <f>SUBTOTAL(109,compras_mes5[TOTAL])</f>
        <v>1527576.4620999999</v>
      </c>
      <c r="Q23" s="96"/>
      <c r="R23" s="96"/>
    </row>
    <row r="24" spans="2:18" ht="15" customHeight="1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  <c r="M24" s="47"/>
      <c r="N24" s="47"/>
      <c r="O24" s="47"/>
      <c r="P24" s="48"/>
      <c r="Q24" s="49"/>
      <c r="R24" s="49"/>
    </row>
    <row r="25" spans="2:18" ht="15" customHeight="1" x14ac:dyDescent="0.3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  <c r="M25" s="47"/>
      <c r="N25" s="47"/>
      <c r="O25" s="47"/>
      <c r="P25" s="48"/>
      <c r="Q25" s="49"/>
      <c r="R25" s="49"/>
    </row>
    <row r="26" spans="2:18" ht="15" customHeight="1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23.4" customHeight="1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</row>
    <row r="28" spans="2:18" ht="21" x14ac:dyDescent="0.3">
      <c r="D28" s="362" t="s">
        <v>15</v>
      </c>
      <c r="E28" s="362"/>
      <c r="F28" s="362"/>
      <c r="G28" s="362"/>
      <c r="H28" s="362"/>
      <c r="I28" s="362"/>
      <c r="J28" s="362"/>
      <c r="K28" s="362"/>
      <c r="L28" s="362"/>
    </row>
    <row r="29" spans="2:18" ht="15.6" x14ac:dyDescent="0.3">
      <c r="D29" s="73" t="s">
        <v>0</v>
      </c>
      <c r="E29" s="74" t="s">
        <v>26</v>
      </c>
      <c r="F29" s="74" t="s">
        <v>16</v>
      </c>
      <c r="G29" s="74" t="s">
        <v>5</v>
      </c>
      <c r="H29" s="74" t="s">
        <v>17</v>
      </c>
      <c r="I29" s="74" t="s">
        <v>7</v>
      </c>
      <c r="J29" s="75" t="s">
        <v>18</v>
      </c>
      <c r="K29" s="75" t="s">
        <v>19</v>
      </c>
      <c r="L29" s="76" t="s">
        <v>20</v>
      </c>
    </row>
    <row r="30" spans="2:18" x14ac:dyDescent="0.3">
      <c r="D30" s="50"/>
      <c r="E30" s="79"/>
      <c r="F30" s="80"/>
      <c r="G30" s="81"/>
      <c r="H30" s="81"/>
      <c r="I30" s="81"/>
      <c r="J30" s="81"/>
      <c r="K30" s="81"/>
      <c r="L30" s="81"/>
    </row>
    <row r="31" spans="2:18" x14ac:dyDescent="0.3">
      <c r="D31" s="50"/>
      <c r="E31" s="79"/>
      <c r="F31" s="80"/>
      <c r="G31" s="81"/>
      <c r="H31" s="81"/>
      <c r="I31" s="81"/>
      <c r="J31" s="81"/>
      <c r="K31" s="81"/>
      <c r="L31" s="81"/>
    </row>
    <row r="32" spans="2:18" x14ac:dyDescent="0.3">
      <c r="D32" s="50"/>
      <c r="E32" s="79"/>
      <c r="F32" s="80"/>
      <c r="G32" s="81"/>
      <c r="H32" s="81"/>
      <c r="I32" s="81"/>
      <c r="J32" s="81"/>
      <c r="K32" s="81"/>
      <c r="L32" s="81"/>
    </row>
    <row r="33" spans="2:18" x14ac:dyDescent="0.3">
      <c r="D33" s="82" t="s">
        <v>91</v>
      </c>
      <c r="E33" s="80"/>
      <c r="F33" s="80"/>
      <c r="G33" s="83">
        <f>SUBTOTAL(109,extracto_banco_mes5[NETO])</f>
        <v>0</v>
      </c>
      <c r="H33" s="83">
        <f>SUBTOTAL(109,extracto_banco_mes5[IVA 21%])</f>
        <v>0</v>
      </c>
      <c r="I33" s="83">
        <f>SUBTOTAL(109,extracto_banco_mes5[IVA 10,5%])</f>
        <v>0</v>
      </c>
      <c r="J33" s="83">
        <f>SUBTOTAL(109,extracto_banco_mes5[RET IIBB CABA])</f>
        <v>0</v>
      </c>
      <c r="K33" s="83">
        <f>SUBTOTAL(109,extracto_banco_mes5[PERC IVA])</f>
        <v>0</v>
      </c>
      <c r="L33" s="83">
        <f>SUBTOTAL(109,extracto_banco_mes5[PERC IIBB])</f>
        <v>0</v>
      </c>
    </row>
    <row r="34" spans="2:18" s="56" customFormat="1" ht="18.600000000000001" customHeight="1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7" spans="2:18" ht="21" x14ac:dyDescent="0.3">
      <c r="D37" s="362" t="s">
        <v>25</v>
      </c>
      <c r="E37" s="362"/>
      <c r="F37" s="362"/>
      <c r="G37" s="362"/>
      <c r="H37" s="362"/>
      <c r="I37" s="362"/>
      <c r="J37" s="362"/>
      <c r="K37" s="362"/>
    </row>
    <row r="38" spans="2:18" x14ac:dyDescent="0.3">
      <c r="D38" s="51" t="s">
        <v>0</v>
      </c>
      <c r="E38" s="51" t="s">
        <v>2</v>
      </c>
      <c r="F38" s="51" t="s">
        <v>74</v>
      </c>
      <c r="G38" s="51" t="s">
        <v>3</v>
      </c>
      <c r="H38" s="51" t="s">
        <v>4</v>
      </c>
      <c r="I38" s="52" t="s">
        <v>10</v>
      </c>
      <c r="J38" s="51" t="s">
        <v>13</v>
      </c>
      <c r="K38" s="51" t="s">
        <v>38</v>
      </c>
    </row>
    <row r="39" spans="2:18" x14ac:dyDescent="0.3">
      <c r="D39" s="50">
        <v>45414</v>
      </c>
      <c r="E39" s="42">
        <v>2</v>
      </c>
      <c r="F39" s="43">
        <v>769</v>
      </c>
      <c r="G39" s="44">
        <v>20400104094</v>
      </c>
      <c r="H39" s="53" t="str">
        <f>IFERROR(IF(factura_c_mes5[[#This Row],[CUIT]]="","-",VLOOKUP(factura_c_mes5[[#This Row],[CUIT]],Lista_CUIT[#All],2,0)),"CUIT NO CARGADO")</f>
        <v>BOTINDARI FEDERICO DANIEL</v>
      </c>
      <c r="I39" s="81">
        <v>80000</v>
      </c>
      <c r="J39" s="54" t="str">
        <f>IFERROR(IF(factura_c_mes5[[#This Row],[CUIT]]="","-",VLOOKUP(factura_c_mes5[[#This Row],[CUIT]],Lista_CUIT[#All],3,0)),"CUIT NO CARGADO")</f>
        <v>HONORARIOS CONTABLE</v>
      </c>
      <c r="K39" s="54">
        <f>IFERROR(IF(factura_c_mes5[[#This Row],[CUIT]]="","-",VLOOKUP(factura_c_mes5[[#This Row],[CUIT]],Lista_CUIT[#All],4,0)),"CUIT NO CARGADO")</f>
        <v>0</v>
      </c>
    </row>
    <row r="40" spans="2:18" x14ac:dyDescent="0.3">
      <c r="D40" s="50">
        <v>45414</v>
      </c>
      <c r="E40" s="42">
        <v>2</v>
      </c>
      <c r="F40" s="43">
        <v>108</v>
      </c>
      <c r="G40" s="44">
        <v>27341104845</v>
      </c>
      <c r="H40" s="53" t="str">
        <f>IFERROR(IF(factura_c_mes5[[#This Row],[CUIT]]="","-",VLOOKUP(factura_c_mes5[[#This Row],[CUIT]],Lista_CUIT[#All],2,0)),"CUIT NO CARGADO")</f>
        <v>BOSSI MARIA PAULA</v>
      </c>
      <c r="I40" s="81">
        <v>104135</v>
      </c>
      <c r="J40" s="54" t="str">
        <f>IFERROR(IF(factura_c_mes5[[#This Row],[CUIT]]="","-",VLOOKUP(factura_c_mes5[[#This Row],[CUIT]],Lista_CUIT[#All],3,0)),"CUIT NO CARGADO")</f>
        <v>HON. ADMINISTRATIVOS</v>
      </c>
      <c r="K40" s="54">
        <f>IFERROR(IF(factura_c_mes5[[#This Row],[CUIT]]="","-",VLOOKUP(factura_c_mes5[[#This Row],[CUIT]],Lista_CUIT[#All],4,0)),"CUIT NO CARGADO")</f>
        <v>0</v>
      </c>
    </row>
    <row r="41" spans="2:18" ht="15.75" customHeight="1" x14ac:dyDescent="0.3">
      <c r="D41" s="50">
        <v>45418</v>
      </c>
      <c r="E41" s="42">
        <v>2</v>
      </c>
      <c r="F41" s="43">
        <v>42</v>
      </c>
      <c r="G41" s="44">
        <v>23380288079</v>
      </c>
      <c r="H41" s="53" t="str">
        <f>IFERROR(IF(factura_c_mes5[[#This Row],[CUIT]]="","-",VLOOKUP(factura_c_mes5[[#This Row],[CUIT]],Lista_CUIT[#All],2,0)),"CUIT NO CARGADO")</f>
        <v>CASTROMAN AGUSTIN</v>
      </c>
      <c r="I41" s="81">
        <v>143893</v>
      </c>
      <c r="J41" s="54" t="str">
        <f>IFERROR(IF(factura_c_mes5[[#This Row],[CUIT]]="","-",VLOOKUP(factura_c_mes5[[#This Row],[CUIT]],Lista_CUIT[#All],3,0)),"CUIT NO CARGADO")</f>
        <v>Diseño Grafico</v>
      </c>
      <c r="K41" s="54">
        <f>IFERROR(IF(factura_c_mes5[[#This Row],[CUIT]]="","-",VLOOKUP(factura_c_mes5[[#This Row],[CUIT]],Lista_CUIT[#All],4,0)),"CUIT NO CARGADO")</f>
        <v>0</v>
      </c>
    </row>
    <row r="42" spans="2:18" x14ac:dyDescent="0.3">
      <c r="D42" s="50">
        <v>45419</v>
      </c>
      <c r="E42" s="42">
        <v>1</v>
      </c>
      <c r="F42" s="43">
        <v>302</v>
      </c>
      <c r="G42" s="44">
        <v>27386311000</v>
      </c>
      <c r="H42" s="53" t="str">
        <f>IFERROR(IF(factura_c_mes5[[#This Row],[CUIT]]="","-",VLOOKUP(factura_c_mes5[[#This Row],[CUIT]],Lista_CUIT[#All],2,0)),"CUIT NO CARGADO")</f>
        <v>OPANASIUK MACARENA ANTONELLA</v>
      </c>
      <c r="I42" s="81">
        <v>250000</v>
      </c>
      <c r="J42" s="54" t="str">
        <f>IFERROR(IF(factura_c_mes5[[#This Row],[CUIT]]="","-",VLOOKUP(factura_c_mes5[[#This Row],[CUIT]],Lista_CUIT[#All],3,0)),"CUIT NO CARGADO")</f>
        <v>Honorarios Profesionales</v>
      </c>
      <c r="K42" s="54">
        <f>IFERROR(IF(factura_c_mes5[[#This Row],[CUIT]]="","-",VLOOKUP(factura_c_mes5[[#This Row],[CUIT]],Lista_CUIT[#All],4,0)),"CUIT NO CARGADO")</f>
        <v>0</v>
      </c>
    </row>
    <row r="43" spans="2:18" ht="15" customHeight="1" x14ac:dyDescent="0.3">
      <c r="D43" s="50">
        <v>45420</v>
      </c>
      <c r="E43" s="42">
        <v>51</v>
      </c>
      <c r="F43" s="43">
        <v>160</v>
      </c>
      <c r="G43" s="44">
        <v>20300985158</v>
      </c>
      <c r="H43" s="253" t="str">
        <f>IFERROR(IF(factura_c_mes5[[#This Row],[CUIT]]="","-",VLOOKUP(factura_c_mes5[[#This Row],[CUIT]],Lista_CUIT[#All],2,0)),"CUIT NO CARGADO")</f>
        <v>GONZALEZ NESTOR RICARDO</v>
      </c>
      <c r="I43" s="254">
        <v>330000</v>
      </c>
      <c r="J43" s="255" t="str">
        <f>IFERROR(IF(factura_c_mes5[[#This Row],[CUIT]]="","-",VLOOKUP(factura_c_mes5[[#This Row],[CUIT]],Lista_CUIT[#All],3,0)),"CUIT NO CARGADO")</f>
        <v>Diseño Grafico</v>
      </c>
      <c r="K43" s="255">
        <f>IFERROR(IF(factura_c_mes5[[#This Row],[CUIT]]="","-",VLOOKUP(factura_c_mes5[[#This Row],[CUIT]],Lista_CUIT[#All],4,0)),"CUIT NO CARGADO")</f>
        <v>0</v>
      </c>
    </row>
    <row r="44" spans="2:18" x14ac:dyDescent="0.3">
      <c r="B44" s="56"/>
      <c r="C44" s="56"/>
      <c r="D44" s="55" t="s">
        <v>91</v>
      </c>
      <c r="E44" s="55"/>
      <c r="F44" s="55"/>
      <c r="G44" s="55"/>
      <c r="H44" s="57"/>
      <c r="I44" s="58">
        <f>SUBTOTAL(109,factura_c_mes5[TOTAL])</f>
        <v>908028</v>
      </c>
      <c r="J44" s="55"/>
      <c r="K44" s="55"/>
      <c r="L44" s="56"/>
      <c r="M44" s="56"/>
      <c r="N44" s="56"/>
      <c r="O44" s="56"/>
      <c r="P44" s="56"/>
      <c r="Q44" s="56"/>
      <c r="R44" s="56"/>
    </row>
    <row r="49" spans="2:13" ht="25.8" x14ac:dyDescent="0.3">
      <c r="B49" s="363" t="s">
        <v>29</v>
      </c>
      <c r="C49" s="363"/>
      <c r="D49" s="363"/>
      <c r="E49" s="363"/>
      <c r="F49" s="363"/>
      <c r="G49" s="363"/>
      <c r="H49" s="363"/>
      <c r="I49" s="363"/>
      <c r="J49" s="363"/>
      <c r="K49" s="364">
        <f>N1</f>
        <v>45413</v>
      </c>
      <c r="L49" s="364"/>
      <c r="M49" s="364"/>
    </row>
    <row r="51" spans="2:13" ht="21" x14ac:dyDescent="0.3">
      <c r="B51" s="365" t="s">
        <v>30</v>
      </c>
      <c r="C51" s="365"/>
    </row>
    <row r="52" spans="2:13" ht="15.6" x14ac:dyDescent="0.3">
      <c r="B52" s="60" t="s">
        <v>0</v>
      </c>
      <c r="C52" s="61" t="s">
        <v>1</v>
      </c>
      <c r="D52" s="61" t="s">
        <v>21</v>
      </c>
      <c r="E52" s="61" t="s">
        <v>22</v>
      </c>
      <c r="F52" s="61" t="s">
        <v>3</v>
      </c>
      <c r="G52" s="61" t="s">
        <v>4</v>
      </c>
      <c r="H52" s="61" t="s">
        <v>23</v>
      </c>
      <c r="I52" s="61" t="s">
        <v>17</v>
      </c>
      <c r="J52" s="61" t="s">
        <v>7</v>
      </c>
      <c r="K52" s="61" t="s">
        <v>24</v>
      </c>
      <c r="L52" s="61" t="s">
        <v>10</v>
      </c>
      <c r="M52" s="62" t="s">
        <v>38</v>
      </c>
    </row>
    <row r="53" spans="2:13" x14ac:dyDescent="0.3">
      <c r="B53" s="40">
        <v>45414</v>
      </c>
      <c r="C53" s="41">
        <v>1</v>
      </c>
      <c r="D53" s="42">
        <v>1</v>
      </c>
      <c r="E53" s="43">
        <v>192</v>
      </c>
      <c r="F53" s="44">
        <v>30715380567</v>
      </c>
      <c r="G53" s="99" t="str">
        <f>IFERROR(IF(venta_a_mes5[[#This Row],[CUIT]]="","-",VLOOKUP(venta_a_mes5[[#This Row],[CUIT]],Lista_CUIT[#All],2,0)),"CUIT NO CARGADO")</f>
        <v>SENS GROUP SRL</v>
      </c>
      <c r="H53" s="100">
        <v>189721.1</v>
      </c>
      <c r="I53" s="101">
        <f>venta_a_mes5[[#This Row],[IMPORTE NETO]]*0.21</f>
        <v>39841.430999999997</v>
      </c>
      <c r="J53" s="65"/>
      <c r="K53" s="65"/>
      <c r="L53" s="65">
        <f>SUM(venta_a_mes5[[#This Row],[IMPORTE NETO]:[EXENTO]])</f>
        <v>229562.53100000002</v>
      </c>
      <c r="M53" s="59"/>
    </row>
    <row r="54" spans="2:13" x14ac:dyDescent="0.3">
      <c r="B54" s="40">
        <v>45414</v>
      </c>
      <c r="C54" s="41">
        <v>1</v>
      </c>
      <c r="D54" s="42">
        <v>1</v>
      </c>
      <c r="E54" s="43">
        <v>183</v>
      </c>
      <c r="F54" s="44">
        <v>20279415656</v>
      </c>
      <c r="G54" s="99" t="str">
        <f>IFERROR(IF(venta_a_mes5[[#This Row],[CUIT]]="","-",VLOOKUP(venta_a_mes5[[#This Row],[CUIT]],Lista_CUIT[#All],2,0)),"CUIT NO CARGADO")</f>
        <v>CECCO ALVARO GONZALO</v>
      </c>
      <c r="H54" s="100">
        <v>75371.899999999994</v>
      </c>
      <c r="I54" s="101">
        <f>venta_a_mes5[[#This Row],[IMPORTE NETO]]*0.21</f>
        <v>15828.098999999998</v>
      </c>
      <c r="J54" s="65"/>
      <c r="K54" s="65"/>
      <c r="L54" s="65">
        <f>SUM(venta_a_mes5[[#This Row],[IMPORTE NETO]:[EXENTO]])</f>
        <v>91199.998999999996</v>
      </c>
      <c r="M54" s="59"/>
    </row>
    <row r="55" spans="2:13" ht="17.25" customHeight="1" x14ac:dyDescent="0.3">
      <c r="B55" s="40">
        <v>45414</v>
      </c>
      <c r="C55" s="41">
        <v>1</v>
      </c>
      <c r="D55" s="42">
        <v>1</v>
      </c>
      <c r="E55" s="43">
        <v>187</v>
      </c>
      <c r="F55" s="44">
        <v>20132082198</v>
      </c>
      <c r="G55" s="99" t="str">
        <f>IFERROR(IF(venta_a_mes5[[#This Row],[CUIT]]="","-",VLOOKUP(venta_a_mes5[[#This Row],[CUIT]],Lista_CUIT[#All],2,0)),"CUIT NO CARGADO")</f>
        <v>FADIGA OSCAR ALBERTO</v>
      </c>
      <c r="H55" s="100">
        <v>47107.43</v>
      </c>
      <c r="I55" s="101">
        <f>venta_a_mes5[[#This Row],[IMPORTE NETO]]*0.21</f>
        <v>9892.5602999999992</v>
      </c>
      <c r="J55" s="65"/>
      <c r="K55" s="65"/>
      <c r="L55" s="65">
        <f>SUM(venta_a_mes5[[#This Row],[IMPORTE NETO]:[EXENTO]])</f>
        <v>56999.990299999998</v>
      </c>
      <c r="M55" s="59"/>
    </row>
    <row r="56" spans="2:13" x14ac:dyDescent="0.3">
      <c r="B56" s="40">
        <v>45414</v>
      </c>
      <c r="C56" s="41">
        <v>1</v>
      </c>
      <c r="D56" s="42">
        <v>1</v>
      </c>
      <c r="E56" s="43">
        <v>182</v>
      </c>
      <c r="F56" s="44">
        <v>20287305460</v>
      </c>
      <c r="G56" s="99" t="str">
        <f>IFERROR(IF(venta_a_mes5[[#This Row],[CUIT]]="","-",VLOOKUP(venta_a_mes5[[#This Row],[CUIT]],Lista_CUIT[#All],2,0)),"CUIT NO CARGADO")</f>
        <v>LANDI GERONIMO</v>
      </c>
      <c r="H56" s="100">
        <v>47107.43</v>
      </c>
      <c r="I56" s="101">
        <f>venta_a_mes5[[#This Row],[IMPORTE NETO]]*0.21</f>
        <v>9892.5602999999992</v>
      </c>
      <c r="J56" s="65"/>
      <c r="K56" s="65"/>
      <c r="L56" s="65">
        <f>SUM(venta_a_mes5[[#This Row],[IMPORTE NETO]:[EXENTO]])</f>
        <v>56999.990299999998</v>
      </c>
      <c r="M56" s="59"/>
    </row>
    <row r="57" spans="2:13" x14ac:dyDescent="0.3">
      <c r="B57" s="40">
        <v>45414</v>
      </c>
      <c r="C57" s="41">
        <v>1</v>
      </c>
      <c r="D57" s="42">
        <v>1</v>
      </c>
      <c r="E57" s="43">
        <v>181</v>
      </c>
      <c r="F57" s="44">
        <v>27165844748</v>
      </c>
      <c r="G57" s="99" t="str">
        <f>IFERROR(IF(venta_a_mes5[[#This Row],[CUIT]]="","-",VLOOKUP(venta_a_mes5[[#This Row],[CUIT]],Lista_CUIT[#All],2,0)),"CUIT NO CARGADO")</f>
        <v>DENATALE MARCELA BEATRIZ</v>
      </c>
      <c r="H57" s="100">
        <v>108264.48</v>
      </c>
      <c r="I57" s="101">
        <f>venta_a_mes5[[#This Row],[IMPORTE NETO]]*0.21</f>
        <v>22735.540799999999</v>
      </c>
      <c r="J57" s="65"/>
      <c r="K57" s="65"/>
      <c r="L57" s="65">
        <f>SUM(venta_a_mes5[[#This Row],[IMPORTE NETO]:[EXENTO]])</f>
        <v>131000.0208</v>
      </c>
      <c r="M57" s="59"/>
    </row>
    <row r="58" spans="2:13" x14ac:dyDescent="0.3">
      <c r="B58" s="40">
        <v>45414</v>
      </c>
      <c r="C58" s="41">
        <v>1</v>
      </c>
      <c r="D58" s="42">
        <v>1</v>
      </c>
      <c r="E58" s="43">
        <v>189</v>
      </c>
      <c r="F58" s="44">
        <v>30716234815</v>
      </c>
      <c r="G58" s="99" t="str">
        <f>IFERROR(IF(venta_a_mes5[[#This Row],[CUIT]]="","-",VLOOKUP(venta_a_mes5[[#This Row],[CUIT]],Lista_CUIT[#All],2,0)),"CUIT NO CARGADO")</f>
        <v>LEVINT PARTNERS S.R.L.</v>
      </c>
      <c r="H58" s="100">
        <v>108264.48</v>
      </c>
      <c r="I58" s="101">
        <f>venta_a_mes5[[#This Row],[IMPORTE NETO]]*0.21</f>
        <v>22735.540799999999</v>
      </c>
      <c r="J58" s="65"/>
      <c r="K58" s="65"/>
      <c r="L58" s="65">
        <f>SUM(venta_a_mes5[[#This Row],[IMPORTE NETO]:[EXENTO]])</f>
        <v>131000.0208</v>
      </c>
      <c r="M58" s="59"/>
    </row>
    <row r="59" spans="2:13" x14ac:dyDescent="0.3">
      <c r="B59" s="40">
        <v>45414</v>
      </c>
      <c r="C59" s="41">
        <v>1</v>
      </c>
      <c r="D59" s="42">
        <v>1</v>
      </c>
      <c r="E59" s="43">
        <v>188</v>
      </c>
      <c r="F59" s="44">
        <v>30688955749</v>
      </c>
      <c r="G59" s="99" t="str">
        <f>IFERROR(IF(venta_a_mes5[[#This Row],[CUIT]]="","-",VLOOKUP(venta_a_mes5[[#This Row],[CUIT]],Lista_CUIT[#All],2,0)),"CUIT NO CARGADO")</f>
        <v>LISERAR S A</v>
      </c>
      <c r="H59" s="100">
        <v>108264.48</v>
      </c>
      <c r="I59" s="101">
        <f>venta_a_mes5[[#This Row],[IMPORTE NETO]]*0.21</f>
        <v>22735.540799999999</v>
      </c>
      <c r="J59" s="65"/>
      <c r="K59" s="65"/>
      <c r="L59" s="65">
        <f>SUM(venta_a_mes5[[#This Row],[IMPORTE NETO]:[EXENTO]])</f>
        <v>131000.0208</v>
      </c>
      <c r="M59" s="63"/>
    </row>
    <row r="60" spans="2:13" x14ac:dyDescent="0.3">
      <c r="B60" s="102">
        <v>45414</v>
      </c>
      <c r="C60" s="41">
        <v>1</v>
      </c>
      <c r="D60" s="104">
        <v>1</v>
      </c>
      <c r="E60" s="105">
        <v>186</v>
      </c>
      <c r="F60" s="106">
        <v>30717465101</v>
      </c>
      <c r="G60" s="99" t="str">
        <f>IFERROR(IF(venta_a_mes5[[#This Row],[CUIT]]="","-",VLOOKUP(venta_a_mes5[[#This Row],[CUIT]],Lista_CUIT[#All],2,0)),"CUIT NO CARGADO")</f>
        <v>EMPRENDIMIENTOS SHOPGLASS S. R. L.</v>
      </c>
      <c r="H60" s="107">
        <v>47107.43</v>
      </c>
      <c r="I60" s="108">
        <f>venta_a_mes5[[#This Row],[IMPORTE NETO]]*0.21</f>
        <v>9892.5602999999992</v>
      </c>
      <c r="J60" s="72"/>
      <c r="K60" s="72"/>
      <c r="L60" s="72">
        <f>SUM(venta_a_mes5[[#This Row],[IMPORTE NETO]:[EXENTO]])</f>
        <v>56999.990299999998</v>
      </c>
      <c r="M60" s="63"/>
    </row>
    <row r="61" spans="2:13" x14ac:dyDescent="0.3">
      <c r="B61" s="109">
        <v>45414</v>
      </c>
      <c r="C61" s="41">
        <v>1</v>
      </c>
      <c r="D61" s="111">
        <v>1</v>
      </c>
      <c r="E61" s="112">
        <v>180</v>
      </c>
      <c r="F61" s="113">
        <v>30717973166</v>
      </c>
      <c r="G61" s="99" t="str">
        <f>IFERROR(IF(venta_a_mes5[[#This Row],[CUIT]]="","-",VLOOKUP(venta_a_mes5[[#This Row],[CUIT]],Lista_CUIT[#All],2,0)),"CUIT NO CARGADO")</f>
        <v>STM ESTILO S.R.L</v>
      </c>
      <c r="H61" s="100">
        <v>47107.43</v>
      </c>
      <c r="I61" s="101">
        <f>venta_a_mes5[[#This Row],[IMPORTE NETO]]*0.21</f>
        <v>9892.5602999999992</v>
      </c>
      <c r="J61" s="65"/>
      <c r="K61" s="65"/>
      <c r="L61" s="65">
        <f>SUM(venta_a_mes5[[#This Row],[IMPORTE NETO]:[EXENTO]])</f>
        <v>56999.990299999998</v>
      </c>
      <c r="M61" s="59"/>
    </row>
    <row r="62" spans="2:13" x14ac:dyDescent="0.3">
      <c r="B62" s="233">
        <v>45414</v>
      </c>
      <c r="C62" s="41">
        <v>1</v>
      </c>
      <c r="D62" s="234">
        <v>1</v>
      </c>
      <c r="E62" s="235">
        <v>178</v>
      </c>
      <c r="F62" s="236">
        <v>30716914077</v>
      </c>
      <c r="G62" s="237" t="str">
        <f>IFERROR(IF(venta_a_mes5[[#This Row],[CUIT]]="","-",VLOOKUP(venta_a_mes5[[#This Row],[CUIT]],Lista_CUIT[#All],2,0)),"CUIT NO CARGADO")</f>
        <v>BACANES</v>
      </c>
      <c r="H62" s="238">
        <v>108264.48</v>
      </c>
      <c r="I62" s="239">
        <f>venta_a_mes5[[#This Row],[IMPORTE NETO]]*0.21</f>
        <v>22735.540799999999</v>
      </c>
      <c r="J62" s="240"/>
      <c r="K62" s="240"/>
      <c r="L62" s="240">
        <f>SUM(venta_a_mes5[[#This Row],[IMPORTE NETO]:[EXENTO]])</f>
        <v>131000.0208</v>
      </c>
      <c r="M62" s="241"/>
    </row>
    <row r="63" spans="2:13" x14ac:dyDescent="0.3">
      <c r="B63" s="233">
        <v>45414</v>
      </c>
      <c r="C63" s="41">
        <v>1</v>
      </c>
      <c r="D63" s="234">
        <v>1</v>
      </c>
      <c r="E63" s="235">
        <v>179</v>
      </c>
      <c r="F63" s="236">
        <v>20284212488</v>
      </c>
      <c r="G63" s="237" t="str">
        <f>IFERROR(IF(venta_a_mes5[[#This Row],[CUIT]]="","-",VLOOKUP(venta_a_mes5[[#This Row],[CUIT]],Lista_CUIT[#All],2,0)),"CUIT NO CARGADO")</f>
        <v>BARLETTA MAXIMILIANO SEBASTIAN</v>
      </c>
      <c r="H63" s="238">
        <v>47107.43</v>
      </c>
      <c r="I63" s="239">
        <f>venta_a_mes5[[#This Row],[IMPORTE NETO]]*0.21</f>
        <v>9892.5602999999992</v>
      </c>
      <c r="J63" s="240"/>
      <c r="K63" s="240"/>
      <c r="L63" s="240">
        <f>SUM(venta_a_mes5[[#This Row],[IMPORTE NETO]:[EXENTO]])</f>
        <v>56999.990299999998</v>
      </c>
      <c r="M63" s="241"/>
    </row>
    <row r="64" spans="2:13" x14ac:dyDescent="0.3">
      <c r="B64" s="223">
        <v>45414</v>
      </c>
      <c r="C64" s="41">
        <v>1</v>
      </c>
      <c r="D64" s="225">
        <v>1</v>
      </c>
      <c r="E64" s="226">
        <v>193</v>
      </c>
      <c r="F64" s="227">
        <v>27312707980</v>
      </c>
      <c r="G64" s="228" t="str">
        <f>IFERROR(IF(venta_a_mes5[[#This Row],[CUIT]]="","-",VLOOKUP(venta_a_mes5[[#This Row],[CUIT]],Lista_CUIT[#All],2,0)),"CUIT NO CARGADO")</f>
        <v>FERRARETTO CARLA ROMINA</v>
      </c>
      <c r="H64" s="229">
        <v>390909.1</v>
      </c>
      <c r="I64" s="230">
        <f>venta_a_mes5[[#This Row],[IMPORTE NETO]]*0.21</f>
        <v>82090.910999999993</v>
      </c>
      <c r="J64" s="231"/>
      <c r="K64" s="231"/>
      <c r="L64" s="231">
        <f>SUM(venta_a_mes5[[#This Row],[IMPORTE NETO]:[EXENTO]])</f>
        <v>473000.01099999994</v>
      </c>
      <c r="M64" s="232"/>
    </row>
    <row r="65" spans="2:13" x14ac:dyDescent="0.3">
      <c r="B65" s="223">
        <v>45414</v>
      </c>
      <c r="C65" s="41">
        <v>1</v>
      </c>
      <c r="D65" s="225">
        <v>1</v>
      </c>
      <c r="E65" s="226">
        <v>184</v>
      </c>
      <c r="F65" s="227">
        <v>20367341808</v>
      </c>
      <c r="G65" s="228" t="str">
        <f>IFERROR(IF(venta_a_mes5[[#This Row],[CUIT]]="","-",VLOOKUP(venta_a_mes5[[#This Row],[CUIT]],Lista_CUIT[#All],2,0)),"CUIT NO CARGADO")</f>
        <v>FEIDAS FERNANDO EMILIANO</v>
      </c>
      <c r="H65" s="229">
        <v>54545.48</v>
      </c>
      <c r="I65" s="230">
        <f>venta_a_mes5[[#This Row],[IMPORTE NETO]]*0.21</f>
        <v>11454.550800000001</v>
      </c>
      <c r="J65" s="231"/>
      <c r="K65" s="231"/>
      <c r="L65" s="231">
        <f>SUM(venta_a_mes5[[#This Row],[IMPORTE NETO]:[EXENTO]])</f>
        <v>66000.030800000008</v>
      </c>
      <c r="M65" s="232"/>
    </row>
    <row r="66" spans="2:13" x14ac:dyDescent="0.3">
      <c r="B66" s="223">
        <v>45414</v>
      </c>
      <c r="C66" s="41">
        <v>1</v>
      </c>
      <c r="D66" s="225">
        <v>1</v>
      </c>
      <c r="E66" s="226">
        <v>185</v>
      </c>
      <c r="F66" s="227">
        <v>30715941763</v>
      </c>
      <c r="G66" s="228" t="str">
        <f>IFERROR(IF(venta_a_mes5[[#This Row],[CUIT]]="","-",VLOOKUP(venta_a_mes5[[#This Row],[CUIT]],Lista_CUIT[#All],2,0)),"CUIT NO CARGADO")</f>
        <v>TOURMALHYN S.R.L.</v>
      </c>
      <c r="H66" s="229">
        <v>24793.38</v>
      </c>
      <c r="I66" s="230">
        <f>venta_a_mes5[[#This Row],[IMPORTE NETO]]*0.21</f>
        <v>5206.6098000000002</v>
      </c>
      <c r="J66" s="231"/>
      <c r="K66" s="231"/>
      <c r="L66" s="231">
        <f>SUM(venta_a_mes5[[#This Row],[IMPORTE NETO]:[EXENTO]])</f>
        <v>29999.989800000003</v>
      </c>
      <c r="M66" s="232"/>
    </row>
    <row r="67" spans="2:13" x14ac:dyDescent="0.3">
      <c r="B67" s="223">
        <v>45414</v>
      </c>
      <c r="C67" s="41">
        <v>1</v>
      </c>
      <c r="D67" s="225">
        <v>1</v>
      </c>
      <c r="E67" s="226">
        <v>176</v>
      </c>
      <c r="F67" s="227">
        <v>30716549107</v>
      </c>
      <c r="G67" s="228" t="str">
        <f>IFERROR(IF(venta_a_mes5[[#This Row],[CUIT]]="","-",VLOOKUP(venta_a_mes5[[#This Row],[CUIT]],Lista_CUIT[#All],2,0)),"CUIT NO CARGADO")</f>
        <v>LAMATEC S.R.L.</v>
      </c>
      <c r="H67" s="229">
        <v>108264.48</v>
      </c>
      <c r="I67" s="230">
        <f>venta_a_mes5[[#This Row],[IMPORTE NETO]]*0.21</f>
        <v>22735.540799999999</v>
      </c>
      <c r="J67" s="231"/>
      <c r="K67" s="231"/>
      <c r="L67" s="231">
        <f>SUM(venta_a_mes5[[#This Row],[IMPORTE NETO]:[EXENTO]])</f>
        <v>131000.0208</v>
      </c>
      <c r="M67" s="232"/>
    </row>
    <row r="68" spans="2:13" x14ac:dyDescent="0.3">
      <c r="B68" s="223">
        <v>45414</v>
      </c>
      <c r="C68" s="41">
        <v>1</v>
      </c>
      <c r="D68" s="225">
        <v>1</v>
      </c>
      <c r="E68" s="226">
        <v>177</v>
      </c>
      <c r="F68" s="227">
        <v>20369499956</v>
      </c>
      <c r="G68" s="228" t="str">
        <f>IFERROR(IF(venta_a_mes5[[#This Row],[CUIT]]="","-",VLOOKUP(venta_a_mes5[[#This Row],[CUIT]],Lista_CUIT[#All],2,0)),"CUIT NO CARGADO")</f>
        <v>LAMARI FRANCO AGUSTIN</v>
      </c>
      <c r="H68" s="229">
        <v>108264.48</v>
      </c>
      <c r="I68" s="230">
        <f>venta_a_mes5[[#This Row],[IMPORTE NETO]]*0.21</f>
        <v>22735.540799999999</v>
      </c>
      <c r="J68" s="231"/>
      <c r="K68" s="231"/>
      <c r="L68" s="231">
        <f>SUM(venta_a_mes5[[#This Row],[IMPORTE NETO]:[EXENTO]])</f>
        <v>131000.0208</v>
      </c>
      <c r="M68" s="232"/>
    </row>
    <row r="69" spans="2:13" x14ac:dyDescent="0.3">
      <c r="B69" s="223">
        <v>45414</v>
      </c>
      <c r="C69" s="41">
        <v>1</v>
      </c>
      <c r="D69" s="225">
        <v>1</v>
      </c>
      <c r="E69" s="226">
        <v>191</v>
      </c>
      <c r="F69" s="227">
        <v>20277452872</v>
      </c>
      <c r="G69" s="228" t="str">
        <f>IFERROR(IF(venta_a_mes5[[#This Row],[CUIT]]="","-",VLOOKUP(venta_a_mes5[[#This Row],[CUIT]],Lista_CUIT[#All],2,0)),"CUIT NO CARGADO")</f>
        <v>GERVASI MAXIMILIANO ARIEL</v>
      </c>
      <c r="H69" s="229">
        <v>390909.1</v>
      </c>
      <c r="I69" s="230">
        <f>venta_a_mes5[[#This Row],[IMPORTE NETO]]*0.21</f>
        <v>82090.910999999993</v>
      </c>
      <c r="J69" s="231"/>
      <c r="K69" s="231"/>
      <c r="L69" s="231">
        <f>SUM(venta_a_mes5[[#This Row],[IMPORTE NETO]:[EXENTO]])</f>
        <v>473000.01099999994</v>
      </c>
      <c r="M69" s="232"/>
    </row>
    <row r="70" spans="2:13" x14ac:dyDescent="0.3">
      <c r="B70" s="223">
        <v>45414</v>
      </c>
      <c r="C70" s="41">
        <v>1</v>
      </c>
      <c r="D70" s="225">
        <v>1</v>
      </c>
      <c r="E70" s="226">
        <v>190</v>
      </c>
      <c r="F70" s="227">
        <v>20320573948</v>
      </c>
      <c r="G70" s="228" t="str">
        <f>IFERROR(IF(venta_a_mes5[[#This Row],[CUIT]]="","-",VLOOKUP(venta_a_mes5[[#This Row],[CUIT]],Lista_CUIT[#All],2,0)),"CUIT NO CARGADO")</f>
        <v>CAVALLOTTI MARCOS DANIEL</v>
      </c>
      <c r="H70" s="229">
        <v>108264.48</v>
      </c>
      <c r="I70" s="230">
        <f>venta_a_mes5[[#This Row],[IMPORTE NETO]]*0.21</f>
        <v>22735.540799999999</v>
      </c>
      <c r="J70" s="231"/>
      <c r="K70" s="231"/>
      <c r="L70" s="231">
        <f>SUM(venta_a_mes5[[#This Row],[IMPORTE NETO]:[EXENTO]])</f>
        <v>131000.0208</v>
      </c>
      <c r="M70" s="232"/>
    </row>
    <row r="71" spans="2:13" x14ac:dyDescent="0.3">
      <c r="B71" s="223">
        <v>45414</v>
      </c>
      <c r="C71" s="41">
        <v>3</v>
      </c>
      <c r="D71" s="225">
        <v>1</v>
      </c>
      <c r="E71" s="226">
        <v>10</v>
      </c>
      <c r="F71" s="227">
        <v>20277452872</v>
      </c>
      <c r="G71" s="228" t="str">
        <f>IFERROR(IF(venta_a_mes5[[#This Row],[CUIT]]="","-",VLOOKUP(venta_a_mes5[[#This Row],[CUIT]],Lista_CUIT[#All],2,0)),"CUIT NO CARGADO")</f>
        <v>GERVASI MAXIMILIANO ARIEL</v>
      </c>
      <c r="H71" s="229">
        <v>-390909.1</v>
      </c>
      <c r="I71" s="230">
        <f>venta_a_mes5[[#This Row],[IMPORTE NETO]]*0.21</f>
        <v>-82090.910999999993</v>
      </c>
      <c r="J71" s="231"/>
      <c r="K71" s="231"/>
      <c r="L71" s="231">
        <f>SUM(venta_a_mes5[[#This Row],[IMPORTE NETO]:[EXENTO]])</f>
        <v>-473000.01099999994</v>
      </c>
      <c r="M71" s="232"/>
    </row>
    <row r="72" spans="2:13" x14ac:dyDescent="0.3">
      <c r="B72" s="223">
        <v>45415</v>
      </c>
      <c r="C72" s="41">
        <v>1</v>
      </c>
      <c r="D72" s="225">
        <v>1</v>
      </c>
      <c r="E72" s="226">
        <v>194</v>
      </c>
      <c r="F72" s="227">
        <v>30718044894</v>
      </c>
      <c r="G72" s="228" t="str">
        <f>IFERROR(IF(venta_a_mes5[[#This Row],[CUIT]]="","-",VLOOKUP(venta_a_mes5[[#This Row],[CUIT]],Lista_CUIT[#All],2,0)),"CUIT NO CARGADO")</f>
        <v>GRUPO NACER ECOLOGICO S.R.L</v>
      </c>
      <c r="H72" s="229">
        <v>312727.28999999998</v>
      </c>
      <c r="I72" s="230">
        <f>venta_a_mes5[[#This Row],[IMPORTE NETO]]*0.21</f>
        <v>65672.730899999995</v>
      </c>
      <c r="J72" s="231"/>
      <c r="K72" s="231"/>
      <c r="L72" s="231">
        <f>SUM(venta_a_mes5[[#This Row],[IMPORTE NETO]:[EXENTO]])</f>
        <v>378400.0209</v>
      </c>
      <c r="M72" s="232"/>
    </row>
    <row r="73" spans="2:13" x14ac:dyDescent="0.3">
      <c r="B73" s="66" t="s">
        <v>91</v>
      </c>
      <c r="C73" s="67"/>
      <c r="D73" s="67"/>
      <c r="E73" s="67"/>
      <c r="F73" s="67"/>
      <c r="G73" s="67"/>
      <c r="H73" s="69">
        <f>SUBTOTAL(109,venta_a_mes5[IMPORTE NETO])</f>
        <v>2041456.7599999998</v>
      </c>
      <c r="I73" s="70">
        <f>SUBTOTAL(109,venta_a_mes5[IVA 21%])</f>
        <v>428705.91960000002</v>
      </c>
      <c r="J73" s="71">
        <f>SUBTOTAL(109,venta_a_mes5[IVA 10,5%])</f>
        <v>0</v>
      </c>
      <c r="K73" s="71">
        <f>SUBTOTAL(109,venta_a_mes5[EXENTO])</f>
        <v>0</v>
      </c>
      <c r="L73" s="71">
        <f>SUBTOTAL(109,venta_a_mes5[TOTAL])</f>
        <v>2470162.6796000004</v>
      </c>
      <c r="M73" s="68">
        <f>SUBTOTAL(103,venta_a_mes5[Provincia])</f>
        <v>0</v>
      </c>
    </row>
    <row r="74" spans="2:13" x14ac:dyDescent="0.3">
      <c r="B74" s="135"/>
      <c r="C74" s="135"/>
      <c r="D74" s="135"/>
      <c r="E74" s="135"/>
      <c r="F74" s="135"/>
      <c r="G74" s="135"/>
      <c r="H74" s="137"/>
      <c r="I74" s="138"/>
      <c r="J74" s="139"/>
      <c r="K74" s="139"/>
      <c r="L74" s="139"/>
      <c r="M74" s="136"/>
    </row>
    <row r="75" spans="2:13" ht="21" x14ac:dyDescent="0.3">
      <c r="B75" s="365" t="s">
        <v>31</v>
      </c>
      <c r="C75" s="365"/>
    </row>
    <row r="76" spans="2:13" ht="15.6" x14ac:dyDescent="0.3">
      <c r="B76" s="60" t="s">
        <v>0</v>
      </c>
      <c r="C76" s="61" t="s">
        <v>1</v>
      </c>
      <c r="D76" s="61" t="s">
        <v>21</v>
      </c>
      <c r="E76" s="61" t="s">
        <v>22</v>
      </c>
      <c r="F76" s="61" t="s">
        <v>3</v>
      </c>
      <c r="G76" s="61" t="s">
        <v>4</v>
      </c>
      <c r="H76" s="61" t="s">
        <v>23</v>
      </c>
      <c r="I76" s="61" t="s">
        <v>17</v>
      </c>
      <c r="J76" s="61" t="s">
        <v>7</v>
      </c>
      <c r="K76" s="61" t="s">
        <v>24</v>
      </c>
      <c r="L76" s="61" t="s">
        <v>10</v>
      </c>
      <c r="M76" s="62" t="s">
        <v>38</v>
      </c>
    </row>
    <row r="77" spans="2:13" x14ac:dyDescent="0.3">
      <c r="B77" s="40">
        <v>45414</v>
      </c>
      <c r="C77" s="41">
        <v>6</v>
      </c>
      <c r="D77" s="42">
        <v>1</v>
      </c>
      <c r="E77" s="43">
        <v>34</v>
      </c>
      <c r="F77" s="44">
        <v>20252582704</v>
      </c>
      <c r="G77" s="1" t="str">
        <f>IFERROR(IF(ventas_b_mes5[[#This Row],[CUIT]]="","-",VLOOKUP(ventas_b_mes5[[#This Row],[CUIT]],Lista_CUIT[#All],2,0)),"CUIT NO CARGADO")</f>
        <v>GARCIA VAUTRIN ANDRES ALBERTO</v>
      </c>
      <c r="H77" s="64">
        <v>108264.48</v>
      </c>
      <c r="I77" s="64">
        <f>ventas_b_mes5[[#This Row],[IMPORTE NETO]]*0.21</f>
        <v>22735.540799999999</v>
      </c>
      <c r="J77" s="64"/>
      <c r="K77" s="64"/>
      <c r="L77" s="64">
        <f>SUM(ventas_b_mes5[[#This Row],[IMPORTE NETO]:[EXENTO]])</f>
        <v>131000.0208</v>
      </c>
      <c r="M77" s="59"/>
    </row>
    <row r="78" spans="2:13" x14ac:dyDescent="0.3">
      <c r="B78" s="40">
        <v>45414</v>
      </c>
      <c r="C78" s="41">
        <v>6</v>
      </c>
      <c r="D78" s="42">
        <v>1</v>
      </c>
      <c r="E78" s="43">
        <v>33</v>
      </c>
      <c r="F78" s="44">
        <v>30592508830</v>
      </c>
      <c r="G78" s="1" t="str">
        <f>IFERROR(IF(ventas_b_mes5[[#This Row],[CUIT]]="","-",VLOOKUP(ventas_b_mes5[[#This Row],[CUIT]],Lista_CUIT[#All],2,0)),"CUIT NO CARGADO")</f>
        <v>INSTITUTO DE ESTUDIOS SUPERIORES DE BUENOS AIRES S A</v>
      </c>
      <c r="H78" s="64">
        <v>41322.33</v>
      </c>
      <c r="I78" s="64">
        <f>ventas_b_mes5[[#This Row],[IMPORTE NETO]]*0.21</f>
        <v>8677.6893</v>
      </c>
      <c r="J78" s="64"/>
      <c r="K78" s="64"/>
      <c r="L78" s="64">
        <f>SUM(ventas_b_mes5[[#This Row],[IMPORTE NETO]:[EXENTO]])</f>
        <v>50000.0193</v>
      </c>
      <c r="M78" s="59"/>
    </row>
    <row r="79" spans="2:13" x14ac:dyDescent="0.3">
      <c r="B79" s="40">
        <v>45414</v>
      </c>
      <c r="C79" s="41">
        <v>6</v>
      </c>
      <c r="D79" s="42">
        <v>1</v>
      </c>
      <c r="E79" s="43">
        <v>35</v>
      </c>
      <c r="F79" s="44">
        <v>29811544</v>
      </c>
      <c r="G79" s="1" t="str">
        <f>IFERROR(IF(ventas_b_mes5[[#This Row],[CUIT]]="","-",VLOOKUP(ventas_b_mes5[[#This Row],[CUIT]],Lista_CUIT[#All],2,0)),"CUIT NO CARGADO")</f>
        <v>ROSSO FAVIO DANIEL</v>
      </c>
      <c r="H79" s="64">
        <v>47107.43</v>
      </c>
      <c r="I79" s="64">
        <f>ventas_b_mes5[[#This Row],[IMPORTE NETO]]*0.21</f>
        <v>9892.5602999999992</v>
      </c>
      <c r="J79" s="64"/>
      <c r="K79" s="64"/>
      <c r="L79" s="64">
        <f>SUM(ventas_b_mes5[[#This Row],[IMPORTE NETO]:[EXENTO]])</f>
        <v>56999.990299999998</v>
      </c>
      <c r="M79" s="59"/>
    </row>
    <row r="80" spans="2:13" x14ac:dyDescent="0.3">
      <c r="B80" s="40"/>
      <c r="C80" s="41"/>
      <c r="D80" s="42"/>
      <c r="E80" s="43"/>
      <c r="F80" s="44"/>
      <c r="G80" s="1" t="str">
        <f>IFERROR(IF(ventas_b_mes5[[#This Row],[CUIT]]="","-",VLOOKUP(ventas_b_mes5[[#This Row],[CUIT]],Lista_CUIT[#All],2,0)),"CUIT NO CARGADO")</f>
        <v>-</v>
      </c>
      <c r="H80" s="64"/>
      <c r="I80" s="64">
        <f>ventas_b_mes5[[#This Row],[IMPORTE NETO]]*0.21</f>
        <v>0</v>
      </c>
      <c r="J80" s="64"/>
      <c r="K80" s="64"/>
      <c r="L80" s="64">
        <f>SUM(ventas_b_mes5[[#This Row],[IMPORTE NETO]:[EXENTO]])</f>
        <v>0</v>
      </c>
      <c r="M80" s="59"/>
    </row>
    <row r="81" spans="2:13" x14ac:dyDescent="0.3">
      <c r="B81" s="40"/>
      <c r="C81" s="41"/>
      <c r="D81" s="42"/>
      <c r="E81" s="43"/>
      <c r="F81" s="44"/>
      <c r="G81" s="1" t="str">
        <f>IFERROR(IF(ventas_b_mes5[[#This Row],[CUIT]]="","-",VLOOKUP(ventas_b_mes5[[#This Row],[CUIT]],Lista_CUIT[#All],2,0)),"CUIT NO CARGADO")</f>
        <v>-</v>
      </c>
      <c r="H81" s="64"/>
      <c r="I81" s="64">
        <f>ventas_b_mes5[[#This Row],[IMPORTE NETO]]*0.21</f>
        <v>0</v>
      </c>
      <c r="J81" s="64"/>
      <c r="K81" s="64"/>
      <c r="L81" s="64">
        <f>SUM(ventas_b_mes5[[#This Row],[IMPORTE NETO]:[EXENTO]])</f>
        <v>0</v>
      </c>
      <c r="M81" s="59"/>
    </row>
    <row r="82" spans="2:13" x14ac:dyDescent="0.3">
      <c r="B82" s="40"/>
      <c r="C82" s="41"/>
      <c r="D82" s="42"/>
      <c r="E82" s="43"/>
      <c r="F82" s="44"/>
      <c r="G82" s="1" t="str">
        <f>IFERROR(IF(ventas_b_mes5[[#This Row],[CUIT]]="","-",VLOOKUP(ventas_b_mes5[[#This Row],[CUIT]],Lista_CUIT[#All],2,0)),"CUIT NO CARGADO")</f>
        <v>-</v>
      </c>
      <c r="H82" s="64"/>
      <c r="I82" s="64">
        <f>ventas_b_mes5[[#This Row],[IMPORTE NETO]]*0.21</f>
        <v>0</v>
      </c>
      <c r="J82" s="64"/>
      <c r="K82" s="64"/>
      <c r="L82" s="64">
        <f>SUM(ventas_b_mes5[[#This Row],[IMPORTE NETO]:[EXENTO]])</f>
        <v>0</v>
      </c>
      <c r="M82" s="59"/>
    </row>
    <row r="83" spans="2:13" x14ac:dyDescent="0.3">
      <c r="B83" s="66" t="s">
        <v>91</v>
      </c>
      <c r="C83" s="67"/>
      <c r="D83" s="67"/>
      <c r="E83" s="67"/>
      <c r="F83" s="67"/>
      <c r="G83" s="67"/>
      <c r="H83" s="77">
        <f>SUBTOTAL(109,ventas_b_mes5[IMPORTE NETO])</f>
        <v>196694.24</v>
      </c>
      <c r="I83" s="77">
        <f>SUBTOTAL(109,ventas_b_mes5[IVA 21%])</f>
        <v>41305.790399999998</v>
      </c>
      <c r="J83" s="78">
        <f>SUBTOTAL(109,ventas_b_mes5[IVA 10,5%])</f>
        <v>0</v>
      </c>
      <c r="K83" s="78">
        <f>SUBTOTAL(109,ventas_b_mes5[EXENTO])</f>
        <v>0</v>
      </c>
      <c r="L83" s="78">
        <f>SUBTOTAL(109,ventas_b_mes5[TOTAL])</f>
        <v>238000.03039999999</v>
      </c>
      <c r="M83" s="68">
        <f>SUBTOTAL(103,ventas_b_mes5[Provincia])</f>
        <v>0</v>
      </c>
    </row>
    <row r="90" spans="2:13" ht="15" thickBot="1" x14ac:dyDescent="0.35"/>
    <row r="91" spans="2:13" ht="15" thickTop="1" x14ac:dyDescent="0.3">
      <c r="C91" s="358" t="s">
        <v>66</v>
      </c>
      <c r="D91" s="358"/>
      <c r="E91" s="358"/>
      <c r="F91" s="358"/>
      <c r="G91" s="358"/>
      <c r="H91" s="32"/>
      <c r="I91" s="32"/>
      <c r="J91" s="32"/>
    </row>
    <row r="92" spans="2:13" ht="15.6" x14ac:dyDescent="0.3">
      <c r="C92" s="114" t="s">
        <v>67</v>
      </c>
      <c r="D92" s="115" t="s">
        <v>68</v>
      </c>
      <c r="E92" s="115" t="s">
        <v>93</v>
      </c>
      <c r="F92" s="115" t="s">
        <v>3</v>
      </c>
      <c r="G92" s="115" t="s">
        <v>4</v>
      </c>
      <c r="H92" s="116" t="s">
        <v>69</v>
      </c>
      <c r="I92" s="116" t="s">
        <v>70</v>
      </c>
      <c r="J92" s="116" t="s">
        <v>71</v>
      </c>
      <c r="K92" s="116" t="s">
        <v>72</v>
      </c>
      <c r="L92" s="116" t="s">
        <v>73</v>
      </c>
    </row>
    <row r="93" spans="2:13" x14ac:dyDescent="0.3">
      <c r="C93" s="117"/>
      <c r="D93" s="118"/>
      <c r="E93" s="118"/>
      <c r="F93" s="119"/>
      <c r="G93" s="53" t="str">
        <f>IFERROR(IF(Retenciones_mes5[[#This Row],[CUIT]]="","-",VLOOKUP(Retenciones_mes5[[#This Row],[CUIT]],Lista_CUIT[#All],2,0)),"CUIT NO CARGADO")</f>
        <v>-</v>
      </c>
      <c r="H93" s="120"/>
      <c r="I93" s="120"/>
      <c r="J93" s="120"/>
      <c r="K93" s="120"/>
      <c r="L93" s="120"/>
    </row>
    <row r="94" spans="2:13" x14ac:dyDescent="0.3">
      <c r="C94" s="117"/>
      <c r="D94" s="118"/>
      <c r="E94" s="118"/>
      <c r="F94" s="119"/>
      <c r="G94" s="53" t="str">
        <f>IFERROR(IF(Retenciones_mes5[[#This Row],[CUIT]]="","-",VLOOKUP(Retenciones_mes5[[#This Row],[CUIT]],Lista_CUIT[#All],2,0)),"CUIT NO CARGADO")</f>
        <v>-</v>
      </c>
      <c r="H94" s="120"/>
      <c r="I94" s="120"/>
      <c r="J94" s="120"/>
      <c r="K94" s="120"/>
      <c r="L94" s="120"/>
    </row>
    <row r="95" spans="2:13" x14ac:dyDescent="0.3">
      <c r="C95" s="117"/>
      <c r="D95" s="118"/>
      <c r="E95" s="118"/>
      <c r="F95" s="119"/>
      <c r="G95" s="53" t="str">
        <f>IFERROR(IF(Retenciones_mes5[[#This Row],[CUIT]]="","-",VLOOKUP(Retenciones_mes5[[#This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3">
      <c r="C96" s="117"/>
      <c r="D96" s="118"/>
      <c r="E96" s="118"/>
      <c r="F96" s="119"/>
      <c r="G96" s="53" t="str">
        <f>IFERROR(IF(Retenciones_mes5[[#This Row],[CUIT]]="","-",VLOOKUP(Retenciones_mes5[[#This Row],[CUIT]],Lista_CUIT[#All],2,0)),"CUIT NO CARGADO")</f>
        <v>-</v>
      </c>
      <c r="H96" s="120"/>
      <c r="I96" s="120"/>
      <c r="J96" s="120"/>
      <c r="K96" s="120"/>
      <c r="L96" s="120"/>
    </row>
    <row r="97" spans="3:7" x14ac:dyDescent="0.3">
      <c r="D97" s="118"/>
      <c r="E97" s="118"/>
      <c r="G97" s="53" t="str">
        <f>IFERROR(IF(Retenciones_mes5[[#This Row],[CUIT]]="","-",VLOOKUP(Retenciones_mes5[[#This Row],[CUIT]],Lista_CUIT[#All],2,0)),"CUIT NO CARGADO")</f>
        <v>-</v>
      </c>
    </row>
    <row r="98" spans="3:7" x14ac:dyDescent="0.3">
      <c r="C98" s="33"/>
    </row>
  </sheetData>
  <mergeCells count="20">
    <mergeCell ref="P4:R4"/>
    <mergeCell ref="D28:L28"/>
    <mergeCell ref="B1:F1"/>
    <mergeCell ref="G1:M1"/>
    <mergeCell ref="N1:R1"/>
    <mergeCell ref="B3:E3"/>
    <mergeCell ref="G3:H3"/>
    <mergeCell ref="J3:K3"/>
    <mergeCell ref="M3:N3"/>
    <mergeCell ref="P3:R3"/>
    <mergeCell ref="C91:G91"/>
    <mergeCell ref="B4:E4"/>
    <mergeCell ref="G4:H4"/>
    <mergeCell ref="J4:K4"/>
    <mergeCell ref="M4:N4"/>
    <mergeCell ref="D37:K37"/>
    <mergeCell ref="B49:J49"/>
    <mergeCell ref="K49:M49"/>
    <mergeCell ref="B51:C51"/>
    <mergeCell ref="B75:C75"/>
  </mergeCells>
  <dataValidations count="13">
    <dataValidation type="custom" allowBlank="1" showInputMessage="1" showErrorMessage="1" sqref="H77:L82" xr:uid="{969388A9-907E-418C-A73C-EAC9875A1269}">
      <formula1>IF($C77=8,H77&lt;0,H77&gt;=0)</formula1>
    </dataValidation>
    <dataValidation type="custom" allowBlank="1" showInputMessage="1" showErrorMessage="1" sqref="L58:L59" xr:uid="{1D485637-5346-4BF9-AFA0-9B3D51DD70D0}">
      <formula1>IF($C23=3,L23&lt;0,L23&gt;=0)</formula1>
    </dataValidation>
    <dataValidation type="whole" allowBlank="1" showInputMessage="1" showErrorMessage="1" sqref="C77:C82" xr:uid="{14452357-EF8D-4E2C-BEBE-A15C7C0D7A53}">
      <formula1>6</formula1>
      <formula2>8</formula2>
    </dataValidation>
    <dataValidation type="custom" allowBlank="1" showInputMessage="1" showErrorMessage="1" sqref="H53:K53 H55:K55 H57:K57 H59:K59" xr:uid="{8E276390-869C-4428-8814-AF4387D2ED7B}">
      <formula1>IF($C53=3,H53&lt;0,H53&gt;=0)</formula1>
    </dataValidation>
    <dataValidation type="whole" allowBlank="1" showInputMessage="1" showErrorMessage="1" sqref="C9:C22 C24:C27 C53:C72 C74" xr:uid="{4DF20591-8B52-4E62-AD68-16AECE8B0837}">
      <formula1>1</formula1>
      <formula2>3</formula2>
    </dataValidation>
    <dataValidation type="date" allowBlank="1" showInputMessage="1" showErrorMessage="1" sqref="B9:B22 D30:D32 B74 B24:B27 B77:B82 B53:B72 D39:D43" xr:uid="{D2311789-AE7F-4E39-8A48-28E3D9193766}">
      <formula1>40179</formula1>
      <formula2>TODAY()</formula2>
    </dataValidation>
    <dataValidation type="whole" allowBlank="1" showInputMessage="1" showErrorMessage="1" sqref="F9:F22 F74 F77:F82 F53:F72 G39:G43" xr:uid="{3CC055D9-236F-40B4-8D8E-9A5C71E803DA}">
      <formula1>20000000000</formula1>
      <formula2>33999999999</formula2>
    </dataValidation>
    <dataValidation type="whole" allowBlank="1" showInputMessage="1" showErrorMessage="1" sqref="E9:E22 E74 E77:E82 E53:E72 F39:F43" xr:uid="{1A5F7DCD-66BC-442E-9286-922FC6F695AE}">
      <formula1>1</formula1>
      <formula2>99999999</formula2>
    </dataValidation>
    <dataValidation type="whole" allowBlank="1" showInputMessage="1" showErrorMessage="1" sqref="D9:D22 D74 D77:D82 D53:D72 E39:E43" xr:uid="{23B5F0FA-119A-45B3-8336-3887AF87A221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2" xr:uid="{8FDD8642-9AD8-402D-BB2C-DF5A8F928B81}">
      <formula1>IF($C9=3,H9&lt;0,H9&gt;=0)</formula1>
    </dataValidation>
    <dataValidation type="custom" allowBlank="1" showInputMessage="1" showErrorMessage="1" sqref="L53:L54" xr:uid="{1D8CCDAC-7B23-4230-AE4C-AFE9075C0AF2}">
      <formula1>IF($C9=3,L9&lt;0,L9&gt;=0)</formula1>
    </dataValidation>
    <dataValidation type="custom" allowBlank="1" showInputMessage="1" showErrorMessage="1" sqref="L56:L57" xr:uid="{B64C38A7-40EC-4E4D-B6FE-B1C948E8C6A5}">
      <formula1>IF($C23=3,L23&lt;0,L23&gt;=0)</formula1>
    </dataValidation>
    <dataValidation type="custom" allowBlank="1" showInputMessage="1" showErrorMessage="1" sqref="L55" xr:uid="{ECA5042B-76D1-4CF8-847F-22952F75AC49}">
      <formula1>IF($C13=3,L13&lt;0,L13&gt;=0)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</sheetPr>
  <dimension ref="A1:Z97"/>
  <sheetViews>
    <sheetView showGridLines="0" zoomScaleNormal="100" workbookViewId="0">
      <selection activeCell="K24" sqref="K24"/>
    </sheetView>
  </sheetViews>
  <sheetFormatPr baseColWidth="10" defaultColWidth="0" defaultRowHeight="14.4" x14ac:dyDescent="0.3"/>
  <cols>
    <col min="1" max="1" width="1.6640625" customWidth="1"/>
    <col min="2" max="2" width="12.10937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33203125" customWidth="1"/>
    <col min="8" max="8" width="15" customWidth="1"/>
    <col min="9" max="9" width="11.5546875" customWidth="1"/>
    <col min="10" max="10" width="11.44140625" customWidth="1"/>
    <col min="11" max="11" width="16.44140625" customWidth="1"/>
    <col min="12" max="12" width="12.6640625" customWidth="1"/>
    <col min="13" max="13" width="10.33203125" customWidth="1"/>
    <col min="14" max="14" width="15.33203125" customWidth="1"/>
    <col min="15" max="15" width="9.5546875" customWidth="1"/>
    <col min="16" max="16" width="12.6640625" customWidth="1"/>
    <col min="17" max="17" width="19.332031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69" t="str">
        <f>'Ene-24'!G1:M1</f>
        <v>RABLEB SRL</v>
      </c>
      <c r="H1" s="369"/>
      <c r="I1" s="369"/>
      <c r="J1" s="369"/>
      <c r="K1" s="369"/>
      <c r="L1" s="369"/>
      <c r="M1" s="369"/>
      <c r="N1" s="370">
        <f>EDATE('Ene-24'!N1,5)</f>
        <v>45444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SUM(compras_mes6[[#Totals],[NETO GRAVADO]])+extracto_banco_mes6[[#Totals],[NETO]]</f>
        <v>1573035.3199999996</v>
      </c>
      <c r="C4" s="359"/>
      <c r="D4" s="359"/>
      <c r="E4" s="359"/>
      <c r="F4" s="39"/>
      <c r="G4" s="360">
        <f>compras_mes6[[#Totals],[IVA 21 %]]+compras_mes6[[#Totals],[IVA 27%]]+compras_mes6[[#Totals],[IVA 10,5%]]+extracto_banco_mes6[[#Totals],[IVA 21%]]+extracto_banco_mes6[[#Totals],[IVA 10,5%]]</f>
        <v>330337.41719999997</v>
      </c>
      <c r="H4" s="360"/>
      <c r="I4" s="39"/>
      <c r="J4" s="361">
        <f>venta_a_mes6[[#Totals],[IMPORTE NETO]]+ventas_b_mes6[[#Totals],[IMPORTE NETO]]</f>
        <v>3200310.96</v>
      </c>
      <c r="K4" s="361"/>
      <c r="L4" s="39"/>
      <c r="M4" s="361">
        <f>venta_a_mes6[[#Totals],[IVA 21%]]+venta_a_mes6[[#Totals],[IVA 10,5%]]+ventas_b_mes6[[#Totals],[IVA 21%]]+ventas_b_mes6[[#Totals],[IVA 10,5%]]</f>
        <v>672065.30150000006</v>
      </c>
      <c r="N4" s="361"/>
      <c r="O4" s="39"/>
      <c r="P4" s="366">
        <f>G4-M4</f>
        <v>-341727.88430000009</v>
      </c>
      <c r="Q4" s="367"/>
      <c r="R4" s="367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45456</v>
      </c>
      <c r="C9" s="41">
        <v>1</v>
      </c>
      <c r="D9" s="42">
        <v>3</v>
      </c>
      <c r="E9" s="43">
        <v>800</v>
      </c>
      <c r="F9" s="44">
        <v>33717568899</v>
      </c>
      <c r="G9" s="45" t="str">
        <f>IFERROR(IF(compras_mes6[[#This Row],[CUIT]]="","-",VLOOKUP(compras_mes6[[#This Row],[CUIT]],Lista_CUIT[#All],2,0)),"CUIT NO CARGADO")</f>
        <v>COOPERATIVA DE TRABAJO LOS REMANSEROS LIMITADA</v>
      </c>
      <c r="H9" s="46">
        <v>81611.570000000007</v>
      </c>
      <c r="I9" s="85">
        <f>IF(compras_mes6[[#This Row],[NETO GRAVADO]]="","",compras_mes6[[#This Row],[NETO GRAVADO]]*0.21)</f>
        <v>17138.429700000001</v>
      </c>
      <c r="J9" s="85"/>
      <c r="K9" s="85"/>
      <c r="L9" s="85"/>
      <c r="M9" s="85"/>
      <c r="N9" s="85"/>
      <c r="O9" s="85"/>
      <c r="P9" s="87">
        <f>SUM(compras_mes6[[#This Row],[NETO GRAVADO]:[Otros / No Grav.]])</f>
        <v>98749.999700000015</v>
      </c>
      <c r="Q9" s="49" t="str">
        <f>IFERROR(IF(compras_mes6[[#This Row],[CUIT]]="","-",VLOOKUP(compras_mes6[[#This Row],[CUIT]],Lista_CUIT[#All],3,0)),"CUIT NO CARGADO")</f>
        <v>Gastos Varios</v>
      </c>
      <c r="R9" s="49">
        <f>IFERROR(IF(compras_mes6[[#This Row],[CUIT]]="","-",VLOOKUP(compras_mes6[[#This Row],[CUIT]],Lista_CUIT[#All],4,0)),"CUIT NO CARGADO")</f>
        <v>0</v>
      </c>
    </row>
    <row r="10" spans="1:26" x14ac:dyDescent="0.3">
      <c r="B10" s="40">
        <v>45458</v>
      </c>
      <c r="C10" s="41">
        <v>1</v>
      </c>
      <c r="D10" s="42">
        <v>2</v>
      </c>
      <c r="E10" s="43">
        <v>1270285</v>
      </c>
      <c r="F10" s="44">
        <v>30710173652</v>
      </c>
      <c r="G10" s="45" t="str">
        <f>IFERROR(IF(compras_mes6[[#This Row],[CUIT]]="","-",VLOOKUP(compras_mes6[[#This Row],[CUIT]],Lista_CUIT[#All],2,0)),"CUIT NO CARGADO")</f>
        <v>DATTATEC.COM S.R.L.</v>
      </c>
      <c r="H10" s="46">
        <v>21760.33</v>
      </c>
      <c r="I10" s="85">
        <f>IF(compras_mes6[[#This Row],[NETO GRAVADO]]="","",compras_mes6[[#This Row],[NETO GRAVADO]]*0.21)</f>
        <v>4569.6693000000005</v>
      </c>
      <c r="J10" s="85"/>
      <c r="K10" s="85"/>
      <c r="L10" s="85"/>
      <c r="M10" s="85"/>
      <c r="N10" s="85"/>
      <c r="O10" s="85"/>
      <c r="P10" s="87">
        <f>SUM(compras_mes6[[#This Row],[NETO GRAVADO]:[Otros / No Grav.]])</f>
        <v>26329.999300000003</v>
      </c>
      <c r="Q10" s="49" t="str">
        <f>IFERROR(IF(compras_mes6[[#This Row],[CUIT]]="","-",VLOOKUP(compras_mes6[[#This Row],[CUIT]],Lista_CUIT[#All],3,0)),"CUIT NO CARGADO")</f>
        <v>Gastos Publicidad y Propaganda</v>
      </c>
      <c r="R10" s="49">
        <f>IFERROR(IF(compras_mes6[[#This Row],[CUIT]]="","-",VLOOKUP(compras_mes6[[#This Row],[CUIT]],Lista_CUIT[#All],4,0)),"CUIT NO CARGADO")</f>
        <v>0</v>
      </c>
    </row>
    <row r="11" spans="1:26" x14ac:dyDescent="0.3">
      <c r="B11" s="89">
        <v>45473</v>
      </c>
      <c r="C11" s="41">
        <v>1</v>
      </c>
      <c r="D11" s="91">
        <v>11</v>
      </c>
      <c r="E11" s="92">
        <v>999355</v>
      </c>
      <c r="F11" s="93">
        <v>33709585229</v>
      </c>
      <c r="G11" s="94" t="str">
        <f>IFERROR(IF(compras_mes6[[#This Row],[CUIT]]="","-",VLOOKUP(compras_mes6[[#This Row],[CUIT]],Lista_CUIT[#All],2,0)),"CUIT NO CARGADO")</f>
        <v>GOOGLE ARGENTINA S.R.L.</v>
      </c>
      <c r="H11" s="46">
        <v>75234.16</v>
      </c>
      <c r="I11" s="86">
        <f>IF(compras_mes6[[#This Row],[NETO GRAVADO]]="","",compras_mes6[[#This Row],[NETO GRAVADO]]*0.21)</f>
        <v>15799.1736</v>
      </c>
      <c r="J11" s="86"/>
      <c r="K11" s="86"/>
      <c r="L11" s="86"/>
      <c r="M11" s="86"/>
      <c r="N11" s="86">
        <v>1128.51</v>
      </c>
      <c r="O11" s="86">
        <v>2257.02</v>
      </c>
      <c r="P11" s="256">
        <f>SUM(compras_mes6[[#This Row],[NETO GRAVADO]:[Otros / No Grav.]])</f>
        <v>94418.863599999997</v>
      </c>
      <c r="Q11" s="88" t="str">
        <f>IFERROR(IF(compras_mes6[[#This Row],[CUIT]]="","-",VLOOKUP(compras_mes6[[#This Row],[CUIT]],Lista_CUIT[#All],3,0)),"CUIT NO CARGADO")</f>
        <v>Gastos Publicidad y Propaganda</v>
      </c>
      <c r="R11" s="88">
        <f>IFERROR(IF(compras_mes6[[#This Row],[CUIT]]="","-",VLOOKUP(compras_mes6[[#This Row],[CUIT]],Lista_CUIT[#All],4,0)),"CUIT NO CARGADO")</f>
        <v>0</v>
      </c>
    </row>
    <row r="12" spans="1:26" x14ac:dyDescent="0.3">
      <c r="B12" s="89">
        <v>45473</v>
      </c>
      <c r="C12" s="41">
        <v>1</v>
      </c>
      <c r="D12" s="91">
        <v>11</v>
      </c>
      <c r="E12" s="92">
        <v>1005061</v>
      </c>
      <c r="F12" s="93">
        <v>33709585229</v>
      </c>
      <c r="G12" s="94" t="str">
        <f>IFERROR(IF(compras_mes6[[#This Row],[CUIT]]="","-",VLOOKUP(compras_mes6[[#This Row],[CUIT]],Lista_CUIT[#All],2,0)),"CUIT NO CARGADO")</f>
        <v>GOOGLE ARGENTINA S.R.L.</v>
      </c>
      <c r="H12" s="46">
        <v>156948.22</v>
      </c>
      <c r="I12" s="86">
        <f>IF(compras_mes6[[#This Row],[NETO GRAVADO]]="","",compras_mes6[[#This Row],[NETO GRAVADO]]*0.21)</f>
        <v>32959.126199999999</v>
      </c>
      <c r="J12" s="86"/>
      <c r="K12" s="86"/>
      <c r="L12" s="86"/>
      <c r="M12" s="86"/>
      <c r="N12" s="86">
        <v>2354.2199999999998</v>
      </c>
      <c r="O12" s="86">
        <v>4708.45</v>
      </c>
      <c r="P12" s="256">
        <f>SUM(compras_mes6[[#This Row],[NETO GRAVADO]:[Otros / No Grav.]])</f>
        <v>196970.01620000001</v>
      </c>
      <c r="Q12" s="88" t="str">
        <f>IFERROR(IF(compras_mes6[[#This Row],[CUIT]]="","-",VLOOKUP(compras_mes6[[#This Row],[CUIT]],Lista_CUIT[#All],3,0)),"CUIT NO CARGADO")</f>
        <v>Gastos Publicidad y Propaganda</v>
      </c>
      <c r="R12" s="88">
        <f>IFERROR(IF(compras_mes6[[#This Row],[CUIT]]="","-",VLOOKUP(compras_mes6[[#This Row],[CUIT]],Lista_CUIT[#All],4,0)),"CUIT NO CARGADO")</f>
        <v>0</v>
      </c>
    </row>
    <row r="13" spans="1:26" x14ac:dyDescent="0.3">
      <c r="B13" s="40">
        <v>45473</v>
      </c>
      <c r="C13" s="41">
        <v>1</v>
      </c>
      <c r="D13" s="42">
        <v>11</v>
      </c>
      <c r="E13" s="43">
        <v>1000544</v>
      </c>
      <c r="F13" s="44">
        <v>33709585229</v>
      </c>
      <c r="G13" s="45" t="str">
        <f>IFERROR(IF(compras_mes6[[#This Row],[CUIT]]="","-",VLOOKUP(compras_mes6[[#This Row],[CUIT]],Lista_CUIT[#All],2,0)),"CUIT NO CARGADO")</f>
        <v>GOOGLE ARGENTINA S.R.L.</v>
      </c>
      <c r="H13" s="46">
        <v>19614.3</v>
      </c>
      <c r="I13" s="85">
        <f>IF(compras_mes6[[#This Row],[NETO GRAVADO]]="","",compras_mes6[[#This Row],[NETO GRAVADO]]*0.21)</f>
        <v>4119.0029999999997</v>
      </c>
      <c r="J13" s="85"/>
      <c r="K13" s="85"/>
      <c r="L13" s="85"/>
      <c r="M13" s="85"/>
      <c r="N13" s="85">
        <v>294.20999999999998</v>
      </c>
      <c r="O13" s="85">
        <v>588.42999999999995</v>
      </c>
      <c r="P13" s="257">
        <f>SUM(compras_mes6[[#This Row],[NETO GRAVADO]:[Otros / No Grav.]])</f>
        <v>24615.942999999999</v>
      </c>
      <c r="Q13" s="49" t="str">
        <f>IFERROR(IF(compras_mes6[[#This Row],[CUIT]]="","-",VLOOKUP(compras_mes6[[#This Row],[CUIT]],Lista_CUIT[#All],3,0)),"CUIT NO CARGADO")</f>
        <v>Gastos Publicidad y Propaganda</v>
      </c>
      <c r="R13" s="49">
        <f>IFERROR(IF(compras_mes6[[#This Row],[CUIT]]="","-",VLOOKUP(compras_mes6[[#This Row],[CUIT]],Lista_CUIT[#All],4,0)),"CUIT NO CARGADO")</f>
        <v>0</v>
      </c>
    </row>
    <row r="14" spans="1:26" x14ac:dyDescent="0.3">
      <c r="B14" s="40">
        <v>45473</v>
      </c>
      <c r="C14" s="41">
        <v>1</v>
      </c>
      <c r="D14" s="42">
        <v>11</v>
      </c>
      <c r="E14" s="43">
        <v>998023</v>
      </c>
      <c r="F14" s="44">
        <v>33709585229</v>
      </c>
      <c r="G14" s="45" t="str">
        <f>IFERROR(IF(compras_mes6[[#This Row],[CUIT]]="","-",VLOOKUP(compras_mes6[[#This Row],[CUIT]],Lista_CUIT[#All],2,0)),"CUIT NO CARGADO")</f>
        <v>GOOGLE ARGENTINA S.R.L.</v>
      </c>
      <c r="H14" s="46">
        <v>51990.82</v>
      </c>
      <c r="I14" s="85">
        <f>IF(compras_mes6[[#This Row],[NETO GRAVADO]]="","",compras_mes6[[#This Row],[NETO GRAVADO]]*0.21)</f>
        <v>10918.072199999999</v>
      </c>
      <c r="J14" s="85"/>
      <c r="K14" s="85"/>
      <c r="L14" s="85"/>
      <c r="M14" s="85"/>
      <c r="N14" s="85">
        <v>779.86</v>
      </c>
      <c r="O14" s="85">
        <v>1559.72</v>
      </c>
      <c r="P14" s="257">
        <f>SUM(compras_mes6[[#This Row],[NETO GRAVADO]:[Otros / No Grav.]])</f>
        <v>65248.472200000004</v>
      </c>
      <c r="Q14" s="49" t="str">
        <f>IFERROR(IF(compras_mes6[[#This Row],[CUIT]]="","-",VLOOKUP(compras_mes6[[#This Row],[CUIT]],Lista_CUIT[#All],3,0)),"CUIT NO CARGADO")</f>
        <v>Gastos Publicidad y Propaganda</v>
      </c>
      <c r="R14" s="49">
        <f>IFERROR(IF(compras_mes6[[#This Row],[CUIT]]="","-",VLOOKUP(compras_mes6[[#This Row],[CUIT]],Lista_CUIT[#All],4,0)),"CUIT NO CARGADO")</f>
        <v>0</v>
      </c>
    </row>
    <row r="15" spans="1:26" x14ac:dyDescent="0.3">
      <c r="B15" s="40">
        <v>45473</v>
      </c>
      <c r="C15" s="41">
        <v>1</v>
      </c>
      <c r="D15" s="42">
        <v>11</v>
      </c>
      <c r="E15" s="43">
        <v>1003551</v>
      </c>
      <c r="F15" s="44">
        <v>33709585229</v>
      </c>
      <c r="G15" s="45" t="str">
        <f>IFERROR(IF(compras_mes6[[#This Row],[CUIT]]="","-",VLOOKUP(compras_mes6[[#This Row],[CUIT]],Lista_CUIT[#All],2,0)),"CUIT NO CARGADO")</f>
        <v>GOOGLE ARGENTINA S.R.L.</v>
      </c>
      <c r="H15" s="46">
        <v>1002105.38</v>
      </c>
      <c r="I15" s="85">
        <f>IF(compras_mes6[[#This Row],[NETO GRAVADO]]="","",compras_mes6[[#This Row],[NETO GRAVADO]]*0.21)</f>
        <v>210442.1298</v>
      </c>
      <c r="J15" s="85"/>
      <c r="K15" s="85"/>
      <c r="L15" s="85"/>
      <c r="M15" s="85"/>
      <c r="N15" s="85">
        <v>15031.58</v>
      </c>
      <c r="O15" s="85">
        <v>30063.16</v>
      </c>
      <c r="P15" s="257">
        <f>SUM(compras_mes6[[#This Row],[NETO GRAVADO]:[Otros / No Grav.]])</f>
        <v>1257642.2498000001</v>
      </c>
      <c r="Q15" s="49" t="str">
        <f>IFERROR(IF(compras_mes6[[#This Row],[CUIT]]="","-",VLOOKUP(compras_mes6[[#This Row],[CUIT]],Lista_CUIT[#All],3,0)),"CUIT NO CARGADO")</f>
        <v>Gastos Publicidad y Propaganda</v>
      </c>
      <c r="R15" s="49">
        <f>IFERROR(IF(compras_mes6[[#This Row],[CUIT]]="","-",VLOOKUP(compras_mes6[[#This Row],[CUIT]],Lista_CUIT[#All],4,0)),"CUIT NO CARGADO")</f>
        <v>0</v>
      </c>
    </row>
    <row r="16" spans="1:26" x14ac:dyDescent="0.3">
      <c r="B16" s="242">
        <v>45473</v>
      </c>
      <c r="C16" s="41">
        <v>1</v>
      </c>
      <c r="D16" s="244">
        <v>11</v>
      </c>
      <c r="E16" s="245">
        <v>1007901</v>
      </c>
      <c r="F16" s="246">
        <v>33709585229</v>
      </c>
      <c r="G16" s="247" t="str">
        <f>IFERROR(IF(compras_mes6[[#This Row],[CUIT]]="","-",VLOOKUP(compras_mes6[[#This Row],[CUIT]],Lista_CUIT[#All],2,0)),"CUIT NO CARGADO")</f>
        <v>GOOGLE ARGENTINA S.R.L.</v>
      </c>
      <c r="H16" s="46">
        <v>62111.89</v>
      </c>
      <c r="I16" s="250">
        <f>IF(compras_mes6[[#This Row],[NETO GRAVADO]]="","",compras_mes6[[#This Row],[NETO GRAVADO]]*0.21)</f>
        <v>13043.4969</v>
      </c>
      <c r="J16" s="250"/>
      <c r="K16" s="250"/>
      <c r="L16" s="250"/>
      <c r="M16" s="250"/>
      <c r="N16" s="250">
        <v>931.68</v>
      </c>
      <c r="O16" s="250">
        <v>1863.36</v>
      </c>
      <c r="P16" s="258">
        <f>SUM(compras_mes6[[#This Row],[NETO GRAVADO]:[Otros / No Grav.]])</f>
        <v>77950.426899999991</v>
      </c>
      <c r="Q16" s="251" t="str">
        <f>IFERROR(IF(compras_mes6[[#This Row],[CUIT]]="","-",VLOOKUP(compras_mes6[[#This Row],[CUIT]],Lista_CUIT[#All],3,0)),"CUIT NO CARGADO")</f>
        <v>Gastos Publicidad y Propaganda</v>
      </c>
      <c r="R16" s="251">
        <f>IFERROR(IF(compras_mes6[[#This Row],[CUIT]]="","-",VLOOKUP(compras_mes6[[#This Row],[CUIT]],Lista_CUIT[#All],4,0)),"CUIT NO CARGADO")</f>
        <v>0</v>
      </c>
    </row>
    <row r="17" spans="2:18" x14ac:dyDescent="0.3">
      <c r="B17" s="242">
        <v>45473</v>
      </c>
      <c r="C17" s="41">
        <v>1</v>
      </c>
      <c r="D17" s="244">
        <v>11</v>
      </c>
      <c r="E17" s="245">
        <v>1007377</v>
      </c>
      <c r="F17" s="246">
        <v>33709585229</v>
      </c>
      <c r="G17" s="247" t="str">
        <f>IFERROR(IF(compras_mes6[[#This Row],[CUIT]]="","-",VLOOKUP(compras_mes6[[#This Row],[CUIT]],Lista_CUIT[#All],2,0)),"CUIT NO CARGADO")</f>
        <v>GOOGLE ARGENTINA S.R.L.</v>
      </c>
      <c r="H17" s="46">
        <v>105484.16</v>
      </c>
      <c r="I17" s="250">
        <f>IF(compras_mes6[[#This Row],[NETO GRAVADO]]="","",compras_mes6[[#This Row],[NETO GRAVADO]]*0.21)</f>
        <v>22151.673599999998</v>
      </c>
      <c r="J17" s="250"/>
      <c r="K17" s="250"/>
      <c r="L17" s="250"/>
      <c r="M17" s="250"/>
      <c r="N17" s="250">
        <v>1582.26</v>
      </c>
      <c r="O17" s="250">
        <v>3164.52</v>
      </c>
      <c r="P17" s="258">
        <f>SUM(compras_mes6[[#This Row],[NETO GRAVADO]:[Otros / No Grav.]])</f>
        <v>132382.61359999998</v>
      </c>
      <c r="Q17" s="251" t="str">
        <f>IFERROR(IF(compras_mes6[[#This Row],[CUIT]]="","-",VLOOKUP(compras_mes6[[#This Row],[CUIT]],Lista_CUIT[#All],3,0)),"CUIT NO CARGADO")</f>
        <v>Gastos Publicidad y Propaganda</v>
      </c>
      <c r="R17" s="251">
        <f>IFERROR(IF(compras_mes6[[#This Row],[CUIT]]="","-",VLOOKUP(compras_mes6[[#This Row],[CUIT]],Lista_CUIT[#All],4,0)),"CUIT NO CARGADO")</f>
        <v>0</v>
      </c>
    </row>
    <row r="18" spans="2:18" x14ac:dyDescent="0.3">
      <c r="B18" s="242">
        <v>45473</v>
      </c>
      <c r="C18" s="243">
        <v>3</v>
      </c>
      <c r="D18" s="244">
        <v>11</v>
      </c>
      <c r="E18" s="245">
        <v>735006</v>
      </c>
      <c r="F18" s="246">
        <v>33709585229</v>
      </c>
      <c r="G18" s="247" t="str">
        <f>IFERROR(IF(compras_mes6[[#This Row],[CUIT]]="","-",VLOOKUP(compras_mes6[[#This Row],[CUIT]],Lista_CUIT[#All],2,0)),"CUIT NO CARGADO")</f>
        <v>GOOGLE ARGENTINA S.R.L.</v>
      </c>
      <c r="H18" s="46">
        <v>-22337.02</v>
      </c>
      <c r="I18" s="250">
        <f>IF(compras_mes6[[#This Row],[NETO GRAVADO]]="","",compras_mes6[[#This Row],[NETO GRAVADO]]*0.21)</f>
        <v>-4690.7741999999998</v>
      </c>
      <c r="J18" s="250"/>
      <c r="K18" s="250"/>
      <c r="L18" s="250"/>
      <c r="M18" s="250"/>
      <c r="N18" s="250">
        <v>-335.06</v>
      </c>
      <c r="O18" s="250">
        <v>-670.11</v>
      </c>
      <c r="P18" s="258">
        <f>SUM(compras_mes6[[#This Row],[NETO GRAVADO]:[Otros / No Grav.]])</f>
        <v>-28032.964200000002</v>
      </c>
      <c r="Q18" s="251" t="str">
        <f>IFERROR(IF(compras_mes6[[#This Row],[CUIT]]="","-",VLOOKUP(compras_mes6[[#This Row],[CUIT]],Lista_CUIT[#All],3,0)),"CUIT NO CARGADO")</f>
        <v>Gastos Publicidad y Propaganda</v>
      </c>
      <c r="R18" s="251">
        <f>IFERROR(IF(compras_mes6[[#This Row],[CUIT]]="","-",VLOOKUP(compras_mes6[[#This Row],[CUIT]],Lista_CUIT[#All],4,0)),"CUIT NO CARGADO")</f>
        <v>0</v>
      </c>
    </row>
    <row r="19" spans="2:18" ht="14.4" customHeight="1" x14ac:dyDescent="0.3">
      <c r="B19" s="242">
        <v>45473</v>
      </c>
      <c r="C19" s="243">
        <v>3</v>
      </c>
      <c r="D19" s="244">
        <v>11</v>
      </c>
      <c r="E19" s="245">
        <v>733418</v>
      </c>
      <c r="F19" s="246">
        <v>33709585229</v>
      </c>
      <c r="G19" s="247" t="str">
        <f>IFERROR(IF(compras_mes6[[#This Row],[CUIT]]="","-",VLOOKUP(compras_mes6[[#This Row],[CUIT]],Lista_CUIT[#All],2,0)),"CUIT NO CARGADO")</f>
        <v>GOOGLE ARGENTINA S.R.L.</v>
      </c>
      <c r="H19" s="46">
        <v>-4322.12</v>
      </c>
      <c r="I19" s="250">
        <f>IF(compras_mes6[[#This Row],[NETO GRAVADO]]="","",compras_mes6[[#This Row],[NETO GRAVADO]]*0.21)</f>
        <v>-907.64519999999993</v>
      </c>
      <c r="J19" s="250"/>
      <c r="K19" s="250"/>
      <c r="L19" s="250"/>
      <c r="M19" s="250"/>
      <c r="N19" s="250">
        <v>-64.83</v>
      </c>
      <c r="O19" s="250">
        <v>-129.66</v>
      </c>
      <c r="P19" s="258">
        <f>SUM(compras_mes6[[#This Row],[NETO GRAVADO]:[Otros / No Grav.]])</f>
        <v>-5424.2551999999996</v>
      </c>
      <c r="Q19" s="251" t="str">
        <f>IFERROR(IF(compras_mes6[[#This Row],[CUIT]]="","-",VLOOKUP(compras_mes6[[#This Row],[CUIT]],Lista_CUIT[#All],3,0)),"CUIT NO CARGADO")</f>
        <v>Gastos Publicidad y Propaganda</v>
      </c>
      <c r="R19" s="251">
        <f>IFERROR(IF(compras_mes6[[#This Row],[CUIT]]="","-",VLOOKUP(compras_mes6[[#This Row],[CUIT]],Lista_CUIT[#All],4,0)),"CUIT NO CARGADO")</f>
        <v>0</v>
      </c>
    </row>
    <row r="20" spans="2:18" ht="13.5" customHeight="1" x14ac:dyDescent="0.3">
      <c r="B20" s="242">
        <v>45473</v>
      </c>
      <c r="C20" s="243">
        <v>3</v>
      </c>
      <c r="D20" s="244">
        <v>11</v>
      </c>
      <c r="E20" s="245">
        <v>737428</v>
      </c>
      <c r="F20" s="246">
        <v>33709585229</v>
      </c>
      <c r="G20" s="247" t="str">
        <f>IFERROR(IF(compras_mes6[[#This Row],[CUIT]]="","-",VLOOKUP(compras_mes6[[#This Row],[CUIT]],Lista_CUIT[#All],2,0)),"CUIT NO CARGADO")</f>
        <v>GOOGLE ARGENTINA S.R.L.</v>
      </c>
      <c r="H20" s="46">
        <v>-29.27</v>
      </c>
      <c r="I20" s="250">
        <f>IF(compras_mes6[[#This Row],[NETO GRAVADO]]="","",compras_mes6[[#This Row],[NETO GRAVADO]]*0.21)</f>
        <v>-6.1467000000000001</v>
      </c>
      <c r="J20" s="250"/>
      <c r="K20" s="250"/>
      <c r="L20" s="250"/>
      <c r="M20" s="250"/>
      <c r="N20" s="250"/>
      <c r="O20" s="250"/>
      <c r="P20" s="252">
        <f>SUM(compras_mes6[[#This Row],[NETO GRAVADO]:[Otros / No Grav.]])</f>
        <v>-35.416699999999999</v>
      </c>
      <c r="Q20" s="251" t="str">
        <f>IFERROR(IF(compras_mes6[[#This Row],[CUIT]]="","-",VLOOKUP(compras_mes6[[#This Row],[CUIT]],Lista_CUIT[#All],3,0)),"CUIT NO CARGADO")</f>
        <v>Gastos Publicidad y Propaganda</v>
      </c>
      <c r="R20" s="251">
        <f>IFERROR(IF(compras_mes6[[#This Row],[CUIT]]="","-",VLOOKUP(compras_mes6[[#This Row],[CUIT]],Lista_CUIT[#All],4,0)),"CUIT NO CARGADO")</f>
        <v>0</v>
      </c>
    </row>
    <row r="21" spans="2:18" ht="25.95" customHeight="1" x14ac:dyDescent="0.3">
      <c r="B21" s="96" t="s">
        <v>91</v>
      </c>
      <c r="C21" s="96"/>
      <c r="D21" s="96"/>
      <c r="E21" s="96"/>
      <c r="F21" s="96"/>
      <c r="G21" s="97"/>
      <c r="H21" s="98">
        <f>SUBTOTAL(109,compras_mes6[NETO GRAVADO])</f>
        <v>1550172.4199999997</v>
      </c>
      <c r="I21" s="98">
        <f>SUBTOTAL(109,compras_mes6[IVA 21 %])</f>
        <v>325536.20819999999</v>
      </c>
      <c r="J21" s="98">
        <f>SUBTOTAL(109,compras_mes6[IVA 27%])</f>
        <v>0</v>
      </c>
      <c r="K21" s="98">
        <f>SUBTOTAL(109,compras_mes6[IVA 10,5%])</f>
        <v>0</v>
      </c>
      <c r="L21" s="98">
        <f>SUBTOTAL(109,compras_mes6[PERC. IVA])</f>
        <v>0</v>
      </c>
      <c r="M21" s="98">
        <f>SUBTOTAL(109,compras_mes6[PERC IIBB 
BS AS])</f>
        <v>0</v>
      </c>
      <c r="N21" s="98">
        <f>SUBTOTAL(109,compras_mes6[PERC. IIBB CABA])</f>
        <v>21702.429999999993</v>
      </c>
      <c r="O21" s="98">
        <f>SUBTOTAL(109,compras_mes6[Otros / No Grav.])</f>
        <v>43404.889999999992</v>
      </c>
      <c r="P21" s="98">
        <f>SUBTOTAL(109,compras_mes6[TOTAL])</f>
        <v>1940815.9482000002</v>
      </c>
      <c r="Q21" s="96"/>
      <c r="R21" s="96"/>
    </row>
    <row r="22" spans="2:18" ht="14.4" customHeight="1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M22" s="47"/>
      <c r="N22" s="47"/>
      <c r="O22" s="47"/>
      <c r="P22" s="48"/>
      <c r="Q22" s="49"/>
      <c r="R22" s="49"/>
    </row>
    <row r="23" spans="2:18" ht="14.4" customHeight="1" x14ac:dyDescent="0.3">
      <c r="B23" s="40"/>
      <c r="C23" s="41"/>
      <c r="D23" s="42"/>
      <c r="E23" s="43"/>
      <c r="F23" s="44"/>
      <c r="G23" s="45"/>
      <c r="H23" s="46"/>
      <c r="I23" s="47"/>
      <c r="J23" s="47"/>
      <c r="K23" s="47"/>
      <c r="L23" s="47"/>
      <c r="M23" s="47"/>
      <c r="N23" s="47"/>
      <c r="O23" s="47"/>
      <c r="P23" s="48"/>
      <c r="Q23" s="49"/>
      <c r="R23" s="49"/>
    </row>
    <row r="24" spans="2:18" ht="15" customHeight="1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>
        <f>compras_mes6[[#Totals],[NETO GRAVADO]]+compras_mes6[[#Totals],[Otros / No Grav.]]</f>
        <v>1593577.3099999996</v>
      </c>
      <c r="L24" s="47"/>
      <c r="M24" s="47"/>
      <c r="N24" s="47"/>
      <c r="O24" s="47"/>
      <c r="P24" s="48"/>
      <c r="Q24" s="49"/>
      <c r="R24" s="49"/>
    </row>
    <row r="25" spans="2:18" ht="15" customHeight="1" x14ac:dyDescent="0.3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</row>
    <row r="26" spans="2:18" ht="15" customHeight="1" x14ac:dyDescent="0.3">
      <c r="D26" s="362" t="s">
        <v>15</v>
      </c>
      <c r="E26" s="362"/>
      <c r="F26" s="362"/>
      <c r="G26" s="362"/>
      <c r="H26" s="362"/>
      <c r="I26" s="362"/>
      <c r="J26" s="362"/>
      <c r="K26" s="362"/>
      <c r="L26" s="362"/>
    </row>
    <row r="27" spans="2:18" ht="15" customHeight="1" x14ac:dyDescent="0.3">
      <c r="D27" s="73" t="s">
        <v>0</v>
      </c>
      <c r="E27" s="74" t="s">
        <v>26</v>
      </c>
      <c r="F27" s="74" t="s">
        <v>16</v>
      </c>
      <c r="G27" s="74" t="s">
        <v>5</v>
      </c>
      <c r="H27" s="74" t="s">
        <v>17</v>
      </c>
      <c r="I27" s="74" t="s">
        <v>7</v>
      </c>
      <c r="J27" s="75" t="s">
        <v>18</v>
      </c>
      <c r="K27" s="75" t="s">
        <v>19</v>
      </c>
      <c r="L27" s="76" t="s">
        <v>20</v>
      </c>
    </row>
    <row r="28" spans="2:18" ht="15" customHeight="1" x14ac:dyDescent="0.3">
      <c r="D28" s="50">
        <v>45473</v>
      </c>
      <c r="E28" s="79"/>
      <c r="F28" s="80" t="s">
        <v>181</v>
      </c>
      <c r="G28" s="81">
        <f>22862.9</f>
        <v>22862.9</v>
      </c>
      <c r="H28" s="81">
        <f>extracto_banco_mes6[[#This Row],[NETO]]*0.21</f>
        <v>4801.2089999999998</v>
      </c>
      <c r="I28" s="81"/>
      <c r="J28" s="81"/>
      <c r="K28" s="81">
        <f>685.89</f>
        <v>685.89</v>
      </c>
      <c r="L28" s="81">
        <f>342.94</f>
        <v>342.94</v>
      </c>
    </row>
    <row r="29" spans="2:18" ht="14.25" customHeight="1" x14ac:dyDescent="0.3">
      <c r="D29" s="50"/>
      <c r="E29" s="79"/>
      <c r="F29" s="80"/>
      <c r="G29" s="81"/>
      <c r="H29" s="81"/>
      <c r="I29" s="81"/>
      <c r="J29" s="81"/>
      <c r="K29" s="81"/>
      <c r="L29" s="81"/>
    </row>
    <row r="30" spans="2:18" ht="14.25" customHeight="1" x14ac:dyDescent="0.3">
      <c r="D30" s="50"/>
      <c r="E30" s="79"/>
      <c r="F30" s="80"/>
      <c r="G30" s="81"/>
      <c r="H30" s="81"/>
      <c r="I30" s="81"/>
      <c r="J30" s="81"/>
      <c r="K30" s="81"/>
      <c r="L30" s="81"/>
    </row>
    <row r="31" spans="2:18" x14ac:dyDescent="0.3">
      <c r="D31" s="82" t="s">
        <v>91</v>
      </c>
      <c r="E31" s="80"/>
      <c r="F31" s="80"/>
      <c r="G31" s="83">
        <f>SUBTOTAL(109,extracto_banco_mes6[NETO])</f>
        <v>22862.9</v>
      </c>
      <c r="H31" s="83">
        <f>SUBTOTAL(109,extracto_banco_mes6[IVA 21%])</f>
        <v>4801.2089999999998</v>
      </c>
      <c r="I31" s="83">
        <f>SUBTOTAL(109,extracto_banco_mes6[IVA 10,5%])</f>
        <v>0</v>
      </c>
      <c r="J31" s="83">
        <f>SUBTOTAL(109,extracto_banco_mes6[RET IIBB CABA])</f>
        <v>0</v>
      </c>
      <c r="K31" s="83">
        <f>SUBTOTAL(109,extracto_banco_mes6[PERC IVA])</f>
        <v>685.89</v>
      </c>
      <c r="L31" s="83">
        <f>SUBTOTAL(109,extracto_banco_mes6[PERC IIBB])</f>
        <v>342.94</v>
      </c>
    </row>
    <row r="35" spans="2:18" ht="21" x14ac:dyDescent="0.3">
      <c r="D35" s="362" t="s">
        <v>25</v>
      </c>
      <c r="E35" s="362"/>
      <c r="F35" s="362"/>
      <c r="G35" s="362"/>
      <c r="H35" s="362"/>
      <c r="I35" s="362"/>
      <c r="J35" s="362"/>
      <c r="K35" s="362"/>
    </row>
    <row r="36" spans="2:18" s="56" customFormat="1" ht="18.600000000000001" customHeight="1" x14ac:dyDescent="0.3">
      <c r="B36"/>
      <c r="C36"/>
      <c r="D36" s="51" t="s">
        <v>0</v>
      </c>
      <c r="E36" s="51" t="s">
        <v>2</v>
      </c>
      <c r="F36" s="51" t="s">
        <v>74</v>
      </c>
      <c r="G36" s="51" t="s">
        <v>3</v>
      </c>
      <c r="H36" s="51" t="s">
        <v>4</v>
      </c>
      <c r="I36" s="52" t="s">
        <v>10</v>
      </c>
      <c r="J36" s="51" t="s">
        <v>13</v>
      </c>
      <c r="K36" s="51" t="s">
        <v>38</v>
      </c>
      <c r="L36"/>
      <c r="M36"/>
      <c r="N36"/>
      <c r="O36"/>
      <c r="P36"/>
      <c r="Q36"/>
      <c r="R36"/>
    </row>
    <row r="37" spans="2:18" x14ac:dyDescent="0.3">
      <c r="D37" s="50">
        <v>45446</v>
      </c>
      <c r="E37" s="42">
        <v>2</v>
      </c>
      <c r="F37" s="43">
        <v>786</v>
      </c>
      <c r="G37" s="44">
        <v>20400104094</v>
      </c>
      <c r="H37" s="53" t="str">
        <f>IFERROR(IF(factura_c_mes6[[#This Row],[CUIT]]="","-",VLOOKUP(factura_c_mes6[[#This Row],[CUIT]],Lista_CUIT[#All],2,0)),"CUIT NO CARGADO")</f>
        <v>BOTINDARI FEDERICO DANIEL</v>
      </c>
      <c r="I37" s="81">
        <v>80000</v>
      </c>
      <c r="J37" s="54" t="str">
        <f>IFERROR(IF(factura_c_mes6[[#This Row],[CUIT]]="","-",VLOOKUP(factura_c_mes6[[#This Row],[CUIT]],Lista_CUIT[#All],3,0)),"CUIT NO CARGADO")</f>
        <v>HONORARIOS CONTABLE</v>
      </c>
      <c r="K37" s="54">
        <f>IFERROR(IF(factura_c_mes6[[#This Row],[CUIT]]="","-",VLOOKUP(factura_c_mes6[[#This Row],[CUIT]],Lista_CUIT[#All],4,0)),"CUIT NO CARGADO")</f>
        <v>0</v>
      </c>
    </row>
    <row r="38" spans="2:18" x14ac:dyDescent="0.3">
      <c r="D38" s="50">
        <v>45446</v>
      </c>
      <c r="E38" s="42">
        <v>2</v>
      </c>
      <c r="F38" s="43">
        <v>113</v>
      </c>
      <c r="G38" s="44">
        <v>27341104845</v>
      </c>
      <c r="H38" s="53" t="str">
        <f>IFERROR(IF(factura_c_mes6[[#This Row],[CUIT]]="","-",VLOOKUP(factura_c_mes6[[#This Row],[CUIT]],Lista_CUIT[#All],2,0)),"CUIT NO CARGADO")</f>
        <v>BOSSI MARIA PAULA</v>
      </c>
      <c r="I38" s="81">
        <v>119755</v>
      </c>
      <c r="J38" s="54" t="str">
        <f>IFERROR(IF(factura_c_mes6[[#This Row],[CUIT]]="","-",VLOOKUP(factura_c_mes6[[#This Row],[CUIT]],Lista_CUIT[#All],3,0)),"CUIT NO CARGADO")</f>
        <v>HON. ADMINISTRATIVOS</v>
      </c>
      <c r="K38" s="54">
        <f>IFERROR(IF(factura_c_mes6[[#This Row],[CUIT]]="","-",VLOOKUP(factura_c_mes6[[#This Row],[CUIT]],Lista_CUIT[#All],4,0)),"CUIT NO CARGADO")</f>
        <v>0</v>
      </c>
    </row>
    <row r="39" spans="2:18" x14ac:dyDescent="0.3">
      <c r="D39" s="50">
        <v>45447</v>
      </c>
      <c r="E39" s="42">
        <v>2</v>
      </c>
      <c r="F39" s="43">
        <v>43</v>
      </c>
      <c r="G39" s="44">
        <v>23380288079</v>
      </c>
      <c r="H39" s="53" t="str">
        <f>IFERROR(IF(factura_c_mes6[[#This Row],[CUIT]]="","-",VLOOKUP(factura_c_mes6[[#This Row],[CUIT]],Lista_CUIT[#All],2,0)),"CUIT NO CARGADO")</f>
        <v>CASTROMAN AGUSTIN</v>
      </c>
      <c r="I39" s="81">
        <v>165476.95000000001</v>
      </c>
      <c r="J39" s="54" t="str">
        <f>IFERROR(IF(factura_c_mes6[[#This Row],[CUIT]]="","-",VLOOKUP(factura_c_mes6[[#This Row],[CUIT]],Lista_CUIT[#All],3,0)),"CUIT NO CARGADO")</f>
        <v>Diseño Grafico</v>
      </c>
      <c r="K39" s="54">
        <f>IFERROR(IF(factura_c_mes6[[#This Row],[CUIT]]="","-",VLOOKUP(factura_c_mes6[[#This Row],[CUIT]],Lista_CUIT[#All],4,0)),"CUIT NO CARGADO")</f>
        <v>0</v>
      </c>
    </row>
    <row r="40" spans="2:18" x14ac:dyDescent="0.3">
      <c r="D40" s="50">
        <v>45449</v>
      </c>
      <c r="E40" s="42">
        <v>51</v>
      </c>
      <c r="F40" s="43">
        <v>161</v>
      </c>
      <c r="G40" s="44">
        <v>20300985158</v>
      </c>
      <c r="H40" s="53" t="str">
        <f>IFERROR(IF(factura_c_mes6[[#This Row],[CUIT]]="","-",VLOOKUP(factura_c_mes6[[#This Row],[CUIT]],Lista_CUIT[#All],2,0)),"CUIT NO CARGADO")</f>
        <v>GONZALEZ NESTOR RICARDO</v>
      </c>
      <c r="I40" s="81">
        <v>380000</v>
      </c>
      <c r="J40" s="54" t="str">
        <f>IFERROR(IF(factura_c_mes6[[#This Row],[CUIT]]="","-",VLOOKUP(factura_c_mes6[[#This Row],[CUIT]],Lista_CUIT[#All],3,0)),"CUIT NO CARGADO")</f>
        <v>Diseño Grafico</v>
      </c>
      <c r="K40" s="54">
        <f>IFERROR(IF(factura_c_mes6[[#This Row],[CUIT]]="","-",VLOOKUP(factura_c_mes6[[#This Row],[CUIT]],Lista_CUIT[#All],4,0)),"CUIT NO CARGADO")</f>
        <v>0</v>
      </c>
    </row>
    <row r="41" spans="2:18" x14ac:dyDescent="0.3">
      <c r="D41" s="50">
        <v>45449</v>
      </c>
      <c r="E41" s="42">
        <v>1</v>
      </c>
      <c r="F41" s="43">
        <v>303</v>
      </c>
      <c r="G41" s="259">
        <v>27386311000</v>
      </c>
      <c r="H41" s="253" t="str">
        <f>IFERROR(IF(factura_c_mes6[[#This Row],[CUIT]]="","-",VLOOKUP(factura_c_mes6[[#This Row],[CUIT]],Lista_CUIT[#All],2,0)),"CUIT NO CARGADO")</f>
        <v>OPANASIUK MACARENA ANTONELLA</v>
      </c>
      <c r="I41" s="254">
        <v>250000</v>
      </c>
      <c r="J41" s="255" t="str">
        <f>IFERROR(IF(factura_c_mes6[[#This Row],[CUIT]]="","-",VLOOKUP(factura_c_mes6[[#This Row],[CUIT]],Lista_CUIT[#All],3,0)),"CUIT NO CARGADO")</f>
        <v>Honorarios Profesionales</v>
      </c>
      <c r="K41" s="255">
        <f>IFERROR(IF(factura_c_mes6[[#This Row],[CUIT]]="","-",VLOOKUP(factura_c_mes6[[#This Row],[CUIT]],Lista_CUIT[#All],4,0)),"CUIT NO CARGADO")</f>
        <v>0</v>
      </c>
    </row>
    <row r="42" spans="2:18" x14ac:dyDescent="0.3">
      <c r="B42" s="56"/>
      <c r="C42" s="56"/>
      <c r="D42" s="55" t="s">
        <v>91</v>
      </c>
      <c r="E42" s="55"/>
      <c r="F42" s="55"/>
      <c r="G42" s="55"/>
      <c r="H42" s="57"/>
      <c r="I42" s="58">
        <f>SUBTOTAL(109,factura_c_mes6[TOTAL])</f>
        <v>995231.95</v>
      </c>
      <c r="J42" s="55"/>
      <c r="K42" s="55"/>
      <c r="L42" s="56"/>
      <c r="M42" s="56"/>
      <c r="N42" s="56"/>
      <c r="O42" s="56"/>
      <c r="P42" s="56"/>
      <c r="Q42" s="56"/>
      <c r="R42" s="56"/>
    </row>
    <row r="43" spans="2:18" ht="22.5" customHeight="1" x14ac:dyDescent="0.3"/>
    <row r="45" spans="2:18" ht="33" customHeight="1" x14ac:dyDescent="0.3"/>
    <row r="47" spans="2:18" ht="25.8" x14ac:dyDescent="0.3">
      <c r="B47" s="363" t="s">
        <v>29</v>
      </c>
      <c r="C47" s="363"/>
      <c r="D47" s="363"/>
      <c r="E47" s="363"/>
      <c r="F47" s="363"/>
      <c r="G47" s="363"/>
      <c r="H47" s="363"/>
      <c r="I47" s="363"/>
      <c r="J47" s="363"/>
      <c r="K47" s="364">
        <f>N1</f>
        <v>45444</v>
      </c>
      <c r="L47" s="364"/>
      <c r="M47" s="364"/>
    </row>
    <row r="49" spans="2:13" ht="21" x14ac:dyDescent="0.3">
      <c r="B49" s="365" t="s">
        <v>30</v>
      </c>
      <c r="C49" s="365"/>
    </row>
    <row r="50" spans="2:13" ht="31.2" x14ac:dyDescent="0.3">
      <c r="B50" s="60" t="s">
        <v>0</v>
      </c>
      <c r="C50" s="61" t="s">
        <v>1</v>
      </c>
      <c r="D50" s="61" t="s">
        <v>21</v>
      </c>
      <c r="E50" s="61" t="s">
        <v>22</v>
      </c>
      <c r="F50" s="61" t="s">
        <v>3</v>
      </c>
      <c r="G50" s="61" t="s">
        <v>4</v>
      </c>
      <c r="H50" s="61" t="s">
        <v>23</v>
      </c>
      <c r="I50" s="61" t="s">
        <v>17</v>
      </c>
      <c r="J50" s="61" t="s">
        <v>7</v>
      </c>
      <c r="K50" s="61" t="s">
        <v>24</v>
      </c>
      <c r="L50" s="61" t="s">
        <v>10</v>
      </c>
      <c r="M50" s="62" t="s">
        <v>38</v>
      </c>
    </row>
    <row r="51" spans="2:13" x14ac:dyDescent="0.3">
      <c r="B51" s="260">
        <v>45446</v>
      </c>
      <c r="C51" s="41">
        <v>1</v>
      </c>
      <c r="D51" s="42">
        <v>1</v>
      </c>
      <c r="E51" s="43">
        <v>195</v>
      </c>
      <c r="F51" s="44">
        <v>30716549107</v>
      </c>
      <c r="G51" s="99" t="str">
        <f>IFERROR(IF(venta_a_mes6[[#This Row],[CUIT]]="","-",VLOOKUP(venta_a_mes6[[#This Row],[CUIT]],Lista_CUIT[#All],2,0)),"CUIT NO CARGADO")</f>
        <v>LAMATEC S.R.L.</v>
      </c>
      <c r="H51" s="100">
        <v>108264.48</v>
      </c>
      <c r="I51" s="101">
        <f>venta_a_mes6[[#This Row],[IMPORTE NETO]]*0.21</f>
        <v>22735.540799999999</v>
      </c>
      <c r="J51" s="65"/>
      <c r="K51" s="65"/>
      <c r="L51" s="65">
        <f>SUM(venta_a_mes6[[#This Row],[IMPORTE NETO]:[EXENTO]])</f>
        <v>131000.0208</v>
      </c>
      <c r="M51" s="59"/>
    </row>
    <row r="52" spans="2:13" x14ac:dyDescent="0.3">
      <c r="B52" s="40">
        <v>45446</v>
      </c>
      <c r="C52" s="41">
        <v>1</v>
      </c>
      <c r="D52" s="42">
        <v>1</v>
      </c>
      <c r="E52" s="43">
        <v>207</v>
      </c>
      <c r="F52" s="44">
        <v>30688955749</v>
      </c>
      <c r="G52" s="99" t="str">
        <f>IFERROR(IF(venta_a_mes6[[#This Row],[CUIT]]="","-",VLOOKUP(venta_a_mes6[[#This Row],[CUIT]],Lista_CUIT[#All],2,0)),"CUIT NO CARGADO")</f>
        <v>LISERAR S A</v>
      </c>
      <c r="H52" s="100">
        <v>108264.48</v>
      </c>
      <c r="I52" s="101">
        <f>venta_a_mes6[[#This Row],[IMPORTE NETO]]*0.21</f>
        <v>22735.540799999999</v>
      </c>
      <c r="J52" s="65"/>
      <c r="K52" s="65"/>
      <c r="L52" s="65">
        <f>SUM(venta_a_mes6[[#This Row],[IMPORTE NETO]:[EXENTO]])</f>
        <v>131000.0208</v>
      </c>
      <c r="M52" s="59"/>
    </row>
    <row r="53" spans="2:13" x14ac:dyDescent="0.3">
      <c r="B53" s="40">
        <v>45446</v>
      </c>
      <c r="C53" s="41">
        <v>1</v>
      </c>
      <c r="D53" s="42">
        <v>1</v>
      </c>
      <c r="E53" s="43">
        <v>196</v>
      </c>
      <c r="F53" s="44">
        <v>20369499956</v>
      </c>
      <c r="G53" s="99" t="str">
        <f>IFERROR(IF(venta_a_mes6[[#This Row],[CUIT]]="","-",VLOOKUP(venta_a_mes6[[#This Row],[CUIT]],Lista_CUIT[#All],2,0)),"CUIT NO CARGADO")</f>
        <v>LAMARI FRANCO AGUSTIN</v>
      </c>
      <c r="H53" s="100">
        <v>108264.48</v>
      </c>
      <c r="I53" s="101">
        <f>venta_a_mes6[[#This Row],[IMPORTE NETO]]*0.21</f>
        <v>22735.540799999999</v>
      </c>
      <c r="J53" s="65"/>
      <c r="K53" s="65"/>
      <c r="L53" s="65">
        <f>SUM(venta_a_mes6[[#This Row],[IMPORTE NETO]:[EXENTO]])</f>
        <v>131000.0208</v>
      </c>
      <c r="M53" s="59"/>
    </row>
    <row r="54" spans="2:13" x14ac:dyDescent="0.3">
      <c r="B54" s="40">
        <v>45446</v>
      </c>
      <c r="C54" s="41">
        <v>1</v>
      </c>
      <c r="D54" s="42">
        <v>1</v>
      </c>
      <c r="E54" s="43">
        <v>208</v>
      </c>
      <c r="F54" s="44">
        <v>30716234815</v>
      </c>
      <c r="G54" s="99" t="str">
        <f>IFERROR(IF(venta_a_mes6[[#This Row],[CUIT]]="","-",VLOOKUP(venta_a_mes6[[#This Row],[CUIT]],Lista_CUIT[#All],2,0)),"CUIT NO CARGADO")</f>
        <v>LEVINT PARTNERS S.R.L.</v>
      </c>
      <c r="H54" s="100">
        <v>108264.48</v>
      </c>
      <c r="I54" s="101">
        <f>venta_a_mes6[[#This Row],[IMPORTE NETO]]*0.21</f>
        <v>22735.540799999999</v>
      </c>
      <c r="J54" s="65"/>
      <c r="K54" s="65"/>
      <c r="L54" s="65">
        <f>SUM(venta_a_mes6[[#This Row],[IMPORTE NETO]:[EXENTO]])</f>
        <v>131000.0208</v>
      </c>
      <c r="M54" s="59"/>
    </row>
    <row r="55" spans="2:13" x14ac:dyDescent="0.3">
      <c r="B55" s="40">
        <v>45446</v>
      </c>
      <c r="C55" s="41">
        <v>1</v>
      </c>
      <c r="D55" s="42">
        <v>1</v>
      </c>
      <c r="E55" s="43">
        <v>202</v>
      </c>
      <c r="F55" s="44">
        <v>20279415656</v>
      </c>
      <c r="G55" s="99" t="str">
        <f>IFERROR(IF(venta_a_mes6[[#This Row],[CUIT]]="","-",VLOOKUP(venta_a_mes6[[#This Row],[CUIT]],Lista_CUIT[#All],2,0)),"CUIT NO CARGADO")</f>
        <v>CECCO ALVARO GONZALO</v>
      </c>
      <c r="H55" s="100">
        <v>75371.899999999994</v>
      </c>
      <c r="I55" s="101">
        <f>venta_a_mes6[[#This Row],[IMPORTE NETO]]*0.21</f>
        <v>15828.098999999998</v>
      </c>
      <c r="J55" s="65"/>
      <c r="K55" s="65"/>
      <c r="L55" s="65">
        <f>SUM(venta_a_mes6[[#This Row],[IMPORTE NETO]:[EXENTO]])</f>
        <v>91199.998999999996</v>
      </c>
      <c r="M55" s="59"/>
    </row>
    <row r="56" spans="2:13" x14ac:dyDescent="0.3">
      <c r="B56" s="40">
        <v>45446</v>
      </c>
      <c r="C56" s="41">
        <v>1</v>
      </c>
      <c r="D56" s="42">
        <v>1</v>
      </c>
      <c r="E56" s="43">
        <v>209</v>
      </c>
      <c r="F56" s="44">
        <v>20320573948</v>
      </c>
      <c r="G56" s="99" t="str">
        <f>IFERROR(IF(venta_a_mes6[[#This Row],[CUIT]]="","-",VLOOKUP(venta_a_mes6[[#This Row],[CUIT]],Lista_CUIT[#All],2,0)),"CUIT NO CARGADO")</f>
        <v>CAVALLOTTI MARCOS DANIEL</v>
      </c>
      <c r="H56" s="100">
        <v>108264.48</v>
      </c>
      <c r="I56" s="101">
        <f>venta_a_mes6[[#This Row],[IMPORTE NETO]]*0.21</f>
        <v>22735.540799999999</v>
      </c>
      <c r="J56" s="65"/>
      <c r="K56" s="65"/>
      <c r="L56" s="65">
        <f>SUM(venta_a_mes6[[#This Row],[IMPORTE NETO]:[EXENTO]])</f>
        <v>131000.0208</v>
      </c>
      <c r="M56" s="59"/>
    </row>
    <row r="57" spans="2:13" ht="17.25" customHeight="1" x14ac:dyDescent="0.3">
      <c r="B57" s="40">
        <v>45446</v>
      </c>
      <c r="C57" s="41">
        <v>1</v>
      </c>
      <c r="D57" s="42">
        <v>1</v>
      </c>
      <c r="E57" s="43">
        <v>213</v>
      </c>
      <c r="F57" s="44">
        <v>20238882975</v>
      </c>
      <c r="G57" s="99" t="str">
        <f>IFERROR(IF(venta_a_mes6[[#This Row],[CUIT]]="","-",VLOOKUP(venta_a_mes6[[#This Row],[CUIT]],Lista_CUIT[#All],2,0)),"CUIT NO CARGADO")</f>
        <v>NARVAEZ SANTIAGO GABRIEL</v>
      </c>
      <c r="H57" s="100">
        <v>390909.1</v>
      </c>
      <c r="I57" s="101">
        <f>venta_a_mes6[[#This Row],[IMPORTE NETO]]*0.21</f>
        <v>82090.910999999993</v>
      </c>
      <c r="J57" s="65"/>
      <c r="K57" s="65"/>
      <c r="L57" s="65">
        <f>SUM(venta_a_mes6[[#This Row],[IMPORTE NETO]:[EXENTO]])</f>
        <v>473000.01099999994</v>
      </c>
      <c r="M57" s="63"/>
    </row>
    <row r="58" spans="2:13" x14ac:dyDescent="0.3">
      <c r="B58" s="40">
        <v>45446</v>
      </c>
      <c r="C58" s="41">
        <v>1</v>
      </c>
      <c r="D58" s="104">
        <v>1</v>
      </c>
      <c r="E58" s="105">
        <v>203</v>
      </c>
      <c r="F58" s="106">
        <v>20367341808</v>
      </c>
      <c r="G58" s="99" t="str">
        <f>IFERROR(IF(venta_a_mes6[[#This Row],[CUIT]]="","-",VLOOKUP(venta_a_mes6[[#This Row],[CUIT]],Lista_CUIT[#All],2,0)),"CUIT NO CARGADO")</f>
        <v>FEIDAS FERNANDO EMILIANO</v>
      </c>
      <c r="H58" s="107">
        <v>54545.48</v>
      </c>
      <c r="I58" s="108">
        <f>venta_a_mes6[[#This Row],[IMPORTE NETO]]*0.21</f>
        <v>11454.550800000001</v>
      </c>
      <c r="J58" s="72"/>
      <c r="K58" s="72"/>
      <c r="L58" s="72">
        <f>SUM(venta_a_mes6[[#This Row],[IMPORTE NETO]:[EXENTO]])</f>
        <v>66000.030800000008</v>
      </c>
      <c r="M58" s="63"/>
    </row>
    <row r="59" spans="2:13" x14ac:dyDescent="0.3">
      <c r="B59" s="40">
        <v>45446</v>
      </c>
      <c r="C59" s="41">
        <v>1</v>
      </c>
      <c r="D59" s="111">
        <v>1</v>
      </c>
      <c r="E59" s="112">
        <v>197</v>
      </c>
      <c r="F59" s="113">
        <v>30716914077</v>
      </c>
      <c r="G59" s="99" t="str">
        <f>IFERROR(IF(venta_a_mes6[[#This Row],[CUIT]]="","-",VLOOKUP(venta_a_mes6[[#This Row],[CUIT]],Lista_CUIT[#All],2,0)),"CUIT NO CARGADO")</f>
        <v>BACANES</v>
      </c>
      <c r="H59" s="100">
        <v>157024.81</v>
      </c>
      <c r="I59" s="101">
        <f>venta_a_mes6[[#This Row],[IMPORTE NETO]]*0.21</f>
        <v>32975.210099999997</v>
      </c>
      <c r="J59" s="65"/>
      <c r="K59" s="65"/>
      <c r="L59" s="65">
        <f>SUM(venta_a_mes6[[#This Row],[IMPORTE NETO]:[EXENTO]])</f>
        <v>190000.02009999999</v>
      </c>
      <c r="M59" s="59"/>
    </row>
    <row r="60" spans="2:13" x14ac:dyDescent="0.3">
      <c r="B60" s="40">
        <v>45446</v>
      </c>
      <c r="C60" s="41">
        <v>1</v>
      </c>
      <c r="D60" s="179">
        <v>1</v>
      </c>
      <c r="E60" s="180">
        <v>204</v>
      </c>
      <c r="F60" s="181">
        <v>30715941763</v>
      </c>
      <c r="G60" s="182" t="str">
        <f>IFERROR(IF(venta_a_mes6[[#This Row],[CUIT]]="","-",VLOOKUP(venta_a_mes6[[#This Row],[CUIT]],Lista_CUIT[#All],2,0)),"CUIT NO CARGADO")</f>
        <v>TOURMALHYN S.R.L.</v>
      </c>
      <c r="H60" s="183">
        <v>24793.38</v>
      </c>
      <c r="I60" s="184">
        <f>venta_a_mes6[[#This Row],[IMPORTE NETO]]*0.21</f>
        <v>5206.6098000000002</v>
      </c>
      <c r="J60" s="185"/>
      <c r="K60" s="185"/>
      <c r="L60" s="185">
        <f>SUM(venta_a_mes6[[#This Row],[IMPORTE NETO]:[EXENTO]])</f>
        <v>29999.989800000003</v>
      </c>
      <c r="M60" s="186"/>
    </row>
    <row r="61" spans="2:13" x14ac:dyDescent="0.3">
      <c r="B61" s="40">
        <v>45446</v>
      </c>
      <c r="C61" s="41">
        <v>1</v>
      </c>
      <c r="D61" s="179">
        <v>1</v>
      </c>
      <c r="E61" s="180">
        <v>198</v>
      </c>
      <c r="F61" s="181">
        <v>30718295900</v>
      </c>
      <c r="G61" s="182" t="str">
        <f>IFERROR(IF(venta_a_mes6[[#This Row],[CUIT]]="","-",VLOOKUP(venta_a_mes6[[#This Row],[CUIT]],Lista_CUIT[#All],2,0)),"CUIT NO CARGADO")</f>
        <v>LAPTOP SERVICE S.R.L.</v>
      </c>
      <c r="H61" s="183">
        <v>47107.43</v>
      </c>
      <c r="I61" s="184">
        <f>venta_a_mes6[[#This Row],[IMPORTE NETO]]*0.21</f>
        <v>9892.5602999999992</v>
      </c>
      <c r="J61" s="185"/>
      <c r="K61" s="185"/>
      <c r="L61" s="185">
        <f>SUM(venta_a_mes6[[#This Row],[IMPORTE NETO]:[EXENTO]])</f>
        <v>56999.990299999998</v>
      </c>
      <c r="M61" s="186"/>
    </row>
    <row r="62" spans="2:13" x14ac:dyDescent="0.3">
      <c r="B62" s="40">
        <v>45446</v>
      </c>
      <c r="C62" s="41">
        <v>1</v>
      </c>
      <c r="D62" s="171">
        <v>1</v>
      </c>
      <c r="E62" s="172">
        <v>210</v>
      </c>
      <c r="F62" s="173">
        <v>20277452872</v>
      </c>
      <c r="G62" s="174" t="str">
        <f>IFERROR(IF(venta_a_mes6[[#This Row],[CUIT]]="","-",VLOOKUP(venta_a_mes6[[#This Row],[CUIT]],Lista_CUIT[#All],2,0)),"CUIT NO CARGADO")</f>
        <v>GERVASI MAXIMILIANO ARIEL</v>
      </c>
      <c r="H62" s="175">
        <v>390909.1</v>
      </c>
      <c r="I62" s="176">
        <f>venta_a_mes6[[#This Row],[IMPORTE NETO]]*0.21</f>
        <v>82090.910999999993</v>
      </c>
      <c r="J62" s="177"/>
      <c r="K62" s="177"/>
      <c r="L62" s="177">
        <f>SUM(venta_a_mes6[[#This Row],[IMPORTE NETO]:[EXENTO]])</f>
        <v>473000.01099999994</v>
      </c>
      <c r="M62" s="178"/>
    </row>
    <row r="63" spans="2:13" x14ac:dyDescent="0.3">
      <c r="B63" s="40">
        <v>45446</v>
      </c>
      <c r="C63" s="41">
        <v>1</v>
      </c>
      <c r="D63" s="171">
        <v>1</v>
      </c>
      <c r="E63" s="172">
        <v>199</v>
      </c>
      <c r="F63" s="173">
        <v>30717973166</v>
      </c>
      <c r="G63" s="174" t="str">
        <f>IFERROR(IF(venta_a_mes6[[#This Row],[CUIT]]="","-",VLOOKUP(venta_a_mes6[[#This Row],[CUIT]],Lista_CUIT[#All],2,0)),"CUIT NO CARGADO")</f>
        <v>STM ESTILO S.R.L</v>
      </c>
      <c r="H63" s="175">
        <v>47107.43</v>
      </c>
      <c r="I63" s="176">
        <f>venta_a_mes6[[#This Row],[IMPORTE NETO]]*0.21</f>
        <v>9892.5602999999992</v>
      </c>
      <c r="J63" s="177"/>
      <c r="K63" s="177"/>
      <c r="L63" s="177">
        <f>SUM(venta_a_mes6[[#This Row],[IMPORTE NETO]:[EXENTO]])</f>
        <v>56999.990299999998</v>
      </c>
      <c r="M63" s="178"/>
    </row>
    <row r="64" spans="2:13" x14ac:dyDescent="0.3">
      <c r="B64" s="40">
        <v>45446</v>
      </c>
      <c r="C64" s="41">
        <v>1</v>
      </c>
      <c r="D64" s="171">
        <v>1</v>
      </c>
      <c r="E64" s="172">
        <v>205</v>
      </c>
      <c r="F64" s="173">
        <v>30717465101</v>
      </c>
      <c r="G64" s="174" t="str">
        <f>IFERROR(IF(venta_a_mes6[[#This Row],[CUIT]]="","-",VLOOKUP(venta_a_mes6[[#This Row],[CUIT]],Lista_CUIT[#All],2,0)),"CUIT NO CARGADO")</f>
        <v>EMPRENDIMIENTOS SHOPGLASS S. R. L.</v>
      </c>
      <c r="H64" s="175">
        <v>47107.43</v>
      </c>
      <c r="I64" s="176">
        <f>venta_a_mes6[[#This Row],[IMPORTE NETO]]*0.21</f>
        <v>9892.5602999999992</v>
      </c>
      <c r="J64" s="177"/>
      <c r="K64" s="177"/>
      <c r="L64" s="177">
        <f>SUM(venta_a_mes6[[#This Row],[IMPORTE NETO]:[EXENTO]])</f>
        <v>56999.990299999998</v>
      </c>
      <c r="M64" s="178"/>
    </row>
    <row r="65" spans="2:13" x14ac:dyDescent="0.3">
      <c r="B65" s="40">
        <v>45446</v>
      </c>
      <c r="C65" s="41">
        <v>1</v>
      </c>
      <c r="D65" s="171">
        <v>1</v>
      </c>
      <c r="E65" s="172">
        <v>200</v>
      </c>
      <c r="F65" s="173">
        <v>27165844748</v>
      </c>
      <c r="G65" s="174" t="str">
        <f>IFERROR(IF(venta_a_mes6[[#This Row],[CUIT]]="","-",VLOOKUP(venta_a_mes6[[#This Row],[CUIT]],Lista_CUIT[#All],2,0)),"CUIT NO CARGADO")</f>
        <v>DENATALE MARCELA BEATRIZ</v>
      </c>
      <c r="H65" s="175">
        <v>108264.48</v>
      </c>
      <c r="I65" s="176">
        <f>venta_a_mes6[[#This Row],[IMPORTE NETO]]*0.21</f>
        <v>22735.540799999999</v>
      </c>
      <c r="J65" s="177"/>
      <c r="K65" s="177"/>
      <c r="L65" s="177">
        <f>SUM(venta_a_mes6[[#This Row],[IMPORTE NETO]:[EXENTO]])</f>
        <v>131000.0208</v>
      </c>
      <c r="M65" s="178"/>
    </row>
    <row r="66" spans="2:13" x14ac:dyDescent="0.3">
      <c r="B66" s="40">
        <v>45446</v>
      </c>
      <c r="C66" s="41">
        <v>1</v>
      </c>
      <c r="D66" s="171">
        <v>1</v>
      </c>
      <c r="E66" s="172">
        <v>211</v>
      </c>
      <c r="F66" s="173">
        <v>30715380567</v>
      </c>
      <c r="G66" s="174" t="str">
        <f>IFERROR(IF(venta_a_mes6[[#This Row],[CUIT]]="","-",VLOOKUP(venta_a_mes6[[#This Row],[CUIT]],Lista_CUIT[#All],2,0)),"CUIT NO CARGADO")</f>
        <v>SENS GROUP SRL</v>
      </c>
      <c r="H66" s="175">
        <v>277500.86</v>
      </c>
      <c r="I66" s="176">
        <f>venta_a_mes6[[#This Row],[IMPORTE NETO]]*0.21</f>
        <v>58275.180599999992</v>
      </c>
      <c r="J66" s="177"/>
      <c r="K66" s="177"/>
      <c r="L66" s="177">
        <f>SUM(venta_a_mes6[[#This Row],[IMPORTE NETO]:[EXENTO]])</f>
        <v>335776.04059999995</v>
      </c>
      <c r="M66" s="178"/>
    </row>
    <row r="67" spans="2:13" x14ac:dyDescent="0.3">
      <c r="B67" s="40">
        <v>45446</v>
      </c>
      <c r="C67" s="41">
        <v>1</v>
      </c>
      <c r="D67" s="171">
        <v>1</v>
      </c>
      <c r="E67" s="172">
        <v>201</v>
      </c>
      <c r="F67" s="173">
        <v>20287305460</v>
      </c>
      <c r="G67" s="174" t="str">
        <f>IFERROR(IF(venta_a_mes6[[#This Row],[CUIT]]="","-",VLOOKUP(venta_a_mes6[[#This Row],[CUIT]],Lista_CUIT[#All],2,0)),"CUIT NO CARGADO")</f>
        <v>LANDI GERONIMO</v>
      </c>
      <c r="H67" s="175">
        <v>47107.43</v>
      </c>
      <c r="I67" s="176">
        <f>venta_a_mes6[[#This Row],[IMPORTE NETO]]*0.21</f>
        <v>9892.5602999999992</v>
      </c>
      <c r="J67" s="177"/>
      <c r="K67" s="177"/>
      <c r="L67" s="177">
        <f>SUM(venta_a_mes6[[#This Row],[IMPORTE NETO]:[EXENTO]])</f>
        <v>56999.990299999998</v>
      </c>
      <c r="M67" s="178"/>
    </row>
    <row r="68" spans="2:13" x14ac:dyDescent="0.3">
      <c r="B68" s="223">
        <v>45446</v>
      </c>
      <c r="C68" s="41">
        <v>1</v>
      </c>
      <c r="D68" s="171">
        <v>1</v>
      </c>
      <c r="E68" s="226">
        <v>206</v>
      </c>
      <c r="F68" s="227">
        <v>20132082198</v>
      </c>
      <c r="G68" s="228" t="str">
        <f>IFERROR(IF(venta_a_mes6[[#This Row],[CUIT]]="","-",VLOOKUP(venta_a_mes6[[#This Row],[CUIT]],Lista_CUIT[#All],2,0)),"CUIT NO CARGADO")</f>
        <v>FADIGA OSCAR ALBERTO</v>
      </c>
      <c r="H68" s="229">
        <v>90909.1</v>
      </c>
      <c r="I68" s="230">
        <f>venta_a_mes6[[#This Row],[IMPORTE NETO]]*0.21</f>
        <v>19090.911</v>
      </c>
      <c r="J68" s="231"/>
      <c r="K68" s="231"/>
      <c r="L68" s="231">
        <f>SUM(venta_a_mes6[[#This Row],[IMPORTE NETO]:[EXENTO]])</f>
        <v>110000.011</v>
      </c>
      <c r="M68" s="232"/>
    </row>
    <row r="69" spans="2:13" x14ac:dyDescent="0.3">
      <c r="B69" s="170">
        <v>45446</v>
      </c>
      <c r="C69" s="41">
        <v>1</v>
      </c>
      <c r="D69" s="171">
        <v>1</v>
      </c>
      <c r="E69" s="172">
        <v>212</v>
      </c>
      <c r="F69" s="173">
        <v>30718044894</v>
      </c>
      <c r="G69" s="174" t="str">
        <f>IFERROR(IF(venta_a_mes6[[#This Row],[CUIT]]="","-",VLOOKUP(venta_a_mes6[[#This Row],[CUIT]],Lista_CUIT[#All],2,0)),"CUIT NO CARGADO")</f>
        <v>GRUPO NACER ECOLOGICO S.R.L</v>
      </c>
      <c r="H69" s="175">
        <v>312727.28999999998</v>
      </c>
      <c r="I69" s="176">
        <f>venta_a_mes6[[#This Row],[IMPORTE NETO]]*0.21</f>
        <v>65672.730899999995</v>
      </c>
      <c r="J69" s="177"/>
      <c r="K69" s="177"/>
      <c r="L69" s="177">
        <f>SUM(venta_a_mes6[[#This Row],[IMPORTE NETO]:[EXENTO]])</f>
        <v>378400.0209</v>
      </c>
      <c r="M69" s="178"/>
    </row>
    <row r="70" spans="2:13" x14ac:dyDescent="0.3">
      <c r="B70" s="223">
        <v>45455</v>
      </c>
      <c r="C70" s="41">
        <v>1</v>
      </c>
      <c r="D70" s="225">
        <v>1</v>
      </c>
      <c r="E70" s="226">
        <v>214</v>
      </c>
      <c r="F70" s="227">
        <v>30717969061</v>
      </c>
      <c r="G70" s="228" t="str">
        <f>IFERROR(IF(venta_a_mes6[[#This Row],[CUIT]]="","-",VLOOKUP(venta_a_mes6[[#This Row],[CUIT]],Lista_CUIT[#All],2,0)),"CUIT NO CARGADO")</f>
        <v>FABIO Y RAUL ROSSO S.A.S.</v>
      </c>
      <c r="H70" s="229">
        <v>47107.43</v>
      </c>
      <c r="I70" s="230">
        <f>venta_a_mes6[[#This Row],[IMPORTE NETO]]*0.21</f>
        <v>9892.5602999999992</v>
      </c>
      <c r="J70" s="231"/>
      <c r="K70" s="231"/>
      <c r="L70" s="231">
        <f>SUM(venta_a_mes6[[#This Row],[IMPORTE NETO]:[EXENTO]])</f>
        <v>56999.990299999998</v>
      </c>
      <c r="M70" s="232"/>
    </row>
    <row r="71" spans="2:13" x14ac:dyDescent="0.3">
      <c r="B71" s="223">
        <v>45470</v>
      </c>
      <c r="C71" s="41">
        <v>1</v>
      </c>
      <c r="D71" s="225">
        <v>1</v>
      </c>
      <c r="E71" s="226">
        <v>215</v>
      </c>
      <c r="F71" s="227">
        <v>33717319309</v>
      </c>
      <c r="G71" s="228" t="str">
        <f>IFERROR(IF(venta_a_mes6[[#This Row],[CUIT]]="","-",VLOOKUP(venta_a_mes6[[#This Row],[CUIT]],Lista_CUIT[#All],2,0)),"CUIT NO CARGADO")</f>
        <v>CONSMITEC S.R.L.</v>
      </c>
      <c r="H71" s="229">
        <v>390909.1</v>
      </c>
      <c r="I71" s="230">
        <f>venta_a_mes6[[#This Row],[IMPORTE NETO]]*0.21</f>
        <v>82090.910999999993</v>
      </c>
      <c r="J71" s="231"/>
      <c r="K71" s="231"/>
      <c r="L71" s="231">
        <f>SUM(venta_a_mes6[[#This Row],[IMPORTE NETO]:[EXENTO]])</f>
        <v>473000.01099999994</v>
      </c>
      <c r="M71" s="232"/>
    </row>
    <row r="72" spans="2:13" x14ac:dyDescent="0.3">
      <c r="B72" s="66" t="s">
        <v>91</v>
      </c>
      <c r="C72" s="67"/>
      <c r="D72" s="67"/>
      <c r="E72" s="67"/>
      <c r="F72" s="67"/>
      <c r="G72" s="67"/>
      <c r="H72" s="69">
        <f>SUBTOTAL(109,venta_a_mes6[IMPORTE NETO])</f>
        <v>3050724.15</v>
      </c>
      <c r="I72" s="70">
        <f>SUBTOTAL(109,venta_a_mes6[IVA 21%])</f>
        <v>640652.07150000008</v>
      </c>
      <c r="J72" s="71">
        <f>SUBTOTAL(109,venta_a_mes6[IVA 10,5%])</f>
        <v>0</v>
      </c>
      <c r="K72" s="71">
        <f>SUBTOTAL(109,venta_a_mes6[EXENTO])</f>
        <v>0</v>
      </c>
      <c r="L72" s="71">
        <f>SUBTOTAL(109,venta_a_mes6[TOTAL])</f>
        <v>3691376.2215</v>
      </c>
      <c r="M72" s="68">
        <f>SUBTOTAL(103,venta_a_mes6[Provincia])</f>
        <v>0</v>
      </c>
    </row>
    <row r="73" spans="2:13" x14ac:dyDescent="0.3">
      <c r="B73" s="187"/>
      <c r="C73" s="187"/>
      <c r="D73" s="187"/>
      <c r="E73" s="187"/>
      <c r="F73" s="187"/>
      <c r="G73" s="187"/>
      <c r="H73" s="188"/>
      <c r="I73" s="189"/>
      <c r="J73" s="190"/>
      <c r="K73" s="190"/>
      <c r="L73" s="190"/>
      <c r="M73" s="191"/>
    </row>
    <row r="74" spans="2:13" ht="21" x14ac:dyDescent="0.3">
      <c r="B74" s="365" t="s">
        <v>31</v>
      </c>
      <c r="C74" s="365"/>
    </row>
    <row r="75" spans="2:13" ht="31.2" x14ac:dyDescent="0.3">
      <c r="B75" s="60" t="s">
        <v>0</v>
      </c>
      <c r="C75" s="61" t="s">
        <v>1</v>
      </c>
      <c r="D75" s="61" t="s">
        <v>21</v>
      </c>
      <c r="E75" s="61" t="s">
        <v>22</v>
      </c>
      <c r="F75" s="61" t="s">
        <v>3</v>
      </c>
      <c r="G75" s="61" t="s">
        <v>4</v>
      </c>
      <c r="H75" s="61" t="s">
        <v>23</v>
      </c>
      <c r="I75" s="61" t="s">
        <v>17</v>
      </c>
      <c r="J75" s="61" t="s">
        <v>7</v>
      </c>
      <c r="K75" s="61" t="s">
        <v>24</v>
      </c>
      <c r="L75" s="61" t="s">
        <v>10</v>
      </c>
      <c r="M75" s="62" t="s">
        <v>38</v>
      </c>
    </row>
    <row r="76" spans="2:13" x14ac:dyDescent="0.3">
      <c r="B76" s="40">
        <v>45446</v>
      </c>
      <c r="C76" s="41">
        <v>6</v>
      </c>
      <c r="D76" s="42">
        <v>1</v>
      </c>
      <c r="E76" s="43">
        <v>36</v>
      </c>
      <c r="F76" s="44">
        <v>30592508830</v>
      </c>
      <c r="G76" s="1" t="str">
        <f>IFERROR(IF(ventas_b_mes6[[#This Row],[CUIT]]="","-",VLOOKUP(ventas_b_mes6[[#This Row],[CUIT]],Lista_CUIT[#All],2,0)),"CUIT NO CARGADO")</f>
        <v>INSTITUTO DE ESTUDIOS SUPERIORES DE BUENOS AIRES S A</v>
      </c>
      <c r="H76" s="64">
        <v>41322.33</v>
      </c>
      <c r="I76" s="64">
        <v>8677.69</v>
      </c>
      <c r="J76" s="64"/>
      <c r="K76" s="64"/>
      <c r="L76" s="64">
        <f>SUM(ventas_b_mes6[[#This Row],[IMPORTE NETO]:[EXENTO]])</f>
        <v>50000.020000000004</v>
      </c>
      <c r="M76" s="59"/>
    </row>
    <row r="77" spans="2:13" x14ac:dyDescent="0.3">
      <c r="B77" s="40">
        <v>45446</v>
      </c>
      <c r="C77" s="41">
        <v>6</v>
      </c>
      <c r="D77" s="42">
        <v>1</v>
      </c>
      <c r="E77" s="43">
        <v>37</v>
      </c>
      <c r="F77" s="44">
        <v>20252582704</v>
      </c>
      <c r="G77" s="1" t="str">
        <f>IFERROR(IF(ventas_b_mes6[[#This Row],[CUIT]]="","-",VLOOKUP(ventas_b_mes6[[#This Row],[CUIT]],Lista_CUIT[#All],2,0)),"CUIT NO CARGADO")</f>
        <v>GARCIA VAUTRIN ANDRES ALBERTO</v>
      </c>
      <c r="H77" s="64">
        <v>108264.48</v>
      </c>
      <c r="I77" s="64">
        <v>22735.54</v>
      </c>
      <c r="J77" s="64"/>
      <c r="K77" s="64"/>
      <c r="L77" s="64">
        <f>SUM(ventas_b_mes6[[#This Row],[IMPORTE NETO]:[EXENTO]])</f>
        <v>131000.01999999999</v>
      </c>
      <c r="M77" s="59"/>
    </row>
    <row r="78" spans="2:13" x14ac:dyDescent="0.3">
      <c r="B78" s="40">
        <v>45446</v>
      </c>
      <c r="C78" s="41">
        <v>6</v>
      </c>
      <c r="D78" s="42">
        <v>1</v>
      </c>
      <c r="E78" s="43">
        <v>38</v>
      </c>
      <c r="F78" s="44">
        <v>29811544</v>
      </c>
      <c r="G78" s="1" t="str">
        <f>IFERROR(IF(ventas_b_mes6[[#This Row],[CUIT]]="","-",VLOOKUP(ventas_b_mes6[[#This Row],[CUIT]],Lista_CUIT[#All],2,0)),"CUIT NO CARGADO")</f>
        <v>ROSSO FAVIO DANIEL</v>
      </c>
      <c r="H78" s="64">
        <v>47107.43</v>
      </c>
      <c r="I78" s="64">
        <v>9892.56</v>
      </c>
      <c r="J78" s="64"/>
      <c r="K78" s="64"/>
      <c r="L78" s="64">
        <f>SUM(ventas_b_mes6[[#This Row],[IMPORTE NETO]:[EXENTO]])</f>
        <v>56999.99</v>
      </c>
      <c r="M78" s="59"/>
    </row>
    <row r="79" spans="2:13" x14ac:dyDescent="0.3">
      <c r="B79" s="40">
        <v>45455</v>
      </c>
      <c r="C79" s="41">
        <v>8</v>
      </c>
      <c r="D79" s="42">
        <v>1</v>
      </c>
      <c r="E79" s="43">
        <v>1</v>
      </c>
      <c r="F79" s="44">
        <v>29811544</v>
      </c>
      <c r="G79" s="1" t="str">
        <f>IFERROR(IF(ventas_b_mes6[[#This Row],[CUIT]]="","-",VLOOKUP(ventas_b_mes6[[#This Row],[CUIT]],Lista_CUIT[#All],2,0)),"CUIT NO CARGADO")</f>
        <v>ROSSO FAVIO DANIEL</v>
      </c>
      <c r="H79" s="64">
        <v>-47107.43</v>
      </c>
      <c r="I79" s="64">
        <v>-9892.56</v>
      </c>
      <c r="J79" s="64"/>
      <c r="K79" s="64"/>
      <c r="L79" s="64">
        <f>SUM(ventas_b_mes6[[#This Row],[IMPORTE NETO]:[EXENTO]])</f>
        <v>-56999.99</v>
      </c>
      <c r="M79" s="59"/>
    </row>
    <row r="80" spans="2:13" x14ac:dyDescent="0.3">
      <c r="B80" s="40"/>
      <c r="C80" s="41"/>
      <c r="D80" s="42"/>
      <c r="E80" s="43"/>
      <c r="F80" s="44"/>
      <c r="G80" s="1" t="str">
        <f>IFERROR(IF(ventas_b_mes6[[#This Row],[CUIT]]="","-",VLOOKUP(ventas_b_mes6[[#This Row],[CUIT]],Lista_CUIT[#All],2,0)),"CUIT NO CARGADO")</f>
        <v>-</v>
      </c>
      <c r="H80" s="64"/>
      <c r="I80" s="64"/>
      <c r="J80" s="64"/>
      <c r="K80" s="64"/>
      <c r="L80" s="64">
        <f>SUM(ventas_b_mes6[[#This Row],[IMPORTE NETO]:[EXENTO]])</f>
        <v>0</v>
      </c>
      <c r="M80" s="59"/>
    </row>
    <row r="81" spans="2:13" x14ac:dyDescent="0.3">
      <c r="B81" s="40"/>
      <c r="C81" s="41"/>
      <c r="D81" s="42"/>
      <c r="E81" s="43"/>
      <c r="F81" s="44"/>
      <c r="G81" s="1" t="str">
        <f>IFERROR(IF(ventas_b_mes6[[#This Row],[CUIT]]="","-",VLOOKUP(ventas_b_mes6[[#This Row],[CUIT]],Lista_CUIT[#All],2,0)),"CUIT NO CARGADO")</f>
        <v>-</v>
      </c>
      <c r="H81" s="64"/>
      <c r="I81" s="64"/>
      <c r="J81" s="64"/>
      <c r="K81" s="64"/>
      <c r="L81" s="64">
        <f>SUM(ventas_b_mes6[[#This Row],[IMPORTE NETO]:[EXENTO]])</f>
        <v>0</v>
      </c>
      <c r="M81" s="59"/>
    </row>
    <row r="82" spans="2:13" x14ac:dyDescent="0.3">
      <c r="B82" s="66" t="s">
        <v>91</v>
      </c>
      <c r="C82" s="67"/>
      <c r="D82" s="67"/>
      <c r="E82" s="67"/>
      <c r="F82" s="67"/>
      <c r="G82" s="67"/>
      <c r="H82" s="77">
        <f>SUBTOTAL(109,ventas_b_mes6[IMPORTE NETO])</f>
        <v>149586.81</v>
      </c>
      <c r="I82" s="77">
        <f>SUBTOTAL(109,ventas_b_mes6[IVA 21%])</f>
        <v>31413.230000000003</v>
      </c>
      <c r="J82" s="78">
        <f>SUBTOTAL(109,ventas_b_mes6[IVA 10,5%])</f>
        <v>0</v>
      </c>
      <c r="K82" s="78">
        <f>SUBTOTAL(109,ventas_b_mes6[EXENTO])</f>
        <v>0</v>
      </c>
      <c r="L82" s="78">
        <f>SUBTOTAL(109,ventas_b_mes6[TOTAL])</f>
        <v>181000.03999999998</v>
      </c>
      <c r="M82" s="68">
        <f>SUBTOTAL(103,ventas_b_mes6[Provincia])</f>
        <v>0</v>
      </c>
    </row>
    <row r="89" spans="2:13" ht="15" thickBot="1" x14ac:dyDescent="0.35"/>
    <row r="90" spans="2:13" ht="15" thickTop="1" x14ac:dyDescent="0.3">
      <c r="C90" s="358" t="s">
        <v>66</v>
      </c>
      <c r="D90" s="358"/>
      <c r="E90" s="358"/>
      <c r="F90" s="358"/>
      <c r="G90" s="358"/>
      <c r="H90" s="32"/>
      <c r="I90" s="32"/>
      <c r="J90" s="32"/>
    </row>
    <row r="91" spans="2:13" ht="15.6" x14ac:dyDescent="0.3">
      <c r="C91" s="114" t="s">
        <v>67</v>
      </c>
      <c r="D91" s="115" t="s">
        <v>68</v>
      </c>
      <c r="E91" s="115" t="s">
        <v>93</v>
      </c>
      <c r="F91" s="115" t="s">
        <v>3</v>
      </c>
      <c r="G91" s="115" t="s">
        <v>4</v>
      </c>
      <c r="H91" s="116" t="s">
        <v>69</v>
      </c>
      <c r="I91" s="116" t="s">
        <v>70</v>
      </c>
      <c r="J91" s="116" t="s">
        <v>71</v>
      </c>
      <c r="K91" s="116" t="s">
        <v>72</v>
      </c>
      <c r="L91" s="116" t="s">
        <v>73</v>
      </c>
    </row>
    <row r="92" spans="2:13" x14ac:dyDescent="0.3">
      <c r="C92" s="117"/>
      <c r="D92" s="118"/>
      <c r="E92" s="118"/>
      <c r="F92" s="119"/>
      <c r="G92" s="53" t="str">
        <f>IFERROR(IF(Retenciones_mes6[[#This Row],[CUIT]]="","-",VLOOKUP(Retenciones_mes6[[#This Row],[CUIT]],Lista_CUIT[#All],2,0)),"CUIT NO CARGADO")</f>
        <v>-</v>
      </c>
      <c r="H92" s="120"/>
      <c r="I92" s="120"/>
      <c r="J92" s="120"/>
      <c r="K92" s="120"/>
      <c r="L92" s="120"/>
    </row>
    <row r="93" spans="2:13" x14ac:dyDescent="0.3">
      <c r="C93" s="117"/>
      <c r="D93" s="118"/>
      <c r="E93" s="118"/>
      <c r="F93" s="119"/>
      <c r="G93" s="53" t="str">
        <f>IFERROR(IF(Retenciones_mes6[[#This Row],[CUIT]]="","-",VLOOKUP(Retenciones_mes6[[#This Row],[CUIT]],Lista_CUIT[#All],2,0)),"CUIT NO CARGADO")</f>
        <v>-</v>
      </c>
      <c r="H93" s="120"/>
      <c r="I93" s="120"/>
      <c r="J93" s="120"/>
      <c r="K93" s="120"/>
      <c r="L93" s="120"/>
    </row>
    <row r="94" spans="2:13" x14ac:dyDescent="0.3">
      <c r="C94" s="117"/>
      <c r="D94" s="118"/>
      <c r="E94" s="118"/>
      <c r="F94" s="119"/>
      <c r="G94" s="53" t="str">
        <f>IFERROR(IF(Retenciones_mes6[[#This Row],[CUIT]]="","-",VLOOKUP(Retenciones_mes6[[#This Row],[CUIT]],Lista_CUIT[#All],2,0)),"CUIT NO CARGADO")</f>
        <v>-</v>
      </c>
      <c r="H94" s="120"/>
      <c r="I94" s="120"/>
      <c r="J94" s="120"/>
      <c r="K94" s="120"/>
      <c r="L94" s="120"/>
    </row>
    <row r="95" spans="2:13" x14ac:dyDescent="0.3">
      <c r="C95" s="117"/>
      <c r="D95" s="118"/>
      <c r="E95" s="118"/>
      <c r="F95" s="119"/>
      <c r="G95" s="53" t="str">
        <f>IFERROR(IF(Retenciones_mes6[[#This Row],[CUIT]]="","-",VLOOKUP(Retenciones_mes6[[#This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3">
      <c r="D96" s="118"/>
      <c r="E96" s="118"/>
      <c r="G96" s="53" t="str">
        <f>IFERROR(IF(Retenciones_mes6[[#This Row],[CUIT]]="","-",VLOOKUP(Retenciones_mes6[[#This Row],[CUIT]],Lista_CUIT[#All],2,0)),"CUIT NO CARGADO")</f>
        <v>-</v>
      </c>
    </row>
    <row r="97" spans="3:3" x14ac:dyDescent="0.3">
      <c r="C97" s="33"/>
    </row>
  </sheetData>
  <mergeCells count="20">
    <mergeCell ref="P4:R4"/>
    <mergeCell ref="D26:L26"/>
    <mergeCell ref="B1:F1"/>
    <mergeCell ref="G1:M1"/>
    <mergeCell ref="N1:R1"/>
    <mergeCell ref="B3:E3"/>
    <mergeCell ref="G3:H3"/>
    <mergeCell ref="J3:K3"/>
    <mergeCell ref="M3:N3"/>
    <mergeCell ref="P3:R3"/>
    <mergeCell ref="C90:G90"/>
    <mergeCell ref="B4:E4"/>
    <mergeCell ref="G4:H4"/>
    <mergeCell ref="J4:K4"/>
    <mergeCell ref="M4:N4"/>
    <mergeCell ref="D35:K35"/>
    <mergeCell ref="B47:J47"/>
    <mergeCell ref="K47:M47"/>
    <mergeCell ref="B49:C49"/>
    <mergeCell ref="B74:C74"/>
  </mergeCells>
  <dataValidations count="12">
    <dataValidation type="whole" allowBlank="1" showInputMessage="1" showErrorMessage="1" sqref="D9:D20 D76:D81 E37:E41 D51:D71" xr:uid="{EC8A57FB-2FB4-4458-AB8E-1C7ECEE9D83D}">
      <formula1>1</formula1>
      <formula2>9999</formula2>
    </dataValidation>
    <dataValidation type="whole" allowBlank="1" showInputMessage="1" showErrorMessage="1" sqref="E9:E20 E76:E81 F37:F41 E51:E71" xr:uid="{25B261B2-F12E-4ECA-9D9A-6D6561A4EC10}">
      <formula1>1</formula1>
      <formula2>99999999</formula2>
    </dataValidation>
    <dataValidation type="whole" allowBlank="1" showInputMessage="1" showErrorMessage="1" sqref="F9:F20 G37:G41 F76:F81 F51:F71" xr:uid="{C1F63EBE-4555-4432-B4C3-2640286D473F}">
      <formula1>20000000000</formula1>
      <formula2>33999999999</formula2>
    </dataValidation>
    <dataValidation type="date" allowBlank="1" showInputMessage="1" showErrorMessage="1" sqref="B9:B20 D28:D30 B76:B81 D37:D41 B22:B25 B52:B69" xr:uid="{2C089484-2E9A-4B56-AB81-BED0ECFB7D0E}">
      <formula1>40179</formula1>
      <formula2>TODAY()</formula2>
    </dataValidation>
    <dataValidation type="whole" allowBlank="1" showInputMessage="1" showErrorMessage="1" sqref="C9:C20 C22:C25 C51:C71" xr:uid="{A0ED13F1-5B90-4A01-A85F-966A87C1E549}">
      <formula1>1</formula1>
      <formula2>3</formula2>
    </dataValidation>
    <dataValidation type="custom" allowBlank="1" showInputMessage="1" showErrorMessage="1" sqref="H51:K51 H53:K53 H55:K55 H57:K57" xr:uid="{C462AFEB-F044-4E84-8622-79663E49629A}">
      <formula1>IF($C51=3,H51&lt;0,H51&gt;=0)</formula1>
    </dataValidation>
    <dataValidation type="whole" allowBlank="1" showInputMessage="1" showErrorMessage="1" sqref="C76:C81" xr:uid="{2F7ACE41-DCBE-4A4F-A551-12ABD40E9252}">
      <formula1>6</formula1>
      <formula2>8</formula2>
    </dataValidation>
    <dataValidation type="custom" allowBlank="1" showInputMessage="1" showErrorMessage="1" sqref="L51:L52" xr:uid="{C31F99E0-3278-4647-844A-F8105080EA2C}">
      <formula1>IF($C9=3,L9&lt;0,L9&gt;=0)</formula1>
    </dataValidation>
    <dataValidation type="custom" allowBlank="1" showInputMessage="1" showErrorMessage="1" sqref="H76:L81" xr:uid="{EC9401F0-07A5-4CBA-850D-9978FB131A74}">
      <formula1>IF($C76=8,H76&lt;0,H76&gt;=0)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0" xr:uid="{0BB33E7E-3D50-447E-9C12-BED6AD845C28}">
      <formula1>IF($C9=3,H9&lt;0,H9&gt;=0)</formula1>
    </dataValidation>
    <dataValidation type="custom" allowBlank="1" showInputMessage="1" showErrorMessage="1" sqref="L56:L57" xr:uid="{A41CBAC6-E5E8-4D89-B6F7-49F70D1130A0}">
      <formula1>IF($C21=3,L21&lt;0,L21&gt;=0)</formula1>
    </dataValidation>
    <dataValidation type="custom" allowBlank="1" showInputMessage="1" showErrorMessage="1" sqref="L53:L55" xr:uid="{E51475CA-D565-4D73-9AD9-2C4711601901}">
      <formula1>IF($C13=3,L13&lt;0,L13&gt;=0)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9" tint="0.79998168889431442"/>
  </sheetPr>
  <dimension ref="A1:Z98"/>
  <sheetViews>
    <sheetView showGridLines="0" topLeftCell="B1" zoomScaleNormal="100" workbookViewId="0">
      <selection activeCell="N19" sqref="N19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20.33203125" customWidth="1"/>
    <col min="7" max="7" width="19.109375" customWidth="1"/>
    <col min="8" max="8" width="15.44140625" customWidth="1"/>
    <col min="9" max="9" width="12" customWidth="1"/>
    <col min="10" max="10" width="15.5546875" customWidth="1"/>
    <col min="11" max="11" width="11.88671875" customWidth="1"/>
    <col min="12" max="12" width="12.44140625" customWidth="1"/>
    <col min="13" max="14" width="13.44140625" customWidth="1"/>
    <col min="15" max="15" width="9.5546875" customWidth="1"/>
    <col min="16" max="16" width="23.109375" customWidth="1"/>
    <col min="17" max="17" width="13.55468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75" t="str">
        <f>'Ene-24'!G1:M1</f>
        <v>RABLEB SRL</v>
      </c>
      <c r="H1" s="375"/>
      <c r="I1" s="375"/>
      <c r="J1" s="375"/>
      <c r="K1" s="375"/>
      <c r="L1" s="375"/>
      <c r="M1" s="375"/>
      <c r="N1" s="370">
        <f>EDATE('Ene-24'!N1,6)</f>
        <v>45474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SUM(compras_mes7[[#Totals],[NETO GRAVADO]])+extracto_banco_mes7[[#Totals],[NETO]]</f>
        <v>2027190.96</v>
      </c>
      <c r="C4" s="359"/>
      <c r="D4" s="359"/>
      <c r="E4" s="359"/>
      <c r="F4" s="39"/>
      <c r="G4" s="360">
        <f>compras_mes7[[#Totals],[IVA 21 %]]+compras_mes7[[#Totals],[IVA 27%]]+compras_mes7[[#Totals],[IVA 10,5%]]+extracto_banco_mes7[[#Totals],[IVA 21%]]+extracto_banco_mes7[[#Totals],[IVA 10,5%]]</f>
        <v>425710.10160000005</v>
      </c>
      <c r="H4" s="360"/>
      <c r="I4" s="39"/>
      <c r="J4" s="361">
        <f>venta_a_mes7[[#Totals],[IMPORTE NETO]]+ventas_b_mes7[[#Totals],[IMPORTE NETO]]</f>
        <v>3971762.7199999997</v>
      </c>
      <c r="K4" s="361"/>
      <c r="L4" s="39"/>
      <c r="M4" s="361">
        <f>venta_a_mes7[[#Totals],[IVA 21%]]+venta_a_mes7[[#Totals],[IVA 10,5%]]+ventas_b_mes7[[#Totals],[IVA 21%]]+ventas_b_mes7[[#Totals],[IVA 10,5%]]</f>
        <v>834070.17119999987</v>
      </c>
      <c r="N4" s="361"/>
      <c r="O4" s="39"/>
      <c r="P4" s="366">
        <f>G4-M4</f>
        <v>-408360.06959999981</v>
      </c>
      <c r="Q4" s="367"/>
      <c r="R4" s="367"/>
    </row>
    <row r="5" spans="1:26" ht="13.2" customHeight="1" x14ac:dyDescent="0.3"/>
    <row r="6" spans="1:26" ht="9" customHeight="1" x14ac:dyDescent="0.3"/>
    <row r="7" spans="1:26" s="2" customFormat="1" ht="16.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45504</v>
      </c>
      <c r="C9" s="41">
        <v>1</v>
      </c>
      <c r="D9" s="42">
        <v>11</v>
      </c>
      <c r="E9" s="43">
        <v>1010849</v>
      </c>
      <c r="F9" s="44">
        <v>33709585229</v>
      </c>
      <c r="G9" s="45" t="str">
        <f>IFERROR(IF(compras_mes7[[#This Row],[CUIT]]="","-",VLOOKUP(compras_mes7[[#This Row],[CUIT]],Lista_CUIT[#All],2,0)),"CUIT NO CARGADO")</f>
        <v>GOOGLE ARGENTINA S.R.L.</v>
      </c>
      <c r="H9" s="46">
        <v>47329.95</v>
      </c>
      <c r="I9" s="85">
        <f>IF(compras_mes7[[#This Row],[NETO GRAVADO]]="","",compras_mes7[[#This Row],[NETO GRAVADO]]*0.21)</f>
        <v>9939.289499999999</v>
      </c>
      <c r="J9" s="85"/>
      <c r="K9" s="85"/>
      <c r="L9" s="85">
        <v>1419.9</v>
      </c>
      <c r="M9" s="85"/>
      <c r="N9" s="85">
        <v>709.95</v>
      </c>
      <c r="O9" s="85"/>
      <c r="P9" s="48">
        <f>SUM(compras_mes7[[#This Row],[NETO GRAVADO]:[Otros / No Grav.]])</f>
        <v>59399.089499999995</v>
      </c>
      <c r="Q9" s="49" t="str">
        <f>IFERROR(IF(compras_mes7[[#This Row],[CUIT]]="","-",VLOOKUP(compras_mes7[[#This Row],[CUIT]],Lista_CUIT[#All],3,0)),"CUIT NO CARGADO")</f>
        <v>Gastos Publicidad y Propaganda</v>
      </c>
      <c r="R9" s="49">
        <f>IFERROR(IF(compras_mes7[[#This Row],[CUIT]]="","-",VLOOKUP(compras_mes7[[#This Row],[CUIT]],Lista_CUIT[#All],4,0)),"CUIT NO CARGADO")</f>
        <v>0</v>
      </c>
    </row>
    <row r="10" spans="1:26" x14ac:dyDescent="0.3">
      <c r="B10" s="40">
        <v>45504</v>
      </c>
      <c r="C10" s="41">
        <v>1</v>
      </c>
      <c r="D10" s="42">
        <v>11</v>
      </c>
      <c r="E10" s="43">
        <v>1012724</v>
      </c>
      <c r="F10" s="44">
        <v>33709585229</v>
      </c>
      <c r="G10" s="45" t="str">
        <f>IFERROR(IF(compras_mes7[[#This Row],[CUIT]]="","-",VLOOKUP(compras_mes7[[#This Row],[CUIT]],Lista_CUIT[#All],2,0)),"CUIT NO CARGADO")</f>
        <v>GOOGLE ARGENTINA S.R.L.</v>
      </c>
      <c r="H10" s="46">
        <v>170196.82</v>
      </c>
      <c r="I10" s="85">
        <f>IF(compras_mes7[[#This Row],[NETO GRAVADO]]="","",compras_mes7[[#This Row],[NETO GRAVADO]]*0.21)</f>
        <v>35741.332199999997</v>
      </c>
      <c r="J10" s="85"/>
      <c r="K10" s="85"/>
      <c r="L10" s="85">
        <v>5105.8999999999996</v>
      </c>
      <c r="M10" s="85"/>
      <c r="N10" s="85">
        <v>2552.9499999999998</v>
      </c>
      <c r="O10" s="85"/>
      <c r="P10" s="48">
        <f>SUM(compras_mes7[[#This Row],[NETO GRAVADO]:[Otros / No Grav.]])</f>
        <v>213597.00220000002</v>
      </c>
      <c r="Q10" s="49" t="str">
        <f>IFERROR(IF(compras_mes7[[#This Row],[CUIT]]="","-",VLOOKUP(compras_mes7[[#This Row],[CUIT]],Lista_CUIT[#All],3,0)),"CUIT NO CARGADO")</f>
        <v>Gastos Publicidad y Propaganda</v>
      </c>
      <c r="R10" s="49">
        <f>IFERROR(IF(compras_mes7[[#This Row],[CUIT]]="","-",VLOOKUP(compras_mes7[[#This Row],[CUIT]],Lista_CUIT[#All],4,0)),"CUIT NO CARGADO")</f>
        <v>0</v>
      </c>
    </row>
    <row r="11" spans="1:26" x14ac:dyDescent="0.3">
      <c r="B11" s="40">
        <v>45504</v>
      </c>
      <c r="C11" s="41">
        <v>1</v>
      </c>
      <c r="D11" s="42">
        <v>11</v>
      </c>
      <c r="E11" s="43">
        <v>1013282</v>
      </c>
      <c r="F11" s="44">
        <v>33709585229</v>
      </c>
      <c r="G11" s="94" t="str">
        <f>IFERROR(IF(compras_mes7[[#This Row],[CUIT]]="","-",VLOOKUP(compras_mes7[[#This Row],[CUIT]],Lista_CUIT[#All],2,0)),"CUIT NO CARGADO")</f>
        <v>GOOGLE ARGENTINA S.R.L.</v>
      </c>
      <c r="H11" s="46">
        <v>460135.35</v>
      </c>
      <c r="I11" s="86">
        <f>IF(compras_mes7[[#This Row],[NETO GRAVADO]]="","",compras_mes7[[#This Row],[NETO GRAVADO]]*0.21)</f>
        <v>96628.42349999999</v>
      </c>
      <c r="J11" s="86"/>
      <c r="K11" s="86"/>
      <c r="L11" s="86">
        <v>13804.06</v>
      </c>
      <c r="M11" s="86"/>
      <c r="N11" s="85">
        <v>6902.03</v>
      </c>
      <c r="O11" s="85"/>
      <c r="P11" s="48">
        <f>SUM(compras_mes7[[#This Row],[NETO GRAVADO]:[Otros / No Grav.]])</f>
        <v>577469.86350000009</v>
      </c>
      <c r="Q11" s="88" t="str">
        <f>IFERROR(IF(compras_mes7[[#This Row],[CUIT]]="","-",VLOOKUP(compras_mes7[[#This Row],[CUIT]],Lista_CUIT[#All],3,0)),"CUIT NO CARGADO")</f>
        <v>Gastos Publicidad y Propaganda</v>
      </c>
      <c r="R11" s="88">
        <f>IFERROR(IF(compras_mes7[[#This Row],[CUIT]]="","-",VLOOKUP(compras_mes7[[#This Row],[CUIT]],Lista_CUIT[#All],4,0)),"CUIT NO CARGADO")</f>
        <v>0</v>
      </c>
    </row>
    <row r="12" spans="1:26" x14ac:dyDescent="0.3">
      <c r="B12" s="40">
        <v>45504</v>
      </c>
      <c r="C12" s="41">
        <v>1</v>
      </c>
      <c r="D12" s="42">
        <v>11</v>
      </c>
      <c r="E12" s="43">
        <v>1016543</v>
      </c>
      <c r="F12" s="44">
        <v>33709585229</v>
      </c>
      <c r="G12" s="94" t="str">
        <f>IFERROR(IF(compras_mes7[[#This Row],[CUIT]]="","-",VLOOKUP(compras_mes7[[#This Row],[CUIT]],Lista_CUIT[#All],2,0)),"CUIT NO CARGADO")</f>
        <v>GOOGLE ARGENTINA S.R.L.</v>
      </c>
      <c r="H12" s="46">
        <v>222327.26</v>
      </c>
      <c r="I12" s="86">
        <f>IF(compras_mes7[[#This Row],[NETO GRAVADO]]="","",compras_mes7[[#This Row],[NETO GRAVADO]]*0.21)</f>
        <v>46688.724600000001</v>
      </c>
      <c r="J12" s="86"/>
      <c r="K12" s="86"/>
      <c r="L12" s="86">
        <v>6669.82</v>
      </c>
      <c r="M12" s="86"/>
      <c r="N12" s="85">
        <v>3334.91</v>
      </c>
      <c r="O12" s="85"/>
      <c r="P12" s="48">
        <f>SUM(compras_mes7[[#This Row],[NETO GRAVADO]:[Otros / No Grav.]])</f>
        <v>279020.71460000001</v>
      </c>
      <c r="Q12" s="88" t="str">
        <f>IFERROR(IF(compras_mes7[[#This Row],[CUIT]]="","-",VLOOKUP(compras_mes7[[#This Row],[CUIT]],Lista_CUIT[#All],3,0)),"CUIT NO CARGADO")</f>
        <v>Gastos Publicidad y Propaganda</v>
      </c>
      <c r="R12" s="88">
        <f>IFERROR(IF(compras_mes7[[#This Row],[CUIT]]="","-",VLOOKUP(compras_mes7[[#This Row],[CUIT]],Lista_CUIT[#All],4,0)),"CUIT NO CARGADO")</f>
        <v>0</v>
      </c>
    </row>
    <row r="13" spans="1:26" x14ac:dyDescent="0.3">
      <c r="B13" s="40">
        <v>45504</v>
      </c>
      <c r="C13" s="41">
        <v>1</v>
      </c>
      <c r="D13" s="42">
        <v>11</v>
      </c>
      <c r="E13" s="43">
        <v>1019440</v>
      </c>
      <c r="F13" s="44">
        <v>33709585229</v>
      </c>
      <c r="G13" s="45" t="str">
        <f>IFERROR(IF(compras_mes7[[#This Row],[CUIT]]="","-",VLOOKUP(compras_mes7[[#This Row],[CUIT]],Lista_CUIT[#All],2,0)),"CUIT NO CARGADO")</f>
        <v>GOOGLE ARGENTINA S.R.L.</v>
      </c>
      <c r="H13" s="46">
        <v>950719.91</v>
      </c>
      <c r="I13" s="85">
        <f>IF(compras_mes7[[#This Row],[NETO GRAVADO]]="","",compras_mes7[[#This Row],[NETO GRAVADO]]*0.21)</f>
        <v>199651.18109999999</v>
      </c>
      <c r="J13" s="85"/>
      <c r="K13" s="85"/>
      <c r="L13" s="85">
        <v>28521.599999999999</v>
      </c>
      <c r="M13" s="85"/>
      <c r="N13" s="85">
        <v>14260.8</v>
      </c>
      <c r="O13" s="85"/>
      <c r="P13" s="48">
        <f>SUM(compras_mes7[[#This Row],[NETO GRAVADO]:[Otros / No Grav.]])</f>
        <v>1193153.4911000002</v>
      </c>
      <c r="Q13" s="49" t="str">
        <f>IFERROR(IF(compras_mes7[[#This Row],[CUIT]]="","-",VLOOKUP(compras_mes7[[#This Row],[CUIT]],Lista_CUIT[#All],3,0)),"CUIT NO CARGADO")</f>
        <v>Gastos Publicidad y Propaganda</v>
      </c>
      <c r="R13" s="49">
        <f>IFERROR(IF(compras_mes7[[#This Row],[CUIT]]="","-",VLOOKUP(compras_mes7[[#This Row],[CUIT]],Lista_CUIT[#All],4,0)),"CUIT NO CARGADO")</f>
        <v>0</v>
      </c>
    </row>
    <row r="14" spans="1:26" x14ac:dyDescent="0.3">
      <c r="B14" s="40">
        <v>45504</v>
      </c>
      <c r="C14" s="41">
        <v>1</v>
      </c>
      <c r="D14" s="42">
        <v>11</v>
      </c>
      <c r="E14" s="43">
        <v>1019862</v>
      </c>
      <c r="F14" s="44">
        <v>33709585229</v>
      </c>
      <c r="G14" s="45" t="str">
        <f>IFERROR(IF(compras_mes7[[#This Row],[CUIT]]="","-",VLOOKUP(compras_mes7[[#This Row],[CUIT]],Lista_CUIT[#All],2,0)),"CUIT NO CARGADO")</f>
        <v>GOOGLE ARGENTINA S.R.L.</v>
      </c>
      <c r="H14" s="46">
        <v>55769.919999999998</v>
      </c>
      <c r="I14" s="85">
        <f>IF(compras_mes7[[#This Row],[NETO GRAVADO]]="","",compras_mes7[[#This Row],[NETO GRAVADO]]*0.21)</f>
        <v>11711.683199999999</v>
      </c>
      <c r="J14" s="85"/>
      <c r="K14" s="85"/>
      <c r="L14" s="85">
        <v>1673.1</v>
      </c>
      <c r="M14" s="85"/>
      <c r="N14" s="85">
        <v>836.55</v>
      </c>
      <c r="O14" s="85"/>
      <c r="P14" s="48">
        <f>SUM(compras_mes7[[#This Row],[NETO GRAVADO]:[Otros / No Grav.]])</f>
        <v>69991.253200000006</v>
      </c>
      <c r="Q14" s="49" t="str">
        <f>IFERROR(IF(compras_mes7[[#This Row],[CUIT]]="","-",VLOOKUP(compras_mes7[[#This Row],[CUIT]],Lista_CUIT[#All],3,0)),"CUIT NO CARGADO")</f>
        <v>Gastos Publicidad y Propaganda</v>
      </c>
      <c r="R14" s="49">
        <f>IFERROR(IF(compras_mes7[[#This Row],[CUIT]]="","-",VLOOKUP(compras_mes7[[#This Row],[CUIT]],Lista_CUIT[#All],4,0)),"CUIT NO CARGADO")</f>
        <v>0</v>
      </c>
    </row>
    <row r="15" spans="1:26" x14ac:dyDescent="0.3">
      <c r="B15" s="40">
        <v>45504</v>
      </c>
      <c r="C15" s="41">
        <v>1</v>
      </c>
      <c r="D15" s="42">
        <v>11</v>
      </c>
      <c r="E15" s="43">
        <v>1020132</v>
      </c>
      <c r="F15" s="44">
        <v>33709585229</v>
      </c>
      <c r="G15" s="45" t="str">
        <f>IFERROR(IF(compras_mes7[[#This Row],[CUIT]]="","-",VLOOKUP(compras_mes7[[#This Row],[CUIT]],Lista_CUIT[#All],2,0)),"CUIT NO CARGADO")</f>
        <v>GOOGLE ARGENTINA S.R.L.</v>
      </c>
      <c r="H15" s="46">
        <v>37672.54</v>
      </c>
      <c r="I15" s="85">
        <f>IF(compras_mes7[[#This Row],[NETO GRAVADO]]="","",compras_mes7[[#This Row],[NETO GRAVADO]]*0.21)</f>
        <v>7911.2334000000001</v>
      </c>
      <c r="J15" s="85"/>
      <c r="K15" s="85"/>
      <c r="L15" s="85">
        <v>1130.18</v>
      </c>
      <c r="M15" s="85"/>
      <c r="N15" s="85">
        <v>565.09</v>
      </c>
      <c r="O15" s="85"/>
      <c r="P15" s="48">
        <f>SUM(compras_mes7[[#This Row],[NETO GRAVADO]:[Otros / No Grav.]])</f>
        <v>47279.043399999995</v>
      </c>
      <c r="Q15" s="49" t="str">
        <f>IFERROR(IF(compras_mes7[[#This Row],[CUIT]]="","-",VLOOKUP(compras_mes7[[#This Row],[CUIT]],Lista_CUIT[#All],3,0)),"CUIT NO CARGADO")</f>
        <v>Gastos Publicidad y Propaganda</v>
      </c>
      <c r="R15" s="49">
        <f>IFERROR(IF(compras_mes7[[#This Row],[CUIT]]="","-",VLOOKUP(compras_mes7[[#This Row],[CUIT]],Lista_CUIT[#All],4,0)),"CUIT NO CARGADO")</f>
        <v>0</v>
      </c>
    </row>
    <row r="16" spans="1:26" s="56" customFormat="1" ht="18.600000000000001" customHeight="1" x14ac:dyDescent="0.3">
      <c r="B16" s="40">
        <v>45504</v>
      </c>
      <c r="C16" s="41">
        <v>1</v>
      </c>
      <c r="D16" s="42">
        <v>11</v>
      </c>
      <c r="E16" s="43">
        <v>1022178</v>
      </c>
      <c r="F16" s="44">
        <v>33709585229</v>
      </c>
      <c r="G16" s="94" t="str">
        <f>IFERROR(IF(compras_mes7[[#This Row],[CUIT]]="","-",VLOOKUP(compras_mes7[[#This Row],[CUIT]],Lista_CUIT[#All],2,0)),"CUIT NO CARGADO")</f>
        <v>GOOGLE ARGENTINA S.R.L.</v>
      </c>
      <c r="H16" s="46">
        <v>59797.84</v>
      </c>
      <c r="I16" s="86">
        <f>IF(compras_mes7[[#This Row],[NETO GRAVADO]]="","",compras_mes7[[#This Row],[NETO GRAVADO]]*0.21)</f>
        <v>12557.546399999999</v>
      </c>
      <c r="J16" s="86"/>
      <c r="K16" s="86"/>
      <c r="L16" s="86">
        <v>1793.94</v>
      </c>
      <c r="M16" s="86"/>
      <c r="N16" s="85">
        <v>896.97</v>
      </c>
      <c r="O16" s="85"/>
      <c r="P16" s="48">
        <f>SUM(compras_mes7[[#This Row],[NETO GRAVADO]:[Otros / No Grav.]])</f>
        <v>75046.296399999992</v>
      </c>
      <c r="Q16" s="88" t="str">
        <f>IFERROR(IF(compras_mes7[[#This Row],[CUIT]]="","-",VLOOKUP(compras_mes7[[#This Row],[CUIT]],Lista_CUIT[#All],3,0)),"CUIT NO CARGADO")</f>
        <v>Gastos Publicidad y Propaganda</v>
      </c>
      <c r="R16" s="88">
        <f>IFERROR(IF(compras_mes7[[#This Row],[CUIT]]="","-",VLOOKUP(compras_mes7[[#This Row],[CUIT]],Lista_CUIT[#All],4,0)),"CUIT NO CARGADO")</f>
        <v>0</v>
      </c>
    </row>
    <row r="17" spans="2:18" x14ac:dyDescent="0.3">
      <c r="B17" s="40">
        <v>45504</v>
      </c>
      <c r="C17" s="41">
        <v>3</v>
      </c>
      <c r="D17" s="42">
        <v>11</v>
      </c>
      <c r="E17" s="43">
        <v>744050</v>
      </c>
      <c r="F17" s="44">
        <v>33709585229</v>
      </c>
      <c r="G17" s="197" t="str">
        <f>IFERROR(IF(compras_mes7[[#This Row],[CUIT]]="","-",VLOOKUP(compras_mes7[[#This Row],[CUIT]],Lista_CUIT[#All],2,0)),"CUIT NO CARGADO")</f>
        <v>GOOGLE ARGENTINA S.R.L.</v>
      </c>
      <c r="H17" s="46">
        <v>-362.27</v>
      </c>
      <c r="I17" s="199">
        <f>IF(compras_mes7[[#This Row],[NETO GRAVADO]]="","",compras_mes7[[#This Row],[NETO GRAVADO]]*0.21)</f>
        <v>-76.076699999999988</v>
      </c>
      <c r="J17" s="199"/>
      <c r="K17" s="199"/>
      <c r="L17" s="199"/>
      <c r="M17" s="199"/>
      <c r="N17" s="85"/>
      <c r="O17" s="85"/>
      <c r="P17" s="48">
        <f>SUM(compras_mes7[[#This Row],[NETO GRAVADO]:[Otros / No Grav.]])</f>
        <v>-438.34669999999994</v>
      </c>
      <c r="Q17" s="201" t="str">
        <f>IFERROR(IF(compras_mes7[[#This Row],[CUIT]]="","-",VLOOKUP(compras_mes7[[#This Row],[CUIT]],Lista_CUIT[#All],3,0)),"CUIT NO CARGADO")</f>
        <v>Gastos Publicidad y Propaganda</v>
      </c>
      <c r="R17" s="201">
        <f>IFERROR(IF(compras_mes7[[#This Row],[CUIT]]="","-",VLOOKUP(compras_mes7[[#This Row],[CUIT]],Lista_CUIT[#All],4,0)),"CUIT NO CARGADO")</f>
        <v>0</v>
      </c>
    </row>
    <row r="18" spans="2:18" x14ac:dyDescent="0.3">
      <c r="B18" s="40">
        <v>45504</v>
      </c>
      <c r="C18" s="41">
        <v>3</v>
      </c>
      <c r="D18" s="42">
        <v>11</v>
      </c>
      <c r="E18" s="43">
        <v>741863</v>
      </c>
      <c r="F18" s="44">
        <v>33709585229</v>
      </c>
      <c r="G18" s="197" t="str">
        <f>IFERROR(IF(compras_mes7[[#This Row],[CUIT]]="","-",VLOOKUP(compras_mes7[[#This Row],[CUIT]],Lista_CUIT[#All],2,0)),"CUIT NO CARGADO")</f>
        <v>GOOGLE ARGENTINA S.R.L.</v>
      </c>
      <c r="H18" s="46">
        <v>-21.36</v>
      </c>
      <c r="I18" s="199">
        <f>IF(compras_mes7[[#This Row],[NETO GRAVADO]]="","",compras_mes7[[#This Row],[NETO GRAVADO]]*0.21)</f>
        <v>-4.4855999999999998</v>
      </c>
      <c r="J18" s="199"/>
      <c r="K18" s="199"/>
      <c r="L18" s="199"/>
      <c r="M18" s="199"/>
      <c r="N18" s="85"/>
      <c r="O18" s="199"/>
      <c r="P18" s="200">
        <f>SUM(compras_mes7[[#This Row],[NETO GRAVADO]:[Otros / No Grav.]])</f>
        <v>-25.845599999999997</v>
      </c>
      <c r="Q18" s="201" t="str">
        <f>IFERROR(IF(compras_mes7[[#This Row],[CUIT]]="","-",VLOOKUP(compras_mes7[[#This Row],[CUIT]],Lista_CUIT[#All],3,0)),"CUIT NO CARGADO")</f>
        <v>Gastos Publicidad y Propaganda</v>
      </c>
      <c r="R18" s="201">
        <f>IFERROR(IF(compras_mes7[[#This Row],[CUIT]]="","-",VLOOKUP(compras_mes7[[#This Row],[CUIT]],Lista_CUIT[#All],4,0)),"CUIT NO CARGADO")</f>
        <v>0</v>
      </c>
    </row>
    <row r="19" spans="2:18" x14ac:dyDescent="0.3">
      <c r="B19" s="96" t="s">
        <v>91</v>
      </c>
      <c r="C19" s="96"/>
      <c r="D19" s="96"/>
      <c r="E19" s="96"/>
      <c r="F19" s="96"/>
      <c r="G19" s="97"/>
      <c r="H19" s="98">
        <f>SUBTOTAL(109,compras_mes7[NETO GRAVADO])</f>
        <v>2003565.96</v>
      </c>
      <c r="I19" s="98">
        <f>SUBTOTAL(109,compras_mes7[IVA 21 %])</f>
        <v>420748.85160000005</v>
      </c>
      <c r="J19" s="98">
        <f>SUBTOTAL(109,compras_mes7[IVA 27%])</f>
        <v>0</v>
      </c>
      <c r="K19" s="98">
        <f>SUBTOTAL(109,compras_mes7[IVA 10,5%])</f>
        <v>0</v>
      </c>
      <c r="L19" s="98">
        <f>SUBTOTAL(109,compras_mes7[PERC. IVA])</f>
        <v>60118.5</v>
      </c>
      <c r="M19" s="98">
        <f>SUBTOTAL(109,compras_mes7[PERC IIBB 
BS AS])</f>
        <v>0</v>
      </c>
      <c r="N19" s="98">
        <f>SUBTOTAL(109,compras_mes7[PERC. IIBB CABA])</f>
        <v>30059.25</v>
      </c>
      <c r="O19" s="98">
        <f>SUBTOTAL(109,compras_mes7[Otros / No Grav.])</f>
        <v>0</v>
      </c>
      <c r="P19" s="98">
        <f>SUBTOTAL(109,compras_mes7[TOTAL])</f>
        <v>2514492.5616000001</v>
      </c>
      <c r="Q19" s="96"/>
      <c r="R19" s="96"/>
    </row>
    <row r="20" spans="2:18" ht="14.4" customHeight="1" x14ac:dyDescent="0.3">
      <c r="B20" s="40"/>
      <c r="C20" s="41"/>
      <c r="D20" s="42"/>
      <c r="E20" s="43"/>
      <c r="F20" s="44"/>
      <c r="G20" s="45"/>
      <c r="H20" s="46"/>
      <c r="I20" s="47"/>
      <c r="J20" s="47"/>
      <c r="K20" s="47"/>
      <c r="L20" s="47"/>
      <c r="M20" s="47"/>
      <c r="N20" s="47"/>
      <c r="O20" s="47"/>
      <c r="P20" s="48"/>
      <c r="Q20" s="49"/>
      <c r="R20" s="49"/>
    </row>
    <row r="21" spans="2:18" ht="22.95" customHeight="1" x14ac:dyDescent="0.3">
      <c r="B21" s="40"/>
      <c r="C21" s="41"/>
      <c r="D21" s="42"/>
      <c r="E21" s="43"/>
      <c r="F21" s="44"/>
      <c r="G21" s="45"/>
      <c r="H21" s="46"/>
      <c r="I21" s="47"/>
      <c r="J21" s="47"/>
      <c r="K21" s="47"/>
      <c r="L21" s="47"/>
      <c r="M21" s="47"/>
      <c r="N21" s="47"/>
      <c r="O21" s="47"/>
      <c r="P21" s="48"/>
      <c r="Q21" s="49"/>
      <c r="R21" s="49"/>
    </row>
    <row r="22" spans="2:18" ht="25.95" customHeight="1" x14ac:dyDescent="0.3">
      <c r="B22" s="40"/>
      <c r="C22" s="41"/>
      <c r="D22" s="42"/>
      <c r="E22" s="43"/>
      <c r="F22" s="44"/>
      <c r="G22" s="45"/>
      <c r="H22" s="46"/>
      <c r="I22" s="47"/>
      <c r="J22" s="47"/>
      <c r="K22" s="47"/>
      <c r="L22" s="47"/>
      <c r="M22" s="47"/>
      <c r="N22" s="47"/>
      <c r="O22" s="47"/>
      <c r="P22" s="48"/>
      <c r="Q22" s="49"/>
      <c r="R22" s="49"/>
    </row>
    <row r="23" spans="2:18" ht="14.4" customHeight="1" x14ac:dyDescent="0.3">
      <c r="B23" s="40"/>
      <c r="C23" s="41"/>
      <c r="D23" s="42"/>
      <c r="E23" s="43"/>
      <c r="F23" s="44"/>
      <c r="G23" s="45"/>
      <c r="H23" s="46"/>
      <c r="I23" s="47"/>
      <c r="J23" s="47"/>
      <c r="K23" s="47"/>
      <c r="L23" s="47"/>
    </row>
    <row r="24" spans="2:18" ht="14.4" customHeight="1" x14ac:dyDescent="0.3">
      <c r="D24" s="362" t="s">
        <v>15</v>
      </c>
      <c r="E24" s="362"/>
      <c r="F24" s="362"/>
      <c r="G24" s="362"/>
      <c r="H24" s="362"/>
      <c r="I24" s="362"/>
      <c r="J24" s="362"/>
      <c r="K24" s="362"/>
      <c r="L24" s="362"/>
    </row>
    <row r="25" spans="2:18" ht="15" customHeight="1" x14ac:dyDescent="0.3">
      <c r="D25" s="73" t="s">
        <v>0</v>
      </c>
      <c r="E25" s="74" t="s">
        <v>26</v>
      </c>
      <c r="F25" s="74" t="s">
        <v>16</v>
      </c>
      <c r="G25" s="74" t="s">
        <v>5</v>
      </c>
      <c r="H25" s="74" t="s">
        <v>17</v>
      </c>
      <c r="I25" s="74" t="s">
        <v>7</v>
      </c>
      <c r="J25" s="75" t="s">
        <v>18</v>
      </c>
      <c r="K25" s="75" t="s">
        <v>19</v>
      </c>
      <c r="L25" s="76" t="s">
        <v>20</v>
      </c>
    </row>
    <row r="26" spans="2:18" ht="15" customHeight="1" x14ac:dyDescent="0.3">
      <c r="D26" s="50"/>
      <c r="E26" s="79"/>
      <c r="F26" s="80" t="s">
        <v>181</v>
      </c>
      <c r="G26" s="81">
        <f>23625</f>
        <v>23625</v>
      </c>
      <c r="H26" s="81">
        <f>extracto_banco_mes7[[#This Row],[NETO]]*0.21</f>
        <v>4961.25</v>
      </c>
      <c r="I26" s="81"/>
      <c r="J26" s="81"/>
      <c r="K26" s="81">
        <f>708.75</f>
        <v>708.75</v>
      </c>
      <c r="L26" s="81">
        <f>354.38</f>
        <v>354.38</v>
      </c>
    </row>
    <row r="27" spans="2:18" ht="15" customHeight="1" x14ac:dyDescent="0.3">
      <c r="D27" s="50"/>
      <c r="E27" s="79"/>
      <c r="F27" s="80"/>
      <c r="G27" s="81"/>
      <c r="H27" s="81"/>
      <c r="I27" s="81"/>
      <c r="J27" s="81"/>
      <c r="K27" s="81"/>
      <c r="L27" s="81"/>
    </row>
    <row r="28" spans="2:18" ht="15" customHeight="1" x14ac:dyDescent="0.3">
      <c r="D28" s="50"/>
      <c r="E28" s="79"/>
      <c r="F28" s="80"/>
      <c r="G28" s="81"/>
      <c r="H28" s="81"/>
      <c r="I28" s="81"/>
      <c r="J28" s="81"/>
      <c r="K28" s="81"/>
      <c r="L28" s="81"/>
    </row>
    <row r="29" spans="2:18" ht="15" customHeight="1" x14ac:dyDescent="0.3">
      <c r="D29" s="82" t="s">
        <v>91</v>
      </c>
      <c r="E29" s="80"/>
      <c r="F29" s="80"/>
      <c r="G29" s="83">
        <f>SUBTOTAL(109,extracto_banco_mes7[NETO])</f>
        <v>23625</v>
      </c>
      <c r="H29" s="83">
        <f>SUBTOTAL(109,extracto_banco_mes7[IVA 21%])</f>
        <v>4961.25</v>
      </c>
      <c r="I29" s="83">
        <f>SUBTOTAL(109,extracto_banco_mes7[IVA 10,5%])</f>
        <v>0</v>
      </c>
      <c r="J29" s="83">
        <f>SUBTOTAL(109,extracto_banco_mes7[RET IIBB CABA])</f>
        <v>0</v>
      </c>
      <c r="K29" s="83">
        <f>SUBTOTAL(109,extracto_banco_mes7[PERC IVA])</f>
        <v>708.75</v>
      </c>
      <c r="L29" s="83">
        <f>SUBTOTAL(109,extracto_banco_mes7[PERC IIBB])</f>
        <v>354.38</v>
      </c>
    </row>
    <row r="30" spans="2:18" ht="23.4" customHeight="1" x14ac:dyDescent="0.3"/>
    <row r="31" spans="2:18" ht="38.4" customHeight="1" x14ac:dyDescent="0.3"/>
    <row r="33" spans="2:18" ht="21" x14ac:dyDescent="0.3">
      <c r="D33" s="362" t="s">
        <v>25</v>
      </c>
      <c r="E33" s="362"/>
      <c r="F33" s="362"/>
      <c r="G33" s="362"/>
      <c r="H33" s="362"/>
      <c r="I33" s="362"/>
      <c r="J33" s="362"/>
      <c r="K33" s="362"/>
    </row>
    <row r="34" spans="2:18" x14ac:dyDescent="0.3">
      <c r="D34" s="51" t="s">
        <v>0</v>
      </c>
      <c r="E34" s="51" t="s">
        <v>2</v>
      </c>
      <c r="F34" s="51" t="s">
        <v>74</v>
      </c>
      <c r="G34" s="51" t="s">
        <v>3</v>
      </c>
      <c r="H34" s="51" t="s">
        <v>4</v>
      </c>
      <c r="I34" s="52" t="s">
        <v>10</v>
      </c>
      <c r="J34" s="51" t="s">
        <v>13</v>
      </c>
      <c r="K34" s="51" t="s">
        <v>38</v>
      </c>
    </row>
    <row r="35" spans="2:18" x14ac:dyDescent="0.3">
      <c r="D35" s="50" t="s">
        <v>182</v>
      </c>
      <c r="E35" s="42">
        <v>2</v>
      </c>
      <c r="F35" s="43">
        <v>44</v>
      </c>
      <c r="G35" s="44">
        <v>23380288079</v>
      </c>
      <c r="H35" s="53" t="str">
        <f>IFERROR(IF(factura_c_mes7[[#This Row],[CUIT]]="","-",VLOOKUP(factura_c_mes7[[#This Row],[CUIT]],Lista_CUIT[#All],2,0)),"CUIT NO CARGADO")</f>
        <v>CASTROMAN AGUSTIN</v>
      </c>
      <c r="I35" s="81">
        <v>248216</v>
      </c>
      <c r="J35" s="54" t="str">
        <f>IFERROR(IF(factura_c_mes7[[#This Row],[CUIT]]="","-",VLOOKUP(factura_c_mes7[[#This Row],[CUIT]],Lista_CUIT[#All],3,0)),"CUIT NO CARGADO")</f>
        <v>Diseño Grafico</v>
      </c>
      <c r="K35" s="54">
        <f>IFERROR(IF(factura_c_mes7[[#This Row],[CUIT]]="","-",VLOOKUP(factura_c_mes7[[#This Row],[CUIT]],Lista_CUIT[#All],4,0)),"CUIT NO CARGADO")</f>
        <v>0</v>
      </c>
    </row>
    <row r="36" spans="2:18" x14ac:dyDescent="0.3">
      <c r="D36" s="50" t="s">
        <v>182</v>
      </c>
      <c r="E36" s="42">
        <v>2</v>
      </c>
      <c r="F36" s="43">
        <v>116</v>
      </c>
      <c r="G36" s="44">
        <v>27341104845</v>
      </c>
      <c r="H36" s="53" t="str">
        <f>IFERROR(IF(factura_c_mes7[[#This Row],[CUIT]]="","-",VLOOKUP(factura_c_mes7[[#This Row],[CUIT]],Lista_CUIT[#All],2,0)),"CUIT NO CARGADO")</f>
        <v>BOSSI MARIA PAULA</v>
      </c>
      <c r="I36" s="81">
        <v>179633</v>
      </c>
      <c r="J36" s="54" t="str">
        <f>IFERROR(IF(factura_c_mes7[[#This Row],[CUIT]]="","-",VLOOKUP(factura_c_mes7[[#This Row],[CUIT]],Lista_CUIT[#All],3,0)),"CUIT NO CARGADO")</f>
        <v>HON. ADMINISTRATIVOS</v>
      </c>
      <c r="K36" s="54">
        <f>IFERROR(IF(factura_c_mes7[[#This Row],[CUIT]]="","-",VLOOKUP(factura_c_mes7[[#This Row],[CUIT]],Lista_CUIT[#All],4,0)),"CUIT NO CARGADO")</f>
        <v>0</v>
      </c>
    </row>
    <row r="37" spans="2:18" s="56" customFormat="1" ht="18.600000000000001" customHeight="1" x14ac:dyDescent="0.3">
      <c r="B37"/>
      <c r="C37"/>
      <c r="D37" s="50" t="s">
        <v>183</v>
      </c>
      <c r="E37" s="42">
        <v>2</v>
      </c>
      <c r="F37" s="43">
        <v>802</v>
      </c>
      <c r="G37" s="44">
        <v>20400104094</v>
      </c>
      <c r="H37" s="53" t="str">
        <f>IFERROR(IF(factura_c_mes7[[#This Row],[CUIT]]="","-",VLOOKUP(factura_c_mes7[[#This Row],[CUIT]],Lista_CUIT[#All],2,0)),"CUIT NO CARGADO")</f>
        <v>BOTINDARI FEDERICO DANIEL</v>
      </c>
      <c r="I37" s="81">
        <v>80000</v>
      </c>
      <c r="J37" s="54" t="str">
        <f>IFERROR(IF(factura_c_mes7[[#This Row],[CUIT]]="","-",VLOOKUP(factura_c_mes7[[#This Row],[CUIT]],Lista_CUIT[#All],3,0)),"CUIT NO CARGADO")</f>
        <v>HONORARIOS CONTABLE</v>
      </c>
      <c r="K37" s="54">
        <f>IFERROR(IF(factura_c_mes7[[#This Row],[CUIT]]="","-",VLOOKUP(factura_c_mes7[[#This Row],[CUIT]],Lista_CUIT[#All],4,0)),"CUIT NO CARGADO")</f>
        <v>0</v>
      </c>
      <c r="L37"/>
      <c r="M37"/>
      <c r="N37"/>
      <c r="O37"/>
      <c r="P37"/>
      <c r="Q37"/>
      <c r="R37"/>
    </row>
    <row r="38" spans="2:18" x14ac:dyDescent="0.3">
      <c r="D38" s="50" t="s">
        <v>184</v>
      </c>
      <c r="E38" s="42">
        <v>1</v>
      </c>
      <c r="F38" s="43">
        <v>304</v>
      </c>
      <c r="G38" s="44">
        <v>27386311000</v>
      </c>
      <c r="H38" s="53" t="str">
        <f>IFERROR(IF(factura_c_mes7[[#This Row],[CUIT]]="","-",VLOOKUP(factura_c_mes7[[#This Row],[CUIT]],Lista_CUIT[#All],2,0)),"CUIT NO CARGADO")</f>
        <v>OPANASIUK MACARENA ANTONELLA</v>
      </c>
      <c r="I38" s="81">
        <v>450000</v>
      </c>
      <c r="J38" s="54" t="str">
        <f>IFERROR(IF(factura_c_mes7[[#This Row],[CUIT]]="","-",VLOOKUP(factura_c_mes7[[#This Row],[CUIT]],Lista_CUIT[#All],3,0)),"CUIT NO CARGADO")</f>
        <v>Honorarios Profesionales</v>
      </c>
      <c r="K38" s="54">
        <f>IFERROR(IF(factura_c_mes7[[#This Row],[CUIT]]="","-",VLOOKUP(factura_c_mes7[[#This Row],[CUIT]],Lista_CUIT[#All],4,0)),"CUIT NO CARGADO")</f>
        <v>0</v>
      </c>
    </row>
    <row r="39" spans="2:18" x14ac:dyDescent="0.3">
      <c r="D39" s="261" t="s">
        <v>184</v>
      </c>
      <c r="E39" s="261">
        <v>51</v>
      </c>
      <c r="F39" s="261">
        <v>162</v>
      </c>
      <c r="G39" s="259">
        <v>20300985158</v>
      </c>
      <c r="H39" s="253" t="str">
        <f>IFERROR(IF(factura_c_mes7[[#This Row],[CUIT]]="","-",VLOOKUP(factura_c_mes7[[#This Row],[CUIT]],Lista_CUIT[#All],2,0)),"CUIT NO CARGADO")</f>
        <v>GONZALEZ NESTOR RICARDO</v>
      </c>
      <c r="I39" s="254">
        <v>400000</v>
      </c>
      <c r="J39" s="255" t="str">
        <f>IFERROR(IF(factura_c_mes7[[#This Row],[CUIT]]="","-",VLOOKUP(factura_c_mes7[[#This Row],[CUIT]],Lista_CUIT[#All],3,0)),"CUIT NO CARGADO")</f>
        <v>Diseño Grafico</v>
      </c>
      <c r="K39" s="255">
        <f>IFERROR(IF(factura_c_mes7[[#This Row],[CUIT]]="","-",VLOOKUP(factura_c_mes7[[#This Row],[CUIT]],Lista_CUIT[#All],4,0)),"CUIT NO CARGADO")</f>
        <v>0</v>
      </c>
    </row>
    <row r="40" spans="2:18" x14ac:dyDescent="0.3">
      <c r="B40" s="56"/>
      <c r="C40" s="56"/>
      <c r="D40" s="55" t="s">
        <v>91</v>
      </c>
      <c r="E40" s="55"/>
      <c r="F40" s="55"/>
      <c r="G40" s="55"/>
      <c r="H40" s="57"/>
      <c r="I40" s="58">
        <f>SUBTOTAL(109,factura_c_mes7[TOTAL])</f>
        <v>1357849</v>
      </c>
      <c r="J40" s="55"/>
      <c r="K40" s="55"/>
      <c r="L40" s="56"/>
      <c r="M40" s="56"/>
      <c r="N40" s="56"/>
      <c r="O40" s="56"/>
      <c r="P40" s="56"/>
      <c r="Q40" s="56"/>
      <c r="R40" s="56"/>
    </row>
    <row r="44" spans="2:18" ht="22.5" customHeight="1" x14ac:dyDescent="0.3"/>
    <row r="45" spans="2:18" ht="25.8" x14ac:dyDescent="0.3">
      <c r="B45" s="363" t="s">
        <v>29</v>
      </c>
      <c r="C45" s="363"/>
      <c r="D45" s="363"/>
      <c r="E45" s="363"/>
      <c r="F45" s="363"/>
      <c r="G45" s="363"/>
      <c r="H45" s="363"/>
      <c r="I45" s="363"/>
      <c r="J45" s="363"/>
      <c r="K45" s="364">
        <f>N1</f>
        <v>45474</v>
      </c>
      <c r="L45" s="364"/>
      <c r="M45" s="364"/>
    </row>
    <row r="46" spans="2:18" ht="18" customHeight="1" x14ac:dyDescent="0.3"/>
    <row r="47" spans="2:18" ht="21" x14ac:dyDescent="0.3">
      <c r="B47" s="365" t="s">
        <v>30</v>
      </c>
      <c r="C47" s="365"/>
    </row>
    <row r="48" spans="2:18" ht="31.2" x14ac:dyDescent="0.3">
      <c r="B48" s="60" t="s">
        <v>0</v>
      </c>
      <c r="C48" s="61" t="s">
        <v>1</v>
      </c>
      <c r="D48" s="61" t="s">
        <v>21</v>
      </c>
      <c r="E48" s="61" t="s">
        <v>22</v>
      </c>
      <c r="F48" s="61" t="s">
        <v>3</v>
      </c>
      <c r="G48" s="61" t="s">
        <v>4</v>
      </c>
      <c r="H48" s="61" t="s">
        <v>23</v>
      </c>
      <c r="I48" s="61" t="s">
        <v>17</v>
      </c>
      <c r="J48" s="61" t="s">
        <v>7</v>
      </c>
      <c r="K48" s="61" t="s">
        <v>24</v>
      </c>
      <c r="L48" s="61" t="s">
        <v>10</v>
      </c>
      <c r="M48" s="62" t="s">
        <v>38</v>
      </c>
    </row>
    <row r="49" spans="2:13" x14ac:dyDescent="0.3">
      <c r="B49" s="40" t="s">
        <v>182</v>
      </c>
      <c r="C49" s="41">
        <v>1</v>
      </c>
      <c r="D49" s="42">
        <v>1</v>
      </c>
      <c r="E49" s="43">
        <v>221</v>
      </c>
      <c r="F49" s="44">
        <v>20287305460</v>
      </c>
      <c r="G49" s="212" t="str">
        <f>IFERROR(IF(venta_a_mes7[[#This Row],[CUIT]]="","-",VLOOKUP(venta_a_mes7[[#This Row],[CUIT]],Lista_CUIT[#All],2,0)),"CUIT NO CARGADO")</f>
        <v>LANDI GERONIMO</v>
      </c>
      <c r="H49" s="100">
        <v>58677.67</v>
      </c>
      <c r="I49" s="101">
        <f>venta_a_mes7[[#This Row],[IMPORTE NETO]]*0.21</f>
        <v>12322.3107</v>
      </c>
      <c r="J49" s="65"/>
      <c r="K49" s="65"/>
      <c r="L49" s="65">
        <f>SUM(venta_a_mes7[[#This Row],[IMPORTE NETO]:[EXENTO]])</f>
        <v>70999.9807</v>
      </c>
      <c r="M49" s="59"/>
    </row>
    <row r="50" spans="2:13" x14ac:dyDescent="0.3">
      <c r="B50" s="40" t="s">
        <v>182</v>
      </c>
      <c r="C50" s="41">
        <v>1</v>
      </c>
      <c r="D50" s="42">
        <v>1</v>
      </c>
      <c r="E50" s="43">
        <v>226</v>
      </c>
      <c r="F50" s="44">
        <v>20132082198</v>
      </c>
      <c r="G50" s="212" t="str">
        <f>IFERROR(IF(venta_a_mes7[[#This Row],[CUIT]]="","-",VLOOKUP(venta_a_mes7[[#This Row],[CUIT]],Lista_CUIT[#All],2,0)),"CUIT NO CARGADO")</f>
        <v>FADIGA OSCAR ALBERTO</v>
      </c>
      <c r="H50" s="100">
        <v>113223.14</v>
      </c>
      <c r="I50" s="101">
        <f>venta_a_mes7[[#This Row],[IMPORTE NETO]]*0.21</f>
        <v>23776.859399999998</v>
      </c>
      <c r="J50" s="65"/>
      <c r="K50" s="65"/>
      <c r="L50" s="65">
        <f>SUM(venta_a_mes7[[#This Row],[IMPORTE NETO]:[EXENTO]])</f>
        <v>136999.9994</v>
      </c>
      <c r="M50" s="59"/>
    </row>
    <row r="51" spans="2:13" x14ac:dyDescent="0.3">
      <c r="B51" s="40" t="s">
        <v>182</v>
      </c>
      <c r="C51" s="41">
        <v>1</v>
      </c>
      <c r="D51" s="42">
        <v>1</v>
      </c>
      <c r="E51" s="43">
        <v>216</v>
      </c>
      <c r="F51" s="44">
        <v>30716549107</v>
      </c>
      <c r="G51" s="212" t="str">
        <f>IFERROR(IF(venta_a_mes7[[#This Row],[CUIT]]="","-",VLOOKUP(venta_a_mes7[[#This Row],[CUIT]],Lista_CUIT[#All],2,0)),"CUIT NO CARGADO")</f>
        <v>LAMATEC S.R.L.</v>
      </c>
      <c r="H51" s="100">
        <v>132231.43</v>
      </c>
      <c r="I51" s="101">
        <f>venta_a_mes7[[#This Row],[IMPORTE NETO]]*0.21</f>
        <v>27768.600299999998</v>
      </c>
      <c r="J51" s="65"/>
      <c r="K51" s="65"/>
      <c r="L51" s="65">
        <f>SUM(venta_a_mes7[[#This Row],[IMPORTE NETO]:[EXENTO]])</f>
        <v>160000.03029999998</v>
      </c>
      <c r="M51" s="59"/>
    </row>
    <row r="52" spans="2:13" x14ac:dyDescent="0.3">
      <c r="B52" s="40" t="s">
        <v>182</v>
      </c>
      <c r="C52" s="41">
        <v>1</v>
      </c>
      <c r="D52" s="42">
        <v>1</v>
      </c>
      <c r="E52" s="43">
        <v>227</v>
      </c>
      <c r="F52" s="44">
        <v>30688955749</v>
      </c>
      <c r="G52" s="212" t="str">
        <f>IFERROR(IF(venta_a_mes7[[#This Row],[CUIT]]="","-",VLOOKUP(venta_a_mes7[[#This Row],[CUIT]],Lista_CUIT[#All],2,0)),"CUIT NO CARGADO")</f>
        <v>LISERAR S A</v>
      </c>
      <c r="H52" s="100">
        <v>132231.43</v>
      </c>
      <c r="I52" s="101">
        <f>venta_a_mes7[[#This Row],[IMPORTE NETO]]*0.21</f>
        <v>27768.600299999998</v>
      </c>
      <c r="J52" s="65"/>
      <c r="K52" s="65"/>
      <c r="L52" s="65">
        <f>SUM(venta_a_mes7[[#This Row],[IMPORTE NETO]:[EXENTO]])</f>
        <v>160000.03029999998</v>
      </c>
      <c r="M52" s="59"/>
    </row>
    <row r="53" spans="2:13" x14ac:dyDescent="0.3">
      <c r="B53" s="40" t="s">
        <v>182</v>
      </c>
      <c r="C53" s="41">
        <v>1</v>
      </c>
      <c r="D53" s="42">
        <v>1</v>
      </c>
      <c r="E53" s="43">
        <v>228</v>
      </c>
      <c r="F53" s="44">
        <v>30716234815</v>
      </c>
      <c r="G53" s="213" t="str">
        <f>IFERROR(IF(venta_a_mes7[[#This Row],[CUIT]]="","-",VLOOKUP(venta_a_mes7[[#This Row],[CUIT]],Lista_CUIT[#All],2,0)),"CUIT NO CARGADO")</f>
        <v>LEVINT PARTNERS S.R.L.</v>
      </c>
      <c r="H53" s="100">
        <v>132231.43</v>
      </c>
      <c r="I53" s="206">
        <f>venta_a_mes7[[#This Row],[IMPORTE NETO]]*0.21</f>
        <v>27768.600299999998</v>
      </c>
      <c r="J53" s="207"/>
      <c r="K53" s="207"/>
      <c r="L53" s="207">
        <f>SUM(venta_a_mes7[[#This Row],[IMPORTE NETO]:[EXENTO]])</f>
        <v>160000.03029999998</v>
      </c>
      <c r="M53" s="208"/>
    </row>
    <row r="54" spans="2:13" x14ac:dyDescent="0.3">
      <c r="B54" s="40" t="s">
        <v>182</v>
      </c>
      <c r="C54" s="41">
        <v>1</v>
      </c>
      <c r="D54" s="42">
        <v>1</v>
      </c>
      <c r="E54" s="43">
        <v>222</v>
      </c>
      <c r="F54" s="44">
        <v>20279415656</v>
      </c>
      <c r="G54" s="213" t="str">
        <f>IFERROR(IF(venta_a_mes7[[#This Row],[CUIT]]="","-",VLOOKUP(venta_a_mes7[[#This Row],[CUIT]],Lista_CUIT[#All],2,0)),"CUIT NO CARGADO")</f>
        <v>CECCO ALVARO GONZALO</v>
      </c>
      <c r="H54" s="100">
        <v>94214.86</v>
      </c>
      <c r="I54" s="206">
        <f>venta_a_mes7[[#This Row],[IMPORTE NETO]]*0.21</f>
        <v>19785.120599999998</v>
      </c>
      <c r="J54" s="207"/>
      <c r="K54" s="207"/>
      <c r="L54" s="207">
        <f>SUM(venta_a_mes7[[#This Row],[IMPORTE NETO]:[EXENTO]])</f>
        <v>113999.9806</v>
      </c>
      <c r="M54" s="208"/>
    </row>
    <row r="55" spans="2:13" x14ac:dyDescent="0.3">
      <c r="B55" s="40" t="s">
        <v>182</v>
      </c>
      <c r="C55" s="41">
        <v>1</v>
      </c>
      <c r="D55" s="42">
        <v>1</v>
      </c>
      <c r="E55" s="43">
        <v>229</v>
      </c>
      <c r="F55" s="44">
        <v>20320573948</v>
      </c>
      <c r="G55" s="213" t="str">
        <f>IFERROR(IF(venta_a_mes7[[#This Row],[CUIT]]="","-",VLOOKUP(venta_a_mes7[[#This Row],[CUIT]],Lista_CUIT[#All],2,0)),"CUIT NO CARGADO")</f>
        <v>CAVALLOTTI MARCOS DANIEL</v>
      </c>
      <c r="H55" s="100">
        <v>132231.43</v>
      </c>
      <c r="I55" s="206">
        <f>venta_a_mes7[[#This Row],[IMPORTE NETO]]*0.21</f>
        <v>27768.600299999998</v>
      </c>
      <c r="J55" s="207"/>
      <c r="K55" s="207"/>
      <c r="L55" s="207">
        <f>SUM(venta_a_mes7[[#This Row],[IMPORTE NETO]:[EXENTO]])</f>
        <v>160000.03029999998</v>
      </c>
      <c r="M55" s="208"/>
    </row>
    <row r="56" spans="2:13" x14ac:dyDescent="0.3">
      <c r="B56" s="40" t="s">
        <v>182</v>
      </c>
      <c r="C56" s="41">
        <v>1</v>
      </c>
      <c r="D56" s="42">
        <v>1</v>
      </c>
      <c r="E56" s="43">
        <v>230</v>
      </c>
      <c r="F56" s="44">
        <v>20238882975</v>
      </c>
      <c r="G56" s="213" t="str">
        <f>IFERROR(IF(venta_a_mes7[[#This Row],[CUIT]]="","-",VLOOKUP(venta_a_mes7[[#This Row],[CUIT]],Lista_CUIT[#All],2,0)),"CUIT NO CARGADO")</f>
        <v>NARVAEZ SANTIAGO GABRIEL</v>
      </c>
      <c r="H56" s="100">
        <v>390909.1</v>
      </c>
      <c r="I56" s="206">
        <f>venta_a_mes7[[#This Row],[IMPORTE NETO]]*0.21</f>
        <v>82090.910999999993</v>
      </c>
      <c r="J56" s="207"/>
      <c r="K56" s="207"/>
      <c r="L56" s="207">
        <f>SUM(venta_a_mes7[[#This Row],[IMPORTE NETO]:[EXENTO]])</f>
        <v>473000.01099999994</v>
      </c>
      <c r="M56" s="208"/>
    </row>
    <row r="57" spans="2:13" x14ac:dyDescent="0.3">
      <c r="B57" s="40" t="s">
        <v>182</v>
      </c>
      <c r="C57" s="41">
        <v>1</v>
      </c>
      <c r="D57" s="42">
        <v>1</v>
      </c>
      <c r="E57" s="43">
        <v>223</v>
      </c>
      <c r="F57" s="44">
        <v>20367341808</v>
      </c>
      <c r="G57" s="213" t="str">
        <f>IFERROR(IF(venta_a_mes7[[#This Row],[CUIT]]="","-",VLOOKUP(venta_a_mes7[[#This Row],[CUIT]],Lista_CUIT[#All],2,0)),"CUIT NO CARGADO")</f>
        <v>FEIDAS FERNANDO EMILIANO</v>
      </c>
      <c r="H57" s="100">
        <v>58677.67</v>
      </c>
      <c r="I57" s="206">
        <f>venta_a_mes7[[#This Row],[IMPORTE NETO]]*0.21</f>
        <v>12322.3107</v>
      </c>
      <c r="J57" s="207"/>
      <c r="K57" s="207"/>
      <c r="L57" s="207">
        <f>SUM(venta_a_mes7[[#This Row],[IMPORTE NETO]:[EXENTO]])</f>
        <v>70999.9807</v>
      </c>
      <c r="M57" s="208"/>
    </row>
    <row r="58" spans="2:13" x14ac:dyDescent="0.3">
      <c r="B58" s="40" t="s">
        <v>182</v>
      </c>
      <c r="C58" s="41">
        <v>1</v>
      </c>
      <c r="D58" s="42">
        <v>1</v>
      </c>
      <c r="E58" s="43">
        <v>231</v>
      </c>
      <c r="F58" s="44">
        <v>30717969061</v>
      </c>
      <c r="G58" s="213" t="str">
        <f>IFERROR(IF(venta_a_mes7[[#This Row],[CUIT]]="","-",VLOOKUP(venta_a_mes7[[#This Row],[CUIT]],Lista_CUIT[#All],2,0)),"CUIT NO CARGADO")</f>
        <v>FABIO Y RAUL ROSSO S.A.S.</v>
      </c>
      <c r="H58" s="100">
        <v>58677.67</v>
      </c>
      <c r="I58" s="206">
        <f>venta_a_mes7[[#This Row],[IMPORTE NETO]]*0.21</f>
        <v>12322.3107</v>
      </c>
      <c r="J58" s="207"/>
      <c r="K58" s="207"/>
      <c r="L58" s="207">
        <f>SUM(venta_a_mes7[[#This Row],[IMPORTE NETO]:[EXENTO]])</f>
        <v>70999.9807</v>
      </c>
      <c r="M58" s="208"/>
    </row>
    <row r="59" spans="2:13" x14ac:dyDescent="0.3">
      <c r="B59" s="40" t="s">
        <v>182</v>
      </c>
      <c r="C59" s="41">
        <v>1</v>
      </c>
      <c r="D59" s="42">
        <v>1</v>
      </c>
      <c r="E59" s="43">
        <v>224</v>
      </c>
      <c r="F59" s="44">
        <v>30715941763</v>
      </c>
      <c r="G59" s="213" t="str">
        <f>IFERROR(IF(venta_a_mes7[[#This Row],[CUIT]]="","-",VLOOKUP(venta_a_mes7[[#This Row],[CUIT]],Lista_CUIT[#All],2,0)),"CUIT NO CARGADO")</f>
        <v>TOURMALHYN S.R.L.</v>
      </c>
      <c r="H59" s="100">
        <v>30578.52</v>
      </c>
      <c r="I59" s="206">
        <f>venta_a_mes7[[#This Row],[IMPORTE NETO]]*0.21</f>
        <v>6421.4892</v>
      </c>
      <c r="J59" s="207"/>
      <c r="K59" s="207"/>
      <c r="L59" s="207">
        <f>SUM(venta_a_mes7[[#This Row],[IMPORTE NETO]:[EXENTO]])</f>
        <v>37000.0092</v>
      </c>
      <c r="M59" s="208"/>
    </row>
    <row r="60" spans="2:13" x14ac:dyDescent="0.3">
      <c r="B60" s="40" t="s">
        <v>182</v>
      </c>
      <c r="C60" s="41">
        <v>1</v>
      </c>
      <c r="D60" s="42">
        <v>1</v>
      </c>
      <c r="E60" s="43">
        <v>232</v>
      </c>
      <c r="F60" s="44">
        <v>30718044894</v>
      </c>
      <c r="G60" s="213" t="str">
        <f>IFERROR(IF(venta_a_mes7[[#This Row],[CUIT]]="","-",VLOOKUP(venta_a_mes7[[#This Row],[CUIT]],Lista_CUIT[#All],2,0)),"CUIT NO CARGADO")</f>
        <v>GRUPO NACER ECOLOGICO S.R.L</v>
      </c>
      <c r="H60" s="100">
        <v>312727.28999999998</v>
      </c>
      <c r="I60" s="206">
        <f>venta_a_mes7[[#This Row],[IMPORTE NETO]]*0.21</f>
        <v>65672.730899999995</v>
      </c>
      <c r="J60" s="207"/>
      <c r="K60" s="207"/>
      <c r="L60" s="207">
        <f>SUM(venta_a_mes7[[#This Row],[IMPORTE NETO]:[EXENTO]])</f>
        <v>378400.0209</v>
      </c>
      <c r="M60" s="208"/>
    </row>
    <row r="61" spans="2:13" x14ac:dyDescent="0.3">
      <c r="B61" s="40" t="s">
        <v>182</v>
      </c>
      <c r="C61" s="41">
        <v>1</v>
      </c>
      <c r="D61" s="42">
        <v>1</v>
      </c>
      <c r="E61" s="43">
        <v>225</v>
      </c>
      <c r="F61" s="44">
        <v>30717465101</v>
      </c>
      <c r="G61" s="213" t="str">
        <f>IFERROR(IF(venta_a_mes7[[#This Row],[CUIT]]="","-",VLOOKUP(venta_a_mes7[[#This Row],[CUIT]],Lista_CUIT[#All],2,0)),"CUIT NO CARGADO")</f>
        <v>EMPRENDIMIENTOS SHOPGLASS S. R. L.</v>
      </c>
      <c r="H61" s="100">
        <v>58677.67</v>
      </c>
      <c r="I61" s="206">
        <f>venta_a_mes7[[#This Row],[IMPORTE NETO]]*0.21</f>
        <v>12322.3107</v>
      </c>
      <c r="J61" s="207"/>
      <c r="K61" s="207"/>
      <c r="L61" s="207">
        <f>SUM(venta_a_mes7[[#This Row],[IMPORTE NETO]:[EXENTO]])</f>
        <v>70999.9807</v>
      </c>
      <c r="M61" s="208"/>
    </row>
    <row r="62" spans="2:13" x14ac:dyDescent="0.3">
      <c r="B62" s="40" t="s">
        <v>182</v>
      </c>
      <c r="C62" s="41">
        <v>1</v>
      </c>
      <c r="D62" s="42">
        <v>1</v>
      </c>
      <c r="E62" s="43">
        <v>217</v>
      </c>
      <c r="F62" s="44">
        <v>30716914077</v>
      </c>
      <c r="G62" s="213" t="str">
        <f>IFERROR(IF(venta_a_mes7[[#This Row],[CUIT]]="","-",VLOOKUP(venta_a_mes7[[#This Row],[CUIT]],Lista_CUIT[#All],2,0)),"CUIT NO CARGADO")</f>
        <v>BACANES</v>
      </c>
      <c r="H62" s="100">
        <v>190909.1</v>
      </c>
      <c r="I62" s="206">
        <f>venta_a_mes7[[#This Row],[IMPORTE NETO]]*0.21</f>
        <v>40090.911</v>
      </c>
      <c r="J62" s="207"/>
      <c r="K62" s="207"/>
      <c r="L62" s="207">
        <f>SUM(venta_a_mes7[[#This Row],[IMPORTE NETO]:[EXENTO]])</f>
        <v>231000.011</v>
      </c>
      <c r="M62" s="208"/>
    </row>
    <row r="63" spans="2:13" x14ac:dyDescent="0.3">
      <c r="B63" s="40" t="s">
        <v>182</v>
      </c>
      <c r="C63" s="41">
        <v>1</v>
      </c>
      <c r="D63" s="42">
        <v>1</v>
      </c>
      <c r="E63" s="43">
        <v>218</v>
      </c>
      <c r="F63" s="44">
        <v>30718295900</v>
      </c>
      <c r="G63" s="213" t="str">
        <f>IFERROR(IF(venta_a_mes7[[#This Row],[CUIT]]="","-",VLOOKUP(venta_a_mes7[[#This Row],[CUIT]],Lista_CUIT[#All],2,0)),"CUIT NO CARGADO")</f>
        <v>LAPTOP SERVICE S.R.L.</v>
      </c>
      <c r="H63" s="100">
        <v>58677.67</v>
      </c>
      <c r="I63" s="206">
        <f>venta_a_mes7[[#This Row],[IMPORTE NETO]]*0.21</f>
        <v>12322.3107</v>
      </c>
      <c r="J63" s="207"/>
      <c r="K63" s="207"/>
      <c r="L63" s="207">
        <f>SUM(venta_a_mes7[[#This Row],[IMPORTE NETO]:[EXENTO]])</f>
        <v>70999.9807</v>
      </c>
      <c r="M63" s="208"/>
    </row>
    <row r="64" spans="2:13" x14ac:dyDescent="0.3">
      <c r="B64" s="40" t="s">
        <v>182</v>
      </c>
      <c r="C64" s="41">
        <v>1</v>
      </c>
      <c r="D64" s="42">
        <v>1</v>
      </c>
      <c r="E64" s="43">
        <v>219</v>
      </c>
      <c r="F64" s="44">
        <v>30717973166</v>
      </c>
      <c r="G64" s="213" t="str">
        <f>IFERROR(IF(venta_a_mes7[[#This Row],[CUIT]]="","-",VLOOKUP(venta_a_mes7[[#This Row],[CUIT]],Lista_CUIT[#All],2,0)),"CUIT NO CARGADO")</f>
        <v>STM ESTILO S.R.L</v>
      </c>
      <c r="H64" s="100">
        <v>58677.67</v>
      </c>
      <c r="I64" s="206">
        <f>venta_a_mes7[[#This Row],[IMPORTE NETO]]*0.21</f>
        <v>12322.3107</v>
      </c>
      <c r="J64" s="207"/>
      <c r="K64" s="207"/>
      <c r="L64" s="207">
        <f>SUM(venta_a_mes7[[#This Row],[IMPORTE NETO]:[EXENTO]])</f>
        <v>70999.9807</v>
      </c>
      <c r="M64" s="208"/>
    </row>
    <row r="65" spans="2:13" x14ac:dyDescent="0.3">
      <c r="B65" s="40" t="s">
        <v>182</v>
      </c>
      <c r="C65" s="41">
        <v>1</v>
      </c>
      <c r="D65" s="42">
        <v>1</v>
      </c>
      <c r="E65" s="43">
        <v>220</v>
      </c>
      <c r="F65" s="44">
        <v>27165844748</v>
      </c>
      <c r="G65" s="213" t="str">
        <f>IFERROR(IF(venta_a_mes7[[#This Row],[CUIT]]="","-",VLOOKUP(venta_a_mes7[[#This Row],[CUIT]],Lista_CUIT[#All],2,0)),"CUIT NO CARGADO")</f>
        <v>DENATALE MARCELA BEATRIZ</v>
      </c>
      <c r="H65" s="100">
        <v>132231.43</v>
      </c>
      <c r="I65" s="206">
        <f>venta_a_mes7[[#This Row],[IMPORTE NETO]]*0.21</f>
        <v>27768.600299999998</v>
      </c>
      <c r="J65" s="207"/>
      <c r="K65" s="207"/>
      <c r="L65" s="207">
        <f>SUM(venta_a_mes7[[#This Row],[IMPORTE NETO]:[EXENTO]])</f>
        <v>160000.03029999998</v>
      </c>
      <c r="M65" s="208"/>
    </row>
    <row r="66" spans="2:13" x14ac:dyDescent="0.3">
      <c r="B66" s="40" t="s">
        <v>182</v>
      </c>
      <c r="C66" s="41">
        <v>1</v>
      </c>
      <c r="D66" s="42">
        <v>1</v>
      </c>
      <c r="E66" s="43">
        <v>233</v>
      </c>
      <c r="F66" s="44">
        <v>27312707980</v>
      </c>
      <c r="G66" s="213" t="str">
        <f>IFERROR(IF(venta_a_mes7[[#This Row],[CUIT]]="","-",VLOOKUP(venta_a_mes7[[#This Row],[CUIT]],Lista_CUIT[#All],2,0)),"CUIT NO CARGADO")</f>
        <v>FERRARETTO CARLA ROMINA</v>
      </c>
      <c r="H66" s="100">
        <v>390909.1</v>
      </c>
      <c r="I66" s="206">
        <f>venta_a_mes7[[#This Row],[IMPORTE NETO]]*0.21</f>
        <v>82090.910999999993</v>
      </c>
      <c r="J66" s="207"/>
      <c r="K66" s="207"/>
      <c r="L66" s="207">
        <f>SUM(venta_a_mes7[[#This Row],[IMPORTE NETO]:[EXENTO]])</f>
        <v>473000.01099999994</v>
      </c>
      <c r="M66" s="208"/>
    </row>
    <row r="67" spans="2:13" x14ac:dyDescent="0.3">
      <c r="B67" s="40" t="s">
        <v>182</v>
      </c>
      <c r="C67" s="41">
        <v>1</v>
      </c>
      <c r="D67" s="42">
        <v>1</v>
      </c>
      <c r="E67" s="43">
        <v>234</v>
      </c>
      <c r="F67" s="44">
        <v>30715380567</v>
      </c>
      <c r="G67" s="212" t="str">
        <f>IFERROR(IF(venta_a_mes7[[#This Row],[CUIT]]="","-",VLOOKUP(venta_a_mes7[[#This Row],[CUIT]],Lista_CUIT[#All],2,0)),"CUIT NO CARGADO")</f>
        <v>SENS GROUP SRL</v>
      </c>
      <c r="H67" s="100">
        <v>386708</v>
      </c>
      <c r="I67" s="101">
        <f>venta_a_mes7[[#This Row],[IMPORTE NETO]]*0.21</f>
        <v>81208.679999999993</v>
      </c>
      <c r="J67" s="65"/>
      <c r="K67" s="65"/>
      <c r="L67" s="65">
        <f>SUM(venta_a_mes7[[#This Row],[IMPORTE NETO]:[EXENTO]])</f>
        <v>467916.68</v>
      </c>
      <c r="M67" s="59"/>
    </row>
    <row r="68" spans="2:13" x14ac:dyDescent="0.3">
      <c r="B68" s="40" t="s">
        <v>185</v>
      </c>
      <c r="C68" s="41">
        <v>3</v>
      </c>
      <c r="D68" s="42">
        <v>1</v>
      </c>
      <c r="E68" s="43">
        <v>11</v>
      </c>
      <c r="F68" s="44">
        <v>30688955749</v>
      </c>
      <c r="G68" s="212" t="str">
        <f>IFERROR(IF(venta_a_mes7[[#This Row],[CUIT]]="","-",VLOOKUP(venta_a_mes7[[#This Row],[CUIT]],Lista_CUIT[#All],2,0)),"CUIT NO CARGADO")</f>
        <v>LISERAR S A</v>
      </c>
      <c r="H68" s="100">
        <v>-132231.43</v>
      </c>
      <c r="I68" s="101">
        <f>venta_a_mes7[[#This Row],[IMPORTE NETO]]*0.21</f>
        <v>-27768.600299999998</v>
      </c>
      <c r="J68" s="65"/>
      <c r="K68" s="65"/>
      <c r="L68" s="65">
        <f>SUM(venta_a_mes7[[#This Row],[IMPORTE NETO]:[EXENTO]])</f>
        <v>-160000.03029999998</v>
      </c>
      <c r="M68" s="59"/>
    </row>
    <row r="69" spans="2:13" x14ac:dyDescent="0.3">
      <c r="B69" s="40" t="s">
        <v>183</v>
      </c>
      <c r="C69" s="41">
        <v>1</v>
      </c>
      <c r="D69" s="42">
        <v>1</v>
      </c>
      <c r="E69" s="43">
        <v>235</v>
      </c>
      <c r="F69" s="44">
        <v>30688955749</v>
      </c>
      <c r="G69" s="212" t="str">
        <f>IFERROR(IF(venta_a_mes7[[#This Row],[CUIT]]="","-",VLOOKUP(venta_a_mes7[[#This Row],[CUIT]],Lista_CUIT[#All],2,0)),"CUIT NO CARGADO")</f>
        <v>LISERAR S A</v>
      </c>
      <c r="H69" s="100">
        <v>119434.81</v>
      </c>
      <c r="I69" s="101">
        <f>venta_a_mes7[[#This Row],[IMPORTE NETO]]*0.21</f>
        <v>25081.310099999999</v>
      </c>
      <c r="J69" s="65"/>
      <c r="K69" s="65"/>
      <c r="L69" s="65">
        <f>SUM(venta_a_mes7[[#This Row],[IMPORTE NETO]:[EXENTO]])</f>
        <v>144516.1201</v>
      </c>
      <c r="M69" s="63"/>
    </row>
    <row r="70" spans="2:13" ht="16.5" customHeight="1" x14ac:dyDescent="0.3">
      <c r="B70" s="40" t="s">
        <v>186</v>
      </c>
      <c r="C70" s="41">
        <v>1</v>
      </c>
      <c r="D70" s="42">
        <v>1</v>
      </c>
      <c r="E70" s="43">
        <v>236</v>
      </c>
      <c r="F70" s="44">
        <v>24368969350</v>
      </c>
      <c r="G70" s="212" t="str">
        <f>IFERROR(IF(venta_a_mes7[[#This Row],[CUIT]]="","-",VLOOKUP(venta_a_mes7[[#This Row],[CUIT]],Lista_CUIT[#All],2,0)),"CUIT NO CARGADO")</f>
        <v>MARANO CORVALAN MARTIN MARIANO</v>
      </c>
      <c r="H70" s="100">
        <v>390909.1</v>
      </c>
      <c r="I70" s="108">
        <f>venta_a_mes7[[#This Row],[IMPORTE NETO]]*0.21</f>
        <v>82090.910999999993</v>
      </c>
      <c r="J70" s="72"/>
      <c r="K70" s="72"/>
      <c r="L70" s="72">
        <f>SUM(venta_a_mes7[[#This Row],[IMPORTE NETO]:[EXENTO]])</f>
        <v>473000.01099999994</v>
      </c>
      <c r="M70" s="63"/>
    </row>
    <row r="71" spans="2:13" x14ac:dyDescent="0.3">
      <c r="B71" s="40" t="s">
        <v>187</v>
      </c>
      <c r="C71" s="41">
        <v>1</v>
      </c>
      <c r="D71" s="42">
        <v>1</v>
      </c>
      <c r="E71" s="43">
        <v>237</v>
      </c>
      <c r="F71" s="44">
        <v>30715380567</v>
      </c>
      <c r="G71" s="212" t="str">
        <f>IFERROR(IF(venta_a_mes7[[#This Row],[CUIT]]="","-",VLOOKUP(venta_a_mes7[[#This Row],[CUIT]],Lista_CUIT[#All],2,0)),"CUIT NO CARGADO")</f>
        <v>SENS GROUP SRL</v>
      </c>
      <c r="H71" s="100">
        <v>386708</v>
      </c>
      <c r="I71" s="101">
        <f>venta_a_mes7[[#This Row],[IMPORTE NETO]]*0.21</f>
        <v>81208.679999999993</v>
      </c>
      <c r="J71" s="65"/>
      <c r="K71" s="65"/>
      <c r="L71" s="65">
        <f>SUM(venta_a_mes7[[#This Row],[IMPORTE NETO]:[EXENTO]])</f>
        <v>467916.68</v>
      </c>
      <c r="M71" s="59"/>
    </row>
    <row r="72" spans="2:13" ht="16.5" customHeight="1" x14ac:dyDescent="0.3">
      <c r="B72" s="40" t="s">
        <v>187</v>
      </c>
      <c r="C72" s="41">
        <v>3</v>
      </c>
      <c r="D72" s="42">
        <v>1</v>
      </c>
      <c r="E72" s="43">
        <v>12</v>
      </c>
      <c r="F72" s="44">
        <v>30715380567</v>
      </c>
      <c r="G72" s="213" t="str">
        <f>IFERROR(IF(venta_a_mes7[[#This Row],[CUIT]]="","-",VLOOKUP(venta_a_mes7[[#This Row],[CUIT]],Lista_CUIT[#All],2,0)),"CUIT NO CARGADO")</f>
        <v>SENS GROUP SRL</v>
      </c>
      <c r="H72" s="100">
        <v>-386708</v>
      </c>
      <c r="I72" s="206">
        <f>venta_a_mes7[[#This Row],[IMPORTE NETO]]*0.21</f>
        <v>-81208.679999999993</v>
      </c>
      <c r="J72" s="207"/>
      <c r="K72" s="207"/>
      <c r="L72" s="207">
        <f>SUM(venta_a_mes7[[#This Row],[IMPORTE NETO]:[EXENTO]])</f>
        <v>-467916.68</v>
      </c>
      <c r="M72" s="208"/>
    </row>
    <row r="73" spans="2:13" x14ac:dyDescent="0.3">
      <c r="B73" s="223" t="s">
        <v>188</v>
      </c>
      <c r="C73" s="224">
        <v>1</v>
      </c>
      <c r="D73" s="225">
        <v>1</v>
      </c>
      <c r="E73" s="226">
        <v>238</v>
      </c>
      <c r="F73" s="227">
        <v>30718553357</v>
      </c>
      <c r="G73" s="262" t="str">
        <f>IFERROR(IF(venta_a_mes7[[#This Row],[CUIT]]="","-",VLOOKUP(venta_a_mes7[[#This Row],[CUIT]],Lista_CUIT[#All],2,0)),"CUIT NO CARGADO")</f>
        <v>EMIGRA CON TU MASCOTA S.R.L.</v>
      </c>
      <c r="H73" s="229">
        <v>428099.19</v>
      </c>
      <c r="I73" s="230">
        <f>venta_a_mes7[[#This Row],[IMPORTE NETO]]*0.21</f>
        <v>89900.829899999997</v>
      </c>
      <c r="J73" s="231"/>
      <c r="K73" s="231"/>
      <c r="L73" s="231">
        <f>SUM(venta_a_mes7[[#This Row],[IMPORTE NETO]:[EXENTO]])</f>
        <v>518000.01990000001</v>
      </c>
      <c r="M73" s="232"/>
    </row>
    <row r="74" spans="2:13" x14ac:dyDescent="0.3">
      <c r="B74" s="66" t="s">
        <v>91</v>
      </c>
      <c r="C74" s="67"/>
      <c r="D74" s="67"/>
      <c r="E74" s="67"/>
      <c r="F74" s="67"/>
      <c r="G74" s="67"/>
      <c r="H74" s="70">
        <f>SUBTOTAL(109,venta_a_mes7[IMPORTE NETO])</f>
        <v>3729613.9499999997</v>
      </c>
      <c r="I74" s="70">
        <f>SUBTOTAL(109,venta_a_mes7[IVA 21%])</f>
        <v>783218.92949999985</v>
      </c>
      <c r="J74" s="70">
        <f>SUBTOTAL(109,venta_a_mes7[IVA 10,5%])</f>
        <v>0</v>
      </c>
      <c r="K74" s="70">
        <f>SUBTOTAL(109,venta_a_mes7[EXENTO])</f>
        <v>0</v>
      </c>
      <c r="L74" s="70">
        <f>SUBTOTAL(109,venta_a_mes7[TOTAL])</f>
        <v>4512832.8794999998</v>
      </c>
      <c r="M74" s="68">
        <f>SUBTOTAL(103,venta_a_mes7[Provincia])</f>
        <v>0</v>
      </c>
    </row>
    <row r="75" spans="2:13" ht="21" x14ac:dyDescent="0.3">
      <c r="B75" s="365" t="s">
        <v>31</v>
      </c>
      <c r="C75" s="365"/>
    </row>
    <row r="76" spans="2:13" ht="31.2" x14ac:dyDescent="0.3">
      <c r="B76" s="60" t="s">
        <v>0</v>
      </c>
      <c r="C76" s="61" t="s">
        <v>1</v>
      </c>
      <c r="D76" s="61" t="s">
        <v>21</v>
      </c>
      <c r="E76" s="61" t="s">
        <v>22</v>
      </c>
      <c r="F76" s="61" t="s">
        <v>3</v>
      </c>
      <c r="G76" s="61" t="s">
        <v>4</v>
      </c>
      <c r="H76" s="61" t="s">
        <v>23</v>
      </c>
      <c r="I76" s="61" t="s">
        <v>17</v>
      </c>
      <c r="J76" s="61" t="s">
        <v>7</v>
      </c>
      <c r="K76" s="61" t="s">
        <v>24</v>
      </c>
      <c r="L76" s="61" t="s">
        <v>10</v>
      </c>
      <c r="M76" s="62" t="s">
        <v>38</v>
      </c>
    </row>
    <row r="77" spans="2:13" x14ac:dyDescent="0.3">
      <c r="B77" s="40" t="s">
        <v>182</v>
      </c>
      <c r="C77" s="41">
        <v>6</v>
      </c>
      <c r="D77" s="42">
        <v>1</v>
      </c>
      <c r="E77" s="43">
        <v>39</v>
      </c>
      <c r="F77" s="44">
        <v>30592508830</v>
      </c>
      <c r="G77" s="1" t="str">
        <f>IFERROR(IF(ventas_b_mes7[[#This Row],[CUIT]]="","-",VLOOKUP(ventas_b_mes7[[#This Row],[CUIT]],Lista_CUIT[#All],2,0)),"CUIT NO CARGADO")</f>
        <v>INSTITUTO DE ESTUDIOS SUPERIORES DE BUENOS AIRES S A</v>
      </c>
      <c r="H77" s="64">
        <v>51239.67</v>
      </c>
      <c r="I77" s="64">
        <f>ventas_b_mes7[[#This Row],[IMPORTE NETO]]*0.21</f>
        <v>10760.330699999999</v>
      </c>
      <c r="J77" s="64"/>
      <c r="K77" s="64"/>
      <c r="L77" s="64">
        <f>SUM(ventas_b_mes7[[#This Row],[IMPORTE NETO]:[EXENTO]])</f>
        <v>62000.000699999997</v>
      </c>
      <c r="M77" s="59"/>
    </row>
    <row r="78" spans="2:13" x14ac:dyDescent="0.3">
      <c r="B78" s="40" t="s">
        <v>182</v>
      </c>
      <c r="C78" s="41">
        <v>6</v>
      </c>
      <c r="D78" s="42">
        <v>1</v>
      </c>
      <c r="E78" s="43">
        <v>40</v>
      </c>
      <c r="F78" s="44">
        <v>20252582704</v>
      </c>
      <c r="G78" s="1" t="str">
        <f>IFERROR(IF(ventas_b_mes7[[#This Row],[CUIT]]="","-",VLOOKUP(ventas_b_mes7[[#This Row],[CUIT]],Lista_CUIT[#All],2,0)),"CUIT NO CARGADO")</f>
        <v>GARCIA VAUTRIN ANDRES ALBERTO</v>
      </c>
      <c r="H78" s="64">
        <v>190909.1</v>
      </c>
      <c r="I78" s="64">
        <f>ventas_b_mes7[[#This Row],[IMPORTE NETO]]*0.21</f>
        <v>40090.911</v>
      </c>
      <c r="J78" s="64"/>
      <c r="K78" s="64"/>
      <c r="L78" s="64">
        <f>SUM(ventas_b_mes7[[#This Row],[IMPORTE NETO]:[EXENTO]])</f>
        <v>231000.011</v>
      </c>
      <c r="M78" s="59"/>
    </row>
    <row r="79" spans="2:13" x14ac:dyDescent="0.3">
      <c r="B79" s="40"/>
      <c r="C79" s="41"/>
      <c r="D79" s="42"/>
      <c r="E79" s="43"/>
      <c r="F79" s="44"/>
      <c r="G79" s="1" t="str">
        <f>IFERROR(IF(ventas_b_mes7[[#This Row],[CUIT]]="","-",VLOOKUP(ventas_b_mes7[[#This Row],[CUIT]],Lista_CUIT[#All],2,0)),"CUIT NO CARGADO")</f>
        <v>-</v>
      </c>
      <c r="H79" s="64"/>
      <c r="I79" s="64">
        <f>ventas_b_mes7[[#This Row],[IMPORTE NETO]]*0.21</f>
        <v>0</v>
      </c>
      <c r="J79" s="64"/>
      <c r="K79" s="64"/>
      <c r="L79" s="64">
        <f>SUM(ventas_b_mes7[[#This Row],[IMPORTE NETO]:[EXENTO]])</f>
        <v>0</v>
      </c>
      <c r="M79" s="59"/>
    </row>
    <row r="80" spans="2:13" x14ac:dyDescent="0.3">
      <c r="B80" s="40"/>
      <c r="C80" s="41"/>
      <c r="D80" s="42"/>
      <c r="E80" s="43"/>
      <c r="F80" s="44"/>
      <c r="G80" s="1" t="str">
        <f>IFERROR(IF(ventas_b_mes7[[#This Row],[CUIT]]="","-",VLOOKUP(ventas_b_mes7[[#This Row],[CUIT]],Lista_CUIT[#All],2,0)),"CUIT NO CARGADO")</f>
        <v>-</v>
      </c>
      <c r="H80" s="64"/>
      <c r="I80" s="64">
        <f>ventas_b_mes7[[#This Row],[IMPORTE NETO]]*0.21</f>
        <v>0</v>
      </c>
      <c r="J80" s="64"/>
      <c r="K80" s="64"/>
      <c r="L80" s="64">
        <f>SUM(ventas_b_mes7[[#This Row],[IMPORTE NETO]:[EXENTO]])</f>
        <v>0</v>
      </c>
      <c r="M80" s="59"/>
    </row>
    <row r="81" spans="2:13" x14ac:dyDescent="0.3">
      <c r="B81" s="40"/>
      <c r="C81" s="41"/>
      <c r="D81" s="42"/>
      <c r="E81" s="43"/>
      <c r="F81" s="44"/>
      <c r="G81" s="1" t="str">
        <f>IFERROR(IF(ventas_b_mes7[[#This Row],[CUIT]]="","-",VLOOKUP(ventas_b_mes7[[#This Row],[CUIT]],Lista_CUIT[#All],2,0)),"CUIT NO CARGADO")</f>
        <v>-</v>
      </c>
      <c r="H81" s="64"/>
      <c r="I81" s="64">
        <f>ventas_b_mes7[[#This Row],[IMPORTE NETO]]*0.21</f>
        <v>0</v>
      </c>
      <c r="J81" s="64"/>
      <c r="K81" s="64"/>
      <c r="L81" s="64">
        <f>SUM(ventas_b_mes7[[#This Row],[IMPORTE NETO]:[EXENTO]])</f>
        <v>0</v>
      </c>
      <c r="M81" s="59"/>
    </row>
    <row r="82" spans="2:13" x14ac:dyDescent="0.3">
      <c r="B82" s="40"/>
      <c r="C82" s="41"/>
      <c r="D82" s="42"/>
      <c r="E82" s="43"/>
      <c r="F82" s="44"/>
      <c r="G82" s="1" t="str">
        <f>IFERROR(IF(ventas_b_mes7[[#This Row],[CUIT]]="","-",VLOOKUP(ventas_b_mes7[[#This Row],[CUIT]],Lista_CUIT[#All],2,0)),"CUIT NO CARGADO")</f>
        <v>-</v>
      </c>
      <c r="H82" s="64"/>
      <c r="I82" s="64">
        <f>ventas_b_mes7[[#This Row],[IMPORTE NETO]]*0.21</f>
        <v>0</v>
      </c>
      <c r="J82" s="64"/>
      <c r="K82" s="64"/>
      <c r="L82" s="64">
        <f>SUM(ventas_b_mes7[[#This Row],[IMPORTE NETO]:[EXENTO]])</f>
        <v>0</v>
      </c>
      <c r="M82" s="59"/>
    </row>
    <row r="83" spans="2:13" ht="15.75" customHeight="1" x14ac:dyDescent="0.3">
      <c r="B83" s="40"/>
      <c r="C83" s="41"/>
      <c r="D83" s="42"/>
      <c r="E83" s="43"/>
      <c r="F83" s="44"/>
      <c r="G83" s="209" t="str">
        <f>IFERROR(IF(ventas_b_mes7[[#This Row],[CUIT]]="","-",VLOOKUP(ventas_b_mes7[[#This Row],[CUIT]],Lista_CUIT[#All],2,0)),"CUIT NO CARGADO")</f>
        <v>-</v>
      </c>
      <c r="H83" s="64"/>
      <c r="I83" s="210">
        <f>ventas_b_mes7[[#This Row],[IMPORTE NETO]]*0.21</f>
        <v>0</v>
      </c>
      <c r="J83" s="211"/>
      <c r="K83" s="211"/>
      <c r="L83" s="211">
        <f>SUM(ventas_b_mes7[[#This Row],[IMPORTE NETO]:[EXENTO]])</f>
        <v>0</v>
      </c>
      <c r="M83" s="208"/>
    </row>
    <row r="84" spans="2:13" x14ac:dyDescent="0.3">
      <c r="B84" s="66" t="s">
        <v>91</v>
      </c>
      <c r="C84" s="67"/>
      <c r="D84" s="67"/>
      <c r="E84" s="67"/>
      <c r="F84" s="67"/>
      <c r="G84" s="67"/>
      <c r="H84" s="70">
        <f>SUBTOTAL(109,ventas_b_mes7[IMPORTE NETO])</f>
        <v>242148.77000000002</v>
      </c>
      <c r="I84" s="70">
        <f>SUBTOTAL(109,ventas_b_mes7[IVA 21%])</f>
        <v>50851.241699999999</v>
      </c>
      <c r="J84" s="70">
        <f>SUBTOTAL(109,ventas_b_mes7[IVA 10,5%])</f>
        <v>0</v>
      </c>
      <c r="K84" s="70">
        <f>SUBTOTAL(109,ventas_b_mes7[EXENTO])</f>
        <v>0</v>
      </c>
      <c r="L84" s="70">
        <f>SUBTOTAL(109,ventas_b_mes7[TOTAL])</f>
        <v>293000.01169999997</v>
      </c>
      <c r="M84" s="68">
        <f>SUBTOTAL(103,ventas_b_mes7[Provincia])</f>
        <v>0</v>
      </c>
    </row>
    <row r="90" spans="2:13" ht="15" thickBot="1" x14ac:dyDescent="0.35"/>
    <row r="91" spans="2:13" ht="15" thickTop="1" x14ac:dyDescent="0.3">
      <c r="C91" s="358" t="s">
        <v>66</v>
      </c>
      <c r="D91" s="358"/>
      <c r="E91" s="358"/>
      <c r="F91" s="358"/>
      <c r="G91" s="358"/>
      <c r="H91" s="32"/>
      <c r="I91" s="32"/>
      <c r="J91" s="32"/>
    </row>
    <row r="92" spans="2:13" ht="15.6" x14ac:dyDescent="0.3">
      <c r="C92" s="114" t="s">
        <v>67</v>
      </c>
      <c r="D92" s="115" t="s">
        <v>68</v>
      </c>
      <c r="E92" s="115" t="s">
        <v>93</v>
      </c>
      <c r="F92" s="115" t="s">
        <v>3</v>
      </c>
      <c r="G92" s="115" t="s">
        <v>4</v>
      </c>
      <c r="H92" s="116" t="s">
        <v>69</v>
      </c>
      <c r="I92" s="116" t="s">
        <v>70</v>
      </c>
      <c r="J92" s="116" t="s">
        <v>71</v>
      </c>
      <c r="K92" s="116" t="s">
        <v>72</v>
      </c>
      <c r="L92" s="116" t="s">
        <v>73</v>
      </c>
    </row>
    <row r="93" spans="2:13" x14ac:dyDescent="0.3">
      <c r="C93" s="117"/>
      <c r="D93" s="118"/>
      <c r="E93" s="118"/>
      <c r="F93" s="119"/>
      <c r="G93" s="53" t="str">
        <f>IFERROR(IF(Retenciones_mes7[[#This Row],[CUIT]]="","-",VLOOKUP(Retenciones_mes7[[#This Row],[CUIT]],Lista_CUIT[#All],2,0)),"CUIT NO CARGADO")</f>
        <v>-</v>
      </c>
      <c r="H93" s="120"/>
      <c r="I93" s="120"/>
      <c r="J93" s="120"/>
      <c r="K93" s="120"/>
      <c r="L93" s="120"/>
    </row>
    <row r="94" spans="2:13" x14ac:dyDescent="0.3">
      <c r="C94" s="117"/>
      <c r="D94" s="118"/>
      <c r="E94" s="118"/>
      <c r="F94" s="119"/>
      <c r="G94" s="53" t="str">
        <f>IFERROR(IF(Retenciones_mes7[[#This Row],[CUIT]]="","-",VLOOKUP(Retenciones_mes7[[#This Row],[CUIT]],Lista_CUIT[#All],2,0)),"CUIT NO CARGADO")</f>
        <v>-</v>
      </c>
      <c r="H94" s="120"/>
      <c r="I94" s="120"/>
      <c r="J94" s="120"/>
      <c r="K94" s="120"/>
      <c r="L94" s="120"/>
    </row>
    <row r="95" spans="2:13" x14ac:dyDescent="0.3">
      <c r="C95" s="117"/>
      <c r="D95" s="118"/>
      <c r="E95" s="118"/>
      <c r="F95" s="119"/>
      <c r="G95" s="53" t="str">
        <f>IFERROR(IF(Retenciones_mes7[[#This Row],[CUIT]]="","-",VLOOKUP(Retenciones_mes7[[#This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3">
      <c r="C96" s="117"/>
      <c r="D96" s="118"/>
      <c r="E96" s="118"/>
      <c r="F96" s="119"/>
      <c r="G96" s="53" t="str">
        <f>IFERROR(IF(Retenciones_mes7[[#This Row],[CUIT]]="","-",VLOOKUP(Retenciones_mes7[[#This Row],[CUIT]],Lista_CUIT[#All],2,0)),"CUIT NO CARGADO")</f>
        <v>-</v>
      </c>
      <c r="H96" s="120"/>
      <c r="I96" s="120"/>
      <c r="J96" s="120"/>
      <c r="K96" s="120"/>
      <c r="L96" s="120"/>
    </row>
    <row r="97" spans="3:7" x14ac:dyDescent="0.3">
      <c r="D97" s="118"/>
      <c r="E97" s="118"/>
      <c r="G97" s="53" t="str">
        <f>IFERROR(IF(Retenciones_mes7[[#This Row],[CUIT]]="","-",VLOOKUP(Retenciones_mes7[[#This Row],[CUIT]],Lista_CUIT[#All],2,0)),"CUIT NO CARGADO")</f>
        <v>-</v>
      </c>
    </row>
    <row r="98" spans="3:7" x14ac:dyDescent="0.3">
      <c r="C98" s="33"/>
    </row>
  </sheetData>
  <mergeCells count="20">
    <mergeCell ref="P4:R4"/>
    <mergeCell ref="D24:L24"/>
    <mergeCell ref="B1:F1"/>
    <mergeCell ref="G1:M1"/>
    <mergeCell ref="N1:R1"/>
    <mergeCell ref="B3:E3"/>
    <mergeCell ref="G3:H3"/>
    <mergeCell ref="J3:K3"/>
    <mergeCell ref="M3:N3"/>
    <mergeCell ref="P3:R3"/>
    <mergeCell ref="C91:G91"/>
    <mergeCell ref="B4:E4"/>
    <mergeCell ref="G4:H4"/>
    <mergeCell ref="J4:K4"/>
    <mergeCell ref="M4:N4"/>
    <mergeCell ref="D33:K33"/>
    <mergeCell ref="B45:J45"/>
    <mergeCell ref="K45:M45"/>
    <mergeCell ref="B47:C47"/>
    <mergeCell ref="B75:C75"/>
  </mergeCells>
  <dataValidations count="21">
    <dataValidation type="whole" allowBlank="1" showInputMessage="1" showErrorMessage="1" sqref="D49:D73 D9:D18 E35:E39 D77:D83" xr:uid="{4175FA79-C85B-4E09-A725-4D4684B2904B}">
      <formula1>1</formula1>
      <formula2>9999</formula2>
    </dataValidation>
    <dataValidation type="whole" allowBlank="1" showInputMessage="1" showErrorMessage="1" sqref="E49:E73 E9:E18 F35:F39 E77:E83" xr:uid="{FC04713A-DBD9-4FC9-BDF7-20BD5F0509C9}">
      <formula1>1</formula1>
      <formula2>99999999</formula2>
    </dataValidation>
    <dataValidation type="whole" allowBlank="1" showInputMessage="1" showErrorMessage="1" sqref="F49:F73 F77:F83 G35:G39 F9:F18" xr:uid="{61110D6E-339A-434D-9C7F-C37C3F3E1644}">
      <formula1>20000000000</formula1>
      <formula2>33999999999</formula2>
    </dataValidation>
    <dataValidation type="date" allowBlank="1" showInputMessage="1" showErrorMessage="1" sqref="B49:B73 D26:D28 D35:D39 B77:B83 B20:B23 B9:B18" xr:uid="{5C55D4EF-5D86-4407-8431-72A1A3CDCD81}">
      <formula1>40179</formula1>
      <formula2>TODAY()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" xr:uid="{1DF65FAD-28E8-4284-8A32-BF9A43980F00}">
      <formula1>IF($C9=3,H9&lt;0,H9&gt;=0)</formula1>
    </dataValidation>
    <dataValidation type="whole" allowBlank="1" showInputMessage="1" showErrorMessage="1" sqref="C9:C18 C20:C23 C49:C73" xr:uid="{BECF8064-A8EB-4A3F-84D9-E4559E4A1583}">
      <formula1>1</formula1>
      <formula2>3</formula2>
    </dataValidation>
    <dataValidation type="custom" allowBlank="1" showInputMessage="1" showErrorMessage="1" sqref="H49:K49 H67:K67 H69:K69 H51:K51 H50 H52:H66 H68 H70:H72" xr:uid="{3D555377-A253-4DB7-83A7-1D596D5BAA18}">
      <formula1>IF($C49=3,H49&lt;0,H49&gt;=0)</formula1>
    </dataValidation>
    <dataValidation type="whole" allowBlank="1" showInputMessage="1" showErrorMessage="1" sqref="C77:C83" xr:uid="{A3BD02AC-357E-412B-B89E-C169C2339917}">
      <formula1>6</formula1>
      <formula2>8</formula2>
    </dataValidation>
    <dataValidation type="custom" allowBlank="1" showInputMessage="1" showErrorMessage="1" sqref="L49:L50 L59" xr:uid="{EC861C2D-B5AF-4066-BD31-843FB1A59529}">
      <formula1>IF($C9=3,L9&lt;0,L9&gt;=0)</formula1>
    </dataValidation>
    <dataValidation type="custom" allowBlank="1" showInputMessage="1" showErrorMessage="1" sqref="H77:L83" xr:uid="{1DBA0AC4-3DE9-4A7F-985D-5B939C975B47}">
      <formula1>IF($C77=8,H77&lt;0,H77&gt;=0)</formula1>
    </dataValidation>
    <dataValidation type="custom" allowBlank="1" showInputMessage="1" showErrorMessage="1" sqref="L67" xr:uid="{6EC3B81A-3524-4518-8209-9D76533BA47C}">
      <formula1>IF($C15=3,L15&lt;0,L15&gt;=0)</formula1>
    </dataValidation>
    <dataValidation type="custom" allowBlank="1" showInputMessage="1" showErrorMessage="1" sqref="L68:L69" xr:uid="{775AF03A-867F-442C-9694-866D0A4FFDB8}">
      <formula1>IF($C19=3,L19&lt;0,L19&gt;=0)</formula1>
    </dataValidation>
    <dataValidation type="custom" allowBlank="1" showInputMessage="1" showErrorMessage="1" sqref="L66" xr:uid="{36796871-50AC-4AD5-A2A3-890BA80EF9E4}">
      <formula1>IF($C19=3,L19&lt;0,L19&gt;=0)</formula1>
    </dataValidation>
    <dataValidation type="custom" allowBlank="1" showInputMessage="1" showErrorMessage="1" sqref="L65" xr:uid="{B52EC328-001E-437E-865A-F21D4D7A707C}">
      <formula1>IF($C19=3,L19&lt;0,L19&gt;=0)</formula1>
    </dataValidation>
    <dataValidation type="custom" allowBlank="1" showInputMessage="1" showErrorMessage="1" sqref="L64" xr:uid="{B0CB1CE0-5DF6-486C-98A0-0B0F7B565B2F}">
      <formula1>IF($C19=3,L19&lt;0,L19&gt;=0)</formula1>
    </dataValidation>
    <dataValidation type="custom" allowBlank="1" showInputMessage="1" showErrorMessage="1" sqref="L63" xr:uid="{ABB15809-C909-496A-9C4E-2C806CEB3286}">
      <formula1>IF($C19=3,L19&lt;0,L19&gt;=0)</formula1>
    </dataValidation>
    <dataValidation type="custom" allowBlank="1" showInputMessage="1" showErrorMessage="1" sqref="L62" xr:uid="{DB805E88-C4E0-4AC4-9D9D-E949B7A1A4A7}">
      <formula1>IF($C19=3,L19&lt;0,L19&gt;=0)</formula1>
    </dataValidation>
    <dataValidation type="custom" allowBlank="1" showInputMessage="1" showErrorMessage="1" sqref="L61" xr:uid="{FE673731-A69D-48B3-8027-1D96F0232655}">
      <formula1>IF($C19=3,L19&lt;0,L19&gt;=0)</formula1>
    </dataValidation>
    <dataValidation type="custom" allowBlank="1" showInputMessage="1" showErrorMessage="1" sqref="L60" xr:uid="{4C366B00-0D23-42D9-986E-E4568707514E}">
      <formula1>IF($C19=3,L19&lt;0,L19&gt;=0)</formula1>
    </dataValidation>
    <dataValidation type="custom" allowBlank="1" showInputMessage="1" showErrorMessage="1" sqref="L51:L57" xr:uid="{83473C85-9C5E-4F04-A96E-185B21341EAE}">
      <formula1>IF($C13=3,L13&lt;0,L13&gt;=0)</formula1>
    </dataValidation>
    <dataValidation type="custom" allowBlank="1" showInputMessage="1" showErrorMessage="1" sqref="L58" xr:uid="{9706C7FC-D66C-49FE-9219-1CD753678482}">
      <formula1>IF($C19=3,L19&lt;0,L19&gt;=0)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100"/>
  <sheetViews>
    <sheetView showGridLines="0" topLeftCell="A2" zoomScaleNormal="100" workbookViewId="0">
      <selection activeCell="N23" sqref="N23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9.88671875" customWidth="1"/>
    <col min="11" max="11" width="14.109375" customWidth="1"/>
    <col min="12" max="12" width="14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69" t="str">
        <f>'Ene-24'!G1:M1</f>
        <v>RABLEB SRL</v>
      </c>
      <c r="H1" s="369"/>
      <c r="I1" s="369"/>
      <c r="J1" s="369"/>
      <c r="K1" s="369"/>
      <c r="L1" s="369"/>
      <c r="M1" s="369"/>
      <c r="N1" s="370">
        <f>EDATE('Ene-24'!N1,7)</f>
        <v>45505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SUM(compras_mes8[[#Totals],[NETO GRAVADO]])+extracto_banco_mes8[[#Totals],[NETO]]</f>
        <v>2617487.46</v>
      </c>
      <c r="C4" s="359"/>
      <c r="D4" s="359"/>
      <c r="E4" s="359"/>
      <c r="F4" s="39"/>
      <c r="G4" s="360">
        <f>compras_mes8[[#Totals],[IVA 21 %]]+compras_mes8[[#Totals],[IVA 27%]]+compras_mes8[[#Totals],[IVA 10,5%]]+extracto_banco_mes8[[#Totals],[IVA 21%]]+extracto_banco_mes8[[#Totals],[IVA 10,5%]]</f>
        <v>549672.36659999995</v>
      </c>
      <c r="H4" s="360"/>
      <c r="I4" s="39"/>
      <c r="J4" s="361">
        <f>venta_a_mes8[[#Totals],[IMPORTE NETO]]+ventas_b_mes8[[#Totals],[IMPORTE NETO]]</f>
        <v>4939289.2199999988</v>
      </c>
      <c r="K4" s="361"/>
      <c r="L4" s="39"/>
      <c r="M4" s="361">
        <f>venta_a_mes8[[#Totals],[IVA 21%]]+venta_a_mes8[[#Totals],[IVA 10,5%]]+ventas_b_mes8[[#Totals],[IVA 21%]]+ventas_b_mes8[[#Totals],[IVA 10,5%]]</f>
        <v>1037250.7361999999</v>
      </c>
      <c r="N4" s="361"/>
      <c r="O4" s="39"/>
      <c r="P4" s="366">
        <f>G4-M4</f>
        <v>-487578.36959999998</v>
      </c>
      <c r="Q4" s="367"/>
      <c r="R4" s="367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92">
        <v>45535</v>
      </c>
      <c r="C9" s="193">
        <v>3</v>
      </c>
      <c r="D9" s="194">
        <v>11</v>
      </c>
      <c r="E9" s="195">
        <v>749565</v>
      </c>
      <c r="F9" s="196">
        <v>33709585229</v>
      </c>
      <c r="G9" s="197" t="str">
        <f>IFERROR(IF(compras_mes8[[#This Row],[CUIT]]="","-",VLOOKUP(compras_mes8[[#This Row],[CUIT]],Lista_CUIT[#All],2,0)),"CUIT NO CARGADO")</f>
        <v>GOOGLE ARGENTINA S.R.L.</v>
      </c>
      <c r="H9" s="198">
        <v>-2966.06</v>
      </c>
      <c r="I9" s="199">
        <f>IF(compras_mes8[[#This Row],[NETO GRAVADO]]="","",compras_mes8[[#This Row],[NETO GRAVADO]]*0.21)</f>
        <v>-622.87259999999992</v>
      </c>
      <c r="J9" s="199"/>
      <c r="K9" s="199"/>
      <c r="L9" s="199">
        <v>-88.98</v>
      </c>
      <c r="M9" s="199"/>
      <c r="N9" s="199">
        <v>-44.49</v>
      </c>
      <c r="O9" s="199"/>
      <c r="P9" s="200">
        <f>SUM(compras_mes8[[#This Row],[NETO GRAVADO]:[Otros / No Grav.]])</f>
        <v>-3722.4025999999999</v>
      </c>
      <c r="Q9" s="201" t="str">
        <f>IFERROR(IF(compras_mes8[[#This Row],[CUIT]]="","-",VLOOKUP(compras_mes8[[#This Row],[CUIT]],Lista_CUIT[#All],3,0)),"CUIT NO CARGADO")</f>
        <v>Gastos Publicidad y Propaganda</v>
      </c>
      <c r="R9" s="201">
        <f>IFERROR(IF(compras_mes8[[#This Row],[CUIT]]="","-",VLOOKUP(compras_mes8[[#This Row],[CUIT]],Lista_CUIT[#All],4,0)),"CUIT NO CARGADO")</f>
        <v>0</v>
      </c>
    </row>
    <row r="10" spans="1:26" x14ac:dyDescent="0.3">
      <c r="B10" s="192">
        <v>45535</v>
      </c>
      <c r="C10" s="193">
        <v>3</v>
      </c>
      <c r="D10" s="194">
        <v>11</v>
      </c>
      <c r="E10" s="195">
        <v>750212</v>
      </c>
      <c r="F10" s="196">
        <v>33709585229</v>
      </c>
      <c r="G10" s="197" t="str">
        <f>IFERROR(IF(compras_mes8[[#This Row],[CUIT]]="","-",VLOOKUP(compras_mes8[[#This Row],[CUIT]],Lista_CUIT[#All],2,0)),"CUIT NO CARGADO")</f>
        <v>GOOGLE ARGENTINA S.R.L.</v>
      </c>
      <c r="H10" s="198">
        <v>-81.66</v>
      </c>
      <c r="I10" s="199">
        <f>IF(compras_mes8[[#This Row],[NETO GRAVADO]]="","",compras_mes8[[#This Row],[NETO GRAVADO]]*0.21)</f>
        <v>-17.148599999999998</v>
      </c>
      <c r="J10" s="199"/>
      <c r="K10" s="199"/>
      <c r="L10" s="199"/>
      <c r="M10" s="199"/>
      <c r="N10" s="199"/>
      <c r="O10" s="199"/>
      <c r="P10" s="200">
        <f>SUM(compras_mes8[[#This Row],[NETO GRAVADO]:[Otros / No Grav.]])</f>
        <v>-98.808599999999998</v>
      </c>
      <c r="Q10" s="201" t="str">
        <f>IFERROR(IF(compras_mes8[[#This Row],[CUIT]]="","-",VLOOKUP(compras_mes8[[#This Row],[CUIT]],Lista_CUIT[#All],3,0)),"CUIT NO CARGADO")</f>
        <v>Gastos Publicidad y Propaganda</v>
      </c>
      <c r="R10" s="201">
        <f>IFERROR(IF(compras_mes8[[#This Row],[CUIT]]="","-",VLOOKUP(compras_mes8[[#This Row],[CUIT]],Lista_CUIT[#All],4,0)),"CUIT NO CARGADO")</f>
        <v>0</v>
      </c>
    </row>
    <row r="11" spans="1:26" x14ac:dyDescent="0.3">
      <c r="B11" s="192">
        <v>45535</v>
      </c>
      <c r="C11" s="193">
        <v>3</v>
      </c>
      <c r="D11" s="194">
        <v>11</v>
      </c>
      <c r="E11" s="195">
        <v>753903</v>
      </c>
      <c r="F11" s="196">
        <v>33709585229</v>
      </c>
      <c r="G11" s="197" t="str">
        <f>IFERROR(IF(compras_mes8[[#This Row],[CUIT]]="","-",VLOOKUP(compras_mes8[[#This Row],[CUIT]],Lista_CUIT[#All],2,0)),"CUIT NO CARGADO")</f>
        <v>GOOGLE ARGENTINA S.R.L.</v>
      </c>
      <c r="H11" s="198">
        <v>-665.39</v>
      </c>
      <c r="I11" s="199">
        <f>IF(compras_mes8[[#This Row],[NETO GRAVADO]]="","",compras_mes8[[#This Row],[NETO GRAVADO]]*0.21)</f>
        <v>-139.7319</v>
      </c>
      <c r="J11" s="199"/>
      <c r="K11" s="199"/>
      <c r="L11" s="199"/>
      <c r="M11" s="199"/>
      <c r="N11" s="199">
        <v>-9.98</v>
      </c>
      <c r="O11" s="199"/>
      <c r="P11" s="200">
        <f>SUM(compras_mes8[[#This Row],[NETO GRAVADO]:[Otros / No Grav.]])</f>
        <v>-815.1019</v>
      </c>
      <c r="Q11" s="201" t="str">
        <f>IFERROR(IF(compras_mes8[[#This Row],[CUIT]]="","-",VLOOKUP(compras_mes8[[#This Row],[CUIT]],Lista_CUIT[#All],3,0)),"CUIT NO CARGADO")</f>
        <v>Gastos Publicidad y Propaganda</v>
      </c>
      <c r="R11" s="201">
        <f>IFERROR(IF(compras_mes8[[#This Row],[CUIT]]="","-",VLOOKUP(compras_mes8[[#This Row],[CUIT]],Lista_CUIT[#All],4,0)),"CUIT NO CARGADO")</f>
        <v>0</v>
      </c>
    </row>
    <row r="12" spans="1:26" x14ac:dyDescent="0.3">
      <c r="B12" s="192">
        <v>45535</v>
      </c>
      <c r="C12" s="193">
        <v>1</v>
      </c>
      <c r="D12" s="194">
        <v>11</v>
      </c>
      <c r="E12" s="195">
        <v>1028597</v>
      </c>
      <c r="F12" s="196">
        <v>33709585229</v>
      </c>
      <c r="G12" s="197" t="str">
        <f>IFERROR(IF(compras_mes8[[#This Row],[CUIT]]="","-",VLOOKUP(compras_mes8[[#This Row],[CUIT]],Lista_CUIT[#All],2,0)),"CUIT NO CARGADO")</f>
        <v>GOOGLE ARGENTINA S.R.L.</v>
      </c>
      <c r="H12" s="198">
        <v>51387.95</v>
      </c>
      <c r="I12" s="199">
        <f>IF(compras_mes8[[#This Row],[NETO GRAVADO]]="","",compras_mes8[[#This Row],[NETO GRAVADO]]*0.21)</f>
        <v>10791.469499999999</v>
      </c>
      <c r="J12" s="199"/>
      <c r="K12" s="199"/>
      <c r="L12" s="199">
        <v>1541.64</v>
      </c>
      <c r="M12" s="199"/>
      <c r="N12" s="199">
        <v>770.82</v>
      </c>
      <c r="O12" s="199"/>
      <c r="P12" s="200">
        <f>SUM(compras_mes8[[#This Row],[NETO GRAVADO]:[Otros / No Grav.]])</f>
        <v>64491.879499999995</v>
      </c>
      <c r="Q12" s="201" t="str">
        <f>IFERROR(IF(compras_mes8[[#This Row],[CUIT]]="","-",VLOOKUP(compras_mes8[[#This Row],[CUIT]],Lista_CUIT[#All],3,0)),"CUIT NO CARGADO")</f>
        <v>Gastos Publicidad y Propaganda</v>
      </c>
      <c r="R12" s="201">
        <f>IFERROR(IF(compras_mes8[[#This Row],[CUIT]]="","-",VLOOKUP(compras_mes8[[#This Row],[CUIT]],Lista_CUIT[#All],4,0)),"CUIT NO CARGADO")</f>
        <v>0</v>
      </c>
    </row>
    <row r="13" spans="1:26" x14ac:dyDescent="0.3">
      <c r="B13" s="192">
        <v>45535</v>
      </c>
      <c r="C13" s="193">
        <v>1</v>
      </c>
      <c r="D13" s="194">
        <v>11</v>
      </c>
      <c r="E13" s="195">
        <v>1029271</v>
      </c>
      <c r="F13" s="196">
        <v>33709585229</v>
      </c>
      <c r="G13" s="197" t="str">
        <f>IFERROR(IF(compras_mes8[[#This Row],[CUIT]]="","-",VLOOKUP(compras_mes8[[#This Row],[CUIT]],Lista_CUIT[#All],2,0)),"CUIT NO CARGADO")</f>
        <v>GOOGLE ARGENTINA S.R.L.</v>
      </c>
      <c r="H13" s="198">
        <v>1535345.29</v>
      </c>
      <c r="I13" s="199">
        <f>IF(compras_mes8[[#This Row],[NETO GRAVADO]]="","",compras_mes8[[#This Row],[NETO GRAVADO]]*0.21)</f>
        <v>322422.51089999999</v>
      </c>
      <c r="J13" s="199"/>
      <c r="K13" s="199"/>
      <c r="L13" s="199">
        <v>46060.36</v>
      </c>
      <c r="M13" s="199"/>
      <c r="N13" s="199">
        <v>23030.18</v>
      </c>
      <c r="O13" s="199"/>
      <c r="P13" s="200">
        <f>SUM(compras_mes8[[#This Row],[NETO GRAVADO]:[Otros / No Grav.]])</f>
        <v>1926858.3409000002</v>
      </c>
      <c r="Q13" s="201" t="str">
        <f>IFERROR(IF(compras_mes8[[#This Row],[CUIT]]="","-",VLOOKUP(compras_mes8[[#This Row],[CUIT]],Lista_CUIT[#All],3,0)),"CUIT NO CARGADO")</f>
        <v>Gastos Publicidad y Propaganda</v>
      </c>
      <c r="R13" s="201">
        <f>IFERROR(IF(compras_mes8[[#This Row],[CUIT]]="","-",VLOOKUP(compras_mes8[[#This Row],[CUIT]],Lista_CUIT[#All],4,0)),"CUIT NO CARGADO")</f>
        <v>0</v>
      </c>
    </row>
    <row r="14" spans="1:26" x14ac:dyDescent="0.3">
      <c r="B14" s="192">
        <v>45535</v>
      </c>
      <c r="C14" s="193">
        <v>1</v>
      </c>
      <c r="D14" s="194">
        <v>11</v>
      </c>
      <c r="E14" s="195">
        <v>1029549</v>
      </c>
      <c r="F14" s="196">
        <v>33709585229</v>
      </c>
      <c r="G14" s="197" t="str">
        <f>IFERROR(IF(compras_mes8[[#This Row],[CUIT]]="","-",VLOOKUP(compras_mes8[[#This Row],[CUIT]],Lista_CUIT[#All],2,0)),"CUIT NO CARGADO")</f>
        <v>GOOGLE ARGENTINA S.R.L.</v>
      </c>
      <c r="H14" s="198">
        <v>44276.94</v>
      </c>
      <c r="I14" s="199">
        <f>IF(compras_mes8[[#This Row],[NETO GRAVADO]]="","",compras_mes8[[#This Row],[NETO GRAVADO]]*0.21)</f>
        <v>9298.1574000000001</v>
      </c>
      <c r="J14" s="199"/>
      <c r="K14" s="199"/>
      <c r="L14" s="199">
        <v>1328.31</v>
      </c>
      <c r="M14" s="199"/>
      <c r="N14" s="199">
        <v>664.15</v>
      </c>
      <c r="O14" s="199"/>
      <c r="P14" s="200">
        <f>SUM(compras_mes8[[#This Row],[NETO GRAVADO]:[Otros / No Grav.]])</f>
        <v>55567.557399999998</v>
      </c>
      <c r="Q14" s="201" t="str">
        <f>IFERROR(IF(compras_mes8[[#This Row],[CUIT]]="","-",VLOOKUP(compras_mes8[[#This Row],[CUIT]],Lista_CUIT[#All],3,0)),"CUIT NO CARGADO")</f>
        <v>Gastos Publicidad y Propaganda</v>
      </c>
      <c r="R14" s="201">
        <f>IFERROR(IF(compras_mes8[[#This Row],[CUIT]]="","-",VLOOKUP(compras_mes8[[#This Row],[CUIT]],Lista_CUIT[#All],4,0)),"CUIT NO CARGADO")</f>
        <v>0</v>
      </c>
    </row>
    <row r="15" spans="1:26" x14ac:dyDescent="0.3">
      <c r="B15" s="192">
        <v>45535</v>
      </c>
      <c r="C15" s="193">
        <v>1</v>
      </c>
      <c r="D15" s="194">
        <v>11</v>
      </c>
      <c r="E15" s="195">
        <v>1030118</v>
      </c>
      <c r="F15" s="196">
        <v>33709585229</v>
      </c>
      <c r="G15" s="197" t="str">
        <f>IFERROR(IF(compras_mes8[[#This Row],[CUIT]]="","-",VLOOKUP(compras_mes8[[#This Row],[CUIT]],Lista_CUIT[#All],2,0)),"CUIT NO CARGADO")</f>
        <v>GOOGLE ARGENTINA S.R.L.</v>
      </c>
      <c r="H15" s="198">
        <v>396877.22</v>
      </c>
      <c r="I15" s="199">
        <f>IF(compras_mes8[[#This Row],[NETO GRAVADO]]="","",compras_mes8[[#This Row],[NETO GRAVADO]]*0.21)</f>
        <v>83344.216199999995</v>
      </c>
      <c r="J15" s="199"/>
      <c r="K15" s="199"/>
      <c r="L15" s="199">
        <v>11906.32</v>
      </c>
      <c r="M15" s="199"/>
      <c r="N15" s="199">
        <v>5953.16</v>
      </c>
      <c r="O15" s="199"/>
      <c r="P15" s="200">
        <f>SUM(compras_mes8[[#This Row],[NETO GRAVADO]:[Otros / No Grav.]])</f>
        <v>498080.91619999998</v>
      </c>
      <c r="Q15" s="201" t="str">
        <f>IFERROR(IF(compras_mes8[[#This Row],[CUIT]]="","-",VLOOKUP(compras_mes8[[#This Row],[CUIT]],Lista_CUIT[#All],3,0)),"CUIT NO CARGADO")</f>
        <v>Gastos Publicidad y Propaganda</v>
      </c>
      <c r="R15" s="201">
        <f>IFERROR(IF(compras_mes8[[#This Row],[CUIT]]="","-",VLOOKUP(compras_mes8[[#This Row],[CUIT]],Lista_CUIT[#All],4,0)),"CUIT NO CARGADO")</f>
        <v>0</v>
      </c>
    </row>
    <row r="16" spans="1:26" x14ac:dyDescent="0.3">
      <c r="B16" s="192">
        <v>45535</v>
      </c>
      <c r="C16" s="193">
        <v>1</v>
      </c>
      <c r="D16" s="194">
        <v>11</v>
      </c>
      <c r="E16" s="195">
        <v>1032507</v>
      </c>
      <c r="F16" s="196">
        <v>33709585229</v>
      </c>
      <c r="G16" s="197" t="str">
        <f>IFERROR(IF(compras_mes8[[#This Row],[CUIT]]="","-",VLOOKUP(compras_mes8[[#This Row],[CUIT]],Lista_CUIT[#All],2,0)),"CUIT NO CARGADO")</f>
        <v>GOOGLE ARGENTINA S.R.L.</v>
      </c>
      <c r="H16" s="198">
        <v>178584.58</v>
      </c>
      <c r="I16" s="199">
        <f>IF(compras_mes8[[#This Row],[NETO GRAVADO]]="","",compras_mes8[[#This Row],[NETO GRAVADO]]*0.21)</f>
        <v>37502.761799999993</v>
      </c>
      <c r="J16" s="199"/>
      <c r="K16" s="199"/>
      <c r="L16" s="199">
        <v>5357.54</v>
      </c>
      <c r="M16" s="199"/>
      <c r="N16" s="199">
        <v>2678.77</v>
      </c>
      <c r="O16" s="199"/>
      <c r="P16" s="200">
        <f>SUM(compras_mes8[[#This Row],[NETO GRAVADO]:[Otros / No Grav.]])</f>
        <v>224123.65179999999</v>
      </c>
      <c r="Q16" s="201" t="str">
        <f>IFERROR(IF(compras_mes8[[#This Row],[CUIT]]="","-",VLOOKUP(compras_mes8[[#This Row],[CUIT]],Lista_CUIT[#All],3,0)),"CUIT NO CARGADO")</f>
        <v>Gastos Publicidad y Propaganda</v>
      </c>
      <c r="R16" s="201">
        <f>IFERROR(IF(compras_mes8[[#This Row],[CUIT]]="","-",VLOOKUP(compras_mes8[[#This Row],[CUIT]],Lista_CUIT[#All],4,0)),"CUIT NO CARGADO")</f>
        <v>0</v>
      </c>
    </row>
    <row r="17" spans="2:18" x14ac:dyDescent="0.3">
      <c r="B17" s="192">
        <v>45535</v>
      </c>
      <c r="C17" s="193">
        <v>1</v>
      </c>
      <c r="D17" s="194">
        <v>11</v>
      </c>
      <c r="E17" s="195">
        <v>1036627</v>
      </c>
      <c r="F17" s="196">
        <v>33709585229</v>
      </c>
      <c r="G17" s="197" t="str">
        <f>IFERROR(IF(compras_mes8[[#This Row],[CUIT]]="","-",VLOOKUP(compras_mes8[[#This Row],[CUIT]],Lista_CUIT[#All],2,0)),"CUIT NO CARGADO")</f>
        <v>GOOGLE ARGENTINA S.R.L.</v>
      </c>
      <c r="H17" s="198">
        <v>60580.29</v>
      </c>
      <c r="I17" s="199">
        <f>IF(compras_mes8[[#This Row],[NETO GRAVADO]]="","",compras_mes8[[#This Row],[NETO GRAVADO]]*0.21)</f>
        <v>12721.8609</v>
      </c>
      <c r="J17" s="199"/>
      <c r="K17" s="199"/>
      <c r="L17" s="199">
        <v>1817.41</v>
      </c>
      <c r="M17" s="199"/>
      <c r="N17" s="199">
        <v>908.7</v>
      </c>
      <c r="O17" s="199"/>
      <c r="P17" s="200">
        <f>SUM(compras_mes8[[#This Row],[NETO GRAVADO]:[Otros / No Grav.]])</f>
        <v>76028.260900000008</v>
      </c>
      <c r="Q17" s="49" t="str">
        <f>IFERROR(IF(compras_mes8[[#This Row],[CUIT]]="","-",VLOOKUP(compras_mes8[[#This Row],[CUIT]],Lista_CUIT[#All],3,0)),"CUIT NO CARGADO")</f>
        <v>Gastos Publicidad y Propaganda</v>
      </c>
      <c r="R17" s="49">
        <f>IFERROR(IF(compras_mes8[[#This Row],[CUIT]]="","-",VLOOKUP(compras_mes8[[#This Row],[CUIT]],Lista_CUIT[#All],4,0)),"CUIT NO CARGADO")</f>
        <v>0</v>
      </c>
    </row>
    <row r="18" spans="2:18" x14ac:dyDescent="0.3">
      <c r="B18" s="192">
        <v>45535</v>
      </c>
      <c r="C18" s="193">
        <v>1</v>
      </c>
      <c r="D18" s="194">
        <v>11</v>
      </c>
      <c r="E18" s="195">
        <v>1036913</v>
      </c>
      <c r="F18" s="196">
        <v>33709585229</v>
      </c>
      <c r="G18" s="197" t="str">
        <f>IFERROR(IF(compras_mes8[[#This Row],[CUIT]]="","-",VLOOKUP(compras_mes8[[#This Row],[CUIT]],Lista_CUIT[#All],2,0)),"CUIT NO CARGADO")</f>
        <v>GOOGLE ARGENTINA S.R.L.</v>
      </c>
      <c r="H18" s="198">
        <v>325798.3</v>
      </c>
      <c r="I18" s="199">
        <f>IF(compras_mes8[[#This Row],[NETO GRAVADO]]="","",compras_mes8[[#This Row],[NETO GRAVADO]]*0.21)</f>
        <v>68417.642999999996</v>
      </c>
      <c r="J18" s="199"/>
      <c r="K18" s="199"/>
      <c r="L18" s="199">
        <v>9773.9500000000007</v>
      </c>
      <c r="M18" s="199"/>
      <c r="N18" s="199">
        <v>4886.97</v>
      </c>
      <c r="O18" s="199"/>
      <c r="P18" s="200">
        <f>SUM(compras_mes8[[#This Row],[NETO GRAVADO]:[Otros / No Grav.]])</f>
        <v>408876.86299999995</v>
      </c>
      <c r="Q18" s="201" t="str">
        <f>IFERROR(IF(compras_mes8[[#This Row],[CUIT]]="","-",VLOOKUP(compras_mes8[[#This Row],[CUIT]],Lista_CUIT[#All],3,0)),"CUIT NO CARGADO")</f>
        <v>Gastos Publicidad y Propaganda</v>
      </c>
      <c r="R18" s="201">
        <f>IFERROR(IF(compras_mes8[[#This Row],[CUIT]]="","-",VLOOKUP(compras_mes8[[#This Row],[CUIT]],Lista_CUIT[#All],4,0)),"CUIT NO CARGADO")</f>
        <v>0</v>
      </c>
    </row>
    <row r="19" spans="2:18" x14ac:dyDescent="0.3">
      <c r="B19" s="192"/>
      <c r="C19" s="193"/>
      <c r="D19" s="194"/>
      <c r="E19" s="195"/>
      <c r="F19" s="196"/>
      <c r="G19" s="197" t="str">
        <f>IFERROR(IF(compras_mes8[[#This Row],[CUIT]]="","-",VLOOKUP(compras_mes8[[#This Row],[CUIT]],Lista_CUIT[#All],2,0)),"CUIT NO CARGADO")</f>
        <v>-</v>
      </c>
      <c r="H19" s="198"/>
      <c r="I19" s="199" t="str">
        <f>IF(compras_mes8[[#This Row],[NETO GRAVADO]]="","",compras_mes8[[#This Row],[NETO GRAVADO]]*0.21)</f>
        <v/>
      </c>
      <c r="J19" s="199"/>
      <c r="K19" s="199"/>
      <c r="L19" s="199"/>
      <c r="M19" s="199"/>
      <c r="N19" s="199"/>
      <c r="O19" s="199"/>
      <c r="P19" s="200">
        <f>SUM(compras_mes8[[#This Row],[NETO GRAVADO]:[Otros / No Grav.]])</f>
        <v>0</v>
      </c>
      <c r="Q19" s="201" t="str">
        <f>IFERROR(IF(compras_mes8[[#This Row],[CUIT]]="","-",VLOOKUP(compras_mes8[[#This Row],[CUIT]],Lista_CUIT[#All],3,0)),"CUIT NO CARGADO")</f>
        <v>-</v>
      </c>
      <c r="R19" s="201" t="str">
        <f>IFERROR(IF(compras_mes8[[#This Row],[CUIT]]="","-",VLOOKUP(compras_mes8[[#This Row],[CUIT]],Lista_CUIT[#All],4,0)),"CUIT NO CARGADO")</f>
        <v>-</v>
      </c>
    </row>
    <row r="20" spans="2:18" x14ac:dyDescent="0.3">
      <c r="B20" s="192"/>
      <c r="C20" s="193"/>
      <c r="D20" s="194"/>
      <c r="E20" s="195"/>
      <c r="F20" s="196"/>
      <c r="G20" s="197" t="str">
        <f>IFERROR(IF(compras_mes8[[#This Row],[CUIT]]="","-",VLOOKUP(compras_mes8[[#This Row],[CUIT]],Lista_CUIT[#All],2,0)),"CUIT NO CARGADO")</f>
        <v>-</v>
      </c>
      <c r="H20" s="198"/>
      <c r="I20" s="199" t="str">
        <f>IF(compras_mes8[[#This Row],[NETO GRAVADO]]="","",compras_mes8[[#This Row],[NETO GRAVADO]]*0.21)</f>
        <v/>
      </c>
      <c r="J20" s="199"/>
      <c r="K20" s="199"/>
      <c r="L20" s="199"/>
      <c r="M20" s="199"/>
      <c r="N20" s="199"/>
      <c r="O20" s="199"/>
      <c r="P20" s="200">
        <f>SUM(compras_mes8[[#This Row],[NETO GRAVADO]:[Otros / No Grav.]])</f>
        <v>0</v>
      </c>
      <c r="Q20" s="201" t="str">
        <f>IFERROR(IF(compras_mes8[[#This Row],[CUIT]]="","-",VLOOKUP(compras_mes8[[#This Row],[CUIT]],Lista_CUIT[#All],3,0)),"CUIT NO CARGADO")</f>
        <v>-</v>
      </c>
      <c r="R20" s="201" t="str">
        <f>IFERROR(IF(compras_mes8[[#This Row],[CUIT]]="","-",VLOOKUP(compras_mes8[[#This Row],[CUIT]],Lista_CUIT[#All],4,0)),"CUIT NO CARGADO")</f>
        <v>-</v>
      </c>
    </row>
    <row r="21" spans="2:18" x14ac:dyDescent="0.3">
      <c r="B21" s="40"/>
      <c r="C21" s="41"/>
      <c r="D21" s="42"/>
      <c r="E21" s="43"/>
      <c r="F21" s="44"/>
      <c r="G21" s="45" t="str">
        <f>IFERROR(IF(compras_mes8[[#This Row],[CUIT]]="","-",VLOOKUP(compras_mes8[[#This Row],[CUIT]],Lista_CUIT[#All],2,0)),"CUIT NO CARGADO")</f>
        <v>-</v>
      </c>
      <c r="H21" s="46"/>
      <c r="I21" s="85" t="str">
        <f>IF(compras_mes8[[#This Row],[NETO GRAVADO]]="","",compras_mes8[[#This Row],[NETO GRAVADO]]*0.21)</f>
        <v/>
      </c>
      <c r="J21" s="85"/>
      <c r="K21" s="85"/>
      <c r="L21" s="85"/>
      <c r="M21" s="85"/>
      <c r="N21" s="85"/>
      <c r="O21" s="85"/>
      <c r="P21" s="48">
        <f>SUM(compras_mes8[[#This Row],[NETO GRAVADO]:[Otros / No Grav.]])</f>
        <v>0</v>
      </c>
      <c r="Q21" s="49" t="str">
        <f>IFERROR(IF(compras_mes8[[#This Row],[CUIT]]="","-",VLOOKUP(compras_mes8[[#This Row],[CUIT]],Lista_CUIT[#All],3,0)),"CUIT NO CARGADO")</f>
        <v>-</v>
      </c>
      <c r="R21" s="49" t="str">
        <f>IFERROR(IF(compras_mes8[[#This Row],[CUIT]]="","-",VLOOKUP(compras_mes8[[#This Row],[CUIT]],Lista_CUIT[#All],4,0)),"CUIT NO CARGADO")</f>
        <v>-</v>
      </c>
    </row>
    <row r="22" spans="2:18" x14ac:dyDescent="0.3">
      <c r="B22" s="89"/>
      <c r="C22" s="90"/>
      <c r="D22" s="91"/>
      <c r="E22" s="92"/>
      <c r="F22" s="93"/>
      <c r="G22" s="94" t="str">
        <f>IFERROR(IF(compras_mes8[[#This Row],[CUIT]]="","-",VLOOKUP(compras_mes8[[#This Row],[CUIT]],Lista_CUIT[#All],2,0)),"CUIT NO CARGADO")</f>
        <v>-</v>
      </c>
      <c r="H22" s="95"/>
      <c r="I22" s="86" t="str">
        <f>IF(compras_mes8[[#This Row],[NETO GRAVADO]]="","",compras_mes8[[#This Row],[NETO GRAVADO]]*0.21)</f>
        <v/>
      </c>
      <c r="J22" s="86"/>
      <c r="K22" s="86"/>
      <c r="L22" s="86"/>
      <c r="M22" s="86"/>
      <c r="N22" s="86"/>
      <c r="O22" s="86"/>
      <c r="P22" s="87">
        <f>SUM(compras_mes8[[#This Row],[NETO GRAVADO]:[Otros / No Grav.]])</f>
        <v>0</v>
      </c>
      <c r="Q22" s="88" t="str">
        <f>IFERROR(IF(compras_mes8[[#This Row],[CUIT]]="","-",VLOOKUP(compras_mes8[[#This Row],[CUIT]],Lista_CUIT[#All],3,0)),"CUIT NO CARGADO")</f>
        <v>-</v>
      </c>
      <c r="R22" s="88" t="str">
        <f>IFERROR(IF(compras_mes8[[#This Row],[CUIT]]="","-",VLOOKUP(compras_mes8[[#This Row],[CUIT]],Lista_CUIT[#All],4,0)),"CUIT NO CARGADO")</f>
        <v>-</v>
      </c>
    </row>
    <row r="23" spans="2:18" x14ac:dyDescent="0.3">
      <c r="B23" s="96" t="s">
        <v>91</v>
      </c>
      <c r="C23" s="96"/>
      <c r="D23" s="96"/>
      <c r="E23" s="96"/>
      <c r="F23" s="96"/>
      <c r="G23" s="97"/>
      <c r="H23" s="98">
        <f>SUBTOTAL(109,compras_mes8[NETO GRAVADO])</f>
        <v>2589137.46</v>
      </c>
      <c r="I23" s="98">
        <f>SUBTOTAL(109,compras_mes8[IVA 21 %])</f>
        <v>543718.86659999995</v>
      </c>
      <c r="J23" s="98">
        <f>SUBTOTAL(109,compras_mes8[IVA 27%])</f>
        <v>0</v>
      </c>
      <c r="K23" s="98">
        <f>SUBTOTAL(109,compras_mes8[IVA 10,5%])</f>
        <v>0</v>
      </c>
      <c r="L23" s="98">
        <f>SUBTOTAL(109,compras_mes8[PERC. IVA])</f>
        <v>77696.55</v>
      </c>
      <c r="M23" s="98">
        <f>SUBTOTAL(109,compras_mes8[PERC IIBB 
BS AS])</f>
        <v>0</v>
      </c>
      <c r="N23" s="98">
        <f>SUBTOTAL(109,compras_mes8[PERC. IIBB CABA])</f>
        <v>38838.28</v>
      </c>
      <c r="O23" s="98">
        <f>SUBTOTAL(109,compras_mes8[Otros / No Grav.])</f>
        <v>0</v>
      </c>
      <c r="P23" s="98">
        <f>SUBTOTAL(109,compras_mes8[TOTAL])</f>
        <v>3249391.1566000003</v>
      </c>
      <c r="Q23" s="96"/>
      <c r="R23" s="96"/>
    </row>
    <row r="24" spans="2:18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  <c r="M24" s="47"/>
      <c r="N24" s="47"/>
      <c r="O24" s="47"/>
      <c r="P24" s="48"/>
      <c r="Q24" s="49"/>
      <c r="R24" s="49"/>
    </row>
    <row r="25" spans="2:18" x14ac:dyDescent="0.3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  <c r="M25" s="47"/>
      <c r="N25" s="47"/>
      <c r="O25" s="47"/>
      <c r="P25" s="48"/>
      <c r="Q25" s="49"/>
      <c r="R25" s="49"/>
    </row>
    <row r="26" spans="2:18" ht="14.4" customHeight="1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22.95" customHeight="1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</row>
    <row r="28" spans="2:18" ht="25.95" customHeight="1" x14ac:dyDescent="0.3">
      <c r="D28" s="362" t="s">
        <v>15</v>
      </c>
      <c r="E28" s="362"/>
      <c r="F28" s="362"/>
      <c r="G28" s="362"/>
      <c r="H28" s="362"/>
      <c r="I28" s="362"/>
      <c r="J28" s="362"/>
      <c r="K28" s="362"/>
      <c r="L28" s="362"/>
    </row>
    <row r="29" spans="2:18" ht="14.4" customHeight="1" x14ac:dyDescent="0.3">
      <c r="D29" s="73" t="s">
        <v>0</v>
      </c>
      <c r="E29" s="74" t="s">
        <v>26</v>
      </c>
      <c r="F29" s="74" t="s">
        <v>16</v>
      </c>
      <c r="G29" s="74" t="s">
        <v>5</v>
      </c>
      <c r="H29" s="74" t="s">
        <v>17</v>
      </c>
      <c r="I29" s="74" t="s">
        <v>7</v>
      </c>
      <c r="J29" s="75" t="s">
        <v>18</v>
      </c>
      <c r="K29" s="75" t="s">
        <v>19</v>
      </c>
      <c r="L29" s="76" t="s">
        <v>20</v>
      </c>
    </row>
    <row r="30" spans="2:18" ht="14.4" customHeight="1" x14ac:dyDescent="0.3">
      <c r="D30" s="50"/>
      <c r="E30" s="79"/>
      <c r="F30" s="80" t="s">
        <v>181</v>
      </c>
      <c r="G30" s="81">
        <v>28350</v>
      </c>
      <c r="H30" s="81">
        <f>extracto_banco_mes8[[#This Row],[NETO]]*0.21</f>
        <v>5953.5</v>
      </c>
      <c r="I30" s="81"/>
      <c r="J30" s="81"/>
      <c r="K30" s="81">
        <v>850.5</v>
      </c>
      <c r="L30" s="81">
        <v>425.25</v>
      </c>
    </row>
    <row r="31" spans="2:18" ht="15" customHeight="1" x14ac:dyDescent="0.3">
      <c r="D31" s="50"/>
      <c r="E31" s="79"/>
      <c r="F31" s="80"/>
      <c r="G31" s="81"/>
      <c r="H31" s="81"/>
      <c r="I31" s="81"/>
      <c r="J31" s="81"/>
      <c r="K31" s="81"/>
      <c r="L31" s="81"/>
    </row>
    <row r="32" spans="2:18" ht="15" customHeight="1" x14ac:dyDescent="0.3">
      <c r="D32" s="50"/>
      <c r="E32" s="79"/>
      <c r="F32" s="80"/>
      <c r="G32" s="81"/>
      <c r="H32" s="81"/>
      <c r="I32" s="81"/>
      <c r="J32" s="81"/>
      <c r="K32" s="81"/>
      <c r="L32" s="81"/>
    </row>
    <row r="33" spans="2:18" ht="15" customHeight="1" x14ac:dyDescent="0.3">
      <c r="D33" s="82" t="s">
        <v>91</v>
      </c>
      <c r="E33" s="80"/>
      <c r="F33" s="80"/>
      <c r="G33" s="83">
        <f>SUBTOTAL(109,extracto_banco_mes8[NETO])</f>
        <v>28350</v>
      </c>
      <c r="H33" s="83">
        <f>SUBTOTAL(109,extracto_banco_mes8[IVA 21%])</f>
        <v>5953.5</v>
      </c>
      <c r="I33" s="83">
        <f>SUBTOTAL(109,extracto_banco_mes8[IVA 10,5%])</f>
        <v>0</v>
      </c>
      <c r="J33" s="83">
        <f>SUBTOTAL(109,extracto_banco_mes8[RET IIBB CABA])</f>
        <v>0</v>
      </c>
      <c r="K33" s="83">
        <f>SUBTOTAL(109,extracto_banco_mes8[PERC IVA])</f>
        <v>850.5</v>
      </c>
      <c r="L33" s="83">
        <f>SUBTOTAL(109,extracto_banco_mes8[PERC IIBB])</f>
        <v>425.25</v>
      </c>
    </row>
    <row r="34" spans="2:18" ht="15" customHeight="1" x14ac:dyDescent="0.3"/>
    <row r="35" spans="2:18" ht="15" customHeight="1" x14ac:dyDescent="0.3"/>
    <row r="36" spans="2:18" ht="23.4" customHeight="1" x14ac:dyDescent="0.3"/>
    <row r="37" spans="2:18" ht="38.4" customHeight="1" x14ac:dyDescent="0.3">
      <c r="D37" s="362" t="s">
        <v>25</v>
      </c>
      <c r="E37" s="362"/>
      <c r="F37" s="362"/>
      <c r="G37" s="362"/>
      <c r="H37" s="362"/>
      <c r="I37" s="362"/>
      <c r="J37" s="362"/>
      <c r="K37" s="362"/>
    </row>
    <row r="38" spans="2:18" x14ac:dyDescent="0.3">
      <c r="D38" s="51" t="s">
        <v>0</v>
      </c>
      <c r="E38" s="51" t="s">
        <v>2</v>
      </c>
      <c r="F38" s="51" t="s">
        <v>74</v>
      </c>
      <c r="G38" s="51" t="s">
        <v>3</v>
      </c>
      <c r="H38" s="51" t="s">
        <v>4</v>
      </c>
      <c r="I38" s="52" t="s">
        <v>10</v>
      </c>
      <c r="J38" s="51" t="s">
        <v>13</v>
      </c>
      <c r="K38" s="51" t="s">
        <v>38</v>
      </c>
    </row>
    <row r="39" spans="2:18" x14ac:dyDescent="0.3">
      <c r="D39" s="129">
        <v>45509</v>
      </c>
      <c r="E39" s="42">
        <v>2</v>
      </c>
      <c r="F39" s="43">
        <v>820</v>
      </c>
      <c r="G39" s="44">
        <v>20400104094</v>
      </c>
      <c r="H39" s="53" t="str">
        <f>IFERROR(IF(factura_c_mes8[[#This Row],[CUIT]]="","-",VLOOKUP(factura_c_mes8[[#This Row],[CUIT]],Lista_CUIT[#All],2,0)),"CUIT NO CARGADO")</f>
        <v>BOTINDARI FEDERICO DANIEL</v>
      </c>
      <c r="I39" s="81">
        <v>80000</v>
      </c>
      <c r="J39" s="54" t="str">
        <f>IFERROR(IF(factura_c_mes8[[#This Row],[CUIT]]="","-",VLOOKUP(factura_c_mes8[[#This Row],[CUIT]],Lista_CUIT[#All],3,0)),"CUIT NO CARGADO")</f>
        <v>HONORARIOS CONTABLE</v>
      </c>
      <c r="K39" s="54">
        <f>IFERROR(IF(factura_c_mes8[[#This Row],[CUIT]]="","-",VLOOKUP(factura_c_mes8[[#This Row],[CUIT]],Lista_CUIT[#All],4,0)),"CUIT NO CARGADO")</f>
        <v>0</v>
      </c>
    </row>
    <row r="40" spans="2:18" x14ac:dyDescent="0.3">
      <c r="D40" s="129">
        <v>45511</v>
      </c>
      <c r="E40" s="42">
        <v>2</v>
      </c>
      <c r="F40" s="43">
        <v>45</v>
      </c>
      <c r="G40" s="44">
        <v>23380288079</v>
      </c>
      <c r="H40" s="53" t="str">
        <f>IFERROR(IF(factura_c_mes8[[#This Row],[CUIT]]="","-",VLOOKUP(factura_c_mes8[[#This Row],[CUIT]],Lista_CUIT[#All],2,0)),"CUIT NO CARGADO")</f>
        <v>CASTROMAN AGUSTIN</v>
      </c>
      <c r="I40" s="81">
        <v>165477</v>
      </c>
      <c r="J40" s="54" t="str">
        <f>IFERROR(IF(factura_c_mes8[[#This Row],[CUIT]]="","-",VLOOKUP(factura_c_mes8[[#This Row],[CUIT]],Lista_CUIT[#All],3,0)),"CUIT NO CARGADO")</f>
        <v>Diseño Grafico</v>
      </c>
      <c r="K40" s="54">
        <f>IFERROR(IF(factura_c_mes8[[#This Row],[CUIT]]="","-",VLOOKUP(factura_c_mes8[[#This Row],[CUIT]],Lista_CUIT[#All],4,0)),"CUIT NO CARGADO")</f>
        <v>0</v>
      </c>
    </row>
    <row r="41" spans="2:18" x14ac:dyDescent="0.3">
      <c r="D41" s="50">
        <v>45512</v>
      </c>
      <c r="E41" s="42">
        <v>1</v>
      </c>
      <c r="F41" s="43">
        <v>284</v>
      </c>
      <c r="G41" s="44">
        <v>20347443787</v>
      </c>
      <c r="H41" s="53" t="str">
        <f>IFERROR(IF(factura_c_mes8[[#This Row],[CUIT]]="","-",VLOOKUP(factura_c_mes8[[#This Row],[CUIT]],Lista_CUIT[#All],2,0)),"CUIT NO CARGADO")</f>
        <v>YAÑEZ GERMAN</v>
      </c>
      <c r="I41" s="81">
        <v>119755</v>
      </c>
      <c r="J41" s="54">
        <f>IFERROR(IF(factura_c_mes8[[#This Row],[CUIT]]="","-",VLOOKUP(factura_c_mes8[[#This Row],[CUIT]],Lista_CUIT[#All],3,0)),"CUIT NO CARGADO")</f>
        <v>0</v>
      </c>
      <c r="K41" s="54">
        <f>IFERROR(IF(factura_c_mes8[[#This Row],[CUIT]]="","-",VLOOKUP(factura_c_mes8[[#This Row],[CUIT]],Lista_CUIT[#All],4,0)),"CUIT NO CARGADO")</f>
        <v>0</v>
      </c>
    </row>
    <row r="42" spans="2:18" x14ac:dyDescent="0.3">
      <c r="D42" s="50">
        <v>45530</v>
      </c>
      <c r="E42" s="42">
        <v>1</v>
      </c>
      <c r="F42" s="43">
        <v>306</v>
      </c>
      <c r="G42" s="44">
        <v>27386311000</v>
      </c>
      <c r="H42" s="53" t="str">
        <f>IFERROR(IF(factura_c_mes8[[#This Row],[CUIT]]="","-",VLOOKUP(factura_c_mes8[[#This Row],[CUIT]],Lista_CUIT[#All],2,0)),"CUIT NO CARGADO")</f>
        <v>OPANASIUK MACARENA ANTONELLA</v>
      </c>
      <c r="I42" s="81">
        <v>450000</v>
      </c>
      <c r="J42" s="54" t="str">
        <f>IFERROR(IF(factura_c_mes8[[#This Row],[CUIT]]="","-",VLOOKUP(factura_c_mes8[[#This Row],[CUIT]],Lista_CUIT[#All],3,0)),"CUIT NO CARGADO")</f>
        <v>Honorarios Profesionales</v>
      </c>
      <c r="K42" s="54">
        <f>IFERROR(IF(factura_c_mes8[[#This Row],[CUIT]]="","-",VLOOKUP(factura_c_mes8[[#This Row],[CUIT]],Lista_CUIT[#All],4,0)),"CUIT NO CARGADO")</f>
        <v>0</v>
      </c>
    </row>
    <row r="43" spans="2:18" s="56" customFormat="1" ht="18.600000000000001" customHeight="1" x14ac:dyDescent="0.3">
      <c r="B43"/>
      <c r="C43"/>
      <c r="D43" s="55" t="s">
        <v>91</v>
      </c>
      <c r="E43" s="55"/>
      <c r="F43" s="55"/>
      <c r="G43" s="55"/>
      <c r="H43" s="57"/>
      <c r="I43" s="58">
        <f>SUBTOTAL(109,factura_c_mes8[TOTAL])</f>
        <v>815232</v>
      </c>
      <c r="J43" s="55"/>
      <c r="K43" s="55"/>
      <c r="L43"/>
      <c r="M43"/>
      <c r="N43"/>
      <c r="O43"/>
      <c r="P43"/>
      <c r="Q43"/>
      <c r="R43"/>
    </row>
    <row r="44" spans="2:18" x14ac:dyDescent="0.3">
      <c r="B44" s="56"/>
      <c r="C44" s="56"/>
      <c r="L44" s="56"/>
      <c r="M44" s="56"/>
      <c r="N44" s="56"/>
      <c r="O44" s="56"/>
      <c r="P44" s="56"/>
      <c r="Q44" s="56"/>
      <c r="R44" s="56"/>
    </row>
    <row r="49" spans="2:13" ht="25.8" x14ac:dyDescent="0.3">
      <c r="B49" s="363" t="s">
        <v>29</v>
      </c>
      <c r="C49" s="363"/>
      <c r="D49" s="363"/>
      <c r="E49" s="363"/>
      <c r="F49" s="363"/>
      <c r="G49" s="363"/>
      <c r="H49" s="363"/>
      <c r="I49" s="363"/>
      <c r="J49" s="363"/>
      <c r="K49" s="364">
        <f>N1</f>
        <v>45505</v>
      </c>
      <c r="L49" s="364"/>
      <c r="M49" s="364"/>
    </row>
    <row r="50" spans="2:13" ht="22.5" customHeight="1" x14ac:dyDescent="0.3"/>
    <row r="51" spans="2:13" ht="21" x14ac:dyDescent="0.3">
      <c r="B51" s="365" t="s">
        <v>30</v>
      </c>
      <c r="C51" s="365"/>
    </row>
    <row r="52" spans="2:13" ht="18" customHeight="1" x14ac:dyDescent="0.3">
      <c r="B52" s="60" t="s">
        <v>0</v>
      </c>
      <c r="C52" s="61" t="s">
        <v>1</v>
      </c>
      <c r="D52" s="61" t="s">
        <v>21</v>
      </c>
      <c r="E52" s="61" t="s">
        <v>22</v>
      </c>
      <c r="F52" s="61" t="s">
        <v>3</v>
      </c>
      <c r="G52" s="61" t="s">
        <v>4</v>
      </c>
      <c r="H52" s="61" t="s">
        <v>23</v>
      </c>
      <c r="I52" s="61" t="s">
        <v>17</v>
      </c>
      <c r="J52" s="61" t="s">
        <v>7</v>
      </c>
      <c r="K52" s="61" t="s">
        <v>24</v>
      </c>
      <c r="L52" s="61" t="s">
        <v>10</v>
      </c>
      <c r="M52" s="62" t="s">
        <v>38</v>
      </c>
    </row>
    <row r="53" spans="2:13" x14ac:dyDescent="0.3">
      <c r="B53" s="40">
        <v>45505</v>
      </c>
      <c r="C53" s="41">
        <v>1</v>
      </c>
      <c r="D53" s="42">
        <v>1</v>
      </c>
      <c r="E53" s="43">
        <v>244</v>
      </c>
      <c r="F53" s="44">
        <v>20279415656</v>
      </c>
      <c r="G53" s="99" t="str">
        <f>IFERROR(IF(venta_a_mes8[[#This Row],[CUIT]]="","-",VLOOKUP(venta_a_mes8[[#This Row],[CUIT]],Lista_CUIT[#All],2,0)),"CUIT NO CARGADO")</f>
        <v>CECCO ALVARO GONZALO</v>
      </c>
      <c r="H53" s="100">
        <v>94214.86</v>
      </c>
      <c r="I53" s="101">
        <f>venta_a_mes8[[#This Row],[IMPORTE NETO]]*0.21</f>
        <v>19785.120599999998</v>
      </c>
      <c r="J53" s="65"/>
      <c r="K53" s="65"/>
      <c r="L53" s="65">
        <f>SUM(venta_a_mes8[[#This Row],[IMPORTE NETO]:[EXENTO]])</f>
        <v>113999.9806</v>
      </c>
      <c r="M53" s="59"/>
    </row>
    <row r="54" spans="2:13" x14ac:dyDescent="0.3">
      <c r="B54" s="40">
        <v>45505</v>
      </c>
      <c r="C54" s="41">
        <v>1</v>
      </c>
      <c r="D54" s="42">
        <v>1</v>
      </c>
      <c r="E54" s="43">
        <v>255</v>
      </c>
      <c r="F54" s="44">
        <v>33717319309</v>
      </c>
      <c r="G54" s="99" t="str">
        <f>IFERROR(IF(venta_a_mes8[[#This Row],[CUIT]]="","-",VLOOKUP(venta_a_mes8[[#This Row],[CUIT]],Lista_CUIT[#All],2,0)),"CUIT NO CARGADO")</f>
        <v>CONSMITEC S.R.L.</v>
      </c>
      <c r="H54" s="100">
        <v>390909.1</v>
      </c>
      <c r="I54" s="101">
        <f>venta_a_mes8[[#This Row],[IMPORTE NETO]]*0.21</f>
        <v>82090.910999999993</v>
      </c>
      <c r="J54" s="65"/>
      <c r="K54" s="65"/>
      <c r="L54" s="65">
        <f>SUM(venta_a_mes8[[#This Row],[IMPORTE NETO]:[EXENTO]])</f>
        <v>473000.01099999994</v>
      </c>
      <c r="M54" s="59"/>
    </row>
    <row r="55" spans="2:13" x14ac:dyDescent="0.3">
      <c r="B55" s="40">
        <v>45505</v>
      </c>
      <c r="C55" s="41">
        <v>1</v>
      </c>
      <c r="D55" s="42">
        <v>1</v>
      </c>
      <c r="E55" s="43">
        <v>245</v>
      </c>
      <c r="F55" s="44">
        <v>20367341808</v>
      </c>
      <c r="G55" s="99" t="str">
        <f>IFERROR(IF(venta_a_mes8[[#This Row],[CUIT]]="","-",VLOOKUP(venta_a_mes8[[#This Row],[CUIT]],Lista_CUIT[#All],2,0)),"CUIT NO CARGADO")</f>
        <v>FEIDAS FERNANDO EMILIANO</v>
      </c>
      <c r="H55" s="100">
        <v>58677.67</v>
      </c>
      <c r="I55" s="101">
        <f>venta_a_mes8[[#This Row],[IMPORTE NETO]]*0.21</f>
        <v>12322.3107</v>
      </c>
      <c r="J55" s="65"/>
      <c r="K55" s="65"/>
      <c r="L55" s="65">
        <f>SUM(venta_a_mes8[[#This Row],[IMPORTE NETO]:[EXENTO]])</f>
        <v>70999.9807</v>
      </c>
      <c r="M55" s="59"/>
    </row>
    <row r="56" spans="2:13" x14ac:dyDescent="0.3">
      <c r="B56" s="40">
        <v>45505</v>
      </c>
      <c r="C56" s="41">
        <v>1</v>
      </c>
      <c r="D56" s="42">
        <v>1</v>
      </c>
      <c r="E56" s="43">
        <v>246</v>
      </c>
      <c r="F56" s="44">
        <v>30715941763</v>
      </c>
      <c r="G56" s="99" t="str">
        <f>IFERROR(IF(venta_a_mes8[[#This Row],[CUIT]]="","-",VLOOKUP(venta_a_mes8[[#This Row],[CUIT]],Lista_CUIT[#All],2,0)),"CUIT NO CARGADO")</f>
        <v>TOURMALHYN S.R.L.</v>
      </c>
      <c r="H56" s="100">
        <v>30578.52</v>
      </c>
      <c r="I56" s="101">
        <f>venta_a_mes8[[#This Row],[IMPORTE NETO]]*0.21</f>
        <v>6421.4892</v>
      </c>
      <c r="J56" s="65"/>
      <c r="K56" s="65"/>
      <c r="L56" s="65">
        <f>SUM(venta_a_mes8[[#This Row],[IMPORTE NETO]:[EXENTO]])</f>
        <v>37000.0092</v>
      </c>
      <c r="M56" s="59"/>
    </row>
    <row r="57" spans="2:13" x14ac:dyDescent="0.3">
      <c r="B57" s="40">
        <v>45505</v>
      </c>
      <c r="C57" s="41">
        <v>1</v>
      </c>
      <c r="D57" s="42">
        <v>1</v>
      </c>
      <c r="E57" s="43">
        <v>247</v>
      </c>
      <c r="F57" s="44">
        <v>30717465101</v>
      </c>
      <c r="G57" s="99" t="str">
        <f>IFERROR(IF(venta_a_mes8[[#This Row],[CUIT]]="","-",VLOOKUP(venta_a_mes8[[#This Row],[CUIT]],Lista_CUIT[#All],2,0)),"CUIT NO CARGADO")</f>
        <v>EMPRENDIMIENTOS SHOPGLASS S. R. L.</v>
      </c>
      <c r="H57" s="100">
        <v>58677.67</v>
      </c>
      <c r="I57" s="101">
        <f>venta_a_mes8[[#This Row],[IMPORTE NETO]]*0.21</f>
        <v>12322.3107</v>
      </c>
      <c r="J57" s="65"/>
      <c r="K57" s="65"/>
      <c r="L57" s="65">
        <f>SUM(venta_a_mes8[[#This Row],[IMPORTE NETO]:[EXENTO]])</f>
        <v>70999.9807</v>
      </c>
      <c r="M57" s="59"/>
    </row>
    <row r="58" spans="2:13" x14ac:dyDescent="0.3">
      <c r="B58" s="40">
        <v>45505</v>
      </c>
      <c r="C58" s="41">
        <v>1</v>
      </c>
      <c r="D58" s="203">
        <v>1</v>
      </c>
      <c r="E58" s="204">
        <v>256</v>
      </c>
      <c r="F58" s="44">
        <v>30715380567</v>
      </c>
      <c r="G58" s="215" t="str">
        <f>IFERROR(IF(venta_a_mes8[[#This Row],[CUIT]]="","-",VLOOKUP(venta_a_mes8[[#This Row],[CUIT]],Lista_CUIT[#All],2,0)),"CUIT NO CARGADO")</f>
        <v>SENS GROUP SRL</v>
      </c>
      <c r="H58" s="205">
        <v>253338.67</v>
      </c>
      <c r="I58" s="206">
        <f>venta_a_mes8[[#This Row],[IMPORTE NETO]]*0.21</f>
        <v>53201.120699999999</v>
      </c>
      <c r="J58" s="207"/>
      <c r="K58" s="207"/>
      <c r="L58" s="207">
        <f>SUM(venta_a_mes8[[#This Row],[IMPORTE NETO]:[EXENTO]])</f>
        <v>306539.79070000001</v>
      </c>
      <c r="M58" s="208"/>
    </row>
    <row r="59" spans="2:13" x14ac:dyDescent="0.3">
      <c r="B59" s="40">
        <v>45505</v>
      </c>
      <c r="C59" s="41">
        <v>1</v>
      </c>
      <c r="D59" s="203">
        <v>1</v>
      </c>
      <c r="E59" s="204">
        <v>257</v>
      </c>
      <c r="F59" s="44">
        <v>33715154809</v>
      </c>
      <c r="G59" s="215" t="str">
        <f>IFERROR(IF(venta_a_mes8[[#This Row],[CUIT]]="","-",VLOOKUP(venta_a_mes8[[#This Row],[CUIT]],Lista_CUIT[#All],2,0)),"CUIT NO CARGADO")</f>
        <v>SUPERMERCADOS BONANNO S.A.</v>
      </c>
      <c r="H59" s="205">
        <v>428099.19</v>
      </c>
      <c r="I59" s="206">
        <f>venta_a_mes8[[#This Row],[IMPORTE NETO]]*0.21</f>
        <v>89900.829899999997</v>
      </c>
      <c r="J59" s="207"/>
      <c r="K59" s="207"/>
      <c r="L59" s="207">
        <f>SUM(venta_a_mes8[[#This Row],[IMPORTE NETO]:[EXENTO]])</f>
        <v>518000.01990000001</v>
      </c>
      <c r="M59" s="208"/>
    </row>
    <row r="60" spans="2:13" x14ac:dyDescent="0.3">
      <c r="B60" s="40">
        <v>45505</v>
      </c>
      <c r="C60" s="41">
        <v>1</v>
      </c>
      <c r="D60" s="225">
        <v>1</v>
      </c>
      <c r="E60" s="226">
        <v>248</v>
      </c>
      <c r="F60" s="44">
        <v>20132082198</v>
      </c>
      <c r="G60" s="228" t="str">
        <f>IFERROR(IF(venta_a_mes8[[#This Row],[CUIT]]="","-",VLOOKUP(venta_a_mes8[[#This Row],[CUIT]],Lista_CUIT[#All],2,0)),"CUIT NO CARGADO")</f>
        <v>FADIGA OSCAR ALBERTO</v>
      </c>
      <c r="H60" s="229">
        <v>113223.14</v>
      </c>
      <c r="I60" s="230">
        <f>venta_a_mes8[[#This Row],[IMPORTE NETO]]*0.21</f>
        <v>23776.859399999998</v>
      </c>
      <c r="J60" s="231"/>
      <c r="K60" s="231"/>
      <c r="L60" s="231">
        <f>SUM(venta_a_mes8[[#This Row],[IMPORTE NETO]:[EXENTO]])</f>
        <v>136999.9994</v>
      </c>
      <c r="M60" s="232"/>
    </row>
    <row r="61" spans="2:13" x14ac:dyDescent="0.3">
      <c r="B61" s="40">
        <v>45505</v>
      </c>
      <c r="C61" s="41">
        <v>1</v>
      </c>
      <c r="D61" s="225">
        <v>1</v>
      </c>
      <c r="E61" s="226">
        <v>249</v>
      </c>
      <c r="F61" s="44">
        <v>30688955749</v>
      </c>
      <c r="G61" s="228" t="str">
        <f>IFERROR(IF(venta_a_mes8[[#This Row],[CUIT]]="","-",VLOOKUP(venta_a_mes8[[#This Row],[CUIT]],Lista_CUIT[#All],2,0)),"CUIT NO CARGADO")</f>
        <v>LISERAR S A</v>
      </c>
      <c r="H61" s="229">
        <v>132231.43</v>
      </c>
      <c r="I61" s="230">
        <f>venta_a_mes8[[#This Row],[IMPORTE NETO]]*0.21</f>
        <v>27768.600299999998</v>
      </c>
      <c r="J61" s="231"/>
      <c r="K61" s="231"/>
      <c r="L61" s="231">
        <f>SUM(venta_a_mes8[[#This Row],[IMPORTE NETO]:[EXENTO]])</f>
        <v>160000.03029999998</v>
      </c>
      <c r="M61" s="232"/>
    </row>
    <row r="62" spans="2:13" x14ac:dyDescent="0.3">
      <c r="B62" s="40">
        <v>45505</v>
      </c>
      <c r="C62" s="41">
        <v>1</v>
      </c>
      <c r="D62" s="225">
        <v>1</v>
      </c>
      <c r="E62" s="226">
        <v>239</v>
      </c>
      <c r="F62" s="44">
        <v>30716549107</v>
      </c>
      <c r="G62" s="228" t="str">
        <f>IFERROR(IF(venta_a_mes8[[#This Row],[CUIT]]="","-",VLOOKUP(venta_a_mes8[[#This Row],[CUIT]],Lista_CUIT[#All],2,0)),"CUIT NO CARGADO")</f>
        <v>LAMATEC S.R.L.</v>
      </c>
      <c r="H62" s="229">
        <v>132231.43</v>
      </c>
      <c r="I62" s="230">
        <f>venta_a_mes8[[#This Row],[IMPORTE NETO]]*0.21</f>
        <v>27768.600299999998</v>
      </c>
      <c r="J62" s="231"/>
      <c r="K62" s="231"/>
      <c r="L62" s="231">
        <f>SUM(venta_a_mes8[[#This Row],[IMPORTE NETO]:[EXENTO]])</f>
        <v>160000.03029999998</v>
      </c>
      <c r="M62" s="232"/>
    </row>
    <row r="63" spans="2:13" x14ac:dyDescent="0.3">
      <c r="B63" s="40">
        <v>45505</v>
      </c>
      <c r="C63" s="41">
        <v>1</v>
      </c>
      <c r="D63" s="225">
        <v>1</v>
      </c>
      <c r="E63" s="226">
        <v>250</v>
      </c>
      <c r="F63" s="44">
        <v>30716234815</v>
      </c>
      <c r="G63" s="228" t="str">
        <f>IFERROR(IF(venta_a_mes8[[#This Row],[CUIT]]="","-",VLOOKUP(venta_a_mes8[[#This Row],[CUIT]],Lista_CUIT[#All],2,0)),"CUIT NO CARGADO")</f>
        <v>LEVINT PARTNERS S.R.L.</v>
      </c>
      <c r="H63" s="229">
        <v>132231.43</v>
      </c>
      <c r="I63" s="230">
        <f>venta_a_mes8[[#This Row],[IMPORTE NETO]]*0.21</f>
        <v>27768.600299999998</v>
      </c>
      <c r="J63" s="231"/>
      <c r="K63" s="231"/>
      <c r="L63" s="231">
        <f>SUM(venta_a_mes8[[#This Row],[IMPORTE NETO]:[EXENTO]])</f>
        <v>160000.03029999998</v>
      </c>
      <c r="M63" s="232"/>
    </row>
    <row r="64" spans="2:13" x14ac:dyDescent="0.3">
      <c r="B64" s="40">
        <v>45505</v>
      </c>
      <c r="C64" s="41">
        <v>1</v>
      </c>
      <c r="D64" s="225">
        <v>1</v>
      </c>
      <c r="E64" s="226">
        <v>240</v>
      </c>
      <c r="F64" s="44">
        <v>30718295900</v>
      </c>
      <c r="G64" s="228" t="str">
        <f>IFERROR(IF(venta_a_mes8[[#This Row],[CUIT]]="","-",VLOOKUP(venta_a_mes8[[#This Row],[CUIT]],Lista_CUIT[#All],2,0)),"CUIT NO CARGADO")</f>
        <v>LAPTOP SERVICE S.R.L.</v>
      </c>
      <c r="H64" s="229">
        <v>58677.67</v>
      </c>
      <c r="I64" s="230">
        <f>venta_a_mes8[[#This Row],[IMPORTE NETO]]*0.21</f>
        <v>12322.3107</v>
      </c>
      <c r="J64" s="231"/>
      <c r="K64" s="231"/>
      <c r="L64" s="231">
        <f>SUM(venta_a_mes8[[#This Row],[IMPORTE NETO]:[EXENTO]])</f>
        <v>70999.9807</v>
      </c>
      <c r="M64" s="232"/>
    </row>
    <row r="65" spans="2:13" x14ac:dyDescent="0.3">
      <c r="B65" s="40">
        <v>45505</v>
      </c>
      <c r="C65" s="41">
        <v>1</v>
      </c>
      <c r="D65" s="225">
        <v>1</v>
      </c>
      <c r="E65" s="226">
        <v>251</v>
      </c>
      <c r="F65" s="44">
        <v>20320573948</v>
      </c>
      <c r="G65" s="228" t="str">
        <f>IFERROR(IF(venta_a_mes8[[#This Row],[CUIT]]="","-",VLOOKUP(venta_a_mes8[[#This Row],[CUIT]],Lista_CUIT[#All],2,0)),"CUIT NO CARGADO")</f>
        <v>CAVALLOTTI MARCOS DANIEL</v>
      </c>
      <c r="H65" s="229">
        <v>132231.43</v>
      </c>
      <c r="I65" s="230">
        <f>venta_a_mes8[[#This Row],[IMPORTE NETO]]*0.21</f>
        <v>27768.600299999998</v>
      </c>
      <c r="J65" s="231"/>
      <c r="K65" s="231"/>
      <c r="L65" s="231">
        <f>SUM(venta_a_mes8[[#This Row],[IMPORTE NETO]:[EXENTO]])</f>
        <v>160000.03029999998</v>
      </c>
      <c r="M65" s="232"/>
    </row>
    <row r="66" spans="2:13" x14ac:dyDescent="0.3">
      <c r="B66" s="40">
        <v>45505</v>
      </c>
      <c r="C66" s="41">
        <v>1</v>
      </c>
      <c r="D66" s="225">
        <v>1</v>
      </c>
      <c r="E66" s="226">
        <v>241</v>
      </c>
      <c r="F66" s="44">
        <v>30717973166</v>
      </c>
      <c r="G66" s="228" t="str">
        <f>IFERROR(IF(venta_a_mes8[[#This Row],[CUIT]]="","-",VLOOKUP(venta_a_mes8[[#This Row],[CUIT]],Lista_CUIT[#All],2,0)),"CUIT NO CARGADO")</f>
        <v>STM ESTILO S.R.L</v>
      </c>
      <c r="H66" s="229">
        <v>58677.67</v>
      </c>
      <c r="I66" s="230">
        <f>venta_a_mes8[[#This Row],[IMPORTE NETO]]*0.21</f>
        <v>12322.3107</v>
      </c>
      <c r="J66" s="231"/>
      <c r="K66" s="231"/>
      <c r="L66" s="231">
        <f>SUM(venta_a_mes8[[#This Row],[IMPORTE NETO]:[EXENTO]])</f>
        <v>70999.9807</v>
      </c>
      <c r="M66" s="232"/>
    </row>
    <row r="67" spans="2:13" x14ac:dyDescent="0.3">
      <c r="B67" s="40">
        <v>45505</v>
      </c>
      <c r="C67" s="41">
        <v>1</v>
      </c>
      <c r="D67" s="225">
        <v>1</v>
      </c>
      <c r="E67" s="226">
        <v>258</v>
      </c>
      <c r="F67" s="44">
        <v>20277452872</v>
      </c>
      <c r="G67" s="228" t="str">
        <f>IFERROR(IF(venta_a_mes8[[#This Row],[CUIT]]="","-",VLOOKUP(venta_a_mes8[[#This Row],[CUIT]],Lista_CUIT[#All],2,0)),"CUIT NO CARGADO")</f>
        <v>GERVASI MAXIMILIANO ARIEL</v>
      </c>
      <c r="H67" s="229">
        <v>428099.19</v>
      </c>
      <c r="I67" s="230">
        <f>venta_a_mes8[[#This Row],[IMPORTE NETO]]*0.21</f>
        <v>89900.829899999997</v>
      </c>
      <c r="J67" s="231"/>
      <c r="K67" s="231"/>
      <c r="L67" s="231">
        <f>SUM(venta_a_mes8[[#This Row],[IMPORTE NETO]:[EXENTO]])</f>
        <v>518000.01990000001</v>
      </c>
      <c r="M67" s="232"/>
    </row>
    <row r="68" spans="2:13" x14ac:dyDescent="0.3">
      <c r="B68" s="40">
        <v>45505</v>
      </c>
      <c r="C68" s="41">
        <v>1</v>
      </c>
      <c r="D68" s="203">
        <v>1</v>
      </c>
      <c r="E68" s="204">
        <v>252</v>
      </c>
      <c r="F68" s="44">
        <v>20238882975</v>
      </c>
      <c r="G68" s="215" t="str">
        <f>IFERROR(IF(venta_a_mes8[[#This Row],[CUIT]]="","-",VLOOKUP(venta_a_mes8[[#This Row],[CUIT]],Lista_CUIT[#All],2,0)),"CUIT NO CARGADO")</f>
        <v>NARVAEZ SANTIAGO GABRIEL</v>
      </c>
      <c r="H68" s="205">
        <v>428099.19</v>
      </c>
      <c r="I68" s="206">
        <f>venta_a_mes8[[#This Row],[IMPORTE NETO]]*0.21</f>
        <v>89900.829899999997</v>
      </c>
      <c r="J68" s="207"/>
      <c r="K68" s="207"/>
      <c r="L68" s="207">
        <f>SUM(venta_a_mes8[[#This Row],[IMPORTE NETO]:[EXENTO]])</f>
        <v>518000.01990000001</v>
      </c>
      <c r="M68" s="208"/>
    </row>
    <row r="69" spans="2:13" x14ac:dyDescent="0.3">
      <c r="B69" s="40">
        <v>45505</v>
      </c>
      <c r="C69" s="41">
        <v>1</v>
      </c>
      <c r="D69" s="203">
        <v>1</v>
      </c>
      <c r="E69" s="204">
        <v>242</v>
      </c>
      <c r="F69" s="44">
        <v>27165844748</v>
      </c>
      <c r="G69" s="215" t="str">
        <f>IFERROR(IF(venta_a_mes8[[#This Row],[CUIT]]="","-",VLOOKUP(venta_a_mes8[[#This Row],[CUIT]],Lista_CUIT[#All],2,0)),"CUIT NO CARGADO")</f>
        <v>DENATALE MARCELA BEATRIZ</v>
      </c>
      <c r="H69" s="205">
        <v>132231.43</v>
      </c>
      <c r="I69" s="206">
        <f>venta_a_mes8[[#This Row],[IMPORTE NETO]]*0.21</f>
        <v>27768.600299999998</v>
      </c>
      <c r="J69" s="207"/>
      <c r="K69" s="207"/>
      <c r="L69" s="207">
        <f>SUM(venta_a_mes8[[#This Row],[IMPORTE NETO]:[EXENTO]])</f>
        <v>160000.03029999998</v>
      </c>
      <c r="M69" s="208"/>
    </row>
    <row r="70" spans="2:13" x14ac:dyDescent="0.3">
      <c r="B70" s="40">
        <v>45505</v>
      </c>
      <c r="C70" s="41">
        <v>1</v>
      </c>
      <c r="D70" s="203">
        <v>1</v>
      </c>
      <c r="E70" s="204">
        <v>253</v>
      </c>
      <c r="F70" s="44">
        <v>30717969061</v>
      </c>
      <c r="G70" s="215" t="str">
        <f>IFERROR(IF(venta_a_mes8[[#This Row],[CUIT]]="","-",VLOOKUP(venta_a_mes8[[#This Row],[CUIT]],Lista_CUIT[#All],2,0)),"CUIT NO CARGADO")</f>
        <v>FABIO Y RAUL ROSSO S.A.S.</v>
      </c>
      <c r="H70" s="205">
        <v>58677.67</v>
      </c>
      <c r="I70" s="206">
        <f>venta_a_mes8[[#This Row],[IMPORTE NETO]]*0.21</f>
        <v>12322.3107</v>
      </c>
      <c r="J70" s="207"/>
      <c r="K70" s="207"/>
      <c r="L70" s="207">
        <f>SUM(venta_a_mes8[[#This Row],[IMPORTE NETO]:[EXENTO]])</f>
        <v>70999.9807</v>
      </c>
      <c r="M70" s="208"/>
    </row>
    <row r="71" spans="2:13" x14ac:dyDescent="0.3">
      <c r="B71" s="40">
        <v>45505</v>
      </c>
      <c r="C71" s="41">
        <v>1</v>
      </c>
      <c r="D71" s="203">
        <v>1</v>
      </c>
      <c r="E71" s="204">
        <v>243</v>
      </c>
      <c r="F71" s="44">
        <v>20287305460</v>
      </c>
      <c r="G71" s="215" t="str">
        <f>IFERROR(IF(venta_a_mes8[[#This Row],[CUIT]]="","-",VLOOKUP(venta_a_mes8[[#This Row],[CUIT]],Lista_CUIT[#All],2,0)),"CUIT NO CARGADO")</f>
        <v>LANDI GERONIMO</v>
      </c>
      <c r="H71" s="205">
        <v>58677.67</v>
      </c>
      <c r="I71" s="206">
        <f>venta_a_mes8[[#This Row],[IMPORTE NETO]]*0.21</f>
        <v>12322.3107</v>
      </c>
      <c r="J71" s="207"/>
      <c r="K71" s="207"/>
      <c r="L71" s="207">
        <f>SUM(venta_a_mes8[[#This Row],[IMPORTE NETO]:[EXENTO]])</f>
        <v>70999.9807</v>
      </c>
      <c r="M71" s="208"/>
    </row>
    <row r="72" spans="2:13" x14ac:dyDescent="0.3">
      <c r="B72" s="40">
        <v>45505</v>
      </c>
      <c r="C72" s="41">
        <v>1</v>
      </c>
      <c r="D72" s="42">
        <v>1</v>
      </c>
      <c r="E72" s="43">
        <v>254</v>
      </c>
      <c r="F72" s="44">
        <v>30718044894</v>
      </c>
      <c r="G72" s="99" t="str">
        <f>IFERROR(IF(venta_a_mes8[[#This Row],[CUIT]]="","-",VLOOKUP(venta_a_mes8[[#This Row],[CUIT]],Lista_CUIT[#All],2,0)),"CUIT NO CARGADO")</f>
        <v>GRUPO NACER ECOLOGICO S.R.L</v>
      </c>
      <c r="H72" s="100">
        <v>428099.19</v>
      </c>
      <c r="I72" s="101">
        <f>venta_a_mes8[[#This Row],[IMPORTE NETO]]*0.21</f>
        <v>89900.829899999997</v>
      </c>
      <c r="J72" s="65"/>
      <c r="K72" s="65"/>
      <c r="L72" s="65">
        <f>SUM(venta_a_mes8[[#This Row],[IMPORTE NETO]:[EXENTO]])</f>
        <v>518000.01990000001</v>
      </c>
      <c r="M72" s="59"/>
    </row>
    <row r="73" spans="2:13" x14ac:dyDescent="0.3">
      <c r="B73" s="202">
        <v>45506</v>
      </c>
      <c r="C73" s="214">
        <v>3</v>
      </c>
      <c r="D73" s="203">
        <v>1</v>
      </c>
      <c r="E73" s="204">
        <v>13</v>
      </c>
      <c r="F73" s="44">
        <v>33715154809</v>
      </c>
      <c r="G73" s="215" t="str">
        <f>IFERROR(IF(venta_a_mes8[[#This Row],[CUIT]]="","-",VLOOKUP(venta_a_mes8[[#This Row],[CUIT]],Lista_CUIT[#All],2,0)),"CUIT NO CARGADO")</f>
        <v>SUPERMERCADOS BONANNO S.A.</v>
      </c>
      <c r="H73" s="205">
        <v>-428099.19</v>
      </c>
      <c r="I73" s="206">
        <f>venta_a_mes8[[#This Row],[IMPORTE NETO]]*0.21</f>
        <v>-89900.829899999997</v>
      </c>
      <c r="J73" s="207"/>
      <c r="K73" s="207"/>
      <c r="L73" s="207">
        <f>SUM(venta_a_mes8[[#This Row],[IMPORTE NETO]:[EXENTO]])</f>
        <v>-518000.01990000001</v>
      </c>
      <c r="M73" s="208"/>
    </row>
    <row r="74" spans="2:13" x14ac:dyDescent="0.3">
      <c r="B74" s="40">
        <v>45518</v>
      </c>
      <c r="C74" s="41">
        <v>1</v>
      </c>
      <c r="D74" s="42">
        <v>1</v>
      </c>
      <c r="E74" s="43">
        <v>259</v>
      </c>
      <c r="F74" s="44">
        <v>23107861939</v>
      </c>
      <c r="G74" s="99" t="str">
        <f>IFERROR(IF(venta_a_mes8[[#This Row],[CUIT]]="","-",VLOOKUP(venta_a_mes8[[#This Row],[CUIT]],Lista_CUIT[#All],2,0)),"CUIT NO CARGADO")</f>
        <v>GONZALEZ JOSE RAUL</v>
      </c>
      <c r="H74" s="100">
        <v>758677.71</v>
      </c>
      <c r="I74" s="101">
        <f>venta_a_mes8[[#This Row],[IMPORTE NETO]]*0.21</f>
        <v>159322.31909999999</v>
      </c>
      <c r="J74" s="65"/>
      <c r="K74" s="65"/>
      <c r="L74" s="65">
        <f>SUM(venta_a_mes8[[#This Row],[IMPORTE NETO]:[EXENTO]])</f>
        <v>918000.02909999993</v>
      </c>
      <c r="M74" s="63"/>
    </row>
    <row r="75" spans="2:13" x14ac:dyDescent="0.3">
      <c r="B75" s="102">
        <v>45530</v>
      </c>
      <c r="C75" s="41">
        <v>1</v>
      </c>
      <c r="D75" s="104">
        <v>1</v>
      </c>
      <c r="E75" s="105">
        <v>260</v>
      </c>
      <c r="F75" s="44">
        <v>30715438360</v>
      </c>
      <c r="G75" s="99" t="str">
        <f>IFERROR(IF(venta_a_mes8[[#This Row],[CUIT]]="","-",VLOOKUP(venta_a_mes8[[#This Row],[CUIT]],Lista_CUIT[#All],2,0)),"CUIT NO CARGADO")</f>
        <v>ERMAN CUSTODIAR S.A.</v>
      </c>
      <c r="H75" s="107">
        <v>758677.71</v>
      </c>
      <c r="I75" s="108">
        <f>venta_a_mes8[[#This Row],[IMPORTE NETO]]*0.21</f>
        <v>159322.31909999999</v>
      </c>
      <c r="J75" s="72"/>
      <c r="K75" s="72"/>
      <c r="L75" s="72">
        <f>SUM(venta_a_mes8[[#This Row],[IMPORTE NETO]:[EXENTO]])</f>
        <v>918000.02909999993</v>
      </c>
      <c r="M75" s="63"/>
    </row>
    <row r="76" spans="2:13" x14ac:dyDescent="0.3">
      <c r="B76" s="66" t="s">
        <v>91</v>
      </c>
      <c r="C76" s="67"/>
      <c r="D76" s="67"/>
      <c r="E76" s="67"/>
      <c r="F76" s="67"/>
      <c r="G76" s="67"/>
      <c r="H76" s="69">
        <f>SUBTOTAL(109,venta_a_mes8[IMPORTE NETO])</f>
        <v>4697140.4499999993</v>
      </c>
      <c r="I76" s="70">
        <f>SUBTOTAL(109,venta_a_mes8[IVA 21%])</f>
        <v>986399.49449999991</v>
      </c>
      <c r="J76" s="71">
        <f>SUBTOTAL(109,venta_a_mes8[IVA 10,5%])</f>
        <v>0</v>
      </c>
      <c r="K76" s="71">
        <f>SUBTOTAL(109,venta_a_mes8[EXENTO])</f>
        <v>0</v>
      </c>
      <c r="L76" s="71">
        <f>SUBTOTAL(109,venta_a_mes8[TOTAL])</f>
        <v>5683539.9445000002</v>
      </c>
      <c r="M76" s="68">
        <f>SUBTOTAL(103,venta_a_mes8[Provincia])</f>
        <v>0</v>
      </c>
    </row>
    <row r="77" spans="2:13" ht="17.25" customHeight="1" x14ac:dyDescent="0.3"/>
    <row r="78" spans="2:13" ht="31.5" customHeight="1" x14ac:dyDescent="0.3"/>
    <row r="79" spans="2:13" ht="21" x14ac:dyDescent="0.3">
      <c r="B79" s="365" t="s">
        <v>31</v>
      </c>
      <c r="C79" s="365"/>
    </row>
    <row r="80" spans="2:13" ht="31.2" x14ac:dyDescent="0.3">
      <c r="B80" s="60" t="s">
        <v>0</v>
      </c>
      <c r="C80" s="61" t="s">
        <v>1</v>
      </c>
      <c r="D80" s="61" t="s">
        <v>21</v>
      </c>
      <c r="E80" s="61" t="s">
        <v>22</v>
      </c>
      <c r="F80" s="61" t="s">
        <v>3</v>
      </c>
      <c r="G80" s="61" t="s">
        <v>4</v>
      </c>
      <c r="H80" s="61" t="s">
        <v>23</v>
      </c>
      <c r="I80" s="61" t="s">
        <v>17</v>
      </c>
      <c r="J80" s="61" t="s">
        <v>7</v>
      </c>
      <c r="K80" s="61" t="s">
        <v>24</v>
      </c>
      <c r="L80" s="61" t="s">
        <v>10</v>
      </c>
      <c r="M80" s="62" t="s">
        <v>38</v>
      </c>
    </row>
    <row r="81" spans="2:13" x14ac:dyDescent="0.3">
      <c r="B81" s="40">
        <v>45505</v>
      </c>
      <c r="C81" s="41">
        <v>6</v>
      </c>
      <c r="D81" s="42">
        <v>1</v>
      </c>
      <c r="E81" s="43">
        <v>41</v>
      </c>
      <c r="F81" s="44">
        <v>30592508830</v>
      </c>
      <c r="G81" s="1" t="str">
        <f>IFERROR(IF(ventas_b_mes8[[#This Row],[CUIT]]="","-",VLOOKUP(ventas_b_mes8[[#This Row],[CUIT]],Lista_CUIT[#All],2,0)),"CUIT NO CARGADO")</f>
        <v>INSTITUTO DE ESTUDIOS SUPERIORES DE BUENOS AIRES S A</v>
      </c>
      <c r="H81" s="107">
        <v>51239.67</v>
      </c>
      <c r="I81" s="64">
        <f>ventas_b_mes8[[#This Row],[IMPORTE NETO]]*0.21</f>
        <v>10760.330699999999</v>
      </c>
      <c r="J81" s="64"/>
      <c r="K81" s="64"/>
      <c r="L81" s="64">
        <f>SUM(ventas_b_mes8[[#This Row],[IMPORTE NETO]:[EXENTO]])</f>
        <v>62000.000699999997</v>
      </c>
      <c r="M81" s="59"/>
    </row>
    <row r="82" spans="2:13" x14ac:dyDescent="0.3">
      <c r="B82" s="40">
        <v>45505</v>
      </c>
      <c r="C82" s="41">
        <v>6</v>
      </c>
      <c r="D82" s="42">
        <v>1</v>
      </c>
      <c r="E82" s="43">
        <v>42</v>
      </c>
      <c r="F82" s="44">
        <v>20252582704</v>
      </c>
      <c r="G82" s="209" t="str">
        <f>IFERROR(IF(ventas_b_mes8[[#This Row],[CUIT]]="","-",VLOOKUP(ventas_b_mes8[[#This Row],[CUIT]],Lista_CUIT[#All],2,0)),"CUIT NO CARGADO")</f>
        <v>GARCIA VAUTRIN ANDRES ALBERTO</v>
      </c>
      <c r="H82" s="107">
        <v>190909.1</v>
      </c>
      <c r="I82" s="210">
        <f>ventas_b_mes8[[#This Row],[IMPORTE NETO]]*0.21</f>
        <v>40090.911</v>
      </c>
      <c r="J82" s="211"/>
      <c r="K82" s="211"/>
      <c r="L82" s="211">
        <f>SUM(ventas_b_mes8[[#This Row],[IMPORTE NETO]:[EXENTO]])</f>
        <v>231000.011</v>
      </c>
      <c r="M82" s="208"/>
    </row>
    <row r="83" spans="2:13" x14ac:dyDescent="0.3">
      <c r="B83" s="40"/>
      <c r="C83" s="41"/>
      <c r="D83" s="42"/>
      <c r="E83" s="43"/>
      <c r="F83" s="44"/>
      <c r="G83" s="209" t="str">
        <f>IFERROR(IF(ventas_b_mes8[[#This Row],[CUIT]]="","-",VLOOKUP(ventas_b_mes8[[#This Row],[CUIT]],Lista_CUIT[#All],2,0)),"CUIT NO CARGADO")</f>
        <v>-</v>
      </c>
      <c r="H83" s="107"/>
      <c r="I83" s="210">
        <f>ventas_b_mes8[[#This Row],[IMPORTE NETO]]*0.21</f>
        <v>0</v>
      </c>
      <c r="J83" s="211"/>
      <c r="K83" s="211"/>
      <c r="L83" s="211">
        <f>SUM(ventas_b_mes8[[#This Row],[IMPORTE NETO]:[EXENTO]])</f>
        <v>0</v>
      </c>
      <c r="M83" s="208"/>
    </row>
    <row r="84" spans="2:13" x14ac:dyDescent="0.3">
      <c r="B84" s="40"/>
      <c r="C84" s="41"/>
      <c r="D84" s="42"/>
      <c r="E84" s="43"/>
      <c r="F84" s="44"/>
      <c r="G84" s="209" t="str">
        <f>IFERROR(IF(ventas_b_mes8[[#This Row],[CUIT]]="","-",VLOOKUP(ventas_b_mes8[[#This Row],[CUIT]],Lista_CUIT[#All],2,0)),"CUIT NO CARGADO")</f>
        <v>-</v>
      </c>
      <c r="H84" s="107"/>
      <c r="I84" s="210">
        <f>ventas_b_mes8[[#This Row],[IMPORTE NETO]]*0.21</f>
        <v>0</v>
      </c>
      <c r="J84" s="211"/>
      <c r="K84" s="211"/>
      <c r="L84" s="211">
        <f>SUM(ventas_b_mes8[[#This Row],[IMPORTE NETO]:[EXENTO]])</f>
        <v>0</v>
      </c>
      <c r="M84" s="208"/>
    </row>
    <row r="85" spans="2:13" x14ac:dyDescent="0.3">
      <c r="B85" s="66" t="s">
        <v>91</v>
      </c>
      <c r="C85" s="67"/>
      <c r="D85" s="67"/>
      <c r="E85" s="67"/>
      <c r="F85" s="67"/>
      <c r="G85" s="67"/>
      <c r="H85" s="77">
        <f>SUBTOTAL(109,ventas_b_mes8[IMPORTE NETO])</f>
        <v>242148.77000000002</v>
      </c>
      <c r="I85" s="77">
        <f>SUBTOTAL(109,ventas_b_mes8[IVA 21%])</f>
        <v>50851.241699999999</v>
      </c>
      <c r="J85" s="78">
        <f>SUBTOTAL(109,ventas_b_mes8[IVA 10,5%])</f>
        <v>0</v>
      </c>
      <c r="K85" s="78">
        <f>SUBTOTAL(109,ventas_b_mes8[EXENTO])</f>
        <v>0</v>
      </c>
      <c r="L85" s="78">
        <f>SUBTOTAL(109,ventas_b_mes8[TOTAL])</f>
        <v>293000.01169999997</v>
      </c>
      <c r="M85" s="68">
        <f>SUBTOTAL(103,ventas_b_mes8[Provincia])</f>
        <v>0</v>
      </c>
    </row>
    <row r="86" spans="2:13" ht="19.2" customHeight="1" x14ac:dyDescent="0.3"/>
    <row r="87" spans="2:13" ht="28.95" customHeight="1" x14ac:dyDescent="0.3"/>
    <row r="92" spans="2:13" ht="15" thickBot="1" x14ac:dyDescent="0.35"/>
    <row r="93" spans="2:13" ht="15" thickTop="1" x14ac:dyDescent="0.3">
      <c r="C93" s="358" t="s">
        <v>66</v>
      </c>
      <c r="D93" s="358"/>
      <c r="E93" s="358"/>
      <c r="F93" s="358"/>
      <c r="G93" s="358"/>
      <c r="H93" s="32"/>
      <c r="I93" s="32"/>
      <c r="J93" s="32"/>
    </row>
    <row r="94" spans="2:13" ht="15.6" x14ac:dyDescent="0.3">
      <c r="C94" s="114" t="s">
        <v>67</v>
      </c>
      <c r="D94" s="115" t="s">
        <v>68</v>
      </c>
      <c r="E94" s="115" t="s">
        <v>93</v>
      </c>
      <c r="F94" s="115" t="s">
        <v>3</v>
      </c>
      <c r="G94" s="115" t="s">
        <v>4</v>
      </c>
      <c r="H94" s="116" t="s">
        <v>69</v>
      </c>
      <c r="I94" s="116" t="s">
        <v>70</v>
      </c>
      <c r="J94" s="116" t="s">
        <v>71</v>
      </c>
      <c r="K94" s="116" t="s">
        <v>72</v>
      </c>
      <c r="L94" s="116" t="s">
        <v>73</v>
      </c>
    </row>
    <row r="95" spans="2:13" x14ac:dyDescent="0.3">
      <c r="C95" s="117"/>
      <c r="D95" s="118"/>
      <c r="E95" s="118"/>
      <c r="F95" s="119"/>
      <c r="G95" s="53" t="str">
        <f>IFERROR(IF(Retenciones_mes8[[#This Row],[CUIT]]="","-",VLOOKUP(Retenciones_mes8[[#This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3">
      <c r="C96" s="117"/>
      <c r="D96" s="118"/>
      <c r="E96" s="118"/>
      <c r="F96" s="119"/>
      <c r="G96" s="53" t="str">
        <f>IFERROR(IF(Retenciones_mes8[[#This Row],[CUIT]]="","-",VLOOKUP(Retenciones_mes8[[#This Row],[CUIT]],Lista_CUIT[#All],2,0)),"CUIT NO CARGADO")</f>
        <v>-</v>
      </c>
      <c r="H96" s="120"/>
      <c r="I96" s="120"/>
      <c r="J96" s="120"/>
      <c r="K96" s="120"/>
      <c r="L96" s="120"/>
    </row>
    <row r="97" spans="3:12" x14ac:dyDescent="0.3">
      <c r="C97" s="117"/>
      <c r="D97" s="118"/>
      <c r="E97" s="118"/>
      <c r="F97" s="119"/>
      <c r="G97" s="53" t="str">
        <f>IFERROR(IF(Retenciones_mes8[[#This Row],[CUIT]]="","-",VLOOKUP(Retenciones_mes8[[#This Row],[CUIT]],Lista_CUIT[#All],2,0)),"CUIT NO CARGADO")</f>
        <v>-</v>
      </c>
      <c r="H97" s="120"/>
      <c r="I97" s="120"/>
      <c r="J97" s="120"/>
      <c r="K97" s="120"/>
      <c r="L97" s="120"/>
    </row>
    <row r="98" spans="3:12" x14ac:dyDescent="0.3">
      <c r="C98" s="117"/>
      <c r="D98" s="118"/>
      <c r="E98" s="118"/>
      <c r="F98" s="119"/>
      <c r="G98" s="53" t="str">
        <f>IFERROR(IF(Retenciones_mes8[[#This Row],[CUIT]]="","-",VLOOKUP(Retenciones_mes8[[#This Row],[CUIT]],Lista_CUIT[#All],2,0)),"CUIT NO CARGADO")</f>
        <v>-</v>
      </c>
      <c r="H98" s="120"/>
      <c r="I98" s="120"/>
      <c r="J98" s="120"/>
      <c r="K98" s="120"/>
      <c r="L98" s="120"/>
    </row>
    <row r="99" spans="3:12" x14ac:dyDescent="0.3">
      <c r="D99" s="118"/>
      <c r="E99" s="118"/>
      <c r="G99" s="53" t="str">
        <f>IFERROR(IF(Retenciones_mes8[[#This Row],[CUIT]]="","-",VLOOKUP(Retenciones_mes8[[#This Row],[CUIT]],Lista_CUIT[#All],2,0)),"CUIT NO CARGADO")</f>
        <v>-</v>
      </c>
    </row>
    <row r="100" spans="3:12" x14ac:dyDescent="0.3">
      <c r="C100" s="33"/>
    </row>
  </sheetData>
  <mergeCells count="20">
    <mergeCell ref="P4:R4"/>
    <mergeCell ref="D28:L28"/>
    <mergeCell ref="B1:F1"/>
    <mergeCell ref="G1:M1"/>
    <mergeCell ref="N1:R1"/>
    <mergeCell ref="B3:E3"/>
    <mergeCell ref="G3:H3"/>
    <mergeCell ref="J3:K3"/>
    <mergeCell ref="M3:N3"/>
    <mergeCell ref="P3:R3"/>
    <mergeCell ref="C93:G93"/>
    <mergeCell ref="B4:E4"/>
    <mergeCell ref="G4:H4"/>
    <mergeCell ref="J4:K4"/>
    <mergeCell ref="M4:N4"/>
    <mergeCell ref="D37:K37"/>
    <mergeCell ref="B49:J49"/>
    <mergeCell ref="K49:M49"/>
    <mergeCell ref="B51:C51"/>
    <mergeCell ref="B79:C79"/>
  </mergeCells>
  <dataValidations count="16">
    <dataValidation type="custom" allowBlank="1" showInputMessage="1" showErrorMessage="1" sqref="H53:K53 H55:K55 H57:K71 H74:K74" xr:uid="{00000000-0002-0000-0800-000000000000}">
      <formula1>IF($C53=3,H53&lt;0,H53&gt;=0)</formula1>
    </dataValidation>
    <dataValidation type="whole" allowBlank="1" showInputMessage="1" showErrorMessage="1" sqref="C9:C22 C24:C27 C53:C75" xr:uid="{00000000-0002-0000-0800-000001000000}">
      <formula1>1</formula1>
      <formula2>3</formula2>
    </dataValidation>
    <dataValidation type="date" allowBlank="1" showInputMessage="1" showErrorMessage="1" sqref="B81:B84 D30:D32 D39:D42 B24:B27 B9:B22 B53:B75" xr:uid="{00000000-0002-0000-0800-000002000000}">
      <formula1>40179</formula1>
      <formula2>TODAY()</formula2>
    </dataValidation>
    <dataValidation type="whole" allowBlank="1" showInputMessage="1" showErrorMessage="1" sqref="F9:F22 G39:G42 F53:F75 F81:F84" xr:uid="{00000000-0002-0000-0800-000003000000}">
      <formula1>20000000000</formula1>
      <formula2>33999999999</formula2>
    </dataValidation>
    <dataValidation type="whole" allowBlank="1" showInputMessage="1" showErrorMessage="1" sqref="E9:E22 F39:F42 E53:E75 E81:E84" xr:uid="{00000000-0002-0000-0800-000004000000}">
      <formula1>1</formula1>
      <formula2>99999999</formula2>
    </dataValidation>
    <dataValidation type="whole" allowBlank="1" showInputMessage="1" showErrorMessage="1" sqref="D9:D22 E39:E42 D53:D75 D81:D84" xr:uid="{00000000-0002-0000-0800-000005000000}">
      <formula1>1</formula1>
      <formula2>9999</formula2>
    </dataValidation>
    <dataValidation type="custom" allowBlank="1" showInputMessage="1" showErrorMessage="1" sqref="L53 L68:L69" xr:uid="{00000000-0002-0000-0800-000006000000}">
      <formula1>IF($C9=3,L9&lt;0,L9&gt;=0)</formula1>
    </dataValidation>
    <dataValidation type="custom" allowBlank="1" showInputMessage="1" showErrorMessage="1" sqref="L54" xr:uid="{00000000-0002-0000-0800-000007000000}">
      <formula1>IF($C21=3,L21&lt;0,L21&gt;=0)</formula1>
    </dataValidation>
    <dataValidation type="custom" allowBlank="1" showInputMessage="1" showErrorMessage="1" sqref="L74" xr:uid="{00000000-0002-0000-0800-000008000000}">
      <formula1>IF($C24=3,L24&lt;0,L24&gt;=0)</formula1>
    </dataValidation>
    <dataValidation type="custom" allowBlank="1" showInputMessage="1" showErrorMessage="1" sqref="L70:L71" xr:uid="{00000000-0002-0000-0800-000009000000}">
      <formula1>IF($C23=3,L23&lt;0,L23&gt;=0)</formula1>
    </dataValidation>
    <dataValidation type="custom" allowBlank="1" showInputMessage="1" showErrorMessage="1" sqref="L72:L73" xr:uid="{00000000-0002-0000-0800-00000A000000}">
      <formula1>IF($C23=3,L23&lt;0,L23&gt;=0)</formula1>
    </dataValidation>
    <dataValidation type="whole" allowBlank="1" showInputMessage="1" showErrorMessage="1" sqref="C81:C84" xr:uid="{00000000-0002-0000-0800-00000B000000}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2" xr:uid="{00000000-0002-0000-0800-00000C000000}">
      <formula1>IF($C9=3,H9&lt;0,H9&gt;=0)</formula1>
    </dataValidation>
    <dataValidation type="custom" allowBlank="1" showInputMessage="1" showErrorMessage="1" sqref="L55:L58" xr:uid="{00000000-0002-0000-0800-00000D000000}">
      <formula1>IF(#REF!=3,#REF!&lt;0,#REF!&gt;=0)</formula1>
    </dataValidation>
    <dataValidation type="custom" allowBlank="1" showInputMessage="1" showErrorMessage="1" sqref="H81:L84" xr:uid="{00000000-0002-0000-0800-00000F000000}">
      <formula1>IF($C81=8,H81&lt;0,H81&gt;=0)</formula1>
    </dataValidation>
    <dataValidation type="custom" allowBlank="1" showInputMessage="1" showErrorMessage="1" sqref="L59:L67" xr:uid="{00000000-0002-0000-0800-00000E000000}">
      <formula1>IF($C23=3,L23&lt;0,L23&gt;=0)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XDS100"/>
  <sheetViews>
    <sheetView showGridLines="0" topLeftCell="D1" zoomScaleNormal="100" workbookViewId="0">
      <selection activeCell="N23" sqref="N23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16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47" width="11.5546875" hidden="1"/>
    <col min="16348" max="16348" width="10.33203125" customWidth="1"/>
    <col min="16349" max="16349" width="8.109375" customWidth="1"/>
    <col min="16350" max="16350" width="7.6640625" customWidth="1"/>
    <col min="16351" max="16351" width="16.88671875" customWidth="1"/>
    <col min="16352" max="16353" width="13.33203125" customWidth="1"/>
    <col min="16354" max="16354" width="12.88671875" customWidth="1"/>
    <col min="16355" max="16355" width="12.44140625" customWidth="1"/>
    <col min="16356" max="16356" width="9" customWidth="1"/>
    <col min="16357" max="16357" width="9.33203125" customWidth="1"/>
    <col min="16358" max="16358" width="8.5546875" customWidth="1"/>
    <col min="16359" max="16359" width="6.88671875" customWidth="1"/>
    <col min="16360" max="16360" width="9" customWidth="1"/>
    <col min="16361" max="16361" width="9.109375" customWidth="1"/>
    <col min="16362" max="16362" width="7.44140625" customWidth="1"/>
    <col min="16363" max="16364" width="7.5546875" customWidth="1"/>
    <col min="16365" max="16365" width="6.6640625" customWidth="1"/>
    <col min="16366" max="16366" width="6.109375" customWidth="1"/>
    <col min="16367" max="16367" width="12.44140625" customWidth="1"/>
    <col min="16368" max="16368" width="7.109375" customWidth="1"/>
    <col min="16369" max="16369" width="5.44140625" customWidth="1"/>
    <col min="16370" max="16370" width="6.33203125" customWidth="1"/>
    <col min="16371" max="16371" width="8.5546875" customWidth="1"/>
    <col min="16372" max="16372" width="7" customWidth="1"/>
    <col min="16373" max="16373" width="9.88671875" customWidth="1"/>
    <col min="16374" max="16374" width="8.33203125" customWidth="1"/>
    <col min="16375" max="16375" width="12.44140625" customWidth="1"/>
    <col min="16376" max="16376" width="9.5546875" customWidth="1"/>
    <col min="16377" max="16377" width="13.33203125" customWidth="1"/>
    <col min="16378" max="16378" width="8.44140625" customWidth="1"/>
    <col min="16379" max="16379" width="11.33203125" customWidth="1"/>
    <col min="16380" max="16380" width="40.5546875" customWidth="1"/>
    <col min="16381" max="16381" width="29.44140625" customWidth="1"/>
    <col min="16382" max="16382" width="30.5546875" customWidth="1"/>
    <col min="16383" max="16383" width="22" customWidth="1"/>
    <col min="16384" max="16384" width="17.109375" customWidth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69" t="str">
        <f>'Ene-24'!G1:M1</f>
        <v>RABLEB SRL</v>
      </c>
      <c r="H1" s="369"/>
      <c r="I1" s="369"/>
      <c r="J1" s="369"/>
      <c r="K1" s="369"/>
      <c r="L1" s="369"/>
      <c r="M1" s="369"/>
      <c r="N1" s="370">
        <f>EDATE('Ene-24'!N1,8)</f>
        <v>45536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SUM(compras_mes9[[#Totals],[NETO GRAVADO]])+extracto_banco_mes9[[#Totals],[NETO]]</f>
        <v>2944317.52</v>
      </c>
      <c r="C4" s="359"/>
      <c r="D4" s="359"/>
      <c r="E4" s="359"/>
      <c r="F4" s="39"/>
      <c r="G4" s="360">
        <f>compras_mes9[[#Totals],[IVA 21 %]]+compras_mes9[[#Totals],[IVA 27%]]+compras_mes9[[#Totals],[IVA 10,5%]]+extracto_banco_mes9[[#Totals],[IVA 21%]]+extracto_banco_mes9[[#Totals],[IVA 10,5%]]</f>
        <v>618306.67920000001</v>
      </c>
      <c r="H4" s="360"/>
      <c r="I4" s="39"/>
      <c r="J4" s="361">
        <f>venta_a_mes9[[#Totals],[IMPORTE NETO]]+ventas_b_mes9[[#Totals],[IMPORTE NETO]]</f>
        <v>4357663.4103305787</v>
      </c>
      <c r="K4" s="361"/>
      <c r="L4" s="39"/>
      <c r="M4" s="361">
        <f>venta_a_mes9[[#Totals],[IVA 21%]]+venta_a_mes9[[#Totals],[IVA 10,5%]]+ventas_b_mes9[[#Totals],[IVA 21%]]+ventas_b_mes9[[#Totals],[IVA 10,5%]]</f>
        <v>915109.3161694213</v>
      </c>
      <c r="N4" s="361"/>
      <c r="O4" s="39"/>
      <c r="P4" s="366">
        <f>G4-M4</f>
        <v>-296802.63696942129</v>
      </c>
      <c r="Q4" s="367"/>
      <c r="R4" s="367"/>
    </row>
    <row r="5" spans="1:26" ht="13.2" customHeight="1" x14ac:dyDescent="0.3"/>
    <row r="6" spans="1:26" ht="17.2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s="127" customFormat="1" x14ac:dyDescent="0.3">
      <c r="B9" s="263" t="s">
        <v>197</v>
      </c>
      <c r="C9" s="265">
        <v>1</v>
      </c>
      <c r="D9" s="264">
        <v>2</v>
      </c>
      <c r="E9" s="266">
        <v>1339026</v>
      </c>
      <c r="F9" s="267">
        <v>30710173652</v>
      </c>
      <c r="G9" s="268" t="str">
        <f>IFERROR(IF(compras_mes9[[#This Row],[CUIT]]="","-",VLOOKUP(compras_mes9[[#This Row],[CUIT]],Lista_CUIT[#All],2,0)),"CUIT NO CARGADO")</f>
        <v>DATTATEC.COM S.R.L.</v>
      </c>
      <c r="H9" s="128">
        <v>23719.01</v>
      </c>
      <c r="I9" s="269">
        <f>IF(compras_mes9[[#This Row],[NETO GRAVADO]]="","",compras_mes9[[#This Row],[NETO GRAVADO]]*0.21)</f>
        <v>4980.9920999999995</v>
      </c>
      <c r="J9" s="269"/>
      <c r="K9" s="269"/>
      <c r="L9" s="269"/>
      <c r="M9" s="269"/>
      <c r="N9" s="269"/>
      <c r="O9" s="269"/>
      <c r="P9" s="257">
        <f>SUM(compras_mes9[[#This Row],[NETO GRAVADO]:[Otros / No Grav.]])</f>
        <v>28700.002099999998</v>
      </c>
      <c r="Q9" s="270" t="str">
        <f>IFERROR(IF(compras_mes9[[#This Row],[CUIT]]="","-",VLOOKUP(compras_mes9[[#This Row],[CUIT]],Lista_CUIT[#All],3,0)),"CUIT NO CARGADO")</f>
        <v>Gastos Publicidad y Propaganda</v>
      </c>
      <c r="R9" s="270">
        <f>IFERROR(IF(compras_mes9[[#This Row],[CUIT]]="","-",VLOOKUP(compras_mes9[[#This Row],[CUIT]],Lista_CUIT[#All],4,0)),"CUIT NO CARGADO")</f>
        <v>0</v>
      </c>
    </row>
    <row r="10" spans="1:26" s="127" customFormat="1" x14ac:dyDescent="0.3">
      <c r="B10" s="263" t="s">
        <v>198</v>
      </c>
      <c r="C10" s="265">
        <v>1</v>
      </c>
      <c r="D10" s="264">
        <v>11</v>
      </c>
      <c r="E10" s="266">
        <v>1046644</v>
      </c>
      <c r="F10" s="267">
        <v>33709585229</v>
      </c>
      <c r="G10" s="268" t="str">
        <f>IFERROR(IF(compras_mes9[[#This Row],[CUIT]]="","-",VLOOKUP(compras_mes9[[#This Row],[CUIT]],Lista_CUIT[#All],2,0)),"CUIT NO CARGADO")</f>
        <v>GOOGLE ARGENTINA S.R.L.</v>
      </c>
      <c r="H10" s="128">
        <v>54616.84</v>
      </c>
      <c r="I10" s="269">
        <f>IF(compras_mes9[[#This Row],[NETO GRAVADO]]="","",compras_mes9[[#This Row],[NETO GRAVADO]]*0.21)</f>
        <v>11469.536399999999</v>
      </c>
      <c r="J10" s="269"/>
      <c r="K10" s="269"/>
      <c r="L10" s="269"/>
      <c r="M10" s="269"/>
      <c r="N10" s="269">
        <v>819.25</v>
      </c>
      <c r="O10" s="269">
        <v>1638.51</v>
      </c>
      <c r="P10" s="257">
        <f>SUM(compras_mes9[[#This Row],[NETO GRAVADO]:[Otros / No Grav.]])</f>
        <v>68544.136399999988</v>
      </c>
      <c r="Q10" s="270" t="str">
        <f>IFERROR(IF(compras_mes9[[#This Row],[CUIT]]="","-",VLOOKUP(compras_mes9[[#This Row],[CUIT]],Lista_CUIT[#All],3,0)),"CUIT NO CARGADO")</f>
        <v>Gastos Publicidad y Propaganda</v>
      </c>
      <c r="R10" s="270">
        <f>IFERROR(IF(compras_mes9[[#This Row],[CUIT]]="","-",VLOOKUP(compras_mes9[[#This Row],[CUIT]],Lista_CUIT[#All],4,0)),"CUIT NO CARGADO")</f>
        <v>0</v>
      </c>
    </row>
    <row r="11" spans="1:26" s="127" customFormat="1" x14ac:dyDescent="0.3">
      <c r="B11" s="271" t="s">
        <v>198</v>
      </c>
      <c r="C11" s="265">
        <v>1</v>
      </c>
      <c r="D11" s="272">
        <v>11</v>
      </c>
      <c r="E11" s="273">
        <v>1042488</v>
      </c>
      <c r="F11" s="274">
        <v>33709585229</v>
      </c>
      <c r="G11" s="275" t="str">
        <f>IFERROR(IF(compras_mes9[[#This Row],[CUIT]]="","-",VLOOKUP(compras_mes9[[#This Row],[CUIT]],Lista_CUIT[#All],2,0)),"CUIT NO CARGADO")</f>
        <v>GOOGLE ARGENTINA S.R.L.</v>
      </c>
      <c r="H11" s="276">
        <v>137455.67999999999</v>
      </c>
      <c r="I11" s="277">
        <f>IF(compras_mes9[[#This Row],[NETO GRAVADO]]="","",compras_mes9[[#This Row],[NETO GRAVADO]]*0.21)</f>
        <v>28865.692799999997</v>
      </c>
      <c r="J11" s="277"/>
      <c r="K11" s="277"/>
      <c r="L11" s="277"/>
      <c r="M11" s="277"/>
      <c r="N11" s="277">
        <v>2061.84</v>
      </c>
      <c r="O11" s="278">
        <v>4123.67</v>
      </c>
      <c r="P11" s="256">
        <f>SUM(compras_mes9[[#This Row],[NETO GRAVADO]:[Otros / No Grav.]])</f>
        <v>172506.88279999999</v>
      </c>
      <c r="Q11" s="279" t="str">
        <f>IFERROR(IF(compras_mes9[[#This Row],[CUIT]]="","-",VLOOKUP(compras_mes9[[#This Row],[CUIT]],Lista_CUIT[#All],3,0)),"CUIT NO CARGADO")</f>
        <v>Gastos Publicidad y Propaganda</v>
      </c>
      <c r="R11" s="279">
        <f>IFERROR(IF(compras_mes9[[#This Row],[CUIT]]="","-",VLOOKUP(compras_mes9[[#This Row],[CUIT]],Lista_CUIT[#All],4,0)),"CUIT NO CARGADO")</f>
        <v>0</v>
      </c>
    </row>
    <row r="12" spans="1:26" s="127" customFormat="1" x14ac:dyDescent="0.3">
      <c r="B12" s="271" t="s">
        <v>198</v>
      </c>
      <c r="C12" s="265">
        <v>1</v>
      </c>
      <c r="D12" s="272">
        <v>11</v>
      </c>
      <c r="E12" s="273">
        <v>1050854</v>
      </c>
      <c r="F12" s="274">
        <v>33709585229</v>
      </c>
      <c r="G12" s="275" t="str">
        <f>IFERROR(IF(compras_mes9[[#This Row],[CUIT]]="","-",VLOOKUP(compras_mes9[[#This Row],[CUIT]],Lista_CUIT[#All],2,0)),"CUIT NO CARGADO")</f>
        <v>GOOGLE ARGENTINA S.R.L.</v>
      </c>
      <c r="H12" s="276">
        <v>324880.23</v>
      </c>
      <c r="I12" s="277">
        <f>IF(compras_mes9[[#This Row],[NETO GRAVADO]]="","",compras_mes9[[#This Row],[NETO GRAVADO]]*0.21)</f>
        <v>68224.848299999998</v>
      </c>
      <c r="J12" s="277"/>
      <c r="K12" s="277"/>
      <c r="L12" s="277"/>
      <c r="M12" s="277"/>
      <c r="N12" s="277">
        <v>4873.2</v>
      </c>
      <c r="O12" s="277">
        <v>9746.41</v>
      </c>
      <c r="P12" s="256">
        <f>SUM(compras_mes9[[#This Row],[NETO GRAVADO]:[Otros / No Grav.]])</f>
        <v>407724.68829999998</v>
      </c>
      <c r="Q12" s="279" t="str">
        <f>IFERROR(IF(compras_mes9[[#This Row],[CUIT]]="","-",VLOOKUP(compras_mes9[[#This Row],[CUIT]],Lista_CUIT[#All],3,0)),"CUIT NO CARGADO")</f>
        <v>Gastos Publicidad y Propaganda</v>
      </c>
      <c r="R12" s="279">
        <f>IFERROR(IF(compras_mes9[[#This Row],[CUIT]]="","-",VLOOKUP(compras_mes9[[#This Row],[CUIT]],Lista_CUIT[#All],4,0)),"CUIT NO CARGADO")</f>
        <v>0</v>
      </c>
    </row>
    <row r="13" spans="1:26" s="127" customFormat="1" x14ac:dyDescent="0.3">
      <c r="B13" s="263" t="s">
        <v>198</v>
      </c>
      <c r="C13" s="265">
        <v>1</v>
      </c>
      <c r="D13" s="264">
        <v>11</v>
      </c>
      <c r="E13" s="266">
        <v>1045416</v>
      </c>
      <c r="F13" s="267">
        <v>33709585229</v>
      </c>
      <c r="G13" s="268" t="str">
        <f>IFERROR(IF(compras_mes9[[#This Row],[CUIT]]="","-",VLOOKUP(compras_mes9[[#This Row],[CUIT]],Lista_CUIT[#All],2,0)),"CUIT NO CARGADO")</f>
        <v>GOOGLE ARGENTINA S.R.L.</v>
      </c>
      <c r="H13" s="128">
        <v>29364.37</v>
      </c>
      <c r="I13" s="269">
        <f>IF(compras_mes9[[#This Row],[NETO GRAVADO]]="","",compras_mes9[[#This Row],[NETO GRAVADO]]*0.21)</f>
        <v>6166.5176999999994</v>
      </c>
      <c r="J13" s="269"/>
      <c r="K13" s="269"/>
      <c r="L13" s="269"/>
      <c r="M13" s="269"/>
      <c r="N13" s="269">
        <v>440.47</v>
      </c>
      <c r="O13" s="278">
        <v>880.93</v>
      </c>
      <c r="P13" s="257">
        <f>SUM(compras_mes9[[#This Row],[NETO GRAVADO]:[Otros / No Grav.]])</f>
        <v>36852.287700000001</v>
      </c>
      <c r="Q13" s="270" t="str">
        <f>IFERROR(IF(compras_mes9[[#This Row],[CUIT]]="","-",VLOOKUP(compras_mes9[[#This Row],[CUIT]],Lista_CUIT[#All],3,0)),"CUIT NO CARGADO")</f>
        <v>Gastos Publicidad y Propaganda</v>
      </c>
      <c r="R13" s="270">
        <f>IFERROR(IF(compras_mes9[[#This Row],[CUIT]]="","-",VLOOKUP(compras_mes9[[#This Row],[CUIT]],Lista_CUIT[#All],4,0)),"CUIT NO CARGADO")</f>
        <v>0</v>
      </c>
    </row>
    <row r="14" spans="1:26" s="127" customFormat="1" x14ac:dyDescent="0.3">
      <c r="B14" s="263" t="s">
        <v>198</v>
      </c>
      <c r="C14" s="265">
        <v>1</v>
      </c>
      <c r="D14" s="264">
        <v>11</v>
      </c>
      <c r="E14" s="266">
        <v>1048850</v>
      </c>
      <c r="F14" s="267">
        <v>33709585229</v>
      </c>
      <c r="G14" s="268" t="str">
        <f>IFERROR(IF(compras_mes9[[#This Row],[CUIT]]="","-",VLOOKUP(compras_mes9[[#This Row],[CUIT]],Lista_CUIT[#All],2,0)),"CUIT NO CARGADO")</f>
        <v>GOOGLE ARGENTINA S.R.L.</v>
      </c>
      <c r="H14" s="128">
        <v>152000</v>
      </c>
      <c r="I14" s="269">
        <f>IF(compras_mes9[[#This Row],[NETO GRAVADO]]="","",compras_mes9[[#This Row],[NETO GRAVADO]]*0.21)</f>
        <v>31920</v>
      </c>
      <c r="J14" s="269"/>
      <c r="K14" s="269"/>
      <c r="L14" s="269"/>
      <c r="M14" s="269"/>
      <c r="N14" s="269">
        <v>2280</v>
      </c>
      <c r="O14" s="269">
        <v>4560</v>
      </c>
      <c r="P14" s="257">
        <f>SUM(compras_mes9[[#This Row],[NETO GRAVADO]:[Otros / No Grav.]])</f>
        <v>190760</v>
      </c>
      <c r="Q14" s="270" t="str">
        <f>IFERROR(IF(compras_mes9[[#This Row],[CUIT]]="","-",VLOOKUP(compras_mes9[[#This Row],[CUIT]],Lista_CUIT[#All],3,0)),"CUIT NO CARGADO")</f>
        <v>Gastos Publicidad y Propaganda</v>
      </c>
      <c r="R14" s="270">
        <f>IFERROR(IF(compras_mes9[[#This Row],[CUIT]]="","-",VLOOKUP(compras_mes9[[#This Row],[CUIT]],Lista_CUIT[#All],4,0)),"CUIT NO CARGADO")</f>
        <v>0</v>
      </c>
    </row>
    <row r="15" spans="1:26" s="127" customFormat="1" x14ac:dyDescent="0.3">
      <c r="B15" s="263" t="s">
        <v>198</v>
      </c>
      <c r="C15" s="265">
        <v>1</v>
      </c>
      <c r="D15" s="264">
        <v>11</v>
      </c>
      <c r="E15" s="266">
        <v>1051331</v>
      </c>
      <c r="F15" s="267">
        <v>33709585229</v>
      </c>
      <c r="G15" s="268" t="str">
        <f>IFERROR(IF(compras_mes9[[#This Row],[CUIT]]="","-",VLOOKUP(compras_mes9[[#This Row],[CUIT]],Lista_CUIT[#All],2,0)),"CUIT NO CARGADO")</f>
        <v>GOOGLE ARGENTINA S.R.L.</v>
      </c>
      <c r="H15" s="128">
        <v>223091.09</v>
      </c>
      <c r="I15" s="269">
        <f>IF(compras_mes9[[#This Row],[NETO GRAVADO]]="","",compras_mes9[[#This Row],[NETO GRAVADO]]*0.21)</f>
        <v>46849.128899999996</v>
      </c>
      <c r="J15" s="269"/>
      <c r="K15" s="269"/>
      <c r="L15" s="269"/>
      <c r="M15" s="269"/>
      <c r="N15" s="269">
        <v>3346.37</v>
      </c>
      <c r="O15" s="278">
        <v>6692.73</v>
      </c>
      <c r="P15" s="257">
        <f>SUM(compras_mes9[[#This Row],[NETO GRAVADO]:[Otros / No Grav.]])</f>
        <v>279979.31889999995</v>
      </c>
      <c r="Q15" s="270" t="str">
        <f>IFERROR(IF(compras_mes9[[#This Row],[CUIT]]="","-",VLOOKUP(compras_mes9[[#This Row],[CUIT]],Lista_CUIT[#All],3,0)),"CUIT NO CARGADO")</f>
        <v>Gastos Publicidad y Propaganda</v>
      </c>
      <c r="R15" s="270">
        <f>IFERROR(IF(compras_mes9[[#This Row],[CUIT]]="","-",VLOOKUP(compras_mes9[[#This Row],[CUIT]],Lista_CUIT[#All],4,0)),"CUIT NO CARGADO")</f>
        <v>0</v>
      </c>
    </row>
    <row r="16" spans="1:26" s="280" customFormat="1" ht="18.600000000000001" customHeight="1" x14ac:dyDescent="0.3">
      <c r="B16" s="271" t="s">
        <v>198</v>
      </c>
      <c r="C16" s="265">
        <v>1</v>
      </c>
      <c r="D16" s="272">
        <v>11</v>
      </c>
      <c r="E16" s="273">
        <v>1040173</v>
      </c>
      <c r="F16" s="274">
        <v>33709585229</v>
      </c>
      <c r="G16" s="275" t="str">
        <f>IFERROR(IF(compras_mes9[[#This Row],[CUIT]]="","-",VLOOKUP(compras_mes9[[#This Row],[CUIT]],Lista_CUIT[#All],2,0)),"CUIT NO CARGADO")</f>
        <v>GOOGLE ARGENTINA S.R.L.</v>
      </c>
      <c r="H16" s="276">
        <v>2047352.89</v>
      </c>
      <c r="I16" s="277">
        <f>IF(compras_mes9[[#This Row],[NETO GRAVADO]]="","",compras_mes9[[#This Row],[NETO GRAVADO]]*0.21)</f>
        <v>429944.10689999996</v>
      </c>
      <c r="J16" s="277"/>
      <c r="K16" s="277"/>
      <c r="L16" s="277"/>
      <c r="M16" s="277"/>
      <c r="N16" s="277">
        <v>30710.29</v>
      </c>
      <c r="O16" s="278">
        <v>61420.59</v>
      </c>
      <c r="P16" s="256">
        <f>SUM(compras_mes9[[#This Row],[NETO GRAVADO]:[Otros / No Grav.]])</f>
        <v>2569427.8768999996</v>
      </c>
      <c r="Q16" s="279" t="str">
        <f>IFERROR(IF(compras_mes9[[#This Row],[CUIT]]="","-",VLOOKUP(compras_mes9[[#This Row],[CUIT]],Lista_CUIT[#All],3,0)),"CUIT NO CARGADO")</f>
        <v>Gastos Publicidad y Propaganda</v>
      </c>
      <c r="R16" s="279">
        <f>IFERROR(IF(compras_mes9[[#This Row],[CUIT]]="","-",VLOOKUP(compras_mes9[[#This Row],[CUIT]],Lista_CUIT[#All],4,0)),"CUIT NO CARGADO")</f>
        <v>0</v>
      </c>
    </row>
    <row r="17" spans="2:18" s="127" customFormat="1" x14ac:dyDescent="0.3">
      <c r="B17" s="281" t="s">
        <v>198</v>
      </c>
      <c r="C17" s="265">
        <v>3</v>
      </c>
      <c r="D17" s="282">
        <v>11</v>
      </c>
      <c r="E17" s="283">
        <v>754552</v>
      </c>
      <c r="F17" s="284">
        <v>33709585229</v>
      </c>
      <c r="G17" s="285" t="str">
        <f>IFERROR(IF(compras_mes9[[#This Row],[CUIT]]="","-",VLOOKUP(compras_mes9[[#This Row],[CUIT]],Lista_CUIT[#All],2,0)),"CUIT NO CARGADO")</f>
        <v>GOOGLE ARGENTINA S.R.L.</v>
      </c>
      <c r="H17" s="286">
        <v>-11501.92</v>
      </c>
      <c r="I17" s="278">
        <f>IF(compras_mes9[[#This Row],[NETO GRAVADO]]="","",compras_mes9[[#This Row],[NETO GRAVADO]]*0.21)</f>
        <v>-2415.4031999999997</v>
      </c>
      <c r="J17" s="278"/>
      <c r="K17" s="278"/>
      <c r="L17" s="278"/>
      <c r="M17" s="278"/>
      <c r="N17" s="278">
        <v>-172.53</v>
      </c>
      <c r="O17" s="278">
        <v>-345.06</v>
      </c>
      <c r="P17" s="287">
        <f>SUM(compras_mes9[[#This Row],[NETO GRAVADO]:[Otros / No Grav.]])</f>
        <v>-14434.913199999999</v>
      </c>
      <c r="Q17" s="288" t="str">
        <f>IFERROR(IF(compras_mes9[[#This Row],[CUIT]]="","-",VLOOKUP(compras_mes9[[#This Row],[CUIT]],Lista_CUIT[#All],3,0)),"CUIT NO CARGADO")</f>
        <v>Gastos Publicidad y Propaganda</v>
      </c>
      <c r="R17" s="288">
        <f>IFERROR(IF(compras_mes9[[#This Row],[CUIT]]="","-",VLOOKUP(compras_mes9[[#This Row],[CUIT]],Lista_CUIT[#All],4,0)),"CUIT NO CARGADO")</f>
        <v>0</v>
      </c>
    </row>
    <row r="18" spans="2:18" s="127" customFormat="1" x14ac:dyDescent="0.3">
      <c r="B18" s="281" t="s">
        <v>198</v>
      </c>
      <c r="C18" s="265">
        <v>3</v>
      </c>
      <c r="D18" s="282">
        <v>11</v>
      </c>
      <c r="E18" s="283">
        <v>756529</v>
      </c>
      <c r="F18" s="284">
        <v>33709585229</v>
      </c>
      <c r="G18" s="285" t="str">
        <f>IFERROR(IF(compras_mes9[[#This Row],[CUIT]]="","-",VLOOKUP(compras_mes9[[#This Row],[CUIT]],Lista_CUIT[#All],2,0)),"CUIT NO CARGADO")</f>
        <v>GOOGLE ARGENTINA S.R.L.</v>
      </c>
      <c r="H18" s="286">
        <v>-10.67</v>
      </c>
      <c r="I18" s="278">
        <f>IF(compras_mes9[[#This Row],[NETO GRAVADO]]="","",compras_mes9[[#This Row],[NETO GRAVADO]]*0.21)</f>
        <v>-2.2406999999999999</v>
      </c>
      <c r="J18" s="278"/>
      <c r="K18" s="278"/>
      <c r="L18" s="278"/>
      <c r="M18" s="278"/>
      <c r="N18" s="278"/>
      <c r="O18" s="278"/>
      <c r="P18" s="287">
        <f>SUM(compras_mes9[[#This Row],[NETO GRAVADO]:[Otros / No Grav.]])</f>
        <v>-12.9107</v>
      </c>
      <c r="Q18" s="288" t="str">
        <f>IFERROR(IF(compras_mes9[[#This Row],[CUIT]]="","-",VLOOKUP(compras_mes9[[#This Row],[CUIT]],Lista_CUIT[#All],3,0)),"CUIT NO CARGADO")</f>
        <v>Gastos Publicidad y Propaganda</v>
      </c>
      <c r="R18" s="288">
        <f>IFERROR(IF(compras_mes9[[#This Row],[CUIT]]="","-",VLOOKUP(compras_mes9[[#This Row],[CUIT]],Lista_CUIT[#All],4,0)),"CUIT NO CARGADO")</f>
        <v>0</v>
      </c>
    </row>
    <row r="19" spans="2:18" s="127" customFormat="1" x14ac:dyDescent="0.3">
      <c r="B19" s="281" t="s">
        <v>198</v>
      </c>
      <c r="C19" s="265">
        <v>3</v>
      </c>
      <c r="D19" s="282">
        <v>11</v>
      </c>
      <c r="E19" s="283">
        <v>760209</v>
      </c>
      <c r="F19" s="284">
        <v>33709585229</v>
      </c>
      <c r="G19" s="285" t="str">
        <f>IFERROR(IF(compras_mes9[[#This Row],[CUIT]]="","-",VLOOKUP(compras_mes9[[#This Row],[CUIT]],Lista_CUIT[#All],2,0)),"CUIT NO CARGADO")</f>
        <v>GOOGLE ARGENTINA S.R.L.</v>
      </c>
      <c r="H19" s="286">
        <v>-65000</v>
      </c>
      <c r="I19" s="278">
        <f>IF(compras_mes9[[#This Row],[NETO GRAVADO]]="","",compras_mes9[[#This Row],[NETO GRAVADO]]*0.21)</f>
        <v>-13650</v>
      </c>
      <c r="J19" s="278"/>
      <c r="K19" s="278"/>
      <c r="L19" s="278"/>
      <c r="M19" s="278"/>
      <c r="N19" s="278">
        <v>-975</v>
      </c>
      <c r="O19" s="278">
        <v>-1950</v>
      </c>
      <c r="P19" s="287">
        <f>SUM(compras_mes9[[#This Row],[NETO GRAVADO]:[Otros / No Grav.]])</f>
        <v>-81575</v>
      </c>
      <c r="Q19" s="288" t="str">
        <f>IFERROR(IF(compras_mes9[[#This Row],[CUIT]]="","-",VLOOKUP(compras_mes9[[#This Row],[CUIT]],Lista_CUIT[#All],3,0)),"CUIT NO CARGADO")</f>
        <v>Gastos Publicidad y Propaganda</v>
      </c>
      <c r="R19" s="288">
        <f>IFERROR(IF(compras_mes9[[#This Row],[CUIT]]="","-",VLOOKUP(compras_mes9[[#This Row],[CUIT]],Lista_CUIT[#All],4,0)),"CUIT NO CARGADO")</f>
        <v>0</v>
      </c>
    </row>
    <row r="20" spans="2:18" s="127" customFormat="1" ht="14.4" customHeight="1" x14ac:dyDescent="0.3">
      <c r="B20" s="281" t="s">
        <v>198</v>
      </c>
      <c r="C20" s="265">
        <v>3</v>
      </c>
      <c r="D20" s="282">
        <v>11</v>
      </c>
      <c r="E20" s="283">
        <v>761942</v>
      </c>
      <c r="F20" s="284">
        <v>33709585229</v>
      </c>
      <c r="G20" s="285" t="str">
        <f>IFERROR(IF(compras_mes9[[#This Row],[CUIT]]="","-",VLOOKUP(compras_mes9[[#This Row],[CUIT]],Lista_CUIT[#All],2,0)),"CUIT NO CARGADO")</f>
        <v>GOOGLE ARGENTINA S.R.L.</v>
      </c>
      <c r="H20" s="286">
        <v>0</v>
      </c>
      <c r="I20" s="278">
        <f>IF(compras_mes9[[#This Row],[NETO GRAVADO]]="","",compras_mes9[[#This Row],[NETO GRAVADO]]*0.21)</f>
        <v>0</v>
      </c>
      <c r="J20" s="278"/>
      <c r="K20" s="278"/>
      <c r="L20" s="278"/>
      <c r="M20" s="278"/>
      <c r="N20" s="278"/>
      <c r="O20" s="278"/>
      <c r="P20" s="287">
        <f>SUM(compras_mes9[[#This Row],[NETO GRAVADO]:[Otros / No Grav.]])</f>
        <v>0</v>
      </c>
      <c r="Q20" s="288" t="str">
        <f>IFERROR(IF(compras_mes9[[#This Row],[CUIT]]="","-",VLOOKUP(compras_mes9[[#This Row],[CUIT]],Lista_CUIT[#All],3,0)),"CUIT NO CARGADO")</f>
        <v>Gastos Publicidad y Propaganda</v>
      </c>
      <c r="R20" s="288">
        <f>IFERROR(IF(compras_mes9[[#This Row],[CUIT]]="","-",VLOOKUP(compras_mes9[[#This Row],[CUIT]],Lista_CUIT[#All],4,0)),"CUIT NO CARGADO")</f>
        <v>0</v>
      </c>
    </row>
    <row r="21" spans="2:18" s="127" customFormat="1" x14ac:dyDescent="0.3">
      <c r="B21" s="281"/>
      <c r="C21" s="289"/>
      <c r="D21" s="282"/>
      <c r="E21" s="283"/>
      <c r="F21" s="284"/>
      <c r="G21" s="285" t="str">
        <f>IFERROR(IF(compras_mes9[[#This Row],[CUIT]]="","-",VLOOKUP(compras_mes9[[#This Row],[CUIT]],Lista_CUIT[#All],2,0)),"CUIT NO CARGADO")</f>
        <v>-</v>
      </c>
      <c r="H21" s="286"/>
      <c r="I21" s="278" t="str">
        <f>IF(compras_mes9[[#This Row],[NETO GRAVADO]]="","",compras_mes9[[#This Row],[NETO GRAVADO]]*0.21)</f>
        <v/>
      </c>
      <c r="J21" s="278"/>
      <c r="K21" s="278"/>
      <c r="L21" s="278"/>
      <c r="M21" s="278"/>
      <c r="N21" s="278"/>
      <c r="O21" s="278"/>
      <c r="P21" s="287">
        <f>SUM(compras_mes9[[#This Row],[NETO GRAVADO]:[Otros / No Grav.]])</f>
        <v>0</v>
      </c>
      <c r="Q21" s="288" t="str">
        <f>IFERROR(IF(compras_mes9[[#This Row],[CUIT]]="","-",VLOOKUP(compras_mes9[[#This Row],[CUIT]],Lista_CUIT[#All],3,0)),"CUIT NO CARGADO")</f>
        <v>-</v>
      </c>
      <c r="R21" s="288" t="str">
        <f>IFERROR(IF(compras_mes9[[#This Row],[CUIT]]="","-",VLOOKUP(compras_mes9[[#This Row],[CUIT]],Lista_CUIT[#All],4,0)),"CUIT NO CARGADO")</f>
        <v>-</v>
      </c>
    </row>
    <row r="22" spans="2:18" s="127" customFormat="1" x14ac:dyDescent="0.3">
      <c r="B22" s="281"/>
      <c r="C22" s="289"/>
      <c r="D22" s="282"/>
      <c r="E22" s="283"/>
      <c r="F22" s="284"/>
      <c r="G22" s="285" t="str">
        <f>IFERROR(IF(compras_mes9[[#This Row],[CUIT]]="","-",VLOOKUP(compras_mes9[[#This Row],[CUIT]],Lista_CUIT[#All],2,0)),"CUIT NO CARGADO")</f>
        <v>-</v>
      </c>
      <c r="H22" s="286"/>
      <c r="I22" s="278" t="str">
        <f>IF(compras_mes9[[#This Row],[NETO GRAVADO]]="","",compras_mes9[[#This Row],[NETO GRAVADO]]*0.21)</f>
        <v/>
      </c>
      <c r="J22" s="278"/>
      <c r="K22" s="278"/>
      <c r="L22" s="278"/>
      <c r="M22" s="278"/>
      <c r="N22" s="278"/>
      <c r="O22" s="278"/>
      <c r="P22" s="287">
        <f>SUM(compras_mes9[[#This Row],[NETO GRAVADO]:[Otros / No Grav.]])</f>
        <v>0</v>
      </c>
      <c r="Q22" s="288" t="str">
        <f>IFERROR(IF(compras_mes9[[#This Row],[CUIT]]="","-",VLOOKUP(compras_mes9[[#This Row],[CUIT]],Lista_CUIT[#All],3,0)),"CUIT NO CARGADO")</f>
        <v>-</v>
      </c>
      <c r="R22" s="288" t="str">
        <f>IFERROR(IF(compras_mes9[[#This Row],[CUIT]]="","-",VLOOKUP(compras_mes9[[#This Row],[CUIT]],Lista_CUIT[#All],4,0)),"CUIT NO CARGADO")</f>
        <v>-</v>
      </c>
    </row>
    <row r="23" spans="2:18" ht="14.4" customHeight="1" x14ac:dyDescent="0.3">
      <c r="B23" s="96" t="s">
        <v>91</v>
      </c>
      <c r="C23" s="96"/>
      <c r="D23" s="96"/>
      <c r="E23" s="96"/>
      <c r="F23" s="96"/>
      <c r="G23" s="97"/>
      <c r="H23" s="98">
        <f>SUBTOTAL(109,compras_mes9[NETO GRAVADO])</f>
        <v>2915967.52</v>
      </c>
      <c r="I23" s="98">
        <f>SUBTOTAL(109,compras_mes9[IVA 21 %])</f>
        <v>612353.17920000001</v>
      </c>
      <c r="J23" s="98">
        <f>SUBTOTAL(109,compras_mes9[IVA 27%])</f>
        <v>0</v>
      </c>
      <c r="K23" s="98">
        <f>SUBTOTAL(109,compras_mes9[IVA 10,5%])</f>
        <v>0</v>
      </c>
      <c r="L23" s="98">
        <f>SUBTOTAL(109,compras_mes9[PERC. IVA])</f>
        <v>0</v>
      </c>
      <c r="M23" s="98">
        <f>SUBTOTAL(109,compras_mes9[PERC IIBB 
BS AS])</f>
        <v>0</v>
      </c>
      <c r="N23" s="98">
        <f>SUBTOTAL(109,compras_mes9[PERC. IIBB CABA])</f>
        <v>43383.89</v>
      </c>
      <c r="O23" s="98">
        <f>SUBTOTAL(109,compras_mes9[Otros / No Grav.])</f>
        <v>86767.78</v>
      </c>
      <c r="P23" s="98">
        <f>SUBTOTAL(109,compras_mes9[TOTAL])</f>
        <v>3658472.3691999996</v>
      </c>
      <c r="Q23" s="96"/>
      <c r="R23" s="96"/>
    </row>
    <row r="24" spans="2:18" ht="14.4" customHeight="1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  <c r="M24" s="47"/>
      <c r="N24" s="47"/>
      <c r="O24" s="47"/>
      <c r="P24" s="48"/>
      <c r="Q24" s="49"/>
      <c r="R24" s="49"/>
    </row>
    <row r="25" spans="2:18" ht="15" customHeight="1" x14ac:dyDescent="0.3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>
        <f>compras_mes9[[#Totals],[NETO GRAVADO]]+compras_mes9[[#Totals],[Otros / No Grav.]]</f>
        <v>3002735.3</v>
      </c>
      <c r="M25" s="47"/>
      <c r="N25" s="47"/>
      <c r="O25" s="47"/>
      <c r="P25" s="48"/>
      <c r="Q25" s="49"/>
      <c r="R25" s="49"/>
    </row>
    <row r="26" spans="2:18" ht="15" customHeight="1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15" customHeight="1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</row>
    <row r="28" spans="2:18" ht="15" customHeight="1" x14ac:dyDescent="0.3">
      <c r="D28" s="362" t="s">
        <v>15</v>
      </c>
      <c r="E28" s="362"/>
      <c r="F28" s="362"/>
      <c r="G28" s="362"/>
      <c r="H28" s="362"/>
      <c r="I28" s="362"/>
      <c r="J28" s="362"/>
      <c r="K28" s="362"/>
      <c r="L28" s="362"/>
    </row>
    <row r="29" spans="2:18" ht="15" customHeight="1" x14ac:dyDescent="0.3">
      <c r="D29" s="73" t="s">
        <v>0</v>
      </c>
      <c r="E29" s="74" t="s">
        <v>26</v>
      </c>
      <c r="F29" s="74" t="s">
        <v>16</v>
      </c>
      <c r="G29" s="74" t="s">
        <v>5</v>
      </c>
      <c r="H29" s="74" t="s">
        <v>17</v>
      </c>
      <c r="I29" s="74" t="s">
        <v>7</v>
      </c>
      <c r="J29" s="75" t="s">
        <v>18</v>
      </c>
      <c r="K29" s="75" t="s">
        <v>19</v>
      </c>
      <c r="L29" s="76" t="s">
        <v>20</v>
      </c>
    </row>
    <row r="30" spans="2:18" x14ac:dyDescent="0.3">
      <c r="D30" s="50"/>
      <c r="E30" s="79"/>
      <c r="F30" s="80" t="s">
        <v>205</v>
      </c>
      <c r="G30" s="81">
        <v>28350</v>
      </c>
      <c r="H30" s="81">
        <f>extracto_banco_mes9[[#This Row],[NETO]]*0.21</f>
        <v>5953.5</v>
      </c>
      <c r="I30" s="81"/>
      <c r="J30" s="81"/>
      <c r="K30" s="81">
        <v>850.5</v>
      </c>
      <c r="L30" s="81"/>
    </row>
    <row r="31" spans="2:18" x14ac:dyDescent="0.3">
      <c r="D31" s="50"/>
      <c r="E31" s="79"/>
      <c r="F31" s="80"/>
      <c r="G31" s="81"/>
      <c r="H31" s="81">
        <f>extracto_banco_mes9[[#This Row],[NETO]]*0.21</f>
        <v>0</v>
      </c>
      <c r="I31" s="81"/>
      <c r="J31" s="81"/>
      <c r="K31" s="81"/>
      <c r="L31" s="81"/>
    </row>
    <row r="32" spans="2:18" x14ac:dyDescent="0.3">
      <c r="D32" s="50"/>
      <c r="E32" s="79"/>
      <c r="F32" s="80"/>
      <c r="G32" s="81"/>
      <c r="H32" s="81">
        <f>extracto_banco_mes9[[#This Row],[NETO]]*0.21</f>
        <v>0</v>
      </c>
      <c r="I32" s="81"/>
      <c r="J32" s="81"/>
      <c r="K32" s="81"/>
      <c r="L32" s="81"/>
    </row>
    <row r="33" spans="2:18" x14ac:dyDescent="0.3">
      <c r="D33" s="82" t="s">
        <v>91</v>
      </c>
      <c r="E33" s="80"/>
      <c r="F33" s="80"/>
      <c r="G33" s="83">
        <f>SUBTOTAL(109,extracto_banco_mes9[NETO])</f>
        <v>28350</v>
      </c>
      <c r="H33" s="83">
        <f>SUBTOTAL(109,extracto_banco_mes9[IVA 21%])</f>
        <v>5953.5</v>
      </c>
      <c r="I33" s="83">
        <f>SUBTOTAL(109,extracto_banco_mes9[IVA 10,5%])</f>
        <v>0</v>
      </c>
      <c r="J33" s="83">
        <f>SUBTOTAL(109,extracto_banco_mes9[RET IIBB CABA])</f>
        <v>0</v>
      </c>
      <c r="K33" s="83">
        <f>SUBTOTAL(109,extracto_banco_mes9[PERC IVA])</f>
        <v>850.5</v>
      </c>
      <c r="L33" s="83">
        <f>SUBTOTAL(109,extracto_banco_mes9[PERC IIBB])</f>
        <v>0</v>
      </c>
    </row>
    <row r="37" spans="2:18" s="56" customFormat="1" ht="18.600000000000001" customHeight="1" x14ac:dyDescent="0.3">
      <c r="B37"/>
      <c r="C37"/>
      <c r="D37" s="362" t="s">
        <v>25</v>
      </c>
      <c r="E37" s="362"/>
      <c r="F37" s="362"/>
      <c r="G37" s="362"/>
      <c r="H37" s="362"/>
      <c r="I37" s="362"/>
      <c r="J37" s="362"/>
      <c r="K37" s="362"/>
      <c r="L37"/>
      <c r="M37"/>
      <c r="N37"/>
      <c r="O37"/>
      <c r="P37"/>
      <c r="Q37"/>
      <c r="R37"/>
    </row>
    <row r="38" spans="2:18" x14ac:dyDescent="0.3">
      <c r="D38" s="51" t="s">
        <v>0</v>
      </c>
      <c r="E38" s="51" t="s">
        <v>2</v>
      </c>
      <c r="F38" s="51" t="s">
        <v>74</v>
      </c>
      <c r="G38" s="51" t="s">
        <v>3</v>
      </c>
      <c r="H38" s="51" t="s">
        <v>4</v>
      </c>
      <c r="I38" s="52" t="s">
        <v>10</v>
      </c>
      <c r="J38" s="51" t="s">
        <v>13</v>
      </c>
      <c r="K38" s="51" t="s">
        <v>38</v>
      </c>
    </row>
    <row r="39" spans="2:18" x14ac:dyDescent="0.3">
      <c r="D39" s="50" t="s">
        <v>199</v>
      </c>
      <c r="E39" s="42">
        <v>2</v>
      </c>
      <c r="F39" s="43">
        <v>834</v>
      </c>
      <c r="G39" s="44">
        <v>20400104094</v>
      </c>
      <c r="H39" s="53" t="str">
        <f>IFERROR(IF(factura_c_mes9[[#This Row],[CUIT]]="","-",VLOOKUP(factura_c_mes9[[#This Row],[CUIT]],Lista_CUIT[#All],2,0)),"CUIT NO CARGADO")</f>
        <v>BOTINDARI FEDERICO DANIEL</v>
      </c>
      <c r="I39" s="81">
        <v>80000</v>
      </c>
      <c r="J39" s="54" t="str">
        <f>IFERROR(IF(factura_c_mes9[[#This Row],[CUIT]]="","-",VLOOKUP(factura_c_mes9[[#This Row],[CUIT]],Lista_CUIT[#All],3,0)),"CUIT NO CARGADO")</f>
        <v>HONORARIOS CONTABLE</v>
      </c>
      <c r="K39" s="54">
        <f>IFERROR(IF(factura_c_mes9[[#This Row],[CUIT]]="","-",VLOOKUP(factura_c_mes9[[#This Row],[CUIT]],Lista_CUIT[#All],4,0)),"CUIT NO CARGADO")</f>
        <v>0</v>
      </c>
    </row>
    <row r="40" spans="2:18" x14ac:dyDescent="0.3">
      <c r="D40" s="50" t="s">
        <v>199</v>
      </c>
      <c r="E40" s="42">
        <v>2</v>
      </c>
      <c r="F40" s="43">
        <v>46</v>
      </c>
      <c r="G40" s="44">
        <v>23380288079</v>
      </c>
      <c r="H40" s="53" t="str">
        <f>IFERROR(IF(factura_c_mes9[[#This Row],[CUIT]]="","-",VLOOKUP(factura_c_mes9[[#This Row],[CUIT]],Lista_CUIT[#All],2,0)),"CUIT NO CARGADO")</f>
        <v>CASTROMAN AGUSTIN</v>
      </c>
      <c r="I40" s="81">
        <v>205000</v>
      </c>
      <c r="J40" s="54" t="str">
        <f>IFERROR(IF(factura_c_mes9[[#This Row],[CUIT]]="","-",VLOOKUP(factura_c_mes9[[#This Row],[CUIT]],Lista_CUIT[#All],3,0)),"CUIT NO CARGADO")</f>
        <v>Diseño Grafico</v>
      </c>
      <c r="K40" s="54">
        <f>IFERROR(IF(factura_c_mes9[[#This Row],[CUIT]]="","-",VLOOKUP(factura_c_mes9[[#This Row],[CUIT]],Lista_CUIT[#All],4,0)),"CUIT NO CARGADO")</f>
        <v>0</v>
      </c>
    </row>
    <row r="41" spans="2:18" x14ac:dyDescent="0.3">
      <c r="D41" s="50" t="s">
        <v>199</v>
      </c>
      <c r="E41" s="42">
        <v>2</v>
      </c>
      <c r="F41" s="43">
        <v>843</v>
      </c>
      <c r="G41" s="44">
        <v>20400104094</v>
      </c>
      <c r="H41" s="53" t="str">
        <f>IFERROR(IF(factura_c_mes9[[#This Row],[CUIT]]="","-",VLOOKUP(factura_c_mes9[[#This Row],[CUIT]],Lista_CUIT[#All],2,0)),"CUIT NO CARGADO")</f>
        <v>BOTINDARI FEDERICO DANIEL</v>
      </c>
      <c r="I41" s="81">
        <v>40000</v>
      </c>
      <c r="J41" s="54" t="str">
        <f>IFERROR(IF(factura_c_mes9[[#This Row],[CUIT]]="","-",VLOOKUP(factura_c_mes9[[#This Row],[CUIT]],Lista_CUIT[#All],3,0)),"CUIT NO CARGADO")</f>
        <v>HONORARIOS CONTABLE</v>
      </c>
      <c r="K41" s="54">
        <f>IFERROR(IF(factura_c_mes9[[#This Row],[CUIT]]="","-",VLOOKUP(factura_c_mes9[[#This Row],[CUIT]],Lista_CUIT[#All],4,0)),"CUIT NO CARGADO")</f>
        <v>0</v>
      </c>
    </row>
    <row r="42" spans="2:18" x14ac:dyDescent="0.3">
      <c r="D42" s="50" t="s">
        <v>200</v>
      </c>
      <c r="E42" s="42">
        <v>5</v>
      </c>
      <c r="F42" s="43">
        <v>331039</v>
      </c>
      <c r="G42" s="44">
        <v>30711942412</v>
      </c>
      <c r="H42" s="53" t="str">
        <f>IFERROR(IF(factura_c_mes9[[#This Row],[CUIT]]="","-",VLOOKUP(factura_c_mes9[[#This Row],[CUIT]],Lista_CUIT[#All],2,0)),"CUIT NO CARGADO")</f>
        <v>FUNDACION EDUCACION PARA EL PROGRESO</v>
      </c>
      <c r="I42" s="81">
        <v>161530</v>
      </c>
      <c r="J42" s="54">
        <f>IFERROR(IF(factura_c_mes9[[#This Row],[CUIT]]="","-",VLOOKUP(factura_c_mes9[[#This Row],[CUIT]],Lista_CUIT[#All],3,0)),"CUIT NO CARGADO")</f>
        <v>0</v>
      </c>
      <c r="K42" s="54">
        <f>IFERROR(IF(factura_c_mes9[[#This Row],[CUIT]]="","-",VLOOKUP(factura_c_mes9[[#This Row],[CUIT]],Lista_CUIT[#All],4,0)),"CUIT NO CARGADO")</f>
        <v>0</v>
      </c>
    </row>
    <row r="43" spans="2:18" x14ac:dyDescent="0.3">
      <c r="D43" s="261" t="s">
        <v>200</v>
      </c>
      <c r="E43" s="42">
        <v>1</v>
      </c>
      <c r="F43" s="43">
        <v>307</v>
      </c>
      <c r="G43" s="44">
        <v>27386311000</v>
      </c>
      <c r="H43" s="253" t="str">
        <f>IFERROR(IF(factura_c_mes9[[#This Row],[CUIT]]="","-",VLOOKUP(factura_c_mes9[[#This Row],[CUIT]],Lista_CUIT[#All],2,0)),"CUIT NO CARGADO")</f>
        <v>OPANASIUK MACARENA ANTONELLA</v>
      </c>
      <c r="I43" s="81">
        <v>450000</v>
      </c>
      <c r="J43" s="255" t="str">
        <f>IFERROR(IF(factura_c_mes9[[#This Row],[CUIT]]="","-",VLOOKUP(factura_c_mes9[[#This Row],[CUIT]],Lista_CUIT[#All],3,0)),"CUIT NO CARGADO")</f>
        <v>Honorarios Profesionales</v>
      </c>
      <c r="K43" s="255">
        <f>IFERROR(IF(factura_c_mes9[[#This Row],[CUIT]]="","-",VLOOKUP(factura_c_mes9[[#This Row],[CUIT]],Lista_CUIT[#All],4,0)),"CUIT NO CARGADO")</f>
        <v>0</v>
      </c>
    </row>
    <row r="44" spans="2:18" ht="16.5" customHeight="1" x14ac:dyDescent="0.3">
      <c r="B44" s="56"/>
      <c r="C44" s="56"/>
      <c r="D44" s="55" t="s">
        <v>91</v>
      </c>
      <c r="E44" s="55"/>
      <c r="F44" s="55"/>
      <c r="G44" s="55"/>
      <c r="H44" s="57"/>
      <c r="I44" s="58">
        <f>SUBTOTAL(109,factura_c_mes9[TOTAL])</f>
        <v>936530</v>
      </c>
      <c r="J44" s="55"/>
      <c r="K44" s="55"/>
      <c r="L44" s="56"/>
      <c r="M44" s="56"/>
      <c r="N44" s="56"/>
      <c r="O44" s="56"/>
      <c r="P44" s="56"/>
      <c r="Q44" s="56"/>
      <c r="R44" s="56"/>
    </row>
    <row r="46" spans="2:18" ht="18" customHeight="1" x14ac:dyDescent="0.3"/>
    <row r="49" spans="2:13" ht="25.8" x14ac:dyDescent="0.3">
      <c r="B49" s="363" t="s">
        <v>29</v>
      </c>
      <c r="C49" s="363"/>
      <c r="D49" s="363"/>
      <c r="E49" s="363"/>
      <c r="F49" s="363"/>
      <c r="G49" s="363"/>
      <c r="H49" s="363"/>
      <c r="I49" s="363"/>
      <c r="J49" s="363"/>
      <c r="K49" s="364">
        <f>N1</f>
        <v>45536</v>
      </c>
      <c r="L49" s="364"/>
      <c r="M49" s="364"/>
    </row>
    <row r="51" spans="2:13" ht="21" x14ac:dyDescent="0.3">
      <c r="B51" s="365" t="s">
        <v>30</v>
      </c>
      <c r="C51" s="365"/>
    </row>
    <row r="52" spans="2:13" ht="15.6" x14ac:dyDescent="0.3">
      <c r="B52" s="60" t="s">
        <v>0</v>
      </c>
      <c r="C52" s="61" t="s">
        <v>1</v>
      </c>
      <c r="D52" s="61" t="s">
        <v>21</v>
      </c>
      <c r="E52" s="61" t="s">
        <v>22</v>
      </c>
      <c r="F52" s="61" t="s">
        <v>3</v>
      </c>
      <c r="G52" s="61" t="s">
        <v>4</v>
      </c>
      <c r="H52" s="61" t="s">
        <v>23</v>
      </c>
      <c r="I52" s="61" t="s">
        <v>17</v>
      </c>
      <c r="J52" s="61" t="s">
        <v>7</v>
      </c>
      <c r="K52" s="61" t="s">
        <v>24</v>
      </c>
      <c r="L52" s="61" t="s">
        <v>10</v>
      </c>
      <c r="M52" s="62" t="s">
        <v>38</v>
      </c>
    </row>
    <row r="53" spans="2:13" x14ac:dyDescent="0.3">
      <c r="B53" s="40" t="s">
        <v>199</v>
      </c>
      <c r="C53" s="41">
        <v>1</v>
      </c>
      <c r="D53" s="42">
        <v>1</v>
      </c>
      <c r="E53" s="43">
        <v>271</v>
      </c>
      <c r="F53" s="44">
        <v>30688955749</v>
      </c>
      <c r="G53" s="99" t="str">
        <f>IFERROR(IF(venta_a_mes9[[#This Row],[CUIT]]="","-",VLOOKUP(venta_a_mes9[[#This Row],[CUIT]],Lista_CUIT[#All],2,0)),"CUIT NO CARGADO")</f>
        <v>LISERAR S A</v>
      </c>
      <c r="H53" s="100">
        <v>132231.43</v>
      </c>
      <c r="I53" s="101">
        <f>venta_a_mes9[[#This Row],[IMPORTE NETO]]*0.21</f>
        <v>27768.600299999998</v>
      </c>
      <c r="J53" s="65"/>
      <c r="K53" s="65"/>
      <c r="L53" s="65">
        <f>SUM(venta_a_mes9[[#This Row],[IMPORTE NETO]:[EXENTO]])</f>
        <v>160000.03029999998</v>
      </c>
      <c r="M53" s="59"/>
    </row>
    <row r="54" spans="2:13" x14ac:dyDescent="0.3">
      <c r="B54" s="40" t="s">
        <v>199</v>
      </c>
      <c r="C54" s="41">
        <v>1</v>
      </c>
      <c r="D54" s="42">
        <v>1</v>
      </c>
      <c r="E54" s="43">
        <v>280</v>
      </c>
      <c r="F54" s="44">
        <v>30718553357</v>
      </c>
      <c r="G54" s="99" t="str">
        <f>IFERROR(IF(venta_a_mes9[[#This Row],[CUIT]]="","-",VLOOKUP(venta_a_mes9[[#This Row],[CUIT]],Lista_CUIT[#All],2,0)),"CUIT NO CARGADO")</f>
        <v>EMIGRA CON TU MASCOTA S.R.L.</v>
      </c>
      <c r="H54" s="100">
        <v>428099.19</v>
      </c>
      <c r="I54" s="101">
        <f>venta_a_mes9[[#This Row],[IMPORTE NETO]]*0.21</f>
        <v>89900.829899999997</v>
      </c>
      <c r="J54" s="65"/>
      <c r="K54" s="65"/>
      <c r="L54" s="65">
        <f>SUM(venta_a_mes9[[#This Row],[IMPORTE NETO]:[EXENTO]])</f>
        <v>518000.01990000001</v>
      </c>
      <c r="M54" s="59"/>
    </row>
    <row r="55" spans="2:13" x14ac:dyDescent="0.3">
      <c r="B55" s="40" t="s">
        <v>199</v>
      </c>
      <c r="C55" s="41">
        <v>1</v>
      </c>
      <c r="D55" s="42">
        <v>1</v>
      </c>
      <c r="E55" s="43">
        <v>272</v>
      </c>
      <c r="F55" s="44">
        <v>30716234815</v>
      </c>
      <c r="G55" s="99" t="str">
        <f>IFERROR(IF(venta_a_mes9[[#This Row],[CUIT]]="","-",VLOOKUP(venta_a_mes9[[#This Row],[CUIT]],Lista_CUIT[#All],2,0)),"CUIT NO CARGADO")</f>
        <v>LEVINT PARTNERS S.R.L.</v>
      </c>
      <c r="H55" s="100">
        <v>132231.43</v>
      </c>
      <c r="I55" s="101">
        <f>venta_a_mes9[[#This Row],[IMPORTE NETO]]*0.21</f>
        <v>27768.600299999998</v>
      </c>
      <c r="J55" s="65"/>
      <c r="K55" s="65"/>
      <c r="L55" s="65">
        <f>SUM(venta_a_mes9[[#This Row],[IMPORTE NETO]:[EXENTO]])</f>
        <v>160000.03029999998</v>
      </c>
      <c r="M55" s="59"/>
    </row>
    <row r="56" spans="2:13" x14ac:dyDescent="0.3">
      <c r="B56" s="40" t="s">
        <v>199</v>
      </c>
      <c r="C56" s="41">
        <v>1</v>
      </c>
      <c r="D56" s="42">
        <v>1</v>
      </c>
      <c r="E56" s="43">
        <v>263</v>
      </c>
      <c r="F56" s="44">
        <v>30717973166</v>
      </c>
      <c r="G56" s="99" t="str">
        <f>IFERROR(IF(venta_a_mes9[[#This Row],[CUIT]]="","-",VLOOKUP(venta_a_mes9[[#This Row],[CUIT]],Lista_CUIT[#All],2,0)),"CUIT NO CARGADO")</f>
        <v>STM ESTILO S.R.L</v>
      </c>
      <c r="H56" s="100">
        <v>58677.67</v>
      </c>
      <c r="I56" s="101">
        <f>venta_a_mes9[[#This Row],[IMPORTE NETO]]*0.21</f>
        <v>12322.3107</v>
      </c>
      <c r="J56" s="65"/>
      <c r="K56" s="65"/>
      <c r="L56" s="65">
        <f>SUM(venta_a_mes9[[#This Row],[IMPORTE NETO]:[EXENTO]])</f>
        <v>70999.9807</v>
      </c>
      <c r="M56" s="59"/>
    </row>
    <row r="57" spans="2:13" x14ac:dyDescent="0.3">
      <c r="B57" s="40" t="s">
        <v>199</v>
      </c>
      <c r="C57" s="41">
        <v>1</v>
      </c>
      <c r="D57" s="42">
        <v>1</v>
      </c>
      <c r="E57" s="43">
        <v>273</v>
      </c>
      <c r="F57" s="44">
        <v>20320573948</v>
      </c>
      <c r="G57" s="99" t="str">
        <f>IFERROR(IF(venta_a_mes9[[#This Row],[CUIT]]="","-",VLOOKUP(venta_a_mes9[[#This Row],[CUIT]],Lista_CUIT[#All],2,0)),"CUIT NO CARGADO")</f>
        <v>CAVALLOTTI MARCOS DANIEL</v>
      </c>
      <c r="H57" s="100">
        <v>132231.43</v>
      </c>
      <c r="I57" s="101">
        <f>venta_a_mes9[[#This Row],[IMPORTE NETO]]*0.21</f>
        <v>27768.600299999998</v>
      </c>
      <c r="J57" s="65"/>
      <c r="K57" s="65"/>
      <c r="L57" s="65">
        <f>SUM(venta_a_mes9[[#This Row],[IMPORTE NETO]:[EXENTO]])</f>
        <v>160000.03029999998</v>
      </c>
      <c r="M57" s="59"/>
    </row>
    <row r="58" spans="2:13" ht="17.25" customHeight="1" x14ac:dyDescent="0.3">
      <c r="B58" s="40" t="s">
        <v>199</v>
      </c>
      <c r="C58" s="41">
        <v>1</v>
      </c>
      <c r="D58" s="42">
        <v>1</v>
      </c>
      <c r="E58" s="43">
        <v>274</v>
      </c>
      <c r="F58" s="44">
        <v>20238882975</v>
      </c>
      <c r="G58" s="99" t="str">
        <f>IFERROR(IF(venta_a_mes9[[#This Row],[CUIT]]="","-",VLOOKUP(venta_a_mes9[[#This Row],[CUIT]],Lista_CUIT[#All],2,0)),"CUIT NO CARGADO")</f>
        <v>NARVAEZ SANTIAGO GABRIEL</v>
      </c>
      <c r="H58" s="100">
        <v>428099.19</v>
      </c>
      <c r="I58" s="101">
        <f>venta_a_mes9[[#This Row],[IMPORTE NETO]]*0.21</f>
        <v>89900.829899999997</v>
      </c>
      <c r="J58" s="65"/>
      <c r="K58" s="65"/>
      <c r="L58" s="65">
        <f>SUM(venta_a_mes9[[#This Row],[IMPORTE NETO]:[EXENTO]])</f>
        <v>518000.01990000001</v>
      </c>
      <c r="M58" s="59"/>
    </row>
    <row r="59" spans="2:13" x14ac:dyDescent="0.3">
      <c r="B59" s="40" t="s">
        <v>199</v>
      </c>
      <c r="C59" s="41">
        <v>1</v>
      </c>
      <c r="D59" s="42">
        <v>1</v>
      </c>
      <c r="E59" s="43">
        <v>275</v>
      </c>
      <c r="F59" s="44">
        <v>30717969061</v>
      </c>
      <c r="G59" s="99" t="str">
        <f>IFERROR(IF(venta_a_mes9[[#This Row],[CUIT]]="","-",VLOOKUP(venta_a_mes9[[#This Row],[CUIT]],Lista_CUIT[#All],2,0)),"CUIT NO CARGADO")</f>
        <v>FABIO Y RAUL ROSSO S.A.S.</v>
      </c>
      <c r="H59" s="100">
        <v>58677.67</v>
      </c>
      <c r="I59" s="101">
        <f>venta_a_mes9[[#This Row],[IMPORTE NETO]]*0.21</f>
        <v>12322.3107</v>
      </c>
      <c r="J59" s="65"/>
      <c r="K59" s="65"/>
      <c r="L59" s="65">
        <f>SUM(venta_a_mes9[[#This Row],[IMPORTE NETO]:[EXENTO]])</f>
        <v>70999.9807</v>
      </c>
      <c r="M59" s="63"/>
    </row>
    <row r="60" spans="2:13" x14ac:dyDescent="0.3">
      <c r="B60" s="102" t="s">
        <v>199</v>
      </c>
      <c r="C60" s="41">
        <v>1</v>
      </c>
      <c r="D60" s="42">
        <v>1</v>
      </c>
      <c r="E60" s="43">
        <v>264</v>
      </c>
      <c r="F60" s="44">
        <v>27165844748</v>
      </c>
      <c r="G60" s="99" t="str">
        <f>IFERROR(IF(venta_a_mes9[[#This Row],[CUIT]]="","-",VLOOKUP(venta_a_mes9[[#This Row],[CUIT]],Lista_CUIT[#All],2,0)),"CUIT NO CARGADO")</f>
        <v>DENATALE MARCELA BEATRIZ</v>
      </c>
      <c r="H60" s="100">
        <v>132231.43</v>
      </c>
      <c r="I60" s="108">
        <f>venta_a_mes9[[#This Row],[IMPORTE NETO]]*0.21</f>
        <v>27768.600299999998</v>
      </c>
      <c r="J60" s="65"/>
      <c r="K60" s="72"/>
      <c r="L60" s="72">
        <f>SUM(venta_a_mes9[[#This Row],[IMPORTE NETO]:[EXENTO]])</f>
        <v>160000.03029999998</v>
      </c>
      <c r="M60" s="63"/>
    </row>
    <row r="61" spans="2:13" x14ac:dyDescent="0.3">
      <c r="B61" s="109" t="s">
        <v>199</v>
      </c>
      <c r="C61" s="41">
        <v>1</v>
      </c>
      <c r="D61" s="42">
        <v>1</v>
      </c>
      <c r="E61" s="43">
        <v>276</v>
      </c>
      <c r="F61" s="44">
        <v>30718044894</v>
      </c>
      <c r="G61" s="99" t="str">
        <f>IFERROR(IF(venta_a_mes9[[#This Row],[CUIT]]="","-",VLOOKUP(venta_a_mes9[[#This Row],[CUIT]],Lista_CUIT[#All],2,0)),"CUIT NO CARGADO")</f>
        <v>GRUPO NACER ECOLOGICO S.R.L</v>
      </c>
      <c r="H61" s="100">
        <v>428099.19</v>
      </c>
      <c r="I61" s="101">
        <f>venta_a_mes9[[#This Row],[IMPORTE NETO]]*0.21</f>
        <v>89900.829899999997</v>
      </c>
      <c r="J61" s="65"/>
      <c r="K61" s="65"/>
      <c r="L61" s="65">
        <f>SUM(venta_a_mes9[[#This Row],[IMPORTE NETO]:[EXENTO]])</f>
        <v>518000.01990000001</v>
      </c>
      <c r="M61" s="59"/>
    </row>
    <row r="62" spans="2:13" x14ac:dyDescent="0.3">
      <c r="B62" s="216" t="s">
        <v>199</v>
      </c>
      <c r="C62" s="41">
        <v>1</v>
      </c>
      <c r="D62" s="42">
        <v>1</v>
      </c>
      <c r="E62" s="43">
        <v>277</v>
      </c>
      <c r="F62" s="44">
        <v>33717319309</v>
      </c>
      <c r="G62" s="217" t="str">
        <f>IFERROR(IF(venta_a_mes9[[#This Row],[CUIT]]="","-",VLOOKUP(venta_a_mes9[[#This Row],[CUIT]],Lista_CUIT[#All],2,0)),"CUIT NO CARGADO")</f>
        <v>CONSMITEC S.R.L.</v>
      </c>
      <c r="H62" s="100">
        <v>428099.19</v>
      </c>
      <c r="I62" s="218">
        <f>venta_a_mes9[[#This Row],[IMPORTE NETO]]*0.21</f>
        <v>89900.829899999997</v>
      </c>
      <c r="J62" s="65"/>
      <c r="K62" s="219"/>
      <c r="L62" s="219">
        <f>SUM(venta_a_mes9[[#This Row],[IMPORTE NETO]:[EXENTO]])</f>
        <v>518000.01990000001</v>
      </c>
      <c r="M62" s="220"/>
    </row>
    <row r="63" spans="2:13" x14ac:dyDescent="0.3">
      <c r="B63" s="216" t="s">
        <v>199</v>
      </c>
      <c r="C63" s="41">
        <v>1</v>
      </c>
      <c r="D63" s="42">
        <v>1</v>
      </c>
      <c r="E63" s="43">
        <v>265</v>
      </c>
      <c r="F63" s="44">
        <v>20287305460</v>
      </c>
      <c r="G63" s="217" t="str">
        <f>IFERROR(IF(venta_a_mes9[[#This Row],[CUIT]]="","-",VLOOKUP(venta_a_mes9[[#This Row],[CUIT]],Lista_CUIT[#All],2,0)),"CUIT NO CARGADO")</f>
        <v>LANDI GERONIMO</v>
      </c>
      <c r="H63" s="100">
        <v>58677.67</v>
      </c>
      <c r="I63" s="218">
        <f>venta_a_mes9[[#This Row],[IMPORTE NETO]]*0.21</f>
        <v>12322.3107</v>
      </c>
      <c r="J63" s="65"/>
      <c r="K63" s="72"/>
      <c r="L63" s="219">
        <f>SUM(venta_a_mes9[[#This Row],[IMPORTE NETO]:[EXENTO]])</f>
        <v>70999.9807</v>
      </c>
      <c r="M63" s="220"/>
    </row>
    <row r="64" spans="2:13" x14ac:dyDescent="0.3">
      <c r="B64" s="202" t="s">
        <v>199</v>
      </c>
      <c r="C64" s="41">
        <v>1</v>
      </c>
      <c r="D64" s="42">
        <v>1</v>
      </c>
      <c r="E64" s="43">
        <v>266</v>
      </c>
      <c r="F64" s="44">
        <v>20279415656</v>
      </c>
      <c r="G64" s="215" t="str">
        <f>IFERROR(IF(venta_a_mes9[[#This Row],[CUIT]]="","-",VLOOKUP(venta_a_mes9[[#This Row],[CUIT]],Lista_CUIT[#All],2,0)),"CUIT NO CARGADO")</f>
        <v>CECCO ALVARO GONZALO</v>
      </c>
      <c r="H64" s="100">
        <v>94214.86</v>
      </c>
      <c r="I64" s="206">
        <f>venta_a_mes9[[#This Row],[IMPORTE NETO]]*0.21</f>
        <v>19785.120599999998</v>
      </c>
      <c r="J64" s="65"/>
      <c r="K64" s="65"/>
      <c r="L64" s="207">
        <f>SUM(venta_a_mes9[[#This Row],[IMPORTE NETO]:[EXENTO]])</f>
        <v>113999.9806</v>
      </c>
      <c r="M64" s="208"/>
    </row>
    <row r="65" spans="2:13" x14ac:dyDescent="0.3">
      <c r="B65" s="202" t="s">
        <v>199</v>
      </c>
      <c r="C65" s="41">
        <v>1</v>
      </c>
      <c r="D65" s="42">
        <v>1</v>
      </c>
      <c r="E65" s="43">
        <v>267</v>
      </c>
      <c r="F65" s="44">
        <v>20367341808</v>
      </c>
      <c r="G65" s="215" t="str">
        <f>IFERROR(IF(venta_a_mes9[[#This Row],[CUIT]]="","-",VLOOKUP(venta_a_mes9[[#This Row],[CUIT]],Lista_CUIT[#All],2,0)),"CUIT NO CARGADO")</f>
        <v>FEIDAS FERNANDO EMILIANO</v>
      </c>
      <c r="H65" s="100">
        <v>58677.67</v>
      </c>
      <c r="I65" s="206">
        <f>venta_a_mes9[[#This Row],[IMPORTE NETO]]*0.21</f>
        <v>12322.3107</v>
      </c>
      <c r="J65" s="207"/>
      <c r="K65" s="219"/>
      <c r="L65" s="207">
        <f>SUM(venta_a_mes9[[#This Row],[IMPORTE NETO]:[EXENTO]])</f>
        <v>70999.9807</v>
      </c>
      <c r="M65" s="208"/>
    </row>
    <row r="66" spans="2:13" x14ac:dyDescent="0.3">
      <c r="B66" s="202" t="s">
        <v>199</v>
      </c>
      <c r="C66" s="41">
        <v>1</v>
      </c>
      <c r="D66" s="42">
        <v>1</v>
      </c>
      <c r="E66" s="43">
        <v>261</v>
      </c>
      <c r="F66" s="44">
        <v>30716549107</v>
      </c>
      <c r="G66" s="215" t="str">
        <f>IFERROR(IF(venta_a_mes9[[#This Row],[CUIT]]="","-",VLOOKUP(venta_a_mes9[[#This Row],[CUIT]],Lista_CUIT[#All],2,0)),"CUIT NO CARGADO")</f>
        <v>LAMATEC S.R.L.</v>
      </c>
      <c r="H66" s="100">
        <v>190909.1</v>
      </c>
      <c r="I66" s="206">
        <f>venta_a_mes9[[#This Row],[IMPORTE NETO]]*0.21</f>
        <v>40090.911</v>
      </c>
      <c r="J66" s="207"/>
      <c r="K66" s="219"/>
      <c r="L66" s="207">
        <f>SUM(venta_a_mes9[[#This Row],[IMPORTE NETO]:[EXENTO]])</f>
        <v>231000.011</v>
      </c>
      <c r="M66" s="208"/>
    </row>
    <row r="67" spans="2:13" x14ac:dyDescent="0.3">
      <c r="B67" s="202" t="s">
        <v>199</v>
      </c>
      <c r="C67" s="41">
        <v>1</v>
      </c>
      <c r="D67" s="42">
        <v>1</v>
      </c>
      <c r="E67" s="43">
        <v>268</v>
      </c>
      <c r="F67" s="44">
        <v>30715941763</v>
      </c>
      <c r="G67" s="215" t="str">
        <f>IFERROR(IF(venta_a_mes9[[#This Row],[CUIT]]="","-",VLOOKUP(venta_a_mes9[[#This Row],[CUIT]],Lista_CUIT[#All],2,0)),"CUIT NO CARGADO")</f>
        <v>TOURMALHYN S.R.L.</v>
      </c>
      <c r="H67" s="100">
        <v>30578.52</v>
      </c>
      <c r="I67" s="206">
        <f>venta_a_mes9[[#This Row],[IMPORTE NETO]]*0.21</f>
        <v>6421.4892</v>
      </c>
      <c r="J67" s="207"/>
      <c r="K67" s="207"/>
      <c r="L67" s="207">
        <f>SUM(venta_a_mes9[[#This Row],[IMPORTE NETO]:[EXENTO]])</f>
        <v>37000.0092</v>
      </c>
      <c r="M67" s="208"/>
    </row>
    <row r="68" spans="2:13" x14ac:dyDescent="0.3">
      <c r="B68" s="202" t="s">
        <v>199</v>
      </c>
      <c r="C68" s="41">
        <v>1</v>
      </c>
      <c r="D68" s="42">
        <v>1</v>
      </c>
      <c r="E68" s="43">
        <v>262</v>
      </c>
      <c r="F68" s="44">
        <v>30718295900</v>
      </c>
      <c r="G68" s="215" t="str">
        <f>IFERROR(IF(venta_a_mes9[[#This Row],[CUIT]]="","-",VLOOKUP(venta_a_mes9[[#This Row],[CUIT]],Lista_CUIT[#All],2,0)),"CUIT NO CARGADO")</f>
        <v>LAPTOP SERVICE S.R.L.</v>
      </c>
      <c r="H68" s="100">
        <v>58677.67</v>
      </c>
      <c r="I68" s="206">
        <f>venta_a_mes9[[#This Row],[IMPORTE NETO]]*0.21</f>
        <v>12322.3107</v>
      </c>
      <c r="J68" s="207"/>
      <c r="K68" s="207"/>
      <c r="L68" s="207">
        <f>SUM(venta_a_mes9[[#This Row],[IMPORTE NETO]:[EXENTO]])</f>
        <v>70999.9807</v>
      </c>
      <c r="M68" s="208"/>
    </row>
    <row r="69" spans="2:13" x14ac:dyDescent="0.3">
      <c r="B69" s="202" t="s">
        <v>199</v>
      </c>
      <c r="C69" s="41">
        <v>1</v>
      </c>
      <c r="D69" s="42">
        <v>1</v>
      </c>
      <c r="E69" s="43">
        <v>269</v>
      </c>
      <c r="F69" s="44">
        <v>30717465101</v>
      </c>
      <c r="G69" s="215" t="str">
        <f>IFERROR(IF(venta_a_mes9[[#This Row],[CUIT]]="","-",VLOOKUP(venta_a_mes9[[#This Row],[CUIT]],Lista_CUIT[#All],2,0)),"CUIT NO CARGADO")</f>
        <v>EMPRENDIMIENTOS SHOPGLASS S. R. L.</v>
      </c>
      <c r="H69" s="100">
        <v>58677.67</v>
      </c>
      <c r="I69" s="206">
        <f>venta_a_mes9[[#This Row],[IMPORTE NETO]]*0.21</f>
        <v>12322.3107</v>
      </c>
      <c r="J69" s="207"/>
      <c r="K69" s="207"/>
      <c r="L69" s="207">
        <f>SUM(venta_a_mes9[[#This Row],[IMPORTE NETO]:[EXENTO]])</f>
        <v>70999.9807</v>
      </c>
      <c r="M69" s="208"/>
    </row>
    <row r="70" spans="2:13" x14ac:dyDescent="0.3">
      <c r="B70" s="202" t="s">
        <v>199</v>
      </c>
      <c r="C70" s="41">
        <v>1</v>
      </c>
      <c r="D70" s="42">
        <v>1</v>
      </c>
      <c r="E70" s="43">
        <v>278</v>
      </c>
      <c r="F70" s="44">
        <v>30715380567</v>
      </c>
      <c r="G70" s="215" t="str">
        <f>IFERROR(IF(venta_a_mes9[[#This Row],[CUIT]]="","-",VLOOKUP(venta_a_mes9[[#This Row],[CUIT]],Lista_CUIT[#All],2,0)),"CUIT NO CARGADO")</f>
        <v>SENS GROUP SRL</v>
      </c>
      <c r="H70" s="100">
        <v>176792.24</v>
      </c>
      <c r="I70" s="206">
        <f>venta_a_mes9[[#This Row],[IMPORTE NETO]]*0.21</f>
        <v>37126.3704</v>
      </c>
      <c r="J70" s="207"/>
      <c r="K70" s="207"/>
      <c r="L70" s="207">
        <f>SUM(venta_a_mes9[[#This Row],[IMPORTE NETO]:[EXENTO]])</f>
        <v>213918.61040000001</v>
      </c>
      <c r="M70" s="208"/>
    </row>
    <row r="71" spans="2:13" x14ac:dyDescent="0.3">
      <c r="B71" s="202" t="s">
        <v>199</v>
      </c>
      <c r="C71" s="41">
        <v>1</v>
      </c>
      <c r="D71" s="42">
        <v>1</v>
      </c>
      <c r="E71" s="43">
        <v>270</v>
      </c>
      <c r="F71" s="44">
        <v>20132082198</v>
      </c>
      <c r="G71" s="215" t="str">
        <f>IFERROR(IF(venta_a_mes9[[#This Row],[CUIT]]="","-",VLOOKUP(venta_a_mes9[[#This Row],[CUIT]],Lista_CUIT[#All],2,0)),"CUIT NO CARGADO")</f>
        <v>FADIGA OSCAR ALBERTO</v>
      </c>
      <c r="H71" s="100">
        <v>113223.14</v>
      </c>
      <c r="I71" s="206">
        <f>venta_a_mes9[[#This Row],[IMPORTE NETO]]*0.21</f>
        <v>23776.859399999998</v>
      </c>
      <c r="J71" s="207"/>
      <c r="K71" s="207"/>
      <c r="L71" s="207">
        <f>SUM(venta_a_mes9[[#This Row],[IMPORTE NETO]:[EXENTO]])</f>
        <v>136999.9994</v>
      </c>
      <c r="M71" s="208"/>
    </row>
    <row r="72" spans="2:13" x14ac:dyDescent="0.3">
      <c r="B72" s="202" t="s">
        <v>199</v>
      </c>
      <c r="C72" s="41">
        <v>1</v>
      </c>
      <c r="D72" s="42">
        <v>1</v>
      </c>
      <c r="E72" s="43">
        <v>279</v>
      </c>
      <c r="F72" s="44">
        <v>24368969350</v>
      </c>
      <c r="G72" s="215" t="str">
        <f>IFERROR(IF(venta_a_mes9[[#This Row],[CUIT]]="","-",VLOOKUP(venta_a_mes9[[#This Row],[CUIT]],Lista_CUIT[#All],2,0)),"CUIT NO CARGADO")</f>
        <v>MARANO CORVALAN MARTIN MARIANO</v>
      </c>
      <c r="H72" s="100">
        <v>390909.1</v>
      </c>
      <c r="I72" s="206">
        <f>venta_a_mes9[[#This Row],[IMPORTE NETO]]*0.21</f>
        <v>82090.910999999993</v>
      </c>
      <c r="J72" s="207"/>
      <c r="K72" s="207"/>
      <c r="L72" s="207">
        <f>SUM(venta_a_mes9[[#This Row],[IMPORTE NETO]:[EXENTO]])</f>
        <v>473000.01099999994</v>
      </c>
      <c r="M72" s="208"/>
    </row>
    <row r="73" spans="2:13" x14ac:dyDescent="0.3">
      <c r="B73" s="223" t="s">
        <v>202</v>
      </c>
      <c r="C73" s="41">
        <v>1</v>
      </c>
      <c r="D73" s="42">
        <v>1</v>
      </c>
      <c r="E73" s="43">
        <v>281</v>
      </c>
      <c r="F73" s="44">
        <v>30715438360</v>
      </c>
      <c r="G73" s="228" t="str">
        <f>IFERROR(IF(venta_a_mes9[[#This Row],[CUIT]]="","-",VLOOKUP(venta_a_mes9[[#This Row],[CUIT]],Lista_CUIT[#All],2,0)),"CUIT NO CARGADO")</f>
        <v>ERMAN CUSTODIAR S.A.</v>
      </c>
      <c r="H73" s="100">
        <v>97400</v>
      </c>
      <c r="I73" s="230">
        <f>venta_a_mes9[[#This Row],[IMPORTE NETO]]*0.21</f>
        <v>20454</v>
      </c>
      <c r="J73" s="231"/>
      <c r="K73" s="231"/>
      <c r="L73" s="231">
        <f>SUM(venta_a_mes9[[#This Row],[IMPORTE NETO]:[EXENTO]])</f>
        <v>117854</v>
      </c>
      <c r="M73" s="232"/>
    </row>
    <row r="74" spans="2:13" x14ac:dyDescent="0.3">
      <c r="B74" s="223" t="s">
        <v>203</v>
      </c>
      <c r="C74" s="41">
        <v>1</v>
      </c>
      <c r="D74" s="42">
        <v>1</v>
      </c>
      <c r="E74" s="43">
        <v>282</v>
      </c>
      <c r="F74" s="44">
        <v>27335747254</v>
      </c>
      <c r="G74" s="228" t="str">
        <f>IFERROR(IF(venta_a_mes9[[#This Row],[CUIT]]="","-",VLOOKUP(venta_a_mes9[[#This Row],[CUIT]],Lista_CUIT[#All],2,0)),"CUIT NO CARGADO")</f>
        <v>RODRIGUES DAIANA DENISE</v>
      </c>
      <c r="H74" s="100">
        <v>428099.19</v>
      </c>
      <c r="I74" s="230">
        <f>venta_a_mes9[[#This Row],[IMPORTE NETO]]*0.21</f>
        <v>89900.829899999997</v>
      </c>
      <c r="J74" s="231"/>
      <c r="K74" s="231"/>
      <c r="L74" s="231">
        <f>SUM(venta_a_mes9[[#This Row],[IMPORTE NETO]:[EXENTO]])</f>
        <v>518000.01990000001</v>
      </c>
      <c r="M74" s="232"/>
    </row>
    <row r="75" spans="2:13" x14ac:dyDescent="0.3">
      <c r="B75" s="66" t="s">
        <v>91</v>
      </c>
      <c r="C75" s="67"/>
      <c r="D75" s="67"/>
      <c r="E75" s="67"/>
      <c r="F75" s="67"/>
      <c r="G75" s="67"/>
      <c r="H75" s="69">
        <f>SUBTOTAL(109,venta_a_mes9[IMPORTE NETO])</f>
        <v>4115514.65</v>
      </c>
      <c r="I75" s="70">
        <f>SUBTOTAL(109,venta_a_mes9[IVA 21%])</f>
        <v>864258.07649999985</v>
      </c>
      <c r="J75" s="71">
        <f>SUBTOTAL(109,venta_a_mes9[IVA 10,5%])</f>
        <v>0</v>
      </c>
      <c r="K75" s="71">
        <f>SUBTOTAL(109,venta_a_mes9[EXENTO])</f>
        <v>0</v>
      </c>
      <c r="L75" s="71">
        <f>SUBTOTAL(109,venta_a_mes9[TOTAL])</f>
        <v>4979772.7265000008</v>
      </c>
      <c r="M75" s="68">
        <f>SUBTOTAL(103,venta_a_mes9[Provincia])</f>
        <v>0</v>
      </c>
    </row>
    <row r="76" spans="2:13" x14ac:dyDescent="0.3">
      <c r="B76" s="135"/>
      <c r="C76" s="135"/>
      <c r="D76" s="135"/>
      <c r="E76" s="135"/>
      <c r="F76" s="135"/>
      <c r="G76" s="135"/>
      <c r="H76" s="137"/>
      <c r="I76" s="138"/>
      <c r="J76" s="139"/>
      <c r="K76" s="139"/>
      <c r="L76" s="139"/>
      <c r="M76" s="136"/>
    </row>
    <row r="77" spans="2:13" ht="21" x14ac:dyDescent="0.3">
      <c r="B77" s="365" t="s">
        <v>31</v>
      </c>
      <c r="C77" s="365"/>
    </row>
    <row r="78" spans="2:13" ht="15.6" x14ac:dyDescent="0.3">
      <c r="B78" s="60" t="s">
        <v>0</v>
      </c>
      <c r="C78" s="61" t="s">
        <v>1</v>
      </c>
      <c r="D78" s="61" t="s">
        <v>21</v>
      </c>
      <c r="E78" s="61" t="s">
        <v>22</v>
      </c>
      <c r="F78" s="61" t="s">
        <v>3</v>
      </c>
      <c r="G78" s="61" t="s">
        <v>4</v>
      </c>
      <c r="H78" s="61" t="s">
        <v>23</v>
      </c>
      <c r="I78" s="61" t="s">
        <v>17</v>
      </c>
      <c r="J78" s="61" t="s">
        <v>7</v>
      </c>
      <c r="K78" s="61" t="s">
        <v>24</v>
      </c>
      <c r="L78" s="61" t="s">
        <v>10</v>
      </c>
      <c r="M78" s="62" t="s">
        <v>38</v>
      </c>
    </row>
    <row r="79" spans="2:13" x14ac:dyDescent="0.3">
      <c r="B79" s="40" t="s">
        <v>199</v>
      </c>
      <c r="C79" s="41">
        <v>6</v>
      </c>
      <c r="D79" s="42">
        <v>1</v>
      </c>
      <c r="E79" s="43">
        <v>43</v>
      </c>
      <c r="F79" s="44">
        <v>30592508830</v>
      </c>
      <c r="G79" s="1" t="str">
        <f>IFERROR(IF(ventas_b_mes9[[#This Row],[CUIT]]="","-",VLOOKUP(ventas_b_mes9[[#This Row],[CUIT]],Lista_CUIT[#All],2,0)),"CUIT NO CARGADO")</f>
        <v>INSTITUTO DE ESTUDIOS SUPERIORES DE BUENOS AIRES S A</v>
      </c>
      <c r="H79" s="64">
        <f>ventas_b_mes9[[#This Row],[TOTAL]]/1.21</f>
        <v>51239.669421487604</v>
      </c>
      <c r="I79" s="64">
        <f>ventas_b_mes9[[#This Row],[IMPORTE NETO]]*0.21</f>
        <v>10760.330578512396</v>
      </c>
      <c r="J79" s="64"/>
      <c r="K79" s="64"/>
      <c r="L79" s="64">
        <v>62000</v>
      </c>
      <c r="M79" s="59"/>
    </row>
    <row r="80" spans="2:13" x14ac:dyDescent="0.3">
      <c r="B80" s="40" t="s">
        <v>199</v>
      </c>
      <c r="C80" s="41">
        <v>6</v>
      </c>
      <c r="D80" s="42">
        <v>1</v>
      </c>
      <c r="E80" s="43">
        <v>44</v>
      </c>
      <c r="F80" s="44">
        <v>20252582704</v>
      </c>
      <c r="G80" s="1" t="str">
        <f>IFERROR(IF(ventas_b_mes9[[#This Row],[CUIT]]="","-",VLOOKUP(ventas_b_mes9[[#This Row],[CUIT]],Lista_CUIT[#All],2,0)),"CUIT NO CARGADO")</f>
        <v>GARCIA VAUTRIN ANDRES ALBERTO</v>
      </c>
      <c r="H80" s="64">
        <f>ventas_b_mes9[[#This Row],[TOTAL]]/1.21</f>
        <v>190909.09090909091</v>
      </c>
      <c r="I80" s="64">
        <f>ventas_b_mes9[[#This Row],[IMPORTE NETO]]*0.21</f>
        <v>40090.909090909088</v>
      </c>
      <c r="J80" s="64"/>
      <c r="K80" s="64"/>
      <c r="L80" s="64">
        <v>231000</v>
      </c>
      <c r="M80" s="59"/>
    </row>
    <row r="81" spans="2:13" x14ac:dyDescent="0.3">
      <c r="B81" s="40"/>
      <c r="C81" s="41"/>
      <c r="D81" s="42"/>
      <c r="E81" s="43"/>
      <c r="F81" s="44"/>
      <c r="G81" s="1"/>
      <c r="H81" s="64">
        <f>ventas_b_mes9[[#This Row],[TOTAL]]/1.21</f>
        <v>0</v>
      </c>
      <c r="I81" s="64">
        <f>ventas_b_mes9[[#This Row],[IMPORTE NETO]]*0.21</f>
        <v>0</v>
      </c>
      <c r="J81" s="64"/>
      <c r="K81" s="64"/>
      <c r="L81" s="64"/>
      <c r="M81" s="59"/>
    </row>
    <row r="82" spans="2:13" x14ac:dyDescent="0.3">
      <c r="B82" s="40"/>
      <c r="C82" s="41"/>
      <c r="D82" s="42"/>
      <c r="E82" s="43"/>
      <c r="F82" s="44"/>
      <c r="G82" s="1"/>
      <c r="H82" s="64">
        <f>ventas_b_mes9[[#This Row],[TOTAL]]/1.21</f>
        <v>0</v>
      </c>
      <c r="I82" s="64">
        <f>ventas_b_mes9[[#This Row],[IMPORTE NETO]]*0.21</f>
        <v>0</v>
      </c>
      <c r="J82" s="64"/>
      <c r="K82" s="64"/>
      <c r="L82" s="64"/>
      <c r="M82" s="59"/>
    </row>
    <row r="83" spans="2:13" x14ac:dyDescent="0.3">
      <c r="B83" s="40"/>
      <c r="C83" s="41"/>
      <c r="D83" s="42"/>
      <c r="E83" s="43"/>
      <c r="F83" s="44"/>
      <c r="G83" s="1"/>
      <c r="H83" s="64">
        <f>ventas_b_mes9[[#This Row],[TOTAL]]/1.21</f>
        <v>0</v>
      </c>
      <c r="I83" s="64">
        <f>ventas_b_mes9[[#This Row],[IMPORTE NETO]]*0.21</f>
        <v>0</v>
      </c>
      <c r="J83" s="64"/>
      <c r="K83" s="64"/>
      <c r="L83" s="64"/>
      <c r="M83" s="59"/>
    </row>
    <row r="84" spans="2:13" x14ac:dyDescent="0.3">
      <c r="B84" s="40"/>
      <c r="C84" s="41"/>
      <c r="D84" s="42"/>
      <c r="E84" s="43"/>
      <c r="F84" s="44"/>
      <c r="G84" s="1"/>
      <c r="H84" s="64">
        <f>ventas_b_mes9[[#This Row],[TOTAL]]/1.21</f>
        <v>0</v>
      </c>
      <c r="I84" s="64">
        <f>ventas_b_mes9[[#This Row],[IMPORTE NETO]]*0.21</f>
        <v>0</v>
      </c>
      <c r="J84" s="64"/>
      <c r="K84" s="64"/>
      <c r="L84" s="64"/>
      <c r="M84" s="59"/>
    </row>
    <row r="85" spans="2:13" x14ac:dyDescent="0.3">
      <c r="B85" s="66" t="s">
        <v>91</v>
      </c>
      <c r="C85" s="67"/>
      <c r="D85" s="67"/>
      <c r="E85" s="67"/>
      <c r="F85" s="67"/>
      <c r="G85" s="67"/>
      <c r="H85" s="77">
        <f>SUBTOTAL(109,ventas_b_mes9[IMPORTE NETO])</f>
        <v>242148.76033057852</v>
      </c>
      <c r="I85" s="77">
        <f>SUBTOTAL(109,ventas_b_mes9[IVA 21%])</f>
        <v>50851.239669421484</v>
      </c>
      <c r="J85" s="78">
        <f>SUBTOTAL(109,ventas_b_mes9[IVA 10,5%])</f>
        <v>0</v>
      </c>
      <c r="K85" s="78">
        <f>SUBTOTAL(109,ventas_b_mes9[EXENTO])</f>
        <v>0</v>
      </c>
      <c r="L85" s="78">
        <f>SUBTOTAL(109,ventas_b_mes9[TOTAL])</f>
        <v>293000</v>
      </c>
      <c r="M85" s="68">
        <f>SUBTOTAL(103,ventas_b_mes9[Provincia])</f>
        <v>0</v>
      </c>
    </row>
    <row r="92" spans="2:13" ht="15" thickBot="1" x14ac:dyDescent="0.35"/>
    <row r="93" spans="2:13" ht="15" thickTop="1" x14ac:dyDescent="0.3">
      <c r="C93" s="358" t="s">
        <v>66</v>
      </c>
      <c r="D93" s="358"/>
      <c r="E93" s="358"/>
      <c r="F93" s="358"/>
      <c r="G93" s="358"/>
      <c r="H93" s="32"/>
      <c r="I93" s="32"/>
      <c r="J93" s="32"/>
    </row>
    <row r="94" spans="2:13" ht="15.6" x14ac:dyDescent="0.3">
      <c r="C94" s="114" t="s">
        <v>67</v>
      </c>
      <c r="D94" s="115" t="s">
        <v>68</v>
      </c>
      <c r="E94" s="115" t="s">
        <v>93</v>
      </c>
      <c r="F94" s="115" t="s">
        <v>3</v>
      </c>
      <c r="G94" s="115" t="s">
        <v>4</v>
      </c>
      <c r="H94" s="116" t="s">
        <v>69</v>
      </c>
      <c r="I94" s="116" t="s">
        <v>70</v>
      </c>
      <c r="J94" s="116" t="s">
        <v>71</v>
      </c>
      <c r="K94" s="116" t="s">
        <v>72</v>
      </c>
      <c r="L94" s="116" t="s">
        <v>73</v>
      </c>
    </row>
    <row r="95" spans="2:13" x14ac:dyDescent="0.3">
      <c r="C95" s="117"/>
      <c r="D95" s="118"/>
      <c r="E95" s="118"/>
      <c r="F95" s="119"/>
      <c r="G95" s="53" t="str">
        <f>IFERROR(IF(Retenciones_mes9[[#This Row],[CUIT]]="","-",VLOOKUP(Retenciones_mes9[[#This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3">
      <c r="C96" s="117"/>
      <c r="D96" s="118"/>
      <c r="E96" s="118"/>
      <c r="F96" s="119"/>
      <c r="G96" s="53" t="str">
        <f>IFERROR(IF(Retenciones_mes9[[#This Row],[CUIT]]="","-",VLOOKUP(Retenciones_mes9[[#This Row],[CUIT]],Lista_CUIT[#All],2,0)),"CUIT NO CARGADO")</f>
        <v>-</v>
      </c>
      <c r="H96" s="120"/>
      <c r="I96" s="120"/>
      <c r="J96" s="120"/>
      <c r="K96" s="120"/>
      <c r="L96" s="120"/>
    </row>
    <row r="97" spans="3:12" x14ac:dyDescent="0.3">
      <c r="C97" s="117"/>
      <c r="D97" s="118"/>
      <c r="E97" s="118"/>
      <c r="F97" s="119"/>
      <c r="G97" s="53" t="str">
        <f>IFERROR(IF(Retenciones_mes9[[#This Row],[CUIT]]="","-",VLOOKUP(Retenciones_mes9[[#This Row],[CUIT]],Lista_CUIT[#All],2,0)),"CUIT NO CARGADO")</f>
        <v>-</v>
      </c>
      <c r="H97" s="120"/>
      <c r="I97" s="120"/>
      <c r="J97" s="120"/>
      <c r="K97" s="120"/>
      <c r="L97" s="120"/>
    </row>
    <row r="98" spans="3:12" x14ac:dyDescent="0.3">
      <c r="C98" s="117"/>
      <c r="D98" s="118"/>
      <c r="E98" s="118"/>
      <c r="F98" s="119"/>
      <c r="G98" s="53" t="str">
        <f>IFERROR(IF(Retenciones_mes9[[#This Row],[CUIT]]="","-",VLOOKUP(Retenciones_mes9[[#This Row],[CUIT]],Lista_CUIT[#All],2,0)),"CUIT NO CARGADO")</f>
        <v>-</v>
      </c>
      <c r="H98" s="120"/>
      <c r="I98" s="120"/>
      <c r="J98" s="120"/>
      <c r="K98" s="120"/>
      <c r="L98" s="120"/>
    </row>
    <row r="99" spans="3:12" x14ac:dyDescent="0.3">
      <c r="D99" s="118"/>
      <c r="E99" s="118"/>
      <c r="G99" s="53" t="str">
        <f>IFERROR(IF(Retenciones_mes9[[#This Row],[CUIT]]="","-",VLOOKUP(Retenciones_mes9[[#This Row],[CUIT]],Lista_CUIT[#All],2,0)),"CUIT NO CARGADO")</f>
        <v>-</v>
      </c>
    </row>
    <row r="100" spans="3:12" x14ac:dyDescent="0.3">
      <c r="C100" s="33"/>
    </row>
  </sheetData>
  <mergeCells count="20">
    <mergeCell ref="P4:R4"/>
    <mergeCell ref="D28:L28"/>
    <mergeCell ref="B1:F1"/>
    <mergeCell ref="G1:M1"/>
    <mergeCell ref="N1:R1"/>
    <mergeCell ref="B3:E3"/>
    <mergeCell ref="G3:H3"/>
    <mergeCell ref="J3:K3"/>
    <mergeCell ref="M3:N3"/>
    <mergeCell ref="P3:R3"/>
    <mergeCell ref="C93:G93"/>
    <mergeCell ref="B4:E4"/>
    <mergeCell ref="G4:H4"/>
    <mergeCell ref="J4:K4"/>
    <mergeCell ref="M4:N4"/>
    <mergeCell ref="D37:K37"/>
    <mergeCell ref="B49:J49"/>
    <mergeCell ref="K49:M49"/>
    <mergeCell ref="B51:C51"/>
    <mergeCell ref="B77:C77"/>
  </mergeCells>
  <phoneticPr fontId="38" type="noConversion"/>
  <dataValidations count="13">
    <dataValidation type="custom" allowBlank="1" showInputMessage="1" showErrorMessage="1" sqref="H79:L84" xr:uid="{00000000-0002-0000-0900-000000000000}">
      <formula1>IF($C79=8,H79&lt;0,H79&gt;=0)</formula1>
    </dataValidation>
    <dataValidation type="custom" allowBlank="1" showInputMessage="1" showErrorMessage="1" sqref="L58:L59" xr:uid="{00000000-0002-0000-0900-000001000000}">
      <formula1>IF($C23=3,L23&lt;0,L23&gt;=0)</formula1>
    </dataValidation>
    <dataValidation type="custom" allowBlank="1" showInputMessage="1" showErrorMessage="1" sqref="L53:L54" xr:uid="{00000000-0002-0000-0900-000002000000}">
      <formula1>IF($C9=3,L9&lt;0,L9&gt;=0)</formula1>
    </dataValidation>
    <dataValidation type="whole" allowBlank="1" showInputMessage="1" showErrorMessage="1" sqref="C79:C84" xr:uid="{00000000-0002-0000-0900-000003000000}">
      <formula1>6</formula1>
      <formula2>8</formula2>
    </dataValidation>
    <dataValidation type="custom" allowBlank="1" showInputMessage="1" showErrorMessage="1" sqref="H53:K53 H57:K57 H59:K59 H55:K55 H54 H56 H58 H60:H74" xr:uid="{00000000-0002-0000-0900-000004000000}">
      <formula1>IF($C53=3,H53&lt;0,H53&gt;=0)</formula1>
    </dataValidation>
    <dataValidation type="whole" allowBlank="1" showInputMessage="1" showErrorMessage="1" sqref="C24:C27 C76 C9:C22 C53:C74" xr:uid="{00000000-0002-0000-0900-000005000000}">
      <formula1>1</formula1>
      <formula2>3</formula2>
    </dataValidation>
    <dataValidation type="date" allowBlank="1" showInputMessage="1" showErrorMessage="1" sqref="B9:B22 D30:D32 D39:D43 B24:B27 B79:B84 B53:B74 B76" xr:uid="{00000000-0002-0000-0900-000006000000}">
      <formula1>40179</formula1>
      <formula2>TODAY()</formula2>
    </dataValidation>
    <dataValidation type="whole" allowBlank="1" showInputMessage="1" showErrorMessage="1" sqref="F9:F22 F76 F79:F84 G39:G43 F53:F74" xr:uid="{00000000-0002-0000-0900-000007000000}">
      <formula1>20000000000</formula1>
      <formula2>33999999999</formula2>
    </dataValidation>
    <dataValidation type="whole" allowBlank="1" showInputMessage="1" showErrorMessage="1" sqref="E9:E22 E76 E79:E84 F39:F43 E53:E74" xr:uid="{00000000-0002-0000-0900-000008000000}">
      <formula1>1</formula1>
      <formula2>99999999</formula2>
    </dataValidation>
    <dataValidation type="whole" allowBlank="1" showInputMessage="1" showErrorMessage="1" sqref="D9:D22 D76 D79:D84 E39:E43 D53:D74" xr:uid="{00000000-0002-0000-0900-000009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0 H11:N11 H12:O12 H13:N13 H14:O14 H15:N17 H18:O18 H21:O22 H19:N20" xr:uid="{00000000-0002-0000-0900-00000A000000}">
      <formula1>IF($C9=3,H9&lt;0,H9&gt;=0)</formula1>
    </dataValidation>
    <dataValidation type="custom" allowBlank="1" showInputMessage="1" showErrorMessage="1" sqref="L55 L57" xr:uid="{00000000-0002-0000-0900-00000B000000}">
      <formula1>IF($C13=3,#REF!&lt;0,#REF!&gt;=0)</formula1>
    </dataValidation>
    <dataValidation type="custom" allowBlank="1" showInputMessage="1" showErrorMessage="1" sqref="L56" xr:uid="{00000000-0002-0000-0900-00000C000000}">
      <formula1>IF($C14=3,L14&lt;0,L14&gt;=0)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122"/>
  <sheetViews>
    <sheetView showGridLines="0" zoomScale="90" zoomScaleNormal="90" workbookViewId="0">
      <selection activeCell="M23" sqref="M23"/>
    </sheetView>
  </sheetViews>
  <sheetFormatPr baseColWidth="10" defaultColWidth="0" defaultRowHeight="14.4" x14ac:dyDescent="0.3"/>
  <cols>
    <col min="1" max="1" width="1.6640625" customWidth="1"/>
    <col min="2" max="2" width="10.5546875" customWidth="1"/>
    <col min="3" max="3" width="9.5546875" customWidth="1"/>
    <col min="4" max="4" width="13.33203125" customWidth="1"/>
    <col min="5" max="5" width="17.109375" bestFit="1" customWidth="1"/>
    <col min="6" max="6" width="19.332031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4.88671875" customWidth="1"/>
    <col min="14" max="14" width="12.6640625" customWidth="1"/>
    <col min="15" max="15" width="18.5546875" customWidth="1"/>
    <col min="16" max="16" width="17.109375" customWidth="1"/>
    <col min="17" max="17" width="16.6640625" customWidth="1"/>
    <col min="18" max="18" width="14.33203125" customWidth="1"/>
    <col min="19" max="19" width="15.88671875" customWidth="1"/>
    <col min="20" max="20" width="23.1093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75" t="str">
        <f>'Ene-24'!G1:M1</f>
        <v>RABLEB SRL</v>
      </c>
      <c r="H1" s="375"/>
      <c r="I1" s="375"/>
      <c r="J1" s="375"/>
      <c r="K1" s="375"/>
      <c r="L1" s="375"/>
      <c r="M1" s="375"/>
      <c r="N1" s="370">
        <f>EDATE('Ene-24'!N1,9)</f>
        <v>45566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SUM(compras_mes10[[#Totals],[NETO GRAVADO]])+extracto_banco_mes10[[#Totals],[NETO]]</f>
        <v>2999893.5700000003</v>
      </c>
      <c r="C4" s="359"/>
      <c r="D4" s="359"/>
      <c r="E4" s="359"/>
      <c r="F4" s="39"/>
      <c r="G4" s="360">
        <f>compras_mes10[[#Totals],[IVA 21 %]]+compras_mes10[[#Totals],[IVA 27%]]+compras_mes10[[#Totals],[IVA 10,5%]]+extracto_banco_mes10[[#Totals],[IVA 21%]]+extracto_banco_mes10[[#Totals],[IVA 10,5%]]</f>
        <v>629977.64969999972</v>
      </c>
      <c r="H4" s="360"/>
      <c r="I4" s="39"/>
      <c r="J4" s="361">
        <f>venta_a_mes10[[#Totals],[IMPORTE NETO]]+ventas_b_mes10[[#Totals],[IMPORTE NETO]]</f>
        <v>16520220.783719007</v>
      </c>
      <c r="K4" s="361"/>
      <c r="L4" s="39"/>
      <c r="M4" s="361">
        <f>venta_a_mes10[[#Totals],[IVA 21%]]+venta_a_mes10[[#Totals],[IVA 10,5%]]+ventas_b_mes10[[#Totals],[IVA 21%]]+ventas_b_mes10[[#Totals],[IVA 10,5%]]</f>
        <v>3469246.3645809907</v>
      </c>
      <c r="N4" s="361"/>
      <c r="O4" s="39"/>
      <c r="P4" s="366">
        <f>G4-M4</f>
        <v>-2839268.7148809908</v>
      </c>
      <c r="Q4" s="367"/>
      <c r="R4" s="367"/>
    </row>
    <row r="5" spans="1:26" ht="13.5" customHeight="1" x14ac:dyDescent="0.3"/>
    <row r="6" spans="1:26" ht="12.7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49" t="s">
        <v>206</v>
      </c>
      <c r="C9" s="150">
        <v>1</v>
      </c>
      <c r="D9" s="151">
        <v>2</v>
      </c>
      <c r="E9" s="152">
        <v>1346127</v>
      </c>
      <c r="F9" s="153">
        <v>30710173652</v>
      </c>
      <c r="G9" s="154" t="str">
        <f>IFERROR(IF(compras_mes10[[#This Row],[CUIT]]="","-",VLOOKUP(compras_mes10[[#This Row],[CUIT]],Lista_CUIT[#All],2,0)),"CUIT NO CARGADO")</f>
        <v>DATTATEC.COM S.R.L.</v>
      </c>
      <c r="H9" s="155">
        <v>23719.01</v>
      </c>
      <c r="I9" s="156">
        <f>IF(compras_mes10[[#This Row],[NETO GRAVADO]]="","",compras_mes10[[#This Row],[NETO GRAVADO]]*0.21)</f>
        <v>4980.9920999999995</v>
      </c>
      <c r="J9" s="156"/>
      <c r="K9" s="156"/>
      <c r="L9" s="156"/>
      <c r="M9" s="156"/>
      <c r="N9" s="156"/>
      <c r="O9" s="156"/>
      <c r="P9" s="157">
        <f>SUM(compras_mes10[[#This Row],[NETO GRAVADO]:[Otros / No Grav.]])</f>
        <v>28700.002099999998</v>
      </c>
      <c r="Q9" s="158" t="str">
        <f>IFERROR(IF(compras_mes10[[#This Row],[CUIT]]="","-",VLOOKUP(compras_mes10[[#This Row],[CUIT]],Lista_CUIT[#All],3,0)),"CUIT NO CARGADO")</f>
        <v>Gastos Publicidad y Propaganda</v>
      </c>
      <c r="R9" s="158">
        <f>IFERROR(IF(compras_mes10[[#This Row],[CUIT]]="","-",VLOOKUP(compras_mes10[[#This Row],[CUIT]],Lista_CUIT[#All],4,0)),"CUIT NO CARGADO")</f>
        <v>0</v>
      </c>
    </row>
    <row r="10" spans="1:26" x14ac:dyDescent="0.3">
      <c r="B10" s="149" t="s">
        <v>207</v>
      </c>
      <c r="C10" s="150">
        <v>1</v>
      </c>
      <c r="D10" s="151">
        <v>2</v>
      </c>
      <c r="E10" s="152">
        <v>1351149</v>
      </c>
      <c r="F10" s="153">
        <v>30710173652</v>
      </c>
      <c r="G10" s="154" t="str">
        <f>IFERROR(IF(compras_mes10[[#This Row],[CUIT]]="","-",VLOOKUP(compras_mes10[[#This Row],[CUIT]],Lista_CUIT[#All],2,0)),"CUIT NO CARGADO")</f>
        <v>DATTATEC.COM S.R.L.</v>
      </c>
      <c r="H10" s="155">
        <v>47438.02</v>
      </c>
      <c r="I10" s="156">
        <f>IF(compras_mes10[[#This Row],[NETO GRAVADO]]="","",compras_mes10[[#This Row],[NETO GRAVADO]]*0.21)</f>
        <v>9961.984199999999</v>
      </c>
      <c r="J10" s="156"/>
      <c r="K10" s="156"/>
      <c r="L10" s="156"/>
      <c r="M10" s="156"/>
      <c r="N10" s="156"/>
      <c r="O10" s="156"/>
      <c r="P10" s="157">
        <f>SUM(compras_mes10[[#This Row],[NETO GRAVADO]:[Otros / No Grav.]])</f>
        <v>57400.004199999996</v>
      </c>
      <c r="Q10" s="158" t="str">
        <f>IFERROR(IF(compras_mes10[[#This Row],[CUIT]]="","-",VLOOKUP(compras_mes10[[#This Row],[CUIT]],Lista_CUIT[#All],3,0)),"CUIT NO CARGADO")</f>
        <v>Gastos Publicidad y Propaganda</v>
      </c>
      <c r="R10" s="158">
        <f>IFERROR(IF(compras_mes10[[#This Row],[CUIT]]="","-",VLOOKUP(compras_mes10[[#This Row],[CUIT]],Lista_CUIT[#All],4,0)),"CUIT NO CARGADO")</f>
        <v>0</v>
      </c>
    </row>
    <row r="11" spans="1:26" x14ac:dyDescent="0.3">
      <c r="B11" s="149" t="s">
        <v>208</v>
      </c>
      <c r="C11" s="150">
        <v>1</v>
      </c>
      <c r="D11" s="151">
        <v>2</v>
      </c>
      <c r="E11" s="152">
        <v>1351804</v>
      </c>
      <c r="F11" s="153">
        <v>30710173652</v>
      </c>
      <c r="G11" s="154" t="str">
        <f>IFERROR(IF(compras_mes10[[#This Row],[CUIT]]="","-",VLOOKUP(compras_mes10[[#This Row],[CUIT]],Lista_CUIT[#All],2,0)),"CUIT NO CARGADO")</f>
        <v>DATTATEC.COM S.R.L.</v>
      </c>
      <c r="H11" s="155">
        <v>23719.01</v>
      </c>
      <c r="I11" s="156">
        <f>IF(compras_mes10[[#This Row],[NETO GRAVADO]]="","",compras_mes10[[#This Row],[NETO GRAVADO]]*0.21)</f>
        <v>4980.9920999999995</v>
      </c>
      <c r="J11" s="156"/>
      <c r="K11" s="156"/>
      <c r="L11" s="156"/>
      <c r="M11" s="156"/>
      <c r="N11" s="156"/>
      <c r="O11" s="156"/>
      <c r="P11" s="157">
        <f>SUM(compras_mes10[[#This Row],[NETO GRAVADO]:[Otros / No Grav.]])</f>
        <v>28700.002099999998</v>
      </c>
      <c r="Q11" s="158" t="str">
        <f>IFERROR(IF(compras_mes10[[#This Row],[CUIT]]="","-",VLOOKUP(compras_mes10[[#This Row],[CUIT]],Lista_CUIT[#All],3,0)),"CUIT NO CARGADO")</f>
        <v>Gastos Publicidad y Propaganda</v>
      </c>
      <c r="R11" s="158">
        <f>IFERROR(IF(compras_mes10[[#This Row],[CUIT]]="","-",VLOOKUP(compras_mes10[[#This Row],[CUIT]],Lista_CUIT[#All],4,0)),"CUIT NO CARGADO")</f>
        <v>0</v>
      </c>
    </row>
    <row r="12" spans="1:26" x14ac:dyDescent="0.3">
      <c r="B12" s="149" t="s">
        <v>209</v>
      </c>
      <c r="C12" s="150">
        <v>1</v>
      </c>
      <c r="D12" s="151">
        <v>11</v>
      </c>
      <c r="E12" s="152">
        <v>1058488</v>
      </c>
      <c r="F12" s="153">
        <v>33709585229</v>
      </c>
      <c r="G12" s="154" t="str">
        <f>IFERROR(IF(compras_mes10[[#This Row],[CUIT]]="","-",VLOOKUP(compras_mes10[[#This Row],[CUIT]],Lista_CUIT[#All],2,0)),"CUIT NO CARGADO")</f>
        <v>GOOGLE ARGENTINA S.R.L.</v>
      </c>
      <c r="H12" s="155">
        <v>21381.43</v>
      </c>
      <c r="I12" s="156">
        <f>IF(compras_mes10[[#This Row],[NETO GRAVADO]]="","",compras_mes10[[#This Row],[NETO GRAVADO]]*0.21)</f>
        <v>4490.1003000000001</v>
      </c>
      <c r="J12" s="156"/>
      <c r="K12" s="156"/>
      <c r="L12" s="156"/>
      <c r="M12" s="156">
        <v>320.72000000000003</v>
      </c>
      <c r="N12" s="156"/>
      <c r="O12" s="156">
        <v>641.44000000000005</v>
      </c>
      <c r="P12" s="291">
        <f>SUM(compras_mes10[[#This Row],[NETO GRAVADO]:[Otros / No Grav.]])</f>
        <v>26833.690299999998</v>
      </c>
      <c r="Q12" s="158" t="str">
        <f>IFERROR(IF(compras_mes10[[#This Row],[CUIT]]="","-",VLOOKUP(compras_mes10[[#This Row],[CUIT]],Lista_CUIT[#All],3,0)),"CUIT NO CARGADO")</f>
        <v>Gastos Publicidad y Propaganda</v>
      </c>
      <c r="R12" s="158">
        <f>IFERROR(IF(compras_mes10[[#This Row],[CUIT]]="","-",VLOOKUP(compras_mes10[[#This Row],[CUIT]],Lista_CUIT[#All],4,0)),"CUIT NO CARGADO")</f>
        <v>0</v>
      </c>
    </row>
    <row r="13" spans="1:26" ht="15.75" customHeight="1" x14ac:dyDescent="0.3">
      <c r="A13" s="127"/>
      <c r="B13" s="149" t="s">
        <v>209</v>
      </c>
      <c r="C13" s="150">
        <v>1</v>
      </c>
      <c r="D13" s="151">
        <v>11</v>
      </c>
      <c r="E13" s="152">
        <v>1063863</v>
      </c>
      <c r="F13" s="153">
        <v>33709585229</v>
      </c>
      <c r="G13" s="154" t="str">
        <f>IFERROR(IF(compras_mes10[[#This Row],[CUIT]]="","-",VLOOKUP(compras_mes10[[#This Row],[CUIT]],Lista_CUIT[#All],2,0)),"CUIT NO CARGADO")</f>
        <v>GOOGLE ARGENTINA S.R.L.</v>
      </c>
      <c r="H13" s="155">
        <v>71813.850000000006</v>
      </c>
      <c r="I13" s="156">
        <f>IF(compras_mes10[[#This Row],[NETO GRAVADO]]="","",compras_mes10[[#This Row],[NETO GRAVADO]]*0.21)</f>
        <v>15080.908500000001</v>
      </c>
      <c r="J13" s="156"/>
      <c r="K13" s="156"/>
      <c r="L13" s="156"/>
      <c r="M13" s="156">
        <v>1077.21</v>
      </c>
      <c r="N13" s="156"/>
      <c r="O13" s="156">
        <v>2154.42</v>
      </c>
      <c r="P13" s="291">
        <f>SUM(compras_mes10[[#This Row],[NETO GRAVADO]:[Otros / No Grav.]])</f>
        <v>90126.388500000015</v>
      </c>
      <c r="Q13" s="158" t="str">
        <f>IFERROR(IF(compras_mes10[[#This Row],[CUIT]]="","-",VLOOKUP(compras_mes10[[#This Row],[CUIT]],Lista_CUIT[#All],3,0)),"CUIT NO CARGADO")</f>
        <v>Gastos Publicidad y Propaganda</v>
      </c>
      <c r="R13" s="158">
        <f>IFERROR(IF(compras_mes10[[#This Row],[CUIT]]="","-",VLOOKUP(compras_mes10[[#This Row],[CUIT]],Lista_CUIT[#All],4,0)),"CUIT NO CARGADO")</f>
        <v>0</v>
      </c>
    </row>
    <row r="14" spans="1:26" x14ac:dyDescent="0.3">
      <c r="A14" s="127"/>
      <c r="B14" s="149" t="s">
        <v>209</v>
      </c>
      <c r="C14" s="150">
        <v>1</v>
      </c>
      <c r="D14" s="151">
        <v>11</v>
      </c>
      <c r="E14" s="152">
        <v>1060245</v>
      </c>
      <c r="F14" s="153">
        <v>33709585229</v>
      </c>
      <c r="G14" s="154" t="str">
        <f>IFERROR(IF(compras_mes10[[#This Row],[CUIT]]="","-",VLOOKUP(compras_mes10[[#This Row],[CUIT]],Lista_CUIT[#All],2,0)),"CUIT NO CARGADO")</f>
        <v>GOOGLE ARGENTINA S.R.L.</v>
      </c>
      <c r="H14" s="155">
        <v>2075899.67</v>
      </c>
      <c r="I14" s="156">
        <f>IF(compras_mes10[[#This Row],[NETO GRAVADO]]="","",compras_mes10[[#This Row],[NETO GRAVADO]]*0.21)</f>
        <v>435938.93069999997</v>
      </c>
      <c r="J14" s="156"/>
      <c r="K14" s="156"/>
      <c r="L14" s="156"/>
      <c r="M14" s="156">
        <v>31138.5</v>
      </c>
      <c r="N14" s="156"/>
      <c r="O14" s="156">
        <v>62276.99</v>
      </c>
      <c r="P14" s="291">
        <f>SUM(compras_mes10[[#This Row],[NETO GRAVADO]:[Otros / No Grav.]])</f>
        <v>2605254.0907000001</v>
      </c>
      <c r="Q14" s="158" t="str">
        <f>IFERROR(IF(compras_mes10[[#This Row],[CUIT]]="","-",VLOOKUP(compras_mes10[[#This Row],[CUIT]],Lista_CUIT[#All],3,0)),"CUIT NO CARGADO")</f>
        <v>Gastos Publicidad y Propaganda</v>
      </c>
      <c r="R14" s="158">
        <f>IFERROR(IF(compras_mes10[[#This Row],[CUIT]]="","-",VLOOKUP(compras_mes10[[#This Row],[CUIT]],Lista_CUIT[#All],4,0)),"CUIT NO CARGADO")</f>
        <v>0</v>
      </c>
    </row>
    <row r="15" spans="1:26" x14ac:dyDescent="0.3">
      <c r="A15" s="127"/>
      <c r="B15" s="149" t="s">
        <v>209</v>
      </c>
      <c r="C15" s="150">
        <v>1</v>
      </c>
      <c r="D15" s="151">
        <v>11</v>
      </c>
      <c r="E15" s="152">
        <v>1060282</v>
      </c>
      <c r="F15" s="153">
        <v>33709585229</v>
      </c>
      <c r="G15" s="154" t="str">
        <f>IFERROR(IF(compras_mes10[[#This Row],[CUIT]]="","-",VLOOKUP(compras_mes10[[#This Row],[CUIT]],Lista_CUIT[#All],2,0)),"CUIT NO CARGADO")</f>
        <v>GOOGLE ARGENTINA S.R.L.</v>
      </c>
      <c r="H15" s="155">
        <v>59668.72</v>
      </c>
      <c r="I15" s="156">
        <f>IF(compras_mes10[[#This Row],[NETO GRAVADO]]="","",compras_mes10[[#This Row],[NETO GRAVADO]]*0.21)</f>
        <v>12530.431199999999</v>
      </c>
      <c r="J15" s="156"/>
      <c r="K15" s="156"/>
      <c r="L15" s="156"/>
      <c r="M15" s="156">
        <v>895.03</v>
      </c>
      <c r="N15" s="156"/>
      <c r="O15" s="156">
        <v>1790.06</v>
      </c>
      <c r="P15" s="291">
        <f>SUM(compras_mes10[[#This Row],[NETO GRAVADO]:[Otros / No Grav.]])</f>
        <v>74884.241199999989</v>
      </c>
      <c r="Q15" s="158" t="str">
        <f>IFERROR(IF(compras_mes10[[#This Row],[CUIT]]="","-",VLOOKUP(compras_mes10[[#This Row],[CUIT]],Lista_CUIT[#All],3,0)),"CUIT NO CARGADO")</f>
        <v>Gastos Publicidad y Propaganda</v>
      </c>
      <c r="R15" s="158">
        <f>IFERROR(IF(compras_mes10[[#This Row],[CUIT]]="","-",VLOOKUP(compras_mes10[[#This Row],[CUIT]],Lista_CUIT[#All],4,0)),"CUIT NO CARGADO")</f>
        <v>0</v>
      </c>
    </row>
    <row r="16" spans="1:26" x14ac:dyDescent="0.3">
      <c r="A16" s="127"/>
      <c r="B16" s="149" t="s">
        <v>209</v>
      </c>
      <c r="C16" s="150">
        <v>1</v>
      </c>
      <c r="D16" s="151">
        <v>11</v>
      </c>
      <c r="E16" s="152">
        <v>1064236</v>
      </c>
      <c r="F16" s="153">
        <v>33709585229</v>
      </c>
      <c r="G16" s="154" t="str">
        <f>IFERROR(IF(compras_mes10[[#This Row],[CUIT]]="","-",VLOOKUP(compras_mes10[[#This Row],[CUIT]],Lista_CUIT[#All],2,0)),"CUIT NO CARGADO")</f>
        <v>GOOGLE ARGENTINA S.R.L.</v>
      </c>
      <c r="H16" s="155">
        <v>14314.24</v>
      </c>
      <c r="I16" s="156">
        <f>IF(compras_mes10[[#This Row],[NETO GRAVADO]]="","",compras_mes10[[#This Row],[NETO GRAVADO]]*0.21)</f>
        <v>3005.9903999999997</v>
      </c>
      <c r="J16" s="156"/>
      <c r="K16" s="156"/>
      <c r="L16" s="156"/>
      <c r="M16" s="156">
        <v>214.71</v>
      </c>
      <c r="N16" s="156"/>
      <c r="O16" s="156">
        <v>429.43</v>
      </c>
      <c r="P16" s="291">
        <f>SUM(compras_mes10[[#This Row],[NETO GRAVADO]:[Otros / No Grav.]])</f>
        <v>17964.3704</v>
      </c>
      <c r="Q16" s="158" t="str">
        <f>IFERROR(IF(compras_mes10[[#This Row],[CUIT]]="","-",VLOOKUP(compras_mes10[[#This Row],[CUIT]],Lista_CUIT[#All],3,0)),"CUIT NO CARGADO")</f>
        <v>Gastos Publicidad y Propaganda</v>
      </c>
      <c r="R16" s="158">
        <f>IFERROR(IF(compras_mes10[[#This Row],[CUIT]]="","-",VLOOKUP(compras_mes10[[#This Row],[CUIT]],Lista_CUIT[#All],4,0)),"CUIT NO CARGADO")</f>
        <v>0</v>
      </c>
    </row>
    <row r="17" spans="1:18" x14ac:dyDescent="0.3">
      <c r="A17" s="127"/>
      <c r="B17" s="149" t="s">
        <v>209</v>
      </c>
      <c r="C17" s="150">
        <v>1</v>
      </c>
      <c r="D17" s="151">
        <v>11</v>
      </c>
      <c r="E17" s="152">
        <v>1062268</v>
      </c>
      <c r="F17" s="153">
        <v>33709585229</v>
      </c>
      <c r="G17" s="154" t="str">
        <f>IFERROR(IF(compras_mes10[[#This Row],[CUIT]]="","-",VLOOKUP(compras_mes10[[#This Row],[CUIT]],Lista_CUIT[#All],2,0)),"CUIT NO CARGADO")</f>
        <v>GOOGLE ARGENTINA S.R.L.</v>
      </c>
      <c r="H17" s="155">
        <v>435671.4</v>
      </c>
      <c r="I17" s="156">
        <f>IF(compras_mes10[[#This Row],[NETO GRAVADO]]="","",compras_mes10[[#This Row],[NETO GRAVADO]]*0.21)</f>
        <v>91490.994000000006</v>
      </c>
      <c r="J17" s="156"/>
      <c r="K17" s="156"/>
      <c r="L17" s="156"/>
      <c r="M17" s="156">
        <v>6535.07</v>
      </c>
      <c r="N17" s="156"/>
      <c r="O17" s="156">
        <v>13070.14</v>
      </c>
      <c r="P17" s="291">
        <f>SUM(compras_mes10[[#This Row],[NETO GRAVADO]:[Otros / No Grav.]])</f>
        <v>546767.60400000005</v>
      </c>
      <c r="Q17" s="158" t="str">
        <f>IFERROR(IF(compras_mes10[[#This Row],[CUIT]]="","-",VLOOKUP(compras_mes10[[#This Row],[CUIT]],Lista_CUIT[#All],3,0)),"CUIT NO CARGADO")</f>
        <v>Gastos Publicidad y Propaganda</v>
      </c>
      <c r="R17" s="158">
        <f>IFERROR(IF(compras_mes10[[#This Row],[CUIT]]="","-",VLOOKUP(compras_mes10[[#This Row],[CUIT]],Lista_CUIT[#All],4,0)),"CUIT NO CARGADO")</f>
        <v>0</v>
      </c>
    </row>
    <row r="18" spans="1:18" x14ac:dyDescent="0.3">
      <c r="A18" s="127"/>
      <c r="B18" s="149" t="s">
        <v>209</v>
      </c>
      <c r="C18" s="150">
        <v>1</v>
      </c>
      <c r="D18" s="151">
        <v>11</v>
      </c>
      <c r="E18" s="152">
        <v>1057212</v>
      </c>
      <c r="F18" s="153">
        <v>33709585229</v>
      </c>
      <c r="G18" s="154" t="str">
        <f>IFERROR(IF(compras_mes10[[#This Row],[CUIT]]="","-",VLOOKUP(compras_mes10[[#This Row],[CUIT]],Lista_CUIT[#All],2,0)),"CUIT NO CARGADO")</f>
        <v>GOOGLE ARGENTINA S.R.L.</v>
      </c>
      <c r="H18" s="155">
        <v>174651.73</v>
      </c>
      <c r="I18" s="156">
        <f>IF(compras_mes10[[#This Row],[NETO GRAVADO]]="","",compras_mes10[[#This Row],[NETO GRAVADO]]*0.21)</f>
        <v>36676.863299999997</v>
      </c>
      <c r="J18" s="156"/>
      <c r="K18" s="156"/>
      <c r="L18" s="156"/>
      <c r="M18" s="156">
        <v>2619.7800000000002</v>
      </c>
      <c r="N18" s="156"/>
      <c r="O18" s="156">
        <v>5239.55</v>
      </c>
      <c r="P18" s="291">
        <f>SUM(compras_mes10[[#This Row],[NETO GRAVADO]:[Otros / No Grav.]])</f>
        <v>219187.92329999999</v>
      </c>
      <c r="Q18" s="158" t="str">
        <f>IFERROR(IF(compras_mes10[[#This Row],[CUIT]]="","-",VLOOKUP(compras_mes10[[#This Row],[CUIT]],Lista_CUIT[#All],3,0)),"CUIT NO CARGADO")</f>
        <v>Gastos Publicidad y Propaganda</v>
      </c>
      <c r="R18" s="158">
        <f>IFERROR(IF(compras_mes10[[#This Row],[CUIT]]="","-",VLOOKUP(compras_mes10[[#This Row],[CUIT]],Lista_CUIT[#All],4,0)),"CUIT NO CARGADO")</f>
        <v>0</v>
      </c>
    </row>
    <row r="19" spans="1:18" x14ac:dyDescent="0.3">
      <c r="A19" s="127"/>
      <c r="B19" s="149" t="s">
        <v>209</v>
      </c>
      <c r="C19" s="150">
        <v>1</v>
      </c>
      <c r="D19" s="151">
        <v>11</v>
      </c>
      <c r="E19" s="152">
        <v>1062387</v>
      </c>
      <c r="F19" s="153">
        <v>33709585229</v>
      </c>
      <c r="G19" s="154" t="str">
        <f>IFERROR(IF(compras_mes10[[#This Row],[CUIT]]="","-",VLOOKUP(compras_mes10[[#This Row],[CUIT]],Lista_CUIT[#All],2,0)),"CUIT NO CARGADO")</f>
        <v>GOOGLE ARGENTINA S.R.L.</v>
      </c>
      <c r="H19" s="46">
        <v>16103.1</v>
      </c>
      <c r="I19" s="156">
        <f>IF(compras_mes10[[#This Row],[NETO GRAVADO]]="","",compras_mes10[[#This Row],[NETO GRAVADO]]*0.21)</f>
        <v>3381.6509999999998</v>
      </c>
      <c r="J19" s="85"/>
      <c r="K19" s="85"/>
      <c r="L19" s="85"/>
      <c r="M19" s="85">
        <v>241.55</v>
      </c>
      <c r="N19" s="85"/>
      <c r="O19" s="85">
        <v>483.09</v>
      </c>
      <c r="P19" s="291">
        <f>SUM(compras_mes10[[#This Row],[NETO GRAVADO]:[Otros / No Grav.]])</f>
        <v>20209.391</v>
      </c>
      <c r="Q19" s="158" t="str">
        <f>IFERROR(IF(compras_mes10[[#This Row],[CUIT]]="","-",VLOOKUP(compras_mes10[[#This Row],[CUIT]],Lista_CUIT[#All],3,0)),"CUIT NO CARGADO")</f>
        <v>Gastos Publicidad y Propaganda</v>
      </c>
      <c r="R19" s="158">
        <f>IFERROR(IF(compras_mes10[[#This Row],[CUIT]]="","-",VLOOKUP(compras_mes10[[#This Row],[CUIT]],Lista_CUIT[#All],4,0)),"CUIT NO CARGADO")</f>
        <v>0</v>
      </c>
    </row>
    <row r="20" spans="1:18" x14ac:dyDescent="0.3">
      <c r="B20" s="242" t="s">
        <v>209</v>
      </c>
      <c r="C20" s="243">
        <v>3</v>
      </c>
      <c r="D20" s="244">
        <v>11</v>
      </c>
      <c r="E20" s="245">
        <v>764440</v>
      </c>
      <c r="F20" s="246">
        <v>33709585229</v>
      </c>
      <c r="G20" s="247" t="str">
        <f>IFERROR(IF(compras_mes10[[#This Row],[CUIT]]="","-",VLOOKUP(compras_mes10[[#This Row],[CUIT]],Lista_CUIT[#All],2,0)),"CUIT NO CARGADO")</f>
        <v>GOOGLE ARGENTINA S.R.L.</v>
      </c>
      <c r="H20" s="248">
        <v>-128.32</v>
      </c>
      <c r="I20" s="250">
        <f>IF(compras_mes10[[#This Row],[NETO GRAVADO]]="","",compras_mes10[[#This Row],[NETO GRAVADO]]*0.21)</f>
        <v>-26.947199999999999</v>
      </c>
      <c r="J20" s="249"/>
      <c r="K20" s="249"/>
      <c r="L20" s="249"/>
      <c r="M20" s="249"/>
      <c r="N20" s="249"/>
      <c r="O20" s="249"/>
      <c r="P20" s="258">
        <f>SUM(compras_mes10[[#This Row],[NETO GRAVADO]:[Otros / No Grav.]])</f>
        <v>-155.2672</v>
      </c>
      <c r="Q20" s="251" t="str">
        <f>IFERROR(IF(compras_mes10[[#This Row],[CUIT]]="","-",VLOOKUP(compras_mes10[[#This Row],[CUIT]],Lista_CUIT[#All],3,0)),"CUIT NO CARGADO")</f>
        <v>Gastos Publicidad y Propaganda</v>
      </c>
      <c r="R20" s="251">
        <f>IFERROR(IF(compras_mes10[[#This Row],[CUIT]]="","-",VLOOKUP(compras_mes10[[#This Row],[CUIT]],Lista_CUIT[#All],4,0)),"CUIT NO CARGADO")</f>
        <v>0</v>
      </c>
    </row>
    <row r="21" spans="1:18" x14ac:dyDescent="0.3">
      <c r="B21" s="242" t="s">
        <v>209</v>
      </c>
      <c r="C21" s="243">
        <v>3</v>
      </c>
      <c r="D21" s="244">
        <v>11</v>
      </c>
      <c r="E21" s="245">
        <v>766278</v>
      </c>
      <c r="F21" s="246">
        <v>33709585229</v>
      </c>
      <c r="G21" s="247" t="str">
        <f>IFERROR(IF(compras_mes10[[#This Row],[CUIT]]="","-",VLOOKUP(compras_mes10[[#This Row],[CUIT]],Lista_CUIT[#All],2,0)),"CUIT NO CARGADO")</f>
        <v>GOOGLE ARGENTINA S.R.L.</v>
      </c>
      <c r="H21" s="248">
        <v>-2285.5500000000002</v>
      </c>
      <c r="I21" s="250">
        <f>IF(compras_mes10[[#This Row],[NETO GRAVADO]]="","",compras_mes10[[#This Row],[NETO GRAVADO]]*0.21)</f>
        <v>-479.96550000000002</v>
      </c>
      <c r="J21" s="249"/>
      <c r="K21" s="249"/>
      <c r="L21" s="249"/>
      <c r="M21" s="249">
        <v>-34.28</v>
      </c>
      <c r="N21" s="249"/>
      <c r="O21" s="249">
        <v>-68.569999999999993</v>
      </c>
      <c r="P21" s="258">
        <f>SUM(compras_mes10[[#This Row],[NETO GRAVADO]:[Otros / No Grav.]])</f>
        <v>-2868.3655000000008</v>
      </c>
      <c r="Q21" s="251" t="str">
        <f>IFERROR(IF(compras_mes10[[#This Row],[CUIT]]="","-",VLOOKUP(compras_mes10[[#This Row],[CUIT]],Lista_CUIT[#All],3,0)),"CUIT NO CARGADO")</f>
        <v>Gastos Publicidad y Propaganda</v>
      </c>
      <c r="R21" s="251">
        <f>IFERROR(IF(compras_mes10[[#This Row],[CUIT]]="","-",VLOOKUP(compras_mes10[[#This Row],[CUIT]],Lista_CUIT[#All],4,0)),"CUIT NO CARGADO")</f>
        <v>0</v>
      </c>
    </row>
    <row r="22" spans="1:18" x14ac:dyDescent="0.3">
      <c r="B22" s="242" t="s">
        <v>209</v>
      </c>
      <c r="C22" s="243">
        <v>3</v>
      </c>
      <c r="D22" s="244">
        <v>11</v>
      </c>
      <c r="E22" s="245">
        <v>768370</v>
      </c>
      <c r="F22" s="246">
        <v>33709585229</v>
      </c>
      <c r="G22" s="247" t="str">
        <f>IFERROR(IF(compras_mes10[[#This Row],[CUIT]]="","-",VLOOKUP(compras_mes10[[#This Row],[CUIT]],Lista_CUIT[#All],2,0)),"CUIT NO CARGADO")</f>
        <v>GOOGLE ARGENTINA S.R.L.</v>
      </c>
      <c r="H22" s="248">
        <v>-72.739999999999995</v>
      </c>
      <c r="I22" s="250">
        <f>IF(compras_mes10[[#This Row],[NETO GRAVADO]]="","",compras_mes10[[#This Row],[NETO GRAVADO]]*0.21)</f>
        <v>-15.275399999999998</v>
      </c>
      <c r="J22" s="249"/>
      <c r="K22" s="249"/>
      <c r="L22" s="249"/>
      <c r="M22" s="249"/>
      <c r="N22" s="249"/>
      <c r="O22" s="249"/>
      <c r="P22" s="252">
        <f>SUM(compras_mes10[[#This Row],[NETO GRAVADO]:[Otros / No Grav.]])</f>
        <v>-88.0154</v>
      </c>
      <c r="Q22" s="251" t="str">
        <f>IFERROR(IF(compras_mes10[[#This Row],[CUIT]]="","-",VLOOKUP(compras_mes10[[#This Row],[CUIT]],Lista_CUIT[#All],3,0)),"CUIT NO CARGADO")</f>
        <v>Gastos Publicidad y Propaganda</v>
      </c>
      <c r="R22" s="251">
        <f>IFERROR(IF(compras_mes10[[#This Row],[CUIT]]="","-",VLOOKUP(compras_mes10[[#This Row],[CUIT]],Lista_CUIT[#All],4,0)),"CUIT NO CARGADO")</f>
        <v>0</v>
      </c>
    </row>
    <row r="23" spans="1:18" x14ac:dyDescent="0.3">
      <c r="B23" s="96" t="s">
        <v>91</v>
      </c>
      <c r="C23" s="96"/>
      <c r="D23" s="96"/>
      <c r="E23" s="96"/>
      <c r="F23" s="96"/>
      <c r="G23" s="97"/>
      <c r="H23" s="98">
        <f>SUBTOTAL(109,compras_mes10[NETO GRAVADO])</f>
        <v>2961893.5700000003</v>
      </c>
      <c r="I23" s="98">
        <f>SUBTOTAL(109,compras_mes10[IVA 21 %])</f>
        <v>621997.64969999972</v>
      </c>
      <c r="J23" s="98">
        <f>SUBTOTAL(109,compras_mes10[IVA 27%])</f>
        <v>0</v>
      </c>
      <c r="K23" s="98">
        <f>SUBTOTAL(109,compras_mes10[IVA 10,5%])</f>
        <v>0</v>
      </c>
      <c r="L23" s="98">
        <f>SUBTOTAL(109,compras_mes10[PERC. IVA])</f>
        <v>0</v>
      </c>
      <c r="M23" s="98">
        <f>SUBTOTAL(109,compras_mes10[PERC IIBB 
BS AS])</f>
        <v>43008.29</v>
      </c>
      <c r="N23" s="98">
        <f>SUBTOTAL(109,compras_mes10[PERC. IIBB CABA])</f>
        <v>0</v>
      </c>
      <c r="O23" s="98">
        <f>SUBTOTAL(109,compras_mes10[Otros / No Grav.])</f>
        <v>86016.549999999988</v>
      </c>
      <c r="P23" s="98">
        <f>SUBTOTAL(109,compras_mes10[TOTAL])</f>
        <v>3712916.0597000001</v>
      </c>
      <c r="Q23" s="96"/>
      <c r="R23" s="96"/>
    </row>
    <row r="24" spans="1:18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  <c r="M24" s="47"/>
      <c r="N24" s="47"/>
      <c r="O24" s="47"/>
      <c r="P24" s="48"/>
      <c r="Q24" s="49"/>
      <c r="R24" s="49"/>
    </row>
    <row r="25" spans="1:18" x14ac:dyDescent="0.3">
      <c r="B25" s="40"/>
      <c r="C25" s="41"/>
      <c r="D25" s="42"/>
      <c r="E25" s="43"/>
      <c r="F25" s="44"/>
      <c r="G25" s="45"/>
      <c r="H25" s="46"/>
      <c r="I25" s="47"/>
      <c r="J25" s="47">
        <f>compras_mes10[[#Totals],[NETO GRAVADO]]+compras_mes10[[#Totals],[Otros / No Grav.]]</f>
        <v>3047910.12</v>
      </c>
      <c r="K25" s="47"/>
      <c r="L25" s="47"/>
      <c r="M25" s="47"/>
      <c r="N25" s="47"/>
      <c r="O25" s="47"/>
      <c r="P25" s="48"/>
      <c r="Q25" s="49"/>
      <c r="R25" s="49"/>
    </row>
    <row r="26" spans="1:18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1:18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</row>
    <row r="28" spans="1:18" ht="21" x14ac:dyDescent="0.3">
      <c r="D28" s="362" t="s">
        <v>15</v>
      </c>
      <c r="E28" s="362"/>
      <c r="F28" s="362"/>
      <c r="G28" s="362"/>
      <c r="H28" s="362"/>
      <c r="I28" s="362"/>
      <c r="J28" s="362"/>
      <c r="K28" s="362"/>
      <c r="L28" s="362"/>
      <c r="M28" s="362"/>
    </row>
    <row r="29" spans="1:18" ht="15.6" x14ac:dyDescent="0.3">
      <c r="D29" s="73" t="s">
        <v>0</v>
      </c>
      <c r="E29" s="74" t="s">
        <v>26</v>
      </c>
      <c r="F29" s="74" t="s">
        <v>16</v>
      </c>
      <c r="G29" s="74" t="s">
        <v>5</v>
      </c>
      <c r="H29" s="74" t="s">
        <v>17</v>
      </c>
      <c r="I29" s="74" t="s">
        <v>7</v>
      </c>
      <c r="J29" s="75" t="s">
        <v>18</v>
      </c>
      <c r="K29" s="75" t="s">
        <v>19</v>
      </c>
      <c r="L29" s="76" t="s">
        <v>20</v>
      </c>
      <c r="M29" s="294" t="s">
        <v>10</v>
      </c>
    </row>
    <row r="30" spans="1:18" x14ac:dyDescent="0.3">
      <c r="D30" s="50">
        <v>45596</v>
      </c>
      <c r="E30" s="80">
        <v>31102024</v>
      </c>
      <c r="F30" s="80" t="s">
        <v>181</v>
      </c>
      <c r="G30" s="81">
        <f>extracto_banco_mes10[[#This Row],[IVA 21%]]*100/21</f>
        <v>38000</v>
      </c>
      <c r="H30" s="81">
        <v>7980</v>
      </c>
      <c r="I30" s="81"/>
      <c r="J30" s="81">
        <v>570</v>
      </c>
      <c r="K30" s="81">
        <v>1140</v>
      </c>
      <c r="L30" s="81"/>
      <c r="M30" s="293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47690</v>
      </c>
    </row>
    <row r="31" spans="1:18" x14ac:dyDescent="0.3">
      <c r="D31" s="50"/>
      <c r="E31" s="79"/>
      <c r="F31" s="80"/>
      <c r="G31" s="81">
        <f>extracto_banco_mes10[[#This Row],[IVA 21%]]*100/21</f>
        <v>0</v>
      </c>
      <c r="H31" s="81"/>
      <c r="I31" s="81"/>
      <c r="J31" s="81"/>
      <c r="K31" s="81"/>
      <c r="L31" s="81"/>
      <c r="M31" s="293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0</v>
      </c>
    </row>
    <row r="32" spans="1:18" x14ac:dyDescent="0.3">
      <c r="D32" s="50"/>
      <c r="E32" s="79"/>
      <c r="F32" s="80"/>
      <c r="G32" s="81">
        <f>extracto_banco_mes10[[#This Row],[IVA 21%]]*100/21</f>
        <v>0</v>
      </c>
      <c r="H32" s="81"/>
      <c r="I32" s="81"/>
      <c r="J32" s="81"/>
      <c r="K32" s="81"/>
      <c r="L32" s="81"/>
      <c r="M32" s="293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0</v>
      </c>
      <c r="P32" s="290"/>
      <c r="Q32" s="290"/>
    </row>
    <row r="33" spans="2:18" x14ac:dyDescent="0.3">
      <c r="D33" s="82" t="s">
        <v>91</v>
      </c>
      <c r="E33" s="80"/>
      <c r="F33" s="80"/>
      <c r="G33" s="83">
        <f>SUBTOTAL(109,extracto_banco_mes10[NETO])</f>
        <v>38000</v>
      </c>
      <c r="H33" s="83">
        <f>SUBTOTAL(109,extracto_banco_mes10[IVA 21%])</f>
        <v>7980</v>
      </c>
      <c r="I33" s="83">
        <f>SUBTOTAL(109,extracto_banco_mes10[IVA 10,5%])</f>
        <v>0</v>
      </c>
      <c r="J33" s="83">
        <f>SUBTOTAL(109,extracto_banco_mes10[RET IIBB CABA])</f>
        <v>570</v>
      </c>
      <c r="K33" s="83">
        <f>SUBTOTAL(109,extracto_banco_mes10[PERC IVA])</f>
        <v>1140</v>
      </c>
      <c r="L33" s="83">
        <f>SUBTOTAL(109,extracto_banco_mes10[PERC IIBB])</f>
        <v>0</v>
      </c>
      <c r="M33" s="292">
        <f>SUBTOTAL(109,extracto_banco_mes10[TOTAL])</f>
        <v>47690</v>
      </c>
    </row>
    <row r="37" spans="2:18" ht="21" x14ac:dyDescent="0.3">
      <c r="D37" s="362" t="s">
        <v>25</v>
      </c>
      <c r="E37" s="362"/>
      <c r="F37" s="362"/>
      <c r="G37" s="362"/>
      <c r="H37" s="362"/>
      <c r="I37" s="362"/>
      <c r="J37" s="362"/>
      <c r="K37" s="362"/>
    </row>
    <row r="38" spans="2:18" x14ac:dyDescent="0.3">
      <c r="D38" s="51" t="s">
        <v>0</v>
      </c>
      <c r="E38" s="51" t="s">
        <v>2</v>
      </c>
      <c r="F38" s="51" t="s">
        <v>74</v>
      </c>
      <c r="G38" s="51" t="s">
        <v>3</v>
      </c>
      <c r="H38" s="51" t="s">
        <v>4</v>
      </c>
      <c r="I38" s="52" t="s">
        <v>10</v>
      </c>
      <c r="J38" s="51" t="s">
        <v>13</v>
      </c>
      <c r="K38" s="51" t="s">
        <v>38</v>
      </c>
    </row>
    <row r="39" spans="2:18" x14ac:dyDescent="0.3">
      <c r="D39" s="50" t="s">
        <v>206</v>
      </c>
      <c r="E39" s="42">
        <v>2</v>
      </c>
      <c r="F39" s="43">
        <v>47</v>
      </c>
      <c r="G39" s="44">
        <v>23380288079</v>
      </c>
      <c r="H39" s="124" t="str">
        <f>IFERROR(IF(factura_c_mes10[[#This Row],[CUIT]]="","-",VLOOKUP(factura_c_mes10[[#This Row],[CUIT]],Lista_CUIT[#All],2,0)),"CUIT NO CARGADO")</f>
        <v>CASTROMAN AGUSTIN</v>
      </c>
      <c r="I39" s="125">
        <v>205000</v>
      </c>
      <c r="J39" s="126" t="str">
        <f>IFERROR(IF(factura_c_mes10[[#This Row],[CUIT]]="","-",VLOOKUP(factura_c_mes10[[#This Row],[CUIT]],Lista_CUIT[#All],3,0)),"CUIT NO CARGADO")</f>
        <v>Diseño Grafico</v>
      </c>
      <c r="K39" s="126">
        <f>IFERROR(IF(factura_c_mes10[[#This Row],[CUIT]]="","-",VLOOKUP(factura_c_mes10[[#This Row],[CUIT]],Lista_CUIT[#All],4,0)),"CUIT NO CARGADO")</f>
        <v>0</v>
      </c>
    </row>
    <row r="40" spans="2:18" x14ac:dyDescent="0.3">
      <c r="D40" s="50" t="s">
        <v>210</v>
      </c>
      <c r="E40" s="42">
        <v>2</v>
      </c>
      <c r="F40" s="43">
        <v>852</v>
      </c>
      <c r="G40" s="44">
        <v>20400104094</v>
      </c>
      <c r="H40" s="124" t="str">
        <f>IFERROR(IF(factura_c_mes10[[#This Row],[CUIT]]="","-",VLOOKUP(factura_c_mes10[[#This Row],[CUIT]],Lista_CUIT[#All],2,0)),"CUIT NO CARGADO")</f>
        <v>BOTINDARI FEDERICO DANIEL</v>
      </c>
      <c r="I40" s="125">
        <v>120000</v>
      </c>
      <c r="J40" s="126" t="str">
        <f>IFERROR(IF(factura_c_mes10[[#This Row],[CUIT]]="","-",VLOOKUP(factura_c_mes10[[#This Row],[CUIT]],Lista_CUIT[#All],3,0)),"CUIT NO CARGADO")</f>
        <v>HONORARIOS CONTABLE</v>
      </c>
      <c r="K40" s="126">
        <f>IFERROR(IF(factura_c_mes10[[#This Row],[CUIT]]="","-",VLOOKUP(factura_c_mes10[[#This Row],[CUIT]],Lista_CUIT[#All],4,0)),"CUIT NO CARGADO")</f>
        <v>0</v>
      </c>
    </row>
    <row r="41" spans="2:18" x14ac:dyDescent="0.3">
      <c r="D41" s="50" t="s">
        <v>211</v>
      </c>
      <c r="E41" s="42">
        <v>2</v>
      </c>
      <c r="F41" s="43">
        <v>858</v>
      </c>
      <c r="G41" s="44">
        <v>20400104094</v>
      </c>
      <c r="H41" s="124" t="str">
        <f>IFERROR(IF(factura_c_mes10[[#This Row],[CUIT]]="","-",VLOOKUP(factura_c_mes10[[#This Row],[CUIT]],Lista_CUIT[#All],2,0)),"CUIT NO CARGADO")</f>
        <v>BOTINDARI FEDERICO DANIEL</v>
      </c>
      <c r="I41" s="125">
        <v>175000</v>
      </c>
      <c r="J41" s="126" t="str">
        <f>IFERROR(IF(factura_c_mes10[[#This Row],[CUIT]]="","-",VLOOKUP(factura_c_mes10[[#This Row],[CUIT]],Lista_CUIT[#All],3,0)),"CUIT NO CARGADO")</f>
        <v>HONORARIOS CONTABLE</v>
      </c>
      <c r="K41" s="126">
        <f>IFERROR(IF(factura_c_mes10[[#This Row],[CUIT]]="","-",VLOOKUP(factura_c_mes10[[#This Row],[CUIT]],Lista_CUIT[#All],4,0)),"CUIT NO CARGADO")</f>
        <v>0</v>
      </c>
    </row>
    <row r="42" spans="2:18" x14ac:dyDescent="0.3">
      <c r="D42" s="50" t="s">
        <v>212</v>
      </c>
      <c r="E42" s="42">
        <v>3</v>
      </c>
      <c r="F42" s="43">
        <v>458</v>
      </c>
      <c r="G42" s="44">
        <v>20178248201</v>
      </c>
      <c r="H42" s="124" t="str">
        <f>IFERROR(IF(factura_c_mes10[[#This Row],[CUIT]]="","-",VLOOKUP(factura_c_mes10[[#This Row],[CUIT]],Lista_CUIT[#All],2,0)),"CUIT NO CARGADO")</f>
        <v>FRANCISCO ADRIAN MARCELO</v>
      </c>
      <c r="I42" s="125">
        <v>50000</v>
      </c>
      <c r="J42" s="126">
        <f>IFERROR(IF(factura_c_mes10[[#This Row],[CUIT]]="","-",VLOOKUP(factura_c_mes10[[#This Row],[CUIT]],Lista_CUIT[#All],3,0)),"CUIT NO CARGADO")</f>
        <v>0</v>
      </c>
      <c r="K42" s="126">
        <f>IFERROR(IF(factura_c_mes10[[#This Row],[CUIT]]="","-",VLOOKUP(factura_c_mes10[[#This Row],[CUIT]],Lista_CUIT[#All],4,0)),"CUIT NO CARGADO")</f>
        <v>0</v>
      </c>
    </row>
    <row r="43" spans="2:18" x14ac:dyDescent="0.3">
      <c r="D43" s="50" t="s">
        <v>212</v>
      </c>
      <c r="E43" s="42">
        <v>1</v>
      </c>
      <c r="F43" s="43">
        <v>308</v>
      </c>
      <c r="G43" s="44">
        <v>27386311000</v>
      </c>
      <c r="H43" s="124" t="str">
        <f>IFERROR(IF(factura_c_mes10[[#This Row],[CUIT]]="","-",VLOOKUP(factura_c_mes10[[#This Row],[CUIT]],Lista_CUIT[#All],2,0)),"CUIT NO CARGADO")</f>
        <v>OPANASIUK MACARENA ANTONELLA</v>
      </c>
      <c r="I43" s="125">
        <v>450000</v>
      </c>
      <c r="J43" s="126" t="str">
        <f>IFERROR(IF(factura_c_mes10[[#This Row],[CUIT]]="","-",VLOOKUP(factura_c_mes10[[#This Row],[CUIT]],Lista_CUIT[#All],3,0)),"CUIT NO CARGADO")</f>
        <v>Honorarios Profesionales</v>
      </c>
      <c r="K43" s="126">
        <f>IFERROR(IF(factura_c_mes10[[#This Row],[CUIT]]="","-",VLOOKUP(factura_c_mes10[[#This Row],[CUIT]],Lista_CUIT[#All],4,0)),"CUIT NO CARGADO")</f>
        <v>0</v>
      </c>
    </row>
    <row r="44" spans="2:18" x14ac:dyDescent="0.3">
      <c r="D44" s="50" t="s">
        <v>213</v>
      </c>
      <c r="E44" s="42">
        <v>51</v>
      </c>
      <c r="F44" s="43">
        <v>164</v>
      </c>
      <c r="G44" s="44">
        <v>20300985158</v>
      </c>
      <c r="H44" s="124" t="str">
        <f>IFERROR(IF(factura_c_mes10[[#This Row],[CUIT]]="","-",VLOOKUP(factura_c_mes10[[#This Row],[CUIT]],Lista_CUIT[#All],2,0)),"CUIT NO CARGADO")</f>
        <v>GONZALEZ NESTOR RICARDO</v>
      </c>
      <c r="I44" s="125">
        <v>500000</v>
      </c>
      <c r="J44" s="126" t="str">
        <f>IFERROR(IF(factura_c_mes10[[#This Row],[CUIT]]="","-",VLOOKUP(factura_c_mes10[[#This Row],[CUIT]],Lista_CUIT[#All],3,0)),"CUIT NO CARGADO")</f>
        <v>Diseño Grafico</v>
      </c>
      <c r="K44" s="126">
        <f>IFERROR(IF(factura_c_mes10[[#This Row],[CUIT]]="","-",VLOOKUP(factura_c_mes10[[#This Row],[CUIT]],Lista_CUIT[#All],4,0)),"CUIT NO CARGADO")</f>
        <v>0</v>
      </c>
    </row>
    <row r="45" spans="2:18" x14ac:dyDescent="0.3">
      <c r="D45" s="50" t="s">
        <v>214</v>
      </c>
      <c r="E45" s="42">
        <v>1</v>
      </c>
      <c r="F45" s="43">
        <v>309</v>
      </c>
      <c r="G45" s="44">
        <v>27386311000</v>
      </c>
      <c r="H45" s="124" t="str">
        <f>IFERROR(IF(factura_c_mes10[[#This Row],[CUIT]]="","-",VLOOKUP(factura_c_mes10[[#This Row],[CUIT]],Lista_CUIT[#All],2,0)),"CUIT NO CARGADO")</f>
        <v>OPANASIUK MACARENA ANTONELLA</v>
      </c>
      <c r="I45" s="125">
        <v>3000000</v>
      </c>
      <c r="J45" s="126" t="str">
        <f>IFERROR(IF(factura_c_mes10[[#This Row],[CUIT]]="","-",VLOOKUP(factura_c_mes10[[#This Row],[CUIT]],Lista_CUIT[#All],3,0)),"CUIT NO CARGADO")</f>
        <v>Honorarios Profesionales</v>
      </c>
      <c r="K45" s="126">
        <f>IFERROR(IF(factura_c_mes10[[#This Row],[CUIT]]="","-",VLOOKUP(factura_c_mes10[[#This Row],[CUIT]],Lista_CUIT[#All],4,0)),"CUIT NO CARGADO")</f>
        <v>0</v>
      </c>
    </row>
    <row r="46" spans="2:18" x14ac:dyDescent="0.3">
      <c r="B46" s="56"/>
      <c r="C46" s="56"/>
      <c r="D46" s="55" t="s">
        <v>91</v>
      </c>
      <c r="E46" s="55"/>
      <c r="F46" s="55"/>
      <c r="G46" s="55"/>
      <c r="H46" s="57"/>
      <c r="I46" s="58">
        <f>SUBTOTAL(109,factura_c_mes10[TOTAL])</f>
        <v>4500000</v>
      </c>
      <c r="J46" s="55"/>
      <c r="K46" s="55"/>
      <c r="L46" s="56"/>
      <c r="M46" s="56"/>
      <c r="N46" s="56"/>
      <c r="O46" s="56"/>
      <c r="P46" s="56"/>
      <c r="Q46" s="56"/>
      <c r="R46" s="56"/>
    </row>
    <row r="51" spans="2:13" ht="25.8" x14ac:dyDescent="0.3">
      <c r="B51" s="363" t="s">
        <v>29</v>
      </c>
      <c r="C51" s="363"/>
      <c r="D51" s="363"/>
      <c r="E51" s="363"/>
      <c r="F51" s="363"/>
      <c r="G51" s="363"/>
      <c r="H51" s="363"/>
      <c r="I51" s="363"/>
      <c r="J51" s="363"/>
      <c r="K51" s="364">
        <f>N1</f>
        <v>45566</v>
      </c>
      <c r="L51" s="364"/>
      <c r="M51" s="364"/>
    </row>
    <row r="53" spans="2:13" ht="21" x14ac:dyDescent="0.3">
      <c r="B53" s="365" t="s">
        <v>30</v>
      </c>
      <c r="C53" s="365"/>
    </row>
    <row r="54" spans="2:13" ht="15.6" x14ac:dyDescent="0.3">
      <c r="B54" s="60" t="s">
        <v>0</v>
      </c>
      <c r="C54" s="61" t="s">
        <v>1</v>
      </c>
      <c r="D54" s="61" t="s">
        <v>21</v>
      </c>
      <c r="E54" s="61" t="s">
        <v>22</v>
      </c>
      <c r="F54" s="61" t="s">
        <v>3</v>
      </c>
      <c r="G54" s="61" t="s">
        <v>4</v>
      </c>
      <c r="H54" s="61" t="s">
        <v>23</v>
      </c>
      <c r="I54" s="61" t="s">
        <v>17</v>
      </c>
      <c r="J54" s="61" t="s">
        <v>7</v>
      </c>
      <c r="K54" s="61" t="s">
        <v>24</v>
      </c>
      <c r="L54" s="61" t="s">
        <v>10</v>
      </c>
      <c r="M54" s="62" t="s">
        <v>38</v>
      </c>
    </row>
    <row r="55" spans="2:13" x14ac:dyDescent="0.3">
      <c r="B55" s="40" t="s">
        <v>206</v>
      </c>
      <c r="C55" s="41">
        <v>1</v>
      </c>
      <c r="D55" s="42">
        <v>1</v>
      </c>
      <c r="E55" s="43">
        <v>283</v>
      </c>
      <c r="F55" s="44">
        <v>30714375241</v>
      </c>
      <c r="G55" s="99" t="str">
        <f>IFERROR(IF(venta_a_mes10[[#This Row],[CUIT]]="","-",VLOOKUP(venta_a_mes10[[#This Row],[CUIT]],Lista_CUIT[#All],2,0)),"CUIT NO CARGADO")</f>
        <v>POWER-RECORDS S.A</v>
      </c>
      <c r="H55" s="100">
        <v>428099.19</v>
      </c>
      <c r="I55" s="101">
        <f>venta_a_mes10[[#This Row],[IMPORTE NETO]]*0.21</f>
        <v>89900.829899999997</v>
      </c>
      <c r="J55" s="65"/>
      <c r="K55" s="65"/>
      <c r="L55" s="65">
        <f>SUM(venta_a_mes10[[#This Row],[IMPORTE NETO]:[EXENTO]])</f>
        <v>518000.01990000001</v>
      </c>
      <c r="M55" s="59"/>
    </row>
    <row r="56" spans="2:13" x14ac:dyDescent="0.3">
      <c r="B56" s="40" t="s">
        <v>206</v>
      </c>
      <c r="C56" s="41">
        <v>1</v>
      </c>
      <c r="D56" s="42">
        <v>1</v>
      </c>
      <c r="E56" s="43">
        <v>297</v>
      </c>
      <c r="F56" s="44">
        <v>20238882975</v>
      </c>
      <c r="G56" s="99" t="str">
        <f>IFERROR(IF(venta_a_mes10[[#This Row],[CUIT]]="","-",VLOOKUP(venta_a_mes10[[#This Row],[CUIT]],Lista_CUIT[#All],2,0)),"CUIT NO CARGADO")</f>
        <v>NARVAEZ SANTIAGO GABRIEL</v>
      </c>
      <c r="H56" s="100">
        <v>428099.19</v>
      </c>
      <c r="I56" s="101">
        <f>venta_a_mes10[[#This Row],[IMPORTE NETO]]*0.21</f>
        <v>89900.829899999997</v>
      </c>
      <c r="J56" s="65"/>
      <c r="K56" s="65"/>
      <c r="L56" s="65">
        <f>SUM(venta_a_mes10[[#This Row],[IMPORTE NETO]:[EXENTO]])</f>
        <v>518000.01990000001</v>
      </c>
      <c r="M56" s="59"/>
    </row>
    <row r="57" spans="2:13" x14ac:dyDescent="0.3">
      <c r="B57" s="40" t="s">
        <v>206</v>
      </c>
      <c r="C57" s="41">
        <v>1</v>
      </c>
      <c r="D57" s="42">
        <v>1</v>
      </c>
      <c r="E57" s="43">
        <v>298</v>
      </c>
      <c r="F57" s="44">
        <v>30717969061</v>
      </c>
      <c r="G57" s="99" t="str">
        <f>IFERROR(IF(venta_a_mes10[[#This Row],[CUIT]]="","-",VLOOKUP(venta_a_mes10[[#This Row],[CUIT]],Lista_CUIT[#All],2,0)),"CUIT NO CARGADO")</f>
        <v>FABIO Y RAUL ROSSO S.A.S.</v>
      </c>
      <c r="H57" s="100">
        <v>70247.95</v>
      </c>
      <c r="I57" s="101">
        <f>venta_a_mes10[[#This Row],[IMPORTE NETO]]*0.21</f>
        <v>14752.0695</v>
      </c>
      <c r="J57" s="65"/>
      <c r="K57" s="65"/>
      <c r="L57" s="65">
        <f>SUM(venta_a_mes10[[#This Row],[IMPORTE NETO]:[EXENTO]])</f>
        <v>85000.019499999995</v>
      </c>
      <c r="M57" s="59"/>
    </row>
    <row r="58" spans="2:13" x14ac:dyDescent="0.3">
      <c r="B58" s="40" t="s">
        <v>206</v>
      </c>
      <c r="C58" s="41">
        <v>1</v>
      </c>
      <c r="D58" s="42">
        <v>1</v>
      </c>
      <c r="E58" s="43">
        <v>284</v>
      </c>
      <c r="F58" s="44">
        <v>30716549107</v>
      </c>
      <c r="G58" s="99" t="str">
        <f>IFERROR(IF(venta_a_mes10[[#This Row],[CUIT]]="","-",VLOOKUP(venta_a_mes10[[#This Row],[CUIT]],Lista_CUIT[#All],2,0)),"CUIT NO CARGADO")</f>
        <v>LAMATEC S.R.L.</v>
      </c>
      <c r="H58" s="100">
        <v>215702.48</v>
      </c>
      <c r="I58" s="101">
        <f>venta_a_mes10[[#This Row],[IMPORTE NETO]]*0.21</f>
        <v>45297.520799999998</v>
      </c>
      <c r="J58" s="65"/>
      <c r="K58" s="65"/>
      <c r="L58" s="65">
        <f>SUM(venta_a_mes10[[#This Row],[IMPORTE NETO]:[EXENTO]])</f>
        <v>261000.00080000001</v>
      </c>
      <c r="M58" s="59"/>
    </row>
    <row r="59" spans="2:13" x14ac:dyDescent="0.3">
      <c r="B59" s="40" t="s">
        <v>206</v>
      </c>
      <c r="C59" s="41">
        <v>1</v>
      </c>
      <c r="D59" s="42">
        <v>1</v>
      </c>
      <c r="E59" s="43">
        <v>299</v>
      </c>
      <c r="F59" s="44">
        <v>30718044894</v>
      </c>
      <c r="G59" s="99" t="str">
        <f>IFERROR(IF(venta_a_mes10[[#This Row],[CUIT]]="","-",VLOOKUP(venta_a_mes10[[#This Row],[CUIT]],Lista_CUIT[#All],2,0)),"CUIT NO CARGADO")</f>
        <v>GRUPO NACER ECOLOGICO S.R.L</v>
      </c>
      <c r="H59" s="100">
        <v>428099.19</v>
      </c>
      <c r="I59" s="101">
        <f>venta_a_mes10[[#This Row],[IMPORTE NETO]]*0.21</f>
        <v>89900.829899999997</v>
      </c>
      <c r="J59" s="65"/>
      <c r="K59" s="65"/>
      <c r="L59" s="65">
        <f>SUM(venta_a_mes10[[#This Row],[IMPORTE NETO]:[EXENTO]])</f>
        <v>518000.01990000001</v>
      </c>
      <c r="M59" s="59"/>
    </row>
    <row r="60" spans="2:13" x14ac:dyDescent="0.3">
      <c r="B60" s="40" t="s">
        <v>206</v>
      </c>
      <c r="C60" s="41">
        <v>1</v>
      </c>
      <c r="D60" s="42">
        <v>1</v>
      </c>
      <c r="E60" s="43">
        <v>300</v>
      </c>
      <c r="F60" s="44">
        <v>30715380567</v>
      </c>
      <c r="G60" s="99" t="str">
        <f>IFERROR(IF(venta_a_mes10[[#This Row],[CUIT]]="","-",VLOOKUP(venta_a_mes10[[#This Row],[CUIT]],Lista_CUIT[#All],2,0)),"CUIT NO CARGADO")</f>
        <v>SENS GROUP SRL</v>
      </c>
      <c r="H60" s="100">
        <v>227349.52</v>
      </c>
      <c r="I60" s="101">
        <f>venta_a_mes10[[#This Row],[IMPORTE NETO]]*0.21</f>
        <v>47743.399199999993</v>
      </c>
      <c r="J60" s="65"/>
      <c r="K60" s="65"/>
      <c r="L60" s="65">
        <f>SUM(venta_a_mes10[[#This Row],[IMPORTE NETO]:[EXENTO]])</f>
        <v>275092.9192</v>
      </c>
      <c r="M60" s="59"/>
    </row>
    <row r="61" spans="2:13" x14ac:dyDescent="0.3">
      <c r="B61" s="40" t="s">
        <v>206</v>
      </c>
      <c r="C61" s="41">
        <v>1</v>
      </c>
      <c r="D61" s="42">
        <v>1</v>
      </c>
      <c r="E61" s="43">
        <v>285</v>
      </c>
      <c r="F61" s="44">
        <v>30718295900</v>
      </c>
      <c r="G61" s="99" t="str">
        <f>IFERROR(IF(venta_a_mes10[[#This Row],[CUIT]]="","-",VLOOKUP(venta_a_mes10[[#This Row],[CUIT]],Lista_CUIT[#All],2,0)),"CUIT NO CARGADO")</f>
        <v>LAPTOP SERVICE S.R.L.</v>
      </c>
      <c r="H61" s="100">
        <v>70247.95</v>
      </c>
      <c r="I61" s="101">
        <f>venta_a_mes10[[#This Row],[IMPORTE NETO]]*0.21</f>
        <v>14752.0695</v>
      </c>
      <c r="J61" s="65"/>
      <c r="K61" s="65"/>
      <c r="L61" s="65">
        <f>SUM(venta_a_mes10[[#This Row],[IMPORTE NETO]:[EXENTO]])</f>
        <v>85000.019499999995</v>
      </c>
      <c r="M61" s="59"/>
    </row>
    <row r="62" spans="2:13" x14ac:dyDescent="0.3">
      <c r="B62" s="40" t="s">
        <v>206</v>
      </c>
      <c r="C62" s="41">
        <v>1</v>
      </c>
      <c r="D62" s="42">
        <v>1</v>
      </c>
      <c r="E62" s="43">
        <v>301</v>
      </c>
      <c r="F62" s="44">
        <v>30715438360</v>
      </c>
      <c r="G62" s="99" t="str">
        <f>IFERROR(IF(venta_a_mes10[[#This Row],[CUIT]]="","-",VLOOKUP(venta_a_mes10[[#This Row],[CUIT]],Lista_CUIT[#All],2,0)),"CUIT NO CARGADO")</f>
        <v>ERMAN CUSTODIAR S.A.</v>
      </c>
      <c r="H62" s="100">
        <v>428099.19</v>
      </c>
      <c r="I62" s="101">
        <f>venta_a_mes10[[#This Row],[IMPORTE NETO]]*0.21</f>
        <v>89900.829899999997</v>
      </c>
      <c r="J62" s="65"/>
      <c r="K62" s="65"/>
      <c r="L62" s="65">
        <f>SUM(venta_a_mes10[[#This Row],[IMPORTE NETO]:[EXENTO]])</f>
        <v>518000.01990000001</v>
      </c>
      <c r="M62" s="59"/>
    </row>
    <row r="63" spans="2:13" x14ac:dyDescent="0.3">
      <c r="B63" s="40" t="s">
        <v>206</v>
      </c>
      <c r="C63" s="41">
        <v>1</v>
      </c>
      <c r="D63" s="42">
        <v>1</v>
      </c>
      <c r="E63" s="43">
        <v>286</v>
      </c>
      <c r="F63" s="44">
        <v>30717973166</v>
      </c>
      <c r="G63" s="99" t="str">
        <f>IFERROR(IF(venta_a_mes10[[#This Row],[CUIT]]="","-",VLOOKUP(venta_a_mes10[[#This Row],[CUIT]],Lista_CUIT[#All],2,0)),"CUIT NO CARGADO")</f>
        <v>STM ESTILO S.R.L</v>
      </c>
      <c r="H63" s="100">
        <v>70247.95</v>
      </c>
      <c r="I63" s="101">
        <f>venta_a_mes10[[#This Row],[IMPORTE NETO]]*0.21</f>
        <v>14752.0695</v>
      </c>
      <c r="J63" s="65"/>
      <c r="K63" s="65"/>
      <c r="L63" s="65">
        <f>SUM(venta_a_mes10[[#This Row],[IMPORTE NETO]:[EXENTO]])</f>
        <v>85000.019499999995</v>
      </c>
      <c r="M63" s="59"/>
    </row>
    <row r="64" spans="2:13" x14ac:dyDescent="0.3">
      <c r="B64" s="40" t="s">
        <v>206</v>
      </c>
      <c r="C64" s="41">
        <v>1</v>
      </c>
      <c r="D64" s="42">
        <v>1</v>
      </c>
      <c r="E64" s="43">
        <v>302</v>
      </c>
      <c r="F64" s="44">
        <v>24368969350</v>
      </c>
      <c r="G64" s="99" t="str">
        <f>IFERROR(IF(venta_a_mes10[[#This Row],[CUIT]]="","-",VLOOKUP(venta_a_mes10[[#This Row],[CUIT]],Lista_CUIT[#All],2,0)),"CUIT NO CARGADO")</f>
        <v>MARANO CORVALAN MARTIN MARIANO</v>
      </c>
      <c r="H64" s="100">
        <v>428099.19</v>
      </c>
      <c r="I64" s="101">
        <f>venta_a_mes10[[#This Row],[IMPORTE NETO]]*0.21</f>
        <v>89900.829899999997</v>
      </c>
      <c r="J64" s="65"/>
      <c r="K64" s="65"/>
      <c r="L64" s="65">
        <f>SUM(venta_a_mes10[[#This Row],[IMPORTE NETO]:[EXENTO]])</f>
        <v>518000.01990000001</v>
      </c>
      <c r="M64" s="59"/>
    </row>
    <row r="65" spans="2:13" x14ac:dyDescent="0.3">
      <c r="B65" s="40" t="s">
        <v>206</v>
      </c>
      <c r="C65" s="41">
        <v>1</v>
      </c>
      <c r="D65" s="42">
        <v>1</v>
      </c>
      <c r="E65" s="43">
        <v>287</v>
      </c>
      <c r="F65" s="44">
        <v>27165844748</v>
      </c>
      <c r="G65" s="99" t="str">
        <f>IFERROR(IF(venta_a_mes10[[#This Row],[CUIT]]="","-",VLOOKUP(venta_a_mes10[[#This Row],[CUIT]],Lista_CUIT[#All],2,0)),"CUIT NO CARGADO")</f>
        <v>DENATALE MARCELA BEATRIZ</v>
      </c>
      <c r="H65" s="100">
        <v>149586.76</v>
      </c>
      <c r="I65" s="101">
        <f>venta_a_mes10[[#This Row],[IMPORTE NETO]]*0.21</f>
        <v>31413.2196</v>
      </c>
      <c r="J65" s="65"/>
      <c r="K65" s="65"/>
      <c r="L65" s="65">
        <f>SUM(venta_a_mes10[[#This Row],[IMPORTE NETO]:[EXENTO]])</f>
        <v>180999.97960000002</v>
      </c>
      <c r="M65" s="59"/>
    </row>
    <row r="66" spans="2:13" x14ac:dyDescent="0.3">
      <c r="B66" s="40" t="s">
        <v>206</v>
      </c>
      <c r="C66" s="41">
        <v>1</v>
      </c>
      <c r="D66" s="42">
        <v>1</v>
      </c>
      <c r="E66" s="43">
        <v>303</v>
      </c>
      <c r="F66" s="44">
        <v>30718553357</v>
      </c>
      <c r="G66" s="99" t="str">
        <f>IFERROR(IF(venta_a_mes10[[#This Row],[CUIT]]="","-",VLOOKUP(venta_a_mes10[[#This Row],[CUIT]],Lista_CUIT[#All],2,0)),"CUIT NO CARGADO")</f>
        <v>EMIGRA CON TU MASCOTA S.R.L.</v>
      </c>
      <c r="H66" s="100">
        <v>428099.19</v>
      </c>
      <c r="I66" s="101">
        <f>venta_a_mes10[[#This Row],[IMPORTE NETO]]*0.21</f>
        <v>89900.829899999997</v>
      </c>
      <c r="J66" s="65"/>
      <c r="K66" s="65"/>
      <c r="L66" s="65">
        <f>SUM(venta_a_mes10[[#This Row],[IMPORTE NETO]:[EXENTO]])</f>
        <v>518000.01990000001</v>
      </c>
      <c r="M66" s="59"/>
    </row>
    <row r="67" spans="2:13" x14ac:dyDescent="0.3">
      <c r="B67" s="40" t="s">
        <v>206</v>
      </c>
      <c r="C67" s="41">
        <v>1</v>
      </c>
      <c r="D67" s="42">
        <v>1</v>
      </c>
      <c r="E67" s="43">
        <v>304</v>
      </c>
      <c r="F67" s="44">
        <v>23107861939</v>
      </c>
      <c r="G67" s="99" t="str">
        <f>IFERROR(IF(venta_a_mes10[[#This Row],[CUIT]]="","-",VLOOKUP(venta_a_mes10[[#This Row],[CUIT]],Lista_CUIT[#All],2,0)),"CUIT NO CARGADO")</f>
        <v>GONZALEZ JOSE RAUL</v>
      </c>
      <c r="H67" s="100">
        <v>428099.19</v>
      </c>
      <c r="I67" s="101">
        <f>venta_a_mes10[[#This Row],[IMPORTE NETO]]*0.21</f>
        <v>89900.829899999997</v>
      </c>
      <c r="J67" s="65"/>
      <c r="K67" s="65"/>
      <c r="L67" s="65">
        <f>SUM(venta_a_mes10[[#This Row],[IMPORTE NETO]:[EXENTO]])</f>
        <v>518000.01990000001</v>
      </c>
      <c r="M67" s="59"/>
    </row>
    <row r="68" spans="2:13" x14ac:dyDescent="0.3">
      <c r="B68" s="40" t="s">
        <v>206</v>
      </c>
      <c r="C68" s="41">
        <v>1</v>
      </c>
      <c r="D68" s="42">
        <v>1</v>
      </c>
      <c r="E68" s="43">
        <v>288</v>
      </c>
      <c r="F68" s="44">
        <v>20287305460</v>
      </c>
      <c r="G68" s="99" t="str">
        <f>IFERROR(IF(venta_a_mes10[[#This Row],[CUIT]]="","-",VLOOKUP(venta_a_mes10[[#This Row],[CUIT]],Lista_CUIT[#All],2,0)),"CUIT NO CARGADO")</f>
        <v>LANDI GERONIMO</v>
      </c>
      <c r="H68" s="100">
        <v>70247.95</v>
      </c>
      <c r="I68" s="101">
        <f>venta_a_mes10[[#This Row],[IMPORTE NETO]]*0.21</f>
        <v>14752.0695</v>
      </c>
      <c r="J68" s="65"/>
      <c r="K68" s="65"/>
      <c r="L68" s="65">
        <f>SUM(venta_a_mes10[[#This Row],[IMPORTE NETO]:[EXENTO]])</f>
        <v>85000.019499999995</v>
      </c>
      <c r="M68" s="59"/>
    </row>
    <row r="69" spans="2:13" x14ac:dyDescent="0.3">
      <c r="B69" s="40" t="s">
        <v>206</v>
      </c>
      <c r="C69" s="41">
        <v>1</v>
      </c>
      <c r="D69" s="42">
        <v>1</v>
      </c>
      <c r="E69" s="43">
        <v>289</v>
      </c>
      <c r="F69" s="44">
        <v>20279415656</v>
      </c>
      <c r="G69" s="99" t="str">
        <f>IFERROR(IF(venta_a_mes10[[#This Row],[CUIT]]="","-",VLOOKUP(venta_a_mes10[[#This Row],[CUIT]],Lista_CUIT[#All],2,0)),"CUIT NO CARGADO")</f>
        <v>CECCO ALVARO GONZALO</v>
      </c>
      <c r="H69" s="100">
        <v>94214.86</v>
      </c>
      <c r="I69" s="101">
        <f>venta_a_mes10[[#This Row],[IMPORTE NETO]]*0.21</f>
        <v>19785.120599999998</v>
      </c>
      <c r="J69" s="65"/>
      <c r="K69" s="65"/>
      <c r="L69" s="65">
        <f>SUM(venta_a_mes10[[#This Row],[IMPORTE NETO]:[EXENTO]])</f>
        <v>113999.9806</v>
      </c>
      <c r="M69" s="59"/>
    </row>
    <row r="70" spans="2:13" x14ac:dyDescent="0.3">
      <c r="B70" s="40" t="s">
        <v>206</v>
      </c>
      <c r="C70" s="41">
        <v>1</v>
      </c>
      <c r="D70" s="42">
        <v>1</v>
      </c>
      <c r="E70" s="43">
        <v>290</v>
      </c>
      <c r="F70" s="44">
        <v>20367341808</v>
      </c>
      <c r="G70" s="99" t="str">
        <f>IFERROR(IF(venta_a_mes10[[#This Row],[CUIT]]="","-",VLOOKUP(venta_a_mes10[[#This Row],[CUIT]],Lista_CUIT[#All],2,0)),"CUIT NO CARGADO")</f>
        <v>FEIDAS FERNANDO EMILIANO</v>
      </c>
      <c r="H70" s="100">
        <v>70247.95</v>
      </c>
      <c r="I70" s="101">
        <f>venta_a_mes10[[#This Row],[IMPORTE NETO]]*0.21</f>
        <v>14752.0695</v>
      </c>
      <c r="J70" s="65"/>
      <c r="K70" s="65"/>
      <c r="L70" s="65">
        <f>SUM(venta_a_mes10[[#This Row],[IMPORTE NETO]:[EXENTO]])</f>
        <v>85000.019499999995</v>
      </c>
      <c r="M70" s="59"/>
    </row>
    <row r="71" spans="2:13" x14ac:dyDescent="0.3">
      <c r="B71" s="40" t="s">
        <v>206</v>
      </c>
      <c r="C71" s="41">
        <v>1</v>
      </c>
      <c r="D71" s="42">
        <v>1</v>
      </c>
      <c r="E71" s="43">
        <v>291</v>
      </c>
      <c r="F71" s="44">
        <v>30715941763</v>
      </c>
      <c r="G71" s="99" t="str">
        <f>IFERROR(IF(venta_a_mes10[[#This Row],[CUIT]]="","-",VLOOKUP(venta_a_mes10[[#This Row],[CUIT]],Lista_CUIT[#All],2,0)),"CUIT NO CARGADO")</f>
        <v>TOURMALHYN S.R.L.</v>
      </c>
      <c r="H71" s="100">
        <v>39669.43</v>
      </c>
      <c r="I71" s="101">
        <f>venta_a_mes10[[#This Row],[IMPORTE NETO]]*0.21</f>
        <v>8330.5802999999996</v>
      </c>
      <c r="J71" s="65"/>
      <c r="K71" s="65"/>
      <c r="L71" s="65">
        <f>SUM(venta_a_mes10[[#This Row],[IMPORTE NETO]:[EXENTO]])</f>
        <v>48000.010300000002</v>
      </c>
      <c r="M71" s="59"/>
    </row>
    <row r="72" spans="2:13" x14ac:dyDescent="0.3">
      <c r="B72" s="40" t="s">
        <v>206</v>
      </c>
      <c r="C72" s="41">
        <v>1</v>
      </c>
      <c r="D72" s="42">
        <v>1</v>
      </c>
      <c r="E72" s="43">
        <v>292</v>
      </c>
      <c r="F72" s="44">
        <v>30717465101</v>
      </c>
      <c r="G72" s="99" t="str">
        <f>IFERROR(IF(venta_a_mes10[[#This Row],[CUIT]]="","-",VLOOKUP(venta_a_mes10[[#This Row],[CUIT]],Lista_CUIT[#All],2,0)),"CUIT NO CARGADO")</f>
        <v>EMPRENDIMIENTOS SHOPGLASS S. R. L.</v>
      </c>
      <c r="H72" s="100">
        <v>70247.95</v>
      </c>
      <c r="I72" s="101">
        <f>venta_a_mes10[[#This Row],[IMPORTE NETO]]*0.21</f>
        <v>14752.0695</v>
      </c>
      <c r="J72" s="65"/>
      <c r="K72" s="65"/>
      <c r="L72" s="65">
        <f>SUM(venta_a_mes10[[#This Row],[IMPORTE NETO]:[EXENTO]])</f>
        <v>85000.019499999995</v>
      </c>
      <c r="M72" s="59"/>
    </row>
    <row r="73" spans="2:13" x14ac:dyDescent="0.3">
      <c r="B73" s="40" t="s">
        <v>206</v>
      </c>
      <c r="C73" s="41">
        <v>1</v>
      </c>
      <c r="D73" s="42">
        <v>1</v>
      </c>
      <c r="E73" s="43">
        <v>293</v>
      </c>
      <c r="F73" s="44">
        <v>20132082198</v>
      </c>
      <c r="G73" s="99" t="str">
        <f>IFERROR(IF(venta_a_mes10[[#This Row],[CUIT]]="","-",VLOOKUP(venta_a_mes10[[#This Row],[CUIT]],Lista_CUIT[#All],2,0)),"CUIT NO CARGADO")</f>
        <v>FADIGA OSCAR ALBERTO</v>
      </c>
      <c r="H73" s="100">
        <v>136363.62</v>
      </c>
      <c r="I73" s="101">
        <f>venta_a_mes10[[#This Row],[IMPORTE NETO]]*0.21</f>
        <v>28636.360199999999</v>
      </c>
      <c r="J73" s="65"/>
      <c r="K73" s="65"/>
      <c r="L73" s="65">
        <f>SUM(venta_a_mes10[[#This Row],[IMPORTE NETO]:[EXENTO]])</f>
        <v>164999.98019999999</v>
      </c>
      <c r="M73" s="59"/>
    </row>
    <row r="74" spans="2:13" x14ac:dyDescent="0.3">
      <c r="B74" s="40" t="s">
        <v>206</v>
      </c>
      <c r="C74" s="41">
        <v>1</v>
      </c>
      <c r="D74" s="42">
        <v>1</v>
      </c>
      <c r="E74" s="43">
        <v>294</v>
      </c>
      <c r="F74" s="44">
        <v>30688955749</v>
      </c>
      <c r="G74" s="99" t="str">
        <f>IFERROR(IF(venta_a_mes10[[#This Row],[CUIT]]="","-",VLOOKUP(venta_a_mes10[[#This Row],[CUIT]],Lista_CUIT[#All],2,0)),"CUIT NO CARGADO")</f>
        <v>LISERAR S A</v>
      </c>
      <c r="H74" s="100">
        <v>149586.76</v>
      </c>
      <c r="I74" s="101">
        <f>venta_a_mes10[[#This Row],[IMPORTE NETO]]*0.21</f>
        <v>31413.2196</v>
      </c>
      <c r="J74" s="65"/>
      <c r="K74" s="65"/>
      <c r="L74" s="65">
        <f>SUM(venta_a_mes10[[#This Row],[IMPORTE NETO]:[EXENTO]])</f>
        <v>180999.97960000002</v>
      </c>
      <c r="M74" s="59"/>
    </row>
    <row r="75" spans="2:13" x14ac:dyDescent="0.3">
      <c r="B75" s="40" t="s">
        <v>206</v>
      </c>
      <c r="C75" s="41">
        <v>1</v>
      </c>
      <c r="D75" s="42">
        <v>1</v>
      </c>
      <c r="E75" s="43">
        <v>295</v>
      </c>
      <c r="F75" s="44">
        <v>30716234815</v>
      </c>
      <c r="G75" s="99" t="str">
        <f>IFERROR(IF(venta_a_mes10[[#This Row],[CUIT]]="","-",VLOOKUP(venta_a_mes10[[#This Row],[CUIT]],Lista_CUIT[#All],2,0)),"CUIT NO CARGADO")</f>
        <v>LEVINT PARTNERS S.R.L.</v>
      </c>
      <c r="H75" s="100">
        <v>149586.76</v>
      </c>
      <c r="I75" s="101">
        <f>venta_a_mes10[[#This Row],[IMPORTE NETO]]*0.21</f>
        <v>31413.2196</v>
      </c>
      <c r="J75" s="65"/>
      <c r="K75" s="65"/>
      <c r="L75" s="65">
        <f>SUM(venta_a_mes10[[#This Row],[IMPORTE NETO]:[EXENTO]])</f>
        <v>180999.97960000002</v>
      </c>
      <c r="M75" s="59"/>
    </row>
    <row r="76" spans="2:13" x14ac:dyDescent="0.3">
      <c r="B76" s="40" t="s">
        <v>206</v>
      </c>
      <c r="C76" s="41">
        <v>1</v>
      </c>
      <c r="D76" s="42">
        <v>1</v>
      </c>
      <c r="E76" s="43">
        <v>296</v>
      </c>
      <c r="F76" s="44">
        <v>20320573948</v>
      </c>
      <c r="G76" s="99" t="str">
        <f>IFERROR(IF(venta_a_mes10[[#This Row],[CUIT]]="","-",VLOOKUP(venta_a_mes10[[#This Row],[CUIT]],Lista_CUIT[#All],2,0)),"CUIT NO CARGADO")</f>
        <v>CAVALLOTTI MARCOS DANIEL</v>
      </c>
      <c r="H76" s="100">
        <v>149586.76</v>
      </c>
      <c r="I76" s="101">
        <f>venta_a_mes10[[#This Row],[IMPORTE NETO]]*0.21</f>
        <v>31413.2196</v>
      </c>
      <c r="J76" s="65"/>
      <c r="K76" s="65"/>
      <c r="L76" s="65">
        <f>SUM(venta_a_mes10[[#This Row],[IMPORTE NETO]:[EXENTO]])</f>
        <v>180999.97960000002</v>
      </c>
      <c r="M76" s="59"/>
    </row>
    <row r="77" spans="2:13" x14ac:dyDescent="0.3">
      <c r="B77" s="40" t="s">
        <v>215</v>
      </c>
      <c r="C77" s="41">
        <v>1</v>
      </c>
      <c r="D77" s="42">
        <v>1</v>
      </c>
      <c r="E77" s="43">
        <v>305</v>
      </c>
      <c r="F77" s="44">
        <v>30718631730</v>
      </c>
      <c r="G77" s="99" t="str">
        <f>IFERROR(IF(venta_a_mes10[[#This Row],[CUIT]]="","-",VLOOKUP(venta_a_mes10[[#This Row],[CUIT]],Lista_CUIT[#All],2,0)),"CUIT NO CARGADO")</f>
        <v>SIMZ S. R. L.</v>
      </c>
      <c r="H77" s="100">
        <v>428099.19</v>
      </c>
      <c r="I77" s="101">
        <f>venta_a_mes10[[#This Row],[IMPORTE NETO]]*0.21</f>
        <v>89900.829899999997</v>
      </c>
      <c r="J77" s="65"/>
      <c r="K77" s="65"/>
      <c r="L77" s="65">
        <f>SUM(venta_a_mes10[[#This Row],[IMPORTE NETO]:[EXENTO]])</f>
        <v>518000.01990000001</v>
      </c>
      <c r="M77" s="59"/>
    </row>
    <row r="78" spans="2:13" x14ac:dyDescent="0.3">
      <c r="B78" s="40" t="s">
        <v>215</v>
      </c>
      <c r="C78" s="41">
        <v>3</v>
      </c>
      <c r="D78" s="42">
        <v>1</v>
      </c>
      <c r="E78" s="43">
        <v>14</v>
      </c>
      <c r="F78" s="44">
        <v>30716234815</v>
      </c>
      <c r="G78" s="99" t="str">
        <f>IFERROR(IF(venta_a_mes10[[#This Row],[CUIT]]="","-",VLOOKUP(venta_a_mes10[[#This Row],[CUIT]],Lista_CUIT[#All],2,0)),"CUIT NO CARGADO")</f>
        <v>LEVINT PARTNERS S.R.L.</v>
      </c>
      <c r="H78" s="100">
        <v>-149586.76</v>
      </c>
      <c r="I78" s="101">
        <f>venta_a_mes10[[#This Row],[IMPORTE NETO]]*0.21</f>
        <v>-31413.2196</v>
      </c>
      <c r="J78" s="65"/>
      <c r="K78" s="65"/>
      <c r="L78" s="65">
        <f>SUM(venta_a_mes10[[#This Row],[IMPORTE NETO]:[EXENTO]])</f>
        <v>-180999.97960000002</v>
      </c>
      <c r="M78" s="59"/>
    </row>
    <row r="79" spans="2:13" x14ac:dyDescent="0.3">
      <c r="B79" s="40" t="s">
        <v>208</v>
      </c>
      <c r="C79" s="41">
        <v>3</v>
      </c>
      <c r="D79" s="42">
        <v>1</v>
      </c>
      <c r="E79" s="43">
        <v>15</v>
      </c>
      <c r="F79" s="44">
        <v>24368969350</v>
      </c>
      <c r="G79" s="99" t="str">
        <f>IFERROR(IF(venta_a_mes10[[#This Row],[CUIT]]="","-",VLOOKUP(venta_a_mes10[[#This Row],[CUIT]],Lista_CUIT[#All],2,0)),"CUIT NO CARGADO")</f>
        <v>MARANO CORVALAN MARTIN MARIANO</v>
      </c>
      <c r="H79" s="100">
        <v>-37190.1</v>
      </c>
      <c r="I79" s="101">
        <f>venta_a_mes10[[#This Row],[IMPORTE NETO]]*0.21</f>
        <v>-7809.9209999999994</v>
      </c>
      <c r="J79" s="65"/>
      <c r="K79" s="65"/>
      <c r="L79" s="65">
        <f>SUM(venta_a_mes10[[#This Row],[IMPORTE NETO]:[EXENTO]])</f>
        <v>-45000.021000000001</v>
      </c>
      <c r="M79" s="59"/>
    </row>
    <row r="80" spans="2:13" x14ac:dyDescent="0.3">
      <c r="B80" s="40" t="s">
        <v>216</v>
      </c>
      <c r="C80" s="41">
        <v>1</v>
      </c>
      <c r="D80" s="42">
        <v>1</v>
      </c>
      <c r="E80" s="43">
        <v>306</v>
      </c>
      <c r="F80" s="44">
        <v>33716094559</v>
      </c>
      <c r="G80" s="99" t="str">
        <f>IFERROR(IF(venta_a_mes10[[#This Row],[CUIT]]="","-",VLOOKUP(venta_a_mes10[[#This Row],[CUIT]],Lista_CUIT[#All],2,0)),"CUIT NO CARGADO")</f>
        <v>NORDENPET SRL</v>
      </c>
      <c r="H80" s="100">
        <v>428099.19</v>
      </c>
      <c r="I80" s="101">
        <f>venta_a_mes10[[#This Row],[IMPORTE NETO]]*0.21</f>
        <v>89900.829899999997</v>
      </c>
      <c r="J80" s="65"/>
      <c r="K80" s="65"/>
      <c r="L80" s="65">
        <f>SUM(venta_a_mes10[[#This Row],[IMPORTE NETO]:[EXENTO]])</f>
        <v>518000.01990000001</v>
      </c>
      <c r="M80" s="59"/>
    </row>
    <row r="81" spans="2:13" x14ac:dyDescent="0.3">
      <c r="B81" s="40" t="s">
        <v>214</v>
      </c>
      <c r="C81" s="41">
        <v>1</v>
      </c>
      <c r="D81" s="42">
        <v>2</v>
      </c>
      <c r="E81" s="43">
        <v>16</v>
      </c>
      <c r="F81" s="44">
        <v>33709585229</v>
      </c>
      <c r="G81" s="99" t="str">
        <f>IFERROR(IF(venta_a_mes10[[#This Row],[CUIT]]="","-",VLOOKUP(venta_a_mes10[[#This Row],[CUIT]],Lista_CUIT[#All],2,0)),"CUIT NO CARGADO")</f>
        <v>GOOGLE ARGENTINA S.R.L.</v>
      </c>
      <c r="H81" s="100">
        <v>656357.62</v>
      </c>
      <c r="I81" s="101">
        <f>venta_a_mes10[[#This Row],[IMPORTE NETO]]*0.21</f>
        <v>137835.10019999999</v>
      </c>
      <c r="J81" s="65"/>
      <c r="K81" s="65"/>
      <c r="L81" s="65">
        <f>SUM(venta_a_mes10[[#This Row],[IMPORTE NETO]:[EXENTO]])</f>
        <v>794192.72019999998</v>
      </c>
      <c r="M81" s="59"/>
    </row>
    <row r="82" spans="2:13" x14ac:dyDescent="0.3">
      <c r="B82" s="40" t="s">
        <v>214</v>
      </c>
      <c r="C82" s="41">
        <v>1</v>
      </c>
      <c r="D82" s="42">
        <v>2</v>
      </c>
      <c r="E82" s="43">
        <v>17</v>
      </c>
      <c r="F82" s="44">
        <v>33709585229</v>
      </c>
      <c r="G82" s="99" t="str">
        <f>IFERROR(IF(venta_a_mes10[[#This Row],[CUIT]]="","-",VLOOKUP(venta_a_mes10[[#This Row],[CUIT]],Lista_CUIT[#All],2,0)),"CUIT NO CARGADO")</f>
        <v>GOOGLE ARGENTINA S.R.L.</v>
      </c>
      <c r="H82" s="100">
        <v>902431.86</v>
      </c>
      <c r="I82" s="101">
        <f>venta_a_mes10[[#This Row],[IMPORTE NETO]]*0.21</f>
        <v>189510.6906</v>
      </c>
      <c r="J82" s="65"/>
      <c r="K82" s="65"/>
      <c r="L82" s="65">
        <f>SUM(venta_a_mes10[[#This Row],[IMPORTE NETO]:[EXENTO]])</f>
        <v>1091942.5506</v>
      </c>
      <c r="M82" s="59"/>
    </row>
    <row r="83" spans="2:13" x14ac:dyDescent="0.3">
      <c r="B83" s="40" t="s">
        <v>214</v>
      </c>
      <c r="C83" s="41">
        <v>1</v>
      </c>
      <c r="D83" s="42">
        <v>2</v>
      </c>
      <c r="E83" s="43">
        <v>10</v>
      </c>
      <c r="F83" s="44">
        <v>33709585229</v>
      </c>
      <c r="G83" s="99" t="str">
        <f>IFERROR(IF(venta_a_mes10[[#This Row],[CUIT]]="","-",VLOOKUP(venta_a_mes10[[#This Row],[CUIT]],Lista_CUIT[#All],2,0)),"CUIT NO CARGADO")</f>
        <v>GOOGLE ARGENTINA S.R.L.</v>
      </c>
      <c r="H83" s="100">
        <v>650260.71</v>
      </c>
      <c r="I83" s="101">
        <f>venta_a_mes10[[#This Row],[IMPORTE NETO]]*0.21</f>
        <v>136554.74909999999</v>
      </c>
      <c r="J83" s="65"/>
      <c r="K83" s="65"/>
      <c r="L83" s="65">
        <f>SUM(venta_a_mes10[[#This Row],[IMPORTE NETO]:[EXENTO]])</f>
        <v>786815.45909999998</v>
      </c>
      <c r="M83" s="59"/>
    </row>
    <row r="84" spans="2:13" x14ac:dyDescent="0.3">
      <c r="B84" s="40" t="s">
        <v>214</v>
      </c>
      <c r="C84" s="41">
        <v>1</v>
      </c>
      <c r="D84" s="42">
        <v>2</v>
      </c>
      <c r="E84" s="43">
        <v>18</v>
      </c>
      <c r="F84" s="44">
        <v>33709585229</v>
      </c>
      <c r="G84" s="99" t="str">
        <f>IFERROR(IF(venta_a_mes10[[#This Row],[CUIT]]="","-",VLOOKUP(venta_a_mes10[[#This Row],[CUIT]],Lista_CUIT[#All],2,0)),"CUIT NO CARGADO")</f>
        <v>GOOGLE ARGENTINA S.R.L.</v>
      </c>
      <c r="H84" s="100">
        <v>902431.86</v>
      </c>
      <c r="I84" s="101">
        <f>venta_a_mes10[[#This Row],[IMPORTE NETO]]*0.21</f>
        <v>189510.6906</v>
      </c>
      <c r="J84" s="65"/>
      <c r="K84" s="65"/>
      <c r="L84" s="65">
        <f>SUM(venta_a_mes10[[#This Row],[IMPORTE NETO]:[EXENTO]])</f>
        <v>1091942.5506</v>
      </c>
      <c r="M84" s="59"/>
    </row>
    <row r="85" spans="2:13" x14ac:dyDescent="0.3">
      <c r="B85" s="40" t="s">
        <v>214</v>
      </c>
      <c r="C85" s="41">
        <v>1</v>
      </c>
      <c r="D85" s="42">
        <v>2</v>
      </c>
      <c r="E85" s="43">
        <v>11</v>
      </c>
      <c r="F85" s="44">
        <v>33709585229</v>
      </c>
      <c r="G85" s="99" t="str">
        <f>IFERROR(IF(venta_a_mes10[[#This Row],[CUIT]]="","-",VLOOKUP(venta_a_mes10[[#This Row],[CUIT]],Lista_CUIT[#All],2,0)),"CUIT NO CARGADO")</f>
        <v>GOOGLE ARGENTINA S.R.L.</v>
      </c>
      <c r="H85" s="100">
        <v>847590.86</v>
      </c>
      <c r="I85" s="101">
        <f>venta_a_mes10[[#This Row],[IMPORTE NETO]]*0.21</f>
        <v>177994.08059999999</v>
      </c>
      <c r="J85" s="65"/>
      <c r="K85" s="65"/>
      <c r="L85" s="65">
        <f>SUM(venta_a_mes10[[#This Row],[IMPORTE NETO]:[EXENTO]])</f>
        <v>1025584.9406</v>
      </c>
      <c r="M85" s="59"/>
    </row>
    <row r="86" spans="2:13" x14ac:dyDescent="0.3">
      <c r="B86" s="40" t="s">
        <v>214</v>
      </c>
      <c r="C86" s="41">
        <v>1</v>
      </c>
      <c r="D86" s="42">
        <v>2</v>
      </c>
      <c r="E86" s="43">
        <v>19</v>
      </c>
      <c r="F86" s="44">
        <v>33709585229</v>
      </c>
      <c r="G86" s="99" t="str">
        <f>IFERROR(IF(venta_a_mes10[[#This Row],[CUIT]]="","-",VLOOKUP(venta_a_mes10[[#This Row],[CUIT]],Lista_CUIT[#All],2,0)),"CUIT NO CARGADO")</f>
        <v>GOOGLE ARGENTINA S.R.L.</v>
      </c>
      <c r="H86" s="100">
        <v>754668.19</v>
      </c>
      <c r="I86" s="101">
        <f>venta_a_mes10[[#This Row],[IMPORTE NETO]]*0.21</f>
        <v>158480.31989999997</v>
      </c>
      <c r="J86" s="65"/>
      <c r="K86" s="65"/>
      <c r="L86" s="65">
        <f>SUM(venta_a_mes10[[#This Row],[IMPORTE NETO]:[EXENTO]])</f>
        <v>913148.50989999995</v>
      </c>
      <c r="M86" s="59"/>
    </row>
    <row r="87" spans="2:13" x14ac:dyDescent="0.3">
      <c r="B87" s="40" t="s">
        <v>214</v>
      </c>
      <c r="C87" s="41">
        <v>1</v>
      </c>
      <c r="D87" s="42">
        <v>2</v>
      </c>
      <c r="E87" s="43">
        <v>12</v>
      </c>
      <c r="F87" s="44">
        <v>33709585229</v>
      </c>
      <c r="G87" s="99" t="str">
        <f>IFERROR(IF(venta_a_mes10[[#This Row],[CUIT]]="","-",VLOOKUP(venta_a_mes10[[#This Row],[CUIT]],Lista_CUIT[#All],2,0)),"CUIT NO CARGADO")</f>
        <v>GOOGLE ARGENTINA S.R.L.</v>
      </c>
      <c r="H87" s="100">
        <v>1081034.1399999999</v>
      </c>
      <c r="I87" s="101">
        <f>venta_a_mes10[[#This Row],[IMPORTE NETO]]*0.21</f>
        <v>227017.16939999998</v>
      </c>
      <c r="J87" s="65"/>
      <c r="K87" s="65"/>
      <c r="L87" s="65">
        <f>SUM(venta_a_mes10[[#This Row],[IMPORTE NETO]:[EXENTO]])</f>
        <v>1308051.3093999999</v>
      </c>
      <c r="M87" s="59"/>
    </row>
    <row r="88" spans="2:13" x14ac:dyDescent="0.3">
      <c r="B88" s="40" t="s">
        <v>214</v>
      </c>
      <c r="C88" s="41">
        <v>1</v>
      </c>
      <c r="D88" s="42">
        <v>2</v>
      </c>
      <c r="E88" s="43">
        <v>20</v>
      </c>
      <c r="F88" s="44">
        <v>33709585229</v>
      </c>
      <c r="G88" s="99" t="str">
        <f>IFERROR(IF(venta_a_mes10[[#This Row],[CUIT]]="","-",VLOOKUP(venta_a_mes10[[#This Row],[CUIT]],Lista_CUIT[#All],2,0)),"CUIT NO CARGADO")</f>
        <v>GOOGLE ARGENTINA S.R.L.</v>
      </c>
      <c r="H88" s="100">
        <v>754668.19</v>
      </c>
      <c r="I88" s="101">
        <f>venta_a_mes10[[#This Row],[IMPORTE NETO]]*0.21</f>
        <v>158480.31989999997</v>
      </c>
      <c r="J88" s="65"/>
      <c r="K88" s="65"/>
      <c r="L88" s="65">
        <f>SUM(venta_a_mes10[[#This Row],[IMPORTE NETO]:[EXENTO]])</f>
        <v>913148.50989999995</v>
      </c>
      <c r="M88" s="59"/>
    </row>
    <row r="89" spans="2:13" x14ac:dyDescent="0.3">
      <c r="B89" s="40" t="s">
        <v>214</v>
      </c>
      <c r="C89" s="41">
        <v>1</v>
      </c>
      <c r="D89" s="42">
        <v>2</v>
      </c>
      <c r="E89" s="43">
        <v>13</v>
      </c>
      <c r="F89" s="44">
        <v>33709585229</v>
      </c>
      <c r="G89" s="99" t="str">
        <f>IFERROR(IF(venta_a_mes10[[#This Row],[CUIT]]="","-",VLOOKUP(venta_a_mes10[[#This Row],[CUIT]],Lista_CUIT[#All],2,0)),"CUIT NO CARGADO")</f>
        <v>GOOGLE ARGENTINA S.R.L.</v>
      </c>
      <c r="H89" s="100">
        <v>932677.86</v>
      </c>
      <c r="I89" s="101">
        <f>venta_a_mes10[[#This Row],[IMPORTE NETO]]*0.21</f>
        <v>195862.35059999998</v>
      </c>
      <c r="J89" s="65"/>
      <c r="K89" s="65"/>
      <c r="L89" s="65">
        <f>SUM(venta_a_mes10[[#This Row],[IMPORTE NETO]:[EXENTO]])</f>
        <v>1128540.2105999999</v>
      </c>
      <c r="M89" s="59"/>
    </row>
    <row r="90" spans="2:13" x14ac:dyDescent="0.3">
      <c r="B90" s="40" t="s">
        <v>214</v>
      </c>
      <c r="C90" s="41">
        <v>1</v>
      </c>
      <c r="D90" s="42">
        <v>2</v>
      </c>
      <c r="E90" s="43">
        <v>21</v>
      </c>
      <c r="F90" s="44">
        <v>33709585229</v>
      </c>
      <c r="G90" s="99" t="str">
        <f>IFERROR(IF(venta_a_mes10[[#This Row],[CUIT]]="","-",VLOOKUP(venta_a_mes10[[#This Row],[CUIT]],Lista_CUIT[#All],2,0)),"CUIT NO CARGADO")</f>
        <v>GOOGLE ARGENTINA S.R.L.</v>
      </c>
      <c r="H90" s="100">
        <v>754668.19</v>
      </c>
      <c r="I90" s="101">
        <f>venta_a_mes10[[#This Row],[IMPORTE NETO]]*0.21</f>
        <v>158480.31989999997</v>
      </c>
      <c r="J90" s="65"/>
      <c r="K90" s="65"/>
      <c r="L90" s="65">
        <f>SUM(venta_a_mes10[[#This Row],[IMPORTE NETO]:[EXENTO]])</f>
        <v>913148.50989999995</v>
      </c>
      <c r="M90" s="59"/>
    </row>
    <row r="91" spans="2:13" x14ac:dyDescent="0.3">
      <c r="B91" s="40" t="s">
        <v>214</v>
      </c>
      <c r="C91" s="41">
        <v>1</v>
      </c>
      <c r="D91" s="42">
        <v>2</v>
      </c>
      <c r="E91" s="43">
        <v>8</v>
      </c>
      <c r="F91" s="44">
        <v>33709585229</v>
      </c>
      <c r="G91" s="99" t="str">
        <f>IFERROR(IF(venta_a_mes10[[#This Row],[CUIT]]="","-",VLOOKUP(venta_a_mes10[[#This Row],[CUIT]],Lista_CUIT[#All],2,0)),"CUIT NO CARGADO")</f>
        <v>GOOGLE ARGENTINA S.R.L.</v>
      </c>
      <c r="H91" s="100">
        <v>595694.1</v>
      </c>
      <c r="I91" s="101">
        <f>venta_a_mes10[[#This Row],[IMPORTE NETO]]*0.21</f>
        <v>125095.76099999998</v>
      </c>
      <c r="J91" s="65"/>
      <c r="K91" s="65"/>
      <c r="L91" s="65">
        <f>SUM(venta_a_mes10[[#This Row],[IMPORTE NETO]:[EXENTO]])</f>
        <v>720789.86099999992</v>
      </c>
      <c r="M91" s="59"/>
    </row>
    <row r="92" spans="2:13" x14ac:dyDescent="0.3">
      <c r="B92" s="40" t="s">
        <v>214</v>
      </c>
      <c r="C92" s="41">
        <v>1</v>
      </c>
      <c r="D92" s="42">
        <v>2</v>
      </c>
      <c r="E92" s="43">
        <v>14</v>
      </c>
      <c r="F92" s="44">
        <v>33709585229</v>
      </c>
      <c r="G92" s="99" t="str">
        <f>IFERROR(IF(venta_a_mes10[[#This Row],[CUIT]]="","-",VLOOKUP(venta_a_mes10[[#This Row],[CUIT]],Lista_CUIT[#All],2,0)),"CUIT NO CARGADO")</f>
        <v>GOOGLE ARGENTINA S.R.L.</v>
      </c>
      <c r="H92" s="100">
        <v>779082.1</v>
      </c>
      <c r="I92" s="101">
        <f>venta_a_mes10[[#This Row],[IMPORTE NETO]]*0.21</f>
        <v>163607.24099999998</v>
      </c>
      <c r="J92" s="65"/>
      <c r="K92" s="65"/>
      <c r="L92" s="65">
        <f>SUM(venta_a_mes10[[#This Row],[IMPORTE NETO]:[EXENTO]])</f>
        <v>942689.34100000001</v>
      </c>
      <c r="M92" s="59"/>
    </row>
    <row r="93" spans="2:13" x14ac:dyDescent="0.3">
      <c r="B93" s="40" t="s">
        <v>214</v>
      </c>
      <c r="C93" s="41">
        <v>1</v>
      </c>
      <c r="D93" s="42">
        <v>2</v>
      </c>
      <c r="E93" s="43">
        <v>9</v>
      </c>
      <c r="F93" s="44">
        <v>33709585229</v>
      </c>
      <c r="G93" s="99" t="str">
        <f>IFERROR(IF(venta_a_mes10[[#This Row],[CUIT]]="","-",VLOOKUP(venta_a_mes10[[#This Row],[CUIT]],Lista_CUIT[#All],2,0)),"CUIT NO CARGADO")</f>
        <v>GOOGLE ARGENTINA S.R.L.</v>
      </c>
      <c r="H93" s="100">
        <v>553873.43000000005</v>
      </c>
      <c r="I93" s="101">
        <f>venta_a_mes10[[#This Row],[IMPORTE NETO]]*0.21</f>
        <v>116313.42030000001</v>
      </c>
      <c r="J93" s="65"/>
      <c r="K93" s="65"/>
      <c r="L93" s="65">
        <f>SUM(venta_a_mes10[[#This Row],[IMPORTE NETO]:[EXENTO]])</f>
        <v>670186.85030000005</v>
      </c>
      <c r="M93" s="59"/>
    </row>
    <row r="94" spans="2:13" x14ac:dyDescent="0.3">
      <c r="B94" s="40" t="s">
        <v>214</v>
      </c>
      <c r="C94" s="41">
        <v>1</v>
      </c>
      <c r="D94" s="42">
        <v>2</v>
      </c>
      <c r="E94" s="43">
        <v>15</v>
      </c>
      <c r="F94" s="44">
        <v>33709585229</v>
      </c>
      <c r="G94" s="99" t="str">
        <f>IFERROR(IF(venta_a_mes10[[#This Row],[CUIT]]="","-",VLOOKUP(venta_a_mes10[[#This Row],[CUIT]],Lista_CUIT[#All],2,0)),"CUIT NO CARGADO")</f>
        <v>GOOGLE ARGENTINA S.R.L.</v>
      </c>
      <c r="H94" s="100">
        <v>656357.62</v>
      </c>
      <c r="I94" s="101">
        <f>venta_a_mes10[[#This Row],[IMPORTE NETO]]*0.21</f>
        <v>137835.10019999999</v>
      </c>
      <c r="J94" s="65"/>
      <c r="K94" s="65"/>
      <c r="L94" s="65">
        <f>SUM(venta_a_mes10[[#This Row],[IMPORTE NETO]:[EXENTO]])</f>
        <v>794192.72019999998</v>
      </c>
      <c r="M94" s="59"/>
    </row>
    <row r="95" spans="2:13" x14ac:dyDescent="0.3">
      <c r="B95" s="40"/>
      <c r="C95" s="41"/>
      <c r="D95" s="42"/>
      <c r="E95" s="43"/>
      <c r="F95" s="44"/>
      <c r="G95" s="99" t="str">
        <f>IFERROR(IF(venta_a_mes10[[#This Row],[CUIT]]="","-",VLOOKUP(venta_a_mes10[[#This Row],[CUIT]],Lista_CUIT[#All],2,0)),"CUIT NO CARGADO")</f>
        <v>-</v>
      </c>
      <c r="H95" s="100"/>
      <c r="I95" s="101">
        <f>venta_a_mes10[[#This Row],[IMPORTE NETO]]*0.21</f>
        <v>0</v>
      </c>
      <c r="J95" s="65"/>
      <c r="K95" s="65"/>
      <c r="L95" s="65">
        <f>SUM(venta_a_mes10[[#This Row],[IMPORTE NETO]:[EXENTO]])</f>
        <v>0</v>
      </c>
      <c r="M95" s="59"/>
    </row>
    <row r="96" spans="2:13" x14ac:dyDescent="0.3">
      <c r="B96" s="40"/>
      <c r="C96" s="41"/>
      <c r="D96" s="42"/>
      <c r="E96" s="43"/>
      <c r="F96" s="44"/>
      <c r="G96" s="99" t="str">
        <f>IFERROR(IF(venta_a_mes10[[#This Row],[CUIT]]="","-",VLOOKUP(venta_a_mes10[[#This Row],[CUIT]],Lista_CUIT[#All],2,0)),"CUIT NO CARGADO")</f>
        <v>-</v>
      </c>
      <c r="H96" s="100"/>
      <c r="I96" s="101">
        <f>venta_a_mes10[[#This Row],[IMPORTE NETO]]*0.21</f>
        <v>0</v>
      </c>
      <c r="J96" s="65"/>
      <c r="K96" s="65"/>
      <c r="L96" s="65">
        <f>SUM(venta_a_mes10[[#This Row],[IMPORTE NETO]:[EXENTO]])</f>
        <v>0</v>
      </c>
      <c r="M96" s="59"/>
    </row>
    <row r="97" spans="2:13" x14ac:dyDescent="0.3">
      <c r="B97" s="66" t="s">
        <v>91</v>
      </c>
      <c r="C97" s="67"/>
      <c r="D97" s="67"/>
      <c r="E97" s="67"/>
      <c r="F97" s="67"/>
      <c r="G97" s="67"/>
      <c r="H97" s="69">
        <f>SUBTOTAL(109,venta_a_mes10[IMPORTE NETO])</f>
        <v>16221047.229999999</v>
      </c>
      <c r="I97" s="70">
        <f>SUBTOTAL(109,venta_a_mes10[IVA 21%])</f>
        <v>3406419.9182999991</v>
      </c>
      <c r="J97" s="71">
        <f>SUBTOTAL(109,venta_a_mes10[IVA 10,5%])</f>
        <v>0</v>
      </c>
      <c r="K97" s="71">
        <f>SUBTOTAL(109,venta_a_mes10[EXENTO])</f>
        <v>0</v>
      </c>
      <c r="L97" s="71">
        <f>SUBTOTAL(109,venta_a_mes10[TOTAL])</f>
        <v>19627467.148300003</v>
      </c>
      <c r="M97" s="68">
        <f>SUBTOTAL(103,venta_a_mes10[Provincia])</f>
        <v>0</v>
      </c>
    </row>
    <row r="98" spans="2:13" x14ac:dyDescent="0.3">
      <c r="B98" s="135"/>
      <c r="C98" s="135"/>
      <c r="D98" s="135"/>
      <c r="E98" s="135"/>
      <c r="F98" s="135"/>
      <c r="G98" s="135"/>
      <c r="H98" s="137"/>
      <c r="I98" s="138"/>
      <c r="J98" s="139"/>
      <c r="K98" s="139"/>
      <c r="L98" s="139"/>
      <c r="M98" s="136"/>
    </row>
    <row r="99" spans="2:13" ht="21" x14ac:dyDescent="0.3">
      <c r="B99" s="365" t="s">
        <v>31</v>
      </c>
      <c r="C99" s="365"/>
    </row>
    <row r="100" spans="2:13" ht="15.6" x14ac:dyDescent="0.3">
      <c r="B100" s="60" t="s">
        <v>0</v>
      </c>
      <c r="C100" s="61" t="s">
        <v>1</v>
      </c>
      <c r="D100" s="61" t="s">
        <v>21</v>
      </c>
      <c r="E100" s="61" t="s">
        <v>22</v>
      </c>
      <c r="F100" s="61" t="s">
        <v>3</v>
      </c>
      <c r="G100" s="61" t="s">
        <v>4</v>
      </c>
      <c r="H100" s="61" t="s">
        <v>23</v>
      </c>
      <c r="I100" s="61" t="s">
        <v>17</v>
      </c>
      <c r="J100" s="61" t="s">
        <v>7</v>
      </c>
      <c r="K100" s="61" t="s">
        <v>24</v>
      </c>
      <c r="L100" s="61" t="s">
        <v>10</v>
      </c>
      <c r="M100" s="62" t="s">
        <v>38</v>
      </c>
    </row>
    <row r="101" spans="2:13" x14ac:dyDescent="0.3">
      <c r="B101" s="40" t="s">
        <v>206</v>
      </c>
      <c r="C101" s="41">
        <v>6</v>
      </c>
      <c r="D101" s="42">
        <v>1</v>
      </c>
      <c r="E101" s="43">
        <v>45</v>
      </c>
      <c r="F101" s="44">
        <v>20252582704</v>
      </c>
      <c r="G101" s="1" t="str">
        <f>IFERROR(IF(ventas_b_mes10[[#This Row],[CUIT]]="","-",VLOOKUP(ventas_b_mes10[[#This Row],[CUIT]],Lista_CUIT[#All],2,0)),"CUIT NO CARGADO")</f>
        <v>GARCIA VAUTRIN ANDRES ALBERTO</v>
      </c>
      <c r="H101" s="64">
        <f>ventas_b_mes10[[#This Row],[TOTAL]]/1.21</f>
        <v>299173.55371900828</v>
      </c>
      <c r="I101" s="64">
        <f>ventas_b_mes10[[#This Row],[IMPORTE NETO]]*0.21</f>
        <v>62826.446280991739</v>
      </c>
      <c r="J101" s="64"/>
      <c r="K101" s="64"/>
      <c r="L101" s="64">
        <v>362000</v>
      </c>
      <c r="M101" s="59"/>
    </row>
    <row r="102" spans="2:13" x14ac:dyDescent="0.3">
      <c r="B102" s="40"/>
      <c r="C102" s="41"/>
      <c r="D102" s="42"/>
      <c r="E102" s="43"/>
      <c r="F102" s="44"/>
      <c r="G102" s="1" t="str">
        <f>IFERROR(IF(ventas_b_mes10[[#This Row],[CUIT]]="","-",VLOOKUP(ventas_b_mes10[[#This Row],[CUIT]],Lista_CUIT[#All],2,0)),"CUIT NO CARGADO")</f>
        <v>-</v>
      </c>
      <c r="H102" s="64">
        <f>ventas_b_mes10[[#This Row],[TOTAL]]/1.21</f>
        <v>0</v>
      </c>
      <c r="I102" s="64">
        <f>ventas_b_mes10[[#This Row],[IMPORTE NETO]]*0.21</f>
        <v>0</v>
      </c>
      <c r="J102" s="64"/>
      <c r="K102" s="64"/>
      <c r="L102" s="64"/>
      <c r="M102" s="59"/>
    </row>
    <row r="103" spans="2:13" x14ac:dyDescent="0.3">
      <c r="B103" s="40"/>
      <c r="C103" s="41"/>
      <c r="D103" s="42"/>
      <c r="E103" s="43"/>
      <c r="F103" s="44"/>
      <c r="G103" s="1" t="str">
        <f>IFERROR(IF(ventas_b_mes10[[#This Row],[CUIT]]="","-",VLOOKUP(ventas_b_mes10[[#This Row],[CUIT]],Lista_CUIT[#All],2,0)),"CUIT NO CARGADO")</f>
        <v>-</v>
      </c>
      <c r="H103" s="64">
        <f>ventas_b_mes10[[#This Row],[TOTAL]]/1.21</f>
        <v>0</v>
      </c>
      <c r="I103" s="64">
        <f>ventas_b_mes10[[#This Row],[IMPORTE NETO]]*0.21</f>
        <v>0</v>
      </c>
      <c r="J103" s="64"/>
      <c r="K103" s="64"/>
      <c r="L103" s="64"/>
      <c r="M103" s="59"/>
    </row>
    <row r="104" spans="2:13" x14ac:dyDescent="0.3">
      <c r="B104" s="40"/>
      <c r="C104" s="41"/>
      <c r="D104" s="42"/>
      <c r="E104" s="43"/>
      <c r="F104" s="44"/>
      <c r="G104" s="1" t="str">
        <f>IFERROR(IF(ventas_b_mes10[[#This Row],[CUIT]]="","-",VLOOKUP(ventas_b_mes10[[#This Row],[CUIT]],Lista_CUIT[#All],2,0)),"CUIT NO CARGADO")</f>
        <v>-</v>
      </c>
      <c r="H104" s="64">
        <f>ventas_b_mes10[[#This Row],[TOTAL]]/1.21</f>
        <v>0</v>
      </c>
      <c r="I104" s="64">
        <f>ventas_b_mes10[[#This Row],[IMPORTE NETO]]*0.21</f>
        <v>0</v>
      </c>
      <c r="J104" s="64"/>
      <c r="K104" s="64"/>
      <c r="L104" s="64"/>
      <c r="M104" s="59"/>
    </row>
    <row r="105" spans="2:13" x14ac:dyDescent="0.3">
      <c r="B105" s="40"/>
      <c r="C105" s="41"/>
      <c r="D105" s="42"/>
      <c r="E105" s="43"/>
      <c r="F105" s="44"/>
      <c r="G105" s="1"/>
      <c r="H105" s="64">
        <f>ventas_b_mes10[[#This Row],[TOTAL]]/1.21</f>
        <v>0</v>
      </c>
      <c r="I105" s="64">
        <f>ventas_b_mes10[[#This Row],[IMPORTE NETO]]*0.21</f>
        <v>0</v>
      </c>
      <c r="J105" s="64"/>
      <c r="K105" s="64"/>
      <c r="L105" s="64"/>
      <c r="M105" s="59"/>
    </row>
    <row r="106" spans="2:13" x14ac:dyDescent="0.3">
      <c r="B106" s="40"/>
      <c r="C106" s="41"/>
      <c r="D106" s="42"/>
      <c r="E106" s="43"/>
      <c r="F106" s="44"/>
      <c r="G106" s="1"/>
      <c r="H106" s="64">
        <f>ventas_b_mes10[[#This Row],[TOTAL]]/1.21</f>
        <v>0</v>
      </c>
      <c r="I106" s="64">
        <f>ventas_b_mes10[[#This Row],[IMPORTE NETO]]*0.21</f>
        <v>0</v>
      </c>
      <c r="J106" s="64"/>
      <c r="K106" s="64"/>
      <c r="L106" s="64"/>
      <c r="M106" s="59"/>
    </row>
    <row r="107" spans="2:13" x14ac:dyDescent="0.3">
      <c r="B107" s="66" t="s">
        <v>91</v>
      </c>
      <c r="C107" s="67"/>
      <c r="D107" s="67"/>
      <c r="E107" s="67"/>
      <c r="F107" s="67"/>
      <c r="G107" s="67"/>
      <c r="H107" s="77">
        <f>SUBTOTAL(109,ventas_b_mes10[IMPORTE NETO])</f>
        <v>299173.55371900828</v>
      </c>
      <c r="I107" s="77">
        <f>SUBTOTAL(109,ventas_b_mes10[IVA 21%])</f>
        <v>62826.446280991739</v>
      </c>
      <c r="J107" s="78">
        <f>SUBTOTAL(109,ventas_b_mes10[IVA 10,5%])</f>
        <v>0</v>
      </c>
      <c r="K107" s="78">
        <f>SUBTOTAL(109,ventas_b_mes10[EXENTO])</f>
        <v>0</v>
      </c>
      <c r="L107" s="78">
        <f>SUBTOTAL(109,ventas_b_mes10[TOTAL])</f>
        <v>362000</v>
      </c>
      <c r="M107" s="68">
        <f>SUBTOTAL(103,ventas_b_mes10[Provincia])</f>
        <v>0</v>
      </c>
    </row>
    <row r="114" spans="3:12" ht="15" thickBot="1" x14ac:dyDescent="0.35"/>
    <row r="115" spans="3:12" ht="15" thickTop="1" x14ac:dyDescent="0.3">
      <c r="C115" s="358" t="s">
        <v>66</v>
      </c>
      <c r="D115" s="358"/>
      <c r="E115" s="358"/>
      <c r="F115" s="358"/>
      <c r="G115" s="358"/>
      <c r="H115" s="32"/>
      <c r="I115" s="32"/>
      <c r="J115" s="32"/>
    </row>
    <row r="116" spans="3:12" ht="15.6" x14ac:dyDescent="0.3">
      <c r="C116" s="114" t="s">
        <v>67</v>
      </c>
      <c r="D116" s="115" t="s">
        <v>68</v>
      </c>
      <c r="E116" s="115" t="s">
        <v>93</v>
      </c>
      <c r="F116" s="115" t="s">
        <v>3</v>
      </c>
      <c r="G116" s="115" t="s">
        <v>4</v>
      </c>
      <c r="H116" s="116" t="s">
        <v>69</v>
      </c>
      <c r="I116" s="116" t="s">
        <v>70</v>
      </c>
      <c r="J116" s="116" t="s">
        <v>71</v>
      </c>
      <c r="K116" s="116" t="s">
        <v>72</v>
      </c>
      <c r="L116" s="116" t="s">
        <v>73</v>
      </c>
    </row>
    <row r="117" spans="3:12" x14ac:dyDescent="0.3">
      <c r="C117" s="117"/>
      <c r="D117" s="118"/>
      <c r="E117" s="118"/>
      <c r="F117" s="119"/>
      <c r="G117" s="53" t="str">
        <f>IFERROR(IF(Retenciones_mes10[[#This Row],[CUIT]]="","-",VLOOKUP(Retenciones_mes10[[#This Row],[CUIT]],Lista_CUIT[#All],2,0)),"CUIT NO CARGADO")</f>
        <v>-</v>
      </c>
      <c r="H117" s="120"/>
      <c r="I117" s="120"/>
      <c r="J117" s="120"/>
      <c r="K117" s="120"/>
      <c r="L117" s="120"/>
    </row>
    <row r="118" spans="3:12" x14ac:dyDescent="0.3">
      <c r="C118" s="117"/>
      <c r="D118" s="118"/>
      <c r="E118" s="118"/>
      <c r="F118" s="119"/>
      <c r="G118" s="53" t="str">
        <f>IFERROR(IF(Retenciones_mes10[[#This Row],[CUIT]]="","-",VLOOKUP(Retenciones_mes10[[#This Row],[CUIT]],Lista_CUIT[#All],2,0)),"CUIT NO CARGADO")</f>
        <v>-</v>
      </c>
      <c r="H118" s="120"/>
      <c r="I118" s="120"/>
      <c r="J118" s="120"/>
      <c r="K118" s="120"/>
      <c r="L118" s="120"/>
    </row>
    <row r="119" spans="3:12" x14ac:dyDescent="0.3">
      <c r="C119" s="117"/>
      <c r="D119" s="118"/>
      <c r="E119" s="118"/>
      <c r="F119" s="119"/>
      <c r="G119" s="53" t="str">
        <f>IFERROR(IF(Retenciones_mes10[[#This Row],[CUIT]]="","-",VLOOKUP(Retenciones_mes10[[#This Row],[CUIT]],Lista_CUIT[#All],2,0)),"CUIT NO CARGADO")</f>
        <v>-</v>
      </c>
      <c r="H119" s="120"/>
      <c r="I119" s="120"/>
      <c r="J119" s="120"/>
      <c r="K119" s="120"/>
      <c r="L119" s="120"/>
    </row>
    <row r="120" spans="3:12" x14ac:dyDescent="0.3">
      <c r="C120" s="117"/>
      <c r="D120" s="118"/>
      <c r="E120" s="118"/>
      <c r="F120" s="119"/>
      <c r="G120" s="53" t="str">
        <f>IFERROR(IF(Retenciones_mes10[[#This Row],[CUIT]]="","-",VLOOKUP(Retenciones_mes10[[#This Row],[CUIT]],Lista_CUIT[#All],2,0)),"CUIT NO CARGADO")</f>
        <v>-</v>
      </c>
      <c r="H120" s="120"/>
      <c r="I120" s="120"/>
      <c r="J120" s="120"/>
      <c r="K120" s="120"/>
      <c r="L120" s="120"/>
    </row>
    <row r="121" spans="3:12" x14ac:dyDescent="0.3">
      <c r="D121" s="118"/>
      <c r="E121" s="118"/>
      <c r="G121" s="53" t="str">
        <f>IFERROR(IF(Retenciones_mes10[[#This Row],[CUIT]]="","-",VLOOKUP(Retenciones_mes10[[#This Row],[CUIT]],Lista_CUIT[#All],2,0)),"CUIT NO CARGADO")</f>
        <v>-</v>
      </c>
    </row>
    <row r="122" spans="3:12" x14ac:dyDescent="0.3">
      <c r="C122" s="33"/>
    </row>
  </sheetData>
  <mergeCells count="20">
    <mergeCell ref="P4:R4"/>
    <mergeCell ref="B1:F1"/>
    <mergeCell ref="G1:M1"/>
    <mergeCell ref="N1:R1"/>
    <mergeCell ref="B3:E3"/>
    <mergeCell ref="G3:H3"/>
    <mergeCell ref="J3:K3"/>
    <mergeCell ref="M3:N3"/>
    <mergeCell ref="P3:R3"/>
    <mergeCell ref="C115:G115"/>
    <mergeCell ref="B4:E4"/>
    <mergeCell ref="G4:H4"/>
    <mergeCell ref="J4:K4"/>
    <mergeCell ref="M4:N4"/>
    <mergeCell ref="D37:K37"/>
    <mergeCell ref="B51:J51"/>
    <mergeCell ref="K51:M51"/>
    <mergeCell ref="B53:C53"/>
    <mergeCell ref="B99:C99"/>
    <mergeCell ref="D28:M28"/>
  </mergeCells>
  <phoneticPr fontId="38" type="noConversion"/>
  <dataValidations count="11">
    <dataValidation type="custom" allowBlank="1" showInputMessage="1" showErrorMessage="1" sqref="H101:L106" xr:uid="{219CF80E-0F2E-4C48-9F68-C60DC67957DD}">
      <formula1>IF($C101=8,H101&lt;0,H101&gt;=0)</formula1>
    </dataValidation>
    <dataValidation type="whole" allowBlank="1" showInputMessage="1" showErrorMessage="1" sqref="C101:C106" xr:uid="{DFD4CF68-9B86-4DD7-80EF-407C71768990}">
      <formula1>6</formula1>
      <formula2>8</formula2>
    </dataValidation>
    <dataValidation type="whole" allowBlank="1" showInputMessage="1" showErrorMessage="1" sqref="C24:C27 C9:C22 C55:C96" xr:uid="{DF3704F8-DFAC-45DC-AD19-18963CC6FC83}">
      <formula1>1</formula1>
      <formula2>3</formula2>
    </dataValidation>
    <dataValidation type="date" allowBlank="1" showInputMessage="1" showErrorMessage="1" sqref="D39:D45 B24:B27 B9:B22 D30:D32 B101:B106 B55:B96" xr:uid="{C930A246-8B1C-4F45-AC65-D31BF7F041C3}">
      <formula1>40179</formula1>
      <formula2>TODAY()</formula2>
    </dataValidation>
    <dataValidation type="whole" allowBlank="1" showInputMessage="1" showErrorMessage="1" sqref="G39:G45 F9:F22 F101:F106 F55:F96" xr:uid="{A86020CA-5123-4607-9FA9-A467957DA08B}">
      <formula1>20000000000</formula1>
      <formula2>33999999999</formula2>
    </dataValidation>
    <dataValidation type="whole" allowBlank="1" showInputMessage="1" showErrorMessage="1" sqref="F39:F45 E9:E22 E101:E106 E55:E96" xr:uid="{241D01B3-CB64-43E5-B492-B2C9958FC3C9}">
      <formula1>1</formula1>
      <formula2>99999999</formula2>
    </dataValidation>
    <dataValidation type="whole" allowBlank="1" showInputMessage="1" showErrorMessage="1" sqref="E39:E45 D9:D22 D101:D106 D55:D96" xr:uid="{B4D27656-26E0-46D1-9F7A-EA47E53F47EF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2" xr:uid="{0157A8B7-D2DF-46F0-A597-47C0E1CD38DB}">
      <formula1>IF($C9=3,H9&lt;0,H9&gt;=0)</formula1>
    </dataValidation>
    <dataValidation type="custom" allowBlank="1" showInputMessage="1" showErrorMessage="1" sqref="L55:L95" xr:uid="{83DC688E-7798-4122-8324-174C92447070}">
      <formula1>IF($C9=3,L9&lt;0,L9&gt;=0)</formula1>
    </dataValidation>
    <dataValidation type="custom" allowBlank="1" showInputMessage="1" showErrorMessage="1" sqref="H55:K96" xr:uid="{4000C738-755C-49AD-8380-2D7BBFFFA2E1}">
      <formula1>IF($C55=3,H55&lt;0,H55&gt;=0)</formula1>
    </dataValidation>
    <dataValidation type="custom" allowBlank="1" showInputMessage="1" showErrorMessage="1" sqref="L96" xr:uid="{38883614-C2C7-4179-AB25-41FD30F03EBC}">
      <formula1>IF($C60=3,L60&lt;0,L60&gt;=0)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>
    <tabColor theme="9" tint="0.79998168889431442"/>
  </sheetPr>
  <dimension ref="A1:Z109"/>
  <sheetViews>
    <sheetView showGridLines="0" topLeftCell="A2" zoomScale="85" zoomScaleNormal="85" workbookViewId="0">
      <selection activeCell="B16" sqref="B16:R26"/>
    </sheetView>
  </sheetViews>
  <sheetFormatPr baseColWidth="10" defaultColWidth="15.6640625" defaultRowHeight="14.4" x14ac:dyDescent="0.3"/>
  <cols>
    <col min="1" max="1" width="4.33203125" customWidth="1"/>
    <col min="2" max="2" width="16" customWidth="1"/>
    <col min="3" max="3" width="9.5546875" customWidth="1"/>
    <col min="4" max="4" width="13.33203125" customWidth="1"/>
    <col min="5" max="5" width="18.44140625" customWidth="1"/>
    <col min="6" max="6" width="17.6640625" customWidth="1"/>
    <col min="7" max="7" width="31" customWidth="1"/>
    <col min="8" max="8" width="24.109375" customWidth="1"/>
    <col min="9" max="9" width="14.88671875" customWidth="1"/>
    <col min="10" max="10" width="17.88671875" customWidth="1"/>
    <col min="11" max="11" width="12" customWidth="1"/>
    <col min="12" max="12" width="15" customWidth="1"/>
    <col min="13" max="13" width="21.5546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69" t="str">
        <f>'Ene-24'!G1:M1</f>
        <v>RABLEB SRL</v>
      </c>
      <c r="H1" s="369"/>
      <c r="I1" s="369"/>
      <c r="J1" s="369"/>
      <c r="K1" s="369"/>
      <c r="L1" s="369"/>
      <c r="M1" s="369"/>
      <c r="N1" s="370">
        <f>EDATE('Ene-24'!N1,10)</f>
        <v>45597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SUM(compras_mes11[[#Totals],[NETO GRAVADO]])+extracto_banco_mes11[[#Totals],[NETO]]</f>
        <v>3803157.6900000004</v>
      </c>
      <c r="C4" s="359"/>
      <c r="D4" s="359"/>
      <c r="E4" s="359"/>
      <c r="F4" s="39"/>
      <c r="G4" s="360">
        <f>compras_mes11[[#Totals],[IVA 21 %]]+compras_mes11[[#Totals],[IVA 27%]]+compras_mes11[[#Totals],[IVA 10,5%]]+extracto_banco_mes11[[#Totals],[IVA 21%]]+extracto_banco_mes11[[#Totals],[IVA 10,5%]]</f>
        <v>798663.11490000004</v>
      </c>
      <c r="H4" s="360"/>
      <c r="I4" s="39"/>
      <c r="J4" s="361">
        <f>venta_a_mes11[[#Totals],[IMPORTE NETO]]+ventas_b_mes11[[#Totals],[IMPORTE NETO]]</f>
        <v>4925863.67</v>
      </c>
      <c r="K4" s="361"/>
      <c r="L4" s="39"/>
      <c r="M4" s="361">
        <f>venta_a_mes11[[#Totals],[IVA 21%]]+venta_a_mes11[[#Totals],[IVA 10,5%]]+ventas_b_mes11[[#Totals],[IVA 21%]]+ventas_b_mes11[[#Totals],[IVA 10,5%]]</f>
        <v>1034431.3706999999</v>
      </c>
      <c r="N4" s="361"/>
      <c r="O4" s="39"/>
      <c r="P4" s="366">
        <f>G4-M4</f>
        <v>-235768.25579999981</v>
      </c>
      <c r="Q4" s="367"/>
      <c r="R4" s="367"/>
    </row>
    <row r="5" spans="1:26" ht="8.25" customHeight="1" x14ac:dyDescent="0.3"/>
    <row r="6" spans="1:26" ht="20.25" customHeight="1" x14ac:dyDescent="0.3">
      <c r="G6" s="323" t="s">
        <v>221</v>
      </c>
      <c r="H6" s="127"/>
      <c r="I6" s="127"/>
    </row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324" t="s">
        <v>0</v>
      </c>
      <c r="C8" s="324" t="s">
        <v>1</v>
      </c>
      <c r="D8" s="324" t="s">
        <v>2</v>
      </c>
      <c r="E8" s="324" t="s">
        <v>27</v>
      </c>
      <c r="F8" s="324" t="s">
        <v>3</v>
      </c>
      <c r="G8" s="324" t="s">
        <v>4</v>
      </c>
      <c r="H8" s="324" t="s">
        <v>34</v>
      </c>
      <c r="I8" s="324" t="s">
        <v>35</v>
      </c>
      <c r="J8" s="324" t="s">
        <v>6</v>
      </c>
      <c r="K8" s="324" t="s">
        <v>7</v>
      </c>
      <c r="L8" s="324" t="s">
        <v>8</v>
      </c>
      <c r="M8" s="324" t="s">
        <v>33</v>
      </c>
      <c r="N8" s="324" t="s">
        <v>9</v>
      </c>
      <c r="O8" s="324" t="s">
        <v>147</v>
      </c>
      <c r="P8" s="324" t="s">
        <v>10</v>
      </c>
      <c r="Q8" s="324" t="s">
        <v>11</v>
      </c>
      <c r="R8" s="324" t="s">
        <v>38</v>
      </c>
    </row>
    <row r="9" spans="1:26" s="127" customFormat="1" x14ac:dyDescent="0.3">
      <c r="B9" s="306">
        <v>45597</v>
      </c>
      <c r="C9" s="307">
        <v>1</v>
      </c>
      <c r="D9" s="308">
        <v>2</v>
      </c>
      <c r="E9" s="273">
        <v>1367339</v>
      </c>
      <c r="F9" s="309">
        <v>30710173652</v>
      </c>
      <c r="G9" s="310" t="str">
        <f>IFERROR(IF(compras_mes11[[#This Row],[CUIT]]="","-",VLOOKUP(compras_mes11[[#This Row],[CUIT]],Lista_CUIT[#All],2,0)),"CUIT NO CARGADO")</f>
        <v>DATTATEC.COM S.R.L.</v>
      </c>
      <c r="H9" s="311">
        <v>23719.01</v>
      </c>
      <c r="I9" s="312">
        <f>IF(compras_mes11[[#This Row],[NETO GRAVADO]]="","",compras_mes11[[#This Row],[NETO GRAVADO]]*0.21)</f>
        <v>4980.9920999999995</v>
      </c>
      <c r="J9" s="312"/>
      <c r="K9" s="312"/>
      <c r="L9" s="312"/>
      <c r="M9" s="312"/>
      <c r="N9" s="312"/>
      <c r="O9" s="312"/>
      <c r="P9" s="295">
        <f>SUM(compras_mes11[[#This Row],[NETO GRAVADO]:[Otros - No Grav.]])</f>
        <v>28700.002099999998</v>
      </c>
      <c r="Q9" s="313" t="str">
        <f>IFERROR(IF(compras_mes11[[#This Row],[CUIT]]="","-",VLOOKUP(compras_mes11[[#This Row],[CUIT]],Lista_CUIT[#All],3,0)),"CUIT NO CARGADO")</f>
        <v>Gastos Publicidad y Propaganda</v>
      </c>
      <c r="R9" s="313">
        <f>IFERROR(IF(compras_mes11[[#This Row],[CUIT]]="","-",VLOOKUP(compras_mes11[[#This Row],[CUIT]],Lista_CUIT[#All],4,0)),"CUIT NO CARGADO")</f>
        <v>0</v>
      </c>
    </row>
    <row r="10" spans="1:26" s="127" customFormat="1" x14ac:dyDescent="0.3">
      <c r="B10" s="306">
        <v>45603</v>
      </c>
      <c r="C10" s="307">
        <v>1</v>
      </c>
      <c r="D10" s="308">
        <v>2</v>
      </c>
      <c r="E10" s="273">
        <v>1371590</v>
      </c>
      <c r="F10" s="309">
        <v>30710173652</v>
      </c>
      <c r="G10" s="310" t="str">
        <f>IFERROR(IF(compras_mes11[[#This Row],[CUIT]]="","-",VLOOKUP(compras_mes11[[#This Row],[CUIT]],Lista_CUIT[#All],2,0)),"CUIT NO CARGADO")</f>
        <v>DATTATEC.COM S.R.L.</v>
      </c>
      <c r="H10" s="311">
        <v>12000</v>
      </c>
      <c r="I10" s="312">
        <f>IF(compras_mes11[[#This Row],[NETO GRAVADO]]="","",compras_mes11[[#This Row],[NETO GRAVADO]]*0.21)</f>
        <v>2520</v>
      </c>
      <c r="J10" s="312"/>
      <c r="K10" s="312"/>
      <c r="L10" s="312"/>
      <c r="M10" s="312"/>
      <c r="N10" s="312"/>
      <c r="O10" s="312"/>
      <c r="P10" s="295">
        <f>SUM(compras_mes11[[#This Row],[NETO GRAVADO]:[Otros - No Grav.]])</f>
        <v>14520</v>
      </c>
      <c r="Q10" s="313" t="str">
        <f>IFERROR(IF(compras_mes11[[#This Row],[CUIT]]="","-",VLOOKUP(compras_mes11[[#This Row],[CUIT]],Lista_CUIT[#All],3,0)),"CUIT NO CARGADO")</f>
        <v>Gastos Publicidad y Propaganda</v>
      </c>
      <c r="R10" s="313">
        <f>IFERROR(IF(compras_mes11[[#This Row],[CUIT]]="","-",VLOOKUP(compras_mes11[[#This Row],[CUIT]],Lista_CUIT[#All],4,0)),"CUIT NO CARGADO")</f>
        <v>0</v>
      </c>
    </row>
    <row r="11" spans="1:26" s="127" customFormat="1" x14ac:dyDescent="0.3">
      <c r="B11" s="306">
        <v>45608</v>
      </c>
      <c r="C11" s="307">
        <v>1</v>
      </c>
      <c r="D11" s="308">
        <v>2</v>
      </c>
      <c r="E11" s="273">
        <v>1375177</v>
      </c>
      <c r="F11" s="309">
        <v>30710173652</v>
      </c>
      <c r="G11" s="310" t="str">
        <f>IFERROR(IF(compras_mes11[[#This Row],[CUIT]]="","-",VLOOKUP(compras_mes11[[#This Row],[CUIT]],Lista_CUIT[#All],2,0)),"CUIT NO CARGADO")</f>
        <v>DATTATEC.COM S.R.L.</v>
      </c>
      <c r="H11" s="311">
        <v>23719.01</v>
      </c>
      <c r="I11" s="312">
        <f>IF(compras_mes11[[#This Row],[NETO GRAVADO]]="","",compras_mes11[[#This Row],[NETO GRAVADO]]*0.21)</f>
        <v>4980.9920999999995</v>
      </c>
      <c r="J11" s="312"/>
      <c r="K11" s="312"/>
      <c r="L11" s="312"/>
      <c r="M11" s="312"/>
      <c r="N11" s="312"/>
      <c r="O11" s="312"/>
      <c r="P11" s="295">
        <f>SUM(compras_mes11[[#This Row],[NETO GRAVADO]:[Otros - No Grav.]])</f>
        <v>28700.002099999998</v>
      </c>
      <c r="Q11" s="313" t="str">
        <f>IFERROR(IF(compras_mes11[[#This Row],[CUIT]]="","-",VLOOKUP(compras_mes11[[#This Row],[CUIT]],Lista_CUIT[#All],3,0)),"CUIT NO CARGADO")</f>
        <v>Gastos Publicidad y Propaganda</v>
      </c>
      <c r="R11" s="313">
        <f>IFERROR(IF(compras_mes11[[#This Row],[CUIT]]="","-",VLOOKUP(compras_mes11[[#This Row],[CUIT]],Lista_CUIT[#All],4,0)),"CUIT NO CARGADO")</f>
        <v>0</v>
      </c>
    </row>
    <row r="12" spans="1:26" s="127" customFormat="1" x14ac:dyDescent="0.3">
      <c r="B12" s="306">
        <v>45610</v>
      </c>
      <c r="C12" s="307">
        <v>1</v>
      </c>
      <c r="D12" s="308">
        <v>2</v>
      </c>
      <c r="E12" s="273">
        <v>1376633</v>
      </c>
      <c r="F12" s="309">
        <v>30710173652</v>
      </c>
      <c r="G12" s="310" t="str">
        <f>IFERROR(IF(compras_mes11[[#This Row],[CUIT]]="","-",VLOOKUP(compras_mes11[[#This Row],[CUIT]],Lista_CUIT[#All],2,0)),"CUIT NO CARGADO")</f>
        <v>DATTATEC.COM S.R.L.</v>
      </c>
      <c r="H12" s="311">
        <v>23719.01</v>
      </c>
      <c r="I12" s="312">
        <f>IF(compras_mes11[[#This Row],[NETO GRAVADO]]="","",compras_mes11[[#This Row],[NETO GRAVADO]]*0.21)</f>
        <v>4980.9920999999995</v>
      </c>
      <c r="J12" s="312"/>
      <c r="K12" s="312"/>
      <c r="L12" s="312"/>
      <c r="M12" s="312"/>
      <c r="N12" s="312"/>
      <c r="O12" s="312"/>
      <c r="P12" s="295">
        <f>SUM(compras_mes11[[#This Row],[NETO GRAVADO]:[Otros - No Grav.]])</f>
        <v>28700.002099999998</v>
      </c>
      <c r="Q12" s="313" t="str">
        <f>IFERROR(IF(compras_mes11[[#This Row],[CUIT]]="","-",VLOOKUP(compras_mes11[[#This Row],[CUIT]],Lista_CUIT[#All],3,0)),"CUIT NO CARGADO")</f>
        <v>Gastos Publicidad y Propaganda</v>
      </c>
      <c r="R12" s="313">
        <f>IFERROR(IF(compras_mes11[[#This Row],[CUIT]]="","-",VLOOKUP(compras_mes11[[#This Row],[CUIT]],Lista_CUIT[#All],4,0)),"CUIT NO CARGADO")</f>
        <v>0</v>
      </c>
    </row>
    <row r="13" spans="1:26" s="127" customFormat="1" x14ac:dyDescent="0.3">
      <c r="B13" s="306">
        <v>45617</v>
      </c>
      <c r="C13" s="307">
        <v>1</v>
      </c>
      <c r="D13" s="308">
        <v>2012</v>
      </c>
      <c r="E13" s="273">
        <v>79419</v>
      </c>
      <c r="F13" s="309">
        <v>30516186670</v>
      </c>
      <c r="G13" s="310" t="str">
        <f>IFERROR(IF(compras_mes11[[#This Row],[CUIT]]="","-",VLOOKUP(compras_mes11[[#This Row],[CUIT]],Lista_CUIT[#All],2,0)),"CUIT NO CARGADO")</f>
        <v>DEHEZA SOCIEDAD ANONIMA INDUSTRIAL COMERCIAL FINANCIERA INMOBILIARIA</v>
      </c>
      <c r="H13" s="311">
        <v>50141</v>
      </c>
      <c r="I13" s="312">
        <f>IF(compras_mes11[[#This Row],[NETO GRAVADO]]="","",compras_mes11[[#This Row],[NETO GRAVADO]]*0.21)</f>
        <v>10529.609999999999</v>
      </c>
      <c r="J13" s="312"/>
      <c r="K13" s="312"/>
      <c r="L13" s="312">
        <v>1504.23</v>
      </c>
      <c r="M13" s="312">
        <v>884.65</v>
      </c>
      <c r="N13" s="312"/>
      <c r="O13" s="312">
        <v>8835.34</v>
      </c>
      <c r="P13" s="295">
        <f>SUM(compras_mes11[[#This Row],[NETO GRAVADO]:[Otros - No Grav.]])</f>
        <v>71894.83</v>
      </c>
      <c r="Q13" s="313" t="str">
        <f>IFERROR(IF(compras_mes11[[#This Row],[CUIT]]="","-",VLOOKUP(compras_mes11[[#This Row],[CUIT]],Lista_CUIT[#All],3,0)),"CUIT NO CARGADO")</f>
        <v>COMBUSTIBLE</v>
      </c>
      <c r="R13" s="313">
        <f>IFERROR(IF(compras_mes11[[#This Row],[CUIT]]="","-",VLOOKUP(compras_mes11[[#This Row],[CUIT]],Lista_CUIT[#All],4,0)),"CUIT NO CARGADO")</f>
        <v>0</v>
      </c>
    </row>
    <row r="14" spans="1:26" s="127" customFormat="1" x14ac:dyDescent="0.3">
      <c r="B14" s="306">
        <v>45621</v>
      </c>
      <c r="C14" s="307">
        <v>1</v>
      </c>
      <c r="D14" s="308">
        <v>2</v>
      </c>
      <c r="E14" s="273">
        <v>1383436</v>
      </c>
      <c r="F14" s="309">
        <v>30710173652</v>
      </c>
      <c r="G14" s="310" t="str">
        <f>IFERROR(IF(compras_mes11[[#This Row],[CUIT]]="","-",VLOOKUP(compras_mes11[[#This Row],[CUIT]],Lista_CUIT[#All],2,0)),"CUIT NO CARGADO")</f>
        <v>DATTATEC.COM S.R.L.</v>
      </c>
      <c r="H14" s="311">
        <v>23719.01</v>
      </c>
      <c r="I14" s="312">
        <f>IF(compras_mes11[[#This Row],[NETO GRAVADO]]="","",compras_mes11[[#This Row],[NETO GRAVADO]]*0.21)</f>
        <v>4980.9920999999995</v>
      </c>
      <c r="J14" s="312"/>
      <c r="K14" s="312"/>
      <c r="L14" s="312"/>
      <c r="M14" s="312"/>
      <c r="N14" s="312"/>
      <c r="O14" s="312"/>
      <c r="P14" s="295">
        <f>SUM(compras_mes11[[#This Row],[NETO GRAVADO]:[Otros - No Grav.]])</f>
        <v>28700.002099999998</v>
      </c>
      <c r="Q14" s="313" t="str">
        <f>IFERROR(IF(compras_mes11[[#This Row],[CUIT]]="","-",VLOOKUP(compras_mes11[[#This Row],[CUIT]],Lista_CUIT[#All],3,0)),"CUIT NO CARGADO")</f>
        <v>Gastos Publicidad y Propaganda</v>
      </c>
      <c r="R14" s="313">
        <f>IFERROR(IF(compras_mes11[[#This Row],[CUIT]]="","-",VLOOKUP(compras_mes11[[#This Row],[CUIT]],Lista_CUIT[#All],4,0)),"CUIT NO CARGADO")</f>
        <v>0</v>
      </c>
    </row>
    <row r="15" spans="1:26" s="127" customFormat="1" x14ac:dyDescent="0.3">
      <c r="B15" s="306">
        <v>45621</v>
      </c>
      <c r="C15" s="307">
        <v>1</v>
      </c>
      <c r="D15" s="308">
        <v>1</v>
      </c>
      <c r="E15" s="273">
        <v>1</v>
      </c>
      <c r="F15" s="309">
        <v>30718464931</v>
      </c>
      <c r="G15" s="310" t="str">
        <f>IFERROR(IF(compras_mes11[[#This Row],[CUIT]]="","-",VLOOKUP(compras_mes11[[#This Row],[CUIT]],Lista_CUIT[#All],2,0)),"CUIT NO CARGADO")</f>
        <v>FACTUMAR SRL</v>
      </c>
      <c r="H15" s="311">
        <v>1500000</v>
      </c>
      <c r="I15" s="312">
        <f>IF(compras_mes11[[#This Row],[NETO GRAVADO]]="","",compras_mes11[[#This Row],[NETO GRAVADO]]*0.21)</f>
        <v>315000</v>
      </c>
      <c r="J15" s="312"/>
      <c r="K15" s="312"/>
      <c r="L15" s="312"/>
      <c r="M15" s="312"/>
      <c r="N15" s="312"/>
      <c r="O15" s="312"/>
      <c r="P15" s="295">
        <f>SUM(compras_mes11[[#This Row],[NETO GRAVADO]:[Otros - No Grav.]])</f>
        <v>1815000</v>
      </c>
      <c r="Q15" s="313" t="str">
        <f>IFERROR(IF(compras_mes11[[#This Row],[CUIT]]="","-",VLOOKUP(compras_mes11[[#This Row],[CUIT]],Lista_CUIT[#All],3,0)),"CUIT NO CARGADO")</f>
        <v>Serv. Informaticos</v>
      </c>
      <c r="R15" s="313">
        <f>IFERROR(IF(compras_mes11[[#This Row],[CUIT]]="","-",VLOOKUP(compras_mes11[[#This Row],[CUIT]],Lista_CUIT[#All],4,0)),"CUIT NO CARGADO")</f>
        <v>0</v>
      </c>
    </row>
    <row r="16" spans="1:26" s="127" customFormat="1" x14ac:dyDescent="0.3">
      <c r="B16" s="306">
        <v>45626</v>
      </c>
      <c r="C16" s="307">
        <v>1</v>
      </c>
      <c r="D16" s="308">
        <v>11</v>
      </c>
      <c r="E16" s="273">
        <v>1078346</v>
      </c>
      <c r="F16" s="309">
        <v>33709585229</v>
      </c>
      <c r="G16" s="310" t="str">
        <f>IFERROR(IF(compras_mes11[[#This Row],[CUIT]]="","-",VLOOKUP(compras_mes11[[#This Row],[CUIT]],Lista_CUIT[#All],2,0)),"CUIT NO CARGADO")</f>
        <v>GOOGLE ARGENTINA S.R.L.</v>
      </c>
      <c r="H16" s="311">
        <v>7704.17</v>
      </c>
      <c r="I16" s="312">
        <f>IF(compras_mes11[[#This Row],[NETO GRAVADO]]="","",compras_mes11[[#This Row],[NETO GRAVADO]]*0.21)</f>
        <v>1617.8757000000001</v>
      </c>
      <c r="J16" s="312"/>
      <c r="K16" s="312"/>
      <c r="L16" s="312"/>
      <c r="M16" s="312">
        <v>115.56</v>
      </c>
      <c r="N16" s="312"/>
      <c r="O16" s="312">
        <v>231.13</v>
      </c>
      <c r="P16" s="295">
        <f>SUM(compras_mes11[[#This Row],[NETO GRAVADO]:[Otros - No Grav.]])</f>
        <v>9668.7356999999993</v>
      </c>
      <c r="Q16" s="313" t="str">
        <f>IFERROR(IF(compras_mes11[[#This Row],[CUIT]]="","-",VLOOKUP(compras_mes11[[#This Row],[CUIT]],Lista_CUIT[#All],3,0)),"CUIT NO CARGADO")</f>
        <v>Gastos Publicidad y Propaganda</v>
      </c>
      <c r="R16" s="313">
        <f>IFERROR(IF(compras_mes11[[#This Row],[CUIT]]="","-",VLOOKUP(compras_mes11[[#This Row],[CUIT]],Lista_CUIT[#All],4,0)),"CUIT NO CARGADO")</f>
        <v>0</v>
      </c>
    </row>
    <row r="17" spans="2:18" s="127" customFormat="1" x14ac:dyDescent="0.3">
      <c r="B17" s="306">
        <v>45626</v>
      </c>
      <c r="C17" s="307">
        <v>1</v>
      </c>
      <c r="D17" s="308">
        <v>11</v>
      </c>
      <c r="E17" s="273">
        <v>1071938</v>
      </c>
      <c r="F17" s="309">
        <v>33709585229</v>
      </c>
      <c r="G17" s="310" t="str">
        <f>IFERROR(IF(compras_mes11[[#This Row],[CUIT]]="","-",VLOOKUP(compras_mes11[[#This Row],[CUIT]],Lista_CUIT[#All],2,0)),"CUIT NO CARGADO")</f>
        <v>GOOGLE ARGENTINA S.R.L.</v>
      </c>
      <c r="H17" s="311">
        <v>43292.04</v>
      </c>
      <c r="I17" s="312">
        <f>IF(compras_mes11[[#This Row],[NETO GRAVADO]]="","",compras_mes11[[#This Row],[NETO GRAVADO]]*0.21)</f>
        <v>9091.3284000000003</v>
      </c>
      <c r="J17" s="312"/>
      <c r="K17" s="312"/>
      <c r="L17" s="312"/>
      <c r="M17" s="312">
        <v>649.38</v>
      </c>
      <c r="N17" s="312"/>
      <c r="O17" s="312">
        <v>1298.76</v>
      </c>
      <c r="P17" s="295">
        <f>SUM(compras_mes11[[#This Row],[NETO GRAVADO]:[Otros - No Grav.]])</f>
        <v>54331.508399999999</v>
      </c>
      <c r="Q17" s="313" t="str">
        <f>IFERROR(IF(compras_mes11[[#This Row],[CUIT]]="","-",VLOOKUP(compras_mes11[[#This Row],[CUIT]],Lista_CUIT[#All],3,0)),"CUIT NO CARGADO")</f>
        <v>Gastos Publicidad y Propaganda</v>
      </c>
      <c r="R17" s="313">
        <f>IFERROR(IF(compras_mes11[[#This Row],[CUIT]]="","-",VLOOKUP(compras_mes11[[#This Row],[CUIT]],Lista_CUIT[#All],4,0)),"CUIT NO CARGADO")</f>
        <v>0</v>
      </c>
    </row>
    <row r="18" spans="2:18" s="127" customFormat="1" x14ac:dyDescent="0.3">
      <c r="B18" s="306">
        <v>45626</v>
      </c>
      <c r="C18" s="307">
        <v>1</v>
      </c>
      <c r="D18" s="308">
        <v>11</v>
      </c>
      <c r="E18" s="273">
        <v>1070372</v>
      </c>
      <c r="F18" s="309">
        <v>33709585229</v>
      </c>
      <c r="G18" s="310" t="str">
        <f>IFERROR(IF(compras_mes11[[#This Row],[CUIT]]="","-",VLOOKUP(compras_mes11[[#This Row],[CUIT]],Lista_CUIT[#All],2,0)),"CUIT NO CARGADO")</f>
        <v>GOOGLE ARGENTINA S.R.L.</v>
      </c>
      <c r="H18" s="311">
        <v>182548.66</v>
      </c>
      <c r="I18" s="312">
        <f>IF(compras_mes11[[#This Row],[NETO GRAVADO]]="","",compras_mes11[[#This Row],[NETO GRAVADO]]*0.21)</f>
        <v>38335.2186</v>
      </c>
      <c r="J18" s="312"/>
      <c r="K18" s="312"/>
      <c r="L18" s="312"/>
      <c r="M18" s="312">
        <v>2738.23</v>
      </c>
      <c r="N18" s="312"/>
      <c r="O18" s="312">
        <v>5476.46</v>
      </c>
      <c r="P18" s="295">
        <f>SUM(compras_mes11[[#This Row],[NETO GRAVADO]:[Otros - No Grav.]])</f>
        <v>229098.5686</v>
      </c>
      <c r="Q18" s="313" t="str">
        <f>IFERROR(IF(compras_mes11[[#This Row],[CUIT]]="","-",VLOOKUP(compras_mes11[[#This Row],[CUIT]],Lista_CUIT[#All],3,0)),"CUIT NO CARGADO")</f>
        <v>Gastos Publicidad y Propaganda</v>
      </c>
      <c r="R18" s="313">
        <f>IFERROR(IF(compras_mes11[[#This Row],[CUIT]]="","-",VLOOKUP(compras_mes11[[#This Row],[CUIT]],Lista_CUIT[#All],4,0)),"CUIT NO CARGADO")</f>
        <v>0</v>
      </c>
    </row>
    <row r="19" spans="2:18" s="127" customFormat="1" ht="14.4" customHeight="1" x14ac:dyDescent="0.3">
      <c r="B19" s="306">
        <v>45626</v>
      </c>
      <c r="C19" s="307">
        <v>1</v>
      </c>
      <c r="D19" s="308">
        <v>11</v>
      </c>
      <c r="E19" s="273">
        <v>1070465</v>
      </c>
      <c r="F19" s="309">
        <v>33709585229</v>
      </c>
      <c r="G19" s="310" t="str">
        <f>IFERROR(IF(compras_mes11[[#This Row],[CUIT]]="","-",VLOOKUP(compras_mes11[[#This Row],[CUIT]],Lista_CUIT[#All],2,0)),"CUIT NO CARGADO")</f>
        <v>GOOGLE ARGENTINA S.R.L.</v>
      </c>
      <c r="H19" s="311">
        <v>199974.78</v>
      </c>
      <c r="I19" s="312">
        <f>IF(compras_mes11[[#This Row],[NETO GRAVADO]]="","",compras_mes11[[#This Row],[NETO GRAVADO]]*0.21)</f>
        <v>41994.703799999996</v>
      </c>
      <c r="J19" s="312"/>
      <c r="K19" s="312"/>
      <c r="L19" s="312"/>
      <c r="M19" s="312">
        <v>2999.62</v>
      </c>
      <c r="N19" s="312"/>
      <c r="O19" s="312">
        <v>5999.24</v>
      </c>
      <c r="P19" s="295">
        <f>SUM(compras_mes11[[#This Row],[NETO GRAVADO]:[Otros - No Grav.]])</f>
        <v>250968.34379999997</v>
      </c>
      <c r="Q19" s="313" t="str">
        <f>IFERROR(IF(compras_mes11[[#This Row],[CUIT]]="","-",VLOOKUP(compras_mes11[[#This Row],[CUIT]],Lista_CUIT[#All],3,0)),"CUIT NO CARGADO")</f>
        <v>Gastos Publicidad y Propaganda</v>
      </c>
      <c r="R19" s="313">
        <f>IFERROR(IF(compras_mes11[[#This Row],[CUIT]]="","-",VLOOKUP(compras_mes11[[#This Row],[CUIT]],Lista_CUIT[#All],4,0)),"CUIT NO CARGADO")</f>
        <v>0</v>
      </c>
    </row>
    <row r="20" spans="2:18" s="127" customFormat="1" x14ac:dyDescent="0.3">
      <c r="B20" s="306">
        <v>45626</v>
      </c>
      <c r="C20" s="307">
        <v>1</v>
      </c>
      <c r="D20" s="308">
        <v>11</v>
      </c>
      <c r="E20" s="273">
        <v>1074222</v>
      </c>
      <c r="F20" s="309">
        <v>33709585229</v>
      </c>
      <c r="G20" s="310" t="str">
        <f>IFERROR(IF(compras_mes11[[#This Row],[CUIT]]="","-",VLOOKUP(compras_mes11[[#This Row],[CUIT]],Lista_CUIT[#All],2,0)),"CUIT NO CARGADO")</f>
        <v>GOOGLE ARGENTINA S.R.L.</v>
      </c>
      <c r="H20" s="311">
        <v>18506.73</v>
      </c>
      <c r="I20" s="312">
        <f>IF(compras_mes11[[#This Row],[NETO GRAVADO]]="","",compras_mes11[[#This Row],[NETO GRAVADO]]*0.21)</f>
        <v>3886.4132999999997</v>
      </c>
      <c r="J20" s="312"/>
      <c r="K20" s="312"/>
      <c r="L20" s="312"/>
      <c r="M20" s="312">
        <v>277.60000000000002</v>
      </c>
      <c r="N20" s="312"/>
      <c r="O20" s="312">
        <v>555.20000000000005</v>
      </c>
      <c r="P20" s="295">
        <f>SUM(compras_mes11[[#This Row],[NETO GRAVADO]:[Otros - No Grav.]])</f>
        <v>23225.943299999999</v>
      </c>
      <c r="Q20" s="313" t="str">
        <f>IFERROR(IF(compras_mes11[[#This Row],[CUIT]]="","-",VLOOKUP(compras_mes11[[#This Row],[CUIT]],Lista_CUIT[#All],3,0)),"CUIT NO CARGADO")</f>
        <v>Gastos Publicidad y Propaganda</v>
      </c>
      <c r="R20" s="313">
        <f>IFERROR(IF(compras_mes11[[#This Row],[CUIT]]="","-",VLOOKUP(compras_mes11[[#This Row],[CUIT]],Lista_CUIT[#All],4,0)),"CUIT NO CARGADO")</f>
        <v>0</v>
      </c>
    </row>
    <row r="21" spans="2:18" s="127" customFormat="1" x14ac:dyDescent="0.3">
      <c r="B21" s="306">
        <v>45626</v>
      </c>
      <c r="C21" s="307">
        <v>1</v>
      </c>
      <c r="D21" s="308">
        <v>11</v>
      </c>
      <c r="E21" s="273">
        <v>1071323</v>
      </c>
      <c r="F21" s="309">
        <v>33709585229</v>
      </c>
      <c r="G21" s="310" t="str">
        <f>IFERROR(IF(compras_mes11[[#This Row],[CUIT]]="","-",VLOOKUP(compras_mes11[[#This Row],[CUIT]],Lista_CUIT[#All],2,0)),"CUIT NO CARGADO")</f>
        <v>GOOGLE ARGENTINA S.R.L.</v>
      </c>
      <c r="H21" s="311">
        <v>1229407.7</v>
      </c>
      <c r="I21" s="312">
        <f>IF(compras_mes11[[#This Row],[NETO GRAVADO]]="","",compras_mes11[[#This Row],[NETO GRAVADO]]*0.21)</f>
        <v>258175.61699999997</v>
      </c>
      <c r="J21" s="312"/>
      <c r="K21" s="312"/>
      <c r="L21" s="312"/>
      <c r="M21" s="312">
        <v>18441.12</v>
      </c>
      <c r="N21" s="312"/>
      <c r="O21" s="312">
        <v>36882.230000000003</v>
      </c>
      <c r="P21" s="295">
        <f>SUM(compras_mes11[[#This Row],[NETO GRAVADO]:[Otros - No Grav.]])</f>
        <v>1542906.6669999999</v>
      </c>
      <c r="Q21" s="313" t="str">
        <f>IFERROR(IF(compras_mes11[[#This Row],[CUIT]]="","-",VLOOKUP(compras_mes11[[#This Row],[CUIT]],Lista_CUIT[#All],3,0)),"CUIT NO CARGADO")</f>
        <v>Gastos Publicidad y Propaganda</v>
      </c>
      <c r="R21" s="313">
        <f>IFERROR(IF(compras_mes11[[#This Row],[CUIT]]="","-",VLOOKUP(compras_mes11[[#This Row],[CUIT]],Lista_CUIT[#All],4,0)),"CUIT NO CARGADO")</f>
        <v>0</v>
      </c>
    </row>
    <row r="22" spans="2:18" s="127" customFormat="1" ht="14.4" customHeight="1" x14ac:dyDescent="0.3">
      <c r="B22" s="306">
        <v>45626</v>
      </c>
      <c r="C22" s="307">
        <v>1</v>
      </c>
      <c r="D22" s="308">
        <v>11</v>
      </c>
      <c r="E22" s="273">
        <v>1071751</v>
      </c>
      <c r="F22" s="309">
        <v>33709585229</v>
      </c>
      <c r="G22" s="310" t="str">
        <f>IFERROR(IF(compras_mes11[[#This Row],[CUIT]]="","-",VLOOKUP(compras_mes11[[#This Row],[CUIT]],Lista_CUIT[#All],2,0)),"CUIT NO CARGADO")</f>
        <v>GOOGLE ARGENTINA S.R.L.</v>
      </c>
      <c r="H22" s="311">
        <v>380325.83</v>
      </c>
      <c r="I22" s="312">
        <f>IF(compras_mes11[[#This Row],[NETO GRAVADO]]="","",compras_mes11[[#This Row],[NETO GRAVADO]]*0.21)</f>
        <v>79868.424299999999</v>
      </c>
      <c r="J22" s="312"/>
      <c r="K22" s="312"/>
      <c r="L22" s="312"/>
      <c r="M22" s="312">
        <v>5704.89</v>
      </c>
      <c r="N22" s="312"/>
      <c r="O22" s="312">
        <v>11409.77</v>
      </c>
      <c r="P22" s="295">
        <f>SUM(compras_mes11[[#This Row],[NETO GRAVADO]:[Otros - No Grav.]])</f>
        <v>477308.91430000006</v>
      </c>
      <c r="Q22" s="313" t="str">
        <f>IFERROR(IF(compras_mes11[[#This Row],[CUIT]]="","-",VLOOKUP(compras_mes11[[#This Row],[CUIT]],Lista_CUIT[#All],3,0)),"CUIT NO CARGADO")</f>
        <v>Gastos Publicidad y Propaganda</v>
      </c>
      <c r="R22" s="313">
        <f>IFERROR(IF(compras_mes11[[#This Row],[CUIT]]="","-",VLOOKUP(compras_mes11[[#This Row],[CUIT]],Lista_CUIT[#All],4,0)),"CUIT NO CARGADO")</f>
        <v>0</v>
      </c>
    </row>
    <row r="23" spans="2:18" s="127" customFormat="1" ht="15" customHeight="1" x14ac:dyDescent="0.3">
      <c r="B23" s="306">
        <v>45626</v>
      </c>
      <c r="C23" s="307">
        <v>1</v>
      </c>
      <c r="D23" s="308">
        <v>11</v>
      </c>
      <c r="E23" s="273">
        <v>1080850</v>
      </c>
      <c r="F23" s="309">
        <v>33709585229</v>
      </c>
      <c r="G23" s="310" t="str">
        <f>IFERROR(IF(compras_mes11[[#This Row],[CUIT]]="","-",VLOOKUP(compras_mes11[[#This Row],[CUIT]],Lista_CUIT[#All],2,0)),"CUIT NO CARGADO")</f>
        <v>GOOGLE ARGENTINA S.R.L.</v>
      </c>
      <c r="H23" s="311">
        <v>54690.68</v>
      </c>
      <c r="I23" s="312">
        <f>IF(compras_mes11[[#This Row],[NETO GRAVADO]]="","",compras_mes11[[#This Row],[NETO GRAVADO]]*0.21)</f>
        <v>11485.042799999999</v>
      </c>
      <c r="J23" s="312"/>
      <c r="K23" s="312"/>
      <c r="L23" s="312"/>
      <c r="M23" s="312">
        <v>820.36</v>
      </c>
      <c r="N23" s="312"/>
      <c r="O23" s="312">
        <v>1640.72</v>
      </c>
      <c r="P23" s="295">
        <f>SUM(compras_mes11[[#This Row],[NETO GRAVADO]:[Otros - No Grav.]])</f>
        <v>68636.802800000005</v>
      </c>
      <c r="Q23" s="313" t="str">
        <f>IFERROR(IF(compras_mes11[[#This Row],[CUIT]]="","-",VLOOKUP(compras_mes11[[#This Row],[CUIT]],Lista_CUIT[#All],3,0)),"CUIT NO CARGADO")</f>
        <v>Gastos Publicidad y Propaganda</v>
      </c>
      <c r="R23" s="313">
        <f>IFERROR(IF(compras_mes11[[#This Row],[CUIT]]="","-",VLOOKUP(compras_mes11[[#This Row],[CUIT]],Lista_CUIT[#All],4,0)),"CUIT NO CARGADO")</f>
        <v>0</v>
      </c>
    </row>
    <row r="24" spans="2:18" s="127" customFormat="1" ht="15" customHeight="1" x14ac:dyDescent="0.3">
      <c r="B24" s="306">
        <v>45626</v>
      </c>
      <c r="C24" s="307">
        <v>3</v>
      </c>
      <c r="D24" s="308">
        <v>11</v>
      </c>
      <c r="E24" s="273">
        <v>772254</v>
      </c>
      <c r="F24" s="309">
        <v>33709585229</v>
      </c>
      <c r="G24" s="310" t="str">
        <f>IFERROR(IF(compras_mes11[[#This Row],[CUIT]]="","-",VLOOKUP(compras_mes11[[#This Row],[CUIT]],Lista_CUIT[#All],2,0)),"CUIT NO CARGADO")</f>
        <v>GOOGLE ARGENTINA S.R.L.</v>
      </c>
      <c r="H24" s="311">
        <v>-172.04</v>
      </c>
      <c r="I24" s="312">
        <f>IF(compras_mes11[[#This Row],[NETO GRAVADO]]="","",compras_mes11[[#This Row],[NETO GRAVADO]]*0.21)</f>
        <v>-36.128399999999999</v>
      </c>
      <c r="J24" s="312"/>
      <c r="K24" s="312"/>
      <c r="L24" s="312"/>
      <c r="M24" s="312"/>
      <c r="N24" s="312"/>
      <c r="O24" s="312"/>
      <c r="P24" s="295">
        <f>SUM(compras_mes11[[#This Row],[NETO GRAVADO]:[Otros - No Grav.]])</f>
        <v>-208.16839999999999</v>
      </c>
      <c r="Q24" s="313" t="str">
        <f>IFERROR(IF(compras_mes11[[#This Row],[CUIT]]="","-",VLOOKUP(compras_mes11[[#This Row],[CUIT]],Lista_CUIT[#All],3,0)),"CUIT NO CARGADO")</f>
        <v>Gastos Publicidad y Propaganda</v>
      </c>
      <c r="R24" s="313">
        <f>IFERROR(IF(compras_mes11[[#This Row],[CUIT]]="","-",VLOOKUP(compras_mes11[[#This Row],[CUIT]],Lista_CUIT[#All],4,0)),"CUIT NO CARGADO")</f>
        <v>0</v>
      </c>
    </row>
    <row r="25" spans="2:18" s="127" customFormat="1" ht="15" customHeight="1" x14ac:dyDescent="0.3">
      <c r="B25" s="296">
        <v>45626</v>
      </c>
      <c r="C25" s="297">
        <v>3</v>
      </c>
      <c r="D25" s="298">
        <v>11</v>
      </c>
      <c r="E25" s="299">
        <v>773906</v>
      </c>
      <c r="F25" s="300">
        <v>33709585229</v>
      </c>
      <c r="G25" s="301" t="str">
        <f>IFERROR(IF(compras_mes11[[#This Row],[CUIT]]="","-",VLOOKUP(compras_mes11[[#This Row],[CUIT]],Lista_CUIT[#All],2,0)),"CUIT NO CARGADO")</f>
        <v>GOOGLE ARGENTINA S.R.L.</v>
      </c>
      <c r="H25" s="302">
        <v>-28.94</v>
      </c>
      <c r="I25" s="303">
        <f>IF(compras_mes11[[#This Row],[NETO GRAVADO]]="","",compras_mes11[[#This Row],[NETO GRAVADO]]*0.21)</f>
        <v>-6.0773999999999999</v>
      </c>
      <c r="J25" s="303"/>
      <c r="K25" s="303"/>
      <c r="L25" s="303"/>
      <c r="M25" s="303"/>
      <c r="N25" s="303"/>
      <c r="O25" s="303"/>
      <c r="P25" s="304">
        <f>SUM(compras_mes11[[#This Row],[NETO GRAVADO]:[Otros - No Grav.]])</f>
        <v>-35.017400000000002</v>
      </c>
      <c r="Q25" s="305" t="str">
        <f>IFERROR(IF(compras_mes11[[#This Row],[CUIT]]="","-",VLOOKUP(compras_mes11[[#This Row],[CUIT]],Lista_CUIT[#All],3,0)),"CUIT NO CARGADO")</f>
        <v>Gastos Publicidad y Propaganda</v>
      </c>
      <c r="R25" s="305">
        <f>IFERROR(IF(compras_mes11[[#This Row],[CUIT]]="","-",VLOOKUP(compras_mes11[[#This Row],[CUIT]],Lista_CUIT[#All],4,0)),"CUIT NO CARGADO")</f>
        <v>0</v>
      </c>
    </row>
    <row r="26" spans="2:18" s="127" customFormat="1" x14ac:dyDescent="0.3">
      <c r="B26" s="314">
        <v>45626</v>
      </c>
      <c r="C26" s="315">
        <v>3</v>
      </c>
      <c r="D26" s="316">
        <v>11</v>
      </c>
      <c r="E26" s="317">
        <v>776021</v>
      </c>
      <c r="F26" s="318">
        <v>33709585229</v>
      </c>
      <c r="G26" s="319" t="str">
        <f>IFERROR(IF(compras_mes11[[#This Row],[CUIT]]="","-",VLOOKUP(compras_mes11[[#This Row],[CUIT]],Lista_CUIT[#All],2,0)),"CUIT NO CARGADO")</f>
        <v>GOOGLE ARGENTINA S.R.L.</v>
      </c>
      <c r="H26" s="320">
        <v>-8108.96</v>
      </c>
      <c r="I26" s="321">
        <f>IF(compras_mes11[[#This Row],[NETO GRAVADO]]="","",compras_mes11[[#This Row],[NETO GRAVADO]]*0.21)</f>
        <v>-1702.8815999999999</v>
      </c>
      <c r="J26" s="321"/>
      <c r="K26" s="321"/>
      <c r="L26" s="321"/>
      <c r="M26" s="321">
        <v>-121.63</v>
      </c>
      <c r="N26" s="321"/>
      <c r="O26" s="321">
        <v>-243.27</v>
      </c>
      <c r="P26" s="258">
        <f>SUM(compras_mes11[[#This Row],[NETO GRAVADO]:[Otros - No Grav.]])</f>
        <v>-10176.741599999999</v>
      </c>
      <c r="Q26" s="322" t="str">
        <f>IFERROR(IF(compras_mes11[[#This Row],[CUIT]]="","-",VLOOKUP(compras_mes11[[#This Row],[CUIT]],Lista_CUIT[#All],3,0)),"CUIT NO CARGADO")</f>
        <v>Gastos Publicidad y Propaganda</v>
      </c>
      <c r="R26" s="322">
        <f>IFERROR(IF(compras_mes11[[#This Row],[CUIT]]="","-",VLOOKUP(compras_mes11[[#This Row],[CUIT]],Lista_CUIT[#All],4,0)),"CUIT NO CARGADO")</f>
        <v>0</v>
      </c>
    </row>
    <row r="27" spans="2:18" x14ac:dyDescent="0.3">
      <c r="B27" s="325" t="s">
        <v>91</v>
      </c>
      <c r="C27" s="325"/>
      <c r="D27" s="325"/>
      <c r="E27" s="325"/>
      <c r="F27" s="325"/>
      <c r="G27" s="326"/>
      <c r="H27" s="327">
        <f>SUBTOTAL(109,compras_mes11[NETO GRAVADO])</f>
        <v>3765157.6900000004</v>
      </c>
      <c r="I27" s="327">
        <f>SUBTOTAL(109,compras_mes11[IVA 21 %])</f>
        <v>790683.11490000004</v>
      </c>
      <c r="J27" s="327">
        <f>SUBTOTAL(109,compras_mes11[IVA 27%])</f>
        <v>0</v>
      </c>
      <c r="K27" s="327">
        <f>SUBTOTAL(109,compras_mes11[IVA 10,5%])</f>
        <v>0</v>
      </c>
      <c r="L27" s="327">
        <f>SUBTOTAL(109,compras_mes11[PERC. IVA])</f>
        <v>1504.23</v>
      </c>
      <c r="M27" s="327">
        <f>SUBTOTAL(109,compras_mes11[PERC IIBB 
BS AS])</f>
        <v>32509.78</v>
      </c>
      <c r="N27" s="327">
        <f>SUBTOTAL(109,compras_mes11[PERC. IIBB CABA])</f>
        <v>0</v>
      </c>
      <c r="O27" s="327">
        <f>SUBTOTAL(109,compras_mes11[Otros - No Grav.])</f>
        <v>72085.58</v>
      </c>
      <c r="P27" s="327">
        <f>SUBTOTAL(109,compras_mes11[TOTAL])</f>
        <v>4661940.3948999988</v>
      </c>
      <c r="Q27" s="325"/>
      <c r="R27" s="325"/>
    </row>
    <row r="28" spans="2:18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8" x14ac:dyDescent="0.3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47"/>
      <c r="P29" s="48"/>
      <c r="Q29" s="49"/>
      <c r="R29" s="49"/>
    </row>
    <row r="30" spans="2:18" x14ac:dyDescent="0.3">
      <c r="B30" s="40"/>
      <c r="C30" s="41"/>
      <c r="D30" s="42"/>
      <c r="E30" s="43"/>
      <c r="F30" s="44"/>
      <c r="G30" s="45"/>
      <c r="H30" s="128"/>
      <c r="I30" s="140"/>
      <c r="J30" s="47"/>
      <c r="K30" s="47"/>
      <c r="L30" s="47"/>
      <c r="M30" s="47"/>
      <c r="N30" s="47"/>
      <c r="O30" s="47"/>
      <c r="P30" s="48"/>
      <c r="Q30" s="49"/>
      <c r="R30" s="49"/>
    </row>
    <row r="31" spans="2:18" x14ac:dyDescent="0.3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</row>
    <row r="32" spans="2:18" ht="21" x14ac:dyDescent="0.3">
      <c r="D32" s="362" t="s">
        <v>15</v>
      </c>
      <c r="E32" s="362"/>
      <c r="F32" s="362"/>
      <c r="G32" s="362"/>
      <c r="H32" s="362"/>
      <c r="I32" s="362"/>
      <c r="J32" s="362"/>
      <c r="K32" s="362"/>
      <c r="L32" s="362"/>
      <c r="M32" s="342"/>
    </row>
    <row r="33" spans="4:16" ht="15.6" x14ac:dyDescent="0.3">
      <c r="D33" s="328" t="s">
        <v>0</v>
      </c>
      <c r="E33" s="329" t="s">
        <v>26</v>
      </c>
      <c r="F33" s="329" t="s">
        <v>16</v>
      </c>
      <c r="G33" s="329" t="s">
        <v>5</v>
      </c>
      <c r="H33" s="329" t="s">
        <v>17</v>
      </c>
      <c r="I33" s="329" t="s">
        <v>7</v>
      </c>
      <c r="J33" s="330" t="s">
        <v>18</v>
      </c>
      <c r="K33" s="330" t="s">
        <v>19</v>
      </c>
      <c r="L33" s="331" t="s">
        <v>20</v>
      </c>
      <c r="M33" s="341" t="s">
        <v>10</v>
      </c>
    </row>
    <row r="34" spans="4:16" x14ac:dyDescent="0.3">
      <c r="D34" s="50">
        <v>45626</v>
      </c>
      <c r="E34" s="273">
        <v>30112024</v>
      </c>
      <c r="F34" s="80" t="s">
        <v>181</v>
      </c>
      <c r="G34" s="81">
        <v>38000</v>
      </c>
      <c r="H34" s="81">
        <f>extracto_banco_mes11[[#This Row],[NETO]]*0.21</f>
        <v>7980</v>
      </c>
      <c r="I34" s="81"/>
      <c r="K34" s="290">
        <v>1140</v>
      </c>
      <c r="L34">
        <v>570</v>
      </c>
      <c r="M34" s="293">
        <f>SUM(extracto_banco_mes11[[#This Row],[NETO]:[PERC IIBB]])</f>
        <v>47690</v>
      </c>
    </row>
    <row r="35" spans="4:16" x14ac:dyDescent="0.3">
      <c r="D35" s="50"/>
      <c r="E35" s="273"/>
      <c r="F35" s="80"/>
      <c r="G35" s="81"/>
      <c r="H35" s="81">
        <f>extracto_banco_mes11[[#This Row],[NETO]]*0.21</f>
        <v>0</v>
      </c>
      <c r="I35" s="81"/>
      <c r="J35" s="81"/>
      <c r="K35" s="81"/>
      <c r="L35" s="81"/>
      <c r="M35" s="293">
        <f>SUM(extracto_banco_mes11[[#This Row],[NETO]:[PERC IIBB]])</f>
        <v>0</v>
      </c>
      <c r="N35" s="340"/>
      <c r="O35" s="340"/>
      <c r="P35" s="340"/>
    </row>
    <row r="36" spans="4:16" x14ac:dyDescent="0.3">
      <c r="D36" s="50"/>
      <c r="E36" s="273"/>
      <c r="F36" s="80"/>
      <c r="G36" s="81"/>
      <c r="H36" s="81">
        <f>extracto_banco_mes11[[#This Row],[NETO]]*0.21</f>
        <v>0</v>
      </c>
      <c r="I36" s="81"/>
      <c r="J36" s="81"/>
      <c r="K36" s="81"/>
      <c r="L36" s="81"/>
      <c r="M36" s="293">
        <f>SUM(extracto_banco_mes11[[#This Row],[NETO]:[PERC IIBB]])</f>
        <v>0</v>
      </c>
      <c r="O36" s="290"/>
      <c r="P36" s="290"/>
    </row>
    <row r="37" spans="4:16" x14ac:dyDescent="0.3">
      <c r="D37" s="332" t="s">
        <v>91</v>
      </c>
      <c r="E37" s="333"/>
      <c r="F37" s="333"/>
      <c r="G37" s="334">
        <f>SUBTOTAL(109,extracto_banco_mes11[NETO])</f>
        <v>38000</v>
      </c>
      <c r="H37" s="334">
        <f>SUBTOTAL(109,extracto_banco_mes11[IVA 21%])</f>
        <v>7980</v>
      </c>
      <c r="I37" s="334">
        <f>SUBTOTAL(109,extracto_banco_mes11[IVA 10,5%])</f>
        <v>0</v>
      </c>
      <c r="J37" s="334">
        <f>SUBTOTAL(109,extracto_banco_mes11[RET IIBB CABA])</f>
        <v>0</v>
      </c>
      <c r="K37" s="334">
        <f>SUBTOTAL(109,extracto_banco_mes11[PERC IVA])</f>
        <v>1140</v>
      </c>
      <c r="L37" s="334">
        <f>SUBTOTAL(109,extracto_banco_mes11[PERC IIBB])</f>
        <v>570</v>
      </c>
      <c r="M37" s="343">
        <f>SUBTOTAL(109,extracto_banco_mes11[TOTAL])</f>
        <v>47690</v>
      </c>
    </row>
    <row r="41" spans="4:16" ht="21" x14ac:dyDescent="0.3">
      <c r="D41" s="362" t="s">
        <v>25</v>
      </c>
      <c r="E41" s="362"/>
      <c r="F41" s="362"/>
      <c r="G41" s="362"/>
      <c r="H41" s="362"/>
      <c r="I41" s="362"/>
      <c r="J41" s="362"/>
      <c r="K41" s="362"/>
    </row>
    <row r="42" spans="4:16" x14ac:dyDescent="0.3">
      <c r="D42" s="335" t="s">
        <v>0</v>
      </c>
      <c r="E42" s="335" t="s">
        <v>2</v>
      </c>
      <c r="F42" s="335" t="s">
        <v>74</v>
      </c>
      <c r="G42" s="335" t="s">
        <v>3</v>
      </c>
      <c r="H42" s="335" t="s">
        <v>4</v>
      </c>
      <c r="I42" s="336" t="s">
        <v>10</v>
      </c>
      <c r="J42" s="335" t="s">
        <v>13</v>
      </c>
      <c r="K42" s="335" t="s">
        <v>38</v>
      </c>
    </row>
    <row r="43" spans="4:16" x14ac:dyDescent="0.3">
      <c r="D43" s="50" t="s">
        <v>222</v>
      </c>
      <c r="E43" s="42">
        <v>2</v>
      </c>
      <c r="F43" s="130">
        <v>291</v>
      </c>
      <c r="G43" s="119">
        <v>27284608637</v>
      </c>
      <c r="H43" s="53" t="str">
        <f>IFERROR(IF(factura_c_mes11[[#This Row],[CUIT]]="","-",VLOOKUP(factura_c_mes11[[#This Row],[CUIT]],Lista_CUIT[#All],2,0)),"CUIT NO CARGADO")</f>
        <v>VIANI IVANNA</v>
      </c>
      <c r="I43" s="221">
        <v>701940</v>
      </c>
      <c r="J43" s="54" t="str">
        <f>IFERROR(IF(factura_c_mes11[[#This Row],[CUIT]]="","-",VLOOKUP(factura_c_mes11[[#This Row],[CUIT]],Lista_CUIT[#All],3,0)),"CUIT NO CARGADO")</f>
        <v>Alquiler</v>
      </c>
      <c r="K43" s="54">
        <f>IFERROR(IF(factura_c_mes11[[#This Row],[CUIT]]="","-",VLOOKUP(factura_c_mes11[[#This Row],[CUIT]],Lista_CUIT[#All],4,0)),"CUIT NO CARGADO")</f>
        <v>0</v>
      </c>
    </row>
    <row r="44" spans="4:16" x14ac:dyDescent="0.3">
      <c r="D44" s="50" t="s">
        <v>222</v>
      </c>
      <c r="E44" s="42">
        <v>2</v>
      </c>
      <c r="F44" s="130">
        <v>48</v>
      </c>
      <c r="G44" s="119">
        <v>23380288079</v>
      </c>
      <c r="H44" s="53" t="str">
        <f>IFERROR(IF(factura_c_mes11[[#This Row],[CUIT]]="","-",VLOOKUP(factura_c_mes11[[#This Row],[CUIT]],Lista_CUIT[#All],2,0)),"CUIT NO CARGADO")</f>
        <v>CASTROMAN AGUSTIN</v>
      </c>
      <c r="I44" s="221">
        <v>307500</v>
      </c>
      <c r="J44" s="54" t="str">
        <f>IFERROR(IF(factura_c_mes11[[#This Row],[CUIT]]="","-",VLOOKUP(factura_c_mes11[[#This Row],[CUIT]],Lista_CUIT[#All],3,0)),"CUIT NO CARGADO")</f>
        <v>Diseño Grafico</v>
      </c>
      <c r="K44" s="54">
        <f>IFERROR(IF(factura_c_mes11[[#This Row],[CUIT]]="","-",VLOOKUP(factura_c_mes11[[#This Row],[CUIT]],Lista_CUIT[#All],4,0)),"CUIT NO CARGADO")</f>
        <v>0</v>
      </c>
    </row>
    <row r="45" spans="4:16" x14ac:dyDescent="0.3">
      <c r="D45" s="50" t="s">
        <v>223</v>
      </c>
      <c r="E45" s="42">
        <v>2</v>
      </c>
      <c r="F45" s="130">
        <v>868</v>
      </c>
      <c r="G45" s="119">
        <v>20400104094</v>
      </c>
      <c r="H45" s="53" t="str">
        <f>IFERROR(IF(factura_c_mes11[[#This Row],[CUIT]]="","-",VLOOKUP(factura_c_mes11[[#This Row],[CUIT]],Lista_CUIT[#All],2,0)),"CUIT NO CARGADO")</f>
        <v>BOTINDARI FEDERICO DANIEL</v>
      </c>
      <c r="I45" s="221">
        <v>120000</v>
      </c>
      <c r="J45" s="54" t="str">
        <f>IFERROR(IF(factura_c_mes11[[#This Row],[CUIT]]="","-",VLOOKUP(factura_c_mes11[[#This Row],[CUIT]],Lista_CUIT[#All],3,0)),"CUIT NO CARGADO")</f>
        <v>HONORARIOS CONTABLE</v>
      </c>
      <c r="K45" s="54">
        <f>IFERROR(IF(factura_c_mes11[[#This Row],[CUIT]]="","-",VLOOKUP(factura_c_mes11[[#This Row],[CUIT]],Lista_CUIT[#All],4,0)),"CUIT NO CARGADO")</f>
        <v>0</v>
      </c>
    </row>
    <row r="46" spans="4:16" x14ac:dyDescent="0.3">
      <c r="D46" s="50" t="s">
        <v>223</v>
      </c>
      <c r="E46" s="42">
        <v>2</v>
      </c>
      <c r="F46" s="130">
        <v>876</v>
      </c>
      <c r="G46" s="119">
        <v>20400104094</v>
      </c>
      <c r="H46" s="53" t="str">
        <f>IFERROR(IF(factura_c_mes11[[#This Row],[CUIT]]="","-",VLOOKUP(factura_c_mes11[[#This Row],[CUIT]],Lista_CUIT[#All],2,0)),"CUIT NO CARGADO")</f>
        <v>BOTINDARI FEDERICO DANIEL</v>
      </c>
      <c r="I46" s="221">
        <v>160000</v>
      </c>
      <c r="J46" s="54" t="str">
        <f>IFERROR(IF(factura_c_mes11[[#This Row],[CUIT]]="","-",VLOOKUP(factura_c_mes11[[#This Row],[CUIT]],Lista_CUIT[#All],3,0)),"CUIT NO CARGADO")</f>
        <v>HONORARIOS CONTABLE</v>
      </c>
      <c r="K46" s="54">
        <f>IFERROR(IF(factura_c_mes11[[#This Row],[CUIT]]="","-",VLOOKUP(factura_c_mes11[[#This Row],[CUIT]],Lista_CUIT[#All],4,0)),"CUIT NO CARGADO")</f>
        <v>0</v>
      </c>
    </row>
    <row r="47" spans="4:16" x14ac:dyDescent="0.3">
      <c r="D47" s="50" t="s">
        <v>224</v>
      </c>
      <c r="E47" s="42">
        <v>1</v>
      </c>
      <c r="F47" s="130">
        <v>310</v>
      </c>
      <c r="G47" s="119">
        <v>27386311000</v>
      </c>
      <c r="H47" s="53" t="str">
        <f>IFERROR(IF(factura_c_mes11[[#This Row],[CUIT]]="","-",VLOOKUP(factura_c_mes11[[#This Row],[CUIT]],Lista_CUIT[#All],2,0)),"CUIT NO CARGADO")</f>
        <v>OPANASIUK MACARENA ANTONELLA</v>
      </c>
      <c r="I47" s="221">
        <v>1500000</v>
      </c>
      <c r="J47" s="54" t="str">
        <f>IFERROR(IF(factura_c_mes11[[#This Row],[CUIT]]="","-",VLOOKUP(factura_c_mes11[[#This Row],[CUIT]],Lista_CUIT[#All],3,0)),"CUIT NO CARGADO")</f>
        <v>Honorarios Profesionales</v>
      </c>
      <c r="K47" s="54">
        <f>IFERROR(IF(factura_c_mes11[[#This Row],[CUIT]]="","-",VLOOKUP(factura_c_mes11[[#This Row],[CUIT]],Lista_CUIT[#All],4,0)),"CUIT NO CARGADO")</f>
        <v>0</v>
      </c>
    </row>
    <row r="48" spans="4:16" x14ac:dyDescent="0.3">
      <c r="D48" s="344" t="s">
        <v>225</v>
      </c>
      <c r="E48" s="261">
        <v>1</v>
      </c>
      <c r="F48" s="261">
        <v>311</v>
      </c>
      <c r="G48" s="259">
        <v>27386311000</v>
      </c>
      <c r="H48" s="253" t="str">
        <f>IFERROR(IF(factura_c_mes11[[#This Row],[CUIT]]="","-",VLOOKUP(factura_c_mes11[[#This Row],[CUIT]],Lista_CUIT[#All],2,0)),"CUIT NO CARGADO")</f>
        <v>OPANASIUK MACARENA ANTONELLA</v>
      </c>
      <c r="I48" s="293">
        <v>1500000</v>
      </c>
      <c r="J48" s="255" t="str">
        <f>IFERROR(IF(factura_c_mes11[[#This Row],[CUIT]]="","-",VLOOKUP(factura_c_mes11[[#This Row],[CUIT]],Lista_CUIT[#All],3,0)),"CUIT NO CARGADO")</f>
        <v>Honorarios Profesionales</v>
      </c>
      <c r="K48" s="255">
        <f>IFERROR(IF(factura_c_mes11[[#This Row],[CUIT]]="","-",VLOOKUP(factura_c_mes11[[#This Row],[CUIT]],Lista_CUIT[#All],4,0)),"CUIT NO CARGADO")</f>
        <v>0</v>
      </c>
    </row>
    <row r="49" spans="2:18" x14ac:dyDescent="0.3">
      <c r="D49" s="344" t="s">
        <v>223</v>
      </c>
      <c r="E49" s="261">
        <v>2</v>
      </c>
      <c r="F49" s="261">
        <v>17</v>
      </c>
      <c r="G49" s="259">
        <v>20400104094</v>
      </c>
      <c r="H49" s="253" t="str">
        <f>IFERROR(IF(factura_c_mes11[[#This Row],[CUIT]]="","-",VLOOKUP(factura_c_mes11[[#This Row],[CUIT]],Lista_CUIT[#All],2,0)),"CUIT NO CARGADO")</f>
        <v>BOTINDARI FEDERICO DANIEL</v>
      </c>
      <c r="I49" s="293">
        <v>-120000</v>
      </c>
      <c r="J49" s="255" t="str">
        <f>IFERROR(IF(factura_c_mes11[[#This Row],[CUIT]]="","-",VLOOKUP(factura_c_mes11[[#This Row],[CUIT]],Lista_CUIT[#All],3,0)),"CUIT NO CARGADO")</f>
        <v>HONORARIOS CONTABLE</v>
      </c>
      <c r="K49" s="255">
        <f>IFERROR(IF(factura_c_mes11[[#This Row],[CUIT]]="","-",VLOOKUP(factura_c_mes11[[#This Row],[CUIT]],Lista_CUIT[#All],4,0)),"CUIT NO CARGADO")</f>
        <v>0</v>
      </c>
    </row>
    <row r="50" spans="2:18" x14ac:dyDescent="0.3">
      <c r="D50" s="50"/>
      <c r="E50" s="130"/>
      <c r="F50" s="43"/>
      <c r="G50" s="119"/>
      <c r="H50" s="53" t="str">
        <f>IFERROR(IF(factura_c_mes11[[#This Row],[CUIT]]="","-",VLOOKUP(factura_c_mes11[[#This Row],[CUIT]],Lista_CUIT[#All],2,0)),"CUIT NO CARGADO")</f>
        <v>-</v>
      </c>
      <c r="I50" s="221"/>
      <c r="J50" s="54" t="str">
        <f>IFERROR(IF(factura_c_mes11[[#This Row],[CUIT]]="","-",VLOOKUP(factura_c_mes11[[#This Row],[CUIT]],Lista_CUIT[#All],3,0)),"CUIT NO CARGADO")</f>
        <v>-</v>
      </c>
      <c r="K50" s="54" t="str">
        <f>IFERROR(IF(factura_c_mes11[[#This Row],[CUIT]]="","-",VLOOKUP(factura_c_mes11[[#This Row],[CUIT]],Lista_CUIT[#All],4,0)),"CUIT NO CARGADO")</f>
        <v>-</v>
      </c>
    </row>
    <row r="51" spans="2:18" x14ac:dyDescent="0.3">
      <c r="D51" s="337" t="s">
        <v>91</v>
      </c>
      <c r="E51" s="337"/>
      <c r="F51" s="337"/>
      <c r="G51" s="337"/>
      <c r="H51" s="338"/>
      <c r="I51" s="339">
        <f>SUBTOTAL(109,factura_c_mes11[TOTAL])</f>
        <v>4169440</v>
      </c>
      <c r="J51" s="337"/>
      <c r="K51" s="337"/>
    </row>
    <row r="52" spans="2:18" x14ac:dyDescent="0.3">
      <c r="B52" s="56"/>
      <c r="C52" s="56"/>
      <c r="L52" s="56"/>
      <c r="M52" s="56"/>
      <c r="N52" s="56"/>
      <c r="O52" s="56"/>
      <c r="P52" s="56"/>
      <c r="Q52" s="56"/>
      <c r="R52" s="56"/>
    </row>
    <row r="53" spans="2:18" x14ac:dyDescent="0.3">
      <c r="B53" s="56"/>
      <c r="C53" s="56"/>
      <c r="L53" s="56"/>
      <c r="M53" s="56"/>
      <c r="N53" s="56"/>
      <c r="O53" s="56"/>
      <c r="P53" s="56"/>
      <c r="Q53" s="56"/>
      <c r="R53" s="56"/>
    </row>
    <row r="58" spans="2:18" ht="25.8" x14ac:dyDescent="0.3">
      <c r="B58" s="363" t="s">
        <v>29</v>
      </c>
      <c r="C58" s="363"/>
      <c r="D58" s="363"/>
      <c r="E58" s="363"/>
      <c r="F58" s="363"/>
      <c r="G58" s="363"/>
      <c r="H58" s="363"/>
      <c r="I58" s="363"/>
      <c r="J58" s="363"/>
      <c r="K58" s="364">
        <f>N1</f>
        <v>45597</v>
      </c>
      <c r="L58" s="364"/>
      <c r="M58" s="364"/>
    </row>
    <row r="60" spans="2:18" ht="21" x14ac:dyDescent="0.3">
      <c r="B60" s="365" t="s">
        <v>30</v>
      </c>
      <c r="C60" s="365"/>
    </row>
    <row r="61" spans="2:18" ht="15.6" x14ac:dyDescent="0.3">
      <c r="B61" s="60" t="s">
        <v>0</v>
      </c>
      <c r="C61" s="61" t="s">
        <v>1</v>
      </c>
      <c r="D61" s="61" t="s">
        <v>21</v>
      </c>
      <c r="E61" s="61" t="s">
        <v>22</v>
      </c>
      <c r="F61" s="61" t="s">
        <v>3</v>
      </c>
      <c r="G61" s="61" t="s">
        <v>4</v>
      </c>
      <c r="H61" s="61" t="s">
        <v>23</v>
      </c>
      <c r="I61" s="61" t="s">
        <v>17</v>
      </c>
      <c r="J61" s="61" t="s">
        <v>7</v>
      </c>
      <c r="K61" s="61" t="s">
        <v>24</v>
      </c>
      <c r="L61" s="61" t="s">
        <v>10</v>
      </c>
      <c r="M61" s="62" t="s">
        <v>38</v>
      </c>
    </row>
    <row r="62" spans="2:18" ht="15" customHeight="1" x14ac:dyDescent="0.3">
      <c r="B62" s="40">
        <v>45597</v>
      </c>
      <c r="C62" s="111">
        <v>1</v>
      </c>
      <c r="D62" s="111">
        <v>1</v>
      </c>
      <c r="E62" s="105">
        <v>317</v>
      </c>
      <c r="F62" s="146">
        <v>30688955749</v>
      </c>
      <c r="G62" s="40" t="str">
        <f>IFERROR(IF(venta_a_mes11[[#This Row],[CUIT]]="","-",VLOOKUP(venta_a_mes11[[#This Row],[CUIT]],Lista_CUIT[#All],2,0)),"CUIT NO CARGADO")</f>
        <v>LISERAR S A</v>
      </c>
      <c r="H62" s="100">
        <v>149586.76</v>
      </c>
      <c r="I62" s="101">
        <f>venta_a_mes11[[#This Row],[IMPORTE NETO]]*0.21</f>
        <v>31413.2196</v>
      </c>
      <c r="J62" s="40"/>
      <c r="K62" s="40"/>
      <c r="L62" s="65">
        <f>SUM(venta_a_mes11[[#This Row],[IMPORTE NETO]:[EXENTO]])</f>
        <v>180999.97960000002</v>
      </c>
      <c r="M62" s="40"/>
    </row>
    <row r="63" spans="2:18" ht="15" customHeight="1" x14ac:dyDescent="0.3">
      <c r="B63" s="40">
        <v>45597</v>
      </c>
      <c r="C63" s="111">
        <v>1</v>
      </c>
      <c r="D63" s="111">
        <v>1</v>
      </c>
      <c r="E63" s="105">
        <v>311</v>
      </c>
      <c r="F63" s="146">
        <v>30718044894</v>
      </c>
      <c r="G63" s="40" t="str">
        <f>IFERROR(IF(venta_a_mes11[[#This Row],[CUIT]]="","-",VLOOKUP(venta_a_mes11[[#This Row],[CUIT]],Lista_CUIT[#All],2,0)),"CUIT NO CARGADO")</f>
        <v>GRUPO NACER ECOLOGICO S.R.L</v>
      </c>
      <c r="H63" s="100">
        <v>428099.19</v>
      </c>
      <c r="I63" s="101">
        <f>venta_a_mes11[[#This Row],[IMPORTE NETO]]*0.21</f>
        <v>89900.829899999997</v>
      </c>
      <c r="J63" s="40"/>
      <c r="K63" s="40"/>
      <c r="L63" s="65">
        <f>SUM(venta_a_mes11[[#This Row],[IMPORTE NETO]:[EXENTO]])</f>
        <v>518000.01990000001</v>
      </c>
      <c r="M63" s="40"/>
    </row>
    <row r="64" spans="2:18" ht="15" customHeight="1" x14ac:dyDescent="0.3">
      <c r="B64" s="40">
        <v>45597</v>
      </c>
      <c r="C64" s="111">
        <v>1</v>
      </c>
      <c r="D64" s="111">
        <v>1</v>
      </c>
      <c r="E64" s="105">
        <v>318</v>
      </c>
      <c r="F64" s="146">
        <v>20320573948</v>
      </c>
      <c r="G64" s="40" t="str">
        <f>IFERROR(IF(venta_a_mes11[[#This Row],[CUIT]]="","-",VLOOKUP(venta_a_mes11[[#This Row],[CUIT]],Lista_CUIT[#All],2,0)),"CUIT NO CARGADO")</f>
        <v>CAVALLOTTI MARCOS DANIEL</v>
      </c>
      <c r="H64" s="100">
        <v>149586.76</v>
      </c>
      <c r="I64" s="101">
        <f>venta_a_mes11[[#This Row],[IMPORTE NETO]]*0.21</f>
        <v>31413.2196</v>
      </c>
      <c r="J64" s="40"/>
      <c r="K64" s="40"/>
      <c r="L64" s="65">
        <f>SUM(venta_a_mes11[[#This Row],[IMPORTE NETO]:[EXENTO]])</f>
        <v>180999.97960000002</v>
      </c>
      <c r="M64" s="40"/>
    </row>
    <row r="65" spans="2:13" ht="15" customHeight="1" x14ac:dyDescent="0.3">
      <c r="B65" s="40">
        <v>45597</v>
      </c>
      <c r="C65" s="111">
        <v>1</v>
      </c>
      <c r="D65" s="111">
        <v>1</v>
      </c>
      <c r="E65" s="105">
        <v>319</v>
      </c>
      <c r="F65" s="146">
        <v>20279415656</v>
      </c>
      <c r="G65" s="40" t="str">
        <f>IFERROR(IF(venta_a_mes11[[#This Row],[CUIT]]="","-",VLOOKUP(venta_a_mes11[[#This Row],[CUIT]],Lista_CUIT[#All],2,0)),"CUIT NO CARGADO")</f>
        <v>CECCO ALVARO GONZALO</v>
      </c>
      <c r="H65" s="100">
        <v>94214.86</v>
      </c>
      <c r="I65" s="101">
        <f>venta_a_mes11[[#This Row],[IMPORTE NETO]]*0.21</f>
        <v>19785.120599999998</v>
      </c>
      <c r="J65" s="40"/>
      <c r="K65" s="40"/>
      <c r="L65" s="65">
        <f>SUM(venta_a_mes11[[#This Row],[IMPORTE NETO]:[EXENTO]])</f>
        <v>113999.9806</v>
      </c>
      <c r="M65" s="40"/>
    </row>
    <row r="66" spans="2:13" ht="15" customHeight="1" x14ac:dyDescent="0.3">
      <c r="B66" s="40">
        <v>45597</v>
      </c>
      <c r="C66" s="111">
        <v>1</v>
      </c>
      <c r="D66" s="111">
        <v>1</v>
      </c>
      <c r="E66" s="105">
        <v>312</v>
      </c>
      <c r="F66" s="146">
        <v>30718553357</v>
      </c>
      <c r="G66" s="40" t="str">
        <f>IFERROR(IF(venta_a_mes11[[#This Row],[CUIT]]="","-",VLOOKUP(venta_a_mes11[[#This Row],[CUIT]],Lista_CUIT[#All],2,0)),"CUIT NO CARGADO")</f>
        <v>EMIGRA CON TU MASCOTA S.R.L.</v>
      </c>
      <c r="H66" s="100">
        <v>479338.86</v>
      </c>
      <c r="I66" s="101">
        <f>venta_a_mes11[[#This Row],[IMPORTE NETO]]*0.21</f>
        <v>100661.16059999999</v>
      </c>
      <c r="J66" s="40"/>
      <c r="K66" s="40"/>
      <c r="L66" s="65">
        <f>SUM(venta_a_mes11[[#This Row],[IMPORTE NETO]:[EXENTO]])</f>
        <v>580000.02059999993</v>
      </c>
      <c r="M66" s="40"/>
    </row>
    <row r="67" spans="2:13" ht="15" customHeight="1" x14ac:dyDescent="0.3">
      <c r="B67" s="40">
        <v>45597</v>
      </c>
      <c r="C67" s="111">
        <v>1</v>
      </c>
      <c r="D67" s="111">
        <v>1</v>
      </c>
      <c r="E67" s="105">
        <v>320</v>
      </c>
      <c r="F67" s="146">
        <v>30718295900</v>
      </c>
      <c r="G67" s="40" t="str">
        <f>IFERROR(IF(venta_a_mes11[[#This Row],[CUIT]]="","-",VLOOKUP(venta_a_mes11[[#This Row],[CUIT]],Lista_CUIT[#All],2,0)),"CUIT NO CARGADO")</f>
        <v>LAPTOP SERVICE S.R.L.</v>
      </c>
      <c r="H67" s="100">
        <v>70247.95</v>
      </c>
      <c r="I67" s="101">
        <f>venta_a_mes11[[#This Row],[IMPORTE NETO]]*0.21</f>
        <v>14752.0695</v>
      </c>
      <c r="J67" s="40"/>
      <c r="K67" s="40"/>
      <c r="L67" s="65">
        <f>SUM(venta_a_mes11[[#This Row],[IMPORTE NETO]:[EXENTO]])</f>
        <v>85000.019499999995</v>
      </c>
      <c r="M67" s="40"/>
    </row>
    <row r="68" spans="2:13" ht="15" customHeight="1" x14ac:dyDescent="0.3">
      <c r="B68" s="40">
        <v>45597</v>
      </c>
      <c r="C68" s="111">
        <v>1</v>
      </c>
      <c r="D68" s="111">
        <v>1</v>
      </c>
      <c r="E68" s="105">
        <v>321</v>
      </c>
      <c r="F68" s="146">
        <v>30717973166</v>
      </c>
      <c r="G68" s="40" t="str">
        <f>IFERROR(IF(venta_a_mes11[[#This Row],[CUIT]]="","-",VLOOKUP(venta_a_mes11[[#This Row],[CUIT]],Lista_CUIT[#All],2,0)),"CUIT NO CARGADO")</f>
        <v>STM ESTILO S.R.L</v>
      </c>
      <c r="H68" s="100">
        <v>70247.95</v>
      </c>
      <c r="I68" s="101">
        <f>venta_a_mes11[[#This Row],[IMPORTE NETO]]*0.21</f>
        <v>14752.0695</v>
      </c>
      <c r="J68" s="40"/>
      <c r="K68" s="40"/>
      <c r="L68" s="65">
        <f>SUM(venta_a_mes11[[#This Row],[IMPORTE NETO]:[EXENTO]])</f>
        <v>85000.019499999995</v>
      </c>
      <c r="M68" s="40"/>
    </row>
    <row r="69" spans="2:13" ht="15" customHeight="1" x14ac:dyDescent="0.3">
      <c r="B69" s="40">
        <v>45597</v>
      </c>
      <c r="C69" s="111">
        <v>1</v>
      </c>
      <c r="D69" s="111">
        <v>1</v>
      </c>
      <c r="E69" s="105">
        <v>322</v>
      </c>
      <c r="F69" s="146">
        <v>20287305460</v>
      </c>
      <c r="G69" s="40" t="str">
        <f>IFERROR(IF(venta_a_mes11[[#This Row],[CUIT]]="","-",VLOOKUP(venta_a_mes11[[#This Row],[CUIT]],Lista_CUIT[#All],2,0)),"CUIT NO CARGADO")</f>
        <v>LANDI GERONIMO</v>
      </c>
      <c r="H69" s="100">
        <v>70247.95</v>
      </c>
      <c r="I69" s="101">
        <f>venta_a_mes11[[#This Row],[IMPORTE NETO]]*0.21</f>
        <v>14752.0695</v>
      </c>
      <c r="J69" s="40"/>
      <c r="K69" s="40"/>
      <c r="L69" s="65">
        <f>SUM(venta_a_mes11[[#This Row],[IMPORTE NETO]:[EXENTO]])</f>
        <v>85000.019499999995</v>
      </c>
      <c r="M69" s="40"/>
    </row>
    <row r="70" spans="2:13" ht="15" customHeight="1" x14ac:dyDescent="0.3">
      <c r="B70" s="40">
        <v>45597</v>
      </c>
      <c r="C70" s="111">
        <v>1</v>
      </c>
      <c r="D70" s="111">
        <v>1</v>
      </c>
      <c r="E70" s="105">
        <v>313</v>
      </c>
      <c r="F70" s="146">
        <v>30716914077</v>
      </c>
      <c r="G70" s="40" t="str">
        <f>IFERROR(IF(venta_a_mes11[[#This Row],[CUIT]]="","-",VLOOKUP(venta_a_mes11[[#This Row],[CUIT]],Lista_CUIT[#All],2,0)),"CUIT NO CARGADO")</f>
        <v>BACANES</v>
      </c>
      <c r="H70" s="100">
        <v>442546.43</v>
      </c>
      <c r="I70" s="101">
        <f>venta_a_mes11[[#This Row],[IMPORTE NETO]]*0.21</f>
        <v>92934.7503</v>
      </c>
      <c r="J70" s="40"/>
      <c r="K70" s="40"/>
      <c r="L70" s="65">
        <f>SUM(venta_a_mes11[[#This Row],[IMPORTE NETO]:[EXENTO]])</f>
        <v>535481.18030000001</v>
      </c>
      <c r="M70" s="40"/>
    </row>
    <row r="71" spans="2:13" ht="15" customHeight="1" x14ac:dyDescent="0.3">
      <c r="B71" s="40">
        <v>45597</v>
      </c>
      <c r="C71" s="111">
        <v>1</v>
      </c>
      <c r="D71" s="111">
        <v>1</v>
      </c>
      <c r="E71" s="105">
        <v>323</v>
      </c>
      <c r="F71" s="146">
        <v>20367341808</v>
      </c>
      <c r="G71" s="40" t="str">
        <f>IFERROR(IF(venta_a_mes11[[#This Row],[CUIT]]="","-",VLOOKUP(venta_a_mes11[[#This Row],[CUIT]],Lista_CUIT[#All],2,0)),"CUIT NO CARGADO")</f>
        <v>FEIDAS FERNANDO EMILIANO</v>
      </c>
      <c r="H71" s="100">
        <v>70247.95</v>
      </c>
      <c r="I71" s="101">
        <f>venta_a_mes11[[#This Row],[IMPORTE NETO]]*0.21</f>
        <v>14752.0695</v>
      </c>
      <c r="J71" s="40"/>
      <c r="K71" s="40"/>
      <c r="L71" s="65">
        <f>SUM(venta_a_mes11[[#This Row],[IMPORTE NETO]:[EXENTO]])</f>
        <v>85000.019499999995</v>
      </c>
      <c r="M71" s="40"/>
    </row>
    <row r="72" spans="2:13" ht="15" customHeight="1" x14ac:dyDescent="0.3">
      <c r="B72" s="40">
        <v>45597</v>
      </c>
      <c r="C72" s="111">
        <v>1</v>
      </c>
      <c r="D72" s="111">
        <v>1</v>
      </c>
      <c r="E72" s="105">
        <v>324</v>
      </c>
      <c r="F72" s="146">
        <v>30717465101</v>
      </c>
      <c r="G72" s="40" t="str">
        <f>IFERROR(IF(venta_a_mes11[[#This Row],[CUIT]]="","-",VLOOKUP(venta_a_mes11[[#This Row],[CUIT]],Lista_CUIT[#All],2,0)),"CUIT NO CARGADO")</f>
        <v>EMPRENDIMIENTOS SHOPGLASS S. R. L.</v>
      </c>
      <c r="H72" s="100">
        <v>70247.95</v>
      </c>
      <c r="I72" s="101">
        <f>venta_a_mes11[[#This Row],[IMPORTE NETO]]*0.21</f>
        <v>14752.0695</v>
      </c>
      <c r="J72" s="40"/>
      <c r="K72" s="40"/>
      <c r="L72" s="65">
        <f>SUM(venta_a_mes11[[#This Row],[IMPORTE NETO]:[EXENTO]])</f>
        <v>85000.019499999995</v>
      </c>
      <c r="M72" s="40"/>
    </row>
    <row r="73" spans="2:13" ht="15" customHeight="1" x14ac:dyDescent="0.3">
      <c r="B73" s="40">
        <v>45597</v>
      </c>
      <c r="C73" s="111">
        <v>1</v>
      </c>
      <c r="D73" s="111">
        <v>1</v>
      </c>
      <c r="E73" s="105">
        <v>314</v>
      </c>
      <c r="F73" s="146">
        <v>24368969350</v>
      </c>
      <c r="G73" s="40" t="str">
        <f>IFERROR(IF(venta_a_mes11[[#This Row],[CUIT]]="","-",VLOOKUP(venta_a_mes11[[#This Row],[CUIT]],Lista_CUIT[#All],2,0)),"CUIT NO CARGADO")</f>
        <v>MARANO CORVALAN MARTIN MARIANO</v>
      </c>
      <c r="H73" s="100">
        <v>214049.57</v>
      </c>
      <c r="I73" s="101">
        <f>venta_a_mes11[[#This Row],[IMPORTE NETO]]*0.21</f>
        <v>44950.409699999997</v>
      </c>
      <c r="J73" s="40"/>
      <c r="K73" s="40"/>
      <c r="L73" s="65">
        <f>SUM(venta_a_mes11[[#This Row],[IMPORTE NETO]:[EXENTO]])</f>
        <v>258999.9797</v>
      </c>
      <c r="M73" s="40"/>
    </row>
    <row r="74" spans="2:13" ht="15" customHeight="1" x14ac:dyDescent="0.3">
      <c r="B74" s="40">
        <v>45597</v>
      </c>
      <c r="C74" s="111">
        <v>1</v>
      </c>
      <c r="D74" s="111">
        <v>1</v>
      </c>
      <c r="E74" s="105">
        <v>325</v>
      </c>
      <c r="F74" s="146">
        <v>30717969061</v>
      </c>
      <c r="G74" s="40" t="str">
        <f>IFERROR(IF(venta_a_mes11[[#This Row],[CUIT]]="","-",VLOOKUP(venta_a_mes11[[#This Row],[CUIT]],Lista_CUIT[#All],2,0)),"CUIT NO CARGADO")</f>
        <v>FABIO Y RAUL ROSSO S.A.S.</v>
      </c>
      <c r="H74" s="100">
        <v>70247.95</v>
      </c>
      <c r="I74" s="101">
        <f>venta_a_mes11[[#This Row],[IMPORTE NETO]]*0.21</f>
        <v>14752.0695</v>
      </c>
      <c r="J74" s="40"/>
      <c r="K74" s="40"/>
      <c r="L74" s="65">
        <f>SUM(venta_a_mes11[[#This Row],[IMPORTE NETO]:[EXENTO]])</f>
        <v>85000.019499999995</v>
      </c>
      <c r="M74" s="40"/>
    </row>
    <row r="75" spans="2:13" ht="15" customHeight="1" x14ac:dyDescent="0.3">
      <c r="B75" s="40">
        <v>45597</v>
      </c>
      <c r="C75" s="111">
        <v>1</v>
      </c>
      <c r="D75" s="111">
        <v>1</v>
      </c>
      <c r="E75" s="105">
        <v>307</v>
      </c>
      <c r="F75" s="146">
        <v>30714375241</v>
      </c>
      <c r="G75" s="40" t="str">
        <f>IFERROR(IF(venta_a_mes11[[#This Row],[CUIT]]="","-",VLOOKUP(venta_a_mes11[[#This Row],[CUIT]],Lista_CUIT[#All],2,0)),"CUIT NO CARGADO")</f>
        <v>POWER-RECORDS S.A</v>
      </c>
      <c r="H75" s="100">
        <v>428099.19</v>
      </c>
      <c r="I75" s="101">
        <f>venta_a_mes11[[#This Row],[IMPORTE NETO]]*0.21</f>
        <v>89900.829899999997</v>
      </c>
      <c r="J75" s="40"/>
      <c r="K75" s="40"/>
      <c r="L75" s="65">
        <f>SUM(venta_a_mes11[[#This Row],[IMPORTE NETO]:[EXENTO]])</f>
        <v>518000.01990000001</v>
      </c>
      <c r="M75" s="40"/>
    </row>
    <row r="76" spans="2:13" ht="15" customHeight="1" x14ac:dyDescent="0.3">
      <c r="B76" s="40">
        <v>45597</v>
      </c>
      <c r="C76" s="111">
        <v>1</v>
      </c>
      <c r="D76" s="111">
        <v>1</v>
      </c>
      <c r="E76" s="105">
        <v>315</v>
      </c>
      <c r="F76" s="146">
        <v>30716549107</v>
      </c>
      <c r="G76" s="40" t="str">
        <f>IFERROR(IF(venta_a_mes11[[#This Row],[CUIT]]="","-",VLOOKUP(venta_a_mes11[[#This Row],[CUIT]],Lista_CUIT[#All],2,0)),"CUIT NO CARGADO")</f>
        <v>LAMATEC S.R.L.</v>
      </c>
      <c r="H76" s="100">
        <v>215702.48</v>
      </c>
      <c r="I76" s="101">
        <f>venta_a_mes11[[#This Row],[IMPORTE NETO]]*0.21</f>
        <v>45297.520799999998</v>
      </c>
      <c r="J76" s="40"/>
      <c r="K76" s="40"/>
      <c r="L76" s="65">
        <f>SUM(venta_a_mes11[[#This Row],[IMPORTE NETO]:[EXENTO]])</f>
        <v>261000.00080000001</v>
      </c>
      <c r="M76" s="40"/>
    </row>
    <row r="77" spans="2:13" ht="15" customHeight="1" x14ac:dyDescent="0.3">
      <c r="B77" s="40">
        <v>45597</v>
      </c>
      <c r="C77" s="111">
        <v>1</v>
      </c>
      <c r="D77" s="111">
        <v>1</v>
      </c>
      <c r="E77" s="105">
        <v>308</v>
      </c>
      <c r="F77" s="146">
        <v>23107861939</v>
      </c>
      <c r="G77" s="40" t="str">
        <f>IFERROR(IF(venta_a_mes11[[#This Row],[CUIT]]="","-",VLOOKUP(venta_a_mes11[[#This Row],[CUIT]],Lista_CUIT[#All],2,0)),"CUIT NO CARGADO")</f>
        <v>GONZALEZ JOSE RAUL</v>
      </c>
      <c r="H77" s="100">
        <v>428099.19</v>
      </c>
      <c r="I77" s="101">
        <f>venta_a_mes11[[#This Row],[IMPORTE NETO]]*0.21</f>
        <v>89900.829899999997</v>
      </c>
      <c r="J77" s="40"/>
      <c r="K77" s="40"/>
      <c r="L77" s="65">
        <f>SUM(venta_a_mes11[[#This Row],[IMPORTE NETO]:[EXENTO]])</f>
        <v>518000.01990000001</v>
      </c>
      <c r="M77" s="40"/>
    </row>
    <row r="78" spans="2:13" ht="15" customHeight="1" x14ac:dyDescent="0.3">
      <c r="B78" s="40">
        <v>45597</v>
      </c>
      <c r="C78" s="111">
        <v>1</v>
      </c>
      <c r="D78" s="111">
        <v>1</v>
      </c>
      <c r="E78" s="105">
        <v>326</v>
      </c>
      <c r="F78" s="146">
        <v>30715941763</v>
      </c>
      <c r="G78" s="40" t="str">
        <f>IFERROR(IF(venta_a_mes11[[#This Row],[CUIT]]="","-",VLOOKUP(venta_a_mes11[[#This Row],[CUIT]],Lista_CUIT[#All],2,0)),"CUIT NO CARGADO")</f>
        <v>TOURMALHYN S.R.L.</v>
      </c>
      <c r="H78" s="100">
        <v>39669.43</v>
      </c>
      <c r="I78" s="101">
        <f>venta_a_mes11[[#This Row],[IMPORTE NETO]]*0.21</f>
        <v>8330.5802999999996</v>
      </c>
      <c r="J78" s="40"/>
      <c r="K78" s="40"/>
      <c r="L78" s="65">
        <f>SUM(venta_a_mes11[[#This Row],[IMPORTE NETO]:[EXENTO]])</f>
        <v>48000.010300000002</v>
      </c>
      <c r="M78" s="40"/>
    </row>
    <row r="79" spans="2:13" ht="15" customHeight="1" x14ac:dyDescent="0.3">
      <c r="B79" s="40">
        <v>45597</v>
      </c>
      <c r="C79" s="111">
        <v>1</v>
      </c>
      <c r="D79" s="111">
        <v>1</v>
      </c>
      <c r="E79" s="105">
        <v>310</v>
      </c>
      <c r="F79" s="146">
        <v>20238882975</v>
      </c>
      <c r="G79" s="40" t="str">
        <f>IFERROR(IF(venta_a_mes11[[#This Row],[CUIT]]="","-",VLOOKUP(venta_a_mes11[[#This Row],[CUIT]],Lista_CUIT[#All],2,0)),"CUIT NO CARGADO")</f>
        <v>NARVAEZ SANTIAGO GABRIEL</v>
      </c>
      <c r="H79" s="100">
        <v>479338.86</v>
      </c>
      <c r="I79" s="101">
        <f>venta_a_mes11[[#This Row],[IMPORTE NETO]]*0.21</f>
        <v>100661.16059999999</v>
      </c>
      <c r="J79" s="40"/>
      <c r="K79" s="40"/>
      <c r="L79" s="65">
        <f>SUM(venta_a_mes11[[#This Row],[IMPORTE NETO]:[EXENTO]])</f>
        <v>580000.02059999993</v>
      </c>
      <c r="M79" s="40"/>
    </row>
    <row r="80" spans="2:13" ht="15" customHeight="1" x14ac:dyDescent="0.3">
      <c r="B80" s="40">
        <v>45597</v>
      </c>
      <c r="C80" s="111">
        <v>1</v>
      </c>
      <c r="D80" s="111">
        <v>1</v>
      </c>
      <c r="E80" s="105">
        <v>327</v>
      </c>
      <c r="F80" s="146">
        <v>30715380567</v>
      </c>
      <c r="G80" s="40" t="str">
        <f>IFERROR(IF(venta_a_mes11[[#This Row],[CUIT]]="","-",VLOOKUP(venta_a_mes11[[#This Row],[CUIT]],Lista_CUIT[#All],2,0)),"CUIT NO CARGADO")</f>
        <v>SENS GROUP SRL</v>
      </c>
      <c r="H80" s="100">
        <v>371326.43</v>
      </c>
      <c r="I80" s="101">
        <f>venta_a_mes11[[#This Row],[IMPORTE NETO]]*0.21</f>
        <v>77978.550300000003</v>
      </c>
      <c r="J80" s="40"/>
      <c r="K80" s="40"/>
      <c r="L80" s="65">
        <f>SUM(venta_a_mes11[[#This Row],[IMPORTE NETO]:[EXENTO]])</f>
        <v>449304.9803</v>
      </c>
      <c r="M80" s="40"/>
    </row>
    <row r="81" spans="2:13" ht="15" customHeight="1" x14ac:dyDescent="0.3">
      <c r="B81" s="40">
        <v>45597</v>
      </c>
      <c r="C81" s="111">
        <v>1</v>
      </c>
      <c r="D81" s="111">
        <v>1</v>
      </c>
      <c r="E81" s="105">
        <v>316</v>
      </c>
      <c r="F81" s="146">
        <v>20132082198</v>
      </c>
      <c r="G81" s="40" t="str">
        <f>IFERROR(IF(venta_a_mes11[[#This Row],[CUIT]]="","-",VLOOKUP(venta_a_mes11[[#This Row],[CUIT]],Lista_CUIT[#All],2,0)),"CUIT NO CARGADO")</f>
        <v>FADIGA OSCAR ALBERTO</v>
      </c>
      <c r="H81" s="100">
        <v>245875</v>
      </c>
      <c r="I81" s="101">
        <f>venta_a_mes11[[#This Row],[IMPORTE NETO]]*0.21</f>
        <v>51633.75</v>
      </c>
      <c r="J81" s="40"/>
      <c r="K81" s="40"/>
      <c r="L81" s="65">
        <f>SUM(venta_a_mes11[[#This Row],[IMPORTE NETO]:[EXENTO]])</f>
        <v>297508.75</v>
      </c>
      <c r="M81" s="40"/>
    </row>
    <row r="82" spans="2:13" ht="15" customHeight="1" x14ac:dyDescent="0.3">
      <c r="B82" s="40">
        <v>45597</v>
      </c>
      <c r="C82" s="111">
        <v>1</v>
      </c>
      <c r="D82" s="111">
        <v>1</v>
      </c>
      <c r="E82" s="105">
        <v>309</v>
      </c>
      <c r="F82" s="146">
        <v>27335747254</v>
      </c>
      <c r="G82" s="40" t="str">
        <f>IFERROR(IF(venta_a_mes11[[#This Row],[CUIT]]="","-",VLOOKUP(venta_a_mes11[[#This Row],[CUIT]],Lista_CUIT[#All],2,0)),"CUIT NO CARGADO")</f>
        <v>RODRIGUES DAIANA DENISE</v>
      </c>
      <c r="H82" s="100">
        <v>428099.19</v>
      </c>
      <c r="I82" s="101">
        <f>venta_a_mes11[[#This Row],[IMPORTE NETO]]*0.21</f>
        <v>89900.829899999997</v>
      </c>
      <c r="J82" s="40"/>
      <c r="K82" s="40"/>
      <c r="L82" s="65">
        <f>SUM(venta_a_mes11[[#This Row],[IMPORTE NETO]:[EXENTO]])</f>
        <v>518000.01990000001</v>
      </c>
      <c r="M82" s="40"/>
    </row>
    <row r="83" spans="2:13" ht="15" customHeight="1" x14ac:dyDescent="0.3">
      <c r="B83" s="40">
        <v>45601</v>
      </c>
      <c r="C83" s="111">
        <v>1</v>
      </c>
      <c r="D83" s="111">
        <v>1</v>
      </c>
      <c r="E83" s="105">
        <v>328</v>
      </c>
      <c r="F83" s="146">
        <v>27312707980</v>
      </c>
      <c r="G83" s="40" t="str">
        <f>IFERROR(IF(venta_a_mes11[[#This Row],[CUIT]]="","-",VLOOKUP(venta_a_mes11[[#This Row],[CUIT]],Lista_CUIT[#All],2,0)),"CUIT NO CARGADO")</f>
        <v>FERRARETTO CARLA ROMINA</v>
      </c>
      <c r="H83" s="100">
        <v>479338.86</v>
      </c>
      <c r="I83" s="101">
        <f>venta_a_mes11[[#This Row],[IMPORTE NETO]]*0.21</f>
        <v>100661.16059999999</v>
      </c>
      <c r="J83" s="40"/>
      <c r="K83" s="40"/>
      <c r="L83" s="65">
        <f>SUM(venta_a_mes11[[#This Row],[IMPORTE NETO]:[EXENTO]])</f>
        <v>580000.02059999993</v>
      </c>
      <c r="M83" s="40"/>
    </row>
    <row r="84" spans="2:13" ht="15" customHeight="1" x14ac:dyDescent="0.3">
      <c r="B84" s="40">
        <v>45601</v>
      </c>
      <c r="C84" s="111">
        <v>3</v>
      </c>
      <c r="D84" s="111">
        <v>1</v>
      </c>
      <c r="E84" s="105">
        <v>16</v>
      </c>
      <c r="F84" s="146">
        <v>27312707980</v>
      </c>
      <c r="G84" s="40" t="str">
        <f>IFERROR(IF(venta_a_mes11[[#This Row],[CUIT]]="","-",VLOOKUP(venta_a_mes11[[#This Row],[CUIT]],Lista_CUIT[#All],2,0)),"CUIT NO CARGADO")</f>
        <v>FERRARETTO CARLA ROMINA</v>
      </c>
      <c r="H84" s="100">
        <v>-479338.86</v>
      </c>
      <c r="I84" s="101">
        <f>venta_a_mes11[[#This Row],[IMPORTE NETO]]*0.21</f>
        <v>-100661.16059999999</v>
      </c>
      <c r="J84" s="40"/>
      <c r="K84" s="40"/>
      <c r="L84" s="65">
        <f>SUM(venta_a_mes11[[#This Row],[IMPORTE NETO]:[EXENTO]])</f>
        <v>-580000.02059999993</v>
      </c>
      <c r="M84" s="40"/>
    </row>
    <row r="85" spans="2:13" ht="15" customHeight="1" x14ac:dyDescent="0.3">
      <c r="B85" s="40">
        <v>45602</v>
      </c>
      <c r="C85" s="111">
        <v>3</v>
      </c>
      <c r="D85" s="111">
        <v>1</v>
      </c>
      <c r="E85" s="105">
        <v>17</v>
      </c>
      <c r="F85" s="146">
        <v>30718044894</v>
      </c>
      <c r="G85" s="40" t="str">
        <f>IFERROR(IF(venta_a_mes11[[#This Row],[CUIT]]="","-",VLOOKUP(venta_a_mes11[[#This Row],[CUIT]],Lista_CUIT[#All],2,0)),"CUIT NO CARGADO")</f>
        <v>GRUPO NACER ECOLOGICO S.R.L</v>
      </c>
      <c r="H85" s="100">
        <v>-428099.19</v>
      </c>
      <c r="I85" s="101">
        <f>venta_a_mes11[[#This Row],[IMPORTE NETO]]*0.21</f>
        <v>-89900.829899999997</v>
      </c>
      <c r="J85" s="40"/>
      <c r="K85" s="40"/>
      <c r="L85" s="65">
        <f>SUM(venta_a_mes11[[#This Row],[IMPORTE NETO]:[EXENTO]])</f>
        <v>-518000.01990000001</v>
      </c>
      <c r="M85" s="40"/>
    </row>
    <row r="86" spans="2:13" ht="15" customHeight="1" x14ac:dyDescent="0.3">
      <c r="B86" s="40">
        <v>45616</v>
      </c>
      <c r="C86" s="111">
        <v>1</v>
      </c>
      <c r="D86" s="111">
        <v>1</v>
      </c>
      <c r="E86" s="105">
        <v>329</v>
      </c>
      <c r="F86" s="146">
        <v>30715751557</v>
      </c>
      <c r="G86" s="40" t="str">
        <f>IFERROR(IF(venta_a_mes11[[#This Row],[CUIT]]="","-",VLOOKUP(venta_a_mes11[[#This Row],[CUIT]],Lista_CUIT[#All],2,0)),"CUIT NO CARGADO")</f>
        <v>TIXIT SRL</v>
      </c>
      <c r="H86" s="100">
        <v>479338.86</v>
      </c>
      <c r="I86" s="101">
        <f>venta_a_mes11[[#This Row],[IMPORTE NETO]]*0.21</f>
        <v>100661.16059999999</v>
      </c>
      <c r="J86" s="40"/>
      <c r="K86" s="40"/>
      <c r="L86" s="65">
        <f>SUM(venta_a_mes11[[#This Row],[IMPORTE NETO]:[EXENTO]])</f>
        <v>580000.02059999993</v>
      </c>
      <c r="M86" s="40"/>
    </row>
    <row r="87" spans="2:13" ht="15" customHeight="1" x14ac:dyDescent="0.3">
      <c r="B87" s="40">
        <v>45625</v>
      </c>
      <c r="C87" s="111">
        <v>3</v>
      </c>
      <c r="D87" s="111">
        <v>1</v>
      </c>
      <c r="E87" s="105">
        <v>18</v>
      </c>
      <c r="F87" s="146">
        <v>30717969061</v>
      </c>
      <c r="G87" s="40" t="str">
        <f>IFERROR(IF(venta_a_mes11[[#This Row],[CUIT]]="","-",VLOOKUP(venta_a_mes11[[#This Row],[CUIT]],Lista_CUIT[#All],2,0)),"CUIT NO CARGADO")</f>
        <v>FABIO Y RAUL ROSSO S.A.S.</v>
      </c>
      <c r="H87" s="100">
        <v>-140495.9</v>
      </c>
      <c r="I87" s="101">
        <f>venta_a_mes11[[#This Row],[IMPORTE NETO]]*0.21</f>
        <v>-29504.138999999999</v>
      </c>
      <c r="J87" s="40"/>
      <c r="K87" s="40"/>
      <c r="L87" s="65">
        <f>SUM(venta_a_mes11[[#This Row],[IMPORTE NETO]:[EXENTO]])</f>
        <v>-170000.03899999999</v>
      </c>
      <c r="M87" s="40"/>
    </row>
    <row r="88" spans="2:13" x14ac:dyDescent="0.3">
      <c r="B88" s="66" t="s">
        <v>91</v>
      </c>
      <c r="C88" s="67"/>
      <c r="D88" s="67"/>
      <c r="E88" s="67"/>
      <c r="F88" s="67"/>
      <c r="G88" s="67"/>
      <c r="H88" s="69">
        <f>SUBTOTAL(109,venta_a_mes11[IMPORTE NETO])</f>
        <v>4925863.67</v>
      </c>
      <c r="I88" s="70">
        <f>SUBTOTAL(109,venta_a_mes11[IVA 21%])</f>
        <v>1034431.3706999999</v>
      </c>
      <c r="J88" s="71">
        <f>SUBTOTAL(109,venta_a_mes11[IVA 10,5%])</f>
        <v>0</v>
      </c>
      <c r="K88" s="71">
        <f>SUBTOTAL(109,venta_a_mes11[EXENTO])</f>
        <v>0</v>
      </c>
      <c r="L88" s="71">
        <f>SUBTOTAL(109,venta_a_mes11[TOTAL])</f>
        <v>5960295.0407000007</v>
      </c>
      <c r="M88" s="68">
        <f>SUBTOTAL(103,venta_a_mes11[Provincia])</f>
        <v>0</v>
      </c>
    </row>
    <row r="89" spans="2:13" x14ac:dyDescent="0.3">
      <c r="B89" s="135"/>
      <c r="C89" s="135"/>
      <c r="D89" s="135"/>
      <c r="E89" s="135"/>
      <c r="F89" s="135"/>
      <c r="G89" s="135"/>
      <c r="H89" s="137"/>
      <c r="I89" s="138"/>
      <c r="J89" s="139"/>
      <c r="K89" s="139"/>
      <c r="L89" s="139"/>
      <c r="M89" s="136"/>
    </row>
    <row r="90" spans="2:13" ht="21" x14ac:dyDescent="0.3">
      <c r="B90" s="365" t="s">
        <v>31</v>
      </c>
      <c r="C90" s="365"/>
    </row>
    <row r="91" spans="2:13" ht="15.6" x14ac:dyDescent="0.3">
      <c r="B91" s="60" t="s">
        <v>0</v>
      </c>
      <c r="C91" s="61" t="s">
        <v>1</v>
      </c>
      <c r="D91" s="61" t="s">
        <v>21</v>
      </c>
      <c r="E91" s="61" t="s">
        <v>22</v>
      </c>
      <c r="F91" s="61" t="s">
        <v>3</v>
      </c>
      <c r="G91" s="61" t="s">
        <v>4</v>
      </c>
      <c r="H91" s="61" t="s">
        <v>23</v>
      </c>
      <c r="I91" s="61" t="s">
        <v>17</v>
      </c>
      <c r="J91" s="61" t="s">
        <v>7</v>
      </c>
      <c r="K91" s="61" t="s">
        <v>24</v>
      </c>
      <c r="L91" s="61" t="s">
        <v>10</v>
      </c>
      <c r="M91" s="62" t="s">
        <v>38</v>
      </c>
    </row>
    <row r="92" spans="2:13" x14ac:dyDescent="0.3">
      <c r="B92" s="117">
        <v>45597</v>
      </c>
      <c r="C92" s="147">
        <v>6</v>
      </c>
      <c r="D92" s="148">
        <v>1</v>
      </c>
      <c r="E92" s="130">
        <v>46</v>
      </c>
      <c r="F92" s="132">
        <v>20252582704</v>
      </c>
      <c r="G92" s="1" t="str">
        <f>IFERROR(IF(ventas_b_mes11[[#This Row],[CUIT]]="","-",VLOOKUP(ventas_b_mes11[[#This Row],[CUIT]],Lista_CUIT[#All],2,0)),"CUIT NO CARGADO")</f>
        <v>GARCIA VAUTRIN ANDRES ALBERTO</v>
      </c>
      <c r="H92" s="64">
        <v>299173.57</v>
      </c>
      <c r="I92" s="133">
        <f>ventas_b_mes11[[#This Row],[IMPORTE NETO]]*0.21</f>
        <v>62826.449699999997</v>
      </c>
      <c r="J92" s="134"/>
      <c r="K92" s="134"/>
      <c r="L92" s="134">
        <f>ventas_b_mes11[[#This Row],[EXENTO]]+ventas_b_mes11[[#This Row],[IVA 10,5%]]+ventas_b_mes11[[#This Row],[IVA 21%]]+ventas_b_mes11[[#This Row],[IMPORTE NETO]]</f>
        <v>362000.0197</v>
      </c>
      <c r="M92" s="59"/>
    </row>
    <row r="93" spans="2:13" x14ac:dyDescent="0.3">
      <c r="B93" s="117">
        <v>45625</v>
      </c>
      <c r="C93" s="147">
        <v>8</v>
      </c>
      <c r="D93" s="148">
        <v>1</v>
      </c>
      <c r="E93" s="130">
        <v>2</v>
      </c>
      <c r="F93" s="132">
        <v>20252582704</v>
      </c>
      <c r="G93" s="1" t="str">
        <f>IFERROR(IF(ventas_b_mes11[[#This Row],[CUIT]]="","-",VLOOKUP(ventas_b_mes11[[#This Row],[CUIT]],Lista_CUIT[#All],2,0)),"CUIT NO CARGADO")</f>
        <v>GARCIA VAUTRIN ANDRES ALBERTO</v>
      </c>
      <c r="H93" s="64">
        <v>-299173.57</v>
      </c>
      <c r="I93" s="133">
        <f>ventas_b_mes11[[#This Row],[IMPORTE NETO]]*0.21</f>
        <v>-62826.449699999997</v>
      </c>
      <c r="J93" s="134"/>
      <c r="K93" s="134"/>
      <c r="L93" s="134">
        <f>ventas_b_mes11[[#This Row],[EXENTO]]+ventas_b_mes11[[#This Row],[IVA 10,5%]]+ventas_b_mes11[[#This Row],[IVA 21%]]+ventas_b_mes11[[#This Row],[IMPORTE NETO]]</f>
        <v>-362000.0197</v>
      </c>
      <c r="M93" s="59"/>
    </row>
    <row r="94" spans="2:13" x14ac:dyDescent="0.3">
      <c r="B94" s="117"/>
      <c r="C94" s="147"/>
      <c r="D94" s="148"/>
      <c r="E94" s="130"/>
      <c r="F94" s="132"/>
      <c r="G94" s="1" t="str">
        <f>IFERROR(IF(ventas_b_mes11[[#This Row],[CUIT]]="","-",VLOOKUP(ventas_b_mes11[[#This Row],[CUIT]],Lista_CUIT[#All],2,0)),"CUIT NO CARGADO")</f>
        <v>-</v>
      </c>
      <c r="H94" s="64"/>
      <c r="I94" s="133">
        <f>ventas_b_mes11[[#This Row],[IMPORTE NETO]]*0.21</f>
        <v>0</v>
      </c>
      <c r="J94" s="134"/>
      <c r="K94" s="134"/>
      <c r="L94" s="134">
        <f>ventas_b_mes11[[#This Row],[EXENTO]]+ventas_b_mes11[[#This Row],[IVA 10,5%]]+ventas_b_mes11[[#This Row],[IVA 21%]]+ventas_b_mes11[[#This Row],[IMPORTE NETO]]</f>
        <v>0</v>
      </c>
      <c r="M94" s="59"/>
    </row>
    <row r="95" spans="2:13" x14ac:dyDescent="0.3">
      <c r="B95" s="117"/>
      <c r="C95" s="147"/>
      <c r="D95" s="148"/>
      <c r="E95" s="130"/>
      <c r="F95" s="132"/>
      <c r="G95" s="1" t="str">
        <f>IFERROR(IF(ventas_b_mes11[[#This Row],[CUIT]]="","-",VLOOKUP(ventas_b_mes11[[#This Row],[CUIT]],Lista_CUIT[#All],2,0)),"CUIT NO CARGADO")</f>
        <v>-</v>
      </c>
      <c r="H95" s="64"/>
      <c r="I95" s="133">
        <f>ventas_b_mes11[[#This Row],[IMPORTE NETO]]*0.21</f>
        <v>0</v>
      </c>
      <c r="J95" s="134"/>
      <c r="K95" s="134"/>
      <c r="L95" s="134">
        <f>ventas_b_mes11[[#This Row],[EXENTO]]+ventas_b_mes11[[#This Row],[IVA 10,5%]]+ventas_b_mes11[[#This Row],[IVA 21%]]+ventas_b_mes11[[#This Row],[IMPORTE NETO]]</f>
        <v>0</v>
      </c>
      <c r="M95" s="59"/>
    </row>
    <row r="96" spans="2:13" x14ac:dyDescent="0.3">
      <c r="B96" s="117"/>
      <c r="C96" s="147"/>
      <c r="D96" s="148"/>
      <c r="E96" s="130"/>
      <c r="F96" s="132"/>
      <c r="G96" s="1" t="str">
        <f>IFERROR(IF(ventas_b_mes11[[#This Row],[CUIT]]="","-",VLOOKUP(ventas_b_mes11[[#This Row],[CUIT]],Lista_CUIT[#All],2,0)),"CUIT NO CARGADO")</f>
        <v>-</v>
      </c>
      <c r="H96" s="64"/>
      <c r="I96" s="133">
        <f>ventas_b_mes11[[#This Row],[IMPORTE NETO]]*0.21</f>
        <v>0</v>
      </c>
      <c r="J96" s="134"/>
      <c r="K96" s="134"/>
      <c r="L96" s="134">
        <f>ventas_b_mes11[[#This Row],[EXENTO]]+ventas_b_mes11[[#This Row],[IVA 10,5%]]+ventas_b_mes11[[#This Row],[IVA 21%]]+ventas_b_mes11[[#This Row],[IMPORTE NETO]]</f>
        <v>0</v>
      </c>
      <c r="M96" s="59"/>
    </row>
    <row r="97" spans="2:13" x14ac:dyDescent="0.3">
      <c r="B97" s="117"/>
      <c r="C97" s="147"/>
      <c r="D97" s="148"/>
      <c r="E97" s="130"/>
      <c r="F97" s="132"/>
      <c r="G97" s="1" t="str">
        <f>IFERROR(IF(ventas_b_mes11[[#This Row],[CUIT]]="","-",VLOOKUP(ventas_b_mes11[[#This Row],[CUIT]],Lista_CUIT[#All],2,0)),"CUIT NO CARGADO")</f>
        <v>-</v>
      </c>
      <c r="H97" s="64"/>
      <c r="I97" s="133">
        <f>ventas_b_mes11[[#This Row],[IMPORTE NETO]]*0.21</f>
        <v>0</v>
      </c>
      <c r="J97" s="134"/>
      <c r="K97" s="134"/>
      <c r="L97" s="134">
        <f>ventas_b_mes11[[#This Row],[EXENTO]]+ventas_b_mes11[[#This Row],[IVA 10,5%]]+ventas_b_mes11[[#This Row],[IVA 21%]]+ventas_b_mes11[[#This Row],[IMPORTE NETO]]</f>
        <v>0</v>
      </c>
      <c r="M97" s="59"/>
    </row>
    <row r="98" spans="2:13" x14ac:dyDescent="0.3">
      <c r="B98" s="117"/>
      <c r="C98" s="147"/>
      <c r="D98" s="148"/>
      <c r="E98" s="130"/>
      <c r="F98" s="132"/>
      <c r="G98" s="1" t="str">
        <f>IFERROR(IF(ventas_b_mes11[[#This Row],[CUIT]]="","-",VLOOKUP(ventas_b_mes11[[#This Row],[CUIT]],Lista_CUIT[#All],2,0)),"CUIT NO CARGADO")</f>
        <v>-</v>
      </c>
      <c r="H98" s="64"/>
      <c r="I98" s="133">
        <f>ventas_b_mes11[[#This Row],[IMPORTE NETO]]*0.21</f>
        <v>0</v>
      </c>
      <c r="J98" s="134"/>
      <c r="K98" s="134"/>
      <c r="L98" s="134">
        <f>ventas_b_mes11[[#This Row],[EXENTO]]+ventas_b_mes11[[#This Row],[IVA 10,5%]]+ventas_b_mes11[[#This Row],[IVA 21%]]+ventas_b_mes11[[#This Row],[IMPORTE NETO]]</f>
        <v>0</v>
      </c>
      <c r="M98" s="59"/>
    </row>
    <row r="99" spans="2:13" x14ac:dyDescent="0.3">
      <c r="B99" s="117"/>
      <c r="C99" s="147"/>
      <c r="D99" s="148"/>
      <c r="E99" s="130"/>
      <c r="F99" s="132"/>
      <c r="G99" s="1" t="str">
        <f>IFERROR(IF(ventas_b_mes11[[#This Row],[CUIT]]="","-",VLOOKUP(ventas_b_mes11[[#This Row],[CUIT]],Lista_CUIT[#All],2,0)),"CUIT NO CARGADO")</f>
        <v>-</v>
      </c>
      <c r="H99" s="64"/>
      <c r="I99" s="133">
        <f>ventas_b_mes11[[#This Row],[IMPORTE NETO]]*0.21</f>
        <v>0</v>
      </c>
      <c r="J99" s="134"/>
      <c r="K99" s="134"/>
      <c r="L99" s="134">
        <f>ventas_b_mes11[[#This Row],[EXENTO]]+ventas_b_mes11[[#This Row],[IVA 10,5%]]+ventas_b_mes11[[#This Row],[IVA 21%]]+ventas_b_mes11[[#This Row],[IMPORTE NETO]]</f>
        <v>0</v>
      </c>
      <c r="M99" s="59"/>
    </row>
    <row r="100" spans="2:13" x14ac:dyDescent="0.3">
      <c r="B100" s="66" t="s">
        <v>91</v>
      </c>
      <c r="C100" s="67"/>
      <c r="D100" s="67"/>
      <c r="E100" s="67"/>
      <c r="F100" s="67"/>
      <c r="G100" s="67"/>
      <c r="H100" s="77">
        <f>SUBTOTAL(109,ventas_b_mes11[IMPORTE NETO])</f>
        <v>0</v>
      </c>
      <c r="I100" s="77">
        <f>SUBTOTAL(109,ventas_b_mes11[IVA 21%])</f>
        <v>0</v>
      </c>
      <c r="J100" s="78">
        <f>SUBTOTAL(109,ventas_b_mes11[IVA 10,5%])</f>
        <v>0</v>
      </c>
      <c r="K100" s="78">
        <f>SUBTOTAL(109,ventas_b_mes11[EXENTO])</f>
        <v>0</v>
      </c>
      <c r="L100" s="78">
        <f>SUBTOTAL(109,ventas_b_mes11[TOTAL])</f>
        <v>0</v>
      </c>
      <c r="M100" s="68">
        <f>SUBTOTAL(103,ventas_b_mes11[Provincia])</f>
        <v>0</v>
      </c>
    </row>
    <row r="101" spans="2:13" ht="15" thickBot="1" x14ac:dyDescent="0.35">
      <c r="B101" s="135"/>
      <c r="C101" s="135"/>
      <c r="D101" s="135"/>
      <c r="E101" s="135"/>
      <c r="F101" s="135"/>
      <c r="G101" s="135"/>
      <c r="H101" s="141"/>
      <c r="I101" s="141"/>
      <c r="J101" s="142"/>
      <c r="K101" s="142"/>
      <c r="L101" s="142"/>
      <c r="M101" s="136"/>
    </row>
    <row r="102" spans="2:13" ht="15" thickTop="1" x14ac:dyDescent="0.3">
      <c r="C102" s="358" t="s">
        <v>66</v>
      </c>
      <c r="D102" s="358"/>
      <c r="E102" s="358"/>
      <c r="F102" s="358"/>
      <c r="G102" s="358"/>
      <c r="H102" s="32"/>
      <c r="I102" s="32"/>
      <c r="J102" s="32"/>
    </row>
    <row r="103" spans="2:13" ht="15.6" x14ac:dyDescent="0.3">
      <c r="C103" s="114" t="s">
        <v>67</v>
      </c>
      <c r="D103" s="115" t="s">
        <v>68</v>
      </c>
      <c r="E103" s="115" t="s">
        <v>93</v>
      </c>
      <c r="F103" s="115" t="s">
        <v>3</v>
      </c>
      <c r="G103" s="115" t="s">
        <v>4</v>
      </c>
      <c r="H103" s="116" t="s">
        <v>69</v>
      </c>
      <c r="I103" s="116" t="s">
        <v>70</v>
      </c>
      <c r="J103" s="116" t="s">
        <v>71</v>
      </c>
      <c r="K103" s="116" t="s">
        <v>72</v>
      </c>
      <c r="L103" s="116" t="s">
        <v>73</v>
      </c>
    </row>
    <row r="104" spans="2:13" x14ac:dyDescent="0.3">
      <c r="C104" s="117"/>
      <c r="D104" s="118"/>
      <c r="E104" s="118"/>
      <c r="F104" s="119"/>
      <c r="G104" s="53" t="str">
        <f>IFERROR(IF(Retenciones_mes11[[#This Row],[CUIT]]="","-",VLOOKUP(Retenciones_mes11[[#This Row],[CUIT]],Lista_CUIT[#All],2,0)),"CUIT NO CARGADO")</f>
        <v>-</v>
      </c>
      <c r="H104" s="120"/>
      <c r="I104" s="120"/>
      <c r="J104" s="120"/>
      <c r="K104" s="120"/>
      <c r="L104" s="120"/>
    </row>
    <row r="105" spans="2:13" x14ac:dyDescent="0.3">
      <c r="C105" s="117"/>
      <c r="D105" s="118"/>
      <c r="E105" s="118"/>
      <c r="F105" s="119"/>
      <c r="G105" s="53" t="str">
        <f>IFERROR(IF(Retenciones_mes11[[#This Row],[CUIT]]="","-",VLOOKUP(Retenciones_mes11[[#This Row],[CUIT]],Lista_CUIT[#All],2,0)),"CUIT NO CARGADO")</f>
        <v>-</v>
      </c>
      <c r="H105" s="120"/>
      <c r="I105" s="120"/>
      <c r="J105" s="120"/>
      <c r="K105" s="120"/>
      <c r="L105" s="120"/>
    </row>
    <row r="106" spans="2:13" x14ac:dyDescent="0.3">
      <c r="C106" s="117"/>
      <c r="D106" s="118"/>
      <c r="E106" s="118"/>
      <c r="F106" s="119"/>
      <c r="G106" s="53" t="str">
        <f>IFERROR(IF(Retenciones_mes11[[#This Row],[CUIT]]="","-",VLOOKUP(Retenciones_mes11[[#This Row],[CUIT]],Lista_CUIT[#All],2,0)),"CUIT NO CARGADO")</f>
        <v>-</v>
      </c>
      <c r="H106" s="120"/>
      <c r="I106" s="120"/>
      <c r="J106" s="120"/>
      <c r="K106" s="120"/>
      <c r="L106" s="120"/>
    </row>
    <row r="107" spans="2:13" x14ac:dyDescent="0.3">
      <c r="C107" s="117"/>
      <c r="D107" s="118"/>
      <c r="E107" s="118"/>
      <c r="F107" s="119"/>
      <c r="G107" s="53" t="str">
        <f>IFERROR(IF(Retenciones_mes11[[#This Row],[CUIT]]="","-",VLOOKUP(Retenciones_mes11[[#This Row],[CUIT]],Lista_CUIT[#All],2,0)),"CUIT NO CARGADO")</f>
        <v>-</v>
      </c>
      <c r="H107" s="120"/>
      <c r="I107" s="120"/>
      <c r="J107" s="120"/>
      <c r="K107" s="120"/>
      <c r="L107" s="120"/>
    </row>
    <row r="108" spans="2:13" x14ac:dyDescent="0.3">
      <c r="D108" s="118"/>
      <c r="E108" s="118"/>
      <c r="G108" s="53" t="str">
        <f>IFERROR(IF(Retenciones_mes11[[#This Row],[CUIT]]="","-",VLOOKUP(Retenciones_mes11[[#This Row],[CUIT]],Lista_CUIT[#All],2,0)),"CUIT NO CARGADO")</f>
        <v>-</v>
      </c>
    </row>
    <row r="109" spans="2:13" x14ac:dyDescent="0.3">
      <c r="C109" s="33"/>
    </row>
  </sheetData>
  <mergeCells count="20">
    <mergeCell ref="P4:R4"/>
    <mergeCell ref="D32:L32"/>
    <mergeCell ref="B1:F1"/>
    <mergeCell ref="G1:M1"/>
    <mergeCell ref="N1:R1"/>
    <mergeCell ref="B3:E3"/>
    <mergeCell ref="G3:H3"/>
    <mergeCell ref="J3:K3"/>
    <mergeCell ref="M3:N3"/>
    <mergeCell ref="P3:R3"/>
    <mergeCell ref="C102:G102"/>
    <mergeCell ref="B4:E4"/>
    <mergeCell ref="G4:H4"/>
    <mergeCell ref="J4:K4"/>
    <mergeCell ref="M4:N4"/>
    <mergeCell ref="D41:K41"/>
    <mergeCell ref="B58:J58"/>
    <mergeCell ref="K58:M58"/>
    <mergeCell ref="B60:C60"/>
    <mergeCell ref="B90:C90"/>
  </mergeCells>
  <phoneticPr fontId="38" type="noConversion"/>
  <dataValidations count="11">
    <dataValidation type="whole" allowBlank="1" showInputMessage="1" showErrorMessage="1" sqref="D92:D99 E43:E49 D9:D26 D62:D87" xr:uid="{00000000-0002-0000-0B00-000000000000}">
      <formula1>1</formula1>
      <formula2>9999</formula2>
    </dataValidation>
    <dataValidation type="whole" allowBlank="1" showInputMessage="1" showErrorMessage="1" sqref="F43:F49 E92:E99 E9:E26 E62:E87 E34:E36" xr:uid="{00000000-0002-0000-0B00-000001000000}">
      <formula1>1</formula1>
      <formula2>99999999</formula2>
    </dataValidation>
    <dataValidation type="whole" allowBlank="1" showInputMessage="1" showErrorMessage="1" sqref="F9:F26 G43:G49 F62:F87" xr:uid="{00000000-0002-0000-0B00-000002000000}">
      <formula1>20000000000</formula1>
      <formula2>33999999999</formula2>
    </dataValidation>
    <dataValidation type="date" allowBlank="1" showInputMessage="1" showErrorMessage="1" sqref="D34:D36 B28:B31 B92:B99 D43:D49 B9:B26 B62:B87" xr:uid="{00000000-0002-0000-0B00-000003000000}">
      <formula1>40179</formula1>
      <formula2>TODAY()</formula2>
    </dataValidation>
    <dataValidation type="whole" allowBlank="1" showInputMessage="1" showErrorMessage="1" sqref="C28:C31 C9:C26 C62:C87" xr:uid="{00000000-0002-0000-0B00-000004000000}">
      <formula1>1</formula1>
      <formula2>3</formula2>
    </dataValidation>
    <dataValidation type="custom" allowBlank="1" showInputMessage="1" showErrorMessage="1" sqref="H62:K87" xr:uid="{00000000-0002-0000-0B00-000005000000}">
      <formula1>IF($C62=3,H62&lt;0,H62&gt;=0)</formula1>
    </dataValidation>
    <dataValidation type="whole" allowBlank="1" showInputMessage="1" showErrorMessage="1" sqref="F92:F99" xr:uid="{00000000-0002-0000-0B00-000006000000}">
      <formula1>20000000000</formula1>
      <formula2>439000000000000</formula2>
    </dataValidation>
    <dataValidation type="custom" allowBlank="1" showInputMessage="1" showErrorMessage="1" sqref="L62:L87" xr:uid="{00000000-0002-0000-0B00-000007000000}">
      <formula1>IF(#REF!=3,#REF!&lt;0,#REF!&gt;=0)</formula1>
    </dataValidation>
    <dataValidation type="whole" allowBlank="1" showInputMessage="1" showErrorMessage="1" sqref="C92:C99" xr:uid="{00000000-0002-0000-0B00-000008000000}">
      <formula1>6</formula1>
      <formula2>8</formula2>
    </dataValidation>
    <dataValidation type="custom" allowBlank="1" showInputMessage="1" showErrorMessage="1" sqref="H92:L99" xr:uid="{00000000-0002-0000-0B00-000009000000}">
      <formula1>IF($C92=8,H92&lt;0,H92&gt;=0)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6" xr:uid="{00000000-0002-0000-0B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C9EA-DA0A-4B88-826C-1845B4182C6B}">
  <sheetPr>
    <tabColor theme="9" tint="0.79998168889431442"/>
  </sheetPr>
  <dimension ref="A1:Z109"/>
  <sheetViews>
    <sheetView showGridLines="0" tabSelected="1" zoomScale="80" zoomScaleNormal="80" workbookViewId="0">
      <selection activeCell="B14" sqref="B14:R24"/>
    </sheetView>
  </sheetViews>
  <sheetFormatPr baseColWidth="10" defaultColWidth="15.6640625" defaultRowHeight="14.4" x14ac:dyDescent="0.3"/>
  <cols>
    <col min="1" max="1" width="7.109375" customWidth="1"/>
    <col min="2" max="18" width="15.6640625" customWidth="1"/>
  </cols>
  <sheetData>
    <row r="1" spans="1:26" ht="34.950000000000003" customHeight="1" x14ac:dyDescent="0.3">
      <c r="A1" s="37"/>
      <c r="B1" s="368" t="s">
        <v>28</v>
      </c>
      <c r="C1" s="368"/>
      <c r="D1" s="368"/>
      <c r="E1" s="368"/>
      <c r="F1" s="368"/>
      <c r="G1" s="369" t="str">
        <f>'Ene-24'!G1:M1</f>
        <v>RABLEB SRL</v>
      </c>
      <c r="H1" s="369"/>
      <c r="I1" s="369"/>
      <c r="J1" s="369"/>
      <c r="K1" s="369"/>
      <c r="L1" s="369"/>
      <c r="M1" s="369"/>
      <c r="N1" s="370">
        <f>EDATE('Ene-24'!N1,10)</f>
        <v>45597</v>
      </c>
      <c r="O1" s="370"/>
      <c r="P1" s="370"/>
      <c r="Q1" s="370"/>
      <c r="R1" s="370"/>
    </row>
    <row r="2" spans="1:26" ht="15" customHeight="1" x14ac:dyDescent="0.3"/>
    <row r="3" spans="1:26" ht="26.4" customHeight="1" x14ac:dyDescent="0.3">
      <c r="B3" s="371" t="s">
        <v>65</v>
      </c>
      <c r="C3" s="371"/>
      <c r="D3" s="371"/>
      <c r="E3" s="371"/>
      <c r="F3" s="38"/>
      <c r="G3" s="371" t="s">
        <v>37</v>
      </c>
      <c r="H3" s="371"/>
      <c r="I3" s="38"/>
      <c r="J3" s="372" t="s">
        <v>14</v>
      </c>
      <c r="K3" s="372"/>
      <c r="L3" s="38"/>
      <c r="M3" s="372" t="s">
        <v>12</v>
      </c>
      <c r="N3" s="372"/>
      <c r="O3" s="38"/>
      <c r="P3" s="373" t="s">
        <v>90</v>
      </c>
      <c r="Q3" s="373"/>
      <c r="R3" s="373"/>
    </row>
    <row r="4" spans="1:26" ht="25.2" customHeight="1" x14ac:dyDescent="0.4">
      <c r="B4" s="359">
        <f>SUM(compras_mes113[[#Totals],[NETO GRAVADO]])+extracto_banco_mes1155[[#Totals],[NETO]]</f>
        <v>5359837.92</v>
      </c>
      <c r="C4" s="359"/>
      <c r="D4" s="359"/>
      <c r="E4" s="359"/>
      <c r="F4" s="39"/>
      <c r="G4" s="360">
        <f>compras_mes113[[#Totals],[IVA 21 %]]+compras_mes113[[#Totals],[IVA 27%]]+compras_mes113[[#Totals],[IVA 10,5%]]+extracto_banco_mes1155[[#Totals],[IVA 21%]]+extracto_banco_mes1155[[#Totals],[IVA 10,5%]]</f>
        <v>1124913.3944999999</v>
      </c>
      <c r="H4" s="360"/>
      <c r="I4" s="39"/>
      <c r="J4" s="361">
        <f>venta_a_mes1153[[#Totals],[IMPORTE NETO]]+ventas_b_mes1154[[#Totals],[IMPORTE NETO]]</f>
        <v>6559916.1400000025</v>
      </c>
      <c r="K4" s="361"/>
      <c r="L4" s="39"/>
      <c r="M4" s="361">
        <f>venta_a_mes1153[[#Totals],[IVA 21%]]+venta_a_mes1153[[#Totals],[IVA 10,5%]]+ventas_b_mes1154[[#Totals],[IVA 21%]]+ventas_b_mes1154[[#Totals],[IVA 10,5%]]</f>
        <v>1377582.3893999995</v>
      </c>
      <c r="N4" s="361"/>
      <c r="O4" s="39"/>
      <c r="P4" s="366">
        <f>G4-M4</f>
        <v>-252668.99489999958</v>
      </c>
      <c r="Q4" s="367"/>
      <c r="R4" s="367"/>
    </row>
    <row r="5" spans="1:26" ht="8.25" customHeight="1" x14ac:dyDescent="0.3"/>
    <row r="6" spans="1:26" ht="20.25" customHeight="1" x14ac:dyDescent="0.3">
      <c r="F6" s="127"/>
      <c r="G6" s="346"/>
      <c r="H6" s="357"/>
      <c r="I6" s="352"/>
      <c r="M6" s="347"/>
      <c r="N6" s="348"/>
    </row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324" t="s">
        <v>0</v>
      </c>
      <c r="C8" s="324" t="s">
        <v>1</v>
      </c>
      <c r="D8" s="324" t="s">
        <v>2</v>
      </c>
      <c r="E8" s="324" t="s">
        <v>27</v>
      </c>
      <c r="F8" s="324" t="s">
        <v>3</v>
      </c>
      <c r="G8" s="324" t="s">
        <v>4</v>
      </c>
      <c r="H8" s="324" t="s">
        <v>34</v>
      </c>
      <c r="I8" s="324" t="s">
        <v>35</v>
      </c>
      <c r="J8" s="324" t="s">
        <v>6</v>
      </c>
      <c r="K8" s="324" t="s">
        <v>7</v>
      </c>
      <c r="L8" s="324" t="s">
        <v>8</v>
      </c>
      <c r="M8" s="324" t="s">
        <v>33</v>
      </c>
      <c r="N8" s="324" t="s">
        <v>9</v>
      </c>
      <c r="O8" s="324" t="s">
        <v>147</v>
      </c>
      <c r="P8" s="324" t="s">
        <v>10</v>
      </c>
      <c r="Q8" s="324" t="s">
        <v>11</v>
      </c>
      <c r="R8" s="324" t="s">
        <v>38</v>
      </c>
    </row>
    <row r="9" spans="1:26" s="127" customFormat="1" x14ac:dyDescent="0.3">
      <c r="B9" s="306"/>
      <c r="C9" s="307"/>
      <c r="D9" s="308"/>
      <c r="E9" s="273"/>
      <c r="F9" s="309"/>
      <c r="G9" s="310" t="str">
        <f>IFERROR(IF(compras_mes113[[#This Row],[CUIT]]="","-",VLOOKUP(compras_mes113[[#This Row],[CUIT]],Lista_CUIT[#All],2,0)),"CUIT NO CARGADO")</f>
        <v>-</v>
      </c>
      <c r="H9" s="311"/>
      <c r="I9" s="312" t="str">
        <f>IF(compras_mes113[[#This Row],[NETO GRAVADO]]="","",compras_mes113[[#This Row],[NETO GRAVADO]]*0.21)</f>
        <v/>
      </c>
      <c r="J9" s="312"/>
      <c r="K9" s="312"/>
      <c r="L9" s="312"/>
      <c r="M9" s="312"/>
      <c r="N9" s="312"/>
      <c r="O9" s="312"/>
      <c r="P9" s="295">
        <f>SUM(compras_mes113[[#This Row],[NETO GRAVADO]:[Otros - No Grav.]])</f>
        <v>0</v>
      </c>
      <c r="Q9" s="313" t="str">
        <f>IFERROR(IF(compras_mes113[[#This Row],[CUIT]]="","-",VLOOKUP(compras_mes113[[#This Row],[CUIT]],Lista_CUIT[#All],3,0)),"CUIT NO CARGADO")</f>
        <v>-</v>
      </c>
      <c r="R9" s="313" t="str">
        <f>IFERROR(IF(compras_mes113[[#This Row],[CUIT]]="","-",VLOOKUP(compras_mes113[[#This Row],[CUIT]],Lista_CUIT[#All],4,0)),"CUIT NO CARGADO")</f>
        <v>-</v>
      </c>
    </row>
    <row r="10" spans="1:26" s="127" customFormat="1" x14ac:dyDescent="0.3">
      <c r="B10" s="306"/>
      <c r="C10" s="307"/>
      <c r="D10" s="308"/>
      <c r="E10" s="273"/>
      <c r="F10" s="309"/>
      <c r="G10" s="310" t="str">
        <f>IFERROR(IF(compras_mes113[[#This Row],[CUIT]]="","-",VLOOKUP(compras_mes113[[#This Row],[CUIT]],Lista_CUIT[#All],2,0)),"CUIT NO CARGADO")</f>
        <v>-</v>
      </c>
      <c r="H10" s="311"/>
      <c r="I10" s="312" t="str">
        <f>IF(compras_mes113[[#This Row],[NETO GRAVADO]]="","",compras_mes113[[#This Row],[NETO GRAVADO]]*0.21)</f>
        <v/>
      </c>
      <c r="J10" s="312"/>
      <c r="K10" s="312"/>
      <c r="L10" s="312"/>
      <c r="M10" s="312"/>
      <c r="N10" s="312"/>
      <c r="O10" s="312"/>
      <c r="P10" s="295">
        <f>SUM(compras_mes113[[#This Row],[NETO GRAVADO]:[Otros - No Grav.]])</f>
        <v>0</v>
      </c>
      <c r="Q10" s="313" t="str">
        <f>IFERROR(IF(compras_mes113[[#This Row],[CUIT]]="","-",VLOOKUP(compras_mes113[[#This Row],[CUIT]],Lista_CUIT[#All],3,0)),"CUIT NO CARGADO")</f>
        <v>-</v>
      </c>
      <c r="R10" s="313" t="str">
        <f>IFERROR(IF(compras_mes113[[#This Row],[CUIT]]="","-",VLOOKUP(compras_mes113[[#This Row],[CUIT]],Lista_CUIT[#All],4,0)),"CUIT NO CARGADO")</f>
        <v>-</v>
      </c>
    </row>
    <row r="11" spans="1:26" s="127" customFormat="1" x14ac:dyDescent="0.3">
      <c r="B11" s="306">
        <v>45628</v>
      </c>
      <c r="C11" s="307">
        <v>1</v>
      </c>
      <c r="D11" s="308">
        <v>8</v>
      </c>
      <c r="E11" s="273">
        <v>6285</v>
      </c>
      <c r="F11" s="309">
        <v>30712186573</v>
      </c>
      <c r="G11" s="310" t="str">
        <f>IFERROR(IF(compras_mes113[[#This Row],[CUIT]]="","-",VLOOKUP(compras_mes113[[#This Row],[CUIT]],Lista_CUIT[#All],2,0)),"CUIT NO CARGADO")</f>
        <v>CBGB DISTRIBUCION S.R.L.</v>
      </c>
      <c r="H11" s="311">
        <v>213471.07</v>
      </c>
      <c r="I11" s="312">
        <f>IF(compras_mes113[[#This Row],[NETO GRAVADO]]="","",compras_mes113[[#This Row],[NETO GRAVADO]]*0.21)</f>
        <v>44828.924700000003</v>
      </c>
      <c r="J11" s="312"/>
      <c r="K11" s="312"/>
      <c r="L11" s="312"/>
      <c r="M11" s="312"/>
      <c r="N11" s="312"/>
      <c r="O11" s="312">
        <v>3202.07</v>
      </c>
      <c r="P11" s="295">
        <f>SUM(compras_mes113[[#This Row],[NETO GRAVADO]:[Otros - No Grav.]])</f>
        <v>261502.06470000002</v>
      </c>
      <c r="Q11" s="313" t="str">
        <f>IFERROR(IF(compras_mes113[[#This Row],[CUIT]]="","-",VLOOKUP(compras_mes113[[#This Row],[CUIT]],Lista_CUIT[#All],3,0)),"CUIT NO CARGADO")</f>
        <v>Catering</v>
      </c>
      <c r="R11" s="313">
        <f>IFERROR(IF(compras_mes113[[#This Row],[CUIT]]="","-",VLOOKUP(compras_mes113[[#This Row],[CUIT]],Lista_CUIT[#All],4,0)),"CUIT NO CARGADO")</f>
        <v>0</v>
      </c>
    </row>
    <row r="12" spans="1:26" s="127" customFormat="1" x14ac:dyDescent="0.3">
      <c r="B12" s="306">
        <v>45631</v>
      </c>
      <c r="C12" s="307">
        <v>1</v>
      </c>
      <c r="D12" s="308">
        <v>13705</v>
      </c>
      <c r="E12" s="273">
        <v>3168</v>
      </c>
      <c r="F12" s="309">
        <v>30590360763</v>
      </c>
      <c r="G12" s="310" t="str">
        <f>IFERROR(IF(compras_mes113[[#This Row],[CUIT]]="","-",VLOOKUP(compras_mes113[[#This Row],[CUIT]],Lista_CUIT[#All],2,0)),"CUIT NO CARGADO")</f>
        <v>CENCOSUD S A</v>
      </c>
      <c r="H12" s="311">
        <v>167264.46</v>
      </c>
      <c r="I12" s="312">
        <f>161049.52*0.21</f>
        <v>33820.3992</v>
      </c>
      <c r="J12" s="312"/>
      <c r="K12" s="312">
        <f>6214.94*0.105</f>
        <v>652.56869999999992</v>
      </c>
      <c r="L12" s="312">
        <v>4924.71</v>
      </c>
      <c r="M12" s="312">
        <v>2508.9699999999998</v>
      </c>
      <c r="N12" s="312"/>
      <c r="O12" s="312">
        <v>180.08</v>
      </c>
      <c r="P12" s="295">
        <f>SUM(compras_mes113[[#This Row],[NETO GRAVADO]:[Otros - No Grav.]])</f>
        <v>209351.18789999999</v>
      </c>
      <c r="Q12" s="313" t="str">
        <f>IFERROR(IF(compras_mes113[[#This Row],[CUIT]]="","-",VLOOKUP(compras_mes113[[#This Row],[CUIT]],Lista_CUIT[#All],3,0)),"CUIT NO CARGADO")</f>
        <v>Gastos Varios</v>
      </c>
      <c r="R12" s="313">
        <f>IFERROR(IF(compras_mes113[[#This Row],[CUIT]]="","-",VLOOKUP(compras_mes113[[#This Row],[CUIT]],Lista_CUIT[#All],4,0)),"CUIT NO CARGADO")</f>
        <v>0</v>
      </c>
    </row>
    <row r="13" spans="1:26" s="127" customFormat="1" x14ac:dyDescent="0.3">
      <c r="B13" s="306">
        <v>45657</v>
      </c>
      <c r="C13" s="307">
        <v>1</v>
      </c>
      <c r="D13" s="308">
        <v>1</v>
      </c>
      <c r="E13" s="273">
        <v>2</v>
      </c>
      <c r="F13" s="309">
        <v>30718464931</v>
      </c>
      <c r="G13" s="310" t="str">
        <f>IFERROR(IF(compras_mes113[[#This Row],[CUIT]]="","-",VLOOKUP(compras_mes113[[#This Row],[CUIT]],Lista_CUIT[#All],2,0)),"CUIT NO CARGADO")</f>
        <v>FACTUMAR SRL</v>
      </c>
      <c r="H13" s="311">
        <v>826446.29</v>
      </c>
      <c r="I13" s="312">
        <f>IF(compras_mes113[[#This Row],[NETO GRAVADO]]="","",compras_mes113[[#This Row],[NETO GRAVADO]]*0.21)</f>
        <v>173553.72090000001</v>
      </c>
      <c r="J13" s="312"/>
      <c r="K13" s="312"/>
      <c r="L13" s="312"/>
      <c r="M13" s="312"/>
      <c r="N13" s="312"/>
      <c r="O13" s="312"/>
      <c r="P13" s="295">
        <f>SUM(compras_mes113[[#This Row],[NETO GRAVADO]:[Otros - No Grav.]])</f>
        <v>1000000.0109000001</v>
      </c>
      <c r="Q13" s="313" t="str">
        <f>IFERROR(IF(compras_mes113[[#This Row],[CUIT]]="","-",VLOOKUP(compras_mes113[[#This Row],[CUIT]],Lista_CUIT[#All],3,0)),"CUIT NO CARGADO")</f>
        <v>Serv. Informaticos</v>
      </c>
      <c r="R13" s="313">
        <f>IFERROR(IF(compras_mes113[[#This Row],[CUIT]]="","-",VLOOKUP(compras_mes113[[#This Row],[CUIT]],Lista_CUIT[#All],4,0)),"CUIT NO CARGADO")</f>
        <v>0</v>
      </c>
    </row>
    <row r="14" spans="1:26" s="127" customFormat="1" x14ac:dyDescent="0.3">
      <c r="B14" s="306">
        <v>45657</v>
      </c>
      <c r="C14" s="307">
        <v>1</v>
      </c>
      <c r="D14" s="308">
        <v>11</v>
      </c>
      <c r="E14" s="273">
        <v>1084924</v>
      </c>
      <c r="F14" s="309">
        <v>33709585229</v>
      </c>
      <c r="G14" s="310" t="str">
        <f>IFERROR(IF(compras_mes113[[#This Row],[CUIT]]="","-",VLOOKUP(compras_mes113[[#This Row],[CUIT]],Lista_CUIT[#All],2,0)),"CUIT NO CARGADO")</f>
        <v>GOOGLE ARGENTINA S.R.L.</v>
      </c>
      <c r="H14" s="311">
        <v>403244.95</v>
      </c>
      <c r="I14" s="312">
        <f>IF(compras_mes113[[#This Row],[NETO GRAVADO]]="","",compras_mes113[[#This Row],[NETO GRAVADO]]*0.21)</f>
        <v>84681.439499999993</v>
      </c>
      <c r="J14" s="312"/>
      <c r="K14" s="312"/>
      <c r="L14" s="312"/>
      <c r="M14" s="312">
        <v>6048.67</v>
      </c>
      <c r="N14" s="312"/>
      <c r="O14" s="312">
        <v>12097.35</v>
      </c>
      <c r="P14" s="295">
        <f>SUM(compras_mes113[[#This Row],[NETO GRAVADO]:[Otros - No Grav.]])</f>
        <v>506072.40949999995</v>
      </c>
      <c r="Q14" s="313" t="str">
        <f>IFERROR(IF(compras_mes113[[#This Row],[CUIT]]="","-",VLOOKUP(compras_mes113[[#This Row],[CUIT]],Lista_CUIT[#All],3,0)),"CUIT NO CARGADO")</f>
        <v>Gastos Publicidad y Propaganda</v>
      </c>
      <c r="R14" s="313">
        <f>IFERROR(IF(compras_mes113[[#This Row],[CUIT]]="","-",VLOOKUP(compras_mes113[[#This Row],[CUIT]],Lista_CUIT[#All],4,0)),"CUIT NO CARGADO")</f>
        <v>0</v>
      </c>
    </row>
    <row r="15" spans="1:26" s="127" customFormat="1" x14ac:dyDescent="0.3">
      <c r="B15" s="306">
        <v>45657</v>
      </c>
      <c r="C15" s="307">
        <v>1</v>
      </c>
      <c r="D15" s="308">
        <v>11</v>
      </c>
      <c r="E15" s="273">
        <v>1090617</v>
      </c>
      <c r="F15" s="309">
        <v>33709585229</v>
      </c>
      <c r="G15" s="310" t="str">
        <f>IFERROR(IF(compras_mes113[[#This Row],[CUIT]]="","-",VLOOKUP(compras_mes113[[#This Row],[CUIT]],Lista_CUIT[#All],2,0)),"CUIT NO CARGADO")</f>
        <v>GOOGLE ARGENTINA S.R.L.</v>
      </c>
      <c r="H15" s="311">
        <v>159475.76999999999</v>
      </c>
      <c r="I15" s="312">
        <f>IF(compras_mes113[[#This Row],[NETO GRAVADO]]="","",compras_mes113[[#This Row],[NETO GRAVADO]]*0.21)</f>
        <v>33489.911699999997</v>
      </c>
      <c r="J15" s="312"/>
      <c r="K15" s="312"/>
      <c r="L15" s="312"/>
      <c r="M15" s="312"/>
      <c r="N15" s="312">
        <v>2392.14</v>
      </c>
      <c r="O15" s="312">
        <v>4784.2700000000004</v>
      </c>
      <c r="P15" s="295">
        <f>SUM(compras_mes113[[#This Row],[NETO GRAVADO]:[Otros - No Grav.]])</f>
        <v>200142.09169999999</v>
      </c>
      <c r="Q15" s="313" t="str">
        <f>IFERROR(IF(compras_mes113[[#This Row],[CUIT]]="","-",VLOOKUP(compras_mes113[[#This Row],[CUIT]],Lista_CUIT[#All],3,0)),"CUIT NO CARGADO")</f>
        <v>Gastos Publicidad y Propaganda</v>
      </c>
      <c r="R15" s="313">
        <f>IFERROR(IF(compras_mes113[[#This Row],[CUIT]]="","-",VLOOKUP(compras_mes113[[#This Row],[CUIT]],Lista_CUIT[#All],4,0)),"CUIT NO CARGADO")</f>
        <v>0</v>
      </c>
    </row>
    <row r="16" spans="1:26" s="127" customFormat="1" x14ac:dyDescent="0.3">
      <c r="B16" s="306">
        <v>45657</v>
      </c>
      <c r="C16" s="307">
        <v>1</v>
      </c>
      <c r="D16" s="308">
        <v>11</v>
      </c>
      <c r="E16" s="273">
        <v>1090350</v>
      </c>
      <c r="F16" s="309">
        <v>33709585229</v>
      </c>
      <c r="G16" s="310" t="str">
        <f>IFERROR(IF(compras_mes113[[#This Row],[CUIT]]="","-",VLOOKUP(compras_mes113[[#This Row],[CUIT]],Lista_CUIT[#All],2,0)),"CUIT NO CARGADO")</f>
        <v>GOOGLE ARGENTINA S.R.L.</v>
      </c>
      <c r="H16" s="311">
        <v>21051.439999999999</v>
      </c>
      <c r="I16" s="312">
        <f>IF(compras_mes113[[#This Row],[NETO GRAVADO]]="","",compras_mes113[[#This Row],[NETO GRAVADO]]*0.21)</f>
        <v>4420.8023999999996</v>
      </c>
      <c r="J16" s="312"/>
      <c r="K16" s="312"/>
      <c r="L16" s="312"/>
      <c r="M16" s="312">
        <v>315.77</v>
      </c>
      <c r="N16" s="312"/>
      <c r="O16" s="312">
        <v>631.54</v>
      </c>
      <c r="P16" s="295">
        <f>SUM(compras_mes113[[#This Row],[NETO GRAVADO]:[Otros - No Grav.]])</f>
        <v>26419.5524</v>
      </c>
      <c r="Q16" s="313" t="str">
        <f>IFERROR(IF(compras_mes113[[#This Row],[CUIT]]="","-",VLOOKUP(compras_mes113[[#This Row],[CUIT]],Lista_CUIT[#All],3,0)),"CUIT NO CARGADO")</f>
        <v>Gastos Publicidad y Propaganda</v>
      </c>
      <c r="R16" s="313">
        <f>IFERROR(IF(compras_mes113[[#This Row],[CUIT]]="","-",VLOOKUP(compras_mes113[[#This Row],[CUIT]],Lista_CUIT[#All],4,0)),"CUIT NO CARGADO")</f>
        <v>0</v>
      </c>
    </row>
    <row r="17" spans="2:19" s="127" customFormat="1" x14ac:dyDescent="0.3">
      <c r="B17" s="306">
        <v>45657</v>
      </c>
      <c r="C17" s="307">
        <v>1</v>
      </c>
      <c r="D17" s="308">
        <v>11</v>
      </c>
      <c r="E17" s="273">
        <v>1092705</v>
      </c>
      <c r="F17" s="309">
        <v>33709585229</v>
      </c>
      <c r="G17" s="310" t="str">
        <f>IFERROR(IF(compras_mes113[[#This Row],[CUIT]]="","-",VLOOKUP(compras_mes113[[#This Row],[CUIT]],Lista_CUIT[#All],2,0)),"CUIT NO CARGADO")</f>
        <v>GOOGLE ARGENTINA S.R.L.</v>
      </c>
      <c r="H17" s="311">
        <v>143203.01999999999</v>
      </c>
      <c r="I17" s="312">
        <f>IF(compras_mes113[[#This Row],[NETO GRAVADO]]="","",compras_mes113[[#This Row],[NETO GRAVADO]]*0.21)</f>
        <v>30072.634199999997</v>
      </c>
      <c r="J17" s="312"/>
      <c r="K17" s="312"/>
      <c r="L17" s="312"/>
      <c r="M17" s="312"/>
      <c r="N17" s="312">
        <v>2148.0500000000002</v>
      </c>
      <c r="O17" s="312">
        <v>4296.09</v>
      </c>
      <c r="P17" s="295">
        <f>SUM(compras_mes113[[#This Row],[NETO GRAVADO]:[Otros - No Grav.]])</f>
        <v>179719.79419999997</v>
      </c>
      <c r="Q17" s="313" t="str">
        <f>IFERROR(IF(compras_mes113[[#This Row],[CUIT]]="","-",VLOOKUP(compras_mes113[[#This Row],[CUIT]],Lista_CUIT[#All],3,0)),"CUIT NO CARGADO")</f>
        <v>Gastos Publicidad y Propaganda</v>
      </c>
      <c r="R17" s="313">
        <f>IFERROR(IF(compras_mes113[[#This Row],[CUIT]]="","-",VLOOKUP(compras_mes113[[#This Row],[CUIT]],Lista_CUIT[#All],4,0)),"CUIT NO CARGADO")</f>
        <v>0</v>
      </c>
    </row>
    <row r="18" spans="2:19" s="127" customFormat="1" x14ac:dyDescent="0.3">
      <c r="B18" s="306">
        <v>45657</v>
      </c>
      <c r="C18" s="307">
        <v>1</v>
      </c>
      <c r="D18" s="308">
        <v>11</v>
      </c>
      <c r="E18" s="273">
        <v>1089957</v>
      </c>
      <c r="F18" s="309">
        <v>33709585229</v>
      </c>
      <c r="G18" s="310" t="str">
        <f>IFERROR(IF(compras_mes113[[#This Row],[CUIT]]="","-",VLOOKUP(compras_mes113[[#This Row],[CUIT]],Lista_CUIT[#All],2,0)),"CUIT NO CARGADO")</f>
        <v>GOOGLE ARGENTINA S.R.L.</v>
      </c>
      <c r="H18" s="311">
        <v>98716.46</v>
      </c>
      <c r="I18" s="312">
        <f>IF(compras_mes113[[#This Row],[NETO GRAVADO]]="","",compras_mes113[[#This Row],[NETO GRAVADO]]*0.21)</f>
        <v>20730.456600000001</v>
      </c>
      <c r="J18" s="312"/>
      <c r="K18" s="312"/>
      <c r="L18" s="312"/>
      <c r="M18" s="312">
        <v>1480.75</v>
      </c>
      <c r="N18" s="312"/>
      <c r="O18" s="312">
        <v>2961.49</v>
      </c>
      <c r="P18" s="295">
        <f>SUM(compras_mes113[[#This Row],[NETO GRAVADO]:[Otros - No Grav.]])</f>
        <v>123889.15660000002</v>
      </c>
      <c r="Q18" s="313" t="str">
        <f>IFERROR(IF(compras_mes113[[#This Row],[CUIT]]="","-",VLOOKUP(compras_mes113[[#This Row],[CUIT]],Lista_CUIT[#All],3,0)),"CUIT NO CARGADO")</f>
        <v>Gastos Publicidad y Propaganda</v>
      </c>
      <c r="R18" s="313">
        <f>IFERROR(IF(compras_mes113[[#This Row],[CUIT]]="","-",VLOOKUP(compras_mes113[[#This Row],[CUIT]],Lista_CUIT[#All],4,0)),"CUIT NO CARGADO")</f>
        <v>0</v>
      </c>
    </row>
    <row r="19" spans="2:19" s="127" customFormat="1" ht="14.4" customHeight="1" x14ac:dyDescent="0.3">
      <c r="B19" s="306">
        <v>45657</v>
      </c>
      <c r="C19" s="307">
        <v>1</v>
      </c>
      <c r="D19" s="308">
        <v>11</v>
      </c>
      <c r="E19" s="273">
        <v>1093768</v>
      </c>
      <c r="F19" s="309">
        <v>33709585229</v>
      </c>
      <c r="G19" s="310" t="str">
        <f>IFERROR(IF(compras_mes113[[#This Row],[CUIT]]="","-",VLOOKUP(compras_mes113[[#This Row],[CUIT]],Lista_CUIT[#All],2,0)),"CUIT NO CARGADO")</f>
        <v>GOOGLE ARGENTINA S.R.L.</v>
      </c>
      <c r="H19" s="311">
        <v>13479.13</v>
      </c>
      <c r="I19" s="312">
        <f>IF(compras_mes113[[#This Row],[NETO GRAVADO]]="","",compras_mes113[[#This Row],[NETO GRAVADO]]*0.21)</f>
        <v>2830.6172999999999</v>
      </c>
      <c r="J19" s="312"/>
      <c r="K19" s="312"/>
      <c r="L19" s="312"/>
      <c r="M19" s="312"/>
      <c r="N19" s="312">
        <v>202.19</v>
      </c>
      <c r="O19" s="312">
        <v>404.37</v>
      </c>
      <c r="P19" s="295">
        <f>SUM(compras_mes113[[#This Row],[NETO GRAVADO]:[Otros - No Grav.]])</f>
        <v>16916.307299999997</v>
      </c>
      <c r="Q19" s="313" t="str">
        <f>IFERROR(IF(compras_mes113[[#This Row],[CUIT]]="","-",VLOOKUP(compras_mes113[[#This Row],[CUIT]],Lista_CUIT[#All],3,0)),"CUIT NO CARGADO")</f>
        <v>Gastos Publicidad y Propaganda</v>
      </c>
      <c r="R19" s="313">
        <f>IFERROR(IF(compras_mes113[[#This Row],[CUIT]]="","-",VLOOKUP(compras_mes113[[#This Row],[CUIT]],Lista_CUIT[#All],4,0)),"CUIT NO CARGADO")</f>
        <v>0</v>
      </c>
    </row>
    <row r="20" spans="2:19" s="127" customFormat="1" x14ac:dyDescent="0.3">
      <c r="B20" s="306">
        <v>45657</v>
      </c>
      <c r="C20" s="307">
        <v>1</v>
      </c>
      <c r="D20" s="308">
        <v>11</v>
      </c>
      <c r="E20" s="273">
        <v>1094454</v>
      </c>
      <c r="F20" s="309">
        <v>33709585229</v>
      </c>
      <c r="G20" s="310" t="str">
        <f>IFERROR(IF(compras_mes113[[#This Row],[CUIT]]="","-",VLOOKUP(compras_mes113[[#This Row],[CUIT]],Lista_CUIT[#All],2,0)),"CUIT NO CARGADO")</f>
        <v>GOOGLE ARGENTINA S.R.L.</v>
      </c>
      <c r="H20" s="311">
        <v>57193.18</v>
      </c>
      <c r="I20" s="312">
        <f>IF(compras_mes113[[#This Row],[NETO GRAVADO]]="","",compras_mes113[[#This Row],[NETO GRAVADO]]*0.21)</f>
        <v>12010.567799999999</v>
      </c>
      <c r="J20" s="312"/>
      <c r="K20" s="312"/>
      <c r="L20" s="312"/>
      <c r="M20" s="312">
        <v>857.9</v>
      </c>
      <c r="N20" s="312"/>
      <c r="O20" s="312">
        <v>1715.8</v>
      </c>
      <c r="P20" s="295">
        <f>SUM(compras_mes113[[#This Row],[NETO GRAVADO]:[Otros - No Grav.]])</f>
        <v>71777.447799999994</v>
      </c>
      <c r="Q20" s="313" t="str">
        <f>IFERROR(IF(compras_mes113[[#This Row],[CUIT]]="","-",VLOOKUP(compras_mes113[[#This Row],[CUIT]],Lista_CUIT[#All],3,0)),"CUIT NO CARGADO")</f>
        <v>Gastos Publicidad y Propaganda</v>
      </c>
      <c r="R20" s="313">
        <f>IFERROR(IF(compras_mes113[[#This Row],[CUIT]]="","-",VLOOKUP(compras_mes113[[#This Row],[CUIT]],Lista_CUIT[#All],4,0)),"CUIT NO CARGADO")</f>
        <v>0</v>
      </c>
    </row>
    <row r="21" spans="2:19" s="127" customFormat="1" x14ac:dyDescent="0.3">
      <c r="B21" s="306">
        <v>45657</v>
      </c>
      <c r="C21" s="307">
        <v>1</v>
      </c>
      <c r="D21" s="308">
        <v>11</v>
      </c>
      <c r="E21" s="273">
        <v>1096457</v>
      </c>
      <c r="F21" s="309">
        <v>33709585229</v>
      </c>
      <c r="G21" s="310" t="str">
        <f>IFERROR(IF(compras_mes113[[#This Row],[CUIT]]="","-",VLOOKUP(compras_mes113[[#This Row],[CUIT]],Lista_CUIT[#All],2,0)),"CUIT NO CARGADO")</f>
        <v>GOOGLE ARGENTINA S.R.L.</v>
      </c>
      <c r="H21" s="311">
        <v>1887960.62</v>
      </c>
      <c r="I21" s="312">
        <f>IF(compras_mes113[[#This Row],[NETO GRAVADO]]="","",compras_mes113[[#This Row],[NETO GRAVADO]]*0.21)</f>
        <v>396471.73019999999</v>
      </c>
      <c r="J21" s="312"/>
      <c r="K21" s="312"/>
      <c r="L21" s="312"/>
      <c r="M21" s="312"/>
      <c r="N21" s="312">
        <v>28319.41</v>
      </c>
      <c r="O21" s="312">
        <v>56638.82</v>
      </c>
      <c r="P21" s="295">
        <f>SUM(compras_mes113[[#This Row],[NETO GRAVADO]:[Otros - No Grav.]])</f>
        <v>2369390.5802000002</v>
      </c>
      <c r="Q21" s="313" t="str">
        <f>IFERROR(IF(compras_mes113[[#This Row],[CUIT]]="","-",VLOOKUP(compras_mes113[[#This Row],[CUIT]],Lista_CUIT[#All],3,0)),"CUIT NO CARGADO")</f>
        <v>Gastos Publicidad y Propaganda</v>
      </c>
      <c r="R21" s="313">
        <f>IFERROR(IF(compras_mes113[[#This Row],[CUIT]]="","-",VLOOKUP(compras_mes113[[#This Row],[CUIT]],Lista_CUIT[#All],4,0)),"CUIT NO CARGADO")</f>
        <v>0</v>
      </c>
    </row>
    <row r="22" spans="2:19" s="127" customFormat="1" ht="14.4" customHeight="1" x14ac:dyDescent="0.3">
      <c r="B22" s="306">
        <v>45657</v>
      </c>
      <c r="C22" s="307">
        <v>3</v>
      </c>
      <c r="D22" s="308">
        <v>11</v>
      </c>
      <c r="E22" s="273">
        <v>784929</v>
      </c>
      <c r="F22" s="309">
        <v>33709585229</v>
      </c>
      <c r="G22" s="310" t="str">
        <f>IFERROR(IF(compras_mes113[[#This Row],[CUIT]]="","-",VLOOKUP(compras_mes113[[#This Row],[CUIT]],Lista_CUIT[#All],2,0)),"CUIT NO CARGADO")</f>
        <v>GOOGLE ARGENTINA S.R.L.</v>
      </c>
      <c r="H22" s="311">
        <v>-36.1</v>
      </c>
      <c r="I22" s="312">
        <f>IF(compras_mes113[[#This Row],[NETO GRAVADO]]="","",compras_mes113[[#This Row],[NETO GRAVADO]]*0.21)</f>
        <v>-7.5810000000000004</v>
      </c>
      <c r="J22" s="312"/>
      <c r="K22" s="312"/>
      <c r="L22" s="312"/>
      <c r="M22" s="312"/>
      <c r="N22" s="312"/>
      <c r="O22" s="312"/>
      <c r="P22" s="295">
        <f>SUM(compras_mes113[[#This Row],[NETO GRAVADO]:[Otros - No Grav.]])</f>
        <v>-43.681000000000004</v>
      </c>
      <c r="Q22" s="313" t="str">
        <f>IFERROR(IF(compras_mes113[[#This Row],[CUIT]]="","-",VLOOKUP(compras_mes113[[#This Row],[CUIT]],Lista_CUIT[#All],3,0)),"CUIT NO CARGADO")</f>
        <v>Gastos Publicidad y Propaganda</v>
      </c>
      <c r="R22" s="313">
        <f>IFERROR(IF(compras_mes113[[#This Row],[CUIT]]="","-",VLOOKUP(compras_mes113[[#This Row],[CUIT]],Lista_CUIT[#All],4,0)),"CUIT NO CARGADO")</f>
        <v>0</v>
      </c>
    </row>
    <row r="23" spans="2:19" s="127" customFormat="1" ht="15" customHeight="1" x14ac:dyDescent="0.3">
      <c r="B23" s="306">
        <v>45657</v>
      </c>
      <c r="C23" s="307">
        <v>3</v>
      </c>
      <c r="D23" s="308">
        <v>11</v>
      </c>
      <c r="E23" s="273">
        <v>788161</v>
      </c>
      <c r="F23" s="309">
        <v>33709585229</v>
      </c>
      <c r="G23" s="310" t="str">
        <f>IFERROR(IF(compras_mes113[[#This Row],[CUIT]]="","-",VLOOKUP(compras_mes113[[#This Row],[CUIT]],Lista_CUIT[#All],2,0)),"CUIT NO CARGADO")</f>
        <v>GOOGLE ARGENTINA S.R.L.</v>
      </c>
      <c r="H23" s="311">
        <v>-721.47</v>
      </c>
      <c r="I23" s="312">
        <f>IF(compras_mes113[[#This Row],[NETO GRAVADO]]="","",compras_mes113[[#This Row],[NETO GRAVADO]]*0.21)</f>
        <v>-151.5087</v>
      </c>
      <c r="J23" s="312"/>
      <c r="K23" s="312"/>
      <c r="L23" s="312"/>
      <c r="M23" s="312">
        <v>-10.82</v>
      </c>
      <c r="N23" s="312"/>
      <c r="O23" s="312"/>
      <c r="P23" s="295">
        <f>SUM(compras_mes113[[#This Row],[NETO GRAVADO]:[Otros - No Grav.]])</f>
        <v>-883.79870000000005</v>
      </c>
      <c r="Q23" s="313" t="str">
        <f>IFERROR(IF(compras_mes113[[#This Row],[CUIT]]="","-",VLOOKUP(compras_mes113[[#This Row],[CUIT]],Lista_CUIT[#All],3,0)),"CUIT NO CARGADO")</f>
        <v>Gastos Publicidad y Propaganda</v>
      </c>
      <c r="R23" s="313">
        <f>IFERROR(IF(compras_mes113[[#This Row],[CUIT]]="","-",VLOOKUP(compras_mes113[[#This Row],[CUIT]],Lista_CUIT[#All],4,0)),"CUIT NO CARGADO")</f>
        <v>0</v>
      </c>
    </row>
    <row r="24" spans="2:19" s="127" customFormat="1" ht="15" customHeight="1" x14ac:dyDescent="0.3">
      <c r="B24" s="306">
        <v>45657</v>
      </c>
      <c r="C24" s="307">
        <v>3</v>
      </c>
      <c r="D24" s="308">
        <v>11</v>
      </c>
      <c r="E24" s="273">
        <v>783612</v>
      </c>
      <c r="F24" s="309">
        <v>33709585229</v>
      </c>
      <c r="G24" s="310" t="str">
        <f>IFERROR(IF(compras_mes113[[#This Row],[CUIT]]="","-",VLOOKUP(compras_mes113[[#This Row],[CUIT]],Lista_CUIT[#All],2,0)),"CUIT NO CARGADO")</f>
        <v>GOOGLE ARGENTINA S.R.L.</v>
      </c>
      <c r="H24" s="311">
        <v>-2270.11</v>
      </c>
      <c r="I24" s="312">
        <f>IF(compras_mes113[[#This Row],[NETO GRAVADO]]="","",compras_mes113[[#This Row],[NETO GRAVADO]]*0.21)</f>
        <v>-476.72309999999999</v>
      </c>
      <c r="J24" s="312"/>
      <c r="K24" s="312"/>
      <c r="L24" s="312"/>
      <c r="M24" s="312">
        <v>-34.049999999999997</v>
      </c>
      <c r="N24" s="312"/>
      <c r="O24" s="312">
        <v>-68.099999999999994</v>
      </c>
      <c r="P24" s="295">
        <f>SUM(compras_mes113[[#This Row],[NETO GRAVADO]:[Otros - No Grav.]])</f>
        <v>-2848.9831000000004</v>
      </c>
      <c r="Q24" s="313" t="str">
        <f>IFERROR(IF(compras_mes113[[#This Row],[CUIT]]="","-",VLOOKUP(compras_mes113[[#This Row],[CUIT]],Lista_CUIT[#All],3,0)),"CUIT NO CARGADO")</f>
        <v>Gastos Publicidad y Propaganda</v>
      </c>
      <c r="R24" s="313">
        <f>IFERROR(IF(compras_mes113[[#This Row],[CUIT]]="","-",VLOOKUP(compras_mes113[[#This Row],[CUIT]],Lista_CUIT[#All],4,0)),"CUIT NO CARGADO")</f>
        <v>0</v>
      </c>
    </row>
    <row r="25" spans="2:19" s="127" customFormat="1" ht="15" customHeight="1" x14ac:dyDescent="0.3">
      <c r="B25" s="306">
        <v>45635</v>
      </c>
      <c r="C25" s="307">
        <v>1</v>
      </c>
      <c r="D25" s="308">
        <v>2</v>
      </c>
      <c r="E25" s="273">
        <v>9</v>
      </c>
      <c r="F25" s="309">
        <v>33718113739</v>
      </c>
      <c r="G25" s="310" t="str">
        <f>IFERROR(IF(compras_mes113[[#This Row],[CUIT]]="","-",VLOOKUP(compras_mes113[[#This Row],[CUIT]],Lista_CUIT[#All],2,0)),"CUIT NO CARGADO")</f>
        <v>HERAS ROMEO</v>
      </c>
      <c r="H25" s="311">
        <v>1242975.21</v>
      </c>
      <c r="I25" s="312">
        <f>IF(compras_mes113[[#This Row],[NETO GRAVADO]]="","",compras_mes113[[#This Row],[NETO GRAVADO]]*0.21)</f>
        <v>261024.79409999997</v>
      </c>
      <c r="J25" s="312"/>
      <c r="K25" s="312"/>
      <c r="L25" s="312"/>
      <c r="M25" s="312"/>
      <c r="N25" s="312"/>
      <c r="O25" s="312"/>
      <c r="P25" s="295">
        <f>SUM(compras_mes113[[#This Row],[NETO GRAVADO]:[Otros - No Grav.]])</f>
        <v>1504000.0041</v>
      </c>
      <c r="Q25" s="313" t="str">
        <f>IFERROR(IF(compras_mes113[[#This Row],[CUIT]]="","-",VLOOKUP(compras_mes113[[#This Row],[CUIT]],Lista_CUIT[#All],3,0)),"CUIT NO CARGADO")</f>
        <v>Honorarios Profesionales</v>
      </c>
      <c r="R25" s="313">
        <f>IFERROR(IF(compras_mes113[[#This Row],[CUIT]]="","-",VLOOKUP(compras_mes113[[#This Row],[CUIT]],Lista_CUIT[#All],4,0)),"CUIT NO CARGADO")</f>
        <v>0</v>
      </c>
    </row>
    <row r="26" spans="2:19" s="127" customFormat="1" x14ac:dyDescent="0.3">
      <c r="B26" s="306">
        <v>45629</v>
      </c>
      <c r="C26" s="307">
        <v>1</v>
      </c>
      <c r="D26" s="308">
        <v>2</v>
      </c>
      <c r="E26" s="273">
        <v>225</v>
      </c>
      <c r="F26" s="309">
        <v>30718631730</v>
      </c>
      <c r="G26" s="310" t="str">
        <f>IFERROR(IF(compras_mes113[[#This Row],[CUIT]]="","-",VLOOKUP(compras_mes113[[#This Row],[CUIT]],Lista_CUIT[#All],2,0)),"CUIT NO CARGADO")</f>
        <v>SIMZ S. R. L.</v>
      </c>
      <c r="H26" s="311">
        <v>90384</v>
      </c>
      <c r="I26" s="312">
        <f>IF(compras_mes113[[#This Row],[NETO GRAVADO]]="","",compras_mes113[[#This Row],[NETO GRAVADO]]*0.21)</f>
        <v>18980.64</v>
      </c>
      <c r="J26" s="312"/>
      <c r="K26" s="312"/>
      <c r="L26" s="312"/>
      <c r="M26" s="312"/>
      <c r="N26" s="312"/>
      <c r="O26" s="312"/>
      <c r="P26" s="295">
        <f>SUM(compras_mes113[[#This Row],[NETO GRAVADO]:[Otros - No Grav.]])</f>
        <v>109364.64</v>
      </c>
      <c r="Q26" s="313" t="str">
        <f>IFERROR(IF(compras_mes113[[#This Row],[CUIT]]="","-",VLOOKUP(compras_mes113[[#This Row],[CUIT]],Lista_CUIT[#All],3,0)),"CUIT NO CARGADO")</f>
        <v>Serv. Informaticos</v>
      </c>
      <c r="R26" s="313">
        <f>IFERROR(IF(compras_mes113[[#This Row],[CUIT]]="","-",VLOOKUP(compras_mes113[[#This Row],[CUIT]],Lista_CUIT[#All],4,0)),"CUIT NO CARGADO")</f>
        <v>0</v>
      </c>
    </row>
    <row r="27" spans="2:19" x14ac:dyDescent="0.3">
      <c r="B27" s="325" t="s">
        <v>91</v>
      </c>
      <c r="C27" s="325"/>
      <c r="D27" s="325"/>
      <c r="E27" s="325"/>
      <c r="F27" s="325"/>
      <c r="G27" s="326"/>
      <c r="H27" s="327">
        <f>SUBTOTAL(109,compras_mes113[NETO GRAVADO])</f>
        <v>5321837.92</v>
      </c>
      <c r="I27" s="327">
        <f>SUBTOTAL(109,compras_mes113[IVA 21 %])</f>
        <v>1116280.8258</v>
      </c>
      <c r="J27" s="327">
        <f>SUBTOTAL(109,compras_mes113[IVA 27%])</f>
        <v>0</v>
      </c>
      <c r="K27" s="327">
        <f>SUBTOTAL(109,compras_mes113[IVA 10,5%])</f>
        <v>652.56869999999992</v>
      </c>
      <c r="L27" s="327">
        <f>SUBTOTAL(109,compras_mes113[PERC. IVA])</f>
        <v>4924.71</v>
      </c>
      <c r="M27" s="327">
        <f>SUBTOTAL(109,compras_mes113[PERC IIBB 
BS AS])</f>
        <v>11167.19</v>
      </c>
      <c r="N27" s="327">
        <f>SUBTOTAL(109,compras_mes113[PERC. IIBB CABA])</f>
        <v>33061.79</v>
      </c>
      <c r="O27" s="327">
        <f>SUBTOTAL(109,compras_mes113[Otros - No Grav.])</f>
        <v>86843.78</v>
      </c>
      <c r="P27" s="327">
        <f>SUBTOTAL(109,compras_mes113[TOTAL])</f>
        <v>6574768.7845000001</v>
      </c>
      <c r="Q27" s="325"/>
      <c r="R27" s="325"/>
    </row>
    <row r="28" spans="2:19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9" ht="17.399999999999999" x14ac:dyDescent="0.3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353"/>
      <c r="P29" s="257"/>
      <c r="Q29" s="354"/>
      <c r="R29" s="270"/>
      <c r="S29" s="127"/>
    </row>
    <row r="30" spans="2:19" x14ac:dyDescent="0.3">
      <c r="B30" s="40"/>
      <c r="C30" s="41"/>
      <c r="D30" s="42"/>
      <c r="E30" s="43"/>
      <c r="F30" s="44"/>
      <c r="G30" s="45"/>
      <c r="H30" s="128"/>
      <c r="I30" s="140"/>
      <c r="J30" s="47"/>
      <c r="K30" s="47"/>
      <c r="L30" s="47"/>
      <c r="M30" s="47"/>
      <c r="N30" s="47"/>
      <c r="O30" s="140"/>
      <c r="P30" s="257"/>
      <c r="Q30" s="270"/>
      <c r="R30" s="270"/>
      <c r="S30" s="127"/>
    </row>
    <row r="31" spans="2:19" x14ac:dyDescent="0.3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  <c r="O31" s="127"/>
      <c r="P31" s="355"/>
      <c r="Q31" s="356"/>
      <c r="R31" s="355"/>
      <c r="S31" s="127"/>
    </row>
    <row r="32" spans="2:19" ht="21" x14ac:dyDescent="0.3">
      <c r="D32" s="362" t="s">
        <v>15</v>
      </c>
      <c r="E32" s="362"/>
      <c r="F32" s="362"/>
      <c r="G32" s="362"/>
      <c r="H32" s="362"/>
      <c r="I32" s="362"/>
      <c r="J32" s="362"/>
      <c r="K32" s="362"/>
      <c r="L32" s="362"/>
      <c r="M32" s="342"/>
      <c r="O32" s="353"/>
      <c r="P32" s="351"/>
      <c r="Q32" s="351"/>
      <c r="R32" s="351"/>
      <c r="S32" s="127"/>
    </row>
    <row r="33" spans="4:19" ht="15.6" x14ac:dyDescent="0.3">
      <c r="D33" s="328" t="s">
        <v>0</v>
      </c>
      <c r="E33" s="329" t="s">
        <v>26</v>
      </c>
      <c r="F33" s="329" t="s">
        <v>16</v>
      </c>
      <c r="G33" s="329" t="s">
        <v>5</v>
      </c>
      <c r="H33" s="329" t="s">
        <v>17</v>
      </c>
      <c r="I33" s="329" t="s">
        <v>7</v>
      </c>
      <c r="J33" s="330" t="s">
        <v>18</v>
      </c>
      <c r="K33" s="330" t="s">
        <v>19</v>
      </c>
      <c r="L33" s="331" t="s">
        <v>20</v>
      </c>
      <c r="M33" s="341" t="s">
        <v>10</v>
      </c>
      <c r="O33" s="127"/>
      <c r="P33" s="351"/>
      <c r="Q33" s="351"/>
      <c r="R33" s="351"/>
      <c r="S33" s="127"/>
    </row>
    <row r="34" spans="4:19" x14ac:dyDescent="0.3">
      <c r="D34" s="50">
        <v>45657</v>
      </c>
      <c r="E34" s="273">
        <v>31122024</v>
      </c>
      <c r="F34" s="80" t="s">
        <v>181</v>
      </c>
      <c r="G34" s="81">
        <v>38000</v>
      </c>
      <c r="H34" s="81">
        <f>extracto_banco_mes1155[[#This Row],[NETO]]*0.21</f>
        <v>7980</v>
      </c>
      <c r="I34" s="81"/>
      <c r="J34">
        <v>570</v>
      </c>
      <c r="K34" s="290">
        <v>1169.67</v>
      </c>
      <c r="M34" s="293">
        <f>SUM(extracto_banco_mes1155[[#This Row],[NETO]:[PERC IIBB]])</f>
        <v>47719.67</v>
      </c>
      <c r="O34" s="127"/>
      <c r="P34" s="351"/>
      <c r="Q34" s="351"/>
      <c r="R34" s="351"/>
      <c r="S34" s="127"/>
    </row>
    <row r="35" spans="4:19" x14ac:dyDescent="0.3">
      <c r="D35" s="50"/>
      <c r="E35" s="273"/>
      <c r="F35" s="80"/>
      <c r="G35" s="81"/>
      <c r="H35" s="81">
        <f>extracto_banco_mes1155[[#This Row],[NETO]]*0.21</f>
        <v>0</v>
      </c>
      <c r="I35" s="81"/>
      <c r="J35" s="81"/>
      <c r="K35" s="81"/>
      <c r="L35" s="81"/>
      <c r="M35" s="293">
        <f>SUM(extracto_banco_mes1155[[#This Row],[NETO]:[PERC IIBB]])</f>
        <v>0</v>
      </c>
      <c r="N35" s="340"/>
      <c r="O35" s="355"/>
      <c r="P35" s="351"/>
      <c r="Q35" s="351"/>
      <c r="R35" s="351"/>
      <c r="S35" s="127"/>
    </row>
    <row r="36" spans="4:19" x14ac:dyDescent="0.3">
      <c r="D36" s="50"/>
      <c r="E36" s="273"/>
      <c r="F36" s="80"/>
      <c r="G36" s="81"/>
      <c r="H36" s="81">
        <f>extracto_banco_mes1155[[#This Row],[NETO]]*0.21</f>
        <v>0</v>
      </c>
      <c r="I36" s="81"/>
      <c r="J36" s="81"/>
      <c r="K36" s="81"/>
      <c r="L36" s="81"/>
      <c r="M36" s="293">
        <f>SUM(extracto_banco_mes1155[[#This Row],[NETO]:[PERC IIBB]])</f>
        <v>0</v>
      </c>
      <c r="O36" s="352"/>
      <c r="P36" s="351"/>
      <c r="Q36" s="351"/>
      <c r="R36" s="351"/>
      <c r="S36" s="127"/>
    </row>
    <row r="37" spans="4:19" x14ac:dyDescent="0.3">
      <c r="D37" s="332" t="s">
        <v>91</v>
      </c>
      <c r="E37" s="333"/>
      <c r="F37" s="333"/>
      <c r="G37" s="334">
        <f>SUBTOTAL(109,extracto_banco_mes1155[NETO])</f>
        <v>38000</v>
      </c>
      <c r="H37" s="334">
        <f>SUBTOTAL(109,extracto_banco_mes1155[IVA 21%])</f>
        <v>7980</v>
      </c>
      <c r="I37" s="334">
        <f>SUBTOTAL(109,extracto_banco_mes1155[IVA 10,5%])</f>
        <v>0</v>
      </c>
      <c r="J37" s="334">
        <f>SUBTOTAL(109,extracto_banco_mes1155[RET IIBB CABA])</f>
        <v>570</v>
      </c>
      <c r="K37" s="334">
        <f>SUBTOTAL(109,extracto_banco_mes1155[PERC IVA])</f>
        <v>1169.67</v>
      </c>
      <c r="L37" s="334">
        <f>SUBTOTAL(109,extracto_banco_mes1155[PERC IIBB])</f>
        <v>0</v>
      </c>
      <c r="M37" s="343">
        <f>SUBTOTAL(109,extracto_banco_mes1155[TOTAL])</f>
        <v>47719.67</v>
      </c>
      <c r="O37" s="127"/>
      <c r="P37" s="351"/>
      <c r="Q37" s="351"/>
      <c r="R37" s="351"/>
      <c r="S37" s="127"/>
    </row>
    <row r="38" spans="4:19" x14ac:dyDescent="0.3">
      <c r="O38" s="127"/>
      <c r="P38" s="351"/>
      <c r="Q38" s="351"/>
      <c r="R38" s="351"/>
      <c r="S38" s="127"/>
    </row>
    <row r="39" spans="4:19" x14ac:dyDescent="0.3">
      <c r="O39" s="127"/>
      <c r="P39" s="351"/>
      <c r="Q39" s="351"/>
      <c r="R39" s="351"/>
      <c r="S39" s="127"/>
    </row>
    <row r="40" spans="4:19" x14ac:dyDescent="0.3">
      <c r="O40" s="127"/>
      <c r="P40" s="351"/>
      <c r="Q40" s="351"/>
      <c r="R40" s="351"/>
      <c r="S40" s="127"/>
    </row>
    <row r="41" spans="4:19" ht="21" x14ac:dyDescent="0.3">
      <c r="D41" s="362" t="s">
        <v>25</v>
      </c>
      <c r="E41" s="362"/>
      <c r="F41" s="362"/>
      <c r="G41" s="362"/>
      <c r="H41" s="362"/>
      <c r="I41" s="362"/>
      <c r="J41" s="362"/>
      <c r="K41" s="362"/>
      <c r="O41" s="127"/>
      <c r="P41" s="351"/>
      <c r="Q41" s="351"/>
      <c r="R41" s="351"/>
      <c r="S41" s="127"/>
    </row>
    <row r="42" spans="4:19" x14ac:dyDescent="0.3">
      <c r="D42" s="335" t="s">
        <v>0</v>
      </c>
      <c r="E42" s="335" t="s">
        <v>2</v>
      </c>
      <c r="F42" s="335" t="s">
        <v>74</v>
      </c>
      <c r="G42" s="335" t="s">
        <v>3</v>
      </c>
      <c r="H42" s="335" t="s">
        <v>4</v>
      </c>
      <c r="I42" s="336" t="s">
        <v>10</v>
      </c>
      <c r="J42" s="335" t="s">
        <v>13</v>
      </c>
      <c r="K42" s="335" t="s">
        <v>38</v>
      </c>
      <c r="O42" s="127"/>
      <c r="P42" s="351"/>
      <c r="Q42" s="351"/>
      <c r="R42" s="351"/>
      <c r="S42" s="127"/>
    </row>
    <row r="43" spans="4:19" x14ac:dyDescent="0.3">
      <c r="D43" s="50">
        <v>45628</v>
      </c>
      <c r="E43" s="42">
        <v>2</v>
      </c>
      <c r="F43" s="130">
        <v>882</v>
      </c>
      <c r="G43" s="119">
        <v>20400104094</v>
      </c>
      <c r="H43" s="53" t="str">
        <f>IFERROR(IF(factura_c_mes1152[[#This Row],[CUIT]]="","-",VLOOKUP(factura_c_mes1152[[#This Row],[CUIT]],Lista_CUIT[#All],2,0)),"CUIT NO CARGADO")</f>
        <v>BOTINDARI FEDERICO DANIEL</v>
      </c>
      <c r="I43" s="221">
        <v>160000</v>
      </c>
      <c r="J43" s="54" t="str">
        <f>IFERROR(IF(factura_c_mes1152[[#This Row],[CUIT]]="","-",VLOOKUP(factura_c_mes1152[[#This Row],[CUIT]],Lista_CUIT[#All],3,0)),"CUIT NO CARGADO")</f>
        <v>HONORARIOS CONTABLE</v>
      </c>
      <c r="K43" s="54">
        <f>IFERROR(IF(factura_c_mes1152[[#This Row],[CUIT]]="","-",VLOOKUP(factura_c_mes1152[[#This Row],[CUIT]],Lista_CUIT[#All],4,0)),"CUIT NO CARGADO")</f>
        <v>0</v>
      </c>
      <c r="O43" s="127"/>
      <c r="P43" s="351"/>
      <c r="Q43" s="351"/>
      <c r="R43" s="351"/>
      <c r="S43" s="127"/>
    </row>
    <row r="44" spans="4:19" x14ac:dyDescent="0.3">
      <c r="D44" s="50">
        <v>45630</v>
      </c>
      <c r="E44" s="42">
        <v>1</v>
      </c>
      <c r="F44" s="130">
        <v>312</v>
      </c>
      <c r="G44" s="119">
        <v>27386311000</v>
      </c>
      <c r="H44" s="53" t="str">
        <f>IFERROR(IF(factura_c_mes1152[[#This Row],[CUIT]]="","-",VLOOKUP(factura_c_mes1152[[#This Row],[CUIT]],Lista_CUIT[#All],2,0)),"CUIT NO CARGADO")</f>
        <v>OPANASIUK MACARENA ANTONELLA</v>
      </c>
      <c r="I44" s="221">
        <v>500000</v>
      </c>
      <c r="J44" s="54" t="str">
        <f>IFERROR(IF(factura_c_mes1152[[#This Row],[CUIT]]="","-",VLOOKUP(factura_c_mes1152[[#This Row],[CUIT]],Lista_CUIT[#All],3,0)),"CUIT NO CARGADO")</f>
        <v>Honorarios Profesionales</v>
      </c>
      <c r="K44" s="54">
        <f>IFERROR(IF(factura_c_mes1152[[#This Row],[CUIT]]="","-",VLOOKUP(factura_c_mes1152[[#This Row],[CUIT]],Lista_CUIT[#All],4,0)),"CUIT NO CARGADO")</f>
        <v>0</v>
      </c>
      <c r="O44" s="127"/>
      <c r="P44" s="351"/>
      <c r="Q44" s="351"/>
      <c r="R44" s="351"/>
      <c r="S44" s="127"/>
    </row>
    <row r="45" spans="4:19" x14ac:dyDescent="0.3">
      <c r="D45" s="50">
        <v>45630</v>
      </c>
      <c r="E45" s="42">
        <v>2</v>
      </c>
      <c r="F45" s="130">
        <v>49</v>
      </c>
      <c r="G45" s="119">
        <v>23380288079</v>
      </c>
      <c r="H45" s="53" t="str">
        <f>IFERROR(IF(factura_c_mes1152[[#This Row],[CUIT]]="","-",VLOOKUP(factura_c_mes1152[[#This Row],[CUIT]],Lista_CUIT[#All],2,0)),"CUIT NO CARGADO")</f>
        <v>CASTROMAN AGUSTIN</v>
      </c>
      <c r="I45" s="221">
        <v>461250</v>
      </c>
      <c r="J45" s="54" t="str">
        <f>IFERROR(IF(factura_c_mes1152[[#This Row],[CUIT]]="","-",VLOOKUP(factura_c_mes1152[[#This Row],[CUIT]],Lista_CUIT[#All],3,0)),"CUIT NO CARGADO")</f>
        <v>Diseño Grafico</v>
      </c>
      <c r="K45" s="54">
        <f>IFERROR(IF(factura_c_mes1152[[#This Row],[CUIT]]="","-",VLOOKUP(factura_c_mes1152[[#This Row],[CUIT]],Lista_CUIT[#All],4,0)),"CUIT NO CARGADO")</f>
        <v>0</v>
      </c>
      <c r="O45" s="127"/>
      <c r="P45" s="351"/>
      <c r="Q45" s="351"/>
      <c r="R45" s="351"/>
      <c r="S45" s="127"/>
    </row>
    <row r="46" spans="4:19" x14ac:dyDescent="0.3">
      <c r="D46" s="50">
        <v>45630</v>
      </c>
      <c r="E46" s="42">
        <v>51</v>
      </c>
      <c r="F46" s="130">
        <v>165</v>
      </c>
      <c r="G46" s="119">
        <v>20300985158</v>
      </c>
      <c r="H46" s="53" t="str">
        <f>IFERROR(IF(factura_c_mes1152[[#This Row],[CUIT]]="","-",VLOOKUP(factura_c_mes1152[[#This Row],[CUIT]],Lista_CUIT[#All],2,0)),"CUIT NO CARGADO")</f>
        <v>GONZALEZ NESTOR RICARDO</v>
      </c>
      <c r="I46" s="221">
        <v>600000</v>
      </c>
      <c r="J46" s="54" t="str">
        <f>IFERROR(IF(factura_c_mes1152[[#This Row],[CUIT]]="","-",VLOOKUP(factura_c_mes1152[[#This Row],[CUIT]],Lista_CUIT[#All],3,0)),"CUIT NO CARGADO")</f>
        <v>Diseño Grafico</v>
      </c>
      <c r="K46" s="54">
        <f>IFERROR(IF(factura_c_mes1152[[#This Row],[CUIT]]="","-",VLOOKUP(factura_c_mes1152[[#This Row],[CUIT]],Lista_CUIT[#All],4,0)),"CUIT NO CARGADO")</f>
        <v>0</v>
      </c>
      <c r="O46" s="127"/>
      <c r="P46" s="351"/>
      <c r="Q46" s="351"/>
      <c r="R46" s="351"/>
      <c r="S46" s="127"/>
    </row>
    <row r="47" spans="4:19" x14ac:dyDescent="0.3">
      <c r="D47" s="50"/>
      <c r="E47" s="42"/>
      <c r="F47" s="130"/>
      <c r="G47" s="119"/>
      <c r="H47" s="53" t="str">
        <f>IFERROR(IF(factura_c_mes1152[[#This Row],[CUIT]]="","-",VLOOKUP(factura_c_mes1152[[#This Row],[CUIT]],Lista_CUIT[#All],2,0)),"CUIT NO CARGADO")</f>
        <v>-</v>
      </c>
      <c r="I47" s="221"/>
      <c r="J47" s="54" t="str">
        <f>IFERROR(IF(factura_c_mes1152[[#This Row],[CUIT]]="","-",VLOOKUP(factura_c_mes1152[[#This Row],[CUIT]],Lista_CUIT[#All],3,0)),"CUIT NO CARGADO")</f>
        <v>-</v>
      </c>
      <c r="K47" s="54" t="str">
        <f>IFERROR(IF(factura_c_mes1152[[#This Row],[CUIT]]="","-",VLOOKUP(factura_c_mes1152[[#This Row],[CUIT]],Lista_CUIT[#All],4,0)),"CUIT NO CARGADO")</f>
        <v>-</v>
      </c>
      <c r="O47" s="127"/>
      <c r="P47" s="351"/>
      <c r="Q47" s="351"/>
      <c r="R47" s="351"/>
      <c r="S47" s="127"/>
    </row>
    <row r="48" spans="4:19" x14ac:dyDescent="0.3">
      <c r="D48" s="50"/>
      <c r="E48" s="42"/>
      <c r="F48" s="130"/>
      <c r="G48" s="119"/>
      <c r="H48" s="53" t="str">
        <f>IFERROR(IF(factura_c_mes1152[[#This Row],[CUIT]]="","-",VLOOKUP(factura_c_mes1152[[#This Row],[CUIT]],Lista_CUIT[#All],2,0)),"CUIT NO CARGADO")</f>
        <v>-</v>
      </c>
      <c r="I48" s="221"/>
      <c r="J48" s="54" t="str">
        <f>IFERROR(IF(factura_c_mes1152[[#This Row],[CUIT]]="","-",VLOOKUP(factura_c_mes1152[[#This Row],[CUIT]],Lista_CUIT[#All],3,0)),"CUIT NO CARGADO")</f>
        <v>-</v>
      </c>
      <c r="K48" s="54" t="str">
        <f>IFERROR(IF(factura_c_mes1152[[#This Row],[CUIT]]="","-",VLOOKUP(factura_c_mes1152[[#This Row],[CUIT]],Lista_CUIT[#All],4,0)),"CUIT NO CARGADO")</f>
        <v>-</v>
      </c>
      <c r="O48" s="127"/>
      <c r="P48" s="351"/>
      <c r="Q48" s="351"/>
      <c r="R48" s="351"/>
      <c r="S48" s="127"/>
    </row>
    <row r="49" spans="2:18" x14ac:dyDescent="0.3">
      <c r="D49" s="50"/>
      <c r="E49" s="42"/>
      <c r="F49" s="130"/>
      <c r="G49" s="119"/>
      <c r="H49" s="53" t="str">
        <f>IFERROR(IF(factura_c_mes1152[[#This Row],[CUIT]]="","-",VLOOKUP(factura_c_mes1152[[#This Row],[CUIT]],Lista_CUIT[#All],2,0)),"CUIT NO CARGADO")</f>
        <v>-</v>
      </c>
      <c r="I49" s="221"/>
      <c r="J49" s="54" t="str">
        <f>IFERROR(IF(factura_c_mes1152[[#This Row],[CUIT]]="","-",VLOOKUP(factura_c_mes1152[[#This Row],[CUIT]],Lista_CUIT[#All],3,0)),"CUIT NO CARGADO")</f>
        <v>-</v>
      </c>
      <c r="K49" s="54" t="str">
        <f>IFERROR(IF(factura_c_mes1152[[#This Row],[CUIT]]="","-",VLOOKUP(factura_c_mes1152[[#This Row],[CUIT]],Lista_CUIT[#All],4,0)),"CUIT NO CARGADO")</f>
        <v>-</v>
      </c>
      <c r="P49" s="349"/>
      <c r="Q49" s="349"/>
      <c r="R49" s="349"/>
    </row>
    <row r="50" spans="2:18" x14ac:dyDescent="0.3">
      <c r="D50" s="50"/>
      <c r="E50" s="130"/>
      <c r="F50" s="43"/>
      <c r="G50" s="119"/>
      <c r="H50" s="53" t="str">
        <f>IFERROR(IF(factura_c_mes1152[[#This Row],[CUIT]]="","-",VLOOKUP(factura_c_mes1152[[#This Row],[CUIT]],Lista_CUIT[#All],2,0)),"CUIT NO CARGADO")</f>
        <v>-</v>
      </c>
      <c r="I50" s="221"/>
      <c r="J50" s="54" t="str">
        <f>IFERROR(IF(factura_c_mes1152[[#This Row],[CUIT]]="","-",VLOOKUP(factura_c_mes1152[[#This Row],[CUIT]],Lista_CUIT[#All],3,0)),"CUIT NO CARGADO")</f>
        <v>-</v>
      </c>
      <c r="K50" s="54" t="str">
        <f>IFERROR(IF(factura_c_mes1152[[#This Row],[CUIT]]="","-",VLOOKUP(factura_c_mes1152[[#This Row],[CUIT]],Lista_CUIT[#All],4,0)),"CUIT NO CARGADO")</f>
        <v>-</v>
      </c>
      <c r="P50" s="349"/>
      <c r="Q50" s="349"/>
      <c r="R50" s="349"/>
    </row>
    <row r="51" spans="2:18" x14ac:dyDescent="0.3">
      <c r="D51" s="337" t="s">
        <v>91</v>
      </c>
      <c r="E51" s="337"/>
      <c r="F51" s="337"/>
      <c r="G51" s="337"/>
      <c r="H51" s="338"/>
      <c r="I51" s="339">
        <f>SUBTOTAL(109,factura_c_mes1152[TOTAL])</f>
        <v>1721250</v>
      </c>
      <c r="J51" s="337"/>
      <c r="K51" s="337"/>
      <c r="P51" s="349"/>
      <c r="Q51" s="349"/>
      <c r="R51" s="349"/>
    </row>
    <row r="52" spans="2:18" x14ac:dyDescent="0.3">
      <c r="B52" s="56"/>
      <c r="C52" s="56"/>
      <c r="L52" s="56"/>
      <c r="M52" s="56"/>
      <c r="N52" s="56"/>
      <c r="O52" s="56"/>
      <c r="P52" s="350"/>
      <c r="Q52" s="350"/>
      <c r="R52" s="350"/>
    </row>
    <row r="53" spans="2:18" x14ac:dyDescent="0.3">
      <c r="B53" s="56"/>
      <c r="C53" s="56"/>
      <c r="L53" s="56"/>
      <c r="M53" s="56"/>
      <c r="N53" s="56"/>
      <c r="O53" s="56"/>
      <c r="P53" s="350"/>
      <c r="Q53" s="350"/>
      <c r="R53" s="350"/>
    </row>
    <row r="54" spans="2:18" x14ac:dyDescent="0.3">
      <c r="P54" s="349"/>
      <c r="Q54" s="349"/>
      <c r="R54" s="349"/>
    </row>
    <row r="55" spans="2:18" x14ac:dyDescent="0.3">
      <c r="P55" s="349"/>
      <c r="Q55" s="349"/>
      <c r="R55" s="349"/>
    </row>
    <row r="56" spans="2:18" x14ac:dyDescent="0.3">
      <c r="P56" s="349"/>
      <c r="Q56" s="349"/>
      <c r="R56" s="349"/>
    </row>
    <row r="57" spans="2:18" x14ac:dyDescent="0.3">
      <c r="P57" s="349"/>
      <c r="Q57" s="349"/>
      <c r="R57" s="349"/>
    </row>
    <row r="58" spans="2:18" ht="25.8" x14ac:dyDescent="0.3">
      <c r="B58" s="363" t="s">
        <v>29</v>
      </c>
      <c r="C58" s="363"/>
      <c r="D58" s="363"/>
      <c r="E58" s="363"/>
      <c r="F58" s="363"/>
      <c r="G58" s="363"/>
      <c r="H58" s="363"/>
      <c r="I58" s="363"/>
      <c r="J58" s="363"/>
      <c r="K58" s="364">
        <f>N1</f>
        <v>45597</v>
      </c>
      <c r="L58" s="364"/>
      <c r="M58" s="364"/>
      <c r="P58" s="349"/>
      <c r="Q58" s="349"/>
      <c r="R58" s="349"/>
    </row>
    <row r="59" spans="2:18" x14ac:dyDescent="0.3">
      <c r="P59" s="349"/>
      <c r="Q59" s="349"/>
      <c r="R59" s="349"/>
    </row>
    <row r="60" spans="2:18" ht="21" x14ac:dyDescent="0.3">
      <c r="B60" s="365" t="s">
        <v>30</v>
      </c>
      <c r="C60" s="365"/>
    </row>
    <row r="61" spans="2:18" ht="15.6" x14ac:dyDescent="0.3">
      <c r="B61" s="60" t="s">
        <v>0</v>
      </c>
      <c r="C61" s="61" t="s">
        <v>1</v>
      </c>
      <c r="D61" s="61" t="s">
        <v>21</v>
      </c>
      <c r="E61" s="61" t="s">
        <v>22</v>
      </c>
      <c r="F61" s="61" t="s">
        <v>3</v>
      </c>
      <c r="G61" s="61" t="s">
        <v>4</v>
      </c>
      <c r="H61" s="61" t="s">
        <v>23</v>
      </c>
      <c r="I61" s="61" t="s">
        <v>17</v>
      </c>
      <c r="J61" s="61" t="s">
        <v>7</v>
      </c>
      <c r="K61" s="61" t="s">
        <v>24</v>
      </c>
      <c r="L61" s="61" t="s">
        <v>10</v>
      </c>
      <c r="M61" s="62" t="s">
        <v>38</v>
      </c>
    </row>
    <row r="62" spans="2:18" ht="15" customHeight="1" x14ac:dyDescent="0.3">
      <c r="B62" s="40">
        <v>45628</v>
      </c>
      <c r="C62" s="111">
        <v>1</v>
      </c>
      <c r="D62" s="111">
        <v>1</v>
      </c>
      <c r="E62" s="105">
        <v>330</v>
      </c>
      <c r="F62" s="146">
        <v>30714375241</v>
      </c>
      <c r="G62" s="345" t="str">
        <f>IFERROR(IF(venta_a_mes1153[[#This Row],[CUIT]]="","-",VLOOKUP(venta_a_mes1153[[#This Row],[CUIT]],Lista_CUIT[#All],2,0)),"CUIT NO CARGADO")</f>
        <v>POWER-RECORDS S.A</v>
      </c>
      <c r="H62" s="100">
        <v>479338.86</v>
      </c>
      <c r="I62" s="101">
        <f>venta_a_mes1153[[#This Row],[IMPORTE NETO]]*0.21</f>
        <v>100661.16059999999</v>
      </c>
      <c r="J62" s="40"/>
      <c r="K62" s="40"/>
      <c r="L62" s="65">
        <f>SUM(venta_a_mes1153[[#This Row],[IMPORTE NETO]:[EXENTO]])</f>
        <v>580000.02059999993</v>
      </c>
      <c r="M62" s="40"/>
    </row>
    <row r="63" spans="2:18" ht="15" customHeight="1" x14ac:dyDescent="0.3">
      <c r="B63" s="40">
        <v>45628</v>
      </c>
      <c r="C63" s="111">
        <v>1</v>
      </c>
      <c r="D63" s="111">
        <v>1</v>
      </c>
      <c r="E63" s="105">
        <v>340</v>
      </c>
      <c r="F63" s="146">
        <v>20132082198</v>
      </c>
      <c r="G63" s="345" t="str">
        <f>IFERROR(IF(venta_a_mes1153[[#This Row],[CUIT]]="","-",VLOOKUP(venta_a_mes1153[[#This Row],[CUIT]],Lista_CUIT[#All],2,0)),"CUIT NO CARGADO")</f>
        <v>FADIGA OSCAR ALBERTO</v>
      </c>
      <c r="H63" s="100">
        <v>488115</v>
      </c>
      <c r="I63" s="101">
        <f>venta_a_mes1153[[#This Row],[IMPORTE NETO]]*0.21</f>
        <v>102504.15</v>
      </c>
      <c r="J63" s="40"/>
      <c r="K63" s="40"/>
      <c r="L63" s="65">
        <f>SUM(venta_a_mes1153[[#This Row],[IMPORTE NETO]:[EXENTO]])</f>
        <v>590619.15</v>
      </c>
      <c r="M63" s="40"/>
    </row>
    <row r="64" spans="2:18" ht="15" customHeight="1" x14ac:dyDescent="0.3">
      <c r="B64" s="40">
        <v>45628</v>
      </c>
      <c r="C64" s="111">
        <v>1</v>
      </c>
      <c r="D64" s="111">
        <v>1</v>
      </c>
      <c r="E64" s="105">
        <v>350</v>
      </c>
      <c r="F64" s="146">
        <v>30715380567</v>
      </c>
      <c r="G64" s="345" t="str">
        <f>IFERROR(IF(venta_a_mes1153[[#This Row],[CUIT]]="","-",VLOOKUP(venta_a_mes1153[[#This Row],[CUIT]],Lista_CUIT[#All],2,0)),"CUIT NO CARGADO")</f>
        <v>SENS GROUP SRL</v>
      </c>
      <c r="H64" s="100">
        <v>519767.76</v>
      </c>
      <c r="I64" s="101">
        <f>venta_a_mes1153[[#This Row],[IMPORTE NETO]]*0.21</f>
        <v>109151.22959999999</v>
      </c>
      <c r="J64" s="40"/>
      <c r="K64" s="40"/>
      <c r="L64" s="65">
        <f>SUM(venta_a_mes1153[[#This Row],[IMPORTE NETO]:[EXENTO]])</f>
        <v>628918.98959999997</v>
      </c>
      <c r="M64" s="40"/>
    </row>
    <row r="65" spans="2:13" ht="15" customHeight="1" x14ac:dyDescent="0.3">
      <c r="B65" s="40">
        <v>45628</v>
      </c>
      <c r="C65" s="111">
        <v>1</v>
      </c>
      <c r="D65" s="111">
        <v>1</v>
      </c>
      <c r="E65" s="105">
        <v>341</v>
      </c>
      <c r="F65" s="146">
        <v>30688955749</v>
      </c>
      <c r="G65" s="345" t="str">
        <f>IFERROR(IF(venta_a_mes1153[[#This Row],[CUIT]]="","-",VLOOKUP(venta_a_mes1153[[#This Row],[CUIT]],Lista_CUIT[#All],2,0)),"CUIT NO CARGADO")</f>
        <v>LISERAR S A</v>
      </c>
      <c r="H65" s="100">
        <v>149586.76</v>
      </c>
      <c r="I65" s="101">
        <f>venta_a_mes1153[[#This Row],[IMPORTE NETO]]*0.21</f>
        <v>31413.2196</v>
      </c>
      <c r="J65" s="40"/>
      <c r="K65" s="40"/>
      <c r="L65" s="65">
        <f>SUM(venta_a_mes1153[[#This Row],[IMPORTE NETO]:[EXENTO]])</f>
        <v>180999.97960000002</v>
      </c>
      <c r="M65" s="40"/>
    </row>
    <row r="66" spans="2:13" ht="15" customHeight="1" x14ac:dyDescent="0.3">
      <c r="B66" s="40">
        <v>45628</v>
      </c>
      <c r="C66" s="111">
        <v>1</v>
      </c>
      <c r="D66" s="111">
        <v>1</v>
      </c>
      <c r="E66" s="105">
        <v>342</v>
      </c>
      <c r="F66" s="146">
        <v>20320573948</v>
      </c>
      <c r="G66" s="345" t="str">
        <f>IFERROR(IF(venta_a_mes1153[[#This Row],[CUIT]]="","-",VLOOKUP(venta_a_mes1153[[#This Row],[CUIT]],Lista_CUIT[#All],2,0)),"CUIT NO CARGADO")</f>
        <v>CAVALLOTTI MARCOS DANIEL</v>
      </c>
      <c r="H66" s="100">
        <v>149586.76</v>
      </c>
      <c r="I66" s="101">
        <f>venta_a_mes1153[[#This Row],[IMPORTE NETO]]*0.21</f>
        <v>31413.2196</v>
      </c>
      <c r="J66" s="40"/>
      <c r="K66" s="40"/>
      <c r="L66" s="65">
        <f>SUM(venta_a_mes1153[[#This Row],[IMPORTE NETO]:[EXENTO]])</f>
        <v>180999.97960000002</v>
      </c>
      <c r="M66" s="40"/>
    </row>
    <row r="67" spans="2:13" ht="15" customHeight="1" x14ac:dyDescent="0.3">
      <c r="B67" s="40">
        <v>45628</v>
      </c>
      <c r="C67" s="111">
        <v>1</v>
      </c>
      <c r="D67" s="111">
        <v>1</v>
      </c>
      <c r="E67" s="105">
        <v>343</v>
      </c>
      <c r="F67" s="146">
        <v>20279415656</v>
      </c>
      <c r="G67" s="345" t="str">
        <f>IFERROR(IF(venta_a_mes1153[[#This Row],[CUIT]]="","-",VLOOKUP(venta_a_mes1153[[#This Row],[CUIT]],Lista_CUIT[#All],2,0)),"CUIT NO CARGADO")</f>
        <v>CECCO ALVARO GONZALO</v>
      </c>
      <c r="H67" s="100">
        <v>115702.48</v>
      </c>
      <c r="I67" s="101">
        <f>venta_a_mes1153[[#This Row],[IMPORTE NETO]]*0.21</f>
        <v>24297.520799999998</v>
      </c>
      <c r="J67" s="40"/>
      <c r="K67" s="40"/>
      <c r="L67" s="65">
        <f>SUM(venta_a_mes1153[[#This Row],[IMPORTE NETO]:[EXENTO]])</f>
        <v>140000.00079999998</v>
      </c>
      <c r="M67" s="40"/>
    </row>
    <row r="68" spans="2:13" ht="15" customHeight="1" x14ac:dyDescent="0.3">
      <c r="B68" s="40">
        <v>45628</v>
      </c>
      <c r="C68" s="111">
        <v>1</v>
      </c>
      <c r="D68" s="111">
        <v>1</v>
      </c>
      <c r="E68" s="105">
        <v>331</v>
      </c>
      <c r="F68" s="146">
        <v>23107861939</v>
      </c>
      <c r="G68" s="345" t="str">
        <f>IFERROR(IF(venta_a_mes1153[[#This Row],[CUIT]]="","-",VLOOKUP(venta_a_mes1153[[#This Row],[CUIT]],Lista_CUIT[#All],2,0)),"CUIT NO CARGADO")</f>
        <v>GONZALEZ JOSE RAUL</v>
      </c>
      <c r="H68" s="100">
        <v>479338.86</v>
      </c>
      <c r="I68" s="101">
        <f>venta_a_mes1153[[#This Row],[IMPORTE NETO]]*0.21</f>
        <v>100661.16059999999</v>
      </c>
      <c r="J68" s="40"/>
      <c r="K68" s="40"/>
      <c r="L68" s="65">
        <f>SUM(venta_a_mes1153[[#This Row],[IMPORTE NETO]:[EXENTO]])</f>
        <v>580000.02059999993</v>
      </c>
      <c r="M68" s="40"/>
    </row>
    <row r="69" spans="2:13" ht="15" customHeight="1" x14ac:dyDescent="0.3">
      <c r="B69" s="40">
        <v>45628</v>
      </c>
      <c r="C69" s="111">
        <v>1</v>
      </c>
      <c r="D69" s="111">
        <v>1</v>
      </c>
      <c r="E69" s="105">
        <v>332</v>
      </c>
      <c r="F69" s="146">
        <v>27335747254</v>
      </c>
      <c r="G69" s="345" t="str">
        <f>IFERROR(IF(venta_a_mes1153[[#This Row],[CUIT]]="","-",VLOOKUP(venta_a_mes1153[[#This Row],[CUIT]],Lista_CUIT[#All],2,0)),"CUIT NO CARGADO")</f>
        <v>RODRIGUES DAIANA DENISE</v>
      </c>
      <c r="H69" s="100">
        <v>479338.86</v>
      </c>
      <c r="I69" s="101">
        <f>venta_a_mes1153[[#This Row],[IMPORTE NETO]]*0.21</f>
        <v>100661.16059999999</v>
      </c>
      <c r="J69" s="40"/>
      <c r="K69" s="40"/>
      <c r="L69" s="65">
        <f>SUM(venta_a_mes1153[[#This Row],[IMPORTE NETO]:[EXENTO]])</f>
        <v>580000.02059999993</v>
      </c>
      <c r="M69" s="40"/>
    </row>
    <row r="70" spans="2:13" ht="15" customHeight="1" x14ac:dyDescent="0.3">
      <c r="B70" s="40">
        <v>45628</v>
      </c>
      <c r="C70" s="111">
        <v>1</v>
      </c>
      <c r="D70" s="111">
        <v>1</v>
      </c>
      <c r="E70" s="105">
        <v>344</v>
      </c>
      <c r="F70" s="146">
        <v>30718295900</v>
      </c>
      <c r="G70" s="345" t="str">
        <f>IFERROR(IF(venta_a_mes1153[[#This Row],[CUIT]]="","-",VLOOKUP(venta_a_mes1153[[#This Row],[CUIT]],Lista_CUIT[#All],2,0)),"CUIT NO CARGADO")</f>
        <v>LAPTOP SERVICE S.R.L.</v>
      </c>
      <c r="H70" s="100">
        <v>70247.95</v>
      </c>
      <c r="I70" s="101">
        <f>venta_a_mes1153[[#This Row],[IMPORTE NETO]]*0.21</f>
        <v>14752.0695</v>
      </c>
      <c r="J70" s="40"/>
      <c r="K70" s="40"/>
      <c r="L70" s="65">
        <f>SUM(venta_a_mes1153[[#This Row],[IMPORTE NETO]:[EXENTO]])</f>
        <v>85000.019499999995</v>
      </c>
      <c r="M70" s="40"/>
    </row>
    <row r="71" spans="2:13" ht="15" customHeight="1" x14ac:dyDescent="0.3">
      <c r="B71" s="40">
        <v>45628</v>
      </c>
      <c r="C71" s="111">
        <v>1</v>
      </c>
      <c r="D71" s="111">
        <v>1</v>
      </c>
      <c r="E71" s="105">
        <v>333</v>
      </c>
      <c r="F71" s="146">
        <v>20238882975</v>
      </c>
      <c r="G71" s="345" t="str">
        <f>IFERROR(IF(venta_a_mes1153[[#This Row],[CUIT]]="","-",VLOOKUP(venta_a_mes1153[[#This Row],[CUIT]],Lista_CUIT[#All],2,0)),"CUIT NO CARGADO")</f>
        <v>NARVAEZ SANTIAGO GABRIEL</v>
      </c>
      <c r="H71" s="100">
        <v>479338.86</v>
      </c>
      <c r="I71" s="101">
        <f>venta_a_mes1153[[#This Row],[IMPORTE NETO]]*0.21</f>
        <v>100661.16059999999</v>
      </c>
      <c r="J71" s="40"/>
      <c r="K71" s="40"/>
      <c r="L71" s="65">
        <f>SUM(venta_a_mes1153[[#This Row],[IMPORTE NETO]:[EXENTO]])</f>
        <v>580000.02059999993</v>
      </c>
      <c r="M71" s="40"/>
    </row>
    <row r="72" spans="2:13" ht="15" customHeight="1" x14ac:dyDescent="0.3">
      <c r="B72" s="40">
        <v>45628</v>
      </c>
      <c r="C72" s="111">
        <v>1</v>
      </c>
      <c r="D72" s="111">
        <v>1</v>
      </c>
      <c r="E72" s="105">
        <v>345</v>
      </c>
      <c r="F72" s="146">
        <v>30717973166</v>
      </c>
      <c r="G72" s="345" t="str">
        <f>IFERROR(IF(venta_a_mes1153[[#This Row],[CUIT]]="","-",VLOOKUP(venta_a_mes1153[[#This Row],[CUIT]],Lista_CUIT[#All],2,0)),"CUIT NO CARGADO")</f>
        <v>STM ESTILO S.R.L</v>
      </c>
      <c r="H72" s="100">
        <v>70247.95</v>
      </c>
      <c r="I72" s="101">
        <f>venta_a_mes1153[[#This Row],[IMPORTE NETO]]*0.21</f>
        <v>14752.0695</v>
      </c>
      <c r="J72" s="40"/>
      <c r="K72" s="40"/>
      <c r="L72" s="65">
        <f>SUM(venta_a_mes1153[[#This Row],[IMPORTE NETO]:[EXENTO]])</f>
        <v>85000.019499999995</v>
      </c>
      <c r="M72" s="40"/>
    </row>
    <row r="73" spans="2:13" ht="15" customHeight="1" x14ac:dyDescent="0.3">
      <c r="B73" s="40">
        <v>45628</v>
      </c>
      <c r="C73" s="111">
        <v>1</v>
      </c>
      <c r="D73" s="111">
        <v>1</v>
      </c>
      <c r="E73" s="105">
        <v>334</v>
      </c>
      <c r="F73" s="146">
        <v>30718553357</v>
      </c>
      <c r="G73" s="345" t="str">
        <f>IFERROR(IF(venta_a_mes1153[[#This Row],[CUIT]]="","-",VLOOKUP(venta_a_mes1153[[#This Row],[CUIT]],Lista_CUIT[#All],2,0)),"CUIT NO CARGADO")</f>
        <v>EMIGRA CON TU MASCOTA S.R.L.</v>
      </c>
      <c r="H73" s="100">
        <v>479338.86</v>
      </c>
      <c r="I73" s="101">
        <f>venta_a_mes1153[[#This Row],[IMPORTE NETO]]*0.21</f>
        <v>100661.16059999999</v>
      </c>
      <c r="J73" s="40"/>
      <c r="K73" s="40"/>
      <c r="L73" s="65">
        <f>SUM(venta_a_mes1153[[#This Row],[IMPORTE NETO]:[EXENTO]])</f>
        <v>580000.02059999993</v>
      </c>
      <c r="M73" s="40"/>
    </row>
    <row r="74" spans="2:13" ht="15" customHeight="1" x14ac:dyDescent="0.3">
      <c r="B74" s="40">
        <v>45628</v>
      </c>
      <c r="C74" s="111">
        <v>1</v>
      </c>
      <c r="D74" s="111">
        <v>1</v>
      </c>
      <c r="E74" s="105">
        <v>346</v>
      </c>
      <c r="F74" s="146">
        <v>20287305460</v>
      </c>
      <c r="G74" s="345" t="str">
        <f>IFERROR(IF(venta_a_mes1153[[#This Row],[CUIT]]="","-",VLOOKUP(venta_a_mes1153[[#This Row],[CUIT]],Lista_CUIT[#All],2,0)),"CUIT NO CARGADO")</f>
        <v>LANDI GERONIMO</v>
      </c>
      <c r="H74" s="100">
        <v>70247.95</v>
      </c>
      <c r="I74" s="101">
        <f>venta_a_mes1153[[#This Row],[IMPORTE NETO]]*0.21</f>
        <v>14752.0695</v>
      </c>
      <c r="J74" s="40"/>
      <c r="K74" s="40"/>
      <c r="L74" s="65">
        <f>SUM(venta_a_mes1153[[#This Row],[IMPORTE NETO]:[EXENTO]])</f>
        <v>85000.019499999995</v>
      </c>
      <c r="M74" s="40"/>
    </row>
    <row r="75" spans="2:13" ht="15" customHeight="1" x14ac:dyDescent="0.3">
      <c r="B75" s="40">
        <v>45628</v>
      </c>
      <c r="C75" s="111">
        <v>1</v>
      </c>
      <c r="D75" s="111">
        <v>1</v>
      </c>
      <c r="E75" s="105">
        <v>335</v>
      </c>
      <c r="F75" s="146">
        <v>30718631730</v>
      </c>
      <c r="G75" s="345" t="str">
        <f>IFERROR(IF(venta_a_mes1153[[#This Row],[CUIT]]="","-",VLOOKUP(venta_a_mes1153[[#This Row],[CUIT]],Lista_CUIT[#All],2,0)),"CUIT NO CARGADO")</f>
        <v>SIMZ S. R. L.</v>
      </c>
      <c r="H75" s="100">
        <v>479338.86</v>
      </c>
      <c r="I75" s="101">
        <f>venta_a_mes1153[[#This Row],[IMPORTE NETO]]*0.21</f>
        <v>100661.16059999999</v>
      </c>
      <c r="J75" s="40"/>
      <c r="K75" s="40"/>
      <c r="L75" s="65">
        <f>SUM(venta_a_mes1153[[#This Row],[IMPORTE NETO]:[EXENTO]])</f>
        <v>580000.02059999993</v>
      </c>
      <c r="M75" s="40"/>
    </row>
    <row r="76" spans="2:13" ht="15" customHeight="1" x14ac:dyDescent="0.3">
      <c r="B76" s="40">
        <v>45628</v>
      </c>
      <c r="C76" s="111">
        <v>1</v>
      </c>
      <c r="D76" s="111">
        <v>1</v>
      </c>
      <c r="E76" s="105">
        <v>347</v>
      </c>
      <c r="F76" s="146">
        <v>30717465101</v>
      </c>
      <c r="G76" s="345" t="str">
        <f>IFERROR(IF(venta_a_mes1153[[#This Row],[CUIT]]="","-",VLOOKUP(venta_a_mes1153[[#This Row],[CUIT]],Lista_CUIT[#All],2,0)),"CUIT NO CARGADO")</f>
        <v>EMPRENDIMIENTOS SHOPGLASS S. R. L.</v>
      </c>
      <c r="H76" s="100">
        <v>70247.95</v>
      </c>
      <c r="I76" s="101">
        <f>venta_a_mes1153[[#This Row],[IMPORTE NETO]]*0.21</f>
        <v>14752.0695</v>
      </c>
      <c r="J76" s="40"/>
      <c r="K76" s="40"/>
      <c r="L76" s="65">
        <f>SUM(venta_a_mes1153[[#This Row],[IMPORTE NETO]:[EXENTO]])</f>
        <v>85000.019499999995</v>
      </c>
      <c r="M76" s="40"/>
    </row>
    <row r="77" spans="2:13" ht="15" customHeight="1" x14ac:dyDescent="0.3">
      <c r="B77" s="40">
        <v>45628</v>
      </c>
      <c r="C77" s="111">
        <v>1</v>
      </c>
      <c r="D77" s="111">
        <v>1</v>
      </c>
      <c r="E77" s="105">
        <v>336</v>
      </c>
      <c r="F77" s="146">
        <v>33716094559</v>
      </c>
      <c r="G77" s="345" t="str">
        <f>IFERROR(IF(venta_a_mes1153[[#This Row],[CUIT]]="","-",VLOOKUP(venta_a_mes1153[[#This Row],[CUIT]],Lista_CUIT[#All],2,0)),"CUIT NO CARGADO")</f>
        <v>NORDENPET SRL</v>
      </c>
      <c r="H77" s="100">
        <v>428099.19</v>
      </c>
      <c r="I77" s="101">
        <f>venta_a_mes1153[[#This Row],[IMPORTE NETO]]*0.21</f>
        <v>89900.829899999997</v>
      </c>
      <c r="J77" s="40"/>
      <c r="K77" s="40"/>
      <c r="L77" s="65">
        <f>SUM(venta_a_mes1153[[#This Row],[IMPORTE NETO]:[EXENTO]])</f>
        <v>518000.01990000001</v>
      </c>
      <c r="M77" s="40"/>
    </row>
    <row r="78" spans="2:13" ht="15" customHeight="1" x14ac:dyDescent="0.3">
      <c r="B78" s="40">
        <v>45628</v>
      </c>
      <c r="C78" s="111">
        <v>1</v>
      </c>
      <c r="D78" s="111">
        <v>1</v>
      </c>
      <c r="E78" s="105">
        <v>348</v>
      </c>
      <c r="F78" s="146">
        <v>20367341808</v>
      </c>
      <c r="G78" s="345" t="str">
        <f>IFERROR(IF(venta_a_mes1153[[#This Row],[CUIT]]="","-",VLOOKUP(venta_a_mes1153[[#This Row],[CUIT]],Lista_CUIT[#All],2,0)),"CUIT NO CARGADO")</f>
        <v>FEIDAS FERNANDO EMILIANO</v>
      </c>
      <c r="H78" s="100">
        <v>70247.95</v>
      </c>
      <c r="I78" s="101">
        <f>venta_a_mes1153[[#This Row],[IMPORTE NETO]]*0.21</f>
        <v>14752.0695</v>
      </c>
      <c r="J78" s="40"/>
      <c r="K78" s="40"/>
      <c r="L78" s="65">
        <f>SUM(venta_a_mes1153[[#This Row],[IMPORTE NETO]:[EXENTO]])</f>
        <v>85000.019499999995</v>
      </c>
      <c r="M78" s="40"/>
    </row>
    <row r="79" spans="2:13" ht="15" customHeight="1" x14ac:dyDescent="0.3">
      <c r="B79" s="40">
        <v>45628</v>
      </c>
      <c r="C79" s="111">
        <v>1</v>
      </c>
      <c r="D79" s="111">
        <v>1</v>
      </c>
      <c r="E79" s="105">
        <v>337</v>
      </c>
      <c r="F79" s="146">
        <v>30716914077</v>
      </c>
      <c r="G79" s="345" t="str">
        <f>IFERROR(IF(venta_a_mes1153[[#This Row],[CUIT]]="","-",VLOOKUP(venta_a_mes1153[[#This Row],[CUIT]],Lista_CUIT[#All],2,0)),"CUIT NO CARGADO")</f>
        <v>BACANES</v>
      </c>
      <c r="H79" s="100">
        <v>599140.62</v>
      </c>
      <c r="I79" s="101">
        <f>venta_a_mes1153[[#This Row],[IMPORTE NETO]]*0.21</f>
        <v>125819.53019999999</v>
      </c>
      <c r="J79" s="40"/>
      <c r="K79" s="40"/>
      <c r="L79" s="65">
        <f>SUM(venta_a_mes1153[[#This Row],[IMPORTE NETO]:[EXENTO]])</f>
        <v>724960.15020000003</v>
      </c>
      <c r="M79" s="40"/>
    </row>
    <row r="80" spans="2:13" ht="15" customHeight="1" x14ac:dyDescent="0.3">
      <c r="B80" s="40">
        <v>45628</v>
      </c>
      <c r="C80" s="111">
        <v>1</v>
      </c>
      <c r="D80" s="111">
        <v>1</v>
      </c>
      <c r="E80" s="105">
        <v>349</v>
      </c>
      <c r="F80" s="146">
        <v>30717969061</v>
      </c>
      <c r="G80" s="345" t="str">
        <f>IFERROR(IF(venta_a_mes1153[[#This Row],[CUIT]]="","-",VLOOKUP(venta_a_mes1153[[#This Row],[CUIT]],Lista_CUIT[#All],2,0)),"CUIT NO CARGADO")</f>
        <v>FABIO Y RAUL ROSSO S.A.S.</v>
      </c>
      <c r="H80" s="100">
        <v>70247.95</v>
      </c>
      <c r="I80" s="101">
        <f>venta_a_mes1153[[#This Row],[IMPORTE NETO]]*0.21</f>
        <v>14752.0695</v>
      </c>
      <c r="J80" s="40"/>
      <c r="K80" s="40"/>
      <c r="L80" s="65">
        <f>SUM(venta_a_mes1153[[#This Row],[IMPORTE NETO]:[EXENTO]])</f>
        <v>85000.019499999995</v>
      </c>
      <c r="M80" s="40"/>
    </row>
    <row r="81" spans="2:13" ht="15" customHeight="1" x14ac:dyDescent="0.3">
      <c r="B81" s="40">
        <v>45628</v>
      </c>
      <c r="C81" s="111">
        <v>1</v>
      </c>
      <c r="D81" s="111">
        <v>1</v>
      </c>
      <c r="E81" s="105">
        <v>338</v>
      </c>
      <c r="F81" s="146">
        <v>24368969350</v>
      </c>
      <c r="G81" s="345" t="str">
        <f>IFERROR(IF(venta_a_mes1153[[#This Row],[CUIT]]="","-",VLOOKUP(venta_a_mes1153[[#This Row],[CUIT]],Lista_CUIT[#All],2,0)),"CUIT NO CARGADO")</f>
        <v>MARANO CORVALAN MARTIN MARIANO</v>
      </c>
      <c r="H81" s="100">
        <v>214049.57</v>
      </c>
      <c r="I81" s="101">
        <f>venta_a_mes1153[[#This Row],[IMPORTE NETO]]*0.21</f>
        <v>44950.409699999997</v>
      </c>
      <c r="J81" s="40"/>
      <c r="K81" s="40"/>
      <c r="L81" s="65">
        <f>SUM(venta_a_mes1153[[#This Row],[IMPORTE NETO]:[EXENTO]])</f>
        <v>258999.9797</v>
      </c>
      <c r="M81" s="40"/>
    </row>
    <row r="82" spans="2:13" ht="15" customHeight="1" x14ac:dyDescent="0.3">
      <c r="B82" s="40">
        <v>45628</v>
      </c>
      <c r="C82" s="111">
        <v>1</v>
      </c>
      <c r="D82" s="111">
        <v>1</v>
      </c>
      <c r="E82" s="105">
        <v>339</v>
      </c>
      <c r="F82" s="146">
        <v>30716549107</v>
      </c>
      <c r="G82" s="345" t="str">
        <f>IFERROR(IF(venta_a_mes1153[[#This Row],[CUIT]]="","-",VLOOKUP(venta_a_mes1153[[#This Row],[CUIT]],Lista_CUIT[#All],2,0)),"CUIT NO CARGADO")</f>
        <v>LAMATEC S.R.L.</v>
      </c>
      <c r="H82" s="100">
        <v>299173.57</v>
      </c>
      <c r="I82" s="101">
        <f>venta_a_mes1153[[#This Row],[IMPORTE NETO]]*0.21</f>
        <v>62826.449699999997</v>
      </c>
      <c r="J82" s="40"/>
      <c r="K82" s="40"/>
      <c r="L82" s="65">
        <f>SUM(venta_a_mes1153[[#This Row],[IMPORTE NETO]:[EXENTO]])</f>
        <v>362000.0197</v>
      </c>
      <c r="M82" s="40"/>
    </row>
    <row r="83" spans="2:13" ht="15" customHeight="1" x14ac:dyDescent="0.3">
      <c r="B83" s="40">
        <v>45643</v>
      </c>
      <c r="C83" s="111">
        <v>1</v>
      </c>
      <c r="D83" s="111">
        <v>1</v>
      </c>
      <c r="E83" s="105">
        <v>351</v>
      </c>
      <c r="F83" s="146">
        <v>30709058807</v>
      </c>
      <c r="G83" s="345" t="str">
        <f>IFERROR(IF(venta_a_mes1153[[#This Row],[CUIT]]="","-",VLOOKUP(venta_a_mes1153[[#This Row],[CUIT]],Lista_CUIT[#All],2,0)),"CUIT NO CARGADO")</f>
        <v>LA VALENZIANA S.R.L.</v>
      </c>
      <c r="H83" s="100">
        <v>479338.86</v>
      </c>
      <c r="I83" s="101">
        <f>venta_a_mes1153[[#This Row],[IMPORTE NETO]]*0.21</f>
        <v>100661.16059999999</v>
      </c>
      <c r="J83" s="40"/>
      <c r="K83" s="40"/>
      <c r="L83" s="65">
        <f>SUM(venta_a_mes1153[[#This Row],[IMPORTE NETO]:[EXENTO]])</f>
        <v>580000.02059999993</v>
      </c>
      <c r="M83" s="40"/>
    </row>
    <row r="84" spans="2:13" ht="15" customHeight="1" x14ac:dyDescent="0.3">
      <c r="B84" s="40">
        <v>45657</v>
      </c>
      <c r="C84" s="111">
        <v>1</v>
      </c>
      <c r="D84" s="111">
        <v>1</v>
      </c>
      <c r="E84" s="105">
        <v>352</v>
      </c>
      <c r="F84" s="146">
        <v>30717969061</v>
      </c>
      <c r="G84" s="345" t="str">
        <f>IFERROR(IF(venta_a_mes1153[[#This Row],[CUIT]]="","-",VLOOKUP(venta_a_mes1153[[#This Row],[CUIT]],Lista_CUIT[#All],2,0)),"CUIT NO CARGADO")</f>
        <v>FABIO Y RAUL ROSSO S.A.S.</v>
      </c>
      <c r="H84" s="100">
        <v>140495.9</v>
      </c>
      <c r="I84" s="101">
        <f>venta_a_mes1153[[#This Row],[IMPORTE NETO]]*0.21</f>
        <v>29504.138999999999</v>
      </c>
      <c r="J84" s="40"/>
      <c r="K84" s="40"/>
      <c r="L84" s="65">
        <f>SUM(venta_a_mes1153[[#This Row],[IMPORTE NETO]:[EXENTO]])</f>
        <v>170000.03899999999</v>
      </c>
      <c r="M84" s="40"/>
    </row>
    <row r="85" spans="2:13" ht="15" customHeight="1" x14ac:dyDescent="0.3">
      <c r="B85" s="40">
        <v>45657</v>
      </c>
      <c r="C85" s="111">
        <v>3</v>
      </c>
      <c r="D85" s="111">
        <v>1</v>
      </c>
      <c r="E85" s="105">
        <v>20</v>
      </c>
      <c r="F85" s="146">
        <v>30717465101</v>
      </c>
      <c r="G85" s="345" t="str">
        <f>IFERROR(IF(venta_a_mes1153[[#This Row],[CUIT]]="","-",VLOOKUP(venta_a_mes1153[[#This Row],[CUIT]],Lista_CUIT[#All],2,0)),"CUIT NO CARGADO")</f>
        <v>EMPRENDIMIENTOS SHOPGLASS S. R. L.</v>
      </c>
      <c r="H85" s="100">
        <v>-70247.95</v>
      </c>
      <c r="I85" s="101">
        <f>venta_a_mes1153[[#This Row],[IMPORTE NETO]]*0.21</f>
        <v>-14752.0695</v>
      </c>
      <c r="J85" s="40"/>
      <c r="K85" s="40"/>
      <c r="L85" s="65">
        <f>SUM(venta_a_mes1153[[#This Row],[IMPORTE NETO]:[EXENTO]])</f>
        <v>-85000.019499999995</v>
      </c>
      <c r="M85" s="40"/>
    </row>
    <row r="86" spans="2:13" ht="15" customHeight="1" x14ac:dyDescent="0.3">
      <c r="B86" s="40">
        <v>45657</v>
      </c>
      <c r="C86" s="111">
        <v>3</v>
      </c>
      <c r="D86" s="111">
        <v>1</v>
      </c>
      <c r="E86" s="105">
        <v>21</v>
      </c>
      <c r="F86" s="146">
        <v>20367341808</v>
      </c>
      <c r="G86" s="345" t="str">
        <f>IFERROR(IF(venta_a_mes1153[[#This Row],[CUIT]]="","-",VLOOKUP(venta_a_mes1153[[#This Row],[CUIT]],Lista_CUIT[#All],2,0)),"CUIT NO CARGADO")</f>
        <v>FEIDAS FERNANDO EMILIANO</v>
      </c>
      <c r="H86" s="100">
        <v>-70247.95</v>
      </c>
      <c r="I86" s="101">
        <f>venta_a_mes1153[[#This Row],[IMPORTE NETO]]*0.21</f>
        <v>-14752.0695</v>
      </c>
      <c r="J86" s="40"/>
      <c r="K86" s="40"/>
      <c r="L86" s="65">
        <f>SUM(venta_a_mes1153[[#This Row],[IMPORTE NETO]:[EXENTO]])</f>
        <v>-85000.019499999995</v>
      </c>
      <c r="M86" s="40"/>
    </row>
    <row r="87" spans="2:13" ht="15" customHeight="1" x14ac:dyDescent="0.3">
      <c r="B87" s="40">
        <v>45657</v>
      </c>
      <c r="C87" s="111">
        <v>3</v>
      </c>
      <c r="D87" s="111">
        <v>1</v>
      </c>
      <c r="E87" s="105">
        <v>19</v>
      </c>
      <c r="F87" s="146">
        <v>20238882975</v>
      </c>
      <c r="G87" s="345" t="str">
        <f>IFERROR(IF(venta_a_mes1153[[#This Row],[CUIT]]="","-",VLOOKUP(venta_a_mes1153[[#This Row],[CUIT]],Lista_CUIT[#All],2,0)),"CUIT NO CARGADO")</f>
        <v>NARVAEZ SANTIAGO GABRIEL</v>
      </c>
      <c r="H87" s="100">
        <v>-479338.86</v>
      </c>
      <c r="I87" s="101">
        <f>venta_a_mes1153[[#This Row],[IMPORTE NETO]]*0.21</f>
        <v>-100661.16059999999</v>
      </c>
      <c r="J87" s="40"/>
      <c r="K87" s="40"/>
      <c r="L87" s="65">
        <f>SUM(venta_a_mes1153[[#This Row],[IMPORTE NETO]:[EXENTO]])</f>
        <v>-580000.02059999993</v>
      </c>
      <c r="M87" s="40"/>
    </row>
    <row r="88" spans="2:13" x14ac:dyDescent="0.3">
      <c r="B88" s="66" t="s">
        <v>91</v>
      </c>
      <c r="C88" s="67"/>
      <c r="D88" s="67"/>
      <c r="E88" s="67"/>
      <c r="F88" s="67"/>
      <c r="G88" s="67"/>
      <c r="H88" s="69">
        <f>SUBTOTAL(109,venta_a_mes1153[IMPORTE NETO])</f>
        <v>6260742.5700000022</v>
      </c>
      <c r="I88" s="70">
        <f>SUBTOTAL(109,venta_a_mes1153[IVA 21%])</f>
        <v>1314755.9396999995</v>
      </c>
      <c r="J88" s="71">
        <f>SUBTOTAL(109,venta_a_mes1153[IVA 10,5%])</f>
        <v>0</v>
      </c>
      <c r="K88" s="71">
        <f>SUBTOTAL(109,venta_a_mes1153[EXENTO])</f>
        <v>0</v>
      </c>
      <c r="L88" s="71">
        <f>SUBTOTAL(109,venta_a_mes1153[TOTAL])</f>
        <v>7575498.5097000003</v>
      </c>
      <c r="M88" s="68">
        <f>SUBTOTAL(103,venta_a_mes1153[Provincia])</f>
        <v>0</v>
      </c>
    </row>
    <row r="89" spans="2:13" x14ac:dyDescent="0.3">
      <c r="B89" s="135"/>
      <c r="C89" s="135"/>
      <c r="D89" s="135"/>
      <c r="E89" s="135"/>
      <c r="F89" s="135"/>
      <c r="G89" s="135"/>
      <c r="H89" s="137"/>
      <c r="I89" s="138"/>
      <c r="J89" s="139"/>
      <c r="K89" s="139"/>
      <c r="L89" s="139"/>
      <c r="M89" s="136"/>
    </row>
    <row r="90" spans="2:13" ht="21" x14ac:dyDescent="0.3">
      <c r="B90" s="365" t="s">
        <v>31</v>
      </c>
      <c r="C90" s="365"/>
    </row>
    <row r="91" spans="2:13" ht="15.6" x14ac:dyDescent="0.3">
      <c r="B91" s="60" t="s">
        <v>0</v>
      </c>
      <c r="C91" s="61" t="s">
        <v>1</v>
      </c>
      <c r="D91" s="61" t="s">
        <v>21</v>
      </c>
      <c r="E91" s="61" t="s">
        <v>22</v>
      </c>
      <c r="F91" s="61" t="s">
        <v>3</v>
      </c>
      <c r="G91" s="61" t="s">
        <v>4</v>
      </c>
      <c r="H91" s="61" t="s">
        <v>23</v>
      </c>
      <c r="I91" s="61" t="s">
        <v>17</v>
      </c>
      <c r="J91" s="61" t="s">
        <v>7</v>
      </c>
      <c r="K91" s="61" t="s">
        <v>24</v>
      </c>
      <c r="L91" s="61" t="s">
        <v>10</v>
      </c>
      <c r="M91" s="62" t="s">
        <v>38</v>
      </c>
    </row>
    <row r="92" spans="2:13" x14ac:dyDescent="0.3">
      <c r="B92" s="117">
        <v>45628</v>
      </c>
      <c r="C92" s="147">
        <v>6</v>
      </c>
      <c r="D92" s="148">
        <v>1</v>
      </c>
      <c r="E92" s="130">
        <v>47</v>
      </c>
      <c r="F92" s="132">
        <v>20252582704</v>
      </c>
      <c r="G92" s="1" t="str">
        <f>IFERROR(IF(ventas_b_mes1154[[#This Row],[CUIT]]="","-",VLOOKUP(ventas_b_mes1154[[#This Row],[CUIT]],Lista_CUIT[#All],2,0)),"CUIT NO CARGADO")</f>
        <v>GARCIA VAUTRIN ANDRES ALBERTO</v>
      </c>
      <c r="H92" s="64">
        <v>215702.48</v>
      </c>
      <c r="I92" s="133">
        <f>ventas_b_mes1154[[#This Row],[IMPORTE NETO]]*0.21</f>
        <v>45297.520799999998</v>
      </c>
      <c r="J92" s="134"/>
      <c r="K92" s="134"/>
      <c r="L92" s="134">
        <f>ventas_b_mes1154[[#This Row],[EXENTO]]+ventas_b_mes1154[[#This Row],[IVA 10,5%]]+ventas_b_mes1154[[#This Row],[IVA 21%]]+ventas_b_mes1154[[#This Row],[IMPORTE NETO]]</f>
        <v>261000.00080000001</v>
      </c>
      <c r="M92" s="59"/>
    </row>
    <row r="93" spans="2:13" x14ac:dyDescent="0.3">
      <c r="B93" s="117">
        <v>45657</v>
      </c>
      <c r="C93" s="147">
        <v>6</v>
      </c>
      <c r="D93" s="148">
        <v>1</v>
      </c>
      <c r="E93" s="130">
        <v>48</v>
      </c>
      <c r="F93" s="132">
        <v>20252582704</v>
      </c>
      <c r="G93" s="1" t="str">
        <f>IFERROR(IF(ventas_b_mes1154[[#This Row],[CUIT]]="","-",VLOOKUP(ventas_b_mes1154[[#This Row],[CUIT]],Lista_CUIT[#All],2,0)),"CUIT NO CARGADO")</f>
        <v>GARCIA VAUTRIN ANDRES ALBERTO</v>
      </c>
      <c r="H93" s="64">
        <v>299173.57</v>
      </c>
      <c r="I93" s="133">
        <f>ventas_b_mes1154[[#This Row],[IMPORTE NETO]]*0.21</f>
        <v>62826.449699999997</v>
      </c>
      <c r="J93" s="134"/>
      <c r="K93" s="134"/>
      <c r="L93" s="134">
        <f>ventas_b_mes1154[[#This Row],[EXENTO]]+ventas_b_mes1154[[#This Row],[IVA 10,5%]]+ventas_b_mes1154[[#This Row],[IVA 21%]]+ventas_b_mes1154[[#This Row],[IMPORTE NETO]]</f>
        <v>362000.0197</v>
      </c>
      <c r="M93" s="59"/>
    </row>
    <row r="94" spans="2:13" x14ac:dyDescent="0.3">
      <c r="B94" s="117">
        <v>45657</v>
      </c>
      <c r="C94" s="147">
        <v>8</v>
      </c>
      <c r="D94" s="148">
        <v>1</v>
      </c>
      <c r="E94" s="130">
        <v>3</v>
      </c>
      <c r="F94" s="132">
        <v>20252582704</v>
      </c>
      <c r="G94" s="1" t="str">
        <f>IFERROR(IF(ventas_b_mes1154[[#This Row],[CUIT]]="","-",VLOOKUP(ventas_b_mes1154[[#This Row],[CUIT]],Lista_CUIT[#All],2,0)),"CUIT NO CARGADO")</f>
        <v>GARCIA VAUTRIN ANDRES ALBERTO</v>
      </c>
      <c r="H94" s="64">
        <v>-215702.48</v>
      </c>
      <c r="I94" s="133">
        <f>ventas_b_mes1154[[#This Row],[IMPORTE NETO]]*0.21</f>
        <v>-45297.520799999998</v>
      </c>
      <c r="J94" s="134"/>
      <c r="K94" s="134"/>
      <c r="L94" s="134">
        <f>ventas_b_mes1154[[#This Row],[EXENTO]]+ventas_b_mes1154[[#This Row],[IVA 10,5%]]+ventas_b_mes1154[[#This Row],[IVA 21%]]+ventas_b_mes1154[[#This Row],[IMPORTE NETO]]</f>
        <v>-261000.00080000001</v>
      </c>
      <c r="M94" s="59"/>
    </row>
    <row r="95" spans="2:13" x14ac:dyDescent="0.3">
      <c r="B95" s="117"/>
      <c r="C95" s="147"/>
      <c r="D95" s="148"/>
      <c r="E95" s="130"/>
      <c r="F95" s="132"/>
      <c r="G95" s="1" t="str">
        <f>IFERROR(IF(ventas_b_mes1154[[#This Row],[CUIT]]="","-",VLOOKUP(ventas_b_mes1154[[#This Row],[CUIT]],Lista_CUIT[#All],2,0)),"CUIT NO CARGADO")</f>
        <v>-</v>
      </c>
      <c r="H95" s="64"/>
      <c r="I95" s="133">
        <f>ventas_b_mes1154[[#This Row],[IMPORTE NETO]]*0.21</f>
        <v>0</v>
      </c>
      <c r="J95" s="134"/>
      <c r="K95" s="134"/>
      <c r="L95" s="134">
        <f>ventas_b_mes1154[[#This Row],[EXENTO]]+ventas_b_mes1154[[#This Row],[IVA 10,5%]]+ventas_b_mes1154[[#This Row],[IVA 21%]]+ventas_b_mes1154[[#This Row],[IMPORTE NETO]]</f>
        <v>0</v>
      </c>
      <c r="M95" s="59"/>
    </row>
    <row r="96" spans="2:13" x14ac:dyDescent="0.3">
      <c r="B96" s="117"/>
      <c r="C96" s="147"/>
      <c r="D96" s="148"/>
      <c r="E96" s="130"/>
      <c r="F96" s="132"/>
      <c r="G96" s="1" t="str">
        <f>IFERROR(IF(ventas_b_mes1154[[#This Row],[CUIT]]="","-",VLOOKUP(ventas_b_mes1154[[#This Row],[CUIT]],Lista_CUIT[#All],2,0)),"CUIT NO CARGADO")</f>
        <v>-</v>
      </c>
      <c r="H96" s="64"/>
      <c r="I96" s="133">
        <f>ventas_b_mes1154[[#This Row],[IMPORTE NETO]]*0.21</f>
        <v>0</v>
      </c>
      <c r="J96" s="134"/>
      <c r="K96" s="134"/>
      <c r="L96" s="134">
        <f>ventas_b_mes1154[[#This Row],[EXENTO]]+ventas_b_mes1154[[#This Row],[IVA 10,5%]]+ventas_b_mes1154[[#This Row],[IVA 21%]]+ventas_b_mes1154[[#This Row],[IMPORTE NETO]]</f>
        <v>0</v>
      </c>
      <c r="M96" s="59"/>
    </row>
    <row r="97" spans="2:13" x14ac:dyDescent="0.3">
      <c r="B97" s="117"/>
      <c r="C97" s="147"/>
      <c r="D97" s="148"/>
      <c r="E97" s="130"/>
      <c r="F97" s="132"/>
      <c r="G97" s="1" t="str">
        <f>IFERROR(IF(ventas_b_mes1154[[#This Row],[CUIT]]="","-",VLOOKUP(ventas_b_mes1154[[#This Row],[CUIT]],Lista_CUIT[#All],2,0)),"CUIT NO CARGADO")</f>
        <v>-</v>
      </c>
      <c r="H97" s="64"/>
      <c r="I97" s="133">
        <f>ventas_b_mes1154[[#This Row],[IMPORTE NETO]]*0.21</f>
        <v>0</v>
      </c>
      <c r="J97" s="134"/>
      <c r="K97" s="134"/>
      <c r="L97" s="134">
        <f>ventas_b_mes1154[[#This Row],[EXENTO]]+ventas_b_mes1154[[#This Row],[IVA 10,5%]]+ventas_b_mes1154[[#This Row],[IVA 21%]]+ventas_b_mes1154[[#This Row],[IMPORTE NETO]]</f>
        <v>0</v>
      </c>
      <c r="M97" s="59"/>
    </row>
    <row r="98" spans="2:13" x14ac:dyDescent="0.3">
      <c r="B98" s="117"/>
      <c r="C98" s="147"/>
      <c r="D98" s="148"/>
      <c r="E98" s="130"/>
      <c r="F98" s="132"/>
      <c r="G98" s="1" t="str">
        <f>IFERROR(IF(ventas_b_mes1154[[#This Row],[CUIT]]="","-",VLOOKUP(ventas_b_mes1154[[#This Row],[CUIT]],Lista_CUIT[#All],2,0)),"CUIT NO CARGADO")</f>
        <v>-</v>
      </c>
      <c r="H98" s="64"/>
      <c r="I98" s="133">
        <f>ventas_b_mes1154[[#This Row],[IMPORTE NETO]]*0.21</f>
        <v>0</v>
      </c>
      <c r="J98" s="134"/>
      <c r="K98" s="134"/>
      <c r="L98" s="134">
        <f>ventas_b_mes1154[[#This Row],[EXENTO]]+ventas_b_mes1154[[#This Row],[IVA 10,5%]]+ventas_b_mes1154[[#This Row],[IVA 21%]]+ventas_b_mes1154[[#This Row],[IMPORTE NETO]]</f>
        <v>0</v>
      </c>
      <c r="M98" s="59"/>
    </row>
    <row r="99" spans="2:13" x14ac:dyDescent="0.3">
      <c r="B99" s="117"/>
      <c r="C99" s="147"/>
      <c r="D99" s="148"/>
      <c r="E99" s="130"/>
      <c r="F99" s="132"/>
      <c r="G99" s="1" t="str">
        <f>IFERROR(IF(ventas_b_mes1154[[#This Row],[CUIT]]="","-",VLOOKUP(ventas_b_mes1154[[#This Row],[CUIT]],Lista_CUIT[#All],2,0)),"CUIT NO CARGADO")</f>
        <v>-</v>
      </c>
      <c r="H99" s="64"/>
      <c r="I99" s="133">
        <f>ventas_b_mes1154[[#This Row],[IMPORTE NETO]]*0.21</f>
        <v>0</v>
      </c>
      <c r="J99" s="134"/>
      <c r="K99" s="134"/>
      <c r="L99" s="134">
        <f>ventas_b_mes1154[[#This Row],[EXENTO]]+ventas_b_mes1154[[#This Row],[IVA 10,5%]]+ventas_b_mes1154[[#This Row],[IVA 21%]]+ventas_b_mes1154[[#This Row],[IMPORTE NETO]]</f>
        <v>0</v>
      </c>
      <c r="M99" s="59"/>
    </row>
    <row r="100" spans="2:13" x14ac:dyDescent="0.3">
      <c r="B100" s="66" t="s">
        <v>91</v>
      </c>
      <c r="C100" s="67"/>
      <c r="D100" s="67"/>
      <c r="E100" s="67"/>
      <c r="F100" s="67"/>
      <c r="G100" s="67"/>
      <c r="H100" s="77">
        <f>SUBTOTAL(109,ventas_b_mes1154[IMPORTE NETO])</f>
        <v>299173.57000000007</v>
      </c>
      <c r="I100" s="77">
        <f>SUBTOTAL(109,ventas_b_mes1154[IVA 21%])</f>
        <v>62826.449699999997</v>
      </c>
      <c r="J100" s="78">
        <f>SUBTOTAL(109,ventas_b_mes1154[IVA 10,5%])</f>
        <v>0</v>
      </c>
      <c r="K100" s="78">
        <f>SUBTOTAL(109,ventas_b_mes1154[EXENTO])</f>
        <v>0</v>
      </c>
      <c r="L100" s="78">
        <f>SUBTOTAL(109,ventas_b_mes1154[TOTAL])</f>
        <v>362000.01969999995</v>
      </c>
      <c r="M100" s="68">
        <f>SUBTOTAL(103,ventas_b_mes1154[Provincia])</f>
        <v>0</v>
      </c>
    </row>
    <row r="101" spans="2:13" ht="15" thickBot="1" x14ac:dyDescent="0.35">
      <c r="B101" s="135"/>
      <c r="C101" s="135"/>
      <c r="D101" s="135"/>
      <c r="E101" s="135"/>
      <c r="F101" s="135"/>
      <c r="G101" s="135"/>
      <c r="H101" s="141"/>
      <c r="I101" s="141"/>
      <c r="J101" s="142"/>
      <c r="K101" s="142"/>
      <c r="L101" s="142"/>
      <c r="M101" s="136"/>
    </row>
    <row r="102" spans="2:13" ht="15" thickTop="1" x14ac:dyDescent="0.3">
      <c r="C102" s="358" t="s">
        <v>66</v>
      </c>
      <c r="D102" s="358"/>
      <c r="E102" s="358"/>
      <c r="F102" s="358"/>
      <c r="G102" s="358"/>
      <c r="H102" s="32"/>
      <c r="I102" s="32"/>
      <c r="J102" s="32"/>
    </row>
    <row r="103" spans="2:13" ht="15.6" x14ac:dyDescent="0.3">
      <c r="C103" s="114" t="s">
        <v>67</v>
      </c>
      <c r="D103" s="115" t="s">
        <v>68</v>
      </c>
      <c r="E103" s="115" t="s">
        <v>93</v>
      </c>
      <c r="F103" s="115" t="s">
        <v>3</v>
      </c>
      <c r="G103" s="115" t="s">
        <v>4</v>
      </c>
      <c r="H103" s="116" t="s">
        <v>69</v>
      </c>
      <c r="I103" s="116" t="s">
        <v>70</v>
      </c>
      <c r="J103" s="116" t="s">
        <v>71</v>
      </c>
      <c r="K103" s="116" t="s">
        <v>72</v>
      </c>
      <c r="L103" s="116" t="s">
        <v>73</v>
      </c>
    </row>
    <row r="104" spans="2:13" x14ac:dyDescent="0.3">
      <c r="C104" s="117"/>
      <c r="D104" s="118"/>
      <c r="E104" s="118"/>
      <c r="F104" s="119"/>
      <c r="G104" s="53" t="str">
        <f>IFERROR(IF(Retenciones_mes1156[[#This Row],[CUIT]]="","-",VLOOKUP(Retenciones_mes1156[[#This Row],[CUIT]],Lista_CUIT[#All],2,0)),"CUIT NO CARGADO")</f>
        <v>-</v>
      </c>
      <c r="H104" s="120"/>
      <c r="I104" s="120"/>
      <c r="J104" s="120"/>
      <c r="K104" s="120"/>
      <c r="L104" s="120"/>
    </row>
    <row r="105" spans="2:13" x14ac:dyDescent="0.3">
      <c r="C105" s="117"/>
      <c r="D105" s="118"/>
      <c r="E105" s="118"/>
      <c r="F105" s="119"/>
      <c r="G105" s="53" t="str">
        <f>IFERROR(IF(Retenciones_mes1156[[#This Row],[CUIT]]="","-",VLOOKUP(Retenciones_mes1156[[#This Row],[CUIT]],Lista_CUIT[#All],2,0)),"CUIT NO CARGADO")</f>
        <v>-</v>
      </c>
      <c r="H105" s="120"/>
      <c r="I105" s="120"/>
      <c r="J105" s="120"/>
      <c r="K105" s="120"/>
      <c r="L105" s="120"/>
    </row>
    <row r="106" spans="2:13" x14ac:dyDescent="0.3">
      <c r="C106" s="117"/>
      <c r="D106" s="118"/>
      <c r="E106" s="118"/>
      <c r="F106" s="119"/>
      <c r="G106" s="53" t="str">
        <f>IFERROR(IF(Retenciones_mes1156[[#This Row],[CUIT]]="","-",VLOOKUP(Retenciones_mes1156[[#This Row],[CUIT]],Lista_CUIT[#All],2,0)),"CUIT NO CARGADO")</f>
        <v>-</v>
      </c>
      <c r="H106" s="120"/>
      <c r="I106" s="120"/>
      <c r="J106" s="120"/>
      <c r="K106" s="120"/>
      <c r="L106" s="120"/>
    </row>
    <row r="107" spans="2:13" x14ac:dyDescent="0.3">
      <c r="C107" s="117"/>
      <c r="D107" s="118"/>
      <c r="E107" s="118"/>
      <c r="F107" s="119"/>
      <c r="G107" s="53" t="str">
        <f>IFERROR(IF(Retenciones_mes1156[[#This Row],[CUIT]]="","-",VLOOKUP(Retenciones_mes1156[[#This Row],[CUIT]],Lista_CUIT[#All],2,0)),"CUIT NO CARGADO")</f>
        <v>-</v>
      </c>
      <c r="H107" s="120"/>
      <c r="I107" s="120"/>
      <c r="J107" s="120"/>
      <c r="K107" s="120"/>
      <c r="L107" s="120"/>
    </row>
    <row r="108" spans="2:13" x14ac:dyDescent="0.3">
      <c r="D108" s="118"/>
      <c r="E108" s="118"/>
      <c r="G108" s="53" t="str">
        <f>IFERROR(IF(Retenciones_mes1156[[#This Row],[CUIT]]="","-",VLOOKUP(Retenciones_mes1156[[#This Row],[CUIT]],Lista_CUIT[#All],2,0)),"CUIT NO CARGADO")</f>
        <v>-</v>
      </c>
    </row>
    <row r="109" spans="2:13" x14ac:dyDescent="0.3">
      <c r="C109" s="33"/>
    </row>
  </sheetData>
  <mergeCells count="20">
    <mergeCell ref="P4:R4"/>
    <mergeCell ref="D32:L32"/>
    <mergeCell ref="B1:F1"/>
    <mergeCell ref="G1:M1"/>
    <mergeCell ref="N1:R1"/>
    <mergeCell ref="B3:E3"/>
    <mergeCell ref="G3:H3"/>
    <mergeCell ref="J3:K3"/>
    <mergeCell ref="M3:N3"/>
    <mergeCell ref="P3:R3"/>
    <mergeCell ref="C102:G102"/>
    <mergeCell ref="B4:E4"/>
    <mergeCell ref="G4:H4"/>
    <mergeCell ref="J4:K4"/>
    <mergeCell ref="M4:N4"/>
    <mergeCell ref="D41:K41"/>
    <mergeCell ref="B58:J58"/>
    <mergeCell ref="K58:M58"/>
    <mergeCell ref="B60:C60"/>
    <mergeCell ref="B90:C90"/>
  </mergeCells>
  <phoneticPr fontId="38" type="noConversion"/>
  <dataValidations count="11">
    <dataValidation type="custom" allowBlank="1" showInputMessage="1" showErrorMessage="1" errorTitle="Error de Ingreso" error="Ingreso condicionado al tipo de compra:_x000a_- Tipo 001: solo positivo_x000a_- Tipo 002: solo positivo_x000a_- Tipo 003: solo negativo" sqref="H9:O26" xr:uid="{04B5A73A-0D05-4339-BCF6-88CA7A1AFB4E}">
      <formula1>IF($C9=3,H9&lt;0,H9&gt;=0)</formula1>
    </dataValidation>
    <dataValidation type="custom" allowBlank="1" showInputMessage="1" showErrorMessage="1" sqref="H92:L99" xr:uid="{2AED985A-47B8-4DE3-9392-F4D6600E0B18}">
      <formula1>IF($C92=8,H92&lt;0,H92&gt;=0)</formula1>
    </dataValidation>
    <dataValidation type="whole" allowBlank="1" showInputMessage="1" showErrorMessage="1" sqref="C92:C99" xr:uid="{9A98BA77-9816-426C-B1FA-0848C6CCAB52}">
      <formula1>6</formula1>
      <formula2>8</formula2>
    </dataValidation>
    <dataValidation type="custom" allowBlank="1" showInputMessage="1" showErrorMessage="1" sqref="L62:L87" xr:uid="{7B1771D6-AADA-40E6-AF42-7D2415423371}">
      <formula1>IF(#REF!=3,#REF!&lt;0,#REF!&gt;=0)</formula1>
    </dataValidation>
    <dataValidation type="whole" allowBlank="1" showInputMessage="1" showErrorMessage="1" sqref="F92:F99" xr:uid="{897F8E28-486E-484B-9344-80CEAF0F1AEA}">
      <formula1>20000000000</formula1>
      <formula2>439000000000000</formula2>
    </dataValidation>
    <dataValidation type="custom" allowBlank="1" showInputMessage="1" showErrorMessage="1" sqref="H62:K87" xr:uid="{294FD3B6-3A68-459C-8906-7C5B20B183B6}">
      <formula1>IF($C62=3,H62&lt;0,H62&gt;=0)</formula1>
    </dataValidation>
    <dataValidation type="whole" allowBlank="1" showInputMessage="1" showErrorMessage="1" sqref="C28:C31 C9:C26 C62:C87" xr:uid="{8D7F974F-70DB-4CD6-B429-BF448B5CB5B6}">
      <formula1>1</formula1>
      <formula2>3</formula2>
    </dataValidation>
    <dataValidation type="date" allowBlank="1" showInputMessage="1" showErrorMessage="1" sqref="D34:D36 B28:B31 B62:B87 B9:B26 D43:D49 B92:B99" xr:uid="{F1152469-51D6-4B65-A99F-4DFC1FD0DAF4}">
      <formula1>40179</formula1>
      <formula2>TODAY()</formula2>
    </dataValidation>
    <dataValidation type="whole" allowBlank="1" showInputMessage="1" showErrorMessage="1" sqref="G43:G49 F9:F26 F62:F87" xr:uid="{EFAE0626-3C40-4C9D-882D-51DDCB97E6ED}">
      <formula1>20000000000</formula1>
      <formula2>33999999999</formula2>
    </dataValidation>
    <dataValidation type="whole" allowBlank="1" showInputMessage="1" showErrorMessage="1" sqref="E9:E26 E62:E87 E34:E36 F43:F49 E92:E99" xr:uid="{6B344A0E-36D2-46ED-AC78-31D1892D026E}">
      <formula1>1</formula1>
      <formula2>99999999</formula2>
    </dataValidation>
    <dataValidation type="whole" allowBlank="1" showInputMessage="1" showErrorMessage="1" sqref="D62:D87 D9:D26 E43:E49 D92:D99" xr:uid="{415511F1-0824-45FA-A113-6DFB68460BD2}">
      <formula1>1</formula1>
      <formula2>9999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RowHeight="14.4" x14ac:dyDescent="0.3"/>
  <cols>
    <col min="1" max="1" width="3.44140625" customWidth="1"/>
    <col min="3" max="3" width="20.33203125" bestFit="1" customWidth="1"/>
    <col min="4" max="4" width="12.6640625" bestFit="1" customWidth="1"/>
    <col min="5" max="5" width="14.109375" customWidth="1"/>
    <col min="6" max="6" width="3.44140625" customWidth="1"/>
    <col min="8" max="8" width="20.33203125" bestFit="1" customWidth="1"/>
    <col min="9" max="9" width="12.6640625" bestFit="1" customWidth="1"/>
    <col min="10" max="10" width="13.6640625" customWidth="1"/>
    <col min="11" max="11" width="2.109375" customWidth="1"/>
    <col min="13" max="13" width="17.33203125" customWidth="1"/>
    <col min="14" max="14" width="12.6640625" bestFit="1" customWidth="1"/>
    <col min="15" max="15" width="13.88671875" customWidth="1"/>
    <col min="16" max="16" width="6.6640625" customWidth="1"/>
  </cols>
  <sheetData>
    <row r="2" spans="2:17" ht="31.2" x14ac:dyDescent="0.3">
      <c r="B2" s="377" t="s">
        <v>59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</row>
    <row r="3" spans="2:17" ht="10.95" customHeight="1" thickBot="1" x14ac:dyDescent="0.55000000000000004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8.600000000000001" thickBot="1" x14ac:dyDescent="0.35">
      <c r="B4" s="379">
        <f>'Ene-24'!N1</f>
        <v>45292</v>
      </c>
      <c r="C4" s="380"/>
      <c r="D4" s="380"/>
      <c r="E4" s="381"/>
      <c r="F4" s="3"/>
      <c r="G4" s="379">
        <f>EDATE($B$4,1)</f>
        <v>45323</v>
      </c>
      <c r="H4" s="380"/>
      <c r="I4" s="380"/>
      <c r="J4" s="381"/>
      <c r="K4" s="3"/>
      <c r="L4" s="379">
        <f>EDATE($G$4,1)</f>
        <v>45352</v>
      </c>
      <c r="M4" s="380"/>
      <c r="N4" s="380"/>
      <c r="O4" s="381"/>
    </row>
    <row r="5" spans="2:17" x14ac:dyDescent="0.3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3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3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3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3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3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3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3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3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3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3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3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3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3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3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3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3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3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3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3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3">
      <c r="B25" s="11"/>
      <c r="C25" s="14"/>
      <c r="D25" s="121"/>
      <c r="E25" s="18"/>
      <c r="F25" s="3"/>
      <c r="G25" s="11" t="str">
        <f>IF($B$25="","",$B$25)</f>
        <v/>
      </c>
      <c r="H25" s="14" t="str">
        <f>IF($C$25="","",$C$25)</f>
        <v/>
      </c>
      <c r="I25" s="121"/>
      <c r="J25" s="18"/>
      <c r="K25" s="3"/>
      <c r="L25" s="11" t="str">
        <f>IF($B$25="","",$B$25)</f>
        <v/>
      </c>
      <c r="M25" s="14" t="str">
        <f>IF($C$25="","",$C$25)</f>
        <v/>
      </c>
      <c r="N25" s="121"/>
      <c r="O25" s="18"/>
    </row>
    <row r="26" spans="2:17" x14ac:dyDescent="0.3">
      <c r="B26" s="11"/>
      <c r="C26" s="14"/>
      <c r="D26" s="121"/>
      <c r="E26" s="18"/>
      <c r="F26" s="3"/>
      <c r="G26" s="11" t="str">
        <f>IF($B$26="","",$B$26)</f>
        <v/>
      </c>
      <c r="H26" s="14" t="str">
        <f>IF($C$26="","",$C$26)</f>
        <v/>
      </c>
      <c r="I26" s="121"/>
      <c r="J26" s="18"/>
      <c r="K26" s="3"/>
      <c r="L26" s="11" t="str">
        <f>IF($B$26="","",$B$26)</f>
        <v/>
      </c>
      <c r="M26" s="14" t="str">
        <f>IF($C$26="","",$C$26)</f>
        <v/>
      </c>
      <c r="N26" s="121"/>
      <c r="O26" s="18"/>
    </row>
    <row r="27" spans="2:17" x14ac:dyDescent="0.3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3">
      <c r="B28" s="378" t="s">
        <v>54</v>
      </c>
      <c r="C28" s="378"/>
      <c r="D28" s="378"/>
      <c r="E28" s="8">
        <v>0</v>
      </c>
      <c r="F28" s="3"/>
      <c r="G28" s="378" t="s">
        <v>55</v>
      </c>
      <c r="H28" s="378"/>
      <c r="I28" s="378"/>
      <c r="J28" s="8">
        <v>0</v>
      </c>
      <c r="K28" s="3"/>
      <c r="L28" s="378" t="s">
        <v>56</v>
      </c>
      <c r="M28" s="378"/>
      <c r="N28" s="378"/>
      <c r="O28" s="8">
        <v>0</v>
      </c>
    </row>
    <row r="29" spans="2:17" ht="15" thickBot="1" x14ac:dyDescent="0.35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8.600000000000001" thickBot="1" x14ac:dyDescent="0.35">
      <c r="B30" s="379">
        <f>EDATE($L$4,1)</f>
        <v>45383</v>
      </c>
      <c r="C30" s="380"/>
      <c r="D30" s="380"/>
      <c r="E30" s="381"/>
      <c r="F30" s="3"/>
      <c r="G30" s="379">
        <f>EDATE($B$30,1)</f>
        <v>45413</v>
      </c>
      <c r="H30" s="380"/>
      <c r="I30" s="380"/>
      <c r="J30" s="381"/>
      <c r="K30" s="3"/>
      <c r="L30" s="379">
        <f>EDATE($G$30,1)</f>
        <v>45444</v>
      </c>
      <c r="M30" s="380"/>
      <c r="N30" s="380"/>
      <c r="O30" s="381"/>
    </row>
    <row r="31" spans="2:17" x14ac:dyDescent="0.3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3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3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3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3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3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3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3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3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3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3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3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3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3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3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3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3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3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3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3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3">
      <c r="B51" s="11" t="str">
        <f>IF($B$25="","",$B$25)</f>
        <v/>
      </c>
      <c r="C51" s="14" t="str">
        <f>IF($C$25="","",$C$25)</f>
        <v/>
      </c>
      <c r="D51" s="121"/>
      <c r="E51" s="18"/>
      <c r="F51" s="3"/>
      <c r="G51" s="11" t="str">
        <f>IF($B$25="","",$B$25)</f>
        <v/>
      </c>
      <c r="H51" s="14" t="str">
        <f>IF($C$25="","",$C$25)</f>
        <v/>
      </c>
      <c r="I51" s="121"/>
      <c r="J51" s="18"/>
      <c r="K51" s="3"/>
      <c r="L51" s="11" t="str">
        <f>IF($B$25="","",$B$25)</f>
        <v/>
      </c>
      <c r="M51" s="14" t="str">
        <f>IF($C$25="","",$C$25)</f>
        <v/>
      </c>
      <c r="N51" s="121"/>
      <c r="O51" s="18"/>
    </row>
    <row r="52" spans="2:15" x14ac:dyDescent="0.3">
      <c r="B52" s="11" t="str">
        <f>IF($B$26="","",$B$26)</f>
        <v/>
      </c>
      <c r="C52" s="14" t="str">
        <f>IF($C$26="","",$C$26)</f>
        <v/>
      </c>
      <c r="D52" s="121"/>
      <c r="E52" s="18"/>
      <c r="F52" s="3"/>
      <c r="G52" s="11" t="str">
        <f>IF($B$26="","",$B$26)</f>
        <v/>
      </c>
      <c r="H52" s="14" t="str">
        <f>IF($C$26="","",$C$26)</f>
        <v/>
      </c>
      <c r="I52" s="121"/>
      <c r="J52" s="18"/>
      <c r="K52" s="3"/>
      <c r="L52" s="11" t="str">
        <f>IF($B$26="","",$B$26)</f>
        <v/>
      </c>
      <c r="M52" s="14" t="str">
        <f>IF($C$26="","",$C$26)</f>
        <v/>
      </c>
      <c r="N52" s="121"/>
      <c r="O52" s="18"/>
    </row>
    <row r="53" spans="2:15" x14ac:dyDescent="0.3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3">
      <c r="B54" s="378"/>
      <c r="C54" s="378"/>
      <c r="D54" s="378"/>
      <c r="E54" s="8">
        <v>0</v>
      </c>
      <c r="F54" s="3"/>
      <c r="G54" s="378"/>
      <c r="H54" s="378"/>
      <c r="I54" s="378"/>
      <c r="J54" s="8">
        <v>0</v>
      </c>
      <c r="K54" s="3"/>
      <c r="L54" s="378"/>
      <c r="M54" s="378"/>
      <c r="N54" s="378"/>
      <c r="O54" s="8">
        <v>0</v>
      </c>
    </row>
    <row r="55" spans="2:15" ht="15" thickBot="1" x14ac:dyDescent="0.3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8.600000000000001" thickBot="1" x14ac:dyDescent="0.35">
      <c r="B56" s="379">
        <f>EDATE($L$30,1)</f>
        <v>45474</v>
      </c>
      <c r="C56" s="380"/>
      <c r="D56" s="380"/>
      <c r="E56" s="381"/>
      <c r="F56" s="3"/>
      <c r="G56" s="379">
        <f>EDATE($B$56,1)</f>
        <v>45505</v>
      </c>
      <c r="H56" s="380"/>
      <c r="I56" s="380"/>
      <c r="J56" s="381"/>
      <c r="K56" s="3"/>
      <c r="L56" s="379">
        <f>EDATE($G$56,1)</f>
        <v>45536</v>
      </c>
      <c r="M56" s="380"/>
      <c r="N56" s="380"/>
      <c r="O56" s="381"/>
    </row>
    <row r="57" spans="2:15" x14ac:dyDescent="0.3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3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3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3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3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3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3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3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3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3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3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3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3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3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3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3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3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3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3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3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3">
      <c r="B77" s="11" t="str">
        <f>IF($B$25="","",$B$25)</f>
        <v/>
      </c>
      <c r="C77" s="14" t="str">
        <f>IF($C$25="","",$C$25)</f>
        <v/>
      </c>
      <c r="D77" s="121"/>
      <c r="E77" s="18"/>
      <c r="F77" s="3"/>
      <c r="G77" s="11" t="str">
        <f>IF($B$25="","",$B$25)</f>
        <v/>
      </c>
      <c r="H77" s="14" t="str">
        <f>IF($C$25="","",$C$25)</f>
        <v/>
      </c>
      <c r="I77" s="121"/>
      <c r="J77" s="18"/>
      <c r="K77" s="3"/>
      <c r="L77" s="11" t="str">
        <f>IF($B$25="","",$B$25)</f>
        <v/>
      </c>
      <c r="M77" s="14" t="str">
        <f>IF($C$25="","",$C$25)</f>
        <v/>
      </c>
      <c r="N77" s="121"/>
      <c r="O77" s="18"/>
    </row>
    <row r="78" spans="2:15" x14ac:dyDescent="0.3">
      <c r="B78" s="11" t="str">
        <f>IF($B$26="","",$B$26)</f>
        <v/>
      </c>
      <c r="C78" s="14" t="str">
        <f>IF($C$26="","",$C$26)</f>
        <v/>
      </c>
      <c r="D78" s="121"/>
      <c r="E78" s="18"/>
      <c r="F78" s="3"/>
      <c r="G78" s="11" t="str">
        <f>IF($B$26="","",$B$26)</f>
        <v/>
      </c>
      <c r="H78" s="14" t="str">
        <f>IF($C$26="","",$C$26)</f>
        <v/>
      </c>
      <c r="I78" s="121"/>
      <c r="J78" s="18"/>
      <c r="K78" s="3"/>
      <c r="L78" s="11" t="str">
        <f>IF($B$26="","",$B$26)</f>
        <v/>
      </c>
      <c r="M78" s="14" t="str">
        <f>IF($C$26="","",$C$26)</f>
        <v/>
      </c>
      <c r="N78" s="121"/>
      <c r="O78" s="18"/>
    </row>
    <row r="79" spans="2:15" x14ac:dyDescent="0.3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3">
      <c r="B80" s="378"/>
      <c r="C80" s="378"/>
      <c r="D80" s="378"/>
      <c r="E80" s="8">
        <v>0</v>
      </c>
      <c r="F80" s="3"/>
      <c r="G80" s="378"/>
      <c r="H80" s="378"/>
      <c r="I80" s="378"/>
      <c r="J80" s="8">
        <v>0</v>
      </c>
      <c r="K80" s="3"/>
      <c r="L80" s="378"/>
      <c r="M80" s="378"/>
      <c r="N80" s="378"/>
      <c r="O80" s="8">
        <v>0</v>
      </c>
    </row>
    <row r="81" spans="2:15" ht="15" thickBot="1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8.600000000000001" thickBot="1" x14ac:dyDescent="0.35">
      <c r="B82" s="379">
        <f>EDATE($L$56,1)</f>
        <v>45566</v>
      </c>
      <c r="C82" s="380"/>
      <c r="D82" s="380"/>
      <c r="E82" s="381"/>
      <c r="F82" s="3"/>
      <c r="G82" s="379">
        <f>EDATE($B$82,1)</f>
        <v>45597</v>
      </c>
      <c r="H82" s="380"/>
      <c r="I82" s="380"/>
      <c r="J82" s="381"/>
      <c r="K82" s="3"/>
      <c r="L82" s="379">
        <f>EDATE($G$82,1)</f>
        <v>45627</v>
      </c>
      <c r="M82" s="380"/>
      <c r="N82" s="380"/>
      <c r="O82" s="381"/>
    </row>
    <row r="83" spans="2:15" x14ac:dyDescent="0.3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3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3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3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3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3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3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3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3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3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3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3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3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3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3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3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3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3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3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3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3">
      <c r="B103" s="11" t="str">
        <f>IF($B$25="","",$B$25)</f>
        <v/>
      </c>
      <c r="C103" s="14" t="str">
        <f>IF($C$25="","",$C$25)</f>
        <v/>
      </c>
      <c r="D103" s="121"/>
      <c r="E103" s="18"/>
      <c r="F103" s="3"/>
      <c r="G103" s="11" t="str">
        <f>IF($B$25="","",$B$25)</f>
        <v/>
      </c>
      <c r="H103" s="14" t="str">
        <f>IF($C$25="","",$C$25)</f>
        <v/>
      </c>
      <c r="I103" s="121"/>
      <c r="J103" s="18"/>
      <c r="K103" s="3"/>
      <c r="L103" s="11" t="str">
        <f>IF($B$25="","",$B$25)</f>
        <v/>
      </c>
      <c r="M103" s="14" t="str">
        <f>IF($C$25="","",$C$25)</f>
        <v/>
      </c>
      <c r="N103" s="121"/>
      <c r="O103" s="18"/>
    </row>
    <row r="104" spans="2:15" x14ac:dyDescent="0.3">
      <c r="B104" s="11" t="str">
        <f>IF($B$26="","",$B$26)</f>
        <v/>
      </c>
      <c r="C104" s="14" t="str">
        <f>IF($C$26="","",$C$26)</f>
        <v/>
      </c>
      <c r="D104" s="121"/>
      <c r="E104" s="18"/>
      <c r="F104" s="3"/>
      <c r="G104" s="11" t="str">
        <f>IF($B$26="","",$B$26)</f>
        <v/>
      </c>
      <c r="H104" s="14" t="str">
        <f>IF($C$26="","",$C$26)</f>
        <v/>
      </c>
      <c r="I104" s="121"/>
      <c r="J104" s="18"/>
      <c r="K104" s="3"/>
      <c r="L104" s="11" t="str">
        <f>IF($B$26="","",$B$26)</f>
        <v/>
      </c>
      <c r="M104" s="14" t="str">
        <f>IF($C$26="","",$C$26)</f>
        <v/>
      </c>
      <c r="N104" s="121"/>
      <c r="O104" s="18"/>
    </row>
    <row r="105" spans="2:15" x14ac:dyDescent="0.3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3">
      <c r="B106" s="378"/>
      <c r="C106" s="378"/>
      <c r="D106" s="378"/>
      <c r="E106" s="8">
        <v>0</v>
      </c>
      <c r="F106" s="3"/>
      <c r="G106" s="378"/>
      <c r="H106" s="378"/>
      <c r="I106" s="378"/>
      <c r="J106" s="8">
        <v>0</v>
      </c>
      <c r="K106" s="3"/>
      <c r="L106" s="378"/>
      <c r="M106" s="378"/>
      <c r="N106" s="378"/>
      <c r="O106" s="8">
        <v>0</v>
      </c>
    </row>
    <row r="107" spans="2:15" x14ac:dyDescent="0.3">
      <c r="B107" s="3"/>
      <c r="C107" s="3"/>
      <c r="D107" s="3"/>
      <c r="E107" s="3"/>
      <c r="L107" s="382"/>
      <c r="M107" s="382"/>
      <c r="N107" s="382"/>
      <c r="O107" s="3"/>
    </row>
    <row r="108" spans="2:15" x14ac:dyDescent="0.3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4.4" x14ac:dyDescent="0.3"/>
  <cols>
    <col min="1" max="1" width="3.33203125" customWidth="1"/>
    <col min="2" max="5" width="11.5546875" customWidth="1"/>
    <col min="6" max="6" width="3.5546875" customWidth="1"/>
    <col min="7" max="10" width="11.5546875" customWidth="1"/>
    <col min="11" max="11" width="3" customWidth="1"/>
    <col min="12" max="18" width="11.5546875" customWidth="1"/>
    <col min="19" max="16384" width="11.5546875" hidden="1"/>
  </cols>
  <sheetData>
    <row r="2" spans="2:15" ht="31.2" x14ac:dyDescent="0.3">
      <c r="B2" s="377" t="s">
        <v>60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</row>
    <row r="3" spans="2:15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8.600000000000001" thickBot="1" x14ac:dyDescent="0.35">
      <c r="B4" s="379">
        <f>'Ene-24'!N1</f>
        <v>45292</v>
      </c>
      <c r="C4" s="380"/>
      <c r="D4" s="380"/>
      <c r="E4" s="381"/>
      <c r="F4" s="3"/>
      <c r="G4" s="379">
        <f>EDATE($B$4,1)</f>
        <v>45323</v>
      </c>
      <c r="H4" s="380"/>
      <c r="I4" s="380"/>
      <c r="J4" s="381"/>
      <c r="K4" s="3"/>
      <c r="L4" s="379">
        <f>EDATE($B$4,2)</f>
        <v>45352</v>
      </c>
      <c r="M4" s="380"/>
      <c r="N4" s="380"/>
      <c r="O4" s="381"/>
    </row>
    <row r="5" spans="2:15" x14ac:dyDescent="0.3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3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3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" thickBot="1" x14ac:dyDescent="0.35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3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8.600000000000001" thickBot="1" x14ac:dyDescent="0.35">
      <c r="B11" s="379">
        <f>EDATE($B$4,3)</f>
        <v>45383</v>
      </c>
      <c r="C11" s="380"/>
      <c r="D11" s="380"/>
      <c r="E11" s="381"/>
      <c r="F11" s="3"/>
      <c r="G11" s="379">
        <f>EDATE($B$4,4)</f>
        <v>45413</v>
      </c>
      <c r="H11" s="380"/>
      <c r="I11" s="380"/>
      <c r="J11" s="381"/>
      <c r="K11" s="3"/>
      <c r="L11" s="379">
        <f>EDATE($B$4,5)</f>
        <v>45444</v>
      </c>
      <c r="M11" s="380"/>
      <c r="N11" s="380"/>
      <c r="O11" s="381"/>
    </row>
    <row r="12" spans="2:15" x14ac:dyDescent="0.3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3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3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" thickBot="1" x14ac:dyDescent="0.35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3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8.600000000000001" thickBot="1" x14ac:dyDescent="0.35">
      <c r="B18" s="379">
        <f>EDATE($B$4,6)</f>
        <v>45474</v>
      </c>
      <c r="C18" s="380"/>
      <c r="D18" s="380"/>
      <c r="E18" s="381"/>
      <c r="F18" s="3"/>
      <c r="G18" s="379">
        <f>EDATE($B$4,7)</f>
        <v>45505</v>
      </c>
      <c r="H18" s="380"/>
      <c r="I18" s="380"/>
      <c r="J18" s="381"/>
      <c r="K18" s="3"/>
      <c r="L18" s="379">
        <f>EDATE($B$4,8)</f>
        <v>45536</v>
      </c>
      <c r="M18" s="380"/>
      <c r="N18" s="380"/>
      <c r="O18" s="381"/>
    </row>
    <row r="19" spans="2:15" x14ac:dyDescent="0.3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3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3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" thickBot="1" x14ac:dyDescent="0.35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3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" thickBot="1" x14ac:dyDescent="0.35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8.600000000000001" thickBot="1" x14ac:dyDescent="0.35">
      <c r="B25" s="379">
        <f>EDATE($B$4,9)</f>
        <v>45566</v>
      </c>
      <c r="C25" s="380"/>
      <c r="D25" s="380"/>
      <c r="E25" s="381"/>
      <c r="F25" s="3"/>
      <c r="G25" s="379">
        <f>EDATE($B$4,10)</f>
        <v>45597</v>
      </c>
      <c r="H25" s="380"/>
      <c r="I25" s="380"/>
      <c r="J25" s="381"/>
      <c r="K25" s="3"/>
      <c r="L25" s="379">
        <f>EDATE($B$4,11)</f>
        <v>45627</v>
      </c>
      <c r="M25" s="380"/>
      <c r="N25" s="380"/>
      <c r="O25" s="381"/>
    </row>
    <row r="26" spans="2:15" x14ac:dyDescent="0.3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3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3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" thickBot="1" x14ac:dyDescent="0.35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3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B2:O2"/>
    <mergeCell ref="B4:E4"/>
    <mergeCell ref="G4:J4"/>
    <mergeCell ref="L4:O4"/>
    <mergeCell ref="B11:E11"/>
    <mergeCell ref="G11:J11"/>
    <mergeCell ref="L11:O11"/>
    <mergeCell ref="G18:J18"/>
    <mergeCell ref="L18:O18"/>
    <mergeCell ref="B25:E25"/>
    <mergeCell ref="G25:J25"/>
    <mergeCell ref="L25:O25"/>
    <mergeCell ref="B18:E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Ene-24</vt:lpstr>
      <vt:lpstr>Feb-24</vt:lpstr>
      <vt:lpstr>Mar-24</vt:lpstr>
      <vt:lpstr>Abr-24</vt:lpstr>
      <vt:lpstr>May-24</vt:lpstr>
      <vt:lpstr>Jun-24</vt:lpstr>
      <vt:lpstr>Jul-24</vt:lpstr>
      <vt:lpstr>Ago-24</vt:lpstr>
      <vt:lpstr>Sep-24</vt:lpstr>
      <vt:lpstr>Oct-24</vt:lpstr>
      <vt:lpstr>Nov-24</vt:lpstr>
      <vt:lpstr>Dic-24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Federico Botindari</cp:lastModifiedBy>
  <cp:lastPrinted>2022-12-26T13:32:17Z</cp:lastPrinted>
  <dcterms:created xsi:type="dcterms:W3CDTF">2006-09-16T00:00:00Z</dcterms:created>
  <dcterms:modified xsi:type="dcterms:W3CDTF">2026-03-16T17:50:09Z</dcterms:modified>
</cp:coreProperties>
</file>