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"/>
    </mc:Choice>
  </mc:AlternateContent>
  <xr:revisionPtr revIDLastSave="0" documentId="13_ncr:1_{2F4B3A36-6DF7-458C-9CA7-DE5F243EB558}" xr6:coauthVersionLast="47" xr6:coauthVersionMax="47" xr10:uidLastSave="{00000000-0000-0000-0000-000000000000}"/>
  <bookViews>
    <workbookView xWindow="17925" yWindow="0" windowWidth="10980" windowHeight="15585" firstSheet="6" activeTab="8" xr2:uid="{00000000-000D-0000-FFFF-FFFF00000000}"/>
  </bookViews>
  <sheets>
    <sheet name="9-2022" sheetId="1" r:id="rId1"/>
    <sheet name="10-2022" sheetId="4" r:id="rId2"/>
    <sheet name="11-2022" sheetId="5" r:id="rId3"/>
    <sheet name="12-2022" sheetId="6" r:id="rId4"/>
    <sheet name="01-2023" sheetId="7" r:id="rId5"/>
    <sheet name="02-2022" sheetId="8" r:id="rId6"/>
    <sheet name="04-2022" sheetId="9" r:id="rId7"/>
    <sheet name="05-2023" sheetId="2" r:id="rId8"/>
    <sheet name="07-2023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0" l="1"/>
  <c r="L4" i="10" l="1"/>
  <c r="K4" i="10"/>
  <c r="J4" i="10"/>
  <c r="I4" i="10"/>
  <c r="H4" i="10"/>
  <c r="F4" i="10"/>
  <c r="E4" i="10"/>
  <c r="D4" i="10"/>
  <c r="C4" i="10"/>
  <c r="L4" i="2"/>
  <c r="K4" i="2"/>
  <c r="J4" i="2"/>
  <c r="I4" i="2"/>
  <c r="H4" i="2"/>
  <c r="G4" i="2"/>
  <c r="F4" i="2"/>
  <c r="E4" i="2"/>
  <c r="D4" i="2"/>
  <c r="C4" i="2"/>
  <c r="N4" i="10" l="1"/>
  <c r="N4" i="2"/>
  <c r="H5" i="9" l="1"/>
  <c r="L5" i="9"/>
  <c r="K5" i="9"/>
  <c r="J5" i="9"/>
  <c r="I5" i="9"/>
  <c r="G5" i="9"/>
  <c r="F5" i="9"/>
  <c r="E5" i="9"/>
  <c r="D5" i="9"/>
  <c r="C5" i="9"/>
  <c r="N5" i="9" l="1"/>
  <c r="G5" i="8"/>
  <c r="H39" i="8" l="1"/>
  <c r="L5" i="8"/>
  <c r="K5" i="8"/>
  <c r="J5" i="8"/>
  <c r="I5" i="8"/>
  <c r="H5" i="8"/>
  <c r="F5" i="8"/>
  <c r="E5" i="8"/>
  <c r="D5" i="8"/>
  <c r="C5" i="8"/>
  <c r="N5" i="8" l="1"/>
  <c r="F5" i="6"/>
  <c r="C5" i="7"/>
  <c r="M5" i="7" l="1"/>
  <c r="L5" i="7"/>
  <c r="K5" i="7"/>
  <c r="J5" i="7"/>
  <c r="I5" i="7"/>
  <c r="G5" i="7"/>
  <c r="F5" i="7"/>
  <c r="E5" i="7"/>
  <c r="O5" i="7" l="1"/>
  <c r="B5" i="6"/>
  <c r="J5" i="6" l="1"/>
  <c r="I5" i="6"/>
  <c r="H5" i="6"/>
  <c r="G5" i="6"/>
  <c r="E5" i="6"/>
  <c r="D5" i="6"/>
  <c r="C5" i="6"/>
  <c r="L5" i="6" l="1"/>
  <c r="F5" i="5" l="1"/>
  <c r="J5" i="5"/>
  <c r="I5" i="5"/>
  <c r="H5" i="5"/>
  <c r="G5" i="5"/>
  <c r="E5" i="5"/>
  <c r="D5" i="5"/>
  <c r="C5" i="5"/>
  <c r="B5" i="5"/>
  <c r="L5" i="5" l="1"/>
  <c r="F5" i="4"/>
  <c r="G5" i="4" l="1"/>
  <c r="I5" i="4"/>
  <c r="H5" i="4"/>
  <c r="E5" i="4"/>
  <c r="D5" i="4"/>
  <c r="C5" i="4"/>
  <c r="B5" i="4"/>
  <c r="K5" i="4" l="1"/>
  <c r="C5" i="1"/>
  <c r="D5" i="1"/>
  <c r="E5" i="1"/>
  <c r="F5" i="1"/>
  <c r="G5" i="1"/>
  <c r="H5" i="1"/>
  <c r="B5" i="1"/>
</calcChain>
</file>

<file path=xl/sharedStrings.xml><?xml version="1.0" encoding="utf-8"?>
<sst xmlns="http://schemas.openxmlformats.org/spreadsheetml/2006/main" count="196" uniqueCount="21">
  <si>
    <t>CABAL</t>
  </si>
  <si>
    <t>BBVA</t>
  </si>
  <si>
    <t>MAESTRO</t>
  </si>
  <si>
    <t>AMEX</t>
  </si>
  <si>
    <t>MASTERCARD</t>
  </si>
  <si>
    <t>VISA</t>
  </si>
  <si>
    <t>GALICIA</t>
  </si>
  <si>
    <t>EXTRACTO</t>
  </si>
  <si>
    <t>TOTALES</t>
  </si>
  <si>
    <t>BANCO</t>
  </si>
  <si>
    <t>TIPO LIQ.</t>
  </si>
  <si>
    <t>Liquidacion</t>
  </si>
  <si>
    <t>TOTAL CREDITO FISCAL BANCARIO</t>
  </si>
  <si>
    <t>Liquidacion VISA</t>
  </si>
  <si>
    <t>LIQ. MASTERCARD</t>
  </si>
  <si>
    <t>piva</t>
  </si>
  <si>
    <t>p ib</t>
  </si>
  <si>
    <t>BBVA Enero</t>
  </si>
  <si>
    <t>VISA-RESUMEN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</si>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</sst>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6" fillId="5" borderId="0" applyNumberFormat="0" applyBorder="0" applyAlignment="0" applyProtection="0"/>
  </cellStyleXfs>
  <cellXfs count="17">
    <xf numFmtId="0" fontId="0" fillId="0" borderId="0" xfId="0"/>
    <xf numFmtId="164" fontId="0" fillId="0" borderId="0" xfId="1" applyFont="1"/>
    <xf numFmtId="0" fontId="3" fillId="3" borderId="2" xfId="3" applyFont="1"/>
    <xf numFmtId="164" fontId="3" fillId="3" borderId="2" xfId="3" applyNumberFormat="1" applyFont="1"/>
    <xf numFmtId="0" fontId="4" fillId="2" borderId="1" xfId="2" applyFont="1"/>
    <xf numFmtId="164" fontId="4" fillId="2" borderId="1" xfId="2" applyNumberFormat="1" applyFont="1"/>
    <xf numFmtId="164" fontId="3" fillId="4" borderId="3" xfId="1" applyFont="1" applyFill="1" applyBorder="1"/>
    <xf numFmtId="0" fontId="3" fillId="4" borderId="3" xfId="0" applyFont="1" applyFill="1" applyBorder="1"/>
    <xf numFmtId="164" fontId="5" fillId="0" borderId="0" xfId="1" applyFont="1"/>
    <xf numFmtId="164" fontId="4" fillId="2" borderId="4" xfId="2" applyNumberFormat="1" applyFont="1" applyBorder="1"/>
    <xf numFmtId="164" fontId="6" fillId="5" borderId="0" xfId="4" applyNumberFormat="1" applyAlignment="1">
      <alignment horizontal="center"/>
    </xf>
    <xf numFmtId="2" fontId="0" fillId="0" borderId="0" xfId="0" applyNumberFormat="1"/>
    <xf numFmtId="164" fontId="0" fillId="6" borderId="0" xfId="1" applyFont="1" applyFill="1"/>
    <xf numFmtId="164" fontId="0" fillId="7" borderId="0" xfId="1" applyFont="1" applyFill="1"/>
    <xf numFmtId="164" fontId="7" fillId="0" borderId="0" xfId="1" applyFont="1"/>
    <xf numFmtId="164" fontId="7" fillId="6" borderId="0" xfId="1" applyFont="1" applyFill="1"/>
    <xf numFmtId="165" fontId="0" fillId="0" borderId="0" xfId="0" applyNumberFormat="1"/>
  </cellXfs>
  <cellStyles count="5">
    <cellStyle name="Énfasis1" xfId="4" builtinId="29"/>
    <cellStyle name="Entrada" xfId="2" builtinId="20"/>
    <cellStyle name="Millares" xfId="1" builtinId="3"/>
    <cellStyle name="Normal" xfId="0" builtinId="0"/>
    <cellStyle name="Notas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49"/>
  <sheetViews>
    <sheetView topLeftCell="A100" workbookViewId="0">
      <selection activeCell="B134" sqref="B134"/>
    </sheetView>
  </sheetViews>
  <sheetFormatPr baseColWidth="10" defaultRowHeight="15" x14ac:dyDescent="0.25"/>
  <cols>
    <col min="2" max="5" width="11.5703125" style="1"/>
    <col min="6" max="6" width="12.28515625" style="1" bestFit="1" customWidth="1"/>
    <col min="7" max="9" width="11.5703125" style="1"/>
  </cols>
  <sheetData>
    <row r="3" spans="1:8" x14ac:dyDescent="0.25">
      <c r="A3" s="2" t="s">
        <v>9</v>
      </c>
      <c r="B3" s="3" t="s">
        <v>1</v>
      </c>
      <c r="C3" s="3" t="s">
        <v>1</v>
      </c>
      <c r="D3" s="3" t="s">
        <v>1</v>
      </c>
      <c r="E3" s="3"/>
      <c r="F3" s="3" t="s">
        <v>1</v>
      </c>
      <c r="G3" s="3" t="s">
        <v>1</v>
      </c>
      <c r="H3" s="3" t="s">
        <v>6</v>
      </c>
    </row>
    <row r="4" spans="1:8" ht="15.75" thickBot="1" x14ac:dyDescent="0.3">
      <c r="A4" s="4" t="s">
        <v>10</v>
      </c>
      <c r="B4" s="5" t="s">
        <v>7</v>
      </c>
      <c r="C4" s="5" t="s">
        <v>0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7</v>
      </c>
    </row>
    <row r="5" spans="1:8" ht="15.75" thickBot="1" x14ac:dyDescent="0.3">
      <c r="A5" s="7" t="s">
        <v>8</v>
      </c>
      <c r="B5" s="6">
        <f>SUM(B6:B149)</f>
        <v>10326.720000000001</v>
      </c>
      <c r="C5" s="6">
        <f t="shared" ref="C5:H5" si="0">SUM(C6:C149)</f>
        <v>385.34000000000003</v>
      </c>
      <c r="D5" s="6">
        <f t="shared" si="0"/>
        <v>260.08999999999997</v>
      </c>
      <c r="E5" s="6">
        <f t="shared" si="0"/>
        <v>3293.03</v>
      </c>
      <c r="F5" s="6">
        <f t="shared" si="0"/>
        <v>33446.019999999997</v>
      </c>
      <c r="G5" s="6">
        <f t="shared" si="0"/>
        <v>2833.95</v>
      </c>
      <c r="H5" s="6">
        <f t="shared" si="0"/>
        <v>1080</v>
      </c>
    </row>
    <row r="6" spans="1:8" x14ac:dyDescent="0.25">
      <c r="B6" s="1">
        <v>2.1</v>
      </c>
      <c r="C6" s="1">
        <v>9.86</v>
      </c>
      <c r="D6" s="1">
        <v>21.38</v>
      </c>
      <c r="E6" s="1">
        <v>3293.03</v>
      </c>
      <c r="F6" s="1">
        <v>4.25</v>
      </c>
      <c r="G6" s="1">
        <v>2833.95</v>
      </c>
      <c r="H6" s="1">
        <v>1080</v>
      </c>
    </row>
    <row r="7" spans="1:8" x14ac:dyDescent="0.25">
      <c r="B7" s="1">
        <v>735</v>
      </c>
      <c r="C7" s="1">
        <v>25.62</v>
      </c>
      <c r="D7" s="1">
        <v>5.8</v>
      </c>
      <c r="F7" s="1">
        <v>15.12</v>
      </c>
    </row>
    <row r="8" spans="1:8" x14ac:dyDescent="0.25">
      <c r="B8" s="1">
        <v>808.5</v>
      </c>
      <c r="C8" s="1">
        <v>13.56</v>
      </c>
      <c r="D8" s="1">
        <v>6.33</v>
      </c>
      <c r="F8" s="1">
        <v>91.72</v>
      </c>
    </row>
    <row r="9" spans="1:8" x14ac:dyDescent="0.25">
      <c r="B9" s="1">
        <v>15.75</v>
      </c>
      <c r="C9" s="1">
        <v>67.959999999999994</v>
      </c>
      <c r="D9" s="1">
        <v>2.76</v>
      </c>
      <c r="F9" s="1">
        <v>122.13</v>
      </c>
    </row>
    <row r="10" spans="1:8" x14ac:dyDescent="0.25">
      <c r="B10" s="1">
        <v>63</v>
      </c>
      <c r="C10" s="1">
        <v>6.76</v>
      </c>
      <c r="D10" s="1">
        <v>2.81</v>
      </c>
      <c r="F10" s="1">
        <v>438.6</v>
      </c>
    </row>
    <row r="11" spans="1:8" x14ac:dyDescent="0.25">
      <c r="B11" s="1">
        <v>63</v>
      </c>
      <c r="C11" s="1">
        <v>117.81</v>
      </c>
      <c r="D11" s="1">
        <v>5.21</v>
      </c>
      <c r="F11" s="1">
        <v>40.03</v>
      </c>
    </row>
    <row r="12" spans="1:8" x14ac:dyDescent="0.25">
      <c r="B12" s="1">
        <v>63</v>
      </c>
      <c r="C12" s="1">
        <v>20.32</v>
      </c>
      <c r="D12" s="1">
        <v>37.770000000000003</v>
      </c>
      <c r="F12" s="1">
        <v>26.46</v>
      </c>
    </row>
    <row r="13" spans="1:8" x14ac:dyDescent="0.25">
      <c r="B13" s="1">
        <v>63</v>
      </c>
      <c r="C13" s="1">
        <v>4.3499999999999996</v>
      </c>
      <c r="D13" s="1">
        <v>26.17</v>
      </c>
      <c r="F13" s="1">
        <v>20.64</v>
      </c>
    </row>
    <row r="14" spans="1:8" x14ac:dyDescent="0.25">
      <c r="B14" s="1">
        <v>63</v>
      </c>
      <c r="C14" s="1">
        <v>2.82</v>
      </c>
      <c r="D14" s="1">
        <v>41.71</v>
      </c>
      <c r="F14" s="1">
        <v>42.9</v>
      </c>
    </row>
    <row r="15" spans="1:8" x14ac:dyDescent="0.25">
      <c r="B15" s="1">
        <v>-63</v>
      </c>
      <c r="C15" s="1">
        <v>18.41</v>
      </c>
      <c r="D15" s="1">
        <v>8.7200000000000006</v>
      </c>
      <c r="F15" s="1">
        <v>154.07</v>
      </c>
    </row>
    <row r="16" spans="1:8" x14ac:dyDescent="0.25">
      <c r="B16" s="1">
        <v>21</v>
      </c>
      <c r="C16" s="1">
        <v>97.87</v>
      </c>
      <c r="D16" s="1">
        <v>12.4</v>
      </c>
      <c r="F16" s="1">
        <v>6.69</v>
      </c>
    </row>
    <row r="17" spans="2:6" x14ac:dyDescent="0.25">
      <c r="B17" s="1">
        <v>194.61</v>
      </c>
      <c r="D17" s="1">
        <v>33.020000000000003</v>
      </c>
      <c r="F17" s="1">
        <v>119.74</v>
      </c>
    </row>
    <row r="18" spans="2:6" x14ac:dyDescent="0.25">
      <c r="B18" s="1">
        <v>48.58</v>
      </c>
      <c r="D18" s="1">
        <v>23.82</v>
      </c>
      <c r="F18" s="1">
        <v>116.37</v>
      </c>
    </row>
    <row r="19" spans="2:6" x14ac:dyDescent="0.25">
      <c r="B19" s="1">
        <v>3150</v>
      </c>
      <c r="D19" s="1">
        <v>16.73</v>
      </c>
      <c r="F19" s="1">
        <v>348.51</v>
      </c>
    </row>
    <row r="20" spans="2:6" x14ac:dyDescent="0.25">
      <c r="B20" s="1">
        <v>132.13</v>
      </c>
      <c r="D20" s="1">
        <v>15.46</v>
      </c>
      <c r="F20" s="1">
        <v>91.25</v>
      </c>
    </row>
    <row r="21" spans="2:6" x14ac:dyDescent="0.25">
      <c r="B21" s="1">
        <v>801.43</v>
      </c>
      <c r="F21" s="1">
        <v>55.32</v>
      </c>
    </row>
    <row r="22" spans="2:6" x14ac:dyDescent="0.25">
      <c r="B22" s="1">
        <v>21</v>
      </c>
      <c r="F22" s="1">
        <v>217.59</v>
      </c>
    </row>
    <row r="23" spans="2:6" x14ac:dyDescent="0.25">
      <c r="B23" s="1">
        <v>418.31</v>
      </c>
      <c r="F23" s="1">
        <v>39.24</v>
      </c>
    </row>
    <row r="24" spans="2:6" x14ac:dyDescent="0.25">
      <c r="B24" s="1">
        <v>95.55</v>
      </c>
      <c r="F24" s="1">
        <v>15.99</v>
      </c>
    </row>
    <row r="25" spans="2:6" x14ac:dyDescent="0.25">
      <c r="B25" s="1">
        <v>3150</v>
      </c>
      <c r="F25" s="1">
        <v>119.1</v>
      </c>
    </row>
    <row r="26" spans="2:6" x14ac:dyDescent="0.25">
      <c r="B26" s="1">
        <v>196</v>
      </c>
      <c r="F26" s="1">
        <v>468.42</v>
      </c>
    </row>
    <row r="27" spans="2:6" x14ac:dyDescent="0.25">
      <c r="B27" s="1">
        <v>63</v>
      </c>
      <c r="F27" s="1">
        <v>25.61</v>
      </c>
    </row>
    <row r="28" spans="2:6" x14ac:dyDescent="0.25">
      <c r="B28" s="1">
        <v>63</v>
      </c>
      <c r="F28" s="1">
        <v>185.83</v>
      </c>
    </row>
    <row r="29" spans="2:6" x14ac:dyDescent="0.25">
      <c r="B29" s="1">
        <v>63</v>
      </c>
      <c r="F29" s="1">
        <v>24.49</v>
      </c>
    </row>
    <row r="30" spans="2:6" x14ac:dyDescent="0.25">
      <c r="B30" s="1">
        <v>55.86</v>
      </c>
      <c r="F30" s="1">
        <v>70.040000000000006</v>
      </c>
    </row>
    <row r="31" spans="2:6" x14ac:dyDescent="0.25">
      <c r="B31" s="1">
        <v>39.9</v>
      </c>
      <c r="F31" s="1">
        <v>275.47000000000003</v>
      </c>
    </row>
    <row r="32" spans="2:6" x14ac:dyDescent="0.25">
      <c r="F32" s="1">
        <v>93.36</v>
      </c>
    </row>
    <row r="33" spans="6:6" x14ac:dyDescent="0.25">
      <c r="F33" s="1">
        <v>70.25</v>
      </c>
    </row>
    <row r="34" spans="6:6" x14ac:dyDescent="0.25">
      <c r="F34" s="1">
        <v>276.3</v>
      </c>
    </row>
    <row r="35" spans="6:6" x14ac:dyDescent="0.25">
      <c r="F35" s="1">
        <v>18.64</v>
      </c>
    </row>
    <row r="36" spans="6:6" x14ac:dyDescent="0.25">
      <c r="F36" s="1">
        <v>101.93</v>
      </c>
    </row>
    <row r="37" spans="6:6" x14ac:dyDescent="0.25">
      <c r="F37" s="1">
        <v>659.2</v>
      </c>
    </row>
    <row r="38" spans="6:6" x14ac:dyDescent="0.25">
      <c r="F38" s="1">
        <v>114.83</v>
      </c>
    </row>
    <row r="39" spans="6:6" x14ac:dyDescent="0.25">
      <c r="F39" s="1">
        <v>22.05</v>
      </c>
    </row>
    <row r="40" spans="6:6" x14ac:dyDescent="0.25">
      <c r="F40" s="1">
        <v>48.29</v>
      </c>
    </row>
    <row r="41" spans="6:6" x14ac:dyDescent="0.25">
      <c r="F41" s="1">
        <v>93.28</v>
      </c>
    </row>
    <row r="42" spans="6:6" x14ac:dyDescent="0.25">
      <c r="F42" s="1">
        <v>74.010000000000005</v>
      </c>
    </row>
    <row r="43" spans="6:6" x14ac:dyDescent="0.25">
      <c r="F43" s="1">
        <v>57</v>
      </c>
    </row>
    <row r="44" spans="6:6" x14ac:dyDescent="0.25">
      <c r="F44" s="1">
        <v>15.31</v>
      </c>
    </row>
    <row r="45" spans="6:6" x14ac:dyDescent="0.25">
      <c r="F45" s="1">
        <v>257.75</v>
      </c>
    </row>
    <row r="46" spans="6:6" x14ac:dyDescent="0.25">
      <c r="F46" s="1">
        <v>20.28</v>
      </c>
    </row>
    <row r="47" spans="6:6" x14ac:dyDescent="0.25">
      <c r="F47" s="1">
        <v>41.66</v>
      </c>
    </row>
    <row r="48" spans="6:6" x14ac:dyDescent="0.25">
      <c r="F48" s="1">
        <v>32.43</v>
      </c>
    </row>
    <row r="49" spans="6:6" x14ac:dyDescent="0.25">
      <c r="F49" s="1">
        <v>140</v>
      </c>
    </row>
    <row r="50" spans="6:6" x14ac:dyDescent="0.25">
      <c r="F50" s="1">
        <v>1331.76</v>
      </c>
    </row>
    <row r="51" spans="6:6" x14ac:dyDescent="0.25">
      <c r="F51" s="1">
        <v>54.83</v>
      </c>
    </row>
    <row r="52" spans="6:6" x14ac:dyDescent="0.25">
      <c r="F52" s="1">
        <v>41.48</v>
      </c>
    </row>
    <row r="53" spans="6:6" x14ac:dyDescent="0.25">
      <c r="F53" s="1">
        <v>50.5</v>
      </c>
    </row>
    <row r="54" spans="6:6" x14ac:dyDescent="0.25">
      <c r="F54" s="1">
        <v>28.24</v>
      </c>
    </row>
    <row r="55" spans="6:6" x14ac:dyDescent="0.25">
      <c r="F55" s="1">
        <v>18.940000000000001</v>
      </c>
    </row>
    <row r="56" spans="6:6" x14ac:dyDescent="0.25">
      <c r="F56" s="1">
        <v>146.72</v>
      </c>
    </row>
    <row r="57" spans="6:6" x14ac:dyDescent="0.25">
      <c r="F57" s="1">
        <v>18.45</v>
      </c>
    </row>
    <row r="58" spans="6:6" x14ac:dyDescent="0.25">
      <c r="F58" s="1">
        <v>14.23</v>
      </c>
    </row>
    <row r="59" spans="6:6" x14ac:dyDescent="0.25">
      <c r="F59" s="1">
        <v>42.71</v>
      </c>
    </row>
    <row r="60" spans="6:6" x14ac:dyDescent="0.25">
      <c r="F60" s="1">
        <v>495.66</v>
      </c>
    </row>
    <row r="61" spans="6:6" x14ac:dyDescent="0.25">
      <c r="F61" s="1">
        <v>1949.51</v>
      </c>
    </row>
    <row r="62" spans="6:6" x14ac:dyDescent="0.25">
      <c r="F62" s="1">
        <v>3.97</v>
      </c>
    </row>
    <row r="63" spans="6:6" x14ac:dyDescent="0.25">
      <c r="F63" s="1">
        <v>46.48</v>
      </c>
    </row>
    <row r="64" spans="6:6" x14ac:dyDescent="0.25">
      <c r="F64" s="1">
        <v>159.72999999999999</v>
      </c>
    </row>
    <row r="65" spans="6:6" x14ac:dyDescent="0.25">
      <c r="F65" s="1">
        <v>628.24</v>
      </c>
    </row>
    <row r="66" spans="6:6" x14ac:dyDescent="0.25">
      <c r="F66" s="1">
        <v>5.78</v>
      </c>
    </row>
    <row r="67" spans="6:6" x14ac:dyDescent="0.25">
      <c r="F67" s="1">
        <v>24.65</v>
      </c>
    </row>
    <row r="68" spans="6:6" x14ac:dyDescent="0.25">
      <c r="F68" s="1">
        <v>7.98</v>
      </c>
    </row>
    <row r="69" spans="6:6" x14ac:dyDescent="0.25">
      <c r="F69" s="1">
        <v>37.78</v>
      </c>
    </row>
    <row r="70" spans="6:6" x14ac:dyDescent="0.25">
      <c r="F70" s="1">
        <v>4.7</v>
      </c>
    </row>
    <row r="71" spans="6:6" x14ac:dyDescent="0.25">
      <c r="F71" s="1">
        <v>4.99</v>
      </c>
    </row>
    <row r="72" spans="6:6" x14ac:dyDescent="0.25">
      <c r="F72" s="1">
        <v>6.85</v>
      </c>
    </row>
    <row r="73" spans="6:6" x14ac:dyDescent="0.25">
      <c r="F73" s="1">
        <v>4.4400000000000004</v>
      </c>
    </row>
    <row r="74" spans="6:6" x14ac:dyDescent="0.25">
      <c r="F74" s="1">
        <v>5.69</v>
      </c>
    </row>
    <row r="75" spans="6:6" x14ac:dyDescent="0.25">
      <c r="F75" s="1">
        <v>243.93</v>
      </c>
    </row>
    <row r="76" spans="6:6" x14ac:dyDescent="0.25">
      <c r="F76" s="1">
        <v>307.25</v>
      </c>
    </row>
    <row r="77" spans="6:6" x14ac:dyDescent="0.25">
      <c r="F77" s="1">
        <v>867.12</v>
      </c>
    </row>
    <row r="78" spans="6:6" x14ac:dyDescent="0.25">
      <c r="F78" s="1">
        <v>225.7</v>
      </c>
    </row>
    <row r="79" spans="6:6" x14ac:dyDescent="0.25">
      <c r="F79" s="1">
        <v>656.14</v>
      </c>
    </row>
    <row r="80" spans="6:6" x14ac:dyDescent="0.25">
      <c r="F80" s="1">
        <v>197.4</v>
      </c>
    </row>
    <row r="81" spans="6:6" x14ac:dyDescent="0.25">
      <c r="F81" s="1">
        <v>45.62</v>
      </c>
    </row>
    <row r="82" spans="6:6" x14ac:dyDescent="0.25">
      <c r="F82" s="1">
        <v>179.43</v>
      </c>
    </row>
    <row r="83" spans="6:6" x14ac:dyDescent="0.25">
      <c r="F83" s="1">
        <v>292.89999999999998</v>
      </c>
    </row>
    <row r="84" spans="6:6" x14ac:dyDescent="0.25">
      <c r="F84" s="1">
        <v>268.57</v>
      </c>
    </row>
    <row r="85" spans="6:6" x14ac:dyDescent="0.25">
      <c r="F85" s="1">
        <v>248.88</v>
      </c>
    </row>
    <row r="86" spans="6:6" x14ac:dyDescent="0.25">
      <c r="F86" s="1">
        <v>935.57</v>
      </c>
    </row>
    <row r="87" spans="6:6" x14ac:dyDescent="0.25">
      <c r="F87" s="1">
        <v>211.75</v>
      </c>
    </row>
    <row r="88" spans="6:6" x14ac:dyDescent="0.25">
      <c r="F88" s="1">
        <v>238.26</v>
      </c>
    </row>
    <row r="89" spans="6:6" x14ac:dyDescent="0.25">
      <c r="F89" s="1">
        <v>655.9</v>
      </c>
    </row>
    <row r="90" spans="6:6" x14ac:dyDescent="0.25">
      <c r="F90" s="1">
        <v>410.86</v>
      </c>
    </row>
    <row r="91" spans="6:6" x14ac:dyDescent="0.25">
      <c r="F91" s="1">
        <v>249.27</v>
      </c>
    </row>
    <row r="92" spans="6:6" x14ac:dyDescent="0.25">
      <c r="F92" s="1">
        <v>980.41</v>
      </c>
    </row>
    <row r="93" spans="6:6" x14ac:dyDescent="0.25">
      <c r="F93" s="1">
        <v>289.45999999999998</v>
      </c>
    </row>
    <row r="94" spans="6:6" x14ac:dyDescent="0.25">
      <c r="F94" s="1">
        <v>97.72</v>
      </c>
    </row>
    <row r="95" spans="6:6" x14ac:dyDescent="0.25">
      <c r="F95" s="1">
        <v>224.49</v>
      </c>
    </row>
    <row r="96" spans="6:6" x14ac:dyDescent="0.25">
      <c r="F96" s="1">
        <v>374.65</v>
      </c>
    </row>
    <row r="97" spans="6:6" x14ac:dyDescent="0.25">
      <c r="F97" s="1">
        <v>180.14</v>
      </c>
    </row>
    <row r="98" spans="6:6" x14ac:dyDescent="0.25">
      <c r="F98" s="1">
        <v>1026.18</v>
      </c>
    </row>
    <row r="99" spans="6:6" x14ac:dyDescent="0.25">
      <c r="F99" s="1">
        <v>15.11</v>
      </c>
    </row>
    <row r="100" spans="6:6" x14ac:dyDescent="0.25">
      <c r="F100" s="1">
        <v>99.87</v>
      </c>
    </row>
    <row r="101" spans="6:6" x14ac:dyDescent="0.25">
      <c r="F101" s="1">
        <v>358.46</v>
      </c>
    </row>
    <row r="102" spans="6:6" x14ac:dyDescent="0.25">
      <c r="F102" s="1">
        <v>588.84</v>
      </c>
    </row>
    <row r="103" spans="6:6" x14ac:dyDescent="0.25">
      <c r="F103" s="1">
        <v>109.8</v>
      </c>
    </row>
    <row r="104" spans="6:6" x14ac:dyDescent="0.25">
      <c r="F104" s="1">
        <v>413.99</v>
      </c>
    </row>
    <row r="105" spans="6:6" x14ac:dyDescent="0.25">
      <c r="F105" s="1">
        <v>509.3</v>
      </c>
    </row>
    <row r="106" spans="6:6" x14ac:dyDescent="0.25">
      <c r="F106" s="1">
        <v>171.26</v>
      </c>
    </row>
    <row r="107" spans="6:6" x14ac:dyDescent="0.25">
      <c r="F107" s="1">
        <v>770.72</v>
      </c>
    </row>
    <row r="108" spans="6:6" x14ac:dyDescent="0.25">
      <c r="F108" s="1">
        <v>76.39</v>
      </c>
    </row>
    <row r="109" spans="6:6" x14ac:dyDescent="0.25">
      <c r="F109" s="1">
        <v>106.39</v>
      </c>
    </row>
    <row r="110" spans="6:6" x14ac:dyDescent="0.25">
      <c r="F110" s="1">
        <v>270.08999999999997</v>
      </c>
    </row>
    <row r="111" spans="6:6" x14ac:dyDescent="0.25">
      <c r="F111" s="1">
        <v>213.44</v>
      </c>
    </row>
    <row r="112" spans="6:6" x14ac:dyDescent="0.25">
      <c r="F112" s="1">
        <v>310.69</v>
      </c>
    </row>
    <row r="113" spans="6:6" x14ac:dyDescent="0.25">
      <c r="F113" s="1">
        <v>237.39</v>
      </c>
    </row>
    <row r="114" spans="6:6" x14ac:dyDescent="0.25">
      <c r="F114" s="1">
        <v>191.86</v>
      </c>
    </row>
    <row r="115" spans="6:6" x14ac:dyDescent="0.25">
      <c r="F115" s="1">
        <v>1078.3699999999999</v>
      </c>
    </row>
    <row r="116" spans="6:6" x14ac:dyDescent="0.25">
      <c r="F116" s="1">
        <v>39.270000000000003</v>
      </c>
    </row>
    <row r="117" spans="6:6" x14ac:dyDescent="0.25">
      <c r="F117" s="1">
        <v>93.42</v>
      </c>
    </row>
    <row r="118" spans="6:6" x14ac:dyDescent="0.25">
      <c r="F118" s="1">
        <v>335.17</v>
      </c>
    </row>
    <row r="119" spans="6:6" x14ac:dyDescent="0.25">
      <c r="F119" s="1">
        <v>319.26</v>
      </c>
    </row>
    <row r="120" spans="6:6" x14ac:dyDescent="0.25">
      <c r="F120" s="1">
        <v>247.37</v>
      </c>
    </row>
    <row r="121" spans="6:6" x14ac:dyDescent="0.25">
      <c r="F121" s="1">
        <v>798.62</v>
      </c>
    </row>
    <row r="122" spans="6:6" x14ac:dyDescent="0.25">
      <c r="F122" s="1">
        <v>42.34</v>
      </c>
    </row>
    <row r="123" spans="6:6" x14ac:dyDescent="0.25">
      <c r="F123" s="1">
        <v>603.98</v>
      </c>
    </row>
    <row r="124" spans="6:6" x14ac:dyDescent="0.25">
      <c r="F124" s="1">
        <v>1567.26</v>
      </c>
    </row>
    <row r="125" spans="6:6" x14ac:dyDescent="0.25">
      <c r="F125" s="1">
        <v>80.099999999999994</v>
      </c>
    </row>
    <row r="126" spans="6:6" x14ac:dyDescent="0.25">
      <c r="F126" s="1">
        <v>74.7</v>
      </c>
    </row>
    <row r="127" spans="6:6" x14ac:dyDescent="0.25">
      <c r="F127" s="1">
        <v>55.92</v>
      </c>
    </row>
    <row r="128" spans="6:6" x14ac:dyDescent="0.25">
      <c r="F128" s="1">
        <v>319.23</v>
      </c>
    </row>
    <row r="129" spans="6:6" x14ac:dyDescent="0.25">
      <c r="F129" s="1">
        <v>22.08</v>
      </c>
    </row>
    <row r="130" spans="6:6" x14ac:dyDescent="0.25">
      <c r="F130" s="1">
        <v>86.84</v>
      </c>
    </row>
    <row r="131" spans="6:6" x14ac:dyDescent="0.25">
      <c r="F131" s="1">
        <v>173.59</v>
      </c>
    </row>
    <row r="132" spans="6:6" x14ac:dyDescent="0.25">
      <c r="F132" s="1">
        <v>90.15</v>
      </c>
    </row>
    <row r="133" spans="6:6" x14ac:dyDescent="0.25">
      <c r="F133" s="1">
        <v>304.58</v>
      </c>
    </row>
    <row r="134" spans="6:6" x14ac:dyDescent="0.25">
      <c r="F134" s="1">
        <v>206.52</v>
      </c>
    </row>
    <row r="135" spans="6:6" x14ac:dyDescent="0.25">
      <c r="F135" s="1">
        <v>242.28</v>
      </c>
    </row>
    <row r="136" spans="6:6" x14ac:dyDescent="0.25">
      <c r="F136" s="1">
        <v>70.239999999999995</v>
      </c>
    </row>
    <row r="137" spans="6:6" x14ac:dyDescent="0.25">
      <c r="F137" s="1">
        <v>221.83</v>
      </c>
    </row>
    <row r="138" spans="6:6" x14ac:dyDescent="0.25">
      <c r="F138" s="1">
        <v>142.18</v>
      </c>
    </row>
    <row r="139" spans="6:6" x14ac:dyDescent="0.25">
      <c r="F139" s="1">
        <v>82.69</v>
      </c>
    </row>
    <row r="140" spans="6:6" x14ac:dyDescent="0.25">
      <c r="F140" s="1">
        <v>134.19999999999999</v>
      </c>
    </row>
    <row r="141" spans="6:6" x14ac:dyDescent="0.25">
      <c r="F141" s="1">
        <v>199.75</v>
      </c>
    </row>
    <row r="142" spans="6:6" x14ac:dyDescent="0.25">
      <c r="F142" s="1">
        <v>169.88</v>
      </c>
    </row>
    <row r="143" spans="6:6" x14ac:dyDescent="0.25">
      <c r="F143" s="1">
        <v>86.86</v>
      </c>
    </row>
    <row r="144" spans="6:6" x14ac:dyDescent="0.25">
      <c r="F144" s="1">
        <v>229.45</v>
      </c>
    </row>
    <row r="145" spans="6:6" x14ac:dyDescent="0.25">
      <c r="F145" s="1">
        <v>123.23</v>
      </c>
    </row>
    <row r="146" spans="6:6" x14ac:dyDescent="0.25">
      <c r="F146" s="1">
        <v>283.63</v>
      </c>
    </row>
    <row r="147" spans="6:6" x14ac:dyDescent="0.25">
      <c r="F147" s="1">
        <v>186.37</v>
      </c>
    </row>
    <row r="148" spans="6:6" x14ac:dyDescent="0.25">
      <c r="F148" s="1">
        <v>245.81</v>
      </c>
    </row>
    <row r="149" spans="6:6" x14ac:dyDescent="0.25">
      <c r="F149" s="1">
        <v>231.19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153"/>
  <sheetViews>
    <sheetView workbookViewId="0">
      <selection activeCell="B29" sqref="B29"/>
    </sheetView>
  </sheetViews>
  <sheetFormatPr baseColWidth="10" defaultRowHeight="15" x14ac:dyDescent="0.25"/>
  <cols>
    <col min="2" max="5" width="11.5703125" style="1"/>
    <col min="6" max="6" width="12.28515625" style="1" bestFit="1" customWidth="1"/>
    <col min="7" max="7" width="12.28515625" style="1" customWidth="1"/>
    <col min="8" max="10" width="11.5703125" style="1"/>
    <col min="11" max="11" width="30.42578125" bestFit="1" customWidth="1"/>
  </cols>
  <sheetData>
    <row r="3" spans="1:11" x14ac:dyDescent="0.25">
      <c r="A3" s="2" t="s">
        <v>9</v>
      </c>
      <c r="B3" s="3" t="s">
        <v>1</v>
      </c>
      <c r="C3" s="3" t="s">
        <v>1</v>
      </c>
      <c r="D3" s="3" t="s">
        <v>1</v>
      </c>
      <c r="E3" s="3"/>
      <c r="F3" s="3" t="s">
        <v>1</v>
      </c>
      <c r="G3" s="3" t="s">
        <v>1</v>
      </c>
      <c r="H3" s="3" t="s">
        <v>1</v>
      </c>
      <c r="I3" s="3" t="s">
        <v>6</v>
      </c>
    </row>
    <row r="4" spans="1:11" ht="15.75" thickBot="1" x14ac:dyDescent="0.3">
      <c r="A4" s="4" t="s">
        <v>10</v>
      </c>
      <c r="B4" s="5" t="s">
        <v>7</v>
      </c>
      <c r="C4" s="5" t="s">
        <v>0</v>
      </c>
      <c r="D4" s="5" t="s">
        <v>2</v>
      </c>
      <c r="E4" s="5" t="s">
        <v>3</v>
      </c>
      <c r="F4" s="5" t="s">
        <v>4</v>
      </c>
      <c r="G4" s="5" t="s">
        <v>11</v>
      </c>
      <c r="H4" s="5" t="s">
        <v>5</v>
      </c>
      <c r="I4" s="5" t="s">
        <v>7</v>
      </c>
      <c r="K4" s="9" t="s">
        <v>12</v>
      </c>
    </row>
    <row r="5" spans="1:11" ht="15.75" thickBot="1" x14ac:dyDescent="0.3">
      <c r="A5" s="7" t="s">
        <v>8</v>
      </c>
      <c r="B5" s="6">
        <f>SUM(B6:B149)</f>
        <v>2668.13</v>
      </c>
      <c r="C5" s="6">
        <f t="shared" ref="C5:I5" si="0">SUM(C6:C149)</f>
        <v>169.95</v>
      </c>
      <c r="D5" s="6">
        <f t="shared" si="0"/>
        <v>374.58999999999992</v>
      </c>
      <c r="E5" s="6">
        <f t="shared" si="0"/>
        <v>547.88</v>
      </c>
      <c r="F5" s="6">
        <f>SUM(F6:F153)</f>
        <v>42802.909999999982</v>
      </c>
      <c r="G5" s="6">
        <f>SUM(G6:G149)</f>
        <v>2833.95</v>
      </c>
      <c r="H5" s="6">
        <f t="shared" si="0"/>
        <v>631.89</v>
      </c>
      <c r="I5" s="6">
        <f t="shared" si="0"/>
        <v>950.44</v>
      </c>
      <c r="K5" s="10">
        <f>SUM(B5:I5)</f>
        <v>50979.739999999983</v>
      </c>
    </row>
    <row r="6" spans="1:11" x14ac:dyDescent="0.25">
      <c r="B6" s="1">
        <v>2.1</v>
      </c>
      <c r="C6" s="1">
        <v>25.6</v>
      </c>
      <c r="D6" s="1">
        <v>13.71</v>
      </c>
      <c r="E6" s="1">
        <v>91.98</v>
      </c>
      <c r="F6" s="1">
        <v>17.2</v>
      </c>
      <c r="G6" s="1">
        <v>2833.95</v>
      </c>
      <c r="H6" s="1">
        <v>631.89</v>
      </c>
      <c r="I6" s="1">
        <v>945</v>
      </c>
    </row>
    <row r="7" spans="1:11" x14ac:dyDescent="0.25">
      <c r="B7" s="1">
        <v>808.5</v>
      </c>
      <c r="D7" s="1">
        <v>7.31</v>
      </c>
      <c r="E7" s="1">
        <v>145.66999999999999</v>
      </c>
      <c r="F7" s="1">
        <v>120.66</v>
      </c>
      <c r="I7" s="1">
        <v>5.44</v>
      </c>
    </row>
    <row r="8" spans="1:11" ht="17.25" x14ac:dyDescent="0.4">
      <c r="B8" s="1">
        <v>984.9</v>
      </c>
      <c r="C8" s="1">
        <v>18.420000000000002</v>
      </c>
      <c r="D8" s="1">
        <v>32.520000000000003</v>
      </c>
      <c r="E8" s="1">
        <v>68.88</v>
      </c>
      <c r="F8" s="1">
        <v>85.69</v>
      </c>
      <c r="I8" s="8"/>
    </row>
    <row r="9" spans="1:11" x14ac:dyDescent="0.25">
      <c r="B9" s="1">
        <v>63</v>
      </c>
      <c r="D9" s="1">
        <v>152.21</v>
      </c>
      <c r="E9" s="1">
        <v>241.35</v>
      </c>
      <c r="F9" s="1">
        <v>49.09</v>
      </c>
    </row>
    <row r="10" spans="1:11" x14ac:dyDescent="0.25">
      <c r="B10" s="1">
        <v>63</v>
      </c>
      <c r="C10" s="1">
        <v>14.92</v>
      </c>
      <c r="D10" s="1">
        <v>17.89</v>
      </c>
      <c r="F10" s="1">
        <v>175.21</v>
      </c>
    </row>
    <row r="11" spans="1:11" x14ac:dyDescent="0.25">
      <c r="B11" s="1">
        <v>58.8</v>
      </c>
      <c r="D11" s="1">
        <v>26.72</v>
      </c>
      <c r="F11" s="1">
        <v>86.91</v>
      </c>
    </row>
    <row r="12" spans="1:11" x14ac:dyDescent="0.25">
      <c r="B12" s="1">
        <v>21</v>
      </c>
      <c r="C12" s="1">
        <v>13.7</v>
      </c>
      <c r="D12" s="1">
        <v>10.58</v>
      </c>
      <c r="F12" s="1">
        <v>11.94</v>
      </c>
    </row>
    <row r="13" spans="1:11" x14ac:dyDescent="0.25">
      <c r="B13" s="1">
        <v>102.9</v>
      </c>
      <c r="D13" s="1">
        <v>2.02</v>
      </c>
      <c r="F13" s="1">
        <v>11.01</v>
      </c>
    </row>
    <row r="14" spans="1:11" x14ac:dyDescent="0.25">
      <c r="B14" s="1">
        <v>177.53</v>
      </c>
      <c r="C14" s="1">
        <v>74.81</v>
      </c>
      <c r="D14" s="1">
        <v>23.21</v>
      </c>
      <c r="F14" s="1">
        <v>34.049999999999997</v>
      </c>
    </row>
    <row r="15" spans="1:11" x14ac:dyDescent="0.25">
      <c r="B15" s="1">
        <v>147</v>
      </c>
      <c r="D15" s="1">
        <v>32.82</v>
      </c>
      <c r="F15" s="1">
        <v>220.21</v>
      </c>
    </row>
    <row r="16" spans="1:11" x14ac:dyDescent="0.25">
      <c r="B16" s="1">
        <v>176.4</v>
      </c>
      <c r="C16" s="1">
        <v>22.5</v>
      </c>
      <c r="D16" s="1">
        <v>18.63</v>
      </c>
      <c r="F16" s="1">
        <v>19.97</v>
      </c>
    </row>
    <row r="17" spans="2:6" x14ac:dyDescent="0.25">
      <c r="B17" s="1">
        <v>63</v>
      </c>
      <c r="D17" s="1">
        <v>10.24</v>
      </c>
      <c r="F17" s="1">
        <v>224.41</v>
      </c>
    </row>
    <row r="18" spans="2:6" x14ac:dyDescent="0.25">
      <c r="D18" s="1">
        <v>16.09</v>
      </c>
      <c r="F18" s="1">
        <v>26.38</v>
      </c>
    </row>
    <row r="19" spans="2:6" x14ac:dyDescent="0.25">
      <c r="D19" s="1">
        <v>10.64</v>
      </c>
      <c r="F19" s="1">
        <v>40.98</v>
      </c>
    </row>
    <row r="20" spans="2:6" x14ac:dyDescent="0.25">
      <c r="F20" s="1">
        <v>16.82</v>
      </c>
    </row>
    <row r="21" spans="2:6" x14ac:dyDescent="0.25">
      <c r="F21" s="1">
        <v>20.8</v>
      </c>
    </row>
    <row r="22" spans="2:6" x14ac:dyDescent="0.25">
      <c r="F22" s="1">
        <v>49.36</v>
      </c>
    </row>
    <row r="23" spans="2:6" x14ac:dyDescent="0.25">
      <c r="F23" s="1">
        <v>89.01</v>
      </c>
    </row>
    <row r="24" spans="2:6" x14ac:dyDescent="0.25">
      <c r="F24" s="1">
        <v>450.63</v>
      </c>
    </row>
    <row r="25" spans="2:6" x14ac:dyDescent="0.25">
      <c r="F25" s="1">
        <v>30.09</v>
      </c>
    </row>
    <row r="26" spans="2:6" x14ac:dyDescent="0.25">
      <c r="F26" s="1">
        <v>20.9</v>
      </c>
    </row>
    <row r="27" spans="2:6" x14ac:dyDescent="0.25">
      <c r="F27" s="1">
        <v>86.42</v>
      </c>
    </row>
    <row r="28" spans="2:6" x14ac:dyDescent="0.25">
      <c r="F28" s="1">
        <v>67.06</v>
      </c>
    </row>
    <row r="29" spans="2:6" x14ac:dyDescent="0.25">
      <c r="F29" s="1">
        <v>2.42</v>
      </c>
    </row>
    <row r="30" spans="2:6" x14ac:dyDescent="0.25">
      <c r="F30" s="1">
        <v>16</v>
      </c>
    </row>
    <row r="31" spans="2:6" x14ac:dyDescent="0.25">
      <c r="F31" s="1">
        <v>213.51</v>
      </c>
    </row>
    <row r="32" spans="2:6" x14ac:dyDescent="0.25">
      <c r="F32" s="1">
        <v>106.11</v>
      </c>
    </row>
    <row r="33" spans="6:6" x14ac:dyDescent="0.25">
      <c r="F33" s="1">
        <v>513.20000000000005</v>
      </c>
    </row>
    <row r="34" spans="6:6" x14ac:dyDescent="0.25">
      <c r="F34" s="1">
        <v>63.39</v>
      </c>
    </row>
    <row r="35" spans="6:6" x14ac:dyDescent="0.25">
      <c r="F35" s="1">
        <v>24.19</v>
      </c>
    </row>
    <row r="36" spans="6:6" x14ac:dyDescent="0.25">
      <c r="F36" s="1">
        <v>19.420000000000002</v>
      </c>
    </row>
    <row r="37" spans="6:6" x14ac:dyDescent="0.25">
      <c r="F37" s="1">
        <v>31.99</v>
      </c>
    </row>
    <row r="38" spans="6:6" x14ac:dyDescent="0.25">
      <c r="F38" s="1">
        <v>27.86</v>
      </c>
    </row>
    <row r="39" spans="6:6" x14ac:dyDescent="0.25">
      <c r="F39" s="1">
        <v>243.28</v>
      </c>
    </row>
    <row r="40" spans="6:6" x14ac:dyDescent="0.25">
      <c r="F40" s="1">
        <v>12.55</v>
      </c>
    </row>
    <row r="41" spans="6:6" x14ac:dyDescent="0.25">
      <c r="F41" s="1">
        <v>705.48</v>
      </c>
    </row>
    <row r="42" spans="6:6" x14ac:dyDescent="0.25">
      <c r="F42" s="1">
        <v>89.34</v>
      </c>
    </row>
    <row r="43" spans="6:6" x14ac:dyDescent="0.25">
      <c r="F43" s="1">
        <v>341.17</v>
      </c>
    </row>
    <row r="44" spans="6:6" x14ac:dyDescent="0.25">
      <c r="F44" s="1">
        <v>17.010000000000002</v>
      </c>
    </row>
    <row r="45" spans="6:6" x14ac:dyDescent="0.25">
      <c r="F45" s="1">
        <v>25.86</v>
      </c>
    </row>
    <row r="46" spans="6:6" x14ac:dyDescent="0.25">
      <c r="F46" s="1">
        <v>35.380000000000003</v>
      </c>
    </row>
    <row r="47" spans="6:6" x14ac:dyDescent="0.25">
      <c r="F47" s="1">
        <v>263.77</v>
      </c>
    </row>
    <row r="48" spans="6:6" x14ac:dyDescent="0.25">
      <c r="F48" s="1">
        <v>229.7</v>
      </c>
    </row>
    <row r="49" spans="6:6" x14ac:dyDescent="0.25">
      <c r="F49" s="1">
        <v>13.54</v>
      </c>
    </row>
    <row r="50" spans="6:6" x14ac:dyDescent="0.25">
      <c r="F50" s="1">
        <v>42.69</v>
      </c>
    </row>
    <row r="51" spans="6:6" x14ac:dyDescent="0.25">
      <c r="F51" s="1">
        <v>19.39</v>
      </c>
    </row>
    <row r="52" spans="6:6" x14ac:dyDescent="0.25">
      <c r="F52" s="1">
        <v>309.54000000000002</v>
      </c>
    </row>
    <row r="53" spans="6:6" x14ac:dyDescent="0.25">
      <c r="F53" s="1">
        <v>1673.16</v>
      </c>
    </row>
    <row r="54" spans="6:6" x14ac:dyDescent="0.25">
      <c r="F54" s="1">
        <v>17.09</v>
      </c>
    </row>
    <row r="55" spans="6:6" x14ac:dyDescent="0.25">
      <c r="F55" s="1">
        <v>29.88</v>
      </c>
    </row>
    <row r="56" spans="6:6" x14ac:dyDescent="0.25">
      <c r="F56" s="1">
        <v>46.58</v>
      </c>
    </row>
    <row r="57" spans="6:6" x14ac:dyDescent="0.25">
      <c r="F57" s="1">
        <v>146.86000000000001</v>
      </c>
    </row>
    <row r="58" spans="6:6" x14ac:dyDescent="0.25">
      <c r="F58" s="1">
        <v>22.65</v>
      </c>
    </row>
    <row r="59" spans="6:6" x14ac:dyDescent="0.25">
      <c r="F59" s="1">
        <v>95.82</v>
      </c>
    </row>
    <row r="60" spans="6:6" x14ac:dyDescent="0.25">
      <c r="F60" s="1">
        <v>36.119999999999997</v>
      </c>
    </row>
    <row r="61" spans="6:6" x14ac:dyDescent="0.25">
      <c r="F61" s="1">
        <v>144.02000000000001</v>
      </c>
    </row>
    <row r="62" spans="6:6" x14ac:dyDescent="0.25">
      <c r="F62" s="1">
        <v>1257.3499999999999</v>
      </c>
    </row>
    <row r="63" spans="6:6" x14ac:dyDescent="0.25">
      <c r="F63" s="1">
        <v>21.51</v>
      </c>
    </row>
    <row r="64" spans="6:6" x14ac:dyDescent="0.25">
      <c r="F64" s="1">
        <v>216.69</v>
      </c>
    </row>
    <row r="65" spans="6:6" x14ac:dyDescent="0.25">
      <c r="F65" s="1">
        <v>0.68</v>
      </c>
    </row>
    <row r="66" spans="6:6" x14ac:dyDescent="0.25">
      <c r="F66" s="1">
        <v>9.24</v>
      </c>
    </row>
    <row r="67" spans="6:6" x14ac:dyDescent="0.25">
      <c r="F67" s="1">
        <v>67.72</v>
      </c>
    </row>
    <row r="68" spans="6:6" x14ac:dyDescent="0.25">
      <c r="F68" s="1">
        <v>11.81</v>
      </c>
    </row>
    <row r="69" spans="6:6" x14ac:dyDescent="0.25">
      <c r="F69" s="1">
        <v>2.08</v>
      </c>
    </row>
    <row r="70" spans="6:6" x14ac:dyDescent="0.25">
      <c r="F70" s="1">
        <v>7.27</v>
      </c>
    </row>
    <row r="71" spans="6:6" x14ac:dyDescent="0.25">
      <c r="F71" s="1">
        <v>10.87</v>
      </c>
    </row>
    <row r="72" spans="6:6" x14ac:dyDescent="0.25">
      <c r="F72" s="1">
        <v>3.93</v>
      </c>
    </row>
    <row r="73" spans="6:6" x14ac:dyDescent="0.25">
      <c r="F73" s="1">
        <v>8.3800000000000008</v>
      </c>
    </row>
    <row r="74" spans="6:6" x14ac:dyDescent="0.25">
      <c r="F74" s="1">
        <v>7.9</v>
      </c>
    </row>
    <row r="75" spans="6:6" x14ac:dyDescent="0.25">
      <c r="F75" s="1">
        <v>214.66</v>
      </c>
    </row>
    <row r="76" spans="6:6" x14ac:dyDescent="0.25">
      <c r="F76" s="1">
        <v>147.85</v>
      </c>
    </row>
    <row r="77" spans="6:6" x14ac:dyDescent="0.25">
      <c r="F77" s="1">
        <v>889.46</v>
      </c>
    </row>
    <row r="78" spans="6:6" x14ac:dyDescent="0.25">
      <c r="F78" s="1">
        <v>276.64</v>
      </c>
    </row>
    <row r="79" spans="6:6" x14ac:dyDescent="0.25">
      <c r="F79" s="1">
        <v>87.47</v>
      </c>
    </row>
    <row r="80" spans="6:6" x14ac:dyDescent="0.25">
      <c r="F80" s="1">
        <v>186.83</v>
      </c>
    </row>
    <row r="81" spans="6:6" x14ac:dyDescent="0.25">
      <c r="F81" s="1">
        <v>250.62</v>
      </c>
    </row>
    <row r="82" spans="6:6" x14ac:dyDescent="0.25">
      <c r="F82" s="1">
        <v>396.69</v>
      </c>
    </row>
    <row r="83" spans="6:6" x14ac:dyDescent="0.25">
      <c r="F83" s="1">
        <v>136.5</v>
      </c>
    </row>
    <row r="84" spans="6:6" x14ac:dyDescent="0.25">
      <c r="F84" s="1">
        <v>265.02999999999997</v>
      </c>
    </row>
    <row r="85" spans="6:6" x14ac:dyDescent="0.25">
      <c r="F85" s="1">
        <v>341.89</v>
      </c>
    </row>
    <row r="86" spans="6:6" x14ac:dyDescent="0.25">
      <c r="F86" s="1">
        <v>262.47000000000003</v>
      </c>
    </row>
    <row r="87" spans="6:6" x14ac:dyDescent="0.25">
      <c r="F87" s="1">
        <v>286.32</v>
      </c>
    </row>
    <row r="88" spans="6:6" x14ac:dyDescent="0.25">
      <c r="F88" s="1">
        <v>77.98</v>
      </c>
    </row>
    <row r="89" spans="6:6" x14ac:dyDescent="0.25">
      <c r="F89" s="1">
        <v>137.71</v>
      </c>
    </row>
    <row r="90" spans="6:6" x14ac:dyDescent="0.25">
      <c r="F90" s="1">
        <v>176.99</v>
      </c>
    </row>
    <row r="91" spans="6:6" x14ac:dyDescent="0.25">
      <c r="F91" s="1">
        <v>408.83</v>
      </c>
    </row>
    <row r="92" spans="6:6" x14ac:dyDescent="0.25">
      <c r="F92" s="1">
        <v>92.53</v>
      </c>
    </row>
    <row r="93" spans="6:6" x14ac:dyDescent="0.25">
      <c r="F93" s="1">
        <v>382.56</v>
      </c>
    </row>
    <row r="94" spans="6:6" x14ac:dyDescent="0.25">
      <c r="F94" s="1">
        <v>427.77</v>
      </c>
    </row>
    <row r="95" spans="6:6" x14ac:dyDescent="0.25">
      <c r="F95" s="1">
        <v>447.84</v>
      </c>
    </row>
    <row r="96" spans="6:6" x14ac:dyDescent="0.25">
      <c r="F96" s="1">
        <v>1966.11</v>
      </c>
    </row>
    <row r="97" spans="6:6" x14ac:dyDescent="0.25">
      <c r="F97" s="1">
        <v>174.23</v>
      </c>
    </row>
    <row r="98" spans="6:6" x14ac:dyDescent="0.25">
      <c r="F98" s="1">
        <v>341.02</v>
      </c>
    </row>
    <row r="99" spans="6:6" x14ac:dyDescent="0.25">
      <c r="F99" s="1">
        <v>985.37</v>
      </c>
    </row>
    <row r="100" spans="6:6" x14ac:dyDescent="0.25">
      <c r="F100" s="1">
        <v>890.4</v>
      </c>
    </row>
    <row r="101" spans="6:6" x14ac:dyDescent="0.25">
      <c r="F101" s="1">
        <v>609.77</v>
      </c>
    </row>
    <row r="102" spans="6:6" x14ac:dyDescent="0.25">
      <c r="F102" s="1">
        <v>17.03</v>
      </c>
    </row>
    <row r="103" spans="6:6" x14ac:dyDescent="0.25">
      <c r="F103" s="1">
        <v>53.68</v>
      </c>
    </row>
    <row r="104" spans="6:6" x14ac:dyDescent="0.25">
      <c r="F104" s="1">
        <v>480.83</v>
      </c>
    </row>
    <row r="105" spans="6:6" x14ac:dyDescent="0.25">
      <c r="F105" s="1">
        <v>242.59</v>
      </c>
    </row>
    <row r="106" spans="6:6" x14ac:dyDescent="0.25">
      <c r="F106" s="1">
        <v>127.51</v>
      </c>
    </row>
    <row r="107" spans="6:6" x14ac:dyDescent="0.25">
      <c r="F107" s="1">
        <v>953.04</v>
      </c>
    </row>
    <row r="108" spans="6:6" x14ac:dyDescent="0.25">
      <c r="F108" s="1">
        <v>252.36</v>
      </c>
    </row>
    <row r="109" spans="6:6" x14ac:dyDescent="0.25">
      <c r="F109" s="1">
        <v>185.98</v>
      </c>
    </row>
    <row r="110" spans="6:6" x14ac:dyDescent="0.25">
      <c r="F110" s="1">
        <v>671.2</v>
      </c>
    </row>
    <row r="111" spans="6:6" x14ac:dyDescent="0.25">
      <c r="F111" s="1">
        <v>139.33000000000001</v>
      </c>
    </row>
    <row r="112" spans="6:6" x14ac:dyDescent="0.25">
      <c r="F112" s="1">
        <v>163.66</v>
      </c>
    </row>
    <row r="113" spans="6:6" x14ac:dyDescent="0.25">
      <c r="F113" s="1">
        <v>676.62</v>
      </c>
    </row>
    <row r="114" spans="6:6" x14ac:dyDescent="0.25">
      <c r="F114" s="1">
        <v>2900.55</v>
      </c>
    </row>
    <row r="115" spans="6:6" x14ac:dyDescent="0.25">
      <c r="F115" s="1">
        <v>68.88</v>
      </c>
    </row>
    <row r="116" spans="6:6" x14ac:dyDescent="0.25">
      <c r="F116" s="1">
        <v>240.75</v>
      </c>
    </row>
    <row r="117" spans="6:6" x14ac:dyDescent="0.25">
      <c r="F117" s="1">
        <v>368.64</v>
      </c>
    </row>
    <row r="118" spans="6:6" x14ac:dyDescent="0.25">
      <c r="F118" s="1">
        <v>94.23</v>
      </c>
    </row>
    <row r="119" spans="6:6" x14ac:dyDescent="0.25">
      <c r="F119" s="1">
        <v>389.58</v>
      </c>
    </row>
    <row r="120" spans="6:6" x14ac:dyDescent="0.25">
      <c r="F120" s="1">
        <v>61.95</v>
      </c>
    </row>
    <row r="121" spans="6:6" x14ac:dyDescent="0.25">
      <c r="F121" s="1">
        <v>114.99</v>
      </c>
    </row>
    <row r="122" spans="6:6" x14ac:dyDescent="0.25">
      <c r="F122" s="1">
        <v>378.27</v>
      </c>
    </row>
    <row r="123" spans="6:6" x14ac:dyDescent="0.25">
      <c r="F123" s="1">
        <v>492.14</v>
      </c>
    </row>
    <row r="124" spans="6:6" x14ac:dyDescent="0.25">
      <c r="F124" s="1">
        <v>519.77</v>
      </c>
    </row>
    <row r="125" spans="6:6" x14ac:dyDescent="0.25">
      <c r="F125" s="1">
        <v>2495.2399999999998</v>
      </c>
    </row>
    <row r="126" spans="6:6" x14ac:dyDescent="0.25">
      <c r="F126" s="1">
        <v>193.55</v>
      </c>
    </row>
    <row r="127" spans="6:6" x14ac:dyDescent="0.25">
      <c r="F127" s="1">
        <v>369.82</v>
      </c>
    </row>
    <row r="128" spans="6:6" x14ac:dyDescent="0.25">
      <c r="F128" s="1">
        <v>2995.61</v>
      </c>
    </row>
    <row r="129" spans="6:6" x14ac:dyDescent="0.25">
      <c r="F129" s="1">
        <v>234.9</v>
      </c>
    </row>
    <row r="130" spans="6:6" x14ac:dyDescent="0.25">
      <c r="F130" s="1">
        <v>50.24</v>
      </c>
    </row>
    <row r="131" spans="6:6" x14ac:dyDescent="0.25">
      <c r="F131" s="1">
        <v>340.18</v>
      </c>
    </row>
    <row r="132" spans="6:6" x14ac:dyDescent="0.25">
      <c r="F132" s="1">
        <v>628.05999999999995</v>
      </c>
    </row>
    <row r="133" spans="6:6" x14ac:dyDescent="0.25">
      <c r="F133" s="1">
        <v>80.34</v>
      </c>
    </row>
    <row r="134" spans="6:6" x14ac:dyDescent="0.25">
      <c r="F134" s="1">
        <v>253.28</v>
      </c>
    </row>
    <row r="135" spans="6:6" x14ac:dyDescent="0.25">
      <c r="F135" s="1">
        <v>126.46</v>
      </c>
    </row>
    <row r="136" spans="6:6" x14ac:dyDescent="0.25">
      <c r="F136" s="1">
        <v>342.46</v>
      </c>
    </row>
    <row r="137" spans="6:6" x14ac:dyDescent="0.25">
      <c r="F137" s="1">
        <v>276.83999999999997</v>
      </c>
    </row>
    <row r="138" spans="6:6" x14ac:dyDescent="0.25">
      <c r="F138" s="1">
        <v>178.5</v>
      </c>
    </row>
    <row r="139" spans="6:6" x14ac:dyDescent="0.25">
      <c r="F139" s="1">
        <v>108.33</v>
      </c>
    </row>
    <row r="140" spans="6:6" x14ac:dyDescent="0.25">
      <c r="F140" s="1">
        <v>1702.09</v>
      </c>
    </row>
    <row r="141" spans="6:6" x14ac:dyDescent="0.25">
      <c r="F141" s="1">
        <v>90.64</v>
      </c>
    </row>
    <row r="142" spans="6:6" x14ac:dyDescent="0.25">
      <c r="F142" s="1">
        <v>220.21</v>
      </c>
    </row>
    <row r="143" spans="6:6" x14ac:dyDescent="0.25">
      <c r="F143" s="1">
        <v>184.2</v>
      </c>
    </row>
    <row r="144" spans="6:6" x14ac:dyDescent="0.25">
      <c r="F144" s="1">
        <v>253.53</v>
      </c>
    </row>
    <row r="145" spans="6:6" x14ac:dyDescent="0.25">
      <c r="F145" s="1">
        <v>198.38</v>
      </c>
    </row>
    <row r="146" spans="6:6" x14ac:dyDescent="0.25">
      <c r="F146" s="1">
        <v>370.92</v>
      </c>
    </row>
    <row r="147" spans="6:6" x14ac:dyDescent="0.25">
      <c r="F147" s="1">
        <v>121.93</v>
      </c>
    </row>
    <row r="148" spans="6:6" x14ac:dyDescent="0.25">
      <c r="F148" s="1">
        <v>103.01</v>
      </c>
    </row>
    <row r="149" spans="6:6" x14ac:dyDescent="0.25">
      <c r="F149" s="1">
        <v>424.78</v>
      </c>
    </row>
    <row r="150" spans="6:6" x14ac:dyDescent="0.25">
      <c r="F150" s="1">
        <v>178</v>
      </c>
    </row>
    <row r="151" spans="6:6" x14ac:dyDescent="0.25">
      <c r="F151" s="1">
        <v>162.80000000000001</v>
      </c>
    </row>
    <row r="152" spans="6:6" x14ac:dyDescent="0.25">
      <c r="F152" s="1">
        <v>373.38</v>
      </c>
    </row>
    <row r="153" spans="6:6" x14ac:dyDescent="0.25">
      <c r="F153" s="1">
        <v>130.91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163"/>
  <sheetViews>
    <sheetView zoomScaleNormal="100" workbookViewId="0">
      <selection activeCell="A3" sqref="A3:J4"/>
    </sheetView>
  </sheetViews>
  <sheetFormatPr baseColWidth="10" defaultRowHeight="15" x14ac:dyDescent="0.25"/>
  <cols>
    <col min="2" max="5" width="11.5703125" style="1"/>
    <col min="6" max="6" width="12.28515625" style="1" bestFit="1" customWidth="1"/>
    <col min="7" max="7" width="18.140625" style="1" customWidth="1"/>
    <col min="8" max="11" width="11.5703125" style="1"/>
    <col min="12" max="12" width="30.42578125" bestFit="1" customWidth="1"/>
  </cols>
  <sheetData>
    <row r="3" spans="1:12" x14ac:dyDescent="0.25">
      <c r="A3" s="2" t="s">
        <v>9</v>
      </c>
      <c r="B3" s="3" t="s">
        <v>1</v>
      </c>
      <c r="C3" s="3" t="s">
        <v>1</v>
      </c>
      <c r="D3" s="3" t="s">
        <v>1</v>
      </c>
      <c r="E3" s="3"/>
      <c r="F3" s="3" t="s">
        <v>1</v>
      </c>
      <c r="G3" s="3" t="s">
        <v>1</v>
      </c>
      <c r="H3" s="3" t="s">
        <v>1</v>
      </c>
      <c r="I3" s="3" t="s">
        <v>6</v>
      </c>
      <c r="J3" s="3" t="s">
        <v>6</v>
      </c>
    </row>
    <row r="4" spans="1:12" ht="15.75" thickBot="1" x14ac:dyDescent="0.3">
      <c r="A4" s="4" t="s">
        <v>10</v>
      </c>
      <c r="B4" s="5" t="s">
        <v>7</v>
      </c>
      <c r="C4" s="5" t="s">
        <v>0</v>
      </c>
      <c r="D4" s="5" t="s">
        <v>2</v>
      </c>
      <c r="E4" s="5" t="s">
        <v>3</v>
      </c>
      <c r="F4" s="5" t="s">
        <v>14</v>
      </c>
      <c r="G4" s="5" t="s">
        <v>13</v>
      </c>
      <c r="H4" s="5" t="s">
        <v>5</v>
      </c>
      <c r="I4" s="5" t="s">
        <v>7</v>
      </c>
      <c r="J4" s="5" t="s">
        <v>5</v>
      </c>
      <c r="L4" s="9" t="s">
        <v>12</v>
      </c>
    </row>
    <row r="5" spans="1:12" ht="15.75" thickBot="1" x14ac:dyDescent="0.3">
      <c r="A5" s="7" t="s">
        <v>8</v>
      </c>
      <c r="B5" s="6">
        <f>SUM(B6:B149)</f>
        <v>3731.6200000000003</v>
      </c>
      <c r="C5" s="6">
        <f t="shared" ref="C5:I5" si="0">SUM(C6:C149)</f>
        <v>0</v>
      </c>
      <c r="D5" s="6">
        <f t="shared" si="0"/>
        <v>267.12</v>
      </c>
      <c r="E5" s="6">
        <f t="shared" si="0"/>
        <v>0</v>
      </c>
      <c r="F5" s="6">
        <f>SUM(F6:F652)</f>
        <v>45292.869999999981</v>
      </c>
      <c r="G5" s="6">
        <f>SUM(G6:G149)</f>
        <v>3673.95</v>
      </c>
      <c r="H5" s="6">
        <f t="shared" si="0"/>
        <v>86.73</v>
      </c>
      <c r="I5" s="6">
        <f t="shared" si="0"/>
        <v>1181.25</v>
      </c>
      <c r="J5" s="6">
        <f t="shared" ref="J5" si="1">SUM(J6:J149)</f>
        <v>104.16</v>
      </c>
      <c r="L5" s="10">
        <f>SUM(B5:J5)</f>
        <v>54337.699999999983</v>
      </c>
    </row>
    <row r="6" spans="1:12" x14ac:dyDescent="0.25">
      <c r="B6" s="1">
        <v>2.1</v>
      </c>
      <c r="D6" s="1">
        <v>13.75</v>
      </c>
      <c r="F6" s="1">
        <v>19.18</v>
      </c>
      <c r="G6" s="1">
        <v>3673.95</v>
      </c>
      <c r="H6" s="1">
        <v>86.73</v>
      </c>
      <c r="I6" s="1">
        <v>1181.25</v>
      </c>
      <c r="J6" s="1">
        <v>104.16</v>
      </c>
      <c r="L6" s="1"/>
    </row>
    <row r="7" spans="1:12" x14ac:dyDescent="0.25">
      <c r="B7" s="1">
        <v>102.9</v>
      </c>
      <c r="D7" s="1">
        <v>50.94</v>
      </c>
      <c r="F7" s="1">
        <v>17.07</v>
      </c>
    </row>
    <row r="8" spans="1:12" ht="17.25" x14ac:dyDescent="0.4">
      <c r="B8" s="1">
        <v>772.8</v>
      </c>
      <c r="D8" s="1">
        <v>20.36</v>
      </c>
      <c r="F8" s="1">
        <v>100.26</v>
      </c>
      <c r="I8" s="8"/>
    </row>
    <row r="9" spans="1:12" x14ac:dyDescent="0.25">
      <c r="B9" s="1">
        <v>945</v>
      </c>
      <c r="D9" s="1">
        <v>0.68</v>
      </c>
      <c r="F9" s="1">
        <v>507.56</v>
      </c>
    </row>
    <row r="10" spans="1:12" x14ac:dyDescent="0.25">
      <c r="B10" s="1">
        <v>73.5</v>
      </c>
      <c r="D10" s="1">
        <v>15.66</v>
      </c>
      <c r="F10" s="1">
        <v>82.06</v>
      </c>
    </row>
    <row r="11" spans="1:12" x14ac:dyDescent="0.25">
      <c r="B11" s="1">
        <v>176.4</v>
      </c>
      <c r="D11" s="1">
        <v>13.92</v>
      </c>
      <c r="F11" s="1">
        <v>32.19</v>
      </c>
    </row>
    <row r="12" spans="1:12" x14ac:dyDescent="0.25">
      <c r="B12" s="1">
        <v>63</v>
      </c>
      <c r="D12" s="1">
        <v>36.159999999999997</v>
      </c>
      <c r="F12" s="1">
        <v>130.69</v>
      </c>
    </row>
    <row r="13" spans="1:12" x14ac:dyDescent="0.25">
      <c r="B13" s="1">
        <v>63</v>
      </c>
      <c r="D13" s="1">
        <v>19.25</v>
      </c>
      <c r="F13" s="1">
        <v>540.30999999999995</v>
      </c>
    </row>
    <row r="14" spans="1:12" x14ac:dyDescent="0.25">
      <c r="B14" s="1">
        <v>63</v>
      </c>
      <c r="D14" s="1">
        <v>16.21</v>
      </c>
      <c r="F14" s="1">
        <v>45.36</v>
      </c>
    </row>
    <row r="15" spans="1:12" x14ac:dyDescent="0.25">
      <c r="B15" s="1">
        <v>21</v>
      </c>
      <c r="D15" s="1">
        <v>9.5500000000000007</v>
      </c>
      <c r="F15" s="1">
        <v>30.61</v>
      </c>
    </row>
    <row r="16" spans="1:12" x14ac:dyDescent="0.25">
      <c r="B16" s="1">
        <v>63</v>
      </c>
      <c r="D16" s="1">
        <v>12.47</v>
      </c>
      <c r="F16" s="1">
        <v>126.54</v>
      </c>
    </row>
    <row r="17" spans="2:6" x14ac:dyDescent="0.25">
      <c r="B17" s="1">
        <v>57.46</v>
      </c>
      <c r="D17" s="1">
        <v>9.7799999999999994</v>
      </c>
      <c r="F17" s="1">
        <v>77.41</v>
      </c>
    </row>
    <row r="18" spans="2:6" x14ac:dyDescent="0.25">
      <c r="B18" s="1">
        <v>21</v>
      </c>
      <c r="D18" s="1">
        <v>14.04</v>
      </c>
      <c r="F18" s="1">
        <v>8.06</v>
      </c>
    </row>
    <row r="19" spans="2:6" x14ac:dyDescent="0.25">
      <c r="B19" s="1">
        <v>176.4</v>
      </c>
      <c r="D19" s="1">
        <v>34.35</v>
      </c>
      <c r="F19" s="1">
        <v>76.819999999999993</v>
      </c>
    </row>
    <row r="20" spans="2:6" x14ac:dyDescent="0.25">
      <c r="B20" s="1">
        <v>201.53</v>
      </c>
      <c r="F20" s="1">
        <v>104.43</v>
      </c>
    </row>
    <row r="21" spans="2:6" x14ac:dyDescent="0.25">
      <c r="B21" s="1">
        <v>21</v>
      </c>
      <c r="F21" s="1">
        <v>911.77</v>
      </c>
    </row>
    <row r="22" spans="2:6" x14ac:dyDescent="0.25">
      <c r="B22" s="1">
        <v>62.23</v>
      </c>
      <c r="F22" s="1">
        <v>72.010000000000005</v>
      </c>
    </row>
    <row r="23" spans="2:6" x14ac:dyDescent="0.25">
      <c r="B23" s="1">
        <v>21</v>
      </c>
      <c r="F23" s="1">
        <v>23.25</v>
      </c>
    </row>
    <row r="24" spans="2:6" x14ac:dyDescent="0.25">
      <c r="B24" s="1">
        <v>110.25</v>
      </c>
      <c r="F24" s="1">
        <v>73.290000000000006</v>
      </c>
    </row>
    <row r="25" spans="2:6" x14ac:dyDescent="0.25">
      <c r="B25" s="1">
        <v>110.25</v>
      </c>
      <c r="F25" s="1">
        <v>20.79</v>
      </c>
    </row>
    <row r="26" spans="2:6" x14ac:dyDescent="0.25">
      <c r="B26" s="1">
        <v>176.4</v>
      </c>
      <c r="F26" s="1">
        <v>19.18</v>
      </c>
    </row>
    <row r="27" spans="2:6" x14ac:dyDescent="0.25">
      <c r="B27" s="1">
        <v>63</v>
      </c>
      <c r="F27" s="1">
        <v>119.17</v>
      </c>
    </row>
    <row r="28" spans="2:6" x14ac:dyDescent="0.25">
      <c r="B28" s="1">
        <v>63</v>
      </c>
      <c r="F28" s="1">
        <v>492.69</v>
      </c>
    </row>
    <row r="29" spans="2:6" x14ac:dyDescent="0.25">
      <c r="B29" s="1">
        <v>126</v>
      </c>
      <c r="F29" s="1">
        <v>23.26</v>
      </c>
    </row>
    <row r="30" spans="2:6" x14ac:dyDescent="0.25">
      <c r="B30" s="1">
        <v>176.4</v>
      </c>
      <c r="F30" s="1">
        <v>71.19</v>
      </c>
    </row>
    <row r="31" spans="2:6" x14ac:dyDescent="0.25">
      <c r="F31" s="1">
        <v>2.42</v>
      </c>
    </row>
    <row r="32" spans="2:6" x14ac:dyDescent="0.25">
      <c r="F32" s="1">
        <v>80.97</v>
      </c>
    </row>
    <row r="33" spans="6:6" x14ac:dyDescent="0.25">
      <c r="F33" s="1">
        <v>334.75</v>
      </c>
    </row>
    <row r="34" spans="6:6" x14ac:dyDescent="0.25">
      <c r="F34" s="1">
        <v>14.81</v>
      </c>
    </row>
    <row r="35" spans="6:6" x14ac:dyDescent="0.25">
      <c r="F35" s="1">
        <v>149.22</v>
      </c>
    </row>
    <row r="36" spans="6:6" x14ac:dyDescent="0.25">
      <c r="F36" s="1">
        <v>765.03</v>
      </c>
    </row>
    <row r="37" spans="6:6" x14ac:dyDescent="0.25">
      <c r="F37" s="1">
        <v>3495.32</v>
      </c>
    </row>
    <row r="38" spans="6:6" x14ac:dyDescent="0.25">
      <c r="F38" s="1">
        <v>99.27</v>
      </c>
    </row>
    <row r="39" spans="6:6" x14ac:dyDescent="0.25">
      <c r="F39" s="1">
        <v>23.11</v>
      </c>
    </row>
    <row r="40" spans="6:6" x14ac:dyDescent="0.25">
      <c r="F40" s="1">
        <v>55.97</v>
      </c>
    </row>
    <row r="41" spans="6:6" x14ac:dyDescent="0.25">
      <c r="F41" s="1">
        <v>105.77</v>
      </c>
    </row>
    <row r="42" spans="6:6" x14ac:dyDescent="0.25">
      <c r="F42" s="1">
        <v>16.260000000000002</v>
      </c>
    </row>
    <row r="43" spans="6:6" x14ac:dyDescent="0.25">
      <c r="F43" s="1">
        <v>67.209999999999994</v>
      </c>
    </row>
    <row r="44" spans="6:6" x14ac:dyDescent="0.25">
      <c r="F44" s="1">
        <v>3.68</v>
      </c>
    </row>
    <row r="45" spans="6:6" x14ac:dyDescent="0.25">
      <c r="F45" s="1">
        <v>33.909999999999997</v>
      </c>
    </row>
    <row r="46" spans="6:6" x14ac:dyDescent="0.25">
      <c r="F46" s="1">
        <v>91.33</v>
      </c>
    </row>
    <row r="47" spans="6:6" x14ac:dyDescent="0.25">
      <c r="F47" s="1">
        <v>137.18</v>
      </c>
    </row>
    <row r="48" spans="6:6" x14ac:dyDescent="0.25">
      <c r="F48" s="1">
        <v>41.18</v>
      </c>
    </row>
    <row r="49" spans="6:6" x14ac:dyDescent="0.25">
      <c r="F49" s="1">
        <v>170.27</v>
      </c>
    </row>
    <row r="50" spans="6:6" x14ac:dyDescent="0.25">
      <c r="F50" s="1">
        <v>129.74</v>
      </c>
    </row>
    <row r="51" spans="6:6" x14ac:dyDescent="0.25">
      <c r="F51" s="1">
        <v>22.68</v>
      </c>
    </row>
    <row r="52" spans="6:6" x14ac:dyDescent="0.25">
      <c r="F52" s="1">
        <v>83.09</v>
      </c>
    </row>
    <row r="53" spans="6:6" x14ac:dyDescent="0.25">
      <c r="F53" s="1">
        <v>33.25</v>
      </c>
    </row>
    <row r="54" spans="6:6" x14ac:dyDescent="0.25">
      <c r="F54" s="1">
        <v>81.8</v>
      </c>
    </row>
    <row r="55" spans="6:6" x14ac:dyDescent="0.25">
      <c r="F55" s="1">
        <v>12.42</v>
      </c>
    </row>
    <row r="56" spans="6:6" x14ac:dyDescent="0.25">
      <c r="F56" s="1">
        <v>116.8</v>
      </c>
    </row>
    <row r="57" spans="6:6" x14ac:dyDescent="0.25">
      <c r="F57" s="1">
        <v>29.06</v>
      </c>
    </row>
    <row r="58" spans="6:6" x14ac:dyDescent="0.25">
      <c r="F58" s="1">
        <v>120.15</v>
      </c>
    </row>
    <row r="59" spans="6:6" x14ac:dyDescent="0.25">
      <c r="F59" s="1">
        <v>67</v>
      </c>
    </row>
    <row r="60" spans="6:6" x14ac:dyDescent="0.25">
      <c r="F60" s="1">
        <v>221.59</v>
      </c>
    </row>
    <row r="61" spans="6:6" x14ac:dyDescent="0.25">
      <c r="F61" s="1">
        <v>67.510000000000005</v>
      </c>
    </row>
    <row r="62" spans="6:6" x14ac:dyDescent="0.25">
      <c r="F62" s="1">
        <v>23.84</v>
      </c>
    </row>
    <row r="63" spans="6:6" x14ac:dyDescent="0.25">
      <c r="F63" s="1">
        <v>14.63</v>
      </c>
    </row>
    <row r="64" spans="6:6" x14ac:dyDescent="0.25">
      <c r="F64" s="1">
        <v>40.450000000000003</v>
      </c>
    </row>
    <row r="65" spans="6:6" x14ac:dyDescent="0.25">
      <c r="F65" s="1">
        <v>127.51</v>
      </c>
    </row>
    <row r="66" spans="6:6" x14ac:dyDescent="0.25">
      <c r="F66" s="1">
        <v>23.21</v>
      </c>
    </row>
    <row r="67" spans="6:6" x14ac:dyDescent="0.25">
      <c r="F67" s="1">
        <v>37.630000000000003</v>
      </c>
    </row>
    <row r="68" spans="6:6" x14ac:dyDescent="0.25">
      <c r="F68" s="1">
        <v>56.34</v>
      </c>
    </row>
    <row r="69" spans="6:6" x14ac:dyDescent="0.25">
      <c r="F69" s="1">
        <v>80.59</v>
      </c>
    </row>
    <row r="70" spans="6:6" x14ac:dyDescent="0.25">
      <c r="F70" s="1">
        <v>5.61</v>
      </c>
    </row>
    <row r="71" spans="6:6" x14ac:dyDescent="0.25">
      <c r="F71" s="1">
        <v>148.37</v>
      </c>
    </row>
    <row r="72" spans="6:6" x14ac:dyDescent="0.25">
      <c r="F72" s="1">
        <v>72.930000000000007</v>
      </c>
    </row>
    <row r="73" spans="6:6" x14ac:dyDescent="0.25">
      <c r="F73" s="1">
        <v>159.38999999999999</v>
      </c>
    </row>
    <row r="74" spans="6:6" x14ac:dyDescent="0.25">
      <c r="F74" s="1">
        <v>24.12</v>
      </c>
    </row>
    <row r="75" spans="6:6" x14ac:dyDescent="0.25">
      <c r="F75" s="1">
        <v>38.15</v>
      </c>
    </row>
    <row r="76" spans="6:6" x14ac:dyDescent="0.25">
      <c r="F76" s="1">
        <v>6.72</v>
      </c>
    </row>
    <row r="77" spans="6:6" x14ac:dyDescent="0.25">
      <c r="F77" s="1">
        <v>14.08</v>
      </c>
    </row>
    <row r="78" spans="6:6" x14ac:dyDescent="0.25">
      <c r="F78" s="1">
        <v>12.21</v>
      </c>
    </row>
    <row r="79" spans="6:6" x14ac:dyDescent="0.25">
      <c r="F79" s="1">
        <v>3.19</v>
      </c>
    </row>
    <row r="80" spans="6:6" x14ac:dyDescent="0.25">
      <c r="F80" s="1">
        <v>12.93</v>
      </c>
    </row>
    <row r="81" spans="6:6" x14ac:dyDescent="0.25">
      <c r="F81" s="1">
        <v>3.07</v>
      </c>
    </row>
    <row r="82" spans="6:6" x14ac:dyDescent="0.25">
      <c r="F82" s="1">
        <v>5.88</v>
      </c>
    </row>
    <row r="83" spans="6:6" x14ac:dyDescent="0.25">
      <c r="F83" s="1">
        <v>7.36</v>
      </c>
    </row>
    <row r="84" spans="6:6" x14ac:dyDescent="0.25">
      <c r="F84" s="1">
        <v>385.69</v>
      </c>
    </row>
    <row r="85" spans="6:6" x14ac:dyDescent="0.25">
      <c r="F85" s="1">
        <v>498.35</v>
      </c>
    </row>
    <row r="86" spans="6:6" x14ac:dyDescent="0.25">
      <c r="F86" s="1">
        <v>1900.68</v>
      </c>
    </row>
    <row r="87" spans="6:6" x14ac:dyDescent="0.25">
      <c r="F87" s="1">
        <v>83</v>
      </c>
    </row>
    <row r="88" spans="6:6" x14ac:dyDescent="0.25">
      <c r="F88" s="1">
        <v>734.33</v>
      </c>
    </row>
    <row r="89" spans="6:6" x14ac:dyDescent="0.25">
      <c r="F89" s="1">
        <v>2902.74</v>
      </c>
    </row>
    <row r="90" spans="6:6" x14ac:dyDescent="0.25">
      <c r="F90" s="1">
        <v>462.37</v>
      </c>
    </row>
    <row r="91" spans="6:6" x14ac:dyDescent="0.25">
      <c r="F91" s="1">
        <v>318.83</v>
      </c>
    </row>
    <row r="92" spans="6:6" x14ac:dyDescent="0.25">
      <c r="F92" s="1">
        <v>1704.46</v>
      </c>
    </row>
    <row r="93" spans="6:6" x14ac:dyDescent="0.25">
      <c r="F93" s="1">
        <v>469.05</v>
      </c>
    </row>
    <row r="94" spans="6:6" x14ac:dyDescent="0.25">
      <c r="F94" s="1">
        <v>98.65</v>
      </c>
    </row>
    <row r="95" spans="6:6" x14ac:dyDescent="0.25">
      <c r="F95" s="1">
        <v>407.85</v>
      </c>
    </row>
    <row r="96" spans="6:6" x14ac:dyDescent="0.25">
      <c r="F96" s="1">
        <v>146.87</v>
      </c>
    </row>
    <row r="97" spans="6:6" x14ac:dyDescent="0.25">
      <c r="F97" s="1">
        <v>350.19</v>
      </c>
    </row>
    <row r="98" spans="6:6" x14ac:dyDescent="0.25">
      <c r="F98" s="1">
        <v>1717.3</v>
      </c>
    </row>
    <row r="99" spans="6:6" x14ac:dyDescent="0.25">
      <c r="F99" s="1">
        <v>436.27</v>
      </c>
    </row>
    <row r="100" spans="6:6" x14ac:dyDescent="0.25">
      <c r="F100" s="1">
        <v>382.73</v>
      </c>
    </row>
    <row r="101" spans="6:6" x14ac:dyDescent="0.25">
      <c r="F101" s="1">
        <v>106.46</v>
      </c>
    </row>
    <row r="102" spans="6:6" x14ac:dyDescent="0.25">
      <c r="F102" s="1">
        <v>383.38</v>
      </c>
    </row>
    <row r="103" spans="6:6" x14ac:dyDescent="0.25">
      <c r="F103" s="1">
        <v>538.41999999999996</v>
      </c>
    </row>
    <row r="104" spans="6:6" x14ac:dyDescent="0.25">
      <c r="F104" s="1">
        <v>163.66999999999999</v>
      </c>
    </row>
    <row r="105" spans="6:6" x14ac:dyDescent="0.25">
      <c r="F105" s="1">
        <v>1073.43</v>
      </c>
    </row>
    <row r="106" spans="6:6" x14ac:dyDescent="0.25">
      <c r="F106" s="1">
        <v>191.69</v>
      </c>
    </row>
    <row r="107" spans="6:6" x14ac:dyDescent="0.25">
      <c r="F107" s="1">
        <v>156.21</v>
      </c>
    </row>
    <row r="108" spans="6:6" x14ac:dyDescent="0.25">
      <c r="F108" s="1">
        <v>644.22</v>
      </c>
    </row>
    <row r="109" spans="6:6" x14ac:dyDescent="0.25">
      <c r="F109" s="1">
        <v>264.08</v>
      </c>
    </row>
    <row r="110" spans="6:6" x14ac:dyDescent="0.25">
      <c r="F110" s="1">
        <v>249.12</v>
      </c>
    </row>
    <row r="111" spans="6:6" x14ac:dyDescent="0.25">
      <c r="F111" s="1">
        <v>815.67</v>
      </c>
    </row>
    <row r="112" spans="6:6" x14ac:dyDescent="0.25">
      <c r="F112" s="1">
        <v>440.45</v>
      </c>
    </row>
    <row r="113" spans="6:6" x14ac:dyDescent="0.25">
      <c r="F113" s="1">
        <v>21.9</v>
      </c>
    </row>
    <row r="114" spans="6:6" x14ac:dyDescent="0.25">
      <c r="F114" s="1">
        <v>90.55</v>
      </c>
    </row>
    <row r="115" spans="6:6" x14ac:dyDescent="0.25">
      <c r="F115" s="1">
        <v>66.14</v>
      </c>
    </row>
    <row r="116" spans="6:6" x14ac:dyDescent="0.25">
      <c r="F116" s="1">
        <v>101.41</v>
      </c>
    </row>
    <row r="117" spans="6:6" x14ac:dyDescent="0.25">
      <c r="F117" s="1">
        <v>320.12</v>
      </c>
    </row>
    <row r="118" spans="6:6" x14ac:dyDescent="0.25">
      <c r="F118" s="1">
        <v>140.66</v>
      </c>
    </row>
    <row r="119" spans="6:6" x14ac:dyDescent="0.25">
      <c r="F119" s="1">
        <v>75.099999999999994</v>
      </c>
    </row>
    <row r="120" spans="6:6" x14ac:dyDescent="0.25">
      <c r="F120" s="1">
        <v>310.48</v>
      </c>
    </row>
    <row r="121" spans="6:6" x14ac:dyDescent="0.25">
      <c r="F121" s="1">
        <v>298.11</v>
      </c>
    </row>
    <row r="122" spans="6:6" x14ac:dyDescent="0.25">
      <c r="F122" s="1">
        <v>202.27</v>
      </c>
    </row>
    <row r="123" spans="6:6" x14ac:dyDescent="0.25">
      <c r="F123" s="1">
        <v>69.91</v>
      </c>
    </row>
    <row r="124" spans="6:6" x14ac:dyDescent="0.25">
      <c r="F124" s="1">
        <v>289.04000000000002</v>
      </c>
    </row>
    <row r="125" spans="6:6" x14ac:dyDescent="0.25">
      <c r="F125" s="1">
        <v>116.58</v>
      </c>
    </row>
    <row r="126" spans="6:6" x14ac:dyDescent="0.25">
      <c r="F126" s="1">
        <v>142.71</v>
      </c>
    </row>
    <row r="127" spans="6:6" x14ac:dyDescent="0.25">
      <c r="F127" s="1">
        <v>590.01</v>
      </c>
    </row>
    <row r="128" spans="6:6" x14ac:dyDescent="0.25">
      <c r="F128" s="1">
        <v>170.38</v>
      </c>
    </row>
    <row r="129" spans="6:6" x14ac:dyDescent="0.25">
      <c r="F129" s="1">
        <v>373.38</v>
      </c>
    </row>
    <row r="130" spans="6:6" x14ac:dyDescent="0.25">
      <c r="F130" s="1">
        <v>1517.85</v>
      </c>
    </row>
    <row r="131" spans="6:6" x14ac:dyDescent="0.25">
      <c r="F131" s="1">
        <v>424.52</v>
      </c>
    </row>
    <row r="132" spans="6:6" x14ac:dyDescent="0.25">
      <c r="F132" s="1">
        <v>84.74</v>
      </c>
    </row>
    <row r="133" spans="6:6" x14ac:dyDescent="0.25">
      <c r="F133" s="1">
        <v>490.1</v>
      </c>
    </row>
    <row r="134" spans="6:6" x14ac:dyDescent="0.25">
      <c r="F134" s="1">
        <v>173.75</v>
      </c>
    </row>
    <row r="135" spans="6:6" x14ac:dyDescent="0.25">
      <c r="F135" s="1">
        <v>245.99</v>
      </c>
    </row>
    <row r="136" spans="6:6" x14ac:dyDescent="0.25">
      <c r="F136" s="1">
        <v>566.89</v>
      </c>
    </row>
    <row r="137" spans="6:6" x14ac:dyDescent="0.25">
      <c r="F137" s="1">
        <v>98.2</v>
      </c>
    </row>
    <row r="138" spans="6:6" x14ac:dyDescent="0.25">
      <c r="F138" s="1">
        <v>377.06</v>
      </c>
    </row>
    <row r="139" spans="6:6" x14ac:dyDescent="0.25">
      <c r="F139" s="1">
        <v>2174.36</v>
      </c>
    </row>
    <row r="140" spans="6:6" x14ac:dyDescent="0.25">
      <c r="F140" s="1">
        <v>56.74</v>
      </c>
    </row>
    <row r="141" spans="6:6" x14ac:dyDescent="0.25">
      <c r="F141" s="1">
        <v>390.41</v>
      </c>
    </row>
    <row r="142" spans="6:6" x14ac:dyDescent="0.25">
      <c r="F142" s="1">
        <v>1691.2</v>
      </c>
    </row>
    <row r="143" spans="6:6" x14ac:dyDescent="0.25">
      <c r="F143" s="1">
        <v>390.92</v>
      </c>
    </row>
    <row r="144" spans="6:6" x14ac:dyDescent="0.25">
      <c r="F144" s="1">
        <v>170.69</v>
      </c>
    </row>
    <row r="145" spans="6:6" x14ac:dyDescent="0.25">
      <c r="F145" s="1">
        <v>239.16</v>
      </c>
    </row>
    <row r="146" spans="6:6" x14ac:dyDescent="0.25">
      <c r="F146" s="1">
        <v>262.18</v>
      </c>
    </row>
    <row r="147" spans="6:6" x14ac:dyDescent="0.25">
      <c r="F147" s="1">
        <v>161.52000000000001</v>
      </c>
    </row>
    <row r="148" spans="6:6" x14ac:dyDescent="0.25">
      <c r="F148" s="1">
        <v>324.91000000000003</v>
      </c>
    </row>
    <row r="149" spans="6:6" x14ac:dyDescent="0.25">
      <c r="F149" s="1">
        <v>236.85</v>
      </c>
    </row>
    <row r="150" spans="6:6" x14ac:dyDescent="0.25">
      <c r="F150" s="1">
        <v>246.03</v>
      </c>
    </row>
    <row r="151" spans="6:6" x14ac:dyDescent="0.25">
      <c r="F151" s="1">
        <v>95.77</v>
      </c>
    </row>
    <row r="152" spans="6:6" x14ac:dyDescent="0.25">
      <c r="F152" s="1">
        <v>199.1</v>
      </c>
    </row>
    <row r="153" spans="6:6" x14ac:dyDescent="0.25">
      <c r="F153" s="1">
        <v>257.16000000000003</v>
      </c>
    </row>
    <row r="154" spans="6:6" x14ac:dyDescent="0.25">
      <c r="F154" s="1">
        <v>260.02999999999997</v>
      </c>
    </row>
    <row r="155" spans="6:6" x14ac:dyDescent="0.25">
      <c r="F155" s="1">
        <v>134.33000000000001</v>
      </c>
    </row>
    <row r="156" spans="6:6" x14ac:dyDescent="0.25">
      <c r="F156" s="1">
        <v>121.49</v>
      </c>
    </row>
    <row r="157" spans="6:6" x14ac:dyDescent="0.25">
      <c r="F157" s="1">
        <v>159.4</v>
      </c>
    </row>
    <row r="158" spans="6:6" x14ac:dyDescent="0.25">
      <c r="F158" s="1">
        <v>202.77</v>
      </c>
    </row>
    <row r="159" spans="6:6" x14ac:dyDescent="0.25">
      <c r="F159" s="1">
        <v>126.14</v>
      </c>
    </row>
    <row r="160" spans="6:6" x14ac:dyDescent="0.25">
      <c r="F160" s="1">
        <v>175.21</v>
      </c>
    </row>
    <row r="161" spans="6:6" x14ac:dyDescent="0.25">
      <c r="F161" s="1">
        <v>210</v>
      </c>
    </row>
    <row r="162" spans="6:6" x14ac:dyDescent="0.25">
      <c r="F162" s="1">
        <v>251.16</v>
      </c>
    </row>
    <row r="163" spans="6:6" x14ac:dyDescent="0.25">
      <c r="F163" s="1">
        <v>55.22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L138"/>
  <sheetViews>
    <sheetView zoomScale="70" zoomScaleNormal="70" workbookViewId="0">
      <selection activeCell="E28" sqref="E28"/>
    </sheetView>
  </sheetViews>
  <sheetFormatPr baseColWidth="10" defaultRowHeight="15" x14ac:dyDescent="0.25"/>
  <cols>
    <col min="2" max="5" width="11.5703125" style="1"/>
    <col min="6" max="6" width="12.28515625" style="1" bestFit="1" customWidth="1"/>
    <col min="7" max="7" width="12.28515625" style="1" customWidth="1"/>
    <col min="8" max="11" width="11.5703125" style="1"/>
    <col min="12" max="12" width="30.42578125" bestFit="1" customWidth="1"/>
  </cols>
  <sheetData>
    <row r="3" spans="1:12" x14ac:dyDescent="0.25">
      <c r="A3" s="2" t="s">
        <v>9</v>
      </c>
      <c r="B3" s="3" t="s">
        <v>1</v>
      </c>
      <c r="C3" s="3" t="s">
        <v>1</v>
      </c>
      <c r="D3" s="3" t="s">
        <v>1</v>
      </c>
      <c r="E3" s="3"/>
      <c r="F3" s="3" t="s">
        <v>1</v>
      </c>
      <c r="G3" s="3" t="s">
        <v>1</v>
      </c>
      <c r="H3" s="3" t="s">
        <v>1</v>
      </c>
      <c r="I3" s="3" t="s">
        <v>6</v>
      </c>
      <c r="J3" s="3" t="s">
        <v>6</v>
      </c>
    </row>
    <row r="4" spans="1:12" ht="15.75" thickBot="1" x14ac:dyDescent="0.3">
      <c r="A4" s="4" t="s">
        <v>10</v>
      </c>
      <c r="B4" s="5" t="s">
        <v>7</v>
      </c>
      <c r="C4" s="5" t="s">
        <v>0</v>
      </c>
      <c r="D4" s="5" t="s">
        <v>2</v>
      </c>
      <c r="E4" s="5" t="s">
        <v>3</v>
      </c>
      <c r="F4" s="5" t="s">
        <v>14</v>
      </c>
      <c r="G4" s="5" t="s">
        <v>13</v>
      </c>
      <c r="H4" s="5" t="s">
        <v>5</v>
      </c>
      <c r="I4" s="5" t="s">
        <v>7</v>
      </c>
      <c r="J4" s="5" t="s">
        <v>5</v>
      </c>
      <c r="L4" s="9" t="s">
        <v>12</v>
      </c>
    </row>
    <row r="5" spans="1:12" ht="15.75" thickBot="1" x14ac:dyDescent="0.3">
      <c r="A5" s="7" t="s">
        <v>8</v>
      </c>
      <c r="B5" s="6">
        <f>SUM(B6:B149)</f>
        <v>3790.29</v>
      </c>
      <c r="C5" s="6">
        <f t="shared" ref="C5:J5" si="0">SUM(C6:C149)</f>
        <v>0</v>
      </c>
      <c r="D5" s="6">
        <f t="shared" si="0"/>
        <v>463.82000000000005</v>
      </c>
      <c r="E5" s="6">
        <f t="shared" si="0"/>
        <v>0</v>
      </c>
      <c r="F5" s="6">
        <f>SUM(F6:F652)</f>
        <v>33398.470000000016</v>
      </c>
      <c r="G5" s="6">
        <f>SUM(G6:G149)</f>
        <v>0</v>
      </c>
      <c r="H5" s="6">
        <f t="shared" si="0"/>
        <v>3673.95</v>
      </c>
      <c r="I5" s="6">
        <f t="shared" si="0"/>
        <v>1256.22</v>
      </c>
      <c r="J5" s="6">
        <f t="shared" si="0"/>
        <v>104.16</v>
      </c>
      <c r="L5" s="10">
        <f>SUM(B5:J5)</f>
        <v>42686.910000000018</v>
      </c>
    </row>
    <row r="6" spans="1:12" x14ac:dyDescent="0.25">
      <c r="B6" s="1">
        <v>110.25</v>
      </c>
      <c r="D6" s="1">
        <v>108.4</v>
      </c>
      <c r="F6" s="1">
        <v>16.07</v>
      </c>
      <c r="H6" s="1">
        <v>3673.95</v>
      </c>
      <c r="I6" s="1">
        <v>1181.25</v>
      </c>
      <c r="J6" s="1">
        <v>104.16</v>
      </c>
      <c r="L6" s="1"/>
    </row>
    <row r="7" spans="1:12" x14ac:dyDescent="0.25">
      <c r="B7" s="1">
        <v>2.1</v>
      </c>
      <c r="D7" s="1">
        <v>3.23</v>
      </c>
      <c r="F7" s="1">
        <v>75.84</v>
      </c>
      <c r="I7" s="1">
        <v>74.97</v>
      </c>
    </row>
    <row r="8" spans="1:12" ht="17.25" x14ac:dyDescent="0.4">
      <c r="B8" s="1">
        <v>705.6</v>
      </c>
      <c r="D8" s="1">
        <v>36.130000000000003</v>
      </c>
      <c r="F8" s="1">
        <v>239.09</v>
      </c>
      <c r="I8" s="8"/>
    </row>
    <row r="9" spans="1:12" x14ac:dyDescent="0.25">
      <c r="B9" s="1">
        <v>945</v>
      </c>
      <c r="D9" s="1">
        <v>41.13</v>
      </c>
      <c r="F9" s="1">
        <v>34.44</v>
      </c>
    </row>
    <row r="10" spans="1:12" x14ac:dyDescent="0.25">
      <c r="B10" s="1">
        <v>63</v>
      </c>
      <c r="D10" s="1">
        <v>9.07</v>
      </c>
      <c r="F10" s="1">
        <v>7.37</v>
      </c>
    </row>
    <row r="11" spans="1:12" x14ac:dyDescent="0.25">
      <c r="B11" s="1">
        <v>756</v>
      </c>
      <c r="D11" s="1">
        <v>25.75</v>
      </c>
      <c r="F11" s="1">
        <v>11.89</v>
      </c>
    </row>
    <row r="12" spans="1:12" x14ac:dyDescent="0.25">
      <c r="B12" s="1">
        <v>21</v>
      </c>
      <c r="D12" s="1">
        <v>1.39</v>
      </c>
      <c r="F12" s="1">
        <v>14.35</v>
      </c>
    </row>
    <row r="13" spans="1:12" x14ac:dyDescent="0.25">
      <c r="B13" s="1">
        <v>69.09</v>
      </c>
      <c r="D13" s="1">
        <v>28.58</v>
      </c>
      <c r="F13" s="1">
        <v>197.64</v>
      </c>
    </row>
    <row r="14" spans="1:12" x14ac:dyDescent="0.25">
      <c r="B14" s="1">
        <v>110.25</v>
      </c>
      <c r="D14" s="1">
        <v>21.43</v>
      </c>
      <c r="F14" s="1">
        <v>92.97</v>
      </c>
    </row>
    <row r="15" spans="1:12" x14ac:dyDescent="0.25">
      <c r="B15" s="1">
        <v>21</v>
      </c>
      <c r="D15" s="1">
        <v>60.49</v>
      </c>
      <c r="F15" s="1">
        <v>36.479999999999997</v>
      </c>
    </row>
    <row r="16" spans="1:12" x14ac:dyDescent="0.25">
      <c r="B16" s="1">
        <v>63</v>
      </c>
      <c r="D16" s="1">
        <v>8.23</v>
      </c>
      <c r="F16" s="1">
        <v>51.61</v>
      </c>
    </row>
    <row r="17" spans="2:6" x14ac:dyDescent="0.25">
      <c r="B17" s="1">
        <v>21</v>
      </c>
      <c r="D17" s="1">
        <v>3.33</v>
      </c>
      <c r="F17" s="1">
        <v>25.14</v>
      </c>
    </row>
    <row r="18" spans="2:6" x14ac:dyDescent="0.25">
      <c r="B18" s="1">
        <v>63</v>
      </c>
      <c r="D18" s="1">
        <v>62.36</v>
      </c>
      <c r="F18" s="1">
        <v>304.70999999999998</v>
      </c>
    </row>
    <row r="19" spans="2:6" x14ac:dyDescent="0.25">
      <c r="B19" s="1">
        <v>63</v>
      </c>
      <c r="D19" s="1">
        <v>30.93</v>
      </c>
      <c r="F19" s="1">
        <v>31.28</v>
      </c>
    </row>
    <row r="20" spans="2:6" x14ac:dyDescent="0.25">
      <c r="B20" s="1">
        <v>63</v>
      </c>
      <c r="D20" s="1">
        <v>23.37</v>
      </c>
      <c r="F20" s="1">
        <v>30.41</v>
      </c>
    </row>
    <row r="21" spans="2:6" x14ac:dyDescent="0.25">
      <c r="B21" s="1">
        <v>63</v>
      </c>
      <c r="F21" s="1">
        <v>165.75</v>
      </c>
    </row>
    <row r="22" spans="2:6" x14ac:dyDescent="0.25">
      <c r="B22" s="1">
        <v>63</v>
      </c>
      <c r="F22" s="1">
        <v>1447.09</v>
      </c>
    </row>
    <row r="23" spans="2:6" x14ac:dyDescent="0.25">
      <c r="B23" s="1">
        <v>63</v>
      </c>
      <c r="F23" s="1">
        <v>37.42</v>
      </c>
    </row>
    <row r="24" spans="2:6" x14ac:dyDescent="0.25">
      <c r="B24" s="1">
        <v>63</v>
      </c>
      <c r="F24" s="1">
        <v>79.099999999999994</v>
      </c>
    </row>
    <row r="25" spans="2:6" x14ac:dyDescent="0.25">
      <c r="B25" s="1">
        <v>63</v>
      </c>
      <c r="F25" s="1">
        <v>2.42</v>
      </c>
    </row>
    <row r="26" spans="2:6" x14ac:dyDescent="0.25">
      <c r="B26" s="1">
        <v>21</v>
      </c>
      <c r="F26" s="1">
        <v>152.46</v>
      </c>
    </row>
    <row r="27" spans="2:6" x14ac:dyDescent="0.25">
      <c r="B27" s="1">
        <v>63</v>
      </c>
      <c r="F27" s="1">
        <v>2169.75</v>
      </c>
    </row>
    <row r="28" spans="2:6" x14ac:dyDescent="0.25">
      <c r="B28" s="1">
        <v>63</v>
      </c>
      <c r="F28" s="1">
        <v>9.7899999999999991</v>
      </c>
    </row>
    <row r="29" spans="2:6" x14ac:dyDescent="0.25">
      <c r="B29" s="1">
        <v>63</v>
      </c>
      <c r="F29" s="1">
        <v>64.94</v>
      </c>
    </row>
    <row r="30" spans="2:6" x14ac:dyDescent="0.25">
      <c r="B30" s="1">
        <v>63</v>
      </c>
      <c r="F30" s="1">
        <v>65.73</v>
      </c>
    </row>
    <row r="31" spans="2:6" x14ac:dyDescent="0.25">
      <c r="B31" s="1">
        <v>63</v>
      </c>
      <c r="F31" s="1">
        <v>76.34</v>
      </c>
    </row>
    <row r="32" spans="2:6" x14ac:dyDescent="0.25">
      <c r="B32" s="1">
        <v>63</v>
      </c>
      <c r="F32" s="1">
        <v>197.47</v>
      </c>
    </row>
    <row r="33" spans="6:6" x14ac:dyDescent="0.25">
      <c r="F33" s="1">
        <v>97.56</v>
      </c>
    </row>
    <row r="34" spans="6:6" x14ac:dyDescent="0.25">
      <c r="F34" s="1">
        <v>307.56</v>
      </c>
    </row>
    <row r="35" spans="6:6" x14ac:dyDescent="0.25">
      <c r="F35" s="1">
        <v>117.29</v>
      </c>
    </row>
    <row r="36" spans="6:6" x14ac:dyDescent="0.25">
      <c r="F36" s="1">
        <v>17.77</v>
      </c>
    </row>
    <row r="37" spans="6:6" x14ac:dyDescent="0.25">
      <c r="F37" s="1">
        <v>99.17</v>
      </c>
    </row>
    <row r="38" spans="6:6" x14ac:dyDescent="0.25">
      <c r="F38" s="1">
        <v>60.1</v>
      </c>
    </row>
    <row r="39" spans="6:6" x14ac:dyDescent="0.25">
      <c r="F39" s="1">
        <v>18.82</v>
      </c>
    </row>
    <row r="40" spans="6:6" x14ac:dyDescent="0.25">
      <c r="F40" s="1">
        <v>71.8</v>
      </c>
    </row>
    <row r="41" spans="6:6" x14ac:dyDescent="0.25">
      <c r="F41" s="1">
        <v>91.99</v>
      </c>
    </row>
    <row r="42" spans="6:6" x14ac:dyDescent="0.25">
      <c r="F42" s="1">
        <v>380.32</v>
      </c>
    </row>
    <row r="43" spans="6:6" x14ac:dyDescent="0.25">
      <c r="F43" s="1">
        <v>49.14</v>
      </c>
    </row>
    <row r="44" spans="6:6" x14ac:dyDescent="0.25">
      <c r="F44" s="1">
        <v>32.549999999999997</v>
      </c>
    </row>
    <row r="45" spans="6:6" x14ac:dyDescent="0.25">
      <c r="F45" s="1">
        <v>104.92</v>
      </c>
    </row>
    <row r="46" spans="6:6" x14ac:dyDescent="0.25">
      <c r="F46" s="1">
        <v>5.9</v>
      </c>
    </row>
    <row r="47" spans="6:6" x14ac:dyDescent="0.25">
      <c r="F47" s="1">
        <v>11.11</v>
      </c>
    </row>
    <row r="48" spans="6:6" x14ac:dyDescent="0.25">
      <c r="F48" s="1">
        <v>99.11</v>
      </c>
    </row>
    <row r="49" spans="6:6" x14ac:dyDescent="0.25">
      <c r="F49" s="1">
        <v>671</v>
      </c>
    </row>
    <row r="50" spans="6:6" x14ac:dyDescent="0.25">
      <c r="F50" s="1">
        <v>49.44</v>
      </c>
    </row>
    <row r="51" spans="6:6" x14ac:dyDescent="0.25">
      <c r="F51" s="1">
        <v>46.27</v>
      </c>
    </row>
    <row r="52" spans="6:6" x14ac:dyDescent="0.25">
      <c r="F52" s="1">
        <v>70.75</v>
      </c>
    </row>
    <row r="53" spans="6:6" x14ac:dyDescent="0.25">
      <c r="F53" s="1">
        <v>40.39</v>
      </c>
    </row>
    <row r="54" spans="6:6" x14ac:dyDescent="0.25">
      <c r="F54" s="1">
        <v>166.99</v>
      </c>
    </row>
    <row r="55" spans="6:6" x14ac:dyDescent="0.25">
      <c r="F55" s="1">
        <v>79.16</v>
      </c>
    </row>
    <row r="56" spans="6:6" x14ac:dyDescent="0.25">
      <c r="F56" s="1">
        <v>141.04</v>
      </c>
    </row>
    <row r="57" spans="6:6" x14ac:dyDescent="0.25">
      <c r="F57" s="1">
        <v>121.82</v>
      </c>
    </row>
    <row r="58" spans="6:6" x14ac:dyDescent="0.25">
      <c r="F58" s="1">
        <v>46.27</v>
      </c>
    </row>
    <row r="59" spans="6:6" x14ac:dyDescent="0.25">
      <c r="F59" s="1">
        <v>16.600000000000001</v>
      </c>
    </row>
    <row r="60" spans="6:6" x14ac:dyDescent="0.25">
      <c r="F60" s="1">
        <v>12.94</v>
      </c>
    </row>
    <row r="61" spans="6:6" x14ac:dyDescent="0.25">
      <c r="F61" s="1">
        <v>18.32</v>
      </c>
    </row>
    <row r="62" spans="6:6" x14ac:dyDescent="0.25">
      <c r="F62" s="1">
        <v>4.9400000000000004</v>
      </c>
    </row>
    <row r="63" spans="6:6" x14ac:dyDescent="0.25">
      <c r="F63" s="1">
        <v>21</v>
      </c>
    </row>
    <row r="64" spans="6:6" x14ac:dyDescent="0.25">
      <c r="F64" s="1">
        <v>13.65</v>
      </c>
    </row>
    <row r="65" spans="6:6" x14ac:dyDescent="0.25">
      <c r="F65" s="1">
        <v>2.31</v>
      </c>
    </row>
    <row r="66" spans="6:6" x14ac:dyDescent="0.25">
      <c r="F66" s="1">
        <v>36.64</v>
      </c>
    </row>
    <row r="67" spans="6:6" x14ac:dyDescent="0.25">
      <c r="F67" s="1">
        <v>9.84</v>
      </c>
    </row>
    <row r="68" spans="6:6" x14ac:dyDescent="0.25">
      <c r="F68" s="1">
        <v>3.95</v>
      </c>
    </row>
    <row r="69" spans="6:6" x14ac:dyDescent="0.25">
      <c r="F69" s="1">
        <v>166.09</v>
      </c>
    </row>
    <row r="70" spans="6:6" x14ac:dyDescent="0.25">
      <c r="F70" s="1">
        <v>292.19</v>
      </c>
    </row>
    <row r="71" spans="6:6" x14ac:dyDescent="0.25">
      <c r="F71" s="1">
        <v>1713.54</v>
      </c>
    </row>
    <row r="72" spans="6:6" x14ac:dyDescent="0.25">
      <c r="F72" s="1">
        <v>453.46</v>
      </c>
    </row>
    <row r="73" spans="6:6" x14ac:dyDescent="0.25">
      <c r="F73" s="1">
        <v>82.37</v>
      </c>
    </row>
    <row r="74" spans="6:6" x14ac:dyDescent="0.25">
      <c r="F74" s="1">
        <v>340.56</v>
      </c>
    </row>
    <row r="75" spans="6:6" x14ac:dyDescent="0.25">
      <c r="F75" s="1">
        <v>267.33999999999997</v>
      </c>
    </row>
    <row r="76" spans="6:6" x14ac:dyDescent="0.25">
      <c r="F76" s="1">
        <v>14.95</v>
      </c>
    </row>
    <row r="77" spans="6:6" x14ac:dyDescent="0.25">
      <c r="F77" s="1">
        <v>47.15</v>
      </c>
    </row>
    <row r="78" spans="6:6" x14ac:dyDescent="0.25">
      <c r="F78" s="1">
        <v>488.12</v>
      </c>
    </row>
    <row r="79" spans="6:6" x14ac:dyDescent="0.25">
      <c r="F79" s="1">
        <v>398.33</v>
      </c>
    </row>
    <row r="80" spans="6:6" x14ac:dyDescent="0.25">
      <c r="F80" s="1">
        <v>1990.46</v>
      </c>
    </row>
    <row r="81" spans="6:6" x14ac:dyDescent="0.25">
      <c r="F81" s="1">
        <v>260.02999999999997</v>
      </c>
    </row>
    <row r="82" spans="6:6" x14ac:dyDescent="0.25">
      <c r="F82" s="1">
        <v>35.54</v>
      </c>
    </row>
    <row r="83" spans="6:6" x14ac:dyDescent="0.25">
      <c r="F83" s="1">
        <v>146.94</v>
      </c>
    </row>
    <row r="84" spans="6:6" x14ac:dyDescent="0.25">
      <c r="F84" s="1">
        <v>567.67999999999995</v>
      </c>
    </row>
    <row r="85" spans="6:6" x14ac:dyDescent="0.25">
      <c r="F85" s="1">
        <v>180.04</v>
      </c>
    </row>
    <row r="86" spans="6:6" x14ac:dyDescent="0.25">
      <c r="F86" s="1">
        <v>983.65</v>
      </c>
    </row>
    <row r="87" spans="6:6" x14ac:dyDescent="0.25">
      <c r="F87" s="1">
        <v>147.56</v>
      </c>
    </row>
    <row r="88" spans="6:6" x14ac:dyDescent="0.25">
      <c r="F88" s="1">
        <v>150.44999999999999</v>
      </c>
    </row>
    <row r="89" spans="6:6" x14ac:dyDescent="0.25">
      <c r="F89" s="1">
        <v>622</v>
      </c>
    </row>
    <row r="90" spans="6:6" x14ac:dyDescent="0.25">
      <c r="F90" s="1">
        <v>127.05</v>
      </c>
    </row>
    <row r="91" spans="6:6" x14ac:dyDescent="0.25">
      <c r="F91" s="1">
        <v>288.27999999999997</v>
      </c>
    </row>
    <row r="92" spans="6:6" x14ac:dyDescent="0.25">
      <c r="F92" s="1">
        <v>1351.89</v>
      </c>
    </row>
    <row r="93" spans="6:6" x14ac:dyDescent="0.25">
      <c r="F93" s="1">
        <v>375.58</v>
      </c>
    </row>
    <row r="94" spans="6:6" x14ac:dyDescent="0.25">
      <c r="F94" s="1">
        <v>380.99</v>
      </c>
    </row>
    <row r="95" spans="6:6" x14ac:dyDescent="0.25">
      <c r="F95" s="1">
        <v>134.19999999999999</v>
      </c>
    </row>
    <row r="96" spans="6:6" x14ac:dyDescent="0.25">
      <c r="F96" s="1">
        <v>315.39</v>
      </c>
    </row>
    <row r="97" spans="6:6" x14ac:dyDescent="0.25">
      <c r="F97" s="1">
        <v>1512.09</v>
      </c>
    </row>
    <row r="98" spans="6:6" x14ac:dyDescent="0.25">
      <c r="F98" s="1">
        <v>105.63</v>
      </c>
    </row>
    <row r="99" spans="6:6" x14ac:dyDescent="0.25">
      <c r="F99" s="1">
        <v>130.38</v>
      </c>
    </row>
    <row r="100" spans="6:6" x14ac:dyDescent="0.25">
      <c r="F100" s="1">
        <v>690.91</v>
      </c>
    </row>
    <row r="101" spans="6:6" x14ac:dyDescent="0.25">
      <c r="F101" s="1">
        <v>191.27</v>
      </c>
    </row>
    <row r="102" spans="6:6" x14ac:dyDescent="0.25">
      <c r="F102" s="1">
        <v>358.84</v>
      </c>
    </row>
    <row r="103" spans="6:6" x14ac:dyDescent="0.25">
      <c r="F103" s="1">
        <v>1691.73</v>
      </c>
    </row>
    <row r="104" spans="6:6" x14ac:dyDescent="0.25">
      <c r="F104" s="1">
        <v>414.14</v>
      </c>
    </row>
    <row r="105" spans="6:6" x14ac:dyDescent="0.25">
      <c r="F105" s="1">
        <v>168.46</v>
      </c>
    </row>
    <row r="106" spans="6:6" x14ac:dyDescent="0.25">
      <c r="F106" s="1">
        <v>211.84</v>
      </c>
    </row>
    <row r="107" spans="6:6" x14ac:dyDescent="0.25">
      <c r="F107" s="1">
        <v>1083.97</v>
      </c>
    </row>
    <row r="108" spans="6:6" x14ac:dyDescent="0.25">
      <c r="F108" s="1">
        <v>149.22</v>
      </c>
    </row>
    <row r="109" spans="6:6" x14ac:dyDescent="0.25">
      <c r="F109" s="1">
        <v>52.27</v>
      </c>
    </row>
    <row r="110" spans="6:6" x14ac:dyDescent="0.25">
      <c r="F110" s="1">
        <v>216.09</v>
      </c>
    </row>
    <row r="111" spans="6:6" x14ac:dyDescent="0.25">
      <c r="F111" s="1">
        <v>74.930000000000007</v>
      </c>
    </row>
    <row r="112" spans="6:6" x14ac:dyDescent="0.25">
      <c r="F112" s="1">
        <v>277.13</v>
      </c>
    </row>
    <row r="113" spans="6:6" x14ac:dyDescent="0.25">
      <c r="F113" s="1">
        <v>436.87</v>
      </c>
    </row>
    <row r="114" spans="6:6" x14ac:dyDescent="0.25">
      <c r="F114" s="1">
        <v>70.41</v>
      </c>
    </row>
    <row r="115" spans="6:6" x14ac:dyDescent="0.25">
      <c r="F115" s="1">
        <v>346.88</v>
      </c>
    </row>
    <row r="116" spans="6:6" x14ac:dyDescent="0.25">
      <c r="F116" s="1">
        <v>76.3</v>
      </c>
    </row>
    <row r="117" spans="6:6" x14ac:dyDescent="0.25">
      <c r="F117" s="1">
        <v>25.49</v>
      </c>
    </row>
    <row r="118" spans="6:6" x14ac:dyDescent="0.25">
      <c r="F118" s="1">
        <v>105.38</v>
      </c>
    </row>
    <row r="119" spans="6:6" x14ac:dyDescent="0.25">
      <c r="F119" s="1">
        <v>176.45</v>
      </c>
    </row>
    <row r="120" spans="6:6" x14ac:dyDescent="0.25">
      <c r="F120" s="1">
        <v>112.98</v>
      </c>
    </row>
    <row r="121" spans="6:6" x14ac:dyDescent="0.25">
      <c r="F121" s="1">
        <v>253.84</v>
      </c>
    </row>
    <row r="122" spans="6:6" x14ac:dyDescent="0.25">
      <c r="F122" s="1">
        <v>360.03</v>
      </c>
    </row>
    <row r="123" spans="6:6" x14ac:dyDescent="0.25">
      <c r="F123" s="1">
        <v>177.36</v>
      </c>
    </row>
    <row r="124" spans="6:6" x14ac:dyDescent="0.25">
      <c r="F124" s="1">
        <v>99.75</v>
      </c>
    </row>
    <row r="125" spans="6:6" x14ac:dyDescent="0.25">
      <c r="F125" s="1">
        <v>318.36</v>
      </c>
    </row>
    <row r="126" spans="6:6" x14ac:dyDescent="0.25">
      <c r="F126" s="1">
        <v>88.38</v>
      </c>
    </row>
    <row r="127" spans="6:6" x14ac:dyDescent="0.25">
      <c r="F127" s="1">
        <v>214.43</v>
      </c>
    </row>
    <row r="128" spans="6:6" x14ac:dyDescent="0.25">
      <c r="F128" s="1">
        <v>181.01</v>
      </c>
    </row>
    <row r="129" spans="6:6" x14ac:dyDescent="0.25">
      <c r="F129" s="1">
        <v>245.64</v>
      </c>
    </row>
    <row r="130" spans="6:6" x14ac:dyDescent="0.25">
      <c r="F130" s="1">
        <v>275.77999999999997</v>
      </c>
    </row>
    <row r="131" spans="6:6" x14ac:dyDescent="0.25">
      <c r="F131" s="1">
        <v>130.11000000000001</v>
      </c>
    </row>
    <row r="132" spans="6:6" x14ac:dyDescent="0.25">
      <c r="F132" s="1">
        <v>196.35</v>
      </c>
    </row>
    <row r="133" spans="6:6" x14ac:dyDescent="0.25">
      <c r="F133" s="1">
        <v>141.32</v>
      </c>
    </row>
    <row r="134" spans="6:6" x14ac:dyDescent="0.25">
      <c r="F134" s="1">
        <v>162.59</v>
      </c>
    </row>
    <row r="135" spans="6:6" x14ac:dyDescent="0.25">
      <c r="F135" s="1">
        <v>195.68</v>
      </c>
    </row>
    <row r="136" spans="6:6" x14ac:dyDescent="0.25">
      <c r="F136" s="1">
        <v>151.68</v>
      </c>
    </row>
    <row r="137" spans="6:6" x14ac:dyDescent="0.25">
      <c r="F137" s="1">
        <v>249.61</v>
      </c>
    </row>
    <row r="138" spans="6:6" x14ac:dyDescent="0.25">
      <c r="F138" s="1">
        <v>179.08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O19"/>
  <sheetViews>
    <sheetView topLeftCell="B1" zoomScale="70" zoomScaleNormal="70" workbookViewId="0">
      <selection activeCell="I6" sqref="I6:I66"/>
    </sheetView>
  </sheetViews>
  <sheetFormatPr baseColWidth="10" defaultRowHeight="15" x14ac:dyDescent="0.25"/>
  <cols>
    <col min="3" max="8" width="11.5703125" style="1"/>
    <col min="9" max="9" width="12.28515625" style="1" bestFit="1" customWidth="1"/>
    <col min="10" max="10" width="19.7109375" style="1" customWidth="1"/>
    <col min="11" max="14" width="11.5703125" style="1"/>
    <col min="15" max="15" width="30.42578125" bestFit="1" customWidth="1"/>
  </cols>
  <sheetData>
    <row r="3" spans="1:15" ht="14.45" x14ac:dyDescent="0.3">
      <c r="B3" s="2" t="s">
        <v>9</v>
      </c>
      <c r="C3" s="3" t="s">
        <v>1</v>
      </c>
      <c r="D3" s="3"/>
      <c r="E3" s="3" t="s">
        <v>1</v>
      </c>
      <c r="F3" s="3" t="s">
        <v>1</v>
      </c>
      <c r="G3" s="3"/>
      <c r="H3" s="3"/>
      <c r="I3" s="3" t="s">
        <v>1</v>
      </c>
      <c r="J3" s="3" t="s">
        <v>1</v>
      </c>
      <c r="K3" s="3" t="s">
        <v>1</v>
      </c>
      <c r="L3" s="3" t="s">
        <v>6</v>
      </c>
      <c r="M3" s="3" t="s">
        <v>6</v>
      </c>
    </row>
    <row r="4" spans="1:15" thickBot="1" x14ac:dyDescent="0.35">
      <c r="B4" s="4" t="s">
        <v>10</v>
      </c>
      <c r="C4" s="5" t="s">
        <v>7</v>
      </c>
      <c r="D4" s="5"/>
      <c r="E4" s="5" t="s">
        <v>0</v>
      </c>
      <c r="F4" s="5" t="s">
        <v>2</v>
      </c>
      <c r="G4" s="5" t="s">
        <v>3</v>
      </c>
      <c r="H4" s="5"/>
      <c r="I4" s="5" t="s">
        <v>14</v>
      </c>
      <c r="J4" s="5" t="s">
        <v>13</v>
      </c>
      <c r="K4" s="5" t="s">
        <v>5</v>
      </c>
      <c r="L4" s="5" t="s">
        <v>7</v>
      </c>
      <c r="M4" s="5" t="s">
        <v>5</v>
      </c>
      <c r="O4" s="9" t="s">
        <v>12</v>
      </c>
    </row>
    <row r="5" spans="1:15" thickBot="1" x14ac:dyDescent="0.35">
      <c r="B5" s="7" t="s">
        <v>8</v>
      </c>
      <c r="C5" s="6">
        <f>SUM(C6:C149)</f>
        <v>3498.64</v>
      </c>
      <c r="D5" s="6"/>
      <c r="E5" s="6">
        <f t="shared" ref="E5:M5" si="0">SUM(E6:E149)</f>
        <v>0</v>
      </c>
      <c r="F5" s="6">
        <f t="shared" si="0"/>
        <v>0</v>
      </c>
      <c r="G5" s="6">
        <f t="shared" si="0"/>
        <v>0</v>
      </c>
      <c r="H5" s="6"/>
      <c r="I5" s="6">
        <f>SUM(I6:I652)</f>
        <v>0</v>
      </c>
      <c r="J5" s="6">
        <f>SUM(J6:J149)</f>
        <v>3673.95</v>
      </c>
      <c r="K5" s="6">
        <f t="shared" si="0"/>
        <v>105</v>
      </c>
      <c r="L5" s="6">
        <f t="shared" si="0"/>
        <v>1226.4000000000001</v>
      </c>
      <c r="M5" s="6">
        <f t="shared" si="0"/>
        <v>104.16</v>
      </c>
      <c r="O5" s="10">
        <f>SUM(C5:M5)</f>
        <v>8608.15</v>
      </c>
    </row>
    <row r="6" spans="1:15" ht="14.45" x14ac:dyDescent="0.3">
      <c r="A6" t="s">
        <v>16</v>
      </c>
      <c r="B6" t="s">
        <v>15</v>
      </c>
      <c r="C6" s="1">
        <v>147</v>
      </c>
      <c r="J6" s="1">
        <v>3673.95</v>
      </c>
      <c r="K6" s="1">
        <v>105</v>
      </c>
      <c r="L6" s="1">
        <v>1181.25</v>
      </c>
      <c r="M6" s="1">
        <v>104.16</v>
      </c>
      <c r="O6" s="1"/>
    </row>
    <row r="7" spans="1:15" ht="14.45" x14ac:dyDescent="0.3">
      <c r="C7" s="1">
        <v>2.1</v>
      </c>
      <c r="L7" s="1">
        <v>45.15</v>
      </c>
    </row>
    <row r="8" spans="1:15" ht="16.149999999999999" x14ac:dyDescent="0.45">
      <c r="C8" s="1">
        <v>24.19</v>
      </c>
      <c r="L8" s="8"/>
    </row>
    <row r="9" spans="1:15" ht="14.45" x14ac:dyDescent="0.3">
      <c r="C9" s="1">
        <v>945</v>
      </c>
    </row>
    <row r="10" spans="1:15" ht="14.45" x14ac:dyDescent="0.3">
      <c r="C10" s="1">
        <v>1099.3499999999999</v>
      </c>
    </row>
    <row r="11" spans="1:15" ht="14.45" x14ac:dyDescent="0.3">
      <c r="C11" s="1">
        <v>63</v>
      </c>
    </row>
    <row r="12" spans="1:15" ht="14.45" x14ac:dyDescent="0.3">
      <c r="C12" s="1">
        <v>147</v>
      </c>
    </row>
    <row r="13" spans="1:15" ht="14.45" x14ac:dyDescent="0.3">
      <c r="C13" s="1">
        <v>21</v>
      </c>
    </row>
    <row r="14" spans="1:15" ht="14.45" x14ac:dyDescent="0.3">
      <c r="C14" s="1">
        <v>63</v>
      </c>
    </row>
    <row r="15" spans="1:15" ht="14.45" x14ac:dyDescent="0.3">
      <c r="C15" s="1">
        <v>147</v>
      </c>
    </row>
    <row r="16" spans="1:15" ht="14.45" x14ac:dyDescent="0.3">
      <c r="C16" s="1">
        <v>21</v>
      </c>
    </row>
    <row r="17" spans="3:3" ht="14.45" x14ac:dyDescent="0.3">
      <c r="C17" s="1">
        <v>735</v>
      </c>
    </row>
    <row r="18" spans="3:3" ht="14.45" x14ac:dyDescent="0.3">
      <c r="C18" s="1">
        <v>21</v>
      </c>
    </row>
    <row r="19" spans="3:3" ht="14.45" x14ac:dyDescent="0.3">
      <c r="C19" s="1">
        <v>63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N153"/>
  <sheetViews>
    <sheetView topLeftCell="B7" zoomScale="80" zoomScaleNormal="80" workbookViewId="0">
      <selection activeCell="G10" sqref="G10"/>
    </sheetView>
  </sheetViews>
  <sheetFormatPr baseColWidth="10" defaultRowHeight="15" x14ac:dyDescent="0.25"/>
  <cols>
    <col min="3" max="7" width="11.5703125" style="1"/>
    <col min="8" max="8" width="12.28515625" style="1" bestFit="1" customWidth="1"/>
    <col min="9" max="9" width="19.7109375" style="1" customWidth="1"/>
    <col min="10" max="13" width="11.5703125" style="1"/>
    <col min="14" max="14" width="30.42578125" bestFit="1" customWidth="1"/>
  </cols>
  <sheetData>
    <row r="3" spans="2:14" ht="14.45" x14ac:dyDescent="0.3">
      <c r="B3" s="2" t="s">
        <v>9</v>
      </c>
      <c r="C3" s="3" t="s">
        <v>1</v>
      </c>
      <c r="D3" s="3" t="s">
        <v>1</v>
      </c>
      <c r="E3" s="3" t="s">
        <v>1</v>
      </c>
      <c r="F3" s="3"/>
      <c r="G3" s="3" t="s">
        <v>17</v>
      </c>
      <c r="H3" s="3" t="s">
        <v>1</v>
      </c>
      <c r="I3" s="3" t="s">
        <v>1</v>
      </c>
      <c r="J3" s="3" t="s">
        <v>1</v>
      </c>
      <c r="K3" s="3" t="s">
        <v>6</v>
      </c>
      <c r="L3" s="3" t="s">
        <v>6</v>
      </c>
    </row>
    <row r="4" spans="2:14" thickBot="1" x14ac:dyDescent="0.35">
      <c r="B4" s="4" t="s">
        <v>10</v>
      </c>
      <c r="C4" s="5" t="s">
        <v>7</v>
      </c>
      <c r="D4" s="5" t="s">
        <v>0</v>
      </c>
      <c r="E4" s="5" t="s">
        <v>2</v>
      </c>
      <c r="F4" s="5" t="s">
        <v>3</v>
      </c>
      <c r="G4" s="5" t="s">
        <v>14</v>
      </c>
      <c r="H4" s="5" t="s">
        <v>14</v>
      </c>
      <c r="I4" s="5" t="s">
        <v>13</v>
      </c>
      <c r="J4" s="5" t="s">
        <v>5</v>
      </c>
      <c r="K4" s="5" t="s">
        <v>7</v>
      </c>
      <c r="L4" s="5" t="s">
        <v>5</v>
      </c>
      <c r="N4" s="9" t="s">
        <v>12</v>
      </c>
    </row>
    <row r="5" spans="2:14" thickBot="1" x14ac:dyDescent="0.35">
      <c r="B5" s="7" t="s">
        <v>8</v>
      </c>
      <c r="C5" s="6">
        <f>SUM(C6:C149)</f>
        <v>3187.8199999999993</v>
      </c>
      <c r="D5" s="6">
        <f t="shared" ref="D5:L5" si="0">SUM(D6:D149)</f>
        <v>0</v>
      </c>
      <c r="E5" s="6">
        <f t="shared" si="0"/>
        <v>166.12</v>
      </c>
      <c r="F5" s="6">
        <f t="shared" si="0"/>
        <v>0</v>
      </c>
      <c r="G5" s="6">
        <f>SUM(G6:G653)</f>
        <v>31778.59</v>
      </c>
      <c r="H5" s="6">
        <f>SUM(H6:H652)</f>
        <v>48921.824200000003</v>
      </c>
      <c r="I5" s="6">
        <f>SUM(I6:I149)</f>
        <v>4408.95</v>
      </c>
      <c r="J5" s="6">
        <f t="shared" si="0"/>
        <v>105</v>
      </c>
      <c r="K5" s="6">
        <f t="shared" si="0"/>
        <v>1181.25</v>
      </c>
      <c r="L5" s="6">
        <f t="shared" si="0"/>
        <v>0</v>
      </c>
      <c r="N5" s="10">
        <f>SUM(C5:L5)</f>
        <v>89749.554199999999</v>
      </c>
    </row>
    <row r="6" spans="2:14" ht="14.45" x14ac:dyDescent="0.3">
      <c r="C6" s="1">
        <v>2.1</v>
      </c>
      <c r="E6" s="1">
        <v>5.88</v>
      </c>
      <c r="G6" s="1">
        <v>50.72</v>
      </c>
      <c r="H6" s="1">
        <v>50.99</v>
      </c>
      <c r="I6" s="1">
        <v>4408.95</v>
      </c>
      <c r="J6" s="1">
        <v>105</v>
      </c>
      <c r="K6" s="1">
        <v>1181.25</v>
      </c>
      <c r="N6" s="1"/>
    </row>
    <row r="7" spans="2:14" ht="14.45" x14ac:dyDescent="0.3">
      <c r="C7" s="1">
        <v>873.6</v>
      </c>
      <c r="E7" s="1">
        <v>17.34</v>
      </c>
      <c r="G7" s="1">
        <v>49.54</v>
      </c>
      <c r="H7" s="1">
        <v>44.72</v>
      </c>
    </row>
    <row r="8" spans="2:14" ht="16.149999999999999" x14ac:dyDescent="0.45">
      <c r="C8" s="1">
        <v>945</v>
      </c>
      <c r="E8" s="1">
        <v>35.450000000000003</v>
      </c>
      <c r="G8" s="1">
        <v>65.5</v>
      </c>
      <c r="H8" s="1">
        <v>180.1</v>
      </c>
      <c r="K8" s="8"/>
    </row>
    <row r="9" spans="2:14" ht="14.45" x14ac:dyDescent="0.3">
      <c r="C9" s="1">
        <v>63</v>
      </c>
      <c r="E9" s="1">
        <v>10.08</v>
      </c>
      <c r="G9" s="1">
        <v>270.81</v>
      </c>
      <c r="H9" s="1">
        <v>744.6</v>
      </c>
    </row>
    <row r="10" spans="2:14" ht="14.45" x14ac:dyDescent="0.3">
      <c r="C10" s="1">
        <v>63</v>
      </c>
      <c r="E10" s="1">
        <v>36.25</v>
      </c>
      <c r="G10" s="1">
        <v>10.24</v>
      </c>
      <c r="H10" s="1">
        <v>64.180000000000007</v>
      </c>
    </row>
    <row r="11" spans="2:14" ht="14.45" x14ac:dyDescent="0.3">
      <c r="C11" s="1">
        <v>63</v>
      </c>
      <c r="E11" s="1">
        <v>6.99</v>
      </c>
      <c r="G11" s="1">
        <v>37.630000000000003</v>
      </c>
      <c r="H11" s="1">
        <v>71.84</v>
      </c>
    </row>
    <row r="12" spans="2:14" ht="14.45" x14ac:dyDescent="0.3">
      <c r="C12" s="1">
        <v>63</v>
      </c>
      <c r="E12" s="1">
        <v>7.06</v>
      </c>
      <c r="G12" s="1">
        <v>155.58000000000001</v>
      </c>
      <c r="H12" s="1">
        <v>36.130000000000003</v>
      </c>
    </row>
    <row r="13" spans="2:14" ht="14.45" x14ac:dyDescent="0.3">
      <c r="C13" s="1">
        <v>147</v>
      </c>
      <c r="E13" s="1">
        <v>9.41</v>
      </c>
      <c r="G13" s="1">
        <v>90.85</v>
      </c>
      <c r="H13" s="1">
        <v>149.36000000000001</v>
      </c>
    </row>
    <row r="14" spans="2:14" ht="14.45" x14ac:dyDescent="0.3">
      <c r="C14" s="1">
        <v>136.52000000000001</v>
      </c>
      <c r="E14" s="1">
        <v>1.48</v>
      </c>
      <c r="G14" s="1">
        <v>67</v>
      </c>
      <c r="H14" s="1">
        <v>28.58</v>
      </c>
    </row>
    <row r="15" spans="2:14" ht="14.45" x14ac:dyDescent="0.3">
      <c r="C15" s="1">
        <v>35.700000000000003</v>
      </c>
      <c r="E15" s="1">
        <v>30.74</v>
      </c>
      <c r="G15" s="1">
        <v>38.29</v>
      </c>
      <c r="H15" s="1">
        <v>48.79</v>
      </c>
    </row>
    <row r="16" spans="2:14" ht="14.45" x14ac:dyDescent="0.3">
      <c r="C16" s="1">
        <v>63</v>
      </c>
      <c r="E16" s="1">
        <v>5.44</v>
      </c>
      <c r="G16" s="1">
        <v>44.81</v>
      </c>
      <c r="H16" s="1">
        <v>16.55</v>
      </c>
    </row>
    <row r="17" spans="3:8" ht="14.45" x14ac:dyDescent="0.3">
      <c r="C17" s="1">
        <v>63</v>
      </c>
      <c r="G17" s="1">
        <v>54.51</v>
      </c>
      <c r="H17" s="1">
        <v>78.989999999999995</v>
      </c>
    </row>
    <row r="18" spans="3:8" ht="14.45" x14ac:dyDescent="0.3">
      <c r="C18" s="1">
        <v>35.700000000000003</v>
      </c>
      <c r="G18" s="1">
        <v>52.27</v>
      </c>
      <c r="H18" s="1">
        <v>79.03</v>
      </c>
    </row>
    <row r="19" spans="3:8" ht="14.45" x14ac:dyDescent="0.3">
      <c r="C19" s="1">
        <v>63</v>
      </c>
      <c r="D19"/>
      <c r="E19"/>
      <c r="G19" s="1">
        <v>476.7</v>
      </c>
      <c r="H19" s="1">
        <v>326.70999999999998</v>
      </c>
    </row>
    <row r="20" spans="3:8" ht="14.45" x14ac:dyDescent="0.3">
      <c r="C20" s="1">
        <v>63</v>
      </c>
      <c r="D20"/>
      <c r="E20"/>
      <c r="F20"/>
      <c r="G20" s="1">
        <v>111.18</v>
      </c>
      <c r="H20" s="1">
        <v>372.74</v>
      </c>
    </row>
    <row r="21" spans="3:8" ht="14.45" x14ac:dyDescent="0.3">
      <c r="C21" s="1">
        <v>63</v>
      </c>
      <c r="D21"/>
      <c r="E21"/>
      <c r="F21"/>
      <c r="G21" s="1">
        <v>46.43</v>
      </c>
      <c r="H21" s="1">
        <v>73.38</v>
      </c>
    </row>
    <row r="22" spans="3:8" ht="14.45" x14ac:dyDescent="0.3">
      <c r="C22" s="1">
        <v>63</v>
      </c>
      <c r="D22"/>
      <c r="E22"/>
      <c r="F22"/>
      <c r="G22" s="1">
        <v>2.42</v>
      </c>
      <c r="H22" s="1">
        <v>303.39</v>
      </c>
    </row>
    <row r="23" spans="3:8" ht="14.45" x14ac:dyDescent="0.3">
      <c r="C23" s="1">
        <v>220.5</v>
      </c>
      <c r="G23" s="1">
        <v>33.409999999999997</v>
      </c>
      <c r="H23" s="1">
        <v>47.33</v>
      </c>
    </row>
    <row r="24" spans="3:8" ht="14.45" x14ac:dyDescent="0.3">
      <c r="C24" s="1">
        <v>63</v>
      </c>
      <c r="G24" s="1">
        <v>138.13</v>
      </c>
      <c r="H24" s="1">
        <v>338.63</v>
      </c>
    </row>
    <row r="25" spans="3:8" ht="14.45" x14ac:dyDescent="0.3">
      <c r="C25" s="1">
        <v>35.700000000000003</v>
      </c>
      <c r="G25" s="1">
        <v>53.04</v>
      </c>
      <c r="H25" s="1">
        <v>1311.09</v>
      </c>
    </row>
    <row r="26" spans="3:8" ht="14.45" x14ac:dyDescent="0.3">
      <c r="C26" s="1">
        <v>63</v>
      </c>
      <c r="G26" s="1">
        <v>13.83</v>
      </c>
      <c r="H26" s="1">
        <v>267.77999999999997</v>
      </c>
    </row>
    <row r="27" spans="3:8" ht="14.45" x14ac:dyDescent="0.3">
      <c r="G27" s="1">
        <v>88.79</v>
      </c>
      <c r="H27" s="1">
        <v>131.37</v>
      </c>
    </row>
    <row r="28" spans="3:8" ht="14.45" x14ac:dyDescent="0.3">
      <c r="G28" s="1">
        <v>43.61</v>
      </c>
      <c r="H28" s="1">
        <v>889.46</v>
      </c>
    </row>
    <row r="29" spans="3:8" ht="14.45" x14ac:dyDescent="0.3">
      <c r="G29" s="1">
        <v>17.96</v>
      </c>
      <c r="H29" s="1">
        <v>40.67</v>
      </c>
    </row>
    <row r="30" spans="3:8" ht="14.45" x14ac:dyDescent="0.3">
      <c r="G30" s="1">
        <v>152.59</v>
      </c>
      <c r="H30" s="1">
        <v>73.02</v>
      </c>
    </row>
    <row r="31" spans="3:8" ht="14.45" x14ac:dyDescent="0.3">
      <c r="G31" s="1">
        <v>89.9</v>
      </c>
      <c r="H31" s="1">
        <v>280.45999999999998</v>
      </c>
    </row>
    <row r="32" spans="3:8" ht="14.45" x14ac:dyDescent="0.3">
      <c r="G32" s="1">
        <v>819.93</v>
      </c>
      <c r="H32" s="1">
        <v>242.47</v>
      </c>
    </row>
    <row r="33" spans="7:8" ht="14.45" x14ac:dyDescent="0.3">
      <c r="G33" s="1">
        <v>254.01</v>
      </c>
      <c r="H33" s="1">
        <v>114.96</v>
      </c>
    </row>
    <row r="34" spans="7:8" ht="14.45" x14ac:dyDescent="0.3">
      <c r="G34" s="1">
        <v>110.4</v>
      </c>
      <c r="H34" s="1">
        <v>778.35</v>
      </c>
    </row>
    <row r="35" spans="7:8" ht="14.45" x14ac:dyDescent="0.3">
      <c r="G35" s="1">
        <v>24.57</v>
      </c>
      <c r="H35" s="1">
        <v>44.53</v>
      </c>
    </row>
    <row r="36" spans="7:8" ht="14.45" x14ac:dyDescent="0.3">
      <c r="G36" s="1">
        <v>95.54</v>
      </c>
      <c r="H36" s="1">
        <v>102.94</v>
      </c>
    </row>
    <row r="37" spans="7:8" ht="14.45" x14ac:dyDescent="0.3">
      <c r="G37" s="1">
        <v>395.01</v>
      </c>
      <c r="H37" s="1">
        <v>5.22</v>
      </c>
    </row>
    <row r="38" spans="7:8" x14ac:dyDescent="0.25">
      <c r="G38" s="1">
        <v>96.12</v>
      </c>
      <c r="H38" s="1">
        <v>73.17</v>
      </c>
    </row>
    <row r="39" spans="7:8" x14ac:dyDescent="0.25">
      <c r="G39" s="1">
        <v>45.17</v>
      </c>
      <c r="H39" s="1">
        <f>3178.02*21/100</f>
        <v>667.38419999999996</v>
      </c>
    </row>
    <row r="40" spans="7:8" x14ac:dyDescent="0.25">
      <c r="G40" s="1">
        <v>131.13999999999999</v>
      </c>
      <c r="H40" s="1">
        <v>65.62</v>
      </c>
    </row>
    <row r="41" spans="7:8" x14ac:dyDescent="0.25">
      <c r="G41" s="1">
        <v>97.34</v>
      </c>
      <c r="H41" s="1">
        <v>25.17</v>
      </c>
    </row>
    <row r="42" spans="7:8" x14ac:dyDescent="0.25">
      <c r="G42" s="1">
        <v>402.45</v>
      </c>
      <c r="H42" s="1">
        <v>166.88</v>
      </c>
    </row>
    <row r="43" spans="7:8" x14ac:dyDescent="0.25">
      <c r="G43" s="1">
        <v>12.7</v>
      </c>
      <c r="H43" s="1">
        <v>606.04999999999995</v>
      </c>
    </row>
    <row r="44" spans="7:8" x14ac:dyDescent="0.25">
      <c r="G44" s="1">
        <v>101.41</v>
      </c>
      <c r="H44" s="1">
        <v>951.56</v>
      </c>
    </row>
    <row r="45" spans="7:8" x14ac:dyDescent="0.25">
      <c r="G45" s="1">
        <v>686.6</v>
      </c>
      <c r="H45" s="1">
        <v>3608.72</v>
      </c>
    </row>
    <row r="46" spans="7:8" x14ac:dyDescent="0.25">
      <c r="G46" s="1">
        <v>5.67</v>
      </c>
      <c r="H46" s="1">
        <v>214.93</v>
      </c>
    </row>
    <row r="47" spans="7:8" x14ac:dyDescent="0.25">
      <c r="G47" s="1">
        <v>370.13</v>
      </c>
      <c r="H47" s="1">
        <v>10.55</v>
      </c>
    </row>
    <row r="48" spans="7:8" x14ac:dyDescent="0.25">
      <c r="G48" s="1">
        <v>18.899999999999999</v>
      </c>
      <c r="H48" s="1">
        <v>4.03</v>
      </c>
    </row>
    <row r="49" spans="7:8" x14ac:dyDescent="0.25">
      <c r="G49" s="1">
        <v>35.909999999999997</v>
      </c>
      <c r="H49" s="1">
        <v>34.43</v>
      </c>
    </row>
    <row r="50" spans="7:8" x14ac:dyDescent="0.25">
      <c r="G50" s="1">
        <v>366.85</v>
      </c>
      <c r="H50" s="1">
        <v>12.37</v>
      </c>
    </row>
    <row r="51" spans="7:8" x14ac:dyDescent="0.25">
      <c r="G51" s="1">
        <v>2655.43</v>
      </c>
      <c r="H51" s="1">
        <v>1.54</v>
      </c>
    </row>
    <row r="52" spans="7:8" x14ac:dyDescent="0.25">
      <c r="G52" s="1">
        <v>312.99</v>
      </c>
      <c r="H52" s="1">
        <v>4.84</v>
      </c>
    </row>
    <row r="53" spans="7:8" x14ac:dyDescent="0.25">
      <c r="G53" s="1">
        <v>273.35000000000002</v>
      </c>
      <c r="H53" s="1">
        <v>32.72</v>
      </c>
    </row>
    <row r="54" spans="7:8" x14ac:dyDescent="0.25">
      <c r="G54" s="1">
        <v>26.69</v>
      </c>
      <c r="H54" s="1">
        <v>18.14</v>
      </c>
    </row>
    <row r="55" spans="7:8" x14ac:dyDescent="0.25">
      <c r="G55" s="1">
        <v>11.57</v>
      </c>
      <c r="H55" s="1">
        <v>22.6</v>
      </c>
    </row>
    <row r="56" spans="7:8" x14ac:dyDescent="0.25">
      <c r="G56" s="1">
        <v>25.72</v>
      </c>
      <c r="H56" s="1">
        <v>25.8</v>
      </c>
    </row>
    <row r="57" spans="7:8" x14ac:dyDescent="0.25">
      <c r="G57" s="1">
        <v>115.24</v>
      </c>
      <c r="H57" s="1">
        <v>211.57</v>
      </c>
    </row>
    <row r="58" spans="7:8" x14ac:dyDescent="0.25">
      <c r="G58" s="1">
        <v>780.23</v>
      </c>
      <c r="H58" s="1">
        <v>832.32</v>
      </c>
    </row>
    <row r="59" spans="7:8" x14ac:dyDescent="0.25">
      <c r="G59" s="1">
        <v>19.28</v>
      </c>
      <c r="H59" s="1">
        <v>3371.52</v>
      </c>
    </row>
    <row r="60" spans="7:8" x14ac:dyDescent="0.25">
      <c r="G60" s="1">
        <v>92.96</v>
      </c>
      <c r="H60" s="1">
        <v>65.45</v>
      </c>
    </row>
    <row r="61" spans="7:8" x14ac:dyDescent="0.25">
      <c r="G61" s="1">
        <v>13.31</v>
      </c>
      <c r="H61" s="1">
        <v>661.51</v>
      </c>
    </row>
    <row r="62" spans="7:8" x14ac:dyDescent="0.25">
      <c r="G62" s="1">
        <v>15.79</v>
      </c>
      <c r="H62" s="1">
        <v>3611.86</v>
      </c>
    </row>
    <row r="63" spans="7:8" x14ac:dyDescent="0.25">
      <c r="G63" s="1">
        <v>30.59</v>
      </c>
      <c r="H63" s="1">
        <v>248.07</v>
      </c>
    </row>
    <row r="64" spans="7:8" x14ac:dyDescent="0.25">
      <c r="G64" s="1">
        <v>16.73</v>
      </c>
      <c r="H64" s="1">
        <v>362.14</v>
      </c>
    </row>
    <row r="65" spans="7:8" x14ac:dyDescent="0.25">
      <c r="G65" s="1">
        <v>11.19</v>
      </c>
      <c r="H65" s="1">
        <v>1664.14</v>
      </c>
    </row>
    <row r="66" spans="7:8" x14ac:dyDescent="0.25">
      <c r="G66" s="1">
        <v>37.380000000000003</v>
      </c>
      <c r="H66" s="1">
        <v>138.47999999999999</v>
      </c>
    </row>
    <row r="67" spans="7:8" x14ac:dyDescent="0.25">
      <c r="G67" s="1">
        <v>5.7</v>
      </c>
      <c r="H67" s="1">
        <v>228.16</v>
      </c>
    </row>
    <row r="68" spans="7:8" x14ac:dyDescent="0.25">
      <c r="G68" s="1">
        <v>404</v>
      </c>
      <c r="H68" s="1">
        <v>210.16</v>
      </c>
    </row>
    <row r="69" spans="7:8" x14ac:dyDescent="0.25">
      <c r="G69" s="1">
        <v>126.56</v>
      </c>
      <c r="H69" s="1">
        <v>1117.1099999999999</v>
      </c>
    </row>
    <row r="70" spans="7:8" x14ac:dyDescent="0.25">
      <c r="G70" s="1">
        <v>680.54</v>
      </c>
      <c r="H70" s="1">
        <v>360.67</v>
      </c>
    </row>
    <row r="71" spans="7:8" x14ac:dyDescent="0.25">
      <c r="G71" s="1">
        <v>150.37</v>
      </c>
      <c r="H71" s="1">
        <v>331.03</v>
      </c>
    </row>
    <row r="72" spans="7:8" x14ac:dyDescent="0.25">
      <c r="G72" s="1">
        <v>143.46</v>
      </c>
      <c r="H72" s="1">
        <v>1611.63</v>
      </c>
    </row>
    <row r="73" spans="7:8" x14ac:dyDescent="0.25">
      <c r="G73" s="1">
        <v>402.31</v>
      </c>
      <c r="H73" s="1">
        <v>290.76</v>
      </c>
    </row>
    <row r="74" spans="7:8" x14ac:dyDescent="0.25">
      <c r="G74" s="1">
        <v>198.74</v>
      </c>
      <c r="H74" s="1">
        <v>739.85</v>
      </c>
    </row>
    <row r="75" spans="7:8" x14ac:dyDescent="0.25">
      <c r="G75" s="1">
        <v>104.86</v>
      </c>
      <c r="H75" s="1">
        <v>4657.57</v>
      </c>
    </row>
    <row r="76" spans="7:8" x14ac:dyDescent="0.25">
      <c r="G76" s="1">
        <v>433.53</v>
      </c>
      <c r="H76" s="1">
        <v>348.15</v>
      </c>
    </row>
    <row r="77" spans="7:8" x14ac:dyDescent="0.25">
      <c r="G77" s="1">
        <v>118.68</v>
      </c>
      <c r="H77" s="1">
        <v>86.15</v>
      </c>
    </row>
    <row r="78" spans="7:8" x14ac:dyDescent="0.25">
      <c r="G78" s="1">
        <v>128.85</v>
      </c>
      <c r="H78" s="1">
        <v>271.60000000000002</v>
      </c>
    </row>
    <row r="79" spans="7:8" x14ac:dyDescent="0.25">
      <c r="G79" s="1">
        <v>62.52</v>
      </c>
      <c r="H79" s="1">
        <v>79.08</v>
      </c>
    </row>
    <row r="80" spans="7:8" x14ac:dyDescent="0.25">
      <c r="G80" s="1">
        <v>258.48</v>
      </c>
      <c r="H80" s="1">
        <v>38.22</v>
      </c>
    </row>
    <row r="81" spans="7:8" x14ac:dyDescent="0.25">
      <c r="G81" s="1">
        <v>225.24</v>
      </c>
      <c r="H81" s="1">
        <v>158.01</v>
      </c>
    </row>
    <row r="82" spans="7:8" x14ac:dyDescent="0.25">
      <c r="G82" s="1">
        <v>164</v>
      </c>
      <c r="H82" s="1">
        <v>40.14</v>
      </c>
    </row>
    <row r="83" spans="7:8" x14ac:dyDescent="0.25">
      <c r="G83" s="1">
        <v>950.52</v>
      </c>
      <c r="H83" s="1">
        <v>127.56</v>
      </c>
    </row>
    <row r="84" spans="7:8" x14ac:dyDescent="0.25">
      <c r="G84" s="1">
        <v>394.02</v>
      </c>
      <c r="H84" s="1">
        <v>167.86</v>
      </c>
    </row>
    <row r="85" spans="7:8" x14ac:dyDescent="0.25">
      <c r="G85" s="1">
        <v>35.72</v>
      </c>
      <c r="H85" s="1">
        <v>676.49</v>
      </c>
    </row>
    <row r="86" spans="7:8" x14ac:dyDescent="0.25">
      <c r="G86" s="1">
        <v>147.66999999999999</v>
      </c>
      <c r="H86" s="1">
        <v>843.45</v>
      </c>
    </row>
    <row r="87" spans="7:8" x14ac:dyDescent="0.25">
      <c r="G87" s="1">
        <v>101.69</v>
      </c>
      <c r="H87" s="1">
        <v>399.8</v>
      </c>
    </row>
    <row r="88" spans="7:8" x14ac:dyDescent="0.25">
      <c r="G88" s="1">
        <v>190.97</v>
      </c>
      <c r="H88" s="1">
        <v>1630.3</v>
      </c>
    </row>
    <row r="89" spans="7:8" x14ac:dyDescent="0.25">
      <c r="G89" s="1">
        <v>666.62</v>
      </c>
      <c r="H89" s="1">
        <v>226.49</v>
      </c>
    </row>
    <row r="90" spans="7:8" x14ac:dyDescent="0.25">
      <c r="G90" s="1">
        <v>205.7</v>
      </c>
      <c r="H90" s="1">
        <v>471.01</v>
      </c>
    </row>
    <row r="91" spans="7:8" x14ac:dyDescent="0.25">
      <c r="G91" s="1">
        <v>46.42</v>
      </c>
      <c r="H91" s="1">
        <v>1821.54</v>
      </c>
    </row>
    <row r="92" spans="7:8" x14ac:dyDescent="0.25">
      <c r="G92" s="1">
        <v>285.26</v>
      </c>
      <c r="H92" s="1">
        <v>468.84</v>
      </c>
    </row>
    <row r="93" spans="7:8" x14ac:dyDescent="0.25">
      <c r="G93" s="1">
        <v>1179.3599999999999</v>
      </c>
      <c r="H93" s="1">
        <v>13.17</v>
      </c>
    </row>
    <row r="94" spans="7:8" x14ac:dyDescent="0.25">
      <c r="G94" s="1">
        <v>22.17</v>
      </c>
      <c r="H94" s="1">
        <v>54.46</v>
      </c>
    </row>
    <row r="95" spans="7:8" x14ac:dyDescent="0.25">
      <c r="G95" s="1">
        <v>66.290000000000006</v>
      </c>
      <c r="H95" s="1">
        <v>128.33000000000001</v>
      </c>
    </row>
    <row r="96" spans="7:8" x14ac:dyDescent="0.25">
      <c r="G96" s="1">
        <v>210.88</v>
      </c>
      <c r="H96" s="1">
        <v>59.88</v>
      </c>
    </row>
    <row r="97" spans="7:8" x14ac:dyDescent="0.25">
      <c r="G97" s="1">
        <v>124.26</v>
      </c>
      <c r="H97" s="1">
        <v>126.57</v>
      </c>
    </row>
    <row r="98" spans="7:8" x14ac:dyDescent="0.25">
      <c r="G98" s="1">
        <v>89.71</v>
      </c>
      <c r="H98" s="1">
        <v>523.29</v>
      </c>
    </row>
    <row r="99" spans="7:8" x14ac:dyDescent="0.25">
      <c r="G99" s="1">
        <v>76.06</v>
      </c>
      <c r="H99" s="1">
        <v>269.01</v>
      </c>
    </row>
    <row r="100" spans="7:8" x14ac:dyDescent="0.25">
      <c r="G100" s="1">
        <v>514.95000000000005</v>
      </c>
      <c r="H100" s="1">
        <v>341.15</v>
      </c>
    </row>
    <row r="101" spans="7:8" x14ac:dyDescent="0.25">
      <c r="G101" s="1">
        <v>216.67</v>
      </c>
      <c r="H101" s="1">
        <v>1410.43</v>
      </c>
    </row>
    <row r="102" spans="7:8" x14ac:dyDescent="0.25">
      <c r="G102" s="1">
        <v>57</v>
      </c>
      <c r="H102" s="1">
        <v>99.18</v>
      </c>
    </row>
    <row r="103" spans="7:8" x14ac:dyDescent="0.25">
      <c r="G103" s="1">
        <v>139.21</v>
      </c>
      <c r="H103" s="1">
        <v>98.47</v>
      </c>
    </row>
    <row r="104" spans="7:8" x14ac:dyDescent="0.25">
      <c r="G104" s="1">
        <v>344.97</v>
      </c>
      <c r="H104" s="1">
        <v>407.12</v>
      </c>
    </row>
    <row r="105" spans="7:8" x14ac:dyDescent="0.25">
      <c r="G105" s="1">
        <v>29.81</v>
      </c>
      <c r="H105" s="1">
        <v>266.89</v>
      </c>
    </row>
    <row r="106" spans="7:8" x14ac:dyDescent="0.25">
      <c r="G106" s="1">
        <v>123.26</v>
      </c>
      <c r="H106" s="1">
        <v>141.62</v>
      </c>
    </row>
    <row r="107" spans="7:8" x14ac:dyDescent="0.25">
      <c r="G107" s="1">
        <v>35.72</v>
      </c>
      <c r="H107" s="1">
        <v>102.06</v>
      </c>
    </row>
    <row r="108" spans="7:8" x14ac:dyDescent="0.25">
      <c r="G108" s="1">
        <v>193.03</v>
      </c>
      <c r="H108" s="1">
        <v>137.46</v>
      </c>
    </row>
    <row r="109" spans="7:8" x14ac:dyDescent="0.25">
      <c r="G109" s="1">
        <v>1060.1500000000001</v>
      </c>
      <c r="H109" s="1">
        <v>190.88</v>
      </c>
    </row>
    <row r="110" spans="7:8" x14ac:dyDescent="0.25">
      <c r="G110" s="1">
        <v>136.9</v>
      </c>
      <c r="H110" s="1">
        <v>130.97</v>
      </c>
    </row>
    <row r="111" spans="7:8" x14ac:dyDescent="0.25">
      <c r="G111" s="1">
        <v>35.83</v>
      </c>
      <c r="H111" s="1">
        <v>131.71</v>
      </c>
    </row>
    <row r="112" spans="7:8" x14ac:dyDescent="0.25">
      <c r="G112" s="1">
        <v>112.98</v>
      </c>
      <c r="H112" s="1">
        <v>97.9</v>
      </c>
    </row>
    <row r="113" spans="7:8" x14ac:dyDescent="0.25">
      <c r="G113" s="1">
        <v>288.13</v>
      </c>
      <c r="H113" s="1">
        <v>104.68</v>
      </c>
    </row>
    <row r="114" spans="7:8" x14ac:dyDescent="0.25">
      <c r="G114" s="1">
        <v>47.12</v>
      </c>
      <c r="H114" s="1">
        <v>284.20999999999998</v>
      </c>
    </row>
    <row r="115" spans="7:8" x14ac:dyDescent="0.25">
      <c r="G115" s="1">
        <v>66.540000000000006</v>
      </c>
      <c r="H115" s="1">
        <v>95.62</v>
      </c>
    </row>
    <row r="116" spans="7:8" x14ac:dyDescent="0.25">
      <c r="G116" s="1">
        <v>256.54000000000002</v>
      </c>
      <c r="H116" s="1">
        <v>218.06</v>
      </c>
    </row>
    <row r="117" spans="7:8" x14ac:dyDescent="0.25">
      <c r="G117" s="1">
        <v>280.14999999999998</v>
      </c>
      <c r="H117" s="1">
        <v>71.47</v>
      </c>
    </row>
    <row r="118" spans="7:8" x14ac:dyDescent="0.25">
      <c r="G118" s="1">
        <v>84.12</v>
      </c>
      <c r="H118" s="1">
        <v>105.63</v>
      </c>
    </row>
    <row r="119" spans="7:8" x14ac:dyDescent="0.25">
      <c r="G119" s="1">
        <v>347.78</v>
      </c>
      <c r="H119" s="1">
        <v>221.63</v>
      </c>
    </row>
    <row r="120" spans="7:8" x14ac:dyDescent="0.25">
      <c r="G120" s="1">
        <v>139.66</v>
      </c>
      <c r="H120" s="1">
        <v>208.19</v>
      </c>
    </row>
    <row r="121" spans="7:8" x14ac:dyDescent="0.25">
      <c r="G121" s="1">
        <v>46.72</v>
      </c>
      <c r="H121" s="1">
        <v>225.15</v>
      </c>
    </row>
    <row r="122" spans="7:8" x14ac:dyDescent="0.25">
      <c r="G122" s="1">
        <v>193.16</v>
      </c>
      <c r="H122" s="1">
        <v>203.08</v>
      </c>
    </row>
    <row r="123" spans="7:8" x14ac:dyDescent="0.25">
      <c r="G123" s="1">
        <v>49.82</v>
      </c>
    </row>
    <row r="124" spans="7:8" x14ac:dyDescent="0.25">
      <c r="G124" s="1">
        <v>357.74</v>
      </c>
    </row>
    <row r="125" spans="7:8" x14ac:dyDescent="0.25">
      <c r="G125" s="1">
        <v>253.11</v>
      </c>
    </row>
    <row r="126" spans="7:8" x14ac:dyDescent="0.25">
      <c r="G126" s="1">
        <v>1219.44</v>
      </c>
    </row>
    <row r="127" spans="7:8" x14ac:dyDescent="0.25">
      <c r="G127" s="1">
        <v>306.10000000000002</v>
      </c>
    </row>
    <row r="128" spans="7:8" x14ac:dyDescent="0.25">
      <c r="G128" s="1">
        <v>254.49</v>
      </c>
    </row>
    <row r="129" spans="7:7" x14ac:dyDescent="0.25">
      <c r="G129" s="1">
        <v>1566.42</v>
      </c>
    </row>
    <row r="130" spans="7:7" x14ac:dyDescent="0.25">
      <c r="G130" s="1">
        <v>110.47</v>
      </c>
    </row>
    <row r="131" spans="7:7" x14ac:dyDescent="0.25">
      <c r="G131" s="1">
        <v>456.73</v>
      </c>
    </row>
    <row r="132" spans="7:7" x14ac:dyDescent="0.25">
      <c r="G132" s="1">
        <v>360.02</v>
      </c>
    </row>
    <row r="133" spans="7:7" x14ac:dyDescent="0.25">
      <c r="G133" s="1">
        <v>137.59</v>
      </c>
    </row>
    <row r="134" spans="7:7" x14ac:dyDescent="0.25">
      <c r="G134" s="1">
        <v>151.41999999999999</v>
      </c>
    </row>
    <row r="135" spans="7:7" x14ac:dyDescent="0.25">
      <c r="G135" s="1">
        <v>70.23</v>
      </c>
    </row>
    <row r="136" spans="7:7" x14ac:dyDescent="0.25">
      <c r="G136" s="1">
        <v>174</v>
      </c>
    </row>
    <row r="137" spans="7:7" x14ac:dyDescent="0.25">
      <c r="G137" s="1">
        <v>103.65</v>
      </c>
    </row>
    <row r="138" spans="7:7" x14ac:dyDescent="0.25">
      <c r="G138" s="1">
        <v>171.28</v>
      </c>
    </row>
    <row r="139" spans="7:7" x14ac:dyDescent="0.25">
      <c r="G139" s="1">
        <v>121.2</v>
      </c>
    </row>
    <row r="140" spans="7:7" x14ac:dyDescent="0.25">
      <c r="G140" s="1">
        <v>123.14</v>
      </c>
    </row>
    <row r="141" spans="7:7" x14ac:dyDescent="0.25">
      <c r="G141" s="1">
        <v>135.52000000000001</v>
      </c>
    </row>
    <row r="142" spans="7:7" x14ac:dyDescent="0.25">
      <c r="G142" s="1">
        <v>148.5</v>
      </c>
    </row>
    <row r="143" spans="7:7" x14ac:dyDescent="0.25">
      <c r="G143" s="1">
        <v>284.8</v>
      </c>
    </row>
    <row r="144" spans="7:7" x14ac:dyDescent="0.25">
      <c r="G144" s="1">
        <v>98.2</v>
      </c>
    </row>
    <row r="145" spans="7:7" x14ac:dyDescent="0.25">
      <c r="G145" s="1">
        <v>165.17</v>
      </c>
    </row>
    <row r="146" spans="7:7" x14ac:dyDescent="0.25">
      <c r="G146" s="1">
        <v>100.71</v>
      </c>
    </row>
    <row r="147" spans="7:7" x14ac:dyDescent="0.25">
      <c r="G147" s="1">
        <v>81.92</v>
      </c>
    </row>
    <row r="148" spans="7:7" x14ac:dyDescent="0.25">
      <c r="G148" s="1">
        <v>141.61000000000001</v>
      </c>
    </row>
    <row r="149" spans="7:7" x14ac:dyDescent="0.25">
      <c r="G149" s="1">
        <v>132.88</v>
      </c>
    </row>
    <row r="150" spans="7:7" x14ac:dyDescent="0.25">
      <c r="G150" s="1">
        <v>124</v>
      </c>
    </row>
    <row r="151" spans="7:7" x14ac:dyDescent="0.25">
      <c r="G151" s="1">
        <v>149.58000000000001</v>
      </c>
    </row>
    <row r="152" spans="7:7" x14ac:dyDescent="0.25">
      <c r="G152" s="1">
        <v>108.41</v>
      </c>
    </row>
    <row r="153" spans="7:7" x14ac:dyDescent="0.25">
      <c r="G153" s="1">
        <v>204.84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N137"/>
  <sheetViews>
    <sheetView zoomScale="80" zoomScaleNormal="80" workbookViewId="0">
      <selection activeCell="H49" sqref="H49"/>
    </sheetView>
  </sheetViews>
  <sheetFormatPr baseColWidth="10" defaultRowHeight="15" x14ac:dyDescent="0.25"/>
  <cols>
    <col min="3" max="6" width="11.5703125" style="1"/>
    <col min="7" max="7" width="1.28515625" style="1" customWidth="1"/>
    <col min="8" max="8" width="12.28515625" style="1" bestFit="1" customWidth="1"/>
    <col min="9" max="9" width="19.7109375" style="1" customWidth="1"/>
    <col min="10" max="13" width="11.5703125" style="1"/>
    <col min="14" max="14" width="12.140625" customWidth="1"/>
  </cols>
  <sheetData>
    <row r="3" spans="2:14" ht="14.45" x14ac:dyDescent="0.3">
      <c r="B3" s="2" t="s">
        <v>9</v>
      </c>
      <c r="C3" s="3" t="s">
        <v>1</v>
      </c>
      <c r="D3" s="3" t="s">
        <v>1</v>
      </c>
      <c r="E3" s="3" t="s">
        <v>1</v>
      </c>
      <c r="F3" s="3"/>
      <c r="G3" s="3" t="s">
        <v>17</v>
      </c>
      <c r="H3" s="3" t="s">
        <v>1</v>
      </c>
      <c r="I3" s="3" t="s">
        <v>1</v>
      </c>
      <c r="J3" s="3" t="s">
        <v>1</v>
      </c>
      <c r="K3" s="3" t="s">
        <v>6</v>
      </c>
      <c r="L3" s="3" t="s">
        <v>6</v>
      </c>
    </row>
    <row r="4" spans="2:14" thickBot="1" x14ac:dyDescent="0.35">
      <c r="B4" s="4" t="s">
        <v>10</v>
      </c>
      <c r="C4" s="5" t="s">
        <v>7</v>
      </c>
      <c r="D4" s="5" t="s">
        <v>0</v>
      </c>
      <c r="E4" s="5" t="s">
        <v>2</v>
      </c>
      <c r="F4" s="5" t="s">
        <v>3</v>
      </c>
      <c r="G4" s="5" t="s">
        <v>14</v>
      </c>
      <c r="H4" s="5" t="s">
        <v>14</v>
      </c>
      <c r="I4" s="5" t="s">
        <v>13</v>
      </c>
      <c r="J4" s="5" t="s">
        <v>5</v>
      </c>
      <c r="K4" s="5" t="s">
        <v>7</v>
      </c>
      <c r="L4" s="5" t="s">
        <v>5</v>
      </c>
      <c r="N4" s="9" t="s">
        <v>12</v>
      </c>
    </row>
    <row r="5" spans="2:14" thickBot="1" x14ac:dyDescent="0.35">
      <c r="B5" s="7" t="s">
        <v>8</v>
      </c>
      <c r="C5" s="6">
        <f>SUM(C6:C149)</f>
        <v>5752.9500000000007</v>
      </c>
      <c r="D5" s="6">
        <f t="shared" ref="D5:L5" si="0">SUM(D6:D149)</f>
        <v>0</v>
      </c>
      <c r="E5" s="6">
        <f t="shared" si="0"/>
        <v>151.31</v>
      </c>
      <c r="F5" s="6">
        <f t="shared" si="0"/>
        <v>0</v>
      </c>
      <c r="G5" s="6">
        <f>SUM(G6:G653)</f>
        <v>0</v>
      </c>
      <c r="H5" s="6">
        <f>SUM(H6:H652)</f>
        <v>50427.600000000006</v>
      </c>
      <c r="I5" s="6">
        <f>SUM(I6:I149)</f>
        <v>0</v>
      </c>
      <c r="J5" s="6">
        <f t="shared" si="0"/>
        <v>4408.95</v>
      </c>
      <c r="K5" s="6">
        <f t="shared" si="0"/>
        <v>1256.22</v>
      </c>
      <c r="L5" s="6">
        <f t="shared" si="0"/>
        <v>178.5</v>
      </c>
      <c r="N5" s="10">
        <f>SUM(C5:L5)</f>
        <v>62175.530000000006</v>
      </c>
    </row>
    <row r="6" spans="2:14" ht="14.45" x14ac:dyDescent="0.3">
      <c r="N6" s="1"/>
    </row>
    <row r="7" spans="2:14" ht="14.45" x14ac:dyDescent="0.3">
      <c r="C7" s="1">
        <v>2.1</v>
      </c>
      <c r="E7">
        <v>16.329999999999998</v>
      </c>
      <c r="H7" s="1">
        <v>181.84</v>
      </c>
      <c r="J7" s="1">
        <v>4408.95</v>
      </c>
      <c r="K7" s="1">
        <v>1256.22</v>
      </c>
      <c r="L7" s="1">
        <v>178.5</v>
      </c>
    </row>
    <row r="8" spans="2:14" ht="16.149999999999999" x14ac:dyDescent="0.45">
      <c r="C8" s="1">
        <v>113.96</v>
      </c>
      <c r="E8">
        <v>11.28</v>
      </c>
      <c r="H8" s="1">
        <v>162.31</v>
      </c>
      <c r="K8" s="8"/>
      <c r="N8" s="11"/>
    </row>
    <row r="9" spans="2:14" ht="14.45" x14ac:dyDescent="0.3">
      <c r="C9" s="1">
        <v>1365</v>
      </c>
      <c r="E9">
        <v>13.08</v>
      </c>
      <c r="H9" s="1">
        <v>88.81</v>
      </c>
      <c r="N9" s="11"/>
    </row>
    <row r="10" spans="2:14" ht="14.45" x14ac:dyDescent="0.3">
      <c r="C10" s="1">
        <v>113.96</v>
      </c>
      <c r="E10">
        <v>30.24</v>
      </c>
      <c r="H10" s="1">
        <v>367.18</v>
      </c>
      <c r="N10" s="11"/>
    </row>
    <row r="11" spans="2:14" ht="14.45" x14ac:dyDescent="0.3">
      <c r="C11" s="1">
        <v>1690.5</v>
      </c>
      <c r="E11">
        <v>13.86</v>
      </c>
      <c r="H11" s="1">
        <v>100.36</v>
      </c>
      <c r="N11" s="11"/>
    </row>
    <row r="12" spans="2:14" ht="14.45" x14ac:dyDescent="0.3">
      <c r="C12" s="1">
        <v>63</v>
      </c>
      <c r="E12">
        <v>16.920000000000002</v>
      </c>
      <c r="H12" s="1">
        <v>9.48</v>
      </c>
      <c r="N12" s="11"/>
    </row>
    <row r="13" spans="2:14" ht="14.45" x14ac:dyDescent="0.3">
      <c r="C13" s="1">
        <v>63</v>
      </c>
      <c r="E13">
        <v>18.82</v>
      </c>
      <c r="H13" s="1">
        <v>169.08</v>
      </c>
      <c r="N13" s="11"/>
    </row>
    <row r="14" spans="2:14" ht="14.45" x14ac:dyDescent="0.3">
      <c r="C14" s="1">
        <v>63</v>
      </c>
      <c r="E14">
        <v>7.01</v>
      </c>
      <c r="H14" s="1">
        <v>699</v>
      </c>
      <c r="N14" s="11"/>
    </row>
    <row r="15" spans="2:14" ht="14.45" x14ac:dyDescent="0.3">
      <c r="C15" s="1">
        <v>179.34</v>
      </c>
      <c r="E15">
        <v>11.42</v>
      </c>
      <c r="H15" s="1">
        <v>144.30000000000001</v>
      </c>
      <c r="N15" s="11"/>
    </row>
    <row r="16" spans="2:14" ht="14.45" x14ac:dyDescent="0.3">
      <c r="C16" s="1">
        <v>122.32</v>
      </c>
      <c r="E16">
        <v>12.35</v>
      </c>
      <c r="H16" s="1">
        <v>41.58</v>
      </c>
      <c r="N16" s="11"/>
    </row>
    <row r="17" spans="3:14" ht="14.45" x14ac:dyDescent="0.3">
      <c r="C17" s="1">
        <v>255.87</v>
      </c>
      <c r="H17" s="1">
        <v>131.08000000000001</v>
      </c>
      <c r="N17" s="11"/>
    </row>
    <row r="18" spans="3:14" ht="14.45" x14ac:dyDescent="0.3">
      <c r="C18" s="1">
        <v>63</v>
      </c>
      <c r="H18" s="1">
        <v>95.5</v>
      </c>
      <c r="N18" s="11"/>
    </row>
    <row r="19" spans="3:14" ht="14.45" x14ac:dyDescent="0.3">
      <c r="C19" s="1">
        <v>63</v>
      </c>
      <c r="H19" s="1">
        <v>114.35</v>
      </c>
      <c r="N19" s="11"/>
    </row>
    <row r="20" spans="3:14" ht="14.45" x14ac:dyDescent="0.3">
      <c r="C20" s="1">
        <v>63</v>
      </c>
      <c r="H20" s="1">
        <v>141.03</v>
      </c>
      <c r="N20" s="11"/>
    </row>
    <row r="21" spans="3:14" ht="14.45" x14ac:dyDescent="0.3">
      <c r="C21" s="1">
        <v>63</v>
      </c>
      <c r="H21" s="1">
        <v>9.83</v>
      </c>
      <c r="N21" s="11"/>
    </row>
    <row r="22" spans="3:14" ht="14.45" x14ac:dyDescent="0.3">
      <c r="C22" s="1">
        <v>158.38</v>
      </c>
      <c r="H22" s="1">
        <v>145</v>
      </c>
      <c r="N22" s="11"/>
    </row>
    <row r="23" spans="3:14" ht="14.45" x14ac:dyDescent="0.3">
      <c r="C23" s="1">
        <v>158.38</v>
      </c>
      <c r="H23" s="1">
        <v>67.61</v>
      </c>
      <c r="N23" s="11"/>
    </row>
    <row r="24" spans="3:14" ht="14.45" x14ac:dyDescent="0.3">
      <c r="C24" s="1">
        <v>158.38</v>
      </c>
      <c r="H24" s="1">
        <v>130.06</v>
      </c>
      <c r="N24" s="11"/>
    </row>
    <row r="25" spans="3:14" ht="14.45" x14ac:dyDescent="0.3">
      <c r="C25" s="1">
        <v>158.38</v>
      </c>
      <c r="H25" s="1">
        <v>288.49</v>
      </c>
      <c r="N25" s="11"/>
    </row>
    <row r="26" spans="3:14" ht="14.45" x14ac:dyDescent="0.3">
      <c r="C26" s="1">
        <v>179.34</v>
      </c>
      <c r="H26" s="1">
        <v>116.92</v>
      </c>
      <c r="N26" s="11"/>
    </row>
    <row r="27" spans="3:14" ht="14.45" x14ac:dyDescent="0.3">
      <c r="C27" s="1">
        <v>35.700000000000003</v>
      </c>
      <c r="H27" s="1">
        <v>159.05000000000001</v>
      </c>
      <c r="N27" s="11"/>
    </row>
    <row r="28" spans="3:14" ht="14.45" x14ac:dyDescent="0.3">
      <c r="C28" s="1">
        <v>63</v>
      </c>
      <c r="H28" s="1">
        <v>23.42</v>
      </c>
      <c r="N28" s="11"/>
    </row>
    <row r="29" spans="3:14" ht="14.45" x14ac:dyDescent="0.3">
      <c r="C29" s="1">
        <v>179.34</v>
      </c>
      <c r="H29" s="1">
        <v>96.81</v>
      </c>
      <c r="N29" s="11"/>
    </row>
    <row r="30" spans="3:14" ht="14.45" x14ac:dyDescent="0.3">
      <c r="C30" s="1">
        <v>63</v>
      </c>
      <c r="H30" s="1">
        <v>71.930000000000007</v>
      </c>
      <c r="N30" s="11"/>
    </row>
    <row r="31" spans="3:14" x14ac:dyDescent="0.25">
      <c r="C31" s="1">
        <v>63</v>
      </c>
      <c r="H31" s="1">
        <v>92.61</v>
      </c>
      <c r="N31" s="11"/>
    </row>
    <row r="32" spans="3:14" x14ac:dyDescent="0.25">
      <c r="C32" s="1">
        <v>63</v>
      </c>
      <c r="H32" s="1">
        <v>103.65</v>
      </c>
      <c r="N32" s="11"/>
    </row>
    <row r="33" spans="3:14" x14ac:dyDescent="0.25">
      <c r="C33" s="1">
        <v>63</v>
      </c>
      <c r="H33" s="1">
        <v>269.58999999999997</v>
      </c>
      <c r="N33" s="11"/>
    </row>
    <row r="34" spans="3:14" x14ac:dyDescent="0.25">
      <c r="C34" s="1">
        <v>63</v>
      </c>
      <c r="H34" s="1">
        <v>102.21</v>
      </c>
      <c r="N34" s="11"/>
    </row>
    <row r="35" spans="3:14" x14ac:dyDescent="0.25">
      <c r="C35" s="1">
        <v>63</v>
      </c>
      <c r="H35" s="1">
        <v>422.57</v>
      </c>
      <c r="N35" s="11"/>
    </row>
    <row r="36" spans="3:14" x14ac:dyDescent="0.25">
      <c r="H36" s="1">
        <v>170.87</v>
      </c>
      <c r="N36" s="11"/>
    </row>
    <row r="37" spans="3:14" x14ac:dyDescent="0.25">
      <c r="H37" s="1">
        <v>46.15</v>
      </c>
      <c r="N37" s="11"/>
    </row>
    <row r="38" spans="3:14" x14ac:dyDescent="0.25">
      <c r="H38" s="1">
        <v>27.03</v>
      </c>
      <c r="N38" s="11"/>
    </row>
    <row r="39" spans="3:14" x14ac:dyDescent="0.25">
      <c r="H39" s="1">
        <v>26.97</v>
      </c>
      <c r="N39" s="11"/>
    </row>
    <row r="40" spans="3:14" x14ac:dyDescent="0.25">
      <c r="H40" s="1">
        <v>148.72</v>
      </c>
      <c r="N40" s="11"/>
    </row>
    <row r="41" spans="3:14" x14ac:dyDescent="0.25">
      <c r="H41" s="1">
        <v>136.12</v>
      </c>
      <c r="N41" s="11"/>
    </row>
    <row r="42" spans="3:14" x14ac:dyDescent="0.25">
      <c r="H42" s="1">
        <v>562.79</v>
      </c>
      <c r="N42" s="11"/>
    </row>
    <row r="43" spans="3:14" x14ac:dyDescent="0.25">
      <c r="H43" s="1">
        <v>82.93</v>
      </c>
      <c r="N43" s="11"/>
    </row>
    <row r="44" spans="3:14" x14ac:dyDescent="0.25">
      <c r="H44" s="1">
        <v>117.81</v>
      </c>
      <c r="N44" s="11"/>
    </row>
    <row r="45" spans="3:14" x14ac:dyDescent="0.25">
      <c r="H45" s="1">
        <v>35.53</v>
      </c>
    </row>
    <row r="46" spans="3:14" x14ac:dyDescent="0.25">
      <c r="H46" s="1">
        <v>37.880000000000003</v>
      </c>
    </row>
    <row r="47" spans="3:14" x14ac:dyDescent="0.25">
      <c r="H47" s="1">
        <v>163.28</v>
      </c>
    </row>
    <row r="48" spans="3:14" x14ac:dyDescent="0.25">
      <c r="H48" s="1">
        <v>675.07</v>
      </c>
    </row>
    <row r="49" spans="8:8" x14ac:dyDescent="0.25">
      <c r="H49" s="1">
        <v>237.63</v>
      </c>
    </row>
    <row r="50" spans="8:8" x14ac:dyDescent="0.25">
      <c r="H50" s="1">
        <v>13.37</v>
      </c>
    </row>
    <row r="51" spans="8:8" x14ac:dyDescent="0.25">
      <c r="H51" s="1">
        <v>30.24</v>
      </c>
    </row>
    <row r="52" spans="8:8" x14ac:dyDescent="0.25">
      <c r="H52" s="1">
        <v>7.85</v>
      </c>
    </row>
    <row r="53" spans="8:8" x14ac:dyDescent="0.25">
      <c r="H53" s="1">
        <v>45.57</v>
      </c>
    </row>
    <row r="54" spans="8:8" x14ac:dyDescent="0.25">
      <c r="H54" s="1">
        <v>4.62</v>
      </c>
    </row>
    <row r="55" spans="8:8" x14ac:dyDescent="0.25">
      <c r="H55" s="1">
        <v>7.73</v>
      </c>
    </row>
    <row r="56" spans="8:8" x14ac:dyDescent="0.25">
      <c r="H56" s="1">
        <v>81.61</v>
      </c>
    </row>
    <row r="57" spans="8:8" x14ac:dyDescent="0.25">
      <c r="H57" s="1">
        <v>8.15</v>
      </c>
    </row>
    <row r="58" spans="8:8" x14ac:dyDescent="0.25">
      <c r="H58" s="1">
        <v>52.53</v>
      </c>
    </row>
    <row r="59" spans="8:8" x14ac:dyDescent="0.25">
      <c r="H59" s="1">
        <v>38.880000000000003</v>
      </c>
    </row>
    <row r="60" spans="8:8" x14ac:dyDescent="0.25">
      <c r="H60" s="1">
        <v>8.16</v>
      </c>
    </row>
    <row r="61" spans="8:8" x14ac:dyDescent="0.25">
      <c r="H61" s="1">
        <v>364.11</v>
      </c>
    </row>
    <row r="62" spans="8:8" x14ac:dyDescent="0.25">
      <c r="H62" s="1">
        <v>19.57</v>
      </c>
    </row>
    <row r="63" spans="8:8" x14ac:dyDescent="0.25">
      <c r="H63" s="1">
        <v>80.89</v>
      </c>
    </row>
    <row r="64" spans="8:8" x14ac:dyDescent="0.25">
      <c r="H64" s="1">
        <v>17.010000000000002</v>
      </c>
    </row>
    <row r="65" spans="8:8" x14ac:dyDescent="0.25">
      <c r="H65" s="1">
        <v>231.27</v>
      </c>
    </row>
    <row r="66" spans="8:8" x14ac:dyDescent="0.25">
      <c r="H66" s="1">
        <v>1217.4100000000001</v>
      </c>
    </row>
    <row r="67" spans="8:8" x14ac:dyDescent="0.25">
      <c r="H67" s="1">
        <v>232.62</v>
      </c>
    </row>
    <row r="68" spans="8:8" x14ac:dyDescent="0.25">
      <c r="H68" s="1">
        <v>628.41</v>
      </c>
    </row>
    <row r="69" spans="8:8" x14ac:dyDescent="0.25">
      <c r="H69" s="1">
        <v>2399.38</v>
      </c>
    </row>
    <row r="70" spans="8:8" x14ac:dyDescent="0.25">
      <c r="H70" s="1">
        <v>627.67999999999995</v>
      </c>
    </row>
    <row r="71" spans="8:8" x14ac:dyDescent="0.25">
      <c r="H71" s="1">
        <v>110.85</v>
      </c>
    </row>
    <row r="72" spans="8:8" x14ac:dyDescent="0.25">
      <c r="H72" s="1">
        <v>458.28</v>
      </c>
    </row>
    <row r="73" spans="8:8" x14ac:dyDescent="0.25">
      <c r="H73" s="1">
        <v>33.74</v>
      </c>
    </row>
    <row r="74" spans="8:8" x14ac:dyDescent="0.25">
      <c r="H74" s="1">
        <v>131.43</v>
      </c>
    </row>
    <row r="75" spans="8:8" x14ac:dyDescent="0.25">
      <c r="H75" s="1">
        <v>511.63</v>
      </c>
    </row>
    <row r="76" spans="8:8" x14ac:dyDescent="0.25">
      <c r="H76" s="1">
        <v>556.62</v>
      </c>
    </row>
    <row r="77" spans="8:8" x14ac:dyDescent="0.25">
      <c r="H77" s="1">
        <v>599.75</v>
      </c>
    </row>
    <row r="78" spans="8:8" x14ac:dyDescent="0.25">
      <c r="H78" s="1">
        <v>2479.59</v>
      </c>
    </row>
    <row r="79" spans="8:8" x14ac:dyDescent="0.25">
      <c r="H79" s="1">
        <v>374.51</v>
      </c>
    </row>
    <row r="80" spans="8:8" x14ac:dyDescent="0.25">
      <c r="H80" s="1">
        <v>604.26</v>
      </c>
    </row>
    <row r="81" spans="8:8" x14ac:dyDescent="0.25">
      <c r="H81" s="1">
        <v>122.22</v>
      </c>
    </row>
    <row r="82" spans="8:8" x14ac:dyDescent="0.25">
      <c r="H82" s="1">
        <v>467.59</v>
      </c>
    </row>
    <row r="83" spans="8:8" x14ac:dyDescent="0.25">
      <c r="H83" s="1">
        <v>1577.95</v>
      </c>
    </row>
    <row r="84" spans="8:8" x14ac:dyDescent="0.25">
      <c r="H84" s="1">
        <v>9.7100000000000009</v>
      </c>
    </row>
    <row r="85" spans="8:8" x14ac:dyDescent="0.25">
      <c r="H85" s="1">
        <v>144.4</v>
      </c>
    </row>
    <row r="86" spans="8:8" x14ac:dyDescent="0.25">
      <c r="H86" s="1">
        <v>292.27</v>
      </c>
    </row>
    <row r="87" spans="8:8" x14ac:dyDescent="0.25">
      <c r="H87" s="1">
        <v>1451.37</v>
      </c>
    </row>
    <row r="88" spans="8:8" x14ac:dyDescent="0.25">
      <c r="H88" s="1">
        <v>177.61</v>
      </c>
    </row>
    <row r="89" spans="8:8" x14ac:dyDescent="0.25">
      <c r="H89" s="1">
        <v>954.65</v>
      </c>
    </row>
    <row r="90" spans="8:8" x14ac:dyDescent="0.25">
      <c r="H90" s="1">
        <v>567.71</v>
      </c>
    </row>
    <row r="91" spans="8:8" x14ac:dyDescent="0.25">
      <c r="H91" s="1">
        <v>2988.99</v>
      </c>
    </row>
    <row r="92" spans="8:8" x14ac:dyDescent="0.25">
      <c r="H92" s="1">
        <v>591.46</v>
      </c>
    </row>
    <row r="93" spans="8:8" x14ac:dyDescent="0.25">
      <c r="H93" s="1">
        <v>292.27</v>
      </c>
    </row>
    <row r="94" spans="8:8" x14ac:dyDescent="0.25">
      <c r="H94" s="1">
        <v>1451.37</v>
      </c>
    </row>
    <row r="95" spans="8:8" x14ac:dyDescent="0.25">
      <c r="H95" s="1">
        <v>177.61</v>
      </c>
    </row>
    <row r="96" spans="8:8" x14ac:dyDescent="0.25">
      <c r="H96" s="1">
        <v>954.65</v>
      </c>
    </row>
    <row r="97" spans="8:8" x14ac:dyDescent="0.25">
      <c r="H97" s="1">
        <v>567.71</v>
      </c>
    </row>
    <row r="98" spans="8:8" x14ac:dyDescent="0.25">
      <c r="H98" s="1">
        <v>2988.99</v>
      </c>
    </row>
    <row r="99" spans="8:8" x14ac:dyDescent="0.25">
      <c r="H99" s="1">
        <v>591.46</v>
      </c>
    </row>
    <row r="100" spans="8:8" x14ac:dyDescent="0.25">
      <c r="H100" s="1">
        <v>268.86</v>
      </c>
    </row>
    <row r="101" spans="8:8" x14ac:dyDescent="0.25">
      <c r="H101" s="1">
        <v>1579.84</v>
      </c>
    </row>
    <row r="102" spans="8:8" x14ac:dyDescent="0.25">
      <c r="H102" s="1">
        <v>108.73</v>
      </c>
    </row>
    <row r="103" spans="8:8" x14ac:dyDescent="0.25">
      <c r="H103" s="1">
        <v>49.78</v>
      </c>
    </row>
    <row r="104" spans="8:8" x14ac:dyDescent="0.25">
      <c r="H104" s="1">
        <v>190.14</v>
      </c>
    </row>
    <row r="105" spans="8:8" x14ac:dyDescent="0.25">
      <c r="H105" s="1">
        <v>38.75</v>
      </c>
    </row>
    <row r="106" spans="8:8" x14ac:dyDescent="0.25">
      <c r="H106" s="1">
        <v>242.42</v>
      </c>
    </row>
    <row r="107" spans="8:8" x14ac:dyDescent="0.25">
      <c r="H107" s="1">
        <v>135.44</v>
      </c>
    </row>
    <row r="108" spans="8:8" x14ac:dyDescent="0.25">
      <c r="H108" s="1">
        <v>559.92999999999995</v>
      </c>
    </row>
    <row r="109" spans="8:8" x14ac:dyDescent="0.25">
      <c r="H109" s="1">
        <v>40.98</v>
      </c>
    </row>
    <row r="110" spans="8:8" x14ac:dyDescent="0.25">
      <c r="H110" s="1">
        <v>84.75</v>
      </c>
    </row>
    <row r="111" spans="8:8" x14ac:dyDescent="0.25">
      <c r="H111" s="1">
        <v>625.85</v>
      </c>
    </row>
    <row r="112" spans="8:8" x14ac:dyDescent="0.25">
      <c r="H112" s="1">
        <v>400.32</v>
      </c>
    </row>
    <row r="113" spans="8:8" x14ac:dyDescent="0.25">
      <c r="H113" s="1">
        <v>1266.82</v>
      </c>
    </row>
    <row r="114" spans="8:8" x14ac:dyDescent="0.25">
      <c r="H114" s="1">
        <v>1754.44</v>
      </c>
    </row>
    <row r="115" spans="8:8" x14ac:dyDescent="0.25">
      <c r="H115" s="1">
        <v>199.34</v>
      </c>
    </row>
    <row r="116" spans="8:8" x14ac:dyDescent="0.25">
      <c r="H116" s="1">
        <v>824.15</v>
      </c>
    </row>
    <row r="117" spans="8:8" x14ac:dyDescent="0.25">
      <c r="H117" s="1">
        <v>164.29</v>
      </c>
    </row>
    <row r="118" spans="8:8" x14ac:dyDescent="0.25">
      <c r="H118" s="1">
        <v>438.52</v>
      </c>
    </row>
    <row r="119" spans="8:8" x14ac:dyDescent="0.25">
      <c r="H119" s="1">
        <v>794.98</v>
      </c>
    </row>
    <row r="120" spans="8:8" x14ac:dyDescent="0.25">
      <c r="H120" s="1">
        <v>321.27</v>
      </c>
    </row>
    <row r="121" spans="8:8" x14ac:dyDescent="0.25">
      <c r="H121" s="1">
        <v>584.70000000000005</v>
      </c>
    </row>
    <row r="122" spans="8:8" x14ac:dyDescent="0.25">
      <c r="H122" s="1">
        <v>211.76</v>
      </c>
    </row>
    <row r="123" spans="8:8" x14ac:dyDescent="0.25">
      <c r="H123" s="1">
        <v>258.51</v>
      </c>
    </row>
    <row r="124" spans="8:8" x14ac:dyDescent="0.25">
      <c r="H124" s="1">
        <v>654.83000000000004</v>
      </c>
    </row>
    <row r="125" spans="8:8" x14ac:dyDescent="0.25">
      <c r="H125" s="1">
        <v>145.11000000000001</v>
      </c>
    </row>
    <row r="126" spans="8:8" x14ac:dyDescent="0.25">
      <c r="H126" s="1">
        <v>122.61</v>
      </c>
    </row>
    <row r="127" spans="8:8" x14ac:dyDescent="0.25">
      <c r="H127" s="1">
        <v>179.24</v>
      </c>
    </row>
    <row r="128" spans="8:8" x14ac:dyDescent="0.25">
      <c r="H128" s="1">
        <v>228.46</v>
      </c>
    </row>
    <row r="129" spans="8:8" x14ac:dyDescent="0.25">
      <c r="H129" s="1">
        <v>1020.15</v>
      </c>
    </row>
    <row r="130" spans="8:8" x14ac:dyDescent="0.25">
      <c r="H130" s="1">
        <v>182.39</v>
      </c>
    </row>
    <row r="131" spans="8:8" x14ac:dyDescent="0.25">
      <c r="H131" s="1">
        <v>101.98</v>
      </c>
    </row>
    <row r="132" spans="8:8" x14ac:dyDescent="0.25">
      <c r="H132" s="1">
        <v>115.72</v>
      </c>
    </row>
    <row r="133" spans="8:8" x14ac:dyDescent="0.25">
      <c r="H133" s="1">
        <v>223.83</v>
      </c>
    </row>
    <row r="134" spans="8:8" x14ac:dyDescent="0.25">
      <c r="H134" s="1">
        <v>229.98</v>
      </c>
    </row>
    <row r="135" spans="8:8" x14ac:dyDescent="0.25">
      <c r="H135" s="1">
        <v>274.45</v>
      </c>
    </row>
    <row r="136" spans="8:8" x14ac:dyDescent="0.25">
      <c r="H136" s="1">
        <v>180</v>
      </c>
    </row>
    <row r="137" spans="8:8" x14ac:dyDescent="0.25">
      <c r="H137" s="1">
        <v>262.14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206"/>
  <sheetViews>
    <sheetView topLeftCell="A118" workbookViewId="0">
      <selection activeCell="H125" sqref="H125"/>
    </sheetView>
  </sheetViews>
  <sheetFormatPr baseColWidth="10" defaultRowHeight="15" x14ac:dyDescent="0.25"/>
  <cols>
    <col min="8" max="8" width="13.140625" customWidth="1"/>
  </cols>
  <sheetData>
    <row r="2" spans="2:14" x14ac:dyDescent="0.25">
      <c r="B2" s="2" t="s">
        <v>9</v>
      </c>
      <c r="C2" s="3" t="s">
        <v>1</v>
      </c>
      <c r="D2" s="3" t="s">
        <v>1</v>
      </c>
      <c r="E2" s="3" t="s">
        <v>1</v>
      </c>
      <c r="F2" s="3"/>
      <c r="G2" s="3" t="s">
        <v>17</v>
      </c>
      <c r="H2" s="3" t="s">
        <v>1</v>
      </c>
      <c r="I2" s="3" t="s">
        <v>1</v>
      </c>
      <c r="J2" s="3" t="s">
        <v>1</v>
      </c>
      <c r="K2" s="3" t="s">
        <v>6</v>
      </c>
      <c r="L2" s="3" t="s">
        <v>6</v>
      </c>
      <c r="M2" s="1"/>
    </row>
    <row r="3" spans="2:14" ht="15.75" thickBot="1" x14ac:dyDescent="0.3">
      <c r="B3" s="4" t="s">
        <v>10</v>
      </c>
      <c r="C3" s="5" t="s">
        <v>7</v>
      </c>
      <c r="D3" s="5" t="s">
        <v>0</v>
      </c>
      <c r="E3" s="5" t="s">
        <v>2</v>
      </c>
      <c r="F3" s="5" t="s">
        <v>3</v>
      </c>
      <c r="G3" s="5" t="s">
        <v>14</v>
      </c>
      <c r="H3" s="5" t="s">
        <v>14</v>
      </c>
      <c r="I3" s="5" t="s">
        <v>13</v>
      </c>
      <c r="J3" s="5" t="s">
        <v>18</v>
      </c>
      <c r="K3" s="5" t="s">
        <v>7</v>
      </c>
      <c r="L3" s="5" t="s">
        <v>5</v>
      </c>
      <c r="M3" s="1"/>
      <c r="N3" s="9" t="s">
        <v>12</v>
      </c>
    </row>
    <row r="4" spans="2:14" ht="15.75" thickBot="1" x14ac:dyDescent="0.3">
      <c r="B4" s="7" t="s">
        <v>8</v>
      </c>
      <c r="C4" s="6">
        <f>SUM(C5:C148)</f>
        <v>2677.5</v>
      </c>
      <c r="D4" s="6">
        <f t="shared" ref="D4:L4" si="0">SUM(D5:D148)</f>
        <v>0</v>
      </c>
      <c r="E4" s="6">
        <f t="shared" si="0"/>
        <v>214.24999999999997</v>
      </c>
      <c r="F4" s="6">
        <f t="shared" si="0"/>
        <v>0</v>
      </c>
      <c r="G4" s="6">
        <f>SUM(G5:G652)</f>
        <v>0</v>
      </c>
      <c r="H4" s="6">
        <f>SUM(H5:H651)</f>
        <v>54951.16</v>
      </c>
      <c r="I4" s="6">
        <f>SUM(I5:I148)</f>
        <v>5248.95</v>
      </c>
      <c r="J4" s="6">
        <f t="shared" si="0"/>
        <v>147</v>
      </c>
      <c r="K4" s="6">
        <f t="shared" si="0"/>
        <v>1850.99</v>
      </c>
      <c r="L4" s="6">
        <f t="shared" si="0"/>
        <v>178.5</v>
      </c>
      <c r="M4" s="1"/>
      <c r="N4" s="10">
        <f>SUM(C4:L4)</f>
        <v>65268.35</v>
      </c>
    </row>
    <row r="5" spans="2:14" x14ac:dyDescent="0.25">
      <c r="C5" s="1">
        <v>2.1</v>
      </c>
      <c r="D5" s="1"/>
      <c r="E5" s="1">
        <v>22.78</v>
      </c>
      <c r="F5" s="1"/>
      <c r="G5" s="1"/>
      <c r="H5" s="13">
        <v>42.08</v>
      </c>
      <c r="I5" s="1">
        <v>5248.95</v>
      </c>
      <c r="J5" s="1">
        <v>147</v>
      </c>
      <c r="K5" s="1">
        <v>1837.5</v>
      </c>
      <c r="L5" s="1">
        <v>178.5</v>
      </c>
      <c r="M5" s="1"/>
      <c r="N5" s="1"/>
    </row>
    <row r="6" spans="2:14" x14ac:dyDescent="0.25">
      <c r="C6" s="1">
        <v>869.4</v>
      </c>
      <c r="D6" s="1"/>
      <c r="E6">
        <v>8.1199999999999992</v>
      </c>
      <c r="F6" s="1"/>
      <c r="G6" s="1"/>
      <c r="H6" s="13">
        <v>111.26</v>
      </c>
      <c r="I6" s="1"/>
      <c r="J6" s="1"/>
      <c r="K6" s="1">
        <v>13.49</v>
      </c>
      <c r="L6" s="1"/>
      <c r="M6" s="1"/>
    </row>
    <row r="7" spans="2:14" ht="17.25" x14ac:dyDescent="0.4">
      <c r="C7" s="1">
        <v>1365</v>
      </c>
      <c r="D7" s="1"/>
      <c r="E7">
        <v>40.29</v>
      </c>
      <c r="F7" s="1"/>
      <c r="G7" s="1"/>
      <c r="H7" s="13">
        <v>23.52</v>
      </c>
      <c r="I7" s="1"/>
      <c r="J7" s="1"/>
      <c r="K7" s="8"/>
      <c r="L7" s="1"/>
      <c r="M7" s="1"/>
      <c r="N7" s="11"/>
    </row>
    <row r="8" spans="2:14" x14ac:dyDescent="0.25">
      <c r="C8" s="1">
        <v>63</v>
      </c>
      <c r="D8" s="1"/>
      <c r="E8">
        <v>29.82</v>
      </c>
      <c r="F8" s="1"/>
      <c r="G8" s="1"/>
      <c r="H8" s="13">
        <v>55.3</v>
      </c>
      <c r="I8" s="1"/>
      <c r="J8" s="1"/>
      <c r="K8" s="1"/>
      <c r="L8" s="1"/>
      <c r="M8" s="1"/>
      <c r="N8" s="11"/>
    </row>
    <row r="9" spans="2:14" x14ac:dyDescent="0.25">
      <c r="C9" s="1">
        <v>63</v>
      </c>
      <c r="D9" s="1"/>
      <c r="E9">
        <v>6.64</v>
      </c>
      <c r="F9" s="1"/>
      <c r="G9" s="1"/>
      <c r="H9" s="13">
        <v>24.19</v>
      </c>
      <c r="I9" s="1"/>
      <c r="J9" s="1"/>
      <c r="K9" s="1"/>
      <c r="L9" s="1"/>
      <c r="M9" s="1"/>
      <c r="N9" s="11"/>
    </row>
    <row r="10" spans="2:14" x14ac:dyDescent="0.25">
      <c r="C10" s="1">
        <v>63</v>
      </c>
      <c r="D10" s="1"/>
      <c r="E10">
        <v>26.92</v>
      </c>
      <c r="F10" s="1"/>
      <c r="G10" s="1"/>
      <c r="H10" s="13">
        <v>55.19</v>
      </c>
      <c r="I10" s="1"/>
      <c r="J10" s="1"/>
      <c r="K10" s="1"/>
      <c r="L10" s="1"/>
      <c r="M10" s="1"/>
      <c r="N10" s="11"/>
    </row>
    <row r="11" spans="2:14" x14ac:dyDescent="0.25">
      <c r="C11" s="1">
        <v>63</v>
      </c>
      <c r="D11" s="1"/>
      <c r="E11">
        <v>11.64</v>
      </c>
      <c r="F11" s="1"/>
      <c r="G11" s="1"/>
      <c r="H11" s="13">
        <v>90.8</v>
      </c>
      <c r="I11" s="1"/>
      <c r="J11" s="1"/>
      <c r="K11" s="1"/>
      <c r="L11" s="1"/>
      <c r="M11" s="1"/>
      <c r="N11" s="11"/>
    </row>
    <row r="12" spans="2:14" x14ac:dyDescent="0.25">
      <c r="C12" s="1">
        <v>63</v>
      </c>
      <c r="D12" s="1"/>
      <c r="E12">
        <v>4.37</v>
      </c>
      <c r="F12" s="1"/>
      <c r="G12" s="1"/>
      <c r="H12" s="13">
        <v>94.2</v>
      </c>
      <c r="I12" s="1"/>
      <c r="J12" s="1"/>
      <c r="K12" s="1"/>
      <c r="L12" s="1"/>
      <c r="M12" s="1"/>
      <c r="N12" s="11"/>
    </row>
    <row r="13" spans="2:14" x14ac:dyDescent="0.25">
      <c r="C13" s="1">
        <v>63</v>
      </c>
      <c r="D13" s="1"/>
      <c r="E13">
        <v>25.45</v>
      </c>
      <c r="F13" s="1"/>
      <c r="G13" s="1"/>
      <c r="H13" s="13">
        <v>392.09</v>
      </c>
      <c r="I13" s="1"/>
      <c r="J13" s="1"/>
      <c r="K13" s="1"/>
      <c r="L13" s="1"/>
      <c r="M13" s="1"/>
      <c r="N13" s="11"/>
    </row>
    <row r="14" spans="2:14" x14ac:dyDescent="0.25">
      <c r="C14" s="1">
        <v>63</v>
      </c>
      <c r="D14" s="1"/>
      <c r="E14">
        <v>15.28</v>
      </c>
      <c r="F14" s="1"/>
      <c r="G14" s="1"/>
      <c r="H14" s="13">
        <v>42.44</v>
      </c>
      <c r="I14" s="1"/>
      <c r="J14" s="1"/>
      <c r="K14" s="1"/>
      <c r="L14" s="1"/>
      <c r="M14" s="1"/>
      <c r="N14" s="11"/>
    </row>
    <row r="15" spans="2:14" x14ac:dyDescent="0.25">
      <c r="C15" s="1"/>
      <c r="D15" s="1"/>
      <c r="E15">
        <v>12.94</v>
      </c>
      <c r="F15" s="1"/>
      <c r="G15" s="1"/>
      <c r="H15" s="13">
        <v>64.180000000000007</v>
      </c>
      <c r="I15" s="1"/>
      <c r="J15" s="1"/>
      <c r="K15" s="1"/>
      <c r="L15" s="1"/>
      <c r="M15" s="1"/>
      <c r="N15" s="11"/>
    </row>
    <row r="16" spans="2:14" x14ac:dyDescent="0.25">
      <c r="C16" s="1"/>
      <c r="D16" s="1"/>
      <c r="E16" s="1">
        <v>10</v>
      </c>
      <c r="F16" s="1"/>
      <c r="G16" s="1"/>
      <c r="H16" s="13">
        <v>24</v>
      </c>
      <c r="I16" s="1"/>
      <c r="J16" s="1"/>
      <c r="K16" s="1"/>
      <c r="L16" s="1"/>
      <c r="M16" s="1"/>
      <c r="N16" s="11"/>
    </row>
    <row r="17" spans="3:14" x14ac:dyDescent="0.25">
      <c r="C17" s="1"/>
      <c r="D17" s="1"/>
      <c r="E17" s="1"/>
      <c r="F17" s="1"/>
      <c r="G17" s="1"/>
      <c r="H17" s="13">
        <v>132.47</v>
      </c>
      <c r="I17" s="1"/>
      <c r="J17" s="1"/>
      <c r="K17" s="1"/>
      <c r="L17" s="1"/>
      <c r="M17" s="1"/>
      <c r="N17" s="11"/>
    </row>
    <row r="18" spans="3:14" x14ac:dyDescent="0.25">
      <c r="C18" s="1"/>
      <c r="D18" s="1"/>
      <c r="E18" s="1"/>
      <c r="F18" s="1"/>
      <c r="G18" s="1"/>
      <c r="H18" s="13">
        <v>81.05</v>
      </c>
      <c r="I18" s="1"/>
      <c r="J18" s="1"/>
      <c r="K18" s="1"/>
      <c r="L18" s="1"/>
      <c r="M18" s="1"/>
      <c r="N18" s="11"/>
    </row>
    <row r="19" spans="3:14" x14ac:dyDescent="0.25">
      <c r="C19" s="1"/>
      <c r="D19" s="1"/>
      <c r="E19" s="1"/>
      <c r="F19" s="1"/>
      <c r="G19" s="1"/>
      <c r="H19" s="13">
        <v>11.91</v>
      </c>
      <c r="I19" s="1"/>
      <c r="J19" s="1"/>
      <c r="K19" s="1"/>
      <c r="L19" s="1"/>
      <c r="M19" s="1"/>
      <c r="N19" s="11"/>
    </row>
    <row r="20" spans="3:14" x14ac:dyDescent="0.25">
      <c r="C20" s="1"/>
      <c r="D20" s="1"/>
      <c r="E20" s="1"/>
      <c r="F20" s="1"/>
      <c r="G20" s="1"/>
      <c r="H20" s="13">
        <v>44.66</v>
      </c>
      <c r="I20" s="1"/>
      <c r="J20" s="1"/>
      <c r="K20" s="1"/>
      <c r="L20" s="1"/>
      <c r="M20" s="1"/>
      <c r="N20" s="11"/>
    </row>
    <row r="21" spans="3:14" x14ac:dyDescent="0.25">
      <c r="C21" s="1"/>
      <c r="D21" s="1"/>
      <c r="E21" s="1"/>
      <c r="F21" s="1"/>
      <c r="G21" s="1"/>
      <c r="H21" s="13">
        <v>35.06</v>
      </c>
      <c r="I21" s="1"/>
      <c r="J21" s="1"/>
      <c r="K21" s="1"/>
      <c r="L21" s="1"/>
      <c r="M21" s="1"/>
      <c r="N21" s="11"/>
    </row>
    <row r="22" spans="3:14" x14ac:dyDescent="0.25">
      <c r="C22" s="1"/>
      <c r="D22" s="1"/>
      <c r="E22" s="1"/>
      <c r="F22" s="1"/>
      <c r="G22" s="1"/>
      <c r="H22" s="13">
        <v>193.99</v>
      </c>
      <c r="I22" s="1"/>
      <c r="J22" s="1"/>
      <c r="K22" s="1"/>
      <c r="L22" s="1"/>
      <c r="M22" s="1"/>
      <c r="N22" s="11"/>
    </row>
    <row r="23" spans="3:14" x14ac:dyDescent="0.25">
      <c r="C23" s="1"/>
      <c r="D23" s="1"/>
      <c r="E23" s="1"/>
      <c r="F23" s="1"/>
      <c r="G23" s="1"/>
      <c r="H23" s="13">
        <v>55.82</v>
      </c>
      <c r="I23" s="1"/>
      <c r="J23" s="1"/>
      <c r="K23" s="1"/>
      <c r="L23" s="1"/>
      <c r="M23" s="1"/>
      <c r="N23" s="11"/>
    </row>
    <row r="24" spans="3:14" x14ac:dyDescent="0.25">
      <c r="C24" s="1"/>
      <c r="D24" s="1"/>
      <c r="E24" s="1"/>
      <c r="F24" s="1"/>
      <c r="G24" s="1"/>
      <c r="H24" s="13">
        <v>278.88</v>
      </c>
      <c r="I24" s="1"/>
      <c r="J24" s="1"/>
      <c r="K24" s="1"/>
      <c r="L24" s="1"/>
      <c r="M24" s="1"/>
      <c r="N24" s="11"/>
    </row>
    <row r="25" spans="3:14" x14ac:dyDescent="0.25">
      <c r="C25" s="1"/>
      <c r="D25" s="1"/>
      <c r="E25" s="1"/>
      <c r="F25" s="1"/>
      <c r="G25" s="1"/>
      <c r="H25" s="13">
        <v>233.57</v>
      </c>
      <c r="I25" s="1"/>
      <c r="J25" s="1"/>
      <c r="K25" s="1"/>
      <c r="L25" s="1"/>
      <c r="M25" s="1"/>
      <c r="N25" s="11"/>
    </row>
    <row r="26" spans="3:14" x14ac:dyDescent="0.25">
      <c r="C26" s="1"/>
      <c r="D26" s="1"/>
      <c r="E26" s="1"/>
      <c r="F26" s="1"/>
      <c r="G26" s="1"/>
      <c r="H26" s="13">
        <v>129.35</v>
      </c>
      <c r="I26" s="1"/>
      <c r="J26" s="1"/>
      <c r="K26" s="1"/>
      <c r="L26" s="1"/>
      <c r="M26" s="1"/>
      <c r="N26" s="11"/>
    </row>
    <row r="27" spans="3:14" x14ac:dyDescent="0.25">
      <c r="C27" s="1"/>
      <c r="D27" s="1"/>
      <c r="E27" s="1"/>
      <c r="F27" s="1"/>
      <c r="G27" s="1"/>
      <c r="H27" s="13">
        <v>57.08</v>
      </c>
      <c r="I27" s="1"/>
      <c r="J27" s="1"/>
      <c r="K27" s="1"/>
      <c r="L27" s="1"/>
      <c r="M27" s="1"/>
      <c r="N27" s="11"/>
    </row>
    <row r="28" spans="3:14" x14ac:dyDescent="0.25">
      <c r="C28" s="1"/>
      <c r="D28" s="1"/>
      <c r="E28" s="1"/>
      <c r="F28" s="1"/>
      <c r="G28" s="1"/>
      <c r="H28" s="13">
        <v>201.46</v>
      </c>
      <c r="I28" s="1"/>
      <c r="J28" s="1"/>
      <c r="K28" s="1"/>
      <c r="L28" s="1"/>
      <c r="M28" s="1"/>
      <c r="N28" s="11"/>
    </row>
    <row r="29" spans="3:14" x14ac:dyDescent="0.25">
      <c r="C29" s="1"/>
      <c r="D29" s="1"/>
      <c r="E29" s="1"/>
      <c r="F29" s="1"/>
      <c r="G29" s="1"/>
      <c r="H29" s="13">
        <v>79.760000000000005</v>
      </c>
      <c r="I29" s="1"/>
      <c r="J29" s="1"/>
      <c r="K29" s="1"/>
      <c r="L29" s="1"/>
      <c r="M29" s="1"/>
      <c r="N29" s="11"/>
    </row>
    <row r="30" spans="3:14" x14ac:dyDescent="0.25">
      <c r="C30" s="1"/>
      <c r="D30" s="1"/>
      <c r="E30" s="1"/>
      <c r="F30" s="1"/>
      <c r="G30" s="1"/>
      <c r="H30" s="13">
        <v>41.24</v>
      </c>
      <c r="I30" s="1"/>
      <c r="J30" s="1"/>
      <c r="K30" s="1"/>
      <c r="L30" s="1"/>
      <c r="M30" s="1"/>
      <c r="N30" s="11"/>
    </row>
    <row r="31" spans="3:14" x14ac:dyDescent="0.25">
      <c r="C31" s="1"/>
      <c r="D31" s="1"/>
      <c r="E31" s="1"/>
      <c r="F31" s="1"/>
      <c r="G31" s="1"/>
      <c r="H31" s="13">
        <v>174.53</v>
      </c>
      <c r="I31" s="1"/>
      <c r="J31" s="1"/>
      <c r="K31" s="1"/>
      <c r="L31" s="1"/>
      <c r="M31" s="1"/>
      <c r="N31" s="11"/>
    </row>
    <row r="32" spans="3:14" x14ac:dyDescent="0.25">
      <c r="C32" s="1"/>
      <c r="D32" s="1"/>
      <c r="E32" s="1"/>
      <c r="F32" s="1"/>
      <c r="G32" s="1"/>
      <c r="H32" s="13">
        <v>80.87</v>
      </c>
      <c r="I32" s="1"/>
      <c r="J32" s="1"/>
      <c r="K32" s="1"/>
      <c r="L32" s="1"/>
      <c r="M32" s="1"/>
      <c r="N32" s="11"/>
    </row>
    <row r="33" spans="3:14" x14ac:dyDescent="0.25">
      <c r="C33" s="1"/>
      <c r="D33" s="1"/>
      <c r="E33" s="1"/>
      <c r="F33" s="1"/>
      <c r="G33" s="1"/>
      <c r="H33" s="13">
        <v>31.15</v>
      </c>
      <c r="I33" s="1"/>
      <c r="J33" s="1"/>
      <c r="K33" s="1"/>
      <c r="L33" s="1"/>
      <c r="M33" s="1"/>
      <c r="N33" s="11"/>
    </row>
    <row r="34" spans="3:14" x14ac:dyDescent="0.25">
      <c r="C34" s="1"/>
      <c r="D34" s="1"/>
      <c r="E34" s="1"/>
      <c r="F34" s="1"/>
      <c r="G34" s="1"/>
      <c r="H34" s="13">
        <v>327.18</v>
      </c>
      <c r="I34" s="1"/>
      <c r="J34" s="1"/>
      <c r="K34" s="1"/>
      <c r="L34" s="1"/>
      <c r="M34" s="1"/>
      <c r="N34" s="11"/>
    </row>
    <row r="35" spans="3:14" x14ac:dyDescent="0.25">
      <c r="C35" s="1"/>
      <c r="D35" s="1"/>
      <c r="E35" s="1"/>
      <c r="F35" s="1"/>
      <c r="G35" s="1"/>
      <c r="H35" s="13">
        <v>78.72</v>
      </c>
      <c r="I35" s="1"/>
      <c r="J35" s="1"/>
      <c r="K35" s="1"/>
      <c r="L35" s="1"/>
      <c r="M35" s="1"/>
      <c r="N35" s="11"/>
    </row>
    <row r="36" spans="3:14" x14ac:dyDescent="0.25">
      <c r="C36" s="1"/>
      <c r="D36" s="1"/>
      <c r="E36" s="1"/>
      <c r="F36" s="1"/>
      <c r="G36" s="1"/>
      <c r="H36" s="13">
        <v>248.05</v>
      </c>
      <c r="I36" s="1"/>
      <c r="J36" s="1"/>
      <c r="K36" s="1"/>
      <c r="L36" s="1"/>
      <c r="M36" s="1"/>
      <c r="N36" s="11"/>
    </row>
    <row r="37" spans="3:14" x14ac:dyDescent="0.25">
      <c r="C37" s="1"/>
      <c r="D37" s="1"/>
      <c r="E37" s="1"/>
      <c r="F37" s="1"/>
      <c r="G37" s="1"/>
      <c r="H37" s="13">
        <v>7.18</v>
      </c>
      <c r="I37" s="1"/>
      <c r="J37" s="1"/>
      <c r="K37" s="1"/>
      <c r="L37" s="1"/>
      <c r="M37" s="1"/>
      <c r="N37" s="11"/>
    </row>
    <row r="38" spans="3:14" x14ac:dyDescent="0.25">
      <c r="C38" s="1"/>
      <c r="D38" s="1"/>
      <c r="E38" s="1"/>
      <c r="F38" s="1"/>
      <c r="G38" s="1"/>
      <c r="H38" s="13">
        <v>268.35000000000002</v>
      </c>
      <c r="I38" s="1"/>
      <c r="J38" s="1"/>
      <c r="K38" s="1"/>
      <c r="L38" s="1"/>
      <c r="M38" s="1"/>
      <c r="N38" s="11"/>
    </row>
    <row r="39" spans="3:14" x14ac:dyDescent="0.25">
      <c r="C39" s="1"/>
      <c r="D39" s="1"/>
      <c r="E39" s="1"/>
      <c r="F39" s="1"/>
      <c r="G39" s="1"/>
      <c r="H39" s="13">
        <v>108.6</v>
      </c>
      <c r="I39" s="1"/>
      <c r="J39" s="1"/>
      <c r="K39" s="1"/>
      <c r="L39" s="1"/>
      <c r="M39" s="1"/>
      <c r="N39" s="11"/>
    </row>
    <row r="40" spans="3:14" x14ac:dyDescent="0.25">
      <c r="C40" s="1"/>
      <c r="D40" s="1"/>
      <c r="E40" s="1"/>
      <c r="F40" s="1"/>
      <c r="G40" s="1"/>
      <c r="H40" s="13">
        <v>114.16</v>
      </c>
      <c r="I40" s="1"/>
      <c r="J40" s="1"/>
      <c r="K40" s="1"/>
      <c r="L40" s="1"/>
      <c r="M40" s="1"/>
      <c r="N40" s="11"/>
    </row>
    <row r="41" spans="3:14" x14ac:dyDescent="0.25">
      <c r="C41" s="1"/>
      <c r="D41" s="1"/>
      <c r="E41" s="1"/>
      <c r="F41" s="1"/>
      <c r="G41" s="1"/>
      <c r="H41" s="13">
        <v>103.92</v>
      </c>
      <c r="I41" s="1"/>
      <c r="J41" s="1"/>
      <c r="K41" s="1"/>
      <c r="L41" s="1"/>
      <c r="M41" s="1"/>
      <c r="N41" s="11"/>
    </row>
    <row r="42" spans="3:14" x14ac:dyDescent="0.25">
      <c r="C42" s="1"/>
      <c r="D42" s="1"/>
      <c r="E42" s="1"/>
      <c r="F42" s="1"/>
      <c r="G42" s="1"/>
      <c r="H42" s="13">
        <v>53.45</v>
      </c>
      <c r="I42" s="1"/>
      <c r="J42" s="1"/>
      <c r="K42" s="1"/>
      <c r="L42" s="1"/>
      <c r="M42" s="1"/>
      <c r="N42" s="11"/>
    </row>
    <row r="43" spans="3:14" x14ac:dyDescent="0.25">
      <c r="C43" s="1"/>
      <c r="D43" s="1"/>
      <c r="E43" s="1"/>
      <c r="F43" s="1"/>
      <c r="G43" s="1"/>
      <c r="H43" s="13">
        <v>112.06</v>
      </c>
      <c r="I43" s="1"/>
      <c r="J43" s="1"/>
      <c r="K43" s="1"/>
      <c r="L43" s="1"/>
      <c r="M43" s="1"/>
      <c r="N43" s="11"/>
    </row>
    <row r="44" spans="3:14" x14ac:dyDescent="0.25">
      <c r="C44" s="1"/>
      <c r="D44" s="1"/>
      <c r="E44" s="1"/>
      <c r="F44" s="1"/>
      <c r="G44" s="1"/>
      <c r="H44" s="13">
        <v>12.08</v>
      </c>
      <c r="I44" s="1"/>
      <c r="J44" s="1"/>
      <c r="K44" s="1"/>
      <c r="L44" s="1"/>
      <c r="M44" s="1"/>
    </row>
    <row r="45" spans="3:14" x14ac:dyDescent="0.25">
      <c r="C45" s="1"/>
      <c r="D45" s="1"/>
      <c r="E45" s="1"/>
      <c r="F45" s="1"/>
      <c r="G45" s="1"/>
      <c r="H45" s="13">
        <v>177.4</v>
      </c>
      <c r="I45" s="1"/>
      <c r="J45" s="1"/>
      <c r="K45" s="1"/>
      <c r="L45" s="1"/>
      <c r="M45" s="1"/>
    </row>
    <row r="46" spans="3:14" x14ac:dyDescent="0.25">
      <c r="C46" s="1"/>
      <c r="D46" s="1"/>
      <c r="E46" s="1"/>
      <c r="F46" s="1"/>
      <c r="G46" s="1"/>
      <c r="H46" s="13">
        <v>31.71</v>
      </c>
      <c r="I46" s="1"/>
      <c r="J46" s="1"/>
      <c r="K46" s="1"/>
      <c r="L46" s="1"/>
      <c r="M46" s="1"/>
    </row>
    <row r="47" spans="3:14" x14ac:dyDescent="0.25">
      <c r="C47" s="1"/>
      <c r="D47" s="1"/>
      <c r="E47" s="1"/>
      <c r="F47" s="1"/>
      <c r="G47" s="1"/>
      <c r="H47" s="13">
        <v>36.1</v>
      </c>
      <c r="I47" s="1"/>
      <c r="J47" s="1"/>
      <c r="K47" s="1"/>
      <c r="L47" s="1"/>
      <c r="M47" s="1"/>
    </row>
    <row r="48" spans="3:14" x14ac:dyDescent="0.25">
      <c r="C48" s="1"/>
      <c r="D48" s="1"/>
      <c r="E48" s="1"/>
      <c r="F48" s="1"/>
      <c r="G48" s="1"/>
      <c r="H48" s="13">
        <v>255.98</v>
      </c>
      <c r="I48" s="1"/>
      <c r="J48" s="1"/>
      <c r="K48" s="1"/>
      <c r="L48" s="1"/>
      <c r="M48" s="1"/>
    </row>
    <row r="49" spans="3:13" x14ac:dyDescent="0.25">
      <c r="C49" s="1"/>
      <c r="D49" s="1"/>
      <c r="E49" s="1"/>
      <c r="F49" s="1"/>
      <c r="G49" s="1"/>
      <c r="H49" s="13">
        <v>14.99</v>
      </c>
      <c r="I49" s="1"/>
      <c r="J49" s="1"/>
      <c r="K49" s="1"/>
      <c r="L49" s="1"/>
      <c r="M49" s="1"/>
    </row>
    <row r="50" spans="3:13" x14ac:dyDescent="0.25">
      <c r="C50" s="1"/>
      <c r="D50" s="1"/>
      <c r="E50" s="1"/>
      <c r="F50" s="1"/>
      <c r="G50" s="1"/>
      <c r="H50" s="13">
        <v>4.82</v>
      </c>
      <c r="I50" s="1"/>
      <c r="J50" s="1"/>
      <c r="K50" s="1"/>
      <c r="L50" s="1"/>
      <c r="M50" s="1"/>
    </row>
    <row r="51" spans="3:13" x14ac:dyDescent="0.25">
      <c r="C51" s="1"/>
      <c r="D51" s="1"/>
      <c r="E51" s="1"/>
      <c r="F51" s="1"/>
      <c r="G51" s="1"/>
      <c r="H51" s="13">
        <v>13.32</v>
      </c>
      <c r="I51" s="1"/>
      <c r="J51" s="1"/>
      <c r="K51" s="1"/>
      <c r="L51" s="1"/>
      <c r="M51" s="1"/>
    </row>
    <row r="52" spans="3:13" x14ac:dyDescent="0.25">
      <c r="C52" s="1"/>
      <c r="D52" s="1"/>
      <c r="E52" s="1"/>
      <c r="F52" s="1"/>
      <c r="G52" s="1"/>
      <c r="H52" s="13">
        <v>49.96</v>
      </c>
      <c r="I52" s="1"/>
      <c r="J52" s="1"/>
      <c r="K52" s="1"/>
      <c r="L52" s="1"/>
      <c r="M52" s="1"/>
    </row>
    <row r="53" spans="3:13" x14ac:dyDescent="0.25">
      <c r="C53" s="1"/>
      <c r="D53" s="1"/>
      <c r="E53" s="1"/>
      <c r="F53" s="1"/>
      <c r="G53" s="1"/>
      <c r="H53" s="13">
        <v>89.55</v>
      </c>
      <c r="I53" s="1"/>
      <c r="J53" s="1"/>
      <c r="K53" s="1"/>
      <c r="L53" s="1"/>
      <c r="M53" s="1"/>
    </row>
    <row r="54" spans="3:13" x14ac:dyDescent="0.25">
      <c r="C54" s="1"/>
      <c r="D54" s="1"/>
      <c r="E54" s="1"/>
      <c r="F54" s="1"/>
      <c r="G54" s="1"/>
      <c r="H54" s="13">
        <v>1.01</v>
      </c>
      <c r="I54" s="1"/>
      <c r="J54" s="1"/>
      <c r="K54" s="1"/>
      <c r="L54" s="1"/>
      <c r="M54" s="1"/>
    </row>
    <row r="55" spans="3:13" x14ac:dyDescent="0.25">
      <c r="C55" s="1"/>
      <c r="D55" s="1"/>
      <c r="E55" s="1"/>
      <c r="F55" s="1"/>
      <c r="G55" s="1"/>
      <c r="H55" s="13">
        <v>37.36</v>
      </c>
      <c r="I55" s="1"/>
      <c r="J55" s="1"/>
      <c r="K55" s="1"/>
      <c r="L55" s="1"/>
      <c r="M55" s="1"/>
    </row>
    <row r="56" spans="3:13" x14ac:dyDescent="0.25">
      <c r="C56" s="1"/>
      <c r="D56" s="1"/>
      <c r="E56" s="1"/>
      <c r="F56" s="1"/>
      <c r="G56" s="1"/>
      <c r="H56" s="13">
        <v>58.85</v>
      </c>
      <c r="I56" s="1"/>
      <c r="J56" s="1"/>
      <c r="K56" s="1"/>
      <c r="L56" s="1"/>
      <c r="M56" s="1"/>
    </row>
    <row r="57" spans="3:13" x14ac:dyDescent="0.25">
      <c r="C57" s="1"/>
      <c r="D57" s="1"/>
      <c r="E57" s="1"/>
      <c r="F57" s="1"/>
      <c r="G57" s="1"/>
      <c r="H57" s="13">
        <v>14.03</v>
      </c>
      <c r="I57" s="1"/>
      <c r="J57" s="1"/>
      <c r="K57" s="1"/>
      <c r="L57" s="1"/>
      <c r="M57" s="1"/>
    </row>
    <row r="58" spans="3:13" x14ac:dyDescent="0.25">
      <c r="C58" s="1"/>
      <c r="D58" s="1"/>
      <c r="E58" s="1"/>
      <c r="F58" s="1"/>
      <c r="G58" s="1"/>
      <c r="H58" s="13">
        <v>10.37</v>
      </c>
      <c r="I58" s="1"/>
      <c r="J58" s="1"/>
      <c r="K58" s="1"/>
      <c r="L58" s="1"/>
      <c r="M58" s="1"/>
    </row>
    <row r="59" spans="3:13" x14ac:dyDescent="0.25">
      <c r="C59" s="1"/>
      <c r="D59" s="1"/>
      <c r="E59" s="1"/>
      <c r="F59" s="1"/>
      <c r="G59" s="1"/>
      <c r="H59" s="13">
        <v>42.53</v>
      </c>
      <c r="I59" s="1"/>
      <c r="J59" s="1"/>
      <c r="K59" s="1"/>
      <c r="L59" s="1"/>
      <c r="M59" s="1"/>
    </row>
    <row r="60" spans="3:13" x14ac:dyDescent="0.25">
      <c r="C60" s="1"/>
      <c r="D60" s="1"/>
      <c r="E60" s="1"/>
      <c r="F60" s="1"/>
      <c r="G60" s="1"/>
      <c r="H60" s="13">
        <v>52.11</v>
      </c>
      <c r="I60" s="1"/>
      <c r="J60" s="1"/>
      <c r="K60" s="1"/>
      <c r="L60" s="1"/>
      <c r="M60" s="1"/>
    </row>
    <row r="61" spans="3:13" x14ac:dyDescent="0.25">
      <c r="C61" s="1"/>
      <c r="D61" s="1"/>
      <c r="E61" s="1"/>
      <c r="F61" s="1"/>
      <c r="G61" s="1"/>
      <c r="H61" s="13">
        <v>88.45</v>
      </c>
      <c r="I61" s="1"/>
      <c r="J61" s="1"/>
      <c r="K61" s="1"/>
      <c r="L61" s="1"/>
      <c r="M61" s="1"/>
    </row>
    <row r="62" spans="3:13" x14ac:dyDescent="0.25">
      <c r="C62" s="1"/>
      <c r="D62" s="1"/>
      <c r="E62" s="1"/>
      <c r="F62" s="1"/>
      <c r="G62" s="1"/>
      <c r="H62" s="13">
        <v>173.05</v>
      </c>
      <c r="I62" s="1"/>
      <c r="J62" s="1"/>
      <c r="K62" s="1"/>
      <c r="L62" s="1"/>
      <c r="M62" s="1"/>
    </row>
    <row r="63" spans="3:13" x14ac:dyDescent="0.25">
      <c r="C63" s="1"/>
      <c r="D63" s="1"/>
      <c r="E63" s="1"/>
      <c r="F63" s="1"/>
      <c r="G63" s="1"/>
      <c r="H63" s="13">
        <v>21.49</v>
      </c>
      <c r="I63" s="1"/>
      <c r="J63" s="1"/>
      <c r="K63" s="1"/>
      <c r="L63" s="1"/>
      <c r="M63" s="1"/>
    </row>
    <row r="64" spans="3:13" x14ac:dyDescent="0.25">
      <c r="C64" s="1"/>
      <c r="D64" s="1"/>
      <c r="E64" s="1"/>
      <c r="F64" s="1"/>
      <c r="G64" s="1"/>
      <c r="H64" s="13">
        <v>407.94</v>
      </c>
      <c r="I64" s="1"/>
      <c r="J64" s="1"/>
      <c r="K64" s="1"/>
      <c r="L64" s="1"/>
      <c r="M64" s="1"/>
    </row>
    <row r="65" spans="3:13" x14ac:dyDescent="0.25">
      <c r="C65" s="1"/>
      <c r="D65" s="1"/>
      <c r="E65" s="1"/>
      <c r="F65" s="1"/>
      <c r="G65" s="1"/>
      <c r="H65" s="13">
        <v>62.84</v>
      </c>
      <c r="I65" s="1"/>
      <c r="J65" s="1"/>
      <c r="K65" s="1"/>
      <c r="L65" s="1"/>
      <c r="M65" s="1"/>
    </row>
    <row r="66" spans="3:13" x14ac:dyDescent="0.25">
      <c r="C66" s="1"/>
      <c r="D66" s="1"/>
      <c r="E66" s="1"/>
      <c r="F66" s="1"/>
      <c r="G66" s="1"/>
      <c r="H66" s="13">
        <v>119.64</v>
      </c>
      <c r="I66" s="1"/>
      <c r="J66" s="1"/>
      <c r="K66" s="1"/>
      <c r="L66" s="1"/>
      <c r="M66" s="1"/>
    </row>
    <row r="67" spans="3:13" x14ac:dyDescent="0.25">
      <c r="C67" s="1"/>
      <c r="D67" s="1"/>
      <c r="E67" s="1"/>
      <c r="F67" s="1"/>
      <c r="G67" s="1"/>
      <c r="H67" s="13">
        <v>311.24</v>
      </c>
      <c r="I67" s="1"/>
      <c r="J67" s="1"/>
      <c r="K67" s="1"/>
      <c r="L67" s="1"/>
      <c r="M67" s="1"/>
    </row>
    <row r="68" spans="3:13" x14ac:dyDescent="0.25">
      <c r="C68" s="1"/>
      <c r="D68" s="1"/>
      <c r="E68" s="1"/>
      <c r="F68" s="1"/>
      <c r="G68" s="1"/>
      <c r="H68" s="13">
        <v>56.63</v>
      </c>
      <c r="I68" s="1"/>
      <c r="J68" s="1"/>
      <c r="K68" s="1"/>
      <c r="L68" s="1"/>
      <c r="M68" s="1"/>
    </row>
    <row r="69" spans="3:13" x14ac:dyDescent="0.25">
      <c r="C69" s="1"/>
      <c r="D69" s="1"/>
      <c r="E69" s="1"/>
      <c r="F69" s="1"/>
      <c r="G69" s="1"/>
      <c r="H69" s="13">
        <v>708.39</v>
      </c>
      <c r="I69" s="1"/>
      <c r="J69" s="1"/>
      <c r="K69" s="1"/>
      <c r="L69" s="1"/>
      <c r="M69" s="1"/>
    </row>
    <row r="70" spans="3:13" x14ac:dyDescent="0.25">
      <c r="C70" s="1"/>
      <c r="D70" s="1"/>
      <c r="E70" s="1"/>
      <c r="F70" s="1"/>
      <c r="G70" s="1"/>
      <c r="H70" s="13">
        <v>415.81</v>
      </c>
      <c r="I70" s="1"/>
      <c r="J70" s="1"/>
      <c r="K70" s="1"/>
      <c r="L70" s="1"/>
      <c r="M70" s="1"/>
    </row>
    <row r="71" spans="3:13" x14ac:dyDescent="0.25">
      <c r="C71" s="1"/>
      <c r="D71" s="1"/>
      <c r="E71" s="1"/>
      <c r="F71" s="1"/>
      <c r="G71" s="1"/>
      <c r="H71" s="13">
        <v>34.21</v>
      </c>
      <c r="I71" s="1"/>
      <c r="J71" s="1"/>
      <c r="K71" s="1"/>
      <c r="L71" s="1"/>
      <c r="M71" s="1"/>
    </row>
    <row r="72" spans="3:13" x14ac:dyDescent="0.25">
      <c r="C72" s="1"/>
      <c r="D72" s="1"/>
      <c r="E72" s="1"/>
      <c r="F72" s="1"/>
      <c r="G72" s="1"/>
      <c r="H72" s="13">
        <v>399.3</v>
      </c>
      <c r="I72" s="1"/>
      <c r="J72" s="1"/>
      <c r="K72" s="1"/>
      <c r="L72" s="1"/>
      <c r="M72" s="1"/>
    </row>
    <row r="73" spans="3:13" x14ac:dyDescent="0.25">
      <c r="C73" s="1"/>
      <c r="D73" s="1"/>
      <c r="E73" s="1"/>
      <c r="F73" s="1"/>
      <c r="G73" s="1"/>
      <c r="H73" s="13">
        <v>122.94</v>
      </c>
      <c r="I73" s="1"/>
      <c r="J73" s="1"/>
      <c r="K73" s="1"/>
      <c r="L73" s="1"/>
      <c r="M73" s="1"/>
    </row>
    <row r="74" spans="3:13" x14ac:dyDescent="0.25">
      <c r="C74" s="1"/>
      <c r="D74" s="1"/>
      <c r="E74" s="1"/>
      <c r="F74" s="1"/>
      <c r="G74" s="1"/>
      <c r="H74" s="13">
        <v>441.86</v>
      </c>
      <c r="I74" s="1"/>
      <c r="J74" s="1"/>
      <c r="K74" s="1"/>
      <c r="L74" s="1"/>
      <c r="M74" s="1"/>
    </row>
    <row r="75" spans="3:13" x14ac:dyDescent="0.25">
      <c r="C75" s="1"/>
      <c r="D75" s="1"/>
      <c r="E75" s="1"/>
      <c r="F75" s="1"/>
      <c r="G75" s="1"/>
      <c r="H75" s="13">
        <v>321.02</v>
      </c>
      <c r="I75" s="1"/>
      <c r="J75" s="1"/>
      <c r="K75" s="1"/>
      <c r="L75" s="1"/>
      <c r="M75" s="1"/>
    </row>
    <row r="76" spans="3:13" x14ac:dyDescent="0.25">
      <c r="C76" s="1"/>
      <c r="D76" s="1"/>
      <c r="E76" s="1"/>
      <c r="F76" s="1"/>
      <c r="G76" s="1"/>
      <c r="H76" s="13">
        <v>1107.04</v>
      </c>
      <c r="I76" s="1"/>
      <c r="J76" s="1"/>
      <c r="K76" s="1"/>
      <c r="L76" s="1"/>
      <c r="M76" s="1"/>
    </row>
    <row r="77" spans="3:13" x14ac:dyDescent="0.25">
      <c r="C77" s="1"/>
      <c r="D77" s="1"/>
      <c r="E77" s="1"/>
      <c r="F77" s="1"/>
      <c r="G77" s="1"/>
      <c r="H77" s="13">
        <v>113.73</v>
      </c>
      <c r="I77" s="1"/>
      <c r="J77" s="1"/>
      <c r="K77" s="1"/>
      <c r="L77" s="1"/>
      <c r="M77" s="1"/>
    </row>
    <row r="78" spans="3:13" x14ac:dyDescent="0.25">
      <c r="C78" s="1"/>
      <c r="D78" s="1"/>
      <c r="E78" s="1"/>
      <c r="F78" s="1"/>
      <c r="G78" s="1"/>
      <c r="H78" s="13">
        <v>33.549999999999997</v>
      </c>
      <c r="I78" s="1"/>
      <c r="J78" s="1"/>
      <c r="K78" s="1"/>
      <c r="L78" s="1"/>
      <c r="M78" s="1"/>
    </row>
    <row r="79" spans="3:13" x14ac:dyDescent="0.25">
      <c r="C79" s="1"/>
      <c r="D79" s="1"/>
      <c r="E79" s="1"/>
      <c r="F79" s="1"/>
      <c r="G79" s="1"/>
      <c r="H79" s="13">
        <v>739.14</v>
      </c>
      <c r="I79" s="1"/>
      <c r="J79" s="1"/>
      <c r="K79" s="1"/>
      <c r="L79" s="1"/>
      <c r="M79" s="1"/>
    </row>
    <row r="80" spans="3:13" x14ac:dyDescent="0.25">
      <c r="C80" s="1"/>
      <c r="D80" s="1"/>
      <c r="E80" s="1"/>
      <c r="F80" s="1"/>
      <c r="G80" s="1"/>
      <c r="H80" s="13">
        <v>443.63</v>
      </c>
      <c r="I80" s="1"/>
      <c r="J80" s="1"/>
      <c r="K80" s="1"/>
      <c r="L80" s="1"/>
      <c r="M80" s="1"/>
    </row>
    <row r="81" spans="3:13" x14ac:dyDescent="0.25">
      <c r="C81" s="1"/>
      <c r="D81" s="1"/>
      <c r="E81" s="1"/>
      <c r="F81" s="1"/>
      <c r="G81" s="1"/>
      <c r="H81" s="13">
        <v>422.53</v>
      </c>
      <c r="I81" s="1"/>
      <c r="J81" s="1"/>
      <c r="K81" s="1"/>
      <c r="L81" s="1"/>
      <c r="M81" s="1"/>
    </row>
    <row r="82" spans="3:13" x14ac:dyDescent="0.25">
      <c r="C82" s="1"/>
      <c r="D82" s="1"/>
      <c r="E82" s="1"/>
      <c r="F82" s="1"/>
      <c r="G82" s="1"/>
      <c r="H82" s="13">
        <v>378.55</v>
      </c>
      <c r="I82" s="1"/>
      <c r="J82" s="1"/>
      <c r="K82" s="1"/>
      <c r="L82" s="1"/>
      <c r="M82" s="1"/>
    </row>
    <row r="83" spans="3:13" x14ac:dyDescent="0.25">
      <c r="C83" s="1"/>
      <c r="D83" s="1"/>
      <c r="E83" s="1"/>
      <c r="F83" s="1"/>
      <c r="G83" s="1"/>
      <c r="H83" s="13">
        <v>321.06</v>
      </c>
      <c r="I83" s="1"/>
      <c r="J83" s="1"/>
      <c r="K83" s="1"/>
      <c r="L83" s="1"/>
      <c r="M83" s="1"/>
    </row>
    <row r="84" spans="3:13" x14ac:dyDescent="0.25">
      <c r="C84" s="1"/>
      <c r="D84" s="1"/>
      <c r="E84" s="1"/>
      <c r="F84" s="1"/>
      <c r="G84" s="1"/>
      <c r="H84" s="13">
        <v>23.05</v>
      </c>
      <c r="I84" s="1"/>
      <c r="J84" s="1"/>
      <c r="K84" s="1"/>
      <c r="L84" s="1"/>
      <c r="M84" s="1"/>
    </row>
    <row r="85" spans="3:13" x14ac:dyDescent="0.25">
      <c r="C85" s="1"/>
      <c r="D85" s="1"/>
      <c r="E85" s="1"/>
      <c r="F85" s="1"/>
      <c r="G85" s="1"/>
      <c r="H85" s="13">
        <v>298.66000000000003</v>
      </c>
      <c r="I85" s="1"/>
      <c r="J85" s="1"/>
      <c r="K85" s="1"/>
      <c r="L85" s="1"/>
      <c r="M85" s="1"/>
    </row>
    <row r="86" spans="3:13" x14ac:dyDescent="0.25">
      <c r="C86" s="1"/>
      <c r="D86" s="1"/>
      <c r="E86" s="1"/>
      <c r="F86" s="1"/>
      <c r="G86" s="1"/>
      <c r="H86" s="13">
        <v>342.72</v>
      </c>
      <c r="I86" s="1"/>
      <c r="J86" s="1"/>
      <c r="K86" s="1"/>
      <c r="L86" s="1"/>
      <c r="M86" s="1"/>
    </row>
    <row r="87" spans="3:13" x14ac:dyDescent="0.25">
      <c r="C87" s="1"/>
      <c r="D87" s="1"/>
      <c r="E87" s="1"/>
      <c r="F87" s="1"/>
      <c r="G87" s="1"/>
      <c r="H87" s="13">
        <v>522.21</v>
      </c>
      <c r="I87" s="1"/>
      <c r="J87" s="1"/>
      <c r="K87" s="1"/>
      <c r="L87" s="1"/>
      <c r="M87" s="1"/>
    </row>
    <row r="88" spans="3:13" x14ac:dyDescent="0.25">
      <c r="C88" s="1"/>
      <c r="D88" s="1"/>
      <c r="E88" s="1"/>
      <c r="F88" s="1"/>
      <c r="G88" s="1"/>
      <c r="H88" s="13">
        <v>357.92</v>
      </c>
      <c r="I88" s="1"/>
      <c r="J88" s="1"/>
      <c r="K88" s="1"/>
      <c r="L88" s="1"/>
      <c r="M88" s="1"/>
    </row>
    <row r="89" spans="3:13" x14ac:dyDescent="0.25">
      <c r="C89" s="1"/>
      <c r="D89" s="1"/>
      <c r="E89" s="1"/>
      <c r="F89" s="1"/>
      <c r="G89" s="1"/>
      <c r="H89" s="13">
        <v>134.61000000000001</v>
      </c>
      <c r="I89" s="1"/>
      <c r="J89" s="1"/>
      <c r="K89" s="1"/>
      <c r="L89" s="1"/>
      <c r="M89" s="1"/>
    </row>
    <row r="90" spans="3:13" x14ac:dyDescent="0.25">
      <c r="C90" s="1"/>
      <c r="D90" s="1"/>
      <c r="E90" s="1"/>
      <c r="F90" s="1"/>
      <c r="G90" s="1"/>
      <c r="H90" s="13">
        <v>44.85</v>
      </c>
      <c r="I90" s="1"/>
      <c r="J90" s="1"/>
      <c r="K90" s="1"/>
      <c r="L90" s="1"/>
      <c r="M90" s="1"/>
    </row>
    <row r="91" spans="3:13" x14ac:dyDescent="0.25">
      <c r="C91" s="1"/>
      <c r="D91" s="1"/>
      <c r="E91" s="1"/>
      <c r="F91" s="1"/>
      <c r="G91" s="1"/>
      <c r="H91" s="13">
        <v>396.98</v>
      </c>
      <c r="I91" s="1"/>
      <c r="J91" s="1"/>
      <c r="K91" s="1"/>
      <c r="L91" s="1"/>
      <c r="M91" s="1"/>
    </row>
    <row r="92" spans="3:13" x14ac:dyDescent="0.25">
      <c r="C92" s="1"/>
      <c r="D92" s="1"/>
      <c r="E92" s="1"/>
      <c r="F92" s="1"/>
      <c r="G92" s="1"/>
      <c r="H92" s="13">
        <v>52.66</v>
      </c>
      <c r="I92" s="1"/>
      <c r="J92" s="1"/>
      <c r="K92" s="1"/>
      <c r="L92" s="1"/>
      <c r="M92" s="1"/>
    </row>
    <row r="93" spans="3:13" x14ac:dyDescent="0.25">
      <c r="C93" s="1"/>
      <c r="D93" s="1"/>
      <c r="E93" s="1"/>
      <c r="F93" s="1"/>
      <c r="G93" s="1"/>
      <c r="H93" s="13">
        <v>239.85</v>
      </c>
      <c r="I93" s="1"/>
      <c r="J93" s="1"/>
      <c r="K93" s="1"/>
      <c r="L93" s="1"/>
      <c r="M93" s="1"/>
    </row>
    <row r="94" spans="3:13" x14ac:dyDescent="0.25">
      <c r="C94" s="1"/>
      <c r="D94" s="1"/>
      <c r="E94" s="1"/>
      <c r="F94" s="1"/>
      <c r="G94" s="1"/>
      <c r="H94" s="13">
        <v>558.17999999999995</v>
      </c>
      <c r="I94" s="1"/>
      <c r="J94" s="1"/>
      <c r="K94" s="1"/>
      <c r="L94" s="1"/>
      <c r="M94" s="1"/>
    </row>
    <row r="95" spans="3:13" x14ac:dyDescent="0.25">
      <c r="C95" s="1"/>
      <c r="D95" s="1"/>
      <c r="E95" s="1"/>
      <c r="F95" s="1"/>
      <c r="G95" s="1"/>
      <c r="H95" s="13">
        <v>237.06</v>
      </c>
      <c r="I95" s="1"/>
      <c r="J95" s="1"/>
      <c r="K95" s="1"/>
      <c r="L95" s="1"/>
      <c r="M95" s="1"/>
    </row>
    <row r="96" spans="3:13" x14ac:dyDescent="0.25">
      <c r="C96" s="1"/>
      <c r="D96" s="1"/>
      <c r="E96" s="1"/>
      <c r="F96" s="1"/>
      <c r="G96" s="1"/>
      <c r="H96" s="13">
        <v>720.42</v>
      </c>
      <c r="I96" s="1"/>
      <c r="J96" s="1"/>
      <c r="K96" s="1"/>
      <c r="L96" s="1"/>
      <c r="M96" s="1"/>
    </row>
    <row r="97" spans="3:13" x14ac:dyDescent="0.25">
      <c r="C97" s="1"/>
      <c r="D97" s="1"/>
      <c r="E97" s="1"/>
      <c r="F97" s="1"/>
      <c r="G97" s="1"/>
      <c r="H97" s="13">
        <v>42.89</v>
      </c>
      <c r="I97" s="1"/>
      <c r="J97" s="1"/>
      <c r="K97" s="1"/>
      <c r="L97" s="1"/>
      <c r="M97" s="1"/>
    </row>
    <row r="98" spans="3:13" x14ac:dyDescent="0.25">
      <c r="C98" s="1"/>
      <c r="D98" s="1"/>
      <c r="E98" s="1"/>
      <c r="F98" s="1"/>
      <c r="G98" s="1"/>
      <c r="H98" s="13">
        <v>261.8</v>
      </c>
      <c r="I98" s="1"/>
      <c r="J98" s="1"/>
      <c r="K98" s="1"/>
      <c r="L98" s="1"/>
      <c r="M98" s="1"/>
    </row>
    <row r="99" spans="3:13" x14ac:dyDescent="0.25">
      <c r="C99" s="1"/>
      <c r="D99" s="1"/>
      <c r="E99" s="1"/>
      <c r="F99" s="1"/>
      <c r="G99" s="1"/>
      <c r="H99" s="13">
        <v>97.11</v>
      </c>
      <c r="I99" s="1"/>
      <c r="J99" s="1"/>
      <c r="K99" s="1"/>
      <c r="L99" s="1"/>
      <c r="M99" s="1"/>
    </row>
    <row r="100" spans="3:13" x14ac:dyDescent="0.25">
      <c r="C100" s="1"/>
      <c r="D100" s="1"/>
      <c r="E100" s="1"/>
      <c r="F100" s="1"/>
      <c r="G100" s="1"/>
      <c r="H100" s="13">
        <v>229.06</v>
      </c>
      <c r="I100" s="1"/>
      <c r="J100" s="1"/>
      <c r="K100" s="1"/>
      <c r="L100" s="1"/>
      <c r="M100" s="1"/>
    </row>
    <row r="101" spans="3:13" x14ac:dyDescent="0.25">
      <c r="C101" s="1"/>
      <c r="D101" s="1"/>
      <c r="E101" s="1"/>
      <c r="F101" s="1"/>
      <c r="G101" s="1"/>
      <c r="H101" s="13">
        <v>276.83999999999997</v>
      </c>
      <c r="I101" s="1"/>
      <c r="J101" s="1"/>
      <c r="K101" s="1"/>
      <c r="L101" s="1"/>
      <c r="M101" s="1"/>
    </row>
    <row r="102" spans="3:13" x14ac:dyDescent="0.25">
      <c r="C102" s="1"/>
      <c r="D102" s="1"/>
      <c r="E102" s="1"/>
      <c r="F102" s="1"/>
      <c r="G102" s="1"/>
      <c r="H102" s="13">
        <v>188.41</v>
      </c>
      <c r="I102" s="1"/>
      <c r="J102" s="1"/>
      <c r="K102" s="1"/>
      <c r="L102" s="1"/>
      <c r="M102" s="1"/>
    </row>
    <row r="103" spans="3:13" x14ac:dyDescent="0.25">
      <c r="C103" s="1"/>
      <c r="D103" s="1"/>
      <c r="E103" s="1"/>
      <c r="F103" s="1"/>
      <c r="G103" s="1"/>
      <c r="H103" s="13">
        <v>1008.66</v>
      </c>
      <c r="I103" s="1"/>
      <c r="J103" s="1"/>
      <c r="K103" s="1"/>
      <c r="L103" s="1"/>
      <c r="M103" s="1"/>
    </row>
    <row r="104" spans="3:13" x14ac:dyDescent="0.25">
      <c r="C104" s="1"/>
      <c r="D104" s="1"/>
      <c r="E104" s="1"/>
      <c r="F104" s="1"/>
      <c r="G104" s="1"/>
      <c r="H104" s="13">
        <v>418.77</v>
      </c>
      <c r="I104" s="1"/>
      <c r="J104" s="1"/>
      <c r="K104" s="1"/>
      <c r="L104" s="1"/>
      <c r="M104" s="1"/>
    </row>
    <row r="105" spans="3:13" x14ac:dyDescent="0.25">
      <c r="C105" s="1"/>
      <c r="D105" s="1"/>
      <c r="E105" s="1"/>
      <c r="F105" s="1"/>
      <c r="G105" s="1"/>
      <c r="H105" s="13">
        <v>513.39</v>
      </c>
      <c r="I105" s="1"/>
      <c r="J105" s="1"/>
      <c r="K105" s="1"/>
      <c r="L105" s="1"/>
      <c r="M105" s="1"/>
    </row>
    <row r="106" spans="3:13" x14ac:dyDescent="0.25">
      <c r="C106" s="1"/>
      <c r="D106" s="1"/>
      <c r="E106" s="1"/>
      <c r="F106" s="1"/>
      <c r="G106" s="1"/>
      <c r="H106" s="13">
        <v>364.03</v>
      </c>
      <c r="I106" s="1"/>
      <c r="J106" s="1"/>
      <c r="K106" s="1"/>
      <c r="L106" s="1"/>
      <c r="M106" s="1"/>
    </row>
    <row r="107" spans="3:13" x14ac:dyDescent="0.25">
      <c r="C107" s="1"/>
      <c r="D107" s="1"/>
      <c r="E107" s="1"/>
      <c r="F107" s="1"/>
      <c r="G107" s="1"/>
      <c r="H107" s="13">
        <v>250.64</v>
      </c>
      <c r="I107" s="1"/>
      <c r="J107" s="1"/>
      <c r="K107" s="1"/>
      <c r="L107" s="1"/>
      <c r="M107" s="1"/>
    </row>
    <row r="108" spans="3:13" x14ac:dyDescent="0.25">
      <c r="C108" s="1"/>
      <c r="D108" s="1"/>
      <c r="E108" s="1"/>
      <c r="F108" s="1"/>
      <c r="G108" s="1"/>
      <c r="H108" s="13">
        <v>246.28</v>
      </c>
      <c r="I108" s="1"/>
      <c r="J108" s="1"/>
      <c r="K108" s="1"/>
      <c r="L108" s="1"/>
      <c r="M108" s="1"/>
    </row>
    <row r="109" spans="3:13" x14ac:dyDescent="0.25">
      <c r="C109" s="1"/>
      <c r="D109" s="1"/>
      <c r="E109" s="1"/>
      <c r="F109" s="1"/>
      <c r="G109" s="1"/>
      <c r="H109" s="13">
        <v>393.06</v>
      </c>
      <c r="I109" s="1"/>
      <c r="J109" s="1"/>
      <c r="K109" s="1"/>
      <c r="L109" s="1"/>
      <c r="M109" s="1"/>
    </row>
    <row r="110" spans="3:13" x14ac:dyDescent="0.25">
      <c r="C110" s="1"/>
      <c r="D110" s="1"/>
      <c r="E110" s="1"/>
      <c r="F110" s="1"/>
      <c r="G110" s="1"/>
      <c r="H110" s="13">
        <v>253.92</v>
      </c>
      <c r="I110" s="1"/>
      <c r="J110" s="1"/>
      <c r="K110" s="1"/>
      <c r="L110" s="1"/>
      <c r="M110" s="1"/>
    </row>
    <row r="111" spans="3:13" x14ac:dyDescent="0.25">
      <c r="C111" s="1"/>
      <c r="D111" s="1"/>
      <c r="E111" s="1"/>
      <c r="F111" s="1"/>
      <c r="G111" s="1"/>
      <c r="H111" s="13">
        <v>170.1</v>
      </c>
      <c r="I111" s="1"/>
      <c r="J111" s="1"/>
      <c r="K111" s="1"/>
      <c r="L111" s="1"/>
      <c r="M111" s="1"/>
    </row>
    <row r="112" spans="3:13" x14ac:dyDescent="0.25">
      <c r="C112" s="1"/>
      <c r="D112" s="1"/>
      <c r="E112" s="1"/>
      <c r="F112" s="1"/>
      <c r="G112" s="1"/>
      <c r="H112" s="13">
        <v>277.44</v>
      </c>
      <c r="I112" s="1"/>
      <c r="J112" s="1"/>
      <c r="K112" s="1"/>
      <c r="L112" s="1"/>
      <c r="M112" s="1"/>
    </row>
    <row r="113" spans="3:13" x14ac:dyDescent="0.25">
      <c r="C113" s="1"/>
      <c r="D113" s="1"/>
      <c r="E113" s="1"/>
      <c r="F113" s="1"/>
      <c r="G113" s="1"/>
      <c r="H113" s="13">
        <v>414.77</v>
      </c>
      <c r="I113" s="1"/>
      <c r="J113" s="1"/>
      <c r="K113" s="1"/>
      <c r="L113" s="1"/>
      <c r="M113" s="1"/>
    </row>
    <row r="114" spans="3:13" x14ac:dyDescent="0.25">
      <c r="C114" s="1"/>
      <c r="D114" s="1"/>
      <c r="E114" s="1"/>
      <c r="F114" s="1"/>
      <c r="G114" s="1"/>
      <c r="H114" s="13">
        <v>608.38</v>
      </c>
      <c r="I114" s="1"/>
      <c r="J114" s="1"/>
      <c r="K114" s="1"/>
      <c r="L114" s="1"/>
      <c r="M114" s="1"/>
    </row>
    <row r="115" spans="3:13" x14ac:dyDescent="0.25">
      <c r="C115" s="1"/>
      <c r="D115" s="1"/>
      <c r="E115" s="1"/>
      <c r="F115" s="1"/>
      <c r="G115" s="1"/>
      <c r="H115" s="13">
        <v>130.58000000000001</v>
      </c>
      <c r="I115" s="1"/>
      <c r="J115" s="1"/>
      <c r="K115" s="1"/>
      <c r="L115" s="1"/>
      <c r="M115" s="1"/>
    </row>
    <row r="116" spans="3:13" x14ac:dyDescent="0.25">
      <c r="C116" s="1"/>
      <c r="D116" s="1"/>
      <c r="E116" s="1"/>
      <c r="F116" s="1"/>
      <c r="G116" s="1"/>
      <c r="H116" s="13">
        <v>294.58</v>
      </c>
      <c r="I116" s="1"/>
      <c r="J116" s="1"/>
      <c r="K116" s="1"/>
      <c r="L116" s="1"/>
      <c r="M116" s="1"/>
    </row>
    <row r="117" spans="3:13" x14ac:dyDescent="0.25">
      <c r="C117" s="1"/>
      <c r="D117" s="1"/>
      <c r="E117" s="1"/>
      <c r="F117" s="1"/>
      <c r="G117" s="1"/>
      <c r="H117" s="13">
        <v>294.58</v>
      </c>
      <c r="I117" s="1"/>
      <c r="J117" s="1"/>
      <c r="K117" s="1"/>
      <c r="L117" s="1"/>
      <c r="M117" s="1"/>
    </row>
    <row r="118" spans="3:13" x14ac:dyDescent="0.25">
      <c r="C118" s="1"/>
      <c r="D118" s="1"/>
      <c r="E118" s="1"/>
      <c r="F118" s="1"/>
      <c r="G118" s="1"/>
      <c r="H118" s="13">
        <v>219.04</v>
      </c>
      <c r="I118" s="1"/>
      <c r="J118" s="1"/>
      <c r="K118" s="1"/>
      <c r="L118" s="1"/>
      <c r="M118" s="1"/>
    </row>
    <row r="119" spans="3:13" x14ac:dyDescent="0.25">
      <c r="C119" s="1"/>
      <c r="D119" s="1"/>
      <c r="E119" s="1"/>
      <c r="F119" s="1"/>
      <c r="G119" s="1"/>
      <c r="H119" s="13">
        <v>261.95999999999998</v>
      </c>
      <c r="I119" s="1"/>
      <c r="J119" s="1"/>
      <c r="K119" s="1"/>
      <c r="L119" s="1"/>
      <c r="M119" s="1"/>
    </row>
    <row r="120" spans="3:13" x14ac:dyDescent="0.25">
      <c r="C120" s="1"/>
      <c r="D120" s="1"/>
      <c r="E120" s="1"/>
      <c r="F120" s="1"/>
      <c r="G120" s="1"/>
      <c r="H120" s="13">
        <v>190.95</v>
      </c>
      <c r="I120" s="1"/>
      <c r="J120" s="1"/>
      <c r="K120" s="1"/>
      <c r="L120" s="1"/>
      <c r="M120" s="1"/>
    </row>
    <row r="121" spans="3:13" x14ac:dyDescent="0.25">
      <c r="C121" s="1"/>
      <c r="D121" s="1"/>
      <c r="E121" s="1"/>
      <c r="F121" s="1"/>
      <c r="G121" s="1"/>
      <c r="H121" s="13">
        <v>317.47000000000003</v>
      </c>
      <c r="I121" s="1"/>
      <c r="J121" s="1"/>
      <c r="K121" s="1"/>
      <c r="L121" s="1"/>
      <c r="M121" s="1"/>
    </row>
    <row r="122" spans="3:13" x14ac:dyDescent="0.25">
      <c r="C122" s="1"/>
      <c r="D122" s="1"/>
      <c r="E122" s="1"/>
      <c r="F122" s="1"/>
      <c r="G122" s="1"/>
      <c r="H122" s="13">
        <v>331.11</v>
      </c>
      <c r="I122" s="1"/>
      <c r="J122" s="1"/>
      <c r="K122" s="1"/>
      <c r="L122" s="1"/>
      <c r="M122" s="1"/>
    </row>
    <row r="123" spans="3:13" x14ac:dyDescent="0.25">
      <c r="C123" s="1"/>
      <c r="D123" s="1"/>
      <c r="E123" s="1"/>
      <c r="F123" s="1"/>
      <c r="G123" s="1"/>
      <c r="H123" s="13">
        <v>370.24</v>
      </c>
      <c r="I123" s="1"/>
      <c r="J123" s="1"/>
      <c r="K123" s="1"/>
      <c r="L123" s="1"/>
      <c r="M123" s="1"/>
    </row>
    <row r="124" spans="3:13" x14ac:dyDescent="0.25">
      <c r="C124" s="1"/>
      <c r="D124" s="1"/>
      <c r="E124" s="1"/>
      <c r="F124" s="1"/>
      <c r="G124" s="1"/>
      <c r="H124" s="13">
        <v>121.69</v>
      </c>
      <c r="I124" s="1"/>
      <c r="J124" s="1"/>
      <c r="K124" s="1"/>
      <c r="L124" s="1"/>
      <c r="M124" s="1"/>
    </row>
    <row r="125" spans="3:13" x14ac:dyDescent="0.25">
      <c r="C125" s="1"/>
      <c r="D125" s="1"/>
      <c r="E125" s="1"/>
      <c r="F125" s="1"/>
      <c r="G125" s="1"/>
      <c r="H125" s="12">
        <v>375.39</v>
      </c>
      <c r="I125" s="1"/>
      <c r="J125" s="1"/>
      <c r="K125" s="1"/>
      <c r="L125" s="1"/>
      <c r="M125" s="1"/>
    </row>
    <row r="126" spans="3:13" x14ac:dyDescent="0.25">
      <c r="C126" s="1"/>
      <c r="D126" s="1"/>
      <c r="E126" s="1"/>
      <c r="F126" s="1"/>
      <c r="G126" s="1"/>
      <c r="H126" s="12">
        <v>175.47</v>
      </c>
      <c r="I126" s="1"/>
      <c r="J126" s="1"/>
      <c r="K126" s="1"/>
      <c r="L126" s="1"/>
      <c r="M126" s="1"/>
    </row>
    <row r="127" spans="3:13" x14ac:dyDescent="0.25">
      <c r="C127" s="1"/>
      <c r="D127" s="1"/>
      <c r="E127" s="1"/>
      <c r="F127" s="1"/>
      <c r="G127" s="1"/>
      <c r="H127" s="12">
        <v>593.49</v>
      </c>
      <c r="I127" s="1"/>
      <c r="J127" s="1"/>
      <c r="K127" s="1"/>
      <c r="L127" s="1"/>
      <c r="M127" s="1"/>
    </row>
    <row r="128" spans="3:13" x14ac:dyDescent="0.25">
      <c r="C128" s="1"/>
      <c r="D128" s="1"/>
      <c r="E128" s="1"/>
      <c r="F128" s="1"/>
      <c r="G128" s="1"/>
      <c r="H128" s="12">
        <v>207.95</v>
      </c>
      <c r="I128" s="1"/>
      <c r="J128" s="1"/>
      <c r="K128" s="1"/>
      <c r="L128" s="1"/>
      <c r="M128" s="1"/>
    </row>
    <row r="129" spans="3:13" x14ac:dyDescent="0.25">
      <c r="C129" s="1"/>
      <c r="D129" s="1"/>
      <c r="E129" s="1"/>
      <c r="F129" s="1"/>
      <c r="G129" s="1"/>
      <c r="H129" s="12">
        <v>259.94</v>
      </c>
      <c r="I129" s="1"/>
      <c r="J129" s="1"/>
      <c r="K129" s="1"/>
      <c r="L129" s="1"/>
      <c r="M129" s="1"/>
    </row>
    <row r="130" spans="3:13" x14ac:dyDescent="0.25">
      <c r="C130" s="1"/>
      <c r="D130" s="1"/>
      <c r="E130" s="1"/>
      <c r="F130" s="1"/>
      <c r="G130" s="1"/>
      <c r="H130" s="12">
        <v>371.41</v>
      </c>
      <c r="I130" s="1"/>
      <c r="J130" s="1"/>
      <c r="K130" s="1"/>
      <c r="L130" s="1"/>
      <c r="M130" s="1"/>
    </row>
    <row r="131" spans="3:13" x14ac:dyDescent="0.25">
      <c r="C131" s="1"/>
      <c r="D131" s="1"/>
      <c r="E131" s="1"/>
      <c r="F131" s="1"/>
      <c r="G131" s="1"/>
      <c r="H131" s="12">
        <v>145.06</v>
      </c>
      <c r="I131" s="1"/>
      <c r="J131" s="1"/>
      <c r="K131" s="1"/>
      <c r="L131" s="1"/>
      <c r="M131" s="1"/>
    </row>
    <row r="132" spans="3:13" x14ac:dyDescent="0.25">
      <c r="C132" s="1"/>
      <c r="D132" s="1"/>
      <c r="E132" s="1"/>
      <c r="F132" s="1"/>
      <c r="G132" s="1"/>
      <c r="H132" s="12">
        <v>387.08</v>
      </c>
      <c r="I132" s="1"/>
      <c r="J132" s="1"/>
      <c r="K132" s="1"/>
      <c r="L132" s="1"/>
      <c r="M132" s="1"/>
    </row>
    <row r="133" spans="3:13" x14ac:dyDescent="0.25">
      <c r="C133" s="1"/>
      <c r="D133" s="1"/>
      <c r="E133" s="1"/>
      <c r="F133" s="1"/>
      <c r="G133" s="1"/>
      <c r="H133" s="12">
        <v>550.25</v>
      </c>
      <c r="I133" s="1"/>
      <c r="J133" s="1"/>
      <c r="K133" s="1"/>
      <c r="L133" s="1"/>
      <c r="M133" s="1"/>
    </row>
    <row r="134" spans="3:13" x14ac:dyDescent="0.25">
      <c r="C134" s="1"/>
      <c r="D134" s="1"/>
      <c r="E134" s="1"/>
      <c r="F134" s="1"/>
      <c r="G134" s="1"/>
      <c r="H134" s="12">
        <v>822.71</v>
      </c>
      <c r="I134" s="1"/>
      <c r="J134" s="1"/>
      <c r="K134" s="1"/>
      <c r="L134" s="1"/>
      <c r="M134" s="1"/>
    </row>
    <row r="135" spans="3:13" x14ac:dyDescent="0.25">
      <c r="C135" s="1"/>
      <c r="D135" s="1"/>
      <c r="E135" s="1"/>
      <c r="F135" s="1"/>
      <c r="G135" s="1"/>
      <c r="H135" s="12">
        <v>1036.0999999999999</v>
      </c>
      <c r="I135" s="1"/>
      <c r="J135" s="1"/>
      <c r="K135" s="1"/>
      <c r="L135" s="1"/>
      <c r="M135" s="1"/>
    </row>
    <row r="136" spans="3:13" x14ac:dyDescent="0.25">
      <c r="C136" s="1"/>
      <c r="D136" s="1"/>
      <c r="E136" s="1"/>
      <c r="F136" s="1"/>
      <c r="G136" s="1"/>
      <c r="H136" s="12">
        <v>259.82</v>
      </c>
      <c r="I136" s="1"/>
      <c r="J136" s="1"/>
      <c r="K136" s="1"/>
      <c r="L136" s="1"/>
      <c r="M136" s="1"/>
    </row>
    <row r="137" spans="3:13" x14ac:dyDescent="0.25">
      <c r="C137" s="1"/>
      <c r="D137" s="1"/>
      <c r="E137" s="1"/>
      <c r="F137" s="1"/>
      <c r="G137" s="1"/>
      <c r="H137" s="12">
        <v>67.73</v>
      </c>
      <c r="I137" s="1"/>
      <c r="J137" s="1"/>
      <c r="K137" s="1"/>
      <c r="L137" s="1"/>
      <c r="M137" s="1"/>
    </row>
    <row r="138" spans="3:13" x14ac:dyDescent="0.25">
      <c r="C138" s="1"/>
      <c r="D138" s="1"/>
      <c r="E138" s="1"/>
      <c r="F138" s="1"/>
      <c r="G138" s="1"/>
      <c r="H138" s="12">
        <v>1395.1</v>
      </c>
      <c r="I138" s="1"/>
      <c r="J138" s="1"/>
      <c r="K138" s="1"/>
      <c r="L138" s="1"/>
      <c r="M138" s="1"/>
    </row>
    <row r="139" spans="3:13" x14ac:dyDescent="0.25">
      <c r="C139" s="1"/>
      <c r="D139" s="1"/>
      <c r="E139" s="1"/>
      <c r="F139" s="1"/>
      <c r="G139" s="1"/>
      <c r="H139" s="12">
        <v>498.81</v>
      </c>
      <c r="I139" s="1"/>
      <c r="J139" s="1"/>
      <c r="K139" s="1"/>
      <c r="L139" s="1"/>
      <c r="M139" s="1"/>
    </row>
    <row r="140" spans="3:13" x14ac:dyDescent="0.25">
      <c r="C140" s="1"/>
      <c r="D140" s="1"/>
      <c r="E140" s="1"/>
      <c r="F140" s="1"/>
      <c r="G140" s="1"/>
      <c r="H140" s="12">
        <v>1494.9</v>
      </c>
      <c r="I140" s="1"/>
      <c r="J140" s="1"/>
      <c r="K140" s="1"/>
      <c r="L140" s="1"/>
      <c r="M140" s="1"/>
    </row>
    <row r="141" spans="3:13" x14ac:dyDescent="0.25">
      <c r="C141" s="1"/>
      <c r="D141" s="1"/>
      <c r="E141" s="1"/>
      <c r="F141" s="1"/>
      <c r="G141" s="1"/>
      <c r="H141" s="12">
        <v>529.61</v>
      </c>
      <c r="I141" s="1"/>
      <c r="J141" s="1"/>
      <c r="K141" s="1"/>
      <c r="L141" s="1"/>
      <c r="M141" s="1"/>
    </row>
    <row r="142" spans="3:13" x14ac:dyDescent="0.25">
      <c r="C142" s="1"/>
      <c r="D142" s="1"/>
      <c r="E142" s="1"/>
      <c r="F142" s="1"/>
      <c r="G142" s="1"/>
      <c r="H142" s="12">
        <v>2692.51</v>
      </c>
      <c r="I142" s="1"/>
      <c r="J142" s="1"/>
      <c r="K142" s="1"/>
      <c r="L142" s="1"/>
      <c r="M142" s="1"/>
    </row>
    <row r="143" spans="3:13" x14ac:dyDescent="0.25">
      <c r="C143" s="1"/>
      <c r="D143" s="1"/>
      <c r="E143" s="1"/>
      <c r="F143" s="1"/>
      <c r="G143" s="1"/>
      <c r="H143" s="12">
        <v>1762.78</v>
      </c>
      <c r="I143" s="1"/>
      <c r="J143" s="1"/>
      <c r="K143" s="1"/>
      <c r="L143" s="1"/>
      <c r="M143" s="1"/>
    </row>
    <row r="144" spans="3:13" x14ac:dyDescent="0.25">
      <c r="C144" s="1"/>
      <c r="D144" s="1"/>
      <c r="E144" s="1"/>
      <c r="F144" s="1"/>
      <c r="G144" s="1"/>
      <c r="H144" s="12">
        <v>1595.94</v>
      </c>
      <c r="I144" s="1"/>
      <c r="J144" s="1"/>
      <c r="K144" s="1"/>
      <c r="L144" s="1"/>
      <c r="M144" s="1"/>
    </row>
    <row r="145" spans="3:13" x14ac:dyDescent="0.25">
      <c r="C145" s="1"/>
      <c r="D145" s="1"/>
      <c r="E145" s="1"/>
      <c r="F145" s="1"/>
      <c r="G145" s="1"/>
      <c r="H145" s="12">
        <v>1038.72</v>
      </c>
      <c r="I145" s="1"/>
      <c r="J145" s="1"/>
      <c r="K145" s="1"/>
      <c r="L145" s="1"/>
      <c r="M145" s="1"/>
    </row>
    <row r="146" spans="3:13" x14ac:dyDescent="0.25">
      <c r="C146" s="1"/>
      <c r="D146" s="1"/>
      <c r="E146" s="1"/>
      <c r="F146" s="1"/>
      <c r="G146" s="1"/>
      <c r="H146" s="12">
        <v>187.7</v>
      </c>
      <c r="I146" s="1"/>
      <c r="J146" s="1"/>
      <c r="K146" s="1"/>
      <c r="L146" s="1"/>
      <c r="M146" s="1"/>
    </row>
    <row r="147" spans="3:13" x14ac:dyDescent="0.25">
      <c r="C147" s="1"/>
      <c r="D147" s="1"/>
      <c r="E147" s="1"/>
      <c r="F147" s="1"/>
      <c r="G147" s="1"/>
      <c r="H147" s="12">
        <v>3137.93</v>
      </c>
      <c r="I147" s="1"/>
      <c r="J147" s="1"/>
      <c r="K147" s="1"/>
      <c r="L147" s="1"/>
      <c r="M147" s="1"/>
    </row>
    <row r="148" spans="3:13" x14ac:dyDescent="0.25">
      <c r="C148" s="1"/>
      <c r="D148" s="1"/>
      <c r="E148" s="1"/>
      <c r="F148" s="1"/>
      <c r="G148" s="1"/>
      <c r="H148" s="12">
        <v>3801.89</v>
      </c>
      <c r="I148" s="1"/>
      <c r="J148" s="1"/>
      <c r="K148" s="1"/>
      <c r="L148" s="1"/>
      <c r="M148" s="1"/>
    </row>
    <row r="149" spans="3:13" x14ac:dyDescent="0.25">
      <c r="C149" s="1"/>
      <c r="D149" s="1"/>
      <c r="E149" s="1"/>
      <c r="F149" s="1"/>
      <c r="G149" s="1"/>
      <c r="H149" s="12">
        <v>742.22</v>
      </c>
      <c r="I149" s="1"/>
      <c r="J149" s="1"/>
      <c r="K149" s="1"/>
      <c r="L149" s="1"/>
      <c r="M149" s="1"/>
    </row>
    <row r="150" spans="3:13" x14ac:dyDescent="0.25">
      <c r="C150" s="1"/>
      <c r="D150" s="1"/>
      <c r="E150" s="1"/>
      <c r="F150" s="1"/>
      <c r="G150" s="1"/>
      <c r="H150" s="12">
        <v>1327.92</v>
      </c>
      <c r="I150" s="1"/>
      <c r="J150" s="1"/>
      <c r="K150" s="1"/>
      <c r="L150" s="1"/>
      <c r="M150" s="1"/>
    </row>
    <row r="151" spans="3:13" x14ac:dyDescent="0.25">
      <c r="C151" s="1"/>
      <c r="D151" s="1"/>
      <c r="E151" s="1"/>
      <c r="F151" s="1"/>
      <c r="G151" s="1"/>
      <c r="H151" s="12">
        <v>4565.83</v>
      </c>
      <c r="I151" s="1"/>
      <c r="J151" s="1"/>
      <c r="K151" s="1"/>
      <c r="L151" s="1"/>
      <c r="M151" s="1"/>
    </row>
    <row r="152" spans="3:13" x14ac:dyDescent="0.25">
      <c r="C152" s="1"/>
      <c r="D152" s="1"/>
      <c r="E152" s="1"/>
      <c r="F152" s="1"/>
      <c r="G152" s="1"/>
      <c r="H152" s="12"/>
      <c r="I152" s="1"/>
      <c r="J152" s="1"/>
      <c r="K152" s="1"/>
      <c r="L152" s="1"/>
      <c r="M152" s="1"/>
    </row>
    <row r="153" spans="3:13" x14ac:dyDescent="0.25">
      <c r="C153" s="1"/>
      <c r="D153" s="1"/>
      <c r="E153" s="1"/>
      <c r="F153" s="1"/>
      <c r="G153" s="1"/>
      <c r="H153" s="12"/>
      <c r="I153" s="1"/>
      <c r="J153" s="1"/>
      <c r="K153" s="1"/>
      <c r="L153" s="1"/>
      <c r="M153" s="1"/>
    </row>
    <row r="154" spans="3:13" x14ac:dyDescent="0.25">
      <c r="C154" s="1"/>
      <c r="D154" s="1"/>
      <c r="E154" s="1"/>
      <c r="F154" s="1"/>
      <c r="G154" s="1"/>
      <c r="H154" s="12"/>
      <c r="I154" s="1"/>
      <c r="J154" s="1"/>
      <c r="K154" s="1"/>
      <c r="L154" s="1"/>
      <c r="M154" s="1"/>
    </row>
    <row r="155" spans="3:13" x14ac:dyDescent="0.25">
      <c r="C155" s="1"/>
      <c r="D155" s="1"/>
      <c r="E155" s="1"/>
      <c r="F155" s="1"/>
      <c r="G155" s="1"/>
      <c r="H155" s="12"/>
      <c r="I155" s="1"/>
      <c r="J155" s="1"/>
      <c r="K155" s="1"/>
      <c r="L155" s="1"/>
      <c r="M155" s="1"/>
    </row>
    <row r="156" spans="3:13" x14ac:dyDescent="0.25">
      <c r="C156" s="1"/>
      <c r="D156" s="1"/>
      <c r="E156" s="1"/>
      <c r="F156" s="1"/>
      <c r="G156" s="1"/>
      <c r="H156" s="12"/>
      <c r="I156" s="1"/>
      <c r="J156" s="1"/>
      <c r="K156" s="1"/>
      <c r="L156" s="1"/>
      <c r="M156" s="1"/>
    </row>
    <row r="157" spans="3:13" x14ac:dyDescent="0.25">
      <c r="C157" s="1"/>
      <c r="D157" s="1"/>
      <c r="E157" s="1"/>
      <c r="F157" s="1"/>
      <c r="G157" s="1"/>
      <c r="H157" s="12"/>
      <c r="I157" s="1"/>
      <c r="J157" s="1"/>
      <c r="K157" s="1"/>
      <c r="L157" s="1"/>
      <c r="M157" s="1"/>
    </row>
    <row r="158" spans="3:13" x14ac:dyDescent="0.25">
      <c r="C158" s="1"/>
      <c r="D158" s="1"/>
      <c r="E158" s="1"/>
      <c r="F158" s="1"/>
      <c r="G158" s="1"/>
      <c r="H158" s="12"/>
      <c r="I158" s="1"/>
      <c r="J158" s="1"/>
      <c r="K158" s="1"/>
      <c r="L158" s="1"/>
      <c r="M158" s="1"/>
    </row>
    <row r="159" spans="3:13" x14ac:dyDescent="0.25">
      <c r="C159" s="1"/>
      <c r="D159" s="1"/>
      <c r="E159" s="1"/>
      <c r="F159" s="1"/>
      <c r="G159" s="1"/>
      <c r="H159" s="12"/>
      <c r="I159" s="1"/>
      <c r="J159" s="1"/>
      <c r="K159" s="1"/>
      <c r="L159" s="1"/>
      <c r="M159" s="1"/>
    </row>
    <row r="160" spans="3:13" x14ac:dyDescent="0.25">
      <c r="C160" s="1"/>
      <c r="D160" s="1"/>
      <c r="E160" s="1"/>
      <c r="F160" s="1"/>
      <c r="G160" s="1"/>
      <c r="H160" s="12"/>
      <c r="I160" s="1"/>
      <c r="J160" s="1"/>
      <c r="K160" s="1"/>
      <c r="L160" s="1"/>
      <c r="M160" s="1"/>
    </row>
    <row r="161" spans="3:13" x14ac:dyDescent="0.25">
      <c r="C161" s="1"/>
      <c r="D161" s="1"/>
      <c r="E161" s="1"/>
      <c r="F161" s="1"/>
      <c r="G161" s="1"/>
      <c r="H161" s="12"/>
      <c r="I161" s="1"/>
      <c r="J161" s="1"/>
      <c r="K161" s="1"/>
      <c r="L161" s="1"/>
      <c r="M161" s="1"/>
    </row>
    <row r="162" spans="3:13" x14ac:dyDescent="0.25">
      <c r="C162" s="1"/>
      <c r="D162" s="1"/>
      <c r="E162" s="1"/>
      <c r="F162" s="1"/>
      <c r="G162" s="1"/>
      <c r="H162" s="12"/>
      <c r="I162" s="1"/>
      <c r="J162" s="1"/>
      <c r="K162" s="1"/>
      <c r="L162" s="1"/>
      <c r="M162" s="1"/>
    </row>
    <row r="163" spans="3:13" x14ac:dyDescent="0.25">
      <c r="C163" s="1"/>
      <c r="D163" s="1"/>
      <c r="E163" s="1"/>
      <c r="F163" s="1"/>
      <c r="G163" s="1"/>
      <c r="H163" s="12"/>
      <c r="I163" s="1"/>
      <c r="J163" s="1"/>
      <c r="K163" s="1"/>
      <c r="L163" s="1"/>
      <c r="M163" s="1"/>
    </row>
    <row r="164" spans="3:13" x14ac:dyDescent="0.25">
      <c r="C164" s="1"/>
      <c r="D164" s="1"/>
      <c r="E164" s="1"/>
      <c r="F164" s="1"/>
      <c r="G164" s="1"/>
      <c r="H164" s="12"/>
      <c r="I164" s="1"/>
      <c r="J164" s="1"/>
      <c r="K164" s="1"/>
      <c r="L164" s="1"/>
      <c r="M164" s="1"/>
    </row>
    <row r="165" spans="3:13" x14ac:dyDescent="0.25">
      <c r="C165" s="1"/>
      <c r="D165" s="1"/>
      <c r="E165" s="1"/>
      <c r="F165" s="1"/>
      <c r="G165" s="1"/>
      <c r="H165" s="12"/>
      <c r="I165" s="1"/>
      <c r="J165" s="1"/>
      <c r="K165" s="1"/>
      <c r="L165" s="1"/>
      <c r="M165" s="1"/>
    </row>
    <row r="166" spans="3:13" x14ac:dyDescent="0.25">
      <c r="C166" s="1"/>
      <c r="D166" s="1"/>
      <c r="E166" s="1"/>
      <c r="F166" s="1"/>
      <c r="G166" s="1"/>
      <c r="H166" s="12"/>
      <c r="I166" s="1"/>
      <c r="J166" s="1"/>
      <c r="K166" s="1"/>
      <c r="L166" s="1"/>
      <c r="M166" s="1"/>
    </row>
    <row r="167" spans="3:13" x14ac:dyDescent="0.25">
      <c r="C167" s="1"/>
      <c r="D167" s="1"/>
      <c r="E167" s="1"/>
      <c r="F167" s="1"/>
      <c r="G167" s="1"/>
      <c r="H167" s="12"/>
      <c r="I167" s="1"/>
      <c r="J167" s="1"/>
      <c r="K167" s="1"/>
      <c r="L167" s="1"/>
      <c r="M167" s="1"/>
    </row>
    <row r="168" spans="3:13" x14ac:dyDescent="0.25">
      <c r="C168" s="1"/>
      <c r="D168" s="1"/>
      <c r="E168" s="1"/>
      <c r="F168" s="1"/>
      <c r="G168" s="1"/>
      <c r="H168" s="12"/>
      <c r="I168" s="1"/>
      <c r="J168" s="1"/>
      <c r="K168" s="1"/>
      <c r="L168" s="1"/>
      <c r="M168" s="1"/>
    </row>
    <row r="169" spans="3:13" x14ac:dyDescent="0.25">
      <c r="C169" s="1"/>
      <c r="D169" s="1"/>
      <c r="E169" s="1"/>
      <c r="F169" s="1"/>
      <c r="G169" s="1"/>
      <c r="H169" s="12"/>
      <c r="I169" s="1"/>
      <c r="J169" s="1"/>
      <c r="K169" s="1"/>
      <c r="L169" s="1"/>
      <c r="M169" s="1"/>
    </row>
    <row r="170" spans="3:13" x14ac:dyDescent="0.25">
      <c r="C170" s="1"/>
      <c r="D170" s="1"/>
      <c r="E170" s="1"/>
      <c r="F170" s="1"/>
      <c r="G170" s="1"/>
      <c r="H170" s="12"/>
      <c r="I170" s="1"/>
      <c r="J170" s="1"/>
      <c r="K170" s="1"/>
      <c r="L170" s="1"/>
      <c r="M170" s="1"/>
    </row>
    <row r="171" spans="3:13" x14ac:dyDescent="0.25">
      <c r="C171" s="1"/>
      <c r="D171" s="1"/>
      <c r="E171" s="1"/>
      <c r="F171" s="1"/>
      <c r="G171" s="1"/>
      <c r="H171" s="12"/>
      <c r="I171" s="1"/>
      <c r="J171" s="1"/>
      <c r="K171" s="1"/>
      <c r="L171" s="1"/>
      <c r="M171" s="1"/>
    </row>
    <row r="172" spans="3:13" x14ac:dyDescent="0.25">
      <c r="C172" s="1"/>
      <c r="D172" s="1"/>
      <c r="E172" s="1"/>
      <c r="F172" s="1"/>
      <c r="G172" s="1"/>
      <c r="H172" s="12"/>
      <c r="I172" s="1"/>
      <c r="J172" s="1"/>
      <c r="K172" s="1"/>
      <c r="L172" s="1"/>
      <c r="M172" s="1"/>
    </row>
    <row r="173" spans="3:13" x14ac:dyDescent="0.25">
      <c r="C173" s="1"/>
      <c r="D173" s="1"/>
      <c r="E173" s="1"/>
      <c r="F173" s="1"/>
      <c r="G173" s="1"/>
      <c r="H173" s="12"/>
      <c r="I173" s="1"/>
      <c r="J173" s="1"/>
      <c r="K173" s="1"/>
      <c r="L173" s="1"/>
      <c r="M173" s="1"/>
    </row>
    <row r="174" spans="3:13" x14ac:dyDescent="0.25">
      <c r="C174" s="1"/>
      <c r="D174" s="1"/>
      <c r="E174" s="1"/>
      <c r="F174" s="1"/>
      <c r="G174" s="1"/>
      <c r="H174" s="12"/>
      <c r="I174" s="1"/>
      <c r="J174" s="1"/>
      <c r="K174" s="1"/>
      <c r="L174" s="1"/>
      <c r="M174" s="1"/>
    </row>
    <row r="175" spans="3:13" x14ac:dyDescent="0.25">
      <c r="C175" s="1"/>
      <c r="D175" s="1"/>
      <c r="E175" s="1"/>
      <c r="F175" s="1"/>
      <c r="G175" s="1"/>
      <c r="H175" s="12"/>
      <c r="I175" s="1"/>
      <c r="J175" s="1"/>
      <c r="K175" s="1"/>
      <c r="L175" s="1"/>
      <c r="M175" s="1"/>
    </row>
    <row r="176" spans="3:13" x14ac:dyDescent="0.25">
      <c r="C176" s="1"/>
      <c r="D176" s="1"/>
      <c r="E176" s="1"/>
      <c r="F176" s="1"/>
      <c r="G176" s="1"/>
      <c r="H176" s="12"/>
      <c r="I176" s="1"/>
      <c r="J176" s="1"/>
      <c r="K176" s="1"/>
      <c r="L176" s="1"/>
      <c r="M176" s="1"/>
    </row>
    <row r="177" spans="3:13" x14ac:dyDescent="0.25">
      <c r="C177" s="1"/>
      <c r="D177" s="1"/>
      <c r="E177" s="1"/>
      <c r="F177" s="1"/>
      <c r="G177" s="1"/>
      <c r="H177" s="12"/>
      <c r="I177" s="1"/>
      <c r="J177" s="1"/>
      <c r="K177" s="1"/>
      <c r="L177" s="1"/>
      <c r="M177" s="1"/>
    </row>
    <row r="178" spans="3:13" x14ac:dyDescent="0.25">
      <c r="C178" s="1"/>
      <c r="D178" s="1"/>
      <c r="E178" s="1"/>
      <c r="F178" s="1"/>
      <c r="G178" s="1"/>
      <c r="H178" s="12"/>
      <c r="I178" s="1"/>
      <c r="J178" s="1"/>
      <c r="K178" s="1"/>
      <c r="L178" s="1"/>
      <c r="M178" s="1"/>
    </row>
    <row r="179" spans="3:13" x14ac:dyDescent="0.25">
      <c r="C179" s="1"/>
      <c r="D179" s="1"/>
      <c r="E179" s="1"/>
      <c r="F179" s="1"/>
      <c r="G179" s="1"/>
      <c r="H179" s="12"/>
      <c r="I179" s="1"/>
      <c r="J179" s="1"/>
      <c r="K179" s="1"/>
      <c r="L179" s="1"/>
      <c r="M179" s="1"/>
    </row>
    <row r="180" spans="3:13" x14ac:dyDescent="0.25">
      <c r="C180" s="1"/>
      <c r="D180" s="1"/>
      <c r="E180" s="1"/>
      <c r="F180" s="1"/>
      <c r="G180" s="1"/>
      <c r="H180" s="12"/>
      <c r="I180" s="1"/>
      <c r="J180" s="1"/>
      <c r="K180" s="1"/>
      <c r="L180" s="1"/>
      <c r="M180" s="1"/>
    </row>
    <row r="181" spans="3:13" x14ac:dyDescent="0.25">
      <c r="C181" s="1"/>
      <c r="D181" s="1"/>
      <c r="E181" s="1"/>
      <c r="F181" s="1"/>
      <c r="G181" s="1"/>
      <c r="H181" s="12"/>
      <c r="I181" s="1"/>
      <c r="J181" s="1"/>
      <c r="K181" s="1"/>
      <c r="L181" s="1"/>
      <c r="M181" s="1"/>
    </row>
    <row r="182" spans="3:13" x14ac:dyDescent="0.25">
      <c r="C182" s="1"/>
      <c r="D182" s="1"/>
      <c r="E182" s="1"/>
      <c r="F182" s="1"/>
      <c r="G182" s="1"/>
      <c r="H182" s="12"/>
      <c r="I182" s="1"/>
      <c r="J182" s="1"/>
      <c r="K182" s="1"/>
      <c r="L182" s="1"/>
      <c r="M182" s="1"/>
    </row>
    <row r="183" spans="3:13" x14ac:dyDescent="0.25">
      <c r="C183" s="1"/>
      <c r="D183" s="1"/>
      <c r="E183" s="1"/>
      <c r="F183" s="1"/>
      <c r="G183" s="1"/>
      <c r="H183" s="12"/>
      <c r="I183" s="1"/>
      <c r="J183" s="1"/>
      <c r="K183" s="1"/>
      <c r="L183" s="1"/>
      <c r="M183" s="1"/>
    </row>
    <row r="184" spans="3:13" x14ac:dyDescent="0.25">
      <c r="C184" s="1"/>
      <c r="D184" s="1"/>
      <c r="E184" s="1"/>
      <c r="F184" s="1"/>
      <c r="G184" s="1"/>
      <c r="H184" s="12"/>
      <c r="I184" s="1"/>
      <c r="J184" s="1"/>
      <c r="K184" s="1"/>
      <c r="L184" s="1"/>
      <c r="M184" s="1"/>
    </row>
    <row r="185" spans="3:13" x14ac:dyDescent="0.25">
      <c r="C185" s="1"/>
      <c r="D185" s="1"/>
      <c r="E185" s="1"/>
      <c r="F185" s="1"/>
      <c r="G185" s="1"/>
      <c r="H185" s="12"/>
      <c r="I185" s="1"/>
      <c r="J185" s="1"/>
      <c r="K185" s="1"/>
      <c r="L185" s="1"/>
      <c r="M185" s="1"/>
    </row>
    <row r="186" spans="3:13" x14ac:dyDescent="0.25">
      <c r="C186" s="1"/>
      <c r="D186" s="1"/>
      <c r="E186" s="1"/>
      <c r="F186" s="1"/>
      <c r="G186" s="1"/>
      <c r="H186" s="12"/>
      <c r="I186" s="1"/>
      <c r="J186" s="1"/>
      <c r="K186" s="1"/>
      <c r="L186" s="1"/>
      <c r="M186" s="1"/>
    </row>
    <row r="187" spans="3:13" x14ac:dyDescent="0.25">
      <c r="C187" s="1"/>
      <c r="D187" s="1"/>
      <c r="E187" s="1"/>
      <c r="F187" s="1"/>
      <c r="G187" s="1"/>
      <c r="H187" s="12"/>
      <c r="I187" s="1"/>
      <c r="J187" s="1"/>
      <c r="K187" s="1"/>
      <c r="L187" s="1"/>
      <c r="M187" s="1"/>
    </row>
    <row r="188" spans="3:13" x14ac:dyDescent="0.25">
      <c r="C188" s="1"/>
      <c r="D188" s="1"/>
      <c r="E188" s="1"/>
      <c r="F188" s="1"/>
      <c r="G188" s="1"/>
      <c r="H188" s="12"/>
      <c r="I188" s="1"/>
      <c r="J188" s="1"/>
      <c r="K188" s="1"/>
      <c r="L188" s="1"/>
      <c r="M188" s="1"/>
    </row>
    <row r="189" spans="3:13" x14ac:dyDescent="0.25">
      <c r="C189" s="1"/>
      <c r="D189" s="1"/>
      <c r="E189" s="1"/>
      <c r="F189" s="1"/>
      <c r="G189" s="1"/>
      <c r="H189" s="12"/>
      <c r="I189" s="1"/>
      <c r="J189" s="1"/>
      <c r="K189" s="1"/>
      <c r="L189" s="1"/>
      <c r="M189" s="1"/>
    </row>
    <row r="190" spans="3:13" x14ac:dyDescent="0.25">
      <c r="C190" s="1"/>
      <c r="D190" s="1"/>
      <c r="E190" s="1"/>
      <c r="F190" s="1"/>
      <c r="G190" s="1"/>
      <c r="H190" s="12"/>
      <c r="I190" s="1"/>
      <c r="J190" s="1"/>
      <c r="K190" s="1"/>
      <c r="L190" s="1"/>
      <c r="M190" s="1"/>
    </row>
    <row r="191" spans="3:13" x14ac:dyDescent="0.25">
      <c r="C191" s="1"/>
      <c r="D191" s="1"/>
      <c r="E191" s="1"/>
      <c r="F191" s="1"/>
      <c r="G191" s="1"/>
      <c r="H191" s="12"/>
      <c r="I191" s="1"/>
      <c r="J191" s="1"/>
      <c r="K191" s="1"/>
      <c r="L191" s="1"/>
      <c r="M191" s="1"/>
    </row>
    <row r="192" spans="3:13" x14ac:dyDescent="0.25">
      <c r="C192" s="1"/>
      <c r="D192" s="1"/>
      <c r="E192" s="1"/>
      <c r="F192" s="1"/>
      <c r="G192" s="1"/>
      <c r="H192" s="12"/>
      <c r="I192" s="1"/>
      <c r="J192" s="1"/>
      <c r="K192" s="1"/>
      <c r="L192" s="1"/>
      <c r="M192" s="1"/>
    </row>
    <row r="193" spans="3:13" x14ac:dyDescent="0.25">
      <c r="C193" s="1"/>
      <c r="D193" s="1"/>
      <c r="E193" s="1"/>
      <c r="F193" s="1"/>
      <c r="G193" s="1"/>
      <c r="H193" s="12"/>
      <c r="I193" s="1"/>
      <c r="J193" s="1"/>
      <c r="K193" s="1"/>
      <c r="L193" s="1"/>
      <c r="M193" s="1"/>
    </row>
    <row r="194" spans="3:13" x14ac:dyDescent="0.25">
      <c r="C194" s="1"/>
      <c r="D194" s="1"/>
      <c r="E194" s="1"/>
      <c r="F194" s="1"/>
      <c r="G194" s="1"/>
      <c r="H194" s="12"/>
      <c r="I194" s="1"/>
      <c r="J194" s="1"/>
      <c r="K194" s="1"/>
      <c r="L194" s="1"/>
      <c r="M194" s="1"/>
    </row>
    <row r="195" spans="3:13" x14ac:dyDescent="0.25">
      <c r="C195" s="1"/>
      <c r="D195" s="1"/>
      <c r="E195" s="1"/>
      <c r="F195" s="1"/>
      <c r="G195" s="1"/>
      <c r="H195" s="12"/>
      <c r="I195" s="1"/>
      <c r="J195" s="1"/>
      <c r="K195" s="1"/>
      <c r="L195" s="1"/>
      <c r="M195" s="1"/>
    </row>
    <row r="196" spans="3:13" x14ac:dyDescent="0.25">
      <c r="C196" s="1"/>
      <c r="D196" s="1"/>
      <c r="E196" s="1"/>
      <c r="F196" s="1"/>
      <c r="G196" s="1"/>
      <c r="H196" s="12"/>
      <c r="I196" s="1"/>
      <c r="J196" s="1"/>
      <c r="K196" s="1"/>
      <c r="L196" s="1"/>
      <c r="M196" s="1"/>
    </row>
    <row r="197" spans="3:13" x14ac:dyDescent="0.25">
      <c r="C197" s="1"/>
      <c r="D197" s="1"/>
      <c r="E197" s="1"/>
      <c r="F197" s="1"/>
      <c r="G197" s="1"/>
      <c r="H197" s="12"/>
      <c r="I197" s="1"/>
      <c r="J197" s="1"/>
      <c r="K197" s="1"/>
      <c r="L197" s="1"/>
      <c r="M197" s="1"/>
    </row>
    <row r="198" spans="3:13" x14ac:dyDescent="0.2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3:13" x14ac:dyDescent="0.2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3:13" x14ac:dyDescent="0.2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3:13" x14ac:dyDescent="0.2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3:13" x14ac:dyDescent="0.2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3:13" x14ac:dyDescent="0.2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3:13" x14ac:dyDescent="0.2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3:13" x14ac:dyDescent="0.2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3:13" x14ac:dyDescent="0.2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6D7D-5DD1-456E-899E-13492E1E58A9}">
  <dimension ref="B1:N215"/>
  <sheetViews>
    <sheetView tabSelected="1" topLeftCell="G1" workbookViewId="0">
      <selection activeCell="N5" sqref="N5"/>
    </sheetView>
  </sheetViews>
  <sheetFormatPr baseColWidth="10" defaultRowHeight="15" x14ac:dyDescent="0.25"/>
  <cols>
    <col min="7" max="8" width="17.85546875" bestFit="1" customWidth="1"/>
    <col min="10" max="10" width="15.28515625" bestFit="1" customWidth="1"/>
    <col min="11" max="11" width="11" bestFit="1" customWidth="1"/>
  </cols>
  <sheetData>
    <row r="1" spans="2:14" x14ac:dyDescent="0.25">
      <c r="C1" t="s">
        <v>19</v>
      </c>
      <c r="D1" t="s">
        <v>19</v>
      </c>
      <c r="F1" t="s">
        <v>19</v>
      </c>
      <c r="G1" t="s">
        <v>20</v>
      </c>
    </row>
    <row r="2" spans="2:14" x14ac:dyDescent="0.25">
      <c r="B2" s="2" t="s">
        <v>9</v>
      </c>
      <c r="C2" s="3" t="s">
        <v>1</v>
      </c>
      <c r="D2" s="3" t="s">
        <v>1</v>
      </c>
      <c r="E2" s="3" t="s">
        <v>1</v>
      </c>
      <c r="F2" s="3"/>
      <c r="G2" s="3" t="s">
        <v>17</v>
      </c>
      <c r="H2" s="3" t="s">
        <v>1</v>
      </c>
      <c r="I2" s="3" t="s">
        <v>1</v>
      </c>
      <c r="J2" s="3" t="s">
        <v>1</v>
      </c>
      <c r="K2" s="3" t="s">
        <v>6</v>
      </c>
      <c r="L2" s="3" t="s">
        <v>6</v>
      </c>
      <c r="M2" s="1"/>
    </row>
    <row r="3" spans="2:14" ht="15.75" thickBot="1" x14ac:dyDescent="0.3">
      <c r="B3" s="4" t="s">
        <v>10</v>
      </c>
      <c r="C3" s="5" t="s">
        <v>7</v>
      </c>
      <c r="D3" s="5" t="s">
        <v>0</v>
      </c>
      <c r="E3" s="5" t="s">
        <v>2</v>
      </c>
      <c r="F3" s="5" t="s">
        <v>3</v>
      </c>
      <c r="G3" s="5" t="s">
        <v>14</v>
      </c>
      <c r="H3" s="5" t="s">
        <v>14</v>
      </c>
      <c r="I3" s="5" t="s">
        <v>13</v>
      </c>
      <c r="J3" s="5" t="s">
        <v>18</v>
      </c>
      <c r="K3" s="5" t="s">
        <v>7</v>
      </c>
      <c r="L3" s="5" t="s">
        <v>5</v>
      </c>
      <c r="M3" s="1"/>
      <c r="N3" s="9" t="s">
        <v>12</v>
      </c>
    </row>
    <row r="4" spans="2:14" ht="15.75" thickBot="1" x14ac:dyDescent="0.3">
      <c r="B4" s="7" t="s">
        <v>8</v>
      </c>
      <c r="C4" s="6">
        <f>SUM(C5:C138)</f>
        <v>3762.8156999999997</v>
      </c>
      <c r="D4" s="6">
        <f>SUM(D5:D138)</f>
        <v>249.31409999999997</v>
      </c>
      <c r="E4" s="6">
        <f>SUM(E5:E138)</f>
        <v>0</v>
      </c>
      <c r="F4" s="6">
        <f>SUM(F5:F138)</f>
        <v>1659.0083999999999</v>
      </c>
      <c r="G4" s="6">
        <f>SUM(G5:G625)</f>
        <v>74331.346099999995</v>
      </c>
      <c r="H4" s="6">
        <f>SUM(H5:H624)</f>
        <v>0</v>
      </c>
      <c r="I4" s="6">
        <f>SUM(I5:I138)</f>
        <v>0</v>
      </c>
      <c r="J4" s="6">
        <f>SUM(J5:J138)</f>
        <v>5248.95</v>
      </c>
      <c r="K4" s="6">
        <f>SUM(K5:K138)</f>
        <v>1890.8085000000001</v>
      </c>
      <c r="L4" s="6">
        <f>SUM(L5:L138)</f>
        <v>253.995</v>
      </c>
      <c r="M4" s="1"/>
      <c r="N4" s="10">
        <f>SUM(C4:L4)</f>
        <v>87396.237799999988</v>
      </c>
    </row>
    <row r="5" spans="2:14" x14ac:dyDescent="0.25">
      <c r="C5" s="1">
        <v>2.1</v>
      </c>
      <c r="D5" s="1">
        <v>76.677300000000002</v>
      </c>
      <c r="E5" s="1"/>
      <c r="F5" s="1">
        <v>195.5625</v>
      </c>
      <c r="G5" s="1">
        <v>21.167999999999999</v>
      </c>
      <c r="H5" s="13"/>
      <c r="I5" s="1"/>
      <c r="J5" s="1">
        <v>5248.95</v>
      </c>
      <c r="K5" s="1">
        <v>1837.5</v>
      </c>
      <c r="L5" s="1">
        <v>9.4247999999999994</v>
      </c>
      <c r="M5" s="1"/>
      <c r="N5" s="1"/>
    </row>
    <row r="6" spans="2:14" x14ac:dyDescent="0.25">
      <c r="C6" s="1">
        <v>1386</v>
      </c>
      <c r="D6" s="1">
        <v>41.831999999999994</v>
      </c>
      <c r="F6" s="1">
        <v>240.56759999999997</v>
      </c>
      <c r="G6" s="1">
        <v>261.70409999999998</v>
      </c>
      <c r="H6" s="13"/>
      <c r="I6" s="1"/>
      <c r="J6" s="1"/>
      <c r="K6" s="1">
        <v>44.0685</v>
      </c>
      <c r="L6" s="1">
        <v>9.072000000000001</v>
      </c>
      <c r="M6" s="1"/>
    </row>
    <row r="7" spans="2:14" ht="17.25" x14ac:dyDescent="0.4">
      <c r="C7" s="1">
        <v>1575</v>
      </c>
      <c r="D7" s="1">
        <v>8.0640000000000001</v>
      </c>
      <c r="F7" s="1">
        <v>49.454999999999998</v>
      </c>
      <c r="G7" s="1">
        <v>145.87019999999998</v>
      </c>
      <c r="H7" s="13"/>
      <c r="I7" s="1"/>
      <c r="J7" s="1"/>
      <c r="K7" s="8">
        <v>9.24</v>
      </c>
      <c r="L7" s="1">
        <v>13.187999999999999</v>
      </c>
      <c r="M7" s="1"/>
      <c r="N7" s="11"/>
    </row>
    <row r="8" spans="2:14" x14ac:dyDescent="0.25">
      <c r="C8" s="1">
        <v>60.515700000000002</v>
      </c>
      <c r="D8" s="1">
        <v>23.5032</v>
      </c>
      <c r="F8" s="1">
        <v>102.74249999999999</v>
      </c>
      <c r="G8" s="1">
        <v>111.1698</v>
      </c>
      <c r="H8" s="13"/>
      <c r="I8" s="1"/>
      <c r="J8" s="1"/>
      <c r="K8" s="1"/>
      <c r="L8" s="1">
        <v>5.2122000000000002</v>
      </c>
      <c r="M8" s="1"/>
      <c r="N8" s="11"/>
    </row>
    <row r="9" spans="2:14" x14ac:dyDescent="0.25">
      <c r="C9" s="1">
        <v>63</v>
      </c>
      <c r="D9" s="1">
        <v>38.698799999999999</v>
      </c>
      <c r="F9" s="1">
        <v>54.6</v>
      </c>
      <c r="G9" s="1">
        <v>22.68</v>
      </c>
      <c r="H9" s="13"/>
      <c r="I9" s="1"/>
      <c r="J9" s="1"/>
      <c r="K9" s="1"/>
      <c r="L9" s="1">
        <v>7.5264000000000006</v>
      </c>
      <c r="M9" s="1"/>
      <c r="N9" s="11"/>
    </row>
    <row r="10" spans="2:14" x14ac:dyDescent="0.25">
      <c r="C10" s="1">
        <v>63</v>
      </c>
      <c r="D10" s="1">
        <v>7.4843999999999999</v>
      </c>
      <c r="F10" s="1">
        <v>71.924999999999997</v>
      </c>
      <c r="G10" s="1">
        <v>72.540300000000002</v>
      </c>
      <c r="H10" s="13"/>
      <c r="I10" s="1"/>
      <c r="J10" s="1"/>
      <c r="K10" s="1"/>
      <c r="L10" s="1">
        <v>11.592000000000001</v>
      </c>
      <c r="M10" s="1"/>
      <c r="N10" s="11"/>
    </row>
    <row r="11" spans="2:14" x14ac:dyDescent="0.25">
      <c r="C11" s="1">
        <v>63</v>
      </c>
      <c r="D11" s="1">
        <v>1.6127999999999998</v>
      </c>
      <c r="F11" s="1">
        <v>291.71309999999994</v>
      </c>
      <c r="G11" s="1">
        <v>8.3160000000000007</v>
      </c>
      <c r="H11" s="13"/>
      <c r="I11" s="1"/>
      <c r="J11" s="1"/>
      <c r="K11" s="1"/>
      <c r="L11" s="1">
        <v>73.399199999999993</v>
      </c>
      <c r="M11" s="1"/>
      <c r="N11" s="11"/>
    </row>
    <row r="12" spans="2:14" x14ac:dyDescent="0.25">
      <c r="C12" s="1">
        <v>63</v>
      </c>
      <c r="D12" s="1">
        <v>24.99</v>
      </c>
      <c r="F12" s="1">
        <v>176.5575</v>
      </c>
      <c r="G12" s="1">
        <v>41.447699999999998</v>
      </c>
      <c r="H12" s="13"/>
      <c r="I12" s="1"/>
      <c r="J12" s="1"/>
      <c r="K12" s="1"/>
      <c r="L12" s="1">
        <v>9.5676000000000005</v>
      </c>
      <c r="M12" s="1"/>
      <c r="N12" s="11"/>
    </row>
    <row r="13" spans="2:14" x14ac:dyDescent="0.25">
      <c r="C13" s="1">
        <v>63</v>
      </c>
      <c r="D13" s="1">
        <v>2.3771999999999998</v>
      </c>
      <c r="F13" s="1">
        <v>475.88519999999994</v>
      </c>
      <c r="G13" s="1">
        <v>43.47</v>
      </c>
      <c r="H13" s="13"/>
      <c r="I13" s="1"/>
      <c r="J13" s="1"/>
      <c r="K13" s="1"/>
      <c r="L13" s="1">
        <v>21</v>
      </c>
      <c r="M13" s="1"/>
      <c r="N13" s="11"/>
    </row>
    <row r="14" spans="2:14" x14ac:dyDescent="0.25">
      <c r="C14" s="1">
        <v>63</v>
      </c>
      <c r="D14" s="1">
        <v>24.074400000000001</v>
      </c>
      <c r="F14" s="1"/>
      <c r="G14" s="1">
        <v>254.65019999999996</v>
      </c>
      <c r="H14" s="13"/>
      <c r="I14" s="1"/>
      <c r="J14" s="1"/>
      <c r="K14" s="1"/>
      <c r="L14" s="1">
        <v>3.3264</v>
      </c>
      <c r="M14" s="1"/>
      <c r="N14" s="11"/>
    </row>
    <row r="15" spans="2:14" x14ac:dyDescent="0.25">
      <c r="C15" s="1">
        <v>63</v>
      </c>
      <c r="D15" s="1"/>
      <c r="E15" s="16"/>
      <c r="F15" s="1"/>
      <c r="G15" s="1">
        <v>326.18039999999996</v>
      </c>
      <c r="H15" s="13"/>
      <c r="I15" s="1"/>
      <c r="J15" s="1"/>
      <c r="K15" s="1"/>
      <c r="L15" s="1">
        <v>27.971999999999998</v>
      </c>
      <c r="M15" s="1"/>
      <c r="N15" s="11"/>
    </row>
    <row r="16" spans="2:14" x14ac:dyDescent="0.25">
      <c r="C16" s="1">
        <v>63</v>
      </c>
      <c r="D16" s="1"/>
      <c r="E16" s="1"/>
      <c r="F16" s="1"/>
      <c r="G16" s="1">
        <v>232.12980000000002</v>
      </c>
      <c r="H16" s="13"/>
      <c r="I16" s="1"/>
      <c r="J16" s="1"/>
      <c r="K16" s="1"/>
      <c r="L16" s="1">
        <v>12.6</v>
      </c>
      <c r="M16" s="1"/>
      <c r="N16" s="11"/>
    </row>
    <row r="17" spans="3:14" x14ac:dyDescent="0.25">
      <c r="C17" s="1">
        <v>63</v>
      </c>
      <c r="D17" s="1"/>
      <c r="E17" s="1"/>
      <c r="F17" s="1"/>
      <c r="G17" s="1">
        <v>366.9624</v>
      </c>
      <c r="H17" s="13"/>
      <c r="I17" s="1"/>
      <c r="J17" s="1"/>
      <c r="K17" s="1"/>
      <c r="L17" s="1">
        <v>50.114399999999996</v>
      </c>
      <c r="M17" s="1"/>
      <c r="N17" s="11"/>
    </row>
    <row r="18" spans="3:14" x14ac:dyDescent="0.25">
      <c r="C18" s="1">
        <v>63</v>
      </c>
      <c r="D18" s="1"/>
      <c r="E18" s="1"/>
      <c r="F18" s="1"/>
      <c r="G18" s="1">
        <v>74.239199999999997</v>
      </c>
      <c r="H18" s="13"/>
      <c r="I18" s="1"/>
      <c r="J18" s="1"/>
      <c r="K18" s="1"/>
      <c r="L18" s="1"/>
      <c r="M18" s="1"/>
      <c r="N18" s="11"/>
    </row>
    <row r="19" spans="3:14" x14ac:dyDescent="0.25">
      <c r="C19" s="1">
        <v>46.199999999999996</v>
      </c>
      <c r="D19" s="1"/>
      <c r="E19" s="1"/>
      <c r="F19" s="1"/>
      <c r="G19" s="1">
        <v>128.31209999999999</v>
      </c>
      <c r="H19" s="13"/>
      <c r="I19" s="1"/>
      <c r="J19" s="1"/>
      <c r="K19" s="1"/>
      <c r="L19" s="1"/>
      <c r="M19" s="1"/>
      <c r="N19" s="11"/>
    </row>
    <row r="20" spans="3:14" x14ac:dyDescent="0.25">
      <c r="C20" s="1">
        <v>63</v>
      </c>
      <c r="D20" s="1"/>
      <c r="E20" s="1"/>
      <c r="F20" s="1"/>
      <c r="G20" s="1">
        <v>259.63349999999997</v>
      </c>
      <c r="H20" s="13"/>
      <c r="I20" s="1"/>
      <c r="J20" s="1"/>
      <c r="K20" s="1"/>
      <c r="L20" s="1"/>
      <c r="M20" s="1"/>
      <c r="N20" s="11"/>
    </row>
    <row r="21" spans="3:14" x14ac:dyDescent="0.25">
      <c r="C21" s="1"/>
      <c r="D21" s="1"/>
      <c r="E21" s="1"/>
      <c r="F21" s="1"/>
      <c r="G21" s="1">
        <v>2.415</v>
      </c>
      <c r="H21" s="13"/>
      <c r="I21" s="1"/>
      <c r="J21" s="1"/>
      <c r="K21" s="1"/>
      <c r="L21" s="1"/>
      <c r="M21" s="1"/>
      <c r="N21" s="11"/>
    </row>
    <row r="22" spans="3:14" x14ac:dyDescent="0.25">
      <c r="C22" s="1"/>
      <c r="D22" s="1"/>
      <c r="E22" s="1"/>
      <c r="F22" s="1"/>
      <c r="G22" s="1">
        <v>39.841200000000001</v>
      </c>
      <c r="H22" s="13"/>
      <c r="I22" s="1"/>
      <c r="J22" s="1"/>
      <c r="K22" s="1"/>
      <c r="L22" s="1"/>
      <c r="M22" s="1"/>
      <c r="N22" s="11"/>
    </row>
    <row r="23" spans="3:14" x14ac:dyDescent="0.25">
      <c r="C23" s="1"/>
      <c r="D23" s="1"/>
      <c r="E23" s="1"/>
      <c r="F23" s="1"/>
      <c r="G23" s="1">
        <v>28.349999999999998</v>
      </c>
      <c r="H23" s="13"/>
      <c r="I23" s="1"/>
      <c r="J23" s="1"/>
      <c r="K23" s="1"/>
      <c r="L23" s="1"/>
      <c r="M23" s="1"/>
      <c r="N23" s="11"/>
    </row>
    <row r="24" spans="3:14" x14ac:dyDescent="0.25">
      <c r="C24" s="1"/>
      <c r="D24" s="1"/>
      <c r="E24" s="1"/>
      <c r="F24" s="1"/>
      <c r="G24" s="1">
        <v>281.79059999999998</v>
      </c>
      <c r="H24" s="13"/>
      <c r="I24" s="1"/>
      <c r="J24" s="1"/>
      <c r="K24" s="1"/>
      <c r="L24" s="1"/>
      <c r="M24" s="1"/>
      <c r="N24" s="11"/>
    </row>
    <row r="25" spans="3:14" x14ac:dyDescent="0.25">
      <c r="C25" s="1"/>
      <c r="D25" s="1"/>
      <c r="E25" s="1"/>
      <c r="F25" s="1"/>
      <c r="G25" s="1">
        <v>0</v>
      </c>
      <c r="H25" s="13"/>
      <c r="I25" s="1"/>
      <c r="J25" s="1"/>
      <c r="K25" s="1"/>
      <c r="L25" s="1"/>
      <c r="M25" s="1"/>
      <c r="N25" s="11"/>
    </row>
    <row r="26" spans="3:14" x14ac:dyDescent="0.25">
      <c r="C26" s="1"/>
      <c r="D26" s="1"/>
      <c r="E26" s="1"/>
      <c r="F26" s="1"/>
      <c r="G26" s="1">
        <v>58.539599999999993</v>
      </c>
      <c r="H26" s="13"/>
      <c r="I26" s="1"/>
      <c r="J26" s="1"/>
      <c r="K26" s="1"/>
      <c r="L26" s="1"/>
      <c r="M26" s="1"/>
      <c r="N26" s="11"/>
    </row>
    <row r="27" spans="3:14" x14ac:dyDescent="0.25">
      <c r="C27" s="1"/>
      <c r="D27" s="1"/>
      <c r="E27" s="1"/>
      <c r="F27" s="1"/>
      <c r="G27" s="1">
        <v>3.78</v>
      </c>
      <c r="H27" s="13"/>
      <c r="I27" s="1"/>
      <c r="J27" s="1"/>
      <c r="K27" s="1"/>
      <c r="L27" s="1"/>
      <c r="M27" s="1"/>
      <c r="N27" s="11"/>
    </row>
    <row r="28" spans="3:14" x14ac:dyDescent="0.25">
      <c r="C28" s="1"/>
      <c r="D28" s="1"/>
      <c r="E28" s="1"/>
      <c r="F28" s="1"/>
      <c r="G28" s="1">
        <v>51.785999999999994</v>
      </c>
      <c r="H28" s="13"/>
      <c r="I28" s="1"/>
      <c r="J28" s="1"/>
      <c r="K28" s="1"/>
      <c r="L28" s="1"/>
      <c r="M28" s="1"/>
      <c r="N28" s="11"/>
    </row>
    <row r="29" spans="3:14" x14ac:dyDescent="0.25">
      <c r="C29" s="1"/>
      <c r="D29" s="1"/>
      <c r="E29" s="1"/>
      <c r="F29" s="1"/>
      <c r="G29" s="1">
        <v>52.315199999999997</v>
      </c>
      <c r="H29" s="13"/>
      <c r="I29" s="1"/>
      <c r="J29" s="1"/>
      <c r="K29" s="1"/>
      <c r="L29" s="1"/>
      <c r="M29" s="1"/>
      <c r="N29" s="11"/>
    </row>
    <row r="30" spans="3:14" x14ac:dyDescent="0.25">
      <c r="C30" s="1"/>
      <c r="D30" s="1"/>
      <c r="E30" s="1"/>
      <c r="F30" s="1"/>
      <c r="G30" s="1">
        <v>306.55799999999999</v>
      </c>
      <c r="H30" s="13"/>
      <c r="I30" s="1"/>
      <c r="J30" s="1"/>
      <c r="K30" s="1"/>
      <c r="L30" s="1"/>
      <c r="M30" s="1"/>
      <c r="N30" s="11"/>
    </row>
    <row r="31" spans="3:14" x14ac:dyDescent="0.25">
      <c r="C31" s="1"/>
      <c r="D31" s="1"/>
      <c r="E31" s="1"/>
      <c r="F31" s="1"/>
      <c r="G31" s="1">
        <v>34.484099999999998</v>
      </c>
      <c r="H31" s="13"/>
      <c r="I31" s="1"/>
      <c r="J31" s="1"/>
      <c r="K31" s="1"/>
      <c r="L31" s="1"/>
      <c r="M31" s="1"/>
      <c r="N31" s="11"/>
    </row>
    <row r="32" spans="3:14" x14ac:dyDescent="0.25">
      <c r="C32" s="1"/>
      <c r="D32" s="1"/>
      <c r="E32" s="1"/>
      <c r="F32" s="1"/>
      <c r="G32" s="1">
        <v>376.23599999999999</v>
      </c>
      <c r="H32" s="13"/>
      <c r="I32" s="1"/>
      <c r="J32" s="1"/>
      <c r="K32" s="1"/>
      <c r="L32" s="1"/>
      <c r="M32" s="1"/>
      <c r="N32" s="11"/>
    </row>
    <row r="33" spans="3:14" x14ac:dyDescent="0.25">
      <c r="C33" s="1"/>
      <c r="D33" s="1"/>
      <c r="E33" s="1"/>
      <c r="F33" s="1"/>
      <c r="G33" s="1">
        <v>62.170499999999997</v>
      </c>
      <c r="H33" s="13"/>
      <c r="I33" s="1"/>
      <c r="J33" s="1"/>
      <c r="K33" s="1"/>
      <c r="L33" s="1"/>
      <c r="M33" s="1"/>
      <c r="N33" s="11"/>
    </row>
    <row r="34" spans="3:14" x14ac:dyDescent="0.25">
      <c r="C34" s="1"/>
      <c r="D34" s="1"/>
      <c r="E34" s="1"/>
      <c r="F34" s="1"/>
      <c r="G34" s="1">
        <v>35.343000000000004</v>
      </c>
      <c r="H34" s="13"/>
      <c r="I34" s="1"/>
      <c r="J34" s="1"/>
      <c r="K34" s="1"/>
      <c r="L34" s="1"/>
      <c r="M34" s="1"/>
      <c r="N34" s="11"/>
    </row>
    <row r="35" spans="3:14" x14ac:dyDescent="0.25">
      <c r="C35" s="1"/>
      <c r="D35" s="1"/>
      <c r="E35" s="1"/>
      <c r="F35" s="1"/>
      <c r="G35" s="1">
        <v>80.646299999999997</v>
      </c>
      <c r="H35" s="13"/>
      <c r="I35" s="1"/>
      <c r="J35" s="1"/>
      <c r="K35" s="1"/>
      <c r="L35" s="1"/>
      <c r="M35" s="1"/>
      <c r="N35" s="11"/>
    </row>
    <row r="36" spans="3:14" x14ac:dyDescent="0.25">
      <c r="C36" s="1"/>
      <c r="D36" s="1"/>
      <c r="E36" s="1"/>
      <c r="F36" s="1"/>
      <c r="G36" s="1">
        <v>195.93</v>
      </c>
      <c r="H36" s="13"/>
      <c r="I36" s="1"/>
      <c r="J36" s="1"/>
      <c r="K36" s="1"/>
      <c r="L36" s="1"/>
      <c r="M36" s="1"/>
      <c r="N36" s="11"/>
    </row>
    <row r="37" spans="3:14" x14ac:dyDescent="0.25">
      <c r="C37" s="1"/>
      <c r="D37" s="1"/>
      <c r="E37" s="1"/>
      <c r="F37" s="1"/>
      <c r="G37" s="1">
        <v>37.799999999999997</v>
      </c>
      <c r="H37" s="13"/>
      <c r="I37" s="1"/>
      <c r="J37" s="1"/>
      <c r="K37" s="1"/>
      <c r="L37" s="1"/>
      <c r="M37" s="1"/>
      <c r="N37" s="11"/>
    </row>
    <row r="38" spans="3:14" x14ac:dyDescent="0.25">
      <c r="C38" s="1"/>
      <c r="D38" s="1"/>
      <c r="E38" s="1"/>
      <c r="F38" s="1"/>
      <c r="G38" s="1">
        <v>175.4109</v>
      </c>
      <c r="H38" s="13"/>
      <c r="I38" s="1"/>
      <c r="J38" s="1"/>
      <c r="K38" s="1"/>
      <c r="L38" s="1"/>
      <c r="M38" s="1"/>
      <c r="N38" s="11"/>
    </row>
    <row r="39" spans="3:14" x14ac:dyDescent="0.25">
      <c r="C39" s="1"/>
      <c r="D39" s="1"/>
      <c r="E39" s="1"/>
      <c r="F39" s="1"/>
      <c r="G39" s="1">
        <v>49.14</v>
      </c>
      <c r="H39" s="13"/>
      <c r="I39" s="1"/>
      <c r="J39" s="1"/>
      <c r="K39" s="1"/>
      <c r="L39" s="1"/>
      <c r="M39" s="1"/>
      <c r="N39" s="11"/>
    </row>
    <row r="40" spans="3:14" x14ac:dyDescent="0.25">
      <c r="C40" s="1"/>
      <c r="D40" s="1"/>
      <c r="E40" s="1"/>
      <c r="F40" s="1"/>
      <c r="G40" s="1">
        <v>34.379100000000001</v>
      </c>
      <c r="H40" s="13"/>
      <c r="I40" s="1"/>
      <c r="J40" s="1"/>
      <c r="K40" s="1"/>
      <c r="L40" s="1"/>
      <c r="M40" s="1"/>
      <c r="N40" s="11"/>
    </row>
    <row r="41" spans="3:14" x14ac:dyDescent="0.25">
      <c r="C41" s="1"/>
      <c r="D41" s="1"/>
      <c r="E41" s="1"/>
      <c r="F41" s="1"/>
      <c r="G41" s="1">
        <v>152.93879999999999</v>
      </c>
      <c r="H41" s="13"/>
      <c r="I41" s="1"/>
      <c r="J41" s="1"/>
      <c r="K41" s="1"/>
      <c r="L41" s="1"/>
      <c r="M41" s="1"/>
      <c r="N41" s="11"/>
    </row>
    <row r="42" spans="3:14" x14ac:dyDescent="0.25">
      <c r="C42" s="1"/>
      <c r="D42" s="1"/>
      <c r="E42" s="1"/>
      <c r="F42" s="1"/>
      <c r="G42" s="1">
        <v>59.610599999999998</v>
      </c>
      <c r="H42" s="13"/>
      <c r="I42" s="1"/>
      <c r="J42" s="1"/>
      <c r="K42" s="1"/>
      <c r="L42" s="1"/>
      <c r="M42" s="1"/>
      <c r="N42" s="11"/>
    </row>
    <row r="43" spans="3:14" x14ac:dyDescent="0.25">
      <c r="C43" s="1"/>
      <c r="D43" s="1"/>
      <c r="E43" s="1"/>
      <c r="F43" s="1"/>
      <c r="G43" s="1">
        <v>27.215999999999998</v>
      </c>
      <c r="H43" s="13"/>
      <c r="I43" s="1"/>
      <c r="J43" s="1"/>
      <c r="K43" s="1"/>
      <c r="L43" s="1"/>
      <c r="M43" s="1"/>
      <c r="N43" s="11"/>
    </row>
    <row r="44" spans="3:14" x14ac:dyDescent="0.25">
      <c r="C44" s="1"/>
      <c r="D44" s="1"/>
      <c r="E44" s="1"/>
      <c r="F44" s="1"/>
      <c r="G44" s="1">
        <v>45.994199999999999</v>
      </c>
      <c r="H44" s="13"/>
      <c r="I44" s="1"/>
      <c r="J44" s="1"/>
      <c r="K44" s="1"/>
      <c r="L44" s="1"/>
      <c r="M44" s="1"/>
    </row>
    <row r="45" spans="3:14" x14ac:dyDescent="0.25">
      <c r="C45" s="1"/>
      <c r="D45" s="1"/>
      <c r="E45" s="1"/>
      <c r="F45" s="1"/>
      <c r="G45" s="1">
        <v>39.198599999999999</v>
      </c>
      <c r="H45" s="13"/>
      <c r="I45" s="1"/>
      <c r="J45" s="1"/>
      <c r="K45" s="1"/>
      <c r="L45" s="1"/>
      <c r="M45" s="1"/>
    </row>
    <row r="46" spans="3:14" x14ac:dyDescent="0.25">
      <c r="C46" s="1"/>
      <c r="D46" s="1"/>
      <c r="E46" s="1"/>
      <c r="F46" s="1"/>
      <c r="G46" s="1">
        <v>66.735900000000001</v>
      </c>
      <c r="H46" s="13"/>
      <c r="I46" s="1"/>
      <c r="J46" s="1"/>
      <c r="K46" s="1"/>
      <c r="L46" s="1"/>
      <c r="M46" s="1"/>
    </row>
    <row r="47" spans="3:14" x14ac:dyDescent="0.25">
      <c r="C47" s="1"/>
      <c r="D47" s="1"/>
      <c r="E47" s="1"/>
      <c r="F47" s="1"/>
      <c r="G47" s="1">
        <v>49.757399999999997</v>
      </c>
      <c r="H47" s="13"/>
      <c r="I47" s="1"/>
      <c r="J47" s="1"/>
      <c r="K47" s="1"/>
      <c r="L47" s="1"/>
      <c r="M47" s="1"/>
    </row>
    <row r="48" spans="3:14" x14ac:dyDescent="0.25">
      <c r="C48" s="1"/>
      <c r="D48" s="1"/>
      <c r="E48" s="1"/>
      <c r="F48" s="1"/>
      <c r="G48" s="1">
        <v>110.88209999999999</v>
      </c>
      <c r="H48" s="13"/>
      <c r="I48" s="1"/>
      <c r="J48" s="1"/>
      <c r="K48" s="1"/>
      <c r="L48" s="1"/>
      <c r="M48" s="1"/>
    </row>
    <row r="49" spans="3:13" x14ac:dyDescent="0.25">
      <c r="C49" s="1"/>
      <c r="D49" s="1"/>
      <c r="E49" s="1"/>
      <c r="F49" s="1"/>
      <c r="G49" s="1">
        <v>143.62109999999998</v>
      </c>
      <c r="H49" s="13"/>
      <c r="I49" s="1"/>
      <c r="J49" s="1"/>
      <c r="K49" s="1"/>
      <c r="L49" s="1"/>
      <c r="M49" s="1"/>
    </row>
    <row r="50" spans="3:13" x14ac:dyDescent="0.25">
      <c r="C50" s="1"/>
      <c r="D50" s="1"/>
      <c r="E50" s="1"/>
      <c r="F50" s="1"/>
      <c r="G50" s="1">
        <v>571.35119999999995</v>
      </c>
      <c r="H50" s="13"/>
      <c r="I50" s="1"/>
      <c r="J50" s="1"/>
      <c r="K50" s="1"/>
      <c r="L50" s="1"/>
      <c r="M50" s="1"/>
    </row>
    <row r="51" spans="3:13" x14ac:dyDescent="0.25">
      <c r="C51" s="1"/>
      <c r="D51" s="1"/>
      <c r="E51" s="1"/>
      <c r="F51" s="1"/>
      <c r="G51" s="1">
        <v>25.242000000000001</v>
      </c>
      <c r="H51" s="13"/>
      <c r="I51" s="1"/>
      <c r="J51" s="1"/>
      <c r="K51" s="1"/>
      <c r="L51" s="1"/>
      <c r="M51" s="1"/>
    </row>
    <row r="52" spans="3:13" x14ac:dyDescent="0.25">
      <c r="C52" s="1"/>
      <c r="D52" s="1"/>
      <c r="E52" s="1"/>
      <c r="F52" s="1"/>
      <c r="G52" s="1">
        <v>51.508800000000001</v>
      </c>
      <c r="H52" s="13"/>
      <c r="I52" s="1"/>
      <c r="J52" s="1"/>
      <c r="K52" s="1"/>
      <c r="L52" s="1"/>
      <c r="M52" s="1"/>
    </row>
    <row r="53" spans="3:13" x14ac:dyDescent="0.25">
      <c r="C53" s="1"/>
      <c r="D53" s="1"/>
      <c r="E53" s="1"/>
      <c r="F53" s="1"/>
      <c r="G53" s="1">
        <v>16.884</v>
      </c>
      <c r="H53" s="13"/>
      <c r="I53" s="1"/>
      <c r="J53" s="1"/>
      <c r="K53" s="1"/>
      <c r="L53" s="1"/>
      <c r="M53" s="1"/>
    </row>
    <row r="54" spans="3:13" x14ac:dyDescent="0.25">
      <c r="C54" s="1"/>
      <c r="D54" s="1"/>
      <c r="E54" s="1"/>
      <c r="F54" s="1"/>
      <c r="G54" s="1">
        <v>30.24</v>
      </c>
      <c r="H54" s="13"/>
      <c r="I54" s="1"/>
      <c r="J54" s="1"/>
      <c r="K54" s="1"/>
      <c r="L54" s="1"/>
      <c r="M54" s="1"/>
    </row>
    <row r="55" spans="3:13" x14ac:dyDescent="0.25">
      <c r="C55" s="1"/>
      <c r="D55" s="1"/>
      <c r="E55" s="1"/>
      <c r="F55" s="1"/>
      <c r="G55" s="1">
        <v>31.987199999999998</v>
      </c>
      <c r="H55" s="13"/>
      <c r="I55" s="1"/>
      <c r="J55" s="1"/>
      <c r="K55" s="1"/>
      <c r="L55" s="1"/>
      <c r="M55" s="1"/>
    </row>
    <row r="56" spans="3:13" x14ac:dyDescent="0.25">
      <c r="C56" s="1"/>
      <c r="D56" s="1"/>
      <c r="E56" s="1"/>
      <c r="F56" s="1"/>
      <c r="G56" s="1">
        <v>25.7544</v>
      </c>
      <c r="H56" s="13"/>
      <c r="I56" s="1"/>
      <c r="J56" s="1"/>
      <c r="K56" s="1"/>
      <c r="L56" s="1"/>
      <c r="M56" s="1"/>
    </row>
    <row r="57" spans="3:13" x14ac:dyDescent="0.25">
      <c r="C57" s="1"/>
      <c r="D57" s="1"/>
      <c r="E57" s="1"/>
      <c r="F57" s="1"/>
      <c r="G57" s="1">
        <v>36.791999999999994</v>
      </c>
      <c r="H57" s="13"/>
      <c r="I57" s="1"/>
      <c r="J57" s="1"/>
      <c r="K57" s="1"/>
      <c r="L57" s="1"/>
      <c r="M57" s="1"/>
    </row>
    <row r="58" spans="3:13" x14ac:dyDescent="0.25">
      <c r="C58" s="1"/>
      <c r="D58" s="1"/>
      <c r="E58" s="1"/>
      <c r="F58" s="1"/>
      <c r="G58" s="1">
        <v>6.048</v>
      </c>
      <c r="H58" s="13"/>
      <c r="I58" s="1"/>
      <c r="J58" s="1"/>
      <c r="K58" s="1"/>
      <c r="L58" s="1"/>
      <c r="M58" s="1"/>
    </row>
    <row r="59" spans="3:13" x14ac:dyDescent="0.25">
      <c r="C59" s="1"/>
      <c r="D59" s="1"/>
      <c r="E59" s="1"/>
      <c r="F59" s="1"/>
      <c r="G59" s="1">
        <v>1.512</v>
      </c>
      <c r="H59" s="13"/>
      <c r="I59" s="1"/>
      <c r="J59" s="1"/>
      <c r="K59" s="1"/>
      <c r="L59" s="1"/>
      <c r="M59" s="1"/>
    </row>
    <row r="60" spans="3:13" x14ac:dyDescent="0.25">
      <c r="C60" s="1"/>
      <c r="D60" s="1"/>
      <c r="E60" s="1"/>
      <c r="F60" s="1"/>
      <c r="G60" s="1">
        <v>4.032</v>
      </c>
      <c r="H60" s="13"/>
      <c r="I60" s="1"/>
      <c r="J60" s="1"/>
      <c r="K60" s="1"/>
      <c r="L60" s="1"/>
      <c r="M60" s="1"/>
    </row>
    <row r="61" spans="3:13" x14ac:dyDescent="0.25">
      <c r="C61" s="1"/>
      <c r="D61" s="1"/>
      <c r="E61" s="1"/>
      <c r="F61" s="1"/>
      <c r="G61" s="1">
        <v>2.5955999999999997</v>
      </c>
      <c r="H61" s="13"/>
      <c r="I61" s="1"/>
      <c r="J61" s="1"/>
      <c r="K61" s="1"/>
      <c r="L61" s="1"/>
      <c r="M61" s="1"/>
    </row>
    <row r="62" spans="3:13" x14ac:dyDescent="0.25">
      <c r="C62" s="1"/>
      <c r="D62" s="1"/>
      <c r="E62" s="1"/>
      <c r="F62" s="1"/>
      <c r="G62" s="1">
        <v>14.615999999999998</v>
      </c>
      <c r="H62" s="13"/>
      <c r="I62" s="1"/>
      <c r="J62" s="1"/>
      <c r="K62" s="1"/>
      <c r="L62" s="1"/>
      <c r="M62" s="1"/>
    </row>
    <row r="63" spans="3:13" x14ac:dyDescent="0.25">
      <c r="C63" s="1"/>
      <c r="D63" s="1"/>
      <c r="E63" s="1"/>
      <c r="F63" s="1"/>
      <c r="G63" s="1">
        <v>45.460799999999999</v>
      </c>
      <c r="H63" s="13"/>
      <c r="I63" s="1"/>
      <c r="J63" s="1"/>
      <c r="K63" s="1"/>
      <c r="L63" s="1"/>
      <c r="M63" s="1"/>
    </row>
    <row r="64" spans="3:13" x14ac:dyDescent="0.25">
      <c r="C64" s="1"/>
      <c r="D64" s="1"/>
      <c r="E64" s="1"/>
      <c r="F64" s="1"/>
      <c r="G64" s="1">
        <v>10.735199999999999</v>
      </c>
      <c r="H64" s="13"/>
      <c r="I64" s="1"/>
      <c r="J64" s="1"/>
      <c r="K64" s="1"/>
      <c r="L64" s="1"/>
      <c r="M64" s="1"/>
    </row>
    <row r="65" spans="3:13" x14ac:dyDescent="0.25">
      <c r="C65" s="1"/>
      <c r="D65" s="1"/>
      <c r="E65" s="1"/>
      <c r="F65" s="1"/>
      <c r="G65" s="1">
        <v>51.004799999999996</v>
      </c>
      <c r="H65" s="13"/>
      <c r="I65" s="1"/>
      <c r="J65" s="1"/>
      <c r="K65" s="1"/>
      <c r="L65" s="1"/>
      <c r="M65" s="1"/>
    </row>
    <row r="66" spans="3:13" x14ac:dyDescent="0.25">
      <c r="C66" s="1"/>
      <c r="D66" s="1"/>
      <c r="E66" s="1"/>
      <c r="F66" s="1"/>
      <c r="G66" s="1">
        <v>28.627199999999998</v>
      </c>
      <c r="H66" s="13"/>
      <c r="I66" s="1"/>
      <c r="J66" s="1"/>
      <c r="K66" s="1"/>
      <c r="L66" s="1"/>
      <c r="M66" s="1"/>
    </row>
    <row r="67" spans="3:13" x14ac:dyDescent="0.25">
      <c r="C67" s="1"/>
      <c r="D67" s="1"/>
      <c r="E67" s="1"/>
      <c r="F67" s="1"/>
      <c r="G67" s="1">
        <v>6.2160000000000002</v>
      </c>
      <c r="H67" s="13"/>
      <c r="I67" s="1"/>
      <c r="J67" s="1"/>
      <c r="K67" s="1"/>
      <c r="L67" s="1"/>
      <c r="M67" s="1"/>
    </row>
    <row r="68" spans="3:13" x14ac:dyDescent="0.25">
      <c r="C68" s="1"/>
      <c r="D68" s="1"/>
      <c r="E68" s="1"/>
      <c r="F68" s="1"/>
      <c r="G68" s="1">
        <v>42.764399999999995</v>
      </c>
      <c r="H68" s="13"/>
      <c r="I68" s="1"/>
      <c r="J68" s="1"/>
      <c r="K68" s="1"/>
      <c r="L68" s="1"/>
      <c r="M68" s="1"/>
    </row>
    <row r="69" spans="3:13" x14ac:dyDescent="0.25">
      <c r="C69" s="1"/>
      <c r="D69" s="1"/>
      <c r="E69" s="1"/>
      <c r="F69" s="1"/>
      <c r="G69" s="1">
        <v>309.18509999999998</v>
      </c>
      <c r="H69" s="13"/>
      <c r="I69" s="1"/>
      <c r="J69" s="1"/>
      <c r="K69" s="1"/>
      <c r="L69" s="1"/>
      <c r="M69" s="1"/>
    </row>
    <row r="70" spans="3:13" x14ac:dyDescent="0.25">
      <c r="C70" s="1"/>
      <c r="D70" s="1"/>
      <c r="E70" s="1"/>
      <c r="F70" s="1"/>
      <c r="G70" s="1">
        <v>114.2148</v>
      </c>
      <c r="H70" s="13"/>
      <c r="I70" s="1"/>
      <c r="J70" s="1"/>
      <c r="K70" s="1"/>
      <c r="L70" s="1"/>
      <c r="M70" s="1"/>
    </row>
    <row r="71" spans="3:13" x14ac:dyDescent="0.25">
      <c r="C71" s="1"/>
      <c r="D71" s="1"/>
      <c r="E71" s="1"/>
      <c r="F71" s="1"/>
      <c r="G71" s="1">
        <v>562.75800000000004</v>
      </c>
      <c r="H71" s="13"/>
      <c r="I71" s="1"/>
      <c r="J71" s="1"/>
      <c r="K71" s="1"/>
      <c r="L71" s="1"/>
      <c r="M71" s="1"/>
    </row>
    <row r="72" spans="3:13" x14ac:dyDescent="0.25">
      <c r="C72" s="1"/>
      <c r="D72" s="1"/>
      <c r="E72" s="1"/>
      <c r="F72" s="1"/>
      <c r="G72" s="1">
        <v>688.73910000000001</v>
      </c>
      <c r="H72" s="13"/>
      <c r="I72" s="1"/>
      <c r="J72" s="1"/>
      <c r="K72" s="1"/>
      <c r="L72" s="1"/>
      <c r="M72" s="1"/>
    </row>
    <row r="73" spans="3:13" x14ac:dyDescent="0.25">
      <c r="C73" s="1"/>
      <c r="D73" s="1"/>
      <c r="E73" s="1"/>
      <c r="F73" s="1"/>
      <c r="G73" s="1">
        <v>410.71589999999998</v>
      </c>
      <c r="H73" s="13"/>
      <c r="I73" s="1"/>
      <c r="J73" s="1"/>
      <c r="K73" s="1"/>
      <c r="L73" s="1"/>
      <c r="M73" s="1"/>
    </row>
    <row r="74" spans="3:13" x14ac:dyDescent="0.25">
      <c r="C74" s="1"/>
      <c r="D74" s="1"/>
      <c r="E74" s="1"/>
      <c r="F74" s="1"/>
      <c r="G74" s="1">
        <v>162.71009999999998</v>
      </c>
      <c r="H74" s="13"/>
      <c r="I74" s="1"/>
      <c r="J74" s="1"/>
      <c r="K74" s="1"/>
      <c r="L74" s="1"/>
      <c r="M74" s="1"/>
    </row>
    <row r="75" spans="3:13" x14ac:dyDescent="0.25">
      <c r="C75" s="1"/>
      <c r="D75" s="1"/>
      <c r="E75" s="1"/>
      <c r="F75" s="1"/>
      <c r="G75" s="1">
        <v>61.311599999999991</v>
      </c>
      <c r="H75" s="13"/>
      <c r="I75" s="1"/>
      <c r="J75" s="1"/>
      <c r="K75" s="1"/>
      <c r="L75" s="1"/>
      <c r="M75" s="1"/>
    </row>
    <row r="76" spans="3:13" x14ac:dyDescent="0.25">
      <c r="C76" s="1"/>
      <c r="D76" s="1"/>
      <c r="E76" s="1"/>
      <c r="F76" s="1"/>
      <c r="G76" s="1">
        <v>445.19789999999995</v>
      </c>
      <c r="H76" s="13"/>
      <c r="I76" s="1"/>
      <c r="J76" s="1"/>
      <c r="K76" s="1"/>
      <c r="L76" s="1"/>
      <c r="M76" s="1"/>
    </row>
    <row r="77" spans="3:13" x14ac:dyDescent="0.25">
      <c r="C77" s="1"/>
      <c r="D77" s="1"/>
      <c r="E77" s="1"/>
      <c r="F77" s="1"/>
      <c r="G77" s="1">
        <v>451.99769999999995</v>
      </c>
      <c r="H77" s="13"/>
      <c r="I77" s="1"/>
      <c r="J77" s="1"/>
      <c r="K77" s="1"/>
      <c r="L77" s="1"/>
      <c r="M77" s="1"/>
    </row>
    <row r="78" spans="3:13" x14ac:dyDescent="0.25">
      <c r="C78" s="1"/>
      <c r="D78" s="1"/>
      <c r="E78" s="1"/>
      <c r="F78" s="1"/>
      <c r="G78" s="1">
        <v>296.46539999999999</v>
      </c>
      <c r="H78" s="13"/>
      <c r="I78" s="1"/>
      <c r="J78" s="1"/>
      <c r="K78" s="1"/>
      <c r="L78" s="1"/>
      <c r="M78" s="1"/>
    </row>
    <row r="79" spans="3:13" x14ac:dyDescent="0.25">
      <c r="C79" s="1"/>
      <c r="D79" s="1"/>
      <c r="E79" s="1"/>
      <c r="F79" s="1"/>
      <c r="G79" s="1">
        <v>153.7116</v>
      </c>
      <c r="H79" s="13"/>
      <c r="I79" s="1"/>
      <c r="J79" s="1"/>
      <c r="K79" s="1"/>
      <c r="L79" s="1"/>
      <c r="M79" s="1"/>
    </row>
    <row r="80" spans="3:13" x14ac:dyDescent="0.25">
      <c r="C80" s="1"/>
      <c r="D80" s="1"/>
      <c r="E80" s="1"/>
      <c r="F80" s="1"/>
      <c r="G80" s="1">
        <v>664.79279999999994</v>
      </c>
      <c r="H80" s="13"/>
      <c r="I80" s="1"/>
      <c r="J80" s="1"/>
      <c r="K80" s="1"/>
      <c r="L80" s="1"/>
      <c r="M80" s="1"/>
    </row>
    <row r="81" spans="3:13" x14ac:dyDescent="0.25">
      <c r="C81" s="1"/>
      <c r="D81" s="1"/>
      <c r="E81" s="1"/>
      <c r="F81" s="1"/>
      <c r="G81" s="1">
        <v>462.22470000000004</v>
      </c>
      <c r="H81" s="13"/>
      <c r="I81" s="1"/>
      <c r="J81" s="1"/>
      <c r="K81" s="1"/>
      <c r="L81" s="1"/>
      <c r="M81" s="1"/>
    </row>
    <row r="82" spans="3:13" x14ac:dyDescent="0.25">
      <c r="C82" s="1"/>
      <c r="D82" s="1"/>
      <c r="E82" s="1"/>
      <c r="F82" s="1"/>
      <c r="G82" s="1">
        <v>739.84469999999999</v>
      </c>
      <c r="H82" s="13"/>
      <c r="I82" s="1"/>
      <c r="J82" s="1"/>
      <c r="K82" s="1"/>
      <c r="L82" s="1"/>
      <c r="M82" s="1"/>
    </row>
    <row r="83" spans="3:13" x14ac:dyDescent="0.25">
      <c r="C83" s="1"/>
      <c r="D83" s="1"/>
      <c r="E83" s="1"/>
      <c r="F83" s="1"/>
      <c r="G83" s="1">
        <v>315.47039999999998</v>
      </c>
      <c r="H83" s="13"/>
      <c r="I83" s="1"/>
      <c r="J83" s="1"/>
      <c r="K83" s="1"/>
      <c r="L83" s="1"/>
      <c r="M83" s="1"/>
    </row>
    <row r="84" spans="3:13" x14ac:dyDescent="0.25">
      <c r="C84" s="1"/>
      <c r="D84" s="1"/>
      <c r="E84" s="1"/>
      <c r="F84" s="1"/>
      <c r="G84" s="1">
        <v>277.81740000000002</v>
      </c>
      <c r="H84" s="13"/>
      <c r="I84" s="1"/>
      <c r="J84" s="1"/>
      <c r="K84" s="1"/>
      <c r="L84" s="1"/>
      <c r="M84" s="1"/>
    </row>
    <row r="85" spans="3:13" x14ac:dyDescent="0.25">
      <c r="C85" s="1"/>
      <c r="D85" s="1"/>
      <c r="E85" s="1"/>
      <c r="F85" s="1"/>
      <c r="G85" s="1">
        <v>949.50030000000004</v>
      </c>
      <c r="H85" s="13"/>
      <c r="I85" s="1"/>
      <c r="J85" s="1"/>
      <c r="K85" s="1"/>
      <c r="L85" s="1"/>
      <c r="M85" s="1"/>
    </row>
    <row r="86" spans="3:13" x14ac:dyDescent="0.25">
      <c r="C86" s="1"/>
      <c r="D86" s="1"/>
      <c r="E86" s="1"/>
      <c r="F86" s="1"/>
      <c r="G86" s="1">
        <v>610.80809999999997</v>
      </c>
      <c r="H86" s="13"/>
      <c r="I86" s="1"/>
      <c r="J86" s="1"/>
      <c r="K86" s="1"/>
      <c r="L86" s="1"/>
      <c r="M86" s="1"/>
    </row>
    <row r="87" spans="3:13" x14ac:dyDescent="0.25">
      <c r="C87" s="1"/>
      <c r="D87" s="1"/>
      <c r="E87" s="1"/>
      <c r="F87" s="1"/>
      <c r="G87" s="1">
        <v>694.29150000000004</v>
      </c>
      <c r="H87" s="13"/>
      <c r="I87" s="1"/>
      <c r="J87" s="1"/>
      <c r="K87" s="1"/>
      <c r="L87" s="1"/>
      <c r="M87" s="1"/>
    </row>
    <row r="88" spans="3:13" x14ac:dyDescent="0.25">
      <c r="C88" s="1"/>
      <c r="D88" s="1"/>
      <c r="E88" s="1"/>
      <c r="F88" s="1"/>
      <c r="G88" s="1">
        <v>280.00979999999998</v>
      </c>
      <c r="H88" s="13"/>
      <c r="I88" s="1"/>
      <c r="J88" s="1"/>
      <c r="K88" s="1"/>
      <c r="L88" s="1"/>
      <c r="M88" s="1"/>
    </row>
    <row r="89" spans="3:13" x14ac:dyDescent="0.25">
      <c r="C89" s="1"/>
      <c r="D89" s="1"/>
      <c r="E89" s="1"/>
      <c r="F89" s="1"/>
      <c r="G89" s="1">
        <v>185.22</v>
      </c>
      <c r="H89" s="13"/>
      <c r="I89" s="1"/>
      <c r="J89" s="1"/>
      <c r="K89" s="1"/>
      <c r="L89" s="1"/>
      <c r="M89" s="1"/>
    </row>
    <row r="90" spans="3:13" x14ac:dyDescent="0.25">
      <c r="C90" s="1"/>
      <c r="D90" s="1"/>
      <c r="E90" s="1"/>
      <c r="F90" s="1"/>
      <c r="G90" s="1">
        <v>115.8108</v>
      </c>
      <c r="H90" s="13"/>
      <c r="I90" s="1"/>
      <c r="J90" s="1"/>
      <c r="K90" s="1"/>
      <c r="L90" s="1"/>
      <c r="M90" s="1"/>
    </row>
    <row r="91" spans="3:13" x14ac:dyDescent="0.25">
      <c r="C91" s="1"/>
      <c r="D91" s="1"/>
      <c r="E91" s="1"/>
      <c r="F91" s="1"/>
      <c r="G91" s="1">
        <v>303.35339999999997</v>
      </c>
      <c r="H91" s="13"/>
      <c r="I91" s="1"/>
      <c r="J91" s="1"/>
      <c r="K91" s="1"/>
      <c r="L91" s="1"/>
      <c r="M91" s="1"/>
    </row>
    <row r="92" spans="3:13" x14ac:dyDescent="0.25">
      <c r="C92" s="1"/>
      <c r="D92" s="1"/>
      <c r="E92" s="1"/>
      <c r="F92" s="1"/>
      <c r="G92" s="1">
        <v>57.456000000000003</v>
      </c>
      <c r="H92" s="13"/>
      <c r="I92" s="1"/>
      <c r="J92" s="1"/>
      <c r="K92" s="1"/>
      <c r="L92" s="1"/>
      <c r="M92" s="1"/>
    </row>
    <row r="93" spans="3:13" x14ac:dyDescent="0.25">
      <c r="C93" s="1"/>
      <c r="D93" s="1"/>
      <c r="E93" s="1"/>
      <c r="F93" s="1"/>
      <c r="G93" s="1">
        <v>517.5933</v>
      </c>
      <c r="H93" s="13"/>
      <c r="I93" s="1"/>
      <c r="J93" s="1"/>
      <c r="K93" s="1"/>
      <c r="L93" s="1"/>
      <c r="M93" s="1"/>
    </row>
    <row r="94" spans="3:13" x14ac:dyDescent="0.25">
      <c r="C94" s="1"/>
      <c r="D94" s="1"/>
      <c r="E94" s="1"/>
      <c r="F94" s="1"/>
      <c r="G94" s="1">
        <v>129.35159999999999</v>
      </c>
      <c r="H94" s="13"/>
      <c r="I94" s="1"/>
      <c r="J94" s="1"/>
      <c r="K94" s="1"/>
      <c r="L94" s="1"/>
      <c r="M94" s="1"/>
    </row>
    <row r="95" spans="3:13" x14ac:dyDescent="0.25">
      <c r="C95" s="1"/>
      <c r="D95" s="1"/>
      <c r="E95" s="1"/>
      <c r="F95" s="1"/>
      <c r="G95" s="1">
        <v>675.32849999999996</v>
      </c>
      <c r="H95" s="13"/>
      <c r="I95" s="1"/>
      <c r="J95" s="1"/>
      <c r="K95" s="1"/>
      <c r="L95" s="1"/>
      <c r="M95" s="1"/>
    </row>
    <row r="96" spans="3:13" x14ac:dyDescent="0.25">
      <c r="C96" s="1"/>
      <c r="D96" s="1"/>
      <c r="E96" s="1"/>
      <c r="F96" s="1"/>
      <c r="G96" s="1">
        <v>131.5461</v>
      </c>
      <c r="H96" s="13"/>
      <c r="I96" s="1"/>
      <c r="J96" s="1"/>
      <c r="K96" s="1"/>
      <c r="L96" s="1"/>
      <c r="M96" s="1"/>
    </row>
    <row r="97" spans="3:13" x14ac:dyDescent="0.25">
      <c r="C97" s="1"/>
      <c r="D97" s="1"/>
      <c r="E97" s="1"/>
      <c r="F97" s="1"/>
      <c r="G97" s="1">
        <v>212.9085</v>
      </c>
      <c r="H97" s="13"/>
      <c r="I97" s="1"/>
      <c r="J97" s="1"/>
      <c r="K97" s="1"/>
      <c r="L97" s="1"/>
      <c r="M97" s="1"/>
    </row>
    <row r="98" spans="3:13" x14ac:dyDescent="0.25">
      <c r="C98" s="1"/>
      <c r="D98" s="1"/>
      <c r="E98" s="1"/>
      <c r="F98" s="1"/>
      <c r="G98" s="1">
        <v>234.83669999999998</v>
      </c>
      <c r="H98" s="13"/>
      <c r="I98" s="1"/>
      <c r="J98" s="1"/>
      <c r="K98" s="1"/>
      <c r="L98" s="1"/>
      <c r="M98" s="1"/>
    </row>
    <row r="99" spans="3:13" x14ac:dyDescent="0.25">
      <c r="C99" s="1"/>
      <c r="D99" s="1"/>
      <c r="E99" s="1"/>
      <c r="F99" s="1"/>
      <c r="G99" s="1">
        <v>703.34669999999994</v>
      </c>
      <c r="H99" s="13"/>
      <c r="I99" s="1"/>
      <c r="J99" s="1"/>
      <c r="K99" s="1"/>
      <c r="L99" s="1"/>
      <c r="M99" s="1"/>
    </row>
    <row r="100" spans="3:13" x14ac:dyDescent="0.25">
      <c r="C100" s="1"/>
      <c r="D100" s="1"/>
      <c r="E100" s="1"/>
      <c r="F100" s="1"/>
      <c r="G100" s="1">
        <v>163.40729999999999</v>
      </c>
      <c r="H100" s="13"/>
      <c r="I100" s="1"/>
      <c r="J100" s="1"/>
      <c r="K100" s="1"/>
      <c r="L100" s="1"/>
      <c r="M100" s="1"/>
    </row>
    <row r="101" spans="3:13" x14ac:dyDescent="0.25">
      <c r="C101" s="1"/>
      <c r="D101" s="1"/>
      <c r="E101" s="1"/>
      <c r="F101" s="1"/>
      <c r="G101" s="1">
        <v>158.38200000000001</v>
      </c>
      <c r="H101" s="13"/>
      <c r="I101" s="1"/>
      <c r="J101" s="1"/>
      <c r="K101" s="1"/>
      <c r="L101" s="1"/>
      <c r="M101" s="1"/>
    </row>
    <row r="102" spans="3:13" x14ac:dyDescent="0.25">
      <c r="C102" s="1"/>
      <c r="D102" s="1"/>
      <c r="E102" s="1"/>
      <c r="F102" s="1"/>
      <c r="G102" s="1">
        <v>387.37439999999998</v>
      </c>
      <c r="H102" s="13"/>
      <c r="I102" s="1"/>
      <c r="J102" s="1"/>
      <c r="K102" s="1"/>
      <c r="L102" s="1"/>
      <c r="M102" s="1"/>
    </row>
    <row r="103" spans="3:13" x14ac:dyDescent="0.25">
      <c r="C103" s="1"/>
      <c r="D103" s="1"/>
      <c r="E103" s="1"/>
      <c r="F103" s="1"/>
      <c r="G103" s="1">
        <v>333.4905</v>
      </c>
      <c r="H103" s="13"/>
      <c r="I103" s="1"/>
      <c r="J103" s="1"/>
      <c r="K103" s="1"/>
      <c r="L103" s="1"/>
      <c r="M103" s="1"/>
    </row>
    <row r="104" spans="3:13" x14ac:dyDescent="0.25">
      <c r="C104" s="1"/>
      <c r="D104" s="1"/>
      <c r="E104" s="1"/>
      <c r="F104" s="1"/>
      <c r="G104" s="1">
        <v>77.017499999999998</v>
      </c>
      <c r="H104" s="13"/>
      <c r="I104" s="1"/>
      <c r="J104" s="1"/>
      <c r="K104" s="1"/>
      <c r="L104" s="1"/>
      <c r="M104" s="1"/>
    </row>
    <row r="105" spans="3:13" x14ac:dyDescent="0.25">
      <c r="C105" s="1"/>
      <c r="D105" s="1"/>
      <c r="E105" s="1"/>
      <c r="F105" s="1"/>
      <c r="G105" s="1">
        <v>320.26889999999997</v>
      </c>
      <c r="H105" s="13"/>
      <c r="I105" s="1"/>
      <c r="J105" s="1"/>
      <c r="K105" s="1"/>
      <c r="L105" s="1"/>
      <c r="M105" s="1"/>
    </row>
    <row r="106" spans="3:13" x14ac:dyDescent="0.25">
      <c r="C106" s="1"/>
      <c r="D106" s="1"/>
      <c r="E106" s="1"/>
      <c r="F106" s="1"/>
      <c r="G106" s="1">
        <v>748.95029999999997</v>
      </c>
      <c r="H106" s="13"/>
      <c r="I106" s="1"/>
      <c r="J106" s="1"/>
      <c r="K106" s="1"/>
      <c r="L106" s="1"/>
      <c r="M106" s="1"/>
    </row>
    <row r="107" spans="3:13" x14ac:dyDescent="0.25">
      <c r="C107" s="1"/>
      <c r="D107" s="1"/>
      <c r="E107" s="1"/>
      <c r="F107" s="1"/>
      <c r="G107" s="1">
        <v>693.16800000000001</v>
      </c>
      <c r="H107" s="13"/>
      <c r="I107" s="1"/>
      <c r="J107" s="1"/>
      <c r="K107" s="1"/>
      <c r="L107" s="1"/>
      <c r="M107" s="1"/>
    </row>
    <row r="108" spans="3:13" x14ac:dyDescent="0.25">
      <c r="C108" s="1"/>
      <c r="D108" s="1"/>
      <c r="E108" s="1"/>
      <c r="F108" s="1"/>
      <c r="G108" s="1">
        <v>80.807999999999993</v>
      </c>
      <c r="H108" s="13"/>
      <c r="I108" s="1"/>
      <c r="J108" s="1"/>
      <c r="K108" s="1"/>
      <c r="L108" s="1"/>
      <c r="M108" s="1"/>
    </row>
    <row r="109" spans="3:13" x14ac:dyDescent="0.25">
      <c r="C109" s="1"/>
      <c r="D109" s="1"/>
      <c r="E109" s="1"/>
      <c r="F109" s="1"/>
      <c r="G109" s="1">
        <v>287.65799999999996</v>
      </c>
      <c r="H109" s="13"/>
      <c r="I109" s="1"/>
      <c r="J109" s="1"/>
      <c r="K109" s="1"/>
      <c r="L109" s="1"/>
      <c r="M109" s="1"/>
    </row>
    <row r="110" spans="3:13" x14ac:dyDescent="0.25">
      <c r="C110" s="1"/>
      <c r="D110" s="1"/>
      <c r="E110" s="1"/>
      <c r="F110" s="1"/>
      <c r="G110" s="1">
        <v>225.31110000000001</v>
      </c>
      <c r="H110" s="13"/>
      <c r="I110" s="1"/>
      <c r="J110" s="1"/>
      <c r="K110" s="1"/>
      <c r="L110" s="1"/>
      <c r="M110" s="1"/>
    </row>
    <row r="111" spans="3:13" x14ac:dyDescent="0.25">
      <c r="C111" s="1"/>
      <c r="D111" s="1"/>
      <c r="E111" s="1"/>
      <c r="F111" s="1"/>
      <c r="G111" s="1">
        <v>293.25240000000002</v>
      </c>
      <c r="H111" s="13"/>
      <c r="I111" s="1"/>
      <c r="J111" s="1"/>
      <c r="K111" s="1"/>
      <c r="L111" s="1"/>
      <c r="M111" s="1"/>
    </row>
    <row r="112" spans="3:13" x14ac:dyDescent="0.25">
      <c r="C112" s="1"/>
      <c r="D112" s="1"/>
      <c r="E112" s="1"/>
      <c r="F112" s="1"/>
      <c r="G112" s="1">
        <v>219.93929999999997</v>
      </c>
      <c r="H112" s="13"/>
      <c r="I112" s="1"/>
      <c r="J112" s="1"/>
      <c r="K112" s="1"/>
      <c r="L112" s="1"/>
      <c r="M112" s="1"/>
    </row>
    <row r="113" spans="3:13" x14ac:dyDescent="0.25">
      <c r="C113" s="1"/>
      <c r="D113" s="1"/>
      <c r="E113" s="1"/>
      <c r="F113" s="1"/>
      <c r="G113" s="1">
        <v>278.40120000000002</v>
      </c>
      <c r="H113" s="13"/>
      <c r="I113" s="1"/>
      <c r="J113" s="1"/>
      <c r="K113" s="1"/>
      <c r="L113" s="1"/>
      <c r="M113" s="1"/>
    </row>
    <row r="114" spans="3:13" x14ac:dyDescent="0.25">
      <c r="C114" s="1"/>
      <c r="D114" s="1"/>
      <c r="E114" s="1"/>
      <c r="F114" s="1"/>
      <c r="G114" s="1">
        <v>528.1857</v>
      </c>
      <c r="H114" s="13"/>
      <c r="I114" s="1"/>
      <c r="J114" s="1"/>
      <c r="K114" s="1"/>
      <c r="L114" s="1"/>
      <c r="M114" s="1"/>
    </row>
    <row r="115" spans="3:13" x14ac:dyDescent="0.25">
      <c r="C115" s="1"/>
      <c r="D115" s="1"/>
      <c r="E115" s="1"/>
      <c r="F115" s="1"/>
      <c r="G115" s="1">
        <v>492.15599999999995</v>
      </c>
      <c r="H115" s="13"/>
      <c r="I115" s="1"/>
      <c r="J115" s="1"/>
      <c r="K115" s="1"/>
      <c r="L115" s="1"/>
      <c r="M115" s="1"/>
    </row>
    <row r="116" spans="3:13" x14ac:dyDescent="0.25">
      <c r="C116" s="1"/>
      <c r="D116" s="1"/>
      <c r="E116" s="1"/>
      <c r="F116" s="1"/>
      <c r="G116" s="1">
        <v>386.4588</v>
      </c>
      <c r="H116" s="13"/>
      <c r="I116" s="1"/>
      <c r="J116" s="1"/>
      <c r="K116" s="1"/>
      <c r="L116" s="1"/>
      <c r="M116" s="1"/>
    </row>
    <row r="117" spans="3:13" x14ac:dyDescent="0.25">
      <c r="C117" s="1"/>
      <c r="D117" s="1"/>
      <c r="E117" s="1"/>
      <c r="F117" s="1"/>
      <c r="G117" s="1">
        <v>459.76140000000004</v>
      </c>
      <c r="H117" s="13"/>
      <c r="I117" s="1"/>
      <c r="J117" s="1"/>
      <c r="K117" s="1"/>
      <c r="L117" s="1"/>
      <c r="M117" s="1"/>
    </row>
    <row r="118" spans="3:13" x14ac:dyDescent="0.25">
      <c r="C118" s="1"/>
      <c r="D118" s="1"/>
      <c r="E118" s="1"/>
      <c r="F118" s="1"/>
      <c r="G118" s="1">
        <v>184.69499999999999</v>
      </c>
      <c r="H118" s="13"/>
      <c r="I118" s="1"/>
      <c r="J118" s="1"/>
      <c r="K118" s="1"/>
      <c r="L118" s="1"/>
      <c r="M118" s="1"/>
    </row>
    <row r="119" spans="3:13" x14ac:dyDescent="0.25">
      <c r="C119" s="1"/>
      <c r="D119" s="1"/>
      <c r="E119" s="1"/>
      <c r="F119" s="1"/>
      <c r="G119" s="1">
        <v>97.86</v>
      </c>
      <c r="H119" s="13"/>
      <c r="I119" s="1"/>
      <c r="J119" s="1"/>
      <c r="K119" s="1"/>
      <c r="L119" s="1"/>
      <c r="M119" s="1"/>
    </row>
    <row r="120" spans="3:13" x14ac:dyDescent="0.25">
      <c r="C120" s="1"/>
      <c r="D120" s="1"/>
      <c r="E120" s="1"/>
      <c r="F120" s="1"/>
      <c r="G120" s="1">
        <v>454.87259999999998</v>
      </c>
      <c r="H120" s="13"/>
      <c r="I120" s="1"/>
      <c r="J120" s="1"/>
      <c r="K120" s="1"/>
      <c r="L120" s="1"/>
      <c r="M120" s="1"/>
    </row>
    <row r="121" spans="3:13" x14ac:dyDescent="0.25">
      <c r="C121" s="1"/>
      <c r="D121" s="1"/>
      <c r="E121" s="1"/>
      <c r="F121" s="1"/>
      <c r="G121" s="1">
        <v>309.9348</v>
      </c>
      <c r="H121" s="13"/>
      <c r="I121" s="1"/>
      <c r="J121" s="1"/>
      <c r="K121" s="1"/>
      <c r="L121" s="1"/>
      <c r="M121" s="1"/>
    </row>
    <row r="122" spans="3:13" x14ac:dyDescent="0.25">
      <c r="C122" s="1"/>
      <c r="D122" s="1"/>
      <c r="E122" s="1"/>
      <c r="F122" s="1"/>
      <c r="G122" s="1">
        <v>186.648</v>
      </c>
      <c r="H122" s="13"/>
      <c r="I122" s="1"/>
      <c r="J122" s="1"/>
      <c r="K122" s="1"/>
      <c r="L122" s="1"/>
      <c r="M122" s="1"/>
    </row>
    <row r="123" spans="3:13" x14ac:dyDescent="0.25">
      <c r="C123" s="1"/>
      <c r="D123" s="1"/>
      <c r="E123" s="1"/>
      <c r="F123" s="1"/>
      <c r="G123" s="1">
        <v>156.22319999999999</v>
      </c>
      <c r="H123" s="13"/>
      <c r="I123" s="1"/>
      <c r="J123" s="1"/>
      <c r="K123" s="1"/>
      <c r="L123" s="1"/>
      <c r="M123" s="1"/>
    </row>
    <row r="124" spans="3:13" x14ac:dyDescent="0.25">
      <c r="C124" s="1"/>
      <c r="D124" s="1"/>
      <c r="E124" s="1"/>
      <c r="F124" s="1"/>
      <c r="G124" s="1">
        <v>373.45769999999999</v>
      </c>
      <c r="H124" s="13"/>
      <c r="I124" s="1"/>
      <c r="J124" s="1"/>
      <c r="K124" s="1"/>
      <c r="L124" s="1"/>
      <c r="M124" s="1"/>
    </row>
    <row r="125" spans="3:13" x14ac:dyDescent="0.25">
      <c r="C125" s="1"/>
      <c r="D125" s="1"/>
      <c r="E125" s="1"/>
      <c r="F125" s="1"/>
      <c r="G125" s="1">
        <v>294.2604</v>
      </c>
      <c r="H125" s="12"/>
      <c r="I125" s="1"/>
      <c r="J125" s="1"/>
      <c r="K125" s="1"/>
      <c r="L125" s="1"/>
      <c r="M125" s="1"/>
    </row>
    <row r="126" spans="3:13" x14ac:dyDescent="0.25">
      <c r="C126" s="1"/>
      <c r="D126" s="1"/>
      <c r="E126" s="1"/>
      <c r="F126" s="1"/>
      <c r="G126" s="1">
        <v>223.36860000000001</v>
      </c>
      <c r="H126" s="12"/>
      <c r="I126" s="1"/>
      <c r="J126" s="1"/>
      <c r="K126" s="1"/>
      <c r="L126" s="1"/>
      <c r="M126" s="1"/>
    </row>
    <row r="127" spans="3:13" x14ac:dyDescent="0.25">
      <c r="C127" s="1"/>
      <c r="D127" s="1"/>
      <c r="E127" s="1"/>
      <c r="F127" s="1"/>
      <c r="G127" s="1">
        <v>235.94759999999997</v>
      </c>
      <c r="H127" s="12"/>
      <c r="I127" s="1"/>
      <c r="J127" s="1"/>
      <c r="K127" s="1"/>
      <c r="L127" s="1"/>
      <c r="M127" s="1"/>
    </row>
    <row r="128" spans="3:13" x14ac:dyDescent="0.25">
      <c r="C128" s="1"/>
      <c r="D128" s="1"/>
      <c r="E128" s="1"/>
      <c r="F128" s="1"/>
      <c r="G128" s="1">
        <v>155.9838</v>
      </c>
      <c r="H128" s="12"/>
      <c r="I128" s="1"/>
      <c r="J128" s="1"/>
      <c r="K128" s="1"/>
      <c r="L128" s="1"/>
      <c r="M128" s="1"/>
    </row>
    <row r="129" spans="3:13" x14ac:dyDescent="0.25">
      <c r="C129" s="1"/>
      <c r="D129" s="1"/>
      <c r="E129" s="1"/>
      <c r="F129" s="1"/>
      <c r="G129" s="1">
        <v>153.8964</v>
      </c>
      <c r="H129" s="12"/>
      <c r="I129" s="1"/>
      <c r="J129" s="1"/>
      <c r="K129" s="1"/>
      <c r="L129" s="1"/>
      <c r="M129" s="1"/>
    </row>
    <row r="130" spans="3:13" x14ac:dyDescent="0.25">
      <c r="C130" s="1"/>
      <c r="D130" s="1"/>
      <c r="E130" s="1"/>
      <c r="F130" s="1"/>
      <c r="G130" s="1">
        <v>506.36669999999998</v>
      </c>
      <c r="H130" s="12"/>
      <c r="I130" s="1"/>
      <c r="J130" s="1"/>
      <c r="K130" s="1"/>
      <c r="L130" s="1"/>
      <c r="M130" s="1"/>
    </row>
    <row r="131" spans="3:13" x14ac:dyDescent="0.25">
      <c r="C131" s="1"/>
      <c r="D131" s="1"/>
      <c r="E131" s="1"/>
      <c r="F131" s="1"/>
      <c r="G131" s="1">
        <v>471.40800000000002</v>
      </c>
      <c r="H131" s="12"/>
      <c r="I131" s="1"/>
      <c r="J131" s="1"/>
      <c r="K131" s="1"/>
      <c r="L131" s="1"/>
      <c r="M131" s="1"/>
    </row>
    <row r="132" spans="3:13" x14ac:dyDescent="0.25">
      <c r="C132" s="1"/>
      <c r="D132" s="1"/>
      <c r="E132" s="1"/>
      <c r="F132" s="1"/>
      <c r="G132" s="1">
        <v>247.55639999999997</v>
      </c>
      <c r="H132" s="12"/>
      <c r="I132" s="1"/>
      <c r="J132" s="1"/>
      <c r="K132" s="1"/>
      <c r="L132" s="1"/>
      <c r="M132" s="1"/>
    </row>
    <row r="133" spans="3:13" x14ac:dyDescent="0.25">
      <c r="C133" s="1"/>
      <c r="D133" s="1"/>
      <c r="E133" s="1"/>
      <c r="F133" s="1"/>
      <c r="G133" s="1">
        <v>230.5275</v>
      </c>
      <c r="H133" s="12"/>
      <c r="I133" s="1"/>
      <c r="J133" s="1"/>
      <c r="K133" s="1"/>
      <c r="L133" s="1"/>
      <c r="M133" s="1"/>
    </row>
    <row r="134" spans="3:13" ht="17.25" x14ac:dyDescent="0.4">
      <c r="C134" s="1"/>
      <c r="D134" s="1"/>
      <c r="E134" s="1"/>
      <c r="F134" s="1"/>
      <c r="G134" s="14">
        <v>251.84459999999999</v>
      </c>
      <c r="H134" s="15"/>
      <c r="I134" s="1"/>
      <c r="J134" s="1"/>
      <c r="K134" s="1"/>
      <c r="L134" s="1"/>
      <c r="M134" s="1"/>
    </row>
    <row r="135" spans="3:13" x14ac:dyDescent="0.25">
      <c r="C135" s="1"/>
      <c r="D135" s="1"/>
      <c r="E135" s="1"/>
      <c r="F135" s="1"/>
      <c r="G135" s="1">
        <v>1631.49</v>
      </c>
      <c r="H135" s="12"/>
      <c r="I135" s="1"/>
      <c r="J135" s="1"/>
      <c r="K135" s="1"/>
      <c r="L135" s="1"/>
      <c r="M135" s="1"/>
    </row>
    <row r="136" spans="3:13" x14ac:dyDescent="0.25">
      <c r="C136" s="1"/>
      <c r="D136" s="1"/>
      <c r="E136" s="1"/>
      <c r="F136" s="1"/>
      <c r="G136" s="1">
        <v>514.61</v>
      </c>
      <c r="H136" s="12"/>
      <c r="I136" s="1"/>
      <c r="J136" s="1"/>
      <c r="K136" s="1"/>
      <c r="L136" s="1"/>
      <c r="M136" s="1"/>
    </row>
    <row r="137" spans="3:13" x14ac:dyDescent="0.25">
      <c r="C137" s="1"/>
      <c r="D137" s="1"/>
      <c r="E137" s="1"/>
      <c r="F137" s="1"/>
      <c r="G137" s="1">
        <v>2015.22</v>
      </c>
      <c r="H137" s="12"/>
      <c r="I137" s="1"/>
      <c r="J137" s="1"/>
      <c r="K137" s="1"/>
      <c r="L137" s="1"/>
      <c r="M137" s="1"/>
    </row>
    <row r="138" spans="3:13" x14ac:dyDescent="0.25">
      <c r="C138" s="1"/>
      <c r="D138" s="1"/>
      <c r="E138" s="1"/>
      <c r="F138" s="1"/>
      <c r="G138" s="1"/>
      <c r="H138" s="12"/>
      <c r="I138" s="1"/>
      <c r="J138" s="1"/>
      <c r="K138" s="1"/>
      <c r="L138" s="1"/>
      <c r="M138" s="1"/>
    </row>
    <row r="139" spans="3:13" x14ac:dyDescent="0.25">
      <c r="C139" s="1"/>
      <c r="D139" s="1"/>
      <c r="E139" s="1"/>
      <c r="F139" s="1"/>
      <c r="G139" s="1">
        <v>150.02000000000001</v>
      </c>
      <c r="H139" s="12"/>
      <c r="I139" s="1"/>
      <c r="J139" s="1"/>
      <c r="K139" s="1"/>
      <c r="L139" s="1"/>
      <c r="M139" s="1"/>
    </row>
    <row r="140" spans="3:13" x14ac:dyDescent="0.25">
      <c r="C140" s="1"/>
      <c r="D140" s="1"/>
      <c r="E140" s="1"/>
      <c r="F140" s="1"/>
      <c r="G140" s="1">
        <v>287.44</v>
      </c>
      <c r="H140" s="12"/>
      <c r="I140" s="1"/>
      <c r="J140" s="1"/>
      <c r="K140" s="1"/>
      <c r="L140" s="1"/>
      <c r="M140" s="1"/>
    </row>
    <row r="141" spans="3:13" x14ac:dyDescent="0.25">
      <c r="C141" s="1"/>
      <c r="D141" s="1"/>
      <c r="E141" s="1"/>
      <c r="F141" s="1"/>
      <c r="G141" s="1"/>
      <c r="H141" s="12"/>
      <c r="I141" s="1"/>
      <c r="J141" s="1"/>
      <c r="K141" s="1"/>
      <c r="L141" s="1"/>
      <c r="M141" s="1"/>
    </row>
    <row r="142" spans="3:13" x14ac:dyDescent="0.25">
      <c r="C142" s="1"/>
      <c r="D142" s="1"/>
      <c r="E142" s="1"/>
      <c r="F142" s="1"/>
      <c r="G142" s="1">
        <v>2069.08</v>
      </c>
      <c r="H142" s="12"/>
      <c r="I142" s="1"/>
      <c r="J142" s="1"/>
      <c r="K142" s="1"/>
      <c r="L142" s="1"/>
      <c r="M142" s="1"/>
    </row>
    <row r="143" spans="3:13" x14ac:dyDescent="0.25">
      <c r="C143" s="1"/>
      <c r="D143" s="1"/>
      <c r="E143" s="1"/>
      <c r="F143" s="1"/>
      <c r="G143" s="1"/>
      <c r="H143" s="12"/>
      <c r="I143" s="1"/>
      <c r="J143" s="1"/>
      <c r="K143" s="1"/>
      <c r="L143" s="1"/>
      <c r="M143" s="1"/>
    </row>
    <row r="144" spans="3:13" x14ac:dyDescent="0.25">
      <c r="C144" s="1"/>
      <c r="D144" s="1"/>
      <c r="E144" s="1"/>
      <c r="F144" s="1"/>
      <c r="G144" s="1">
        <v>225.85</v>
      </c>
      <c r="H144" s="12"/>
      <c r="I144" s="1"/>
      <c r="J144" s="1"/>
      <c r="K144" s="1"/>
      <c r="L144" s="1"/>
      <c r="M144" s="1"/>
    </row>
    <row r="145" spans="3:13" x14ac:dyDescent="0.25">
      <c r="C145" s="1"/>
      <c r="D145" s="1"/>
      <c r="E145" s="1"/>
      <c r="F145" s="1"/>
      <c r="G145" s="1"/>
      <c r="H145" s="12"/>
      <c r="I145" s="1"/>
      <c r="J145" s="1"/>
      <c r="K145" s="1"/>
      <c r="L145" s="1"/>
      <c r="M145" s="1"/>
    </row>
    <row r="146" spans="3:13" x14ac:dyDescent="0.25">
      <c r="C146" s="1"/>
      <c r="D146" s="1"/>
      <c r="E146" s="1"/>
      <c r="F146" s="1"/>
      <c r="G146" s="1"/>
      <c r="H146" s="12"/>
      <c r="I146" s="1"/>
      <c r="J146" s="1"/>
      <c r="K146" s="1"/>
      <c r="L146" s="1"/>
      <c r="M146" s="1"/>
    </row>
    <row r="147" spans="3:13" x14ac:dyDescent="0.25">
      <c r="C147" s="1"/>
      <c r="D147" s="1"/>
      <c r="E147" s="1"/>
      <c r="F147" s="1"/>
      <c r="G147" s="1"/>
      <c r="H147" s="12"/>
      <c r="I147" s="1"/>
      <c r="J147" s="1"/>
      <c r="K147" s="1"/>
      <c r="L147" s="1"/>
      <c r="M147" s="1"/>
    </row>
    <row r="148" spans="3:13" x14ac:dyDescent="0.25">
      <c r="C148" s="1"/>
      <c r="D148" s="1"/>
      <c r="E148" s="1"/>
      <c r="F148" s="1"/>
      <c r="G148" s="1"/>
      <c r="H148" s="12"/>
      <c r="I148" s="1"/>
      <c r="J148" s="1"/>
      <c r="K148" s="1"/>
      <c r="L148" s="1"/>
      <c r="M148" s="1"/>
    </row>
    <row r="149" spans="3:13" x14ac:dyDescent="0.25">
      <c r="C149" s="1"/>
      <c r="D149" s="1"/>
      <c r="E149" s="1"/>
      <c r="F149" s="1"/>
      <c r="G149" s="1">
        <v>244.33</v>
      </c>
      <c r="H149" s="12"/>
      <c r="I149" s="1"/>
      <c r="J149" s="1"/>
      <c r="K149" s="1"/>
      <c r="L149" s="1"/>
      <c r="M149" s="1"/>
    </row>
    <row r="150" spans="3:13" x14ac:dyDescent="0.25">
      <c r="C150" s="1"/>
      <c r="D150" s="1"/>
      <c r="E150" s="1"/>
      <c r="F150" s="1"/>
      <c r="G150" s="1">
        <v>877.81</v>
      </c>
      <c r="H150" s="12"/>
      <c r="I150" s="1"/>
      <c r="J150" s="1"/>
      <c r="K150" s="1"/>
      <c r="L150" s="1"/>
      <c r="M150" s="1"/>
    </row>
    <row r="151" spans="3:13" x14ac:dyDescent="0.25">
      <c r="C151" s="1"/>
      <c r="D151" s="1"/>
      <c r="E151" s="1"/>
      <c r="F151" s="1"/>
      <c r="G151" s="1">
        <v>4523.1499999999996</v>
      </c>
      <c r="H151" s="12"/>
      <c r="I151" s="1"/>
      <c r="J151" s="1"/>
      <c r="K151" s="1"/>
      <c r="L151" s="1"/>
      <c r="M151" s="1"/>
    </row>
    <row r="152" spans="3:13" x14ac:dyDescent="0.25">
      <c r="C152" s="1"/>
      <c r="D152" s="1"/>
      <c r="E152" s="1"/>
      <c r="F152" s="1"/>
      <c r="G152" s="1"/>
      <c r="H152" s="12"/>
      <c r="I152" s="1"/>
      <c r="J152" s="1"/>
      <c r="K152" s="1"/>
      <c r="L152" s="1"/>
      <c r="M152" s="1"/>
    </row>
    <row r="153" spans="3:13" x14ac:dyDescent="0.25">
      <c r="C153" s="1"/>
      <c r="D153" s="1"/>
      <c r="E153" s="1"/>
      <c r="F153" s="1"/>
      <c r="G153" s="1"/>
      <c r="H153" s="12"/>
      <c r="I153" s="1"/>
      <c r="J153" s="1"/>
      <c r="K153" s="1"/>
      <c r="L153" s="1"/>
      <c r="M153" s="1"/>
    </row>
    <row r="154" spans="3:13" x14ac:dyDescent="0.25">
      <c r="C154" s="1"/>
      <c r="D154" s="1"/>
      <c r="E154" s="1"/>
      <c r="F154" s="1"/>
      <c r="G154" s="1"/>
      <c r="H154" s="12"/>
      <c r="I154" s="1"/>
      <c r="J154" s="1"/>
      <c r="K154" s="1"/>
      <c r="L154" s="1"/>
      <c r="M154" s="1"/>
    </row>
    <row r="155" spans="3:13" x14ac:dyDescent="0.25">
      <c r="C155" s="1"/>
      <c r="D155" s="1"/>
      <c r="E155" s="1"/>
      <c r="F155" s="1"/>
      <c r="G155" s="1"/>
      <c r="H155" s="12"/>
      <c r="I155" s="1"/>
      <c r="J155" s="1"/>
      <c r="K155" s="1"/>
      <c r="L155" s="1"/>
      <c r="M155" s="1"/>
    </row>
    <row r="156" spans="3:13" x14ac:dyDescent="0.25">
      <c r="C156" s="1"/>
      <c r="D156" s="1"/>
      <c r="E156" s="1"/>
      <c r="F156" s="1"/>
      <c r="G156" s="1"/>
      <c r="H156" s="12"/>
      <c r="I156" s="1"/>
      <c r="J156" s="1"/>
      <c r="K156" s="1"/>
      <c r="L156" s="1"/>
      <c r="M156" s="1"/>
    </row>
    <row r="157" spans="3:13" x14ac:dyDescent="0.25">
      <c r="C157" s="1"/>
      <c r="D157" s="1"/>
      <c r="E157" s="1"/>
      <c r="F157" s="1"/>
      <c r="G157" s="1"/>
      <c r="H157" s="12"/>
      <c r="I157" s="1"/>
      <c r="J157" s="1"/>
      <c r="K157" s="1"/>
      <c r="L157" s="1"/>
      <c r="M157" s="1"/>
    </row>
    <row r="158" spans="3:13" x14ac:dyDescent="0.25">
      <c r="C158" s="1"/>
      <c r="D158" s="1"/>
      <c r="E158" s="1"/>
      <c r="F158" s="1"/>
      <c r="G158" s="1"/>
      <c r="H158" s="12"/>
      <c r="I158" s="1"/>
      <c r="J158" s="1"/>
      <c r="K158" s="1"/>
      <c r="L158" s="1"/>
      <c r="M158" s="1"/>
    </row>
    <row r="159" spans="3:13" x14ac:dyDescent="0.25">
      <c r="C159" s="1"/>
      <c r="D159" s="1"/>
      <c r="E159" s="1"/>
      <c r="F159" s="1"/>
      <c r="G159" s="1"/>
      <c r="H159" s="12"/>
      <c r="I159" s="1"/>
      <c r="J159" s="1"/>
      <c r="K159" s="1"/>
      <c r="L159" s="1"/>
      <c r="M159" s="1"/>
    </row>
    <row r="160" spans="3:13" x14ac:dyDescent="0.25">
      <c r="C160" s="1"/>
      <c r="D160" s="1"/>
      <c r="E160" s="1"/>
      <c r="F160" s="1"/>
      <c r="G160" s="1"/>
      <c r="H160" s="12"/>
      <c r="I160" s="1"/>
      <c r="J160" s="1"/>
      <c r="K160" s="1"/>
      <c r="L160" s="1"/>
      <c r="M160" s="1"/>
    </row>
    <row r="161" spans="3:13" x14ac:dyDescent="0.25">
      <c r="C161" s="1"/>
      <c r="D161" s="1"/>
      <c r="E161" s="1"/>
      <c r="F161" s="1"/>
      <c r="G161" s="1"/>
      <c r="H161" s="12"/>
      <c r="I161" s="1"/>
      <c r="J161" s="1"/>
      <c r="K161" s="1"/>
      <c r="L161" s="1"/>
      <c r="M161" s="1"/>
    </row>
    <row r="162" spans="3:13" x14ac:dyDescent="0.25">
      <c r="C162" s="1"/>
      <c r="D162" s="1"/>
      <c r="E162" s="1"/>
      <c r="F162" s="1"/>
      <c r="G162" s="1"/>
      <c r="H162" s="12"/>
      <c r="I162" s="1"/>
      <c r="J162" s="1"/>
      <c r="K162" s="1"/>
      <c r="L162" s="1"/>
      <c r="M162" s="1"/>
    </row>
    <row r="163" spans="3:13" x14ac:dyDescent="0.25">
      <c r="C163" s="1"/>
      <c r="D163" s="1"/>
      <c r="E163" s="1"/>
      <c r="F163" s="1"/>
      <c r="G163" s="1"/>
      <c r="H163" s="12"/>
      <c r="I163" s="1"/>
      <c r="J163" s="1"/>
      <c r="K163" s="1"/>
      <c r="L163" s="1"/>
      <c r="M163" s="1"/>
    </row>
    <row r="164" spans="3:13" x14ac:dyDescent="0.25">
      <c r="C164" s="1"/>
      <c r="D164" s="1"/>
      <c r="E164" s="1"/>
      <c r="F164" s="1"/>
      <c r="G164" s="1"/>
      <c r="H164" s="12"/>
      <c r="I164" s="1"/>
      <c r="J164" s="1"/>
      <c r="K164" s="1"/>
      <c r="L164" s="1"/>
      <c r="M164" s="1"/>
    </row>
    <row r="165" spans="3:13" x14ac:dyDescent="0.25">
      <c r="C165" s="1"/>
      <c r="D165" s="1"/>
      <c r="E165" s="1"/>
      <c r="F165" s="1"/>
      <c r="G165" s="1"/>
      <c r="H165" s="12"/>
      <c r="I165" s="1"/>
      <c r="J165" s="1"/>
      <c r="K165" s="1"/>
      <c r="L165" s="1"/>
      <c r="M165" s="1"/>
    </row>
    <row r="166" spans="3:13" x14ac:dyDescent="0.25">
      <c r="C166" s="1"/>
      <c r="D166" s="1"/>
      <c r="E166" s="1"/>
      <c r="F166" s="1"/>
      <c r="G166" s="1"/>
      <c r="H166" s="12"/>
      <c r="I166" s="1"/>
      <c r="J166" s="1"/>
      <c r="K166" s="1"/>
      <c r="L166" s="1"/>
      <c r="M166" s="1"/>
    </row>
    <row r="167" spans="3:13" x14ac:dyDescent="0.25">
      <c r="C167" s="1"/>
      <c r="D167" s="1"/>
      <c r="E167" s="1"/>
      <c r="F167" s="1"/>
      <c r="G167" s="1"/>
      <c r="H167" s="12"/>
      <c r="I167" s="1"/>
      <c r="J167" s="1"/>
      <c r="K167" s="1"/>
      <c r="L167" s="1"/>
      <c r="M167" s="1"/>
    </row>
    <row r="168" spans="3:13" x14ac:dyDescent="0.25">
      <c r="C168" s="1"/>
      <c r="D168" s="1"/>
      <c r="E168" s="1"/>
      <c r="F168" s="1"/>
      <c r="G168" s="1"/>
      <c r="H168" s="12"/>
      <c r="I168" s="1"/>
      <c r="J168" s="1"/>
      <c r="K168" s="1"/>
      <c r="L168" s="1"/>
      <c r="M168" s="1"/>
    </row>
    <row r="169" spans="3:13" x14ac:dyDescent="0.25">
      <c r="C169" s="1"/>
      <c r="D169" s="1"/>
      <c r="E169" s="1"/>
      <c r="F169" s="1"/>
      <c r="G169" s="1"/>
      <c r="H169" s="12"/>
      <c r="I169" s="1"/>
      <c r="J169" s="1"/>
      <c r="K169" s="1"/>
      <c r="L169" s="1"/>
      <c r="M169" s="1"/>
    </row>
    <row r="170" spans="3:13" x14ac:dyDescent="0.25">
      <c r="C170" s="1"/>
      <c r="D170" s="1"/>
      <c r="E170" s="1"/>
      <c r="F170" s="1"/>
      <c r="G170" s="1">
        <v>430.08</v>
      </c>
      <c r="H170" s="12"/>
      <c r="I170" s="1"/>
      <c r="J170" s="1"/>
      <c r="K170" s="1"/>
      <c r="L170" s="1"/>
      <c r="M170" s="1"/>
    </row>
    <row r="171" spans="3:13" x14ac:dyDescent="0.25">
      <c r="C171" s="1"/>
      <c r="D171" s="1"/>
      <c r="E171" s="1"/>
      <c r="F171" s="1"/>
      <c r="G171" s="1">
        <v>4449.92</v>
      </c>
      <c r="H171" s="1"/>
      <c r="I171" s="1"/>
      <c r="J171" s="1"/>
      <c r="K171" s="1"/>
      <c r="L171" s="1"/>
      <c r="M171" s="1"/>
    </row>
    <row r="172" spans="3:13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3:13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3:13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3:13" x14ac:dyDescent="0.25">
      <c r="C175" s="1"/>
      <c r="D175" s="1"/>
      <c r="E175" s="1"/>
      <c r="F175" s="1"/>
      <c r="G175" s="1">
        <v>695.24</v>
      </c>
      <c r="H175" s="1"/>
      <c r="I175" s="1"/>
      <c r="J175" s="1"/>
      <c r="K175" s="1"/>
      <c r="L175" s="1"/>
      <c r="M175" s="1"/>
    </row>
    <row r="176" spans="3:13" x14ac:dyDescent="0.25">
      <c r="C176" s="1"/>
      <c r="D176" s="1"/>
      <c r="E176" s="1"/>
      <c r="F176" s="1"/>
      <c r="G176" s="1">
        <v>2219.4499999999998</v>
      </c>
      <c r="H176" s="1"/>
      <c r="I176" s="1"/>
      <c r="J176" s="1"/>
      <c r="K176" s="1"/>
      <c r="L176" s="1"/>
      <c r="M176" s="1"/>
    </row>
    <row r="177" spans="3:13" x14ac:dyDescent="0.2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3:13" x14ac:dyDescent="0.2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3:13" x14ac:dyDescent="0.25">
      <c r="C179" s="1"/>
      <c r="D179" s="1"/>
      <c r="E179" s="1"/>
      <c r="F179" s="1"/>
      <c r="G179" s="1">
        <v>578.80999999999995</v>
      </c>
      <c r="H179" s="1"/>
      <c r="I179" s="1"/>
      <c r="J179" s="1"/>
      <c r="K179" s="1"/>
      <c r="L179" s="1"/>
      <c r="M179" s="1"/>
    </row>
    <row r="182" spans="3:13" x14ac:dyDescent="0.25">
      <c r="G182">
        <v>1333.24</v>
      </c>
    </row>
    <row r="184" spans="3:13" x14ac:dyDescent="0.25">
      <c r="G184">
        <v>3015</v>
      </c>
    </row>
    <row r="185" spans="3:13" x14ac:dyDescent="0.25">
      <c r="G185">
        <v>1971.59</v>
      </c>
    </row>
    <row r="188" spans="3:13" x14ac:dyDescent="0.25">
      <c r="G188">
        <v>1962.99</v>
      </c>
    </row>
    <row r="189" spans="3:13" x14ac:dyDescent="0.25">
      <c r="G189">
        <v>635.15</v>
      </c>
    </row>
    <row r="191" spans="3:13" x14ac:dyDescent="0.25">
      <c r="G191">
        <v>3695.63</v>
      </c>
    </row>
    <row r="197" spans="7:7" x14ac:dyDescent="0.25">
      <c r="G197">
        <v>1258.58</v>
      </c>
    </row>
    <row r="199" spans="7:7" x14ac:dyDescent="0.25">
      <c r="G199">
        <v>802.38</v>
      </c>
    </row>
    <row r="200" spans="7:7" x14ac:dyDescent="0.25">
      <c r="G200">
        <v>2192.06</v>
      </c>
    </row>
    <row r="206" spans="7:7" x14ac:dyDescent="0.25">
      <c r="G206">
        <v>4057.73</v>
      </c>
    </row>
    <row r="212" spans="7:7" x14ac:dyDescent="0.25">
      <c r="G212">
        <v>1188.0999999999999</v>
      </c>
    </row>
    <row r="214" spans="7:7" x14ac:dyDescent="0.25">
      <c r="G214">
        <v>1079.97</v>
      </c>
    </row>
    <row r="215" spans="7:7" x14ac:dyDescent="0.25">
      <c r="G215">
        <v>1662.35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9-2022</vt:lpstr>
      <vt:lpstr>10-2022</vt:lpstr>
      <vt:lpstr>11-2022</vt:lpstr>
      <vt:lpstr>12-2022</vt:lpstr>
      <vt:lpstr>01-2023</vt:lpstr>
      <vt:lpstr>02-2022</vt:lpstr>
      <vt:lpstr>04-2022</vt:lpstr>
      <vt:lpstr>05-2023</vt:lpstr>
      <vt:lpstr>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Federico Botindari</cp:lastModifiedBy>
  <cp:lastPrinted>2022-11-14T15:20:26Z</cp:lastPrinted>
  <dcterms:created xsi:type="dcterms:W3CDTF">2022-10-18T15:07:37Z</dcterms:created>
  <dcterms:modified xsi:type="dcterms:W3CDTF">2023-08-14T23:06:42Z</dcterms:modified>
</cp:coreProperties>
</file>