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19440" windowHeight="13740" tabRatio="50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O130" i="1" l="1"/>
  <c r="O112" i="1"/>
  <c r="O98" i="1"/>
  <c r="O88" i="1"/>
  <c r="O85" i="1"/>
  <c r="O76" i="1"/>
  <c r="O69" i="1"/>
  <c r="O56" i="1"/>
  <c r="O48" i="1"/>
  <c r="O46" i="1"/>
  <c r="O39" i="1"/>
  <c r="O22" i="1"/>
  <c r="O16" i="1"/>
  <c r="N133" i="1"/>
  <c r="M132" i="1"/>
  <c r="L132" i="1"/>
  <c r="K132" i="1"/>
  <c r="J132" i="1"/>
  <c r="O132" i="1" l="1"/>
  <c r="P132" i="1"/>
</calcChain>
</file>

<file path=xl/sharedStrings.xml><?xml version="1.0" encoding="utf-8"?>
<sst xmlns="http://schemas.openxmlformats.org/spreadsheetml/2006/main" count="531" uniqueCount="117">
  <si>
    <t>Mis Comprobantes Recibidos - CUIT 30663486051</t>
  </si>
  <si>
    <t>Fecha</t>
  </si>
  <si>
    <t>Tipo</t>
  </si>
  <si>
    <t>Cód. Autorización</t>
  </si>
  <si>
    <t>Denominación Emisor</t>
  </si>
  <si>
    <t>Moneda</t>
  </si>
  <si>
    <t>IVA</t>
  </si>
  <si>
    <t>Imp. Total</t>
  </si>
  <si>
    <t>02/03/2022</t>
  </si>
  <si>
    <t>1 - Factura A</t>
  </si>
  <si>
    <t>CUIT</t>
  </si>
  <si>
    <t>CHAMORRO MANUEL</t>
  </si>
  <si>
    <t>$</t>
  </si>
  <si>
    <t>AUTOPISTAS URBANAS S A</t>
  </si>
  <si>
    <t>OPERADORA DE ESTACIONES DE SERVICIOS SA</t>
  </si>
  <si>
    <t>CORREO OFICIAL DE LA REPUBLICA ARGENTINA SOCIEDAD ANONIMA</t>
  </si>
  <si>
    <t>COTO CENTRO INTEGRAL DE COMERCIALIZACION SOCIEDAD ANONIMA</t>
  </si>
  <si>
    <t>SUPERMERCADOS MAYORISTAS MAKRO SA</t>
  </si>
  <si>
    <t>03/03/2022</t>
  </si>
  <si>
    <t>TELEFONICA DE ARGENTINA SA</t>
  </si>
  <si>
    <t>OCAÑO ENRIQUE</t>
  </si>
  <si>
    <t>RANKO S R L</t>
  </si>
  <si>
    <t>04/03/2022</t>
  </si>
  <si>
    <t>GRUPO CONCESIONARIO DEL OESTE SA</t>
  </si>
  <si>
    <t>TELECENTRO S A</t>
  </si>
  <si>
    <t>AUTOPISTAS DEL SOL S A</t>
  </si>
  <si>
    <t>AUTOGEN S.A.</t>
  </si>
  <si>
    <t>06/03/2022</t>
  </si>
  <si>
    <t>MOTOMERCADO SA</t>
  </si>
  <si>
    <t>07/03/2022</t>
  </si>
  <si>
    <t>H UNO 1469 S.A.</t>
  </si>
  <si>
    <t>EGEO SOCIEDAD DE RESPONSABILIDAD LIMITADA</t>
  </si>
  <si>
    <t>08/03/2022</t>
  </si>
  <si>
    <t>DIAMOND SYSTEM S.A.</t>
  </si>
  <si>
    <t>LA OPTICA S.A.</t>
  </si>
  <si>
    <t>POLYTECH S A</t>
  </si>
  <si>
    <t>NUAGE SYSTEMS S.A.</t>
  </si>
  <si>
    <t>09/03/2022</t>
  </si>
  <si>
    <t>3 - Nota de Crédito A</t>
  </si>
  <si>
    <t>VTEC SRL</t>
  </si>
  <si>
    <t>51 - Factura M</t>
  </si>
  <si>
    <t>GANADERA EL 13 S.R.L</t>
  </si>
  <si>
    <t>BIDCOM SRL</t>
  </si>
  <si>
    <t>10/03/2022</t>
  </si>
  <si>
    <t>PIROPLAST SOCIEDAD RESP LDA</t>
  </si>
  <si>
    <t>POSNET SOCIEDAD DE RESPONSABILIDAD LIMITADA</t>
  </si>
  <si>
    <t>TELECOM ARGENTINA SOCIEDAD ANONIMA</t>
  </si>
  <si>
    <t>INTERLICCHIA HNOS S.R.L.</t>
  </si>
  <si>
    <t>11/03/2022</t>
  </si>
  <si>
    <t>TECNIMAR S R L</t>
  </si>
  <si>
    <t>DISTRIBUIDORA N.G. S.A.</t>
  </si>
  <si>
    <t>12/03/2022</t>
  </si>
  <si>
    <t>AUTOPISTAS DE BUENOS AIRES (AUBASA) SA</t>
  </si>
  <si>
    <t>14/03/2022</t>
  </si>
  <si>
    <t>TARTARONE RUBEN OSCAR</t>
  </si>
  <si>
    <t>ENGYMAN SRL</t>
  </si>
  <si>
    <t>TRANSPORTES LA SEVILLANITA SRL</t>
  </si>
  <si>
    <t>11 - Factura C</t>
  </si>
  <si>
    <t>ASOCIACION CIVIL DE ESTETICA, PELUQUERIA Y MAQUILLAJE ACEPYM</t>
  </si>
  <si>
    <t>MEDILEA S.A.</t>
  </si>
  <si>
    <t>15/03/2022</t>
  </si>
  <si>
    <t>2 - Nota de Débito A</t>
  </si>
  <si>
    <t>FARMATRADE S R L</t>
  </si>
  <si>
    <t>PARADISO ESTEBAN DAMIAN</t>
  </si>
  <si>
    <t>16/03/2022</t>
  </si>
  <si>
    <t>INSUMOS INDUSTRIALES BULFERIND S.A.</t>
  </si>
  <si>
    <t>BLUE STAR CARGO SRL</t>
  </si>
  <si>
    <t>LNG GAS . S . A .</t>
  </si>
  <si>
    <t>17/03/2022</t>
  </si>
  <si>
    <t>FIRST LABEL S.R.L.</t>
  </si>
  <si>
    <t>CODAC SRL</t>
  </si>
  <si>
    <t>BUS PACK S.A.</t>
  </si>
  <si>
    <t>DUFF SRL</t>
  </si>
  <si>
    <t>18/03/2022</t>
  </si>
  <si>
    <t>BATTELLINI MARIA SOLEDAD</t>
  </si>
  <si>
    <t>15 - Recibo C</t>
  </si>
  <si>
    <t>URRETAVIZCAYA ADRIANA</t>
  </si>
  <si>
    <t>19/03/2022</t>
  </si>
  <si>
    <t>20/03/2022</t>
  </si>
  <si>
    <t>21/03/2022</t>
  </si>
  <si>
    <t>COORDINACION ECOLOGICA AREA METROPOLITANA SOCIEDAD DEL ESTADO</t>
  </si>
  <si>
    <t>22/03/2022</t>
  </si>
  <si>
    <t>CHAB CARLOS ALBERTO</t>
  </si>
  <si>
    <t>FARBER HERMAN</t>
  </si>
  <si>
    <t>ALVAREZ MIGUEL ANGEL</t>
  </si>
  <si>
    <t>TROTTA SALVADOR</t>
  </si>
  <si>
    <t>ROTONDO MARCELO ANDRES</t>
  </si>
  <si>
    <t>23/03/2022</t>
  </si>
  <si>
    <t>CORREDORES VIALES SOCIEDAD ANONIMA</t>
  </si>
  <si>
    <t>POCIECHA LUIS</t>
  </si>
  <si>
    <t>PORCO VICTOR ALBERTO</t>
  </si>
  <si>
    <t>24/03/2022</t>
  </si>
  <si>
    <t>25/03/2022</t>
  </si>
  <si>
    <t>CENCOSUD S A</t>
  </si>
  <si>
    <t>26/03/2022</t>
  </si>
  <si>
    <t>PANUNCIO CARLOS DANILO</t>
  </si>
  <si>
    <t>27/03/2022</t>
  </si>
  <si>
    <t>28/03/2022</t>
  </si>
  <si>
    <t>AVENDAÑO ONTIVERO LEANDRO JOSE</t>
  </si>
  <si>
    <t>29/03/2022</t>
  </si>
  <si>
    <t>MERCADOLIBRE S.R.L.</t>
  </si>
  <si>
    <t>ROYAL SYSTEL INFORMATICA SRL</t>
  </si>
  <si>
    <t>30/03/2022</t>
  </si>
  <si>
    <t>D'ABATE ANDRES PABLO</t>
  </si>
  <si>
    <t>MONTORRO DOMINGO</t>
  </si>
  <si>
    <t>MULTIPLES S R L</t>
  </si>
  <si>
    <t>31/03/2022</t>
  </si>
  <si>
    <t>TAP SERVICES S.A.</t>
  </si>
  <si>
    <t>GONZALEZ ALBERTO DANIEL</t>
  </si>
  <si>
    <t>SISTEMAS GAFF S.A.</t>
  </si>
  <si>
    <t>IMPRESORA DEL NEA SOCIEDAD ANONIMA</t>
  </si>
  <si>
    <t>Pto Vta</t>
  </si>
  <si>
    <t>Nro.</t>
  </si>
  <si>
    <t>T,Cbio</t>
  </si>
  <si>
    <t>Neto Gravado</t>
  </si>
  <si>
    <t xml:space="preserve"> No Gravado</t>
  </si>
  <si>
    <t>Exentas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</si>
</sst>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1" fillId="2" borderId="1" xfId="0" applyFont="1" applyFill="1" applyBorder="1"/>
    <xf numFmtId="0" fontId="0" fillId="0" borderId="1" xfId="0" applyFont="1" applyFill="1" applyBorder="1"/>
    <xf numFmtId="1" fontId="0" fillId="0" borderId="1" xfId="0" applyNumberFormat="1" applyFont="1" applyFill="1" applyBorder="1"/>
    <xf numFmtId="4" fontId="0" fillId="0" borderId="1" xfId="0" applyNumberFormat="1" applyFont="1" applyFill="1" applyBorder="1"/>
    <xf numFmtId="4" fontId="0" fillId="0" borderId="0" xfId="0" applyNumberFormat="1" applyFont="1" applyFill="1" applyBorder="1"/>
    <xf numFmtId="0" fontId="0" fillId="3" borderId="1" xfId="0" applyFont="1" applyFill="1" applyBorder="1"/>
    <xf numFmtId="1" fontId="0" fillId="3" borderId="1" xfId="0" applyNumberFormat="1" applyFont="1" applyFill="1" applyBorder="1"/>
    <xf numFmtId="4" fontId="0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3"/>
  <sheetViews>
    <sheetView tabSelected="1" topLeftCell="E109" workbookViewId="0">
      <selection activeCell="L119" sqref="L119"/>
    </sheetView>
  </sheetViews>
  <sheetFormatPr baseColWidth="10" defaultRowHeight="15"/>
  <cols>
    <col min="1" max="1" width="13" customWidth="1"/>
    <col min="2" max="2" width="19.42578125" bestFit="1" customWidth="1"/>
    <col min="3" max="3" width="7.42578125" bestFit="1" customWidth="1"/>
    <col min="4" max="4" width="9" bestFit="1" customWidth="1"/>
    <col min="5" max="5" width="16.7109375" bestFit="1" customWidth="1"/>
    <col min="6" max="6" width="12" bestFit="1" customWidth="1"/>
    <col min="7" max="7" width="52" customWidth="1"/>
    <col min="8" max="8" width="6.5703125" bestFit="1" customWidth="1"/>
    <col min="9" max="9" width="8.42578125" bestFit="1" customWidth="1"/>
    <col min="10" max="10" width="13.28515625" bestFit="1" customWidth="1"/>
    <col min="11" max="11" width="11.85546875" bestFit="1" customWidth="1"/>
    <col min="12" max="12" width="20.85546875" customWidth="1"/>
    <col min="13" max="13" width="10.42578125" customWidth="1"/>
    <col min="14" max="14" width="13" customWidth="1"/>
    <col min="16" max="16" width="11.7109375" bestFit="1" customWidth="1"/>
  </cols>
  <sheetData>
    <row r="1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5">
      <c r="A2" s="3" t="s">
        <v>1</v>
      </c>
      <c r="B2" s="3" t="s">
        <v>2</v>
      </c>
      <c r="C2" s="3" t="s">
        <v>111</v>
      </c>
      <c r="D2" s="3" t="s">
        <v>112</v>
      </c>
      <c r="E2" s="3" t="s">
        <v>3</v>
      </c>
      <c r="F2" s="3" t="s">
        <v>10</v>
      </c>
      <c r="G2" s="3" t="s">
        <v>4</v>
      </c>
      <c r="H2" s="3" t="s">
        <v>113</v>
      </c>
      <c r="I2" s="3" t="s">
        <v>5</v>
      </c>
      <c r="J2" s="3" t="s">
        <v>114</v>
      </c>
      <c r="K2" s="3" t="s">
        <v>115</v>
      </c>
      <c r="L2" s="3" t="s">
        <v>116</v>
      </c>
      <c r="M2" s="3" t="s">
        <v>6</v>
      </c>
      <c r="N2" s="3" t="s">
        <v>7</v>
      </c>
    </row>
    <row r="3" spans="1:15">
      <c r="A3" s="4" t="s">
        <v>81</v>
      </c>
      <c r="B3" s="4" t="s">
        <v>9</v>
      </c>
      <c r="C3" s="5">
        <v>10</v>
      </c>
      <c r="D3" s="5">
        <v>21599</v>
      </c>
      <c r="E3" s="5">
        <v>72128575709303</v>
      </c>
      <c r="F3" s="5">
        <v>20172002448</v>
      </c>
      <c r="G3" s="4" t="s">
        <v>84</v>
      </c>
      <c r="H3" s="5">
        <v>1</v>
      </c>
      <c r="I3" s="4" t="s">
        <v>12</v>
      </c>
      <c r="J3" s="6">
        <v>5286.03</v>
      </c>
      <c r="K3" s="6">
        <v>0</v>
      </c>
      <c r="L3" s="6">
        <v>0</v>
      </c>
      <c r="M3" s="6">
        <v>1110.07</v>
      </c>
      <c r="N3" s="6">
        <v>6396.1</v>
      </c>
    </row>
    <row r="4" spans="1:15">
      <c r="A4" s="4" t="s">
        <v>81</v>
      </c>
      <c r="B4" s="4" t="s">
        <v>9</v>
      </c>
      <c r="C4" s="5">
        <v>10</v>
      </c>
      <c r="D4" s="5">
        <v>21603</v>
      </c>
      <c r="E4" s="5">
        <v>72128590440114</v>
      </c>
      <c r="F4" s="5">
        <v>20172002448</v>
      </c>
      <c r="G4" s="4" t="s">
        <v>84</v>
      </c>
      <c r="H4" s="5">
        <v>1</v>
      </c>
      <c r="I4" s="4" t="s">
        <v>12</v>
      </c>
      <c r="J4" s="6">
        <v>5286.03</v>
      </c>
      <c r="K4" s="6">
        <v>0</v>
      </c>
      <c r="L4" s="6">
        <v>0</v>
      </c>
      <c r="M4" s="6">
        <v>1110.07</v>
      </c>
      <c r="N4" s="6">
        <v>6396.1</v>
      </c>
    </row>
    <row r="5" spans="1:15">
      <c r="A5" s="4" t="s">
        <v>81</v>
      </c>
      <c r="B5" s="4" t="s">
        <v>9</v>
      </c>
      <c r="C5" s="5">
        <v>10</v>
      </c>
      <c r="D5" s="5">
        <v>21598</v>
      </c>
      <c r="E5" s="5">
        <v>72128575210836</v>
      </c>
      <c r="F5" s="5">
        <v>20172002448</v>
      </c>
      <c r="G5" s="4" t="s">
        <v>84</v>
      </c>
      <c r="H5" s="5">
        <v>1</v>
      </c>
      <c r="I5" s="4" t="s">
        <v>12</v>
      </c>
      <c r="J5" s="6">
        <v>5286.03</v>
      </c>
      <c r="K5" s="6">
        <v>0</v>
      </c>
      <c r="L5" s="6">
        <v>0</v>
      </c>
      <c r="M5" s="6">
        <v>1110.07</v>
      </c>
      <c r="N5" s="6">
        <v>6396.1</v>
      </c>
    </row>
    <row r="6" spans="1:15">
      <c r="A6" s="4" t="s">
        <v>53</v>
      </c>
      <c r="B6" s="4" t="s">
        <v>57</v>
      </c>
      <c r="C6" s="5">
        <v>1</v>
      </c>
      <c r="D6" s="5">
        <v>1</v>
      </c>
      <c r="E6" s="5">
        <v>72119945669431</v>
      </c>
      <c r="F6" s="5">
        <v>30717223299</v>
      </c>
      <c r="G6" s="4" t="s">
        <v>58</v>
      </c>
      <c r="H6" s="5">
        <v>1</v>
      </c>
      <c r="I6" s="4" t="s">
        <v>12</v>
      </c>
      <c r="J6" s="6"/>
      <c r="K6" s="6"/>
      <c r="L6" s="6"/>
      <c r="M6" s="6"/>
      <c r="N6" s="6">
        <v>132000</v>
      </c>
    </row>
    <row r="7" spans="1:15">
      <c r="A7" s="4" t="s">
        <v>79</v>
      </c>
      <c r="B7" s="4" t="s">
        <v>57</v>
      </c>
      <c r="C7" s="5">
        <v>1</v>
      </c>
      <c r="D7" s="5">
        <v>2</v>
      </c>
      <c r="E7" s="5">
        <v>72129510165366</v>
      </c>
      <c r="F7" s="5">
        <v>30717223299</v>
      </c>
      <c r="G7" s="4" t="s">
        <v>58</v>
      </c>
      <c r="H7" s="5">
        <v>1</v>
      </c>
      <c r="I7" s="4" t="s">
        <v>12</v>
      </c>
      <c r="J7" s="6"/>
      <c r="K7" s="6"/>
      <c r="L7" s="6"/>
      <c r="M7" s="6"/>
      <c r="N7" s="6">
        <v>132000</v>
      </c>
    </row>
    <row r="8" spans="1:15">
      <c r="A8" s="4" t="s">
        <v>22</v>
      </c>
      <c r="B8" s="4" t="s">
        <v>9</v>
      </c>
      <c r="C8" s="5">
        <v>9</v>
      </c>
      <c r="D8" s="5">
        <v>2067</v>
      </c>
      <c r="E8" s="5">
        <v>72090222623466</v>
      </c>
      <c r="F8" s="5">
        <v>30715173030</v>
      </c>
      <c r="G8" s="4" t="s">
        <v>26</v>
      </c>
      <c r="H8" s="5">
        <v>1</v>
      </c>
      <c r="I8" s="4" t="s">
        <v>12</v>
      </c>
      <c r="J8" s="6">
        <v>19338.84</v>
      </c>
      <c r="K8" s="6">
        <v>0</v>
      </c>
      <c r="L8" s="6">
        <v>0</v>
      </c>
      <c r="M8" s="6">
        <v>4061.16</v>
      </c>
      <c r="N8" s="6">
        <v>24560.33</v>
      </c>
    </row>
    <row r="9" spans="1:15">
      <c r="A9" s="4" t="s">
        <v>51</v>
      </c>
      <c r="B9" s="4" t="s">
        <v>9</v>
      </c>
      <c r="C9" s="5">
        <v>50</v>
      </c>
      <c r="D9" s="5">
        <v>2509427</v>
      </c>
      <c r="E9" s="5">
        <v>72116144923584</v>
      </c>
      <c r="F9" s="5">
        <v>30714112836</v>
      </c>
      <c r="G9" s="4" t="s">
        <v>52</v>
      </c>
      <c r="H9" s="5">
        <v>1</v>
      </c>
      <c r="I9" s="4" t="s">
        <v>12</v>
      </c>
      <c r="J9" s="6">
        <v>1290.9100000000001</v>
      </c>
      <c r="K9" s="6">
        <v>0</v>
      </c>
      <c r="L9" s="6">
        <v>0</v>
      </c>
      <c r="M9" s="6">
        <v>271.08999999999997</v>
      </c>
      <c r="N9" s="6">
        <v>1600.73</v>
      </c>
    </row>
    <row r="10" spans="1:15">
      <c r="A10" s="4" t="s">
        <v>22</v>
      </c>
      <c r="B10" s="4" t="s">
        <v>9</v>
      </c>
      <c r="C10" s="5">
        <v>711</v>
      </c>
      <c r="D10" s="5">
        <v>2678694</v>
      </c>
      <c r="E10" s="5">
        <v>32089955950206</v>
      </c>
      <c r="F10" s="5">
        <v>30677237119</v>
      </c>
      <c r="G10" s="4" t="s">
        <v>25</v>
      </c>
      <c r="H10" s="5">
        <v>1</v>
      </c>
      <c r="I10" s="4" t="s">
        <v>12</v>
      </c>
      <c r="J10" s="6">
        <v>878.94</v>
      </c>
      <c r="K10" s="6">
        <v>0</v>
      </c>
      <c r="L10" s="6">
        <v>0</v>
      </c>
      <c r="M10" s="6">
        <v>184.56</v>
      </c>
      <c r="N10" s="6">
        <v>1063.5</v>
      </c>
    </row>
    <row r="11" spans="1:15">
      <c r="A11" s="4" t="s">
        <v>73</v>
      </c>
      <c r="B11" s="4" t="s">
        <v>9</v>
      </c>
      <c r="C11" s="5">
        <v>711</v>
      </c>
      <c r="D11" s="5">
        <v>2731236</v>
      </c>
      <c r="E11" s="5">
        <v>32109278851758</v>
      </c>
      <c r="F11" s="5">
        <v>30677237119</v>
      </c>
      <c r="G11" s="4" t="s">
        <v>25</v>
      </c>
      <c r="H11" s="5">
        <v>1</v>
      </c>
      <c r="I11" s="4" t="s">
        <v>12</v>
      </c>
      <c r="J11" s="6">
        <v>1914.86</v>
      </c>
      <c r="K11" s="6">
        <v>0</v>
      </c>
      <c r="L11" s="6">
        <v>0</v>
      </c>
      <c r="M11" s="6">
        <v>402.14</v>
      </c>
      <c r="N11" s="6">
        <v>2317</v>
      </c>
    </row>
    <row r="12" spans="1:15">
      <c r="A12" s="4" t="s">
        <v>8</v>
      </c>
      <c r="B12" s="4" t="s">
        <v>9</v>
      </c>
      <c r="C12" s="5">
        <v>5014</v>
      </c>
      <c r="D12" s="5">
        <v>201910</v>
      </c>
      <c r="E12" s="5">
        <v>72094046829600</v>
      </c>
      <c r="F12" s="5">
        <v>30574876474</v>
      </c>
      <c r="G12" s="4" t="s">
        <v>13</v>
      </c>
      <c r="H12" s="5">
        <v>1</v>
      </c>
      <c r="I12" s="4" t="s">
        <v>12</v>
      </c>
      <c r="J12" s="6">
        <v>6400.89</v>
      </c>
      <c r="K12" s="6">
        <v>0</v>
      </c>
      <c r="L12" s="6">
        <v>0</v>
      </c>
      <c r="M12" s="6">
        <v>1344.11</v>
      </c>
      <c r="N12" s="6">
        <v>8576.52</v>
      </c>
    </row>
    <row r="13" spans="1:15">
      <c r="A13" s="4" t="s">
        <v>68</v>
      </c>
      <c r="B13" s="4" t="s">
        <v>9</v>
      </c>
      <c r="C13" s="5">
        <v>5014</v>
      </c>
      <c r="D13" s="5">
        <v>211394</v>
      </c>
      <c r="E13" s="5">
        <v>72114213250070</v>
      </c>
      <c r="F13" s="5">
        <v>30574876474</v>
      </c>
      <c r="G13" s="4" t="s">
        <v>13</v>
      </c>
      <c r="H13" s="5">
        <v>1</v>
      </c>
      <c r="I13" s="4" t="s">
        <v>12</v>
      </c>
      <c r="J13" s="6">
        <v>8865.93</v>
      </c>
      <c r="K13" s="6">
        <v>0</v>
      </c>
      <c r="L13" s="6">
        <v>0</v>
      </c>
      <c r="M13" s="6">
        <v>1861.77</v>
      </c>
      <c r="N13" s="6">
        <v>11879.18</v>
      </c>
    </row>
    <row r="14" spans="1:15">
      <c r="A14" s="4" t="s">
        <v>97</v>
      </c>
      <c r="B14" s="4" t="s">
        <v>57</v>
      </c>
      <c r="C14" s="5">
        <v>1</v>
      </c>
      <c r="D14" s="5">
        <v>72</v>
      </c>
      <c r="E14" s="5">
        <v>72135997330381</v>
      </c>
      <c r="F14" s="5">
        <v>20957969195</v>
      </c>
      <c r="G14" s="4" t="s">
        <v>98</v>
      </c>
      <c r="H14" s="5">
        <v>1</v>
      </c>
      <c r="I14" s="4" t="s">
        <v>12</v>
      </c>
      <c r="J14" s="6"/>
      <c r="K14" s="6"/>
      <c r="L14" s="6"/>
      <c r="M14" s="6"/>
      <c r="N14" s="6">
        <v>140835</v>
      </c>
    </row>
    <row r="15" spans="1:15">
      <c r="A15" s="4" t="s">
        <v>73</v>
      </c>
      <c r="B15" s="4" t="s">
        <v>9</v>
      </c>
      <c r="C15" s="5">
        <v>2</v>
      </c>
      <c r="D15" s="5">
        <v>152</v>
      </c>
      <c r="E15" s="5">
        <v>72113283155392</v>
      </c>
      <c r="F15" s="5">
        <v>27309896063</v>
      </c>
      <c r="G15" s="4" t="s">
        <v>74</v>
      </c>
      <c r="H15" s="5">
        <v>1</v>
      </c>
      <c r="I15" s="4" t="s">
        <v>12</v>
      </c>
      <c r="J15" s="6">
        <v>18000</v>
      </c>
      <c r="K15" s="6">
        <v>0</v>
      </c>
      <c r="L15" s="6">
        <v>0</v>
      </c>
      <c r="M15" s="6">
        <v>3780</v>
      </c>
      <c r="N15" s="6">
        <v>21780</v>
      </c>
    </row>
    <row r="16" spans="1:15">
      <c r="A16" s="4" t="s">
        <v>37</v>
      </c>
      <c r="B16" s="4" t="s">
        <v>9</v>
      </c>
      <c r="C16" s="5">
        <v>10</v>
      </c>
      <c r="D16" s="5">
        <v>48190</v>
      </c>
      <c r="E16" s="5">
        <v>72100633756988</v>
      </c>
      <c r="F16" s="5">
        <v>30711069360</v>
      </c>
      <c r="G16" s="8" t="s">
        <v>42</v>
      </c>
      <c r="H16" s="9">
        <v>1</v>
      </c>
      <c r="I16" s="8" t="s">
        <v>12</v>
      </c>
      <c r="J16" s="10">
        <v>243339.37</v>
      </c>
      <c r="K16" s="10">
        <v>0</v>
      </c>
      <c r="L16" s="10">
        <v>0</v>
      </c>
      <c r="M16" s="10">
        <v>25550.63</v>
      </c>
      <c r="N16" s="10">
        <v>283490.36</v>
      </c>
      <c r="O16" s="7">
        <f>SUM(J16:J17)</f>
        <v>312516.87</v>
      </c>
    </row>
    <row r="17" spans="1:15">
      <c r="A17" s="4" t="s">
        <v>64</v>
      </c>
      <c r="B17" s="4" t="s">
        <v>9</v>
      </c>
      <c r="C17" s="5">
        <v>3</v>
      </c>
      <c r="D17" s="5">
        <v>2649</v>
      </c>
      <c r="E17" s="5">
        <v>72118152776684</v>
      </c>
      <c r="F17" s="5">
        <v>30682116028</v>
      </c>
      <c r="G17" s="8" t="s">
        <v>66</v>
      </c>
      <c r="H17" s="9">
        <v>1</v>
      </c>
      <c r="I17" s="8" t="s">
        <v>12</v>
      </c>
      <c r="J17" s="10">
        <v>69177.5</v>
      </c>
      <c r="K17" s="10">
        <v>0</v>
      </c>
      <c r="L17" s="10">
        <v>215276.3</v>
      </c>
      <c r="M17" s="10">
        <v>14527.27</v>
      </c>
      <c r="N17" s="10">
        <v>298981.07</v>
      </c>
    </row>
    <row r="18" spans="1:15">
      <c r="A18" s="4" t="s">
        <v>68</v>
      </c>
      <c r="B18" s="4" t="s">
        <v>9</v>
      </c>
      <c r="C18" s="5">
        <v>6130</v>
      </c>
      <c r="D18" s="5">
        <v>1328</v>
      </c>
      <c r="E18" s="5">
        <v>32109433990021</v>
      </c>
      <c r="F18" s="5">
        <v>33707675069</v>
      </c>
      <c r="G18" s="4" t="s">
        <v>71</v>
      </c>
      <c r="H18" s="5">
        <v>1</v>
      </c>
      <c r="I18" s="4" t="s">
        <v>12</v>
      </c>
      <c r="J18" s="6">
        <v>942.57</v>
      </c>
      <c r="K18" s="6">
        <v>0</v>
      </c>
      <c r="L18" s="6">
        <v>0</v>
      </c>
      <c r="M18" s="6">
        <v>197.94</v>
      </c>
      <c r="N18" s="6">
        <v>1140.51</v>
      </c>
    </row>
    <row r="19" spans="1:15">
      <c r="A19" s="4" t="s">
        <v>92</v>
      </c>
      <c r="B19" s="4" t="s">
        <v>9</v>
      </c>
      <c r="C19" s="5">
        <v>8257</v>
      </c>
      <c r="D19" s="5">
        <v>3565</v>
      </c>
      <c r="E19" s="5">
        <v>72123788633253</v>
      </c>
      <c r="F19" s="5">
        <v>30590360763</v>
      </c>
      <c r="G19" s="4" t="s">
        <v>93</v>
      </c>
      <c r="H19" s="5">
        <v>1</v>
      </c>
      <c r="I19" s="4" t="s">
        <v>12</v>
      </c>
      <c r="J19" s="6">
        <v>491.74</v>
      </c>
      <c r="K19" s="6">
        <v>0</v>
      </c>
      <c r="L19" s="6">
        <v>0</v>
      </c>
      <c r="M19" s="6">
        <v>103.26</v>
      </c>
      <c r="N19" s="6">
        <v>595</v>
      </c>
    </row>
    <row r="20" spans="1:15">
      <c r="A20" s="4" t="s">
        <v>81</v>
      </c>
      <c r="B20" s="4" t="s">
        <v>9</v>
      </c>
      <c r="C20" s="5">
        <v>3</v>
      </c>
      <c r="D20" s="5">
        <v>285</v>
      </c>
      <c r="E20" s="5">
        <v>72123564569665</v>
      </c>
      <c r="F20" s="5">
        <v>20183792483</v>
      </c>
      <c r="G20" s="4" t="s">
        <v>82</v>
      </c>
      <c r="H20" s="5">
        <v>1</v>
      </c>
      <c r="I20" s="4" t="s">
        <v>12</v>
      </c>
      <c r="J20" s="6">
        <v>1076.92</v>
      </c>
      <c r="K20" s="6">
        <v>0</v>
      </c>
      <c r="L20" s="6">
        <v>0</v>
      </c>
      <c r="M20" s="6">
        <v>113.08</v>
      </c>
      <c r="N20" s="6">
        <v>1190</v>
      </c>
    </row>
    <row r="21" spans="1:15">
      <c r="A21" s="4" t="s">
        <v>8</v>
      </c>
      <c r="B21" s="4" t="s">
        <v>9</v>
      </c>
      <c r="C21" s="5">
        <v>1</v>
      </c>
      <c r="D21" s="5">
        <v>224</v>
      </c>
      <c r="E21" s="5">
        <v>72094998356183</v>
      </c>
      <c r="F21" s="5">
        <v>20131206144</v>
      </c>
      <c r="G21" s="4" t="s">
        <v>11</v>
      </c>
      <c r="H21" s="5">
        <v>1</v>
      </c>
      <c r="I21" s="4" t="s">
        <v>12</v>
      </c>
      <c r="J21" s="6">
        <v>18000</v>
      </c>
      <c r="K21" s="6">
        <v>0</v>
      </c>
      <c r="L21" s="6">
        <v>0</v>
      </c>
      <c r="M21" s="6">
        <v>3780</v>
      </c>
      <c r="N21" s="6">
        <v>21780</v>
      </c>
    </row>
    <row r="22" spans="1:15">
      <c r="A22" s="4" t="s">
        <v>68</v>
      </c>
      <c r="B22" s="4" t="s">
        <v>9</v>
      </c>
      <c r="C22" s="5">
        <v>6</v>
      </c>
      <c r="D22" s="5">
        <v>1971</v>
      </c>
      <c r="E22" s="5">
        <v>72118191322233</v>
      </c>
      <c r="F22" s="5">
        <v>30574603788</v>
      </c>
      <c r="G22" s="8" t="s">
        <v>70</v>
      </c>
      <c r="H22" s="9">
        <v>1</v>
      </c>
      <c r="I22" s="8" t="s">
        <v>12</v>
      </c>
      <c r="J22" s="10">
        <v>65954</v>
      </c>
      <c r="K22" s="10">
        <v>0</v>
      </c>
      <c r="L22" s="10">
        <v>0</v>
      </c>
      <c r="M22" s="10">
        <v>13850.34</v>
      </c>
      <c r="N22" s="10">
        <v>79804.34</v>
      </c>
      <c r="O22" s="7">
        <f>SUM(J22:J23)</f>
        <v>139922</v>
      </c>
    </row>
    <row r="23" spans="1:15">
      <c r="A23" s="4" t="s">
        <v>87</v>
      </c>
      <c r="B23" s="4" t="s">
        <v>9</v>
      </c>
      <c r="C23" s="5">
        <v>6</v>
      </c>
      <c r="D23" s="5">
        <v>1979</v>
      </c>
      <c r="E23" s="5">
        <v>72128664499103</v>
      </c>
      <c r="F23" s="5">
        <v>30574603788</v>
      </c>
      <c r="G23" s="8" t="s">
        <v>70</v>
      </c>
      <c r="H23" s="9">
        <v>1</v>
      </c>
      <c r="I23" s="8" t="s">
        <v>12</v>
      </c>
      <c r="J23" s="10">
        <v>73968</v>
      </c>
      <c r="K23" s="10">
        <v>0</v>
      </c>
      <c r="L23" s="10">
        <v>0</v>
      </c>
      <c r="M23" s="10">
        <v>15533.28</v>
      </c>
      <c r="N23" s="10">
        <v>89501.28</v>
      </c>
    </row>
    <row r="24" spans="1:15">
      <c r="A24" s="4" t="s">
        <v>79</v>
      </c>
      <c r="B24" s="4" t="s">
        <v>9</v>
      </c>
      <c r="C24" s="5">
        <v>113</v>
      </c>
      <c r="D24" s="5">
        <v>2724238</v>
      </c>
      <c r="E24" s="5">
        <v>72130985031761</v>
      </c>
      <c r="F24" s="5">
        <v>30577207190</v>
      </c>
      <c r="G24" s="4" t="s">
        <v>80</v>
      </c>
      <c r="H24" s="5">
        <v>1</v>
      </c>
      <c r="I24" s="4" t="s">
        <v>12</v>
      </c>
      <c r="J24" s="6">
        <v>588.42999999999995</v>
      </c>
      <c r="K24" s="6">
        <v>0</v>
      </c>
      <c r="L24" s="6">
        <v>0</v>
      </c>
      <c r="M24" s="6">
        <v>123.57</v>
      </c>
      <c r="N24" s="6">
        <v>712</v>
      </c>
    </row>
    <row r="25" spans="1:15">
      <c r="A25" s="4" t="s">
        <v>87</v>
      </c>
      <c r="B25" s="4" t="s">
        <v>9</v>
      </c>
      <c r="C25" s="5">
        <v>700</v>
      </c>
      <c r="D25" s="5">
        <v>414251</v>
      </c>
      <c r="E25" s="5">
        <v>72122664518518</v>
      </c>
      <c r="F25" s="5">
        <v>30715804812</v>
      </c>
      <c r="G25" s="4" t="s">
        <v>88</v>
      </c>
      <c r="H25" s="5">
        <v>1</v>
      </c>
      <c r="I25" s="4" t="s">
        <v>12</v>
      </c>
      <c r="J25" s="6">
        <v>1487.6</v>
      </c>
      <c r="K25" s="6">
        <v>0</v>
      </c>
      <c r="L25" s="6">
        <v>0</v>
      </c>
      <c r="M25" s="6">
        <v>312.39999999999998</v>
      </c>
      <c r="N25" s="6">
        <v>1800</v>
      </c>
    </row>
    <row r="26" spans="1:15">
      <c r="A26" s="4" t="s">
        <v>8</v>
      </c>
      <c r="B26" s="4" t="s">
        <v>9</v>
      </c>
      <c r="C26" s="5">
        <v>3034</v>
      </c>
      <c r="D26" s="5">
        <v>1400829</v>
      </c>
      <c r="E26" s="5">
        <v>72096052745979</v>
      </c>
      <c r="F26" s="5">
        <v>30708574836</v>
      </c>
      <c r="G26" s="4" t="s">
        <v>15</v>
      </c>
      <c r="H26" s="5">
        <v>1</v>
      </c>
      <c r="I26" s="4" t="s">
        <v>12</v>
      </c>
      <c r="J26" s="6">
        <v>402.47</v>
      </c>
      <c r="K26" s="6">
        <v>0</v>
      </c>
      <c r="L26" s="6">
        <v>0</v>
      </c>
      <c r="M26" s="6">
        <v>84.52</v>
      </c>
      <c r="N26" s="6">
        <v>486.99</v>
      </c>
    </row>
    <row r="27" spans="1:15">
      <c r="A27" s="4" t="s">
        <v>22</v>
      </c>
      <c r="B27" s="4" t="s">
        <v>9</v>
      </c>
      <c r="C27" s="5">
        <v>3034</v>
      </c>
      <c r="D27" s="5">
        <v>1409305</v>
      </c>
      <c r="E27" s="5">
        <v>72096203174437</v>
      </c>
      <c r="F27" s="5">
        <v>30708574836</v>
      </c>
      <c r="G27" s="4" t="s">
        <v>15</v>
      </c>
      <c r="H27" s="5">
        <v>1</v>
      </c>
      <c r="I27" s="4" t="s">
        <v>12</v>
      </c>
      <c r="J27" s="6">
        <v>378.95</v>
      </c>
      <c r="K27" s="6">
        <v>0</v>
      </c>
      <c r="L27" s="6">
        <v>0</v>
      </c>
      <c r="M27" s="6">
        <v>79.58</v>
      </c>
      <c r="N27" s="6">
        <v>458.53</v>
      </c>
    </row>
    <row r="28" spans="1:15">
      <c r="A28" s="4" t="s">
        <v>8</v>
      </c>
      <c r="B28" s="4" t="s">
        <v>9</v>
      </c>
      <c r="C28" s="5">
        <v>2188</v>
      </c>
      <c r="D28" s="5">
        <v>60492</v>
      </c>
      <c r="E28" s="5">
        <v>72096030136541</v>
      </c>
      <c r="F28" s="5">
        <v>30548083156</v>
      </c>
      <c r="G28" s="4" t="s">
        <v>16</v>
      </c>
      <c r="H28" s="5">
        <v>1</v>
      </c>
      <c r="I28" s="4" t="s">
        <v>12</v>
      </c>
      <c r="J28" s="6">
        <v>3944.83</v>
      </c>
      <c r="K28" s="6">
        <v>0</v>
      </c>
      <c r="L28" s="6">
        <v>182.33</v>
      </c>
      <c r="M28" s="6">
        <v>797.73</v>
      </c>
      <c r="N28" s="6">
        <v>5275.99</v>
      </c>
    </row>
    <row r="29" spans="1:15">
      <c r="A29" s="4" t="s">
        <v>27</v>
      </c>
      <c r="B29" s="4" t="s">
        <v>9</v>
      </c>
      <c r="C29" s="5">
        <v>2199</v>
      </c>
      <c r="D29" s="5">
        <v>14838</v>
      </c>
      <c r="E29" s="5">
        <v>72106366170778</v>
      </c>
      <c r="F29" s="5">
        <v>30548083156</v>
      </c>
      <c r="G29" s="4" t="s">
        <v>16</v>
      </c>
      <c r="H29" s="5">
        <v>1</v>
      </c>
      <c r="I29" s="4" t="s">
        <v>12</v>
      </c>
      <c r="J29" s="6">
        <v>8194.2800000000007</v>
      </c>
      <c r="K29" s="6">
        <v>0</v>
      </c>
      <c r="L29" s="6">
        <v>0</v>
      </c>
      <c r="M29" s="6">
        <v>1696.23</v>
      </c>
      <c r="N29" s="6">
        <v>10129.32</v>
      </c>
    </row>
    <row r="30" spans="1:15">
      <c r="A30" s="4" t="s">
        <v>51</v>
      </c>
      <c r="B30" s="4" t="s">
        <v>9</v>
      </c>
      <c r="C30" s="5">
        <v>2199</v>
      </c>
      <c r="D30" s="5">
        <v>14940</v>
      </c>
      <c r="E30" s="5">
        <v>72116851583830</v>
      </c>
      <c r="F30" s="5">
        <v>30548083156</v>
      </c>
      <c r="G30" s="4" t="s">
        <v>16</v>
      </c>
      <c r="H30" s="5">
        <v>1</v>
      </c>
      <c r="I30" s="4" t="s">
        <v>12</v>
      </c>
      <c r="J30" s="6">
        <v>8142.16</v>
      </c>
      <c r="K30" s="6">
        <v>0</v>
      </c>
      <c r="L30" s="6">
        <v>0</v>
      </c>
      <c r="M30" s="6">
        <v>1524.36</v>
      </c>
      <c r="N30" s="6">
        <v>9857.7900000000009</v>
      </c>
    </row>
    <row r="31" spans="1:15">
      <c r="A31" s="4" t="s">
        <v>53</v>
      </c>
      <c r="B31" s="4" t="s">
        <v>9</v>
      </c>
      <c r="C31" s="5">
        <v>2188</v>
      </c>
      <c r="D31" s="5">
        <v>61277</v>
      </c>
      <c r="E31" s="5">
        <v>72116977391963</v>
      </c>
      <c r="F31" s="5">
        <v>30548083156</v>
      </c>
      <c r="G31" s="4" t="s">
        <v>16</v>
      </c>
      <c r="H31" s="5">
        <v>1</v>
      </c>
      <c r="I31" s="4" t="s">
        <v>12</v>
      </c>
      <c r="J31" s="6">
        <v>3074.24</v>
      </c>
      <c r="K31" s="6">
        <v>0</v>
      </c>
      <c r="L31" s="6">
        <v>0</v>
      </c>
      <c r="M31" s="6">
        <v>530.95000000000005</v>
      </c>
      <c r="N31" s="6">
        <v>3809.4</v>
      </c>
    </row>
    <row r="32" spans="1:15">
      <c r="A32" s="4" t="s">
        <v>78</v>
      </c>
      <c r="B32" s="4" t="s">
        <v>9</v>
      </c>
      <c r="C32" s="5">
        <v>2199</v>
      </c>
      <c r="D32" s="5">
        <v>15077</v>
      </c>
      <c r="E32" s="5">
        <v>72126424394725</v>
      </c>
      <c r="F32" s="5">
        <v>30548083156</v>
      </c>
      <c r="G32" s="4" t="s">
        <v>16</v>
      </c>
      <c r="H32" s="5">
        <v>1</v>
      </c>
      <c r="I32" s="4" t="s">
        <v>12</v>
      </c>
      <c r="J32" s="6">
        <v>7673.79</v>
      </c>
      <c r="K32" s="6">
        <v>0</v>
      </c>
      <c r="L32" s="6">
        <v>0</v>
      </c>
      <c r="M32" s="6">
        <v>1385.73</v>
      </c>
      <c r="N32" s="6">
        <v>9229.2199999999993</v>
      </c>
    </row>
    <row r="33" spans="1:15">
      <c r="A33" s="4" t="s">
        <v>81</v>
      </c>
      <c r="B33" s="4" t="s">
        <v>9</v>
      </c>
      <c r="C33" s="5">
        <v>2188</v>
      </c>
      <c r="D33" s="5">
        <v>61810</v>
      </c>
      <c r="E33" s="5">
        <v>72126594759903</v>
      </c>
      <c r="F33" s="5">
        <v>30548083156</v>
      </c>
      <c r="G33" s="4" t="s">
        <v>16</v>
      </c>
      <c r="H33" s="5">
        <v>1</v>
      </c>
      <c r="I33" s="4" t="s">
        <v>12</v>
      </c>
      <c r="J33" s="6">
        <v>2446.37</v>
      </c>
      <c r="K33" s="6">
        <v>0</v>
      </c>
      <c r="L33" s="6">
        <v>527.98</v>
      </c>
      <c r="M33" s="6">
        <v>472.17</v>
      </c>
      <c r="N33" s="6">
        <v>3696.67</v>
      </c>
    </row>
    <row r="34" spans="1:15">
      <c r="A34" s="4" t="s">
        <v>106</v>
      </c>
      <c r="B34" s="4" t="s">
        <v>9</v>
      </c>
      <c r="C34" s="5">
        <v>2188</v>
      </c>
      <c r="D34" s="5">
        <v>62352</v>
      </c>
      <c r="E34" s="5">
        <v>72136291911552</v>
      </c>
      <c r="F34" s="5">
        <v>30548083156</v>
      </c>
      <c r="G34" s="4" t="s">
        <v>16</v>
      </c>
      <c r="H34" s="5">
        <v>1</v>
      </c>
      <c r="I34" s="4" t="s">
        <v>12</v>
      </c>
      <c r="J34" s="6">
        <v>5952.99</v>
      </c>
      <c r="K34" s="6">
        <v>0</v>
      </c>
      <c r="L34" s="6">
        <v>0</v>
      </c>
      <c r="M34" s="6">
        <v>1126.42</v>
      </c>
      <c r="N34" s="6">
        <v>7580.77</v>
      </c>
    </row>
    <row r="35" spans="1:15">
      <c r="A35" s="4" t="s">
        <v>102</v>
      </c>
      <c r="B35" s="4" t="s">
        <v>9</v>
      </c>
      <c r="C35" s="5">
        <v>5</v>
      </c>
      <c r="D35" s="5">
        <v>2750</v>
      </c>
      <c r="E35" s="5">
        <v>72135236721977</v>
      </c>
      <c r="F35" s="5">
        <v>20299470645</v>
      </c>
      <c r="G35" s="4" t="s">
        <v>103</v>
      </c>
      <c r="H35" s="5">
        <v>1</v>
      </c>
      <c r="I35" s="4" t="s">
        <v>12</v>
      </c>
      <c r="J35" s="6">
        <v>17504.13</v>
      </c>
      <c r="K35" s="6">
        <v>0</v>
      </c>
      <c r="L35" s="6">
        <v>0</v>
      </c>
      <c r="M35" s="6">
        <v>3675.87</v>
      </c>
      <c r="N35" s="6">
        <v>21180</v>
      </c>
    </row>
    <row r="36" spans="1:15">
      <c r="A36" s="4" t="s">
        <v>32</v>
      </c>
      <c r="B36" s="4" t="s">
        <v>9</v>
      </c>
      <c r="C36" s="5">
        <v>16</v>
      </c>
      <c r="D36" s="5">
        <v>60548</v>
      </c>
      <c r="E36" s="5">
        <v>72107479588390</v>
      </c>
      <c r="F36" s="5">
        <v>30711050767</v>
      </c>
      <c r="G36" s="4" t="s">
        <v>33</v>
      </c>
      <c r="H36" s="5">
        <v>1</v>
      </c>
      <c r="I36" s="4" t="s">
        <v>12</v>
      </c>
      <c r="J36" s="6">
        <v>5561.09</v>
      </c>
      <c r="K36" s="6">
        <v>0</v>
      </c>
      <c r="L36" s="6">
        <v>0</v>
      </c>
      <c r="M36" s="6">
        <v>583.91</v>
      </c>
      <c r="N36" s="6">
        <v>6145</v>
      </c>
    </row>
    <row r="37" spans="1:15">
      <c r="A37" s="4" t="s">
        <v>48</v>
      </c>
      <c r="B37" s="4" t="s">
        <v>9</v>
      </c>
      <c r="C37" s="5">
        <v>3</v>
      </c>
      <c r="D37" s="5">
        <v>2990</v>
      </c>
      <c r="E37" s="5">
        <v>72107753282064</v>
      </c>
      <c r="F37" s="5">
        <v>30714618977</v>
      </c>
      <c r="G37" s="8" t="s">
        <v>50</v>
      </c>
      <c r="H37" s="9">
        <v>1</v>
      </c>
      <c r="I37" s="8" t="s">
        <v>12</v>
      </c>
      <c r="J37" s="10">
        <v>24000</v>
      </c>
      <c r="K37" s="10">
        <v>0</v>
      </c>
      <c r="L37" s="10">
        <v>0</v>
      </c>
      <c r="M37" s="10">
        <v>5040</v>
      </c>
      <c r="N37" s="10">
        <v>29040</v>
      </c>
    </row>
    <row r="38" spans="1:15">
      <c r="A38" s="4" t="s">
        <v>97</v>
      </c>
      <c r="B38" s="4" t="s">
        <v>9</v>
      </c>
      <c r="C38" s="5">
        <v>3</v>
      </c>
      <c r="D38" s="5">
        <v>3006</v>
      </c>
      <c r="E38" s="5">
        <v>72137013948856</v>
      </c>
      <c r="F38" s="5">
        <v>30714618977</v>
      </c>
      <c r="G38" s="8" t="s">
        <v>50</v>
      </c>
      <c r="H38" s="9">
        <v>1</v>
      </c>
      <c r="I38" s="8" t="s">
        <v>12</v>
      </c>
      <c r="J38" s="10">
        <v>400000</v>
      </c>
      <c r="K38" s="10">
        <v>0</v>
      </c>
      <c r="L38" s="10">
        <v>0</v>
      </c>
      <c r="M38" s="10">
        <v>84000</v>
      </c>
      <c r="N38" s="10">
        <v>484000</v>
      </c>
    </row>
    <row r="39" spans="1:15">
      <c r="A39" s="4" t="s">
        <v>99</v>
      </c>
      <c r="B39" s="4" t="s">
        <v>9</v>
      </c>
      <c r="C39" s="5">
        <v>3</v>
      </c>
      <c r="D39" s="5">
        <v>3008</v>
      </c>
      <c r="E39" s="5">
        <v>72137122478918</v>
      </c>
      <c r="F39" s="5">
        <v>30714618977</v>
      </c>
      <c r="G39" s="8" t="s">
        <v>50</v>
      </c>
      <c r="H39" s="9">
        <v>1</v>
      </c>
      <c r="I39" s="8" t="s">
        <v>12</v>
      </c>
      <c r="J39" s="10">
        <v>85000</v>
      </c>
      <c r="K39" s="10">
        <v>0</v>
      </c>
      <c r="L39" s="10">
        <v>0</v>
      </c>
      <c r="M39" s="10">
        <v>17850</v>
      </c>
      <c r="N39" s="10">
        <v>102850</v>
      </c>
      <c r="O39" s="7">
        <f>SUM(J37:J43)</f>
        <v>710431.07000000007</v>
      </c>
    </row>
    <row r="40" spans="1:15">
      <c r="A40" s="4" t="s">
        <v>68</v>
      </c>
      <c r="B40" s="4" t="s">
        <v>9</v>
      </c>
      <c r="C40" s="5">
        <v>12</v>
      </c>
      <c r="D40" s="5">
        <v>23901</v>
      </c>
      <c r="E40" s="5">
        <v>72110182627590</v>
      </c>
      <c r="F40" s="5">
        <v>30708247770</v>
      </c>
      <c r="G40" s="8" t="s">
        <v>72</v>
      </c>
      <c r="H40" s="9">
        <v>1</v>
      </c>
      <c r="I40" s="8" t="s">
        <v>12</v>
      </c>
      <c r="J40" s="10">
        <v>14271.07</v>
      </c>
      <c r="K40" s="10">
        <v>0</v>
      </c>
      <c r="L40" s="10">
        <v>0</v>
      </c>
      <c r="M40" s="10">
        <v>2996.93</v>
      </c>
      <c r="N40" s="10">
        <v>18124.259999999998</v>
      </c>
    </row>
    <row r="41" spans="1:15">
      <c r="A41" s="4" t="s">
        <v>29</v>
      </c>
      <c r="B41" s="4" t="s">
        <v>9</v>
      </c>
      <c r="C41" s="5">
        <v>5</v>
      </c>
      <c r="D41" s="5">
        <v>18021</v>
      </c>
      <c r="E41" s="5">
        <v>72107443218698</v>
      </c>
      <c r="F41" s="5">
        <v>30616146447</v>
      </c>
      <c r="G41" s="8" t="s">
        <v>31</v>
      </c>
      <c r="H41" s="9">
        <v>1</v>
      </c>
      <c r="I41" s="8" t="s">
        <v>12</v>
      </c>
      <c r="J41" s="10">
        <v>32000</v>
      </c>
      <c r="K41" s="10">
        <v>0</v>
      </c>
      <c r="L41" s="10">
        <v>0</v>
      </c>
      <c r="M41" s="10">
        <v>6720</v>
      </c>
      <c r="N41" s="10">
        <v>38720</v>
      </c>
    </row>
    <row r="42" spans="1:15">
      <c r="A42" s="4" t="s">
        <v>60</v>
      </c>
      <c r="B42" s="4" t="s">
        <v>9</v>
      </c>
      <c r="C42" s="5">
        <v>5</v>
      </c>
      <c r="D42" s="5">
        <v>18085</v>
      </c>
      <c r="E42" s="5">
        <v>72117051743951</v>
      </c>
      <c r="F42" s="5">
        <v>30616146447</v>
      </c>
      <c r="G42" s="8" t="s">
        <v>31</v>
      </c>
      <c r="H42" s="9">
        <v>1</v>
      </c>
      <c r="I42" s="8" t="s">
        <v>12</v>
      </c>
      <c r="J42" s="10">
        <v>42360</v>
      </c>
      <c r="K42" s="10">
        <v>0</v>
      </c>
      <c r="L42" s="10">
        <v>0</v>
      </c>
      <c r="M42" s="10">
        <v>8895.6</v>
      </c>
      <c r="N42" s="10">
        <v>51255.6</v>
      </c>
    </row>
    <row r="43" spans="1:15">
      <c r="A43" s="4" t="s">
        <v>87</v>
      </c>
      <c r="B43" s="4" t="s">
        <v>9</v>
      </c>
      <c r="C43" s="5">
        <v>5</v>
      </c>
      <c r="D43" s="5">
        <v>18143</v>
      </c>
      <c r="E43" s="5">
        <v>72127665596906</v>
      </c>
      <c r="F43" s="5">
        <v>30616146447</v>
      </c>
      <c r="G43" s="8" t="s">
        <v>31</v>
      </c>
      <c r="H43" s="9">
        <v>1</v>
      </c>
      <c r="I43" s="8" t="s">
        <v>12</v>
      </c>
      <c r="J43" s="10">
        <v>112800</v>
      </c>
      <c r="K43" s="10">
        <v>0</v>
      </c>
      <c r="L43" s="10">
        <v>0</v>
      </c>
      <c r="M43" s="10">
        <v>23688</v>
      </c>
      <c r="N43" s="10">
        <v>136488</v>
      </c>
    </row>
    <row r="44" spans="1:15">
      <c r="A44" s="4" t="s">
        <v>53</v>
      </c>
      <c r="B44" s="4" t="s">
        <v>9</v>
      </c>
      <c r="C44" s="5">
        <v>2</v>
      </c>
      <c r="D44" s="5">
        <v>7281</v>
      </c>
      <c r="E44" s="5">
        <v>72113966082978</v>
      </c>
      <c r="F44" s="5">
        <v>30714284963</v>
      </c>
      <c r="G44" s="4" t="s">
        <v>55</v>
      </c>
      <c r="H44" s="5">
        <v>1</v>
      </c>
      <c r="I44" s="4" t="s">
        <v>12</v>
      </c>
      <c r="J44" s="6">
        <v>700</v>
      </c>
      <c r="K44" s="6">
        <v>0</v>
      </c>
      <c r="L44" s="6">
        <v>0</v>
      </c>
      <c r="M44" s="6">
        <v>147</v>
      </c>
      <c r="N44" s="6">
        <v>847</v>
      </c>
    </row>
    <row r="45" spans="1:15">
      <c r="A45" s="4" t="s">
        <v>53</v>
      </c>
      <c r="B45" s="4" t="s">
        <v>9</v>
      </c>
      <c r="C45" s="5">
        <v>2</v>
      </c>
      <c r="D45" s="5">
        <v>7279</v>
      </c>
      <c r="E45" s="5">
        <v>72113963660974</v>
      </c>
      <c r="F45" s="5">
        <v>30714284963</v>
      </c>
      <c r="G45" s="4" t="s">
        <v>55</v>
      </c>
      <c r="H45" s="5">
        <v>1</v>
      </c>
      <c r="I45" s="4" t="s">
        <v>12</v>
      </c>
      <c r="J45" s="6">
        <v>22370</v>
      </c>
      <c r="K45" s="6">
        <v>0</v>
      </c>
      <c r="L45" s="6">
        <v>0</v>
      </c>
      <c r="M45" s="6">
        <v>4697.7</v>
      </c>
      <c r="N45" s="6">
        <v>27067.7</v>
      </c>
    </row>
    <row r="46" spans="1:15">
      <c r="A46" s="4" t="s">
        <v>81</v>
      </c>
      <c r="B46" s="4" t="s">
        <v>9</v>
      </c>
      <c r="C46" s="5">
        <v>10</v>
      </c>
      <c r="D46" s="5">
        <v>3309</v>
      </c>
      <c r="E46" s="5">
        <v>72124554623146</v>
      </c>
      <c r="F46" s="5">
        <v>20217646414</v>
      </c>
      <c r="G46" s="8" t="s">
        <v>83</v>
      </c>
      <c r="H46" s="9">
        <v>1</v>
      </c>
      <c r="I46" s="8" t="s">
        <v>12</v>
      </c>
      <c r="J46" s="10">
        <v>127520.66</v>
      </c>
      <c r="K46" s="10">
        <v>0</v>
      </c>
      <c r="L46" s="10">
        <v>0</v>
      </c>
      <c r="M46" s="10">
        <v>26779.34</v>
      </c>
      <c r="N46" s="10">
        <v>154300</v>
      </c>
      <c r="O46" s="7">
        <f>SUM(J46)</f>
        <v>127520.66</v>
      </c>
    </row>
    <row r="47" spans="1:15">
      <c r="A47" s="4" t="s">
        <v>60</v>
      </c>
      <c r="B47" s="4" t="s">
        <v>61</v>
      </c>
      <c r="C47" s="5">
        <v>6</v>
      </c>
      <c r="D47" s="5">
        <v>4804</v>
      </c>
      <c r="E47" s="5">
        <v>72111043341654</v>
      </c>
      <c r="F47" s="5">
        <v>30641221771</v>
      </c>
      <c r="G47" s="4" t="s">
        <v>62</v>
      </c>
      <c r="H47" s="5">
        <v>1</v>
      </c>
      <c r="I47" s="4" t="s">
        <v>12</v>
      </c>
      <c r="J47" s="6">
        <v>7741.58</v>
      </c>
      <c r="K47" s="6">
        <v>0</v>
      </c>
      <c r="L47" s="6">
        <v>0</v>
      </c>
      <c r="M47" s="6">
        <v>1625.73</v>
      </c>
      <c r="N47" s="6">
        <v>9831.7999999999993</v>
      </c>
    </row>
    <row r="48" spans="1:15">
      <c r="A48" s="4" t="s">
        <v>68</v>
      </c>
      <c r="B48" s="4" t="s">
        <v>9</v>
      </c>
      <c r="C48" s="5">
        <v>1</v>
      </c>
      <c r="D48" s="5">
        <v>86784</v>
      </c>
      <c r="E48" s="5">
        <v>72114178984955</v>
      </c>
      <c r="F48" s="5">
        <v>30716620634</v>
      </c>
      <c r="G48" s="8" t="s">
        <v>69</v>
      </c>
      <c r="H48" s="9">
        <v>1</v>
      </c>
      <c r="I48" s="8" t="s">
        <v>12</v>
      </c>
      <c r="J48" s="10">
        <v>37189.26</v>
      </c>
      <c r="K48" s="10">
        <v>0</v>
      </c>
      <c r="L48" s="10">
        <v>0</v>
      </c>
      <c r="M48" s="10">
        <v>7809.74</v>
      </c>
      <c r="N48" s="10">
        <v>44999</v>
      </c>
      <c r="O48" s="7">
        <f>SUM(J48)</f>
        <v>37189.26</v>
      </c>
    </row>
    <row r="49" spans="1:15">
      <c r="A49" s="4" t="s">
        <v>37</v>
      </c>
      <c r="B49" s="4" t="s">
        <v>40</v>
      </c>
      <c r="C49" s="5">
        <v>5</v>
      </c>
      <c r="D49" s="5">
        <v>186</v>
      </c>
      <c r="E49" s="5">
        <v>72106577357612</v>
      </c>
      <c r="F49" s="5">
        <v>30714734446</v>
      </c>
      <c r="G49" s="4" t="s">
        <v>41</v>
      </c>
      <c r="H49" s="5">
        <v>1</v>
      </c>
      <c r="I49" s="4" t="s">
        <v>12</v>
      </c>
      <c r="J49" s="6">
        <v>3272.35</v>
      </c>
      <c r="K49" s="6">
        <v>0</v>
      </c>
      <c r="L49" s="6">
        <v>0</v>
      </c>
      <c r="M49" s="6">
        <v>687.19</v>
      </c>
      <c r="N49" s="6">
        <v>3959.54</v>
      </c>
    </row>
    <row r="50" spans="1:15">
      <c r="A50" s="4" t="s">
        <v>106</v>
      </c>
      <c r="B50" s="4" t="s">
        <v>9</v>
      </c>
      <c r="C50" s="5">
        <v>5</v>
      </c>
      <c r="D50" s="5">
        <v>3246</v>
      </c>
      <c r="E50" s="5">
        <v>72133331564552</v>
      </c>
      <c r="F50" s="5">
        <v>20283638783</v>
      </c>
      <c r="G50" s="4" t="s">
        <v>108</v>
      </c>
      <c r="H50" s="5">
        <v>1</v>
      </c>
      <c r="I50" s="4" t="s">
        <v>12</v>
      </c>
      <c r="J50" s="6">
        <v>2254.13</v>
      </c>
      <c r="K50" s="6">
        <v>0</v>
      </c>
      <c r="L50" s="6">
        <v>0</v>
      </c>
      <c r="M50" s="6">
        <v>473.37</v>
      </c>
      <c r="N50" s="6">
        <v>2727.49</v>
      </c>
    </row>
    <row r="51" spans="1:15">
      <c r="A51" s="4" t="s">
        <v>22</v>
      </c>
      <c r="B51" s="4" t="s">
        <v>9</v>
      </c>
      <c r="C51" s="5">
        <v>629</v>
      </c>
      <c r="D51" s="5">
        <v>3050303</v>
      </c>
      <c r="E51" s="5">
        <v>32083917026238</v>
      </c>
      <c r="F51" s="5">
        <v>30663498513</v>
      </c>
      <c r="G51" s="4" t="s">
        <v>23</v>
      </c>
      <c r="H51" s="5">
        <v>1</v>
      </c>
      <c r="I51" s="4" t="s">
        <v>12</v>
      </c>
      <c r="J51" s="6">
        <v>927.05</v>
      </c>
      <c r="K51" s="6">
        <v>0</v>
      </c>
      <c r="L51" s="6">
        <v>0</v>
      </c>
      <c r="M51" s="6">
        <v>194.7</v>
      </c>
      <c r="N51" s="6">
        <v>1121.75</v>
      </c>
    </row>
    <row r="52" spans="1:15">
      <c r="A52" s="4" t="s">
        <v>73</v>
      </c>
      <c r="B52" s="4" t="s">
        <v>9</v>
      </c>
      <c r="C52" s="5">
        <v>629</v>
      </c>
      <c r="D52" s="5">
        <v>3084895</v>
      </c>
      <c r="E52" s="5">
        <v>32103513225470</v>
      </c>
      <c r="F52" s="5">
        <v>30663498513</v>
      </c>
      <c r="G52" s="4" t="s">
        <v>23</v>
      </c>
      <c r="H52" s="5">
        <v>1</v>
      </c>
      <c r="I52" s="4" t="s">
        <v>12</v>
      </c>
      <c r="J52" s="6">
        <v>3859.42</v>
      </c>
      <c r="K52" s="6">
        <v>0</v>
      </c>
      <c r="L52" s="6">
        <v>0</v>
      </c>
      <c r="M52" s="6">
        <v>810.58</v>
      </c>
      <c r="N52" s="6">
        <v>4670</v>
      </c>
    </row>
    <row r="53" spans="1:15">
      <c r="A53" s="4" t="s">
        <v>29</v>
      </c>
      <c r="B53" s="4" t="s">
        <v>9</v>
      </c>
      <c r="C53" s="5">
        <v>1</v>
      </c>
      <c r="D53" s="5">
        <v>31</v>
      </c>
      <c r="E53" s="5">
        <v>72103431990416</v>
      </c>
      <c r="F53" s="5">
        <v>30716010313</v>
      </c>
      <c r="G53" s="4" t="s">
        <v>30</v>
      </c>
      <c r="H53" s="5">
        <v>1</v>
      </c>
      <c r="I53" s="4" t="s">
        <v>12</v>
      </c>
      <c r="J53" s="6">
        <v>32000</v>
      </c>
      <c r="K53" s="6">
        <v>0</v>
      </c>
      <c r="L53" s="6">
        <v>0</v>
      </c>
      <c r="M53" s="6">
        <v>6720</v>
      </c>
      <c r="N53" s="6">
        <v>38720</v>
      </c>
    </row>
    <row r="54" spans="1:15">
      <c r="A54" s="4" t="s">
        <v>106</v>
      </c>
      <c r="B54" s="4" t="s">
        <v>9</v>
      </c>
      <c r="C54" s="5">
        <v>20</v>
      </c>
      <c r="D54" s="5">
        <v>739</v>
      </c>
      <c r="E54" s="5">
        <v>72137308470401</v>
      </c>
      <c r="F54" s="5">
        <v>30674346227</v>
      </c>
      <c r="G54" s="4" t="s">
        <v>110</v>
      </c>
      <c r="H54" s="5">
        <v>1</v>
      </c>
      <c r="I54" s="4" t="s">
        <v>12</v>
      </c>
      <c r="J54" s="6">
        <v>2231.4</v>
      </c>
      <c r="K54" s="6">
        <v>0</v>
      </c>
      <c r="L54" s="6">
        <v>0</v>
      </c>
      <c r="M54" s="6">
        <v>468.6</v>
      </c>
      <c r="N54" s="6">
        <v>2700</v>
      </c>
    </row>
    <row r="55" spans="1:15">
      <c r="A55" s="4" t="s">
        <v>64</v>
      </c>
      <c r="B55" s="4" t="s">
        <v>9</v>
      </c>
      <c r="C55" s="5">
        <v>5</v>
      </c>
      <c r="D55" s="5">
        <v>14079</v>
      </c>
      <c r="E55" s="5">
        <v>72113111744069</v>
      </c>
      <c r="F55" s="5">
        <v>30715342983</v>
      </c>
      <c r="G55" s="8" t="s">
        <v>65</v>
      </c>
      <c r="H55" s="9">
        <v>1</v>
      </c>
      <c r="I55" s="8" t="s">
        <v>12</v>
      </c>
      <c r="J55" s="10">
        <v>14461.98</v>
      </c>
      <c r="K55" s="10">
        <v>0</v>
      </c>
      <c r="L55" s="10">
        <v>0</v>
      </c>
      <c r="M55" s="10">
        <v>3037.02</v>
      </c>
      <c r="N55" s="10">
        <v>17499</v>
      </c>
    </row>
    <row r="56" spans="1:15">
      <c r="A56" s="4" t="s">
        <v>43</v>
      </c>
      <c r="B56" s="4" t="s">
        <v>9</v>
      </c>
      <c r="C56" s="5">
        <v>4</v>
      </c>
      <c r="D56" s="5">
        <v>104</v>
      </c>
      <c r="E56" s="5">
        <v>72109704135156</v>
      </c>
      <c r="F56" s="5">
        <v>30715833979</v>
      </c>
      <c r="G56" s="8" t="s">
        <v>47</v>
      </c>
      <c r="H56" s="9">
        <v>1</v>
      </c>
      <c r="I56" s="8" t="s">
        <v>12</v>
      </c>
      <c r="J56" s="10">
        <v>84297.52</v>
      </c>
      <c r="K56" s="10">
        <v>0</v>
      </c>
      <c r="L56" s="10">
        <v>0</v>
      </c>
      <c r="M56" s="10">
        <v>17702.48</v>
      </c>
      <c r="N56" s="10">
        <v>102000</v>
      </c>
      <c r="O56" s="7">
        <f>SUM(J55:J56)</f>
        <v>98759.5</v>
      </c>
    </row>
    <row r="57" spans="1:15">
      <c r="A57" s="4" t="s">
        <v>32</v>
      </c>
      <c r="B57" s="4" t="s">
        <v>9</v>
      </c>
      <c r="C57" s="5">
        <v>1313</v>
      </c>
      <c r="D57" s="5">
        <v>569</v>
      </c>
      <c r="E57" s="5">
        <v>72109522150364</v>
      </c>
      <c r="F57" s="5">
        <v>30639057999</v>
      </c>
      <c r="G57" s="4" t="s">
        <v>34</v>
      </c>
      <c r="H57" s="5">
        <v>1</v>
      </c>
      <c r="I57" s="4" t="s">
        <v>12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</row>
    <row r="58" spans="1:15">
      <c r="A58" s="4" t="s">
        <v>32</v>
      </c>
      <c r="B58" s="4" t="s">
        <v>9</v>
      </c>
      <c r="C58" s="5">
        <v>1313</v>
      </c>
      <c r="D58" s="5">
        <v>568</v>
      </c>
      <c r="E58" s="5">
        <v>72109521748624</v>
      </c>
      <c r="F58" s="5">
        <v>30639057999</v>
      </c>
      <c r="G58" s="4" t="s">
        <v>34</v>
      </c>
      <c r="H58" s="5">
        <v>1</v>
      </c>
      <c r="I58" s="4" t="s">
        <v>12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</row>
    <row r="59" spans="1:15">
      <c r="A59" s="4" t="s">
        <v>32</v>
      </c>
      <c r="B59" s="4" t="s">
        <v>9</v>
      </c>
      <c r="C59" s="5">
        <v>1313</v>
      </c>
      <c r="D59" s="5">
        <v>564</v>
      </c>
      <c r="E59" s="5">
        <v>72109521384946</v>
      </c>
      <c r="F59" s="5">
        <v>30639057999</v>
      </c>
      <c r="G59" s="4" t="s">
        <v>34</v>
      </c>
      <c r="H59" s="5">
        <v>1</v>
      </c>
      <c r="I59" s="4" t="s">
        <v>12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</row>
    <row r="60" spans="1:15">
      <c r="A60" s="4" t="s">
        <v>32</v>
      </c>
      <c r="B60" s="4" t="s">
        <v>9</v>
      </c>
      <c r="C60" s="5">
        <v>1313</v>
      </c>
      <c r="D60" s="5">
        <v>563</v>
      </c>
      <c r="E60" s="5">
        <v>72109521275002</v>
      </c>
      <c r="F60" s="5">
        <v>30639057999</v>
      </c>
      <c r="G60" s="4" t="s">
        <v>34</v>
      </c>
      <c r="H60" s="5">
        <v>1</v>
      </c>
      <c r="I60" s="4" t="s">
        <v>12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</row>
    <row r="61" spans="1:15">
      <c r="A61" s="4" t="s">
        <v>32</v>
      </c>
      <c r="B61" s="4" t="s">
        <v>9</v>
      </c>
      <c r="C61" s="5">
        <v>1313</v>
      </c>
      <c r="D61" s="5">
        <v>565</v>
      </c>
      <c r="E61" s="5">
        <v>72109521472647</v>
      </c>
      <c r="F61" s="5">
        <v>30639057999</v>
      </c>
      <c r="G61" s="4" t="s">
        <v>34</v>
      </c>
      <c r="H61" s="5">
        <v>1</v>
      </c>
      <c r="I61" s="4" t="s">
        <v>12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</row>
    <row r="62" spans="1:15">
      <c r="A62" s="4" t="s">
        <v>32</v>
      </c>
      <c r="B62" s="4" t="s">
        <v>9</v>
      </c>
      <c r="C62" s="5">
        <v>1313</v>
      </c>
      <c r="D62" s="5">
        <v>567</v>
      </c>
      <c r="E62" s="5">
        <v>72109521668296</v>
      </c>
      <c r="F62" s="5">
        <v>30639057999</v>
      </c>
      <c r="G62" s="4" t="s">
        <v>34</v>
      </c>
      <c r="H62" s="5">
        <v>1</v>
      </c>
      <c r="I62" s="4" t="s">
        <v>12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</row>
    <row r="63" spans="1:15">
      <c r="A63" s="4" t="s">
        <v>32</v>
      </c>
      <c r="B63" s="4" t="s">
        <v>9</v>
      </c>
      <c r="C63" s="5">
        <v>1313</v>
      </c>
      <c r="D63" s="5">
        <v>566</v>
      </c>
      <c r="E63" s="5">
        <v>72109521580519</v>
      </c>
      <c r="F63" s="5">
        <v>30639057999</v>
      </c>
      <c r="G63" s="4" t="s">
        <v>34</v>
      </c>
      <c r="H63" s="5">
        <v>1</v>
      </c>
      <c r="I63" s="4" t="s">
        <v>12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</row>
    <row r="64" spans="1:15">
      <c r="A64" s="4" t="s">
        <v>48</v>
      </c>
      <c r="B64" s="4" t="s">
        <v>9</v>
      </c>
      <c r="C64" s="5">
        <v>1313</v>
      </c>
      <c r="D64" s="5">
        <v>573</v>
      </c>
      <c r="E64" s="5">
        <v>72109816600726</v>
      </c>
      <c r="F64" s="5">
        <v>30639057999</v>
      </c>
      <c r="G64" s="4" t="s">
        <v>34</v>
      </c>
      <c r="H64" s="5">
        <v>1</v>
      </c>
      <c r="I64" s="4" t="s">
        <v>12</v>
      </c>
      <c r="J64" s="6">
        <v>13328.92</v>
      </c>
      <c r="K64" s="6">
        <v>0</v>
      </c>
      <c r="L64" s="6">
        <v>0</v>
      </c>
      <c r="M64" s="6">
        <v>2799.07</v>
      </c>
      <c r="N64" s="6">
        <v>16128</v>
      </c>
    </row>
    <row r="65" spans="1:15">
      <c r="A65" s="4" t="s">
        <v>48</v>
      </c>
      <c r="B65" s="4" t="s">
        <v>9</v>
      </c>
      <c r="C65" s="5">
        <v>1313</v>
      </c>
      <c r="D65" s="5">
        <v>574</v>
      </c>
      <c r="E65" s="5">
        <v>72109816607003</v>
      </c>
      <c r="F65" s="5">
        <v>30639057999</v>
      </c>
      <c r="G65" s="4" t="s">
        <v>34</v>
      </c>
      <c r="H65" s="5">
        <v>1</v>
      </c>
      <c r="I65" s="4" t="s">
        <v>12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</row>
    <row r="66" spans="1:15">
      <c r="A66" s="4" t="s">
        <v>60</v>
      </c>
      <c r="B66" s="4" t="s">
        <v>9</v>
      </c>
      <c r="C66" s="5">
        <v>185</v>
      </c>
      <c r="D66" s="5">
        <v>2232</v>
      </c>
      <c r="E66" s="5">
        <v>72119052126550</v>
      </c>
      <c r="F66" s="5">
        <v>30639057999</v>
      </c>
      <c r="G66" s="4" t="s">
        <v>34</v>
      </c>
      <c r="H66" s="5">
        <v>1</v>
      </c>
      <c r="I66" s="4" t="s">
        <v>12</v>
      </c>
      <c r="J66" s="6">
        <v>0</v>
      </c>
      <c r="K66" s="6">
        <v>799.74</v>
      </c>
      <c r="L66" s="6">
        <v>0</v>
      </c>
      <c r="M66" s="6">
        <v>0</v>
      </c>
      <c r="N66" s="6">
        <v>799.74</v>
      </c>
    </row>
    <row r="67" spans="1:15">
      <c r="A67" s="4" t="s">
        <v>64</v>
      </c>
      <c r="B67" s="4" t="s">
        <v>9</v>
      </c>
      <c r="C67" s="5">
        <v>5</v>
      </c>
      <c r="D67" s="5">
        <v>37</v>
      </c>
      <c r="E67" s="5">
        <v>72110092156060</v>
      </c>
      <c r="F67" s="5">
        <v>30707949550</v>
      </c>
      <c r="G67" s="4" t="s">
        <v>67</v>
      </c>
      <c r="H67" s="5">
        <v>1</v>
      </c>
      <c r="I67" s="4" t="s">
        <v>12</v>
      </c>
      <c r="J67" s="6">
        <v>462.63</v>
      </c>
      <c r="K67" s="6">
        <v>0</v>
      </c>
      <c r="L67" s="6">
        <v>0</v>
      </c>
      <c r="M67" s="6">
        <v>97.15</v>
      </c>
      <c r="N67" s="6">
        <v>568.9</v>
      </c>
    </row>
    <row r="68" spans="1:15">
      <c r="A68" s="4" t="s">
        <v>99</v>
      </c>
      <c r="B68" s="4" t="s">
        <v>9</v>
      </c>
      <c r="C68" s="5">
        <v>5</v>
      </c>
      <c r="D68" s="5">
        <v>61</v>
      </c>
      <c r="E68" s="5">
        <v>72130067987902</v>
      </c>
      <c r="F68" s="5">
        <v>30707949550</v>
      </c>
      <c r="G68" s="4" t="s">
        <v>67</v>
      </c>
      <c r="H68" s="5">
        <v>1</v>
      </c>
      <c r="I68" s="4" t="s">
        <v>12</v>
      </c>
      <c r="J68" s="6">
        <v>163.13</v>
      </c>
      <c r="K68" s="6">
        <v>0</v>
      </c>
      <c r="L68" s="6">
        <v>0</v>
      </c>
      <c r="M68" s="6">
        <v>34.26</v>
      </c>
      <c r="N68" s="6">
        <v>200.6</v>
      </c>
    </row>
    <row r="69" spans="1:15">
      <c r="A69" s="4" t="s">
        <v>53</v>
      </c>
      <c r="B69" s="4" t="s">
        <v>9</v>
      </c>
      <c r="C69" s="5">
        <v>3</v>
      </c>
      <c r="D69" s="5">
        <v>5888</v>
      </c>
      <c r="E69" s="5">
        <v>72110970220529</v>
      </c>
      <c r="F69" s="5">
        <v>30708006420</v>
      </c>
      <c r="G69" s="8" t="s">
        <v>59</v>
      </c>
      <c r="H69" s="9">
        <v>1</v>
      </c>
      <c r="I69" s="8" t="s">
        <v>12</v>
      </c>
      <c r="J69" s="10">
        <v>153618</v>
      </c>
      <c r="K69" s="10">
        <v>0</v>
      </c>
      <c r="L69" s="10">
        <v>0</v>
      </c>
      <c r="M69" s="10">
        <v>32259.78</v>
      </c>
      <c r="N69" s="10">
        <v>185877.78</v>
      </c>
      <c r="O69" s="7">
        <f>SUM(J69)</f>
        <v>153618</v>
      </c>
    </row>
    <row r="70" spans="1:15">
      <c r="A70" s="4" t="s">
        <v>99</v>
      </c>
      <c r="B70" s="4" t="s">
        <v>38</v>
      </c>
      <c r="C70" s="5">
        <v>27</v>
      </c>
      <c r="D70" s="5">
        <v>20890</v>
      </c>
      <c r="E70" s="5">
        <v>72134195710857</v>
      </c>
      <c r="F70" s="5">
        <v>30703088534</v>
      </c>
      <c r="G70" s="4" t="s">
        <v>100</v>
      </c>
      <c r="H70" s="5">
        <v>1</v>
      </c>
      <c r="I70" s="4" t="s">
        <v>12</v>
      </c>
      <c r="J70" s="6">
        <v>119.67</v>
      </c>
      <c r="K70" s="6">
        <v>0</v>
      </c>
      <c r="L70" s="6">
        <v>0</v>
      </c>
      <c r="M70" s="6">
        <v>25.13</v>
      </c>
      <c r="N70" s="6">
        <v>148.38999999999999</v>
      </c>
    </row>
    <row r="71" spans="1:15">
      <c r="A71" s="4" t="s">
        <v>99</v>
      </c>
      <c r="B71" s="4" t="s">
        <v>9</v>
      </c>
      <c r="C71" s="5">
        <v>27</v>
      </c>
      <c r="D71" s="5">
        <v>259688</v>
      </c>
      <c r="E71" s="5">
        <v>72134181121664</v>
      </c>
      <c r="F71" s="5">
        <v>30703088534</v>
      </c>
      <c r="G71" s="4" t="s">
        <v>100</v>
      </c>
      <c r="H71" s="5">
        <v>1</v>
      </c>
      <c r="I71" s="4" t="s">
        <v>12</v>
      </c>
      <c r="J71" s="6">
        <v>91269.71</v>
      </c>
      <c r="K71" s="6">
        <v>0</v>
      </c>
      <c r="L71" s="6">
        <v>0</v>
      </c>
      <c r="M71" s="6">
        <v>19166.64</v>
      </c>
      <c r="N71" s="6">
        <v>118650.64</v>
      </c>
    </row>
    <row r="72" spans="1:15">
      <c r="A72" s="4" t="s">
        <v>102</v>
      </c>
      <c r="B72" s="4" t="s">
        <v>9</v>
      </c>
      <c r="C72" s="5">
        <v>10</v>
      </c>
      <c r="D72" s="5">
        <v>1183</v>
      </c>
      <c r="E72" s="5">
        <v>72139192540249</v>
      </c>
      <c r="F72" s="5">
        <v>23127284369</v>
      </c>
      <c r="G72" s="4" t="s">
        <v>104</v>
      </c>
      <c r="H72" s="5">
        <v>1</v>
      </c>
      <c r="I72" s="4" t="s">
        <v>12</v>
      </c>
      <c r="J72" s="6">
        <v>8941.7199999999993</v>
      </c>
      <c r="K72" s="6">
        <v>0</v>
      </c>
      <c r="L72" s="6">
        <v>0</v>
      </c>
      <c r="M72" s="6">
        <v>1877.76</v>
      </c>
      <c r="N72" s="6">
        <v>10819.48</v>
      </c>
    </row>
    <row r="73" spans="1:15">
      <c r="A73" s="4" t="s">
        <v>27</v>
      </c>
      <c r="B73" s="4" t="s">
        <v>9</v>
      </c>
      <c r="C73" s="5">
        <v>1</v>
      </c>
      <c r="D73" s="5">
        <v>2119</v>
      </c>
      <c r="E73" s="5">
        <v>72109439638893</v>
      </c>
      <c r="F73" s="5">
        <v>30717030679</v>
      </c>
      <c r="G73" s="4" t="s">
        <v>28</v>
      </c>
      <c r="H73" s="5">
        <v>1</v>
      </c>
      <c r="I73" s="4" t="s">
        <v>12</v>
      </c>
      <c r="J73" s="6">
        <v>3214.88</v>
      </c>
      <c r="K73" s="6">
        <v>0</v>
      </c>
      <c r="L73" s="6">
        <v>0</v>
      </c>
      <c r="M73" s="6">
        <v>675.12</v>
      </c>
      <c r="N73" s="6">
        <v>3890</v>
      </c>
    </row>
    <row r="74" spans="1:15">
      <c r="A74" s="4" t="s">
        <v>102</v>
      </c>
      <c r="B74" s="4" t="s">
        <v>9</v>
      </c>
      <c r="C74" s="5">
        <v>5</v>
      </c>
      <c r="D74" s="5">
        <v>25210</v>
      </c>
      <c r="E74" s="5">
        <v>72130200264340</v>
      </c>
      <c r="F74" s="5">
        <v>30708261110</v>
      </c>
      <c r="G74" s="4" t="s">
        <v>105</v>
      </c>
      <c r="H74" s="5">
        <v>1</v>
      </c>
      <c r="I74" s="4" t="s">
        <v>12</v>
      </c>
      <c r="J74" s="6">
        <v>44677.5</v>
      </c>
      <c r="K74" s="6">
        <v>0</v>
      </c>
      <c r="L74" s="6">
        <v>0</v>
      </c>
      <c r="M74" s="6">
        <v>9382.2800000000007</v>
      </c>
      <c r="N74" s="6">
        <v>54059.78</v>
      </c>
    </row>
    <row r="75" spans="1:15">
      <c r="A75" s="4" t="s">
        <v>32</v>
      </c>
      <c r="B75" s="4" t="s">
        <v>9</v>
      </c>
      <c r="C75" s="5">
        <v>2</v>
      </c>
      <c r="D75" s="5">
        <v>29358</v>
      </c>
      <c r="E75" s="5">
        <v>72109514270864</v>
      </c>
      <c r="F75" s="5">
        <v>33714232199</v>
      </c>
      <c r="G75" s="4" t="s">
        <v>36</v>
      </c>
      <c r="H75" s="5">
        <v>1</v>
      </c>
      <c r="I75" s="4" t="s">
        <v>12</v>
      </c>
      <c r="J75" s="6">
        <v>16317</v>
      </c>
      <c r="K75" s="6">
        <v>0</v>
      </c>
      <c r="L75" s="6">
        <v>0</v>
      </c>
      <c r="M75" s="6">
        <v>3426.57</v>
      </c>
      <c r="N75" s="6">
        <v>19743.57</v>
      </c>
    </row>
    <row r="76" spans="1:15">
      <c r="A76" s="4" t="s">
        <v>18</v>
      </c>
      <c r="B76" s="4" t="s">
        <v>9</v>
      </c>
      <c r="C76" s="5">
        <v>1</v>
      </c>
      <c r="D76" s="5">
        <v>51</v>
      </c>
      <c r="E76" s="5">
        <v>72097113273068</v>
      </c>
      <c r="F76" s="5">
        <v>20077604627</v>
      </c>
      <c r="G76" s="8" t="s">
        <v>20</v>
      </c>
      <c r="H76" s="9">
        <v>1</v>
      </c>
      <c r="I76" s="8" t="s">
        <v>12</v>
      </c>
      <c r="J76" s="10">
        <v>85816.8</v>
      </c>
      <c r="K76" s="10">
        <v>0</v>
      </c>
      <c r="L76" s="10">
        <v>0</v>
      </c>
      <c r="M76" s="10">
        <v>18021.53</v>
      </c>
      <c r="N76" s="10">
        <v>103838.33</v>
      </c>
      <c r="O76" s="7">
        <f>SUM(J76:J77)</f>
        <v>190704</v>
      </c>
    </row>
    <row r="77" spans="1:15">
      <c r="A77" s="4" t="s">
        <v>29</v>
      </c>
      <c r="B77" s="4" t="s">
        <v>9</v>
      </c>
      <c r="C77" s="5">
        <v>1</v>
      </c>
      <c r="D77" s="5">
        <v>52</v>
      </c>
      <c r="E77" s="5">
        <v>72107417985848</v>
      </c>
      <c r="F77" s="5">
        <v>20077604627</v>
      </c>
      <c r="G77" s="8" t="s">
        <v>20</v>
      </c>
      <c r="H77" s="9">
        <v>1</v>
      </c>
      <c r="I77" s="8" t="s">
        <v>12</v>
      </c>
      <c r="J77" s="10">
        <v>104887.2</v>
      </c>
      <c r="K77" s="10">
        <v>0</v>
      </c>
      <c r="L77" s="10">
        <v>0</v>
      </c>
      <c r="M77" s="10">
        <v>22026.31</v>
      </c>
      <c r="N77" s="10">
        <v>126913.51</v>
      </c>
    </row>
    <row r="78" spans="1:15">
      <c r="A78" s="4" t="s">
        <v>8</v>
      </c>
      <c r="B78" s="4" t="s">
        <v>9</v>
      </c>
      <c r="C78" s="5">
        <v>6862</v>
      </c>
      <c r="D78" s="5">
        <v>9213</v>
      </c>
      <c r="E78" s="5">
        <v>72095064725655</v>
      </c>
      <c r="F78" s="5">
        <v>30678774495</v>
      </c>
      <c r="G78" s="4" t="s">
        <v>14</v>
      </c>
      <c r="H78" s="5">
        <v>1</v>
      </c>
      <c r="I78" s="4" t="s">
        <v>12</v>
      </c>
      <c r="J78" s="6">
        <v>3022.97</v>
      </c>
      <c r="K78" s="6">
        <v>0</v>
      </c>
      <c r="L78" s="6">
        <v>0</v>
      </c>
      <c r="M78" s="6">
        <v>634.82000000000005</v>
      </c>
      <c r="N78" s="6">
        <v>4500.8</v>
      </c>
    </row>
    <row r="79" spans="1:15">
      <c r="A79" s="4" t="s">
        <v>18</v>
      </c>
      <c r="B79" s="4" t="s">
        <v>9</v>
      </c>
      <c r="C79" s="5">
        <v>7136</v>
      </c>
      <c r="D79" s="5">
        <v>1566</v>
      </c>
      <c r="E79" s="5">
        <v>72095130131165</v>
      </c>
      <c r="F79" s="5">
        <v>30678774495</v>
      </c>
      <c r="G79" s="4" t="s">
        <v>14</v>
      </c>
      <c r="H79" s="5">
        <v>1</v>
      </c>
      <c r="I79" s="4" t="s">
        <v>12</v>
      </c>
      <c r="J79" s="6">
        <v>285.04000000000002</v>
      </c>
      <c r="K79" s="6">
        <v>0</v>
      </c>
      <c r="L79" s="6">
        <v>0</v>
      </c>
      <c r="M79" s="6">
        <v>59.86</v>
      </c>
      <c r="N79" s="6">
        <v>346</v>
      </c>
    </row>
    <row r="80" spans="1:15">
      <c r="A80" s="4" t="s">
        <v>96</v>
      </c>
      <c r="B80" s="4" t="s">
        <v>9</v>
      </c>
      <c r="C80" s="5">
        <v>6850</v>
      </c>
      <c r="D80" s="5">
        <v>6364</v>
      </c>
      <c r="E80" s="5">
        <v>72135952482924</v>
      </c>
      <c r="F80" s="5">
        <v>30678774495</v>
      </c>
      <c r="G80" s="4" t="s">
        <v>14</v>
      </c>
      <c r="H80" s="5">
        <v>1</v>
      </c>
      <c r="I80" s="4" t="s">
        <v>12</v>
      </c>
      <c r="J80" s="6">
        <v>1345.29</v>
      </c>
      <c r="K80" s="6">
        <v>0</v>
      </c>
      <c r="L80" s="6">
        <v>0</v>
      </c>
      <c r="M80" s="6">
        <v>282.51</v>
      </c>
      <c r="N80" s="6">
        <v>2000</v>
      </c>
    </row>
    <row r="81" spans="1:15">
      <c r="A81" s="4" t="s">
        <v>97</v>
      </c>
      <c r="B81" s="4" t="s">
        <v>9</v>
      </c>
      <c r="C81" s="5">
        <v>6860</v>
      </c>
      <c r="D81" s="5">
        <v>9307</v>
      </c>
      <c r="E81" s="5">
        <v>72135043088765</v>
      </c>
      <c r="F81" s="5">
        <v>30678774495</v>
      </c>
      <c r="G81" s="4" t="s">
        <v>14</v>
      </c>
      <c r="H81" s="5">
        <v>1</v>
      </c>
      <c r="I81" s="4" t="s">
        <v>12</v>
      </c>
      <c r="J81" s="6">
        <v>3184.59</v>
      </c>
      <c r="K81" s="6">
        <v>0</v>
      </c>
      <c r="L81" s="6">
        <v>0</v>
      </c>
      <c r="M81" s="6">
        <v>668.77</v>
      </c>
      <c r="N81" s="6">
        <v>4700.7</v>
      </c>
    </row>
    <row r="82" spans="1:15">
      <c r="A82" s="4" t="s">
        <v>102</v>
      </c>
      <c r="B82" s="4" t="s">
        <v>9</v>
      </c>
      <c r="C82" s="5">
        <v>6852</v>
      </c>
      <c r="D82" s="5">
        <v>7997</v>
      </c>
      <c r="E82" s="5">
        <v>72135157353320</v>
      </c>
      <c r="F82" s="5">
        <v>30678774495</v>
      </c>
      <c r="G82" s="4" t="s">
        <v>14</v>
      </c>
      <c r="H82" s="5">
        <v>1</v>
      </c>
      <c r="I82" s="4" t="s">
        <v>12</v>
      </c>
      <c r="J82" s="6">
        <v>4977.6499999999996</v>
      </c>
      <c r="K82" s="6">
        <v>0</v>
      </c>
      <c r="L82" s="6">
        <v>0</v>
      </c>
      <c r="M82" s="6">
        <v>1045.31</v>
      </c>
      <c r="N82" s="6">
        <v>7400.1</v>
      </c>
    </row>
    <row r="83" spans="1:15">
      <c r="A83" s="4" t="s">
        <v>106</v>
      </c>
      <c r="B83" s="4" t="s">
        <v>9</v>
      </c>
      <c r="C83" s="5">
        <v>7136</v>
      </c>
      <c r="D83" s="5">
        <v>1938</v>
      </c>
      <c r="E83" s="5">
        <v>72135278440486</v>
      </c>
      <c r="F83" s="5">
        <v>30678774495</v>
      </c>
      <c r="G83" s="4" t="s">
        <v>14</v>
      </c>
      <c r="H83" s="5">
        <v>1</v>
      </c>
      <c r="I83" s="4" t="s">
        <v>12</v>
      </c>
      <c r="J83" s="6">
        <v>181.27</v>
      </c>
      <c r="K83" s="6">
        <v>0</v>
      </c>
      <c r="L83" s="6">
        <v>0</v>
      </c>
      <c r="M83" s="6">
        <v>38.07</v>
      </c>
      <c r="N83" s="6">
        <v>220</v>
      </c>
    </row>
    <row r="84" spans="1:15">
      <c r="A84" s="4" t="s">
        <v>94</v>
      </c>
      <c r="B84" s="4" t="s">
        <v>9</v>
      </c>
      <c r="C84" s="5">
        <v>8</v>
      </c>
      <c r="D84" s="5">
        <v>417</v>
      </c>
      <c r="E84" s="5">
        <v>72133884069880</v>
      </c>
      <c r="F84" s="5">
        <v>20251889083</v>
      </c>
      <c r="G84" s="4" t="s">
        <v>95</v>
      </c>
      <c r="H84" s="5">
        <v>1</v>
      </c>
      <c r="I84" s="4" t="s">
        <v>12</v>
      </c>
      <c r="J84" s="6">
        <v>13719.01</v>
      </c>
      <c r="K84" s="6">
        <v>0</v>
      </c>
      <c r="L84" s="6">
        <v>0</v>
      </c>
      <c r="M84" s="6">
        <v>2880.99</v>
      </c>
      <c r="N84" s="6">
        <v>16600</v>
      </c>
    </row>
    <row r="85" spans="1:15">
      <c r="A85" s="4" t="s">
        <v>60</v>
      </c>
      <c r="B85" s="4" t="s">
        <v>9</v>
      </c>
      <c r="C85" s="5">
        <v>6</v>
      </c>
      <c r="D85" s="5">
        <v>236</v>
      </c>
      <c r="E85" s="5">
        <v>72119061339436</v>
      </c>
      <c r="F85" s="5">
        <v>20219190469</v>
      </c>
      <c r="G85" s="8" t="s">
        <v>63</v>
      </c>
      <c r="H85" s="9">
        <v>1</v>
      </c>
      <c r="I85" s="8" t="s">
        <v>12</v>
      </c>
      <c r="J85" s="10">
        <v>84119.039999999994</v>
      </c>
      <c r="K85" s="10">
        <v>0</v>
      </c>
      <c r="L85" s="10">
        <v>0</v>
      </c>
      <c r="M85" s="10">
        <v>17665</v>
      </c>
      <c r="N85" s="10">
        <v>101784.04</v>
      </c>
      <c r="O85" s="7">
        <f>SUM(J85:J86)</f>
        <v>327528.99</v>
      </c>
    </row>
    <row r="86" spans="1:15">
      <c r="A86" s="4" t="s">
        <v>43</v>
      </c>
      <c r="B86" s="4" t="s">
        <v>9</v>
      </c>
      <c r="C86" s="5">
        <v>4</v>
      </c>
      <c r="D86" s="5">
        <v>15595</v>
      </c>
      <c r="E86" s="5">
        <v>72105683928171</v>
      </c>
      <c r="F86" s="5">
        <v>30552433595</v>
      </c>
      <c r="G86" s="8" t="s">
        <v>44</v>
      </c>
      <c r="H86" s="9">
        <v>1</v>
      </c>
      <c r="I86" s="8" t="s">
        <v>12</v>
      </c>
      <c r="J86" s="10">
        <v>243409.95</v>
      </c>
      <c r="K86" s="10">
        <v>0</v>
      </c>
      <c r="L86" s="10">
        <v>0</v>
      </c>
      <c r="M86" s="10">
        <v>51116.09</v>
      </c>
      <c r="N86" s="10">
        <v>294526.03999999998</v>
      </c>
    </row>
    <row r="87" spans="1:15">
      <c r="A87" s="4" t="s">
        <v>87</v>
      </c>
      <c r="B87" s="4" t="s">
        <v>9</v>
      </c>
      <c r="C87" s="5">
        <v>2</v>
      </c>
      <c r="D87" s="5">
        <v>5222</v>
      </c>
      <c r="E87" s="5">
        <v>72123640475573</v>
      </c>
      <c r="F87" s="5">
        <v>20243645523</v>
      </c>
      <c r="G87" s="4" t="s">
        <v>89</v>
      </c>
      <c r="H87" s="5">
        <v>1</v>
      </c>
      <c r="I87" s="4" t="s">
        <v>12</v>
      </c>
      <c r="J87" s="6">
        <v>5500</v>
      </c>
      <c r="K87" s="6">
        <v>0</v>
      </c>
      <c r="L87" s="6">
        <v>0</v>
      </c>
      <c r="M87" s="6">
        <v>1155</v>
      </c>
      <c r="N87" s="6">
        <v>6655</v>
      </c>
    </row>
    <row r="88" spans="1:15">
      <c r="A88" s="4" t="s">
        <v>32</v>
      </c>
      <c r="B88" s="4" t="s">
        <v>9</v>
      </c>
      <c r="C88" s="5">
        <v>3</v>
      </c>
      <c r="D88" s="5">
        <v>257131</v>
      </c>
      <c r="E88" s="5">
        <v>72109516831901</v>
      </c>
      <c r="F88" s="5">
        <v>33643358749</v>
      </c>
      <c r="G88" s="8" t="s">
        <v>35</v>
      </c>
      <c r="H88" s="9">
        <v>1</v>
      </c>
      <c r="I88" s="8" t="s">
        <v>12</v>
      </c>
      <c r="J88" s="10">
        <v>14931.22</v>
      </c>
      <c r="K88" s="10">
        <v>0</v>
      </c>
      <c r="L88" s="10">
        <v>0</v>
      </c>
      <c r="M88" s="10">
        <v>1567.78</v>
      </c>
      <c r="N88" s="10">
        <v>16499</v>
      </c>
      <c r="O88" s="7">
        <f>SUM(J88)</f>
        <v>14931.22</v>
      </c>
    </row>
    <row r="89" spans="1:15">
      <c r="A89" s="4" t="s">
        <v>87</v>
      </c>
      <c r="B89" s="4" t="s">
        <v>9</v>
      </c>
      <c r="C89" s="5">
        <v>6</v>
      </c>
      <c r="D89" s="5">
        <v>2253</v>
      </c>
      <c r="E89" s="5">
        <v>72128651228476</v>
      </c>
      <c r="F89" s="5">
        <v>20117862578</v>
      </c>
      <c r="G89" s="4" t="s">
        <v>90</v>
      </c>
      <c r="H89" s="5">
        <v>1</v>
      </c>
      <c r="I89" s="4" t="s">
        <v>12</v>
      </c>
      <c r="J89" s="6">
        <v>1652.9</v>
      </c>
      <c r="K89" s="6">
        <v>0</v>
      </c>
      <c r="L89" s="6">
        <v>0</v>
      </c>
      <c r="M89" s="6">
        <v>347.11</v>
      </c>
      <c r="N89" s="6">
        <v>2000.01</v>
      </c>
    </row>
    <row r="90" spans="1:15">
      <c r="A90" s="4" t="s">
        <v>97</v>
      </c>
      <c r="B90" s="4" t="s">
        <v>9</v>
      </c>
      <c r="C90" s="5">
        <v>6</v>
      </c>
      <c r="D90" s="5">
        <v>2281</v>
      </c>
      <c r="E90" s="5">
        <v>72138005368407</v>
      </c>
      <c r="F90" s="5">
        <v>20117862578</v>
      </c>
      <c r="G90" s="4" t="s">
        <v>90</v>
      </c>
      <c r="H90" s="5">
        <v>1</v>
      </c>
      <c r="I90" s="4" t="s">
        <v>12</v>
      </c>
      <c r="J90" s="6">
        <v>3305.92</v>
      </c>
      <c r="K90" s="6">
        <v>0</v>
      </c>
      <c r="L90" s="6">
        <v>0</v>
      </c>
      <c r="M90" s="6">
        <v>694.24</v>
      </c>
      <c r="N90" s="6">
        <v>4000.16</v>
      </c>
    </row>
    <row r="91" spans="1:15">
      <c r="A91" s="4" t="s">
        <v>43</v>
      </c>
      <c r="B91" s="4" t="s">
        <v>9</v>
      </c>
      <c r="C91" s="5">
        <v>6</v>
      </c>
      <c r="D91" s="5">
        <v>11852488</v>
      </c>
      <c r="E91" s="5">
        <v>72107653250679</v>
      </c>
      <c r="F91" s="5">
        <v>30620177497</v>
      </c>
      <c r="G91" s="4" t="s">
        <v>45</v>
      </c>
      <c r="H91" s="5">
        <v>1</v>
      </c>
      <c r="I91" s="4" t="s">
        <v>12</v>
      </c>
      <c r="J91" s="6">
        <v>1990</v>
      </c>
      <c r="K91" s="6">
        <v>0</v>
      </c>
      <c r="L91" s="6">
        <v>0</v>
      </c>
      <c r="M91" s="6">
        <v>417.9</v>
      </c>
      <c r="N91" s="6">
        <v>2587</v>
      </c>
    </row>
    <row r="92" spans="1:15">
      <c r="A92" s="4" t="s">
        <v>43</v>
      </c>
      <c r="B92" s="4" t="s">
        <v>9</v>
      </c>
      <c r="C92" s="5">
        <v>6</v>
      </c>
      <c r="D92" s="5">
        <v>11852504</v>
      </c>
      <c r="E92" s="5">
        <v>72107653250831</v>
      </c>
      <c r="F92" s="5">
        <v>30620177497</v>
      </c>
      <c r="G92" s="4" t="s">
        <v>45</v>
      </c>
      <c r="H92" s="5">
        <v>1</v>
      </c>
      <c r="I92" s="4" t="s">
        <v>12</v>
      </c>
      <c r="J92" s="6">
        <v>1990</v>
      </c>
      <c r="K92" s="6">
        <v>0</v>
      </c>
      <c r="L92" s="6">
        <v>0</v>
      </c>
      <c r="M92" s="6">
        <v>417.9</v>
      </c>
      <c r="N92" s="6">
        <v>2587</v>
      </c>
    </row>
    <row r="93" spans="1:15">
      <c r="A93" s="4" t="s">
        <v>43</v>
      </c>
      <c r="B93" s="4" t="s">
        <v>9</v>
      </c>
      <c r="C93" s="5">
        <v>6</v>
      </c>
      <c r="D93" s="5">
        <v>11852466</v>
      </c>
      <c r="E93" s="5">
        <v>72107653250433</v>
      </c>
      <c r="F93" s="5">
        <v>30620177497</v>
      </c>
      <c r="G93" s="4" t="s">
        <v>45</v>
      </c>
      <c r="H93" s="5">
        <v>1</v>
      </c>
      <c r="I93" s="4" t="s">
        <v>12</v>
      </c>
      <c r="J93" s="6">
        <v>1990</v>
      </c>
      <c r="K93" s="6">
        <v>0</v>
      </c>
      <c r="L93" s="6">
        <v>0</v>
      </c>
      <c r="M93" s="6">
        <v>417.9</v>
      </c>
      <c r="N93" s="6">
        <v>2587</v>
      </c>
    </row>
    <row r="94" spans="1:15">
      <c r="A94" s="4" t="s">
        <v>43</v>
      </c>
      <c r="B94" s="4" t="s">
        <v>9</v>
      </c>
      <c r="C94" s="5">
        <v>6</v>
      </c>
      <c r="D94" s="5">
        <v>11896390</v>
      </c>
      <c r="E94" s="5">
        <v>72107654054751</v>
      </c>
      <c r="F94" s="5">
        <v>30620177497</v>
      </c>
      <c r="G94" s="4" t="s">
        <v>45</v>
      </c>
      <c r="H94" s="5">
        <v>1</v>
      </c>
      <c r="I94" s="4" t="s">
        <v>12</v>
      </c>
      <c r="J94" s="6">
        <v>5970</v>
      </c>
      <c r="K94" s="6">
        <v>0</v>
      </c>
      <c r="L94" s="6">
        <v>0</v>
      </c>
      <c r="M94" s="6">
        <v>1253.7</v>
      </c>
      <c r="N94" s="6">
        <v>7761</v>
      </c>
    </row>
    <row r="95" spans="1:15">
      <c r="A95" s="4" t="s">
        <v>18</v>
      </c>
      <c r="B95" s="4" t="s">
        <v>9</v>
      </c>
      <c r="C95" s="5">
        <v>3</v>
      </c>
      <c r="D95" s="5">
        <v>6654</v>
      </c>
      <c r="E95" s="5">
        <v>72097161141940</v>
      </c>
      <c r="F95" s="5">
        <v>30679163317</v>
      </c>
      <c r="G95" s="8" t="s">
        <v>21</v>
      </c>
      <c r="H95" s="9">
        <v>1</v>
      </c>
      <c r="I95" s="8" t="s">
        <v>12</v>
      </c>
      <c r="J95" s="10">
        <v>19999.73</v>
      </c>
      <c r="K95" s="10">
        <v>0</v>
      </c>
      <c r="L95" s="10">
        <v>0</v>
      </c>
      <c r="M95" s="10">
        <v>4199.9399999999996</v>
      </c>
      <c r="N95" s="10">
        <v>24199.67</v>
      </c>
    </row>
    <row r="96" spans="1:15">
      <c r="A96" s="4" t="s">
        <v>18</v>
      </c>
      <c r="B96" s="4" t="s">
        <v>9</v>
      </c>
      <c r="C96" s="5">
        <v>3</v>
      </c>
      <c r="D96" s="5">
        <v>6653</v>
      </c>
      <c r="E96" s="5">
        <v>72097153862867</v>
      </c>
      <c r="F96" s="5">
        <v>30679163317</v>
      </c>
      <c r="G96" s="8" t="s">
        <v>21</v>
      </c>
      <c r="H96" s="9">
        <v>1</v>
      </c>
      <c r="I96" s="8" t="s">
        <v>12</v>
      </c>
      <c r="J96" s="10">
        <v>28853.57</v>
      </c>
      <c r="K96" s="10">
        <v>0</v>
      </c>
      <c r="L96" s="10">
        <v>0</v>
      </c>
      <c r="M96" s="10">
        <v>6059.25</v>
      </c>
      <c r="N96" s="10">
        <v>34912.82</v>
      </c>
    </row>
    <row r="97" spans="1:15">
      <c r="A97" s="4" t="s">
        <v>48</v>
      </c>
      <c r="B97" s="4" t="s">
        <v>9</v>
      </c>
      <c r="C97" s="5">
        <v>3</v>
      </c>
      <c r="D97" s="5">
        <v>6708</v>
      </c>
      <c r="E97" s="5">
        <v>72107787475588</v>
      </c>
      <c r="F97" s="5">
        <v>30679163317</v>
      </c>
      <c r="G97" s="8" t="s">
        <v>21</v>
      </c>
      <c r="H97" s="9">
        <v>1</v>
      </c>
      <c r="I97" s="8" t="s">
        <v>12</v>
      </c>
      <c r="J97" s="10">
        <v>19240.68</v>
      </c>
      <c r="K97" s="10">
        <v>0</v>
      </c>
      <c r="L97" s="10">
        <v>0</v>
      </c>
      <c r="M97" s="10">
        <v>4040.54</v>
      </c>
      <c r="N97" s="10">
        <v>23281.22</v>
      </c>
    </row>
    <row r="98" spans="1:15">
      <c r="A98" s="4" t="s">
        <v>48</v>
      </c>
      <c r="B98" s="4" t="s">
        <v>9</v>
      </c>
      <c r="C98" s="5">
        <v>3</v>
      </c>
      <c r="D98" s="5">
        <v>6707</v>
      </c>
      <c r="E98" s="5">
        <v>72107787073724</v>
      </c>
      <c r="F98" s="5">
        <v>30679163317</v>
      </c>
      <c r="G98" s="8" t="s">
        <v>21</v>
      </c>
      <c r="H98" s="9">
        <v>1</v>
      </c>
      <c r="I98" s="8" t="s">
        <v>12</v>
      </c>
      <c r="J98" s="10">
        <v>28853.599999999999</v>
      </c>
      <c r="K98" s="10">
        <v>0</v>
      </c>
      <c r="L98" s="10">
        <v>0</v>
      </c>
      <c r="M98" s="10">
        <v>6059.26</v>
      </c>
      <c r="N98" s="10">
        <v>34912.86</v>
      </c>
      <c r="O98" s="7">
        <f>SUM(J95:J101)</f>
        <v>133991.20000000001</v>
      </c>
    </row>
    <row r="99" spans="1:15">
      <c r="A99" s="4" t="s">
        <v>48</v>
      </c>
      <c r="B99" s="4" t="s">
        <v>9</v>
      </c>
      <c r="C99" s="5">
        <v>3</v>
      </c>
      <c r="D99" s="5">
        <v>6709</v>
      </c>
      <c r="E99" s="5">
        <v>72107787581107</v>
      </c>
      <c r="F99" s="5">
        <v>30679163317</v>
      </c>
      <c r="G99" s="8" t="s">
        <v>21</v>
      </c>
      <c r="H99" s="9">
        <v>1</v>
      </c>
      <c r="I99" s="8" t="s">
        <v>12</v>
      </c>
      <c r="J99" s="10">
        <v>7952.98</v>
      </c>
      <c r="K99" s="10">
        <v>0</v>
      </c>
      <c r="L99" s="10">
        <v>0</v>
      </c>
      <c r="M99" s="10">
        <v>1670.13</v>
      </c>
      <c r="N99" s="10">
        <v>9623.11</v>
      </c>
    </row>
    <row r="100" spans="1:15">
      <c r="A100" s="4" t="s">
        <v>60</v>
      </c>
      <c r="B100" s="4" t="s">
        <v>9</v>
      </c>
      <c r="C100" s="5">
        <v>3</v>
      </c>
      <c r="D100" s="5">
        <v>6715</v>
      </c>
      <c r="E100" s="5">
        <v>72117032786910</v>
      </c>
      <c r="F100" s="5">
        <v>30679163317</v>
      </c>
      <c r="G100" s="8" t="s">
        <v>21</v>
      </c>
      <c r="H100" s="9">
        <v>1</v>
      </c>
      <c r="I100" s="8" t="s">
        <v>12</v>
      </c>
      <c r="J100" s="10">
        <v>9090.91</v>
      </c>
      <c r="K100" s="10">
        <v>0</v>
      </c>
      <c r="L100" s="10">
        <v>0</v>
      </c>
      <c r="M100" s="10">
        <v>1909.09</v>
      </c>
      <c r="N100" s="10">
        <v>11000</v>
      </c>
    </row>
    <row r="101" spans="1:15">
      <c r="A101" s="4" t="s">
        <v>60</v>
      </c>
      <c r="B101" s="4" t="s">
        <v>38</v>
      </c>
      <c r="C101" s="5">
        <v>3</v>
      </c>
      <c r="D101" s="5">
        <v>381</v>
      </c>
      <c r="E101" s="5">
        <v>72117040574464</v>
      </c>
      <c r="F101" s="5">
        <v>30679163317</v>
      </c>
      <c r="G101" s="8" t="s">
        <v>21</v>
      </c>
      <c r="H101" s="9">
        <v>1</v>
      </c>
      <c r="I101" s="8" t="s">
        <v>12</v>
      </c>
      <c r="J101" s="10">
        <v>19999.73</v>
      </c>
      <c r="K101" s="10">
        <v>0</v>
      </c>
      <c r="L101" s="10">
        <v>0</v>
      </c>
      <c r="M101" s="10">
        <v>4199.9399999999996</v>
      </c>
      <c r="N101" s="10">
        <v>24199.67</v>
      </c>
    </row>
    <row r="102" spans="1:15">
      <c r="A102" s="4" t="s">
        <v>81</v>
      </c>
      <c r="B102" s="4" t="s">
        <v>9</v>
      </c>
      <c r="C102" s="5">
        <v>2000</v>
      </c>
      <c r="D102" s="5">
        <v>4033</v>
      </c>
      <c r="E102" s="5">
        <v>72120580262499</v>
      </c>
      <c r="F102" s="5">
        <v>20263507690</v>
      </c>
      <c r="G102" s="4" t="s">
        <v>86</v>
      </c>
      <c r="H102" s="5">
        <v>1</v>
      </c>
      <c r="I102" s="4" t="s">
        <v>12</v>
      </c>
      <c r="J102" s="6">
        <v>16684.599999999999</v>
      </c>
      <c r="K102" s="6">
        <v>0</v>
      </c>
      <c r="L102" s="6">
        <v>0</v>
      </c>
      <c r="M102" s="6">
        <v>3503.76</v>
      </c>
      <c r="N102" s="6">
        <v>20188.36</v>
      </c>
    </row>
    <row r="103" spans="1:15">
      <c r="A103" s="4" t="s">
        <v>99</v>
      </c>
      <c r="B103" s="4" t="s">
        <v>9</v>
      </c>
      <c r="C103" s="5">
        <v>3</v>
      </c>
      <c r="D103" s="5">
        <v>8726</v>
      </c>
      <c r="E103" s="5">
        <v>72139107622810</v>
      </c>
      <c r="F103" s="5">
        <v>30707322949</v>
      </c>
      <c r="G103" s="4" t="s">
        <v>101</v>
      </c>
      <c r="H103" s="5">
        <v>1</v>
      </c>
      <c r="I103" s="4" t="s">
        <v>12</v>
      </c>
      <c r="J103" s="6">
        <v>6661.16</v>
      </c>
      <c r="K103" s="6">
        <v>0</v>
      </c>
      <c r="L103" s="6">
        <v>0</v>
      </c>
      <c r="M103" s="6">
        <v>1398.84</v>
      </c>
      <c r="N103" s="6">
        <v>8060</v>
      </c>
    </row>
    <row r="104" spans="1:15">
      <c r="A104" s="4" t="s">
        <v>106</v>
      </c>
      <c r="B104" s="4" t="s">
        <v>9</v>
      </c>
      <c r="C104" s="5">
        <v>6</v>
      </c>
      <c r="D104" s="5">
        <v>18333</v>
      </c>
      <c r="E104" s="5">
        <v>72135286881773</v>
      </c>
      <c r="F104" s="5">
        <v>30709407895</v>
      </c>
      <c r="G104" s="4" t="s">
        <v>109</v>
      </c>
      <c r="H104" s="5">
        <v>1</v>
      </c>
      <c r="I104" s="4" t="s">
        <v>12</v>
      </c>
      <c r="J104" s="6">
        <v>4694.55</v>
      </c>
      <c r="K104" s="6">
        <v>0</v>
      </c>
      <c r="L104" s="6">
        <v>0</v>
      </c>
      <c r="M104" s="6">
        <v>985.86</v>
      </c>
      <c r="N104" s="6">
        <v>5680.41</v>
      </c>
    </row>
    <row r="105" spans="1:15">
      <c r="A105" s="4" t="s">
        <v>8</v>
      </c>
      <c r="B105" s="4" t="s">
        <v>9</v>
      </c>
      <c r="C105" s="5">
        <v>1669</v>
      </c>
      <c r="D105" s="5">
        <v>4743</v>
      </c>
      <c r="E105" s="5">
        <v>72099996196684</v>
      </c>
      <c r="F105" s="5">
        <v>30589621499</v>
      </c>
      <c r="G105" s="4" t="s">
        <v>17</v>
      </c>
      <c r="H105" s="5">
        <v>1</v>
      </c>
      <c r="I105" s="4" t="s">
        <v>12</v>
      </c>
      <c r="J105" s="6">
        <v>12507.94</v>
      </c>
      <c r="K105" s="6">
        <v>121.24</v>
      </c>
      <c r="L105" s="6">
        <v>0</v>
      </c>
      <c r="M105" s="6">
        <v>2585.62</v>
      </c>
      <c r="N105" s="6">
        <v>16584.810000000001</v>
      </c>
    </row>
    <row r="106" spans="1:15">
      <c r="A106" s="4" t="s">
        <v>32</v>
      </c>
      <c r="B106" s="4" t="s">
        <v>9</v>
      </c>
      <c r="C106" s="5">
        <v>1667</v>
      </c>
      <c r="D106" s="5">
        <v>16081</v>
      </c>
      <c r="E106" s="5">
        <v>72109515848764</v>
      </c>
      <c r="F106" s="5">
        <v>30589621499</v>
      </c>
      <c r="G106" s="4" t="s">
        <v>17</v>
      </c>
      <c r="H106" s="5">
        <v>1</v>
      </c>
      <c r="I106" s="4" t="s">
        <v>12</v>
      </c>
      <c r="J106" s="6">
        <v>16670.14</v>
      </c>
      <c r="K106" s="6">
        <v>27</v>
      </c>
      <c r="L106" s="6">
        <v>0</v>
      </c>
      <c r="M106" s="6">
        <v>3500.73</v>
      </c>
      <c r="N106" s="6">
        <v>21698.18</v>
      </c>
    </row>
    <row r="107" spans="1:15">
      <c r="A107" s="4" t="s">
        <v>68</v>
      </c>
      <c r="B107" s="4" t="s">
        <v>9</v>
      </c>
      <c r="C107" s="5">
        <v>1665</v>
      </c>
      <c r="D107" s="5">
        <v>15095</v>
      </c>
      <c r="E107" s="5">
        <v>72119217897541</v>
      </c>
      <c r="F107" s="5">
        <v>30589621499</v>
      </c>
      <c r="G107" s="4" t="s">
        <v>17</v>
      </c>
      <c r="H107" s="5">
        <v>1</v>
      </c>
      <c r="I107" s="4" t="s">
        <v>12</v>
      </c>
      <c r="J107" s="6">
        <v>9045.84</v>
      </c>
      <c r="K107" s="6">
        <v>0</v>
      </c>
      <c r="L107" s="6">
        <v>0</v>
      </c>
      <c r="M107" s="6">
        <v>1821.28</v>
      </c>
      <c r="N107" s="6">
        <v>11670.05</v>
      </c>
    </row>
    <row r="108" spans="1:15">
      <c r="A108" s="4" t="s">
        <v>106</v>
      </c>
      <c r="B108" s="4" t="s">
        <v>9</v>
      </c>
      <c r="C108" s="5">
        <v>2</v>
      </c>
      <c r="D108" s="5">
        <v>1282</v>
      </c>
      <c r="E108" s="5">
        <v>72132261967551</v>
      </c>
      <c r="F108" s="5">
        <v>30717110052</v>
      </c>
      <c r="G108" s="4" t="s">
        <v>107</v>
      </c>
      <c r="H108" s="5">
        <v>1</v>
      </c>
      <c r="I108" s="4" t="s">
        <v>12</v>
      </c>
      <c r="J108" s="6">
        <v>96.73</v>
      </c>
      <c r="K108" s="6">
        <v>0</v>
      </c>
      <c r="L108" s="6">
        <v>0</v>
      </c>
      <c r="M108" s="6">
        <v>20.309999999999999</v>
      </c>
      <c r="N108" s="6">
        <v>117.04</v>
      </c>
    </row>
    <row r="109" spans="1:15">
      <c r="A109" s="4" t="s">
        <v>53</v>
      </c>
      <c r="B109" s="4" t="s">
        <v>9</v>
      </c>
      <c r="C109" s="5">
        <v>7</v>
      </c>
      <c r="D109" s="5">
        <v>3150</v>
      </c>
      <c r="E109" s="5">
        <v>72111975242635</v>
      </c>
      <c r="F109" s="5">
        <v>20149021591</v>
      </c>
      <c r="G109" s="8" t="s">
        <v>54</v>
      </c>
      <c r="H109" s="9">
        <v>1</v>
      </c>
      <c r="I109" s="8" t="s">
        <v>12</v>
      </c>
      <c r="J109" s="10">
        <v>65205</v>
      </c>
      <c r="K109" s="10">
        <v>0</v>
      </c>
      <c r="L109" s="10">
        <v>0</v>
      </c>
      <c r="M109" s="10">
        <v>13693.05</v>
      </c>
      <c r="N109" s="10">
        <v>78898.05</v>
      </c>
    </row>
    <row r="110" spans="1:15">
      <c r="A110" s="4" t="s">
        <v>48</v>
      </c>
      <c r="B110" s="4" t="s">
        <v>9</v>
      </c>
      <c r="C110" s="5">
        <v>2</v>
      </c>
      <c r="D110" s="5">
        <v>3008</v>
      </c>
      <c r="E110" s="5">
        <v>72101773072844</v>
      </c>
      <c r="F110" s="5">
        <v>30629863571</v>
      </c>
      <c r="G110" s="8" t="s">
        <v>49</v>
      </c>
      <c r="H110" s="9">
        <v>1</v>
      </c>
      <c r="I110" s="8" t="s">
        <v>12</v>
      </c>
      <c r="J110" s="10">
        <v>72405.2</v>
      </c>
      <c r="K110" s="10">
        <v>0</v>
      </c>
      <c r="L110" s="10">
        <v>0</v>
      </c>
      <c r="M110" s="10">
        <v>15205.09</v>
      </c>
      <c r="N110" s="10">
        <v>87610.29</v>
      </c>
    </row>
    <row r="111" spans="1:15">
      <c r="A111" s="4" t="s">
        <v>64</v>
      </c>
      <c r="B111" s="4" t="s">
        <v>9</v>
      </c>
      <c r="C111" s="5">
        <v>2</v>
      </c>
      <c r="D111" s="5">
        <v>3016</v>
      </c>
      <c r="E111" s="5">
        <v>72111281955007</v>
      </c>
      <c r="F111" s="5">
        <v>30629863571</v>
      </c>
      <c r="G111" s="8" t="s">
        <v>49</v>
      </c>
      <c r="H111" s="9">
        <v>1</v>
      </c>
      <c r="I111" s="8" t="s">
        <v>12</v>
      </c>
      <c r="J111" s="10">
        <v>324520.15999999997</v>
      </c>
      <c r="K111" s="10">
        <v>0</v>
      </c>
      <c r="L111" s="10">
        <v>0</v>
      </c>
      <c r="M111" s="10">
        <v>68149.240000000005</v>
      </c>
      <c r="N111" s="10">
        <v>392669.4</v>
      </c>
    </row>
    <row r="112" spans="1:15">
      <c r="A112" s="4" t="s">
        <v>91</v>
      </c>
      <c r="B112" s="4" t="s">
        <v>9</v>
      </c>
      <c r="C112" s="5">
        <v>2</v>
      </c>
      <c r="D112" s="5">
        <v>3018</v>
      </c>
      <c r="E112" s="5">
        <v>72131071981364</v>
      </c>
      <c r="F112" s="5">
        <v>30629863571</v>
      </c>
      <c r="G112" s="8" t="s">
        <v>49</v>
      </c>
      <c r="H112" s="9">
        <v>1</v>
      </c>
      <c r="I112" s="8" t="s">
        <v>12</v>
      </c>
      <c r="J112" s="10">
        <v>162699.06</v>
      </c>
      <c r="K112" s="10">
        <v>0</v>
      </c>
      <c r="L112" s="10">
        <v>0</v>
      </c>
      <c r="M112" s="10">
        <v>34166.81</v>
      </c>
      <c r="N112" s="10">
        <v>196865.87</v>
      </c>
      <c r="O112" s="7">
        <f>SUM(J109:J115)</f>
        <v>994579.30999999994</v>
      </c>
    </row>
    <row r="113" spans="1:14">
      <c r="A113" s="4" t="s">
        <v>91</v>
      </c>
      <c r="B113" s="4" t="s">
        <v>9</v>
      </c>
      <c r="C113" s="5">
        <v>2</v>
      </c>
      <c r="D113" s="5">
        <v>3020</v>
      </c>
      <c r="E113" s="5">
        <v>72131073415712</v>
      </c>
      <c r="F113" s="5">
        <v>30629863571</v>
      </c>
      <c r="G113" s="8" t="s">
        <v>49</v>
      </c>
      <c r="H113" s="9">
        <v>1</v>
      </c>
      <c r="I113" s="8" t="s">
        <v>12</v>
      </c>
      <c r="J113" s="10">
        <v>181278.76</v>
      </c>
      <c r="K113" s="10">
        <v>0</v>
      </c>
      <c r="L113" s="10">
        <v>0</v>
      </c>
      <c r="M113" s="10">
        <v>38068.54</v>
      </c>
      <c r="N113" s="10">
        <v>219347.3</v>
      </c>
    </row>
    <row r="114" spans="1:14">
      <c r="A114" s="4" t="s">
        <v>97</v>
      </c>
      <c r="B114" s="4" t="s">
        <v>9</v>
      </c>
      <c r="C114" s="5">
        <v>2</v>
      </c>
      <c r="D114" s="5">
        <v>3023</v>
      </c>
      <c r="E114" s="5">
        <v>72131074575784</v>
      </c>
      <c r="F114" s="5">
        <v>30629863571</v>
      </c>
      <c r="G114" s="8" t="s">
        <v>49</v>
      </c>
      <c r="H114" s="9">
        <v>1</v>
      </c>
      <c r="I114" s="8" t="s">
        <v>12</v>
      </c>
      <c r="J114" s="10">
        <v>98333.66</v>
      </c>
      <c r="K114" s="10">
        <v>0</v>
      </c>
      <c r="L114" s="10">
        <v>0</v>
      </c>
      <c r="M114" s="10">
        <v>20650.07</v>
      </c>
      <c r="N114" s="10">
        <v>118983.73</v>
      </c>
    </row>
    <row r="115" spans="1:14">
      <c r="A115" s="4" t="s">
        <v>106</v>
      </c>
      <c r="B115" s="4" t="s">
        <v>9</v>
      </c>
      <c r="C115" s="5">
        <v>2</v>
      </c>
      <c r="D115" s="5">
        <v>3029</v>
      </c>
      <c r="E115" s="5">
        <v>72131361386940</v>
      </c>
      <c r="F115" s="5">
        <v>30629863571</v>
      </c>
      <c r="G115" s="8" t="s">
        <v>49</v>
      </c>
      <c r="H115" s="9">
        <v>1</v>
      </c>
      <c r="I115" s="8" t="s">
        <v>12</v>
      </c>
      <c r="J115" s="10">
        <v>90137.47</v>
      </c>
      <c r="K115" s="10">
        <v>0</v>
      </c>
      <c r="L115" s="10">
        <v>0</v>
      </c>
      <c r="M115" s="10">
        <v>18928.88</v>
      </c>
      <c r="N115" s="10">
        <v>109066.35</v>
      </c>
    </row>
    <row r="116" spans="1:14">
      <c r="A116" s="4" t="s">
        <v>22</v>
      </c>
      <c r="B116" s="4" t="s">
        <v>9</v>
      </c>
      <c r="C116" s="5">
        <v>63</v>
      </c>
      <c r="D116" s="5">
        <v>1848583</v>
      </c>
      <c r="E116" s="5">
        <v>72107668034254</v>
      </c>
      <c r="F116" s="5">
        <v>30640897267</v>
      </c>
      <c r="G116" s="4" t="s">
        <v>24</v>
      </c>
      <c r="H116" s="5">
        <v>1</v>
      </c>
      <c r="I116" s="4" t="s">
        <v>12</v>
      </c>
      <c r="J116" s="6">
        <v>4425.45</v>
      </c>
      <c r="K116" s="6">
        <v>0</v>
      </c>
      <c r="L116" s="6">
        <v>0</v>
      </c>
      <c r="M116" s="6">
        <v>929.35</v>
      </c>
      <c r="N116" s="6">
        <v>5753.09</v>
      </c>
    </row>
    <row r="117" spans="1:14">
      <c r="A117" s="4" t="s">
        <v>22</v>
      </c>
      <c r="B117" s="4" t="s">
        <v>9</v>
      </c>
      <c r="C117" s="5">
        <v>63</v>
      </c>
      <c r="D117" s="5">
        <v>1848734</v>
      </c>
      <c r="E117" s="5">
        <v>72107668057342</v>
      </c>
      <c r="F117" s="5">
        <v>30640897267</v>
      </c>
      <c r="G117" s="4" t="s">
        <v>24</v>
      </c>
      <c r="H117" s="5">
        <v>1</v>
      </c>
      <c r="I117" s="4" t="s">
        <v>12</v>
      </c>
      <c r="J117" s="6">
        <v>4180</v>
      </c>
      <c r="K117" s="6">
        <v>0</v>
      </c>
      <c r="L117" s="6">
        <v>0</v>
      </c>
      <c r="M117" s="6">
        <v>877.8</v>
      </c>
      <c r="N117" s="6">
        <v>5434</v>
      </c>
    </row>
    <row r="118" spans="1:14">
      <c r="A118" s="4" t="s">
        <v>22</v>
      </c>
      <c r="B118" s="4" t="s">
        <v>9</v>
      </c>
      <c r="C118" s="5">
        <v>63</v>
      </c>
      <c r="D118" s="5">
        <v>1849175</v>
      </c>
      <c r="E118" s="5">
        <v>72107668110015</v>
      </c>
      <c r="F118" s="5">
        <v>30640897267</v>
      </c>
      <c r="G118" s="4" t="s">
        <v>24</v>
      </c>
      <c r="H118" s="5">
        <v>1</v>
      </c>
      <c r="I118" s="4" t="s">
        <v>12</v>
      </c>
      <c r="J118" s="6">
        <v>4425.45</v>
      </c>
      <c r="K118" s="6">
        <v>0</v>
      </c>
      <c r="L118" s="6">
        <v>0</v>
      </c>
      <c r="M118" s="6">
        <v>929.35</v>
      </c>
      <c r="N118" s="6">
        <v>5753.09</v>
      </c>
    </row>
    <row r="119" spans="1:14">
      <c r="A119" s="4" t="s">
        <v>43</v>
      </c>
      <c r="B119" s="4" t="s">
        <v>9</v>
      </c>
      <c r="C119" s="5">
        <v>6364</v>
      </c>
      <c r="D119" s="5">
        <v>5906592</v>
      </c>
      <c r="E119" s="5">
        <v>72108736866023</v>
      </c>
      <c r="F119" s="5">
        <v>30639453738</v>
      </c>
      <c r="G119" s="4" t="s">
        <v>46</v>
      </c>
      <c r="H119" s="5">
        <v>1</v>
      </c>
      <c r="I119" s="4" t="s">
        <v>12</v>
      </c>
      <c r="J119" s="6">
        <v>31773.13</v>
      </c>
      <c r="K119" s="6">
        <v>2.08</v>
      </c>
      <c r="L119" s="6">
        <v>0</v>
      </c>
      <c r="M119" s="6">
        <v>6760.63</v>
      </c>
      <c r="N119" s="6">
        <v>41321.25</v>
      </c>
    </row>
    <row r="120" spans="1:14">
      <c r="A120" s="4" t="s">
        <v>60</v>
      </c>
      <c r="B120" s="4" t="s">
        <v>9</v>
      </c>
      <c r="C120" s="5">
        <v>6723</v>
      </c>
      <c r="D120" s="5">
        <v>3521159</v>
      </c>
      <c r="E120" s="5">
        <v>72118141502003</v>
      </c>
      <c r="F120" s="5">
        <v>30639453738</v>
      </c>
      <c r="G120" s="4" t="s">
        <v>46</v>
      </c>
      <c r="H120" s="5">
        <v>1</v>
      </c>
      <c r="I120" s="4" t="s">
        <v>12</v>
      </c>
      <c r="J120" s="6">
        <v>6850</v>
      </c>
      <c r="K120" s="6">
        <v>0</v>
      </c>
      <c r="L120" s="6">
        <v>0</v>
      </c>
      <c r="M120" s="6">
        <v>1438.5</v>
      </c>
      <c r="N120" s="6">
        <v>8905</v>
      </c>
    </row>
    <row r="121" spans="1:14">
      <c r="A121" s="4" t="s">
        <v>60</v>
      </c>
      <c r="B121" s="4" t="s">
        <v>9</v>
      </c>
      <c r="C121" s="5">
        <v>6723</v>
      </c>
      <c r="D121" s="5">
        <v>3529119</v>
      </c>
      <c r="E121" s="5">
        <v>72118142446511</v>
      </c>
      <c r="F121" s="5">
        <v>30639453738</v>
      </c>
      <c r="G121" s="4" t="s">
        <v>46</v>
      </c>
      <c r="H121" s="5">
        <v>1</v>
      </c>
      <c r="I121" s="4" t="s">
        <v>12</v>
      </c>
      <c r="J121" s="6">
        <v>5100</v>
      </c>
      <c r="K121" s="6">
        <v>0</v>
      </c>
      <c r="L121" s="6">
        <v>0</v>
      </c>
      <c r="M121" s="6">
        <v>1071</v>
      </c>
      <c r="N121" s="6">
        <v>6324</v>
      </c>
    </row>
    <row r="122" spans="1:14">
      <c r="A122" s="4" t="s">
        <v>60</v>
      </c>
      <c r="B122" s="4" t="s">
        <v>9</v>
      </c>
      <c r="C122" s="5">
        <v>6723</v>
      </c>
      <c r="D122" s="5">
        <v>3555721</v>
      </c>
      <c r="E122" s="5">
        <v>72118145670317</v>
      </c>
      <c r="F122" s="5">
        <v>30639453738</v>
      </c>
      <c r="G122" s="4" t="s">
        <v>46</v>
      </c>
      <c r="H122" s="5">
        <v>1</v>
      </c>
      <c r="I122" s="4" t="s">
        <v>12</v>
      </c>
      <c r="J122" s="6">
        <v>6850</v>
      </c>
      <c r="K122" s="6">
        <v>0</v>
      </c>
      <c r="L122" s="6">
        <v>0</v>
      </c>
      <c r="M122" s="6">
        <v>1438.5</v>
      </c>
      <c r="N122" s="6">
        <v>8905</v>
      </c>
    </row>
    <row r="123" spans="1:14">
      <c r="A123" s="4" t="s">
        <v>87</v>
      </c>
      <c r="B123" s="4" t="s">
        <v>9</v>
      </c>
      <c r="C123" s="5">
        <v>6338</v>
      </c>
      <c r="D123" s="5">
        <v>190245</v>
      </c>
      <c r="E123" s="5">
        <v>72128684756316</v>
      </c>
      <c r="F123" s="5">
        <v>30639453738</v>
      </c>
      <c r="G123" s="4" t="s">
        <v>46</v>
      </c>
      <c r="H123" s="5">
        <v>1</v>
      </c>
      <c r="I123" s="4" t="s">
        <v>12</v>
      </c>
      <c r="J123" s="6">
        <v>0.01</v>
      </c>
      <c r="K123" s="6">
        <v>0</v>
      </c>
      <c r="L123" s="6">
        <v>0</v>
      </c>
      <c r="M123" s="6">
        <v>0.01</v>
      </c>
      <c r="N123" s="6">
        <v>0.01</v>
      </c>
    </row>
    <row r="124" spans="1:14">
      <c r="A124" s="4" t="s">
        <v>18</v>
      </c>
      <c r="B124" s="4" t="s">
        <v>9</v>
      </c>
      <c r="C124" s="5">
        <v>943</v>
      </c>
      <c r="D124" s="5">
        <v>946746</v>
      </c>
      <c r="E124" s="5">
        <v>72105313465021</v>
      </c>
      <c r="F124" s="5">
        <v>30639453975</v>
      </c>
      <c r="G124" s="4" t="s">
        <v>19</v>
      </c>
      <c r="H124" s="5">
        <v>1</v>
      </c>
      <c r="I124" s="4" t="s">
        <v>12</v>
      </c>
      <c r="J124" s="6">
        <v>7838.92</v>
      </c>
      <c r="K124" s="6">
        <v>0</v>
      </c>
      <c r="L124" s="6">
        <v>0</v>
      </c>
      <c r="M124" s="6">
        <v>2116.5100000000002</v>
      </c>
      <c r="N124" s="6">
        <v>10660.94</v>
      </c>
    </row>
    <row r="125" spans="1:14">
      <c r="A125" s="4" t="s">
        <v>37</v>
      </c>
      <c r="B125" s="4" t="s">
        <v>9</v>
      </c>
      <c r="C125" s="5">
        <v>948</v>
      </c>
      <c r="D125" s="5">
        <v>594986</v>
      </c>
      <c r="E125" s="5">
        <v>72105720308051</v>
      </c>
      <c r="F125" s="5">
        <v>30639453975</v>
      </c>
      <c r="G125" s="4" t="s">
        <v>19</v>
      </c>
      <c r="H125" s="5">
        <v>1</v>
      </c>
      <c r="I125" s="4" t="s">
        <v>12</v>
      </c>
      <c r="J125" s="6">
        <v>2418.8000000000002</v>
      </c>
      <c r="K125" s="6">
        <v>0</v>
      </c>
      <c r="L125" s="6">
        <v>0</v>
      </c>
      <c r="M125" s="6">
        <v>653.08000000000004</v>
      </c>
      <c r="N125" s="6">
        <v>3289.57</v>
      </c>
    </row>
    <row r="126" spans="1:14">
      <c r="A126" s="4" t="s">
        <v>53</v>
      </c>
      <c r="B126" s="4" t="s">
        <v>9</v>
      </c>
      <c r="C126" s="5">
        <v>331</v>
      </c>
      <c r="D126" s="5">
        <v>371626</v>
      </c>
      <c r="E126" s="5">
        <v>32098598180332</v>
      </c>
      <c r="F126" s="5">
        <v>30579939008</v>
      </c>
      <c r="G126" s="4" t="s">
        <v>56</v>
      </c>
      <c r="H126" s="5">
        <v>1</v>
      </c>
      <c r="I126" s="4" t="s">
        <v>12</v>
      </c>
      <c r="J126" s="6">
        <v>5312.56</v>
      </c>
      <c r="K126" s="6">
        <v>0</v>
      </c>
      <c r="L126" s="6">
        <v>0</v>
      </c>
      <c r="M126" s="6">
        <v>1115.6400000000001</v>
      </c>
      <c r="N126" s="6">
        <v>6428.2</v>
      </c>
    </row>
    <row r="127" spans="1:14">
      <c r="A127" s="4" t="s">
        <v>77</v>
      </c>
      <c r="B127" s="4" t="s">
        <v>9</v>
      </c>
      <c r="C127" s="5">
        <v>331</v>
      </c>
      <c r="D127" s="5">
        <v>372572</v>
      </c>
      <c r="E127" s="5">
        <v>32108445478535</v>
      </c>
      <c r="F127" s="5">
        <v>30579939008</v>
      </c>
      <c r="G127" s="4" t="s">
        <v>56</v>
      </c>
      <c r="H127" s="5">
        <v>1</v>
      </c>
      <c r="I127" s="4" t="s">
        <v>12</v>
      </c>
      <c r="J127" s="6">
        <v>5056.05</v>
      </c>
      <c r="K127" s="6">
        <v>0</v>
      </c>
      <c r="L127" s="6">
        <v>0</v>
      </c>
      <c r="M127" s="6">
        <v>1061.77</v>
      </c>
      <c r="N127" s="6">
        <v>6117.82</v>
      </c>
    </row>
    <row r="128" spans="1:14">
      <c r="A128" s="4" t="s">
        <v>81</v>
      </c>
      <c r="B128" s="4" t="s">
        <v>9</v>
      </c>
      <c r="C128" s="5">
        <v>5</v>
      </c>
      <c r="D128" s="5">
        <v>8670</v>
      </c>
      <c r="E128" s="5">
        <v>72129594102741</v>
      </c>
      <c r="F128" s="5">
        <v>20936626549</v>
      </c>
      <c r="G128" s="4" t="s">
        <v>85</v>
      </c>
      <c r="H128" s="5">
        <v>1</v>
      </c>
      <c r="I128" s="4" t="s">
        <v>12</v>
      </c>
      <c r="J128" s="6">
        <v>892.56</v>
      </c>
      <c r="K128" s="6">
        <v>0</v>
      </c>
      <c r="L128" s="6">
        <v>0</v>
      </c>
      <c r="M128" s="6">
        <v>187.44</v>
      </c>
      <c r="N128" s="6">
        <v>1080</v>
      </c>
    </row>
    <row r="129" spans="1:16">
      <c r="A129" s="4" t="s">
        <v>73</v>
      </c>
      <c r="B129" s="4" t="s">
        <v>75</v>
      </c>
      <c r="C129" s="5">
        <v>2</v>
      </c>
      <c r="D129" s="5">
        <v>135</v>
      </c>
      <c r="E129" s="5">
        <v>72114322711077</v>
      </c>
      <c r="F129" s="5">
        <v>27173334414</v>
      </c>
      <c r="G129" s="4" t="s">
        <v>76</v>
      </c>
      <c r="H129" s="5">
        <v>1</v>
      </c>
      <c r="I129" s="4" t="s">
        <v>12</v>
      </c>
      <c r="J129" s="6"/>
      <c r="K129" s="6"/>
      <c r="L129" s="6"/>
      <c r="M129" s="6"/>
      <c r="N129" s="6">
        <v>4000</v>
      </c>
    </row>
    <row r="130" spans="1:16">
      <c r="A130" s="4" t="s">
        <v>37</v>
      </c>
      <c r="B130" s="4" t="s">
        <v>38</v>
      </c>
      <c r="C130" s="5">
        <v>2</v>
      </c>
      <c r="D130" s="5">
        <v>131</v>
      </c>
      <c r="E130" s="5">
        <v>72102593454225</v>
      </c>
      <c r="F130" s="5">
        <v>30715811622</v>
      </c>
      <c r="G130" s="8" t="s">
        <v>39</v>
      </c>
      <c r="H130" s="9">
        <v>1</v>
      </c>
      <c r="I130" s="8" t="s">
        <v>12</v>
      </c>
      <c r="J130" s="10">
        <v>36840.78</v>
      </c>
      <c r="K130" s="10">
        <v>0</v>
      </c>
      <c r="L130" s="10">
        <v>0</v>
      </c>
      <c r="M130" s="10">
        <v>7736.56</v>
      </c>
      <c r="N130" s="10">
        <v>44577.34</v>
      </c>
      <c r="O130" s="7">
        <f>SUM(J130:J131)</f>
        <v>112460.61</v>
      </c>
    </row>
    <row r="131" spans="1:16">
      <c r="A131" s="4" t="s">
        <v>37</v>
      </c>
      <c r="B131" s="4" t="s">
        <v>9</v>
      </c>
      <c r="C131" s="5">
        <v>2</v>
      </c>
      <c r="D131" s="5">
        <v>1720</v>
      </c>
      <c r="E131" s="5">
        <v>72102592901661</v>
      </c>
      <c r="F131" s="5">
        <v>30715811622</v>
      </c>
      <c r="G131" s="8" t="s">
        <v>39</v>
      </c>
      <c r="H131" s="9">
        <v>1</v>
      </c>
      <c r="I131" s="8" t="s">
        <v>12</v>
      </c>
      <c r="J131" s="10">
        <v>75619.83</v>
      </c>
      <c r="K131" s="10">
        <v>0</v>
      </c>
      <c r="L131" s="10">
        <v>0</v>
      </c>
      <c r="M131" s="10">
        <v>15880.16</v>
      </c>
      <c r="N131" s="10">
        <v>91499.99</v>
      </c>
    </row>
    <row r="132" spans="1:16">
      <c r="J132" s="7">
        <f>SUM(J3:J131)</f>
        <v>3967013.33</v>
      </c>
      <c r="K132" s="7">
        <f t="shared" ref="K132:O132" si="0">SUM(K3:K131)</f>
        <v>950.06000000000006</v>
      </c>
      <c r="L132" s="7">
        <f t="shared" si="0"/>
        <v>215986.61</v>
      </c>
      <c r="M132" s="7">
        <f t="shared" si="0"/>
        <v>805095.34000000008</v>
      </c>
      <c r="O132" s="7">
        <f t="shared" si="0"/>
        <v>3354152.69</v>
      </c>
      <c r="P132" s="7">
        <f>J132-O132</f>
        <v>612860.64000000013</v>
      </c>
    </row>
    <row r="133" spans="1:16">
      <c r="N133" s="7">
        <f>SUM(N3:N131)</f>
        <v>5441577.0000000009</v>
      </c>
    </row>
  </sheetData>
  <sortState ref="A3:N131">
    <sortCondition ref="G3:G131"/>
  </sortState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234</dc:creator>
  <cp:lastModifiedBy>123</cp:lastModifiedBy>
  <dcterms:created xsi:type="dcterms:W3CDTF">2022-09-05T20:35:23Z</dcterms:created>
  <dcterms:modified xsi:type="dcterms:W3CDTF">2022-09-05T23:33:34Z</dcterms:modified>
</cp:coreProperties>
</file>