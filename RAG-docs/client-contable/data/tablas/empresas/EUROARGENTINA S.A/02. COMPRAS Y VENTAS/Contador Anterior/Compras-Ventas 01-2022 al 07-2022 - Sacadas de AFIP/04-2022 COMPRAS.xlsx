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19440" windowHeight="13740" tabRatio="50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O120" i="1" l="1"/>
  <c r="O116" i="1"/>
  <c r="O99" i="1"/>
  <c r="O90" i="1"/>
  <c r="O82" i="1"/>
  <c r="O74" i="1"/>
  <c r="O62" i="1"/>
  <c r="O55" i="1"/>
  <c r="O53" i="1"/>
  <c r="O47" i="1"/>
  <c r="O41" i="1"/>
  <c r="O36" i="1"/>
  <c r="O22" i="1"/>
  <c r="O12" i="1"/>
  <c r="N124" i="1"/>
  <c r="M123" i="1"/>
  <c r="L123" i="1"/>
  <c r="K123" i="1"/>
  <c r="J123" i="1"/>
  <c r="O123" i="1" l="1"/>
  <c r="P123" i="1" s="1"/>
</calcChain>
</file>

<file path=xl/sharedStrings.xml><?xml version="1.0" encoding="utf-8"?>
<sst xmlns="http://schemas.openxmlformats.org/spreadsheetml/2006/main" count="495" uniqueCount="122">
  <si>
    <t>Mis Comprobantes Recibidos - CUIT 30663486051</t>
  </si>
  <si>
    <t>Fecha</t>
  </si>
  <si>
    <t>Tipo</t>
  </si>
  <si>
    <t>Cód. Autorización</t>
  </si>
  <si>
    <t>Denominación Emisor</t>
  </si>
  <si>
    <t>Moneda</t>
  </si>
  <si>
    <t>IVA</t>
  </si>
  <si>
    <t>Imp. Total</t>
  </si>
  <si>
    <t>01/04/2022</t>
  </si>
  <si>
    <t>1 - Factura A</t>
  </si>
  <si>
    <t>CUIT</t>
  </si>
  <si>
    <t>RITACCO RODRIGO NICOLAS</t>
  </si>
  <si>
    <t>$</t>
  </si>
  <si>
    <t>H UNO 1469 S.A.</t>
  </si>
  <si>
    <t>CENCOSUD S A</t>
  </si>
  <si>
    <t>PREISMAN MANUELA VERONICA</t>
  </si>
  <si>
    <t>CHAMORRO MANUEL</t>
  </si>
  <si>
    <t>CHAMEN ADOLFO DANIEL</t>
  </si>
  <si>
    <t>GLOBAL AESTHETICS PRODUCTS AND SERVICES SRL</t>
  </si>
  <si>
    <t>02/04/2022</t>
  </si>
  <si>
    <t>AUTOPISTAS URBANAS S A</t>
  </si>
  <si>
    <t>AUTOPISTAS DE BUENOS AIRES (AUBASA) SA</t>
  </si>
  <si>
    <t>03/04/2022</t>
  </si>
  <si>
    <t>TELEFONICA DE ARGENTINA SA</t>
  </si>
  <si>
    <t>COTO CENTRO INTEGRAL DE COMERCIALIZACION SOCIEDAD ANONIMA</t>
  </si>
  <si>
    <t>04/04/2022</t>
  </si>
  <si>
    <t>GRUPO CONCESIONARIO DEL OESTE SA</t>
  </si>
  <si>
    <t>FARBER HERMAN</t>
  </si>
  <si>
    <t>3 - Nota de Crédito A</t>
  </si>
  <si>
    <t>UNION QUIMICA ARGENTINA S R L</t>
  </si>
  <si>
    <t>AUTOPISTAS DEL SOL S A</t>
  </si>
  <si>
    <t>LNG GAS . S . A .</t>
  </si>
  <si>
    <t>MAGEL S A</t>
  </si>
  <si>
    <t>USD</t>
  </si>
  <si>
    <t>05/04/2022</t>
  </si>
  <si>
    <t>K.R. S. R. L.</t>
  </si>
  <si>
    <t>TELECENTRO S A</t>
  </si>
  <si>
    <t>CODAC SRL</t>
  </si>
  <si>
    <t>NUAGE SYSTEMS S.A.</t>
  </si>
  <si>
    <t>06/04/2022</t>
  </si>
  <si>
    <t>TECNIMAR S R L</t>
  </si>
  <si>
    <t>11 - Factura C</t>
  </si>
  <si>
    <t>MARQUEZ FACUNDO EZEQUIEL</t>
  </si>
  <si>
    <t>DISTRIBUIDORA N.G. S.A.</t>
  </si>
  <si>
    <t>IT BROKERS S.A.</t>
  </si>
  <si>
    <t>EGEO SOCIEDAD DE RESPONSABILIDAD LIMITADA</t>
  </si>
  <si>
    <t>FRAVEGA S A C I E I</t>
  </si>
  <si>
    <t>DEHEZA SOCIEDAD ANONIMA INDUSTRIAL COMERCIAL FINANCIERA INMOBILIARIA</t>
  </si>
  <si>
    <t>07/04/2022</t>
  </si>
  <si>
    <t>BATTELLINI MARIA SOLEDAD</t>
  </si>
  <si>
    <t>15 - Recibo C</t>
  </si>
  <si>
    <t>URRETAVIZCAYA ADRIANA</t>
  </si>
  <si>
    <t>08/04/2022</t>
  </si>
  <si>
    <t>UNTECO S.A.I.C. E I.</t>
  </si>
  <si>
    <t>ABRALDES DIEGO ROBERTO</t>
  </si>
  <si>
    <t>09/04/2022</t>
  </si>
  <si>
    <t>MASORIENTE SRL</t>
  </si>
  <si>
    <t>10/04/2022</t>
  </si>
  <si>
    <t>POSNET SOCIEDAD DE RESPONSABILIDAD LIMITADA</t>
  </si>
  <si>
    <t>TELECOM ARGENTINA SOCIEDAD ANONIMA</t>
  </si>
  <si>
    <t>11/04/2022</t>
  </si>
  <si>
    <t>CORREO OFICIAL DE LA REPUBLICA ARGENTINA SOCIEDAD ANONIMA</t>
  </si>
  <si>
    <t>ENSAMBLE GRAFICO S.H.</t>
  </si>
  <si>
    <t>VABAR LIN SRL</t>
  </si>
  <si>
    <t>12/04/2022</t>
  </si>
  <si>
    <t>REPETTO MARIA FERNANDA</t>
  </si>
  <si>
    <t>GANADERA EL 13 S.R.L</t>
  </si>
  <si>
    <t>GESTORIA OLIVERA WELLS S.R.L.</t>
  </si>
  <si>
    <t>BIDCOM SRL</t>
  </si>
  <si>
    <t>13/04/2022</t>
  </si>
  <si>
    <t>14/04/2022</t>
  </si>
  <si>
    <t>NEPTUN CORP SA</t>
  </si>
  <si>
    <t>6 - Factura B</t>
  </si>
  <si>
    <t>DAMARFU SA</t>
  </si>
  <si>
    <t>SPEED BUSINESS S. A.</t>
  </si>
  <si>
    <t>15/04/2022</t>
  </si>
  <si>
    <t>18/04/2022</t>
  </si>
  <si>
    <t>SASUAR SRL</t>
  </si>
  <si>
    <t>ELECTRONICA MEGATONE SOCIEDAD ANONIMA</t>
  </si>
  <si>
    <t>OPERADORA DE ESTACIONES DE SERVICIOS SA</t>
  </si>
  <si>
    <t>19/04/2022</t>
  </si>
  <si>
    <t>BUMERAN.COM ARGENTINA SA</t>
  </si>
  <si>
    <t>PLASTICOS BAN PLAST SRL</t>
  </si>
  <si>
    <t>FLORES HUAYRA MICHAEL MARTIN</t>
  </si>
  <si>
    <t>20/04/2022</t>
  </si>
  <si>
    <t>NEW  HIGH PACK  SA</t>
  </si>
  <si>
    <t>COORDINACION ECOLOGICA AREA METROPOLITANA SOCIEDAD DEL ESTADO</t>
  </si>
  <si>
    <t>21/04/2022</t>
  </si>
  <si>
    <t>PARADISO ESTEBAN DAMIAN</t>
  </si>
  <si>
    <t>22/04/2022</t>
  </si>
  <si>
    <t>CORREDORES VIALES SOCIEDAD ANONIMA</t>
  </si>
  <si>
    <t>NITSUK S.R.L</t>
  </si>
  <si>
    <t>GLASCAR S.A.C.I.F E I</t>
  </si>
  <si>
    <t>DE PABLO HERNAN MANUEL</t>
  </si>
  <si>
    <t>23/04/2022</t>
  </si>
  <si>
    <t>DIA ARGENTINA S A</t>
  </si>
  <si>
    <t>ALMUNDO.COM SRL</t>
  </si>
  <si>
    <t>25/04/2022</t>
  </si>
  <si>
    <t>VIA CAPRI S.A</t>
  </si>
  <si>
    <t>GEMEZ SA</t>
  </si>
  <si>
    <t>BUENOS AIRES PRO AUDIO S.A.S</t>
  </si>
  <si>
    <t>SERCAP INSUMOS SRL</t>
  </si>
  <si>
    <t>26/04/2022</t>
  </si>
  <si>
    <t>27/04/2022</t>
  </si>
  <si>
    <t>LARA GERARDO ANTONIO S</t>
  </si>
  <si>
    <t>FRATE NESTOR</t>
  </si>
  <si>
    <t>CAFFARATTI ROMINA PAOLA</t>
  </si>
  <si>
    <t>EBOX S.A.</t>
  </si>
  <si>
    <t>DHACAM S R L</t>
  </si>
  <si>
    <t>28/04/2022</t>
  </si>
  <si>
    <t>29/04/2022</t>
  </si>
  <si>
    <t>TEMPERLEY RODRIGO</t>
  </si>
  <si>
    <t>VTG SPECIALTY CHEMICALS S A</t>
  </si>
  <si>
    <t>RAMOS PATRICIO SEBASTIAN</t>
  </si>
  <si>
    <t>MERCADOLIBRE S.R.L.</t>
  </si>
  <si>
    <t>STENFAR S.A. INDUSTRIAL COMERCIAL IMP. Y EXP.</t>
  </si>
  <si>
    <t>Pto Vta</t>
  </si>
  <si>
    <t>Nro.</t>
  </si>
  <si>
    <t>Tpo Cambio</t>
  </si>
  <si>
    <t xml:space="preserve"> Neto Gravado</t>
  </si>
  <si>
    <t>No Gravado</t>
  </si>
  <si>
    <t>Exentas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</si>
</sst>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4" fontId="0" fillId="0" borderId="1" xfId="0" applyNumberFormat="1" applyFont="1" applyFill="1" applyBorder="1"/>
    <xf numFmtId="4" fontId="0" fillId="0" borderId="0" xfId="0" applyNumberFormat="1" applyFont="1" applyFill="1" applyBorder="1"/>
    <xf numFmtId="0" fontId="0" fillId="3" borderId="1" xfId="0" applyFont="1" applyFill="1" applyBorder="1"/>
    <xf numFmtId="4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tabSelected="1" topLeftCell="F100" workbookViewId="0">
      <selection activeCell="O114" sqref="O114"/>
    </sheetView>
  </sheetViews>
  <sheetFormatPr baseColWidth="10" defaultRowHeight="15"/>
  <cols>
    <col min="1" max="1" width="13" customWidth="1"/>
    <col min="2" max="2" width="19.42578125" bestFit="1" customWidth="1"/>
    <col min="3" max="3" width="7.42578125" bestFit="1" customWidth="1"/>
    <col min="4" max="4" width="9" bestFit="1" customWidth="1"/>
    <col min="5" max="5" width="16.7109375" bestFit="1" customWidth="1"/>
    <col min="6" max="6" width="12" bestFit="1" customWidth="1"/>
    <col min="7" max="7" width="52" customWidth="1"/>
    <col min="8" max="8" width="11.42578125" bestFit="1" customWidth="1"/>
    <col min="9" max="9" width="8.42578125" bestFit="1" customWidth="1"/>
    <col min="10" max="10" width="13.7109375" bestFit="1" customWidth="1"/>
    <col min="11" max="11" width="11.42578125" bestFit="1" customWidth="1"/>
    <col min="12" max="12" width="7.85546875" bestFit="1" customWidth="1"/>
    <col min="13" max="13" width="11.7109375" customWidth="1"/>
    <col min="14" max="14" width="13" customWidth="1"/>
    <col min="15" max="16" width="11.7109375" bestFit="1" customWidth="1"/>
  </cols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>
      <c r="A2" s="5" t="s">
        <v>1</v>
      </c>
      <c r="B2" s="5" t="s">
        <v>2</v>
      </c>
      <c r="C2" s="5" t="s">
        <v>116</v>
      </c>
      <c r="D2" s="5" t="s">
        <v>117</v>
      </c>
      <c r="E2" s="5" t="s">
        <v>3</v>
      </c>
      <c r="F2" s="5" t="s">
        <v>10</v>
      </c>
      <c r="G2" s="5" t="s">
        <v>4</v>
      </c>
      <c r="H2" s="5" t="s">
        <v>118</v>
      </c>
      <c r="I2" s="5" t="s">
        <v>5</v>
      </c>
      <c r="J2" s="5" t="s">
        <v>119</v>
      </c>
      <c r="K2" s="5" t="s">
        <v>120</v>
      </c>
      <c r="L2" s="5" t="s">
        <v>121</v>
      </c>
      <c r="M2" s="5" t="s">
        <v>6</v>
      </c>
      <c r="N2" s="5" t="s">
        <v>7</v>
      </c>
    </row>
    <row r="3" spans="1:15">
      <c r="A3" s="3" t="s">
        <v>52</v>
      </c>
      <c r="B3" s="3" t="s">
        <v>9</v>
      </c>
      <c r="C3" s="4">
        <v>2</v>
      </c>
      <c r="D3" s="4">
        <v>2292</v>
      </c>
      <c r="E3" s="4">
        <v>72148970842412</v>
      </c>
      <c r="F3" s="4">
        <v>20240305128</v>
      </c>
      <c r="G3" s="3" t="s">
        <v>54</v>
      </c>
      <c r="H3" s="6">
        <v>1</v>
      </c>
      <c r="I3" s="6" t="s">
        <v>12</v>
      </c>
      <c r="J3" s="6">
        <v>10675</v>
      </c>
      <c r="K3" s="6">
        <v>0</v>
      </c>
      <c r="L3" s="6">
        <v>0</v>
      </c>
      <c r="M3" s="6">
        <v>2241.75</v>
      </c>
      <c r="N3" s="6">
        <v>12916.75</v>
      </c>
    </row>
    <row r="4" spans="1:15">
      <c r="A4" s="3" t="s">
        <v>80</v>
      </c>
      <c r="B4" s="3" t="s">
        <v>9</v>
      </c>
      <c r="C4" s="4">
        <v>2</v>
      </c>
      <c r="D4" s="4">
        <v>2300</v>
      </c>
      <c r="E4" s="4">
        <v>72168743948283</v>
      </c>
      <c r="F4" s="4">
        <v>20240305128</v>
      </c>
      <c r="G4" s="3" t="s">
        <v>54</v>
      </c>
      <c r="H4" s="6">
        <v>1</v>
      </c>
      <c r="I4" s="6" t="s">
        <v>12</v>
      </c>
      <c r="J4" s="6">
        <v>3580</v>
      </c>
      <c r="K4" s="6">
        <v>0</v>
      </c>
      <c r="L4" s="6">
        <v>0</v>
      </c>
      <c r="M4" s="6">
        <v>751.8</v>
      </c>
      <c r="N4" s="6">
        <v>4331.8</v>
      </c>
    </row>
    <row r="5" spans="1:15">
      <c r="A5" s="3" t="s">
        <v>94</v>
      </c>
      <c r="B5" s="3" t="s">
        <v>9</v>
      </c>
      <c r="C5" s="4">
        <v>97</v>
      </c>
      <c r="D5" s="4">
        <v>156</v>
      </c>
      <c r="E5" s="4">
        <v>72178068867341</v>
      </c>
      <c r="F5" s="4">
        <v>30659514628</v>
      </c>
      <c r="G5" s="3" t="s">
        <v>96</v>
      </c>
      <c r="H5" s="6">
        <v>1</v>
      </c>
      <c r="I5" s="6" t="s">
        <v>12</v>
      </c>
      <c r="J5" s="6">
        <v>59329.08</v>
      </c>
      <c r="K5" s="6">
        <v>0</v>
      </c>
      <c r="L5" s="6">
        <v>0</v>
      </c>
      <c r="M5" s="6">
        <v>12459.11</v>
      </c>
      <c r="N5" s="6">
        <v>71788.19</v>
      </c>
    </row>
    <row r="6" spans="1:15">
      <c r="A6" s="3" t="s">
        <v>19</v>
      </c>
      <c r="B6" s="3" t="s">
        <v>9</v>
      </c>
      <c r="C6" s="4">
        <v>50</v>
      </c>
      <c r="D6" s="4">
        <v>2550657</v>
      </c>
      <c r="E6" s="4">
        <v>72146565946916</v>
      </c>
      <c r="F6" s="4">
        <v>30714112836</v>
      </c>
      <c r="G6" s="3" t="s">
        <v>21</v>
      </c>
      <c r="H6" s="6">
        <v>1</v>
      </c>
      <c r="I6" s="6" t="s">
        <v>12</v>
      </c>
      <c r="J6" s="6">
        <v>397.52</v>
      </c>
      <c r="K6" s="6">
        <v>0</v>
      </c>
      <c r="L6" s="6">
        <v>0</v>
      </c>
      <c r="M6" s="6">
        <v>83.48</v>
      </c>
      <c r="N6" s="6">
        <v>481</v>
      </c>
    </row>
    <row r="7" spans="1:15">
      <c r="A7" s="3" t="s">
        <v>25</v>
      </c>
      <c r="B7" s="3" t="s">
        <v>9</v>
      </c>
      <c r="C7" s="4">
        <v>711</v>
      </c>
      <c r="D7" s="4">
        <v>2788670</v>
      </c>
      <c r="E7" s="4">
        <v>32139907344982</v>
      </c>
      <c r="F7" s="4">
        <v>30677237119</v>
      </c>
      <c r="G7" s="3" t="s">
        <v>30</v>
      </c>
      <c r="H7" s="6">
        <v>1</v>
      </c>
      <c r="I7" s="6" t="s">
        <v>12</v>
      </c>
      <c r="J7" s="6">
        <v>2302.4699999999998</v>
      </c>
      <c r="K7" s="6">
        <v>0</v>
      </c>
      <c r="L7" s="6">
        <v>69.069999999999993</v>
      </c>
      <c r="M7" s="6">
        <v>483.53</v>
      </c>
      <c r="N7" s="6">
        <v>2855.07</v>
      </c>
    </row>
    <row r="8" spans="1:15">
      <c r="A8" s="3" t="s">
        <v>76</v>
      </c>
      <c r="B8" s="3" t="s">
        <v>9</v>
      </c>
      <c r="C8" s="4">
        <v>711</v>
      </c>
      <c r="D8" s="4">
        <v>2844947</v>
      </c>
      <c r="E8" s="4">
        <v>32159219594232</v>
      </c>
      <c r="F8" s="4">
        <v>30677237119</v>
      </c>
      <c r="G8" s="3" t="s">
        <v>30</v>
      </c>
      <c r="H8" s="6">
        <v>1</v>
      </c>
      <c r="I8" s="6" t="s">
        <v>12</v>
      </c>
      <c r="J8" s="6">
        <v>2669.42</v>
      </c>
      <c r="K8" s="6">
        <v>0</v>
      </c>
      <c r="L8" s="6">
        <v>80.08</v>
      </c>
      <c r="M8" s="6">
        <v>560.58000000000004</v>
      </c>
      <c r="N8" s="6">
        <v>3310.08</v>
      </c>
    </row>
    <row r="9" spans="1:15">
      <c r="A9" s="3" t="s">
        <v>19</v>
      </c>
      <c r="B9" s="3" t="s">
        <v>9</v>
      </c>
      <c r="C9" s="4">
        <v>5014</v>
      </c>
      <c r="D9" s="4">
        <v>215460</v>
      </c>
      <c r="E9" s="4">
        <v>72144490905272</v>
      </c>
      <c r="F9" s="4">
        <v>30574876474</v>
      </c>
      <c r="G9" s="3" t="s">
        <v>20</v>
      </c>
      <c r="H9" s="6">
        <v>1</v>
      </c>
      <c r="I9" s="6" t="s">
        <v>12</v>
      </c>
      <c r="J9" s="6">
        <v>10915.2</v>
      </c>
      <c r="K9" s="6">
        <v>0</v>
      </c>
      <c r="L9" s="6">
        <v>0</v>
      </c>
      <c r="M9" s="6">
        <v>2292.1</v>
      </c>
      <c r="N9" s="6">
        <v>14625.66</v>
      </c>
    </row>
    <row r="10" spans="1:15">
      <c r="A10" s="3" t="s">
        <v>76</v>
      </c>
      <c r="B10" s="3" t="s">
        <v>9</v>
      </c>
      <c r="C10" s="4">
        <v>5005</v>
      </c>
      <c r="D10" s="4">
        <v>5041381</v>
      </c>
      <c r="E10" s="4">
        <v>72164676853786</v>
      </c>
      <c r="F10" s="4">
        <v>30574876474</v>
      </c>
      <c r="G10" s="3" t="s">
        <v>20</v>
      </c>
      <c r="H10" s="6">
        <v>1</v>
      </c>
      <c r="I10" s="6" t="s">
        <v>12</v>
      </c>
      <c r="J10" s="6">
        <v>11686.42</v>
      </c>
      <c r="K10" s="6">
        <v>0</v>
      </c>
      <c r="L10" s="6">
        <v>0</v>
      </c>
      <c r="M10" s="6">
        <v>2454.0300000000002</v>
      </c>
      <c r="N10" s="6">
        <v>15658.57</v>
      </c>
    </row>
    <row r="11" spans="1:15">
      <c r="A11" s="3" t="s">
        <v>48</v>
      </c>
      <c r="B11" s="3" t="s">
        <v>9</v>
      </c>
      <c r="C11" s="4">
        <v>2</v>
      </c>
      <c r="D11" s="4">
        <v>156</v>
      </c>
      <c r="E11" s="4">
        <v>72143878157384</v>
      </c>
      <c r="F11" s="4">
        <v>27309896063</v>
      </c>
      <c r="G11" s="3" t="s">
        <v>49</v>
      </c>
      <c r="H11" s="6">
        <v>1</v>
      </c>
      <c r="I11" s="6" t="s">
        <v>12</v>
      </c>
      <c r="J11" s="6">
        <v>18000</v>
      </c>
      <c r="K11" s="6">
        <v>0</v>
      </c>
      <c r="L11" s="6">
        <v>0</v>
      </c>
      <c r="M11" s="6">
        <v>3780</v>
      </c>
      <c r="N11" s="6">
        <v>21780</v>
      </c>
    </row>
    <row r="12" spans="1:15">
      <c r="A12" s="3" t="s">
        <v>64</v>
      </c>
      <c r="B12" s="3" t="s">
        <v>9</v>
      </c>
      <c r="C12" s="4">
        <v>10</v>
      </c>
      <c r="D12" s="4">
        <v>50978</v>
      </c>
      <c r="E12" s="4">
        <v>72150273346279</v>
      </c>
      <c r="F12" s="4">
        <v>30711069360</v>
      </c>
      <c r="G12" s="8" t="s">
        <v>68</v>
      </c>
      <c r="H12" s="9">
        <v>1</v>
      </c>
      <c r="I12" s="9" t="s">
        <v>12</v>
      </c>
      <c r="J12" s="9">
        <v>314090.5</v>
      </c>
      <c r="K12" s="9">
        <v>0</v>
      </c>
      <c r="L12" s="9">
        <v>0</v>
      </c>
      <c r="M12" s="9">
        <v>32979.5</v>
      </c>
      <c r="N12" s="9">
        <v>365915.43</v>
      </c>
      <c r="O12" s="7">
        <f>SUM(J12)</f>
        <v>314090.5</v>
      </c>
    </row>
    <row r="13" spans="1:15">
      <c r="A13" s="3" t="s">
        <v>97</v>
      </c>
      <c r="B13" s="3" t="s">
        <v>9</v>
      </c>
      <c r="C13" s="4">
        <v>2</v>
      </c>
      <c r="D13" s="4">
        <v>5514</v>
      </c>
      <c r="E13" s="4">
        <v>72178180892566</v>
      </c>
      <c r="F13" s="4">
        <v>30715884328</v>
      </c>
      <c r="G13" s="3" t="s">
        <v>100</v>
      </c>
      <c r="H13" s="6">
        <v>1</v>
      </c>
      <c r="I13" s="6" t="s">
        <v>12</v>
      </c>
      <c r="J13" s="6">
        <v>5042.1499999999996</v>
      </c>
      <c r="K13" s="6">
        <v>0</v>
      </c>
      <c r="L13" s="6">
        <v>0</v>
      </c>
      <c r="M13" s="6">
        <v>1058.8499999999999</v>
      </c>
      <c r="N13" s="6">
        <v>6101</v>
      </c>
    </row>
    <row r="14" spans="1:15">
      <c r="A14" s="3" t="s">
        <v>97</v>
      </c>
      <c r="B14" s="3" t="s">
        <v>9</v>
      </c>
      <c r="C14" s="4">
        <v>2</v>
      </c>
      <c r="D14" s="4">
        <v>5515</v>
      </c>
      <c r="E14" s="4">
        <v>72178181075592</v>
      </c>
      <c r="F14" s="4">
        <v>30715884328</v>
      </c>
      <c r="G14" s="3" t="s">
        <v>100</v>
      </c>
      <c r="H14" s="6">
        <v>1</v>
      </c>
      <c r="I14" s="6" t="s">
        <v>12</v>
      </c>
      <c r="J14" s="6">
        <v>5042.1499999999996</v>
      </c>
      <c r="K14" s="6">
        <v>0</v>
      </c>
      <c r="L14" s="6">
        <v>0</v>
      </c>
      <c r="M14" s="6">
        <v>1058.8499999999999</v>
      </c>
      <c r="N14" s="6">
        <v>6101</v>
      </c>
    </row>
    <row r="15" spans="1:15">
      <c r="A15" s="3" t="s">
        <v>80</v>
      </c>
      <c r="B15" s="3" t="s">
        <v>9</v>
      </c>
      <c r="C15" s="4">
        <v>16</v>
      </c>
      <c r="D15" s="4">
        <v>53957</v>
      </c>
      <c r="E15" s="4">
        <v>72162760886439</v>
      </c>
      <c r="F15" s="4">
        <v>30706053812</v>
      </c>
      <c r="G15" s="3" t="s">
        <v>81</v>
      </c>
      <c r="H15" s="6">
        <v>1</v>
      </c>
      <c r="I15" s="6" t="s">
        <v>12</v>
      </c>
      <c r="J15" s="6">
        <v>29796</v>
      </c>
      <c r="K15" s="6">
        <v>0</v>
      </c>
      <c r="L15" s="6">
        <v>0</v>
      </c>
      <c r="M15" s="6">
        <v>6257.16</v>
      </c>
      <c r="N15" s="6">
        <v>37840.92</v>
      </c>
    </row>
    <row r="16" spans="1:15">
      <c r="A16" s="3" t="s">
        <v>103</v>
      </c>
      <c r="B16" s="3" t="s">
        <v>41</v>
      </c>
      <c r="C16" s="4">
        <v>2</v>
      </c>
      <c r="D16" s="4">
        <v>157</v>
      </c>
      <c r="E16" s="4">
        <v>72174361595277</v>
      </c>
      <c r="F16" s="4">
        <v>23319210954</v>
      </c>
      <c r="G16" s="3" t="s">
        <v>106</v>
      </c>
      <c r="H16" s="6">
        <v>1</v>
      </c>
      <c r="I16" s="6" t="s">
        <v>12</v>
      </c>
      <c r="J16" s="6"/>
      <c r="K16" s="6"/>
      <c r="L16" s="6"/>
      <c r="M16" s="6"/>
      <c r="N16" s="6">
        <v>27500</v>
      </c>
    </row>
    <row r="17" spans="1:15">
      <c r="A17" s="3" t="s">
        <v>103</v>
      </c>
      <c r="B17" s="3" t="s">
        <v>41</v>
      </c>
      <c r="C17" s="4">
        <v>2</v>
      </c>
      <c r="D17" s="4">
        <v>158</v>
      </c>
      <c r="E17" s="4">
        <v>72174361730752</v>
      </c>
      <c r="F17" s="4">
        <v>23319210954</v>
      </c>
      <c r="G17" s="3" t="s">
        <v>106</v>
      </c>
      <c r="H17" s="6">
        <v>1</v>
      </c>
      <c r="I17" s="6" t="s">
        <v>12</v>
      </c>
      <c r="J17" s="6"/>
      <c r="K17" s="6"/>
      <c r="L17" s="6"/>
      <c r="M17" s="6"/>
      <c r="N17" s="6">
        <v>5800</v>
      </c>
    </row>
    <row r="18" spans="1:15">
      <c r="A18" s="3" t="s">
        <v>8</v>
      </c>
      <c r="B18" s="3" t="s">
        <v>9</v>
      </c>
      <c r="C18" s="4">
        <v>8257</v>
      </c>
      <c r="D18" s="4">
        <v>3766</v>
      </c>
      <c r="E18" s="4">
        <v>72133417782681</v>
      </c>
      <c r="F18" s="4">
        <v>30590360763</v>
      </c>
      <c r="G18" s="3" t="s">
        <v>14</v>
      </c>
      <c r="H18" s="6">
        <v>1</v>
      </c>
      <c r="I18" s="6" t="s">
        <v>12</v>
      </c>
      <c r="J18" s="6">
        <v>601.65</v>
      </c>
      <c r="K18" s="6">
        <v>0</v>
      </c>
      <c r="L18" s="6">
        <v>0</v>
      </c>
      <c r="M18" s="6">
        <v>126.35</v>
      </c>
      <c r="N18" s="6">
        <v>764.1</v>
      </c>
    </row>
    <row r="19" spans="1:15">
      <c r="A19" s="3" t="s">
        <v>8</v>
      </c>
      <c r="B19" s="3" t="s">
        <v>9</v>
      </c>
      <c r="C19" s="4">
        <v>1973</v>
      </c>
      <c r="D19" s="4">
        <v>423</v>
      </c>
      <c r="E19" s="4">
        <v>72135381825731</v>
      </c>
      <c r="F19" s="4">
        <v>20231469975</v>
      </c>
      <c r="G19" s="3" t="s">
        <v>17</v>
      </c>
      <c r="H19" s="6">
        <v>1</v>
      </c>
      <c r="I19" s="6" t="s">
        <v>12</v>
      </c>
      <c r="J19" s="6">
        <v>3867.77</v>
      </c>
      <c r="K19" s="6">
        <v>0</v>
      </c>
      <c r="L19" s="6">
        <v>0</v>
      </c>
      <c r="M19" s="6">
        <v>812.23</v>
      </c>
      <c r="N19" s="6">
        <v>4680</v>
      </c>
    </row>
    <row r="20" spans="1:15">
      <c r="A20" s="3" t="s">
        <v>8</v>
      </c>
      <c r="B20" s="3" t="s">
        <v>9</v>
      </c>
      <c r="C20" s="4">
        <v>1</v>
      </c>
      <c r="D20" s="4">
        <v>236</v>
      </c>
      <c r="E20" s="4">
        <v>72134344682371</v>
      </c>
      <c r="F20" s="4">
        <v>20131206144</v>
      </c>
      <c r="G20" s="3" t="s">
        <v>16</v>
      </c>
      <c r="H20" s="6">
        <v>1</v>
      </c>
      <c r="I20" s="6" t="s">
        <v>12</v>
      </c>
      <c r="J20" s="6">
        <v>18000</v>
      </c>
      <c r="K20" s="6">
        <v>0</v>
      </c>
      <c r="L20" s="6">
        <v>0</v>
      </c>
      <c r="M20" s="6">
        <v>3780</v>
      </c>
      <c r="N20" s="6">
        <v>21780</v>
      </c>
    </row>
    <row r="21" spans="1:15">
      <c r="A21" s="3" t="s">
        <v>34</v>
      </c>
      <c r="B21" s="3" t="s">
        <v>9</v>
      </c>
      <c r="C21" s="4">
        <v>6</v>
      </c>
      <c r="D21" s="4">
        <v>1991</v>
      </c>
      <c r="E21" s="4">
        <v>72148660628822</v>
      </c>
      <c r="F21" s="4">
        <v>30574603788</v>
      </c>
      <c r="G21" s="3" t="s">
        <v>37</v>
      </c>
      <c r="H21" s="6">
        <v>1</v>
      </c>
      <c r="I21" s="6" t="s">
        <v>12</v>
      </c>
      <c r="J21" s="6">
        <v>344456</v>
      </c>
      <c r="K21" s="6">
        <v>0</v>
      </c>
      <c r="L21" s="6">
        <v>0</v>
      </c>
      <c r="M21" s="6">
        <v>72335.759999999995</v>
      </c>
      <c r="N21" s="6">
        <v>416791.76</v>
      </c>
    </row>
    <row r="22" spans="1:15">
      <c r="A22" s="3" t="s">
        <v>89</v>
      </c>
      <c r="B22" s="3" t="s">
        <v>9</v>
      </c>
      <c r="C22" s="4">
        <v>6</v>
      </c>
      <c r="D22" s="4">
        <v>2008</v>
      </c>
      <c r="E22" s="4">
        <v>72168007399924</v>
      </c>
      <c r="F22" s="4">
        <v>30574603788</v>
      </c>
      <c r="G22" s="8" t="s">
        <v>37</v>
      </c>
      <c r="H22" s="9">
        <v>1</v>
      </c>
      <c r="I22" s="9" t="s">
        <v>12</v>
      </c>
      <c r="J22" s="9">
        <v>1211485</v>
      </c>
      <c r="K22" s="9">
        <v>0</v>
      </c>
      <c r="L22" s="9">
        <v>0</v>
      </c>
      <c r="M22" s="9">
        <v>254411.85</v>
      </c>
      <c r="N22" s="9">
        <v>1465896.85</v>
      </c>
      <c r="O22" s="7">
        <f>SUM(J22)</f>
        <v>1211485</v>
      </c>
    </row>
    <row r="23" spans="1:15">
      <c r="A23" s="3" t="s">
        <v>84</v>
      </c>
      <c r="B23" s="3" t="s">
        <v>9</v>
      </c>
      <c r="C23" s="4">
        <v>113</v>
      </c>
      <c r="D23" s="4">
        <v>2755251</v>
      </c>
      <c r="E23" s="4">
        <v>72170184980314</v>
      </c>
      <c r="F23" s="4">
        <v>30577207190</v>
      </c>
      <c r="G23" s="3" t="s">
        <v>86</v>
      </c>
      <c r="H23" s="6">
        <v>1</v>
      </c>
      <c r="I23" s="6" t="s">
        <v>12</v>
      </c>
      <c r="J23" s="6">
        <v>1001.65</v>
      </c>
      <c r="K23" s="6">
        <v>0</v>
      </c>
      <c r="L23" s="6">
        <v>0</v>
      </c>
      <c r="M23" s="6">
        <v>210.35</v>
      </c>
      <c r="N23" s="6">
        <v>1212</v>
      </c>
    </row>
    <row r="24" spans="1:15">
      <c r="A24" s="3" t="s">
        <v>89</v>
      </c>
      <c r="B24" s="3" t="s">
        <v>9</v>
      </c>
      <c r="C24" s="4">
        <v>700</v>
      </c>
      <c r="D24" s="4">
        <v>451626</v>
      </c>
      <c r="E24" s="4">
        <v>72162958543638</v>
      </c>
      <c r="F24" s="4">
        <v>30715804812</v>
      </c>
      <c r="G24" s="3" t="s">
        <v>90</v>
      </c>
      <c r="H24" s="6">
        <v>1</v>
      </c>
      <c r="I24" s="6" t="s">
        <v>12</v>
      </c>
      <c r="J24" s="6">
        <v>2276.0300000000002</v>
      </c>
      <c r="K24" s="6">
        <v>0</v>
      </c>
      <c r="L24" s="6">
        <v>0</v>
      </c>
      <c r="M24" s="6">
        <v>477.97</v>
      </c>
      <c r="N24" s="6">
        <v>2754</v>
      </c>
    </row>
    <row r="25" spans="1:15">
      <c r="A25" s="3" t="s">
        <v>60</v>
      </c>
      <c r="B25" s="3" t="s">
        <v>9</v>
      </c>
      <c r="C25" s="4">
        <v>3034</v>
      </c>
      <c r="D25" s="4">
        <v>1582803</v>
      </c>
      <c r="E25" s="4">
        <v>72156145699083</v>
      </c>
      <c r="F25" s="4">
        <v>30708574836</v>
      </c>
      <c r="G25" s="3" t="s">
        <v>61</v>
      </c>
      <c r="H25" s="6">
        <v>1</v>
      </c>
      <c r="I25" s="6" t="s">
        <v>12</v>
      </c>
      <c r="J25" s="6">
        <v>464.36</v>
      </c>
      <c r="K25" s="6">
        <v>0</v>
      </c>
      <c r="L25" s="6">
        <v>0</v>
      </c>
      <c r="M25" s="6">
        <v>97.52</v>
      </c>
      <c r="N25" s="6">
        <v>561.88</v>
      </c>
    </row>
    <row r="26" spans="1:15">
      <c r="A26" s="3" t="s">
        <v>70</v>
      </c>
      <c r="B26" s="3" t="s">
        <v>9</v>
      </c>
      <c r="C26" s="4">
        <v>3034</v>
      </c>
      <c r="D26" s="4">
        <v>1603354</v>
      </c>
      <c r="E26" s="4">
        <v>72156408940747</v>
      </c>
      <c r="F26" s="4">
        <v>30708574836</v>
      </c>
      <c r="G26" s="3" t="s">
        <v>61</v>
      </c>
      <c r="H26" s="6">
        <v>1</v>
      </c>
      <c r="I26" s="6" t="s">
        <v>12</v>
      </c>
      <c r="J26" s="6">
        <v>464.36</v>
      </c>
      <c r="K26" s="6">
        <v>0</v>
      </c>
      <c r="L26" s="6">
        <v>0</v>
      </c>
      <c r="M26" s="6">
        <v>97.52</v>
      </c>
      <c r="N26" s="6">
        <v>561.88</v>
      </c>
    </row>
    <row r="27" spans="1:15">
      <c r="A27" s="3" t="s">
        <v>22</v>
      </c>
      <c r="B27" s="3" t="s">
        <v>9</v>
      </c>
      <c r="C27" s="4">
        <v>2199</v>
      </c>
      <c r="D27" s="4">
        <v>15331</v>
      </c>
      <c r="E27" s="4">
        <v>72146533712213</v>
      </c>
      <c r="F27" s="4">
        <v>30548083156</v>
      </c>
      <c r="G27" s="3" t="s">
        <v>24</v>
      </c>
      <c r="H27" s="6">
        <v>1</v>
      </c>
      <c r="I27" s="6" t="s">
        <v>12</v>
      </c>
      <c r="J27" s="6">
        <v>6711.02</v>
      </c>
      <c r="K27" s="6">
        <v>0</v>
      </c>
      <c r="L27" s="6">
        <v>0</v>
      </c>
      <c r="M27" s="6">
        <v>1316.1</v>
      </c>
      <c r="N27" s="6">
        <v>8201.82</v>
      </c>
    </row>
    <row r="28" spans="1:15">
      <c r="A28" s="3" t="s">
        <v>39</v>
      </c>
      <c r="B28" s="3" t="s">
        <v>9</v>
      </c>
      <c r="C28" s="4">
        <v>2188</v>
      </c>
      <c r="D28" s="4">
        <v>62718</v>
      </c>
      <c r="E28" s="4">
        <v>72146789495145</v>
      </c>
      <c r="F28" s="4">
        <v>30548083156</v>
      </c>
      <c r="G28" s="3" t="s">
        <v>24</v>
      </c>
      <c r="H28" s="6">
        <v>1</v>
      </c>
      <c r="I28" s="6" t="s">
        <v>12</v>
      </c>
      <c r="J28" s="6">
        <v>4649.79</v>
      </c>
      <c r="K28" s="6">
        <v>0</v>
      </c>
      <c r="L28" s="6">
        <v>308.64</v>
      </c>
      <c r="M28" s="6">
        <v>872.11</v>
      </c>
      <c r="N28" s="6">
        <v>6233.69</v>
      </c>
    </row>
    <row r="29" spans="1:15">
      <c r="A29" s="3" t="s">
        <v>70</v>
      </c>
      <c r="B29" s="3" t="s">
        <v>9</v>
      </c>
      <c r="C29" s="4">
        <v>2188</v>
      </c>
      <c r="D29" s="4">
        <v>63253</v>
      </c>
      <c r="E29" s="4">
        <v>72156443802122</v>
      </c>
      <c r="F29" s="4">
        <v>30548083156</v>
      </c>
      <c r="G29" s="3" t="s">
        <v>24</v>
      </c>
      <c r="H29" s="6">
        <v>1</v>
      </c>
      <c r="I29" s="6" t="s">
        <v>12</v>
      </c>
      <c r="J29" s="6">
        <v>10134.56</v>
      </c>
      <c r="K29" s="6">
        <v>0</v>
      </c>
      <c r="L29" s="6">
        <v>267.54000000000002</v>
      </c>
      <c r="M29" s="6">
        <v>2072.94</v>
      </c>
      <c r="N29" s="6">
        <v>13388.83</v>
      </c>
    </row>
    <row r="30" spans="1:15">
      <c r="A30" s="3" t="s">
        <v>70</v>
      </c>
      <c r="B30" s="3" t="s">
        <v>9</v>
      </c>
      <c r="C30" s="4">
        <v>2199</v>
      </c>
      <c r="D30" s="4">
        <v>15536</v>
      </c>
      <c r="E30" s="4">
        <v>72156456757741</v>
      </c>
      <c r="F30" s="4">
        <v>30548083156</v>
      </c>
      <c r="G30" s="3" t="s">
        <v>24</v>
      </c>
      <c r="H30" s="6">
        <v>1</v>
      </c>
      <c r="I30" s="6" t="s">
        <v>12</v>
      </c>
      <c r="J30" s="6">
        <v>9002.81</v>
      </c>
      <c r="K30" s="6">
        <v>0</v>
      </c>
      <c r="L30" s="6">
        <v>0</v>
      </c>
      <c r="M30" s="6">
        <v>1598.96</v>
      </c>
      <c r="N30" s="6">
        <v>11283.18</v>
      </c>
    </row>
    <row r="31" spans="1:15">
      <c r="A31" s="3" t="s">
        <v>103</v>
      </c>
      <c r="B31" s="3" t="s">
        <v>9</v>
      </c>
      <c r="C31" s="4">
        <v>2188</v>
      </c>
      <c r="D31" s="4">
        <v>64016</v>
      </c>
      <c r="E31" s="4">
        <v>72176413750462</v>
      </c>
      <c r="F31" s="4">
        <v>30548083156</v>
      </c>
      <c r="G31" s="3" t="s">
        <v>24</v>
      </c>
      <c r="H31" s="6">
        <v>1</v>
      </c>
      <c r="I31" s="6" t="s">
        <v>12</v>
      </c>
      <c r="J31" s="6">
        <v>9300</v>
      </c>
      <c r="K31" s="6">
        <v>0</v>
      </c>
      <c r="L31" s="6">
        <v>444.25</v>
      </c>
      <c r="M31" s="6">
        <v>1767.44</v>
      </c>
      <c r="N31" s="6">
        <v>12296.74</v>
      </c>
    </row>
    <row r="32" spans="1:15">
      <c r="A32" s="3" t="s">
        <v>109</v>
      </c>
      <c r="B32" s="3" t="s">
        <v>9</v>
      </c>
      <c r="C32" s="4">
        <v>2199</v>
      </c>
      <c r="D32" s="4">
        <v>15745</v>
      </c>
      <c r="E32" s="4">
        <v>72176508342425</v>
      </c>
      <c r="F32" s="4">
        <v>30548083156</v>
      </c>
      <c r="G32" s="3" t="s">
        <v>24</v>
      </c>
      <c r="H32" s="6">
        <v>1</v>
      </c>
      <c r="I32" s="6" t="s">
        <v>12</v>
      </c>
      <c r="J32" s="6">
        <v>10775.01</v>
      </c>
      <c r="K32" s="6">
        <v>0</v>
      </c>
      <c r="L32" s="6">
        <v>0</v>
      </c>
      <c r="M32" s="6">
        <v>2126.41</v>
      </c>
      <c r="N32" s="6">
        <v>13185.71</v>
      </c>
    </row>
    <row r="33" spans="1:15">
      <c r="A33" s="3" t="s">
        <v>70</v>
      </c>
      <c r="B33" s="3" t="s">
        <v>72</v>
      </c>
      <c r="C33" s="4">
        <v>3000</v>
      </c>
      <c r="D33" s="4">
        <v>42116</v>
      </c>
      <c r="E33" s="4">
        <v>72159405693897</v>
      </c>
      <c r="F33" s="4">
        <v>33708543409</v>
      </c>
      <c r="G33" s="3" t="s">
        <v>73</v>
      </c>
      <c r="H33" s="6">
        <v>1</v>
      </c>
      <c r="I33" s="6" t="s">
        <v>12</v>
      </c>
      <c r="J33" s="6">
        <v>1762.02</v>
      </c>
      <c r="K33" s="6">
        <v>0</v>
      </c>
      <c r="L33" s="6">
        <v>0</v>
      </c>
      <c r="M33" s="6">
        <v>275.47000000000003</v>
      </c>
      <c r="N33" s="6">
        <v>2037.49</v>
      </c>
    </row>
    <row r="34" spans="1:15">
      <c r="A34" s="3" t="s">
        <v>89</v>
      </c>
      <c r="B34" s="3" t="s">
        <v>9</v>
      </c>
      <c r="C34" s="4">
        <v>3</v>
      </c>
      <c r="D34" s="4">
        <v>203</v>
      </c>
      <c r="E34" s="4">
        <v>72168980642799</v>
      </c>
      <c r="F34" s="4">
        <v>20145337918</v>
      </c>
      <c r="G34" s="3" t="s">
        <v>93</v>
      </c>
      <c r="H34" s="6">
        <v>1</v>
      </c>
      <c r="I34" s="6" t="s">
        <v>12</v>
      </c>
      <c r="J34" s="6">
        <v>10640</v>
      </c>
      <c r="K34" s="6">
        <v>0</v>
      </c>
      <c r="L34" s="6">
        <v>0</v>
      </c>
      <c r="M34" s="6">
        <v>2234.4</v>
      </c>
      <c r="N34" s="6">
        <v>15969.4</v>
      </c>
    </row>
    <row r="35" spans="1:15">
      <c r="A35" s="3" t="s">
        <v>39</v>
      </c>
      <c r="B35" s="3" t="s">
        <v>9</v>
      </c>
      <c r="C35" s="4">
        <v>2036</v>
      </c>
      <c r="D35" s="4">
        <v>15655</v>
      </c>
      <c r="E35" s="4">
        <v>72140783881692</v>
      </c>
      <c r="F35" s="4">
        <v>30516186670</v>
      </c>
      <c r="G35" s="3" t="s">
        <v>47</v>
      </c>
      <c r="H35" s="6">
        <v>1</v>
      </c>
      <c r="I35" s="6" t="s">
        <v>12</v>
      </c>
      <c r="J35" s="6">
        <v>1279.07</v>
      </c>
      <c r="K35" s="6">
        <v>0</v>
      </c>
      <c r="L35" s="6">
        <v>0</v>
      </c>
      <c r="M35" s="6">
        <v>268.60000000000002</v>
      </c>
      <c r="N35" s="6">
        <v>1997.83</v>
      </c>
    </row>
    <row r="36" spans="1:15">
      <c r="A36" s="3" t="s">
        <v>103</v>
      </c>
      <c r="B36" s="3" t="s">
        <v>9</v>
      </c>
      <c r="C36" s="4">
        <v>6</v>
      </c>
      <c r="D36" s="4">
        <v>21158</v>
      </c>
      <c r="E36" s="4">
        <v>72179382658234</v>
      </c>
      <c r="F36" s="4">
        <v>33640878679</v>
      </c>
      <c r="G36" s="8" t="s">
        <v>108</v>
      </c>
      <c r="H36" s="9">
        <v>1</v>
      </c>
      <c r="I36" s="9" t="s">
        <v>12</v>
      </c>
      <c r="J36" s="9">
        <v>130220</v>
      </c>
      <c r="K36" s="9">
        <v>0</v>
      </c>
      <c r="L36" s="9">
        <v>0</v>
      </c>
      <c r="M36" s="9">
        <v>27346.2</v>
      </c>
      <c r="N36" s="9">
        <v>157566.20000000001</v>
      </c>
      <c r="O36" s="7">
        <f>SUM(J36:N36)</f>
        <v>315132.40000000002</v>
      </c>
    </row>
    <row r="37" spans="1:15">
      <c r="A37" s="3" t="s">
        <v>94</v>
      </c>
      <c r="B37" s="3" t="s">
        <v>9</v>
      </c>
      <c r="C37" s="4">
        <v>4527</v>
      </c>
      <c r="D37" s="4">
        <v>204</v>
      </c>
      <c r="E37" s="4">
        <v>72171085678698</v>
      </c>
      <c r="F37" s="4">
        <v>30685849751</v>
      </c>
      <c r="G37" s="3" t="s">
        <v>95</v>
      </c>
      <c r="H37" s="6">
        <v>1</v>
      </c>
      <c r="I37" s="6" t="s">
        <v>12</v>
      </c>
      <c r="J37" s="6">
        <v>6940.8</v>
      </c>
      <c r="K37" s="6">
        <v>0</v>
      </c>
      <c r="L37" s="6">
        <v>0</v>
      </c>
      <c r="M37" s="6">
        <v>1194.03</v>
      </c>
      <c r="N37" s="6">
        <v>8134.83</v>
      </c>
    </row>
    <row r="38" spans="1:15">
      <c r="A38" s="3" t="s">
        <v>39</v>
      </c>
      <c r="B38" s="3" t="s">
        <v>9</v>
      </c>
      <c r="C38" s="4">
        <v>3</v>
      </c>
      <c r="D38" s="4">
        <v>3020</v>
      </c>
      <c r="E38" s="4">
        <v>72147772064339</v>
      </c>
      <c r="F38" s="4">
        <v>30714618977</v>
      </c>
      <c r="G38" s="8" t="s">
        <v>43</v>
      </c>
      <c r="H38" s="9">
        <v>1</v>
      </c>
      <c r="I38" s="9" t="s">
        <v>12</v>
      </c>
      <c r="J38" s="9">
        <v>127500</v>
      </c>
      <c r="K38" s="9">
        <v>0</v>
      </c>
      <c r="L38" s="9">
        <v>0</v>
      </c>
      <c r="M38" s="9">
        <v>26775</v>
      </c>
      <c r="N38" s="9">
        <v>154275</v>
      </c>
    </row>
    <row r="39" spans="1:15">
      <c r="A39" s="3" t="s">
        <v>103</v>
      </c>
      <c r="B39" s="3" t="s">
        <v>9</v>
      </c>
      <c r="C39" s="4">
        <v>4</v>
      </c>
      <c r="D39" s="4">
        <v>51236</v>
      </c>
      <c r="E39" s="4">
        <v>72176404515404</v>
      </c>
      <c r="F39" s="4">
        <v>30714749206</v>
      </c>
      <c r="G39" s="8" t="s">
        <v>107</v>
      </c>
      <c r="H39" s="9">
        <v>1</v>
      </c>
      <c r="I39" s="9" t="s">
        <v>12</v>
      </c>
      <c r="J39" s="9">
        <v>16609.45</v>
      </c>
      <c r="K39" s="9">
        <v>0</v>
      </c>
      <c r="L39" s="9">
        <v>0</v>
      </c>
      <c r="M39" s="9">
        <v>3487.99</v>
      </c>
      <c r="N39" s="9">
        <v>23499.06</v>
      </c>
    </row>
    <row r="40" spans="1:15">
      <c r="A40" s="3" t="s">
        <v>39</v>
      </c>
      <c r="B40" s="3" t="s">
        <v>9</v>
      </c>
      <c r="C40" s="4">
        <v>5</v>
      </c>
      <c r="D40" s="4">
        <v>18217</v>
      </c>
      <c r="E40" s="4">
        <v>72147783269428</v>
      </c>
      <c r="F40" s="4">
        <v>30616146447</v>
      </c>
      <c r="G40" s="8" t="s">
        <v>45</v>
      </c>
      <c r="H40" s="9">
        <v>1</v>
      </c>
      <c r="I40" s="9" t="s">
        <v>12</v>
      </c>
      <c r="J40" s="9">
        <v>72000</v>
      </c>
      <c r="K40" s="9">
        <v>0</v>
      </c>
      <c r="L40" s="9">
        <v>0</v>
      </c>
      <c r="M40" s="9">
        <v>15120</v>
      </c>
      <c r="N40" s="9">
        <v>87120</v>
      </c>
    </row>
    <row r="41" spans="1:15">
      <c r="A41" s="3" t="s">
        <v>80</v>
      </c>
      <c r="B41" s="3" t="s">
        <v>9</v>
      </c>
      <c r="C41" s="4">
        <v>5</v>
      </c>
      <c r="D41" s="4">
        <v>18280</v>
      </c>
      <c r="E41" s="4">
        <v>72167747790253</v>
      </c>
      <c r="F41" s="4">
        <v>30616146447</v>
      </c>
      <c r="G41" s="8" t="s">
        <v>45</v>
      </c>
      <c r="H41" s="9">
        <v>1</v>
      </c>
      <c r="I41" s="9" t="s">
        <v>12</v>
      </c>
      <c r="J41" s="9">
        <v>96000</v>
      </c>
      <c r="K41" s="9">
        <v>0</v>
      </c>
      <c r="L41" s="9">
        <v>0</v>
      </c>
      <c r="M41" s="9">
        <v>20160</v>
      </c>
      <c r="N41" s="9">
        <v>116160</v>
      </c>
      <c r="O41" s="7">
        <f>SUM(J38:J43)</f>
        <v>405109.45</v>
      </c>
    </row>
    <row r="42" spans="1:15">
      <c r="A42" s="3" t="s">
        <v>84</v>
      </c>
      <c r="B42" s="3" t="s">
        <v>28</v>
      </c>
      <c r="C42" s="4">
        <v>5</v>
      </c>
      <c r="D42" s="4">
        <v>1001</v>
      </c>
      <c r="E42" s="4">
        <v>72167811966503</v>
      </c>
      <c r="F42" s="4">
        <v>30616146447</v>
      </c>
      <c r="G42" s="8" t="s">
        <v>45</v>
      </c>
      <c r="H42" s="9">
        <v>1</v>
      </c>
      <c r="I42" s="9" t="s">
        <v>12</v>
      </c>
      <c r="J42" s="9">
        <v>48000</v>
      </c>
      <c r="K42" s="9">
        <v>0</v>
      </c>
      <c r="L42" s="9">
        <v>0</v>
      </c>
      <c r="M42" s="9">
        <v>10080</v>
      </c>
      <c r="N42" s="9">
        <v>58080</v>
      </c>
    </row>
    <row r="43" spans="1:15">
      <c r="A43" s="3" t="s">
        <v>102</v>
      </c>
      <c r="B43" s="3" t="s">
        <v>9</v>
      </c>
      <c r="C43" s="4">
        <v>5</v>
      </c>
      <c r="D43" s="4">
        <v>18332</v>
      </c>
      <c r="E43" s="4">
        <v>72177287135714</v>
      </c>
      <c r="F43" s="4">
        <v>30616146447</v>
      </c>
      <c r="G43" s="8" t="s">
        <v>45</v>
      </c>
      <c r="H43" s="9">
        <v>1</v>
      </c>
      <c r="I43" s="9" t="s">
        <v>12</v>
      </c>
      <c r="J43" s="9">
        <v>45000</v>
      </c>
      <c r="K43" s="9">
        <v>0</v>
      </c>
      <c r="L43" s="9">
        <v>0</v>
      </c>
      <c r="M43" s="9">
        <v>9450</v>
      </c>
      <c r="N43" s="9">
        <v>54450</v>
      </c>
    </row>
    <row r="44" spans="1:15">
      <c r="A44" s="3" t="s">
        <v>76</v>
      </c>
      <c r="B44" s="3" t="s">
        <v>9</v>
      </c>
      <c r="C44" s="4">
        <v>2809</v>
      </c>
      <c r="D44" s="4">
        <v>412</v>
      </c>
      <c r="E44" s="4">
        <v>72164631235484</v>
      </c>
      <c r="F44" s="4">
        <v>30543659734</v>
      </c>
      <c r="G44" s="3" t="s">
        <v>78</v>
      </c>
      <c r="H44" s="6">
        <v>1</v>
      </c>
      <c r="I44" s="6" t="s">
        <v>12</v>
      </c>
      <c r="J44" s="6">
        <v>28363.64</v>
      </c>
      <c r="K44" s="6">
        <v>0</v>
      </c>
      <c r="L44" s="6">
        <v>0</v>
      </c>
      <c r="M44" s="6">
        <v>5956.36</v>
      </c>
      <c r="N44" s="6">
        <v>34320</v>
      </c>
    </row>
    <row r="45" spans="1:15">
      <c r="A45" s="3" t="s">
        <v>60</v>
      </c>
      <c r="B45" s="3" t="s">
        <v>9</v>
      </c>
      <c r="C45" s="4">
        <v>9</v>
      </c>
      <c r="D45" s="4">
        <v>626</v>
      </c>
      <c r="E45" s="4">
        <v>72157174289518</v>
      </c>
      <c r="F45" s="4">
        <v>30710446047</v>
      </c>
      <c r="G45" s="8" t="s">
        <v>62</v>
      </c>
      <c r="H45" s="9">
        <v>1</v>
      </c>
      <c r="I45" s="9" t="s">
        <v>12</v>
      </c>
      <c r="J45" s="9">
        <v>139656</v>
      </c>
      <c r="K45" s="9">
        <v>0</v>
      </c>
      <c r="L45" s="9">
        <v>0</v>
      </c>
      <c r="M45" s="9">
        <v>29327.759999999998</v>
      </c>
      <c r="N45" s="9">
        <v>168983.76</v>
      </c>
    </row>
    <row r="46" spans="1:15">
      <c r="A46" s="3" t="s">
        <v>25</v>
      </c>
      <c r="B46" s="3" t="s">
        <v>9</v>
      </c>
      <c r="C46" s="4">
        <v>10</v>
      </c>
      <c r="D46" s="4">
        <v>3355</v>
      </c>
      <c r="E46" s="4">
        <v>72144582038900</v>
      </c>
      <c r="F46" s="4">
        <v>20217646414</v>
      </c>
      <c r="G46" s="8" t="s">
        <v>27</v>
      </c>
      <c r="H46" s="9">
        <v>1</v>
      </c>
      <c r="I46" s="9" t="s">
        <v>12</v>
      </c>
      <c r="J46" s="9">
        <v>154300</v>
      </c>
      <c r="K46" s="9">
        <v>0</v>
      </c>
      <c r="L46" s="9">
        <v>0</v>
      </c>
      <c r="M46" s="9">
        <v>32403</v>
      </c>
      <c r="N46" s="9">
        <v>186703</v>
      </c>
    </row>
    <row r="47" spans="1:15">
      <c r="A47" s="3" t="s">
        <v>25</v>
      </c>
      <c r="B47" s="3" t="s">
        <v>28</v>
      </c>
      <c r="C47" s="4">
        <v>10</v>
      </c>
      <c r="D47" s="4">
        <v>109</v>
      </c>
      <c r="E47" s="4">
        <v>72144582039338</v>
      </c>
      <c r="F47" s="4">
        <v>20217646414</v>
      </c>
      <c r="G47" s="8" t="s">
        <v>27</v>
      </c>
      <c r="H47" s="9">
        <v>1</v>
      </c>
      <c r="I47" s="9" t="s">
        <v>12</v>
      </c>
      <c r="J47" s="9">
        <v>127520.66</v>
      </c>
      <c r="K47" s="9">
        <v>0</v>
      </c>
      <c r="L47" s="9">
        <v>0</v>
      </c>
      <c r="M47" s="9">
        <v>26779.34</v>
      </c>
      <c r="N47" s="9">
        <v>154300</v>
      </c>
      <c r="O47" s="7">
        <f>SUM(J45:J49)</f>
        <v>532976.66</v>
      </c>
    </row>
    <row r="48" spans="1:15">
      <c r="A48" s="3" t="s">
        <v>25</v>
      </c>
      <c r="B48" s="3" t="s">
        <v>9</v>
      </c>
      <c r="C48" s="4">
        <v>10</v>
      </c>
      <c r="D48" s="4">
        <v>3354</v>
      </c>
      <c r="E48" s="4">
        <v>72144569691612</v>
      </c>
      <c r="F48" s="4">
        <v>20217646414</v>
      </c>
      <c r="G48" s="8" t="s">
        <v>27</v>
      </c>
      <c r="H48" s="9">
        <v>1</v>
      </c>
      <c r="I48" s="9" t="s">
        <v>12</v>
      </c>
      <c r="J48" s="9">
        <v>38000</v>
      </c>
      <c r="K48" s="9">
        <v>0</v>
      </c>
      <c r="L48" s="9">
        <v>0</v>
      </c>
      <c r="M48" s="9">
        <v>7980</v>
      </c>
      <c r="N48" s="9">
        <v>45980</v>
      </c>
    </row>
    <row r="49" spans="1:15">
      <c r="A49" s="3" t="s">
        <v>80</v>
      </c>
      <c r="B49" s="3" t="s">
        <v>9</v>
      </c>
      <c r="C49" s="4">
        <v>4</v>
      </c>
      <c r="D49" s="4">
        <v>30</v>
      </c>
      <c r="E49" s="4">
        <v>72160738502924</v>
      </c>
      <c r="F49" s="4">
        <v>20946785300</v>
      </c>
      <c r="G49" s="8" t="s">
        <v>83</v>
      </c>
      <c r="H49" s="9">
        <v>1</v>
      </c>
      <c r="I49" s="9" t="s">
        <v>12</v>
      </c>
      <c r="J49" s="9">
        <v>73500</v>
      </c>
      <c r="K49" s="9">
        <v>0</v>
      </c>
      <c r="L49" s="9">
        <v>0</v>
      </c>
      <c r="M49" s="9">
        <v>15435</v>
      </c>
      <c r="N49" s="9">
        <v>88935</v>
      </c>
    </row>
    <row r="50" spans="1:15">
      <c r="A50" s="3" t="s">
        <v>103</v>
      </c>
      <c r="B50" s="3" t="s">
        <v>9</v>
      </c>
      <c r="C50" s="4">
        <v>3</v>
      </c>
      <c r="D50" s="4">
        <v>5220</v>
      </c>
      <c r="E50" s="4">
        <v>72172394070370</v>
      </c>
      <c r="F50" s="4">
        <v>20044410932</v>
      </c>
      <c r="G50" s="3" t="s">
        <v>105</v>
      </c>
      <c r="H50" s="6">
        <v>1</v>
      </c>
      <c r="I50" s="6" t="s">
        <v>12</v>
      </c>
      <c r="J50" s="6">
        <v>17500</v>
      </c>
      <c r="K50" s="6">
        <v>0</v>
      </c>
      <c r="L50" s="6">
        <v>0</v>
      </c>
      <c r="M50" s="6">
        <v>3675</v>
      </c>
      <c r="N50" s="6">
        <v>21175</v>
      </c>
    </row>
    <row r="51" spans="1:15">
      <c r="A51" s="3" t="s">
        <v>39</v>
      </c>
      <c r="B51" s="3" t="s">
        <v>9</v>
      </c>
      <c r="C51" s="4">
        <v>3546</v>
      </c>
      <c r="D51" s="4">
        <v>971</v>
      </c>
      <c r="E51" s="4">
        <v>72149816335975</v>
      </c>
      <c r="F51" s="4">
        <v>30526874249</v>
      </c>
      <c r="G51" s="3" t="s">
        <v>46</v>
      </c>
      <c r="H51" s="6">
        <v>1</v>
      </c>
      <c r="I51" s="6" t="s">
        <v>12</v>
      </c>
      <c r="J51" s="6">
        <v>99171.9</v>
      </c>
      <c r="K51" s="6">
        <v>0</v>
      </c>
      <c r="L51" s="6">
        <v>0</v>
      </c>
      <c r="M51" s="6">
        <v>20826.099999999999</v>
      </c>
      <c r="N51" s="6">
        <v>119998</v>
      </c>
    </row>
    <row r="52" spans="1:15">
      <c r="A52" s="3" t="s">
        <v>64</v>
      </c>
      <c r="B52" s="3" t="s">
        <v>9</v>
      </c>
      <c r="C52" s="4">
        <v>5</v>
      </c>
      <c r="D52" s="4">
        <v>2841</v>
      </c>
      <c r="E52" s="4">
        <v>72156247957146</v>
      </c>
      <c r="F52" s="4">
        <v>30714734446</v>
      </c>
      <c r="G52" s="3" t="s">
        <v>66</v>
      </c>
      <c r="H52" s="6">
        <v>1</v>
      </c>
      <c r="I52" s="6" t="s">
        <v>12</v>
      </c>
      <c r="J52" s="6">
        <v>2944.79</v>
      </c>
      <c r="K52" s="6">
        <v>0</v>
      </c>
      <c r="L52" s="6">
        <v>0</v>
      </c>
      <c r="M52" s="6">
        <v>618.41</v>
      </c>
      <c r="N52" s="6">
        <v>3563.2</v>
      </c>
    </row>
    <row r="53" spans="1:15">
      <c r="A53" s="3" t="s">
        <v>97</v>
      </c>
      <c r="B53" s="3" t="s">
        <v>9</v>
      </c>
      <c r="C53" s="4">
        <v>14</v>
      </c>
      <c r="D53" s="4">
        <v>113222</v>
      </c>
      <c r="E53" s="4">
        <v>72178222676524</v>
      </c>
      <c r="F53" s="4">
        <v>30644997258</v>
      </c>
      <c r="G53" s="8" t="s">
        <v>99</v>
      </c>
      <c r="H53" s="9">
        <v>1</v>
      </c>
      <c r="I53" s="9" t="s">
        <v>12</v>
      </c>
      <c r="J53" s="9">
        <v>157740</v>
      </c>
      <c r="K53" s="9">
        <v>0</v>
      </c>
      <c r="L53" s="9">
        <v>0</v>
      </c>
      <c r="M53" s="9">
        <v>33125.4</v>
      </c>
      <c r="N53" s="9">
        <v>200329.8</v>
      </c>
      <c r="O53" s="7">
        <f>SUM(J53)</f>
        <v>157740</v>
      </c>
    </row>
    <row r="54" spans="1:15">
      <c r="A54" s="3" t="s">
        <v>64</v>
      </c>
      <c r="B54" s="3" t="s">
        <v>9</v>
      </c>
      <c r="C54" s="4">
        <v>2</v>
      </c>
      <c r="D54" s="4">
        <v>45905</v>
      </c>
      <c r="E54" s="4">
        <v>72159274634037</v>
      </c>
      <c r="F54" s="4">
        <v>30710831919</v>
      </c>
      <c r="G54" s="3" t="s">
        <v>67</v>
      </c>
      <c r="H54" s="6">
        <v>1</v>
      </c>
      <c r="I54" s="6" t="s">
        <v>12</v>
      </c>
      <c r="J54" s="6">
        <v>750</v>
      </c>
      <c r="K54" s="6">
        <v>1525.4</v>
      </c>
      <c r="L54" s="6">
        <v>0</v>
      </c>
      <c r="M54" s="6">
        <v>157.5</v>
      </c>
      <c r="N54" s="6">
        <v>2432.9</v>
      </c>
    </row>
    <row r="55" spans="1:15">
      <c r="A55" s="3" t="s">
        <v>89</v>
      </c>
      <c r="B55" s="3" t="s">
        <v>9</v>
      </c>
      <c r="C55" s="4">
        <v>4</v>
      </c>
      <c r="D55" s="4">
        <v>34230</v>
      </c>
      <c r="E55" s="4">
        <v>72167966671193</v>
      </c>
      <c r="F55" s="4">
        <v>30585948817</v>
      </c>
      <c r="G55" s="8" t="s">
        <v>92</v>
      </c>
      <c r="H55" s="9">
        <v>1</v>
      </c>
      <c r="I55" s="9" t="s">
        <v>12</v>
      </c>
      <c r="J55" s="9">
        <v>236115.20000000001</v>
      </c>
      <c r="K55" s="9">
        <v>0</v>
      </c>
      <c r="L55" s="9">
        <v>0</v>
      </c>
      <c r="M55" s="9">
        <v>49584.19</v>
      </c>
      <c r="N55" s="9">
        <v>299866.3</v>
      </c>
      <c r="O55" s="7">
        <f>SUM(J55:J56)</f>
        <v>603795.19999999995</v>
      </c>
    </row>
    <row r="56" spans="1:15">
      <c r="A56" s="3" t="s">
        <v>8</v>
      </c>
      <c r="B56" s="3" t="s">
        <v>9</v>
      </c>
      <c r="C56" s="4">
        <v>4</v>
      </c>
      <c r="D56" s="4">
        <v>1323</v>
      </c>
      <c r="E56" s="4">
        <v>72130417758875</v>
      </c>
      <c r="F56" s="4">
        <v>30715946250</v>
      </c>
      <c r="G56" s="8" t="s">
        <v>18</v>
      </c>
      <c r="H56" s="9">
        <v>1</v>
      </c>
      <c r="I56" s="9" t="s">
        <v>12</v>
      </c>
      <c r="J56" s="9">
        <v>367680</v>
      </c>
      <c r="K56" s="9">
        <v>0</v>
      </c>
      <c r="L56" s="9">
        <v>0</v>
      </c>
      <c r="M56" s="9">
        <v>77212.800000000003</v>
      </c>
      <c r="N56" s="9">
        <v>444892.8</v>
      </c>
    </row>
    <row r="57" spans="1:15">
      <c r="A57" s="3" t="s">
        <v>25</v>
      </c>
      <c r="B57" s="3" t="s">
        <v>9</v>
      </c>
      <c r="C57" s="4">
        <v>629</v>
      </c>
      <c r="D57" s="4">
        <v>3123823</v>
      </c>
      <c r="E57" s="4">
        <v>32133011390983</v>
      </c>
      <c r="F57" s="4">
        <v>30663498513</v>
      </c>
      <c r="G57" s="3" t="s">
        <v>26</v>
      </c>
      <c r="H57" s="6">
        <v>1</v>
      </c>
      <c r="I57" s="6" t="s">
        <v>12</v>
      </c>
      <c r="J57" s="6">
        <v>2042.96</v>
      </c>
      <c r="K57" s="6">
        <v>0</v>
      </c>
      <c r="L57" s="6">
        <v>0</v>
      </c>
      <c r="M57" s="6">
        <v>429.04</v>
      </c>
      <c r="N57" s="6">
        <v>2472</v>
      </c>
    </row>
    <row r="58" spans="1:15">
      <c r="A58" s="3" t="s">
        <v>76</v>
      </c>
      <c r="B58" s="3" t="s">
        <v>9</v>
      </c>
      <c r="C58" s="4">
        <v>629</v>
      </c>
      <c r="D58" s="4">
        <v>3164330</v>
      </c>
      <c r="E58" s="4">
        <v>32153009592700</v>
      </c>
      <c r="F58" s="4">
        <v>30663498513</v>
      </c>
      <c r="G58" s="3" t="s">
        <v>26</v>
      </c>
      <c r="H58" s="6">
        <v>1</v>
      </c>
      <c r="I58" s="6" t="s">
        <v>12</v>
      </c>
      <c r="J58" s="6">
        <v>2401.62</v>
      </c>
      <c r="K58" s="6">
        <v>0</v>
      </c>
      <c r="L58" s="6">
        <v>0</v>
      </c>
      <c r="M58" s="6">
        <v>504.38</v>
      </c>
      <c r="N58" s="6">
        <v>2906</v>
      </c>
    </row>
    <row r="59" spans="1:15">
      <c r="A59" s="3" t="s">
        <v>8</v>
      </c>
      <c r="B59" s="3" t="s">
        <v>9</v>
      </c>
      <c r="C59" s="4">
        <v>1</v>
      </c>
      <c r="D59" s="4">
        <v>33</v>
      </c>
      <c r="E59" s="4">
        <v>72133379399013</v>
      </c>
      <c r="F59" s="4">
        <v>30716010313</v>
      </c>
      <c r="G59" s="3" t="s">
        <v>13</v>
      </c>
      <c r="H59" s="6">
        <v>1</v>
      </c>
      <c r="I59" s="6" t="s">
        <v>12</v>
      </c>
      <c r="J59" s="6">
        <v>32000</v>
      </c>
      <c r="K59" s="6">
        <v>0</v>
      </c>
      <c r="L59" s="6">
        <v>0</v>
      </c>
      <c r="M59" s="6">
        <v>6720</v>
      </c>
      <c r="N59" s="6">
        <v>38720</v>
      </c>
    </row>
    <row r="60" spans="1:15">
      <c r="A60" s="3" t="s">
        <v>39</v>
      </c>
      <c r="B60" s="3" t="s">
        <v>9</v>
      </c>
      <c r="C60" s="4">
        <v>8</v>
      </c>
      <c r="D60" s="4">
        <v>45381</v>
      </c>
      <c r="E60" s="4">
        <v>72147775585915</v>
      </c>
      <c r="F60" s="4">
        <v>30714295957</v>
      </c>
      <c r="G60" s="3" t="s">
        <v>44</v>
      </c>
      <c r="H60" s="6">
        <v>1</v>
      </c>
      <c r="I60" s="6" t="s">
        <v>12</v>
      </c>
      <c r="J60" s="6">
        <v>5574.38</v>
      </c>
      <c r="K60" s="6">
        <v>0</v>
      </c>
      <c r="L60" s="6">
        <v>0</v>
      </c>
      <c r="M60" s="6">
        <v>1170.6199999999999</v>
      </c>
      <c r="N60" s="6">
        <v>6745</v>
      </c>
    </row>
    <row r="61" spans="1:15">
      <c r="A61" s="3" t="s">
        <v>34</v>
      </c>
      <c r="B61" s="3" t="s">
        <v>9</v>
      </c>
      <c r="C61" s="4">
        <v>1</v>
      </c>
      <c r="D61" s="4">
        <v>7</v>
      </c>
      <c r="E61" s="4">
        <v>72147672849416</v>
      </c>
      <c r="F61" s="4">
        <v>30717305287</v>
      </c>
      <c r="G61" s="8" t="s">
        <v>35</v>
      </c>
      <c r="H61" s="9">
        <v>1</v>
      </c>
      <c r="I61" s="9" t="s">
        <v>12</v>
      </c>
      <c r="J61" s="9">
        <v>46200</v>
      </c>
      <c r="K61" s="9">
        <v>0</v>
      </c>
      <c r="L61" s="9">
        <v>0</v>
      </c>
      <c r="M61" s="9">
        <v>9702</v>
      </c>
      <c r="N61" s="9">
        <v>55902</v>
      </c>
    </row>
    <row r="62" spans="1:15">
      <c r="A62" s="3" t="s">
        <v>103</v>
      </c>
      <c r="B62" s="3" t="s">
        <v>9</v>
      </c>
      <c r="C62" s="4">
        <v>4</v>
      </c>
      <c r="D62" s="4">
        <v>2604</v>
      </c>
      <c r="E62" s="4">
        <v>72171386845326</v>
      </c>
      <c r="F62" s="4">
        <v>20132380741</v>
      </c>
      <c r="G62" s="8" t="s">
        <v>104</v>
      </c>
      <c r="H62" s="9">
        <v>1</v>
      </c>
      <c r="I62" s="9" t="s">
        <v>12</v>
      </c>
      <c r="J62" s="9">
        <v>67177</v>
      </c>
      <c r="K62" s="9">
        <v>10370.64</v>
      </c>
      <c r="L62" s="9">
        <v>0</v>
      </c>
      <c r="M62" s="9">
        <v>14107.17</v>
      </c>
      <c r="N62" s="9">
        <v>91654.81</v>
      </c>
      <c r="O62" s="7">
        <f>SUM(J61:J62)</f>
        <v>113377</v>
      </c>
    </row>
    <row r="63" spans="1:15">
      <c r="A63" s="3" t="s">
        <v>25</v>
      </c>
      <c r="B63" s="3" t="s">
        <v>9</v>
      </c>
      <c r="C63" s="4">
        <v>5</v>
      </c>
      <c r="D63" s="4">
        <v>74</v>
      </c>
      <c r="E63" s="4">
        <v>72140551766953</v>
      </c>
      <c r="F63" s="4">
        <v>30707949550</v>
      </c>
      <c r="G63" s="3" t="s">
        <v>31</v>
      </c>
      <c r="H63" s="6">
        <v>1</v>
      </c>
      <c r="I63" s="6" t="s">
        <v>12</v>
      </c>
      <c r="J63" s="6">
        <v>285.06</v>
      </c>
      <c r="K63" s="6">
        <v>0</v>
      </c>
      <c r="L63" s="6">
        <v>0</v>
      </c>
      <c r="M63" s="6">
        <v>59.86</v>
      </c>
      <c r="N63" s="6">
        <v>350.32</v>
      </c>
    </row>
    <row r="64" spans="1:15">
      <c r="A64" s="3" t="s">
        <v>52</v>
      </c>
      <c r="B64" s="3" t="s">
        <v>9</v>
      </c>
      <c r="C64" s="4">
        <v>5</v>
      </c>
      <c r="D64" s="4">
        <v>86</v>
      </c>
      <c r="E64" s="4">
        <v>72140925270002</v>
      </c>
      <c r="F64" s="4">
        <v>30707949550</v>
      </c>
      <c r="G64" s="3" t="s">
        <v>31</v>
      </c>
      <c r="H64" s="6">
        <v>1</v>
      </c>
      <c r="I64" s="6" t="s">
        <v>12</v>
      </c>
      <c r="J64" s="6">
        <v>302.77999999999997</v>
      </c>
      <c r="K64" s="6">
        <v>0</v>
      </c>
      <c r="L64" s="6">
        <v>0</v>
      </c>
      <c r="M64" s="6">
        <v>63.58</v>
      </c>
      <c r="N64" s="6">
        <v>372.1</v>
      </c>
    </row>
    <row r="65" spans="1:15">
      <c r="A65" s="3" t="s">
        <v>25</v>
      </c>
      <c r="B65" s="3" t="s">
        <v>9</v>
      </c>
      <c r="C65" s="4">
        <v>5</v>
      </c>
      <c r="D65" s="4">
        <v>99201</v>
      </c>
      <c r="E65" s="4">
        <v>72140585080055</v>
      </c>
      <c r="F65" s="4">
        <v>30550106430</v>
      </c>
      <c r="G65" s="3" t="s">
        <v>32</v>
      </c>
      <c r="H65" s="6">
        <v>116.5</v>
      </c>
      <c r="I65" s="6" t="s">
        <v>33</v>
      </c>
      <c r="J65" s="6">
        <v>560</v>
      </c>
      <c r="K65" s="6">
        <v>0</v>
      </c>
      <c r="L65" s="6">
        <v>0</v>
      </c>
      <c r="M65" s="6">
        <v>117.6</v>
      </c>
      <c r="N65" s="6">
        <v>683.2</v>
      </c>
    </row>
    <row r="66" spans="1:15">
      <c r="A66" s="3" t="s">
        <v>25</v>
      </c>
      <c r="B66" s="3" t="s">
        <v>28</v>
      </c>
      <c r="C66" s="4">
        <v>5</v>
      </c>
      <c r="D66" s="4">
        <v>8211</v>
      </c>
      <c r="E66" s="4">
        <v>72140588078346</v>
      </c>
      <c r="F66" s="4">
        <v>30550106430</v>
      </c>
      <c r="G66" s="3" t="s">
        <v>32</v>
      </c>
      <c r="H66" s="6">
        <v>116.5</v>
      </c>
      <c r="I66" s="6" t="s">
        <v>33</v>
      </c>
      <c r="J66" s="6">
        <v>560</v>
      </c>
      <c r="K66" s="6">
        <v>0</v>
      </c>
      <c r="L66" s="6">
        <v>0</v>
      </c>
      <c r="M66" s="6">
        <v>117.6</v>
      </c>
      <c r="N66" s="6">
        <v>683.2</v>
      </c>
    </row>
    <row r="67" spans="1:15">
      <c r="A67" s="3" t="s">
        <v>25</v>
      </c>
      <c r="B67" s="3" t="s">
        <v>9</v>
      </c>
      <c r="C67" s="4">
        <v>5</v>
      </c>
      <c r="D67" s="4">
        <v>99213</v>
      </c>
      <c r="E67" s="4">
        <v>72140588552763</v>
      </c>
      <c r="F67" s="4">
        <v>30550106430</v>
      </c>
      <c r="G67" s="3" t="s">
        <v>32</v>
      </c>
      <c r="H67" s="6">
        <v>116.5</v>
      </c>
      <c r="I67" s="6" t="s">
        <v>33</v>
      </c>
      <c r="J67" s="6">
        <v>2240</v>
      </c>
      <c r="K67" s="6">
        <v>0</v>
      </c>
      <c r="L67" s="6">
        <v>0</v>
      </c>
      <c r="M67" s="6">
        <v>470.4</v>
      </c>
      <c r="N67" s="6">
        <v>2732.8</v>
      </c>
    </row>
    <row r="68" spans="1:15">
      <c r="A68" s="3" t="s">
        <v>39</v>
      </c>
      <c r="B68" s="3" t="s">
        <v>9</v>
      </c>
      <c r="C68" s="4">
        <v>5</v>
      </c>
      <c r="D68" s="4">
        <v>99294</v>
      </c>
      <c r="E68" s="4">
        <v>72140773536206</v>
      </c>
      <c r="F68" s="4">
        <v>30550106430</v>
      </c>
      <c r="G68" s="3" t="s">
        <v>32</v>
      </c>
      <c r="H68" s="6">
        <v>117</v>
      </c>
      <c r="I68" s="6" t="s">
        <v>33</v>
      </c>
      <c r="J68" s="6">
        <v>1380</v>
      </c>
      <c r="K68" s="6">
        <v>0</v>
      </c>
      <c r="L68" s="6">
        <v>0</v>
      </c>
      <c r="M68" s="6">
        <v>289.8</v>
      </c>
      <c r="N68" s="6">
        <v>1683.6</v>
      </c>
    </row>
    <row r="69" spans="1:15">
      <c r="A69" s="3" t="s">
        <v>39</v>
      </c>
      <c r="B69" s="3" t="s">
        <v>41</v>
      </c>
      <c r="C69" s="4">
        <v>5</v>
      </c>
      <c r="D69" s="4">
        <v>7</v>
      </c>
      <c r="E69" s="4">
        <v>72145798202760</v>
      </c>
      <c r="F69" s="4">
        <v>20321437215</v>
      </c>
      <c r="G69" s="3" t="s">
        <v>42</v>
      </c>
      <c r="H69" s="6">
        <v>1</v>
      </c>
      <c r="I69" s="6" t="s">
        <v>12</v>
      </c>
      <c r="J69" s="6"/>
      <c r="K69" s="6"/>
      <c r="L69" s="6"/>
      <c r="M69" s="6"/>
      <c r="N69" s="6">
        <v>4000</v>
      </c>
    </row>
    <row r="70" spans="1:15">
      <c r="A70" s="3" t="s">
        <v>55</v>
      </c>
      <c r="B70" s="3" t="s">
        <v>9</v>
      </c>
      <c r="C70" s="4">
        <v>54</v>
      </c>
      <c r="D70" s="4">
        <v>588</v>
      </c>
      <c r="E70" s="4">
        <v>72158038302151</v>
      </c>
      <c r="F70" s="4">
        <v>30709405108</v>
      </c>
      <c r="G70" s="3" t="s">
        <v>56</v>
      </c>
      <c r="H70" s="6">
        <v>1</v>
      </c>
      <c r="I70" s="6" t="s">
        <v>12</v>
      </c>
      <c r="J70" s="6">
        <v>9166.59</v>
      </c>
      <c r="K70" s="6">
        <v>0</v>
      </c>
      <c r="L70" s="6">
        <v>0</v>
      </c>
      <c r="M70" s="6">
        <v>1924.99</v>
      </c>
      <c r="N70" s="6">
        <v>11091.58</v>
      </c>
    </row>
    <row r="71" spans="1:15">
      <c r="A71" s="3" t="s">
        <v>110</v>
      </c>
      <c r="B71" s="3" t="s">
        <v>9</v>
      </c>
      <c r="C71" s="4">
        <v>27</v>
      </c>
      <c r="D71" s="4">
        <v>309086</v>
      </c>
      <c r="E71" s="4">
        <v>72184713299564</v>
      </c>
      <c r="F71" s="4">
        <v>30703088534</v>
      </c>
      <c r="G71" s="3" t="s">
        <v>114</v>
      </c>
      <c r="H71" s="6">
        <v>1</v>
      </c>
      <c r="I71" s="6" t="s">
        <v>12</v>
      </c>
      <c r="J71" s="6">
        <v>109584.16</v>
      </c>
      <c r="K71" s="6">
        <v>0</v>
      </c>
      <c r="L71" s="6">
        <v>0</v>
      </c>
      <c r="M71" s="6">
        <v>23012.67</v>
      </c>
      <c r="N71" s="6">
        <v>142459.48000000001</v>
      </c>
    </row>
    <row r="72" spans="1:15">
      <c r="A72" s="3" t="s">
        <v>110</v>
      </c>
      <c r="B72" s="3" t="s">
        <v>28</v>
      </c>
      <c r="C72" s="4">
        <v>27</v>
      </c>
      <c r="D72" s="4">
        <v>22252</v>
      </c>
      <c r="E72" s="4">
        <v>72184787926327</v>
      </c>
      <c r="F72" s="4">
        <v>30703088534</v>
      </c>
      <c r="G72" s="3" t="s">
        <v>114</v>
      </c>
      <c r="H72" s="6">
        <v>1</v>
      </c>
      <c r="I72" s="6" t="s">
        <v>12</v>
      </c>
      <c r="J72" s="6">
        <v>119.67</v>
      </c>
      <c r="K72" s="6">
        <v>0</v>
      </c>
      <c r="L72" s="6">
        <v>0</v>
      </c>
      <c r="M72" s="6">
        <v>25.13</v>
      </c>
      <c r="N72" s="6">
        <v>148.38999999999999</v>
      </c>
    </row>
    <row r="73" spans="1:15">
      <c r="A73" s="3" t="s">
        <v>70</v>
      </c>
      <c r="B73" s="3" t="s">
        <v>9</v>
      </c>
      <c r="C73" s="4">
        <v>4</v>
      </c>
      <c r="D73" s="4">
        <v>49676</v>
      </c>
      <c r="E73" s="4">
        <v>72159412920532</v>
      </c>
      <c r="F73" s="4">
        <v>30716292319</v>
      </c>
      <c r="G73" s="8" t="s">
        <v>71</v>
      </c>
      <c r="H73" s="9">
        <v>1</v>
      </c>
      <c r="I73" s="9" t="s">
        <v>12</v>
      </c>
      <c r="J73" s="9">
        <v>147510.41</v>
      </c>
      <c r="K73" s="9">
        <v>0</v>
      </c>
      <c r="L73" s="9">
        <v>0</v>
      </c>
      <c r="M73" s="9">
        <v>15488.59</v>
      </c>
      <c r="N73" s="9">
        <v>162999</v>
      </c>
    </row>
    <row r="74" spans="1:15">
      <c r="A74" s="3" t="s">
        <v>103</v>
      </c>
      <c r="B74" s="3" t="s">
        <v>9</v>
      </c>
      <c r="C74" s="4">
        <v>4</v>
      </c>
      <c r="D74" s="4">
        <v>50358</v>
      </c>
      <c r="E74" s="4">
        <v>72179404419764</v>
      </c>
      <c r="F74" s="4">
        <v>30716292319</v>
      </c>
      <c r="G74" s="8" t="s">
        <v>71</v>
      </c>
      <c r="H74" s="9">
        <v>1</v>
      </c>
      <c r="I74" s="9" t="s">
        <v>12</v>
      </c>
      <c r="J74" s="9">
        <v>57012.67</v>
      </c>
      <c r="K74" s="9">
        <v>0</v>
      </c>
      <c r="L74" s="9">
        <v>0</v>
      </c>
      <c r="M74" s="9">
        <v>5986.33</v>
      </c>
      <c r="N74" s="9">
        <v>62999</v>
      </c>
      <c r="O74" s="7">
        <f>SUM(J73:J75)</f>
        <v>400043.08</v>
      </c>
    </row>
    <row r="75" spans="1:15">
      <c r="A75" s="3" t="s">
        <v>84</v>
      </c>
      <c r="B75" s="3" t="s">
        <v>9</v>
      </c>
      <c r="C75" s="4">
        <v>7</v>
      </c>
      <c r="D75" s="4">
        <v>6225</v>
      </c>
      <c r="E75" s="4">
        <v>72169829155078</v>
      </c>
      <c r="F75" s="4">
        <v>30708017759</v>
      </c>
      <c r="G75" s="8" t="s">
        <v>85</v>
      </c>
      <c r="H75" s="9">
        <v>1</v>
      </c>
      <c r="I75" s="9" t="s">
        <v>12</v>
      </c>
      <c r="J75" s="9">
        <v>195520</v>
      </c>
      <c r="K75" s="9">
        <v>0</v>
      </c>
      <c r="L75" s="9">
        <v>0</v>
      </c>
      <c r="M75" s="9">
        <v>41059.199999999997</v>
      </c>
      <c r="N75" s="9">
        <v>248310.39999999999</v>
      </c>
    </row>
    <row r="76" spans="1:15">
      <c r="A76" s="3" t="s">
        <v>89</v>
      </c>
      <c r="B76" s="3" t="s">
        <v>9</v>
      </c>
      <c r="C76" s="4">
        <v>3</v>
      </c>
      <c r="D76" s="4">
        <v>1761</v>
      </c>
      <c r="E76" s="4">
        <v>72176191785409</v>
      </c>
      <c r="F76" s="4">
        <v>30714988936</v>
      </c>
      <c r="G76" s="3" t="s">
        <v>91</v>
      </c>
      <c r="H76" s="6">
        <v>1</v>
      </c>
      <c r="I76" s="6" t="s">
        <v>12</v>
      </c>
      <c r="J76" s="6">
        <v>5702.48</v>
      </c>
      <c r="K76" s="6">
        <v>0</v>
      </c>
      <c r="L76" s="6">
        <v>0</v>
      </c>
      <c r="M76" s="6">
        <v>1197.52</v>
      </c>
      <c r="N76" s="6">
        <v>6900</v>
      </c>
    </row>
    <row r="77" spans="1:15">
      <c r="A77" s="3" t="s">
        <v>34</v>
      </c>
      <c r="B77" s="3" t="s">
        <v>9</v>
      </c>
      <c r="C77" s="4">
        <v>2</v>
      </c>
      <c r="D77" s="4">
        <v>29723</v>
      </c>
      <c r="E77" s="4">
        <v>72149701907918</v>
      </c>
      <c r="F77" s="4">
        <v>33714232199</v>
      </c>
      <c r="G77" s="3" t="s">
        <v>38</v>
      </c>
      <c r="H77" s="6">
        <v>1</v>
      </c>
      <c r="I77" s="6" t="s">
        <v>12</v>
      </c>
      <c r="J77" s="6">
        <v>16317</v>
      </c>
      <c r="K77" s="6">
        <v>0</v>
      </c>
      <c r="L77" s="6">
        <v>0</v>
      </c>
      <c r="M77" s="6">
        <v>3426.57</v>
      </c>
      <c r="N77" s="6">
        <v>19743.57</v>
      </c>
    </row>
    <row r="78" spans="1:15">
      <c r="A78" s="3" t="s">
        <v>76</v>
      </c>
      <c r="B78" s="3" t="s">
        <v>9</v>
      </c>
      <c r="C78" s="4">
        <v>6862</v>
      </c>
      <c r="D78" s="4">
        <v>10476</v>
      </c>
      <c r="E78" s="4">
        <v>72165676983086</v>
      </c>
      <c r="F78" s="4">
        <v>30678774495</v>
      </c>
      <c r="G78" s="3" t="s">
        <v>79</v>
      </c>
      <c r="H78" s="6">
        <v>1</v>
      </c>
      <c r="I78" s="6" t="s">
        <v>12</v>
      </c>
      <c r="J78" s="6">
        <v>3341.09</v>
      </c>
      <c r="K78" s="6">
        <v>0</v>
      </c>
      <c r="L78" s="6">
        <v>0</v>
      </c>
      <c r="M78" s="6">
        <v>701.63</v>
      </c>
      <c r="N78" s="6">
        <v>5001.8999999999996</v>
      </c>
    </row>
    <row r="79" spans="1:15">
      <c r="A79" s="3" t="s">
        <v>103</v>
      </c>
      <c r="B79" s="3" t="s">
        <v>9</v>
      </c>
      <c r="C79" s="4">
        <v>6852</v>
      </c>
      <c r="D79" s="4">
        <v>8581</v>
      </c>
      <c r="E79" s="4">
        <v>72175350691992</v>
      </c>
      <c r="F79" s="4">
        <v>30678774495</v>
      </c>
      <c r="G79" s="3" t="s">
        <v>79</v>
      </c>
      <c r="H79" s="6">
        <v>1</v>
      </c>
      <c r="I79" s="6" t="s">
        <v>12</v>
      </c>
      <c r="J79" s="6">
        <v>2771.35</v>
      </c>
      <c r="K79" s="6">
        <v>0</v>
      </c>
      <c r="L79" s="6">
        <v>0</v>
      </c>
      <c r="M79" s="6">
        <v>581.98</v>
      </c>
      <c r="N79" s="6">
        <v>4100.3999999999996</v>
      </c>
    </row>
    <row r="80" spans="1:15">
      <c r="A80" s="3" t="s">
        <v>87</v>
      </c>
      <c r="B80" s="3" t="s">
        <v>9</v>
      </c>
      <c r="C80" s="4">
        <v>6</v>
      </c>
      <c r="D80" s="4">
        <v>250</v>
      </c>
      <c r="E80" s="4">
        <v>72169923434423</v>
      </c>
      <c r="F80" s="4">
        <v>20219190469</v>
      </c>
      <c r="G80" s="3" t="s">
        <v>88</v>
      </c>
      <c r="H80" s="6">
        <v>1</v>
      </c>
      <c r="I80" s="6" t="s">
        <v>12</v>
      </c>
      <c r="J80" s="6">
        <v>39153.599999999999</v>
      </c>
      <c r="K80" s="6">
        <v>0</v>
      </c>
      <c r="L80" s="6">
        <v>0</v>
      </c>
      <c r="M80" s="6">
        <v>8222.26</v>
      </c>
      <c r="N80" s="6">
        <v>47375.86</v>
      </c>
    </row>
    <row r="81" spans="1:15">
      <c r="A81" s="3" t="s">
        <v>109</v>
      </c>
      <c r="B81" s="3" t="s">
        <v>9</v>
      </c>
      <c r="C81" s="4">
        <v>6</v>
      </c>
      <c r="D81" s="4">
        <v>263</v>
      </c>
      <c r="E81" s="4">
        <v>72179472858295</v>
      </c>
      <c r="F81" s="4">
        <v>20219190469</v>
      </c>
      <c r="G81" s="3" t="s">
        <v>88</v>
      </c>
      <c r="H81" s="6">
        <v>1</v>
      </c>
      <c r="I81" s="6" t="s">
        <v>12</v>
      </c>
      <c r="J81" s="6">
        <v>64393.56</v>
      </c>
      <c r="K81" s="6">
        <v>0</v>
      </c>
      <c r="L81" s="6">
        <v>0</v>
      </c>
      <c r="M81" s="6">
        <v>13522.65</v>
      </c>
      <c r="N81" s="6">
        <v>77916.210000000006</v>
      </c>
    </row>
    <row r="82" spans="1:15">
      <c r="A82" s="3" t="s">
        <v>80</v>
      </c>
      <c r="B82" s="3" t="s">
        <v>9</v>
      </c>
      <c r="C82" s="4">
        <v>10</v>
      </c>
      <c r="D82" s="4">
        <v>33275</v>
      </c>
      <c r="E82" s="4">
        <v>72169729953743</v>
      </c>
      <c r="F82" s="4">
        <v>30699342129</v>
      </c>
      <c r="G82" s="8" t="s">
        <v>82</v>
      </c>
      <c r="H82" s="9">
        <v>1</v>
      </c>
      <c r="I82" s="9" t="s">
        <v>12</v>
      </c>
      <c r="J82" s="9">
        <v>107613.11</v>
      </c>
      <c r="K82" s="9">
        <v>0</v>
      </c>
      <c r="L82" s="9">
        <v>0</v>
      </c>
      <c r="M82" s="9">
        <v>22598.75</v>
      </c>
      <c r="N82" s="9">
        <v>130211.86</v>
      </c>
      <c r="O82" s="7">
        <f>SUM(J82)</f>
        <v>107613.11</v>
      </c>
    </row>
    <row r="83" spans="1:15">
      <c r="A83" s="3" t="s">
        <v>57</v>
      </c>
      <c r="B83" s="3" t="s">
        <v>9</v>
      </c>
      <c r="C83" s="4">
        <v>6</v>
      </c>
      <c r="D83" s="4">
        <v>12026698</v>
      </c>
      <c r="E83" s="4">
        <v>72157016068060</v>
      </c>
      <c r="F83" s="4">
        <v>30620177497</v>
      </c>
      <c r="G83" s="3" t="s">
        <v>58</v>
      </c>
      <c r="H83" s="6">
        <v>1</v>
      </c>
      <c r="I83" s="6" t="s">
        <v>12</v>
      </c>
      <c r="J83" s="6">
        <v>1990</v>
      </c>
      <c r="K83" s="6">
        <v>0</v>
      </c>
      <c r="L83" s="6">
        <v>0</v>
      </c>
      <c r="M83" s="6">
        <v>417.9</v>
      </c>
      <c r="N83" s="6">
        <v>2587</v>
      </c>
    </row>
    <row r="84" spans="1:15">
      <c r="A84" s="3" t="s">
        <v>57</v>
      </c>
      <c r="B84" s="3" t="s">
        <v>9</v>
      </c>
      <c r="C84" s="4">
        <v>6</v>
      </c>
      <c r="D84" s="4">
        <v>12026713</v>
      </c>
      <c r="E84" s="4">
        <v>72157016068277</v>
      </c>
      <c r="F84" s="4">
        <v>30620177497</v>
      </c>
      <c r="G84" s="3" t="s">
        <v>58</v>
      </c>
      <c r="H84" s="6">
        <v>1</v>
      </c>
      <c r="I84" s="6" t="s">
        <v>12</v>
      </c>
      <c r="J84" s="6">
        <v>1990</v>
      </c>
      <c r="K84" s="6">
        <v>0</v>
      </c>
      <c r="L84" s="6">
        <v>0</v>
      </c>
      <c r="M84" s="6">
        <v>417.9</v>
      </c>
      <c r="N84" s="6">
        <v>2587</v>
      </c>
    </row>
    <row r="85" spans="1:15">
      <c r="A85" s="3" t="s">
        <v>57</v>
      </c>
      <c r="B85" s="3" t="s">
        <v>9</v>
      </c>
      <c r="C85" s="4">
        <v>6</v>
      </c>
      <c r="D85" s="4">
        <v>12026726</v>
      </c>
      <c r="E85" s="4">
        <v>72157016068426</v>
      </c>
      <c r="F85" s="4">
        <v>30620177497</v>
      </c>
      <c r="G85" s="3" t="s">
        <v>58</v>
      </c>
      <c r="H85" s="6">
        <v>1</v>
      </c>
      <c r="I85" s="6" t="s">
        <v>12</v>
      </c>
      <c r="J85" s="6">
        <v>1990</v>
      </c>
      <c r="K85" s="6">
        <v>0</v>
      </c>
      <c r="L85" s="6">
        <v>0</v>
      </c>
      <c r="M85" s="6">
        <v>417.9</v>
      </c>
      <c r="N85" s="6">
        <v>2587</v>
      </c>
    </row>
    <row r="86" spans="1:15">
      <c r="A86" s="3" t="s">
        <v>57</v>
      </c>
      <c r="B86" s="3" t="s">
        <v>9</v>
      </c>
      <c r="C86" s="4">
        <v>6</v>
      </c>
      <c r="D86" s="4">
        <v>12026764</v>
      </c>
      <c r="E86" s="4">
        <v>72157016068840</v>
      </c>
      <c r="F86" s="4">
        <v>30620177497</v>
      </c>
      <c r="G86" s="3" t="s">
        <v>58</v>
      </c>
      <c r="H86" s="6">
        <v>1</v>
      </c>
      <c r="I86" s="6" t="s">
        <v>12</v>
      </c>
      <c r="J86" s="6">
        <v>5970</v>
      </c>
      <c r="K86" s="6">
        <v>0</v>
      </c>
      <c r="L86" s="6">
        <v>0</v>
      </c>
      <c r="M86" s="6">
        <v>1253.7</v>
      </c>
      <c r="N86" s="6">
        <v>7761</v>
      </c>
    </row>
    <row r="87" spans="1:15">
      <c r="A87" s="3" t="s">
        <v>8</v>
      </c>
      <c r="B87" s="3" t="s">
        <v>9</v>
      </c>
      <c r="C87" s="4">
        <v>7</v>
      </c>
      <c r="D87" s="4">
        <v>359</v>
      </c>
      <c r="E87" s="4">
        <v>72133413207390</v>
      </c>
      <c r="F87" s="4">
        <v>27200553573</v>
      </c>
      <c r="G87" s="3" t="s">
        <v>15</v>
      </c>
      <c r="H87" s="6">
        <v>1</v>
      </c>
      <c r="I87" s="6" t="s">
        <v>12</v>
      </c>
      <c r="J87" s="6">
        <v>5991.74</v>
      </c>
      <c r="K87" s="6">
        <v>0</v>
      </c>
      <c r="L87" s="6">
        <v>0</v>
      </c>
      <c r="M87" s="6">
        <v>1258.27</v>
      </c>
      <c r="N87" s="6">
        <v>7250.01</v>
      </c>
    </row>
    <row r="88" spans="1:15">
      <c r="A88" s="3" t="s">
        <v>110</v>
      </c>
      <c r="B88" s="3" t="s">
        <v>41</v>
      </c>
      <c r="C88" s="4">
        <v>1</v>
      </c>
      <c r="D88" s="4">
        <v>32</v>
      </c>
      <c r="E88" s="4">
        <v>72174546002377</v>
      </c>
      <c r="F88" s="4">
        <v>20231009524</v>
      </c>
      <c r="G88" s="3" t="s">
        <v>113</v>
      </c>
      <c r="H88" s="6">
        <v>1</v>
      </c>
      <c r="I88" s="6" t="s">
        <v>12</v>
      </c>
      <c r="J88" s="6"/>
      <c r="K88" s="6"/>
      <c r="L88" s="6"/>
      <c r="M88" s="6"/>
      <c r="N88" s="6">
        <v>55000</v>
      </c>
    </row>
    <row r="89" spans="1:15">
      <c r="A89" s="3" t="s">
        <v>64</v>
      </c>
      <c r="B89" s="3" t="s">
        <v>9</v>
      </c>
      <c r="C89" s="4">
        <v>1</v>
      </c>
      <c r="D89" s="4">
        <v>1675</v>
      </c>
      <c r="E89" s="4">
        <v>72153247698945</v>
      </c>
      <c r="F89" s="4">
        <v>27181689183</v>
      </c>
      <c r="G89" s="8" t="s">
        <v>65</v>
      </c>
      <c r="H89" s="9">
        <v>1</v>
      </c>
      <c r="I89" s="9" t="s">
        <v>12</v>
      </c>
      <c r="J89" s="9">
        <v>74400</v>
      </c>
      <c r="K89" s="9">
        <v>0</v>
      </c>
      <c r="L89" s="9">
        <v>0</v>
      </c>
      <c r="M89" s="9">
        <v>15624</v>
      </c>
      <c r="N89" s="9">
        <v>90024</v>
      </c>
    </row>
    <row r="90" spans="1:15">
      <c r="A90" s="3" t="s">
        <v>8</v>
      </c>
      <c r="B90" s="3" t="s">
        <v>9</v>
      </c>
      <c r="C90" s="4">
        <v>5</v>
      </c>
      <c r="D90" s="4">
        <v>1660</v>
      </c>
      <c r="E90" s="4">
        <v>72132405512903</v>
      </c>
      <c r="F90" s="4">
        <v>20367393042</v>
      </c>
      <c r="G90" s="8" t="s">
        <v>11</v>
      </c>
      <c r="H90" s="9">
        <v>1</v>
      </c>
      <c r="I90" s="9" t="s">
        <v>12</v>
      </c>
      <c r="J90" s="9">
        <v>37495.870000000003</v>
      </c>
      <c r="K90" s="9">
        <v>0</v>
      </c>
      <c r="L90" s="9">
        <v>0</v>
      </c>
      <c r="M90" s="9">
        <v>7874.13</v>
      </c>
      <c r="N90" s="9">
        <v>45370</v>
      </c>
      <c r="O90" s="7">
        <f>SUM(J89:J91)</f>
        <v>306330.37</v>
      </c>
    </row>
    <row r="91" spans="1:15">
      <c r="A91" s="3" t="s">
        <v>76</v>
      </c>
      <c r="B91" s="3" t="s">
        <v>9</v>
      </c>
      <c r="C91" s="4">
        <v>3</v>
      </c>
      <c r="D91" s="4">
        <v>9249</v>
      </c>
      <c r="E91" s="4">
        <v>72164669955644</v>
      </c>
      <c r="F91" s="4">
        <v>30658667374</v>
      </c>
      <c r="G91" s="8" t="s">
        <v>77</v>
      </c>
      <c r="H91" s="9">
        <v>1</v>
      </c>
      <c r="I91" s="9" t="s">
        <v>12</v>
      </c>
      <c r="J91" s="9">
        <v>194434.5</v>
      </c>
      <c r="K91" s="9">
        <v>0</v>
      </c>
      <c r="L91" s="9">
        <v>0</v>
      </c>
      <c r="M91" s="9">
        <v>40831.25</v>
      </c>
      <c r="N91" s="9">
        <v>235265.75</v>
      </c>
    </row>
    <row r="92" spans="1:15">
      <c r="A92" s="3" t="s">
        <v>97</v>
      </c>
      <c r="B92" s="3" t="s">
        <v>9</v>
      </c>
      <c r="C92" s="4">
        <v>8</v>
      </c>
      <c r="D92" s="4">
        <v>108048</v>
      </c>
      <c r="E92" s="4">
        <v>72179217251861</v>
      </c>
      <c r="F92" s="4">
        <v>33708907869</v>
      </c>
      <c r="G92" s="3" t="s">
        <v>101</v>
      </c>
      <c r="H92" s="6">
        <v>1</v>
      </c>
      <c r="I92" s="6" t="s">
        <v>12</v>
      </c>
      <c r="J92" s="6">
        <v>5867.77</v>
      </c>
      <c r="K92" s="6">
        <v>0</v>
      </c>
      <c r="L92" s="6">
        <v>0</v>
      </c>
      <c r="M92" s="6">
        <v>1232.23</v>
      </c>
      <c r="N92" s="6">
        <v>7100</v>
      </c>
    </row>
    <row r="93" spans="1:15">
      <c r="A93" s="3" t="s">
        <v>70</v>
      </c>
      <c r="B93" s="3" t="s">
        <v>9</v>
      </c>
      <c r="C93" s="4">
        <v>301</v>
      </c>
      <c r="D93" s="4">
        <v>10902</v>
      </c>
      <c r="E93" s="4">
        <v>32130881676351</v>
      </c>
      <c r="F93" s="4">
        <v>30686978350</v>
      </c>
      <c r="G93" s="3" t="s">
        <v>74</v>
      </c>
      <c r="H93" s="6">
        <v>1</v>
      </c>
      <c r="I93" s="6" t="s">
        <v>12</v>
      </c>
      <c r="J93" s="6">
        <v>1264.46</v>
      </c>
      <c r="K93" s="6">
        <v>0</v>
      </c>
      <c r="L93" s="6">
        <v>0</v>
      </c>
      <c r="M93" s="6">
        <v>265.54000000000002</v>
      </c>
      <c r="N93" s="6">
        <v>1530</v>
      </c>
    </row>
    <row r="94" spans="1:15">
      <c r="A94" s="3" t="s">
        <v>110</v>
      </c>
      <c r="B94" s="3" t="s">
        <v>9</v>
      </c>
      <c r="C94" s="4">
        <v>14</v>
      </c>
      <c r="D94" s="4">
        <v>41124</v>
      </c>
      <c r="E94" s="4">
        <v>32155725310797</v>
      </c>
      <c r="F94" s="4">
        <v>30516336885</v>
      </c>
      <c r="G94" s="3" t="s">
        <v>115</v>
      </c>
      <c r="H94" s="6">
        <v>1</v>
      </c>
      <c r="I94" s="6" t="s">
        <v>12</v>
      </c>
      <c r="J94" s="6">
        <v>5637.33</v>
      </c>
      <c r="K94" s="6">
        <v>0</v>
      </c>
      <c r="L94" s="6">
        <v>0</v>
      </c>
      <c r="M94" s="6">
        <v>1183.8399999999999</v>
      </c>
      <c r="N94" s="6">
        <v>7398.99</v>
      </c>
    </row>
    <row r="95" spans="1:15">
      <c r="A95" s="3" t="s">
        <v>110</v>
      </c>
      <c r="B95" s="3" t="s">
        <v>9</v>
      </c>
      <c r="C95" s="4">
        <v>14</v>
      </c>
      <c r="D95" s="4">
        <v>41122</v>
      </c>
      <c r="E95" s="4">
        <v>32155725310797</v>
      </c>
      <c r="F95" s="4">
        <v>30516336885</v>
      </c>
      <c r="G95" s="3" t="s">
        <v>115</v>
      </c>
      <c r="H95" s="6">
        <v>1</v>
      </c>
      <c r="I95" s="6" t="s">
        <v>12</v>
      </c>
      <c r="J95" s="6">
        <v>5637.33</v>
      </c>
      <c r="K95" s="6">
        <v>0</v>
      </c>
      <c r="L95" s="6">
        <v>0</v>
      </c>
      <c r="M95" s="6">
        <v>1183.8399999999999</v>
      </c>
      <c r="N95" s="6">
        <v>7399</v>
      </c>
    </row>
    <row r="96" spans="1:15">
      <c r="A96" s="3" t="s">
        <v>110</v>
      </c>
      <c r="B96" s="3" t="s">
        <v>9</v>
      </c>
      <c r="C96" s="4">
        <v>14</v>
      </c>
      <c r="D96" s="4">
        <v>41123</v>
      </c>
      <c r="E96" s="4">
        <v>32155725310797</v>
      </c>
      <c r="F96" s="4">
        <v>30516336885</v>
      </c>
      <c r="G96" s="3" t="s">
        <v>115</v>
      </c>
      <c r="H96" s="6">
        <v>1</v>
      </c>
      <c r="I96" s="6" t="s">
        <v>12</v>
      </c>
      <c r="J96" s="6">
        <v>5637.33</v>
      </c>
      <c r="K96" s="6">
        <v>0</v>
      </c>
      <c r="L96" s="6">
        <v>0</v>
      </c>
      <c r="M96" s="6">
        <v>1183.8399999999999</v>
      </c>
      <c r="N96" s="6">
        <v>7398.99</v>
      </c>
    </row>
    <row r="97" spans="1:15">
      <c r="A97" s="3" t="s">
        <v>39</v>
      </c>
      <c r="B97" s="3" t="s">
        <v>9</v>
      </c>
      <c r="C97" s="4">
        <v>2</v>
      </c>
      <c r="D97" s="4">
        <v>3031</v>
      </c>
      <c r="E97" s="4">
        <v>72141949088763</v>
      </c>
      <c r="F97" s="4">
        <v>30629863571</v>
      </c>
      <c r="G97" s="8" t="s">
        <v>40</v>
      </c>
      <c r="H97" s="9">
        <v>1</v>
      </c>
      <c r="I97" s="9" t="s">
        <v>12</v>
      </c>
      <c r="J97" s="9">
        <v>319142.96999999997</v>
      </c>
      <c r="K97" s="9">
        <v>0</v>
      </c>
      <c r="L97" s="9">
        <v>0</v>
      </c>
      <c r="M97" s="9">
        <v>67020.03</v>
      </c>
      <c r="N97" s="9">
        <v>386163</v>
      </c>
    </row>
    <row r="98" spans="1:15">
      <c r="A98" s="3" t="s">
        <v>69</v>
      </c>
      <c r="B98" s="3" t="s">
        <v>9</v>
      </c>
      <c r="C98" s="4">
        <v>2</v>
      </c>
      <c r="D98" s="4">
        <v>3035</v>
      </c>
      <c r="E98" s="4">
        <v>72151334898240</v>
      </c>
      <c r="F98" s="4">
        <v>30629863571</v>
      </c>
      <c r="G98" s="8" t="s">
        <v>40</v>
      </c>
      <c r="H98" s="9">
        <v>1</v>
      </c>
      <c r="I98" s="9" t="s">
        <v>12</v>
      </c>
      <c r="J98" s="9">
        <v>531069.94999999995</v>
      </c>
      <c r="K98" s="9">
        <v>0</v>
      </c>
      <c r="L98" s="9">
        <v>0</v>
      </c>
      <c r="M98" s="9">
        <v>111524.69</v>
      </c>
      <c r="N98" s="9">
        <v>642594.64</v>
      </c>
    </row>
    <row r="99" spans="1:15">
      <c r="A99" s="3" t="s">
        <v>76</v>
      </c>
      <c r="B99" s="3" t="s">
        <v>9</v>
      </c>
      <c r="C99" s="4">
        <v>2</v>
      </c>
      <c r="D99" s="4">
        <v>3038</v>
      </c>
      <c r="E99" s="4">
        <v>72161717560367</v>
      </c>
      <c r="F99" s="4">
        <v>30629863571</v>
      </c>
      <c r="G99" s="8" t="s">
        <v>40</v>
      </c>
      <c r="H99" s="9">
        <v>1</v>
      </c>
      <c r="I99" s="9" t="s">
        <v>12</v>
      </c>
      <c r="J99" s="9">
        <v>108394.01</v>
      </c>
      <c r="K99" s="9">
        <v>0</v>
      </c>
      <c r="L99" s="9">
        <v>0</v>
      </c>
      <c r="M99" s="9">
        <v>22762.74</v>
      </c>
      <c r="N99" s="9">
        <v>131156.75</v>
      </c>
      <c r="O99" s="7">
        <f>SUM(J97:J103)</f>
        <v>1547843.8900000001</v>
      </c>
    </row>
    <row r="100" spans="1:15">
      <c r="A100" s="3" t="s">
        <v>84</v>
      </c>
      <c r="B100" s="3" t="s">
        <v>9</v>
      </c>
      <c r="C100" s="4">
        <v>2</v>
      </c>
      <c r="D100" s="4">
        <v>3042</v>
      </c>
      <c r="E100" s="4">
        <v>72161893618171</v>
      </c>
      <c r="F100" s="4">
        <v>30629863571</v>
      </c>
      <c r="G100" s="8" t="s">
        <v>40</v>
      </c>
      <c r="H100" s="9">
        <v>1</v>
      </c>
      <c r="I100" s="9" t="s">
        <v>12</v>
      </c>
      <c r="J100" s="9">
        <v>118922.6</v>
      </c>
      <c r="K100" s="9">
        <v>0</v>
      </c>
      <c r="L100" s="9">
        <v>0</v>
      </c>
      <c r="M100" s="9">
        <v>24973.75</v>
      </c>
      <c r="N100" s="9">
        <v>143896.35</v>
      </c>
    </row>
    <row r="101" spans="1:15">
      <c r="A101" s="3" t="s">
        <v>89</v>
      </c>
      <c r="B101" s="3" t="s">
        <v>9</v>
      </c>
      <c r="C101" s="4">
        <v>2</v>
      </c>
      <c r="D101" s="4">
        <v>3045</v>
      </c>
      <c r="E101" s="4">
        <v>72171191173724</v>
      </c>
      <c r="F101" s="4">
        <v>30629863571</v>
      </c>
      <c r="G101" s="8" t="s">
        <v>40</v>
      </c>
      <c r="H101" s="9">
        <v>1</v>
      </c>
      <c r="I101" s="9" t="s">
        <v>12</v>
      </c>
      <c r="J101" s="9">
        <v>165500.81</v>
      </c>
      <c r="K101" s="9">
        <v>0</v>
      </c>
      <c r="L101" s="9">
        <v>0</v>
      </c>
      <c r="M101" s="9">
        <v>34755.17</v>
      </c>
      <c r="N101" s="9">
        <v>200255.98</v>
      </c>
    </row>
    <row r="102" spans="1:15">
      <c r="A102" s="3" t="s">
        <v>102</v>
      </c>
      <c r="B102" s="3" t="s">
        <v>9</v>
      </c>
      <c r="C102" s="4">
        <v>2</v>
      </c>
      <c r="D102" s="4">
        <v>3047</v>
      </c>
      <c r="E102" s="4">
        <v>72171447335378</v>
      </c>
      <c r="F102" s="4">
        <v>30629863571</v>
      </c>
      <c r="G102" s="8" t="s">
        <v>40</v>
      </c>
      <c r="H102" s="9">
        <v>1</v>
      </c>
      <c r="I102" s="9" t="s">
        <v>12</v>
      </c>
      <c r="J102" s="9">
        <v>137048.53</v>
      </c>
      <c r="K102" s="9">
        <v>0</v>
      </c>
      <c r="L102" s="9">
        <v>0</v>
      </c>
      <c r="M102" s="9">
        <v>28780.19</v>
      </c>
      <c r="N102" s="9">
        <v>165828.72</v>
      </c>
    </row>
    <row r="103" spans="1:15">
      <c r="A103" s="3" t="s">
        <v>103</v>
      </c>
      <c r="B103" s="3" t="s">
        <v>9</v>
      </c>
      <c r="C103" s="4">
        <v>2</v>
      </c>
      <c r="D103" s="4">
        <v>3050</v>
      </c>
      <c r="E103" s="4">
        <v>72171541346964</v>
      </c>
      <c r="F103" s="4">
        <v>30629863571</v>
      </c>
      <c r="G103" s="8" t="s">
        <v>40</v>
      </c>
      <c r="H103" s="9">
        <v>1</v>
      </c>
      <c r="I103" s="9" t="s">
        <v>12</v>
      </c>
      <c r="J103" s="9">
        <v>167765.01999999999</v>
      </c>
      <c r="K103" s="9">
        <v>0</v>
      </c>
      <c r="L103" s="9">
        <v>0</v>
      </c>
      <c r="M103" s="9">
        <v>35230.660000000003</v>
      </c>
      <c r="N103" s="9">
        <v>202995.68</v>
      </c>
    </row>
    <row r="104" spans="1:15">
      <c r="A104" s="3" t="s">
        <v>34</v>
      </c>
      <c r="B104" s="3" t="s">
        <v>9</v>
      </c>
      <c r="C104" s="4">
        <v>63</v>
      </c>
      <c r="D104" s="4">
        <v>1885855</v>
      </c>
      <c r="E104" s="4">
        <v>72157182317489</v>
      </c>
      <c r="F104" s="4">
        <v>30640897267</v>
      </c>
      <c r="G104" s="3" t="s">
        <v>36</v>
      </c>
      <c r="H104" s="6">
        <v>1</v>
      </c>
      <c r="I104" s="6" t="s">
        <v>12</v>
      </c>
      <c r="J104" s="6">
        <v>4873.51</v>
      </c>
      <c r="K104" s="6">
        <v>0</v>
      </c>
      <c r="L104" s="6">
        <v>0</v>
      </c>
      <c r="M104" s="6">
        <v>1023.44</v>
      </c>
      <c r="N104" s="6">
        <v>6335.57</v>
      </c>
    </row>
    <row r="105" spans="1:15">
      <c r="A105" s="3" t="s">
        <v>34</v>
      </c>
      <c r="B105" s="3" t="s">
        <v>9</v>
      </c>
      <c r="C105" s="4">
        <v>63</v>
      </c>
      <c r="D105" s="4">
        <v>1885407</v>
      </c>
      <c r="E105" s="4">
        <v>72157182249873</v>
      </c>
      <c r="F105" s="4">
        <v>30640897267</v>
      </c>
      <c r="G105" s="3" t="s">
        <v>36</v>
      </c>
      <c r="H105" s="6">
        <v>1</v>
      </c>
      <c r="I105" s="6" t="s">
        <v>12</v>
      </c>
      <c r="J105" s="6">
        <v>4595</v>
      </c>
      <c r="K105" s="6">
        <v>0</v>
      </c>
      <c r="L105" s="6">
        <v>0</v>
      </c>
      <c r="M105" s="6">
        <v>964.95</v>
      </c>
      <c r="N105" s="6">
        <v>5973.5</v>
      </c>
    </row>
    <row r="106" spans="1:15">
      <c r="A106" s="3" t="s">
        <v>34</v>
      </c>
      <c r="B106" s="3" t="s">
        <v>9</v>
      </c>
      <c r="C106" s="4">
        <v>63</v>
      </c>
      <c r="D106" s="4">
        <v>1885255</v>
      </c>
      <c r="E106" s="4">
        <v>72157182218496</v>
      </c>
      <c r="F106" s="4">
        <v>30640897267</v>
      </c>
      <c r="G106" s="3" t="s">
        <v>36</v>
      </c>
      <c r="H106" s="6">
        <v>1</v>
      </c>
      <c r="I106" s="6" t="s">
        <v>12</v>
      </c>
      <c r="J106" s="6">
        <v>4873.51</v>
      </c>
      <c r="K106" s="6">
        <v>0</v>
      </c>
      <c r="L106" s="6">
        <v>0</v>
      </c>
      <c r="M106" s="6">
        <v>1023.44</v>
      </c>
      <c r="N106" s="6">
        <v>6335.57</v>
      </c>
    </row>
    <row r="107" spans="1:15">
      <c r="A107" s="3" t="s">
        <v>57</v>
      </c>
      <c r="B107" s="3" t="s">
        <v>9</v>
      </c>
      <c r="C107" s="4">
        <v>6364</v>
      </c>
      <c r="D107" s="4">
        <v>6051928</v>
      </c>
      <c r="E107" s="4">
        <v>72158302862820</v>
      </c>
      <c r="F107" s="4">
        <v>30639453738</v>
      </c>
      <c r="G107" s="3" t="s">
        <v>59</v>
      </c>
      <c r="H107" s="6">
        <v>1</v>
      </c>
      <c r="I107" s="6" t="s">
        <v>12</v>
      </c>
      <c r="J107" s="6">
        <v>37749.07</v>
      </c>
      <c r="K107" s="6">
        <v>2.08</v>
      </c>
      <c r="L107" s="6">
        <v>0</v>
      </c>
      <c r="M107" s="6">
        <v>8023.41</v>
      </c>
      <c r="N107" s="6">
        <v>49091.94</v>
      </c>
    </row>
    <row r="108" spans="1:15">
      <c r="A108" s="3" t="s">
        <v>75</v>
      </c>
      <c r="B108" s="3" t="s">
        <v>9</v>
      </c>
      <c r="C108" s="4">
        <v>6723</v>
      </c>
      <c r="D108" s="4">
        <v>3732909</v>
      </c>
      <c r="E108" s="4">
        <v>72168517285726</v>
      </c>
      <c r="F108" s="4">
        <v>30639453738</v>
      </c>
      <c r="G108" s="3" t="s">
        <v>59</v>
      </c>
      <c r="H108" s="6">
        <v>1</v>
      </c>
      <c r="I108" s="6" t="s">
        <v>12</v>
      </c>
      <c r="J108" s="6">
        <v>4300</v>
      </c>
      <c r="K108" s="6">
        <v>0</v>
      </c>
      <c r="L108" s="6">
        <v>0</v>
      </c>
      <c r="M108" s="6">
        <v>903</v>
      </c>
      <c r="N108" s="6">
        <v>5590</v>
      </c>
    </row>
    <row r="109" spans="1:15">
      <c r="A109" s="3" t="s">
        <v>75</v>
      </c>
      <c r="B109" s="3" t="s">
        <v>9</v>
      </c>
      <c r="C109" s="4">
        <v>6723</v>
      </c>
      <c r="D109" s="4">
        <v>3698719</v>
      </c>
      <c r="E109" s="4">
        <v>72168515948355</v>
      </c>
      <c r="F109" s="4">
        <v>30639453738</v>
      </c>
      <c r="G109" s="3" t="s">
        <v>59</v>
      </c>
      <c r="H109" s="6">
        <v>1</v>
      </c>
      <c r="I109" s="6" t="s">
        <v>12</v>
      </c>
      <c r="J109" s="6">
        <v>3430</v>
      </c>
      <c r="K109" s="6">
        <v>0</v>
      </c>
      <c r="L109" s="6">
        <v>0</v>
      </c>
      <c r="M109" s="6">
        <v>720.3</v>
      </c>
      <c r="N109" s="6">
        <v>4459</v>
      </c>
    </row>
    <row r="110" spans="1:15">
      <c r="A110" s="3" t="s">
        <v>75</v>
      </c>
      <c r="B110" s="3" t="s">
        <v>9</v>
      </c>
      <c r="C110" s="4">
        <v>6723</v>
      </c>
      <c r="D110" s="4">
        <v>3705454</v>
      </c>
      <c r="E110" s="4">
        <v>72168516238749</v>
      </c>
      <c r="F110" s="4">
        <v>30639453738</v>
      </c>
      <c r="G110" s="3" t="s">
        <v>59</v>
      </c>
      <c r="H110" s="6">
        <v>1</v>
      </c>
      <c r="I110" s="6" t="s">
        <v>12</v>
      </c>
      <c r="J110" s="6">
        <v>1680</v>
      </c>
      <c r="K110" s="6">
        <v>0</v>
      </c>
      <c r="L110" s="6">
        <v>0</v>
      </c>
      <c r="M110" s="6">
        <v>352.8</v>
      </c>
      <c r="N110" s="6">
        <v>2032.8</v>
      </c>
    </row>
    <row r="111" spans="1:15">
      <c r="A111" s="3" t="s">
        <v>22</v>
      </c>
      <c r="B111" s="3" t="s">
        <v>9</v>
      </c>
      <c r="C111" s="4">
        <v>943</v>
      </c>
      <c r="D111" s="4">
        <v>985388</v>
      </c>
      <c r="E111" s="4">
        <v>72145684475600</v>
      </c>
      <c r="F111" s="4">
        <v>30639453975</v>
      </c>
      <c r="G111" s="3" t="s">
        <v>23</v>
      </c>
      <c r="H111" s="6">
        <v>1</v>
      </c>
      <c r="I111" s="6" t="s">
        <v>12</v>
      </c>
      <c r="J111" s="6">
        <v>9160.48</v>
      </c>
      <c r="K111" s="6">
        <v>0</v>
      </c>
      <c r="L111" s="6">
        <v>0</v>
      </c>
      <c r="M111" s="6">
        <v>2473.33</v>
      </c>
      <c r="N111" s="6">
        <v>12458.25</v>
      </c>
    </row>
    <row r="112" spans="1:15">
      <c r="A112" s="3" t="s">
        <v>55</v>
      </c>
      <c r="B112" s="3" t="s">
        <v>9</v>
      </c>
      <c r="C112" s="4">
        <v>948</v>
      </c>
      <c r="D112" s="4">
        <v>616720</v>
      </c>
      <c r="E112" s="4">
        <v>72155116328729</v>
      </c>
      <c r="F112" s="4">
        <v>30639453975</v>
      </c>
      <c r="G112" s="3" t="s">
        <v>23</v>
      </c>
      <c r="H112" s="6">
        <v>1</v>
      </c>
      <c r="I112" s="6" t="s">
        <v>12</v>
      </c>
      <c r="J112" s="6">
        <v>2749.39</v>
      </c>
      <c r="K112" s="6">
        <v>0</v>
      </c>
      <c r="L112" s="6">
        <v>0</v>
      </c>
      <c r="M112" s="6">
        <v>742.34</v>
      </c>
      <c r="N112" s="6">
        <v>3739.17</v>
      </c>
    </row>
    <row r="113" spans="1:16">
      <c r="A113" s="3" t="s">
        <v>110</v>
      </c>
      <c r="B113" s="3" t="s">
        <v>9</v>
      </c>
      <c r="C113" s="4">
        <v>7</v>
      </c>
      <c r="D113" s="4">
        <v>2</v>
      </c>
      <c r="E113" s="4">
        <v>72171541020518</v>
      </c>
      <c r="F113" s="4">
        <v>20259831351</v>
      </c>
      <c r="G113" s="3" t="s">
        <v>111</v>
      </c>
      <c r="H113" s="6">
        <v>1</v>
      </c>
      <c r="I113" s="6" t="s">
        <v>12</v>
      </c>
      <c r="J113" s="6">
        <v>41322.31</v>
      </c>
      <c r="K113" s="6">
        <v>0</v>
      </c>
      <c r="L113" s="6">
        <v>0</v>
      </c>
      <c r="M113" s="6">
        <v>8677.69</v>
      </c>
      <c r="N113" s="6">
        <v>50000</v>
      </c>
    </row>
    <row r="114" spans="1:16">
      <c r="A114" s="3" t="s">
        <v>25</v>
      </c>
      <c r="B114" s="3" t="s">
        <v>9</v>
      </c>
      <c r="C114" s="4">
        <v>6</v>
      </c>
      <c r="D114" s="4">
        <v>12106</v>
      </c>
      <c r="E114" s="4">
        <v>72146617073504</v>
      </c>
      <c r="F114" s="4">
        <v>30548690796</v>
      </c>
      <c r="G114" s="8" t="s">
        <v>29</v>
      </c>
      <c r="H114" s="9">
        <v>1</v>
      </c>
      <c r="I114" s="9" t="s">
        <v>12</v>
      </c>
      <c r="J114" s="9">
        <v>70050</v>
      </c>
      <c r="K114" s="9">
        <v>0</v>
      </c>
      <c r="L114" s="9">
        <v>0</v>
      </c>
      <c r="M114" s="9">
        <v>14710.5</v>
      </c>
      <c r="N114" s="9">
        <v>84760.5</v>
      </c>
    </row>
    <row r="115" spans="1:16">
      <c r="A115" s="3" t="s">
        <v>89</v>
      </c>
      <c r="B115" s="3" t="s">
        <v>9</v>
      </c>
      <c r="C115" s="4">
        <v>6</v>
      </c>
      <c r="D115" s="4">
        <v>12140</v>
      </c>
      <c r="E115" s="4">
        <v>72166025435390</v>
      </c>
      <c r="F115" s="4">
        <v>30548690796</v>
      </c>
      <c r="G115" s="8" t="s">
        <v>29</v>
      </c>
      <c r="H115" s="9">
        <v>1</v>
      </c>
      <c r="I115" s="9" t="s">
        <v>12</v>
      </c>
      <c r="J115" s="9">
        <v>71700</v>
      </c>
      <c r="K115" s="9">
        <v>0</v>
      </c>
      <c r="L115" s="9">
        <v>0</v>
      </c>
      <c r="M115" s="9">
        <v>15057</v>
      </c>
      <c r="N115" s="9">
        <v>86757</v>
      </c>
    </row>
    <row r="116" spans="1:16">
      <c r="A116" s="3" t="s">
        <v>89</v>
      </c>
      <c r="B116" s="3" t="s">
        <v>28</v>
      </c>
      <c r="C116" s="4">
        <v>6</v>
      </c>
      <c r="D116" s="4">
        <v>956</v>
      </c>
      <c r="E116" s="4">
        <v>72166025664193</v>
      </c>
      <c r="F116" s="4">
        <v>30548690796</v>
      </c>
      <c r="G116" s="8" t="s">
        <v>29</v>
      </c>
      <c r="H116" s="9">
        <v>1</v>
      </c>
      <c r="I116" s="9" t="s">
        <v>12</v>
      </c>
      <c r="J116" s="9">
        <v>71700</v>
      </c>
      <c r="K116" s="9">
        <v>0</v>
      </c>
      <c r="L116" s="9">
        <v>0</v>
      </c>
      <c r="M116" s="9">
        <v>15057</v>
      </c>
      <c r="N116" s="9">
        <v>86757</v>
      </c>
      <c r="O116" s="7">
        <f>SUM(J114:J117)</f>
        <v>254929.33000000002</v>
      </c>
    </row>
    <row r="117" spans="1:16">
      <c r="A117" s="3" t="s">
        <v>52</v>
      </c>
      <c r="B117" s="3" t="s">
        <v>9</v>
      </c>
      <c r="C117" s="4">
        <v>5</v>
      </c>
      <c r="D117" s="4">
        <v>5179</v>
      </c>
      <c r="E117" s="4">
        <v>72145953631243</v>
      </c>
      <c r="F117" s="4">
        <v>30532905555</v>
      </c>
      <c r="G117" s="8" t="s">
        <v>53</v>
      </c>
      <c r="H117" s="9">
        <v>1</v>
      </c>
      <c r="I117" s="9" t="s">
        <v>12</v>
      </c>
      <c r="J117" s="9">
        <v>41479.33</v>
      </c>
      <c r="K117" s="9">
        <v>0</v>
      </c>
      <c r="L117" s="9">
        <v>0</v>
      </c>
      <c r="M117" s="9">
        <v>8710.67</v>
      </c>
      <c r="N117" s="9">
        <v>52678.76</v>
      </c>
    </row>
    <row r="118" spans="1:16">
      <c r="A118" s="3" t="s">
        <v>48</v>
      </c>
      <c r="B118" s="3" t="s">
        <v>50</v>
      </c>
      <c r="C118" s="4">
        <v>2</v>
      </c>
      <c r="D118" s="4">
        <v>138</v>
      </c>
      <c r="E118" s="4">
        <v>72144882186172</v>
      </c>
      <c r="F118" s="4">
        <v>27173334414</v>
      </c>
      <c r="G118" s="3" t="s">
        <v>51</v>
      </c>
      <c r="H118" s="6">
        <v>1</v>
      </c>
      <c r="I118" s="6" t="s">
        <v>12</v>
      </c>
      <c r="J118" s="6"/>
      <c r="K118" s="6"/>
      <c r="L118" s="6"/>
      <c r="M118" s="6"/>
      <c r="N118" s="6">
        <v>9000</v>
      </c>
    </row>
    <row r="119" spans="1:16">
      <c r="A119" s="3" t="s">
        <v>103</v>
      </c>
      <c r="B119" s="3" t="s">
        <v>50</v>
      </c>
      <c r="C119" s="4">
        <v>2</v>
      </c>
      <c r="D119" s="4">
        <v>141</v>
      </c>
      <c r="E119" s="4">
        <v>72174411604270</v>
      </c>
      <c r="F119" s="4">
        <v>27173334414</v>
      </c>
      <c r="G119" s="3" t="s">
        <v>51</v>
      </c>
      <c r="H119" s="6">
        <v>1</v>
      </c>
      <c r="I119" s="6" t="s">
        <v>12</v>
      </c>
      <c r="J119" s="6"/>
      <c r="K119" s="6"/>
      <c r="L119" s="6"/>
      <c r="M119" s="6"/>
      <c r="N119" s="6">
        <v>8000</v>
      </c>
    </row>
    <row r="120" spans="1:16">
      <c r="A120" s="3" t="s">
        <v>60</v>
      </c>
      <c r="B120" s="3" t="s">
        <v>9</v>
      </c>
      <c r="C120" s="4">
        <v>2</v>
      </c>
      <c r="D120" s="4">
        <v>4776</v>
      </c>
      <c r="E120" s="4">
        <v>72159161924326</v>
      </c>
      <c r="F120" s="4">
        <v>33714677239</v>
      </c>
      <c r="G120" s="8" t="s">
        <v>63</v>
      </c>
      <c r="H120" s="9">
        <v>1</v>
      </c>
      <c r="I120" s="9" t="s">
        <v>12</v>
      </c>
      <c r="J120" s="9">
        <v>116325</v>
      </c>
      <c r="K120" s="9">
        <v>0</v>
      </c>
      <c r="L120" s="9">
        <v>0</v>
      </c>
      <c r="M120" s="9">
        <v>24428.25</v>
      </c>
      <c r="N120" s="9">
        <v>140753.25</v>
      </c>
      <c r="O120" s="7">
        <f>SUM(J120:J121)</f>
        <v>162138.22</v>
      </c>
    </row>
    <row r="121" spans="1:16">
      <c r="A121" s="3" t="s">
        <v>97</v>
      </c>
      <c r="B121" s="3" t="s">
        <v>9</v>
      </c>
      <c r="C121" s="4">
        <v>3</v>
      </c>
      <c r="D121" s="4">
        <v>461</v>
      </c>
      <c r="E121" s="4">
        <v>72178242141177</v>
      </c>
      <c r="F121" s="4">
        <v>30714705128</v>
      </c>
      <c r="G121" s="8" t="s">
        <v>98</v>
      </c>
      <c r="H121" s="9">
        <v>1</v>
      </c>
      <c r="I121" s="9" t="s">
        <v>12</v>
      </c>
      <c r="J121" s="9">
        <v>45813.22</v>
      </c>
      <c r="K121" s="9">
        <v>0</v>
      </c>
      <c r="L121" s="9">
        <v>0</v>
      </c>
      <c r="M121" s="9">
        <v>9620.7800000000007</v>
      </c>
      <c r="N121" s="9">
        <v>55434</v>
      </c>
    </row>
    <row r="122" spans="1:16">
      <c r="A122" s="3" t="s">
        <v>110</v>
      </c>
      <c r="B122" s="3" t="s">
        <v>9</v>
      </c>
      <c r="C122" s="4">
        <v>9</v>
      </c>
      <c r="D122" s="4">
        <v>2957</v>
      </c>
      <c r="E122" s="4">
        <v>72174616172722</v>
      </c>
      <c r="F122" s="4">
        <v>30701023494</v>
      </c>
      <c r="G122" s="3" t="s">
        <v>112</v>
      </c>
      <c r="H122" s="6">
        <v>115.04</v>
      </c>
      <c r="I122" s="6" t="s">
        <v>33</v>
      </c>
      <c r="J122" s="6">
        <v>3026.22</v>
      </c>
      <c r="K122" s="6">
        <v>0</v>
      </c>
      <c r="L122" s="6">
        <v>0</v>
      </c>
      <c r="M122" s="6">
        <v>635.51</v>
      </c>
      <c r="N122" s="6">
        <v>3843.3</v>
      </c>
    </row>
    <row r="123" spans="1:16">
      <c r="J123" s="7">
        <f>SUM(J3:J122)</f>
        <v>7455816.1999999974</v>
      </c>
      <c r="K123" s="7">
        <f t="shared" ref="K123:O123" si="0">SUM(K3:K122)</f>
        <v>11898.119999999999</v>
      </c>
      <c r="L123" s="7">
        <f t="shared" si="0"/>
        <v>1169.58</v>
      </c>
      <c r="M123" s="7">
        <f t="shared" si="0"/>
        <v>1510853.0999999999</v>
      </c>
      <c r="O123" s="7">
        <f t="shared" si="0"/>
        <v>6432604.21</v>
      </c>
      <c r="P123" s="7">
        <f>J123-O123</f>
        <v>1023211.9899999974</v>
      </c>
    </row>
    <row r="124" spans="1:16">
      <c r="N124" s="7">
        <f>SUM(N3:N122)</f>
        <v>9181679.6300000027</v>
      </c>
    </row>
  </sheetData>
  <sortState ref="A3:N122">
    <sortCondition ref="G3:G122"/>
  </sortState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123</cp:lastModifiedBy>
  <dcterms:created xsi:type="dcterms:W3CDTF">2022-09-05T20:35:51Z</dcterms:created>
  <dcterms:modified xsi:type="dcterms:W3CDTF">2022-09-06T00:33:53Z</dcterms:modified>
</cp:coreProperties>
</file>