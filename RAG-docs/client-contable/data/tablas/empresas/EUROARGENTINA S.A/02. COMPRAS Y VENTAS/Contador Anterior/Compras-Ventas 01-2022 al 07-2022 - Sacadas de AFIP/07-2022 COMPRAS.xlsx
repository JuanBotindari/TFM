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139" i="1" l="1"/>
  <c r="O123" i="1"/>
  <c r="O117" i="1"/>
  <c r="O109" i="1"/>
  <c r="O104" i="1"/>
  <c r="O96" i="1"/>
  <c r="O89" i="1"/>
  <c r="O81" i="1"/>
  <c r="O73" i="1"/>
  <c r="O70" i="1"/>
  <c r="O67" i="1"/>
  <c r="O51" i="1"/>
  <c r="O47" i="1"/>
  <c r="O43" i="1"/>
  <c r="O32" i="1"/>
  <c r="O25" i="1"/>
  <c r="O17" i="1"/>
  <c r="N144" i="1"/>
  <c r="M143" i="1"/>
  <c r="L143" i="1"/>
  <c r="K143" i="1"/>
  <c r="J143" i="1"/>
  <c r="O143" i="1" l="1"/>
  <c r="P143" i="1" s="1"/>
</calcChain>
</file>

<file path=xl/sharedStrings.xml><?xml version="1.0" encoding="utf-8"?>
<sst xmlns="http://schemas.openxmlformats.org/spreadsheetml/2006/main" count="575" uniqueCount="127">
  <si>
    <t>Mis Comprobantes Recibidos - CUIT 30663486051</t>
  </si>
  <si>
    <t>Fecha</t>
  </si>
  <si>
    <t>Tipo</t>
  </si>
  <si>
    <t>Cód. Autorización</t>
  </si>
  <si>
    <t>Denominación Emisor</t>
  </si>
  <si>
    <t>Moneda</t>
  </si>
  <si>
    <t>IVA</t>
  </si>
  <si>
    <t>Imp. Total</t>
  </si>
  <si>
    <t>01/07/2022</t>
  </si>
  <si>
    <t>1 - Factura A</t>
  </si>
  <si>
    <t>CUIT</t>
  </si>
  <si>
    <t>TECNIMAR S R L</t>
  </si>
  <si>
    <t>$</t>
  </si>
  <si>
    <t>FERROMIL SA</t>
  </si>
  <si>
    <t>BI-ORIENT S.A.</t>
  </si>
  <si>
    <t>CHAMORRO MANUEL</t>
  </si>
  <si>
    <t>CODAC SRL</t>
  </si>
  <si>
    <t>INFOSOL BUENOS AIRES S.R.L.</t>
  </si>
  <si>
    <t>NEW  HIGH PACK  SA</t>
  </si>
  <si>
    <t>02/07/2022</t>
  </si>
  <si>
    <t>DE LEVIE SA</t>
  </si>
  <si>
    <t>CENCOSUD S A</t>
  </si>
  <si>
    <t>BATTELLINI MARIA SOLEDAD</t>
  </si>
  <si>
    <t>OPERADORA DE ESTACIONES DE SERVICIOS SA</t>
  </si>
  <si>
    <t>BERON RICARDO HECTOR</t>
  </si>
  <si>
    <t>AUTOPISTAS DE BUENOS AIRES (AUBASA) SA</t>
  </si>
  <si>
    <t>TROTTA SALVADOR</t>
  </si>
  <si>
    <t>03/07/2022</t>
  </si>
  <si>
    <t>AUTOPISTAS URBANAS S A</t>
  </si>
  <si>
    <t>TELEFONICA DE ARGENTINA SA</t>
  </si>
  <si>
    <t>04/07/2022</t>
  </si>
  <si>
    <t>AUTOPISTAS DEL SOL S A</t>
  </si>
  <si>
    <t>IDZONE SRL</t>
  </si>
  <si>
    <t>GRUPO CONCESIONARIO DEL OESTE SA</t>
  </si>
  <si>
    <t>H UNO 1469 S.A.</t>
  </si>
  <si>
    <t>OCAÑO ENRIQUE</t>
  </si>
  <si>
    <t>3 - Nota de Crédito A</t>
  </si>
  <si>
    <t>GRUPO SMH S.R.L.</t>
  </si>
  <si>
    <t>05/07/2022</t>
  </si>
  <si>
    <t>VTEC SRL</t>
  </si>
  <si>
    <t>PISANO SA</t>
  </si>
  <si>
    <t>PINTURERIAS MAFER SOCIEDAD ANONIMA</t>
  </si>
  <si>
    <t>ITPROUSER S.A.</t>
  </si>
  <si>
    <t>2 - Nota de Débito A</t>
  </si>
  <si>
    <t>VTG SPECIALTY CHEMICALS S A</t>
  </si>
  <si>
    <t>CENTRAL MAYORISTA S R L</t>
  </si>
  <si>
    <t>TELECENTRO S A</t>
  </si>
  <si>
    <t>NUAGE SYSTEMS S.A.</t>
  </si>
  <si>
    <t>06/07/2022</t>
  </si>
  <si>
    <t>GES ELECTRONICS SRL</t>
  </si>
  <si>
    <t>11 - Factura C</t>
  </si>
  <si>
    <t>CAFFARATTI ROMINA PAOLA</t>
  </si>
  <si>
    <t>COTO CENTRO INTEGRAL DE COMERCIALIZACION SOCIEDAD ANONIMA</t>
  </si>
  <si>
    <t>DHACAM S R L</t>
  </si>
  <si>
    <t>07/07/2022</t>
  </si>
  <si>
    <t>PLASTIC TRENDS SRL</t>
  </si>
  <si>
    <t>LATIN WORK S.A.</t>
  </si>
  <si>
    <t>NORDEST NOVA S A</t>
  </si>
  <si>
    <t>USD</t>
  </si>
  <si>
    <t>MARTIN CRISTINA BEATRIZ</t>
  </si>
  <si>
    <t>AROMATICA S.A.</t>
  </si>
  <si>
    <t>ROMERO EMILIO</t>
  </si>
  <si>
    <t>MORENO MIGUEL ANGEL</t>
  </si>
  <si>
    <t>08/07/2022</t>
  </si>
  <si>
    <t>QUETZAL QUIMICA S R L</t>
  </si>
  <si>
    <t>CPT INTEGRAL SA</t>
  </si>
  <si>
    <t>ILUMINACION BONALUCE S R L</t>
  </si>
  <si>
    <t>ARIAS ANGEL ALBERTO</t>
  </si>
  <si>
    <t>EL INSUMO S.R.L.</t>
  </si>
  <si>
    <t>09/07/2022</t>
  </si>
  <si>
    <t>10/07/2022</t>
  </si>
  <si>
    <t>POSNET SOCIEDAD DE RESPONSABILIDAD LIMITADA</t>
  </si>
  <si>
    <t>TELECOM ARGENTINA SOCIEDAD ANONIMA</t>
  </si>
  <si>
    <t>11/07/2022</t>
  </si>
  <si>
    <t>REUS JORGE DIEGO</t>
  </si>
  <si>
    <t>EXPOENVASE SRL</t>
  </si>
  <si>
    <t>LE MERIDIAN S R L</t>
  </si>
  <si>
    <t>13/07/2022</t>
  </si>
  <si>
    <t>FOLLIERO MATIAS NAHUEL</t>
  </si>
  <si>
    <t>14/07/2022</t>
  </si>
  <si>
    <t>CAMPOS ANTONIO ARIEL ALEJANDRO</t>
  </si>
  <si>
    <t>MAYOLAS S.R.L.</t>
  </si>
  <si>
    <t>15/07/2022</t>
  </si>
  <si>
    <t>MUEBLES FALERO SRL</t>
  </si>
  <si>
    <t>16/07/2022</t>
  </si>
  <si>
    <t>18/07/2022</t>
  </si>
  <si>
    <t>NICEFORO RODRIGUEZ NICOLAS EUGENIO</t>
  </si>
  <si>
    <t>FLAVIA VERONICA GEREZ Y NESTOR EDUARDO CASTELLANO SOCIEDAD DE HECHO</t>
  </si>
  <si>
    <t>19/07/2022</t>
  </si>
  <si>
    <t>GANADERA EL 13 S.R.L</t>
  </si>
  <si>
    <t>SUPERMERCADOS MAYORISTAS MAKRO SA</t>
  </si>
  <si>
    <t>21/07/2022</t>
  </si>
  <si>
    <t>VOLQUETES Y FLETES DA MOTTA SRL</t>
  </si>
  <si>
    <t>EUROSTIL ARGENTINA SA</t>
  </si>
  <si>
    <t>NSS SA</t>
  </si>
  <si>
    <t>COORDINACION ECOLOGICA AREA METROPOLITANA SOCIEDAD DEL ESTADO</t>
  </si>
  <si>
    <t>22/07/2022</t>
  </si>
  <si>
    <t>CORREDORES VIALES SOCIEDAD ANONIMA</t>
  </si>
  <si>
    <t>CASTELVECCHIO S.A.</t>
  </si>
  <si>
    <t>23/07/2022</t>
  </si>
  <si>
    <t>25/07/2022</t>
  </si>
  <si>
    <t>26/07/2022</t>
  </si>
  <si>
    <t>OCCHIUZZI CLAUDIO Y BUENO DANIEL SOC.DE HECHO</t>
  </si>
  <si>
    <t>K.R. S. R. L.</t>
  </si>
  <si>
    <t>OTERO RUT MABEL</t>
  </si>
  <si>
    <t>27/07/2022</t>
  </si>
  <si>
    <t>CURA JORGE HORACIO</t>
  </si>
  <si>
    <t>CORREO OFICIAL DE LA REPUBLICA ARGENTINA SOCIEDAD ANONIMA</t>
  </si>
  <si>
    <t>ENSAMBLE GRAFICO S.H.</t>
  </si>
  <si>
    <t>MIDEME S.A.</t>
  </si>
  <si>
    <t>FERNANDEZ MANUSAQUI PATRICIA Y FERNANDEZ MANUSAQUI MARTIN S.H.</t>
  </si>
  <si>
    <t>28/07/2022</t>
  </si>
  <si>
    <t>GUENZANI GONZALO MARTIN</t>
  </si>
  <si>
    <t>SASUAR SRL</t>
  </si>
  <si>
    <t>MADERO TANGO SA</t>
  </si>
  <si>
    <t>29/07/2022</t>
  </si>
  <si>
    <t>MERCADOLIBRE S.R.L.</t>
  </si>
  <si>
    <t>MONTORRO DOMINGO</t>
  </si>
  <si>
    <t>30/07/2022</t>
  </si>
  <si>
    <t>31/07/2022</t>
  </si>
  <si>
    <t>BIDCOM SRL</t>
  </si>
  <si>
    <t>Pto Vta</t>
  </si>
  <si>
    <t>Nro</t>
  </si>
  <si>
    <t>Tpo Cbio</t>
  </si>
  <si>
    <t>Neto Gravado</t>
  </si>
  <si>
    <t>No Gravado</t>
  </si>
  <si>
    <t>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</si>
</sst>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4" fontId="0" fillId="0" borderId="1" xfId="0" applyNumberFormat="1" applyFont="1" applyFill="1" applyBorder="1"/>
    <xf numFmtId="4" fontId="0" fillId="0" borderId="0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tabSelected="1" topLeftCell="F121" workbookViewId="0">
      <selection activeCell="R127" sqref="R127"/>
    </sheetView>
  </sheetViews>
  <sheetFormatPr baseColWidth="10" defaultRowHeight="15"/>
  <cols>
    <col min="1" max="1" width="10.7109375" bestFit="1" customWidth="1"/>
    <col min="2" max="2" width="19.42578125" bestFit="1" customWidth="1"/>
    <col min="3" max="3" width="7.42578125" bestFit="1" customWidth="1"/>
    <col min="4" max="4" width="9" bestFit="1" customWidth="1"/>
    <col min="5" max="5" width="16.7109375" bestFit="1" customWidth="1"/>
    <col min="6" max="6" width="12" bestFit="1" customWidth="1"/>
    <col min="7" max="7" width="52" customWidth="1"/>
    <col min="8" max="8" width="8.7109375" bestFit="1" customWidth="1"/>
    <col min="9" max="9" width="7.85546875" customWidth="1"/>
    <col min="10" max="10" width="13.42578125" bestFit="1" customWidth="1"/>
    <col min="11" max="11" width="11.5703125" bestFit="1" customWidth="1"/>
    <col min="12" max="12" width="9.140625" bestFit="1" customWidth="1"/>
    <col min="13" max="13" width="11.7109375" customWidth="1"/>
    <col min="14" max="14" width="13" customWidth="1"/>
    <col min="15" max="16" width="11.7109375" bestFit="1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6" t="s">
        <v>1</v>
      </c>
      <c r="B2" s="6" t="s">
        <v>2</v>
      </c>
      <c r="C2" s="6" t="s">
        <v>121</v>
      </c>
      <c r="D2" s="6" t="s">
        <v>122</v>
      </c>
      <c r="E2" s="6" t="s">
        <v>3</v>
      </c>
      <c r="F2" s="6" t="s">
        <v>10</v>
      </c>
      <c r="G2" s="6" t="s">
        <v>4</v>
      </c>
      <c r="H2" s="6" t="s">
        <v>123</v>
      </c>
      <c r="I2" s="6" t="s">
        <v>5</v>
      </c>
      <c r="J2" s="6" t="s">
        <v>124</v>
      </c>
      <c r="K2" s="6" t="s">
        <v>125</v>
      </c>
      <c r="L2" s="6" t="s">
        <v>126</v>
      </c>
      <c r="M2" s="6" t="s">
        <v>6</v>
      </c>
      <c r="N2" s="6" t="s">
        <v>7</v>
      </c>
    </row>
    <row r="3" spans="1:14">
      <c r="A3" s="3" t="s">
        <v>63</v>
      </c>
      <c r="B3" s="3" t="s">
        <v>9</v>
      </c>
      <c r="C3" s="4">
        <v>3</v>
      </c>
      <c r="D3" s="4">
        <v>1184</v>
      </c>
      <c r="E3" s="4">
        <v>72270325955641</v>
      </c>
      <c r="F3" s="4">
        <v>20109190110</v>
      </c>
      <c r="G3" s="3" t="s">
        <v>67</v>
      </c>
      <c r="H3" s="4">
        <v>1</v>
      </c>
      <c r="I3" s="3" t="s">
        <v>12</v>
      </c>
      <c r="J3" s="7">
        <v>3090.92</v>
      </c>
      <c r="K3" s="7">
        <v>0</v>
      </c>
      <c r="L3" s="7">
        <v>0</v>
      </c>
      <c r="M3" s="7">
        <v>649.08000000000004</v>
      </c>
      <c r="N3" s="7">
        <v>3740</v>
      </c>
    </row>
    <row r="4" spans="1:14">
      <c r="A4" s="3" t="s">
        <v>73</v>
      </c>
      <c r="B4" s="3" t="s">
        <v>9</v>
      </c>
      <c r="C4" s="4">
        <v>3</v>
      </c>
      <c r="D4" s="4">
        <v>1187</v>
      </c>
      <c r="E4" s="4">
        <v>72280532899952</v>
      </c>
      <c r="F4" s="4">
        <v>20109190110</v>
      </c>
      <c r="G4" s="3" t="s">
        <v>67</v>
      </c>
      <c r="H4" s="4">
        <v>1</v>
      </c>
      <c r="I4" s="3" t="s">
        <v>12</v>
      </c>
      <c r="J4" s="7">
        <v>1851.24</v>
      </c>
      <c r="K4" s="7">
        <v>0</v>
      </c>
      <c r="L4" s="7">
        <v>0</v>
      </c>
      <c r="M4" s="7">
        <v>388.76</v>
      </c>
      <c r="N4" s="7">
        <v>2240</v>
      </c>
    </row>
    <row r="5" spans="1:14">
      <c r="A5" s="3" t="s">
        <v>96</v>
      </c>
      <c r="B5" s="3" t="s">
        <v>9</v>
      </c>
      <c r="C5" s="4">
        <v>3</v>
      </c>
      <c r="D5" s="4">
        <v>1197</v>
      </c>
      <c r="E5" s="4">
        <v>72290505535989</v>
      </c>
      <c r="F5" s="4">
        <v>20109190110</v>
      </c>
      <c r="G5" s="3" t="s">
        <v>67</v>
      </c>
      <c r="H5" s="4">
        <v>1</v>
      </c>
      <c r="I5" s="3" t="s">
        <v>12</v>
      </c>
      <c r="J5" s="7">
        <v>1991.73</v>
      </c>
      <c r="K5" s="7">
        <v>0</v>
      </c>
      <c r="L5" s="7">
        <v>0</v>
      </c>
      <c r="M5" s="7">
        <v>418.27</v>
      </c>
      <c r="N5" s="7">
        <v>2410</v>
      </c>
    </row>
    <row r="6" spans="1:14">
      <c r="A6" s="3" t="s">
        <v>96</v>
      </c>
      <c r="B6" s="3" t="s">
        <v>9</v>
      </c>
      <c r="C6" s="4">
        <v>3</v>
      </c>
      <c r="D6" s="4">
        <v>1196</v>
      </c>
      <c r="E6" s="4">
        <v>72290494352205</v>
      </c>
      <c r="F6" s="4">
        <v>20109190110</v>
      </c>
      <c r="G6" s="3" t="s">
        <v>67</v>
      </c>
      <c r="H6" s="4">
        <v>1</v>
      </c>
      <c r="I6" s="3" t="s">
        <v>12</v>
      </c>
      <c r="J6" s="7">
        <v>2330.58</v>
      </c>
      <c r="K6" s="7">
        <v>0</v>
      </c>
      <c r="L6" s="7">
        <v>0</v>
      </c>
      <c r="M6" s="7">
        <v>489.43</v>
      </c>
      <c r="N6" s="7">
        <v>2820.01</v>
      </c>
    </row>
    <row r="7" spans="1:14">
      <c r="A7" s="3" t="s">
        <v>99</v>
      </c>
      <c r="B7" s="3" t="s">
        <v>9</v>
      </c>
      <c r="C7" s="4">
        <v>3</v>
      </c>
      <c r="D7" s="4">
        <v>1198</v>
      </c>
      <c r="E7" s="4">
        <v>72300586133888</v>
      </c>
      <c r="F7" s="4">
        <v>20109190110</v>
      </c>
      <c r="G7" s="3" t="s">
        <v>67</v>
      </c>
      <c r="H7" s="4">
        <v>1</v>
      </c>
      <c r="I7" s="3" t="s">
        <v>12</v>
      </c>
      <c r="J7" s="7">
        <v>1157.03</v>
      </c>
      <c r="K7" s="7">
        <v>0</v>
      </c>
      <c r="L7" s="7">
        <v>0</v>
      </c>
      <c r="M7" s="7">
        <v>242.98</v>
      </c>
      <c r="N7" s="7">
        <v>1400.01</v>
      </c>
    </row>
    <row r="8" spans="1:14">
      <c r="A8" s="3" t="s">
        <v>54</v>
      </c>
      <c r="B8" s="3" t="s">
        <v>9</v>
      </c>
      <c r="C8" s="4">
        <v>3</v>
      </c>
      <c r="D8" s="4">
        <v>18124</v>
      </c>
      <c r="E8" s="4">
        <v>72273208625432</v>
      </c>
      <c r="F8" s="4">
        <v>30707463143</v>
      </c>
      <c r="G8" s="3" t="s">
        <v>60</v>
      </c>
      <c r="H8" s="5">
        <v>130.75</v>
      </c>
      <c r="I8" s="3" t="s">
        <v>58</v>
      </c>
      <c r="J8" s="7">
        <v>1030</v>
      </c>
      <c r="K8" s="7">
        <v>0</v>
      </c>
      <c r="L8" s="7">
        <v>0</v>
      </c>
      <c r="M8" s="7">
        <v>216.3</v>
      </c>
      <c r="N8" s="7">
        <v>1246.3</v>
      </c>
    </row>
    <row r="9" spans="1:14">
      <c r="A9" s="3" t="s">
        <v>19</v>
      </c>
      <c r="B9" s="3" t="s">
        <v>9</v>
      </c>
      <c r="C9" s="4">
        <v>50</v>
      </c>
      <c r="D9" s="4">
        <v>2662504</v>
      </c>
      <c r="E9" s="4">
        <v>72276002892832</v>
      </c>
      <c r="F9" s="4">
        <v>30714112836</v>
      </c>
      <c r="G9" s="3" t="s">
        <v>25</v>
      </c>
      <c r="H9" s="4">
        <v>1</v>
      </c>
      <c r="I9" s="3" t="s">
        <v>12</v>
      </c>
      <c r="J9" s="7">
        <v>628.91999999999996</v>
      </c>
      <c r="K9" s="7">
        <v>0</v>
      </c>
      <c r="L9" s="7">
        <v>0</v>
      </c>
      <c r="M9" s="7">
        <v>132.08000000000001</v>
      </c>
      <c r="N9" s="7">
        <v>779.87</v>
      </c>
    </row>
    <row r="10" spans="1:14">
      <c r="A10" s="3" t="s">
        <v>30</v>
      </c>
      <c r="B10" s="3" t="s">
        <v>9</v>
      </c>
      <c r="C10" s="4">
        <v>711</v>
      </c>
      <c r="D10" s="4">
        <v>3126896</v>
      </c>
      <c r="E10" s="4">
        <v>32269076298467</v>
      </c>
      <c r="F10" s="4">
        <v>30677237119</v>
      </c>
      <c r="G10" s="3" t="s">
        <v>31</v>
      </c>
      <c r="H10" s="4">
        <v>1</v>
      </c>
      <c r="I10" s="3" t="s">
        <v>12</v>
      </c>
      <c r="J10" s="7">
        <v>1846.26</v>
      </c>
      <c r="K10" s="7">
        <v>0</v>
      </c>
      <c r="L10" s="7">
        <v>0</v>
      </c>
      <c r="M10" s="7">
        <v>387.74</v>
      </c>
      <c r="N10" s="7">
        <v>2234</v>
      </c>
    </row>
    <row r="11" spans="1:14">
      <c r="A11" s="3" t="s">
        <v>85</v>
      </c>
      <c r="B11" s="3" t="s">
        <v>9</v>
      </c>
      <c r="C11" s="4">
        <v>711</v>
      </c>
      <c r="D11" s="4">
        <v>3181019</v>
      </c>
      <c r="E11" s="4">
        <v>32289435959681</v>
      </c>
      <c r="F11" s="4">
        <v>30677237119</v>
      </c>
      <c r="G11" s="3" t="s">
        <v>31</v>
      </c>
      <c r="H11" s="4">
        <v>1</v>
      </c>
      <c r="I11" s="3" t="s">
        <v>12</v>
      </c>
      <c r="J11" s="7">
        <v>2037.62</v>
      </c>
      <c r="K11" s="7">
        <v>0</v>
      </c>
      <c r="L11" s="7">
        <v>61.13</v>
      </c>
      <c r="M11" s="7">
        <v>427.88</v>
      </c>
      <c r="N11" s="7">
        <v>2526.63</v>
      </c>
    </row>
    <row r="12" spans="1:14">
      <c r="A12" s="3" t="s">
        <v>27</v>
      </c>
      <c r="B12" s="3" t="s">
        <v>9</v>
      </c>
      <c r="C12" s="4">
        <v>5014</v>
      </c>
      <c r="D12" s="4">
        <v>257620</v>
      </c>
      <c r="E12" s="4">
        <v>72274896716372</v>
      </c>
      <c r="F12" s="4">
        <v>30574876474</v>
      </c>
      <c r="G12" s="3" t="s">
        <v>28</v>
      </c>
      <c r="H12" s="4">
        <v>1</v>
      </c>
      <c r="I12" s="3" t="s">
        <v>12</v>
      </c>
      <c r="J12" s="7">
        <v>9407.1299999999992</v>
      </c>
      <c r="K12" s="7">
        <v>0</v>
      </c>
      <c r="L12" s="7">
        <v>0</v>
      </c>
      <c r="M12" s="7">
        <v>1975.4</v>
      </c>
      <c r="N12" s="7">
        <v>12604.82</v>
      </c>
    </row>
    <row r="13" spans="1:14">
      <c r="A13" s="3" t="s">
        <v>85</v>
      </c>
      <c r="B13" s="3" t="s">
        <v>9</v>
      </c>
      <c r="C13" s="4">
        <v>5014</v>
      </c>
      <c r="D13" s="4">
        <v>265256</v>
      </c>
      <c r="E13" s="4">
        <v>72294210037672</v>
      </c>
      <c r="F13" s="4">
        <v>30574876474</v>
      </c>
      <c r="G13" s="3" t="s">
        <v>28</v>
      </c>
      <c r="H13" s="4">
        <v>1</v>
      </c>
      <c r="I13" s="3" t="s">
        <v>12</v>
      </c>
      <c r="J13" s="7">
        <v>7755.39</v>
      </c>
      <c r="K13" s="7">
        <v>0</v>
      </c>
      <c r="L13" s="7">
        <v>0</v>
      </c>
      <c r="M13" s="7">
        <v>1628.54</v>
      </c>
      <c r="N13" s="7">
        <v>10391.01</v>
      </c>
    </row>
    <row r="14" spans="1:14">
      <c r="A14" s="3" t="s">
        <v>19</v>
      </c>
      <c r="B14" s="3" t="s">
        <v>9</v>
      </c>
      <c r="C14" s="4">
        <v>2</v>
      </c>
      <c r="D14" s="4">
        <v>168</v>
      </c>
      <c r="E14" s="4">
        <v>72273811702877</v>
      </c>
      <c r="F14" s="4">
        <v>27309896063</v>
      </c>
      <c r="G14" s="3" t="s">
        <v>22</v>
      </c>
      <c r="H14" s="4">
        <v>1</v>
      </c>
      <c r="I14" s="3" t="s">
        <v>12</v>
      </c>
      <c r="J14" s="7">
        <v>18000</v>
      </c>
      <c r="K14" s="7">
        <v>0</v>
      </c>
      <c r="L14" s="7">
        <v>0</v>
      </c>
      <c r="M14" s="7">
        <v>3780</v>
      </c>
      <c r="N14" s="7">
        <v>21780</v>
      </c>
    </row>
    <row r="15" spans="1:14">
      <c r="A15" s="3" t="s">
        <v>19</v>
      </c>
      <c r="B15" s="3" t="s">
        <v>9</v>
      </c>
      <c r="C15" s="4">
        <v>3</v>
      </c>
      <c r="D15" s="4">
        <v>1682</v>
      </c>
      <c r="E15" s="4">
        <v>72276791558141</v>
      </c>
      <c r="F15" s="4">
        <v>24109521716</v>
      </c>
      <c r="G15" s="9" t="s">
        <v>24</v>
      </c>
      <c r="H15" s="10">
        <v>1</v>
      </c>
      <c r="I15" s="9" t="s">
        <v>12</v>
      </c>
      <c r="J15" s="11">
        <v>11256.24</v>
      </c>
      <c r="K15" s="11">
        <v>0</v>
      </c>
      <c r="L15" s="11">
        <v>0</v>
      </c>
      <c r="M15" s="11">
        <v>2363.81</v>
      </c>
      <c r="N15" s="11">
        <v>13620.05</v>
      </c>
    </row>
    <row r="16" spans="1:14">
      <c r="A16" s="3" t="s">
        <v>63</v>
      </c>
      <c r="B16" s="3" t="s">
        <v>9</v>
      </c>
      <c r="C16" s="4">
        <v>3</v>
      </c>
      <c r="D16" s="4">
        <v>1687</v>
      </c>
      <c r="E16" s="4">
        <v>72276372761468</v>
      </c>
      <c r="F16" s="4">
        <v>24109521716</v>
      </c>
      <c r="G16" s="9" t="s">
        <v>24</v>
      </c>
      <c r="H16" s="10">
        <v>1</v>
      </c>
      <c r="I16" s="9" t="s">
        <v>12</v>
      </c>
      <c r="J16" s="11">
        <v>12603.51</v>
      </c>
      <c r="K16" s="11">
        <v>0</v>
      </c>
      <c r="L16" s="11">
        <v>0</v>
      </c>
      <c r="M16" s="11">
        <v>2646.73</v>
      </c>
      <c r="N16" s="11">
        <v>15250.24</v>
      </c>
    </row>
    <row r="17" spans="1:15">
      <c r="A17" s="3" t="s">
        <v>84</v>
      </c>
      <c r="B17" s="3" t="s">
        <v>9</v>
      </c>
      <c r="C17" s="4">
        <v>3</v>
      </c>
      <c r="D17" s="4">
        <v>1693</v>
      </c>
      <c r="E17" s="4">
        <v>72296004658089</v>
      </c>
      <c r="F17" s="4">
        <v>24109521716</v>
      </c>
      <c r="G17" s="9" t="s">
        <v>24</v>
      </c>
      <c r="H17" s="10">
        <v>1</v>
      </c>
      <c r="I17" s="9" t="s">
        <v>12</v>
      </c>
      <c r="J17" s="11">
        <v>10607.46</v>
      </c>
      <c r="K17" s="11">
        <v>0</v>
      </c>
      <c r="L17" s="11">
        <v>0</v>
      </c>
      <c r="M17" s="11">
        <v>2227.56</v>
      </c>
      <c r="N17" s="11">
        <v>12835.02</v>
      </c>
      <c r="O17" s="8">
        <f>SUM(J15:J20)</f>
        <v>1034246.6000000001</v>
      </c>
    </row>
    <row r="18" spans="1:15">
      <c r="A18" s="3" t="s">
        <v>119</v>
      </c>
      <c r="B18" s="3" t="s">
        <v>9</v>
      </c>
      <c r="C18" s="4">
        <v>10</v>
      </c>
      <c r="D18" s="4">
        <v>63634</v>
      </c>
      <c r="E18" s="4">
        <v>72310738968373</v>
      </c>
      <c r="F18" s="4">
        <v>30711069360</v>
      </c>
      <c r="G18" s="9" t="s">
        <v>120</v>
      </c>
      <c r="H18" s="10">
        <v>1</v>
      </c>
      <c r="I18" s="9" t="s">
        <v>12</v>
      </c>
      <c r="J18" s="11">
        <v>367533.59</v>
      </c>
      <c r="K18" s="11">
        <v>0</v>
      </c>
      <c r="L18" s="11">
        <v>0</v>
      </c>
      <c r="M18" s="11">
        <v>38634.410000000003</v>
      </c>
      <c r="N18" s="11">
        <v>428220.02</v>
      </c>
    </row>
    <row r="19" spans="1:15">
      <c r="A19" s="3" t="s">
        <v>119</v>
      </c>
      <c r="B19" s="3" t="s">
        <v>9</v>
      </c>
      <c r="C19" s="4">
        <v>10</v>
      </c>
      <c r="D19" s="4">
        <v>63635</v>
      </c>
      <c r="E19" s="4">
        <v>72310738972697</v>
      </c>
      <c r="F19" s="4">
        <v>30711069360</v>
      </c>
      <c r="G19" s="9" t="s">
        <v>120</v>
      </c>
      <c r="H19" s="10">
        <v>1</v>
      </c>
      <c r="I19" s="9" t="s">
        <v>12</v>
      </c>
      <c r="J19" s="11">
        <v>540445.80000000005</v>
      </c>
      <c r="K19" s="11">
        <v>0</v>
      </c>
      <c r="L19" s="11">
        <v>0</v>
      </c>
      <c r="M19" s="11">
        <v>56790.2</v>
      </c>
      <c r="N19" s="11">
        <v>629662.75</v>
      </c>
    </row>
    <row r="20" spans="1:15">
      <c r="A20" s="3" t="s">
        <v>8</v>
      </c>
      <c r="B20" s="3" t="s">
        <v>9</v>
      </c>
      <c r="C20" s="4">
        <v>6</v>
      </c>
      <c r="D20" s="4">
        <v>7978</v>
      </c>
      <c r="E20" s="4">
        <v>72263683827910</v>
      </c>
      <c r="F20" s="4">
        <v>30707603123</v>
      </c>
      <c r="G20" s="9" t="s">
        <v>14</v>
      </c>
      <c r="H20" s="10">
        <v>1</v>
      </c>
      <c r="I20" s="9" t="s">
        <v>12</v>
      </c>
      <c r="J20" s="11">
        <v>91800</v>
      </c>
      <c r="K20" s="11">
        <v>0</v>
      </c>
      <c r="L20" s="11">
        <v>0</v>
      </c>
      <c r="M20" s="11">
        <v>19278</v>
      </c>
      <c r="N20" s="11">
        <v>111078</v>
      </c>
    </row>
    <row r="21" spans="1:15">
      <c r="A21" s="3" t="s">
        <v>48</v>
      </c>
      <c r="B21" s="3" t="s">
        <v>50</v>
      </c>
      <c r="C21" s="4">
        <v>2</v>
      </c>
      <c r="D21" s="4">
        <v>168</v>
      </c>
      <c r="E21" s="4">
        <v>72274142734955</v>
      </c>
      <c r="F21" s="4">
        <v>23319210954</v>
      </c>
      <c r="G21" s="3" t="s">
        <v>51</v>
      </c>
      <c r="H21" s="4">
        <v>1</v>
      </c>
      <c r="I21" s="3" t="s">
        <v>12</v>
      </c>
      <c r="J21" s="7"/>
      <c r="K21" s="7"/>
      <c r="L21" s="7"/>
      <c r="M21" s="7"/>
      <c r="N21" s="7">
        <v>6100</v>
      </c>
    </row>
    <row r="22" spans="1:15">
      <c r="A22" s="3" t="s">
        <v>115</v>
      </c>
      <c r="B22" s="3" t="s">
        <v>50</v>
      </c>
      <c r="C22" s="4">
        <v>2</v>
      </c>
      <c r="D22" s="4">
        <v>175</v>
      </c>
      <c r="E22" s="4">
        <v>72304094305398</v>
      </c>
      <c r="F22" s="4">
        <v>23319210954</v>
      </c>
      <c r="G22" s="3" t="s">
        <v>51</v>
      </c>
      <c r="H22" s="4">
        <v>1</v>
      </c>
      <c r="I22" s="3" t="s">
        <v>12</v>
      </c>
      <c r="J22" s="7"/>
      <c r="K22" s="7"/>
      <c r="L22" s="7"/>
      <c r="M22" s="7"/>
      <c r="N22" s="7">
        <v>13200</v>
      </c>
    </row>
    <row r="23" spans="1:15">
      <c r="A23" s="3" t="s">
        <v>79</v>
      </c>
      <c r="B23" s="3" t="s">
        <v>9</v>
      </c>
      <c r="C23" s="4">
        <v>2595</v>
      </c>
      <c r="D23" s="4">
        <v>1630</v>
      </c>
      <c r="E23" s="4">
        <v>72284838851554</v>
      </c>
      <c r="F23" s="4">
        <v>20303259164</v>
      </c>
      <c r="G23" s="3" t="s">
        <v>80</v>
      </c>
      <c r="H23" s="4">
        <v>1</v>
      </c>
      <c r="I23" s="3" t="s">
        <v>12</v>
      </c>
      <c r="J23" s="7">
        <v>3411.98</v>
      </c>
      <c r="K23" s="7">
        <v>0</v>
      </c>
      <c r="L23" s="7">
        <v>0</v>
      </c>
      <c r="M23" s="7">
        <v>716.52</v>
      </c>
      <c r="N23" s="7">
        <v>4128.5</v>
      </c>
    </row>
    <row r="24" spans="1:15">
      <c r="A24" s="3" t="s">
        <v>96</v>
      </c>
      <c r="B24" s="3" t="s">
        <v>9</v>
      </c>
      <c r="C24" s="4">
        <v>1</v>
      </c>
      <c r="D24" s="4">
        <v>4342</v>
      </c>
      <c r="E24" s="4">
        <v>72290502160660</v>
      </c>
      <c r="F24" s="4">
        <v>30716623110</v>
      </c>
      <c r="G24" s="9" t="s">
        <v>98</v>
      </c>
      <c r="H24" s="10">
        <v>1</v>
      </c>
      <c r="I24" s="9" t="s">
        <v>12</v>
      </c>
      <c r="J24" s="11">
        <v>42593.48</v>
      </c>
      <c r="K24" s="11">
        <v>0</v>
      </c>
      <c r="L24" s="11">
        <v>0</v>
      </c>
      <c r="M24" s="11">
        <v>8892.2000000000007</v>
      </c>
      <c r="N24" s="11">
        <v>51485.68</v>
      </c>
    </row>
    <row r="25" spans="1:15">
      <c r="A25" s="3" t="s">
        <v>101</v>
      </c>
      <c r="B25" s="3" t="s">
        <v>36</v>
      </c>
      <c r="C25" s="4">
        <v>1</v>
      </c>
      <c r="D25" s="4">
        <v>447</v>
      </c>
      <c r="E25" s="4">
        <v>72300801864164</v>
      </c>
      <c r="F25" s="4">
        <v>30716623110</v>
      </c>
      <c r="G25" s="9" t="s">
        <v>98</v>
      </c>
      <c r="H25" s="10">
        <v>1</v>
      </c>
      <c r="I25" s="9" t="s">
        <v>12</v>
      </c>
      <c r="J25" s="11">
        <v>23846.400000000001</v>
      </c>
      <c r="K25" s="11">
        <v>0</v>
      </c>
      <c r="L25" s="11">
        <v>0</v>
      </c>
      <c r="M25" s="11">
        <v>5007.74</v>
      </c>
      <c r="N25" s="11">
        <v>28854.14</v>
      </c>
      <c r="O25" s="8">
        <f>SUM(J24:J26)</f>
        <v>94131.71</v>
      </c>
    </row>
    <row r="26" spans="1:15">
      <c r="A26" s="3" t="s">
        <v>101</v>
      </c>
      <c r="B26" s="3" t="s">
        <v>9</v>
      </c>
      <c r="C26" s="4">
        <v>1</v>
      </c>
      <c r="D26" s="4">
        <v>4353</v>
      </c>
      <c r="E26" s="4">
        <v>72300804548127</v>
      </c>
      <c r="F26" s="4">
        <v>30716623110</v>
      </c>
      <c r="G26" s="9" t="s">
        <v>98</v>
      </c>
      <c r="H26" s="10">
        <v>1</v>
      </c>
      <c r="I26" s="9" t="s">
        <v>12</v>
      </c>
      <c r="J26" s="11">
        <v>27691.83</v>
      </c>
      <c r="K26" s="11">
        <v>0</v>
      </c>
      <c r="L26" s="11">
        <v>0</v>
      </c>
      <c r="M26" s="11">
        <v>5789.97</v>
      </c>
      <c r="N26" s="11">
        <v>33481.800000000003</v>
      </c>
    </row>
    <row r="27" spans="1:15">
      <c r="A27" s="3" t="s">
        <v>19</v>
      </c>
      <c r="B27" s="3" t="s">
        <v>9</v>
      </c>
      <c r="C27" s="4">
        <v>8257</v>
      </c>
      <c r="D27" s="4">
        <v>5751</v>
      </c>
      <c r="E27" s="4">
        <v>72273817540251</v>
      </c>
      <c r="F27" s="4">
        <v>30590360763</v>
      </c>
      <c r="G27" s="3" t="s">
        <v>21</v>
      </c>
      <c r="H27" s="4">
        <v>1</v>
      </c>
      <c r="I27" s="3" t="s">
        <v>12</v>
      </c>
      <c r="J27" s="7">
        <v>652.07000000000005</v>
      </c>
      <c r="K27" s="7">
        <v>0</v>
      </c>
      <c r="L27" s="7">
        <v>0</v>
      </c>
      <c r="M27" s="7">
        <v>136.93</v>
      </c>
      <c r="N27" s="7">
        <v>828.12</v>
      </c>
    </row>
    <row r="28" spans="1:15">
      <c r="A28" s="3" t="s">
        <v>119</v>
      </c>
      <c r="B28" s="3" t="s">
        <v>9</v>
      </c>
      <c r="C28" s="4">
        <v>11045</v>
      </c>
      <c r="D28" s="4">
        <v>195</v>
      </c>
      <c r="E28" s="4">
        <v>72313297307215</v>
      </c>
      <c r="F28" s="4">
        <v>30590360763</v>
      </c>
      <c r="G28" s="3" t="s">
        <v>21</v>
      </c>
      <c r="H28" s="4">
        <v>1</v>
      </c>
      <c r="I28" s="3" t="s">
        <v>12</v>
      </c>
      <c r="J28" s="7">
        <v>1815.43</v>
      </c>
      <c r="K28" s="7">
        <v>0</v>
      </c>
      <c r="L28" s="7">
        <v>0</v>
      </c>
      <c r="M28" s="7">
        <v>358.63</v>
      </c>
      <c r="N28" s="7">
        <v>2282.9899999999998</v>
      </c>
    </row>
    <row r="29" spans="1:15">
      <c r="A29" s="3" t="s">
        <v>119</v>
      </c>
      <c r="B29" s="3" t="s">
        <v>9</v>
      </c>
      <c r="C29" s="4">
        <v>8949</v>
      </c>
      <c r="D29" s="4">
        <v>703</v>
      </c>
      <c r="E29" s="4">
        <v>72313294425865</v>
      </c>
      <c r="F29" s="4">
        <v>30590360763</v>
      </c>
      <c r="G29" s="3" t="s">
        <v>21</v>
      </c>
      <c r="H29" s="4">
        <v>1</v>
      </c>
      <c r="I29" s="3" t="s">
        <v>12</v>
      </c>
      <c r="J29" s="7">
        <v>2943.8</v>
      </c>
      <c r="K29" s="7">
        <v>0</v>
      </c>
      <c r="L29" s="7">
        <v>0</v>
      </c>
      <c r="M29" s="7">
        <v>618.20000000000005</v>
      </c>
      <c r="N29" s="7">
        <v>3826.94</v>
      </c>
    </row>
    <row r="30" spans="1:15">
      <c r="A30" s="3" t="s">
        <v>38</v>
      </c>
      <c r="B30" s="3" t="s">
        <v>9</v>
      </c>
      <c r="C30" s="4">
        <v>7</v>
      </c>
      <c r="D30" s="4">
        <v>232</v>
      </c>
      <c r="E30" s="4">
        <v>72276075557764</v>
      </c>
      <c r="F30" s="4">
        <v>30715683446</v>
      </c>
      <c r="G30" s="3" t="s">
        <v>45</v>
      </c>
      <c r="H30" s="4">
        <v>1</v>
      </c>
      <c r="I30" s="3" t="s">
        <v>12</v>
      </c>
      <c r="J30" s="7">
        <v>1425.88</v>
      </c>
      <c r="K30" s="7">
        <v>0</v>
      </c>
      <c r="L30" s="7">
        <v>0</v>
      </c>
      <c r="M30" s="7">
        <v>299.45</v>
      </c>
      <c r="N30" s="7">
        <v>1725.33</v>
      </c>
    </row>
    <row r="31" spans="1:15">
      <c r="A31" s="3" t="s">
        <v>8</v>
      </c>
      <c r="B31" s="3" t="s">
        <v>9</v>
      </c>
      <c r="C31" s="4">
        <v>1</v>
      </c>
      <c r="D31" s="4">
        <v>268</v>
      </c>
      <c r="E31" s="4">
        <v>72264659882959</v>
      </c>
      <c r="F31" s="4">
        <v>20131206144</v>
      </c>
      <c r="G31" s="3" t="s">
        <v>15</v>
      </c>
      <c r="H31" s="4">
        <v>1</v>
      </c>
      <c r="I31" s="3" t="s">
        <v>12</v>
      </c>
      <c r="J31" s="7">
        <v>18000</v>
      </c>
      <c r="K31" s="7">
        <v>0</v>
      </c>
      <c r="L31" s="7">
        <v>0</v>
      </c>
      <c r="M31" s="7">
        <v>3780</v>
      </c>
      <c r="N31" s="7">
        <v>21780</v>
      </c>
    </row>
    <row r="32" spans="1:15">
      <c r="A32" s="3" t="s">
        <v>8</v>
      </c>
      <c r="B32" s="3" t="s">
        <v>9</v>
      </c>
      <c r="C32" s="4">
        <v>6</v>
      </c>
      <c r="D32" s="4">
        <v>2118</v>
      </c>
      <c r="E32" s="4">
        <v>72268701461088</v>
      </c>
      <c r="F32" s="4">
        <v>30574603788</v>
      </c>
      <c r="G32" s="9" t="s">
        <v>16</v>
      </c>
      <c r="H32" s="10">
        <v>1</v>
      </c>
      <c r="I32" s="9" t="s">
        <v>12</v>
      </c>
      <c r="J32" s="11">
        <v>659608</v>
      </c>
      <c r="K32" s="11">
        <v>0</v>
      </c>
      <c r="L32" s="11">
        <v>0</v>
      </c>
      <c r="M32" s="11">
        <v>138517.68</v>
      </c>
      <c r="N32" s="11">
        <v>798125.68</v>
      </c>
      <c r="O32" s="8">
        <f>SUM(J32:J33)</f>
        <v>1646856</v>
      </c>
    </row>
    <row r="33" spans="1:15">
      <c r="A33" s="3" t="s">
        <v>77</v>
      </c>
      <c r="B33" s="3" t="s">
        <v>9</v>
      </c>
      <c r="C33" s="4">
        <v>6</v>
      </c>
      <c r="D33" s="4">
        <v>2133</v>
      </c>
      <c r="E33" s="4">
        <v>72288732548892</v>
      </c>
      <c r="F33" s="4">
        <v>30574603788</v>
      </c>
      <c r="G33" s="9" t="s">
        <v>16</v>
      </c>
      <c r="H33" s="10">
        <v>1</v>
      </c>
      <c r="I33" s="9" t="s">
        <v>12</v>
      </c>
      <c r="J33" s="11">
        <v>987248</v>
      </c>
      <c r="K33" s="11">
        <v>0</v>
      </c>
      <c r="L33" s="11">
        <v>0</v>
      </c>
      <c r="M33" s="11">
        <v>207322.08</v>
      </c>
      <c r="N33" s="11">
        <v>1194570.08</v>
      </c>
    </row>
    <row r="34" spans="1:15">
      <c r="A34" s="3" t="s">
        <v>91</v>
      </c>
      <c r="B34" s="3" t="s">
        <v>9</v>
      </c>
      <c r="C34" s="4">
        <v>113</v>
      </c>
      <c r="D34" s="4">
        <v>2860733</v>
      </c>
      <c r="E34" s="4">
        <v>72300706709351</v>
      </c>
      <c r="F34" s="4">
        <v>30577207190</v>
      </c>
      <c r="G34" s="3" t="s">
        <v>95</v>
      </c>
      <c r="H34" s="4">
        <v>1</v>
      </c>
      <c r="I34" s="3" t="s">
        <v>12</v>
      </c>
      <c r="J34" s="7">
        <v>728.9</v>
      </c>
      <c r="K34" s="7">
        <v>0.03</v>
      </c>
      <c r="L34" s="7">
        <v>0</v>
      </c>
      <c r="M34" s="7">
        <v>153.07</v>
      </c>
      <c r="N34" s="7">
        <v>882</v>
      </c>
    </row>
    <row r="35" spans="1:15">
      <c r="A35" s="3" t="s">
        <v>96</v>
      </c>
      <c r="B35" s="3" t="s">
        <v>9</v>
      </c>
      <c r="C35" s="4">
        <v>700</v>
      </c>
      <c r="D35" s="4">
        <v>566049</v>
      </c>
      <c r="E35" s="4">
        <v>72292393064611</v>
      </c>
      <c r="F35" s="4">
        <v>30715804812</v>
      </c>
      <c r="G35" s="3" t="s">
        <v>97</v>
      </c>
      <c r="H35" s="4">
        <v>1</v>
      </c>
      <c r="I35" s="3" t="s">
        <v>12</v>
      </c>
      <c r="J35" s="7">
        <v>468.59</v>
      </c>
      <c r="K35" s="7">
        <v>0</v>
      </c>
      <c r="L35" s="7">
        <v>0</v>
      </c>
      <c r="M35" s="7">
        <v>98.41</v>
      </c>
      <c r="N35" s="7">
        <v>567</v>
      </c>
    </row>
    <row r="36" spans="1:15">
      <c r="A36" s="3" t="s">
        <v>105</v>
      </c>
      <c r="B36" s="3" t="s">
        <v>9</v>
      </c>
      <c r="C36" s="4">
        <v>3034</v>
      </c>
      <c r="D36" s="4">
        <v>2156109</v>
      </c>
      <c r="E36" s="4">
        <v>72306937281760</v>
      </c>
      <c r="F36" s="4">
        <v>30708574836</v>
      </c>
      <c r="G36" s="3" t="s">
        <v>107</v>
      </c>
      <c r="H36" s="4">
        <v>1</v>
      </c>
      <c r="I36" s="3" t="s">
        <v>12</v>
      </c>
      <c r="J36" s="7">
        <v>537.74</v>
      </c>
      <c r="K36" s="7">
        <v>0</v>
      </c>
      <c r="L36" s="7">
        <v>0</v>
      </c>
      <c r="M36" s="7">
        <v>112.93</v>
      </c>
      <c r="N36" s="7">
        <v>650.66999999999996</v>
      </c>
    </row>
    <row r="37" spans="1:15">
      <c r="A37" s="3" t="s">
        <v>48</v>
      </c>
      <c r="B37" s="3" t="s">
        <v>9</v>
      </c>
      <c r="C37" s="4">
        <v>2188</v>
      </c>
      <c r="D37" s="4">
        <v>68513</v>
      </c>
      <c r="E37" s="4">
        <v>72276156924854</v>
      </c>
      <c r="F37" s="4">
        <v>30548083156</v>
      </c>
      <c r="G37" s="3" t="s">
        <v>52</v>
      </c>
      <c r="H37" s="4">
        <v>1</v>
      </c>
      <c r="I37" s="3" t="s">
        <v>12</v>
      </c>
      <c r="J37" s="7">
        <v>14646.12</v>
      </c>
      <c r="K37" s="7">
        <v>0</v>
      </c>
      <c r="L37" s="7">
        <v>0</v>
      </c>
      <c r="M37" s="7">
        <v>3058.66</v>
      </c>
      <c r="N37" s="7">
        <v>18907.099999999999</v>
      </c>
    </row>
    <row r="38" spans="1:15">
      <c r="A38" s="3" t="s">
        <v>69</v>
      </c>
      <c r="B38" s="3" t="s">
        <v>9</v>
      </c>
      <c r="C38" s="4">
        <v>2199</v>
      </c>
      <c r="D38" s="4">
        <v>16861</v>
      </c>
      <c r="E38" s="4">
        <v>72286429523125</v>
      </c>
      <c r="F38" s="4">
        <v>30548083156</v>
      </c>
      <c r="G38" s="3" t="s">
        <v>52</v>
      </c>
      <c r="H38" s="4">
        <v>1</v>
      </c>
      <c r="I38" s="3" t="s">
        <v>12</v>
      </c>
      <c r="J38" s="7">
        <v>9087.1299999999992</v>
      </c>
      <c r="K38" s="7">
        <v>0</v>
      </c>
      <c r="L38" s="7">
        <v>0</v>
      </c>
      <c r="M38" s="7">
        <v>1803.72</v>
      </c>
      <c r="N38" s="7">
        <v>11144.58</v>
      </c>
    </row>
    <row r="39" spans="1:15">
      <c r="A39" s="3" t="s">
        <v>77</v>
      </c>
      <c r="B39" s="3" t="s">
        <v>9</v>
      </c>
      <c r="C39" s="4">
        <v>2188</v>
      </c>
      <c r="D39" s="4">
        <v>68976</v>
      </c>
      <c r="E39" s="4">
        <v>72286748370357</v>
      </c>
      <c r="F39" s="4">
        <v>30548083156</v>
      </c>
      <c r="G39" s="3" t="s">
        <v>52</v>
      </c>
      <c r="H39" s="4">
        <v>1</v>
      </c>
      <c r="I39" s="3" t="s">
        <v>12</v>
      </c>
      <c r="J39" s="7">
        <v>8294.8799999999992</v>
      </c>
      <c r="K39" s="7">
        <v>0</v>
      </c>
      <c r="L39" s="7">
        <v>0</v>
      </c>
      <c r="M39" s="7">
        <v>1599.75</v>
      </c>
      <c r="N39" s="7">
        <v>10545.02</v>
      </c>
    </row>
    <row r="40" spans="1:15">
      <c r="A40" s="3" t="s">
        <v>99</v>
      </c>
      <c r="B40" s="3" t="s">
        <v>9</v>
      </c>
      <c r="C40" s="4">
        <v>2199</v>
      </c>
      <c r="D40" s="4">
        <v>17092</v>
      </c>
      <c r="E40" s="4">
        <v>72306614745610</v>
      </c>
      <c r="F40" s="4">
        <v>30548083156</v>
      </c>
      <c r="G40" s="3" t="s">
        <v>52</v>
      </c>
      <c r="H40" s="4">
        <v>1</v>
      </c>
      <c r="I40" s="3" t="s">
        <v>12</v>
      </c>
      <c r="J40" s="7">
        <v>7604.37</v>
      </c>
      <c r="K40" s="7">
        <v>0</v>
      </c>
      <c r="L40" s="7">
        <v>0</v>
      </c>
      <c r="M40" s="7">
        <v>1355.02</v>
      </c>
      <c r="N40" s="7">
        <v>9118.41</v>
      </c>
    </row>
    <row r="41" spans="1:15">
      <c r="A41" s="3" t="s">
        <v>115</v>
      </c>
      <c r="B41" s="3" t="s">
        <v>9</v>
      </c>
      <c r="C41" s="4">
        <v>2188</v>
      </c>
      <c r="D41" s="4">
        <v>69901</v>
      </c>
      <c r="E41" s="4">
        <v>72306093229435</v>
      </c>
      <c r="F41" s="4">
        <v>30548083156</v>
      </c>
      <c r="G41" s="3" t="s">
        <v>52</v>
      </c>
      <c r="H41" s="4">
        <v>1</v>
      </c>
      <c r="I41" s="3" t="s">
        <v>12</v>
      </c>
      <c r="J41" s="7">
        <v>5784.3</v>
      </c>
      <c r="K41" s="7">
        <v>0</v>
      </c>
      <c r="L41" s="7">
        <v>0</v>
      </c>
      <c r="M41" s="7">
        <v>1214.7</v>
      </c>
      <c r="N41" s="7">
        <v>7519.59</v>
      </c>
    </row>
    <row r="42" spans="1:15">
      <c r="A42" s="3" t="s">
        <v>115</v>
      </c>
      <c r="B42" s="3" t="s">
        <v>9</v>
      </c>
      <c r="C42" s="4">
        <v>2188</v>
      </c>
      <c r="D42" s="4">
        <v>69900</v>
      </c>
      <c r="E42" s="4">
        <v>72306092954746</v>
      </c>
      <c r="F42" s="4">
        <v>30548083156</v>
      </c>
      <c r="G42" s="3" t="s">
        <v>52</v>
      </c>
      <c r="H42" s="4">
        <v>1</v>
      </c>
      <c r="I42" s="3" t="s">
        <v>12</v>
      </c>
      <c r="J42" s="7">
        <v>8723.4699999999993</v>
      </c>
      <c r="K42" s="7">
        <v>0</v>
      </c>
      <c r="L42" s="7">
        <v>0</v>
      </c>
      <c r="M42" s="7">
        <v>1760.9</v>
      </c>
      <c r="N42" s="7">
        <v>11234.05</v>
      </c>
    </row>
    <row r="43" spans="1:15">
      <c r="A43" s="3" t="s">
        <v>63</v>
      </c>
      <c r="B43" s="3" t="s">
        <v>9</v>
      </c>
      <c r="C43" s="4">
        <v>3</v>
      </c>
      <c r="D43" s="4">
        <v>175371</v>
      </c>
      <c r="E43" s="4">
        <v>72274302307734</v>
      </c>
      <c r="F43" s="4">
        <v>30693293754</v>
      </c>
      <c r="G43" s="9" t="s">
        <v>65</v>
      </c>
      <c r="H43" s="10">
        <v>1</v>
      </c>
      <c r="I43" s="9" t="s">
        <v>12</v>
      </c>
      <c r="J43" s="11">
        <v>8917.36</v>
      </c>
      <c r="K43" s="11">
        <v>0</v>
      </c>
      <c r="L43" s="11">
        <v>0</v>
      </c>
      <c r="M43" s="11">
        <v>1872.65</v>
      </c>
      <c r="N43" s="11">
        <v>10790.01</v>
      </c>
      <c r="O43" s="8">
        <f>SUM(J43:J44)</f>
        <v>13719.01</v>
      </c>
    </row>
    <row r="44" spans="1:15">
      <c r="A44" s="3" t="s">
        <v>63</v>
      </c>
      <c r="B44" s="3" t="s">
        <v>9</v>
      </c>
      <c r="C44" s="4">
        <v>3</v>
      </c>
      <c r="D44" s="4">
        <v>175372</v>
      </c>
      <c r="E44" s="4">
        <v>72274302387929</v>
      </c>
      <c r="F44" s="4">
        <v>30693293754</v>
      </c>
      <c r="G44" s="9" t="s">
        <v>65</v>
      </c>
      <c r="H44" s="10">
        <v>1</v>
      </c>
      <c r="I44" s="9" t="s">
        <v>12</v>
      </c>
      <c r="J44" s="11">
        <v>4801.6499999999996</v>
      </c>
      <c r="K44" s="11">
        <v>0</v>
      </c>
      <c r="L44" s="11">
        <v>0</v>
      </c>
      <c r="M44" s="11">
        <v>1008.35</v>
      </c>
      <c r="N44" s="11">
        <v>5810</v>
      </c>
    </row>
    <row r="45" spans="1:15">
      <c r="A45" s="3" t="s">
        <v>105</v>
      </c>
      <c r="B45" s="3" t="s">
        <v>9</v>
      </c>
      <c r="C45" s="4">
        <v>3</v>
      </c>
      <c r="D45" s="4">
        <v>5378</v>
      </c>
      <c r="E45" s="4">
        <v>72305944996960</v>
      </c>
      <c r="F45" s="4">
        <v>20078694255</v>
      </c>
      <c r="G45" s="3" t="s">
        <v>106</v>
      </c>
      <c r="H45" s="4">
        <v>1</v>
      </c>
      <c r="I45" s="3" t="s">
        <v>12</v>
      </c>
      <c r="J45" s="7">
        <v>54152.9</v>
      </c>
      <c r="K45" s="7">
        <v>0</v>
      </c>
      <c r="L45" s="7">
        <v>0</v>
      </c>
      <c r="M45" s="7">
        <v>11372.11</v>
      </c>
      <c r="N45" s="7">
        <v>65525.01</v>
      </c>
    </row>
    <row r="46" spans="1:15">
      <c r="A46" s="3" t="s">
        <v>19</v>
      </c>
      <c r="B46" s="3" t="s">
        <v>9</v>
      </c>
      <c r="C46" s="4">
        <v>11</v>
      </c>
      <c r="D46" s="4">
        <v>61435</v>
      </c>
      <c r="E46" s="4">
        <v>72271799738859</v>
      </c>
      <c r="F46" s="4">
        <v>30500876391</v>
      </c>
      <c r="G46" s="3" t="s">
        <v>20</v>
      </c>
      <c r="H46" s="4">
        <v>1</v>
      </c>
      <c r="I46" s="3" t="s">
        <v>12</v>
      </c>
      <c r="J46" s="7">
        <v>19090.89</v>
      </c>
      <c r="K46" s="7">
        <v>0</v>
      </c>
      <c r="L46" s="7">
        <v>0</v>
      </c>
      <c r="M46" s="7">
        <v>4009.09</v>
      </c>
      <c r="N46" s="7">
        <v>24245.43</v>
      </c>
    </row>
    <row r="47" spans="1:15">
      <c r="A47" s="3" t="s">
        <v>48</v>
      </c>
      <c r="B47" s="3" t="s">
        <v>9</v>
      </c>
      <c r="C47" s="4">
        <v>6</v>
      </c>
      <c r="D47" s="4">
        <v>21518</v>
      </c>
      <c r="E47" s="4">
        <v>72279130106064</v>
      </c>
      <c r="F47" s="4">
        <v>33640878679</v>
      </c>
      <c r="G47" s="9" t="s">
        <v>53</v>
      </c>
      <c r="H47" s="10">
        <v>1</v>
      </c>
      <c r="I47" s="9" t="s">
        <v>12</v>
      </c>
      <c r="J47" s="11">
        <v>194100</v>
      </c>
      <c r="K47" s="11">
        <v>0</v>
      </c>
      <c r="L47" s="11">
        <v>0</v>
      </c>
      <c r="M47" s="11">
        <v>40761</v>
      </c>
      <c r="N47" s="11">
        <v>234861</v>
      </c>
      <c r="O47" s="8">
        <f>SUM(J47:J48)</f>
        <v>531875</v>
      </c>
    </row>
    <row r="48" spans="1:15">
      <c r="A48" s="3" t="s">
        <v>48</v>
      </c>
      <c r="B48" s="3" t="s">
        <v>9</v>
      </c>
      <c r="C48" s="4">
        <v>6</v>
      </c>
      <c r="D48" s="4">
        <v>21517</v>
      </c>
      <c r="E48" s="4">
        <v>72279129478460</v>
      </c>
      <c r="F48" s="4">
        <v>33640878679</v>
      </c>
      <c r="G48" s="9" t="s">
        <v>53</v>
      </c>
      <c r="H48" s="10">
        <v>1</v>
      </c>
      <c r="I48" s="9" t="s">
        <v>12</v>
      </c>
      <c r="J48" s="11">
        <v>337775</v>
      </c>
      <c r="K48" s="11">
        <v>0</v>
      </c>
      <c r="L48" s="11">
        <v>0</v>
      </c>
      <c r="M48" s="11">
        <v>70932.75</v>
      </c>
      <c r="N48" s="11">
        <v>408707.75</v>
      </c>
    </row>
    <row r="49" spans="1:15">
      <c r="A49" s="3" t="s">
        <v>63</v>
      </c>
      <c r="B49" s="3" t="s">
        <v>9</v>
      </c>
      <c r="C49" s="4">
        <v>24</v>
      </c>
      <c r="D49" s="4">
        <v>36138</v>
      </c>
      <c r="E49" s="4">
        <v>72270321164017</v>
      </c>
      <c r="F49" s="4">
        <v>30707838260</v>
      </c>
      <c r="G49" s="3" t="s">
        <v>68</v>
      </c>
      <c r="H49" s="4">
        <v>1</v>
      </c>
      <c r="I49" s="3" t="s">
        <v>12</v>
      </c>
      <c r="J49" s="7">
        <v>12388.43</v>
      </c>
      <c r="K49" s="7">
        <v>0</v>
      </c>
      <c r="L49" s="7">
        <v>0</v>
      </c>
      <c r="M49" s="7">
        <v>2601.5700000000002</v>
      </c>
      <c r="N49" s="7">
        <v>14990</v>
      </c>
    </row>
    <row r="50" spans="1:15">
      <c r="A50" s="3" t="s">
        <v>105</v>
      </c>
      <c r="B50" s="3" t="s">
        <v>9</v>
      </c>
      <c r="C50" s="4">
        <v>9</v>
      </c>
      <c r="D50" s="4">
        <v>676</v>
      </c>
      <c r="E50" s="4">
        <v>72307916713682</v>
      </c>
      <c r="F50" s="4">
        <v>30710446047</v>
      </c>
      <c r="G50" s="9" t="s">
        <v>108</v>
      </c>
      <c r="H50" s="10">
        <v>1</v>
      </c>
      <c r="I50" s="9" t="s">
        <v>12</v>
      </c>
      <c r="J50" s="11">
        <v>422385</v>
      </c>
      <c r="K50" s="11">
        <v>0</v>
      </c>
      <c r="L50" s="11">
        <v>0</v>
      </c>
      <c r="M50" s="11">
        <v>88700.85</v>
      </c>
      <c r="N50" s="11">
        <v>511085.85</v>
      </c>
    </row>
    <row r="51" spans="1:15">
      <c r="A51" s="3" t="s">
        <v>91</v>
      </c>
      <c r="B51" s="3" t="s">
        <v>9</v>
      </c>
      <c r="C51" s="4">
        <v>4</v>
      </c>
      <c r="D51" s="4">
        <v>17579</v>
      </c>
      <c r="E51" s="4">
        <v>72295395657486</v>
      </c>
      <c r="F51" s="4">
        <v>30709664235</v>
      </c>
      <c r="G51" s="9" t="s">
        <v>93</v>
      </c>
      <c r="H51" s="10">
        <v>1</v>
      </c>
      <c r="I51" s="9" t="s">
        <v>12</v>
      </c>
      <c r="J51" s="11">
        <v>22545.599999999999</v>
      </c>
      <c r="K51" s="11">
        <v>0</v>
      </c>
      <c r="L51" s="11">
        <v>0</v>
      </c>
      <c r="M51" s="11">
        <v>4734.58</v>
      </c>
      <c r="N51" s="11">
        <v>27280.18</v>
      </c>
      <c r="O51" s="8">
        <f>SUM(J50:J52)</f>
        <v>553748.93999999994</v>
      </c>
    </row>
    <row r="52" spans="1:15">
      <c r="A52" s="3" t="s">
        <v>73</v>
      </c>
      <c r="B52" s="3" t="s">
        <v>9</v>
      </c>
      <c r="C52" s="4">
        <v>10</v>
      </c>
      <c r="D52" s="4">
        <v>8746</v>
      </c>
      <c r="E52" s="4">
        <v>72285557195098</v>
      </c>
      <c r="F52" s="4">
        <v>30708157755</v>
      </c>
      <c r="G52" s="9" t="s">
        <v>75</v>
      </c>
      <c r="H52" s="10">
        <v>1</v>
      </c>
      <c r="I52" s="9" t="s">
        <v>12</v>
      </c>
      <c r="J52" s="11">
        <v>108818.34</v>
      </c>
      <c r="K52" s="11">
        <v>0</v>
      </c>
      <c r="L52" s="11">
        <v>0</v>
      </c>
      <c r="M52" s="11">
        <v>22851.85</v>
      </c>
      <c r="N52" s="11">
        <v>131670.19</v>
      </c>
    </row>
    <row r="53" spans="1:15">
      <c r="A53" s="3" t="s">
        <v>105</v>
      </c>
      <c r="B53" s="3" t="s">
        <v>9</v>
      </c>
      <c r="C53" s="4">
        <v>2</v>
      </c>
      <c r="D53" s="4">
        <v>15398</v>
      </c>
      <c r="E53" s="4">
        <v>72309900729814</v>
      </c>
      <c r="F53" s="4">
        <v>33714351309</v>
      </c>
      <c r="G53" s="3" t="s">
        <v>110</v>
      </c>
      <c r="H53" s="4">
        <v>1</v>
      </c>
      <c r="I53" s="3" t="s">
        <v>12</v>
      </c>
      <c r="J53" s="7">
        <v>34318.75</v>
      </c>
      <c r="K53" s="7">
        <v>0</v>
      </c>
      <c r="L53" s="7">
        <v>0</v>
      </c>
      <c r="M53" s="7">
        <v>7206.94</v>
      </c>
      <c r="N53" s="7">
        <v>41525.69</v>
      </c>
    </row>
    <row r="54" spans="1:15">
      <c r="A54" s="3" t="s">
        <v>105</v>
      </c>
      <c r="B54" s="3" t="s">
        <v>9</v>
      </c>
      <c r="C54" s="4">
        <v>2</v>
      </c>
      <c r="D54" s="4">
        <v>15395</v>
      </c>
      <c r="E54" s="4">
        <v>72309885762239</v>
      </c>
      <c r="F54" s="4">
        <v>33714351309</v>
      </c>
      <c r="G54" s="3" t="s">
        <v>110</v>
      </c>
      <c r="H54" s="4">
        <v>1</v>
      </c>
      <c r="I54" s="3" t="s">
        <v>12</v>
      </c>
      <c r="J54" s="7">
        <v>68637.5</v>
      </c>
      <c r="K54" s="7">
        <v>0</v>
      </c>
      <c r="L54" s="7">
        <v>0</v>
      </c>
      <c r="M54" s="7">
        <v>14413.88</v>
      </c>
      <c r="N54" s="7">
        <v>83051.38</v>
      </c>
    </row>
    <row r="55" spans="1:15">
      <c r="A55" s="3" t="s">
        <v>105</v>
      </c>
      <c r="B55" s="3" t="s">
        <v>36</v>
      </c>
      <c r="C55" s="4">
        <v>2</v>
      </c>
      <c r="D55" s="4">
        <v>595</v>
      </c>
      <c r="E55" s="4">
        <v>72309925521485</v>
      </c>
      <c r="F55" s="4">
        <v>33714351309</v>
      </c>
      <c r="G55" s="3" t="s">
        <v>110</v>
      </c>
      <c r="H55" s="4">
        <v>1</v>
      </c>
      <c r="I55" s="3" t="s">
        <v>12</v>
      </c>
      <c r="J55" s="7">
        <v>68637.5</v>
      </c>
      <c r="K55" s="7">
        <v>0</v>
      </c>
      <c r="L55" s="7">
        <v>0</v>
      </c>
      <c r="M55" s="7">
        <v>14413.88</v>
      </c>
      <c r="N55" s="7">
        <v>83051.38</v>
      </c>
    </row>
    <row r="56" spans="1:15">
      <c r="A56" s="3" t="s">
        <v>8</v>
      </c>
      <c r="B56" s="3" t="s">
        <v>9</v>
      </c>
      <c r="C56" s="4">
        <v>40</v>
      </c>
      <c r="D56" s="4">
        <v>57029</v>
      </c>
      <c r="E56" s="4">
        <v>72263712529249</v>
      </c>
      <c r="F56" s="4">
        <v>30646012143</v>
      </c>
      <c r="G56" s="3" t="s">
        <v>13</v>
      </c>
      <c r="H56" s="4">
        <v>1</v>
      </c>
      <c r="I56" s="3" t="s">
        <v>12</v>
      </c>
      <c r="J56" s="7">
        <v>7892.56</v>
      </c>
      <c r="K56" s="7">
        <v>0</v>
      </c>
      <c r="L56" s="7">
        <v>0</v>
      </c>
      <c r="M56" s="7">
        <v>1657.44</v>
      </c>
      <c r="N56" s="7">
        <v>9550</v>
      </c>
    </row>
    <row r="57" spans="1:15">
      <c r="A57" s="3" t="s">
        <v>85</v>
      </c>
      <c r="B57" s="3" t="s">
        <v>9</v>
      </c>
      <c r="C57" s="4">
        <v>6</v>
      </c>
      <c r="D57" s="4">
        <v>35573</v>
      </c>
      <c r="E57" s="4">
        <v>72298154702190</v>
      </c>
      <c r="F57" s="4">
        <v>30707174788</v>
      </c>
      <c r="G57" s="3" t="s">
        <v>87</v>
      </c>
      <c r="H57" s="4">
        <v>1</v>
      </c>
      <c r="I57" s="3" t="s">
        <v>12</v>
      </c>
      <c r="J57" s="7">
        <v>5098.3500000000004</v>
      </c>
      <c r="K57" s="7">
        <v>0</v>
      </c>
      <c r="L57" s="7">
        <v>0</v>
      </c>
      <c r="M57" s="7">
        <v>1070.6500000000001</v>
      </c>
      <c r="N57" s="7">
        <v>6474.9</v>
      </c>
    </row>
    <row r="58" spans="1:15">
      <c r="A58" s="3" t="s">
        <v>77</v>
      </c>
      <c r="B58" s="3" t="s">
        <v>9</v>
      </c>
      <c r="C58" s="4">
        <v>7</v>
      </c>
      <c r="D58" s="4">
        <v>7292</v>
      </c>
      <c r="E58" s="4">
        <v>72284726728431</v>
      </c>
      <c r="F58" s="4">
        <v>20376600654</v>
      </c>
      <c r="G58" s="3" t="s">
        <v>78</v>
      </c>
      <c r="H58" s="4">
        <v>1</v>
      </c>
      <c r="I58" s="3" t="s">
        <v>12</v>
      </c>
      <c r="J58" s="7">
        <v>6793.39</v>
      </c>
      <c r="K58" s="7">
        <v>0</v>
      </c>
      <c r="L58" s="7">
        <v>0</v>
      </c>
      <c r="M58" s="7">
        <v>1426.61</v>
      </c>
      <c r="N58" s="7">
        <v>8220</v>
      </c>
    </row>
    <row r="59" spans="1:15">
      <c r="A59" s="3" t="s">
        <v>77</v>
      </c>
      <c r="B59" s="3" t="s">
        <v>9</v>
      </c>
      <c r="C59" s="4">
        <v>7</v>
      </c>
      <c r="D59" s="4">
        <v>7295</v>
      </c>
      <c r="E59" s="4">
        <v>72284727026758</v>
      </c>
      <c r="F59" s="4">
        <v>20376600654</v>
      </c>
      <c r="G59" s="3" t="s">
        <v>78</v>
      </c>
      <c r="H59" s="4">
        <v>1</v>
      </c>
      <c r="I59" s="3" t="s">
        <v>12</v>
      </c>
      <c r="J59" s="7">
        <v>9028.93</v>
      </c>
      <c r="K59" s="7">
        <v>0</v>
      </c>
      <c r="L59" s="7">
        <v>0</v>
      </c>
      <c r="M59" s="7">
        <v>1896.08</v>
      </c>
      <c r="N59" s="7">
        <v>10925.01</v>
      </c>
    </row>
    <row r="60" spans="1:15">
      <c r="A60" s="3" t="s">
        <v>88</v>
      </c>
      <c r="B60" s="3" t="s">
        <v>9</v>
      </c>
      <c r="C60" s="4">
        <v>5</v>
      </c>
      <c r="D60" s="4">
        <v>3039</v>
      </c>
      <c r="E60" s="4">
        <v>72296195639592</v>
      </c>
      <c r="F60" s="4">
        <v>30714734446</v>
      </c>
      <c r="G60" s="3" t="s">
        <v>89</v>
      </c>
      <c r="H60" s="4">
        <v>1</v>
      </c>
      <c r="I60" s="3" t="s">
        <v>12</v>
      </c>
      <c r="J60" s="7">
        <v>2419.0100000000002</v>
      </c>
      <c r="K60" s="7">
        <v>0</v>
      </c>
      <c r="L60" s="7">
        <v>0</v>
      </c>
      <c r="M60" s="7">
        <v>254</v>
      </c>
      <c r="N60" s="7">
        <v>2673.01</v>
      </c>
    </row>
    <row r="61" spans="1:15">
      <c r="A61" s="3" t="s">
        <v>48</v>
      </c>
      <c r="B61" s="3" t="s">
        <v>9</v>
      </c>
      <c r="C61" s="4">
        <v>9</v>
      </c>
      <c r="D61" s="4">
        <v>1302</v>
      </c>
      <c r="E61" s="4">
        <v>72271124080955</v>
      </c>
      <c r="F61" s="4">
        <v>30709710881</v>
      </c>
      <c r="G61" s="9" t="s">
        <v>49</v>
      </c>
      <c r="H61" s="10">
        <v>1</v>
      </c>
      <c r="I61" s="9" t="s">
        <v>12</v>
      </c>
      <c r="J61" s="11">
        <v>29669.42</v>
      </c>
      <c r="K61" s="11">
        <v>0</v>
      </c>
      <c r="L61" s="11">
        <v>0</v>
      </c>
      <c r="M61" s="11">
        <v>6230.58</v>
      </c>
      <c r="N61" s="11">
        <v>35900</v>
      </c>
    </row>
    <row r="62" spans="1:15">
      <c r="A62" s="3" t="s">
        <v>30</v>
      </c>
      <c r="B62" s="3" t="s">
        <v>9</v>
      </c>
      <c r="C62" s="4">
        <v>629</v>
      </c>
      <c r="D62" s="4">
        <v>3356906</v>
      </c>
      <c r="E62" s="4">
        <v>32263605972794</v>
      </c>
      <c r="F62" s="4">
        <v>30663498513</v>
      </c>
      <c r="G62" s="3" t="s">
        <v>33</v>
      </c>
      <c r="H62" s="4">
        <v>1</v>
      </c>
      <c r="I62" s="3" t="s">
        <v>12</v>
      </c>
      <c r="J62" s="7">
        <v>1672.72</v>
      </c>
      <c r="K62" s="7">
        <v>0</v>
      </c>
      <c r="L62" s="7">
        <v>0</v>
      </c>
      <c r="M62" s="7">
        <v>351.28</v>
      </c>
      <c r="N62" s="7">
        <v>2024</v>
      </c>
    </row>
    <row r="63" spans="1:15">
      <c r="A63" s="3" t="s">
        <v>85</v>
      </c>
      <c r="B63" s="3" t="s">
        <v>9</v>
      </c>
      <c r="C63" s="4">
        <v>629</v>
      </c>
      <c r="D63" s="4">
        <v>3394210</v>
      </c>
      <c r="E63" s="4">
        <v>32283095158559</v>
      </c>
      <c r="F63" s="4">
        <v>30663498513</v>
      </c>
      <c r="G63" s="3" t="s">
        <v>33</v>
      </c>
      <c r="H63" s="4">
        <v>1</v>
      </c>
      <c r="I63" s="3" t="s">
        <v>12</v>
      </c>
      <c r="J63" s="7">
        <v>1840.47</v>
      </c>
      <c r="K63" s="7">
        <v>0</v>
      </c>
      <c r="L63" s="7">
        <v>0</v>
      </c>
      <c r="M63" s="7">
        <v>386.53</v>
      </c>
      <c r="N63" s="7">
        <v>2227</v>
      </c>
    </row>
    <row r="64" spans="1:15">
      <c r="A64" s="3" t="s">
        <v>30</v>
      </c>
      <c r="B64" s="3" t="s">
        <v>9</v>
      </c>
      <c r="C64" s="4">
        <v>4</v>
      </c>
      <c r="D64" s="4">
        <v>3443</v>
      </c>
      <c r="E64" s="4">
        <v>72279926578607</v>
      </c>
      <c r="F64" s="4">
        <v>33716633379</v>
      </c>
      <c r="G64" s="3" t="s">
        <v>37</v>
      </c>
      <c r="H64" s="4">
        <v>1</v>
      </c>
      <c r="I64" s="3" t="s">
        <v>12</v>
      </c>
      <c r="J64" s="7">
        <v>6922.31</v>
      </c>
      <c r="K64" s="7">
        <v>0</v>
      </c>
      <c r="L64" s="7">
        <v>0</v>
      </c>
      <c r="M64" s="7">
        <v>1453.69</v>
      </c>
      <c r="N64" s="7">
        <v>8376</v>
      </c>
    </row>
    <row r="65" spans="1:15">
      <c r="A65" s="3" t="s">
        <v>111</v>
      </c>
      <c r="B65" s="3" t="s">
        <v>9</v>
      </c>
      <c r="C65" s="4">
        <v>8</v>
      </c>
      <c r="D65" s="4">
        <v>706</v>
      </c>
      <c r="E65" s="4">
        <v>72303007881275</v>
      </c>
      <c r="F65" s="4">
        <v>20388915413</v>
      </c>
      <c r="G65" s="3" t="s">
        <v>112</v>
      </c>
      <c r="H65" s="4">
        <v>1</v>
      </c>
      <c r="I65" s="3" t="s">
        <v>12</v>
      </c>
      <c r="J65" s="7">
        <v>7491.74</v>
      </c>
      <c r="K65" s="7">
        <v>0</v>
      </c>
      <c r="L65" s="7">
        <v>0</v>
      </c>
      <c r="M65" s="7">
        <v>1573.27</v>
      </c>
      <c r="N65" s="7">
        <v>9065.01</v>
      </c>
    </row>
    <row r="66" spans="1:15">
      <c r="A66" s="3" t="s">
        <v>30</v>
      </c>
      <c r="B66" s="3" t="s">
        <v>9</v>
      </c>
      <c r="C66" s="4">
        <v>1</v>
      </c>
      <c r="D66" s="4">
        <v>39</v>
      </c>
      <c r="E66" s="4">
        <v>72273956796262</v>
      </c>
      <c r="F66" s="4">
        <v>30716010313</v>
      </c>
      <c r="G66" s="9" t="s">
        <v>34</v>
      </c>
      <c r="H66" s="10">
        <v>1</v>
      </c>
      <c r="I66" s="9" t="s">
        <v>12</v>
      </c>
      <c r="J66" s="11">
        <v>32000</v>
      </c>
      <c r="K66" s="11">
        <v>0</v>
      </c>
      <c r="L66" s="11">
        <v>0</v>
      </c>
      <c r="M66" s="11">
        <v>6720</v>
      </c>
      <c r="N66" s="11">
        <v>38720</v>
      </c>
    </row>
    <row r="67" spans="1:15">
      <c r="A67" s="3" t="s">
        <v>30</v>
      </c>
      <c r="B67" s="3" t="s">
        <v>9</v>
      </c>
      <c r="C67" s="4">
        <v>1</v>
      </c>
      <c r="D67" s="4">
        <v>1845</v>
      </c>
      <c r="E67" s="4">
        <v>72272925110740</v>
      </c>
      <c r="F67" s="4">
        <v>30716154102</v>
      </c>
      <c r="G67" s="9" t="s">
        <v>32</v>
      </c>
      <c r="H67" s="10">
        <v>1</v>
      </c>
      <c r="I67" s="9" t="s">
        <v>12</v>
      </c>
      <c r="J67" s="11">
        <v>29250</v>
      </c>
      <c r="K67" s="11">
        <v>0</v>
      </c>
      <c r="L67" s="11">
        <v>0</v>
      </c>
      <c r="M67" s="11">
        <v>6142.5</v>
      </c>
      <c r="N67" s="11">
        <v>35392.5</v>
      </c>
      <c r="O67" s="8">
        <f>SUM(J66:J68)</f>
        <v>93143.75</v>
      </c>
    </row>
    <row r="68" spans="1:15">
      <c r="A68" s="3" t="s">
        <v>85</v>
      </c>
      <c r="B68" s="3" t="s">
        <v>9</v>
      </c>
      <c r="C68" s="4">
        <v>1</v>
      </c>
      <c r="D68" s="4">
        <v>1892</v>
      </c>
      <c r="E68" s="4">
        <v>72292127354775</v>
      </c>
      <c r="F68" s="4">
        <v>30716154102</v>
      </c>
      <c r="G68" s="9" t="s">
        <v>32</v>
      </c>
      <c r="H68" s="10">
        <v>1</v>
      </c>
      <c r="I68" s="9" t="s">
        <v>12</v>
      </c>
      <c r="J68" s="11">
        <v>31893.75</v>
      </c>
      <c r="K68" s="11">
        <v>0</v>
      </c>
      <c r="L68" s="11">
        <v>0</v>
      </c>
      <c r="M68" s="11">
        <v>6697.69</v>
      </c>
      <c r="N68" s="11">
        <v>38591.440000000002</v>
      </c>
    </row>
    <row r="69" spans="1:15">
      <c r="A69" s="3" t="s">
        <v>63</v>
      </c>
      <c r="B69" s="3" t="s">
        <v>9</v>
      </c>
      <c r="C69" s="4">
        <v>9</v>
      </c>
      <c r="D69" s="4">
        <v>858</v>
      </c>
      <c r="E69" s="4">
        <v>72276332071645</v>
      </c>
      <c r="F69" s="4">
        <v>30648230326</v>
      </c>
      <c r="G69" s="3" t="s">
        <v>66</v>
      </c>
      <c r="H69" s="4">
        <v>1</v>
      </c>
      <c r="I69" s="3" t="s">
        <v>12</v>
      </c>
      <c r="J69" s="7">
        <v>6570.24</v>
      </c>
      <c r="K69" s="7">
        <v>0</v>
      </c>
      <c r="L69" s="7">
        <v>0</v>
      </c>
      <c r="M69" s="7">
        <v>1379.75</v>
      </c>
      <c r="N69" s="7">
        <v>7949.99</v>
      </c>
    </row>
    <row r="70" spans="1:15">
      <c r="A70" s="3" t="s">
        <v>8</v>
      </c>
      <c r="B70" s="3" t="s">
        <v>9</v>
      </c>
      <c r="C70" s="4">
        <v>5</v>
      </c>
      <c r="D70" s="4">
        <v>688</v>
      </c>
      <c r="E70" s="4">
        <v>72269733869995</v>
      </c>
      <c r="F70" s="4">
        <v>30711651779</v>
      </c>
      <c r="G70" s="9" t="s">
        <v>17</v>
      </c>
      <c r="H70" s="10">
        <v>1</v>
      </c>
      <c r="I70" s="9" t="s">
        <v>12</v>
      </c>
      <c r="J70" s="11">
        <v>34710.74</v>
      </c>
      <c r="K70" s="11">
        <v>0</v>
      </c>
      <c r="L70" s="11">
        <v>0</v>
      </c>
      <c r="M70" s="11">
        <v>7289.26</v>
      </c>
      <c r="N70" s="11">
        <v>42000</v>
      </c>
      <c r="O70" s="8">
        <f>SUM(J70)</f>
        <v>34710.74</v>
      </c>
    </row>
    <row r="71" spans="1:15">
      <c r="A71" s="3" t="s">
        <v>38</v>
      </c>
      <c r="B71" s="3" t="s">
        <v>9</v>
      </c>
      <c r="C71" s="4">
        <v>1000</v>
      </c>
      <c r="D71" s="4">
        <v>100754</v>
      </c>
      <c r="E71" s="4">
        <v>72273026316361</v>
      </c>
      <c r="F71" s="4">
        <v>30715123483</v>
      </c>
      <c r="G71" s="3" t="s">
        <v>42</v>
      </c>
      <c r="H71" s="4">
        <v>1</v>
      </c>
      <c r="I71" s="3" t="s">
        <v>12</v>
      </c>
      <c r="J71" s="7">
        <v>2516.19</v>
      </c>
      <c r="K71" s="7">
        <v>0</v>
      </c>
      <c r="L71" s="7">
        <v>0</v>
      </c>
      <c r="M71" s="7">
        <v>407.81</v>
      </c>
      <c r="N71" s="7">
        <v>2924</v>
      </c>
    </row>
    <row r="72" spans="1:15">
      <c r="A72" s="3" t="s">
        <v>48</v>
      </c>
      <c r="B72" s="3" t="s">
        <v>36</v>
      </c>
      <c r="C72" s="4">
        <v>1000</v>
      </c>
      <c r="D72" s="4">
        <v>4178</v>
      </c>
      <c r="E72" s="4">
        <v>72273123039912</v>
      </c>
      <c r="F72" s="4">
        <v>30715123483</v>
      </c>
      <c r="G72" s="3" t="s">
        <v>42</v>
      </c>
      <c r="H72" s="4">
        <v>1</v>
      </c>
      <c r="I72" s="3" t="s">
        <v>12</v>
      </c>
      <c r="J72" s="7">
        <v>2516.19</v>
      </c>
      <c r="K72" s="7">
        <v>0</v>
      </c>
      <c r="L72" s="7">
        <v>0</v>
      </c>
      <c r="M72" s="7">
        <v>407.81</v>
      </c>
      <c r="N72" s="7">
        <v>2924</v>
      </c>
    </row>
    <row r="73" spans="1:15">
      <c r="A73" s="3" t="s">
        <v>101</v>
      </c>
      <c r="B73" s="3" t="s">
        <v>9</v>
      </c>
      <c r="C73" s="4">
        <v>1</v>
      </c>
      <c r="D73" s="4">
        <v>24</v>
      </c>
      <c r="E73" s="4">
        <v>72307829265748</v>
      </c>
      <c r="F73" s="4">
        <v>30717305287</v>
      </c>
      <c r="G73" s="9" t="s">
        <v>103</v>
      </c>
      <c r="H73" s="10">
        <v>1</v>
      </c>
      <c r="I73" s="9" t="s">
        <v>12</v>
      </c>
      <c r="J73" s="11">
        <v>144000</v>
      </c>
      <c r="K73" s="11">
        <v>0</v>
      </c>
      <c r="L73" s="11">
        <v>0</v>
      </c>
      <c r="M73" s="11">
        <v>30240</v>
      </c>
      <c r="N73" s="11">
        <v>174240</v>
      </c>
      <c r="O73" s="8">
        <f>SUM(J73)</f>
        <v>144000</v>
      </c>
    </row>
    <row r="74" spans="1:15">
      <c r="A74" s="3" t="s">
        <v>54</v>
      </c>
      <c r="B74" s="3" t="s">
        <v>9</v>
      </c>
      <c r="C74" s="4">
        <v>16</v>
      </c>
      <c r="D74" s="4">
        <v>4747</v>
      </c>
      <c r="E74" s="4">
        <v>72271220104614</v>
      </c>
      <c r="F74" s="4">
        <v>30708083131</v>
      </c>
      <c r="G74" s="3" t="s">
        <v>56</v>
      </c>
      <c r="H74" s="4">
        <v>1</v>
      </c>
      <c r="I74" s="3" t="s">
        <v>12</v>
      </c>
      <c r="J74" s="7">
        <v>24613.57</v>
      </c>
      <c r="K74" s="7">
        <v>0</v>
      </c>
      <c r="L74" s="7">
        <v>0</v>
      </c>
      <c r="M74" s="7">
        <v>2584.42</v>
      </c>
      <c r="N74" s="7">
        <v>27197.99</v>
      </c>
    </row>
    <row r="75" spans="1:15">
      <c r="A75" s="3" t="s">
        <v>73</v>
      </c>
      <c r="B75" s="3" t="s">
        <v>9</v>
      </c>
      <c r="C75" s="4">
        <v>4</v>
      </c>
      <c r="D75" s="4">
        <v>2231</v>
      </c>
      <c r="E75" s="4">
        <v>72289574994660</v>
      </c>
      <c r="F75" s="4">
        <v>33707954839</v>
      </c>
      <c r="G75" s="3" t="s">
        <v>76</v>
      </c>
      <c r="H75" s="4">
        <v>1</v>
      </c>
      <c r="I75" s="3" t="s">
        <v>12</v>
      </c>
      <c r="J75" s="7">
        <v>9774.35</v>
      </c>
      <c r="K75" s="7">
        <v>0</v>
      </c>
      <c r="L75" s="7">
        <v>0</v>
      </c>
      <c r="M75" s="7">
        <v>2052.61</v>
      </c>
      <c r="N75" s="7">
        <v>11826.96</v>
      </c>
    </row>
    <row r="76" spans="1:15">
      <c r="A76" s="3" t="s">
        <v>111</v>
      </c>
      <c r="B76" s="3" t="s">
        <v>9</v>
      </c>
      <c r="C76" s="4">
        <v>23</v>
      </c>
      <c r="D76" s="4">
        <v>1897</v>
      </c>
      <c r="E76" s="4">
        <v>72307036806442</v>
      </c>
      <c r="F76" s="4">
        <v>30708937327</v>
      </c>
      <c r="G76" s="3" t="s">
        <v>114</v>
      </c>
      <c r="H76" s="4">
        <v>1</v>
      </c>
      <c r="I76" s="3" t="s">
        <v>12</v>
      </c>
      <c r="J76" s="7">
        <v>13223.14</v>
      </c>
      <c r="K76" s="7">
        <v>0</v>
      </c>
      <c r="L76" s="7">
        <v>24000</v>
      </c>
      <c r="M76" s="7">
        <v>2776.86</v>
      </c>
      <c r="N76" s="7">
        <v>40000</v>
      </c>
    </row>
    <row r="77" spans="1:15">
      <c r="A77" s="3" t="s">
        <v>115</v>
      </c>
      <c r="B77" s="3" t="s">
        <v>9</v>
      </c>
      <c r="C77" s="4">
        <v>23</v>
      </c>
      <c r="D77" s="4">
        <v>1900</v>
      </c>
      <c r="E77" s="4">
        <v>72307137769653</v>
      </c>
      <c r="F77" s="4">
        <v>30708937327</v>
      </c>
      <c r="G77" s="3" t="s">
        <v>114</v>
      </c>
      <c r="H77" s="4">
        <v>1</v>
      </c>
      <c r="I77" s="3" t="s">
        <v>12</v>
      </c>
      <c r="J77" s="7">
        <v>19834.71</v>
      </c>
      <c r="K77" s="7">
        <v>0</v>
      </c>
      <c r="L77" s="7">
        <v>36000</v>
      </c>
      <c r="M77" s="7">
        <v>4165.29</v>
      </c>
      <c r="N77" s="7">
        <v>60000</v>
      </c>
    </row>
    <row r="78" spans="1:15">
      <c r="A78" s="3" t="s">
        <v>115</v>
      </c>
      <c r="B78" s="3" t="s">
        <v>9</v>
      </c>
      <c r="C78" s="4">
        <v>23</v>
      </c>
      <c r="D78" s="4">
        <v>1899</v>
      </c>
      <c r="E78" s="4">
        <v>72307137750936</v>
      </c>
      <c r="F78" s="4">
        <v>30708937327</v>
      </c>
      <c r="G78" s="3" t="s">
        <v>114</v>
      </c>
      <c r="H78" s="4">
        <v>1</v>
      </c>
      <c r="I78" s="3" t="s">
        <v>12</v>
      </c>
      <c r="J78" s="7">
        <v>19834.71</v>
      </c>
      <c r="K78" s="7">
        <v>0</v>
      </c>
      <c r="L78" s="7">
        <v>36000</v>
      </c>
      <c r="M78" s="7">
        <v>4165.29</v>
      </c>
      <c r="N78" s="7">
        <v>60000</v>
      </c>
    </row>
    <row r="79" spans="1:15">
      <c r="A79" s="3" t="s">
        <v>54</v>
      </c>
      <c r="B79" s="3" t="s">
        <v>9</v>
      </c>
      <c r="C79" s="4">
        <v>6</v>
      </c>
      <c r="D79" s="4">
        <v>3686</v>
      </c>
      <c r="E79" s="4">
        <v>72273215277124</v>
      </c>
      <c r="F79" s="4">
        <v>27135996373</v>
      </c>
      <c r="G79" s="3" t="s">
        <v>59</v>
      </c>
      <c r="H79" s="4">
        <v>1</v>
      </c>
      <c r="I79" s="3" t="s">
        <v>12</v>
      </c>
      <c r="J79" s="7">
        <v>8347.2099999999991</v>
      </c>
      <c r="K79" s="7">
        <v>0</v>
      </c>
      <c r="L79" s="7">
        <v>0</v>
      </c>
      <c r="M79" s="7">
        <v>1752.91</v>
      </c>
      <c r="N79" s="7">
        <v>10100.120000000001</v>
      </c>
    </row>
    <row r="80" spans="1:15">
      <c r="A80" s="3" t="s">
        <v>85</v>
      </c>
      <c r="B80" s="3" t="s">
        <v>9</v>
      </c>
      <c r="C80" s="4">
        <v>6</v>
      </c>
      <c r="D80" s="4">
        <v>3764</v>
      </c>
      <c r="E80" s="4">
        <v>72293116722915</v>
      </c>
      <c r="F80" s="4">
        <v>27135996373</v>
      </c>
      <c r="G80" s="3" t="s">
        <v>59</v>
      </c>
      <c r="H80" s="4">
        <v>1</v>
      </c>
      <c r="I80" s="3" t="s">
        <v>12</v>
      </c>
      <c r="J80" s="7">
        <v>793.39</v>
      </c>
      <c r="K80" s="7">
        <v>0</v>
      </c>
      <c r="L80" s="7">
        <v>0</v>
      </c>
      <c r="M80" s="7">
        <v>166.61</v>
      </c>
      <c r="N80" s="7">
        <v>960</v>
      </c>
    </row>
    <row r="81" spans="1:15">
      <c r="A81" s="3" t="s">
        <v>79</v>
      </c>
      <c r="B81" s="3" t="s">
        <v>9</v>
      </c>
      <c r="C81" s="4">
        <v>4</v>
      </c>
      <c r="D81" s="4">
        <v>2435</v>
      </c>
      <c r="E81" s="4">
        <v>72286814378350</v>
      </c>
      <c r="F81" s="4">
        <v>30708669306</v>
      </c>
      <c r="G81" s="9" t="s">
        <v>81</v>
      </c>
      <c r="H81" s="10">
        <v>1</v>
      </c>
      <c r="I81" s="9" t="s">
        <v>12</v>
      </c>
      <c r="J81" s="11">
        <v>168750</v>
      </c>
      <c r="K81" s="11">
        <v>0</v>
      </c>
      <c r="L81" s="11">
        <v>0</v>
      </c>
      <c r="M81" s="11">
        <v>35437.5</v>
      </c>
      <c r="N81" s="11">
        <v>204187.5</v>
      </c>
      <c r="O81" s="8">
        <f>SUM(J81)</f>
        <v>168750</v>
      </c>
    </row>
    <row r="82" spans="1:15">
      <c r="A82" s="3" t="s">
        <v>115</v>
      </c>
      <c r="B82" s="3" t="s">
        <v>9</v>
      </c>
      <c r="C82" s="4">
        <v>27</v>
      </c>
      <c r="D82" s="4">
        <v>496689</v>
      </c>
      <c r="E82" s="4">
        <v>72314286610793</v>
      </c>
      <c r="F82" s="4">
        <v>30703088534</v>
      </c>
      <c r="G82" s="3" t="s">
        <v>116</v>
      </c>
      <c r="H82" s="4">
        <v>1</v>
      </c>
      <c r="I82" s="3" t="s">
        <v>12</v>
      </c>
      <c r="J82" s="7">
        <v>138600.25</v>
      </c>
      <c r="K82" s="7">
        <v>0</v>
      </c>
      <c r="L82" s="7">
        <v>0</v>
      </c>
      <c r="M82" s="7">
        <v>29106.05</v>
      </c>
      <c r="N82" s="7">
        <v>180180.3</v>
      </c>
    </row>
    <row r="83" spans="1:15">
      <c r="A83" s="3" t="s">
        <v>105</v>
      </c>
      <c r="B83" s="3" t="s">
        <v>9</v>
      </c>
      <c r="C83" s="4">
        <v>2</v>
      </c>
      <c r="D83" s="4">
        <v>2264</v>
      </c>
      <c r="E83" s="4">
        <v>72308930885053</v>
      </c>
      <c r="F83" s="4">
        <v>30716595648</v>
      </c>
      <c r="G83" s="3" t="s">
        <v>109</v>
      </c>
      <c r="H83" s="4">
        <v>1</v>
      </c>
      <c r="I83" s="3" t="s">
        <v>12</v>
      </c>
      <c r="J83" s="7">
        <v>8669.42</v>
      </c>
      <c r="K83" s="7">
        <v>0</v>
      </c>
      <c r="L83" s="7">
        <v>0</v>
      </c>
      <c r="M83" s="7">
        <v>1820.58</v>
      </c>
      <c r="N83" s="7">
        <v>10490</v>
      </c>
    </row>
    <row r="84" spans="1:15">
      <c r="A84" s="3" t="s">
        <v>115</v>
      </c>
      <c r="B84" s="3" t="s">
        <v>9</v>
      </c>
      <c r="C84" s="4">
        <v>10</v>
      </c>
      <c r="D84" s="4">
        <v>1456</v>
      </c>
      <c r="E84" s="4">
        <v>72309095335631</v>
      </c>
      <c r="F84" s="4">
        <v>23127284369</v>
      </c>
      <c r="G84" s="3" t="s">
        <v>117</v>
      </c>
      <c r="H84" s="4">
        <v>1</v>
      </c>
      <c r="I84" s="3" t="s">
        <v>12</v>
      </c>
      <c r="J84" s="7">
        <v>6270.44</v>
      </c>
      <c r="K84" s="7">
        <v>0</v>
      </c>
      <c r="L84" s="7">
        <v>0</v>
      </c>
      <c r="M84" s="7">
        <v>1316.79</v>
      </c>
      <c r="N84" s="7">
        <v>7587.23</v>
      </c>
    </row>
    <row r="85" spans="1:15">
      <c r="A85" s="3" t="s">
        <v>54</v>
      </c>
      <c r="B85" s="3" t="s">
        <v>9</v>
      </c>
      <c r="C85" s="4">
        <v>3</v>
      </c>
      <c r="D85" s="4">
        <v>1040</v>
      </c>
      <c r="E85" s="4">
        <v>72270250028295</v>
      </c>
      <c r="F85" s="4">
        <v>20101797180</v>
      </c>
      <c r="G85" s="3" t="s">
        <v>62</v>
      </c>
      <c r="H85" s="4">
        <v>1</v>
      </c>
      <c r="I85" s="3" t="s">
        <v>12</v>
      </c>
      <c r="J85" s="7">
        <v>44628.09</v>
      </c>
      <c r="K85" s="7">
        <v>0</v>
      </c>
      <c r="L85" s="7">
        <v>0</v>
      </c>
      <c r="M85" s="7">
        <v>9371.9</v>
      </c>
      <c r="N85" s="7">
        <v>53999.99</v>
      </c>
    </row>
    <row r="86" spans="1:15">
      <c r="A86" s="3" t="s">
        <v>82</v>
      </c>
      <c r="B86" s="3" t="s">
        <v>9</v>
      </c>
      <c r="C86" s="4">
        <v>9</v>
      </c>
      <c r="D86" s="4">
        <v>282</v>
      </c>
      <c r="E86" s="4">
        <v>72281911183203</v>
      </c>
      <c r="F86" s="4">
        <v>30715315951</v>
      </c>
      <c r="G86" s="3" t="s">
        <v>83</v>
      </c>
      <c r="H86" s="4">
        <v>1</v>
      </c>
      <c r="I86" s="3" t="s">
        <v>12</v>
      </c>
      <c r="J86" s="7">
        <v>22841.32</v>
      </c>
      <c r="K86" s="7">
        <v>0</v>
      </c>
      <c r="L86" s="7">
        <v>0</v>
      </c>
      <c r="M86" s="7">
        <v>4796.68</v>
      </c>
      <c r="N86" s="7">
        <v>27638</v>
      </c>
    </row>
    <row r="87" spans="1:15">
      <c r="A87" s="3" t="s">
        <v>8</v>
      </c>
      <c r="B87" s="3" t="s">
        <v>9</v>
      </c>
      <c r="C87" s="4">
        <v>7</v>
      </c>
      <c r="D87" s="4">
        <v>6744</v>
      </c>
      <c r="E87" s="4">
        <v>72269715178055</v>
      </c>
      <c r="F87" s="4">
        <v>30708017759</v>
      </c>
      <c r="G87" s="9" t="s">
        <v>18</v>
      </c>
      <c r="H87" s="10">
        <v>1</v>
      </c>
      <c r="I87" s="9" t="s">
        <v>12</v>
      </c>
      <c r="J87" s="11">
        <v>500500</v>
      </c>
      <c r="K87" s="11">
        <v>0</v>
      </c>
      <c r="L87" s="11">
        <v>0</v>
      </c>
      <c r="M87" s="11">
        <v>105105</v>
      </c>
      <c r="N87" s="11">
        <v>635635</v>
      </c>
    </row>
    <row r="88" spans="1:15">
      <c r="A88" s="3" t="s">
        <v>30</v>
      </c>
      <c r="B88" s="3" t="s">
        <v>36</v>
      </c>
      <c r="C88" s="4">
        <v>7</v>
      </c>
      <c r="D88" s="4">
        <v>660</v>
      </c>
      <c r="E88" s="4">
        <v>72279945679641</v>
      </c>
      <c r="F88" s="4">
        <v>30708017759</v>
      </c>
      <c r="G88" s="9" t="s">
        <v>18</v>
      </c>
      <c r="H88" s="10">
        <v>1</v>
      </c>
      <c r="I88" s="9" t="s">
        <v>12</v>
      </c>
      <c r="J88" s="11">
        <v>500500</v>
      </c>
      <c r="K88" s="11">
        <v>0</v>
      </c>
      <c r="L88" s="11">
        <v>0</v>
      </c>
      <c r="M88" s="11">
        <v>105105</v>
      </c>
      <c r="N88" s="11">
        <v>635635</v>
      </c>
    </row>
    <row r="89" spans="1:15">
      <c r="A89" s="3" t="s">
        <v>38</v>
      </c>
      <c r="B89" s="3" t="s">
        <v>9</v>
      </c>
      <c r="C89" s="4">
        <v>7</v>
      </c>
      <c r="D89" s="4">
        <v>6755</v>
      </c>
      <c r="E89" s="4">
        <v>72279043535519</v>
      </c>
      <c r="F89" s="4">
        <v>30708017759</v>
      </c>
      <c r="G89" s="9" t="s">
        <v>18</v>
      </c>
      <c r="H89" s="10">
        <v>1</v>
      </c>
      <c r="I89" s="9" t="s">
        <v>12</v>
      </c>
      <c r="J89" s="11">
        <v>202860</v>
      </c>
      <c r="K89" s="11">
        <v>0</v>
      </c>
      <c r="L89" s="11">
        <v>0</v>
      </c>
      <c r="M89" s="11">
        <v>42600.6</v>
      </c>
      <c r="N89" s="11">
        <v>257632.2</v>
      </c>
      <c r="O89" s="8">
        <f>SUM(J87:J93)</f>
        <v>1729840</v>
      </c>
    </row>
    <row r="90" spans="1:15">
      <c r="A90" s="3" t="s">
        <v>38</v>
      </c>
      <c r="B90" s="3" t="s">
        <v>9</v>
      </c>
      <c r="C90" s="4">
        <v>7</v>
      </c>
      <c r="D90" s="4">
        <v>6756</v>
      </c>
      <c r="E90" s="4">
        <v>72279043669967</v>
      </c>
      <c r="F90" s="4">
        <v>30708017759</v>
      </c>
      <c r="G90" s="9" t="s">
        <v>18</v>
      </c>
      <c r="H90" s="10">
        <v>1</v>
      </c>
      <c r="I90" s="9" t="s">
        <v>12</v>
      </c>
      <c r="J90" s="11">
        <v>368900</v>
      </c>
      <c r="K90" s="11">
        <v>0</v>
      </c>
      <c r="L90" s="11">
        <v>0</v>
      </c>
      <c r="M90" s="11">
        <v>77469</v>
      </c>
      <c r="N90" s="11">
        <v>468503</v>
      </c>
    </row>
    <row r="91" spans="1:15">
      <c r="A91" s="3" t="s">
        <v>85</v>
      </c>
      <c r="B91" s="3" t="s">
        <v>9</v>
      </c>
      <c r="C91" s="4">
        <v>9</v>
      </c>
      <c r="D91" s="4">
        <v>421</v>
      </c>
      <c r="E91" s="4">
        <v>72294149269342</v>
      </c>
      <c r="F91" s="4">
        <v>20381564224</v>
      </c>
      <c r="G91" s="9" t="s">
        <v>86</v>
      </c>
      <c r="H91" s="10">
        <v>1</v>
      </c>
      <c r="I91" s="9" t="s">
        <v>12</v>
      </c>
      <c r="J91" s="11">
        <v>44880</v>
      </c>
      <c r="K91" s="11">
        <v>0</v>
      </c>
      <c r="L91" s="11">
        <v>0</v>
      </c>
      <c r="M91" s="11">
        <v>9424.7999999999993</v>
      </c>
      <c r="N91" s="11">
        <v>54304.800000000003</v>
      </c>
    </row>
    <row r="92" spans="1:15">
      <c r="A92" s="3" t="s">
        <v>85</v>
      </c>
      <c r="B92" s="3" t="s">
        <v>9</v>
      </c>
      <c r="C92" s="4">
        <v>9</v>
      </c>
      <c r="D92" s="4">
        <v>420</v>
      </c>
      <c r="E92" s="4">
        <v>72294147514508</v>
      </c>
      <c r="F92" s="4">
        <v>20381564224</v>
      </c>
      <c r="G92" s="9" t="s">
        <v>86</v>
      </c>
      <c r="H92" s="10">
        <v>1</v>
      </c>
      <c r="I92" s="9" t="s">
        <v>12</v>
      </c>
      <c r="J92" s="11">
        <v>56100</v>
      </c>
      <c r="K92" s="11">
        <v>0</v>
      </c>
      <c r="L92" s="11">
        <v>0</v>
      </c>
      <c r="M92" s="11">
        <v>11781</v>
      </c>
      <c r="N92" s="11">
        <v>67881</v>
      </c>
    </row>
    <row r="93" spans="1:15">
      <c r="A93" s="3" t="s">
        <v>85</v>
      </c>
      <c r="B93" s="3" t="s">
        <v>36</v>
      </c>
      <c r="C93" s="4">
        <v>9</v>
      </c>
      <c r="D93" s="4">
        <v>111</v>
      </c>
      <c r="E93" s="4">
        <v>72294149057084</v>
      </c>
      <c r="F93" s="4">
        <v>20381564224</v>
      </c>
      <c r="G93" s="9" t="s">
        <v>86</v>
      </c>
      <c r="H93" s="10">
        <v>1</v>
      </c>
      <c r="I93" s="9" t="s">
        <v>12</v>
      </c>
      <c r="J93" s="11">
        <v>56100</v>
      </c>
      <c r="K93" s="11">
        <v>0</v>
      </c>
      <c r="L93" s="11">
        <v>0</v>
      </c>
      <c r="M93" s="11">
        <v>11781</v>
      </c>
      <c r="N93" s="11">
        <v>67881</v>
      </c>
    </row>
    <row r="94" spans="1:15">
      <c r="A94" s="3" t="s">
        <v>54</v>
      </c>
      <c r="B94" s="3" t="s">
        <v>9</v>
      </c>
      <c r="C94" s="4">
        <v>10</v>
      </c>
      <c r="D94" s="4">
        <v>11834</v>
      </c>
      <c r="E94" s="4">
        <v>72272250369677</v>
      </c>
      <c r="F94" s="4">
        <v>30696186932</v>
      </c>
      <c r="G94" s="3" t="s">
        <v>57</v>
      </c>
      <c r="H94" s="4">
        <v>132</v>
      </c>
      <c r="I94" s="3" t="s">
        <v>58</v>
      </c>
      <c r="J94" s="7">
        <v>1258.03</v>
      </c>
      <c r="K94" s="7">
        <v>0</v>
      </c>
      <c r="L94" s="7">
        <v>0</v>
      </c>
      <c r="M94" s="7">
        <v>264.19</v>
      </c>
      <c r="N94" s="7">
        <v>1522.22</v>
      </c>
    </row>
    <row r="95" spans="1:15">
      <c r="A95" s="3" t="s">
        <v>91</v>
      </c>
      <c r="B95" s="3" t="s">
        <v>9</v>
      </c>
      <c r="C95" s="4">
        <v>5</v>
      </c>
      <c r="D95" s="4">
        <v>2559436</v>
      </c>
      <c r="E95" s="4">
        <v>72295433812163</v>
      </c>
      <c r="F95" s="4">
        <v>30702652975</v>
      </c>
      <c r="G95" s="3" t="s">
        <v>94</v>
      </c>
      <c r="H95" s="4">
        <v>1</v>
      </c>
      <c r="I95" s="3" t="s">
        <v>12</v>
      </c>
      <c r="J95" s="7">
        <v>5661.29</v>
      </c>
      <c r="K95" s="7">
        <v>0</v>
      </c>
      <c r="L95" s="7">
        <v>0</v>
      </c>
      <c r="M95" s="7">
        <v>1188.8699999999999</v>
      </c>
      <c r="N95" s="7">
        <v>7189.84</v>
      </c>
    </row>
    <row r="96" spans="1:15">
      <c r="A96" s="3" t="s">
        <v>38</v>
      </c>
      <c r="B96" s="3" t="s">
        <v>9</v>
      </c>
      <c r="C96" s="4">
        <v>2</v>
      </c>
      <c r="D96" s="4">
        <v>30898</v>
      </c>
      <c r="E96" s="4">
        <v>72279065272404</v>
      </c>
      <c r="F96" s="4">
        <v>33714232199</v>
      </c>
      <c r="G96" s="9" t="s">
        <v>47</v>
      </c>
      <c r="H96" s="10">
        <v>1</v>
      </c>
      <c r="I96" s="9" t="s">
        <v>12</v>
      </c>
      <c r="J96" s="11">
        <v>19257</v>
      </c>
      <c r="K96" s="11">
        <v>0</v>
      </c>
      <c r="L96" s="11">
        <v>0</v>
      </c>
      <c r="M96" s="11">
        <v>4043.97</v>
      </c>
      <c r="N96" s="11">
        <v>23300.97</v>
      </c>
      <c r="O96" s="8">
        <f>SUM(J96:J97)</f>
        <v>247644.6</v>
      </c>
    </row>
    <row r="97" spans="1:15">
      <c r="A97" s="3" t="s">
        <v>30</v>
      </c>
      <c r="B97" s="3" t="s">
        <v>9</v>
      </c>
      <c r="C97" s="4">
        <v>1</v>
      </c>
      <c r="D97" s="4">
        <v>68</v>
      </c>
      <c r="E97" s="4">
        <v>72277956425075</v>
      </c>
      <c r="F97" s="4">
        <v>20077604627</v>
      </c>
      <c r="G97" s="9" t="s">
        <v>35</v>
      </c>
      <c r="H97" s="10">
        <v>1</v>
      </c>
      <c r="I97" s="9" t="s">
        <v>12</v>
      </c>
      <c r="J97" s="11">
        <v>228387.6</v>
      </c>
      <c r="K97" s="11">
        <v>0</v>
      </c>
      <c r="L97" s="11">
        <v>0</v>
      </c>
      <c r="M97" s="11">
        <v>47961.4</v>
      </c>
      <c r="N97" s="11">
        <v>276349</v>
      </c>
    </row>
    <row r="98" spans="1:15">
      <c r="A98" s="3" t="s">
        <v>38</v>
      </c>
      <c r="B98" s="3" t="s">
        <v>9</v>
      </c>
      <c r="C98" s="4">
        <v>1</v>
      </c>
      <c r="D98" s="4">
        <v>69</v>
      </c>
      <c r="E98" s="4">
        <v>72277014785665</v>
      </c>
      <c r="F98" s="4">
        <v>20077604627</v>
      </c>
      <c r="G98" s="3" t="s">
        <v>35</v>
      </c>
      <c r="H98" s="4">
        <v>1</v>
      </c>
      <c r="I98" s="3" t="s">
        <v>12</v>
      </c>
      <c r="J98" s="7">
        <v>34686.400000000001</v>
      </c>
      <c r="K98" s="7">
        <v>0</v>
      </c>
      <c r="L98" s="7">
        <v>0</v>
      </c>
      <c r="M98" s="7">
        <v>7284.14</v>
      </c>
      <c r="N98" s="7">
        <v>41970.54</v>
      </c>
    </row>
    <row r="99" spans="1:15">
      <c r="A99" s="3" t="s">
        <v>101</v>
      </c>
      <c r="B99" s="3" t="s">
        <v>9</v>
      </c>
      <c r="C99" s="4">
        <v>7</v>
      </c>
      <c r="D99" s="4">
        <v>10572</v>
      </c>
      <c r="E99" s="4">
        <v>72306804339860</v>
      </c>
      <c r="F99" s="4">
        <v>30714911976</v>
      </c>
      <c r="G99" s="3" t="s">
        <v>102</v>
      </c>
      <c r="H99" s="4">
        <v>1</v>
      </c>
      <c r="I99" s="3" t="s">
        <v>12</v>
      </c>
      <c r="J99" s="7">
        <v>7538.02</v>
      </c>
      <c r="K99" s="7">
        <v>0</v>
      </c>
      <c r="L99" s="7">
        <v>0</v>
      </c>
      <c r="M99" s="7">
        <v>1582.98</v>
      </c>
      <c r="N99" s="7">
        <v>9121</v>
      </c>
    </row>
    <row r="100" spans="1:15">
      <c r="A100" s="3" t="s">
        <v>19</v>
      </c>
      <c r="B100" s="3" t="s">
        <v>9</v>
      </c>
      <c r="C100" s="4">
        <v>6864</v>
      </c>
      <c r="D100" s="4">
        <v>9820</v>
      </c>
      <c r="E100" s="4">
        <v>72275785210400</v>
      </c>
      <c r="F100" s="4">
        <v>30678774495</v>
      </c>
      <c r="G100" s="3" t="s">
        <v>23</v>
      </c>
      <c r="H100" s="4">
        <v>1</v>
      </c>
      <c r="I100" s="3" t="s">
        <v>12</v>
      </c>
      <c r="J100" s="7">
        <v>1050.3800000000001</v>
      </c>
      <c r="K100" s="7">
        <v>0</v>
      </c>
      <c r="L100" s="7">
        <v>0</v>
      </c>
      <c r="M100" s="7">
        <v>220.58</v>
      </c>
      <c r="N100" s="7">
        <v>1500.01</v>
      </c>
    </row>
    <row r="101" spans="1:15">
      <c r="A101" s="3" t="s">
        <v>30</v>
      </c>
      <c r="B101" s="3" t="s">
        <v>9</v>
      </c>
      <c r="C101" s="4">
        <v>6864</v>
      </c>
      <c r="D101" s="4">
        <v>9879</v>
      </c>
      <c r="E101" s="4">
        <v>72275978744975</v>
      </c>
      <c r="F101" s="4">
        <v>30678774495</v>
      </c>
      <c r="G101" s="3" t="s">
        <v>23</v>
      </c>
      <c r="H101" s="4">
        <v>1</v>
      </c>
      <c r="I101" s="3" t="s">
        <v>12</v>
      </c>
      <c r="J101" s="7">
        <v>3711.18</v>
      </c>
      <c r="K101" s="7">
        <v>0</v>
      </c>
      <c r="L101" s="7">
        <v>0</v>
      </c>
      <c r="M101" s="7">
        <v>779.35</v>
      </c>
      <c r="N101" s="7">
        <v>5299.8</v>
      </c>
    </row>
    <row r="102" spans="1:15">
      <c r="A102" s="3" t="s">
        <v>84</v>
      </c>
      <c r="B102" s="3" t="s">
        <v>9</v>
      </c>
      <c r="C102" s="4">
        <v>7146</v>
      </c>
      <c r="D102" s="4">
        <v>6702</v>
      </c>
      <c r="E102" s="4">
        <v>72295018766224</v>
      </c>
      <c r="F102" s="4">
        <v>30678774495</v>
      </c>
      <c r="G102" s="3" t="s">
        <v>23</v>
      </c>
      <c r="H102" s="4">
        <v>1</v>
      </c>
      <c r="I102" s="3" t="s">
        <v>12</v>
      </c>
      <c r="J102" s="7">
        <v>6496.32</v>
      </c>
      <c r="K102" s="7">
        <v>0</v>
      </c>
      <c r="L102" s="7">
        <v>0</v>
      </c>
      <c r="M102" s="7">
        <v>1364.23</v>
      </c>
      <c r="N102" s="7">
        <v>9000.99</v>
      </c>
    </row>
    <row r="103" spans="1:15">
      <c r="A103" s="3" t="s">
        <v>111</v>
      </c>
      <c r="B103" s="3" t="s">
        <v>9</v>
      </c>
      <c r="C103" s="4">
        <v>6854</v>
      </c>
      <c r="D103" s="4">
        <v>6610</v>
      </c>
      <c r="E103" s="4">
        <v>72305032518967</v>
      </c>
      <c r="F103" s="4">
        <v>30678774495</v>
      </c>
      <c r="G103" s="3" t="s">
        <v>23</v>
      </c>
      <c r="H103" s="4">
        <v>1</v>
      </c>
      <c r="I103" s="3" t="s">
        <v>12</v>
      </c>
      <c r="J103" s="7">
        <v>3136.51</v>
      </c>
      <c r="K103" s="7">
        <v>0</v>
      </c>
      <c r="L103" s="7">
        <v>0</v>
      </c>
      <c r="M103" s="7">
        <v>658.67</v>
      </c>
      <c r="N103" s="7">
        <v>4514.3999999999996</v>
      </c>
    </row>
    <row r="104" spans="1:15">
      <c r="A104" s="3" t="s">
        <v>101</v>
      </c>
      <c r="B104" s="3" t="s">
        <v>9</v>
      </c>
      <c r="C104" s="4">
        <v>2</v>
      </c>
      <c r="D104" s="4">
        <v>74</v>
      </c>
      <c r="E104" s="4">
        <v>72300843663205</v>
      </c>
      <c r="F104" s="4">
        <v>27128058120</v>
      </c>
      <c r="G104" s="9" t="s">
        <v>104</v>
      </c>
      <c r="H104" s="10">
        <v>1</v>
      </c>
      <c r="I104" s="9" t="s">
        <v>12</v>
      </c>
      <c r="J104" s="11">
        <v>150000</v>
      </c>
      <c r="K104" s="11">
        <v>0</v>
      </c>
      <c r="L104" s="11">
        <v>0</v>
      </c>
      <c r="M104" s="11">
        <v>31500</v>
      </c>
      <c r="N104" s="11">
        <v>181500</v>
      </c>
      <c r="O104" s="8">
        <f>SUM(J104)</f>
        <v>150000</v>
      </c>
    </row>
    <row r="105" spans="1:15">
      <c r="A105" s="3" t="s">
        <v>38</v>
      </c>
      <c r="B105" s="3" t="s">
        <v>9</v>
      </c>
      <c r="C105" s="4">
        <v>16</v>
      </c>
      <c r="D105" s="4">
        <v>13040</v>
      </c>
      <c r="E105" s="4">
        <v>72272012838935</v>
      </c>
      <c r="F105" s="4">
        <v>30553547942</v>
      </c>
      <c r="G105" s="3" t="s">
        <v>41</v>
      </c>
      <c r="H105" s="4">
        <v>1</v>
      </c>
      <c r="I105" s="3" t="s">
        <v>12</v>
      </c>
      <c r="J105" s="7">
        <v>13514.07</v>
      </c>
      <c r="K105" s="7">
        <v>0</v>
      </c>
      <c r="L105" s="7">
        <v>0</v>
      </c>
      <c r="M105" s="7">
        <v>2837.95</v>
      </c>
      <c r="N105" s="7">
        <v>16352.02</v>
      </c>
    </row>
    <row r="106" spans="1:15">
      <c r="A106" s="3" t="s">
        <v>79</v>
      </c>
      <c r="B106" s="3" t="s">
        <v>9</v>
      </c>
      <c r="C106" s="4">
        <v>16</v>
      </c>
      <c r="D106" s="4">
        <v>13169</v>
      </c>
      <c r="E106" s="4">
        <v>72282860338491</v>
      </c>
      <c r="F106" s="4">
        <v>30553547942</v>
      </c>
      <c r="G106" s="3" t="s">
        <v>41</v>
      </c>
      <c r="H106" s="4">
        <v>1</v>
      </c>
      <c r="I106" s="3" t="s">
        <v>12</v>
      </c>
      <c r="J106" s="7">
        <v>4617.87</v>
      </c>
      <c r="K106" s="7">
        <v>0</v>
      </c>
      <c r="L106" s="7">
        <v>0</v>
      </c>
      <c r="M106" s="7">
        <v>969.75</v>
      </c>
      <c r="N106" s="7">
        <v>5587.62</v>
      </c>
    </row>
    <row r="107" spans="1:15">
      <c r="A107" s="3" t="s">
        <v>88</v>
      </c>
      <c r="B107" s="3" t="s">
        <v>9</v>
      </c>
      <c r="C107" s="4">
        <v>16</v>
      </c>
      <c r="D107" s="4">
        <v>13219</v>
      </c>
      <c r="E107" s="4">
        <v>72292197984938</v>
      </c>
      <c r="F107" s="4">
        <v>30553547942</v>
      </c>
      <c r="G107" s="3" t="s">
        <v>41</v>
      </c>
      <c r="H107" s="4">
        <v>1</v>
      </c>
      <c r="I107" s="3" t="s">
        <v>12</v>
      </c>
      <c r="J107" s="7">
        <v>22381.29</v>
      </c>
      <c r="K107" s="7">
        <v>0</v>
      </c>
      <c r="L107" s="7">
        <v>0</v>
      </c>
      <c r="M107" s="7">
        <v>4700.07</v>
      </c>
      <c r="N107" s="7">
        <v>27081.360000000001</v>
      </c>
    </row>
    <row r="108" spans="1:15">
      <c r="A108" s="3" t="s">
        <v>38</v>
      </c>
      <c r="B108" s="3" t="s">
        <v>9</v>
      </c>
      <c r="C108" s="4">
        <v>318</v>
      </c>
      <c r="D108" s="4">
        <v>731</v>
      </c>
      <c r="E108" s="4">
        <v>72272034876822</v>
      </c>
      <c r="F108" s="4">
        <v>30521197702</v>
      </c>
      <c r="G108" s="3" t="s">
        <v>40</v>
      </c>
      <c r="H108" s="4">
        <v>1</v>
      </c>
      <c r="I108" s="3" t="s">
        <v>12</v>
      </c>
      <c r="J108" s="7">
        <v>1.65</v>
      </c>
      <c r="K108" s="7">
        <v>0</v>
      </c>
      <c r="L108" s="7">
        <v>0</v>
      </c>
      <c r="M108" s="7">
        <v>0.35</v>
      </c>
      <c r="N108" s="7">
        <v>2</v>
      </c>
    </row>
    <row r="109" spans="1:15">
      <c r="A109" s="3" t="s">
        <v>54</v>
      </c>
      <c r="B109" s="3" t="s">
        <v>9</v>
      </c>
      <c r="C109" s="4">
        <v>2</v>
      </c>
      <c r="D109" s="4">
        <v>2413</v>
      </c>
      <c r="E109" s="4">
        <v>72271252911507</v>
      </c>
      <c r="F109" s="4">
        <v>30716250071</v>
      </c>
      <c r="G109" s="9" t="s">
        <v>55</v>
      </c>
      <c r="H109" s="10">
        <v>1</v>
      </c>
      <c r="I109" s="9" t="s">
        <v>12</v>
      </c>
      <c r="J109" s="11">
        <v>17735.54</v>
      </c>
      <c r="K109" s="11">
        <v>0</v>
      </c>
      <c r="L109" s="11">
        <v>0</v>
      </c>
      <c r="M109" s="11">
        <v>3724.46</v>
      </c>
      <c r="N109" s="11">
        <v>21460</v>
      </c>
      <c r="O109" s="8">
        <f>SUM(J109)</f>
        <v>17735.54</v>
      </c>
    </row>
    <row r="110" spans="1:15">
      <c r="A110" s="3" t="s">
        <v>70</v>
      </c>
      <c r="B110" s="3" t="s">
        <v>9</v>
      </c>
      <c r="C110" s="4">
        <v>6</v>
      </c>
      <c r="D110" s="4">
        <v>12483175</v>
      </c>
      <c r="E110" s="4">
        <v>72277397547629</v>
      </c>
      <c r="F110" s="4">
        <v>30620177497</v>
      </c>
      <c r="G110" s="3" t="s">
        <v>71</v>
      </c>
      <c r="H110" s="4">
        <v>1</v>
      </c>
      <c r="I110" s="3" t="s">
        <v>12</v>
      </c>
      <c r="J110" s="7">
        <v>1990</v>
      </c>
      <c r="K110" s="7">
        <v>0</v>
      </c>
      <c r="L110" s="7">
        <v>0</v>
      </c>
      <c r="M110" s="7">
        <v>417.9</v>
      </c>
      <c r="N110" s="7">
        <v>2587</v>
      </c>
    </row>
    <row r="111" spans="1:15">
      <c r="A111" s="3" t="s">
        <v>70</v>
      </c>
      <c r="B111" s="3" t="s">
        <v>9</v>
      </c>
      <c r="C111" s="4">
        <v>6</v>
      </c>
      <c r="D111" s="4">
        <v>12478815</v>
      </c>
      <c r="E111" s="4">
        <v>72277397391441</v>
      </c>
      <c r="F111" s="4">
        <v>30620177497</v>
      </c>
      <c r="G111" s="3" t="s">
        <v>71</v>
      </c>
      <c r="H111" s="4">
        <v>1</v>
      </c>
      <c r="I111" s="3" t="s">
        <v>12</v>
      </c>
      <c r="J111" s="7">
        <v>1990</v>
      </c>
      <c r="K111" s="7">
        <v>0</v>
      </c>
      <c r="L111" s="7">
        <v>0</v>
      </c>
      <c r="M111" s="7">
        <v>417.9</v>
      </c>
      <c r="N111" s="7">
        <v>2587</v>
      </c>
    </row>
    <row r="112" spans="1:15">
      <c r="A112" s="3" t="s">
        <v>70</v>
      </c>
      <c r="B112" s="3" t="s">
        <v>9</v>
      </c>
      <c r="C112" s="4">
        <v>6</v>
      </c>
      <c r="D112" s="4">
        <v>12478830</v>
      </c>
      <c r="E112" s="4">
        <v>72277397391878</v>
      </c>
      <c r="F112" s="4">
        <v>30620177497</v>
      </c>
      <c r="G112" s="3" t="s">
        <v>71</v>
      </c>
      <c r="H112" s="4">
        <v>1</v>
      </c>
      <c r="I112" s="3" t="s">
        <v>12</v>
      </c>
      <c r="J112" s="7">
        <v>1990</v>
      </c>
      <c r="K112" s="7">
        <v>0</v>
      </c>
      <c r="L112" s="7">
        <v>0</v>
      </c>
      <c r="M112" s="7">
        <v>417.9</v>
      </c>
      <c r="N112" s="7">
        <v>2587</v>
      </c>
    </row>
    <row r="113" spans="1:15">
      <c r="A113" s="3" t="s">
        <v>70</v>
      </c>
      <c r="B113" s="3" t="s">
        <v>9</v>
      </c>
      <c r="C113" s="4">
        <v>6</v>
      </c>
      <c r="D113" s="4">
        <v>12516512</v>
      </c>
      <c r="E113" s="4">
        <v>72287399966868</v>
      </c>
      <c r="F113" s="4">
        <v>30620177497</v>
      </c>
      <c r="G113" s="3" t="s">
        <v>71</v>
      </c>
      <c r="H113" s="4">
        <v>1</v>
      </c>
      <c r="I113" s="3" t="s">
        <v>12</v>
      </c>
      <c r="J113" s="7">
        <v>5970</v>
      </c>
      <c r="K113" s="7">
        <v>0</v>
      </c>
      <c r="L113" s="7">
        <v>0</v>
      </c>
      <c r="M113" s="7">
        <v>1253.7</v>
      </c>
      <c r="N113" s="7">
        <v>7761</v>
      </c>
    </row>
    <row r="114" spans="1:15">
      <c r="A114" s="3" t="s">
        <v>63</v>
      </c>
      <c r="B114" s="3" t="s">
        <v>9</v>
      </c>
      <c r="C114" s="4">
        <v>5</v>
      </c>
      <c r="D114" s="4">
        <v>19558</v>
      </c>
      <c r="E114" s="4">
        <v>72272327760342</v>
      </c>
      <c r="F114" s="4">
        <v>30708041722</v>
      </c>
      <c r="G114" s="3" t="s">
        <v>64</v>
      </c>
      <c r="H114" s="4">
        <v>133</v>
      </c>
      <c r="I114" s="3" t="s">
        <v>58</v>
      </c>
      <c r="J114" s="7">
        <v>580</v>
      </c>
      <c r="K114" s="7">
        <v>0</v>
      </c>
      <c r="L114" s="7">
        <v>0</v>
      </c>
      <c r="M114" s="7">
        <v>121.8</v>
      </c>
      <c r="N114" s="7">
        <v>701.8</v>
      </c>
    </row>
    <row r="115" spans="1:15">
      <c r="A115" s="3" t="s">
        <v>73</v>
      </c>
      <c r="B115" s="3" t="s">
        <v>50</v>
      </c>
      <c r="C115" s="4">
        <v>3</v>
      </c>
      <c r="D115" s="4">
        <v>335</v>
      </c>
      <c r="E115" s="4">
        <v>72284529352237</v>
      </c>
      <c r="F115" s="4">
        <v>20210551574</v>
      </c>
      <c r="G115" s="3" t="s">
        <v>74</v>
      </c>
      <c r="H115" s="4">
        <v>1</v>
      </c>
      <c r="I115" s="3" t="s">
        <v>12</v>
      </c>
      <c r="J115" s="7"/>
      <c r="K115" s="7"/>
      <c r="L115" s="7"/>
      <c r="M115" s="7"/>
      <c r="N115" s="7">
        <v>30000</v>
      </c>
    </row>
    <row r="116" spans="1:15">
      <c r="A116" s="3" t="s">
        <v>54</v>
      </c>
      <c r="B116" s="3" t="s">
        <v>9</v>
      </c>
      <c r="C116" s="4">
        <v>2</v>
      </c>
      <c r="D116" s="4">
        <v>4533</v>
      </c>
      <c r="E116" s="4">
        <v>72279103720438</v>
      </c>
      <c r="F116" s="4">
        <v>23180288899</v>
      </c>
      <c r="G116" s="3" t="s">
        <v>61</v>
      </c>
      <c r="H116" s="4">
        <v>1</v>
      </c>
      <c r="I116" s="3" t="s">
        <v>12</v>
      </c>
      <c r="J116" s="7">
        <v>80500</v>
      </c>
      <c r="K116" s="7">
        <v>0</v>
      </c>
      <c r="L116" s="7">
        <v>0</v>
      </c>
      <c r="M116" s="7">
        <v>16905</v>
      </c>
      <c r="N116" s="7">
        <v>97405</v>
      </c>
    </row>
    <row r="117" spans="1:15">
      <c r="A117" s="3" t="s">
        <v>111</v>
      </c>
      <c r="B117" s="3" t="s">
        <v>9</v>
      </c>
      <c r="C117" s="4">
        <v>3</v>
      </c>
      <c r="D117" s="4">
        <v>9485</v>
      </c>
      <c r="E117" s="4">
        <v>72304011769890</v>
      </c>
      <c r="F117" s="4">
        <v>30658667374</v>
      </c>
      <c r="G117" s="9" t="s">
        <v>113</v>
      </c>
      <c r="H117" s="10">
        <v>1</v>
      </c>
      <c r="I117" s="9" t="s">
        <v>12</v>
      </c>
      <c r="J117" s="11">
        <v>32596.9</v>
      </c>
      <c r="K117" s="11">
        <v>0</v>
      </c>
      <c r="L117" s="11">
        <v>0</v>
      </c>
      <c r="M117" s="11">
        <v>6845.35</v>
      </c>
      <c r="N117" s="11">
        <v>39442.25</v>
      </c>
      <c r="O117" s="8">
        <f>SUM(J117:J118)</f>
        <v>482022.03</v>
      </c>
    </row>
    <row r="118" spans="1:15">
      <c r="A118" s="3" t="s">
        <v>111</v>
      </c>
      <c r="B118" s="3" t="s">
        <v>9</v>
      </c>
      <c r="C118" s="4">
        <v>3</v>
      </c>
      <c r="D118" s="4">
        <v>9484</v>
      </c>
      <c r="E118" s="4">
        <v>72304011204478</v>
      </c>
      <c r="F118" s="4">
        <v>30658667374</v>
      </c>
      <c r="G118" s="9" t="s">
        <v>113</v>
      </c>
      <c r="H118" s="10">
        <v>1</v>
      </c>
      <c r="I118" s="9" t="s">
        <v>12</v>
      </c>
      <c r="J118" s="11">
        <v>449425.13</v>
      </c>
      <c r="K118" s="11">
        <v>0</v>
      </c>
      <c r="L118" s="11">
        <v>0</v>
      </c>
      <c r="M118" s="11">
        <v>94379.28</v>
      </c>
      <c r="N118" s="11">
        <v>543804.41</v>
      </c>
    </row>
    <row r="119" spans="1:15">
      <c r="A119" s="3" t="s">
        <v>88</v>
      </c>
      <c r="B119" s="3" t="s">
        <v>9</v>
      </c>
      <c r="C119" s="4">
        <v>1676</v>
      </c>
      <c r="D119" s="4">
        <v>4906</v>
      </c>
      <c r="E119" s="4">
        <v>72299228280177</v>
      </c>
      <c r="F119" s="4">
        <v>30589621499</v>
      </c>
      <c r="G119" s="3" t="s">
        <v>90</v>
      </c>
      <c r="H119" s="4">
        <v>1</v>
      </c>
      <c r="I119" s="3" t="s">
        <v>12</v>
      </c>
      <c r="J119" s="7">
        <v>6515.91</v>
      </c>
      <c r="K119" s="7">
        <v>0</v>
      </c>
      <c r="L119" s="7">
        <v>0</v>
      </c>
      <c r="M119" s="7">
        <v>1313.04</v>
      </c>
      <c r="N119" s="7">
        <v>8407.48</v>
      </c>
    </row>
    <row r="120" spans="1:15">
      <c r="A120" s="3" t="s">
        <v>8</v>
      </c>
      <c r="B120" s="3" t="s">
        <v>9</v>
      </c>
      <c r="C120" s="4">
        <v>2</v>
      </c>
      <c r="D120" s="4">
        <v>3095</v>
      </c>
      <c r="E120" s="4">
        <v>72271926231750</v>
      </c>
      <c r="F120" s="4">
        <v>30629863571</v>
      </c>
      <c r="G120" s="9" t="s">
        <v>11</v>
      </c>
      <c r="H120" s="10">
        <v>1</v>
      </c>
      <c r="I120" s="9" t="s">
        <v>12</v>
      </c>
      <c r="J120" s="11">
        <v>151845.68</v>
      </c>
      <c r="K120" s="11">
        <v>0</v>
      </c>
      <c r="L120" s="11">
        <v>0</v>
      </c>
      <c r="M120" s="11">
        <v>31887.59</v>
      </c>
      <c r="N120" s="11">
        <v>183733.27</v>
      </c>
    </row>
    <row r="121" spans="1:15">
      <c r="A121" s="3" t="s">
        <v>38</v>
      </c>
      <c r="B121" s="3" t="s">
        <v>9</v>
      </c>
      <c r="C121" s="4">
        <v>2</v>
      </c>
      <c r="D121" s="4">
        <v>3098</v>
      </c>
      <c r="E121" s="4">
        <v>72271317833146</v>
      </c>
      <c r="F121" s="4">
        <v>30629863571</v>
      </c>
      <c r="G121" s="9" t="s">
        <v>11</v>
      </c>
      <c r="H121" s="10">
        <v>1</v>
      </c>
      <c r="I121" s="9" t="s">
        <v>12</v>
      </c>
      <c r="J121" s="11">
        <v>279710.15000000002</v>
      </c>
      <c r="K121" s="11">
        <v>0</v>
      </c>
      <c r="L121" s="11">
        <v>0</v>
      </c>
      <c r="M121" s="11">
        <v>58739.13</v>
      </c>
      <c r="N121" s="11">
        <v>338449.28</v>
      </c>
    </row>
    <row r="122" spans="1:15">
      <c r="A122" s="3" t="s">
        <v>79</v>
      </c>
      <c r="B122" s="3" t="s">
        <v>9</v>
      </c>
      <c r="C122" s="4">
        <v>2</v>
      </c>
      <c r="D122" s="4">
        <v>3102</v>
      </c>
      <c r="E122" s="4">
        <v>72281833145065</v>
      </c>
      <c r="F122" s="4">
        <v>30629863571</v>
      </c>
      <c r="G122" s="9" t="s">
        <v>11</v>
      </c>
      <c r="H122" s="10">
        <v>1</v>
      </c>
      <c r="I122" s="9" t="s">
        <v>12</v>
      </c>
      <c r="J122" s="11">
        <v>74514.53</v>
      </c>
      <c r="K122" s="11">
        <v>0</v>
      </c>
      <c r="L122" s="11">
        <v>0</v>
      </c>
      <c r="M122" s="11">
        <v>15648.05</v>
      </c>
      <c r="N122" s="11">
        <v>90162.58</v>
      </c>
    </row>
    <row r="123" spans="1:15">
      <c r="A123" s="3" t="s">
        <v>88</v>
      </c>
      <c r="B123" s="3" t="s">
        <v>9</v>
      </c>
      <c r="C123" s="4">
        <v>2</v>
      </c>
      <c r="D123" s="4">
        <v>3105</v>
      </c>
      <c r="E123" s="4">
        <v>72291498172717</v>
      </c>
      <c r="F123" s="4">
        <v>30629863571</v>
      </c>
      <c r="G123" s="9" t="s">
        <v>11</v>
      </c>
      <c r="H123" s="10">
        <v>1</v>
      </c>
      <c r="I123" s="9" t="s">
        <v>12</v>
      </c>
      <c r="J123" s="11">
        <v>302963.8</v>
      </c>
      <c r="K123" s="11">
        <v>0</v>
      </c>
      <c r="L123" s="11">
        <v>0</v>
      </c>
      <c r="M123" s="11">
        <v>63622.400000000001</v>
      </c>
      <c r="N123" s="11">
        <v>366586.2</v>
      </c>
      <c r="O123" s="8">
        <f>SUM(J120:J126)</f>
        <v>1483713.3899999997</v>
      </c>
    </row>
    <row r="124" spans="1:15">
      <c r="A124" s="3" t="s">
        <v>96</v>
      </c>
      <c r="B124" s="3" t="s">
        <v>9</v>
      </c>
      <c r="C124" s="4">
        <v>2</v>
      </c>
      <c r="D124" s="4">
        <v>3107</v>
      </c>
      <c r="E124" s="4">
        <v>72301716437410</v>
      </c>
      <c r="F124" s="4">
        <v>30629863571</v>
      </c>
      <c r="G124" s="9" t="s">
        <v>11</v>
      </c>
      <c r="H124" s="10">
        <v>1</v>
      </c>
      <c r="I124" s="9" t="s">
        <v>12</v>
      </c>
      <c r="J124" s="11">
        <v>163902.34</v>
      </c>
      <c r="K124" s="11">
        <v>0</v>
      </c>
      <c r="L124" s="11">
        <v>0</v>
      </c>
      <c r="M124" s="11">
        <v>34419.49</v>
      </c>
      <c r="N124" s="11">
        <v>198321.83</v>
      </c>
    </row>
    <row r="125" spans="1:15">
      <c r="A125" s="3" t="s">
        <v>100</v>
      </c>
      <c r="B125" s="3" t="s">
        <v>9</v>
      </c>
      <c r="C125" s="4">
        <v>2</v>
      </c>
      <c r="D125" s="4">
        <v>3110</v>
      </c>
      <c r="E125" s="4">
        <v>72301896237067</v>
      </c>
      <c r="F125" s="4">
        <v>30629863571</v>
      </c>
      <c r="G125" s="9" t="s">
        <v>11</v>
      </c>
      <c r="H125" s="10">
        <v>1</v>
      </c>
      <c r="I125" s="9" t="s">
        <v>12</v>
      </c>
      <c r="J125" s="11">
        <v>137874.23999999999</v>
      </c>
      <c r="K125" s="11">
        <v>0</v>
      </c>
      <c r="L125" s="11">
        <v>0</v>
      </c>
      <c r="M125" s="11">
        <v>28953.59</v>
      </c>
      <c r="N125" s="11">
        <v>166827.82999999999</v>
      </c>
    </row>
    <row r="126" spans="1:15">
      <c r="A126" s="3" t="s">
        <v>118</v>
      </c>
      <c r="B126" s="3" t="s">
        <v>9</v>
      </c>
      <c r="C126" s="4">
        <v>2</v>
      </c>
      <c r="D126" s="4">
        <v>3113</v>
      </c>
      <c r="E126" s="4">
        <v>72311467527385</v>
      </c>
      <c r="F126" s="4">
        <v>30629863571</v>
      </c>
      <c r="G126" s="9" t="s">
        <v>11</v>
      </c>
      <c r="H126" s="10">
        <v>1</v>
      </c>
      <c r="I126" s="9" t="s">
        <v>12</v>
      </c>
      <c r="J126" s="11">
        <v>372902.65</v>
      </c>
      <c r="K126" s="11">
        <v>0</v>
      </c>
      <c r="L126" s="11">
        <v>0</v>
      </c>
      <c r="M126" s="11">
        <v>78309.55</v>
      </c>
      <c r="N126" s="11">
        <v>451212.2</v>
      </c>
    </row>
    <row r="127" spans="1:15">
      <c r="A127" s="3" t="s">
        <v>38</v>
      </c>
      <c r="B127" s="3" t="s">
        <v>9</v>
      </c>
      <c r="C127" s="4">
        <v>63</v>
      </c>
      <c r="D127" s="4">
        <v>1997171</v>
      </c>
      <c r="E127" s="4">
        <v>72287528112056</v>
      </c>
      <c r="F127" s="4">
        <v>30640897267</v>
      </c>
      <c r="G127" s="3" t="s">
        <v>46</v>
      </c>
      <c r="H127" s="4">
        <v>1</v>
      </c>
      <c r="I127" s="3" t="s">
        <v>12</v>
      </c>
      <c r="J127" s="7">
        <v>5596.53</v>
      </c>
      <c r="K127" s="7">
        <v>0</v>
      </c>
      <c r="L127" s="7">
        <v>0</v>
      </c>
      <c r="M127" s="7">
        <v>1175.27</v>
      </c>
      <c r="N127" s="7">
        <v>7275.49</v>
      </c>
    </row>
    <row r="128" spans="1:15">
      <c r="A128" s="3" t="s">
        <v>38</v>
      </c>
      <c r="B128" s="3" t="s">
        <v>9</v>
      </c>
      <c r="C128" s="4">
        <v>63</v>
      </c>
      <c r="D128" s="4">
        <v>1996549</v>
      </c>
      <c r="E128" s="4">
        <v>72287528082084</v>
      </c>
      <c r="F128" s="4">
        <v>30640897267</v>
      </c>
      <c r="G128" s="3" t="s">
        <v>46</v>
      </c>
      <c r="H128" s="4">
        <v>1</v>
      </c>
      <c r="I128" s="3" t="s">
        <v>12</v>
      </c>
      <c r="J128" s="7">
        <v>5596.53</v>
      </c>
      <c r="K128" s="7">
        <v>0</v>
      </c>
      <c r="L128" s="7">
        <v>0</v>
      </c>
      <c r="M128" s="7">
        <v>1175.27</v>
      </c>
      <c r="N128" s="7">
        <v>7275.49</v>
      </c>
    </row>
    <row r="129" spans="1:16">
      <c r="A129" s="3" t="s">
        <v>38</v>
      </c>
      <c r="B129" s="3" t="s">
        <v>9</v>
      </c>
      <c r="C129" s="4">
        <v>63</v>
      </c>
      <c r="D129" s="4">
        <v>1996711</v>
      </c>
      <c r="E129" s="4">
        <v>72287528093156</v>
      </c>
      <c r="F129" s="4">
        <v>30640897267</v>
      </c>
      <c r="G129" s="3" t="s">
        <v>46</v>
      </c>
      <c r="H129" s="4">
        <v>1</v>
      </c>
      <c r="I129" s="3" t="s">
        <v>12</v>
      </c>
      <c r="J129" s="7">
        <v>5280</v>
      </c>
      <c r="K129" s="7">
        <v>0</v>
      </c>
      <c r="L129" s="7">
        <v>0</v>
      </c>
      <c r="M129" s="7">
        <v>1108.8</v>
      </c>
      <c r="N129" s="7">
        <v>6864</v>
      </c>
    </row>
    <row r="130" spans="1:16">
      <c r="A130" s="3" t="s">
        <v>70</v>
      </c>
      <c r="B130" s="3" t="s">
        <v>9</v>
      </c>
      <c r="C130" s="4">
        <v>6364</v>
      </c>
      <c r="D130" s="4">
        <v>6485712</v>
      </c>
      <c r="E130" s="4">
        <v>72288730939008</v>
      </c>
      <c r="F130" s="4">
        <v>30639453738</v>
      </c>
      <c r="G130" s="3" t="s">
        <v>72</v>
      </c>
      <c r="H130" s="4">
        <v>1</v>
      </c>
      <c r="I130" s="3" t="s">
        <v>12</v>
      </c>
      <c r="J130" s="7">
        <v>42857.62</v>
      </c>
      <c r="K130" s="7">
        <v>2.54</v>
      </c>
      <c r="L130" s="7">
        <v>0</v>
      </c>
      <c r="M130" s="7">
        <v>9105.1</v>
      </c>
      <c r="N130" s="7">
        <v>55729.84</v>
      </c>
    </row>
    <row r="131" spans="1:16">
      <c r="A131" s="3" t="s">
        <v>84</v>
      </c>
      <c r="B131" s="3" t="s">
        <v>9</v>
      </c>
      <c r="C131" s="4">
        <v>4264</v>
      </c>
      <c r="D131" s="4">
        <v>25434</v>
      </c>
      <c r="E131" s="4">
        <v>72298030047789</v>
      </c>
      <c r="F131" s="4">
        <v>30639453738</v>
      </c>
      <c r="G131" s="3" t="s">
        <v>72</v>
      </c>
      <c r="H131" s="4">
        <v>1</v>
      </c>
      <c r="I131" s="3" t="s">
        <v>12</v>
      </c>
      <c r="J131" s="7">
        <v>2180</v>
      </c>
      <c r="K131" s="7">
        <v>0</v>
      </c>
      <c r="L131" s="7">
        <v>0</v>
      </c>
      <c r="M131" s="7">
        <v>457.8</v>
      </c>
      <c r="N131" s="7">
        <v>2703.2</v>
      </c>
    </row>
    <row r="132" spans="1:16">
      <c r="A132" s="3" t="s">
        <v>84</v>
      </c>
      <c r="B132" s="3" t="s">
        <v>9</v>
      </c>
      <c r="C132" s="4">
        <v>4264</v>
      </c>
      <c r="D132" s="4">
        <v>17174</v>
      </c>
      <c r="E132" s="4">
        <v>72298029474452</v>
      </c>
      <c r="F132" s="4">
        <v>30639453738</v>
      </c>
      <c r="G132" s="3" t="s">
        <v>72</v>
      </c>
      <c r="H132" s="4">
        <v>1</v>
      </c>
      <c r="I132" s="3" t="s">
        <v>12</v>
      </c>
      <c r="J132" s="7">
        <v>4080</v>
      </c>
      <c r="K132" s="7">
        <v>0</v>
      </c>
      <c r="L132" s="7">
        <v>0</v>
      </c>
      <c r="M132" s="7">
        <v>856.8</v>
      </c>
      <c r="N132" s="7">
        <v>5304</v>
      </c>
    </row>
    <row r="133" spans="1:16">
      <c r="A133" s="3" t="s">
        <v>84</v>
      </c>
      <c r="B133" s="3" t="s">
        <v>9</v>
      </c>
      <c r="C133" s="4">
        <v>4264</v>
      </c>
      <c r="D133" s="4">
        <v>57077</v>
      </c>
      <c r="E133" s="4">
        <v>72298032170049</v>
      </c>
      <c r="F133" s="4">
        <v>30639453738</v>
      </c>
      <c r="G133" s="3" t="s">
        <v>72</v>
      </c>
      <c r="H133" s="4">
        <v>1</v>
      </c>
      <c r="I133" s="3" t="s">
        <v>12</v>
      </c>
      <c r="J133" s="7">
        <v>5350</v>
      </c>
      <c r="K133" s="7">
        <v>0</v>
      </c>
      <c r="L133" s="7">
        <v>0</v>
      </c>
      <c r="M133" s="7">
        <v>1123.5</v>
      </c>
      <c r="N133" s="7">
        <v>6955</v>
      </c>
    </row>
    <row r="134" spans="1:16">
      <c r="A134" s="3" t="s">
        <v>101</v>
      </c>
      <c r="B134" s="3" t="s">
        <v>9</v>
      </c>
      <c r="C134" s="4">
        <v>5695</v>
      </c>
      <c r="D134" s="4">
        <v>1550</v>
      </c>
      <c r="E134" s="4">
        <v>72308851884009</v>
      </c>
      <c r="F134" s="4">
        <v>30639453738</v>
      </c>
      <c r="G134" s="3" t="s">
        <v>72</v>
      </c>
      <c r="H134" s="4">
        <v>1</v>
      </c>
      <c r="I134" s="3" t="s">
        <v>12</v>
      </c>
      <c r="J134" s="7">
        <v>0.01</v>
      </c>
      <c r="K134" s="7">
        <v>0</v>
      </c>
      <c r="L134" s="7">
        <v>0</v>
      </c>
      <c r="M134" s="7">
        <v>0.01</v>
      </c>
      <c r="N134" s="7">
        <v>0.02</v>
      </c>
    </row>
    <row r="135" spans="1:16">
      <c r="A135" s="3" t="s">
        <v>27</v>
      </c>
      <c r="B135" s="3" t="s">
        <v>9</v>
      </c>
      <c r="C135" s="4">
        <v>943</v>
      </c>
      <c r="D135" s="4">
        <v>1098706</v>
      </c>
      <c r="E135" s="4">
        <v>72275079826965</v>
      </c>
      <c r="F135" s="4">
        <v>30639453975</v>
      </c>
      <c r="G135" s="3" t="s">
        <v>29</v>
      </c>
      <c r="H135" s="4">
        <v>1</v>
      </c>
      <c r="I135" s="3" t="s">
        <v>12</v>
      </c>
      <c r="J135" s="7">
        <v>10222.280000000001</v>
      </c>
      <c r="K135" s="7">
        <v>0</v>
      </c>
      <c r="L135" s="7">
        <v>0</v>
      </c>
      <c r="M135" s="7">
        <v>2760.02</v>
      </c>
      <c r="N135" s="7">
        <v>13902.31</v>
      </c>
    </row>
    <row r="136" spans="1:16">
      <c r="A136" s="3" t="s">
        <v>69</v>
      </c>
      <c r="B136" s="3" t="s">
        <v>9</v>
      </c>
      <c r="C136" s="4">
        <v>948</v>
      </c>
      <c r="D136" s="4">
        <v>698925</v>
      </c>
      <c r="E136" s="4">
        <v>72285501152636</v>
      </c>
      <c r="F136" s="4">
        <v>30639453975</v>
      </c>
      <c r="G136" s="3" t="s">
        <v>29</v>
      </c>
      <c r="H136" s="4">
        <v>1</v>
      </c>
      <c r="I136" s="3" t="s">
        <v>12</v>
      </c>
      <c r="J136" s="7">
        <v>3181.41</v>
      </c>
      <c r="K136" s="7">
        <v>0</v>
      </c>
      <c r="L136" s="7">
        <v>0</v>
      </c>
      <c r="M136" s="7">
        <v>858.98</v>
      </c>
      <c r="N136" s="7">
        <v>4326.71</v>
      </c>
    </row>
    <row r="137" spans="1:16">
      <c r="A137" s="3" t="s">
        <v>19</v>
      </c>
      <c r="B137" s="3" t="s">
        <v>9</v>
      </c>
      <c r="C137" s="4">
        <v>5</v>
      </c>
      <c r="D137" s="4">
        <v>9062</v>
      </c>
      <c r="E137" s="4">
        <v>72279783350661</v>
      </c>
      <c r="F137" s="4">
        <v>20936626549</v>
      </c>
      <c r="G137" s="3" t="s">
        <v>26</v>
      </c>
      <c r="H137" s="4">
        <v>1</v>
      </c>
      <c r="I137" s="3" t="s">
        <v>12</v>
      </c>
      <c r="J137" s="7">
        <v>1730.55</v>
      </c>
      <c r="K137" s="7">
        <v>0</v>
      </c>
      <c r="L137" s="7">
        <v>0</v>
      </c>
      <c r="M137" s="7">
        <v>363.42</v>
      </c>
      <c r="N137" s="7">
        <v>2093.9699999999998</v>
      </c>
    </row>
    <row r="138" spans="1:16">
      <c r="A138" s="3" t="s">
        <v>91</v>
      </c>
      <c r="B138" s="3" t="s">
        <v>9</v>
      </c>
      <c r="C138" s="4">
        <v>2</v>
      </c>
      <c r="D138" s="4">
        <v>127</v>
      </c>
      <c r="E138" s="4">
        <v>72291425946278</v>
      </c>
      <c r="F138" s="4">
        <v>30716609061</v>
      </c>
      <c r="G138" s="3" t="s">
        <v>92</v>
      </c>
      <c r="H138" s="4">
        <v>1</v>
      </c>
      <c r="I138" s="3" t="s">
        <v>12</v>
      </c>
      <c r="J138" s="7">
        <v>8000</v>
      </c>
      <c r="K138" s="7">
        <v>0</v>
      </c>
      <c r="L138" s="7">
        <v>0</v>
      </c>
      <c r="M138" s="7">
        <v>1680</v>
      </c>
      <c r="N138" s="7">
        <v>9680</v>
      </c>
    </row>
    <row r="139" spans="1:16">
      <c r="A139" s="3" t="s">
        <v>38</v>
      </c>
      <c r="B139" s="3" t="s">
        <v>9</v>
      </c>
      <c r="C139" s="4">
        <v>2</v>
      </c>
      <c r="D139" s="4">
        <v>1877</v>
      </c>
      <c r="E139" s="4">
        <v>72272066308833</v>
      </c>
      <c r="F139" s="4">
        <v>30715811622</v>
      </c>
      <c r="G139" s="9" t="s">
        <v>39</v>
      </c>
      <c r="H139" s="10">
        <v>1</v>
      </c>
      <c r="I139" s="9" t="s">
        <v>12</v>
      </c>
      <c r="J139" s="11">
        <v>134628.1</v>
      </c>
      <c r="K139" s="11">
        <v>0</v>
      </c>
      <c r="L139" s="11">
        <v>0</v>
      </c>
      <c r="M139" s="11">
        <v>28271.9</v>
      </c>
      <c r="N139" s="11">
        <v>162900</v>
      </c>
      <c r="O139" s="8">
        <f>SUM(J139:J140)</f>
        <v>138760.33000000002</v>
      </c>
    </row>
    <row r="140" spans="1:16">
      <c r="A140" s="3" t="s">
        <v>48</v>
      </c>
      <c r="B140" s="3" t="s">
        <v>9</v>
      </c>
      <c r="C140" s="4">
        <v>2</v>
      </c>
      <c r="D140" s="4">
        <v>1879</v>
      </c>
      <c r="E140" s="4">
        <v>72272155479741</v>
      </c>
      <c r="F140" s="4">
        <v>30715811622</v>
      </c>
      <c r="G140" s="9" t="s">
        <v>39</v>
      </c>
      <c r="H140" s="10">
        <v>1</v>
      </c>
      <c r="I140" s="9" t="s">
        <v>12</v>
      </c>
      <c r="J140" s="11">
        <v>4132.2299999999996</v>
      </c>
      <c r="K140" s="11">
        <v>0</v>
      </c>
      <c r="L140" s="11">
        <v>0</v>
      </c>
      <c r="M140" s="11">
        <v>867.77</v>
      </c>
      <c r="N140" s="11">
        <v>5000</v>
      </c>
    </row>
    <row r="141" spans="1:16">
      <c r="A141" s="3" t="s">
        <v>38</v>
      </c>
      <c r="B141" s="3" t="s">
        <v>43</v>
      </c>
      <c r="C141" s="4">
        <v>6</v>
      </c>
      <c r="D141" s="4">
        <v>12425</v>
      </c>
      <c r="E141" s="4">
        <v>72274051093385</v>
      </c>
      <c r="F141" s="4">
        <v>30701023494</v>
      </c>
      <c r="G141" s="3" t="s">
        <v>44</v>
      </c>
      <c r="H141" s="4">
        <v>1</v>
      </c>
      <c r="I141" s="3" t="s">
        <v>12</v>
      </c>
      <c r="J141" s="7">
        <v>3919.03</v>
      </c>
      <c r="K141" s="7">
        <v>0</v>
      </c>
      <c r="L141" s="7">
        <v>0</v>
      </c>
      <c r="M141" s="7">
        <v>823</v>
      </c>
      <c r="N141" s="7">
        <v>4977.17</v>
      </c>
    </row>
    <row r="142" spans="1:16">
      <c r="A142" s="3" t="s">
        <v>91</v>
      </c>
      <c r="B142" s="3" t="s">
        <v>43</v>
      </c>
      <c r="C142" s="4">
        <v>6</v>
      </c>
      <c r="D142" s="4">
        <v>12489</v>
      </c>
      <c r="E142" s="4">
        <v>72294420950368</v>
      </c>
      <c r="F142" s="4">
        <v>30701023494</v>
      </c>
      <c r="G142" s="3" t="s">
        <v>44</v>
      </c>
      <c r="H142" s="4">
        <v>1</v>
      </c>
      <c r="I142" s="3" t="s">
        <v>12</v>
      </c>
      <c r="J142" s="7">
        <v>3543.17</v>
      </c>
      <c r="K142" s="7">
        <v>0</v>
      </c>
      <c r="L142" s="7">
        <v>0</v>
      </c>
      <c r="M142" s="7">
        <v>744.07</v>
      </c>
      <c r="N142" s="7">
        <v>4499.83</v>
      </c>
    </row>
    <row r="143" spans="1:16">
      <c r="J143" s="8">
        <f>SUM(J3:J142)</f>
        <v>9670363.2599999979</v>
      </c>
      <c r="K143" s="8">
        <f t="shared" ref="K143:O143" si="0">SUM(K3:K142)</f>
        <v>2.57</v>
      </c>
      <c r="L143" s="8">
        <f t="shared" si="0"/>
        <v>96061.13</v>
      </c>
      <c r="M143" s="8">
        <f t="shared" si="0"/>
        <v>1932622.4100000001</v>
      </c>
      <c r="O143" s="8">
        <f t="shared" si="0"/>
        <v>8564897.6399999987</v>
      </c>
      <c r="P143" s="8">
        <f>J143-O143</f>
        <v>1105465.6199999992</v>
      </c>
    </row>
    <row r="144" spans="1:16">
      <c r="N144" s="8">
        <f>SUM(N3:N142)</f>
        <v>11930022.16</v>
      </c>
    </row>
  </sheetData>
  <sortState ref="A3:N142">
    <sortCondition ref="G3:G142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2022-09-05T20:34:43Z</dcterms:created>
  <dcterms:modified xsi:type="dcterms:W3CDTF">2022-09-06T01:12:37Z</dcterms:modified>
</cp:coreProperties>
</file>