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P125" i="1" l="1"/>
  <c r="O122" i="1"/>
  <c r="O106" i="1"/>
  <c r="O98" i="1"/>
  <c r="O95" i="1"/>
  <c r="O87" i="1"/>
  <c r="O84" i="1"/>
  <c r="O78" i="1"/>
  <c r="O70" i="1"/>
  <c r="O66" i="1"/>
  <c r="O61" i="1"/>
  <c r="O55" i="1"/>
  <c r="O41" i="1"/>
  <c r="O22" i="1"/>
  <c r="O18" i="1"/>
  <c r="O14" i="1"/>
  <c r="N126" i="1"/>
  <c r="M125" i="1"/>
  <c r="L125" i="1"/>
  <c r="K125" i="1"/>
  <c r="J125" i="1"/>
  <c r="O125" i="1" l="1"/>
</calcChain>
</file>

<file path=xl/sharedStrings.xml><?xml version="1.0" encoding="utf-8"?>
<sst xmlns="http://schemas.openxmlformats.org/spreadsheetml/2006/main" count="503" uniqueCount="118">
  <si>
    <t>Mis Comprobantes Recibidos - CUIT 30663486051</t>
  </si>
  <si>
    <t>Fecha</t>
  </si>
  <si>
    <t>Tipo</t>
  </si>
  <si>
    <t>Cód. Autorización</t>
  </si>
  <si>
    <t>Denominación Emisor</t>
  </si>
  <si>
    <t>Moneda</t>
  </si>
  <si>
    <t>IVA</t>
  </si>
  <si>
    <t>Imp. Total</t>
  </si>
  <si>
    <t>02/05/2022</t>
  </si>
  <si>
    <t>1 - Factura A</t>
  </si>
  <si>
    <t>CUIT</t>
  </si>
  <si>
    <t>TECNIMAR S R L</t>
  </si>
  <si>
    <t>$</t>
  </si>
  <si>
    <t>CHAMORRO MANUEL</t>
  </si>
  <si>
    <t>AUTOPISTAS URBANAS S A</t>
  </si>
  <si>
    <t>AUTOPISTAS DE BUENOS AIRES (AUBASA) SA</t>
  </si>
  <si>
    <t>CODAC SRL</t>
  </si>
  <si>
    <t>VERZERO GONZALO</t>
  </si>
  <si>
    <t>03/05/2022</t>
  </si>
  <si>
    <t>SUTURA S.R.L.</t>
  </si>
  <si>
    <t>6 - Factura B</t>
  </si>
  <si>
    <t>CEVEN SA</t>
  </si>
  <si>
    <t>VTEC SRL</t>
  </si>
  <si>
    <t>GRUPO CONCESIONARIO DEL OESTE SA</t>
  </si>
  <si>
    <t>TELEFONICA DE ARGENTINA SA</t>
  </si>
  <si>
    <t>GANADERA EL 13 S.R.L</t>
  </si>
  <si>
    <t>TELECENTRO S A</t>
  </si>
  <si>
    <t>AUTOPISTAS DEL SOL S A</t>
  </si>
  <si>
    <t>04/05/2022</t>
  </si>
  <si>
    <t>REPRESENTACIONES TECNOLOGICAS SA</t>
  </si>
  <si>
    <t>OPERADORA DE ESTACIONES DE SERVICIOS SA</t>
  </si>
  <si>
    <t>CORREO OFICIAL DE LA REPUBLICA ARGENTINA SOCIEDAD ANONIMA</t>
  </si>
  <si>
    <t>05/05/2022</t>
  </si>
  <si>
    <t>8 - Nota de Crédito B</t>
  </si>
  <si>
    <t>H UNO 1469 S.A.</t>
  </si>
  <si>
    <t>11 - Factura C</t>
  </si>
  <si>
    <t>CAFFARATTI ROMINA PAOLA</t>
  </si>
  <si>
    <t>CALDENTEY DIEGO ARIEL</t>
  </si>
  <si>
    <t>BRUAYAFA S.A.</t>
  </si>
  <si>
    <t>COTO CENTRO INTEGRAL DE COMERCIALIZACION SOCIEDAD ANONIMA</t>
  </si>
  <si>
    <t>PARADISO ESTEBAN DAMIAN</t>
  </si>
  <si>
    <t>06/05/2022</t>
  </si>
  <si>
    <t>ANTEDORO JEREMIAS FABIAN</t>
  </si>
  <si>
    <t>MEGAENVASES SA</t>
  </si>
  <si>
    <t>NUAGE SYSTEMS S.A.</t>
  </si>
  <si>
    <t>09/05/2022</t>
  </si>
  <si>
    <t>REDNET  SRL</t>
  </si>
  <si>
    <t>SUPERMERCADOS MAYORISTAS MAKRO SA</t>
  </si>
  <si>
    <t>10/05/2022</t>
  </si>
  <si>
    <t>PINTOS SCHMIDT ALDANA MARCELA Y SACK ADRIANA CRISTINA SH</t>
  </si>
  <si>
    <t>AROMATICA S.A.</t>
  </si>
  <si>
    <t>USD</t>
  </si>
  <si>
    <t>BATTELLINI MARIA SOLEDAD</t>
  </si>
  <si>
    <t>2 - Nota de Débito A</t>
  </si>
  <si>
    <t>LATIN MEDIA SERVICES S.R.L.</t>
  </si>
  <si>
    <t>POSNET SOCIEDAD DE RESPONSABILIDAD LIMITADA</t>
  </si>
  <si>
    <t>TELECOM ARGENTINA SOCIEDAD ANONIMA</t>
  </si>
  <si>
    <t>COMERCIALIZADORA DE BEBIDAS S.R.L.</t>
  </si>
  <si>
    <t>11/05/2022</t>
  </si>
  <si>
    <t>QUETZAL QUIMICA S R L</t>
  </si>
  <si>
    <t>ENGYMAN SRL</t>
  </si>
  <si>
    <t>RAMOS PATRICIO SEBASTIAN</t>
  </si>
  <si>
    <t>VTG SPECIALTY CHEMICALS S A</t>
  </si>
  <si>
    <t>MAYOLAS S.R.L.</t>
  </si>
  <si>
    <t>BAUTISTA PAMELA ARACELI</t>
  </si>
  <si>
    <t>FRAVEGA S A C I E I</t>
  </si>
  <si>
    <t>MEDILEA S.A.</t>
  </si>
  <si>
    <t>12/05/2022</t>
  </si>
  <si>
    <t>RANKO S R L</t>
  </si>
  <si>
    <t>DE PABLO HERNAN MANUEL</t>
  </si>
  <si>
    <t>REUS JORGE DIEGO</t>
  </si>
  <si>
    <t>13/05/2022</t>
  </si>
  <si>
    <t>MAYORISTANET.COM SA</t>
  </si>
  <si>
    <t>15/05/2022</t>
  </si>
  <si>
    <t>16/05/2022</t>
  </si>
  <si>
    <t>VILLARUEL OSCAR EDUARDO</t>
  </si>
  <si>
    <t>EMPRENDIMIENTOS SATELITALES SA</t>
  </si>
  <si>
    <t>APPLUS SANTA MARIA DEL BUEN AYRE SA</t>
  </si>
  <si>
    <t>17/05/2022</t>
  </si>
  <si>
    <t>MARINELLI JON EZEQUIEL</t>
  </si>
  <si>
    <t>NEW  HIGH PACK  SA</t>
  </si>
  <si>
    <t>POLYTECH S A</t>
  </si>
  <si>
    <t>19/05/2022</t>
  </si>
  <si>
    <t>EGEO SOCIEDAD DE RESPONSABILIDAD LIMITADA</t>
  </si>
  <si>
    <t>20/05/2022</t>
  </si>
  <si>
    <t>OCAÑO ENRIQUE</t>
  </si>
  <si>
    <t>CLEAN LAB SRL</t>
  </si>
  <si>
    <t>21/05/2022</t>
  </si>
  <si>
    <t>COORDINACION ECOLOGICA AREA METROPOLITANA SOCIEDAD DEL ESTADO</t>
  </si>
  <si>
    <t>22/05/2022</t>
  </si>
  <si>
    <t>23/05/2022</t>
  </si>
  <si>
    <t>CORREDORES VIALES SOCIEDAD ANONIMA</t>
  </si>
  <si>
    <t>PIROPLAST SOCIEDAD RESP LDA</t>
  </si>
  <si>
    <t>DEHEZA SOCIEDAD ANONIMA INDUSTRIAL COMERCIAL FINANCIERA INMOBILIARIA</t>
  </si>
  <si>
    <t>24/05/2022</t>
  </si>
  <si>
    <t>GUENZANI GONZALO MARTIN</t>
  </si>
  <si>
    <t>26/05/2022</t>
  </si>
  <si>
    <t>FUKS EDUARDO SERGIO</t>
  </si>
  <si>
    <t>MONTORRO DOMINGO</t>
  </si>
  <si>
    <t>27/05/2022</t>
  </si>
  <si>
    <t>GRUPO R S.A.</t>
  </si>
  <si>
    <t>K.R. S. R. L.</t>
  </si>
  <si>
    <t>3 - Nota de Crédito A</t>
  </si>
  <si>
    <t>MAZZA EMILIANO LIBER PEDRO</t>
  </si>
  <si>
    <t>28/05/2022</t>
  </si>
  <si>
    <t>29/05/2022</t>
  </si>
  <si>
    <t>MERCADOLIBRE S.R.L.</t>
  </si>
  <si>
    <t>30/05/2022</t>
  </si>
  <si>
    <t>CPT INTEGRAL SA</t>
  </si>
  <si>
    <t>QUIMICA OESTE SOCIEDAD ANONIMA</t>
  </si>
  <si>
    <t>31/05/2022</t>
  </si>
  <si>
    <t>GLASCAR S.A.C.I.F E I</t>
  </si>
  <si>
    <t>Pto Vta</t>
  </si>
  <si>
    <t>Nro</t>
  </si>
  <si>
    <t>Tpo Cbio</t>
  </si>
  <si>
    <t>Neto Gravado</t>
  </si>
  <si>
    <t xml:space="preserve"> No Gravado</t>
  </si>
  <si>
    <t xml:space="preserve"> 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</si>
</sst>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Font="1" applyFill="1" applyBorder="1"/>
    <xf numFmtId="4" fontId="0" fillId="0" borderId="0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tabSelected="1" topLeftCell="C100" workbookViewId="0">
      <selection activeCell="G114" sqref="G114"/>
    </sheetView>
  </sheetViews>
  <sheetFormatPr baseColWidth="10" defaultRowHeight="15"/>
  <cols>
    <col min="1" max="1" width="13" customWidth="1"/>
    <col min="2" max="2" width="19.42578125" bestFit="1" customWidth="1"/>
    <col min="3" max="3" width="7.42578125" bestFit="1" customWidth="1"/>
    <col min="4" max="4" width="9" bestFit="1" customWidth="1"/>
    <col min="5" max="5" width="16.7109375" bestFit="1" customWidth="1"/>
    <col min="6" max="6" width="12" bestFit="1" customWidth="1"/>
    <col min="7" max="7" width="52" customWidth="1"/>
    <col min="8" max="8" width="8.7109375" bestFit="1" customWidth="1"/>
    <col min="9" max="9" width="8.42578125" bestFit="1" customWidth="1"/>
    <col min="10" max="10" width="13.28515625" bestFit="1" customWidth="1"/>
    <col min="11" max="11" width="11.85546875" bestFit="1" customWidth="1"/>
    <col min="12" max="12" width="8.28515625" bestFit="1" customWidth="1"/>
    <col min="13" max="13" width="11.7109375" bestFit="1" customWidth="1"/>
    <col min="14" max="14" width="13" customWidth="1"/>
    <col min="15" max="15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5" t="s">
        <v>1</v>
      </c>
      <c r="B2" s="5" t="s">
        <v>2</v>
      </c>
      <c r="C2" s="5" t="s">
        <v>112</v>
      </c>
      <c r="D2" s="5" t="s">
        <v>113</v>
      </c>
      <c r="E2" s="5" t="s">
        <v>3</v>
      </c>
      <c r="F2" s="5" t="s">
        <v>10</v>
      </c>
      <c r="G2" s="5" t="s">
        <v>4</v>
      </c>
      <c r="H2" s="5" t="s">
        <v>114</v>
      </c>
      <c r="I2" s="5" t="s">
        <v>5</v>
      </c>
      <c r="J2" s="5" t="s">
        <v>115</v>
      </c>
      <c r="K2" s="5" t="s">
        <v>116</v>
      </c>
      <c r="L2" s="5" t="s">
        <v>117</v>
      </c>
      <c r="M2" s="5" t="s">
        <v>6</v>
      </c>
      <c r="N2" s="5" t="s">
        <v>7</v>
      </c>
    </row>
    <row r="3" spans="1:15">
      <c r="A3" s="3" t="s">
        <v>41</v>
      </c>
      <c r="B3" s="3" t="s">
        <v>9</v>
      </c>
      <c r="C3" s="4">
        <v>8</v>
      </c>
      <c r="D3" s="4">
        <v>1576</v>
      </c>
      <c r="E3" s="4">
        <v>72182133802185</v>
      </c>
      <c r="F3" s="4">
        <v>20357275882</v>
      </c>
      <c r="G3" s="3" t="s">
        <v>42</v>
      </c>
      <c r="H3" s="4">
        <v>1</v>
      </c>
      <c r="I3" s="3" t="s">
        <v>12</v>
      </c>
      <c r="J3" s="6">
        <v>5313.05</v>
      </c>
      <c r="K3" s="6">
        <v>0</v>
      </c>
      <c r="L3" s="6">
        <v>0</v>
      </c>
      <c r="M3" s="6">
        <v>1115.74</v>
      </c>
      <c r="N3" s="6">
        <v>6428.79</v>
      </c>
    </row>
    <row r="4" spans="1:15">
      <c r="A4" s="3" t="s">
        <v>74</v>
      </c>
      <c r="B4" s="3" t="s">
        <v>9</v>
      </c>
      <c r="C4" s="4">
        <v>3</v>
      </c>
      <c r="D4" s="4">
        <v>33066</v>
      </c>
      <c r="E4" s="4">
        <v>72200934709677</v>
      </c>
      <c r="F4" s="4">
        <v>30714930490</v>
      </c>
      <c r="G4" s="3" t="s">
        <v>77</v>
      </c>
      <c r="H4" s="4">
        <v>1</v>
      </c>
      <c r="I4" s="3" t="s">
        <v>12</v>
      </c>
      <c r="J4" s="6">
        <v>2958.02</v>
      </c>
      <c r="K4" s="6">
        <v>0</v>
      </c>
      <c r="L4" s="6">
        <v>0</v>
      </c>
      <c r="M4" s="6">
        <v>621.19000000000005</v>
      </c>
      <c r="N4" s="6">
        <v>3579.21</v>
      </c>
    </row>
    <row r="5" spans="1:15">
      <c r="A5" s="3" t="s">
        <v>48</v>
      </c>
      <c r="B5" s="3" t="s">
        <v>9</v>
      </c>
      <c r="C5" s="4">
        <v>3</v>
      </c>
      <c r="D5" s="4">
        <v>17874</v>
      </c>
      <c r="E5" s="4">
        <v>72193454791060</v>
      </c>
      <c r="F5" s="4">
        <v>30707463143</v>
      </c>
      <c r="G5" s="3" t="s">
        <v>50</v>
      </c>
      <c r="H5" s="3">
        <v>120.5</v>
      </c>
      <c r="I5" s="3" t="s">
        <v>51</v>
      </c>
      <c r="J5" s="6">
        <v>715</v>
      </c>
      <c r="K5" s="6">
        <v>0</v>
      </c>
      <c r="L5" s="6">
        <v>0</v>
      </c>
      <c r="M5" s="6">
        <v>150.15</v>
      </c>
      <c r="N5" s="6">
        <v>865.15</v>
      </c>
    </row>
    <row r="6" spans="1:15">
      <c r="A6" s="3" t="s">
        <v>48</v>
      </c>
      <c r="B6" s="3" t="s">
        <v>53</v>
      </c>
      <c r="C6" s="4">
        <v>6</v>
      </c>
      <c r="D6" s="4">
        <v>53</v>
      </c>
      <c r="E6" s="4">
        <v>72193455566903</v>
      </c>
      <c r="F6" s="4">
        <v>30707463143</v>
      </c>
      <c r="G6" s="3" t="s">
        <v>50</v>
      </c>
      <c r="H6" s="4">
        <v>1</v>
      </c>
      <c r="I6" s="3" t="s">
        <v>12</v>
      </c>
      <c r="J6" s="6">
        <v>893.75</v>
      </c>
      <c r="K6" s="6">
        <v>0</v>
      </c>
      <c r="L6" s="6">
        <v>0</v>
      </c>
      <c r="M6" s="6">
        <v>187.69</v>
      </c>
      <c r="N6" s="6">
        <v>1081.44</v>
      </c>
    </row>
    <row r="7" spans="1:15">
      <c r="A7" s="3" t="s">
        <v>8</v>
      </c>
      <c r="B7" s="3" t="s">
        <v>9</v>
      </c>
      <c r="C7" s="4">
        <v>50</v>
      </c>
      <c r="D7" s="4">
        <v>2586572</v>
      </c>
      <c r="E7" s="4">
        <v>72186853667299</v>
      </c>
      <c r="F7" s="4">
        <v>30714112836</v>
      </c>
      <c r="G7" s="3" t="s">
        <v>15</v>
      </c>
      <c r="H7" s="4">
        <v>1</v>
      </c>
      <c r="I7" s="3" t="s">
        <v>12</v>
      </c>
      <c r="J7" s="6">
        <v>1093.3900000000001</v>
      </c>
      <c r="K7" s="6">
        <v>0</v>
      </c>
      <c r="L7" s="6">
        <v>0</v>
      </c>
      <c r="M7" s="6">
        <v>229.61</v>
      </c>
      <c r="N7" s="6">
        <v>1355.81</v>
      </c>
    </row>
    <row r="8" spans="1:15">
      <c r="A8" s="3" t="s">
        <v>18</v>
      </c>
      <c r="B8" s="3" t="s">
        <v>9</v>
      </c>
      <c r="C8" s="4">
        <v>711</v>
      </c>
      <c r="D8" s="4">
        <v>2903297</v>
      </c>
      <c r="E8" s="4">
        <v>32179943707552</v>
      </c>
      <c r="F8" s="4">
        <v>30677237119</v>
      </c>
      <c r="G8" s="3" t="s">
        <v>27</v>
      </c>
      <c r="H8" s="4">
        <v>1</v>
      </c>
      <c r="I8" s="3" t="s">
        <v>12</v>
      </c>
      <c r="J8" s="6">
        <v>2233.9</v>
      </c>
      <c r="K8" s="6">
        <v>0</v>
      </c>
      <c r="L8" s="6">
        <v>67.02</v>
      </c>
      <c r="M8" s="6">
        <v>469.1</v>
      </c>
      <c r="N8" s="6">
        <v>2770.02</v>
      </c>
    </row>
    <row r="9" spans="1:15">
      <c r="A9" s="3" t="s">
        <v>78</v>
      </c>
      <c r="B9" s="3" t="s">
        <v>9</v>
      </c>
      <c r="C9" s="4">
        <v>711</v>
      </c>
      <c r="D9" s="4">
        <v>2958906</v>
      </c>
      <c r="E9" s="4">
        <v>32199998963404</v>
      </c>
      <c r="F9" s="4">
        <v>30677237119</v>
      </c>
      <c r="G9" s="3" t="s">
        <v>27</v>
      </c>
      <c r="H9" s="4">
        <v>1</v>
      </c>
      <c r="I9" s="3" t="s">
        <v>12</v>
      </c>
      <c r="J9" s="6">
        <v>2638</v>
      </c>
      <c r="K9" s="6">
        <v>0</v>
      </c>
      <c r="L9" s="6">
        <v>79.14</v>
      </c>
      <c r="M9" s="6">
        <v>554</v>
      </c>
      <c r="N9" s="6">
        <v>3271.14</v>
      </c>
    </row>
    <row r="10" spans="1:15">
      <c r="A10" s="3" t="s">
        <v>8</v>
      </c>
      <c r="B10" s="3" t="s">
        <v>9</v>
      </c>
      <c r="C10" s="4">
        <v>5014</v>
      </c>
      <c r="D10" s="4">
        <v>225870</v>
      </c>
      <c r="E10" s="4">
        <v>72184818526777</v>
      </c>
      <c r="F10" s="4">
        <v>30574876474</v>
      </c>
      <c r="G10" s="3" t="s">
        <v>14</v>
      </c>
      <c r="H10" s="4">
        <v>1</v>
      </c>
      <c r="I10" s="3" t="s">
        <v>12</v>
      </c>
      <c r="J10" s="6">
        <v>9249.7800000000007</v>
      </c>
      <c r="K10" s="6">
        <v>0</v>
      </c>
      <c r="L10" s="6">
        <v>0</v>
      </c>
      <c r="M10" s="6">
        <v>1942.35</v>
      </c>
      <c r="N10" s="6">
        <v>12393.48</v>
      </c>
    </row>
    <row r="11" spans="1:15">
      <c r="A11" s="3" t="s">
        <v>78</v>
      </c>
      <c r="B11" s="3" t="s">
        <v>9</v>
      </c>
      <c r="C11" s="4">
        <v>5014</v>
      </c>
      <c r="D11" s="4">
        <v>238925</v>
      </c>
      <c r="E11" s="4">
        <v>72204133183046</v>
      </c>
      <c r="F11" s="4">
        <v>30574876474</v>
      </c>
      <c r="G11" s="3" t="s">
        <v>14</v>
      </c>
      <c r="H11" s="4">
        <v>1</v>
      </c>
      <c r="I11" s="3" t="s">
        <v>12</v>
      </c>
      <c r="J11" s="6">
        <v>7865.74</v>
      </c>
      <c r="K11" s="6">
        <v>0</v>
      </c>
      <c r="L11" s="6">
        <v>0</v>
      </c>
      <c r="M11" s="6">
        <v>1651.73</v>
      </c>
      <c r="N11" s="6">
        <v>10538.92</v>
      </c>
    </row>
    <row r="12" spans="1:15">
      <c r="A12" s="3" t="s">
        <v>48</v>
      </c>
      <c r="B12" s="3" t="s">
        <v>9</v>
      </c>
      <c r="C12" s="4">
        <v>2</v>
      </c>
      <c r="D12" s="4">
        <v>161</v>
      </c>
      <c r="E12" s="4">
        <v>72193468880732</v>
      </c>
      <c r="F12" s="4">
        <v>27309896063</v>
      </c>
      <c r="G12" s="3" t="s">
        <v>52</v>
      </c>
      <c r="H12" s="4">
        <v>1</v>
      </c>
      <c r="I12" s="3" t="s">
        <v>12</v>
      </c>
      <c r="J12" s="6">
        <v>18000</v>
      </c>
      <c r="K12" s="6">
        <v>0</v>
      </c>
      <c r="L12" s="6">
        <v>0</v>
      </c>
      <c r="M12" s="6">
        <v>3780</v>
      </c>
      <c r="N12" s="6">
        <v>21780</v>
      </c>
    </row>
    <row r="13" spans="1:15">
      <c r="A13" s="3" t="s">
        <v>58</v>
      </c>
      <c r="B13" s="3" t="s">
        <v>9</v>
      </c>
      <c r="C13" s="4">
        <v>4</v>
      </c>
      <c r="D13" s="4">
        <v>128</v>
      </c>
      <c r="E13" s="4">
        <v>72197545129494</v>
      </c>
      <c r="F13" s="4">
        <v>27320461907</v>
      </c>
      <c r="G13" s="3" t="s">
        <v>64</v>
      </c>
      <c r="H13" s="4">
        <v>1</v>
      </c>
      <c r="I13" s="3" t="s">
        <v>12</v>
      </c>
      <c r="J13" s="6">
        <v>5776.03</v>
      </c>
      <c r="K13" s="6">
        <v>0</v>
      </c>
      <c r="L13" s="6">
        <v>0</v>
      </c>
      <c r="M13" s="6">
        <v>1212.97</v>
      </c>
      <c r="N13" s="6">
        <v>6989</v>
      </c>
    </row>
    <row r="14" spans="1:15">
      <c r="A14" s="3" t="s">
        <v>32</v>
      </c>
      <c r="B14" s="3" t="s">
        <v>9</v>
      </c>
      <c r="C14" s="4">
        <v>3</v>
      </c>
      <c r="D14" s="4">
        <v>904</v>
      </c>
      <c r="E14" s="4">
        <v>72186036471557</v>
      </c>
      <c r="F14" s="4">
        <v>30715434276</v>
      </c>
      <c r="G14" s="8" t="s">
        <v>38</v>
      </c>
      <c r="H14" s="9">
        <v>1</v>
      </c>
      <c r="I14" s="8" t="s">
        <v>12</v>
      </c>
      <c r="J14" s="10">
        <v>129672</v>
      </c>
      <c r="K14" s="10">
        <v>0</v>
      </c>
      <c r="L14" s="10">
        <v>0</v>
      </c>
      <c r="M14" s="10">
        <v>27231.119999999999</v>
      </c>
      <c r="N14" s="10">
        <v>156903.12</v>
      </c>
      <c r="O14" s="7">
        <f>SUM(J14:J15)</f>
        <v>247637.5</v>
      </c>
    </row>
    <row r="15" spans="1:15">
      <c r="A15" s="3" t="s">
        <v>90</v>
      </c>
      <c r="B15" s="3" t="s">
        <v>9</v>
      </c>
      <c r="C15" s="4">
        <v>3</v>
      </c>
      <c r="D15" s="4">
        <v>924</v>
      </c>
      <c r="E15" s="4">
        <v>72216394004879</v>
      </c>
      <c r="F15" s="4">
        <v>30715434276</v>
      </c>
      <c r="G15" s="8" t="s">
        <v>38</v>
      </c>
      <c r="H15" s="9">
        <v>1</v>
      </c>
      <c r="I15" s="8" t="s">
        <v>12</v>
      </c>
      <c r="J15" s="10">
        <v>117965.5</v>
      </c>
      <c r="K15" s="10">
        <v>0</v>
      </c>
      <c r="L15" s="10">
        <v>0</v>
      </c>
      <c r="M15" s="10">
        <v>24772.76</v>
      </c>
      <c r="N15" s="10">
        <v>142738.26</v>
      </c>
    </row>
    <row r="16" spans="1:15">
      <c r="A16" s="3" t="s">
        <v>32</v>
      </c>
      <c r="B16" s="3" t="s">
        <v>35</v>
      </c>
      <c r="C16" s="4">
        <v>2</v>
      </c>
      <c r="D16" s="4">
        <v>159</v>
      </c>
      <c r="E16" s="4">
        <v>72184054349470</v>
      </c>
      <c r="F16" s="4">
        <v>23319210954</v>
      </c>
      <c r="G16" s="3" t="s">
        <v>36</v>
      </c>
      <c r="H16" s="4">
        <v>1</v>
      </c>
      <c r="I16" s="3" t="s">
        <v>12</v>
      </c>
      <c r="J16" s="6"/>
      <c r="K16" s="6"/>
      <c r="L16" s="6"/>
      <c r="M16" s="6"/>
      <c r="N16" s="6">
        <v>6100</v>
      </c>
    </row>
    <row r="17" spans="1:15">
      <c r="A17" s="3" t="s">
        <v>32</v>
      </c>
      <c r="B17" s="3" t="s">
        <v>9</v>
      </c>
      <c r="C17" s="4">
        <v>1003</v>
      </c>
      <c r="D17" s="4">
        <v>8423</v>
      </c>
      <c r="E17" s="4">
        <v>72185056138061</v>
      </c>
      <c r="F17" s="4">
        <v>20295023555</v>
      </c>
      <c r="G17" s="3" t="s">
        <v>37</v>
      </c>
      <c r="H17" s="4">
        <v>1</v>
      </c>
      <c r="I17" s="3" t="s">
        <v>12</v>
      </c>
      <c r="J17" s="6">
        <v>2848.32</v>
      </c>
      <c r="K17" s="6">
        <v>0</v>
      </c>
      <c r="L17" s="6">
        <v>0</v>
      </c>
      <c r="M17" s="6">
        <v>299.07</v>
      </c>
      <c r="N17" s="6">
        <v>3147.39</v>
      </c>
    </row>
    <row r="18" spans="1:15">
      <c r="A18" s="3" t="s">
        <v>18</v>
      </c>
      <c r="B18" s="3" t="s">
        <v>20</v>
      </c>
      <c r="C18" s="4">
        <v>5001</v>
      </c>
      <c r="D18" s="4">
        <v>120371</v>
      </c>
      <c r="E18" s="4">
        <v>72181891705862</v>
      </c>
      <c r="F18" s="4">
        <v>30696692951</v>
      </c>
      <c r="G18" s="8" t="s">
        <v>21</v>
      </c>
      <c r="H18" s="9">
        <v>1</v>
      </c>
      <c r="I18" s="8" t="s">
        <v>12</v>
      </c>
      <c r="J18" s="10">
        <v>18304.96</v>
      </c>
      <c r="K18" s="10">
        <v>0</v>
      </c>
      <c r="L18" s="10">
        <v>0</v>
      </c>
      <c r="M18" s="10">
        <v>3844.04</v>
      </c>
      <c r="N18" s="10">
        <v>22149</v>
      </c>
      <c r="O18" s="7">
        <f>SUM(J18:J20)</f>
        <v>54914.879999999997</v>
      </c>
    </row>
    <row r="19" spans="1:15">
      <c r="A19" s="3" t="s">
        <v>32</v>
      </c>
      <c r="B19" s="3" t="s">
        <v>9</v>
      </c>
      <c r="C19" s="4">
        <v>5001</v>
      </c>
      <c r="D19" s="4">
        <v>74965</v>
      </c>
      <c r="E19" s="4">
        <v>72181079228757</v>
      </c>
      <c r="F19" s="4">
        <v>30696692951</v>
      </c>
      <c r="G19" s="8" t="s">
        <v>21</v>
      </c>
      <c r="H19" s="9">
        <v>1</v>
      </c>
      <c r="I19" s="8" t="s">
        <v>12</v>
      </c>
      <c r="J19" s="10">
        <v>18304.96</v>
      </c>
      <c r="K19" s="10">
        <v>0</v>
      </c>
      <c r="L19" s="10">
        <v>0</v>
      </c>
      <c r="M19" s="10">
        <v>3844.04</v>
      </c>
      <c r="N19" s="10">
        <v>22149</v>
      </c>
    </row>
    <row r="20" spans="1:15">
      <c r="A20" s="3" t="s">
        <v>32</v>
      </c>
      <c r="B20" s="3" t="s">
        <v>33</v>
      </c>
      <c r="C20" s="4">
        <v>5001</v>
      </c>
      <c r="D20" s="4">
        <v>9580</v>
      </c>
      <c r="E20" s="4">
        <v>72181079198125</v>
      </c>
      <c r="F20" s="4">
        <v>30696692951</v>
      </c>
      <c r="G20" s="8" t="s">
        <v>21</v>
      </c>
      <c r="H20" s="9">
        <v>1</v>
      </c>
      <c r="I20" s="8" t="s">
        <v>12</v>
      </c>
      <c r="J20" s="10">
        <v>18304.96</v>
      </c>
      <c r="K20" s="10">
        <v>0</v>
      </c>
      <c r="L20" s="10">
        <v>0</v>
      </c>
      <c r="M20" s="10">
        <v>3844.04</v>
      </c>
      <c r="N20" s="10">
        <v>22149</v>
      </c>
    </row>
    <row r="21" spans="1:15">
      <c r="A21" s="3" t="s">
        <v>8</v>
      </c>
      <c r="B21" s="3" t="s">
        <v>9</v>
      </c>
      <c r="C21" s="4">
        <v>1</v>
      </c>
      <c r="D21" s="4">
        <v>248</v>
      </c>
      <c r="E21" s="4">
        <v>72184736396537</v>
      </c>
      <c r="F21" s="4">
        <v>20131206144</v>
      </c>
      <c r="G21" s="3" t="s">
        <v>13</v>
      </c>
      <c r="H21" s="4">
        <v>1</v>
      </c>
      <c r="I21" s="3" t="s">
        <v>12</v>
      </c>
      <c r="J21" s="6">
        <v>18000</v>
      </c>
      <c r="K21" s="6">
        <v>0</v>
      </c>
      <c r="L21" s="6">
        <v>0</v>
      </c>
      <c r="M21" s="6">
        <v>3780</v>
      </c>
      <c r="N21" s="6">
        <v>21780</v>
      </c>
    </row>
    <row r="22" spans="1:15">
      <c r="A22" s="3" t="s">
        <v>84</v>
      </c>
      <c r="B22" s="3" t="s">
        <v>9</v>
      </c>
      <c r="C22" s="4">
        <v>5</v>
      </c>
      <c r="D22" s="4">
        <v>21119</v>
      </c>
      <c r="E22" s="4">
        <v>72209213288534</v>
      </c>
      <c r="F22" s="4">
        <v>30715124919</v>
      </c>
      <c r="G22" s="8" t="s">
        <v>86</v>
      </c>
      <c r="H22" s="9">
        <v>1</v>
      </c>
      <c r="I22" s="8" t="s">
        <v>12</v>
      </c>
      <c r="J22" s="10">
        <v>2779.29</v>
      </c>
      <c r="K22" s="10">
        <v>0</v>
      </c>
      <c r="L22" s="10">
        <v>0</v>
      </c>
      <c r="M22" s="10">
        <v>583.65</v>
      </c>
      <c r="N22" s="10">
        <v>3362.94</v>
      </c>
      <c r="O22" s="7">
        <f>SUM(J22:J25)</f>
        <v>50112.39</v>
      </c>
    </row>
    <row r="23" spans="1:15">
      <c r="A23" s="3" t="s">
        <v>84</v>
      </c>
      <c r="B23" s="3" t="s">
        <v>9</v>
      </c>
      <c r="C23" s="4">
        <v>5</v>
      </c>
      <c r="D23" s="4">
        <v>21117</v>
      </c>
      <c r="E23" s="4">
        <v>72209213038072</v>
      </c>
      <c r="F23" s="4">
        <v>30715124919</v>
      </c>
      <c r="G23" s="8" t="s">
        <v>86</v>
      </c>
      <c r="H23" s="9">
        <v>1</v>
      </c>
      <c r="I23" s="8" t="s">
        <v>12</v>
      </c>
      <c r="J23" s="10">
        <v>12187.71</v>
      </c>
      <c r="K23" s="10">
        <v>0</v>
      </c>
      <c r="L23" s="10">
        <v>0</v>
      </c>
      <c r="M23" s="10">
        <v>2559.42</v>
      </c>
      <c r="N23" s="10">
        <v>14747.13</v>
      </c>
    </row>
    <row r="24" spans="1:15">
      <c r="A24" s="3" t="s">
        <v>84</v>
      </c>
      <c r="B24" s="3" t="s">
        <v>9</v>
      </c>
      <c r="C24" s="4">
        <v>5</v>
      </c>
      <c r="D24" s="4">
        <v>21118</v>
      </c>
      <c r="E24" s="4">
        <v>72209213164113</v>
      </c>
      <c r="F24" s="4">
        <v>30715124919</v>
      </c>
      <c r="G24" s="8" t="s">
        <v>86</v>
      </c>
      <c r="H24" s="9">
        <v>1</v>
      </c>
      <c r="I24" s="8" t="s">
        <v>12</v>
      </c>
      <c r="J24" s="10">
        <v>8146.39</v>
      </c>
      <c r="K24" s="10">
        <v>0</v>
      </c>
      <c r="L24" s="10">
        <v>0</v>
      </c>
      <c r="M24" s="10">
        <v>1710.74</v>
      </c>
      <c r="N24" s="10">
        <v>9857.1299999999992</v>
      </c>
    </row>
    <row r="25" spans="1:15">
      <c r="A25" s="3" t="s">
        <v>8</v>
      </c>
      <c r="B25" s="3" t="s">
        <v>9</v>
      </c>
      <c r="C25" s="4">
        <v>6</v>
      </c>
      <c r="D25" s="4">
        <v>2019</v>
      </c>
      <c r="E25" s="4">
        <v>72188762853705</v>
      </c>
      <c r="F25" s="4">
        <v>30574603788</v>
      </c>
      <c r="G25" s="8" t="s">
        <v>16</v>
      </c>
      <c r="H25" s="9">
        <v>1</v>
      </c>
      <c r="I25" s="8" t="s">
        <v>12</v>
      </c>
      <c r="J25" s="10">
        <v>26999</v>
      </c>
      <c r="K25" s="10">
        <v>0</v>
      </c>
      <c r="L25" s="10">
        <v>0</v>
      </c>
      <c r="M25" s="10">
        <v>5669.79</v>
      </c>
      <c r="N25" s="10">
        <v>32668.79</v>
      </c>
    </row>
    <row r="26" spans="1:15">
      <c r="A26" s="3" t="s">
        <v>48</v>
      </c>
      <c r="B26" s="3" t="s">
        <v>9</v>
      </c>
      <c r="C26" s="4">
        <v>7</v>
      </c>
      <c r="D26" s="4">
        <v>7163</v>
      </c>
      <c r="E26" s="4">
        <v>72199471653783</v>
      </c>
      <c r="F26" s="4">
        <v>30716160889</v>
      </c>
      <c r="G26" s="3" t="s">
        <v>57</v>
      </c>
      <c r="H26" s="4">
        <v>1</v>
      </c>
      <c r="I26" s="3" t="s">
        <v>12</v>
      </c>
      <c r="J26" s="6">
        <v>255.37</v>
      </c>
      <c r="K26" s="6">
        <v>0</v>
      </c>
      <c r="L26" s="6">
        <v>0</v>
      </c>
      <c r="M26" s="6">
        <v>53.63</v>
      </c>
      <c r="N26" s="6">
        <v>309</v>
      </c>
    </row>
    <row r="27" spans="1:15">
      <c r="A27" s="3" t="s">
        <v>87</v>
      </c>
      <c r="B27" s="3" t="s">
        <v>9</v>
      </c>
      <c r="C27" s="4">
        <v>113</v>
      </c>
      <c r="D27" s="4">
        <v>2789438</v>
      </c>
      <c r="E27" s="4">
        <v>72210580982804</v>
      </c>
      <c r="F27" s="4">
        <v>30577207190</v>
      </c>
      <c r="G27" s="3" t="s">
        <v>88</v>
      </c>
      <c r="H27" s="4">
        <v>1</v>
      </c>
      <c r="I27" s="3" t="s">
        <v>12</v>
      </c>
      <c r="J27" s="6">
        <v>396.67</v>
      </c>
      <c r="K27" s="6">
        <v>0.03</v>
      </c>
      <c r="L27" s="6">
        <v>0</v>
      </c>
      <c r="M27" s="6">
        <v>83.3</v>
      </c>
      <c r="N27" s="6">
        <v>480</v>
      </c>
    </row>
    <row r="28" spans="1:15">
      <c r="A28" s="3" t="s">
        <v>90</v>
      </c>
      <c r="B28" s="3" t="s">
        <v>9</v>
      </c>
      <c r="C28" s="4">
        <v>700</v>
      </c>
      <c r="D28" s="4">
        <v>490226</v>
      </c>
      <c r="E28" s="4">
        <v>72212398221810</v>
      </c>
      <c r="F28" s="4">
        <v>30715804812</v>
      </c>
      <c r="G28" s="3" t="s">
        <v>91</v>
      </c>
      <c r="H28" s="4">
        <v>1</v>
      </c>
      <c r="I28" s="3" t="s">
        <v>12</v>
      </c>
      <c r="J28" s="6">
        <v>1093.3900000000001</v>
      </c>
      <c r="K28" s="6">
        <v>0</v>
      </c>
      <c r="L28" s="6">
        <v>0</v>
      </c>
      <c r="M28" s="6">
        <v>229.61</v>
      </c>
      <c r="N28" s="6">
        <v>1323</v>
      </c>
    </row>
    <row r="29" spans="1:15">
      <c r="A29" s="3" t="s">
        <v>28</v>
      </c>
      <c r="B29" s="3" t="s">
        <v>9</v>
      </c>
      <c r="C29" s="4">
        <v>3034</v>
      </c>
      <c r="D29" s="4">
        <v>1694485</v>
      </c>
      <c r="E29" s="4">
        <v>72186955403977</v>
      </c>
      <c r="F29" s="4">
        <v>30708574836</v>
      </c>
      <c r="G29" s="3" t="s">
        <v>31</v>
      </c>
      <c r="H29" s="4">
        <v>1</v>
      </c>
      <c r="I29" s="3" t="s">
        <v>12</v>
      </c>
      <c r="J29" s="6">
        <v>422.59</v>
      </c>
      <c r="K29" s="6">
        <v>0</v>
      </c>
      <c r="L29" s="6">
        <v>0</v>
      </c>
      <c r="M29" s="6">
        <v>88.74</v>
      </c>
      <c r="N29" s="6">
        <v>511.33</v>
      </c>
    </row>
    <row r="30" spans="1:15">
      <c r="A30" s="3" t="s">
        <v>45</v>
      </c>
      <c r="B30" s="3" t="s">
        <v>9</v>
      </c>
      <c r="C30" s="4">
        <v>3034</v>
      </c>
      <c r="D30" s="4">
        <v>1710348</v>
      </c>
      <c r="E30" s="4">
        <v>72196338693624</v>
      </c>
      <c r="F30" s="4">
        <v>30708574836</v>
      </c>
      <c r="G30" s="3" t="s">
        <v>31</v>
      </c>
      <c r="H30" s="4">
        <v>1</v>
      </c>
      <c r="I30" s="3" t="s">
        <v>12</v>
      </c>
      <c r="J30" s="6">
        <v>464.36</v>
      </c>
      <c r="K30" s="6">
        <v>0</v>
      </c>
      <c r="L30" s="6">
        <v>0</v>
      </c>
      <c r="M30" s="6">
        <v>97.52</v>
      </c>
      <c r="N30" s="6">
        <v>561.88</v>
      </c>
    </row>
    <row r="31" spans="1:15">
      <c r="A31" s="3" t="s">
        <v>48</v>
      </c>
      <c r="B31" s="3" t="s">
        <v>9</v>
      </c>
      <c r="C31" s="4">
        <v>3034</v>
      </c>
      <c r="D31" s="4">
        <v>1721350</v>
      </c>
      <c r="E31" s="4">
        <v>72196423185119</v>
      </c>
      <c r="F31" s="4">
        <v>30708574836</v>
      </c>
      <c r="G31" s="3" t="s">
        <v>31</v>
      </c>
      <c r="H31" s="4">
        <v>1</v>
      </c>
      <c r="I31" s="3" t="s">
        <v>12</v>
      </c>
      <c r="J31" s="6">
        <v>397.9</v>
      </c>
      <c r="K31" s="6">
        <v>0</v>
      </c>
      <c r="L31" s="6">
        <v>0</v>
      </c>
      <c r="M31" s="6">
        <v>83.56</v>
      </c>
      <c r="N31" s="6">
        <v>481.46</v>
      </c>
    </row>
    <row r="32" spans="1:15">
      <c r="A32" s="3" t="s">
        <v>94</v>
      </c>
      <c r="B32" s="3" t="s">
        <v>9</v>
      </c>
      <c r="C32" s="4">
        <v>3034</v>
      </c>
      <c r="D32" s="4">
        <v>1799203</v>
      </c>
      <c r="E32" s="4">
        <v>72216490990192</v>
      </c>
      <c r="F32" s="4">
        <v>30708574836</v>
      </c>
      <c r="G32" s="3" t="s">
        <v>31</v>
      </c>
      <c r="H32" s="4">
        <v>1</v>
      </c>
      <c r="I32" s="3" t="s">
        <v>12</v>
      </c>
      <c r="J32" s="6">
        <v>397.9</v>
      </c>
      <c r="K32" s="6">
        <v>0</v>
      </c>
      <c r="L32" s="6">
        <v>0</v>
      </c>
      <c r="M32" s="6">
        <v>83.56</v>
      </c>
      <c r="N32" s="6">
        <v>481.46</v>
      </c>
    </row>
    <row r="33" spans="1:15">
      <c r="A33" s="3" t="s">
        <v>94</v>
      </c>
      <c r="B33" s="3" t="s">
        <v>9</v>
      </c>
      <c r="C33" s="4">
        <v>3034</v>
      </c>
      <c r="D33" s="4">
        <v>1800064</v>
      </c>
      <c r="E33" s="4">
        <v>72216498133495</v>
      </c>
      <c r="F33" s="4">
        <v>30708574836</v>
      </c>
      <c r="G33" s="3" t="s">
        <v>31</v>
      </c>
      <c r="H33" s="4">
        <v>1</v>
      </c>
      <c r="I33" s="3" t="s">
        <v>12</v>
      </c>
      <c r="J33" s="6">
        <v>432.77</v>
      </c>
      <c r="K33" s="6">
        <v>0</v>
      </c>
      <c r="L33" s="6">
        <v>0</v>
      </c>
      <c r="M33" s="6">
        <v>90.88</v>
      </c>
      <c r="N33" s="6">
        <v>523.65</v>
      </c>
    </row>
    <row r="34" spans="1:15">
      <c r="A34" s="3" t="s">
        <v>94</v>
      </c>
      <c r="B34" s="3" t="s">
        <v>9</v>
      </c>
      <c r="C34" s="4">
        <v>3034</v>
      </c>
      <c r="D34" s="4">
        <v>1798179</v>
      </c>
      <c r="E34" s="4">
        <v>72216479259990</v>
      </c>
      <c r="F34" s="4">
        <v>30708574836</v>
      </c>
      <c r="G34" s="3" t="s">
        <v>31</v>
      </c>
      <c r="H34" s="4">
        <v>1</v>
      </c>
      <c r="I34" s="3" t="s">
        <v>12</v>
      </c>
      <c r="J34" s="6">
        <v>464.36</v>
      </c>
      <c r="K34" s="6">
        <v>0</v>
      </c>
      <c r="L34" s="6">
        <v>0</v>
      </c>
      <c r="M34" s="6">
        <v>97.52</v>
      </c>
      <c r="N34" s="6">
        <v>561.88</v>
      </c>
    </row>
    <row r="35" spans="1:15">
      <c r="A35" s="3" t="s">
        <v>32</v>
      </c>
      <c r="B35" s="3" t="s">
        <v>9</v>
      </c>
      <c r="C35" s="4">
        <v>2188</v>
      </c>
      <c r="D35" s="4">
        <v>64537</v>
      </c>
      <c r="E35" s="4">
        <v>72186083205618</v>
      </c>
      <c r="F35" s="4">
        <v>30548083156</v>
      </c>
      <c r="G35" s="3" t="s">
        <v>39</v>
      </c>
      <c r="H35" s="4">
        <v>1</v>
      </c>
      <c r="I35" s="3" t="s">
        <v>12</v>
      </c>
      <c r="J35" s="6">
        <v>9881.07</v>
      </c>
      <c r="K35" s="6">
        <v>0</v>
      </c>
      <c r="L35" s="6">
        <v>0</v>
      </c>
      <c r="M35" s="6">
        <v>1821.59</v>
      </c>
      <c r="N35" s="6">
        <v>12410.91</v>
      </c>
    </row>
    <row r="36" spans="1:15">
      <c r="A36" s="3" t="s">
        <v>73</v>
      </c>
      <c r="B36" s="3" t="s">
        <v>9</v>
      </c>
      <c r="C36" s="4">
        <v>2215</v>
      </c>
      <c r="D36" s="4">
        <v>22775</v>
      </c>
      <c r="E36" s="4">
        <v>72206840355549</v>
      </c>
      <c r="F36" s="4">
        <v>30548083156</v>
      </c>
      <c r="G36" s="3" t="s">
        <v>39</v>
      </c>
      <c r="H36" s="4">
        <v>1</v>
      </c>
      <c r="I36" s="3" t="s">
        <v>12</v>
      </c>
      <c r="J36" s="6">
        <v>2906.25</v>
      </c>
      <c r="K36" s="6">
        <v>0</v>
      </c>
      <c r="L36" s="6">
        <v>0</v>
      </c>
      <c r="M36" s="6">
        <v>605.88</v>
      </c>
      <c r="N36" s="6">
        <v>3719.03</v>
      </c>
    </row>
    <row r="37" spans="1:15">
      <c r="A37" s="3" t="s">
        <v>74</v>
      </c>
      <c r="B37" s="3" t="s">
        <v>9</v>
      </c>
      <c r="C37" s="4">
        <v>2188</v>
      </c>
      <c r="D37" s="4">
        <v>65244</v>
      </c>
      <c r="E37" s="4">
        <v>72206905423942</v>
      </c>
      <c r="F37" s="4">
        <v>30548083156</v>
      </c>
      <c r="G37" s="3" t="s">
        <v>39</v>
      </c>
      <c r="H37" s="4">
        <v>1</v>
      </c>
      <c r="I37" s="3" t="s">
        <v>12</v>
      </c>
      <c r="J37" s="6">
        <v>3990.21</v>
      </c>
      <c r="K37" s="6">
        <v>0</v>
      </c>
      <c r="L37" s="6">
        <v>0</v>
      </c>
      <c r="M37" s="6">
        <v>760.11</v>
      </c>
      <c r="N37" s="6">
        <v>5081.88</v>
      </c>
    </row>
    <row r="38" spans="1:15">
      <c r="A38" s="3" t="s">
        <v>89</v>
      </c>
      <c r="B38" s="3" t="s">
        <v>9</v>
      </c>
      <c r="C38" s="4">
        <v>2199</v>
      </c>
      <c r="D38" s="4">
        <v>16111</v>
      </c>
      <c r="E38" s="4">
        <v>72216338667305</v>
      </c>
      <c r="F38" s="4">
        <v>30548083156</v>
      </c>
      <c r="G38" s="3" t="s">
        <v>39</v>
      </c>
      <c r="H38" s="4">
        <v>1</v>
      </c>
      <c r="I38" s="3" t="s">
        <v>12</v>
      </c>
      <c r="J38" s="6">
        <v>6137.17</v>
      </c>
      <c r="K38" s="6">
        <v>0</v>
      </c>
      <c r="L38" s="6">
        <v>0</v>
      </c>
      <c r="M38" s="6">
        <v>1158.48</v>
      </c>
      <c r="N38" s="6">
        <v>7442.53</v>
      </c>
    </row>
    <row r="39" spans="1:15">
      <c r="A39" s="3" t="s">
        <v>90</v>
      </c>
      <c r="B39" s="3" t="s">
        <v>9</v>
      </c>
      <c r="C39" s="4">
        <v>2188</v>
      </c>
      <c r="D39" s="4">
        <v>65664</v>
      </c>
      <c r="E39" s="4">
        <v>72216419372098</v>
      </c>
      <c r="F39" s="4">
        <v>30548083156</v>
      </c>
      <c r="G39" s="3" t="s">
        <v>39</v>
      </c>
      <c r="H39" s="4">
        <v>1</v>
      </c>
      <c r="I39" s="3" t="s">
        <v>12</v>
      </c>
      <c r="J39" s="6">
        <v>9008.2199999999993</v>
      </c>
      <c r="K39" s="6">
        <v>0</v>
      </c>
      <c r="L39" s="6">
        <v>0</v>
      </c>
      <c r="M39" s="6">
        <v>1835.95</v>
      </c>
      <c r="N39" s="6">
        <v>11633.07</v>
      </c>
    </row>
    <row r="40" spans="1:15">
      <c r="A40" s="3" t="s">
        <v>104</v>
      </c>
      <c r="B40" s="3" t="s">
        <v>9</v>
      </c>
      <c r="C40" s="4">
        <v>2199</v>
      </c>
      <c r="D40" s="4">
        <v>16203</v>
      </c>
      <c r="E40" s="4">
        <v>72226824717623</v>
      </c>
      <c r="F40" s="4">
        <v>30548083156</v>
      </c>
      <c r="G40" s="3" t="s">
        <v>39</v>
      </c>
      <c r="H40" s="4">
        <v>1</v>
      </c>
      <c r="I40" s="3" t="s">
        <v>12</v>
      </c>
      <c r="J40" s="6">
        <v>4872.93</v>
      </c>
      <c r="K40" s="6">
        <v>0</v>
      </c>
      <c r="L40" s="6">
        <v>0</v>
      </c>
      <c r="M40" s="6">
        <v>941.98</v>
      </c>
      <c r="N40" s="6">
        <v>5937.86</v>
      </c>
    </row>
    <row r="41" spans="1:15">
      <c r="A41" s="3" t="s">
        <v>107</v>
      </c>
      <c r="B41" s="3" t="s">
        <v>9</v>
      </c>
      <c r="C41" s="4">
        <v>3</v>
      </c>
      <c r="D41" s="4">
        <v>171705</v>
      </c>
      <c r="E41" s="4">
        <v>72224976742805</v>
      </c>
      <c r="F41" s="4">
        <v>30693293754</v>
      </c>
      <c r="G41" s="8" t="s">
        <v>108</v>
      </c>
      <c r="H41" s="9">
        <v>1</v>
      </c>
      <c r="I41" s="8" t="s">
        <v>12</v>
      </c>
      <c r="J41" s="10">
        <v>12246.68</v>
      </c>
      <c r="K41" s="10">
        <v>0</v>
      </c>
      <c r="L41" s="10">
        <v>0</v>
      </c>
      <c r="M41" s="10">
        <v>2571.8000000000002</v>
      </c>
      <c r="N41" s="10">
        <v>14818.48</v>
      </c>
      <c r="O41" s="7">
        <f>SUM(J41:J42)</f>
        <v>52940.18</v>
      </c>
    </row>
    <row r="42" spans="1:15">
      <c r="A42" s="3" t="s">
        <v>107</v>
      </c>
      <c r="B42" s="3" t="s">
        <v>9</v>
      </c>
      <c r="C42" s="4">
        <v>3</v>
      </c>
      <c r="D42" s="4">
        <v>171704</v>
      </c>
      <c r="E42" s="4">
        <v>72224976670431</v>
      </c>
      <c r="F42" s="4">
        <v>30693293754</v>
      </c>
      <c r="G42" s="8" t="s">
        <v>108</v>
      </c>
      <c r="H42" s="9">
        <v>1</v>
      </c>
      <c r="I42" s="8" t="s">
        <v>12</v>
      </c>
      <c r="J42" s="10">
        <v>40693.5</v>
      </c>
      <c r="K42" s="10">
        <v>0</v>
      </c>
      <c r="L42" s="10">
        <v>0</v>
      </c>
      <c r="M42" s="10">
        <v>8545.64</v>
      </c>
      <c r="N42" s="10">
        <v>49239.13</v>
      </c>
    </row>
    <row r="43" spans="1:15">
      <c r="A43" s="3" t="s">
        <v>67</v>
      </c>
      <c r="B43" s="3" t="s">
        <v>9</v>
      </c>
      <c r="C43" s="4">
        <v>3</v>
      </c>
      <c r="D43" s="4">
        <v>207</v>
      </c>
      <c r="E43" s="4">
        <v>72198675503861</v>
      </c>
      <c r="F43" s="4">
        <v>20145337918</v>
      </c>
      <c r="G43" s="3" t="s">
        <v>69</v>
      </c>
      <c r="H43" s="4">
        <v>1</v>
      </c>
      <c r="I43" s="3" t="s">
        <v>12</v>
      </c>
      <c r="J43" s="6">
        <v>24000</v>
      </c>
      <c r="K43" s="6">
        <v>0</v>
      </c>
      <c r="L43" s="6">
        <v>0</v>
      </c>
      <c r="M43" s="6">
        <v>5040</v>
      </c>
      <c r="N43" s="6">
        <v>31254</v>
      </c>
    </row>
    <row r="44" spans="1:15">
      <c r="A44" s="3" t="s">
        <v>67</v>
      </c>
      <c r="B44" s="3" t="s">
        <v>9</v>
      </c>
      <c r="C44" s="4">
        <v>3</v>
      </c>
      <c r="D44" s="4">
        <v>206</v>
      </c>
      <c r="E44" s="4">
        <v>72198675271026</v>
      </c>
      <c r="F44" s="4">
        <v>20145337918</v>
      </c>
      <c r="G44" s="3" t="s">
        <v>69</v>
      </c>
      <c r="H44" s="4">
        <v>1</v>
      </c>
      <c r="I44" s="3" t="s">
        <v>12</v>
      </c>
      <c r="J44" s="6">
        <v>14900</v>
      </c>
      <c r="K44" s="6">
        <v>0</v>
      </c>
      <c r="L44" s="6">
        <v>0</v>
      </c>
      <c r="M44" s="6">
        <v>3129</v>
      </c>
      <c r="N44" s="6">
        <v>18659</v>
      </c>
    </row>
    <row r="45" spans="1:15">
      <c r="A45" s="3" t="s">
        <v>90</v>
      </c>
      <c r="B45" s="3" t="s">
        <v>9</v>
      </c>
      <c r="C45" s="4">
        <v>2012</v>
      </c>
      <c r="D45" s="4">
        <v>21830</v>
      </c>
      <c r="E45" s="4">
        <v>72210393250977</v>
      </c>
      <c r="F45" s="4">
        <v>30516186670</v>
      </c>
      <c r="G45" s="3" t="s">
        <v>93</v>
      </c>
      <c r="H45" s="4">
        <v>1</v>
      </c>
      <c r="I45" s="3" t="s">
        <v>12</v>
      </c>
      <c r="J45" s="6">
        <v>719.56</v>
      </c>
      <c r="K45" s="6">
        <v>0</v>
      </c>
      <c r="L45" s="6">
        <v>0</v>
      </c>
      <c r="M45" s="6">
        <v>151.11000000000001</v>
      </c>
      <c r="N45" s="6">
        <v>1050.92</v>
      </c>
    </row>
    <row r="46" spans="1:15">
      <c r="A46" s="3" t="s">
        <v>96</v>
      </c>
      <c r="B46" s="3" t="s">
        <v>9</v>
      </c>
      <c r="C46" s="4">
        <v>2036</v>
      </c>
      <c r="D46" s="4">
        <v>18270</v>
      </c>
      <c r="E46" s="4">
        <v>72210617557604</v>
      </c>
      <c r="F46" s="4">
        <v>30516186670</v>
      </c>
      <c r="G46" s="3" t="s">
        <v>93</v>
      </c>
      <c r="H46" s="4">
        <v>1</v>
      </c>
      <c r="I46" s="3" t="s">
        <v>12</v>
      </c>
      <c r="J46" s="6">
        <v>3378.76</v>
      </c>
      <c r="K46" s="6">
        <v>0</v>
      </c>
      <c r="L46" s="6">
        <v>0</v>
      </c>
      <c r="M46" s="6">
        <v>709.54</v>
      </c>
      <c r="N46" s="6">
        <v>5043</v>
      </c>
    </row>
    <row r="47" spans="1:15">
      <c r="A47" s="3" t="s">
        <v>82</v>
      </c>
      <c r="B47" s="3" t="s">
        <v>9</v>
      </c>
      <c r="C47" s="4">
        <v>5</v>
      </c>
      <c r="D47" s="4">
        <v>18445</v>
      </c>
      <c r="E47" s="4">
        <v>72207082804813</v>
      </c>
      <c r="F47" s="4">
        <v>30616146447</v>
      </c>
      <c r="G47" s="3" t="s">
        <v>83</v>
      </c>
      <c r="H47" s="4">
        <v>1</v>
      </c>
      <c r="I47" s="3" t="s">
        <v>12</v>
      </c>
      <c r="J47" s="6">
        <v>60000</v>
      </c>
      <c r="K47" s="6">
        <v>0</v>
      </c>
      <c r="L47" s="6">
        <v>0</v>
      </c>
      <c r="M47" s="6">
        <v>12600</v>
      </c>
      <c r="N47" s="6">
        <v>72600</v>
      </c>
    </row>
    <row r="48" spans="1:15">
      <c r="A48" s="3" t="s">
        <v>74</v>
      </c>
      <c r="B48" s="3" t="s">
        <v>9</v>
      </c>
      <c r="C48" s="4">
        <v>3</v>
      </c>
      <c r="D48" s="4">
        <v>216775</v>
      </c>
      <c r="E48" s="4">
        <v>72205881351080</v>
      </c>
      <c r="F48" s="4">
        <v>30709131865</v>
      </c>
      <c r="G48" s="3" t="s">
        <v>76</v>
      </c>
      <c r="H48" s="4">
        <v>1</v>
      </c>
      <c r="I48" s="3" t="s">
        <v>12</v>
      </c>
      <c r="J48" s="6">
        <v>367.72</v>
      </c>
      <c r="K48" s="6">
        <v>0</v>
      </c>
      <c r="L48" s="6">
        <v>0</v>
      </c>
      <c r="M48" s="6">
        <v>77.22</v>
      </c>
      <c r="N48" s="6">
        <v>444.94</v>
      </c>
    </row>
    <row r="49" spans="1:15">
      <c r="A49" s="3" t="s">
        <v>58</v>
      </c>
      <c r="B49" s="3" t="s">
        <v>9</v>
      </c>
      <c r="C49" s="4">
        <v>2</v>
      </c>
      <c r="D49" s="4">
        <v>7386</v>
      </c>
      <c r="E49" s="4">
        <v>72193540878267</v>
      </c>
      <c r="F49" s="4">
        <v>30714284963</v>
      </c>
      <c r="G49" s="3" t="s">
        <v>60</v>
      </c>
      <c r="H49" s="4">
        <v>1</v>
      </c>
      <c r="I49" s="3" t="s">
        <v>12</v>
      </c>
      <c r="J49" s="6">
        <v>12500</v>
      </c>
      <c r="K49" s="6">
        <v>0</v>
      </c>
      <c r="L49" s="6">
        <v>0</v>
      </c>
      <c r="M49" s="6">
        <v>2625</v>
      </c>
      <c r="N49" s="6">
        <v>15125</v>
      </c>
    </row>
    <row r="50" spans="1:15">
      <c r="A50" s="3" t="s">
        <v>58</v>
      </c>
      <c r="B50" s="3" t="s">
        <v>9</v>
      </c>
      <c r="C50" s="4">
        <v>3333</v>
      </c>
      <c r="D50" s="4">
        <v>4231</v>
      </c>
      <c r="E50" s="4">
        <v>72199496697750</v>
      </c>
      <c r="F50" s="4">
        <v>30526874249</v>
      </c>
      <c r="G50" s="3" t="s">
        <v>65</v>
      </c>
      <c r="H50" s="4">
        <v>1</v>
      </c>
      <c r="I50" s="3" t="s">
        <v>12</v>
      </c>
      <c r="J50" s="6">
        <v>50677.83</v>
      </c>
      <c r="K50" s="6">
        <v>0</v>
      </c>
      <c r="L50" s="6">
        <v>0</v>
      </c>
      <c r="M50" s="6">
        <v>5321.17</v>
      </c>
      <c r="N50" s="6">
        <v>55999</v>
      </c>
    </row>
    <row r="51" spans="1:15">
      <c r="A51" s="3" t="s">
        <v>96</v>
      </c>
      <c r="B51" s="3" t="s">
        <v>35</v>
      </c>
      <c r="C51" s="4">
        <v>11</v>
      </c>
      <c r="D51" s="4">
        <v>593</v>
      </c>
      <c r="E51" s="4">
        <v>72218679079585</v>
      </c>
      <c r="F51" s="4">
        <v>20045468128</v>
      </c>
      <c r="G51" s="3" t="s">
        <v>97</v>
      </c>
      <c r="H51" s="4">
        <v>1</v>
      </c>
      <c r="I51" s="3" t="s">
        <v>12</v>
      </c>
      <c r="J51" s="6"/>
      <c r="K51" s="6"/>
      <c r="L51" s="6"/>
      <c r="M51" s="6"/>
      <c r="N51" s="6">
        <v>13750</v>
      </c>
    </row>
    <row r="52" spans="1:15">
      <c r="A52" s="3" t="s">
        <v>18</v>
      </c>
      <c r="B52" s="3" t="s">
        <v>9</v>
      </c>
      <c r="C52" s="4">
        <v>5</v>
      </c>
      <c r="D52" s="4">
        <v>2880</v>
      </c>
      <c r="E52" s="4">
        <v>72186859350951</v>
      </c>
      <c r="F52" s="4">
        <v>30714734446</v>
      </c>
      <c r="G52" s="3" t="s">
        <v>25</v>
      </c>
      <c r="H52" s="4">
        <v>1</v>
      </c>
      <c r="I52" s="3" t="s">
        <v>12</v>
      </c>
      <c r="J52" s="6">
        <v>3790.66</v>
      </c>
      <c r="K52" s="6">
        <v>0</v>
      </c>
      <c r="L52" s="6">
        <v>0</v>
      </c>
      <c r="M52" s="6">
        <v>796.04</v>
      </c>
      <c r="N52" s="6">
        <v>4586.7</v>
      </c>
    </row>
    <row r="53" spans="1:15">
      <c r="A53" s="3" t="s">
        <v>48</v>
      </c>
      <c r="B53" s="3" t="s">
        <v>9</v>
      </c>
      <c r="C53" s="4">
        <v>5</v>
      </c>
      <c r="D53" s="4">
        <v>2895</v>
      </c>
      <c r="E53" s="4">
        <v>72196419858427</v>
      </c>
      <c r="F53" s="4">
        <v>30714734446</v>
      </c>
      <c r="G53" s="3" t="s">
        <v>25</v>
      </c>
      <c r="H53" s="4">
        <v>1</v>
      </c>
      <c r="I53" s="3" t="s">
        <v>12</v>
      </c>
      <c r="J53" s="6">
        <v>3003.09</v>
      </c>
      <c r="K53" s="6">
        <v>0</v>
      </c>
      <c r="L53" s="6">
        <v>0</v>
      </c>
      <c r="M53" s="6">
        <v>630.65</v>
      </c>
      <c r="N53" s="6">
        <v>3633.74</v>
      </c>
    </row>
    <row r="54" spans="1:15">
      <c r="A54" s="3" t="s">
        <v>74</v>
      </c>
      <c r="B54" s="3" t="s">
        <v>9</v>
      </c>
      <c r="C54" s="4">
        <v>5</v>
      </c>
      <c r="D54" s="4">
        <v>2923</v>
      </c>
      <c r="E54" s="4">
        <v>72206879011541</v>
      </c>
      <c r="F54" s="4">
        <v>30714734446</v>
      </c>
      <c r="G54" s="3" t="s">
        <v>25</v>
      </c>
      <c r="H54" s="4">
        <v>1</v>
      </c>
      <c r="I54" s="3" t="s">
        <v>12</v>
      </c>
      <c r="J54" s="6">
        <v>4177.9799999999996</v>
      </c>
      <c r="K54" s="6">
        <v>0</v>
      </c>
      <c r="L54" s="6">
        <v>0</v>
      </c>
      <c r="M54" s="6">
        <v>877.38</v>
      </c>
      <c r="N54" s="6">
        <v>5055.3599999999997</v>
      </c>
    </row>
    <row r="55" spans="1:15">
      <c r="A55" s="3" t="s">
        <v>110</v>
      </c>
      <c r="B55" s="3" t="s">
        <v>9</v>
      </c>
      <c r="C55" s="4">
        <v>4</v>
      </c>
      <c r="D55" s="4">
        <v>34801</v>
      </c>
      <c r="E55" s="4">
        <v>72227024513540</v>
      </c>
      <c r="F55" s="4">
        <v>30585948817</v>
      </c>
      <c r="G55" s="8" t="s">
        <v>111</v>
      </c>
      <c r="H55" s="9">
        <v>1</v>
      </c>
      <c r="I55" s="8" t="s">
        <v>12</v>
      </c>
      <c r="J55" s="10">
        <v>186738.79</v>
      </c>
      <c r="K55" s="10">
        <v>0</v>
      </c>
      <c r="L55" s="10">
        <v>0</v>
      </c>
      <c r="M55" s="10">
        <v>39215.15</v>
      </c>
      <c r="N55" s="10">
        <v>237158.27</v>
      </c>
      <c r="O55" s="7">
        <f>SUM(J55)</f>
        <v>186738.79</v>
      </c>
    </row>
    <row r="56" spans="1:15">
      <c r="A56" s="3" t="s">
        <v>18</v>
      </c>
      <c r="B56" s="3" t="s">
        <v>9</v>
      </c>
      <c r="C56" s="4">
        <v>629</v>
      </c>
      <c r="D56" s="4">
        <v>3202658</v>
      </c>
      <c r="E56" s="4">
        <v>32173144291295</v>
      </c>
      <c r="F56" s="4">
        <v>30663498513</v>
      </c>
      <c r="G56" s="3" t="s">
        <v>23</v>
      </c>
      <c r="H56" s="4">
        <v>1</v>
      </c>
      <c r="I56" s="3" t="s">
        <v>12</v>
      </c>
      <c r="J56" s="6">
        <v>2222.29</v>
      </c>
      <c r="K56" s="6">
        <v>0</v>
      </c>
      <c r="L56" s="6">
        <v>0</v>
      </c>
      <c r="M56" s="6">
        <v>466.71</v>
      </c>
      <c r="N56" s="6">
        <v>2689</v>
      </c>
    </row>
    <row r="57" spans="1:15">
      <c r="A57" s="3" t="s">
        <v>78</v>
      </c>
      <c r="B57" s="3" t="s">
        <v>9</v>
      </c>
      <c r="C57" s="4">
        <v>629</v>
      </c>
      <c r="D57" s="4">
        <v>3240582</v>
      </c>
      <c r="E57" s="4">
        <v>32193158435114</v>
      </c>
      <c r="F57" s="4">
        <v>30663498513</v>
      </c>
      <c r="G57" s="3" t="s">
        <v>23</v>
      </c>
      <c r="H57" s="4">
        <v>1</v>
      </c>
      <c r="I57" s="3" t="s">
        <v>12</v>
      </c>
      <c r="J57" s="6">
        <v>1548.74</v>
      </c>
      <c r="K57" s="6">
        <v>0</v>
      </c>
      <c r="L57" s="6">
        <v>0</v>
      </c>
      <c r="M57" s="6">
        <v>325.26</v>
      </c>
      <c r="N57" s="6">
        <v>1874</v>
      </c>
    </row>
    <row r="58" spans="1:15">
      <c r="A58" s="3" t="s">
        <v>99</v>
      </c>
      <c r="B58" s="3" t="s">
        <v>9</v>
      </c>
      <c r="C58" s="4">
        <v>10</v>
      </c>
      <c r="D58" s="4">
        <v>542</v>
      </c>
      <c r="E58" s="4">
        <v>72212728342111</v>
      </c>
      <c r="F58" s="4">
        <v>30710982712</v>
      </c>
      <c r="G58" s="3" t="s">
        <v>100</v>
      </c>
      <c r="H58" s="4">
        <v>1</v>
      </c>
      <c r="I58" s="3" t="s">
        <v>12</v>
      </c>
      <c r="J58" s="6">
        <v>10329.75</v>
      </c>
      <c r="K58" s="6">
        <v>0</v>
      </c>
      <c r="L58" s="6">
        <v>0</v>
      </c>
      <c r="M58" s="6">
        <v>2169.25</v>
      </c>
      <c r="N58" s="6">
        <v>12499</v>
      </c>
    </row>
    <row r="59" spans="1:15">
      <c r="A59" s="3" t="s">
        <v>94</v>
      </c>
      <c r="B59" s="3" t="s">
        <v>9</v>
      </c>
      <c r="C59" s="4">
        <v>8</v>
      </c>
      <c r="D59" s="4">
        <v>631</v>
      </c>
      <c r="E59" s="4">
        <v>72213496735485</v>
      </c>
      <c r="F59" s="4">
        <v>20388915413</v>
      </c>
      <c r="G59" s="8" t="s">
        <v>95</v>
      </c>
      <c r="H59" s="9">
        <v>1</v>
      </c>
      <c r="I59" s="8" t="s">
        <v>12</v>
      </c>
      <c r="J59" s="10">
        <v>52000</v>
      </c>
      <c r="K59" s="10">
        <v>0</v>
      </c>
      <c r="L59" s="10">
        <v>0</v>
      </c>
      <c r="M59" s="10">
        <v>10920</v>
      </c>
      <c r="N59" s="10">
        <v>62920</v>
      </c>
    </row>
    <row r="60" spans="1:15">
      <c r="A60" s="3" t="s">
        <v>32</v>
      </c>
      <c r="B60" s="3" t="s">
        <v>9</v>
      </c>
      <c r="C60" s="4">
        <v>1</v>
      </c>
      <c r="D60" s="4">
        <v>35</v>
      </c>
      <c r="E60" s="4">
        <v>72183030635498</v>
      </c>
      <c r="F60" s="4">
        <v>30716010313</v>
      </c>
      <c r="G60" s="8" t="s">
        <v>34</v>
      </c>
      <c r="H60" s="9">
        <v>1</v>
      </c>
      <c r="I60" s="8" t="s">
        <v>12</v>
      </c>
      <c r="J60" s="10">
        <v>32000</v>
      </c>
      <c r="K60" s="10">
        <v>0</v>
      </c>
      <c r="L60" s="10">
        <v>0</v>
      </c>
      <c r="M60" s="10">
        <v>6720</v>
      </c>
      <c r="N60" s="10">
        <v>38720</v>
      </c>
    </row>
    <row r="61" spans="1:15">
      <c r="A61" s="3" t="s">
        <v>99</v>
      </c>
      <c r="B61" s="3" t="s">
        <v>9</v>
      </c>
      <c r="C61" s="4">
        <v>1</v>
      </c>
      <c r="D61" s="4">
        <v>13</v>
      </c>
      <c r="E61" s="4">
        <v>72217743017718</v>
      </c>
      <c r="F61" s="4">
        <v>30717305287</v>
      </c>
      <c r="G61" s="8" t="s">
        <v>101</v>
      </c>
      <c r="H61" s="9">
        <v>1</v>
      </c>
      <c r="I61" s="8" t="s">
        <v>12</v>
      </c>
      <c r="J61" s="10">
        <v>60000</v>
      </c>
      <c r="K61" s="10">
        <v>0</v>
      </c>
      <c r="L61" s="10">
        <v>0</v>
      </c>
      <c r="M61" s="10">
        <v>12600</v>
      </c>
      <c r="N61" s="10">
        <v>72600</v>
      </c>
      <c r="O61" s="7">
        <f>SUM(J59:J63)</f>
        <v>744000</v>
      </c>
    </row>
    <row r="62" spans="1:15">
      <c r="A62" s="3" t="s">
        <v>99</v>
      </c>
      <c r="B62" s="3" t="s">
        <v>102</v>
      </c>
      <c r="C62" s="4">
        <v>1</v>
      </c>
      <c r="D62" s="4">
        <v>1</v>
      </c>
      <c r="E62" s="4">
        <v>72217742784861</v>
      </c>
      <c r="F62" s="4">
        <v>30717305287</v>
      </c>
      <c r="G62" s="8" t="s">
        <v>101</v>
      </c>
      <c r="H62" s="9">
        <v>1</v>
      </c>
      <c r="I62" s="8" t="s">
        <v>12</v>
      </c>
      <c r="J62" s="10">
        <v>300000</v>
      </c>
      <c r="K62" s="10">
        <v>0</v>
      </c>
      <c r="L62" s="10">
        <v>0</v>
      </c>
      <c r="M62" s="10">
        <v>63000</v>
      </c>
      <c r="N62" s="10">
        <v>363000</v>
      </c>
    </row>
    <row r="63" spans="1:15">
      <c r="A63" s="3" t="s">
        <v>99</v>
      </c>
      <c r="B63" s="3" t="s">
        <v>9</v>
      </c>
      <c r="C63" s="4">
        <v>1</v>
      </c>
      <c r="D63" s="4">
        <v>12</v>
      </c>
      <c r="E63" s="4">
        <v>72217742209427</v>
      </c>
      <c r="F63" s="4">
        <v>30717305287</v>
      </c>
      <c r="G63" s="8" t="s">
        <v>101</v>
      </c>
      <c r="H63" s="9">
        <v>1</v>
      </c>
      <c r="I63" s="8" t="s">
        <v>12</v>
      </c>
      <c r="J63" s="10">
        <v>300000</v>
      </c>
      <c r="K63" s="10">
        <v>0</v>
      </c>
      <c r="L63" s="10">
        <v>0</v>
      </c>
      <c r="M63" s="10">
        <v>63000</v>
      </c>
      <c r="N63" s="10">
        <v>363000</v>
      </c>
    </row>
    <row r="64" spans="1:15">
      <c r="A64" s="3" t="s">
        <v>48</v>
      </c>
      <c r="B64" s="3" t="s">
        <v>9</v>
      </c>
      <c r="C64" s="4">
        <v>4</v>
      </c>
      <c r="D64" s="4">
        <v>10047</v>
      </c>
      <c r="E64" s="4">
        <v>72197420461908</v>
      </c>
      <c r="F64" s="4">
        <v>30715594427</v>
      </c>
      <c r="G64" s="3" t="s">
        <v>54</v>
      </c>
      <c r="H64" s="4">
        <v>1</v>
      </c>
      <c r="I64" s="3" t="s">
        <v>12</v>
      </c>
      <c r="J64" s="6">
        <v>600</v>
      </c>
      <c r="K64" s="6">
        <v>0</v>
      </c>
      <c r="L64" s="6">
        <v>0</v>
      </c>
      <c r="M64" s="6">
        <v>126</v>
      </c>
      <c r="N64" s="6">
        <v>726</v>
      </c>
    </row>
    <row r="65" spans="1:15">
      <c r="A65" s="3" t="s">
        <v>78</v>
      </c>
      <c r="B65" s="3" t="s">
        <v>9</v>
      </c>
      <c r="C65" s="4">
        <v>7</v>
      </c>
      <c r="D65" s="4">
        <v>2598</v>
      </c>
      <c r="E65" s="4">
        <v>72209958389221</v>
      </c>
      <c r="F65" s="4">
        <v>20308861059</v>
      </c>
      <c r="G65" s="3" t="s">
        <v>79</v>
      </c>
      <c r="H65" s="4">
        <v>1</v>
      </c>
      <c r="I65" s="3" t="s">
        <v>12</v>
      </c>
      <c r="J65" s="6">
        <v>5657.02</v>
      </c>
      <c r="K65" s="6">
        <v>0</v>
      </c>
      <c r="L65" s="6">
        <v>0</v>
      </c>
      <c r="M65" s="6">
        <v>1187.98</v>
      </c>
      <c r="N65" s="6">
        <v>6845</v>
      </c>
    </row>
    <row r="66" spans="1:15">
      <c r="A66" s="3" t="s">
        <v>58</v>
      </c>
      <c r="B66" s="3" t="s">
        <v>9</v>
      </c>
      <c r="C66" s="4">
        <v>4</v>
      </c>
      <c r="D66" s="4">
        <v>2373</v>
      </c>
      <c r="E66" s="4">
        <v>72196530225931</v>
      </c>
      <c r="F66" s="4">
        <v>30708669306</v>
      </c>
      <c r="G66" s="8" t="s">
        <v>63</v>
      </c>
      <c r="H66" s="9">
        <v>1</v>
      </c>
      <c r="I66" s="8" t="s">
        <v>12</v>
      </c>
      <c r="J66" s="10">
        <v>225000</v>
      </c>
      <c r="K66" s="10">
        <v>0</v>
      </c>
      <c r="L66" s="10">
        <v>0</v>
      </c>
      <c r="M66" s="10">
        <v>47250</v>
      </c>
      <c r="N66" s="10">
        <v>272250</v>
      </c>
      <c r="O66" s="7">
        <f>SUM(J66:N66)</f>
        <v>544500</v>
      </c>
    </row>
    <row r="67" spans="1:15">
      <c r="A67" s="3" t="s">
        <v>71</v>
      </c>
      <c r="B67" s="3" t="s">
        <v>9</v>
      </c>
      <c r="C67" s="4">
        <v>12</v>
      </c>
      <c r="D67" s="4">
        <v>374316</v>
      </c>
      <c r="E67" s="4">
        <v>72202917535619</v>
      </c>
      <c r="F67" s="4">
        <v>30707296832</v>
      </c>
      <c r="G67" s="3" t="s">
        <v>72</v>
      </c>
      <c r="H67" s="4">
        <v>1</v>
      </c>
      <c r="I67" s="3" t="s">
        <v>12</v>
      </c>
      <c r="J67" s="6">
        <v>2365.29</v>
      </c>
      <c r="K67" s="6">
        <v>0</v>
      </c>
      <c r="L67" s="6">
        <v>0</v>
      </c>
      <c r="M67" s="6">
        <v>496.71</v>
      </c>
      <c r="N67" s="6">
        <v>2862</v>
      </c>
    </row>
    <row r="68" spans="1:15">
      <c r="A68" s="3" t="s">
        <v>99</v>
      </c>
      <c r="B68" s="3" t="s">
        <v>35</v>
      </c>
      <c r="C68" s="4">
        <v>6</v>
      </c>
      <c r="D68" s="4">
        <v>107</v>
      </c>
      <c r="E68" s="4">
        <v>72219770873504</v>
      </c>
      <c r="F68" s="4">
        <v>20286401989</v>
      </c>
      <c r="G68" s="3" t="s">
        <v>103</v>
      </c>
      <c r="H68" s="4">
        <v>1</v>
      </c>
      <c r="I68" s="3" t="s">
        <v>12</v>
      </c>
      <c r="J68" s="6"/>
      <c r="K68" s="6"/>
      <c r="L68" s="6"/>
      <c r="M68" s="6"/>
      <c r="N68" s="6">
        <v>100000</v>
      </c>
    </row>
    <row r="69" spans="1:15">
      <c r="A69" s="3" t="s">
        <v>58</v>
      </c>
      <c r="B69" s="3" t="s">
        <v>9</v>
      </c>
      <c r="C69" s="4">
        <v>3</v>
      </c>
      <c r="D69" s="4">
        <v>6029</v>
      </c>
      <c r="E69" s="4">
        <v>72190548902009</v>
      </c>
      <c r="F69" s="4">
        <v>30708006420</v>
      </c>
      <c r="G69" s="8" t="s">
        <v>66</v>
      </c>
      <c r="H69" s="9">
        <v>1</v>
      </c>
      <c r="I69" s="8" t="s">
        <v>12</v>
      </c>
      <c r="J69" s="10">
        <v>110000</v>
      </c>
      <c r="K69" s="10">
        <v>0</v>
      </c>
      <c r="L69" s="10">
        <v>0</v>
      </c>
      <c r="M69" s="10">
        <v>23100</v>
      </c>
      <c r="N69" s="10">
        <v>133100</v>
      </c>
    </row>
    <row r="70" spans="1:15">
      <c r="A70" s="3" t="s">
        <v>107</v>
      </c>
      <c r="B70" s="3" t="s">
        <v>9</v>
      </c>
      <c r="C70" s="4">
        <v>3</v>
      </c>
      <c r="D70" s="4">
        <v>6064</v>
      </c>
      <c r="E70" s="4">
        <v>72220923847933</v>
      </c>
      <c r="F70" s="4">
        <v>30708006420</v>
      </c>
      <c r="G70" s="8" t="s">
        <v>66</v>
      </c>
      <c r="H70" s="9">
        <v>1</v>
      </c>
      <c r="I70" s="8" t="s">
        <v>12</v>
      </c>
      <c r="J70" s="10">
        <v>28000</v>
      </c>
      <c r="K70" s="10">
        <v>0</v>
      </c>
      <c r="L70" s="10">
        <v>0</v>
      </c>
      <c r="M70" s="10">
        <v>5880</v>
      </c>
      <c r="N70" s="10">
        <v>33880</v>
      </c>
      <c r="O70" s="7">
        <f>SUM(J69:J71)</f>
        <v>202530</v>
      </c>
    </row>
    <row r="71" spans="1:15">
      <c r="A71" s="3" t="s">
        <v>41</v>
      </c>
      <c r="B71" s="3" t="s">
        <v>9</v>
      </c>
      <c r="C71" s="4">
        <v>5</v>
      </c>
      <c r="D71" s="4">
        <v>41079</v>
      </c>
      <c r="E71" s="4">
        <v>72186173164840</v>
      </c>
      <c r="F71" s="4">
        <v>30709932876</v>
      </c>
      <c r="G71" s="8" t="s">
        <v>43</v>
      </c>
      <c r="H71" s="9">
        <v>1</v>
      </c>
      <c r="I71" s="8" t="s">
        <v>12</v>
      </c>
      <c r="J71" s="10">
        <v>64530</v>
      </c>
      <c r="K71" s="10">
        <v>0</v>
      </c>
      <c r="L71" s="10">
        <v>0</v>
      </c>
      <c r="M71" s="10">
        <v>13551.3</v>
      </c>
      <c r="N71" s="10">
        <v>81953.100000000006</v>
      </c>
    </row>
    <row r="72" spans="1:15">
      <c r="A72" s="3" t="s">
        <v>105</v>
      </c>
      <c r="B72" s="3" t="s">
        <v>9</v>
      </c>
      <c r="C72" s="4">
        <v>27</v>
      </c>
      <c r="D72" s="4">
        <v>368166</v>
      </c>
      <c r="E72" s="4">
        <v>72224980812056</v>
      </c>
      <c r="F72" s="4">
        <v>30703088534</v>
      </c>
      <c r="G72" s="3" t="s">
        <v>106</v>
      </c>
      <c r="H72" s="4">
        <v>1</v>
      </c>
      <c r="I72" s="3" t="s">
        <v>12</v>
      </c>
      <c r="J72" s="6">
        <v>117981.34</v>
      </c>
      <c r="K72" s="6">
        <v>0</v>
      </c>
      <c r="L72" s="6">
        <v>0</v>
      </c>
      <c r="M72" s="6">
        <v>24776.080000000002</v>
      </c>
      <c r="N72" s="6">
        <v>153375.79999999999</v>
      </c>
    </row>
    <row r="73" spans="1:15">
      <c r="A73" s="3" t="s">
        <v>105</v>
      </c>
      <c r="B73" s="3" t="s">
        <v>102</v>
      </c>
      <c r="C73" s="4">
        <v>27</v>
      </c>
      <c r="D73" s="4">
        <v>23277</v>
      </c>
      <c r="E73" s="4">
        <v>72224986976860</v>
      </c>
      <c r="F73" s="4">
        <v>30703088534</v>
      </c>
      <c r="G73" s="3" t="s">
        <v>106</v>
      </c>
      <c r="H73" s="4">
        <v>1</v>
      </c>
      <c r="I73" s="3" t="s">
        <v>12</v>
      </c>
      <c r="J73" s="6">
        <v>179.5</v>
      </c>
      <c r="K73" s="6">
        <v>0</v>
      </c>
      <c r="L73" s="6">
        <v>0</v>
      </c>
      <c r="M73" s="6">
        <v>37.700000000000003</v>
      </c>
      <c r="N73" s="6">
        <v>222.58</v>
      </c>
    </row>
    <row r="74" spans="1:15">
      <c r="A74" s="3" t="s">
        <v>105</v>
      </c>
      <c r="B74" s="3" t="s">
        <v>102</v>
      </c>
      <c r="C74" s="4">
        <v>27</v>
      </c>
      <c r="D74" s="4">
        <v>23289</v>
      </c>
      <c r="E74" s="4">
        <v>72224986977816</v>
      </c>
      <c r="F74" s="4">
        <v>30703088534</v>
      </c>
      <c r="G74" s="3" t="s">
        <v>106</v>
      </c>
      <c r="H74" s="4">
        <v>1</v>
      </c>
      <c r="I74" s="3" t="s">
        <v>12</v>
      </c>
      <c r="J74" s="6">
        <v>206.43</v>
      </c>
      <c r="K74" s="6">
        <v>0</v>
      </c>
      <c r="L74" s="6">
        <v>0</v>
      </c>
      <c r="M74" s="6">
        <v>43.35</v>
      </c>
      <c r="N74" s="6">
        <v>255.97</v>
      </c>
    </row>
    <row r="75" spans="1:15">
      <c r="A75" s="3" t="s">
        <v>96</v>
      </c>
      <c r="B75" s="3" t="s">
        <v>9</v>
      </c>
      <c r="C75" s="4">
        <v>10</v>
      </c>
      <c r="D75" s="4">
        <v>1334</v>
      </c>
      <c r="E75" s="4">
        <v>72219645236800</v>
      </c>
      <c r="F75" s="4">
        <v>23127284369</v>
      </c>
      <c r="G75" s="3" t="s">
        <v>98</v>
      </c>
      <c r="H75" s="4">
        <v>1</v>
      </c>
      <c r="I75" s="3" t="s">
        <v>12</v>
      </c>
      <c r="J75" s="6">
        <v>12719.06</v>
      </c>
      <c r="K75" s="6">
        <v>0</v>
      </c>
      <c r="L75" s="6">
        <v>0</v>
      </c>
      <c r="M75" s="6">
        <v>2671</v>
      </c>
      <c r="N75" s="6">
        <v>15390.06</v>
      </c>
    </row>
    <row r="76" spans="1:15">
      <c r="A76" s="3" t="s">
        <v>78</v>
      </c>
      <c r="B76" s="3" t="s">
        <v>9</v>
      </c>
      <c r="C76" s="4">
        <v>7</v>
      </c>
      <c r="D76" s="4">
        <v>6426</v>
      </c>
      <c r="E76" s="4">
        <v>72209009124541</v>
      </c>
      <c r="F76" s="4">
        <v>30708017759</v>
      </c>
      <c r="G76" s="3" t="s">
        <v>80</v>
      </c>
      <c r="H76" s="4">
        <v>1</v>
      </c>
      <c r="I76" s="3" t="s">
        <v>12</v>
      </c>
      <c r="J76" s="6">
        <v>203360</v>
      </c>
      <c r="K76" s="6">
        <v>0</v>
      </c>
      <c r="L76" s="6">
        <v>0</v>
      </c>
      <c r="M76" s="6">
        <v>42705.599999999999</v>
      </c>
      <c r="N76" s="6">
        <v>258267.2</v>
      </c>
    </row>
    <row r="77" spans="1:15">
      <c r="A77" s="3" t="s">
        <v>41</v>
      </c>
      <c r="B77" s="3" t="s">
        <v>9</v>
      </c>
      <c r="C77" s="4">
        <v>2</v>
      </c>
      <c r="D77" s="4">
        <v>30121</v>
      </c>
      <c r="E77" s="4">
        <v>72189162207324</v>
      </c>
      <c r="F77" s="4">
        <v>33714232199</v>
      </c>
      <c r="G77" s="3" t="s">
        <v>44</v>
      </c>
      <c r="H77" s="4">
        <v>1</v>
      </c>
      <c r="I77" s="3" t="s">
        <v>12</v>
      </c>
      <c r="J77" s="6">
        <v>17640</v>
      </c>
      <c r="K77" s="6">
        <v>0</v>
      </c>
      <c r="L77" s="6">
        <v>0</v>
      </c>
      <c r="M77" s="6">
        <v>3704.4</v>
      </c>
      <c r="N77" s="6">
        <v>21344.400000000001</v>
      </c>
    </row>
    <row r="78" spans="1:15">
      <c r="A78" s="3" t="s">
        <v>84</v>
      </c>
      <c r="B78" s="3" t="s">
        <v>9</v>
      </c>
      <c r="C78" s="4">
        <v>1</v>
      </c>
      <c r="D78" s="4">
        <v>62</v>
      </c>
      <c r="E78" s="4">
        <v>72207178803011</v>
      </c>
      <c r="F78" s="4">
        <v>20077604627</v>
      </c>
      <c r="G78" s="8" t="s">
        <v>85</v>
      </c>
      <c r="H78" s="9">
        <v>1</v>
      </c>
      <c r="I78" s="8" t="s">
        <v>12</v>
      </c>
      <c r="J78" s="10">
        <v>127680</v>
      </c>
      <c r="K78" s="10">
        <v>0</v>
      </c>
      <c r="L78" s="10">
        <v>0</v>
      </c>
      <c r="M78" s="10">
        <v>26812.799999999999</v>
      </c>
      <c r="N78" s="10">
        <v>154492.79999999999</v>
      </c>
      <c r="O78" s="7">
        <f>SUM(J78:N78)</f>
        <v>308985.59999999998</v>
      </c>
    </row>
    <row r="79" spans="1:15">
      <c r="A79" s="3" t="s">
        <v>28</v>
      </c>
      <c r="B79" s="3" t="s">
        <v>9</v>
      </c>
      <c r="C79" s="4">
        <v>6850</v>
      </c>
      <c r="D79" s="4">
        <v>7117</v>
      </c>
      <c r="E79" s="4">
        <v>72185956857383</v>
      </c>
      <c r="F79" s="4">
        <v>30678774495</v>
      </c>
      <c r="G79" s="3" t="s">
        <v>30</v>
      </c>
      <c r="H79" s="4">
        <v>1</v>
      </c>
      <c r="I79" s="3" t="s">
        <v>12</v>
      </c>
      <c r="J79" s="6">
        <v>2716.59</v>
      </c>
      <c r="K79" s="6">
        <v>0</v>
      </c>
      <c r="L79" s="6">
        <v>0</v>
      </c>
      <c r="M79" s="6">
        <v>570.49</v>
      </c>
      <c r="N79" s="6">
        <v>4000.3</v>
      </c>
    </row>
    <row r="80" spans="1:15">
      <c r="A80" s="3" t="s">
        <v>58</v>
      </c>
      <c r="B80" s="3" t="s">
        <v>9</v>
      </c>
      <c r="C80" s="4">
        <v>8012</v>
      </c>
      <c r="D80" s="4">
        <v>4218</v>
      </c>
      <c r="E80" s="4">
        <v>72195512677498</v>
      </c>
      <c r="F80" s="4">
        <v>30678774495</v>
      </c>
      <c r="G80" s="3" t="s">
        <v>30</v>
      </c>
      <c r="H80" s="4">
        <v>1</v>
      </c>
      <c r="I80" s="3" t="s">
        <v>12</v>
      </c>
      <c r="J80" s="6">
        <v>3330.61</v>
      </c>
      <c r="K80" s="6">
        <v>0</v>
      </c>
      <c r="L80" s="6">
        <v>0</v>
      </c>
      <c r="M80" s="6">
        <v>699.43</v>
      </c>
      <c r="N80" s="6">
        <v>4751.99</v>
      </c>
    </row>
    <row r="81" spans="1:15">
      <c r="A81" s="3" t="s">
        <v>82</v>
      </c>
      <c r="B81" s="3" t="s">
        <v>9</v>
      </c>
      <c r="C81" s="4">
        <v>7154</v>
      </c>
      <c r="D81" s="4">
        <v>4301</v>
      </c>
      <c r="E81" s="4">
        <v>72205148062493</v>
      </c>
      <c r="F81" s="4">
        <v>30678774495</v>
      </c>
      <c r="G81" s="3" t="s">
        <v>30</v>
      </c>
      <c r="H81" s="4">
        <v>1</v>
      </c>
      <c r="I81" s="3" t="s">
        <v>12</v>
      </c>
      <c r="J81" s="6">
        <v>3205.69</v>
      </c>
      <c r="K81" s="6">
        <v>0</v>
      </c>
      <c r="L81" s="6">
        <v>0</v>
      </c>
      <c r="M81" s="6">
        <v>673.2</v>
      </c>
      <c r="N81" s="6">
        <v>4600.71</v>
      </c>
    </row>
    <row r="82" spans="1:15">
      <c r="A82" s="3" t="s">
        <v>84</v>
      </c>
      <c r="B82" s="3" t="s">
        <v>9</v>
      </c>
      <c r="C82" s="4">
        <v>7152</v>
      </c>
      <c r="D82" s="4">
        <v>4867</v>
      </c>
      <c r="E82" s="4">
        <v>72205169354423</v>
      </c>
      <c r="F82" s="4">
        <v>30678774495</v>
      </c>
      <c r="G82" s="3" t="s">
        <v>30</v>
      </c>
      <c r="H82" s="4">
        <v>1</v>
      </c>
      <c r="I82" s="3" t="s">
        <v>12</v>
      </c>
      <c r="J82" s="6">
        <v>2997.35</v>
      </c>
      <c r="K82" s="6">
        <v>0</v>
      </c>
      <c r="L82" s="6">
        <v>0</v>
      </c>
      <c r="M82" s="6">
        <v>629.44000000000005</v>
      </c>
      <c r="N82" s="6">
        <v>4301.7</v>
      </c>
    </row>
    <row r="83" spans="1:15">
      <c r="A83" s="3" t="s">
        <v>110</v>
      </c>
      <c r="B83" s="3" t="s">
        <v>9</v>
      </c>
      <c r="C83" s="4">
        <v>7296</v>
      </c>
      <c r="D83" s="4">
        <v>5125</v>
      </c>
      <c r="E83" s="4">
        <v>72225050066072</v>
      </c>
      <c r="F83" s="4">
        <v>30678774495</v>
      </c>
      <c r="G83" s="3" t="s">
        <v>30</v>
      </c>
      <c r="H83" s="4">
        <v>1</v>
      </c>
      <c r="I83" s="3" t="s">
        <v>12</v>
      </c>
      <c r="J83" s="6">
        <v>3135.6</v>
      </c>
      <c r="K83" s="6">
        <v>0</v>
      </c>
      <c r="L83" s="6">
        <v>0</v>
      </c>
      <c r="M83" s="6">
        <v>658.48</v>
      </c>
      <c r="N83" s="6">
        <v>4500.1099999999997</v>
      </c>
    </row>
    <row r="84" spans="1:15">
      <c r="A84" s="3" t="s">
        <v>32</v>
      </c>
      <c r="B84" s="3" t="s">
        <v>9</v>
      </c>
      <c r="C84" s="4">
        <v>6</v>
      </c>
      <c r="D84" s="4">
        <v>266</v>
      </c>
      <c r="E84" s="4">
        <v>72189049742722</v>
      </c>
      <c r="F84" s="4">
        <v>20219190469</v>
      </c>
      <c r="G84" s="8" t="s">
        <v>40</v>
      </c>
      <c r="H84" s="9">
        <v>1</v>
      </c>
      <c r="I84" s="8" t="s">
        <v>12</v>
      </c>
      <c r="J84" s="10">
        <v>45991.8</v>
      </c>
      <c r="K84" s="10">
        <v>0</v>
      </c>
      <c r="L84" s="10">
        <v>0</v>
      </c>
      <c r="M84" s="10">
        <v>9658.2800000000007</v>
      </c>
      <c r="N84" s="10">
        <v>55650.080000000002</v>
      </c>
      <c r="O84" s="7">
        <f>SUM(J84:J85)</f>
        <v>252203.03999999998</v>
      </c>
    </row>
    <row r="85" spans="1:15">
      <c r="A85" s="3" t="s">
        <v>84</v>
      </c>
      <c r="B85" s="3" t="s">
        <v>9</v>
      </c>
      <c r="C85" s="4">
        <v>6</v>
      </c>
      <c r="D85" s="4">
        <v>274</v>
      </c>
      <c r="E85" s="4">
        <v>72209212239880</v>
      </c>
      <c r="F85" s="4">
        <v>20219190469</v>
      </c>
      <c r="G85" s="8" t="s">
        <v>40</v>
      </c>
      <c r="H85" s="9">
        <v>1</v>
      </c>
      <c r="I85" s="8" t="s">
        <v>12</v>
      </c>
      <c r="J85" s="10">
        <v>206211.24</v>
      </c>
      <c r="K85" s="10">
        <v>0</v>
      </c>
      <c r="L85" s="10">
        <v>0</v>
      </c>
      <c r="M85" s="10">
        <v>43304.36</v>
      </c>
      <c r="N85" s="10">
        <v>249515.6</v>
      </c>
    </row>
    <row r="86" spans="1:15">
      <c r="A86" s="3" t="s">
        <v>48</v>
      </c>
      <c r="B86" s="3" t="s">
        <v>9</v>
      </c>
      <c r="C86" s="4">
        <v>4</v>
      </c>
      <c r="D86" s="4">
        <v>15754</v>
      </c>
      <c r="E86" s="4">
        <v>72192461530469</v>
      </c>
      <c r="F86" s="4">
        <v>30714971782</v>
      </c>
      <c r="G86" s="3" t="s">
        <v>49</v>
      </c>
      <c r="H86" s="4">
        <v>1</v>
      </c>
      <c r="I86" s="3" t="s">
        <v>12</v>
      </c>
      <c r="J86" s="6">
        <v>400.83</v>
      </c>
      <c r="K86" s="6">
        <v>0</v>
      </c>
      <c r="L86" s="6">
        <v>0</v>
      </c>
      <c r="M86" s="6">
        <v>84.17</v>
      </c>
      <c r="N86" s="6">
        <v>485</v>
      </c>
    </row>
    <row r="87" spans="1:15">
      <c r="A87" s="3" t="s">
        <v>90</v>
      </c>
      <c r="B87" s="3" t="s">
        <v>9</v>
      </c>
      <c r="C87" s="4">
        <v>4</v>
      </c>
      <c r="D87" s="4">
        <v>16432</v>
      </c>
      <c r="E87" s="4">
        <v>72215402811316</v>
      </c>
      <c r="F87" s="4">
        <v>30552433595</v>
      </c>
      <c r="G87" s="8" t="s">
        <v>92</v>
      </c>
      <c r="H87" s="9">
        <v>1</v>
      </c>
      <c r="I87" s="8" t="s">
        <v>12</v>
      </c>
      <c r="J87" s="10">
        <v>299076.3</v>
      </c>
      <c r="K87" s="10">
        <v>0</v>
      </c>
      <c r="L87" s="10">
        <v>0</v>
      </c>
      <c r="M87" s="10">
        <v>62806.02</v>
      </c>
      <c r="N87" s="10">
        <v>361882.32</v>
      </c>
      <c r="O87" s="7">
        <f>SUM(J87:J89)</f>
        <v>422296.61</v>
      </c>
    </row>
    <row r="88" spans="1:15">
      <c r="A88" s="3" t="s">
        <v>96</v>
      </c>
      <c r="B88" s="3" t="s">
        <v>9</v>
      </c>
      <c r="C88" s="4">
        <v>4</v>
      </c>
      <c r="D88" s="4">
        <v>16470</v>
      </c>
      <c r="E88" s="4">
        <v>72215647919495</v>
      </c>
      <c r="F88" s="4">
        <v>30552433595</v>
      </c>
      <c r="G88" s="8" t="s">
        <v>92</v>
      </c>
      <c r="H88" s="9">
        <v>1</v>
      </c>
      <c r="I88" s="8" t="s">
        <v>12</v>
      </c>
      <c r="J88" s="10">
        <v>55890.9</v>
      </c>
      <c r="K88" s="10">
        <v>0</v>
      </c>
      <c r="L88" s="10">
        <v>0</v>
      </c>
      <c r="M88" s="10">
        <v>11737.09</v>
      </c>
      <c r="N88" s="10">
        <v>67627.990000000005</v>
      </c>
    </row>
    <row r="89" spans="1:15">
      <c r="A89" s="3" t="s">
        <v>78</v>
      </c>
      <c r="B89" s="3" t="s">
        <v>9</v>
      </c>
      <c r="C89" s="4">
        <v>3</v>
      </c>
      <c r="D89" s="4">
        <v>268111</v>
      </c>
      <c r="E89" s="4">
        <v>72209998457353</v>
      </c>
      <c r="F89" s="4">
        <v>33643358749</v>
      </c>
      <c r="G89" s="8" t="s">
        <v>81</v>
      </c>
      <c r="H89" s="9">
        <v>1</v>
      </c>
      <c r="I89" s="8" t="s">
        <v>12</v>
      </c>
      <c r="J89" s="10">
        <v>67329.41</v>
      </c>
      <c r="K89" s="10">
        <v>0</v>
      </c>
      <c r="L89" s="10">
        <v>0</v>
      </c>
      <c r="M89" s="10">
        <v>7069.59</v>
      </c>
      <c r="N89" s="10">
        <v>74399</v>
      </c>
    </row>
    <row r="90" spans="1:15">
      <c r="A90" s="3" t="s">
        <v>48</v>
      </c>
      <c r="B90" s="3" t="s">
        <v>9</v>
      </c>
      <c r="C90" s="4">
        <v>6</v>
      </c>
      <c r="D90" s="4">
        <v>12181455</v>
      </c>
      <c r="E90" s="4">
        <v>72197411686548</v>
      </c>
      <c r="F90" s="4">
        <v>30620177497</v>
      </c>
      <c r="G90" s="3" t="s">
        <v>55</v>
      </c>
      <c r="H90" s="4">
        <v>1</v>
      </c>
      <c r="I90" s="3" t="s">
        <v>12</v>
      </c>
      <c r="J90" s="6">
        <v>1990</v>
      </c>
      <c r="K90" s="6">
        <v>0</v>
      </c>
      <c r="L90" s="6">
        <v>0</v>
      </c>
      <c r="M90" s="6">
        <v>417.9</v>
      </c>
      <c r="N90" s="6">
        <v>2587</v>
      </c>
    </row>
    <row r="91" spans="1:15">
      <c r="A91" s="3" t="s">
        <v>48</v>
      </c>
      <c r="B91" s="3" t="s">
        <v>9</v>
      </c>
      <c r="C91" s="4">
        <v>6</v>
      </c>
      <c r="D91" s="4">
        <v>12181477</v>
      </c>
      <c r="E91" s="4">
        <v>72197411686857</v>
      </c>
      <c r="F91" s="4">
        <v>30620177497</v>
      </c>
      <c r="G91" s="3" t="s">
        <v>55</v>
      </c>
      <c r="H91" s="4">
        <v>1</v>
      </c>
      <c r="I91" s="3" t="s">
        <v>12</v>
      </c>
      <c r="J91" s="6">
        <v>1990</v>
      </c>
      <c r="K91" s="6">
        <v>0</v>
      </c>
      <c r="L91" s="6">
        <v>0</v>
      </c>
      <c r="M91" s="6">
        <v>417.9</v>
      </c>
      <c r="N91" s="6">
        <v>2587</v>
      </c>
    </row>
    <row r="92" spans="1:15">
      <c r="A92" s="3" t="s">
        <v>48</v>
      </c>
      <c r="B92" s="3" t="s">
        <v>9</v>
      </c>
      <c r="C92" s="4">
        <v>6</v>
      </c>
      <c r="D92" s="4">
        <v>12181503</v>
      </c>
      <c r="E92" s="4">
        <v>72197411687167</v>
      </c>
      <c r="F92" s="4">
        <v>30620177497</v>
      </c>
      <c r="G92" s="3" t="s">
        <v>55</v>
      </c>
      <c r="H92" s="4">
        <v>1</v>
      </c>
      <c r="I92" s="3" t="s">
        <v>12</v>
      </c>
      <c r="J92" s="6">
        <v>1990</v>
      </c>
      <c r="K92" s="6">
        <v>0</v>
      </c>
      <c r="L92" s="6">
        <v>0</v>
      </c>
      <c r="M92" s="6">
        <v>417.9</v>
      </c>
      <c r="N92" s="6">
        <v>2587</v>
      </c>
    </row>
    <row r="93" spans="1:15">
      <c r="A93" s="3" t="s">
        <v>48</v>
      </c>
      <c r="B93" s="3" t="s">
        <v>9</v>
      </c>
      <c r="C93" s="4">
        <v>6</v>
      </c>
      <c r="D93" s="4">
        <v>12181522</v>
      </c>
      <c r="E93" s="4">
        <v>72197411687374</v>
      </c>
      <c r="F93" s="4">
        <v>30620177497</v>
      </c>
      <c r="G93" s="3" t="s">
        <v>55</v>
      </c>
      <c r="H93" s="4">
        <v>1</v>
      </c>
      <c r="I93" s="3" t="s">
        <v>12</v>
      </c>
      <c r="J93" s="6">
        <v>5970</v>
      </c>
      <c r="K93" s="6">
        <v>0</v>
      </c>
      <c r="L93" s="6">
        <v>0</v>
      </c>
      <c r="M93" s="6">
        <v>1253.7</v>
      </c>
      <c r="N93" s="6">
        <v>7761</v>
      </c>
    </row>
    <row r="94" spans="1:15">
      <c r="A94" s="3" t="s">
        <v>58</v>
      </c>
      <c r="B94" s="3" t="s">
        <v>9</v>
      </c>
      <c r="C94" s="4">
        <v>5</v>
      </c>
      <c r="D94" s="4">
        <v>19197</v>
      </c>
      <c r="E94" s="4">
        <v>72192522287376</v>
      </c>
      <c r="F94" s="4">
        <v>30708041722</v>
      </c>
      <c r="G94" s="3" t="s">
        <v>59</v>
      </c>
      <c r="H94" s="3">
        <v>121.5</v>
      </c>
      <c r="I94" s="3" t="s">
        <v>51</v>
      </c>
      <c r="J94" s="6">
        <v>1275</v>
      </c>
      <c r="K94" s="6">
        <v>0</v>
      </c>
      <c r="L94" s="6">
        <v>0</v>
      </c>
      <c r="M94" s="6">
        <v>267.75</v>
      </c>
      <c r="N94" s="6">
        <v>1542.75</v>
      </c>
    </row>
    <row r="95" spans="1:15">
      <c r="A95" s="3" t="s">
        <v>107</v>
      </c>
      <c r="B95" s="3" t="s">
        <v>9</v>
      </c>
      <c r="C95" s="4">
        <v>60</v>
      </c>
      <c r="D95" s="4">
        <v>54029</v>
      </c>
      <c r="E95" s="4">
        <v>72229983829949</v>
      </c>
      <c r="F95" s="4">
        <v>30517345039</v>
      </c>
      <c r="G95" s="8" t="s">
        <v>109</v>
      </c>
      <c r="H95" s="9">
        <v>1</v>
      </c>
      <c r="I95" s="8" t="s">
        <v>12</v>
      </c>
      <c r="J95" s="10">
        <v>40156.5</v>
      </c>
      <c r="K95" s="10">
        <v>0</v>
      </c>
      <c r="L95" s="10">
        <v>0</v>
      </c>
      <c r="M95" s="10">
        <v>8432.8700000000008</v>
      </c>
      <c r="N95" s="10">
        <v>50998.76</v>
      </c>
      <c r="O95" s="7">
        <f>SUM(J95)</f>
        <v>40156.5</v>
      </c>
    </row>
    <row r="96" spans="1:15">
      <c r="A96" s="3" t="s">
        <v>58</v>
      </c>
      <c r="B96" s="3" t="s">
        <v>35</v>
      </c>
      <c r="C96" s="4">
        <v>1</v>
      </c>
      <c r="D96" s="4">
        <v>39</v>
      </c>
      <c r="E96" s="4">
        <v>72194511169985</v>
      </c>
      <c r="F96" s="4">
        <v>20231009524</v>
      </c>
      <c r="G96" s="3" t="s">
        <v>61</v>
      </c>
      <c r="H96" s="4">
        <v>1</v>
      </c>
      <c r="I96" s="3" t="s">
        <v>12</v>
      </c>
      <c r="J96" s="6"/>
      <c r="K96" s="6"/>
      <c r="L96" s="6"/>
      <c r="M96" s="6"/>
      <c r="N96" s="6">
        <v>70000</v>
      </c>
    </row>
    <row r="97" spans="1:15">
      <c r="A97" s="3" t="s">
        <v>67</v>
      </c>
      <c r="B97" s="3" t="s">
        <v>9</v>
      </c>
      <c r="C97" s="4">
        <v>3</v>
      </c>
      <c r="D97" s="4">
        <v>6990</v>
      </c>
      <c r="E97" s="4">
        <v>72197608114304</v>
      </c>
      <c r="F97" s="4">
        <v>30679163317</v>
      </c>
      <c r="G97" s="8" t="s">
        <v>68</v>
      </c>
      <c r="H97" s="9">
        <v>1</v>
      </c>
      <c r="I97" s="8" t="s">
        <v>12</v>
      </c>
      <c r="J97" s="10">
        <v>1818.18</v>
      </c>
      <c r="K97" s="10">
        <v>0</v>
      </c>
      <c r="L97" s="10">
        <v>0</v>
      </c>
      <c r="M97" s="10">
        <v>381.82</v>
      </c>
      <c r="N97" s="10">
        <v>2200</v>
      </c>
    </row>
    <row r="98" spans="1:15">
      <c r="A98" s="3" t="s">
        <v>107</v>
      </c>
      <c r="B98" s="3" t="s">
        <v>9</v>
      </c>
      <c r="C98" s="4">
        <v>3</v>
      </c>
      <c r="D98" s="4">
        <v>7029</v>
      </c>
      <c r="E98" s="4">
        <v>72227976108657</v>
      </c>
      <c r="F98" s="4">
        <v>30679163317</v>
      </c>
      <c r="G98" s="8" t="s">
        <v>68</v>
      </c>
      <c r="H98" s="9">
        <v>1</v>
      </c>
      <c r="I98" s="8" t="s">
        <v>12</v>
      </c>
      <c r="J98" s="10">
        <v>3636.36</v>
      </c>
      <c r="K98" s="10">
        <v>0</v>
      </c>
      <c r="L98" s="10">
        <v>0</v>
      </c>
      <c r="M98" s="10">
        <v>763.64</v>
      </c>
      <c r="N98" s="10">
        <v>4400</v>
      </c>
      <c r="O98" s="7">
        <f>SUM(J97:J101)</f>
        <v>128654.66</v>
      </c>
    </row>
    <row r="99" spans="1:15">
      <c r="A99" s="3" t="s">
        <v>45</v>
      </c>
      <c r="B99" s="3" t="s">
        <v>9</v>
      </c>
      <c r="C99" s="4">
        <v>16</v>
      </c>
      <c r="D99" s="4">
        <v>11388</v>
      </c>
      <c r="E99" s="4">
        <v>72192360802675</v>
      </c>
      <c r="F99" s="4">
        <v>30687059812</v>
      </c>
      <c r="G99" s="8" t="s">
        <v>46</v>
      </c>
      <c r="H99" s="9">
        <v>1</v>
      </c>
      <c r="I99" s="8" t="s">
        <v>12</v>
      </c>
      <c r="J99" s="10">
        <v>1227.27</v>
      </c>
      <c r="K99" s="10">
        <v>0</v>
      </c>
      <c r="L99" s="10">
        <v>0</v>
      </c>
      <c r="M99" s="10">
        <v>257.73</v>
      </c>
      <c r="N99" s="10">
        <v>1485</v>
      </c>
    </row>
    <row r="100" spans="1:15">
      <c r="A100" s="3" t="s">
        <v>28</v>
      </c>
      <c r="B100" s="3" t="s">
        <v>9</v>
      </c>
      <c r="C100" s="4">
        <v>9</v>
      </c>
      <c r="D100" s="4">
        <v>4004</v>
      </c>
      <c r="E100" s="4">
        <v>72183991613476</v>
      </c>
      <c r="F100" s="4">
        <v>30697262063</v>
      </c>
      <c r="G100" s="8" t="s">
        <v>29</v>
      </c>
      <c r="H100" s="9">
        <v>1</v>
      </c>
      <c r="I100" s="8" t="s">
        <v>12</v>
      </c>
      <c r="J100" s="10">
        <v>59357.47</v>
      </c>
      <c r="K100" s="10">
        <v>0</v>
      </c>
      <c r="L100" s="10">
        <v>0</v>
      </c>
      <c r="M100" s="10">
        <v>6232.53</v>
      </c>
      <c r="N100" s="10">
        <v>65590</v>
      </c>
    </row>
    <row r="101" spans="1:15">
      <c r="A101" s="3" t="s">
        <v>107</v>
      </c>
      <c r="B101" s="3" t="s">
        <v>9</v>
      </c>
      <c r="C101" s="4">
        <v>9</v>
      </c>
      <c r="D101" s="4">
        <v>4219</v>
      </c>
      <c r="E101" s="4">
        <v>72223965650148</v>
      </c>
      <c r="F101" s="4">
        <v>30697262063</v>
      </c>
      <c r="G101" s="8" t="s">
        <v>29</v>
      </c>
      <c r="H101" s="9">
        <v>1</v>
      </c>
      <c r="I101" s="8" t="s">
        <v>12</v>
      </c>
      <c r="J101" s="10">
        <v>62615.38</v>
      </c>
      <c r="K101" s="10">
        <v>0</v>
      </c>
      <c r="L101" s="10">
        <v>0</v>
      </c>
      <c r="M101" s="10">
        <v>6574.61</v>
      </c>
      <c r="N101" s="10">
        <v>69189.990000000005</v>
      </c>
    </row>
    <row r="102" spans="1:15">
      <c r="A102" s="3" t="s">
        <v>67</v>
      </c>
      <c r="B102" s="3" t="s">
        <v>35</v>
      </c>
      <c r="C102" s="4">
        <v>3</v>
      </c>
      <c r="D102" s="4">
        <v>322</v>
      </c>
      <c r="E102" s="4">
        <v>72194596621582</v>
      </c>
      <c r="F102" s="4">
        <v>20210551574</v>
      </c>
      <c r="G102" s="3" t="s">
        <v>70</v>
      </c>
      <c r="H102" s="4">
        <v>1</v>
      </c>
      <c r="I102" s="3" t="s">
        <v>12</v>
      </c>
      <c r="J102" s="6"/>
      <c r="K102" s="6"/>
      <c r="L102" s="6"/>
      <c r="M102" s="6"/>
      <c r="N102" s="6">
        <v>30000</v>
      </c>
    </row>
    <row r="103" spans="1:15">
      <c r="A103" s="3" t="s">
        <v>45</v>
      </c>
      <c r="B103" s="3" t="s">
        <v>9</v>
      </c>
      <c r="C103" s="4">
        <v>1676</v>
      </c>
      <c r="D103" s="4">
        <v>1632</v>
      </c>
      <c r="E103" s="4">
        <v>72199371641247</v>
      </c>
      <c r="F103" s="4">
        <v>30589621499</v>
      </c>
      <c r="G103" s="3" t="s">
        <v>47</v>
      </c>
      <c r="H103" s="4">
        <v>1</v>
      </c>
      <c r="I103" s="3" t="s">
        <v>12</v>
      </c>
      <c r="J103" s="6">
        <v>12931.52</v>
      </c>
      <c r="K103" s="6">
        <v>0</v>
      </c>
      <c r="L103" s="6">
        <v>0</v>
      </c>
      <c r="M103" s="6">
        <v>2664.62</v>
      </c>
      <c r="N103" s="6">
        <v>16752.689999999999</v>
      </c>
    </row>
    <row r="104" spans="1:15">
      <c r="A104" s="3" t="s">
        <v>18</v>
      </c>
      <c r="B104" s="3" t="s">
        <v>9</v>
      </c>
      <c r="C104" s="4">
        <v>3</v>
      </c>
      <c r="D104" s="4">
        <v>20345</v>
      </c>
      <c r="E104" s="4">
        <v>72181905401637</v>
      </c>
      <c r="F104" s="4">
        <v>30712121781</v>
      </c>
      <c r="G104" s="8" t="s">
        <v>19</v>
      </c>
      <c r="H104" s="9">
        <v>1</v>
      </c>
      <c r="I104" s="8" t="s">
        <v>12</v>
      </c>
      <c r="J104" s="10">
        <v>79378</v>
      </c>
      <c r="K104" s="10">
        <v>0</v>
      </c>
      <c r="L104" s="10">
        <v>0</v>
      </c>
      <c r="M104" s="10">
        <v>16669.38</v>
      </c>
      <c r="N104" s="10">
        <v>96047.38</v>
      </c>
    </row>
    <row r="105" spans="1:15">
      <c r="A105" s="3" t="s">
        <v>8</v>
      </c>
      <c r="B105" s="3" t="s">
        <v>9</v>
      </c>
      <c r="C105" s="4">
        <v>2</v>
      </c>
      <c r="D105" s="4">
        <v>3051</v>
      </c>
      <c r="E105" s="4">
        <v>72181858366250</v>
      </c>
      <c r="F105" s="4">
        <v>30629863571</v>
      </c>
      <c r="G105" s="8" t="s">
        <v>11</v>
      </c>
      <c r="H105" s="9">
        <v>1</v>
      </c>
      <c r="I105" s="8" t="s">
        <v>12</v>
      </c>
      <c r="J105" s="10">
        <v>203868.79</v>
      </c>
      <c r="K105" s="10">
        <v>0</v>
      </c>
      <c r="L105" s="10">
        <v>0</v>
      </c>
      <c r="M105" s="10">
        <v>42812.44</v>
      </c>
      <c r="N105" s="10">
        <v>246681.23</v>
      </c>
    </row>
    <row r="106" spans="1:15">
      <c r="A106" s="3" t="s">
        <v>32</v>
      </c>
      <c r="B106" s="3" t="s">
        <v>9</v>
      </c>
      <c r="C106" s="4">
        <v>2</v>
      </c>
      <c r="D106" s="4">
        <v>3053</v>
      </c>
      <c r="E106" s="4">
        <v>72181137825172</v>
      </c>
      <c r="F106" s="4">
        <v>30629863571</v>
      </c>
      <c r="G106" s="8" t="s">
        <v>11</v>
      </c>
      <c r="H106" s="9">
        <v>1</v>
      </c>
      <c r="I106" s="8" t="s">
        <v>12</v>
      </c>
      <c r="J106" s="10">
        <v>218334.75</v>
      </c>
      <c r="K106" s="10">
        <v>0</v>
      </c>
      <c r="L106" s="10">
        <v>0</v>
      </c>
      <c r="M106" s="10">
        <v>45850.29</v>
      </c>
      <c r="N106" s="10">
        <v>264185.03999999998</v>
      </c>
      <c r="O106" s="7">
        <f>SUM(J104:J109)</f>
        <v>1466742.6800000002</v>
      </c>
    </row>
    <row r="107" spans="1:15">
      <c r="A107" s="3" t="s">
        <v>58</v>
      </c>
      <c r="B107" s="3" t="s">
        <v>9</v>
      </c>
      <c r="C107" s="4">
        <v>2</v>
      </c>
      <c r="D107" s="4">
        <v>3058</v>
      </c>
      <c r="E107" s="4">
        <v>72191606197652</v>
      </c>
      <c r="F107" s="4">
        <v>30629863571</v>
      </c>
      <c r="G107" s="8" t="s">
        <v>11</v>
      </c>
      <c r="H107" s="9">
        <v>1</v>
      </c>
      <c r="I107" s="8" t="s">
        <v>12</v>
      </c>
      <c r="J107" s="10">
        <v>344562.47</v>
      </c>
      <c r="K107" s="10">
        <v>0</v>
      </c>
      <c r="L107" s="10">
        <v>0</v>
      </c>
      <c r="M107" s="10">
        <v>72358.12</v>
      </c>
      <c r="N107" s="10">
        <v>416920.59</v>
      </c>
    </row>
    <row r="108" spans="1:15">
      <c r="A108" s="3" t="s">
        <v>82</v>
      </c>
      <c r="B108" s="3" t="s">
        <v>9</v>
      </c>
      <c r="C108" s="4">
        <v>2</v>
      </c>
      <c r="D108" s="4">
        <v>3063</v>
      </c>
      <c r="E108" s="4">
        <v>72211489637403</v>
      </c>
      <c r="F108" s="4">
        <v>30629863571</v>
      </c>
      <c r="G108" s="8" t="s">
        <v>11</v>
      </c>
      <c r="H108" s="9">
        <v>1</v>
      </c>
      <c r="I108" s="8" t="s">
        <v>12</v>
      </c>
      <c r="J108" s="10">
        <v>428484.09</v>
      </c>
      <c r="K108" s="10">
        <v>0</v>
      </c>
      <c r="L108" s="10">
        <v>0</v>
      </c>
      <c r="M108" s="10">
        <v>89981.65</v>
      </c>
      <c r="N108" s="10">
        <v>518465.74</v>
      </c>
    </row>
    <row r="109" spans="1:15">
      <c r="A109" s="3" t="s">
        <v>110</v>
      </c>
      <c r="B109" s="3" t="s">
        <v>9</v>
      </c>
      <c r="C109" s="4">
        <v>2</v>
      </c>
      <c r="D109" s="4">
        <v>3068</v>
      </c>
      <c r="E109" s="4">
        <v>72221060168969</v>
      </c>
      <c r="F109" s="4">
        <v>30629863571</v>
      </c>
      <c r="G109" s="8" t="s">
        <v>11</v>
      </c>
      <c r="H109" s="9">
        <v>1</v>
      </c>
      <c r="I109" s="8" t="s">
        <v>12</v>
      </c>
      <c r="J109" s="10">
        <v>192114.58</v>
      </c>
      <c r="K109" s="10">
        <v>0</v>
      </c>
      <c r="L109" s="10">
        <v>0</v>
      </c>
      <c r="M109" s="10">
        <v>40344.06</v>
      </c>
      <c r="N109" s="10">
        <v>232458.64</v>
      </c>
    </row>
    <row r="110" spans="1:15">
      <c r="A110" s="3" t="s">
        <v>18</v>
      </c>
      <c r="B110" s="3" t="s">
        <v>9</v>
      </c>
      <c r="C110" s="4">
        <v>63</v>
      </c>
      <c r="D110" s="4">
        <v>1922035</v>
      </c>
      <c r="E110" s="4">
        <v>72197453018633</v>
      </c>
      <c r="F110" s="4">
        <v>30640897267</v>
      </c>
      <c r="G110" s="3" t="s">
        <v>26</v>
      </c>
      <c r="H110" s="4">
        <v>1</v>
      </c>
      <c r="I110" s="3" t="s">
        <v>12</v>
      </c>
      <c r="J110" s="6">
        <v>4873.51</v>
      </c>
      <c r="K110" s="6">
        <v>0</v>
      </c>
      <c r="L110" s="6">
        <v>0</v>
      </c>
      <c r="M110" s="6">
        <v>1023.44</v>
      </c>
      <c r="N110" s="6">
        <v>6335.57</v>
      </c>
    </row>
    <row r="111" spans="1:15">
      <c r="A111" s="3" t="s">
        <v>18</v>
      </c>
      <c r="B111" s="3" t="s">
        <v>9</v>
      </c>
      <c r="C111" s="4">
        <v>63</v>
      </c>
      <c r="D111" s="4">
        <v>1922645</v>
      </c>
      <c r="E111" s="4">
        <v>72197453063989</v>
      </c>
      <c r="F111" s="4">
        <v>30640897267</v>
      </c>
      <c r="G111" s="3" t="s">
        <v>26</v>
      </c>
      <c r="H111" s="4">
        <v>1</v>
      </c>
      <c r="I111" s="3" t="s">
        <v>12</v>
      </c>
      <c r="J111" s="6">
        <v>4873.51</v>
      </c>
      <c r="K111" s="6">
        <v>0</v>
      </c>
      <c r="L111" s="6">
        <v>0</v>
      </c>
      <c r="M111" s="6">
        <v>1023.44</v>
      </c>
      <c r="N111" s="6">
        <v>6335.57</v>
      </c>
    </row>
    <row r="112" spans="1:15">
      <c r="A112" s="3" t="s">
        <v>18</v>
      </c>
      <c r="B112" s="3" t="s">
        <v>9</v>
      </c>
      <c r="C112" s="4">
        <v>63</v>
      </c>
      <c r="D112" s="4">
        <v>1922195</v>
      </c>
      <c r="E112" s="4">
        <v>72197453031941</v>
      </c>
      <c r="F112" s="4">
        <v>30640897267</v>
      </c>
      <c r="G112" s="3" t="s">
        <v>26</v>
      </c>
      <c r="H112" s="4">
        <v>1</v>
      </c>
      <c r="I112" s="3" t="s">
        <v>12</v>
      </c>
      <c r="J112" s="6">
        <v>4595</v>
      </c>
      <c r="K112" s="6">
        <v>0</v>
      </c>
      <c r="L112" s="6">
        <v>0</v>
      </c>
      <c r="M112" s="6">
        <v>964.95</v>
      </c>
      <c r="N112" s="6">
        <v>5973.5</v>
      </c>
    </row>
    <row r="113" spans="1:16">
      <c r="A113" s="3" t="s">
        <v>48</v>
      </c>
      <c r="B113" s="3" t="s">
        <v>9</v>
      </c>
      <c r="C113" s="4">
        <v>6364</v>
      </c>
      <c r="D113" s="4">
        <v>6196845</v>
      </c>
      <c r="E113" s="4">
        <v>72198572761270</v>
      </c>
      <c r="F113" s="4">
        <v>30639453738</v>
      </c>
      <c r="G113" s="3" t="s">
        <v>56</v>
      </c>
      <c r="H113" s="4">
        <v>1</v>
      </c>
      <c r="I113" s="3" t="s">
        <v>12</v>
      </c>
      <c r="J113" s="6">
        <v>37804.26</v>
      </c>
      <c r="K113" s="6">
        <v>2.2799999999999998</v>
      </c>
      <c r="L113" s="6">
        <v>0</v>
      </c>
      <c r="M113" s="6">
        <v>8034.89</v>
      </c>
      <c r="N113" s="6">
        <v>49162.720000000001</v>
      </c>
    </row>
    <row r="114" spans="1:16">
      <c r="A114" s="3" t="s">
        <v>73</v>
      </c>
      <c r="B114" s="3" t="s">
        <v>9</v>
      </c>
      <c r="C114" s="4">
        <v>6723</v>
      </c>
      <c r="D114" s="4">
        <v>3912369</v>
      </c>
      <c r="E114" s="4">
        <v>72208856671243</v>
      </c>
      <c r="F114" s="4">
        <v>30639453738</v>
      </c>
      <c r="G114" s="3" t="s">
        <v>56</v>
      </c>
      <c r="H114" s="4">
        <v>1</v>
      </c>
      <c r="I114" s="3" t="s">
        <v>12</v>
      </c>
      <c r="J114" s="6">
        <v>4300</v>
      </c>
      <c r="K114" s="6">
        <v>0</v>
      </c>
      <c r="L114" s="6">
        <v>0</v>
      </c>
      <c r="M114" s="6">
        <v>903</v>
      </c>
      <c r="N114" s="6">
        <v>5590</v>
      </c>
    </row>
    <row r="115" spans="1:16">
      <c r="A115" s="3" t="s">
        <v>73</v>
      </c>
      <c r="B115" s="3" t="s">
        <v>9</v>
      </c>
      <c r="C115" s="4">
        <v>6723</v>
      </c>
      <c r="D115" s="4">
        <v>3875771</v>
      </c>
      <c r="E115" s="4">
        <v>72208846815824</v>
      </c>
      <c r="F115" s="4">
        <v>30639453738</v>
      </c>
      <c r="G115" s="3" t="s">
        <v>56</v>
      </c>
      <c r="H115" s="4">
        <v>1</v>
      </c>
      <c r="I115" s="3" t="s">
        <v>12</v>
      </c>
      <c r="J115" s="6">
        <v>3430</v>
      </c>
      <c r="K115" s="6">
        <v>0</v>
      </c>
      <c r="L115" s="6">
        <v>0</v>
      </c>
      <c r="M115" s="6">
        <v>720.3</v>
      </c>
      <c r="N115" s="6">
        <v>4459</v>
      </c>
    </row>
    <row r="116" spans="1:16">
      <c r="A116" s="3" t="s">
        <v>73</v>
      </c>
      <c r="B116" s="3" t="s">
        <v>9</v>
      </c>
      <c r="C116" s="4">
        <v>6723</v>
      </c>
      <c r="D116" s="4">
        <v>3882294</v>
      </c>
      <c r="E116" s="4">
        <v>72208847111314</v>
      </c>
      <c r="F116" s="4">
        <v>30639453738</v>
      </c>
      <c r="G116" s="3" t="s">
        <v>56</v>
      </c>
      <c r="H116" s="4">
        <v>1</v>
      </c>
      <c r="I116" s="3" t="s">
        <v>12</v>
      </c>
      <c r="J116" s="6">
        <v>1680</v>
      </c>
      <c r="K116" s="6">
        <v>0</v>
      </c>
      <c r="L116" s="6">
        <v>0</v>
      </c>
      <c r="M116" s="6">
        <v>352.8</v>
      </c>
      <c r="N116" s="6">
        <v>2032.8</v>
      </c>
    </row>
    <row r="117" spans="1:16">
      <c r="A117" s="3" t="s">
        <v>18</v>
      </c>
      <c r="B117" s="3" t="s">
        <v>9</v>
      </c>
      <c r="C117" s="4">
        <v>943</v>
      </c>
      <c r="D117" s="4">
        <v>1020394</v>
      </c>
      <c r="E117" s="4">
        <v>72185066544097</v>
      </c>
      <c r="F117" s="4">
        <v>30639453975</v>
      </c>
      <c r="G117" s="3" t="s">
        <v>24</v>
      </c>
      <c r="H117" s="4">
        <v>1</v>
      </c>
      <c r="I117" s="3" t="s">
        <v>12</v>
      </c>
      <c r="J117" s="6">
        <v>9234.0400000000009</v>
      </c>
      <c r="K117" s="6">
        <v>0</v>
      </c>
      <c r="L117" s="6">
        <v>0</v>
      </c>
      <c r="M117" s="6">
        <v>2493.19</v>
      </c>
      <c r="N117" s="6">
        <v>12558.29</v>
      </c>
    </row>
    <row r="118" spans="1:16">
      <c r="A118" s="3" t="s">
        <v>45</v>
      </c>
      <c r="B118" s="3" t="s">
        <v>9</v>
      </c>
      <c r="C118" s="4">
        <v>948</v>
      </c>
      <c r="D118" s="4">
        <v>644569</v>
      </c>
      <c r="E118" s="4">
        <v>72195522287419</v>
      </c>
      <c r="F118" s="4">
        <v>30639453975</v>
      </c>
      <c r="G118" s="3" t="s">
        <v>24</v>
      </c>
      <c r="H118" s="4">
        <v>1</v>
      </c>
      <c r="I118" s="3" t="s">
        <v>12</v>
      </c>
      <c r="J118" s="6">
        <v>2751.29</v>
      </c>
      <c r="K118" s="6">
        <v>0</v>
      </c>
      <c r="L118" s="6">
        <v>0</v>
      </c>
      <c r="M118" s="6">
        <v>742.85</v>
      </c>
      <c r="N118" s="6">
        <v>3741.76</v>
      </c>
    </row>
    <row r="119" spans="1:16">
      <c r="A119" s="3" t="s">
        <v>8</v>
      </c>
      <c r="B119" s="3" t="s">
        <v>9</v>
      </c>
      <c r="C119" s="4">
        <v>5</v>
      </c>
      <c r="D119" s="4">
        <v>7</v>
      </c>
      <c r="E119" s="4">
        <v>72189735879127</v>
      </c>
      <c r="F119" s="4">
        <v>23268367969</v>
      </c>
      <c r="G119" s="3" t="s">
        <v>17</v>
      </c>
      <c r="H119" s="4">
        <v>1</v>
      </c>
      <c r="I119" s="3" t="s">
        <v>12</v>
      </c>
      <c r="J119" s="6">
        <v>5429.88</v>
      </c>
      <c r="K119" s="6">
        <v>0</v>
      </c>
      <c r="L119" s="6">
        <v>0</v>
      </c>
      <c r="M119" s="6">
        <v>570.14</v>
      </c>
      <c r="N119" s="6">
        <v>6000.02</v>
      </c>
    </row>
    <row r="120" spans="1:16">
      <c r="A120" s="3" t="s">
        <v>74</v>
      </c>
      <c r="B120" s="3" t="s">
        <v>35</v>
      </c>
      <c r="C120" s="4">
        <v>3</v>
      </c>
      <c r="D120" s="4">
        <v>91</v>
      </c>
      <c r="E120" s="4">
        <v>72204949796615</v>
      </c>
      <c r="F120" s="4">
        <v>20174208094</v>
      </c>
      <c r="G120" s="3" t="s">
        <v>75</v>
      </c>
      <c r="H120" s="4">
        <v>1</v>
      </c>
      <c r="I120" s="3" t="s">
        <v>12</v>
      </c>
      <c r="J120" s="6"/>
      <c r="K120" s="6"/>
      <c r="L120" s="6"/>
      <c r="M120" s="6"/>
      <c r="N120" s="6">
        <v>44000</v>
      </c>
    </row>
    <row r="121" spans="1:16">
      <c r="A121" s="3" t="s">
        <v>18</v>
      </c>
      <c r="B121" s="3" t="s">
        <v>9</v>
      </c>
      <c r="C121" s="4">
        <v>2</v>
      </c>
      <c r="D121" s="4">
        <v>1799</v>
      </c>
      <c r="E121" s="4">
        <v>72182880323831</v>
      </c>
      <c r="F121" s="4">
        <v>30715811622</v>
      </c>
      <c r="G121" s="8" t="s">
        <v>22</v>
      </c>
      <c r="H121" s="9">
        <v>1</v>
      </c>
      <c r="I121" s="8" t="s">
        <v>12</v>
      </c>
      <c r="J121" s="10">
        <v>74876.039999999994</v>
      </c>
      <c r="K121" s="10">
        <v>0</v>
      </c>
      <c r="L121" s="10">
        <v>0</v>
      </c>
      <c r="M121" s="10">
        <v>15723.97</v>
      </c>
      <c r="N121" s="10">
        <v>90600.01</v>
      </c>
    </row>
    <row r="122" spans="1:16">
      <c r="A122" s="3" t="s">
        <v>78</v>
      </c>
      <c r="B122" s="3" t="s">
        <v>9</v>
      </c>
      <c r="C122" s="4">
        <v>2</v>
      </c>
      <c r="D122" s="4">
        <v>1820</v>
      </c>
      <c r="E122" s="4">
        <v>72202974669072</v>
      </c>
      <c r="F122" s="4">
        <v>30715811622</v>
      </c>
      <c r="G122" s="8" t="s">
        <v>22</v>
      </c>
      <c r="H122" s="9">
        <v>1</v>
      </c>
      <c r="I122" s="8" t="s">
        <v>12</v>
      </c>
      <c r="J122" s="10">
        <v>26942.14</v>
      </c>
      <c r="K122" s="10">
        <v>0</v>
      </c>
      <c r="L122" s="10">
        <v>0</v>
      </c>
      <c r="M122" s="10">
        <v>5657.85</v>
      </c>
      <c r="N122" s="10">
        <v>32599.99</v>
      </c>
      <c r="O122" s="7">
        <f>SUM(J121:J123)</f>
        <v>142355.35999999999</v>
      </c>
    </row>
    <row r="123" spans="1:16">
      <c r="A123" s="3" t="s">
        <v>82</v>
      </c>
      <c r="B123" s="3" t="s">
        <v>9</v>
      </c>
      <c r="C123" s="4">
        <v>2</v>
      </c>
      <c r="D123" s="4">
        <v>1821</v>
      </c>
      <c r="E123" s="4">
        <v>72202072791064</v>
      </c>
      <c r="F123" s="4">
        <v>30715811622</v>
      </c>
      <c r="G123" s="8" t="s">
        <v>22</v>
      </c>
      <c r="H123" s="9">
        <v>1</v>
      </c>
      <c r="I123" s="8" t="s">
        <v>12</v>
      </c>
      <c r="J123" s="10">
        <v>40537.18</v>
      </c>
      <c r="K123" s="10">
        <v>0</v>
      </c>
      <c r="L123" s="10">
        <v>0</v>
      </c>
      <c r="M123" s="10">
        <v>8512.81</v>
      </c>
      <c r="N123" s="10">
        <v>49049.99</v>
      </c>
    </row>
    <row r="124" spans="1:16">
      <c r="A124" s="3" t="s">
        <v>58</v>
      </c>
      <c r="B124" s="3" t="s">
        <v>53</v>
      </c>
      <c r="C124" s="4">
        <v>6</v>
      </c>
      <c r="D124" s="4">
        <v>12177</v>
      </c>
      <c r="E124" s="4">
        <v>72194544341873</v>
      </c>
      <c r="F124" s="4">
        <v>30701023494</v>
      </c>
      <c r="G124" s="3" t="s">
        <v>62</v>
      </c>
      <c r="H124" s="4">
        <v>1</v>
      </c>
      <c r="I124" s="3" t="s">
        <v>12</v>
      </c>
      <c r="J124" s="6">
        <v>180426.26</v>
      </c>
      <c r="K124" s="6">
        <v>0</v>
      </c>
      <c r="L124" s="6">
        <v>0.67</v>
      </c>
      <c r="M124" s="6">
        <v>37889.51</v>
      </c>
      <c r="N124" s="6">
        <v>229141.46</v>
      </c>
    </row>
    <row r="125" spans="1:16">
      <c r="J125" s="7">
        <f>SUM(J3:J124)</f>
        <v>5316324.6899999985</v>
      </c>
      <c r="K125" s="7">
        <f t="shared" ref="K125:O125" si="0">SUM(K3:K124)</f>
        <v>2.3099999999999996</v>
      </c>
      <c r="L125" s="7">
        <f t="shared" si="0"/>
        <v>146.82999999999998</v>
      </c>
      <c r="M125" s="7">
        <f t="shared" si="0"/>
        <v>1090521.95</v>
      </c>
      <c r="O125" s="7">
        <f t="shared" si="0"/>
        <v>4844768.1900000004</v>
      </c>
      <c r="P125" s="7">
        <f>J125-O125</f>
        <v>471556.49999999814</v>
      </c>
    </row>
    <row r="126" spans="1:16">
      <c r="N126" s="7">
        <f>SUM(N3:N124)</f>
        <v>6742683.4000000004</v>
      </c>
    </row>
  </sheetData>
  <sortState ref="A3:N124">
    <sortCondition ref="G3:G124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2022-09-05T20:36:33Z</dcterms:created>
  <dcterms:modified xsi:type="dcterms:W3CDTF">2022-09-06T00:46:50Z</dcterms:modified>
</cp:coreProperties>
</file>