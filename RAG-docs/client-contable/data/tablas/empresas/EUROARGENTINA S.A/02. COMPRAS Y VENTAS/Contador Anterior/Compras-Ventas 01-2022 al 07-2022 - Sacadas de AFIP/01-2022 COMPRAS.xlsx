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19440" windowHeight="13740" tabRatio="50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P92" i="1" l="1"/>
  <c r="O92" i="1"/>
  <c r="O11" i="1"/>
  <c r="O22" i="1"/>
  <c r="O79" i="1"/>
  <c r="O70" i="1"/>
  <c r="O56" i="1"/>
  <c r="O40" i="1"/>
  <c r="N93" i="1"/>
  <c r="M92" i="1"/>
  <c r="L92" i="1"/>
  <c r="K92" i="1"/>
  <c r="J92" i="1"/>
</calcChain>
</file>

<file path=xl/sharedStrings.xml><?xml version="1.0" encoding="utf-8"?>
<sst xmlns="http://schemas.openxmlformats.org/spreadsheetml/2006/main" count="371" uniqueCount="92">
  <si>
    <t>Mis Comprobantes Recibidos - CUIT 30663486051</t>
  </si>
  <si>
    <t>Fecha</t>
  </si>
  <si>
    <t>Tipo</t>
  </si>
  <si>
    <t>Punto de Venta</t>
  </si>
  <si>
    <t>Número Desde</t>
  </si>
  <si>
    <t>Cód. Autorización</t>
  </si>
  <si>
    <t>Nro. Doc. Emisor</t>
  </si>
  <si>
    <t>Denominación Emisor</t>
  </si>
  <si>
    <t>Moneda</t>
  </si>
  <si>
    <t>IVA</t>
  </si>
  <si>
    <t>Imp. Total</t>
  </si>
  <si>
    <t>02/01/2022</t>
  </si>
  <si>
    <t>1 - Factura A</t>
  </si>
  <si>
    <t>OPERADORA DE ESTACIONES DE SERVICIOS SA</t>
  </si>
  <si>
    <t>$</t>
  </si>
  <si>
    <t>03/01/2022</t>
  </si>
  <si>
    <t>CHAMORRO MANUEL</t>
  </si>
  <si>
    <t>TELEFONICA DE ARGENTINA SA</t>
  </si>
  <si>
    <t>CODAC SRL</t>
  </si>
  <si>
    <t>INFOSOL BUENOS AIRES S.R.L.</t>
  </si>
  <si>
    <t>04/01/2022</t>
  </si>
  <si>
    <t>GRUPO CONCESIONARIO DEL OESTE SA</t>
  </si>
  <si>
    <t>H UNO 1469 S.A.</t>
  </si>
  <si>
    <t>AUTOPISTAS URBANAS S A</t>
  </si>
  <si>
    <t>TELECENTRO S A</t>
  </si>
  <si>
    <t>AUTOPISTAS DEL SOL S A</t>
  </si>
  <si>
    <t>EMTRON</t>
  </si>
  <si>
    <t>05/01/2022</t>
  </si>
  <si>
    <t>TECNIMAR S R L</t>
  </si>
  <si>
    <t>GARAVAGNO JUAN MATIAS</t>
  </si>
  <si>
    <t>06/01/2022</t>
  </si>
  <si>
    <t>BATTELLINI MARIA SOLEDAD</t>
  </si>
  <si>
    <t>ENSAMBLE GRAFICO S.H.</t>
  </si>
  <si>
    <t>NUAGE SYSTEMS S.A.</t>
  </si>
  <si>
    <t>07/01/2022</t>
  </si>
  <si>
    <t>BIDCOM SRL</t>
  </si>
  <si>
    <t>08/01/2022</t>
  </si>
  <si>
    <t>COTO CENTRO INTEGRAL DE COMERCIALIZACION SOCIEDAD ANONIMA</t>
  </si>
  <si>
    <t>09/01/2022</t>
  </si>
  <si>
    <t>10/01/2022</t>
  </si>
  <si>
    <t>SUTURA S.R.L.</t>
  </si>
  <si>
    <t>POSNET SOCIEDAD DE RESPONSABILIDAD LIMITADA</t>
  </si>
  <si>
    <t>TELECOM ARGENTINA SOCIEDAD ANONIMA</t>
  </si>
  <si>
    <t>11/01/2022</t>
  </si>
  <si>
    <t>CENCOSUD S A</t>
  </si>
  <si>
    <t>12/01/2022</t>
  </si>
  <si>
    <t>FARMATRADE S R L</t>
  </si>
  <si>
    <t>USD</t>
  </si>
  <si>
    <t>AUTOPISTAS DE BUENOS AIRES (AUBASA) SA</t>
  </si>
  <si>
    <t>13/01/2022</t>
  </si>
  <si>
    <t>GRUPO VDB TEXTIL S.R.L.</t>
  </si>
  <si>
    <t>14/01/2022</t>
  </si>
  <si>
    <t>15/01/2022</t>
  </si>
  <si>
    <t>16/01/2022</t>
  </si>
  <si>
    <t>17/01/2022</t>
  </si>
  <si>
    <t>NORDEST NOVA S A</t>
  </si>
  <si>
    <t>51 - Factura M</t>
  </si>
  <si>
    <t>GANADERA EL 13 S.R.L</t>
  </si>
  <si>
    <t>DHACAM S R L</t>
  </si>
  <si>
    <t>MEDILEA S.A.</t>
  </si>
  <si>
    <t>18/01/2022</t>
  </si>
  <si>
    <t>GARCIA REDONDO ROBERTO SATURNINO</t>
  </si>
  <si>
    <t>SUPERMERCADOS MAYORISTAS MAKRO SA</t>
  </si>
  <si>
    <t>19/01/2022</t>
  </si>
  <si>
    <t>CORREO OFICIAL DE LA REPUBLICA ARGENTINA SOCIEDAD ANONIMA</t>
  </si>
  <si>
    <t>CLEAN LAB SRL</t>
  </si>
  <si>
    <t>COORDINACION ECOLOGICA AREA METROPOLITANA SOCIEDAD DEL ESTADO</t>
  </si>
  <si>
    <t>21/01/2022</t>
  </si>
  <si>
    <t>MONTORRO DOMINGO</t>
  </si>
  <si>
    <t>PELLIZA PAOLA DANIELA</t>
  </si>
  <si>
    <t>22/01/2022</t>
  </si>
  <si>
    <t>23/01/2022</t>
  </si>
  <si>
    <t>24/01/2022</t>
  </si>
  <si>
    <t>CORREDORES VIALES SOCIEDAD ANONIMA</t>
  </si>
  <si>
    <t>GUENZANI GONZALO MARTIN</t>
  </si>
  <si>
    <t>PIROPLAST SOCIEDAD RESP LDA</t>
  </si>
  <si>
    <t>26/01/2022</t>
  </si>
  <si>
    <t>2 - Nota de Débito A</t>
  </si>
  <si>
    <t>SAN JUAN Y SOLIS SA</t>
  </si>
  <si>
    <t>27/01/2022</t>
  </si>
  <si>
    <t>GOMERIAS NEUMEN S A</t>
  </si>
  <si>
    <t>28/01/2022</t>
  </si>
  <si>
    <t>29/01/2022</t>
  </si>
  <si>
    <t>MERCADOLIBRE S.R.L.</t>
  </si>
  <si>
    <t>31/01/2022</t>
  </si>
  <si>
    <t>CAPOLOG S. R. L.</t>
  </si>
  <si>
    <t>11 - Factura C</t>
  </si>
  <si>
    <t>VILLARUEL OSCAR EDUARDO</t>
  </si>
  <si>
    <t>Tp Cambio</t>
  </si>
  <si>
    <t>Neto Gravado</t>
  </si>
  <si>
    <t>No Gravado</t>
  </si>
  <si>
    <t xml:space="preserve"> Exentas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</si>
</sst>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1" xfId="0" applyNumberFormat="1" applyFont="1" applyFill="1" applyBorder="1"/>
    <xf numFmtId="0" fontId="0" fillId="0" borderId="1" xfId="0" applyFont="1" applyFill="1" applyBorder="1"/>
    <xf numFmtId="2" fontId="0" fillId="0" borderId="1" xfId="0" applyNumberFormat="1" applyFont="1" applyFill="1" applyBorder="1"/>
    <xf numFmtId="4" fontId="0" fillId="0" borderId="1" xfId="0" applyNumberFormat="1" applyFont="1" applyFill="1" applyBorder="1"/>
    <xf numFmtId="4" fontId="0" fillId="0" borderId="0" xfId="0" applyNumberFormat="1" applyFont="1" applyFill="1" applyBorder="1"/>
    <xf numFmtId="0" fontId="1" fillId="2" borderId="1" xfId="0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1" fontId="0" fillId="3" borderId="1" xfId="0" applyNumberFormat="1" applyFont="1" applyFill="1" applyBorder="1"/>
    <xf numFmtId="4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"/>
  <sheetViews>
    <sheetView tabSelected="1" topLeftCell="F70" workbookViewId="0">
      <selection activeCell="Q91" sqref="Q91"/>
    </sheetView>
  </sheetViews>
  <sheetFormatPr baseColWidth="10" defaultRowHeight="15"/>
  <cols>
    <col min="1" max="1" width="13" customWidth="1"/>
    <col min="2" max="2" width="18.85546875" bestFit="1" customWidth="1"/>
    <col min="3" max="3" width="14.7109375" bestFit="1" customWidth="1"/>
    <col min="4" max="4" width="14.28515625" bestFit="1" customWidth="1"/>
    <col min="5" max="5" width="22.140625" customWidth="1"/>
    <col min="6" max="6" width="15.5703125" bestFit="1" customWidth="1"/>
    <col min="7" max="7" width="52" customWidth="1"/>
    <col min="8" max="8" width="10.28515625" bestFit="1" customWidth="1"/>
    <col min="9" max="9" width="7.85546875" customWidth="1"/>
    <col min="10" max="10" width="13.28515625" bestFit="1" customWidth="1"/>
    <col min="11" max="11" width="11.42578125" bestFit="1" customWidth="1"/>
    <col min="12" max="12" width="8.28515625" bestFit="1" customWidth="1"/>
    <col min="13" max="13" width="11.7109375" customWidth="1"/>
    <col min="14" max="14" width="13" customWidth="1"/>
    <col min="15" max="15" width="11.7109375" bestFit="1" customWidth="1"/>
  </cols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8" t="s">
        <v>88</v>
      </c>
      <c r="I2" s="8" t="s">
        <v>8</v>
      </c>
      <c r="J2" s="8" t="s">
        <v>89</v>
      </c>
      <c r="K2" s="8" t="s">
        <v>90</v>
      </c>
      <c r="L2" s="8" t="s">
        <v>91</v>
      </c>
      <c r="M2" s="8" t="s">
        <v>9</v>
      </c>
      <c r="N2" s="8" t="s">
        <v>10</v>
      </c>
    </row>
    <row r="3" spans="1:15">
      <c r="A3" s="4" t="s">
        <v>45</v>
      </c>
      <c r="B3" s="4" t="s">
        <v>12</v>
      </c>
      <c r="C3" s="3">
        <v>50</v>
      </c>
      <c r="D3" s="3">
        <v>2422371</v>
      </c>
      <c r="E3" s="3">
        <v>72026449928215</v>
      </c>
      <c r="F3" s="3">
        <v>30714112836</v>
      </c>
      <c r="G3" s="4" t="s">
        <v>48</v>
      </c>
      <c r="H3" s="3">
        <v>1</v>
      </c>
      <c r="I3" s="4" t="s">
        <v>14</v>
      </c>
      <c r="J3" s="6">
        <v>885.12</v>
      </c>
      <c r="K3" s="6">
        <v>0</v>
      </c>
      <c r="L3" s="6">
        <v>0</v>
      </c>
      <c r="M3" s="6">
        <v>185.88</v>
      </c>
      <c r="N3" s="6">
        <v>1097.56</v>
      </c>
    </row>
    <row r="4" spans="1:15">
      <c r="A4" s="4" t="s">
        <v>20</v>
      </c>
      <c r="B4" s="4" t="s">
        <v>12</v>
      </c>
      <c r="C4" s="3">
        <v>711</v>
      </c>
      <c r="D4" s="3">
        <v>2466697</v>
      </c>
      <c r="E4" s="3">
        <v>31529782526904</v>
      </c>
      <c r="F4" s="3">
        <v>30677237119</v>
      </c>
      <c r="G4" s="4" t="s">
        <v>25</v>
      </c>
      <c r="H4" s="3">
        <v>1</v>
      </c>
      <c r="I4" s="4" t="s">
        <v>14</v>
      </c>
      <c r="J4" s="6">
        <v>1336.1</v>
      </c>
      <c r="K4" s="6">
        <v>0</v>
      </c>
      <c r="L4" s="6">
        <v>0</v>
      </c>
      <c r="M4" s="6">
        <v>280.7</v>
      </c>
      <c r="N4" s="6">
        <v>1616.8</v>
      </c>
    </row>
    <row r="5" spans="1:15">
      <c r="A5" s="4" t="s">
        <v>60</v>
      </c>
      <c r="B5" s="4" t="s">
        <v>12</v>
      </c>
      <c r="C5" s="3">
        <v>711</v>
      </c>
      <c r="D5" s="3">
        <v>2521064</v>
      </c>
      <c r="E5" s="3">
        <v>32029743829976</v>
      </c>
      <c r="F5" s="3">
        <v>30677237119</v>
      </c>
      <c r="G5" s="4" t="s">
        <v>25</v>
      </c>
      <c r="H5" s="3">
        <v>1</v>
      </c>
      <c r="I5" s="4" t="s">
        <v>14</v>
      </c>
      <c r="J5" s="6">
        <v>560.79999999999995</v>
      </c>
      <c r="K5" s="6">
        <v>0</v>
      </c>
      <c r="L5" s="6">
        <v>0</v>
      </c>
      <c r="M5" s="6">
        <v>117.8</v>
      </c>
      <c r="N5" s="6">
        <v>678.6</v>
      </c>
    </row>
    <row r="6" spans="1:15">
      <c r="A6" s="4" t="s">
        <v>20</v>
      </c>
      <c r="B6" s="4" t="s">
        <v>12</v>
      </c>
      <c r="C6" s="3">
        <v>5014</v>
      </c>
      <c r="D6" s="9">
        <v>175575</v>
      </c>
      <c r="E6" s="3">
        <v>72014966470265</v>
      </c>
      <c r="F6" s="3">
        <v>30574876474</v>
      </c>
      <c r="G6" s="4" t="s">
        <v>23</v>
      </c>
      <c r="H6" s="3">
        <v>1</v>
      </c>
      <c r="I6" s="4" t="s">
        <v>14</v>
      </c>
      <c r="J6" s="6">
        <v>7424.92</v>
      </c>
      <c r="K6" s="6">
        <v>0</v>
      </c>
      <c r="L6" s="6">
        <v>0</v>
      </c>
      <c r="M6" s="6">
        <v>1559.12</v>
      </c>
      <c r="N6" s="6">
        <v>9948.5400000000009</v>
      </c>
    </row>
    <row r="7" spans="1:15">
      <c r="A7" s="4" t="s">
        <v>60</v>
      </c>
      <c r="B7" s="4" t="s">
        <v>12</v>
      </c>
      <c r="C7" s="3">
        <v>5014</v>
      </c>
      <c r="D7" s="3">
        <v>182365</v>
      </c>
      <c r="E7" s="3">
        <v>72034932690911</v>
      </c>
      <c r="F7" s="3">
        <v>30574876474</v>
      </c>
      <c r="G7" s="4" t="s">
        <v>23</v>
      </c>
      <c r="H7" s="3">
        <v>1</v>
      </c>
      <c r="I7" s="4" t="s">
        <v>14</v>
      </c>
      <c r="J7" s="6">
        <v>6649.66</v>
      </c>
      <c r="K7" s="6">
        <v>0</v>
      </c>
      <c r="L7" s="6">
        <v>0</v>
      </c>
      <c r="M7" s="6">
        <v>1396.34</v>
      </c>
      <c r="N7" s="6">
        <v>8860.09</v>
      </c>
    </row>
    <row r="8" spans="1:15">
      <c r="A8" s="4" t="s">
        <v>76</v>
      </c>
      <c r="B8" s="4" t="s">
        <v>77</v>
      </c>
      <c r="C8" s="3">
        <v>5014</v>
      </c>
      <c r="D8" s="3">
        <v>1491</v>
      </c>
      <c r="E8" s="3">
        <v>72044422086745</v>
      </c>
      <c r="F8" s="3">
        <v>30574876474</v>
      </c>
      <c r="G8" s="4" t="s">
        <v>23</v>
      </c>
      <c r="H8" s="3">
        <v>1</v>
      </c>
      <c r="I8" s="4" t="s">
        <v>14</v>
      </c>
      <c r="J8" s="6">
        <v>3559.82</v>
      </c>
      <c r="K8" s="6">
        <v>0</v>
      </c>
      <c r="L8" s="6">
        <v>0</v>
      </c>
      <c r="M8" s="6">
        <v>747.44</v>
      </c>
      <c r="N8" s="6">
        <v>4307.26</v>
      </c>
    </row>
    <row r="9" spans="1:15">
      <c r="A9" s="4" t="s">
        <v>30</v>
      </c>
      <c r="B9" s="4" t="s">
        <v>12</v>
      </c>
      <c r="C9" s="3">
        <v>2</v>
      </c>
      <c r="D9" s="3">
        <v>145</v>
      </c>
      <c r="E9" s="3">
        <v>72013038855317</v>
      </c>
      <c r="F9" s="3">
        <v>27309896063</v>
      </c>
      <c r="G9" s="4" t="s">
        <v>31</v>
      </c>
      <c r="H9" s="3">
        <v>1</v>
      </c>
      <c r="I9" s="4" t="s">
        <v>14</v>
      </c>
      <c r="J9" s="6">
        <v>18000</v>
      </c>
      <c r="K9" s="6">
        <v>0</v>
      </c>
      <c r="L9" s="6">
        <v>0</v>
      </c>
      <c r="M9" s="6">
        <v>3780</v>
      </c>
      <c r="N9" s="6">
        <v>21780</v>
      </c>
    </row>
    <row r="10" spans="1:15">
      <c r="A10" s="4" t="s">
        <v>34</v>
      </c>
      <c r="B10" s="4" t="s">
        <v>12</v>
      </c>
      <c r="C10" s="3">
        <v>10</v>
      </c>
      <c r="D10" s="3">
        <v>41268</v>
      </c>
      <c r="E10" s="3">
        <v>72010161246081</v>
      </c>
      <c r="F10" s="3">
        <v>30711069360</v>
      </c>
      <c r="G10" s="11" t="s">
        <v>35</v>
      </c>
      <c r="H10" s="12">
        <v>1</v>
      </c>
      <c r="I10" s="11" t="s">
        <v>14</v>
      </c>
      <c r="J10" s="13">
        <v>694803.03</v>
      </c>
      <c r="K10" s="13">
        <v>0</v>
      </c>
      <c r="L10" s="13">
        <v>0</v>
      </c>
      <c r="M10" s="13">
        <v>74110.97</v>
      </c>
      <c r="N10" s="13">
        <v>810602.18</v>
      </c>
    </row>
    <row r="11" spans="1:15">
      <c r="A11" s="4" t="s">
        <v>60</v>
      </c>
      <c r="B11" s="4" t="s">
        <v>12</v>
      </c>
      <c r="C11" s="3">
        <v>10</v>
      </c>
      <c r="D11" s="3">
        <v>42416</v>
      </c>
      <c r="E11" s="3">
        <v>72030869942428</v>
      </c>
      <c r="F11" s="3">
        <v>30711069360</v>
      </c>
      <c r="G11" s="11" t="s">
        <v>35</v>
      </c>
      <c r="H11" s="12">
        <v>1</v>
      </c>
      <c r="I11" s="11" t="s">
        <v>14</v>
      </c>
      <c r="J11" s="13">
        <v>162226.23999999999</v>
      </c>
      <c r="K11" s="13">
        <v>0</v>
      </c>
      <c r="L11" s="13">
        <v>0</v>
      </c>
      <c r="M11" s="13">
        <v>17033.759999999998</v>
      </c>
      <c r="N11" s="13">
        <v>188993.57</v>
      </c>
      <c r="O11" s="7">
        <f>SUM(J10:J13)</f>
        <v>1047034.13</v>
      </c>
    </row>
    <row r="12" spans="1:15">
      <c r="A12" s="4" t="s">
        <v>60</v>
      </c>
      <c r="B12" s="4" t="s">
        <v>12</v>
      </c>
      <c r="C12" s="3">
        <v>10</v>
      </c>
      <c r="D12" s="3">
        <v>42418</v>
      </c>
      <c r="E12" s="3">
        <v>72030869960600</v>
      </c>
      <c r="F12" s="3">
        <v>30711069360</v>
      </c>
      <c r="G12" s="11" t="s">
        <v>35</v>
      </c>
      <c r="H12" s="12">
        <v>1</v>
      </c>
      <c r="I12" s="11" t="s">
        <v>14</v>
      </c>
      <c r="J12" s="13">
        <v>27778.62</v>
      </c>
      <c r="K12" s="13">
        <v>0</v>
      </c>
      <c r="L12" s="13">
        <v>0</v>
      </c>
      <c r="M12" s="13">
        <v>5833.51</v>
      </c>
      <c r="N12" s="13">
        <v>35278.85</v>
      </c>
    </row>
    <row r="13" spans="1:15">
      <c r="A13" s="4" t="s">
        <v>70</v>
      </c>
      <c r="B13" s="4" t="s">
        <v>12</v>
      </c>
      <c r="C13" s="3">
        <v>10</v>
      </c>
      <c r="D13" s="3">
        <v>42945</v>
      </c>
      <c r="E13" s="3">
        <v>72040196400942</v>
      </c>
      <c r="F13" s="3">
        <v>30711069360</v>
      </c>
      <c r="G13" s="11" t="s">
        <v>35</v>
      </c>
      <c r="H13" s="12">
        <v>1</v>
      </c>
      <c r="I13" s="11" t="s">
        <v>14</v>
      </c>
      <c r="J13" s="13">
        <v>162226.23999999999</v>
      </c>
      <c r="K13" s="13">
        <v>0</v>
      </c>
      <c r="L13" s="13">
        <v>0</v>
      </c>
      <c r="M13" s="13">
        <v>17033.759999999998</v>
      </c>
      <c r="N13" s="13">
        <v>188993.57</v>
      </c>
    </row>
    <row r="14" spans="1:15">
      <c r="A14" s="4" t="s">
        <v>84</v>
      </c>
      <c r="B14" s="4" t="s">
        <v>12</v>
      </c>
      <c r="C14" s="3">
        <v>2</v>
      </c>
      <c r="D14" s="3">
        <v>572</v>
      </c>
      <c r="E14" s="3">
        <v>72052769426830</v>
      </c>
      <c r="F14" s="3">
        <v>30717264122</v>
      </c>
      <c r="G14" s="4" t="s">
        <v>85</v>
      </c>
      <c r="H14" s="3">
        <v>1</v>
      </c>
      <c r="I14" s="4" t="s">
        <v>14</v>
      </c>
      <c r="J14" s="6">
        <v>1156.2</v>
      </c>
      <c r="K14" s="6">
        <v>0</v>
      </c>
      <c r="L14" s="6">
        <v>0</v>
      </c>
      <c r="M14" s="6">
        <v>242.8</v>
      </c>
      <c r="N14" s="6">
        <v>1399</v>
      </c>
    </row>
    <row r="15" spans="1:15">
      <c r="A15" s="4" t="s">
        <v>43</v>
      </c>
      <c r="B15" s="4" t="s">
        <v>12</v>
      </c>
      <c r="C15" s="3">
        <v>8263</v>
      </c>
      <c r="D15" s="3">
        <v>1633</v>
      </c>
      <c r="E15" s="3">
        <v>72023383541084</v>
      </c>
      <c r="F15" s="3">
        <v>30590360763</v>
      </c>
      <c r="G15" s="4" t="s">
        <v>44</v>
      </c>
      <c r="H15" s="3">
        <v>1</v>
      </c>
      <c r="I15" s="4" t="s">
        <v>14</v>
      </c>
      <c r="J15" s="6">
        <v>16271.07</v>
      </c>
      <c r="K15" s="6">
        <v>0</v>
      </c>
      <c r="L15" s="6">
        <v>0</v>
      </c>
      <c r="M15" s="6">
        <v>3416.93</v>
      </c>
      <c r="N15" s="6">
        <v>21152.39</v>
      </c>
    </row>
    <row r="16" spans="1:15">
      <c r="A16" s="4" t="s">
        <v>15</v>
      </c>
      <c r="B16" s="4" t="s">
        <v>12</v>
      </c>
      <c r="C16" s="3">
        <v>1</v>
      </c>
      <c r="D16" s="3">
        <v>205</v>
      </c>
      <c r="E16" s="3">
        <v>72014764898301</v>
      </c>
      <c r="F16" s="3">
        <v>20131206144</v>
      </c>
      <c r="G16" s="4" t="s">
        <v>16</v>
      </c>
      <c r="H16" s="3">
        <v>1</v>
      </c>
      <c r="I16" s="4" t="s">
        <v>14</v>
      </c>
      <c r="J16" s="6">
        <v>18000</v>
      </c>
      <c r="K16" s="6">
        <v>0</v>
      </c>
      <c r="L16" s="6">
        <v>0</v>
      </c>
      <c r="M16" s="6">
        <v>3780</v>
      </c>
      <c r="N16" s="6">
        <v>21780</v>
      </c>
    </row>
    <row r="17" spans="1:15">
      <c r="A17" s="4" t="s">
        <v>63</v>
      </c>
      <c r="B17" s="4" t="s">
        <v>12</v>
      </c>
      <c r="C17" s="3">
        <v>5</v>
      </c>
      <c r="D17" s="3">
        <v>18475</v>
      </c>
      <c r="E17" s="3">
        <v>72039912161976</v>
      </c>
      <c r="F17" s="3">
        <v>30715124919</v>
      </c>
      <c r="G17" s="11" t="s">
        <v>65</v>
      </c>
      <c r="H17" s="12">
        <v>1</v>
      </c>
      <c r="I17" s="11" t="s">
        <v>14</v>
      </c>
      <c r="J17" s="13">
        <v>2111.66</v>
      </c>
      <c r="K17" s="13">
        <v>0</v>
      </c>
      <c r="L17" s="13">
        <v>0</v>
      </c>
      <c r="M17" s="13">
        <v>443.45</v>
      </c>
      <c r="N17" s="13">
        <v>2555.11</v>
      </c>
    </row>
    <row r="18" spans="1:15">
      <c r="A18" s="4" t="s">
        <v>63</v>
      </c>
      <c r="B18" s="4" t="s">
        <v>12</v>
      </c>
      <c r="C18" s="3">
        <v>5</v>
      </c>
      <c r="D18" s="3">
        <v>18472</v>
      </c>
      <c r="E18" s="3">
        <v>72039911626025</v>
      </c>
      <c r="F18" s="3">
        <v>30715124919</v>
      </c>
      <c r="G18" s="11" t="s">
        <v>65</v>
      </c>
      <c r="H18" s="12">
        <v>1</v>
      </c>
      <c r="I18" s="11" t="s">
        <v>14</v>
      </c>
      <c r="J18" s="13">
        <v>1287.19</v>
      </c>
      <c r="K18" s="13">
        <v>0</v>
      </c>
      <c r="L18" s="13">
        <v>0</v>
      </c>
      <c r="M18" s="13">
        <v>270.31</v>
      </c>
      <c r="N18" s="13">
        <v>1557.5</v>
      </c>
    </row>
    <row r="19" spans="1:15">
      <c r="A19" s="4" t="s">
        <v>63</v>
      </c>
      <c r="B19" s="4" t="s">
        <v>12</v>
      </c>
      <c r="C19" s="3">
        <v>5</v>
      </c>
      <c r="D19" s="3">
        <v>18476</v>
      </c>
      <c r="E19" s="3">
        <v>72039912658336</v>
      </c>
      <c r="F19" s="3">
        <v>30715124919</v>
      </c>
      <c r="G19" s="11" t="s">
        <v>65</v>
      </c>
      <c r="H19" s="12">
        <v>1</v>
      </c>
      <c r="I19" s="11" t="s">
        <v>14</v>
      </c>
      <c r="J19" s="13">
        <v>3346.08</v>
      </c>
      <c r="K19" s="13">
        <v>0</v>
      </c>
      <c r="L19" s="13">
        <v>0</v>
      </c>
      <c r="M19" s="13">
        <v>702.68</v>
      </c>
      <c r="N19" s="13">
        <v>4048.76</v>
      </c>
    </row>
    <row r="20" spans="1:15">
      <c r="A20" s="4" t="s">
        <v>63</v>
      </c>
      <c r="B20" s="4" t="s">
        <v>12</v>
      </c>
      <c r="C20" s="3">
        <v>5</v>
      </c>
      <c r="D20" s="3">
        <v>18477</v>
      </c>
      <c r="E20" s="3">
        <v>72039912882294</v>
      </c>
      <c r="F20" s="3">
        <v>30715124919</v>
      </c>
      <c r="G20" s="11" t="s">
        <v>65</v>
      </c>
      <c r="H20" s="12">
        <v>1</v>
      </c>
      <c r="I20" s="11" t="s">
        <v>14</v>
      </c>
      <c r="J20" s="13">
        <v>2823.68</v>
      </c>
      <c r="K20" s="13">
        <v>0</v>
      </c>
      <c r="L20" s="13">
        <v>0</v>
      </c>
      <c r="M20" s="13">
        <v>592.97</v>
      </c>
      <c r="N20" s="13">
        <v>3416.65</v>
      </c>
    </row>
    <row r="21" spans="1:15">
      <c r="A21" s="4" t="s">
        <v>63</v>
      </c>
      <c r="B21" s="4" t="s">
        <v>12</v>
      </c>
      <c r="C21" s="3">
        <v>5</v>
      </c>
      <c r="D21" s="3">
        <v>18478</v>
      </c>
      <c r="E21" s="3">
        <v>72039913112648</v>
      </c>
      <c r="F21" s="3">
        <v>30715124919</v>
      </c>
      <c r="G21" s="11" t="s">
        <v>65</v>
      </c>
      <c r="H21" s="12">
        <v>1</v>
      </c>
      <c r="I21" s="11" t="s">
        <v>14</v>
      </c>
      <c r="J21" s="13">
        <v>8358.36</v>
      </c>
      <c r="K21" s="13">
        <v>0</v>
      </c>
      <c r="L21" s="13">
        <v>0</v>
      </c>
      <c r="M21" s="13">
        <v>1755.26</v>
      </c>
      <c r="N21" s="13">
        <v>10113.620000000001</v>
      </c>
    </row>
    <row r="22" spans="1:15">
      <c r="A22" s="4" t="s">
        <v>63</v>
      </c>
      <c r="B22" s="4" t="s">
        <v>12</v>
      </c>
      <c r="C22" s="3">
        <v>5</v>
      </c>
      <c r="D22" s="3">
        <v>18474</v>
      </c>
      <c r="E22" s="3">
        <v>72039912119563</v>
      </c>
      <c r="F22" s="3">
        <v>30715124919</v>
      </c>
      <c r="G22" s="11" t="s">
        <v>65</v>
      </c>
      <c r="H22" s="12">
        <v>1</v>
      </c>
      <c r="I22" s="11" t="s">
        <v>14</v>
      </c>
      <c r="J22" s="13">
        <v>2111.66</v>
      </c>
      <c r="K22" s="13">
        <v>0</v>
      </c>
      <c r="L22" s="13">
        <v>0</v>
      </c>
      <c r="M22" s="13">
        <v>443.45</v>
      </c>
      <c r="N22" s="13">
        <v>2555.11</v>
      </c>
      <c r="O22" s="7">
        <f>SUM(J17:J27)</f>
        <v>1230197.8700000001</v>
      </c>
    </row>
    <row r="23" spans="1:15">
      <c r="A23" s="4" t="s">
        <v>63</v>
      </c>
      <c r="B23" s="4" t="s">
        <v>12</v>
      </c>
      <c r="C23" s="3">
        <v>5</v>
      </c>
      <c r="D23" s="3">
        <v>18473</v>
      </c>
      <c r="E23" s="3">
        <v>72039911843488</v>
      </c>
      <c r="F23" s="3">
        <v>30715124919</v>
      </c>
      <c r="G23" s="11" t="s">
        <v>65</v>
      </c>
      <c r="H23" s="12">
        <v>1</v>
      </c>
      <c r="I23" s="11" t="s">
        <v>14</v>
      </c>
      <c r="J23" s="13">
        <v>2860.24</v>
      </c>
      <c r="K23" s="13">
        <v>0</v>
      </c>
      <c r="L23" s="13">
        <v>0</v>
      </c>
      <c r="M23" s="13">
        <v>600.65</v>
      </c>
      <c r="N23" s="13">
        <v>3460.89</v>
      </c>
    </row>
    <row r="24" spans="1:15">
      <c r="A24" s="4" t="s">
        <v>15</v>
      </c>
      <c r="B24" s="4" t="s">
        <v>12</v>
      </c>
      <c r="C24" s="3">
        <v>6</v>
      </c>
      <c r="D24" s="3">
        <v>1875</v>
      </c>
      <c r="E24" s="3">
        <v>72018788951321</v>
      </c>
      <c r="F24" s="3">
        <v>30574603788</v>
      </c>
      <c r="G24" s="11" t="s">
        <v>18</v>
      </c>
      <c r="H24" s="12">
        <v>1</v>
      </c>
      <c r="I24" s="11" t="s">
        <v>14</v>
      </c>
      <c r="J24" s="13">
        <v>197041</v>
      </c>
      <c r="K24" s="13">
        <v>0</v>
      </c>
      <c r="L24" s="13">
        <v>0</v>
      </c>
      <c r="M24" s="13">
        <v>41378.61</v>
      </c>
      <c r="N24" s="13">
        <v>238419.61</v>
      </c>
    </row>
    <row r="25" spans="1:15">
      <c r="A25" s="4" t="s">
        <v>30</v>
      </c>
      <c r="B25" s="4" t="s">
        <v>12</v>
      </c>
      <c r="C25" s="3">
        <v>6</v>
      </c>
      <c r="D25" s="3">
        <v>1880</v>
      </c>
      <c r="E25" s="3">
        <v>72018071485303</v>
      </c>
      <c r="F25" s="3">
        <v>30574603788</v>
      </c>
      <c r="G25" s="11" t="s">
        <v>18</v>
      </c>
      <c r="H25" s="12">
        <v>1</v>
      </c>
      <c r="I25" s="11" t="s">
        <v>14</v>
      </c>
      <c r="J25" s="13">
        <v>374380</v>
      </c>
      <c r="K25" s="13">
        <v>0</v>
      </c>
      <c r="L25" s="13">
        <v>0</v>
      </c>
      <c r="M25" s="13">
        <v>78619.8</v>
      </c>
      <c r="N25" s="13">
        <v>452999.8</v>
      </c>
    </row>
    <row r="26" spans="1:15">
      <c r="A26" s="4" t="s">
        <v>45</v>
      </c>
      <c r="B26" s="4" t="s">
        <v>12</v>
      </c>
      <c r="C26" s="3">
        <v>6</v>
      </c>
      <c r="D26" s="3">
        <v>1889</v>
      </c>
      <c r="E26" s="3">
        <v>72028468460450</v>
      </c>
      <c r="F26" s="3">
        <v>30574603788</v>
      </c>
      <c r="G26" s="11" t="s">
        <v>18</v>
      </c>
      <c r="H26" s="12">
        <v>1</v>
      </c>
      <c r="I26" s="11" t="s">
        <v>14</v>
      </c>
      <c r="J26" s="13">
        <v>487027</v>
      </c>
      <c r="K26" s="13">
        <v>0</v>
      </c>
      <c r="L26" s="13">
        <v>0</v>
      </c>
      <c r="M26" s="13">
        <v>102275.67</v>
      </c>
      <c r="N26" s="13">
        <v>589302.67000000004</v>
      </c>
    </row>
    <row r="27" spans="1:15">
      <c r="A27" s="4" t="s">
        <v>51</v>
      </c>
      <c r="B27" s="4" t="s">
        <v>12</v>
      </c>
      <c r="C27" s="3">
        <v>6</v>
      </c>
      <c r="D27" s="3">
        <v>1898</v>
      </c>
      <c r="E27" s="3">
        <v>72028601591296</v>
      </c>
      <c r="F27" s="3">
        <v>30574603788</v>
      </c>
      <c r="G27" s="11" t="s">
        <v>18</v>
      </c>
      <c r="H27" s="12">
        <v>1</v>
      </c>
      <c r="I27" s="11" t="s">
        <v>14</v>
      </c>
      <c r="J27" s="13">
        <v>148851</v>
      </c>
      <c r="K27" s="13">
        <v>0</v>
      </c>
      <c r="L27" s="13">
        <v>0</v>
      </c>
      <c r="M27" s="13">
        <v>31258.71</v>
      </c>
      <c r="N27" s="13">
        <v>180109.71</v>
      </c>
    </row>
    <row r="28" spans="1:15">
      <c r="A28" s="4" t="s">
        <v>63</v>
      </c>
      <c r="B28" s="4" t="s">
        <v>12</v>
      </c>
      <c r="C28" s="3">
        <v>113</v>
      </c>
      <c r="D28" s="3">
        <v>2664972</v>
      </c>
      <c r="E28" s="3">
        <v>72040232634782</v>
      </c>
      <c r="F28" s="3">
        <v>30577207190</v>
      </c>
      <c r="G28" s="4" t="s">
        <v>66</v>
      </c>
      <c r="H28" s="3">
        <v>1</v>
      </c>
      <c r="I28" s="4" t="s">
        <v>14</v>
      </c>
      <c r="J28" s="6">
        <v>1034.71</v>
      </c>
      <c r="K28" s="6">
        <v>0</v>
      </c>
      <c r="L28" s="6">
        <v>0</v>
      </c>
      <c r="M28" s="6">
        <v>217.29</v>
      </c>
      <c r="N28" s="6">
        <v>1252</v>
      </c>
    </row>
    <row r="29" spans="1:15">
      <c r="A29" s="4" t="s">
        <v>72</v>
      </c>
      <c r="B29" s="4" t="s">
        <v>12</v>
      </c>
      <c r="C29" s="3">
        <v>700</v>
      </c>
      <c r="D29" s="3">
        <v>340629</v>
      </c>
      <c r="E29" s="3">
        <v>72042254089754</v>
      </c>
      <c r="F29" s="3">
        <v>30715804812</v>
      </c>
      <c r="G29" s="4" t="s">
        <v>73</v>
      </c>
      <c r="H29" s="3">
        <v>1</v>
      </c>
      <c r="I29" s="4" t="s">
        <v>14</v>
      </c>
      <c r="J29" s="6">
        <v>1295.78</v>
      </c>
      <c r="K29" s="6">
        <v>0</v>
      </c>
      <c r="L29" s="6">
        <v>0</v>
      </c>
      <c r="M29" s="6">
        <v>272.12</v>
      </c>
      <c r="N29" s="6">
        <v>1567.9</v>
      </c>
    </row>
    <row r="30" spans="1:15">
      <c r="A30" s="4" t="s">
        <v>63</v>
      </c>
      <c r="B30" s="4" t="s">
        <v>12</v>
      </c>
      <c r="C30" s="3">
        <v>3034</v>
      </c>
      <c r="D30" s="3">
        <v>1225222</v>
      </c>
      <c r="E30" s="3">
        <v>72036905455537</v>
      </c>
      <c r="F30" s="3">
        <v>30708574836</v>
      </c>
      <c r="G30" s="4" t="s">
        <v>64</v>
      </c>
      <c r="H30" s="3">
        <v>1</v>
      </c>
      <c r="I30" s="4" t="s">
        <v>14</v>
      </c>
      <c r="J30" s="6">
        <v>341.4</v>
      </c>
      <c r="K30" s="6">
        <v>0</v>
      </c>
      <c r="L30" s="6">
        <v>0</v>
      </c>
      <c r="M30" s="6">
        <v>71.69</v>
      </c>
      <c r="N30" s="6">
        <v>413.09</v>
      </c>
    </row>
    <row r="31" spans="1:15">
      <c r="A31" s="4" t="s">
        <v>79</v>
      </c>
      <c r="B31" s="4" t="s">
        <v>12</v>
      </c>
      <c r="C31" s="3">
        <v>3034</v>
      </c>
      <c r="D31" s="3">
        <v>1262998</v>
      </c>
      <c r="E31" s="3">
        <v>72046512542529</v>
      </c>
      <c r="F31" s="3">
        <v>30708574836</v>
      </c>
      <c r="G31" s="4" t="s">
        <v>64</v>
      </c>
      <c r="H31" s="3">
        <v>1</v>
      </c>
      <c r="I31" s="4" t="s">
        <v>14</v>
      </c>
      <c r="J31" s="6">
        <v>410.12</v>
      </c>
      <c r="K31" s="6">
        <v>0</v>
      </c>
      <c r="L31" s="6">
        <v>0</v>
      </c>
      <c r="M31" s="6">
        <v>86.13</v>
      </c>
      <c r="N31" s="6">
        <v>496.25</v>
      </c>
    </row>
    <row r="32" spans="1:15">
      <c r="A32" s="4" t="s">
        <v>84</v>
      </c>
      <c r="B32" s="4" t="s">
        <v>12</v>
      </c>
      <c r="C32" s="3">
        <v>3034</v>
      </c>
      <c r="D32" s="3">
        <v>1273652</v>
      </c>
      <c r="E32" s="3">
        <v>72056773205623</v>
      </c>
      <c r="F32" s="3">
        <v>30708574836</v>
      </c>
      <c r="G32" s="4" t="s">
        <v>64</v>
      </c>
      <c r="H32" s="3">
        <v>1</v>
      </c>
      <c r="I32" s="4" t="s">
        <v>14</v>
      </c>
      <c r="J32" s="6">
        <v>341.4</v>
      </c>
      <c r="K32" s="6">
        <v>0</v>
      </c>
      <c r="L32" s="6">
        <v>0</v>
      </c>
      <c r="M32" s="6">
        <v>71.69</v>
      </c>
      <c r="N32" s="6">
        <v>413.09</v>
      </c>
    </row>
    <row r="33" spans="1:15">
      <c r="A33" s="4" t="s">
        <v>36</v>
      </c>
      <c r="B33" s="4" t="s">
        <v>12</v>
      </c>
      <c r="C33" s="3">
        <v>2199</v>
      </c>
      <c r="D33" s="3">
        <v>13930</v>
      </c>
      <c r="E33" s="3">
        <v>72026206778066</v>
      </c>
      <c r="F33" s="3">
        <v>30548083156</v>
      </c>
      <c r="G33" s="4" t="s">
        <v>37</v>
      </c>
      <c r="H33" s="3">
        <v>1</v>
      </c>
      <c r="I33" s="4" t="s">
        <v>14</v>
      </c>
      <c r="J33" s="6">
        <v>7115.6</v>
      </c>
      <c r="K33" s="6">
        <v>0</v>
      </c>
      <c r="L33" s="6">
        <v>0</v>
      </c>
      <c r="M33" s="6">
        <v>1331.93</v>
      </c>
      <c r="N33" s="6">
        <v>8614.61</v>
      </c>
    </row>
    <row r="34" spans="1:15">
      <c r="A34" s="4" t="s">
        <v>45</v>
      </c>
      <c r="B34" s="4" t="s">
        <v>12</v>
      </c>
      <c r="C34" s="3">
        <v>2188</v>
      </c>
      <c r="D34" s="3">
        <v>57712</v>
      </c>
      <c r="E34" s="3">
        <v>72026475278775</v>
      </c>
      <c r="F34" s="3">
        <v>30548083156</v>
      </c>
      <c r="G34" s="4" t="s">
        <v>37</v>
      </c>
      <c r="H34" s="3">
        <v>1</v>
      </c>
      <c r="I34" s="4" t="s">
        <v>14</v>
      </c>
      <c r="J34" s="6">
        <v>5254.58</v>
      </c>
      <c r="K34" s="6">
        <v>0</v>
      </c>
      <c r="L34" s="6">
        <v>0</v>
      </c>
      <c r="M34" s="6">
        <v>1054.7</v>
      </c>
      <c r="N34" s="6">
        <v>6751.14</v>
      </c>
    </row>
    <row r="35" spans="1:15">
      <c r="A35" s="4" t="s">
        <v>53</v>
      </c>
      <c r="B35" s="4" t="s">
        <v>12</v>
      </c>
      <c r="C35" s="3">
        <v>2199</v>
      </c>
      <c r="D35" s="3">
        <v>14071</v>
      </c>
      <c r="E35" s="3">
        <v>72036725335581</v>
      </c>
      <c r="F35" s="3">
        <v>30548083156</v>
      </c>
      <c r="G35" s="4" t="s">
        <v>37</v>
      </c>
      <c r="H35" s="3">
        <v>1</v>
      </c>
      <c r="I35" s="4" t="s">
        <v>14</v>
      </c>
      <c r="J35" s="6">
        <v>7010.19</v>
      </c>
      <c r="K35" s="6">
        <v>0</v>
      </c>
      <c r="L35" s="6">
        <v>0</v>
      </c>
      <c r="M35" s="6">
        <v>1427.44</v>
      </c>
      <c r="N35" s="6">
        <v>8633</v>
      </c>
    </row>
    <row r="36" spans="1:15">
      <c r="A36" s="4" t="s">
        <v>72</v>
      </c>
      <c r="B36" s="4" t="s">
        <v>12</v>
      </c>
      <c r="C36" s="3">
        <v>2199</v>
      </c>
      <c r="D36" s="3">
        <v>14189</v>
      </c>
      <c r="E36" s="3">
        <v>72046289609246</v>
      </c>
      <c r="F36" s="3">
        <v>30548083156</v>
      </c>
      <c r="G36" s="4" t="s">
        <v>37</v>
      </c>
      <c r="H36" s="3">
        <v>1</v>
      </c>
      <c r="I36" s="4" t="s">
        <v>14</v>
      </c>
      <c r="J36" s="6">
        <v>3984.06</v>
      </c>
      <c r="K36" s="6">
        <v>0</v>
      </c>
      <c r="L36" s="6">
        <v>0</v>
      </c>
      <c r="M36" s="6">
        <v>724.4</v>
      </c>
      <c r="N36" s="6">
        <v>4948.34</v>
      </c>
    </row>
    <row r="37" spans="1:15">
      <c r="A37" s="4" t="s">
        <v>76</v>
      </c>
      <c r="B37" s="4" t="s">
        <v>12</v>
      </c>
      <c r="C37" s="3">
        <v>2188</v>
      </c>
      <c r="D37" s="3">
        <v>58485</v>
      </c>
      <c r="E37" s="3">
        <v>72046424197590</v>
      </c>
      <c r="F37" s="3">
        <v>30548083156</v>
      </c>
      <c r="G37" s="4" t="s">
        <v>37</v>
      </c>
      <c r="H37" s="3">
        <v>1</v>
      </c>
      <c r="I37" s="4" t="s">
        <v>14</v>
      </c>
      <c r="J37" s="6">
        <v>4615.43</v>
      </c>
      <c r="K37" s="6">
        <v>0</v>
      </c>
      <c r="L37" s="6">
        <v>0</v>
      </c>
      <c r="M37" s="6">
        <v>913.49</v>
      </c>
      <c r="N37" s="6">
        <v>5917.55</v>
      </c>
    </row>
    <row r="38" spans="1:15">
      <c r="A38" s="4" t="s">
        <v>81</v>
      </c>
      <c r="B38" s="4" t="s">
        <v>12</v>
      </c>
      <c r="C38" s="3">
        <v>2199</v>
      </c>
      <c r="D38" s="3">
        <v>14249</v>
      </c>
      <c r="E38" s="3">
        <v>72046608616076</v>
      </c>
      <c r="F38" s="3">
        <v>30548083156</v>
      </c>
      <c r="G38" s="4" t="s">
        <v>37</v>
      </c>
      <c r="H38" s="3">
        <v>1</v>
      </c>
      <c r="I38" s="4" t="s">
        <v>14</v>
      </c>
      <c r="J38" s="6">
        <v>2797.06</v>
      </c>
      <c r="K38" s="6">
        <v>0</v>
      </c>
      <c r="L38" s="6">
        <v>0</v>
      </c>
      <c r="M38" s="6">
        <v>560.20000000000005</v>
      </c>
      <c r="N38" s="6">
        <v>3583.08</v>
      </c>
    </row>
    <row r="39" spans="1:15">
      <c r="A39" s="4" t="s">
        <v>54</v>
      </c>
      <c r="B39" s="4" t="s">
        <v>12</v>
      </c>
      <c r="C39" s="3">
        <v>6</v>
      </c>
      <c r="D39" s="3">
        <v>20654</v>
      </c>
      <c r="E39" s="3">
        <v>72039758007093</v>
      </c>
      <c r="F39" s="3">
        <v>33640878679</v>
      </c>
      <c r="G39" s="11" t="s">
        <v>58</v>
      </c>
      <c r="H39" s="12">
        <v>1</v>
      </c>
      <c r="I39" s="11" t="s">
        <v>14</v>
      </c>
      <c r="J39" s="13">
        <v>55120</v>
      </c>
      <c r="K39" s="13">
        <v>0</v>
      </c>
      <c r="L39" s="13">
        <v>0</v>
      </c>
      <c r="M39" s="13">
        <v>11575.2</v>
      </c>
      <c r="N39" s="13">
        <v>66695.199999999997</v>
      </c>
    </row>
    <row r="40" spans="1:15">
      <c r="A40" s="4" t="s">
        <v>67</v>
      </c>
      <c r="B40" s="4" t="s">
        <v>12</v>
      </c>
      <c r="C40" s="3">
        <v>6</v>
      </c>
      <c r="D40" s="3">
        <v>20679</v>
      </c>
      <c r="E40" s="3">
        <v>72039069391535</v>
      </c>
      <c r="F40" s="3">
        <v>33640878679</v>
      </c>
      <c r="G40" s="11" t="s">
        <v>58</v>
      </c>
      <c r="H40" s="12">
        <v>1</v>
      </c>
      <c r="I40" s="11" t="s">
        <v>14</v>
      </c>
      <c r="J40" s="13">
        <v>116550</v>
      </c>
      <c r="K40" s="13">
        <v>0</v>
      </c>
      <c r="L40" s="13">
        <v>0</v>
      </c>
      <c r="M40" s="13">
        <v>24475.5</v>
      </c>
      <c r="N40" s="13">
        <v>141025.5</v>
      </c>
      <c r="O40" s="7">
        <f>SUM(J39:J41)</f>
        <v>174333.35</v>
      </c>
    </row>
    <row r="41" spans="1:15">
      <c r="A41" s="4" t="s">
        <v>20</v>
      </c>
      <c r="B41" s="4" t="s">
        <v>12</v>
      </c>
      <c r="C41" s="3">
        <v>3</v>
      </c>
      <c r="D41" s="3">
        <v>386</v>
      </c>
      <c r="E41" s="3">
        <v>72019865720321</v>
      </c>
      <c r="F41" s="3">
        <v>33716659769</v>
      </c>
      <c r="G41" s="11" t="s">
        <v>26</v>
      </c>
      <c r="H41" s="12">
        <v>1</v>
      </c>
      <c r="I41" s="11" t="s">
        <v>14</v>
      </c>
      <c r="J41" s="13">
        <v>2663.35</v>
      </c>
      <c r="K41" s="13">
        <v>0</v>
      </c>
      <c r="L41" s="13">
        <v>0</v>
      </c>
      <c r="M41" s="13">
        <v>279.64999999999998</v>
      </c>
      <c r="N41" s="13">
        <v>2943</v>
      </c>
    </row>
    <row r="42" spans="1:15">
      <c r="A42" s="4" t="s">
        <v>30</v>
      </c>
      <c r="B42" s="4" t="s">
        <v>12</v>
      </c>
      <c r="C42" s="3">
        <v>9</v>
      </c>
      <c r="D42" s="3">
        <v>593</v>
      </c>
      <c r="E42" s="3">
        <v>72017049389240</v>
      </c>
      <c r="F42" s="3">
        <v>30710446047</v>
      </c>
      <c r="G42" s="4" t="s">
        <v>32</v>
      </c>
      <c r="H42" s="3">
        <v>1</v>
      </c>
      <c r="I42" s="4" t="s">
        <v>14</v>
      </c>
      <c r="J42" s="6">
        <v>189468</v>
      </c>
      <c r="K42" s="6">
        <v>0</v>
      </c>
      <c r="L42" s="6">
        <v>0</v>
      </c>
      <c r="M42" s="6">
        <v>39788.28</v>
      </c>
      <c r="N42" s="6">
        <v>229256.28</v>
      </c>
    </row>
    <row r="43" spans="1:15">
      <c r="A43" s="4" t="s">
        <v>45</v>
      </c>
      <c r="B43" s="4" t="s">
        <v>12</v>
      </c>
      <c r="C43" s="3">
        <v>6</v>
      </c>
      <c r="D43" s="3">
        <v>21490</v>
      </c>
      <c r="E43" s="3">
        <v>72021468956818</v>
      </c>
      <c r="F43" s="3">
        <v>30641221771</v>
      </c>
      <c r="G43" s="4" t="s">
        <v>46</v>
      </c>
      <c r="H43" s="5">
        <v>108.75</v>
      </c>
      <c r="I43" s="4" t="s">
        <v>47</v>
      </c>
      <c r="J43" s="6">
        <v>1380</v>
      </c>
      <c r="K43" s="6">
        <v>0</v>
      </c>
      <c r="L43" s="6">
        <v>0</v>
      </c>
      <c r="M43" s="6">
        <v>289.8</v>
      </c>
      <c r="N43" s="6">
        <v>1752.6</v>
      </c>
    </row>
    <row r="44" spans="1:15">
      <c r="A44" s="4" t="s">
        <v>54</v>
      </c>
      <c r="B44" s="4" t="s">
        <v>56</v>
      </c>
      <c r="C44" s="3">
        <v>5</v>
      </c>
      <c r="D44" s="3">
        <v>98</v>
      </c>
      <c r="E44" s="3">
        <v>72036760068118</v>
      </c>
      <c r="F44" s="3">
        <v>30714734446</v>
      </c>
      <c r="G44" s="4" t="s">
        <v>57</v>
      </c>
      <c r="H44" s="3">
        <v>1</v>
      </c>
      <c r="I44" s="4" t="s">
        <v>14</v>
      </c>
      <c r="J44" s="6">
        <v>2576.19</v>
      </c>
      <c r="K44" s="6">
        <v>0</v>
      </c>
      <c r="L44" s="6">
        <v>0</v>
      </c>
      <c r="M44" s="6">
        <v>541</v>
      </c>
      <c r="N44" s="6">
        <v>3117.19</v>
      </c>
    </row>
    <row r="45" spans="1:15">
      <c r="A45" s="4" t="s">
        <v>27</v>
      </c>
      <c r="B45" s="4" t="s">
        <v>12</v>
      </c>
      <c r="C45" s="3">
        <v>10</v>
      </c>
      <c r="D45" s="3">
        <v>753</v>
      </c>
      <c r="E45" s="3">
        <v>72018939809101</v>
      </c>
      <c r="F45" s="3">
        <v>20261696828</v>
      </c>
      <c r="G45" s="4" t="s">
        <v>29</v>
      </c>
      <c r="H45" s="3">
        <v>1</v>
      </c>
      <c r="I45" s="4" t="s">
        <v>14</v>
      </c>
      <c r="J45" s="6">
        <v>15004.94</v>
      </c>
      <c r="K45" s="6">
        <v>0</v>
      </c>
      <c r="L45" s="6">
        <v>0</v>
      </c>
      <c r="M45" s="6">
        <v>3151.04</v>
      </c>
      <c r="N45" s="6">
        <v>18155.98</v>
      </c>
    </row>
    <row r="46" spans="1:15">
      <c r="A46" s="4" t="s">
        <v>60</v>
      </c>
      <c r="B46" s="4" t="s">
        <v>12</v>
      </c>
      <c r="C46" s="3">
        <v>4</v>
      </c>
      <c r="D46" s="3">
        <v>41</v>
      </c>
      <c r="E46" s="3">
        <v>72039865291285</v>
      </c>
      <c r="F46" s="3">
        <v>23231010939</v>
      </c>
      <c r="G46" s="4" t="s">
        <v>61</v>
      </c>
      <c r="H46" s="3">
        <v>1</v>
      </c>
      <c r="I46" s="4" t="s">
        <v>14</v>
      </c>
      <c r="J46" s="6">
        <v>495.86</v>
      </c>
      <c r="K46" s="6">
        <v>0</v>
      </c>
      <c r="L46" s="6">
        <v>0</v>
      </c>
      <c r="M46" s="6">
        <v>104.13</v>
      </c>
      <c r="N46" s="6">
        <v>599.99</v>
      </c>
    </row>
    <row r="47" spans="1:15">
      <c r="A47" s="4" t="s">
        <v>79</v>
      </c>
      <c r="B47" s="4" t="s">
        <v>12</v>
      </c>
      <c r="C47" s="3">
        <v>301</v>
      </c>
      <c r="D47" s="3">
        <v>55950</v>
      </c>
      <c r="E47" s="3">
        <v>72048473260444</v>
      </c>
      <c r="F47" s="3">
        <v>30640079378</v>
      </c>
      <c r="G47" s="4" t="s">
        <v>80</v>
      </c>
      <c r="H47" s="3">
        <v>1</v>
      </c>
      <c r="I47" s="4" t="s">
        <v>14</v>
      </c>
      <c r="J47" s="6">
        <v>33411.57</v>
      </c>
      <c r="K47" s="6">
        <v>0</v>
      </c>
      <c r="L47" s="6">
        <v>0</v>
      </c>
      <c r="M47" s="6">
        <v>7016.43</v>
      </c>
      <c r="N47" s="6">
        <v>42432.69</v>
      </c>
    </row>
    <row r="48" spans="1:15">
      <c r="A48" s="4" t="s">
        <v>79</v>
      </c>
      <c r="B48" s="4" t="s">
        <v>12</v>
      </c>
      <c r="C48" s="3">
        <v>301</v>
      </c>
      <c r="D48" s="3">
        <v>55951</v>
      </c>
      <c r="E48" s="3">
        <v>72048473262077</v>
      </c>
      <c r="F48" s="3">
        <v>30640079378</v>
      </c>
      <c r="G48" s="4" t="s">
        <v>80</v>
      </c>
      <c r="H48" s="3">
        <v>1</v>
      </c>
      <c r="I48" s="4" t="s">
        <v>14</v>
      </c>
      <c r="J48" s="6">
        <v>33411.57</v>
      </c>
      <c r="K48" s="6">
        <v>0</v>
      </c>
      <c r="L48" s="6">
        <v>0</v>
      </c>
      <c r="M48" s="6">
        <v>7016.43</v>
      </c>
      <c r="N48" s="6">
        <v>42432.69</v>
      </c>
    </row>
    <row r="49" spans="1:15">
      <c r="A49" s="4" t="s">
        <v>20</v>
      </c>
      <c r="B49" s="4" t="s">
        <v>12</v>
      </c>
      <c r="C49" s="3">
        <v>629</v>
      </c>
      <c r="D49" s="3">
        <v>2905383</v>
      </c>
      <c r="E49" s="3">
        <v>31523651925364</v>
      </c>
      <c r="F49" s="3">
        <v>30663498513</v>
      </c>
      <c r="G49" s="4" t="s">
        <v>21</v>
      </c>
      <c r="H49" s="3">
        <v>1</v>
      </c>
      <c r="I49" s="4" t="s">
        <v>14</v>
      </c>
      <c r="J49" s="6">
        <v>939.83</v>
      </c>
      <c r="K49" s="6">
        <v>0</v>
      </c>
      <c r="L49" s="6">
        <v>0</v>
      </c>
      <c r="M49" s="6">
        <v>197.42</v>
      </c>
      <c r="N49" s="6">
        <v>1137.25</v>
      </c>
    </row>
    <row r="50" spans="1:15">
      <c r="A50" s="4" t="s">
        <v>60</v>
      </c>
      <c r="B50" s="4" t="s">
        <v>12</v>
      </c>
      <c r="C50" s="3">
        <v>629</v>
      </c>
      <c r="D50" s="3">
        <v>2943028</v>
      </c>
      <c r="E50" s="3">
        <v>32023099137041</v>
      </c>
      <c r="F50" s="3">
        <v>30663498513</v>
      </c>
      <c r="G50" s="4" t="s">
        <v>21</v>
      </c>
      <c r="H50" s="3">
        <v>1</v>
      </c>
      <c r="I50" s="4" t="s">
        <v>14</v>
      </c>
      <c r="J50" s="6">
        <v>738.84</v>
      </c>
      <c r="K50" s="6">
        <v>0</v>
      </c>
      <c r="L50" s="6">
        <v>0</v>
      </c>
      <c r="M50" s="6">
        <v>155.21</v>
      </c>
      <c r="N50" s="6">
        <v>894.05</v>
      </c>
    </row>
    <row r="51" spans="1:15">
      <c r="A51" s="4" t="s">
        <v>49</v>
      </c>
      <c r="B51" s="4" t="s">
        <v>12</v>
      </c>
      <c r="C51" s="3">
        <v>5</v>
      </c>
      <c r="D51" s="3">
        <v>17</v>
      </c>
      <c r="E51" s="3">
        <v>72021539164588</v>
      </c>
      <c r="F51" s="3">
        <v>30716385961</v>
      </c>
      <c r="G51" s="4" t="s">
        <v>50</v>
      </c>
      <c r="H51" s="3">
        <v>1</v>
      </c>
      <c r="I51" s="4" t="s">
        <v>14</v>
      </c>
      <c r="J51" s="6">
        <v>2317.48</v>
      </c>
      <c r="K51" s="6">
        <v>0</v>
      </c>
      <c r="L51" s="6">
        <v>0</v>
      </c>
      <c r="M51" s="6">
        <v>486.67</v>
      </c>
      <c r="N51" s="6">
        <v>2804.15</v>
      </c>
    </row>
    <row r="52" spans="1:15">
      <c r="A52" s="4" t="s">
        <v>72</v>
      </c>
      <c r="B52" s="4" t="s">
        <v>12</v>
      </c>
      <c r="C52" s="3">
        <v>8</v>
      </c>
      <c r="D52" s="3">
        <v>456</v>
      </c>
      <c r="E52" s="3">
        <v>72043241469361</v>
      </c>
      <c r="F52" s="3">
        <v>20388915413</v>
      </c>
      <c r="G52" s="4" t="s">
        <v>74</v>
      </c>
      <c r="H52" s="3">
        <v>1</v>
      </c>
      <c r="I52" s="4" t="s">
        <v>14</v>
      </c>
      <c r="J52" s="6">
        <v>21734</v>
      </c>
      <c r="K52" s="6">
        <v>0</v>
      </c>
      <c r="L52" s="6">
        <v>0</v>
      </c>
      <c r="M52" s="6">
        <v>4564.1400000000003</v>
      </c>
      <c r="N52" s="6">
        <v>26298.14</v>
      </c>
    </row>
    <row r="53" spans="1:15">
      <c r="A53" s="4" t="s">
        <v>20</v>
      </c>
      <c r="B53" s="4" t="s">
        <v>12</v>
      </c>
      <c r="C53" s="3">
        <v>1</v>
      </c>
      <c r="D53" s="3">
        <v>27</v>
      </c>
      <c r="E53" s="3">
        <v>72013865413547</v>
      </c>
      <c r="F53" s="3">
        <v>30716010313</v>
      </c>
      <c r="G53" s="4" t="s">
        <v>22</v>
      </c>
      <c r="H53" s="3">
        <v>1</v>
      </c>
      <c r="I53" s="4" t="s">
        <v>14</v>
      </c>
      <c r="J53" s="6">
        <v>32000</v>
      </c>
      <c r="K53" s="6">
        <v>0</v>
      </c>
      <c r="L53" s="6">
        <v>0</v>
      </c>
      <c r="M53" s="6">
        <v>6720</v>
      </c>
      <c r="N53" s="6">
        <v>38720</v>
      </c>
    </row>
    <row r="54" spans="1:15">
      <c r="A54" s="4" t="s">
        <v>15</v>
      </c>
      <c r="B54" s="4" t="s">
        <v>12</v>
      </c>
      <c r="C54" s="3">
        <v>5</v>
      </c>
      <c r="D54" s="3">
        <v>202</v>
      </c>
      <c r="E54" s="3">
        <v>72019782800553</v>
      </c>
      <c r="F54" s="3">
        <v>30711651779</v>
      </c>
      <c r="G54" s="4" t="s">
        <v>19</v>
      </c>
      <c r="H54" s="3">
        <v>1</v>
      </c>
      <c r="I54" s="4" t="s">
        <v>14</v>
      </c>
      <c r="J54" s="6">
        <v>3305.79</v>
      </c>
      <c r="K54" s="6">
        <v>0</v>
      </c>
      <c r="L54" s="6">
        <v>0</v>
      </c>
      <c r="M54" s="6">
        <v>694.22</v>
      </c>
      <c r="N54" s="6">
        <v>4000.01</v>
      </c>
    </row>
    <row r="55" spans="1:15">
      <c r="A55" s="4" t="s">
        <v>54</v>
      </c>
      <c r="B55" s="4" t="s">
        <v>12</v>
      </c>
      <c r="C55" s="3">
        <v>3</v>
      </c>
      <c r="D55" s="3">
        <v>5744</v>
      </c>
      <c r="E55" s="3">
        <v>72030776018357</v>
      </c>
      <c r="F55" s="3">
        <v>30708006420</v>
      </c>
      <c r="G55" s="11" t="s">
        <v>59</v>
      </c>
      <c r="H55" s="12">
        <v>1</v>
      </c>
      <c r="I55" s="11" t="s">
        <v>14</v>
      </c>
      <c r="J55" s="13">
        <v>239229</v>
      </c>
      <c r="K55" s="13">
        <v>0</v>
      </c>
      <c r="L55" s="13">
        <v>0</v>
      </c>
      <c r="M55" s="13">
        <v>50238.09</v>
      </c>
      <c r="N55" s="13">
        <v>289467.09000000003</v>
      </c>
    </row>
    <row r="56" spans="1:15">
      <c r="A56" s="4" t="s">
        <v>76</v>
      </c>
      <c r="B56" s="4" t="s">
        <v>12</v>
      </c>
      <c r="C56" s="3">
        <v>3</v>
      </c>
      <c r="D56" s="3">
        <v>5770</v>
      </c>
      <c r="E56" s="3">
        <v>72040403838941</v>
      </c>
      <c r="F56" s="3">
        <v>30708006420</v>
      </c>
      <c r="G56" s="11" t="s">
        <v>59</v>
      </c>
      <c r="H56" s="12">
        <v>1</v>
      </c>
      <c r="I56" s="11" t="s">
        <v>14</v>
      </c>
      <c r="J56" s="13">
        <v>84390</v>
      </c>
      <c r="K56" s="13">
        <v>0</v>
      </c>
      <c r="L56" s="13">
        <v>0</v>
      </c>
      <c r="M56" s="13">
        <v>17721.900000000001</v>
      </c>
      <c r="N56" s="13">
        <v>102111.9</v>
      </c>
      <c r="O56" s="7">
        <f>SUM(J55:J57)</f>
        <v>513119</v>
      </c>
    </row>
    <row r="57" spans="1:15">
      <c r="A57" s="4" t="s">
        <v>81</v>
      </c>
      <c r="B57" s="4" t="s">
        <v>12</v>
      </c>
      <c r="C57" s="3">
        <v>3</v>
      </c>
      <c r="D57" s="3">
        <v>5780</v>
      </c>
      <c r="E57" s="3">
        <v>72040551494986</v>
      </c>
      <c r="F57" s="3">
        <v>30708006420</v>
      </c>
      <c r="G57" s="11" t="s">
        <v>59</v>
      </c>
      <c r="H57" s="12">
        <v>1</v>
      </c>
      <c r="I57" s="11" t="s">
        <v>14</v>
      </c>
      <c r="J57" s="13">
        <v>189500</v>
      </c>
      <c r="K57" s="13">
        <v>0</v>
      </c>
      <c r="L57" s="13">
        <v>0</v>
      </c>
      <c r="M57" s="13">
        <v>39795</v>
      </c>
      <c r="N57" s="13">
        <v>229295</v>
      </c>
    </row>
    <row r="58" spans="1:15">
      <c r="A58" s="4" t="s">
        <v>82</v>
      </c>
      <c r="B58" s="4" t="s">
        <v>12</v>
      </c>
      <c r="C58" s="3">
        <v>27</v>
      </c>
      <c r="D58" s="3">
        <v>196350</v>
      </c>
      <c r="E58" s="3">
        <v>72054749841128</v>
      </c>
      <c r="F58" s="3">
        <v>30703088534</v>
      </c>
      <c r="G58" s="4" t="s">
        <v>83</v>
      </c>
      <c r="H58" s="3">
        <v>1</v>
      </c>
      <c r="I58" s="4" t="s">
        <v>14</v>
      </c>
      <c r="J58" s="6">
        <v>64452.7</v>
      </c>
      <c r="K58" s="6">
        <v>0</v>
      </c>
      <c r="L58" s="6">
        <v>0</v>
      </c>
      <c r="M58" s="6">
        <v>13535.06</v>
      </c>
      <c r="N58" s="6">
        <v>83788.539999999994</v>
      </c>
    </row>
    <row r="59" spans="1:15">
      <c r="A59" s="4" t="s">
        <v>67</v>
      </c>
      <c r="B59" s="4" t="s">
        <v>12</v>
      </c>
      <c r="C59" s="3">
        <v>10</v>
      </c>
      <c r="D59" s="3">
        <v>1014</v>
      </c>
      <c r="E59" s="3">
        <v>72039072303876</v>
      </c>
      <c r="F59" s="3">
        <v>23127284369</v>
      </c>
      <c r="G59" s="4" t="s">
        <v>68</v>
      </c>
      <c r="H59" s="3">
        <v>1</v>
      </c>
      <c r="I59" s="4" t="s">
        <v>14</v>
      </c>
      <c r="J59" s="6">
        <v>10330.1</v>
      </c>
      <c r="K59" s="6">
        <v>0</v>
      </c>
      <c r="L59" s="6">
        <v>0</v>
      </c>
      <c r="M59" s="6">
        <v>2169.3200000000002</v>
      </c>
      <c r="N59" s="6">
        <v>12499.42</v>
      </c>
    </row>
    <row r="60" spans="1:15">
      <c r="A60" s="4" t="s">
        <v>54</v>
      </c>
      <c r="B60" s="4" t="s">
        <v>12</v>
      </c>
      <c r="C60" s="3">
        <v>10</v>
      </c>
      <c r="D60" s="3">
        <v>11451</v>
      </c>
      <c r="E60" s="3">
        <v>72032782696730</v>
      </c>
      <c r="F60" s="3">
        <v>30696186932</v>
      </c>
      <c r="G60" s="4" t="s">
        <v>55</v>
      </c>
      <c r="H60" s="5">
        <v>108.75</v>
      </c>
      <c r="I60" s="4" t="s">
        <v>47</v>
      </c>
      <c r="J60" s="6">
        <v>731.6</v>
      </c>
      <c r="K60" s="6">
        <v>0</v>
      </c>
      <c r="L60" s="6">
        <v>0</v>
      </c>
      <c r="M60" s="6">
        <v>153.63999999999999</v>
      </c>
      <c r="N60" s="6">
        <v>885.24</v>
      </c>
    </row>
    <row r="61" spans="1:15">
      <c r="A61" s="4" t="s">
        <v>30</v>
      </c>
      <c r="B61" s="4" t="s">
        <v>12</v>
      </c>
      <c r="C61" s="3">
        <v>2</v>
      </c>
      <c r="D61" s="3">
        <v>28558</v>
      </c>
      <c r="E61" s="3">
        <v>72019051722851</v>
      </c>
      <c r="F61" s="3">
        <v>33714232199</v>
      </c>
      <c r="G61" s="4" t="s">
        <v>33</v>
      </c>
      <c r="H61" s="3">
        <v>1</v>
      </c>
      <c r="I61" s="4" t="s">
        <v>14</v>
      </c>
      <c r="J61" s="6">
        <v>15876</v>
      </c>
      <c r="K61" s="6">
        <v>0</v>
      </c>
      <c r="L61" s="6">
        <v>0</v>
      </c>
      <c r="M61" s="6">
        <v>3333.96</v>
      </c>
      <c r="N61" s="6">
        <v>19209.96</v>
      </c>
    </row>
    <row r="62" spans="1:15">
      <c r="A62" s="4" t="s">
        <v>11</v>
      </c>
      <c r="B62" s="4" t="s">
        <v>12</v>
      </c>
      <c r="C62" s="3">
        <v>6860</v>
      </c>
      <c r="D62" s="3">
        <v>7429</v>
      </c>
      <c r="E62" s="3">
        <v>72015724712394</v>
      </c>
      <c r="F62" s="3">
        <v>30678774495</v>
      </c>
      <c r="G62" s="4" t="s">
        <v>13</v>
      </c>
      <c r="H62" s="3">
        <v>1</v>
      </c>
      <c r="I62" s="4" t="s">
        <v>14</v>
      </c>
      <c r="J62" s="6">
        <v>1764.21</v>
      </c>
      <c r="K62" s="6">
        <v>0</v>
      </c>
      <c r="L62" s="6">
        <v>0</v>
      </c>
      <c r="M62" s="6">
        <v>370.48</v>
      </c>
      <c r="N62" s="6">
        <v>2750</v>
      </c>
    </row>
    <row r="63" spans="1:15">
      <c r="A63" s="4" t="s">
        <v>20</v>
      </c>
      <c r="B63" s="4" t="s">
        <v>12</v>
      </c>
      <c r="C63" s="3">
        <v>8004</v>
      </c>
      <c r="D63" s="3">
        <v>3370</v>
      </c>
      <c r="E63" s="3">
        <v>72015892492234</v>
      </c>
      <c r="F63" s="3">
        <v>30678774495</v>
      </c>
      <c r="G63" s="4" t="s">
        <v>13</v>
      </c>
      <c r="H63" s="3">
        <v>1</v>
      </c>
      <c r="I63" s="4" t="s">
        <v>14</v>
      </c>
      <c r="J63" s="6">
        <v>272.18</v>
      </c>
      <c r="K63" s="6">
        <v>0</v>
      </c>
      <c r="L63" s="6">
        <v>0</v>
      </c>
      <c r="M63" s="6">
        <v>57.16</v>
      </c>
      <c r="N63" s="6">
        <v>330</v>
      </c>
    </row>
    <row r="64" spans="1:15">
      <c r="A64" s="4" t="s">
        <v>49</v>
      </c>
      <c r="B64" s="4" t="s">
        <v>12</v>
      </c>
      <c r="C64" s="3">
        <v>6850</v>
      </c>
      <c r="D64" s="3">
        <v>4951</v>
      </c>
      <c r="E64" s="3">
        <v>72025550708704</v>
      </c>
      <c r="F64" s="3">
        <v>30678774495</v>
      </c>
      <c r="G64" s="4" t="s">
        <v>13</v>
      </c>
      <c r="H64" s="3">
        <v>1</v>
      </c>
      <c r="I64" s="4" t="s">
        <v>14</v>
      </c>
      <c r="J64" s="6">
        <v>1308.05</v>
      </c>
      <c r="K64" s="6">
        <v>0</v>
      </c>
      <c r="L64" s="6">
        <v>0</v>
      </c>
      <c r="M64" s="6">
        <v>274.69</v>
      </c>
      <c r="N64" s="6">
        <v>2000</v>
      </c>
    </row>
    <row r="65" spans="1:15">
      <c r="A65" s="4" t="s">
        <v>67</v>
      </c>
      <c r="B65" s="4" t="s">
        <v>12</v>
      </c>
      <c r="C65" s="3">
        <v>7900</v>
      </c>
      <c r="D65" s="3">
        <v>1995</v>
      </c>
      <c r="E65" s="3">
        <v>72035092862169</v>
      </c>
      <c r="F65" s="3">
        <v>30678774495</v>
      </c>
      <c r="G65" s="4" t="s">
        <v>13</v>
      </c>
      <c r="H65" s="3">
        <v>1</v>
      </c>
      <c r="I65" s="4" t="s">
        <v>14</v>
      </c>
      <c r="J65" s="6">
        <v>275.17</v>
      </c>
      <c r="K65" s="6">
        <v>0</v>
      </c>
      <c r="L65" s="6">
        <v>0</v>
      </c>
      <c r="M65" s="6">
        <v>57.79</v>
      </c>
      <c r="N65" s="6">
        <v>334</v>
      </c>
    </row>
    <row r="66" spans="1:15">
      <c r="A66" s="4" t="s">
        <v>71</v>
      </c>
      <c r="B66" s="4" t="s">
        <v>12</v>
      </c>
      <c r="C66" s="3">
        <v>6860</v>
      </c>
      <c r="D66" s="3">
        <v>7835</v>
      </c>
      <c r="E66" s="3">
        <v>72045200547726</v>
      </c>
      <c r="F66" s="3">
        <v>30678774495</v>
      </c>
      <c r="G66" s="4" t="s">
        <v>13</v>
      </c>
      <c r="H66" s="3">
        <v>1</v>
      </c>
      <c r="I66" s="4" t="s">
        <v>14</v>
      </c>
      <c r="J66" s="6">
        <v>2642.48</v>
      </c>
      <c r="K66" s="6">
        <v>0</v>
      </c>
      <c r="L66" s="6">
        <v>0</v>
      </c>
      <c r="M66" s="6">
        <v>554.91999999999996</v>
      </c>
      <c r="N66" s="6">
        <v>4112.5</v>
      </c>
    </row>
    <row r="67" spans="1:15">
      <c r="A67" s="4" t="s">
        <v>82</v>
      </c>
      <c r="B67" s="4" t="s">
        <v>12</v>
      </c>
      <c r="C67" s="3">
        <v>6850</v>
      </c>
      <c r="D67" s="3">
        <v>5258</v>
      </c>
      <c r="E67" s="3">
        <v>72055648347813</v>
      </c>
      <c r="F67" s="3">
        <v>30678774495</v>
      </c>
      <c r="G67" s="4" t="s">
        <v>13</v>
      </c>
      <c r="H67" s="3">
        <v>1</v>
      </c>
      <c r="I67" s="4" t="s">
        <v>14</v>
      </c>
      <c r="J67" s="6">
        <v>1300.22</v>
      </c>
      <c r="K67" s="6">
        <v>0</v>
      </c>
      <c r="L67" s="6">
        <v>0</v>
      </c>
      <c r="M67" s="6">
        <v>273.04000000000002</v>
      </c>
      <c r="N67" s="6">
        <v>2000</v>
      </c>
    </row>
    <row r="68" spans="1:15">
      <c r="A68" s="4" t="s">
        <v>67</v>
      </c>
      <c r="B68" s="4" t="s">
        <v>12</v>
      </c>
      <c r="C68" s="3">
        <v>4</v>
      </c>
      <c r="D68" s="3">
        <v>4692</v>
      </c>
      <c r="E68" s="3">
        <v>72030095070882</v>
      </c>
      <c r="F68" s="3">
        <v>27293936450</v>
      </c>
      <c r="G68" s="4" t="s">
        <v>69</v>
      </c>
      <c r="H68" s="3">
        <v>1</v>
      </c>
      <c r="I68" s="4" t="s">
        <v>14</v>
      </c>
      <c r="J68" s="6">
        <v>5371.9</v>
      </c>
      <c r="K68" s="6">
        <v>0</v>
      </c>
      <c r="L68" s="6">
        <v>0</v>
      </c>
      <c r="M68" s="6">
        <v>1128.0999999999999</v>
      </c>
      <c r="N68" s="6">
        <v>6500</v>
      </c>
    </row>
    <row r="69" spans="1:15">
      <c r="A69" s="4" t="s">
        <v>67</v>
      </c>
      <c r="B69" s="4" t="s">
        <v>12</v>
      </c>
      <c r="C69" s="3">
        <v>4</v>
      </c>
      <c r="D69" s="3">
        <v>4693</v>
      </c>
      <c r="E69" s="3">
        <v>72030095070971</v>
      </c>
      <c r="F69" s="3">
        <v>27293936450</v>
      </c>
      <c r="G69" s="4" t="s">
        <v>69</v>
      </c>
      <c r="H69" s="3">
        <v>1</v>
      </c>
      <c r="I69" s="4" t="s">
        <v>14</v>
      </c>
      <c r="J69" s="6">
        <v>6714.88</v>
      </c>
      <c r="K69" s="6">
        <v>0</v>
      </c>
      <c r="L69" s="6">
        <v>0</v>
      </c>
      <c r="M69" s="6">
        <v>1410.12</v>
      </c>
      <c r="N69" s="6">
        <v>8125</v>
      </c>
    </row>
    <row r="70" spans="1:15">
      <c r="A70" s="4" t="s">
        <v>72</v>
      </c>
      <c r="B70" s="4" t="s">
        <v>12</v>
      </c>
      <c r="C70" s="3">
        <v>4</v>
      </c>
      <c r="D70" s="3">
        <v>15123</v>
      </c>
      <c r="E70" s="3">
        <v>72045258173718</v>
      </c>
      <c r="F70" s="3">
        <v>30552433595</v>
      </c>
      <c r="G70" s="11" t="s">
        <v>75</v>
      </c>
      <c r="H70" s="12">
        <v>1</v>
      </c>
      <c r="I70" s="11" t="s">
        <v>14</v>
      </c>
      <c r="J70" s="13">
        <v>375396.88</v>
      </c>
      <c r="K70" s="13">
        <v>0</v>
      </c>
      <c r="L70" s="13">
        <v>0</v>
      </c>
      <c r="M70" s="13">
        <v>78833.34</v>
      </c>
      <c r="N70" s="13">
        <v>454230.22</v>
      </c>
      <c r="O70" s="7">
        <f>SUM(J70)</f>
        <v>375396.88</v>
      </c>
    </row>
    <row r="71" spans="1:15">
      <c r="A71" s="4" t="s">
        <v>39</v>
      </c>
      <c r="B71" s="4" t="s">
        <v>12</v>
      </c>
      <c r="C71" s="3">
        <v>6</v>
      </c>
      <c r="D71" s="3">
        <v>11563220</v>
      </c>
      <c r="E71" s="3">
        <v>72027229667692</v>
      </c>
      <c r="F71" s="3">
        <v>30620177497</v>
      </c>
      <c r="G71" s="4" t="s">
        <v>41</v>
      </c>
      <c r="H71" s="3">
        <v>1</v>
      </c>
      <c r="I71" s="4" t="s">
        <v>14</v>
      </c>
      <c r="J71" s="6">
        <v>4740</v>
      </c>
      <c r="K71" s="6">
        <v>0</v>
      </c>
      <c r="L71" s="6">
        <v>0</v>
      </c>
      <c r="M71" s="6">
        <v>995.4</v>
      </c>
      <c r="N71" s="6">
        <v>6162</v>
      </c>
    </row>
    <row r="72" spans="1:15">
      <c r="A72" s="4" t="s">
        <v>39</v>
      </c>
      <c r="B72" s="4" t="s">
        <v>12</v>
      </c>
      <c r="C72" s="3">
        <v>6</v>
      </c>
      <c r="D72" s="3">
        <v>11563153</v>
      </c>
      <c r="E72" s="3">
        <v>72027229665276</v>
      </c>
      <c r="F72" s="3">
        <v>30620177497</v>
      </c>
      <c r="G72" s="4" t="s">
        <v>41</v>
      </c>
      <c r="H72" s="3">
        <v>1</v>
      </c>
      <c r="I72" s="4" t="s">
        <v>14</v>
      </c>
      <c r="J72" s="6">
        <v>1580</v>
      </c>
      <c r="K72" s="6">
        <v>0</v>
      </c>
      <c r="L72" s="6">
        <v>0</v>
      </c>
      <c r="M72" s="6">
        <v>331.8</v>
      </c>
      <c r="N72" s="6">
        <v>2054</v>
      </c>
    </row>
    <row r="73" spans="1:15">
      <c r="A73" s="4" t="s">
        <v>39</v>
      </c>
      <c r="B73" s="4" t="s">
        <v>12</v>
      </c>
      <c r="C73" s="3">
        <v>6</v>
      </c>
      <c r="D73" s="3">
        <v>11563174</v>
      </c>
      <c r="E73" s="3">
        <v>72027229666413</v>
      </c>
      <c r="F73" s="3">
        <v>30620177497</v>
      </c>
      <c r="G73" s="4" t="s">
        <v>41</v>
      </c>
      <c r="H73" s="3">
        <v>1</v>
      </c>
      <c r="I73" s="4" t="s">
        <v>14</v>
      </c>
      <c r="J73" s="6">
        <v>1580</v>
      </c>
      <c r="K73" s="6">
        <v>0</v>
      </c>
      <c r="L73" s="6">
        <v>0</v>
      </c>
      <c r="M73" s="6">
        <v>331.8</v>
      </c>
      <c r="N73" s="6">
        <v>2054</v>
      </c>
    </row>
    <row r="74" spans="1:15">
      <c r="A74" s="4" t="s">
        <v>39</v>
      </c>
      <c r="B74" s="4" t="s">
        <v>12</v>
      </c>
      <c r="C74" s="3">
        <v>6</v>
      </c>
      <c r="D74" s="3">
        <v>11563178</v>
      </c>
      <c r="E74" s="3">
        <v>72027229666531</v>
      </c>
      <c r="F74" s="3">
        <v>30620177497</v>
      </c>
      <c r="G74" s="4" t="s">
        <v>41</v>
      </c>
      <c r="H74" s="3">
        <v>1</v>
      </c>
      <c r="I74" s="4" t="s">
        <v>14</v>
      </c>
      <c r="J74" s="6">
        <v>1580</v>
      </c>
      <c r="K74" s="6">
        <v>0</v>
      </c>
      <c r="L74" s="6">
        <v>0</v>
      </c>
      <c r="M74" s="6">
        <v>331.8</v>
      </c>
      <c r="N74" s="6">
        <v>2054</v>
      </c>
    </row>
    <row r="75" spans="1:15">
      <c r="A75" s="4" t="s">
        <v>76</v>
      </c>
      <c r="B75" s="4" t="s">
        <v>12</v>
      </c>
      <c r="C75" s="3">
        <v>22</v>
      </c>
      <c r="D75" s="3">
        <v>40648</v>
      </c>
      <c r="E75" s="3">
        <v>72049436601975</v>
      </c>
      <c r="F75" s="3">
        <v>30699654309</v>
      </c>
      <c r="G75" s="4" t="s">
        <v>78</v>
      </c>
      <c r="H75" s="3">
        <v>1</v>
      </c>
      <c r="I75" s="4" t="s">
        <v>14</v>
      </c>
      <c r="J75" s="6">
        <v>55084.3</v>
      </c>
      <c r="K75" s="6">
        <v>0</v>
      </c>
      <c r="L75" s="6">
        <v>0</v>
      </c>
      <c r="M75" s="6">
        <v>11567.7</v>
      </c>
      <c r="N75" s="6">
        <v>66652</v>
      </c>
    </row>
    <row r="76" spans="1:15">
      <c r="A76" s="4" t="s">
        <v>60</v>
      </c>
      <c r="B76" s="4" t="s">
        <v>12</v>
      </c>
      <c r="C76" s="3">
        <v>1666</v>
      </c>
      <c r="D76" s="3">
        <v>17407</v>
      </c>
      <c r="E76" s="3">
        <v>72039859353812</v>
      </c>
      <c r="F76" s="3">
        <v>30589621499</v>
      </c>
      <c r="G76" s="4" t="s">
        <v>62</v>
      </c>
      <c r="H76" s="3">
        <v>1</v>
      </c>
      <c r="I76" s="4" t="s">
        <v>14</v>
      </c>
      <c r="J76" s="6">
        <v>8901.9500000000007</v>
      </c>
      <c r="K76" s="6">
        <v>26.67</v>
      </c>
      <c r="L76" s="6">
        <v>0</v>
      </c>
      <c r="M76" s="6">
        <v>1813.35</v>
      </c>
      <c r="N76" s="6">
        <v>11535.14</v>
      </c>
    </row>
    <row r="77" spans="1:15">
      <c r="A77" s="4" t="s">
        <v>39</v>
      </c>
      <c r="B77" s="4" t="s">
        <v>12</v>
      </c>
      <c r="C77" s="3">
        <v>3</v>
      </c>
      <c r="D77" s="3">
        <v>19463</v>
      </c>
      <c r="E77" s="3">
        <v>72021322603843</v>
      </c>
      <c r="F77" s="3">
        <v>30712121781</v>
      </c>
      <c r="G77" s="11" t="s">
        <v>40</v>
      </c>
      <c r="H77" s="12">
        <v>1</v>
      </c>
      <c r="I77" s="11" t="s">
        <v>14</v>
      </c>
      <c r="J77" s="13">
        <v>72713.5</v>
      </c>
      <c r="K77" s="13">
        <v>0</v>
      </c>
      <c r="L77" s="13">
        <v>0</v>
      </c>
      <c r="M77" s="13">
        <v>15269.84</v>
      </c>
      <c r="N77" s="13">
        <v>87983.34</v>
      </c>
    </row>
    <row r="78" spans="1:15">
      <c r="A78" s="4" t="s">
        <v>39</v>
      </c>
      <c r="B78" s="4" t="s">
        <v>12</v>
      </c>
      <c r="C78" s="3">
        <v>2</v>
      </c>
      <c r="D78" s="3">
        <v>22280</v>
      </c>
      <c r="E78" s="3">
        <v>72021303706310</v>
      </c>
      <c r="F78" s="3">
        <v>30712121781</v>
      </c>
      <c r="G78" s="11" t="s">
        <v>40</v>
      </c>
      <c r="H78" s="12">
        <v>1</v>
      </c>
      <c r="I78" s="11" t="s">
        <v>14</v>
      </c>
      <c r="J78" s="13">
        <v>2637.2</v>
      </c>
      <c r="K78" s="13">
        <v>0</v>
      </c>
      <c r="L78" s="13">
        <v>0</v>
      </c>
      <c r="M78" s="13">
        <v>553.80999999999995</v>
      </c>
      <c r="N78" s="13">
        <v>3191.01</v>
      </c>
    </row>
    <row r="79" spans="1:15">
      <c r="A79" s="4" t="s">
        <v>27</v>
      </c>
      <c r="B79" s="4" t="s">
        <v>12</v>
      </c>
      <c r="C79" s="3">
        <v>2</v>
      </c>
      <c r="D79" s="3">
        <v>2956</v>
      </c>
      <c r="E79" s="3">
        <v>72011044063998</v>
      </c>
      <c r="F79" s="3">
        <v>30629863571</v>
      </c>
      <c r="G79" s="11" t="s">
        <v>28</v>
      </c>
      <c r="H79" s="12">
        <v>1</v>
      </c>
      <c r="I79" s="11" t="s">
        <v>14</v>
      </c>
      <c r="J79" s="13">
        <v>113609.32</v>
      </c>
      <c r="K79" s="13">
        <v>0</v>
      </c>
      <c r="L79" s="13">
        <v>0</v>
      </c>
      <c r="M79" s="13">
        <v>23857.96</v>
      </c>
      <c r="N79" s="13">
        <v>137467.28</v>
      </c>
      <c r="O79" s="7">
        <f>SUM(J77:J81)</f>
        <v>501721.82000000007</v>
      </c>
    </row>
    <row r="80" spans="1:15">
      <c r="A80" s="4" t="s">
        <v>45</v>
      </c>
      <c r="B80" s="4" t="s">
        <v>12</v>
      </c>
      <c r="C80" s="3">
        <v>2</v>
      </c>
      <c r="D80" s="3">
        <v>2965</v>
      </c>
      <c r="E80" s="3">
        <v>72021539103958</v>
      </c>
      <c r="F80" s="3">
        <v>30629863571</v>
      </c>
      <c r="G80" s="11" t="s">
        <v>28</v>
      </c>
      <c r="H80" s="12">
        <v>1</v>
      </c>
      <c r="I80" s="11" t="s">
        <v>14</v>
      </c>
      <c r="J80" s="13">
        <v>183080.78</v>
      </c>
      <c r="K80" s="13">
        <v>0</v>
      </c>
      <c r="L80" s="13">
        <v>0</v>
      </c>
      <c r="M80" s="13">
        <v>38446.959999999999</v>
      </c>
      <c r="N80" s="13">
        <v>221527.74</v>
      </c>
    </row>
    <row r="81" spans="1:16">
      <c r="A81" s="4" t="s">
        <v>76</v>
      </c>
      <c r="B81" s="4" t="s">
        <v>12</v>
      </c>
      <c r="C81" s="3">
        <v>2</v>
      </c>
      <c r="D81" s="3">
        <v>2971</v>
      </c>
      <c r="E81" s="3">
        <v>72051743560096</v>
      </c>
      <c r="F81" s="3">
        <v>30629863571</v>
      </c>
      <c r="G81" s="11" t="s">
        <v>28</v>
      </c>
      <c r="H81" s="12">
        <v>1</v>
      </c>
      <c r="I81" s="11" t="s">
        <v>14</v>
      </c>
      <c r="J81" s="13">
        <v>129681.02</v>
      </c>
      <c r="K81" s="13">
        <v>0</v>
      </c>
      <c r="L81" s="13">
        <v>0</v>
      </c>
      <c r="M81" s="13">
        <v>27233.01</v>
      </c>
      <c r="N81" s="13">
        <v>156914.03</v>
      </c>
    </row>
    <row r="82" spans="1:16">
      <c r="A82" s="4" t="s">
        <v>20</v>
      </c>
      <c r="B82" s="4" t="s">
        <v>12</v>
      </c>
      <c r="C82" s="3">
        <v>63</v>
      </c>
      <c r="D82" s="3">
        <v>1775791</v>
      </c>
      <c r="E82" s="3">
        <v>72027286919359</v>
      </c>
      <c r="F82" s="3">
        <v>30640897267</v>
      </c>
      <c r="G82" s="4" t="s">
        <v>24</v>
      </c>
      <c r="H82" s="3">
        <v>1</v>
      </c>
      <c r="I82" s="4" t="s">
        <v>14</v>
      </c>
      <c r="J82" s="6">
        <v>4425.45</v>
      </c>
      <c r="K82" s="6">
        <v>0</v>
      </c>
      <c r="L82" s="6">
        <v>0</v>
      </c>
      <c r="M82" s="6">
        <v>929.35</v>
      </c>
      <c r="N82" s="6">
        <v>5753.09</v>
      </c>
    </row>
    <row r="83" spans="1:16">
      <c r="A83" s="4" t="s">
        <v>20</v>
      </c>
      <c r="B83" s="4" t="s">
        <v>12</v>
      </c>
      <c r="C83" s="3">
        <v>63</v>
      </c>
      <c r="D83" s="3">
        <v>1775346</v>
      </c>
      <c r="E83" s="3">
        <v>72027286874020</v>
      </c>
      <c r="F83" s="3">
        <v>30640897267</v>
      </c>
      <c r="G83" s="4" t="s">
        <v>24</v>
      </c>
      <c r="H83" s="3">
        <v>1</v>
      </c>
      <c r="I83" s="4" t="s">
        <v>14</v>
      </c>
      <c r="J83" s="6">
        <v>4180</v>
      </c>
      <c r="K83" s="6">
        <v>0</v>
      </c>
      <c r="L83" s="6">
        <v>0</v>
      </c>
      <c r="M83" s="6">
        <v>877.8</v>
      </c>
      <c r="N83" s="6">
        <v>5434</v>
      </c>
    </row>
    <row r="84" spans="1:16">
      <c r="A84" s="4" t="s">
        <v>20</v>
      </c>
      <c r="B84" s="4" t="s">
        <v>12</v>
      </c>
      <c r="C84" s="3">
        <v>63</v>
      </c>
      <c r="D84" s="3">
        <v>1775198</v>
      </c>
      <c r="E84" s="3">
        <v>72027286866804</v>
      </c>
      <c r="F84" s="3">
        <v>30640897267</v>
      </c>
      <c r="G84" s="4" t="s">
        <v>24</v>
      </c>
      <c r="H84" s="3">
        <v>1</v>
      </c>
      <c r="I84" s="4" t="s">
        <v>14</v>
      </c>
      <c r="J84" s="6">
        <v>4425.45</v>
      </c>
      <c r="K84" s="6">
        <v>0</v>
      </c>
      <c r="L84" s="6">
        <v>0</v>
      </c>
      <c r="M84" s="6">
        <v>929.35</v>
      </c>
      <c r="N84" s="6">
        <v>5753.09</v>
      </c>
    </row>
    <row r="85" spans="1:16">
      <c r="A85" s="4" t="s">
        <v>39</v>
      </c>
      <c r="B85" s="4" t="s">
        <v>12</v>
      </c>
      <c r="C85" s="3">
        <v>6364</v>
      </c>
      <c r="D85" s="3">
        <v>5613460</v>
      </c>
      <c r="E85" s="3">
        <v>72028623175138</v>
      </c>
      <c r="F85" s="3">
        <v>30639453738</v>
      </c>
      <c r="G85" s="4" t="s">
        <v>42</v>
      </c>
      <c r="H85" s="3">
        <v>1</v>
      </c>
      <c r="I85" s="4" t="s">
        <v>14</v>
      </c>
      <c r="J85" s="6">
        <v>32413.47</v>
      </c>
      <c r="K85" s="6">
        <v>2.08</v>
      </c>
      <c r="L85" s="6">
        <v>0</v>
      </c>
      <c r="M85" s="6">
        <v>6891.98</v>
      </c>
      <c r="N85" s="6">
        <v>42150.9</v>
      </c>
    </row>
    <row r="86" spans="1:16">
      <c r="A86" s="4" t="s">
        <v>52</v>
      </c>
      <c r="B86" s="4" t="s">
        <v>12</v>
      </c>
      <c r="C86" s="3">
        <v>6723</v>
      </c>
      <c r="D86" s="3">
        <v>3176729</v>
      </c>
      <c r="E86" s="3">
        <v>72038710872895</v>
      </c>
      <c r="F86" s="3">
        <v>30639453738</v>
      </c>
      <c r="G86" s="4" t="s">
        <v>42</v>
      </c>
      <c r="H86" s="3">
        <v>1</v>
      </c>
      <c r="I86" s="4" t="s">
        <v>14</v>
      </c>
      <c r="J86" s="6">
        <v>4650</v>
      </c>
      <c r="K86" s="6">
        <v>0</v>
      </c>
      <c r="L86" s="6">
        <v>0</v>
      </c>
      <c r="M86" s="6">
        <v>976.5</v>
      </c>
      <c r="N86" s="6">
        <v>5766</v>
      </c>
    </row>
    <row r="87" spans="1:16">
      <c r="A87" s="4" t="s">
        <v>52</v>
      </c>
      <c r="B87" s="4" t="s">
        <v>12</v>
      </c>
      <c r="C87" s="3">
        <v>6723</v>
      </c>
      <c r="D87" s="3">
        <v>3199580</v>
      </c>
      <c r="E87" s="3">
        <v>72038711466551</v>
      </c>
      <c r="F87" s="3">
        <v>30639453738</v>
      </c>
      <c r="G87" s="4" t="s">
        <v>42</v>
      </c>
      <c r="H87" s="3">
        <v>1</v>
      </c>
      <c r="I87" s="4" t="s">
        <v>14</v>
      </c>
      <c r="J87" s="6">
        <v>6250</v>
      </c>
      <c r="K87" s="6">
        <v>0</v>
      </c>
      <c r="L87" s="6">
        <v>0</v>
      </c>
      <c r="M87" s="6">
        <v>1312.5</v>
      </c>
      <c r="N87" s="6">
        <v>8125</v>
      </c>
    </row>
    <row r="88" spans="1:16">
      <c r="A88" s="4" t="s">
        <v>52</v>
      </c>
      <c r="B88" s="4" t="s">
        <v>12</v>
      </c>
      <c r="C88" s="3">
        <v>6723</v>
      </c>
      <c r="D88" s="3">
        <v>3168476</v>
      </c>
      <c r="E88" s="3">
        <v>72038710581744</v>
      </c>
      <c r="F88" s="3">
        <v>30639453738</v>
      </c>
      <c r="G88" s="4" t="s">
        <v>42</v>
      </c>
      <c r="H88" s="3">
        <v>1</v>
      </c>
      <c r="I88" s="4" t="s">
        <v>14</v>
      </c>
      <c r="J88" s="6">
        <v>6250</v>
      </c>
      <c r="K88" s="6">
        <v>0</v>
      </c>
      <c r="L88" s="6">
        <v>0</v>
      </c>
      <c r="M88" s="6">
        <v>1312.5</v>
      </c>
      <c r="N88" s="6">
        <v>8125</v>
      </c>
    </row>
    <row r="89" spans="1:16">
      <c r="A89" s="4" t="s">
        <v>15</v>
      </c>
      <c r="B89" s="4" t="s">
        <v>12</v>
      </c>
      <c r="C89" s="3">
        <v>943</v>
      </c>
      <c r="D89" s="3">
        <v>861491</v>
      </c>
      <c r="E89" s="3">
        <v>72015896665024</v>
      </c>
      <c r="F89" s="3">
        <v>30639453975</v>
      </c>
      <c r="G89" s="4" t="s">
        <v>17</v>
      </c>
      <c r="H89" s="3">
        <v>1</v>
      </c>
      <c r="I89" s="4" t="s">
        <v>14</v>
      </c>
      <c r="J89" s="6">
        <v>8089.46</v>
      </c>
      <c r="K89" s="6">
        <v>0</v>
      </c>
      <c r="L89" s="6">
        <v>0</v>
      </c>
      <c r="M89" s="6">
        <v>2184.15</v>
      </c>
      <c r="N89" s="6">
        <v>11001.66</v>
      </c>
    </row>
    <row r="90" spans="1:16">
      <c r="A90" s="4" t="s">
        <v>38</v>
      </c>
      <c r="B90" s="4" t="s">
        <v>12</v>
      </c>
      <c r="C90" s="3">
        <v>948</v>
      </c>
      <c r="D90" s="3">
        <v>536271</v>
      </c>
      <c r="E90" s="3">
        <v>72025376503012</v>
      </c>
      <c r="F90" s="3">
        <v>30639453975</v>
      </c>
      <c r="G90" s="4" t="s">
        <v>17</v>
      </c>
      <c r="H90" s="3">
        <v>1</v>
      </c>
      <c r="I90" s="4" t="s">
        <v>14</v>
      </c>
      <c r="J90" s="6">
        <v>2575.3200000000002</v>
      </c>
      <c r="K90" s="6">
        <v>0</v>
      </c>
      <c r="L90" s="6">
        <v>0</v>
      </c>
      <c r="M90" s="6">
        <v>695.34</v>
      </c>
      <c r="N90" s="6">
        <v>3502.44</v>
      </c>
    </row>
    <row r="91" spans="1:16">
      <c r="A91" s="4" t="s">
        <v>84</v>
      </c>
      <c r="B91" s="4" t="s">
        <v>86</v>
      </c>
      <c r="C91" s="3">
        <v>3</v>
      </c>
      <c r="D91" s="3">
        <v>87</v>
      </c>
      <c r="E91" s="3">
        <v>72054900652669</v>
      </c>
      <c r="F91" s="3">
        <v>20174208094</v>
      </c>
      <c r="G91" s="4" t="s">
        <v>87</v>
      </c>
      <c r="H91" s="3">
        <v>1</v>
      </c>
      <c r="I91" s="4" t="s">
        <v>14</v>
      </c>
      <c r="J91" s="6"/>
      <c r="K91" s="6"/>
      <c r="L91" s="6"/>
      <c r="M91" s="6"/>
      <c r="N91" s="6">
        <v>22000</v>
      </c>
    </row>
    <row r="92" spans="1:16">
      <c r="J92" s="7">
        <f>SUM(J3:J91)</f>
        <v>4544396.0299999993</v>
      </c>
      <c r="K92" s="7">
        <f>SUM(K3:K91)</f>
        <v>28.75</v>
      </c>
      <c r="L92" s="7">
        <f>SUM(L3:L91)</f>
        <v>0</v>
      </c>
      <c r="M92" s="7">
        <f>SUM(M3:M91)</f>
        <v>848396.28</v>
      </c>
      <c r="O92" s="7">
        <f>SUM(O11:O91)</f>
        <v>3841803.05</v>
      </c>
      <c r="P92" s="7">
        <f>J92-O92</f>
        <v>702592.97999999952</v>
      </c>
    </row>
    <row r="93" spans="1:16">
      <c r="N93" s="7">
        <f>SUM(N3:N91)</f>
        <v>5502727.2000000002</v>
      </c>
    </row>
  </sheetData>
  <sortState ref="A3:N92">
    <sortCondition ref="G3:G92"/>
  </sortState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123</cp:lastModifiedBy>
  <dcterms:created xsi:type="dcterms:W3CDTF">2022-09-05T19:56:14Z</dcterms:created>
  <dcterms:modified xsi:type="dcterms:W3CDTF">2022-09-06T01:13:18Z</dcterms:modified>
</cp:coreProperties>
</file>