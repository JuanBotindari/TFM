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19440" windowHeight="13740" tabRatio="50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O120" i="1" l="1"/>
  <c r="O104" i="1"/>
  <c r="O94" i="1"/>
  <c r="O90" i="1"/>
  <c r="O73" i="1"/>
  <c r="O44" i="1"/>
  <c r="O20" i="1"/>
  <c r="O15" i="1"/>
  <c r="O11" i="1"/>
  <c r="N128" i="1"/>
  <c r="M127" i="1"/>
  <c r="L127" i="1"/>
  <c r="K127" i="1"/>
  <c r="J127" i="1"/>
  <c r="O127" i="1" l="1"/>
  <c r="P127" i="1" s="1"/>
</calcChain>
</file>

<file path=xl/sharedStrings.xml><?xml version="1.0" encoding="utf-8"?>
<sst xmlns="http://schemas.openxmlformats.org/spreadsheetml/2006/main" count="511" uniqueCount="118">
  <si>
    <t>Mis Comprobantes Recibidos - CUIT 30663486051</t>
  </si>
  <si>
    <t>Fecha</t>
  </si>
  <si>
    <t>Tipo</t>
  </si>
  <si>
    <t>Cód. Autorización</t>
  </si>
  <si>
    <t>Denominación Emisor</t>
  </si>
  <si>
    <t>Moneda</t>
  </si>
  <si>
    <t>IVA</t>
  </si>
  <si>
    <t>Imp. Total</t>
  </si>
  <si>
    <t>01/06/2022</t>
  </si>
  <si>
    <t>1 - Factura A</t>
  </si>
  <si>
    <t>CUIT</t>
  </si>
  <si>
    <t>TECNIMAR S R L</t>
  </si>
  <si>
    <t>$</t>
  </si>
  <si>
    <t>MAYCAR SOCIEDAD ANONIMA</t>
  </si>
  <si>
    <t>COTO CENTRO INTEGRAL DE COMERCIALIZACION SOCIEDAD ANONIMA</t>
  </si>
  <si>
    <t>TELECENTRO S A</t>
  </si>
  <si>
    <t>CODAC SRL</t>
  </si>
  <si>
    <t>MUIÑOS JUAN VICTOR</t>
  </si>
  <si>
    <t>02/06/2022</t>
  </si>
  <si>
    <t>BATTELLINI MARIA SOLEDAD</t>
  </si>
  <si>
    <t>CHAMORRO MANUEL</t>
  </si>
  <si>
    <t>AUTOPISTAS URBANAS S A</t>
  </si>
  <si>
    <t>DEHEZA SOCIEDAD ANONIMA INDUSTRIAL COMERCIAL FINANCIERA INMOBILIARIA</t>
  </si>
  <si>
    <t>03/06/2022</t>
  </si>
  <si>
    <t>GRUPO CONCESIONARIO DEL OESTE SA</t>
  </si>
  <si>
    <t>H UNO 1469 S.A.</t>
  </si>
  <si>
    <t>TELEFONICA DE ARGENTINA SA</t>
  </si>
  <si>
    <t>GANADERA EL 13 S.R.L</t>
  </si>
  <si>
    <t>AUTOPISTAS DEL SOL S A</t>
  </si>
  <si>
    <t>SPEED BUSINESS S. A.</t>
  </si>
  <si>
    <t>04/06/2022</t>
  </si>
  <si>
    <t>AUTOPISTAS DE BUENOS AIRES (AUBASA) SA</t>
  </si>
  <si>
    <t>06/06/2022</t>
  </si>
  <si>
    <t>C L P SRL</t>
  </si>
  <si>
    <t>NUAGE SYSTEMS S.A.</t>
  </si>
  <si>
    <t>07/06/2022</t>
  </si>
  <si>
    <t>OCAÑO ENRIQUE</t>
  </si>
  <si>
    <t>SUPERMERCADOS MAYORISTAS MAKRO SA</t>
  </si>
  <si>
    <t>CELEX GROUP  SRL</t>
  </si>
  <si>
    <t>08/06/2022</t>
  </si>
  <si>
    <t>BI-ORIENT S.A.</t>
  </si>
  <si>
    <t>11 - Factura C</t>
  </si>
  <si>
    <t>CAFFARATTI ROMINA PAOLA</t>
  </si>
  <si>
    <t>OPERADORA DE ESTACIONES DE SERVICIOS SA</t>
  </si>
  <si>
    <t>ROMERO EMILIO</t>
  </si>
  <si>
    <t>QUIMICA OESTE SOCIEDAD ANONIMA</t>
  </si>
  <si>
    <t>09/06/2022</t>
  </si>
  <si>
    <t>NT INKS S.A.</t>
  </si>
  <si>
    <t>2 - Nota de Débito A</t>
  </si>
  <si>
    <t>VTG SPECIALTY CHEMICALS S A</t>
  </si>
  <si>
    <t>REUS JORGE DIEGO</t>
  </si>
  <si>
    <t>ZETABURGOS SRL</t>
  </si>
  <si>
    <t>3 - Nota de Crédito A</t>
  </si>
  <si>
    <t>10/06/2022</t>
  </si>
  <si>
    <t>IACONIS SERGIO OMAR</t>
  </si>
  <si>
    <t>POSNET SOCIEDAD DE RESPONSABILIDAD LIMITADA</t>
  </si>
  <si>
    <t>DISTRIBUIDORA MILER SRL</t>
  </si>
  <si>
    <t>TELECOM ARGENTINA SOCIEDAD ANONIMA</t>
  </si>
  <si>
    <t>INFOSOL BUENOS AIRES S.R.L.</t>
  </si>
  <si>
    <t>FLORES HUAYRA MICHAEL MARTIN</t>
  </si>
  <si>
    <t>11/06/2022</t>
  </si>
  <si>
    <t>PINTURERIAS MAFER SOCIEDAD ANONIMA</t>
  </si>
  <si>
    <t>13/06/2022</t>
  </si>
  <si>
    <t>BERON RICARDO HECTOR</t>
  </si>
  <si>
    <t>STENDEL JULIAN RODOLFO</t>
  </si>
  <si>
    <t>14/06/2022</t>
  </si>
  <si>
    <t>SOLLA MIGUEL ANDRES</t>
  </si>
  <si>
    <t>DABRA SOCIEDAD ANONIMA</t>
  </si>
  <si>
    <t>GRAFICA B612 SRL</t>
  </si>
  <si>
    <t>EL INSUMO S.R.L.</t>
  </si>
  <si>
    <t>15/06/2022</t>
  </si>
  <si>
    <t>CASE CELL GROUP S.A.</t>
  </si>
  <si>
    <t>EGEO SOCIEDAD DE RESPONSABILIDAD LIMITADA</t>
  </si>
  <si>
    <t>CINE 24 S.R.L.</t>
  </si>
  <si>
    <t>16/06/2022</t>
  </si>
  <si>
    <t>COMPUFAN SRL</t>
  </si>
  <si>
    <t>GIMENEZ GUSTAVO JORGE</t>
  </si>
  <si>
    <t>CLEAN LAB SRL</t>
  </si>
  <si>
    <t>17/06/2022</t>
  </si>
  <si>
    <t>18/06/2022</t>
  </si>
  <si>
    <t>MENDEZ ALEJANDRO DANIEL</t>
  </si>
  <si>
    <t>19/06/2022</t>
  </si>
  <si>
    <t>20/06/2022</t>
  </si>
  <si>
    <t>COORDINACION ECOLOGICA AREA METROPOLITANA SOCIEDAD DEL ESTADO</t>
  </si>
  <si>
    <t>21/06/2022</t>
  </si>
  <si>
    <t>GIOIOSA CHRISTIAN ARIEL</t>
  </si>
  <si>
    <t>EBOX S.A.</t>
  </si>
  <si>
    <t>FRAVEGA S A C I E I</t>
  </si>
  <si>
    <t>22/06/2022</t>
  </si>
  <si>
    <t>BIELSKY ALEXIS PABLO</t>
  </si>
  <si>
    <t>23/06/2022</t>
  </si>
  <si>
    <t>CORREDORES VIALES SOCIEDAD ANONIMA</t>
  </si>
  <si>
    <t>CPT INTEGRAL SA</t>
  </si>
  <si>
    <t>24/06/2022</t>
  </si>
  <si>
    <t>26/06/2022</t>
  </si>
  <si>
    <t>27/06/2022</t>
  </si>
  <si>
    <t>28/06/2022</t>
  </si>
  <si>
    <t>UNTECO S.A.I.C. E I.</t>
  </si>
  <si>
    <t>29/06/2022</t>
  </si>
  <si>
    <t>XT COMUNICACIONES SOCIEDAD ANONIMA</t>
  </si>
  <si>
    <t>MERCADOLIBRE S.R.L.</t>
  </si>
  <si>
    <t>K.R. S. R. L.</t>
  </si>
  <si>
    <t>HARDCORE FITNESS S.R.L.</t>
  </si>
  <si>
    <t>MIRANDA MARIANO JAVIER</t>
  </si>
  <si>
    <t>30/06/2022</t>
  </si>
  <si>
    <t>PEREZ GIMENEZ ELIO IGNACIO</t>
  </si>
  <si>
    <t>QUETZAL QUIMICA S R L</t>
  </si>
  <si>
    <t>PISANO SA</t>
  </si>
  <si>
    <t>USD</t>
  </si>
  <si>
    <t>FAIL ABRAHAM</t>
  </si>
  <si>
    <t>R A DURAN Y ASOC SRL</t>
  </si>
  <si>
    <t>CORREO OFICIAL DE LA REPUBLICA ARGENTINA SOCIEDAD ANONIMA</t>
  </si>
  <si>
    <t>Pto Vta</t>
  </si>
  <si>
    <t>Nro</t>
  </si>
  <si>
    <t>Tpo Cmbio</t>
  </si>
  <si>
    <t xml:space="preserve"> Neto Gravado</t>
  </si>
  <si>
    <t xml:space="preserve"> Neto No Gravado</t>
  </si>
  <si>
    <t xml:space="preserve"> Exentas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</si>
</sst>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4" fontId="0" fillId="0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/>
    <xf numFmtId="1" fontId="0" fillId="3" borderId="1" xfId="0" applyNumberFormat="1" applyFont="1" applyFill="1" applyBorder="1"/>
    <xf numFmtId="4" fontId="0" fillId="3" borderId="1" xfId="0" applyNumberFormat="1" applyFont="1" applyFill="1" applyBorder="1"/>
    <xf numFmtId="2" fontId="0" fillId="3" borderId="1" xfId="0" applyNumberFormat="1" applyFont="1" applyFill="1" applyBorder="1"/>
    <xf numFmtId="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8"/>
  <sheetViews>
    <sheetView tabSelected="1" topLeftCell="E112" workbookViewId="0">
      <selection activeCell="K132" sqref="K132"/>
    </sheetView>
  </sheetViews>
  <sheetFormatPr baseColWidth="10" defaultRowHeight="15"/>
  <cols>
    <col min="1" max="1" width="13" customWidth="1"/>
    <col min="2" max="2" width="19.42578125" bestFit="1" customWidth="1"/>
    <col min="3" max="3" width="7.42578125" bestFit="1" customWidth="1"/>
    <col min="4" max="4" width="9" bestFit="1" customWidth="1"/>
    <col min="5" max="5" width="16.7109375" bestFit="1" customWidth="1"/>
    <col min="6" max="6" width="12" bestFit="1" customWidth="1"/>
    <col min="7" max="7" width="52" customWidth="1"/>
    <col min="8" max="8" width="10.42578125" bestFit="1" customWidth="1"/>
    <col min="9" max="9" width="8.42578125" bestFit="1" customWidth="1"/>
    <col min="10" max="10" width="13.7109375" bestFit="1" customWidth="1"/>
    <col min="11" max="11" width="26" customWidth="1"/>
    <col min="12" max="12" width="20.85546875" customWidth="1"/>
    <col min="13" max="13" width="11.7109375" customWidth="1"/>
    <col min="14" max="14" width="13" customWidth="1"/>
    <col min="15" max="16" width="11.7109375" bestFit="1" customWidth="1"/>
  </cols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>
      <c r="A2" s="6" t="s">
        <v>1</v>
      </c>
      <c r="B2" s="6" t="s">
        <v>2</v>
      </c>
      <c r="C2" s="6" t="s">
        <v>112</v>
      </c>
      <c r="D2" s="6" t="s">
        <v>113</v>
      </c>
      <c r="E2" s="6" t="s">
        <v>3</v>
      </c>
      <c r="F2" s="6" t="s">
        <v>10</v>
      </c>
      <c r="G2" s="6" t="s">
        <v>4</v>
      </c>
      <c r="H2" s="6" t="s">
        <v>114</v>
      </c>
      <c r="I2" s="6" t="s">
        <v>5</v>
      </c>
      <c r="J2" s="6" t="s">
        <v>115</v>
      </c>
      <c r="K2" s="6" t="s">
        <v>116</v>
      </c>
      <c r="L2" s="6" t="s">
        <v>117</v>
      </c>
      <c r="M2" s="6" t="s">
        <v>6</v>
      </c>
      <c r="N2" s="6" t="s">
        <v>7</v>
      </c>
    </row>
    <row r="3" spans="1:15">
      <c r="A3" s="3" t="s">
        <v>30</v>
      </c>
      <c r="B3" s="3" t="s">
        <v>9</v>
      </c>
      <c r="C3" s="4">
        <v>50</v>
      </c>
      <c r="D3" s="4">
        <v>2624879</v>
      </c>
      <c r="E3" s="4">
        <v>72236882488832</v>
      </c>
      <c r="F3" s="4">
        <v>30714112836</v>
      </c>
      <c r="G3" s="3" t="s">
        <v>31</v>
      </c>
      <c r="H3" s="4">
        <v>1</v>
      </c>
      <c r="I3" s="3" t="s">
        <v>12</v>
      </c>
      <c r="J3" s="5">
        <v>442.97</v>
      </c>
      <c r="K3" s="5">
        <v>0</v>
      </c>
      <c r="L3" s="5">
        <v>0</v>
      </c>
      <c r="M3" s="5">
        <v>93.03</v>
      </c>
      <c r="N3" s="5">
        <v>549.29</v>
      </c>
    </row>
    <row r="4" spans="1:15">
      <c r="A4" s="3" t="s">
        <v>23</v>
      </c>
      <c r="B4" s="3" t="s">
        <v>9</v>
      </c>
      <c r="C4" s="4">
        <v>711</v>
      </c>
      <c r="D4" s="4">
        <v>3016398</v>
      </c>
      <c r="E4" s="4">
        <v>32229740481050</v>
      </c>
      <c r="F4" s="4">
        <v>30677237119</v>
      </c>
      <c r="G4" s="3" t="s">
        <v>28</v>
      </c>
      <c r="H4" s="4">
        <v>1</v>
      </c>
      <c r="I4" s="3" t="s">
        <v>12</v>
      </c>
      <c r="J4" s="5">
        <v>2538</v>
      </c>
      <c r="K4" s="5">
        <v>0</v>
      </c>
      <c r="L4" s="5">
        <v>76.14</v>
      </c>
      <c r="M4" s="5">
        <v>533</v>
      </c>
      <c r="N4" s="5">
        <v>3147.14</v>
      </c>
    </row>
    <row r="5" spans="1:15">
      <c r="A5" s="3" t="s">
        <v>79</v>
      </c>
      <c r="B5" s="3" t="s">
        <v>9</v>
      </c>
      <c r="C5" s="4">
        <v>711</v>
      </c>
      <c r="D5" s="4">
        <v>3070534</v>
      </c>
      <c r="E5" s="4">
        <v>32249698057957</v>
      </c>
      <c r="F5" s="4">
        <v>30677237119</v>
      </c>
      <c r="G5" s="3" t="s">
        <v>28</v>
      </c>
      <c r="H5" s="4">
        <v>1</v>
      </c>
      <c r="I5" s="3" t="s">
        <v>12</v>
      </c>
      <c r="J5" s="5">
        <v>1989.25</v>
      </c>
      <c r="K5" s="5">
        <v>0</v>
      </c>
      <c r="L5" s="5">
        <v>0</v>
      </c>
      <c r="M5" s="5">
        <v>417.75</v>
      </c>
      <c r="N5" s="5">
        <v>2407</v>
      </c>
    </row>
    <row r="6" spans="1:15">
      <c r="A6" s="3" t="s">
        <v>18</v>
      </c>
      <c r="B6" s="3" t="s">
        <v>9</v>
      </c>
      <c r="C6" s="4">
        <v>5014</v>
      </c>
      <c r="D6" s="4">
        <v>242645</v>
      </c>
      <c r="E6" s="4">
        <v>72224322574671</v>
      </c>
      <c r="F6" s="4">
        <v>30574876474</v>
      </c>
      <c r="G6" s="3" t="s">
        <v>21</v>
      </c>
      <c r="H6" s="4">
        <v>1</v>
      </c>
      <c r="I6" s="3" t="s">
        <v>12</v>
      </c>
      <c r="J6" s="5">
        <v>6694.23</v>
      </c>
      <c r="K6" s="5">
        <v>0</v>
      </c>
      <c r="L6" s="5">
        <v>0</v>
      </c>
      <c r="M6" s="5">
        <v>1405.71</v>
      </c>
      <c r="N6" s="5">
        <v>8969.6299999999992</v>
      </c>
    </row>
    <row r="7" spans="1:15">
      <c r="A7" s="3" t="s">
        <v>78</v>
      </c>
      <c r="B7" s="3" t="s">
        <v>9</v>
      </c>
      <c r="C7" s="4">
        <v>5014</v>
      </c>
      <c r="D7" s="4">
        <v>252710</v>
      </c>
      <c r="E7" s="4">
        <v>72254658376778</v>
      </c>
      <c r="F7" s="4">
        <v>30574876474</v>
      </c>
      <c r="G7" s="3" t="s">
        <v>21</v>
      </c>
      <c r="H7" s="4">
        <v>1</v>
      </c>
      <c r="I7" s="3" t="s">
        <v>12</v>
      </c>
      <c r="J7" s="5">
        <v>11204.56</v>
      </c>
      <c r="K7" s="5">
        <v>0</v>
      </c>
      <c r="L7" s="5">
        <v>0</v>
      </c>
      <c r="M7" s="5">
        <v>2352.84</v>
      </c>
      <c r="N7" s="5">
        <v>15012.86</v>
      </c>
    </row>
    <row r="8" spans="1:15">
      <c r="A8" s="3" t="s">
        <v>18</v>
      </c>
      <c r="B8" s="3" t="s">
        <v>9</v>
      </c>
      <c r="C8" s="4">
        <v>2</v>
      </c>
      <c r="D8" s="4">
        <v>164</v>
      </c>
      <c r="E8" s="4">
        <v>72223271704948</v>
      </c>
      <c r="F8" s="4">
        <v>27309896063</v>
      </c>
      <c r="G8" s="3" t="s">
        <v>19</v>
      </c>
      <c r="H8" s="4">
        <v>1</v>
      </c>
      <c r="I8" s="3" t="s">
        <v>12</v>
      </c>
      <c r="J8" s="5">
        <v>18000</v>
      </c>
      <c r="K8" s="5">
        <v>0</v>
      </c>
      <c r="L8" s="5">
        <v>0</v>
      </c>
      <c r="M8" s="5">
        <v>3780</v>
      </c>
      <c r="N8" s="5">
        <v>21780</v>
      </c>
    </row>
    <row r="9" spans="1:15">
      <c r="A9" s="3" t="s">
        <v>62</v>
      </c>
      <c r="B9" s="3" t="s">
        <v>9</v>
      </c>
      <c r="C9" s="4">
        <v>3</v>
      </c>
      <c r="D9" s="4">
        <v>1673</v>
      </c>
      <c r="E9" s="4">
        <v>72246164799669</v>
      </c>
      <c r="F9" s="4">
        <v>24109521716</v>
      </c>
      <c r="G9" s="3" t="s">
        <v>63</v>
      </c>
      <c r="H9" s="4">
        <v>1</v>
      </c>
      <c r="I9" s="3" t="s">
        <v>12</v>
      </c>
      <c r="J9" s="5">
        <v>12545.67</v>
      </c>
      <c r="K9" s="5">
        <v>0</v>
      </c>
      <c r="L9" s="5">
        <v>0</v>
      </c>
      <c r="M9" s="5">
        <v>2634.58</v>
      </c>
      <c r="N9" s="5">
        <v>15180.25</v>
      </c>
    </row>
    <row r="10" spans="1:15">
      <c r="A10" s="3" t="s">
        <v>88</v>
      </c>
      <c r="B10" s="3" t="s">
        <v>9</v>
      </c>
      <c r="C10" s="4">
        <v>3</v>
      </c>
      <c r="D10" s="4">
        <v>3154</v>
      </c>
      <c r="E10" s="4">
        <v>72258901901103</v>
      </c>
      <c r="F10" s="4">
        <v>20262803148</v>
      </c>
      <c r="G10" s="3" t="s">
        <v>89</v>
      </c>
      <c r="H10" s="4">
        <v>1</v>
      </c>
      <c r="I10" s="3" t="s">
        <v>12</v>
      </c>
      <c r="J10" s="5">
        <v>7438.01</v>
      </c>
      <c r="K10" s="5">
        <v>0</v>
      </c>
      <c r="L10" s="5">
        <v>0</v>
      </c>
      <c r="M10" s="5">
        <v>1561.98</v>
      </c>
      <c r="N10" s="5">
        <v>8999.99</v>
      </c>
    </row>
    <row r="11" spans="1:15">
      <c r="A11" s="3" t="s">
        <v>39</v>
      </c>
      <c r="B11" s="3" t="s">
        <v>9</v>
      </c>
      <c r="C11" s="4">
        <v>6</v>
      </c>
      <c r="D11" s="4">
        <v>7902</v>
      </c>
      <c r="E11" s="4">
        <v>72233796316579</v>
      </c>
      <c r="F11" s="4">
        <v>30707603123</v>
      </c>
      <c r="G11" s="7" t="s">
        <v>40</v>
      </c>
      <c r="H11" s="8">
        <v>1</v>
      </c>
      <c r="I11" s="7" t="s">
        <v>12</v>
      </c>
      <c r="J11" s="9">
        <v>92780</v>
      </c>
      <c r="K11" s="9">
        <v>0</v>
      </c>
      <c r="L11" s="9">
        <v>0</v>
      </c>
      <c r="M11" s="9">
        <v>19483.8</v>
      </c>
      <c r="N11" s="9">
        <v>112263.8</v>
      </c>
      <c r="O11" s="11">
        <f>SUM(J11:J12)</f>
        <v>301868</v>
      </c>
    </row>
    <row r="12" spans="1:15">
      <c r="A12" s="3" t="s">
        <v>32</v>
      </c>
      <c r="B12" s="3" t="s">
        <v>9</v>
      </c>
      <c r="C12" s="4">
        <v>9</v>
      </c>
      <c r="D12" s="4">
        <v>22734</v>
      </c>
      <c r="E12" s="4">
        <v>72236586183016</v>
      </c>
      <c r="F12" s="4">
        <v>30694592526</v>
      </c>
      <c r="G12" s="7" t="s">
        <v>33</v>
      </c>
      <c r="H12" s="8">
        <v>1</v>
      </c>
      <c r="I12" s="7" t="s">
        <v>12</v>
      </c>
      <c r="J12" s="9">
        <v>209088</v>
      </c>
      <c r="K12" s="9">
        <v>0</v>
      </c>
      <c r="L12" s="9">
        <v>0</v>
      </c>
      <c r="M12" s="9">
        <v>43908.480000000003</v>
      </c>
      <c r="N12" s="9">
        <v>265541.76000000001</v>
      </c>
    </row>
    <row r="13" spans="1:15">
      <c r="A13" s="3" t="s">
        <v>39</v>
      </c>
      <c r="B13" s="3" t="s">
        <v>41</v>
      </c>
      <c r="C13" s="4">
        <v>2</v>
      </c>
      <c r="D13" s="4">
        <v>165</v>
      </c>
      <c r="E13" s="4">
        <v>72234757504789</v>
      </c>
      <c r="F13" s="4">
        <v>23319210954</v>
      </c>
      <c r="G13" s="3" t="s">
        <v>42</v>
      </c>
      <c r="H13" s="4">
        <v>1</v>
      </c>
      <c r="I13" s="3" t="s">
        <v>12</v>
      </c>
      <c r="J13" s="5"/>
      <c r="K13" s="5"/>
      <c r="L13" s="5"/>
      <c r="M13" s="5"/>
      <c r="N13" s="5">
        <v>6100</v>
      </c>
    </row>
    <row r="14" spans="1:15">
      <c r="A14" s="3" t="s">
        <v>70</v>
      </c>
      <c r="B14" s="3" t="s">
        <v>9</v>
      </c>
      <c r="C14" s="4">
        <v>41</v>
      </c>
      <c r="D14" s="4">
        <v>6</v>
      </c>
      <c r="E14" s="4">
        <v>72247364299678</v>
      </c>
      <c r="F14" s="4">
        <v>30715600397</v>
      </c>
      <c r="G14" s="3" t="s">
        <v>71</v>
      </c>
      <c r="H14" s="4">
        <v>1</v>
      </c>
      <c r="I14" s="3" t="s">
        <v>12</v>
      </c>
      <c r="J14" s="5">
        <v>1785.12</v>
      </c>
      <c r="K14" s="5">
        <v>0</v>
      </c>
      <c r="L14" s="5">
        <v>0</v>
      </c>
      <c r="M14" s="5">
        <v>374.88</v>
      </c>
      <c r="N14" s="5">
        <v>2160</v>
      </c>
    </row>
    <row r="15" spans="1:15">
      <c r="A15" s="3" t="s">
        <v>35</v>
      </c>
      <c r="B15" s="3" t="s">
        <v>9</v>
      </c>
      <c r="C15" s="4">
        <v>10</v>
      </c>
      <c r="D15" s="4">
        <v>12093</v>
      </c>
      <c r="E15" s="4">
        <v>72230712579144</v>
      </c>
      <c r="F15" s="4">
        <v>30711239800</v>
      </c>
      <c r="G15" s="7" t="s">
        <v>38</v>
      </c>
      <c r="H15" s="8">
        <v>1</v>
      </c>
      <c r="I15" s="7" t="s">
        <v>12</v>
      </c>
      <c r="J15" s="9">
        <v>280665</v>
      </c>
      <c r="K15" s="9">
        <v>0</v>
      </c>
      <c r="L15" s="9">
        <v>0</v>
      </c>
      <c r="M15" s="9">
        <v>58939.65</v>
      </c>
      <c r="N15" s="9">
        <v>339604.65</v>
      </c>
      <c r="O15" s="11">
        <f>SUM(J15:N15)</f>
        <v>679209.3</v>
      </c>
    </row>
    <row r="16" spans="1:15">
      <c r="A16" s="3" t="s">
        <v>18</v>
      </c>
      <c r="B16" s="3" t="s">
        <v>9</v>
      </c>
      <c r="C16" s="4">
        <v>1</v>
      </c>
      <c r="D16" s="4">
        <v>258</v>
      </c>
      <c r="E16" s="4">
        <v>72224942698347</v>
      </c>
      <c r="F16" s="4">
        <v>20131206144</v>
      </c>
      <c r="G16" s="3" t="s">
        <v>20</v>
      </c>
      <c r="H16" s="4">
        <v>1</v>
      </c>
      <c r="I16" s="3" t="s">
        <v>12</v>
      </c>
      <c r="J16" s="5">
        <v>18000</v>
      </c>
      <c r="K16" s="5">
        <v>0</v>
      </c>
      <c r="L16" s="5">
        <v>0</v>
      </c>
      <c r="M16" s="5">
        <v>3780</v>
      </c>
      <c r="N16" s="5">
        <v>21780</v>
      </c>
    </row>
    <row r="17" spans="1:15">
      <c r="A17" s="3" t="s">
        <v>70</v>
      </c>
      <c r="B17" s="3" t="s">
        <v>9</v>
      </c>
      <c r="C17" s="4">
        <v>5</v>
      </c>
      <c r="D17" s="4">
        <v>1384</v>
      </c>
      <c r="E17" s="4">
        <v>72247368741006</v>
      </c>
      <c r="F17" s="4">
        <v>30710677227</v>
      </c>
      <c r="G17" s="3" t="s">
        <v>73</v>
      </c>
      <c r="H17" s="4">
        <v>1</v>
      </c>
      <c r="I17" s="3" t="s">
        <v>12</v>
      </c>
      <c r="J17" s="5">
        <v>3461.16</v>
      </c>
      <c r="K17" s="5">
        <v>0</v>
      </c>
      <c r="L17" s="5">
        <v>0</v>
      </c>
      <c r="M17" s="5">
        <v>726.84</v>
      </c>
      <c r="N17" s="5">
        <v>4188</v>
      </c>
    </row>
    <row r="18" spans="1:15">
      <c r="A18" s="3" t="s">
        <v>74</v>
      </c>
      <c r="B18" s="3" t="s">
        <v>9</v>
      </c>
      <c r="C18" s="4">
        <v>5</v>
      </c>
      <c r="D18" s="4">
        <v>21625</v>
      </c>
      <c r="E18" s="4">
        <v>72249423298260</v>
      </c>
      <c r="F18" s="4">
        <v>30715124919</v>
      </c>
      <c r="G18" s="3" t="s">
        <v>77</v>
      </c>
      <c r="H18" s="4">
        <v>1</v>
      </c>
      <c r="I18" s="3" t="s">
        <v>12</v>
      </c>
      <c r="J18" s="5">
        <v>8755.7000000000007</v>
      </c>
      <c r="K18" s="5">
        <v>0</v>
      </c>
      <c r="L18" s="5">
        <v>0</v>
      </c>
      <c r="M18" s="5">
        <v>1838.7</v>
      </c>
      <c r="N18" s="5">
        <v>10594.4</v>
      </c>
    </row>
    <row r="19" spans="1:15">
      <c r="A19" s="3" t="s">
        <v>8</v>
      </c>
      <c r="B19" s="3" t="s">
        <v>9</v>
      </c>
      <c r="C19" s="4">
        <v>6</v>
      </c>
      <c r="D19" s="4">
        <v>2072</v>
      </c>
      <c r="E19" s="4">
        <v>72228143427622</v>
      </c>
      <c r="F19" s="4">
        <v>30574603788</v>
      </c>
      <c r="G19" s="7" t="s">
        <v>16</v>
      </c>
      <c r="H19" s="8">
        <v>1</v>
      </c>
      <c r="I19" s="7" t="s">
        <v>12</v>
      </c>
      <c r="J19" s="9">
        <v>1254190</v>
      </c>
      <c r="K19" s="9">
        <v>0</v>
      </c>
      <c r="L19" s="9">
        <v>0</v>
      </c>
      <c r="M19" s="9">
        <v>263379.90000000002</v>
      </c>
      <c r="N19" s="9">
        <v>1517569.9</v>
      </c>
    </row>
    <row r="20" spans="1:15">
      <c r="A20" s="3" t="s">
        <v>23</v>
      </c>
      <c r="B20" s="3" t="s">
        <v>9</v>
      </c>
      <c r="C20" s="4">
        <v>6</v>
      </c>
      <c r="D20" s="4">
        <v>2077</v>
      </c>
      <c r="E20" s="4">
        <v>72228359474717</v>
      </c>
      <c r="F20" s="4">
        <v>30574603788</v>
      </c>
      <c r="G20" s="7" t="s">
        <v>16</v>
      </c>
      <c r="H20" s="8">
        <v>1</v>
      </c>
      <c r="I20" s="7" t="s">
        <v>12</v>
      </c>
      <c r="J20" s="9">
        <v>367929</v>
      </c>
      <c r="K20" s="9">
        <v>0</v>
      </c>
      <c r="L20" s="9">
        <v>0</v>
      </c>
      <c r="M20" s="9">
        <v>77265.09</v>
      </c>
      <c r="N20" s="9">
        <v>445194.09</v>
      </c>
      <c r="O20" s="11">
        <f>SUM(J19:J22)</f>
        <v>2320764.4</v>
      </c>
    </row>
    <row r="21" spans="1:15">
      <c r="A21" s="3" t="s">
        <v>62</v>
      </c>
      <c r="B21" s="3" t="s">
        <v>9</v>
      </c>
      <c r="C21" s="4">
        <v>6</v>
      </c>
      <c r="D21" s="4">
        <v>2087</v>
      </c>
      <c r="E21" s="4">
        <v>72248185852643</v>
      </c>
      <c r="F21" s="4">
        <v>30574603788</v>
      </c>
      <c r="G21" s="7" t="s">
        <v>16</v>
      </c>
      <c r="H21" s="8">
        <v>1</v>
      </c>
      <c r="I21" s="7" t="s">
        <v>12</v>
      </c>
      <c r="J21" s="9">
        <v>650834</v>
      </c>
      <c r="K21" s="9">
        <v>0</v>
      </c>
      <c r="L21" s="9">
        <v>0</v>
      </c>
      <c r="M21" s="9">
        <v>136675.14000000001</v>
      </c>
      <c r="N21" s="9">
        <v>787509.14</v>
      </c>
    </row>
    <row r="22" spans="1:15">
      <c r="A22" s="3" t="s">
        <v>74</v>
      </c>
      <c r="B22" s="3" t="s">
        <v>9</v>
      </c>
      <c r="C22" s="4">
        <v>99</v>
      </c>
      <c r="D22" s="4">
        <v>8213</v>
      </c>
      <c r="E22" s="4">
        <v>72242437773644</v>
      </c>
      <c r="F22" s="4">
        <v>30711398992</v>
      </c>
      <c r="G22" s="7" t="s">
        <v>75</v>
      </c>
      <c r="H22" s="8">
        <v>1</v>
      </c>
      <c r="I22" s="7" t="s">
        <v>12</v>
      </c>
      <c r="J22" s="9">
        <v>47811.4</v>
      </c>
      <c r="K22" s="9">
        <v>0</v>
      </c>
      <c r="L22" s="9">
        <v>0</v>
      </c>
      <c r="M22" s="9">
        <v>5020.2</v>
      </c>
      <c r="N22" s="9">
        <v>52831.6</v>
      </c>
    </row>
    <row r="23" spans="1:15">
      <c r="A23" s="3" t="s">
        <v>82</v>
      </c>
      <c r="B23" s="3" t="s">
        <v>9</v>
      </c>
      <c r="C23" s="4">
        <v>113</v>
      </c>
      <c r="D23" s="4">
        <v>2828471</v>
      </c>
      <c r="E23" s="4">
        <v>72250097263736</v>
      </c>
      <c r="F23" s="4">
        <v>30577207190</v>
      </c>
      <c r="G23" s="3" t="s">
        <v>83</v>
      </c>
      <c r="H23" s="4">
        <v>1</v>
      </c>
      <c r="I23" s="3" t="s">
        <v>12</v>
      </c>
      <c r="J23" s="5">
        <v>795.04</v>
      </c>
      <c r="K23" s="5">
        <v>0</v>
      </c>
      <c r="L23" s="5">
        <v>0</v>
      </c>
      <c r="M23" s="5">
        <v>166.96</v>
      </c>
      <c r="N23" s="5">
        <v>962</v>
      </c>
    </row>
    <row r="24" spans="1:15">
      <c r="A24" s="3" t="s">
        <v>90</v>
      </c>
      <c r="B24" s="3" t="s">
        <v>9</v>
      </c>
      <c r="C24" s="4">
        <v>700</v>
      </c>
      <c r="D24" s="4">
        <v>528174</v>
      </c>
      <c r="E24" s="4">
        <v>72252037894475</v>
      </c>
      <c r="F24" s="4">
        <v>30715804812</v>
      </c>
      <c r="G24" s="3" t="s">
        <v>91</v>
      </c>
      <c r="H24" s="4">
        <v>1</v>
      </c>
      <c r="I24" s="3" t="s">
        <v>12</v>
      </c>
      <c r="J24" s="5">
        <v>862.81</v>
      </c>
      <c r="K24" s="5">
        <v>0</v>
      </c>
      <c r="L24" s="5">
        <v>0</v>
      </c>
      <c r="M24" s="5">
        <v>181.19</v>
      </c>
      <c r="N24" s="5">
        <v>1044</v>
      </c>
    </row>
    <row r="25" spans="1:15">
      <c r="A25" s="3" t="s">
        <v>104</v>
      </c>
      <c r="B25" s="3" t="s">
        <v>9</v>
      </c>
      <c r="C25" s="4">
        <v>3034</v>
      </c>
      <c r="D25" s="4">
        <v>2006469</v>
      </c>
      <c r="E25" s="4">
        <v>72266604809068</v>
      </c>
      <c r="F25" s="4">
        <v>30708574836</v>
      </c>
      <c r="G25" s="3" t="s">
        <v>111</v>
      </c>
      <c r="H25" s="4">
        <v>1</v>
      </c>
      <c r="I25" s="3" t="s">
        <v>12</v>
      </c>
      <c r="J25" s="5">
        <v>683.61</v>
      </c>
      <c r="K25" s="5">
        <v>0</v>
      </c>
      <c r="L25" s="5">
        <v>0</v>
      </c>
      <c r="M25" s="5">
        <v>143.56</v>
      </c>
      <c r="N25" s="5">
        <v>827.17</v>
      </c>
    </row>
    <row r="26" spans="1:15">
      <c r="A26" s="3" t="s">
        <v>8</v>
      </c>
      <c r="B26" s="3" t="s">
        <v>9</v>
      </c>
      <c r="C26" s="4">
        <v>2188</v>
      </c>
      <c r="D26" s="4">
        <v>66256</v>
      </c>
      <c r="E26" s="4">
        <v>72226184010603</v>
      </c>
      <c r="F26" s="4">
        <v>30548083156</v>
      </c>
      <c r="G26" s="3" t="s">
        <v>14</v>
      </c>
      <c r="H26" s="4">
        <v>1</v>
      </c>
      <c r="I26" s="3" t="s">
        <v>12</v>
      </c>
      <c r="J26" s="5">
        <v>7479.07</v>
      </c>
      <c r="K26" s="5">
        <v>0</v>
      </c>
      <c r="L26" s="5">
        <v>0</v>
      </c>
      <c r="M26" s="5">
        <v>1443.01</v>
      </c>
      <c r="N26" s="5">
        <v>9544.9699999999993</v>
      </c>
    </row>
    <row r="27" spans="1:15">
      <c r="A27" s="3" t="s">
        <v>30</v>
      </c>
      <c r="B27" s="3" t="s">
        <v>9</v>
      </c>
      <c r="C27" s="4">
        <v>2199</v>
      </c>
      <c r="D27" s="4">
        <v>16319</v>
      </c>
      <c r="E27" s="4">
        <v>72236500974611</v>
      </c>
      <c r="F27" s="4">
        <v>30548083156</v>
      </c>
      <c r="G27" s="3" t="s">
        <v>14</v>
      </c>
      <c r="H27" s="4">
        <v>1</v>
      </c>
      <c r="I27" s="3" t="s">
        <v>12</v>
      </c>
      <c r="J27" s="5">
        <v>11187.13</v>
      </c>
      <c r="K27" s="5">
        <v>0</v>
      </c>
      <c r="L27" s="5">
        <v>0</v>
      </c>
      <c r="M27" s="5">
        <v>2349.3000000000002</v>
      </c>
      <c r="N27" s="5">
        <v>13865.04</v>
      </c>
    </row>
    <row r="28" spans="1:15">
      <c r="A28" s="3" t="s">
        <v>46</v>
      </c>
      <c r="B28" s="3" t="s">
        <v>9</v>
      </c>
      <c r="C28" s="4">
        <v>2188</v>
      </c>
      <c r="D28" s="4">
        <v>66796</v>
      </c>
      <c r="E28" s="4">
        <v>72236901352464</v>
      </c>
      <c r="F28" s="4">
        <v>30548083156</v>
      </c>
      <c r="G28" s="3" t="s">
        <v>14</v>
      </c>
      <c r="H28" s="4">
        <v>1</v>
      </c>
      <c r="I28" s="3" t="s">
        <v>12</v>
      </c>
      <c r="J28" s="5">
        <v>3058.44</v>
      </c>
      <c r="K28" s="5">
        <v>0</v>
      </c>
      <c r="L28" s="5">
        <v>0</v>
      </c>
      <c r="M28" s="5">
        <v>596.65</v>
      </c>
      <c r="N28" s="5">
        <v>3919.87</v>
      </c>
    </row>
    <row r="29" spans="1:15">
      <c r="A29" s="3" t="s">
        <v>60</v>
      </c>
      <c r="B29" s="3" t="s">
        <v>9</v>
      </c>
      <c r="C29" s="4">
        <v>2199</v>
      </c>
      <c r="D29" s="4">
        <v>16424</v>
      </c>
      <c r="E29" s="4">
        <v>72246079874242</v>
      </c>
      <c r="F29" s="4">
        <v>30548083156</v>
      </c>
      <c r="G29" s="3" t="s">
        <v>14</v>
      </c>
      <c r="H29" s="4">
        <v>1</v>
      </c>
      <c r="I29" s="3" t="s">
        <v>12</v>
      </c>
      <c r="J29" s="5">
        <v>6339.27</v>
      </c>
      <c r="K29" s="5">
        <v>0</v>
      </c>
      <c r="L29" s="5">
        <v>0</v>
      </c>
      <c r="M29" s="5">
        <v>1241.57</v>
      </c>
      <c r="N29" s="5">
        <v>7748.9</v>
      </c>
    </row>
    <row r="30" spans="1:15">
      <c r="A30" s="3" t="s">
        <v>70</v>
      </c>
      <c r="B30" s="3" t="s">
        <v>9</v>
      </c>
      <c r="C30" s="4">
        <v>2188</v>
      </c>
      <c r="D30" s="4">
        <v>67138</v>
      </c>
      <c r="E30" s="4">
        <v>72246375262633</v>
      </c>
      <c r="F30" s="4">
        <v>30548083156</v>
      </c>
      <c r="G30" s="3" t="s">
        <v>14</v>
      </c>
      <c r="H30" s="4">
        <v>1</v>
      </c>
      <c r="I30" s="3" t="s">
        <v>12</v>
      </c>
      <c r="J30" s="5">
        <v>4088.84</v>
      </c>
      <c r="K30" s="5">
        <v>0</v>
      </c>
      <c r="L30" s="5">
        <v>0</v>
      </c>
      <c r="M30" s="5">
        <v>790.17</v>
      </c>
      <c r="N30" s="5">
        <v>5224.59</v>
      </c>
    </row>
    <row r="31" spans="1:15">
      <c r="A31" s="3" t="s">
        <v>79</v>
      </c>
      <c r="B31" s="3" t="s">
        <v>9</v>
      </c>
      <c r="C31" s="4">
        <v>2199</v>
      </c>
      <c r="D31" s="4">
        <v>16530</v>
      </c>
      <c r="E31" s="4">
        <v>72256607726797</v>
      </c>
      <c r="F31" s="4">
        <v>30548083156</v>
      </c>
      <c r="G31" s="3" t="s">
        <v>14</v>
      </c>
      <c r="H31" s="4">
        <v>1</v>
      </c>
      <c r="I31" s="3" t="s">
        <v>12</v>
      </c>
      <c r="J31" s="5">
        <v>5647.14</v>
      </c>
      <c r="K31" s="5">
        <v>0</v>
      </c>
      <c r="L31" s="5">
        <v>0</v>
      </c>
      <c r="M31" s="5">
        <v>1106.05</v>
      </c>
      <c r="N31" s="5">
        <v>7234.79</v>
      </c>
    </row>
    <row r="32" spans="1:15">
      <c r="A32" s="3" t="s">
        <v>88</v>
      </c>
      <c r="B32" s="3" t="s">
        <v>9</v>
      </c>
      <c r="C32" s="4">
        <v>2188</v>
      </c>
      <c r="D32" s="4">
        <v>67509</v>
      </c>
      <c r="E32" s="4">
        <v>72256883888769</v>
      </c>
      <c r="F32" s="4">
        <v>30548083156</v>
      </c>
      <c r="G32" s="3" t="s">
        <v>14</v>
      </c>
      <c r="H32" s="4">
        <v>1</v>
      </c>
      <c r="I32" s="3" t="s">
        <v>12</v>
      </c>
      <c r="J32" s="5">
        <v>7428.48</v>
      </c>
      <c r="K32" s="5">
        <v>0</v>
      </c>
      <c r="L32" s="5">
        <v>0</v>
      </c>
      <c r="M32" s="5">
        <v>1439.29</v>
      </c>
      <c r="N32" s="5">
        <v>9489.65</v>
      </c>
    </row>
    <row r="33" spans="1:15">
      <c r="A33" s="3" t="s">
        <v>94</v>
      </c>
      <c r="B33" s="3" t="s">
        <v>9</v>
      </c>
      <c r="C33" s="4">
        <v>2199</v>
      </c>
      <c r="D33" s="4">
        <v>16658</v>
      </c>
      <c r="E33" s="4">
        <v>72266230835149</v>
      </c>
      <c r="F33" s="4">
        <v>30548083156</v>
      </c>
      <c r="G33" s="3" t="s">
        <v>14</v>
      </c>
      <c r="H33" s="4">
        <v>1</v>
      </c>
      <c r="I33" s="3" t="s">
        <v>12</v>
      </c>
      <c r="J33" s="5">
        <v>6536.12</v>
      </c>
      <c r="K33" s="5">
        <v>0</v>
      </c>
      <c r="L33" s="5">
        <v>0</v>
      </c>
      <c r="M33" s="5">
        <v>1215.93</v>
      </c>
      <c r="N33" s="5">
        <v>7903.37</v>
      </c>
    </row>
    <row r="34" spans="1:15">
      <c r="A34" s="3" t="s">
        <v>104</v>
      </c>
      <c r="B34" s="3" t="s">
        <v>9</v>
      </c>
      <c r="C34" s="4">
        <v>2188</v>
      </c>
      <c r="D34" s="4">
        <v>68069</v>
      </c>
      <c r="E34" s="4">
        <v>72266604159409</v>
      </c>
      <c r="F34" s="4">
        <v>30548083156</v>
      </c>
      <c r="G34" s="3" t="s">
        <v>14</v>
      </c>
      <c r="H34" s="4">
        <v>1</v>
      </c>
      <c r="I34" s="3" t="s">
        <v>12</v>
      </c>
      <c r="J34" s="5">
        <v>9412.6</v>
      </c>
      <c r="K34" s="5">
        <v>0</v>
      </c>
      <c r="L34" s="5">
        <v>0</v>
      </c>
      <c r="M34" s="5">
        <v>1879.9</v>
      </c>
      <c r="N34" s="5">
        <v>12092.41</v>
      </c>
    </row>
    <row r="35" spans="1:15">
      <c r="A35" s="3" t="s">
        <v>90</v>
      </c>
      <c r="B35" s="3" t="s">
        <v>9</v>
      </c>
      <c r="C35" s="4">
        <v>3</v>
      </c>
      <c r="D35" s="4">
        <v>173725</v>
      </c>
      <c r="E35" s="4">
        <v>72254968219171</v>
      </c>
      <c r="F35" s="4">
        <v>30693293754</v>
      </c>
      <c r="G35" s="3" t="s">
        <v>92</v>
      </c>
      <c r="H35" s="4">
        <v>1</v>
      </c>
      <c r="I35" s="3" t="s">
        <v>12</v>
      </c>
      <c r="J35" s="5">
        <v>8114.78</v>
      </c>
      <c r="K35" s="5">
        <v>0</v>
      </c>
      <c r="L35" s="5">
        <v>0</v>
      </c>
      <c r="M35" s="5">
        <v>1704.1</v>
      </c>
      <c r="N35" s="5">
        <v>9818.8799999999992</v>
      </c>
    </row>
    <row r="36" spans="1:15">
      <c r="A36" s="3" t="s">
        <v>93</v>
      </c>
      <c r="B36" s="3" t="s">
        <v>9</v>
      </c>
      <c r="C36" s="4">
        <v>3</v>
      </c>
      <c r="D36" s="4">
        <v>173836</v>
      </c>
      <c r="E36" s="4">
        <v>72254064504064</v>
      </c>
      <c r="F36" s="4">
        <v>30693293754</v>
      </c>
      <c r="G36" s="3" t="s">
        <v>92</v>
      </c>
      <c r="H36" s="4">
        <v>1</v>
      </c>
      <c r="I36" s="3" t="s">
        <v>12</v>
      </c>
      <c r="J36" s="5">
        <v>3846.94</v>
      </c>
      <c r="K36" s="5">
        <v>0</v>
      </c>
      <c r="L36" s="5">
        <v>0</v>
      </c>
      <c r="M36" s="5">
        <v>807.86</v>
      </c>
      <c r="N36" s="5">
        <v>4654.8</v>
      </c>
    </row>
    <row r="37" spans="1:15">
      <c r="A37" s="3" t="s">
        <v>65</v>
      </c>
      <c r="B37" s="3" t="s">
        <v>9</v>
      </c>
      <c r="C37" s="4">
        <v>6247</v>
      </c>
      <c r="D37" s="4">
        <v>14</v>
      </c>
      <c r="E37" s="4">
        <v>72243317124757</v>
      </c>
      <c r="F37" s="4">
        <v>30638485733</v>
      </c>
      <c r="G37" s="3" t="s">
        <v>67</v>
      </c>
      <c r="H37" s="4">
        <v>1</v>
      </c>
      <c r="I37" s="3" t="s">
        <v>12</v>
      </c>
      <c r="J37" s="5">
        <v>5866.94</v>
      </c>
      <c r="K37" s="5"/>
      <c r="L37" s="5"/>
      <c r="M37" s="5">
        <v>1232.06</v>
      </c>
      <c r="N37" s="5">
        <v>7099</v>
      </c>
    </row>
    <row r="38" spans="1:15">
      <c r="A38" s="3" t="s">
        <v>18</v>
      </c>
      <c r="B38" s="3" t="s">
        <v>9</v>
      </c>
      <c r="C38" s="4">
        <v>4331</v>
      </c>
      <c r="D38" s="4">
        <v>180</v>
      </c>
      <c r="E38" s="4">
        <v>32210449943654</v>
      </c>
      <c r="F38" s="4">
        <v>30516186670</v>
      </c>
      <c r="G38" s="3" t="s">
        <v>22</v>
      </c>
      <c r="H38" s="4">
        <v>1</v>
      </c>
      <c r="I38" s="3" t="s">
        <v>12</v>
      </c>
      <c r="J38" s="5">
        <v>690.35</v>
      </c>
      <c r="K38" s="5">
        <v>0</v>
      </c>
      <c r="L38" s="5">
        <v>0</v>
      </c>
      <c r="M38" s="5">
        <v>144.97</v>
      </c>
      <c r="N38" s="5">
        <v>1051.99</v>
      </c>
    </row>
    <row r="39" spans="1:15">
      <c r="A39" s="3" t="s">
        <v>53</v>
      </c>
      <c r="B39" s="3" t="s">
        <v>9</v>
      </c>
      <c r="C39" s="4">
        <v>10</v>
      </c>
      <c r="D39" s="4">
        <v>1152</v>
      </c>
      <c r="E39" s="4">
        <v>72237940513891</v>
      </c>
      <c r="F39" s="4">
        <v>30715188127</v>
      </c>
      <c r="G39" s="3" t="s">
        <v>56</v>
      </c>
      <c r="H39" s="4">
        <v>1</v>
      </c>
      <c r="I39" s="3" t="s">
        <v>12</v>
      </c>
      <c r="J39" s="5">
        <v>4226.82</v>
      </c>
      <c r="K39" s="5">
        <v>0</v>
      </c>
      <c r="L39" s="5">
        <v>0</v>
      </c>
      <c r="M39" s="5">
        <v>713.2</v>
      </c>
      <c r="N39" s="5">
        <v>4940.0200000000004</v>
      </c>
    </row>
    <row r="40" spans="1:15">
      <c r="A40" s="3" t="s">
        <v>53</v>
      </c>
      <c r="B40" s="3" t="s">
        <v>9</v>
      </c>
      <c r="C40" s="4">
        <v>10</v>
      </c>
      <c r="D40" s="4">
        <v>1153</v>
      </c>
      <c r="E40" s="4">
        <v>72237940514669</v>
      </c>
      <c r="F40" s="4">
        <v>30715188127</v>
      </c>
      <c r="G40" s="3" t="s">
        <v>56</v>
      </c>
      <c r="H40" s="4">
        <v>1</v>
      </c>
      <c r="I40" s="3" t="s">
        <v>12</v>
      </c>
      <c r="J40" s="5">
        <v>8778.7800000000007</v>
      </c>
      <c r="K40" s="5">
        <v>0</v>
      </c>
      <c r="L40" s="5">
        <v>0</v>
      </c>
      <c r="M40" s="5">
        <v>1481.25</v>
      </c>
      <c r="N40" s="5">
        <v>10260.030000000001</v>
      </c>
    </row>
    <row r="41" spans="1:15">
      <c r="A41" s="3" t="s">
        <v>84</v>
      </c>
      <c r="B41" s="3" t="s">
        <v>52</v>
      </c>
      <c r="C41" s="4">
        <v>10</v>
      </c>
      <c r="D41" s="4">
        <v>46</v>
      </c>
      <c r="E41" s="4">
        <v>72257784672088</v>
      </c>
      <c r="F41" s="4">
        <v>30715188127</v>
      </c>
      <c r="G41" s="3" t="s">
        <v>56</v>
      </c>
      <c r="H41" s="4">
        <v>1</v>
      </c>
      <c r="I41" s="3" t="s">
        <v>12</v>
      </c>
      <c r="J41" s="5">
        <v>7447.95</v>
      </c>
      <c r="K41" s="5">
        <v>0</v>
      </c>
      <c r="L41" s="5">
        <v>0</v>
      </c>
      <c r="M41" s="5">
        <v>1201.78</v>
      </c>
      <c r="N41" s="5">
        <v>8649.73</v>
      </c>
    </row>
    <row r="42" spans="1:15">
      <c r="A42" s="3" t="s">
        <v>88</v>
      </c>
      <c r="B42" s="3" t="s">
        <v>52</v>
      </c>
      <c r="C42" s="4">
        <v>10</v>
      </c>
      <c r="D42" s="4">
        <v>49</v>
      </c>
      <c r="E42" s="4">
        <v>72257878016852</v>
      </c>
      <c r="F42" s="4">
        <v>30715188127</v>
      </c>
      <c r="G42" s="3" t="s">
        <v>56</v>
      </c>
      <c r="H42" s="4">
        <v>1</v>
      </c>
      <c r="I42" s="3" t="s">
        <v>12</v>
      </c>
      <c r="J42" s="5">
        <v>3586.05</v>
      </c>
      <c r="K42" s="5">
        <v>0</v>
      </c>
      <c r="L42" s="5">
        <v>0</v>
      </c>
      <c r="M42" s="5">
        <v>578.63</v>
      </c>
      <c r="N42" s="5">
        <v>4164.68</v>
      </c>
    </row>
    <row r="43" spans="1:15">
      <c r="A43" s="3" t="s">
        <v>84</v>
      </c>
      <c r="B43" s="3" t="s">
        <v>9</v>
      </c>
      <c r="C43" s="4">
        <v>4</v>
      </c>
      <c r="D43" s="4">
        <v>54444</v>
      </c>
      <c r="E43" s="4">
        <v>72256843659819</v>
      </c>
      <c r="F43" s="4">
        <v>30714749206</v>
      </c>
      <c r="G43" s="7" t="s">
        <v>86</v>
      </c>
      <c r="H43" s="8">
        <v>1</v>
      </c>
      <c r="I43" s="7" t="s">
        <v>12</v>
      </c>
      <c r="J43" s="9">
        <v>21910.52</v>
      </c>
      <c r="K43" s="9">
        <v>0</v>
      </c>
      <c r="L43" s="9">
        <v>0</v>
      </c>
      <c r="M43" s="9">
        <v>4601.21</v>
      </c>
      <c r="N43" s="9">
        <v>30999</v>
      </c>
    </row>
    <row r="44" spans="1:15">
      <c r="A44" s="3" t="s">
        <v>70</v>
      </c>
      <c r="B44" s="3" t="s">
        <v>9</v>
      </c>
      <c r="C44" s="4">
        <v>5</v>
      </c>
      <c r="D44" s="4">
        <v>18563</v>
      </c>
      <c r="E44" s="4">
        <v>72247360351375</v>
      </c>
      <c r="F44" s="4">
        <v>30616146447</v>
      </c>
      <c r="G44" s="7" t="s">
        <v>72</v>
      </c>
      <c r="H44" s="8">
        <v>1</v>
      </c>
      <c r="I44" s="7" t="s">
        <v>12</v>
      </c>
      <c r="J44" s="9">
        <v>106650</v>
      </c>
      <c r="K44" s="9">
        <v>0</v>
      </c>
      <c r="L44" s="9">
        <v>0</v>
      </c>
      <c r="M44" s="9">
        <v>22396.5</v>
      </c>
      <c r="N44" s="9">
        <v>129046.5</v>
      </c>
      <c r="O44" s="11">
        <f>SUM(J43:J45)</f>
        <v>136316.88</v>
      </c>
    </row>
    <row r="45" spans="1:15">
      <c r="A45" s="3" t="s">
        <v>65</v>
      </c>
      <c r="B45" s="3" t="s">
        <v>9</v>
      </c>
      <c r="C45" s="4">
        <v>24</v>
      </c>
      <c r="D45" s="4">
        <v>34950</v>
      </c>
      <c r="E45" s="4">
        <v>72240263463286</v>
      </c>
      <c r="F45" s="4">
        <v>30707838260</v>
      </c>
      <c r="G45" s="7" t="s">
        <v>69</v>
      </c>
      <c r="H45" s="8">
        <v>1</v>
      </c>
      <c r="I45" s="7" t="s">
        <v>12</v>
      </c>
      <c r="J45" s="9">
        <v>7756.36</v>
      </c>
      <c r="K45" s="9">
        <v>0</v>
      </c>
      <c r="L45" s="9">
        <v>0</v>
      </c>
      <c r="M45" s="9">
        <v>1628.84</v>
      </c>
      <c r="N45" s="9">
        <v>9385.2000000000007</v>
      </c>
    </row>
    <row r="46" spans="1:15">
      <c r="A46" s="3" t="s">
        <v>104</v>
      </c>
      <c r="B46" s="3" t="s">
        <v>9</v>
      </c>
      <c r="C46" s="4">
        <v>11</v>
      </c>
      <c r="D46" s="4">
        <v>10519</v>
      </c>
      <c r="E46" s="4">
        <v>72265580015154</v>
      </c>
      <c r="F46" s="4">
        <v>20359718765</v>
      </c>
      <c r="G46" s="3" t="s">
        <v>109</v>
      </c>
      <c r="H46" s="4">
        <v>1</v>
      </c>
      <c r="I46" s="3" t="s">
        <v>12</v>
      </c>
      <c r="J46" s="5">
        <v>691.74</v>
      </c>
      <c r="K46" s="5">
        <v>0</v>
      </c>
      <c r="L46" s="5">
        <v>0</v>
      </c>
      <c r="M46" s="5">
        <v>145.26</v>
      </c>
      <c r="N46" s="5">
        <v>837</v>
      </c>
    </row>
    <row r="47" spans="1:15">
      <c r="A47" s="3" t="s">
        <v>53</v>
      </c>
      <c r="B47" s="3" t="s">
        <v>9</v>
      </c>
      <c r="C47" s="4">
        <v>4</v>
      </c>
      <c r="D47" s="4">
        <v>33</v>
      </c>
      <c r="E47" s="4">
        <v>72230000307710</v>
      </c>
      <c r="F47" s="4">
        <v>20946785300</v>
      </c>
      <c r="G47" s="3" t="s">
        <v>59</v>
      </c>
      <c r="H47" s="4">
        <v>1</v>
      </c>
      <c r="I47" s="3" t="s">
        <v>12</v>
      </c>
      <c r="J47" s="5">
        <v>66500</v>
      </c>
      <c r="K47" s="5">
        <v>0</v>
      </c>
      <c r="L47" s="5">
        <v>0</v>
      </c>
      <c r="M47" s="5">
        <v>13965</v>
      </c>
      <c r="N47" s="5">
        <v>80465</v>
      </c>
    </row>
    <row r="48" spans="1:15">
      <c r="A48" s="3" t="s">
        <v>84</v>
      </c>
      <c r="B48" s="3" t="s">
        <v>9</v>
      </c>
      <c r="C48" s="4">
        <v>3330</v>
      </c>
      <c r="D48" s="4">
        <v>4854</v>
      </c>
      <c r="E48" s="4">
        <v>72259821659552</v>
      </c>
      <c r="F48" s="4">
        <v>30526874249</v>
      </c>
      <c r="G48" s="3" t="s">
        <v>87</v>
      </c>
      <c r="H48" s="4">
        <v>1</v>
      </c>
      <c r="I48" s="3" t="s">
        <v>12</v>
      </c>
      <c r="J48" s="5">
        <v>49047.96</v>
      </c>
      <c r="K48" s="5">
        <v>0</v>
      </c>
      <c r="L48" s="5">
        <v>0</v>
      </c>
      <c r="M48" s="5">
        <v>5150.04</v>
      </c>
      <c r="N48" s="5">
        <v>54198</v>
      </c>
    </row>
    <row r="49" spans="1:14">
      <c r="A49" s="3" t="s">
        <v>23</v>
      </c>
      <c r="B49" s="3" t="s">
        <v>9</v>
      </c>
      <c r="C49" s="4">
        <v>5</v>
      </c>
      <c r="D49" s="4">
        <v>2958</v>
      </c>
      <c r="E49" s="4">
        <v>72226354533951</v>
      </c>
      <c r="F49" s="4">
        <v>30714734446</v>
      </c>
      <c r="G49" s="3" t="s">
        <v>27</v>
      </c>
      <c r="H49" s="4">
        <v>1</v>
      </c>
      <c r="I49" s="3" t="s">
        <v>12</v>
      </c>
      <c r="J49" s="5">
        <v>1888.63</v>
      </c>
      <c r="K49" s="5">
        <v>0</v>
      </c>
      <c r="L49" s="5">
        <v>0</v>
      </c>
      <c r="M49" s="5">
        <v>396.61</v>
      </c>
      <c r="N49" s="5">
        <v>2285.2399999999998</v>
      </c>
    </row>
    <row r="50" spans="1:14">
      <c r="A50" s="3" t="s">
        <v>35</v>
      </c>
      <c r="B50" s="3" t="s">
        <v>9</v>
      </c>
      <c r="C50" s="4">
        <v>5</v>
      </c>
      <c r="D50" s="4">
        <v>2965</v>
      </c>
      <c r="E50" s="4">
        <v>72236668471704</v>
      </c>
      <c r="F50" s="4">
        <v>30714734446</v>
      </c>
      <c r="G50" s="3" t="s">
        <v>27</v>
      </c>
      <c r="H50" s="4">
        <v>1</v>
      </c>
      <c r="I50" s="3" t="s">
        <v>12</v>
      </c>
      <c r="J50" s="5">
        <v>4080.49</v>
      </c>
      <c r="K50" s="5">
        <v>0</v>
      </c>
      <c r="L50" s="5">
        <v>0</v>
      </c>
      <c r="M50" s="5">
        <v>856.9</v>
      </c>
      <c r="N50" s="5">
        <v>4937.3900000000003</v>
      </c>
    </row>
    <row r="51" spans="1:14">
      <c r="A51" s="3" t="s">
        <v>39</v>
      </c>
      <c r="B51" s="3" t="s">
        <v>9</v>
      </c>
      <c r="C51" s="4">
        <v>5</v>
      </c>
      <c r="D51" s="4">
        <v>2970</v>
      </c>
      <c r="E51" s="4">
        <v>72236760677386</v>
      </c>
      <c r="F51" s="4">
        <v>30714734446</v>
      </c>
      <c r="G51" s="3" t="s">
        <v>27</v>
      </c>
      <c r="H51" s="4">
        <v>1</v>
      </c>
      <c r="I51" s="3" t="s">
        <v>12</v>
      </c>
      <c r="J51" s="5">
        <v>4080.49</v>
      </c>
      <c r="K51" s="5">
        <v>0</v>
      </c>
      <c r="L51" s="5">
        <v>0</v>
      </c>
      <c r="M51" s="5">
        <v>856.9</v>
      </c>
      <c r="N51" s="5">
        <v>4937.3900000000003</v>
      </c>
    </row>
    <row r="52" spans="1:14">
      <c r="A52" s="3" t="s">
        <v>84</v>
      </c>
      <c r="B52" s="3" t="s">
        <v>9</v>
      </c>
      <c r="C52" s="4">
        <v>5</v>
      </c>
      <c r="D52" s="4">
        <v>2984</v>
      </c>
      <c r="E52" s="4">
        <v>72256766745216</v>
      </c>
      <c r="F52" s="4">
        <v>30714734446</v>
      </c>
      <c r="G52" s="3" t="s">
        <v>27</v>
      </c>
      <c r="H52" s="4">
        <v>1</v>
      </c>
      <c r="I52" s="3" t="s">
        <v>12</v>
      </c>
      <c r="J52" s="5">
        <v>1932.03</v>
      </c>
      <c r="K52" s="5">
        <v>0</v>
      </c>
      <c r="L52" s="5">
        <v>0</v>
      </c>
      <c r="M52" s="5">
        <v>405.73</v>
      </c>
      <c r="N52" s="5">
        <v>2337.7600000000002</v>
      </c>
    </row>
    <row r="53" spans="1:14">
      <c r="A53" s="3" t="s">
        <v>74</v>
      </c>
      <c r="B53" s="3" t="s">
        <v>9</v>
      </c>
      <c r="C53" s="4">
        <v>6</v>
      </c>
      <c r="D53" s="4">
        <v>1404</v>
      </c>
      <c r="E53" s="4">
        <v>72249454233828</v>
      </c>
      <c r="F53" s="4">
        <v>23232340509</v>
      </c>
      <c r="G53" s="3" t="s">
        <v>76</v>
      </c>
      <c r="H53" s="4">
        <v>1</v>
      </c>
      <c r="I53" s="3" t="s">
        <v>12</v>
      </c>
      <c r="J53" s="5">
        <v>3629.75</v>
      </c>
      <c r="K53" s="5">
        <v>0</v>
      </c>
      <c r="L53" s="5">
        <v>0</v>
      </c>
      <c r="M53" s="5">
        <v>762.25</v>
      </c>
      <c r="N53" s="5">
        <v>4392</v>
      </c>
    </row>
    <row r="54" spans="1:14">
      <c r="A54" s="3" t="s">
        <v>84</v>
      </c>
      <c r="B54" s="3" t="s">
        <v>9</v>
      </c>
      <c r="C54" s="4">
        <v>4</v>
      </c>
      <c r="D54" s="4">
        <v>1646</v>
      </c>
      <c r="E54" s="4">
        <v>72255109173115</v>
      </c>
      <c r="F54" s="4">
        <v>20290396655</v>
      </c>
      <c r="G54" s="3" t="s">
        <v>85</v>
      </c>
      <c r="H54" s="4">
        <v>1</v>
      </c>
      <c r="I54" s="3" t="s">
        <v>12</v>
      </c>
      <c r="J54" s="5">
        <v>7024.79</v>
      </c>
      <c r="K54" s="5">
        <v>0</v>
      </c>
      <c r="L54" s="5">
        <v>0</v>
      </c>
      <c r="M54" s="5">
        <v>1475.21</v>
      </c>
      <c r="N54" s="5">
        <v>8500</v>
      </c>
    </row>
    <row r="55" spans="1:14">
      <c r="A55" s="3" t="s">
        <v>65</v>
      </c>
      <c r="B55" s="3" t="s">
        <v>9</v>
      </c>
      <c r="C55" s="4">
        <v>5</v>
      </c>
      <c r="D55" s="4">
        <v>14109</v>
      </c>
      <c r="E55" s="4">
        <v>72244252674751</v>
      </c>
      <c r="F55" s="4">
        <v>30709804274</v>
      </c>
      <c r="G55" s="3" t="s">
        <v>68</v>
      </c>
      <c r="H55" s="4">
        <v>1</v>
      </c>
      <c r="I55" s="3" t="s">
        <v>12</v>
      </c>
      <c r="J55" s="5">
        <v>8776.31</v>
      </c>
      <c r="K55" s="5">
        <v>0</v>
      </c>
      <c r="L55" s="5">
        <v>0</v>
      </c>
      <c r="M55" s="5">
        <v>1843.03</v>
      </c>
      <c r="N55" s="5">
        <v>10619.34</v>
      </c>
    </row>
    <row r="56" spans="1:14">
      <c r="A56" s="3" t="s">
        <v>23</v>
      </c>
      <c r="B56" s="3" t="s">
        <v>9</v>
      </c>
      <c r="C56" s="4">
        <v>629</v>
      </c>
      <c r="D56" s="4">
        <v>3279954</v>
      </c>
      <c r="E56" s="4">
        <v>32223597163569</v>
      </c>
      <c r="F56" s="4">
        <v>30663498513</v>
      </c>
      <c r="G56" s="3" t="s">
        <v>24</v>
      </c>
      <c r="H56" s="4">
        <v>1</v>
      </c>
      <c r="I56" s="3" t="s">
        <v>12</v>
      </c>
      <c r="J56" s="5">
        <v>1122.3</v>
      </c>
      <c r="K56" s="5">
        <v>0</v>
      </c>
      <c r="L56" s="5">
        <v>0</v>
      </c>
      <c r="M56" s="5">
        <v>235.7</v>
      </c>
      <c r="N56" s="5">
        <v>1358</v>
      </c>
    </row>
    <row r="57" spans="1:14">
      <c r="A57" s="3" t="s">
        <v>79</v>
      </c>
      <c r="B57" s="3" t="s">
        <v>9</v>
      </c>
      <c r="C57" s="4">
        <v>629</v>
      </c>
      <c r="D57" s="4">
        <v>3317256</v>
      </c>
      <c r="E57" s="4">
        <v>32243437419437</v>
      </c>
      <c r="F57" s="4">
        <v>30663498513</v>
      </c>
      <c r="G57" s="3" t="s">
        <v>24</v>
      </c>
      <c r="H57" s="4">
        <v>1</v>
      </c>
      <c r="I57" s="3" t="s">
        <v>12</v>
      </c>
      <c r="J57" s="5">
        <v>2020.65</v>
      </c>
      <c r="K57" s="5">
        <v>0</v>
      </c>
      <c r="L57" s="5">
        <v>0</v>
      </c>
      <c r="M57" s="5">
        <v>424.35</v>
      </c>
      <c r="N57" s="5">
        <v>2445</v>
      </c>
    </row>
    <row r="58" spans="1:14">
      <c r="A58" s="3" t="s">
        <v>23</v>
      </c>
      <c r="B58" s="3" t="s">
        <v>9</v>
      </c>
      <c r="C58" s="4">
        <v>1</v>
      </c>
      <c r="D58" s="4">
        <v>37</v>
      </c>
      <c r="E58" s="4">
        <v>72233702504710</v>
      </c>
      <c r="F58" s="4">
        <v>30716010313</v>
      </c>
      <c r="G58" s="3" t="s">
        <v>25</v>
      </c>
      <c r="H58" s="4">
        <v>1</v>
      </c>
      <c r="I58" s="3" t="s">
        <v>12</v>
      </c>
      <c r="J58" s="5">
        <v>32000</v>
      </c>
      <c r="K58" s="5">
        <v>0</v>
      </c>
      <c r="L58" s="5">
        <v>0</v>
      </c>
      <c r="M58" s="5">
        <v>6720</v>
      </c>
      <c r="N58" s="5">
        <v>38720</v>
      </c>
    </row>
    <row r="59" spans="1:14">
      <c r="A59" s="3" t="s">
        <v>98</v>
      </c>
      <c r="B59" s="3" t="s">
        <v>9</v>
      </c>
      <c r="C59" s="4">
        <v>5</v>
      </c>
      <c r="D59" s="4">
        <v>1775</v>
      </c>
      <c r="E59" s="4">
        <v>72268461121423</v>
      </c>
      <c r="F59" s="4">
        <v>30715279408</v>
      </c>
      <c r="G59" s="3" t="s">
        <v>102</v>
      </c>
      <c r="H59" s="4">
        <v>1</v>
      </c>
      <c r="I59" s="3" t="s">
        <v>12</v>
      </c>
      <c r="J59" s="5">
        <v>73966.94</v>
      </c>
      <c r="K59" s="5">
        <v>0</v>
      </c>
      <c r="L59" s="5">
        <v>0</v>
      </c>
      <c r="M59" s="5">
        <v>15533.06</v>
      </c>
      <c r="N59" s="5">
        <v>89500</v>
      </c>
    </row>
    <row r="60" spans="1:14">
      <c r="A60" s="3" t="s">
        <v>53</v>
      </c>
      <c r="B60" s="3" t="s">
        <v>9</v>
      </c>
      <c r="C60" s="4">
        <v>2</v>
      </c>
      <c r="D60" s="4">
        <v>827</v>
      </c>
      <c r="E60" s="4">
        <v>72233981472997</v>
      </c>
      <c r="F60" s="4">
        <v>20172319743</v>
      </c>
      <c r="G60" s="3" t="s">
        <v>54</v>
      </c>
      <c r="H60" s="4">
        <v>1</v>
      </c>
      <c r="I60" s="3" t="s">
        <v>12</v>
      </c>
      <c r="J60" s="5">
        <v>344206.8</v>
      </c>
      <c r="K60" s="5">
        <v>0</v>
      </c>
      <c r="L60" s="5">
        <v>0</v>
      </c>
      <c r="M60" s="5">
        <v>72283.429999999993</v>
      </c>
      <c r="N60" s="5">
        <v>416490.23</v>
      </c>
    </row>
    <row r="61" spans="1:14">
      <c r="A61" s="3" t="s">
        <v>53</v>
      </c>
      <c r="B61" s="3" t="s">
        <v>9</v>
      </c>
      <c r="C61" s="4">
        <v>5</v>
      </c>
      <c r="D61" s="4">
        <v>629</v>
      </c>
      <c r="E61" s="4">
        <v>72239979439257</v>
      </c>
      <c r="F61" s="4">
        <v>30711651779</v>
      </c>
      <c r="G61" s="3" t="s">
        <v>58</v>
      </c>
      <c r="H61" s="4">
        <v>1</v>
      </c>
      <c r="I61" s="3" t="s">
        <v>12</v>
      </c>
      <c r="J61" s="5">
        <v>8512.4</v>
      </c>
      <c r="K61" s="5">
        <v>0</v>
      </c>
      <c r="L61" s="5">
        <v>0</v>
      </c>
      <c r="M61" s="5">
        <v>1787.6</v>
      </c>
      <c r="N61" s="5">
        <v>10300</v>
      </c>
    </row>
    <row r="62" spans="1:14">
      <c r="A62" s="3" t="s">
        <v>98</v>
      </c>
      <c r="B62" s="3" t="s">
        <v>9</v>
      </c>
      <c r="C62" s="4">
        <v>1</v>
      </c>
      <c r="D62" s="4">
        <v>23</v>
      </c>
      <c r="E62" s="4">
        <v>72267492870961</v>
      </c>
      <c r="F62" s="4">
        <v>30717305287</v>
      </c>
      <c r="G62" s="3" t="s">
        <v>101</v>
      </c>
      <c r="H62" s="4">
        <v>1</v>
      </c>
      <c r="I62" s="3" t="s">
        <v>12</v>
      </c>
      <c r="J62" s="5">
        <v>225000</v>
      </c>
      <c r="K62" s="5">
        <v>0</v>
      </c>
      <c r="L62" s="5">
        <v>0</v>
      </c>
      <c r="M62" s="5">
        <v>47250</v>
      </c>
      <c r="N62" s="5">
        <v>272250</v>
      </c>
    </row>
    <row r="63" spans="1:14">
      <c r="A63" s="3" t="s">
        <v>8</v>
      </c>
      <c r="B63" s="3" t="s">
        <v>9</v>
      </c>
      <c r="C63" s="4">
        <v>912</v>
      </c>
      <c r="D63" s="4">
        <v>7094</v>
      </c>
      <c r="E63" s="4">
        <v>72223200141473</v>
      </c>
      <c r="F63" s="4">
        <v>30612865333</v>
      </c>
      <c r="G63" s="3" t="s">
        <v>13</v>
      </c>
      <c r="H63" s="4">
        <v>1</v>
      </c>
      <c r="I63" s="3" t="s">
        <v>12</v>
      </c>
      <c r="J63" s="5">
        <v>21396.05</v>
      </c>
      <c r="K63" s="5">
        <v>0</v>
      </c>
      <c r="L63" s="5">
        <v>0</v>
      </c>
      <c r="M63" s="5">
        <v>4367.8500000000004</v>
      </c>
      <c r="N63" s="5">
        <v>26387.87</v>
      </c>
    </row>
    <row r="64" spans="1:14">
      <c r="A64" s="3" t="s">
        <v>79</v>
      </c>
      <c r="B64" s="3" t="s">
        <v>9</v>
      </c>
      <c r="C64" s="4">
        <v>4</v>
      </c>
      <c r="D64" s="4">
        <v>1667</v>
      </c>
      <c r="E64" s="4">
        <v>72251645638175</v>
      </c>
      <c r="F64" s="4">
        <v>20292161841</v>
      </c>
      <c r="G64" s="3" t="s">
        <v>80</v>
      </c>
      <c r="H64" s="4">
        <v>1</v>
      </c>
      <c r="I64" s="3" t="s">
        <v>12</v>
      </c>
      <c r="J64" s="5">
        <v>41884.29</v>
      </c>
      <c r="K64" s="5">
        <v>0</v>
      </c>
      <c r="L64" s="5">
        <v>0</v>
      </c>
      <c r="M64" s="5">
        <v>8795.7000000000007</v>
      </c>
      <c r="N64" s="5">
        <v>50679.99</v>
      </c>
    </row>
    <row r="65" spans="1:15">
      <c r="A65" s="3" t="s">
        <v>79</v>
      </c>
      <c r="B65" s="3" t="s">
        <v>9</v>
      </c>
      <c r="C65" s="4">
        <v>4</v>
      </c>
      <c r="D65" s="4">
        <v>1668</v>
      </c>
      <c r="E65" s="4">
        <v>72251646174467</v>
      </c>
      <c r="F65" s="4">
        <v>20292161841</v>
      </c>
      <c r="G65" s="3" t="s">
        <v>80</v>
      </c>
      <c r="H65" s="4">
        <v>1</v>
      </c>
      <c r="I65" s="3" t="s">
        <v>12</v>
      </c>
      <c r="J65" s="5">
        <v>2603.3000000000002</v>
      </c>
      <c r="K65" s="5">
        <v>0</v>
      </c>
      <c r="L65" s="5">
        <v>0</v>
      </c>
      <c r="M65" s="5">
        <v>546.69000000000005</v>
      </c>
      <c r="N65" s="5">
        <v>3149.99</v>
      </c>
    </row>
    <row r="66" spans="1:15">
      <c r="A66" s="3" t="s">
        <v>98</v>
      </c>
      <c r="B66" s="3" t="s">
        <v>9</v>
      </c>
      <c r="C66" s="4">
        <v>27</v>
      </c>
      <c r="D66" s="4">
        <v>430174</v>
      </c>
      <c r="E66" s="4">
        <v>72264689952148</v>
      </c>
      <c r="F66" s="4">
        <v>30703088534</v>
      </c>
      <c r="G66" s="3" t="s">
        <v>100</v>
      </c>
      <c r="H66" s="4">
        <v>1</v>
      </c>
      <c r="I66" s="3" t="s">
        <v>12</v>
      </c>
      <c r="J66" s="5">
        <v>129215.86</v>
      </c>
      <c r="K66" s="5">
        <v>0</v>
      </c>
      <c r="L66" s="5">
        <v>0</v>
      </c>
      <c r="M66" s="5">
        <v>27135.33</v>
      </c>
      <c r="N66" s="5">
        <v>167980.61</v>
      </c>
    </row>
    <row r="67" spans="1:15">
      <c r="A67" s="3" t="s">
        <v>98</v>
      </c>
      <c r="B67" s="3" t="s">
        <v>9</v>
      </c>
      <c r="C67" s="4">
        <v>4</v>
      </c>
      <c r="D67" s="4">
        <v>1014</v>
      </c>
      <c r="E67" s="4">
        <v>72279950886412</v>
      </c>
      <c r="F67" s="4">
        <v>20384985719</v>
      </c>
      <c r="G67" s="3" t="s">
        <v>103</v>
      </c>
      <c r="H67" s="4">
        <v>1</v>
      </c>
      <c r="I67" s="3" t="s">
        <v>12</v>
      </c>
      <c r="J67" s="5">
        <v>4457.8500000000004</v>
      </c>
      <c r="K67" s="5">
        <v>0</v>
      </c>
      <c r="L67" s="5">
        <v>0</v>
      </c>
      <c r="M67" s="5">
        <v>936.15</v>
      </c>
      <c r="N67" s="5">
        <v>5394</v>
      </c>
    </row>
    <row r="68" spans="1:15">
      <c r="A68" s="3" t="s">
        <v>8</v>
      </c>
      <c r="B68" s="3" t="s">
        <v>9</v>
      </c>
      <c r="C68" s="4">
        <v>2</v>
      </c>
      <c r="D68" s="4">
        <v>2188</v>
      </c>
      <c r="E68" s="4">
        <v>72220203761467</v>
      </c>
      <c r="F68" s="4">
        <v>20236922880</v>
      </c>
      <c r="G68" s="3" t="s">
        <v>17</v>
      </c>
      <c r="H68" s="4">
        <v>1</v>
      </c>
      <c r="I68" s="3" t="s">
        <v>12</v>
      </c>
      <c r="J68" s="5">
        <v>14438.02</v>
      </c>
      <c r="K68" s="5">
        <v>0</v>
      </c>
      <c r="L68" s="5">
        <v>0</v>
      </c>
      <c r="M68" s="5">
        <v>3031.98</v>
      </c>
      <c r="N68" s="5">
        <v>17470</v>
      </c>
    </row>
    <row r="69" spans="1:15">
      <c r="A69" s="3" t="s">
        <v>46</v>
      </c>
      <c r="B69" s="3" t="s">
        <v>9</v>
      </c>
      <c r="C69" s="4">
        <v>9</v>
      </c>
      <c r="D69" s="4">
        <v>463</v>
      </c>
      <c r="E69" s="4">
        <v>72232909368451</v>
      </c>
      <c r="F69" s="4">
        <v>30709361682</v>
      </c>
      <c r="G69" s="3" t="s">
        <v>47</v>
      </c>
      <c r="H69" s="4">
        <v>1</v>
      </c>
      <c r="I69" s="3" t="s">
        <v>12</v>
      </c>
      <c r="J69" s="5">
        <v>10858.83</v>
      </c>
      <c r="K69" s="5">
        <v>0</v>
      </c>
      <c r="L69" s="5">
        <v>0</v>
      </c>
      <c r="M69" s="5">
        <v>1140.18</v>
      </c>
      <c r="N69" s="5">
        <v>11999.01</v>
      </c>
    </row>
    <row r="70" spans="1:15">
      <c r="A70" s="3" t="s">
        <v>32</v>
      </c>
      <c r="B70" s="3" t="s">
        <v>9</v>
      </c>
      <c r="C70" s="4">
        <v>2</v>
      </c>
      <c r="D70" s="4">
        <v>30517</v>
      </c>
      <c r="E70" s="4">
        <v>72239620344325</v>
      </c>
      <c r="F70" s="4">
        <v>33714232199</v>
      </c>
      <c r="G70" s="3" t="s">
        <v>34</v>
      </c>
      <c r="H70" s="4">
        <v>1</v>
      </c>
      <c r="I70" s="3" t="s">
        <v>12</v>
      </c>
      <c r="J70" s="5">
        <v>21006.86</v>
      </c>
      <c r="K70" s="5">
        <v>0</v>
      </c>
      <c r="L70" s="5">
        <v>0</v>
      </c>
      <c r="M70" s="5">
        <v>4411.4399999999996</v>
      </c>
      <c r="N70" s="5">
        <v>25418.3</v>
      </c>
    </row>
    <row r="71" spans="1:15">
      <c r="A71" s="3" t="s">
        <v>35</v>
      </c>
      <c r="B71" s="3" t="s">
        <v>9</v>
      </c>
      <c r="C71" s="4">
        <v>1</v>
      </c>
      <c r="D71" s="4">
        <v>63</v>
      </c>
      <c r="E71" s="4">
        <v>72237664081321</v>
      </c>
      <c r="F71" s="4">
        <v>20077604627</v>
      </c>
      <c r="G71" s="7" t="s">
        <v>36</v>
      </c>
      <c r="H71" s="8">
        <v>1</v>
      </c>
      <c r="I71" s="7" t="s">
        <v>12</v>
      </c>
      <c r="J71" s="9">
        <v>110656</v>
      </c>
      <c r="K71" s="9">
        <v>0</v>
      </c>
      <c r="L71" s="9">
        <v>0</v>
      </c>
      <c r="M71" s="9">
        <v>23237.759999999998</v>
      </c>
      <c r="N71" s="9">
        <v>133893.76000000001</v>
      </c>
    </row>
    <row r="72" spans="1:15">
      <c r="A72" s="3" t="s">
        <v>46</v>
      </c>
      <c r="B72" s="3" t="s">
        <v>9</v>
      </c>
      <c r="C72" s="4">
        <v>1</v>
      </c>
      <c r="D72" s="4">
        <v>65</v>
      </c>
      <c r="E72" s="4">
        <v>72237851278523</v>
      </c>
      <c r="F72" s="4">
        <v>20077604627</v>
      </c>
      <c r="G72" s="7" t="s">
        <v>36</v>
      </c>
      <c r="H72" s="8">
        <v>1</v>
      </c>
      <c r="I72" s="7" t="s">
        <v>12</v>
      </c>
      <c r="J72" s="9">
        <v>202984.6</v>
      </c>
      <c r="K72" s="9">
        <v>0</v>
      </c>
      <c r="L72" s="9">
        <v>0</v>
      </c>
      <c r="M72" s="9">
        <v>42626.77</v>
      </c>
      <c r="N72" s="9">
        <v>245611.37</v>
      </c>
    </row>
    <row r="73" spans="1:15">
      <c r="A73" s="3" t="s">
        <v>88</v>
      </c>
      <c r="B73" s="3" t="s">
        <v>9</v>
      </c>
      <c r="C73" s="4">
        <v>1</v>
      </c>
      <c r="D73" s="4">
        <v>66</v>
      </c>
      <c r="E73" s="4">
        <v>72257861486142</v>
      </c>
      <c r="F73" s="4">
        <v>20077604627</v>
      </c>
      <c r="G73" s="7" t="s">
        <v>36</v>
      </c>
      <c r="H73" s="8">
        <v>1</v>
      </c>
      <c r="I73" s="7" t="s">
        <v>12</v>
      </c>
      <c r="J73" s="9">
        <v>341756.8</v>
      </c>
      <c r="K73" s="9">
        <v>0</v>
      </c>
      <c r="L73" s="9">
        <v>0</v>
      </c>
      <c r="M73" s="9">
        <v>71768.929999999993</v>
      </c>
      <c r="N73" s="9">
        <v>413525.73</v>
      </c>
      <c r="O73" s="11">
        <f>SUM(J71:J74)</f>
        <v>828350.59999999986</v>
      </c>
    </row>
    <row r="74" spans="1:15">
      <c r="A74" s="3" t="s">
        <v>95</v>
      </c>
      <c r="B74" s="3" t="s">
        <v>9</v>
      </c>
      <c r="C74" s="4">
        <v>1</v>
      </c>
      <c r="D74" s="4">
        <v>67</v>
      </c>
      <c r="E74" s="4">
        <v>72267278921323</v>
      </c>
      <c r="F74" s="4">
        <v>20077604627</v>
      </c>
      <c r="G74" s="7" t="s">
        <v>36</v>
      </c>
      <c r="H74" s="8">
        <v>1</v>
      </c>
      <c r="I74" s="7" t="s">
        <v>12</v>
      </c>
      <c r="J74" s="9">
        <v>172953.2</v>
      </c>
      <c r="K74" s="9">
        <v>0</v>
      </c>
      <c r="L74" s="9">
        <v>0</v>
      </c>
      <c r="M74" s="9">
        <v>36320.17</v>
      </c>
      <c r="N74" s="9">
        <v>209273.37</v>
      </c>
    </row>
    <row r="75" spans="1:15">
      <c r="A75" s="3" t="s">
        <v>39</v>
      </c>
      <c r="B75" s="3" t="s">
        <v>9</v>
      </c>
      <c r="C75" s="4">
        <v>6854</v>
      </c>
      <c r="D75" s="4">
        <v>5882</v>
      </c>
      <c r="E75" s="4">
        <v>72235834653077</v>
      </c>
      <c r="F75" s="4">
        <v>30678774495</v>
      </c>
      <c r="G75" s="3" t="s">
        <v>43</v>
      </c>
      <c r="H75" s="4">
        <v>1</v>
      </c>
      <c r="I75" s="3" t="s">
        <v>12</v>
      </c>
      <c r="J75" s="5">
        <v>5906.33</v>
      </c>
      <c r="K75" s="5">
        <v>0</v>
      </c>
      <c r="L75" s="5">
        <v>0</v>
      </c>
      <c r="M75" s="5">
        <v>1240.33</v>
      </c>
      <c r="N75" s="5">
        <v>8501</v>
      </c>
    </row>
    <row r="76" spans="1:15">
      <c r="A76" s="3" t="s">
        <v>60</v>
      </c>
      <c r="B76" s="3" t="s">
        <v>9</v>
      </c>
      <c r="C76" s="4">
        <v>8002</v>
      </c>
      <c r="D76" s="4">
        <v>7360</v>
      </c>
      <c r="E76" s="4">
        <v>72245100739211</v>
      </c>
      <c r="F76" s="4">
        <v>30678774495</v>
      </c>
      <c r="G76" s="3" t="s">
        <v>43</v>
      </c>
      <c r="H76" s="4">
        <v>1</v>
      </c>
      <c r="I76" s="3" t="s">
        <v>12</v>
      </c>
      <c r="J76" s="5">
        <v>1404.59</v>
      </c>
      <c r="K76" s="5">
        <v>0</v>
      </c>
      <c r="L76" s="5">
        <v>0</v>
      </c>
      <c r="M76" s="5">
        <v>294.97000000000003</v>
      </c>
      <c r="N76" s="5">
        <v>2000</v>
      </c>
    </row>
    <row r="77" spans="1:15">
      <c r="A77" s="3" t="s">
        <v>65</v>
      </c>
      <c r="B77" s="3" t="s">
        <v>9</v>
      </c>
      <c r="C77" s="4">
        <v>8004</v>
      </c>
      <c r="D77" s="4">
        <v>6011</v>
      </c>
      <c r="E77" s="4">
        <v>72245287232508</v>
      </c>
      <c r="F77" s="4">
        <v>30678774495</v>
      </c>
      <c r="G77" s="3" t="s">
        <v>43</v>
      </c>
      <c r="H77" s="4">
        <v>1</v>
      </c>
      <c r="I77" s="3" t="s">
        <v>12</v>
      </c>
      <c r="J77" s="5">
        <v>353.07</v>
      </c>
      <c r="K77" s="5">
        <v>0</v>
      </c>
      <c r="L77" s="5">
        <v>0</v>
      </c>
      <c r="M77" s="5">
        <v>74.14</v>
      </c>
      <c r="N77" s="5">
        <v>427.9</v>
      </c>
    </row>
    <row r="78" spans="1:15">
      <c r="A78" s="3" t="s">
        <v>74</v>
      </c>
      <c r="B78" s="3" t="s">
        <v>9</v>
      </c>
      <c r="C78" s="4">
        <v>6850</v>
      </c>
      <c r="D78" s="4">
        <v>7986</v>
      </c>
      <c r="E78" s="4">
        <v>72245437494296</v>
      </c>
      <c r="F78" s="4">
        <v>30678774495</v>
      </c>
      <c r="G78" s="3" t="s">
        <v>43</v>
      </c>
      <c r="H78" s="4">
        <v>1</v>
      </c>
      <c r="I78" s="3" t="s">
        <v>12</v>
      </c>
      <c r="J78" s="5">
        <v>4308.2</v>
      </c>
      <c r="K78" s="5">
        <v>0</v>
      </c>
      <c r="L78" s="5">
        <v>0</v>
      </c>
      <c r="M78" s="5">
        <v>904.72</v>
      </c>
      <c r="N78" s="5">
        <v>6200.8</v>
      </c>
    </row>
    <row r="79" spans="1:15">
      <c r="A79" s="3" t="s">
        <v>81</v>
      </c>
      <c r="B79" s="3" t="s">
        <v>9</v>
      </c>
      <c r="C79" s="4">
        <v>6862</v>
      </c>
      <c r="D79" s="4">
        <v>12054</v>
      </c>
      <c r="E79" s="4">
        <v>72255688645976</v>
      </c>
      <c r="F79" s="4">
        <v>30678774495</v>
      </c>
      <c r="G79" s="3" t="s">
        <v>43</v>
      </c>
      <c r="H79" s="4">
        <v>1</v>
      </c>
      <c r="I79" s="3" t="s">
        <v>12</v>
      </c>
      <c r="J79" s="5">
        <v>4132.03</v>
      </c>
      <c r="K79" s="5">
        <v>0</v>
      </c>
      <c r="L79" s="5">
        <v>0</v>
      </c>
      <c r="M79" s="5">
        <v>867.73</v>
      </c>
      <c r="N79" s="5">
        <v>5900.8</v>
      </c>
    </row>
    <row r="80" spans="1:15">
      <c r="A80" s="3" t="s">
        <v>94</v>
      </c>
      <c r="B80" s="3" t="s">
        <v>9</v>
      </c>
      <c r="C80" s="4">
        <v>8738</v>
      </c>
      <c r="D80" s="4">
        <v>5799</v>
      </c>
      <c r="E80" s="4">
        <v>72265226491821</v>
      </c>
      <c r="F80" s="4">
        <v>30678774495</v>
      </c>
      <c r="G80" s="3" t="s">
        <v>43</v>
      </c>
      <c r="H80" s="4">
        <v>1</v>
      </c>
      <c r="I80" s="3" t="s">
        <v>12</v>
      </c>
      <c r="J80" s="5">
        <v>5356.07</v>
      </c>
      <c r="K80" s="5">
        <v>0</v>
      </c>
      <c r="L80" s="5">
        <v>0</v>
      </c>
      <c r="M80" s="5">
        <v>1124.77</v>
      </c>
      <c r="N80" s="5">
        <v>7600</v>
      </c>
    </row>
    <row r="81" spans="1:15">
      <c r="A81" s="3" t="s">
        <v>104</v>
      </c>
      <c r="B81" s="3" t="s">
        <v>9</v>
      </c>
      <c r="C81" s="4">
        <v>19</v>
      </c>
      <c r="D81" s="4">
        <v>2634</v>
      </c>
      <c r="E81" s="4">
        <v>72261588482855</v>
      </c>
      <c r="F81" s="4">
        <v>20940147981</v>
      </c>
      <c r="G81" s="3" t="s">
        <v>105</v>
      </c>
      <c r="H81" s="4">
        <v>1</v>
      </c>
      <c r="I81" s="3" t="s">
        <v>12</v>
      </c>
      <c r="J81" s="5">
        <v>4300.6400000000003</v>
      </c>
      <c r="K81" s="5">
        <v>0</v>
      </c>
      <c r="L81" s="5">
        <v>0</v>
      </c>
      <c r="M81" s="5">
        <v>903.14</v>
      </c>
      <c r="N81" s="5">
        <v>5203.78</v>
      </c>
    </row>
    <row r="82" spans="1:15">
      <c r="A82" s="3" t="s">
        <v>60</v>
      </c>
      <c r="B82" s="3" t="s">
        <v>9</v>
      </c>
      <c r="C82" s="4">
        <v>16</v>
      </c>
      <c r="D82" s="4">
        <v>12779</v>
      </c>
      <c r="E82" s="4">
        <v>72242057166285</v>
      </c>
      <c r="F82" s="4">
        <v>30553547942</v>
      </c>
      <c r="G82" s="3" t="s">
        <v>61</v>
      </c>
      <c r="H82" s="4">
        <v>1</v>
      </c>
      <c r="I82" s="3" t="s">
        <v>12</v>
      </c>
      <c r="J82" s="5">
        <v>8598.44</v>
      </c>
      <c r="K82" s="5">
        <v>0</v>
      </c>
      <c r="L82" s="5">
        <v>0</v>
      </c>
      <c r="M82" s="5">
        <v>1805.67</v>
      </c>
      <c r="N82" s="5">
        <v>10404.11</v>
      </c>
    </row>
    <row r="83" spans="1:15">
      <c r="A83" s="3" t="s">
        <v>84</v>
      </c>
      <c r="B83" s="3" t="s">
        <v>9</v>
      </c>
      <c r="C83" s="4">
        <v>16</v>
      </c>
      <c r="D83" s="4">
        <v>12849</v>
      </c>
      <c r="E83" s="4">
        <v>72252761091062</v>
      </c>
      <c r="F83" s="4">
        <v>30553547942</v>
      </c>
      <c r="G83" s="3" t="s">
        <v>61</v>
      </c>
      <c r="H83" s="4">
        <v>1</v>
      </c>
      <c r="I83" s="3" t="s">
        <v>12</v>
      </c>
      <c r="J83" s="5">
        <v>52932.24</v>
      </c>
      <c r="K83" s="5">
        <v>0</v>
      </c>
      <c r="L83" s="5">
        <v>0</v>
      </c>
      <c r="M83" s="5">
        <v>11115.77</v>
      </c>
      <c r="N83" s="5">
        <v>64048.01</v>
      </c>
    </row>
    <row r="84" spans="1:15">
      <c r="A84" s="3" t="s">
        <v>104</v>
      </c>
      <c r="B84" s="3" t="s">
        <v>9</v>
      </c>
      <c r="C84" s="4">
        <v>318</v>
      </c>
      <c r="D84" s="4">
        <v>724</v>
      </c>
      <c r="E84" s="4">
        <v>72262565284052</v>
      </c>
      <c r="F84" s="4">
        <v>30521197702</v>
      </c>
      <c r="G84" s="3" t="s">
        <v>107</v>
      </c>
      <c r="H84" s="4">
        <v>1</v>
      </c>
      <c r="I84" s="3" t="s">
        <v>12</v>
      </c>
      <c r="J84" s="5">
        <v>15388.43</v>
      </c>
      <c r="K84" s="5">
        <v>0</v>
      </c>
      <c r="L84" s="5">
        <v>0</v>
      </c>
      <c r="M84" s="5">
        <v>3231.57</v>
      </c>
      <c r="N84" s="5">
        <v>19543.310000000001</v>
      </c>
    </row>
    <row r="85" spans="1:15">
      <c r="A85" s="3" t="s">
        <v>53</v>
      </c>
      <c r="B85" s="3" t="s">
        <v>9</v>
      </c>
      <c r="C85" s="4">
        <v>6</v>
      </c>
      <c r="D85" s="4">
        <v>12326830</v>
      </c>
      <c r="E85" s="4">
        <v>72237933692894</v>
      </c>
      <c r="F85" s="4">
        <v>30620177497</v>
      </c>
      <c r="G85" s="3" t="s">
        <v>55</v>
      </c>
      <c r="H85" s="4">
        <v>1</v>
      </c>
      <c r="I85" s="3" t="s">
        <v>12</v>
      </c>
      <c r="J85" s="5">
        <v>1990</v>
      </c>
      <c r="K85" s="5">
        <v>0</v>
      </c>
      <c r="L85" s="5">
        <v>0</v>
      </c>
      <c r="M85" s="5">
        <v>417.9</v>
      </c>
      <c r="N85" s="5">
        <v>2587</v>
      </c>
    </row>
    <row r="86" spans="1:15">
      <c r="A86" s="3" t="s">
        <v>53</v>
      </c>
      <c r="B86" s="3" t="s">
        <v>9</v>
      </c>
      <c r="C86" s="4">
        <v>6</v>
      </c>
      <c r="D86" s="4">
        <v>12359257</v>
      </c>
      <c r="E86" s="4">
        <v>72237939081331</v>
      </c>
      <c r="F86" s="4">
        <v>30620177497</v>
      </c>
      <c r="G86" s="3" t="s">
        <v>55</v>
      </c>
      <c r="H86" s="4">
        <v>1</v>
      </c>
      <c r="I86" s="3" t="s">
        <v>12</v>
      </c>
      <c r="J86" s="5">
        <v>5970</v>
      </c>
      <c r="K86" s="5">
        <v>0</v>
      </c>
      <c r="L86" s="5">
        <v>0</v>
      </c>
      <c r="M86" s="5">
        <v>1253.7</v>
      </c>
      <c r="N86" s="5">
        <v>7761</v>
      </c>
    </row>
    <row r="87" spans="1:15">
      <c r="A87" s="3" t="s">
        <v>53</v>
      </c>
      <c r="B87" s="3" t="s">
        <v>9</v>
      </c>
      <c r="C87" s="4">
        <v>6</v>
      </c>
      <c r="D87" s="4">
        <v>12334816</v>
      </c>
      <c r="E87" s="4">
        <v>72237935475828</v>
      </c>
      <c r="F87" s="4">
        <v>30620177497</v>
      </c>
      <c r="G87" s="3" t="s">
        <v>55</v>
      </c>
      <c r="H87" s="4">
        <v>1</v>
      </c>
      <c r="I87" s="3" t="s">
        <v>12</v>
      </c>
      <c r="J87" s="5">
        <v>1990</v>
      </c>
      <c r="K87" s="5">
        <v>0</v>
      </c>
      <c r="L87" s="5">
        <v>0</v>
      </c>
      <c r="M87" s="5">
        <v>417.9</v>
      </c>
      <c r="N87" s="5">
        <v>2587</v>
      </c>
    </row>
    <row r="88" spans="1:15">
      <c r="A88" s="3" t="s">
        <v>53</v>
      </c>
      <c r="B88" s="3" t="s">
        <v>9</v>
      </c>
      <c r="C88" s="4">
        <v>6</v>
      </c>
      <c r="D88" s="4">
        <v>12332171</v>
      </c>
      <c r="E88" s="4">
        <v>72237934971394</v>
      </c>
      <c r="F88" s="4">
        <v>30620177497</v>
      </c>
      <c r="G88" s="3" t="s">
        <v>55</v>
      </c>
      <c r="H88" s="4">
        <v>1</v>
      </c>
      <c r="I88" s="3" t="s">
        <v>12</v>
      </c>
      <c r="J88" s="5">
        <v>1990</v>
      </c>
      <c r="K88" s="5">
        <v>0</v>
      </c>
      <c r="L88" s="5">
        <v>0</v>
      </c>
      <c r="M88" s="5">
        <v>417.9</v>
      </c>
      <c r="N88" s="5">
        <v>2587</v>
      </c>
    </row>
    <row r="89" spans="1:15">
      <c r="A89" s="3" t="s">
        <v>104</v>
      </c>
      <c r="B89" s="3" t="s">
        <v>48</v>
      </c>
      <c r="C89" s="4">
        <v>5</v>
      </c>
      <c r="D89" s="4">
        <v>2833</v>
      </c>
      <c r="E89" s="4">
        <v>72262581147992</v>
      </c>
      <c r="F89" s="4">
        <v>30708041722</v>
      </c>
      <c r="G89" s="7" t="s">
        <v>106</v>
      </c>
      <c r="H89" s="8">
        <v>1</v>
      </c>
      <c r="I89" s="7" t="s">
        <v>12</v>
      </c>
      <c r="J89" s="9">
        <v>7019.86</v>
      </c>
      <c r="K89" s="9">
        <v>0</v>
      </c>
      <c r="L89" s="9">
        <v>0</v>
      </c>
      <c r="M89" s="9">
        <v>1474.17</v>
      </c>
      <c r="N89" s="9">
        <v>8494.0300000000007</v>
      </c>
    </row>
    <row r="90" spans="1:15">
      <c r="A90" s="3" t="s">
        <v>39</v>
      </c>
      <c r="B90" s="3" t="s">
        <v>9</v>
      </c>
      <c r="C90" s="4">
        <v>60</v>
      </c>
      <c r="D90" s="4">
        <v>54184</v>
      </c>
      <c r="E90" s="4">
        <v>72239787820782</v>
      </c>
      <c r="F90" s="4">
        <v>30517345039</v>
      </c>
      <c r="G90" s="7" t="s">
        <v>45</v>
      </c>
      <c r="H90" s="8">
        <v>1</v>
      </c>
      <c r="I90" s="7" t="s">
        <v>12</v>
      </c>
      <c r="J90" s="9">
        <v>57235</v>
      </c>
      <c r="K90" s="9">
        <v>0</v>
      </c>
      <c r="L90" s="9">
        <v>0</v>
      </c>
      <c r="M90" s="9">
        <v>12019.35</v>
      </c>
      <c r="N90" s="9">
        <v>72688.45</v>
      </c>
      <c r="O90" s="11">
        <f>SUM(J89:J91)</f>
        <v>81404.86</v>
      </c>
    </row>
    <row r="91" spans="1:15">
      <c r="A91" s="3" t="s">
        <v>93</v>
      </c>
      <c r="B91" s="3" t="s">
        <v>9</v>
      </c>
      <c r="C91" s="4">
        <v>60</v>
      </c>
      <c r="D91" s="4">
        <v>54404</v>
      </c>
      <c r="E91" s="4">
        <v>72259077188486</v>
      </c>
      <c r="F91" s="4">
        <v>30517345039</v>
      </c>
      <c r="G91" s="7" t="s">
        <v>45</v>
      </c>
      <c r="H91" s="8">
        <v>1</v>
      </c>
      <c r="I91" s="7" t="s">
        <v>12</v>
      </c>
      <c r="J91" s="9">
        <v>17150</v>
      </c>
      <c r="K91" s="9">
        <v>0</v>
      </c>
      <c r="L91" s="9">
        <v>0</v>
      </c>
      <c r="M91" s="9">
        <v>3601.5</v>
      </c>
      <c r="N91" s="9">
        <v>21780.5</v>
      </c>
    </row>
    <row r="92" spans="1:15">
      <c r="A92" s="3" t="s">
        <v>104</v>
      </c>
      <c r="B92" s="3" t="s">
        <v>9</v>
      </c>
      <c r="C92" s="4">
        <v>5</v>
      </c>
      <c r="D92" s="4">
        <v>54209</v>
      </c>
      <c r="E92" s="4">
        <v>72266576645934</v>
      </c>
      <c r="F92" s="4">
        <v>30660981736</v>
      </c>
      <c r="G92" s="3" t="s">
        <v>110</v>
      </c>
      <c r="H92" s="4">
        <v>1</v>
      </c>
      <c r="I92" s="3" t="s">
        <v>12</v>
      </c>
      <c r="J92" s="5">
        <v>5630</v>
      </c>
      <c r="K92" s="5">
        <v>1000</v>
      </c>
      <c r="L92" s="5">
        <v>0</v>
      </c>
      <c r="M92" s="5">
        <v>1182.3</v>
      </c>
      <c r="N92" s="5">
        <v>7812.3</v>
      </c>
    </row>
    <row r="93" spans="1:15">
      <c r="A93" s="3" t="s">
        <v>46</v>
      </c>
      <c r="B93" s="3" t="s">
        <v>41</v>
      </c>
      <c r="C93" s="4">
        <v>3</v>
      </c>
      <c r="D93" s="4">
        <v>331</v>
      </c>
      <c r="E93" s="4">
        <v>72234893451514</v>
      </c>
      <c r="F93" s="4">
        <v>20210551574</v>
      </c>
      <c r="G93" s="3" t="s">
        <v>50</v>
      </c>
      <c r="H93" s="4">
        <v>1</v>
      </c>
      <c r="I93" s="3" t="s">
        <v>12</v>
      </c>
      <c r="J93" s="5"/>
      <c r="K93" s="5"/>
      <c r="L93" s="5"/>
      <c r="M93" s="5"/>
      <c r="N93" s="5">
        <v>30000</v>
      </c>
    </row>
    <row r="94" spans="1:15">
      <c r="A94" s="3" t="s">
        <v>39</v>
      </c>
      <c r="B94" s="3" t="s">
        <v>9</v>
      </c>
      <c r="C94" s="4">
        <v>2</v>
      </c>
      <c r="D94" s="4">
        <v>4413</v>
      </c>
      <c r="E94" s="4">
        <v>72239629040159</v>
      </c>
      <c r="F94" s="4">
        <v>23180288899</v>
      </c>
      <c r="G94" s="7" t="s">
        <v>44</v>
      </c>
      <c r="H94" s="8">
        <v>1</v>
      </c>
      <c r="I94" s="7" t="s">
        <v>12</v>
      </c>
      <c r="J94" s="9">
        <v>115000</v>
      </c>
      <c r="K94" s="9">
        <v>0</v>
      </c>
      <c r="L94" s="9">
        <v>0</v>
      </c>
      <c r="M94" s="9">
        <v>24150</v>
      </c>
      <c r="N94" s="9">
        <v>139150</v>
      </c>
      <c r="O94" s="11">
        <f>SUM(J94)</f>
        <v>115000</v>
      </c>
    </row>
    <row r="95" spans="1:15">
      <c r="A95" s="3" t="s">
        <v>65</v>
      </c>
      <c r="B95" s="3" t="s">
        <v>9</v>
      </c>
      <c r="C95" s="4">
        <v>4</v>
      </c>
      <c r="D95" s="4">
        <v>16767</v>
      </c>
      <c r="E95" s="4">
        <v>72242282388955</v>
      </c>
      <c r="F95" s="4">
        <v>20112663542</v>
      </c>
      <c r="G95" s="3" t="s">
        <v>66</v>
      </c>
      <c r="H95" s="4">
        <v>1</v>
      </c>
      <c r="I95" s="3" t="s">
        <v>12</v>
      </c>
      <c r="J95" s="5">
        <v>13748.42</v>
      </c>
      <c r="K95" s="5">
        <v>0</v>
      </c>
      <c r="L95" s="5">
        <v>0</v>
      </c>
      <c r="M95" s="5">
        <v>1443.58</v>
      </c>
      <c r="N95" s="5">
        <v>15192</v>
      </c>
    </row>
    <row r="96" spans="1:15">
      <c r="A96" s="3" t="s">
        <v>65</v>
      </c>
      <c r="B96" s="3" t="s">
        <v>9</v>
      </c>
      <c r="C96" s="4">
        <v>4</v>
      </c>
      <c r="D96" s="4">
        <v>16769</v>
      </c>
      <c r="E96" s="4">
        <v>72242282389618</v>
      </c>
      <c r="F96" s="4">
        <v>20112663542</v>
      </c>
      <c r="G96" s="3" t="s">
        <v>66</v>
      </c>
      <c r="H96" s="4">
        <v>1</v>
      </c>
      <c r="I96" s="3" t="s">
        <v>12</v>
      </c>
      <c r="J96" s="5">
        <v>17375.560000000001</v>
      </c>
      <c r="K96" s="5">
        <v>0</v>
      </c>
      <c r="L96" s="5">
        <v>0</v>
      </c>
      <c r="M96" s="5">
        <v>1824.43</v>
      </c>
      <c r="N96" s="5">
        <v>19199.990000000002</v>
      </c>
    </row>
    <row r="97" spans="1:15">
      <c r="A97" s="3" t="s">
        <v>23</v>
      </c>
      <c r="B97" s="3" t="s">
        <v>9</v>
      </c>
      <c r="C97" s="4">
        <v>301</v>
      </c>
      <c r="D97" s="4">
        <v>16611</v>
      </c>
      <c r="E97" s="4">
        <v>32210771066764</v>
      </c>
      <c r="F97" s="4">
        <v>30686978350</v>
      </c>
      <c r="G97" s="3" t="s">
        <v>29</v>
      </c>
      <c r="H97" s="4">
        <v>1</v>
      </c>
      <c r="I97" s="3" t="s">
        <v>12</v>
      </c>
      <c r="J97" s="5">
        <v>3314.05</v>
      </c>
      <c r="K97" s="5">
        <v>0</v>
      </c>
      <c r="L97" s="5">
        <v>0</v>
      </c>
      <c r="M97" s="5">
        <v>695.95</v>
      </c>
      <c r="N97" s="5">
        <v>4010</v>
      </c>
    </row>
    <row r="98" spans="1:15">
      <c r="A98" s="3" t="s">
        <v>62</v>
      </c>
      <c r="B98" s="3" t="s">
        <v>9</v>
      </c>
      <c r="C98" s="4">
        <v>9</v>
      </c>
      <c r="D98" s="4">
        <v>18107</v>
      </c>
      <c r="E98" s="4">
        <v>72249163456271</v>
      </c>
      <c r="F98" s="4">
        <v>23366871349</v>
      </c>
      <c r="G98" s="3" t="s">
        <v>64</v>
      </c>
      <c r="H98" s="4">
        <v>1</v>
      </c>
      <c r="I98" s="3" t="s">
        <v>12</v>
      </c>
      <c r="J98" s="5">
        <v>9148.76</v>
      </c>
      <c r="K98" s="5">
        <v>0</v>
      </c>
      <c r="L98" s="5">
        <v>0</v>
      </c>
      <c r="M98" s="5">
        <v>1921.24</v>
      </c>
      <c r="N98" s="5">
        <v>11070</v>
      </c>
    </row>
    <row r="99" spans="1:15">
      <c r="A99" s="3" t="s">
        <v>70</v>
      </c>
      <c r="B99" s="3" t="s">
        <v>9</v>
      </c>
      <c r="C99" s="4">
        <v>9</v>
      </c>
      <c r="D99" s="4">
        <v>18351</v>
      </c>
      <c r="E99" s="4">
        <v>72249352156426</v>
      </c>
      <c r="F99" s="4">
        <v>23366871349</v>
      </c>
      <c r="G99" s="3" t="s">
        <v>64</v>
      </c>
      <c r="H99" s="4">
        <v>1</v>
      </c>
      <c r="I99" s="3" t="s">
        <v>12</v>
      </c>
      <c r="J99" s="5">
        <v>21347.11</v>
      </c>
      <c r="K99" s="5">
        <v>0</v>
      </c>
      <c r="L99" s="5">
        <v>0</v>
      </c>
      <c r="M99" s="5">
        <v>4482.8900000000003</v>
      </c>
      <c r="N99" s="5">
        <v>25830</v>
      </c>
    </row>
    <row r="100" spans="1:15">
      <c r="A100" s="3" t="s">
        <v>35</v>
      </c>
      <c r="B100" s="3" t="s">
        <v>9</v>
      </c>
      <c r="C100" s="4">
        <v>1667</v>
      </c>
      <c r="D100" s="4">
        <v>17535</v>
      </c>
      <c r="E100" s="4">
        <v>72239686946456</v>
      </c>
      <c r="F100" s="4">
        <v>30589621499</v>
      </c>
      <c r="G100" s="3" t="s">
        <v>37</v>
      </c>
      <c r="H100" s="4">
        <v>1</v>
      </c>
      <c r="I100" s="3" t="s">
        <v>12</v>
      </c>
      <c r="J100" s="5">
        <v>13204.68</v>
      </c>
      <c r="K100" s="5">
        <v>10.3</v>
      </c>
      <c r="L100" s="5">
        <v>0</v>
      </c>
      <c r="M100" s="5">
        <v>2750.18</v>
      </c>
      <c r="N100" s="5">
        <v>17150.330000000002</v>
      </c>
    </row>
    <row r="101" spans="1:15">
      <c r="A101" s="3" t="s">
        <v>8</v>
      </c>
      <c r="B101" s="3" t="s">
        <v>9</v>
      </c>
      <c r="C101" s="4">
        <v>2</v>
      </c>
      <c r="D101" s="4">
        <v>3070</v>
      </c>
      <c r="E101" s="4">
        <v>72221374914679</v>
      </c>
      <c r="F101" s="4">
        <v>30629863571</v>
      </c>
      <c r="G101" s="7" t="s">
        <v>11</v>
      </c>
      <c r="H101" s="8">
        <v>1</v>
      </c>
      <c r="I101" s="7" t="s">
        <v>12</v>
      </c>
      <c r="J101" s="9">
        <v>123833.99</v>
      </c>
      <c r="K101" s="9">
        <v>0</v>
      </c>
      <c r="L101" s="9">
        <v>0</v>
      </c>
      <c r="M101" s="9">
        <v>26005.14</v>
      </c>
      <c r="N101" s="9">
        <v>149839.13</v>
      </c>
    </row>
    <row r="102" spans="1:15">
      <c r="A102" s="3" t="s">
        <v>32</v>
      </c>
      <c r="B102" s="3" t="s">
        <v>9</v>
      </c>
      <c r="C102" s="4">
        <v>2</v>
      </c>
      <c r="D102" s="4">
        <v>3074</v>
      </c>
      <c r="E102" s="4">
        <v>72231696829517</v>
      </c>
      <c r="F102" s="4">
        <v>30629863571</v>
      </c>
      <c r="G102" s="7" t="s">
        <v>11</v>
      </c>
      <c r="H102" s="8">
        <v>1</v>
      </c>
      <c r="I102" s="7" t="s">
        <v>12</v>
      </c>
      <c r="J102" s="9">
        <v>95525.14</v>
      </c>
      <c r="K102" s="9">
        <v>0</v>
      </c>
      <c r="L102" s="9">
        <v>0</v>
      </c>
      <c r="M102" s="9">
        <v>20060.28</v>
      </c>
      <c r="N102" s="9">
        <v>115585.42</v>
      </c>
    </row>
    <row r="103" spans="1:15">
      <c r="A103" s="3" t="s">
        <v>39</v>
      </c>
      <c r="B103" s="3" t="s">
        <v>9</v>
      </c>
      <c r="C103" s="4">
        <v>2</v>
      </c>
      <c r="D103" s="4">
        <v>3076</v>
      </c>
      <c r="E103" s="4">
        <v>72231869429463</v>
      </c>
      <c r="F103" s="4">
        <v>30629863571</v>
      </c>
      <c r="G103" s="7" t="s">
        <v>11</v>
      </c>
      <c r="H103" s="8">
        <v>1</v>
      </c>
      <c r="I103" s="7" t="s">
        <v>12</v>
      </c>
      <c r="J103" s="9">
        <v>171683.24</v>
      </c>
      <c r="K103" s="9">
        <v>0</v>
      </c>
      <c r="L103" s="9">
        <v>0</v>
      </c>
      <c r="M103" s="9">
        <v>36053.480000000003</v>
      </c>
      <c r="N103" s="9">
        <v>207736.72</v>
      </c>
    </row>
    <row r="104" spans="1:15">
      <c r="A104" s="3" t="s">
        <v>65</v>
      </c>
      <c r="B104" s="3" t="s">
        <v>9</v>
      </c>
      <c r="C104" s="4">
        <v>2</v>
      </c>
      <c r="D104" s="4">
        <v>3080</v>
      </c>
      <c r="E104" s="4">
        <v>72241268236991</v>
      </c>
      <c r="F104" s="4">
        <v>30629863571</v>
      </c>
      <c r="G104" s="7" t="s">
        <v>11</v>
      </c>
      <c r="H104" s="8">
        <v>1</v>
      </c>
      <c r="I104" s="7" t="s">
        <v>12</v>
      </c>
      <c r="J104" s="9">
        <v>244762.8</v>
      </c>
      <c r="K104" s="9">
        <v>0</v>
      </c>
      <c r="L104" s="9">
        <v>0</v>
      </c>
      <c r="M104" s="9">
        <v>51400.19</v>
      </c>
      <c r="N104" s="9">
        <v>296162.99</v>
      </c>
      <c r="O104" s="11">
        <f>SUM(J101:J109)</f>
        <v>2076691.9999999998</v>
      </c>
    </row>
    <row r="105" spans="1:15">
      <c r="A105" s="3" t="s">
        <v>78</v>
      </c>
      <c r="B105" s="3" t="s">
        <v>9</v>
      </c>
      <c r="C105" s="4">
        <v>2</v>
      </c>
      <c r="D105" s="4">
        <v>3083</v>
      </c>
      <c r="E105" s="4">
        <v>72251861923177</v>
      </c>
      <c r="F105" s="4">
        <v>30629863571</v>
      </c>
      <c r="G105" s="7" t="s">
        <v>11</v>
      </c>
      <c r="H105" s="8">
        <v>1</v>
      </c>
      <c r="I105" s="7" t="s">
        <v>12</v>
      </c>
      <c r="J105" s="9">
        <v>177479.51</v>
      </c>
      <c r="K105" s="9">
        <v>0</v>
      </c>
      <c r="L105" s="9">
        <v>0</v>
      </c>
      <c r="M105" s="9">
        <v>37270.699999999997</v>
      </c>
      <c r="N105" s="9">
        <v>214750.21</v>
      </c>
    </row>
    <row r="106" spans="1:15">
      <c r="A106" s="3" t="s">
        <v>88</v>
      </c>
      <c r="B106" s="3" t="s">
        <v>9</v>
      </c>
      <c r="C106" s="4">
        <v>2</v>
      </c>
      <c r="D106" s="4">
        <v>3086</v>
      </c>
      <c r="E106" s="4">
        <v>72251076350179</v>
      </c>
      <c r="F106" s="4">
        <v>30629863571</v>
      </c>
      <c r="G106" s="7" t="s">
        <v>11</v>
      </c>
      <c r="H106" s="8">
        <v>1</v>
      </c>
      <c r="I106" s="7" t="s">
        <v>12</v>
      </c>
      <c r="J106" s="9">
        <v>299318.96999999997</v>
      </c>
      <c r="K106" s="9">
        <v>0</v>
      </c>
      <c r="L106" s="9">
        <v>0</v>
      </c>
      <c r="M106" s="9">
        <v>62856.98</v>
      </c>
      <c r="N106" s="9">
        <v>362175.95</v>
      </c>
    </row>
    <row r="107" spans="1:15">
      <c r="A107" s="3" t="s">
        <v>90</v>
      </c>
      <c r="B107" s="3" t="s">
        <v>9</v>
      </c>
      <c r="C107" s="4">
        <v>2</v>
      </c>
      <c r="D107" s="4">
        <v>3088</v>
      </c>
      <c r="E107" s="4">
        <v>72261269088491</v>
      </c>
      <c r="F107" s="4">
        <v>30629863571</v>
      </c>
      <c r="G107" s="7" t="s">
        <v>11</v>
      </c>
      <c r="H107" s="8">
        <v>1</v>
      </c>
      <c r="I107" s="7" t="s">
        <v>12</v>
      </c>
      <c r="J107" s="9">
        <v>427419.63</v>
      </c>
      <c r="K107" s="9">
        <v>0</v>
      </c>
      <c r="L107" s="9">
        <v>0</v>
      </c>
      <c r="M107" s="9">
        <v>89758.11</v>
      </c>
      <c r="N107" s="9">
        <v>517177.74</v>
      </c>
    </row>
    <row r="108" spans="1:15">
      <c r="A108" s="3" t="s">
        <v>90</v>
      </c>
      <c r="B108" s="3" t="s">
        <v>52</v>
      </c>
      <c r="C108" s="4">
        <v>2</v>
      </c>
      <c r="D108" s="4">
        <v>74</v>
      </c>
      <c r="E108" s="4">
        <v>72261276523018</v>
      </c>
      <c r="F108" s="4">
        <v>30629863571</v>
      </c>
      <c r="G108" s="7" t="s">
        <v>11</v>
      </c>
      <c r="H108" s="8">
        <v>1</v>
      </c>
      <c r="I108" s="7" t="s">
        <v>12</v>
      </c>
      <c r="J108" s="9">
        <v>299318.96999999997</v>
      </c>
      <c r="K108" s="9">
        <v>0</v>
      </c>
      <c r="L108" s="9">
        <v>0</v>
      </c>
      <c r="M108" s="9">
        <v>62856.98</v>
      </c>
      <c r="N108" s="9">
        <v>362175.95</v>
      </c>
    </row>
    <row r="109" spans="1:15">
      <c r="A109" s="3" t="s">
        <v>98</v>
      </c>
      <c r="B109" s="3" t="s">
        <v>9</v>
      </c>
      <c r="C109" s="4">
        <v>2</v>
      </c>
      <c r="D109" s="4">
        <v>3092</v>
      </c>
      <c r="E109" s="4">
        <v>72261666359620</v>
      </c>
      <c r="F109" s="4">
        <v>30629863571</v>
      </c>
      <c r="G109" s="7" t="s">
        <v>11</v>
      </c>
      <c r="H109" s="8">
        <v>1</v>
      </c>
      <c r="I109" s="7" t="s">
        <v>12</v>
      </c>
      <c r="J109" s="9">
        <v>237349.75</v>
      </c>
      <c r="K109" s="9">
        <v>0</v>
      </c>
      <c r="L109" s="9">
        <v>0</v>
      </c>
      <c r="M109" s="9">
        <v>49843.45</v>
      </c>
      <c r="N109" s="9">
        <v>287193.2</v>
      </c>
    </row>
    <row r="110" spans="1:15">
      <c r="A110" s="3" t="s">
        <v>8</v>
      </c>
      <c r="B110" s="3" t="s">
        <v>9</v>
      </c>
      <c r="C110" s="4">
        <v>63</v>
      </c>
      <c r="D110" s="4">
        <v>1959273</v>
      </c>
      <c r="E110" s="4">
        <v>72237851784739</v>
      </c>
      <c r="F110" s="4">
        <v>30640897267</v>
      </c>
      <c r="G110" s="3" t="s">
        <v>15</v>
      </c>
      <c r="H110" s="4">
        <v>1</v>
      </c>
      <c r="I110" s="3" t="s">
        <v>12</v>
      </c>
      <c r="J110" s="5">
        <v>4595</v>
      </c>
      <c r="K110" s="5">
        <v>0</v>
      </c>
      <c r="L110" s="5">
        <v>0</v>
      </c>
      <c r="M110" s="5">
        <v>964.95</v>
      </c>
      <c r="N110" s="5">
        <v>5973.5</v>
      </c>
    </row>
    <row r="111" spans="1:15">
      <c r="A111" s="3" t="s">
        <v>8</v>
      </c>
      <c r="B111" s="3" t="s">
        <v>9</v>
      </c>
      <c r="C111" s="4">
        <v>63</v>
      </c>
      <c r="D111" s="4">
        <v>1959111</v>
      </c>
      <c r="E111" s="4">
        <v>72237851779309</v>
      </c>
      <c r="F111" s="4">
        <v>30640897267</v>
      </c>
      <c r="G111" s="3" t="s">
        <v>15</v>
      </c>
      <c r="H111" s="4">
        <v>1</v>
      </c>
      <c r="I111" s="3" t="s">
        <v>12</v>
      </c>
      <c r="J111" s="5">
        <v>4873.51</v>
      </c>
      <c r="K111" s="5">
        <v>0</v>
      </c>
      <c r="L111" s="5">
        <v>0</v>
      </c>
      <c r="M111" s="5">
        <v>1023.44</v>
      </c>
      <c r="N111" s="5">
        <v>6335.57</v>
      </c>
    </row>
    <row r="112" spans="1:15">
      <c r="A112" s="3" t="s">
        <v>8</v>
      </c>
      <c r="B112" s="3" t="s">
        <v>9</v>
      </c>
      <c r="C112" s="4">
        <v>63</v>
      </c>
      <c r="D112" s="4">
        <v>1959735</v>
      </c>
      <c r="E112" s="4">
        <v>72237851815948</v>
      </c>
      <c r="F112" s="4">
        <v>30640897267</v>
      </c>
      <c r="G112" s="3" t="s">
        <v>15</v>
      </c>
      <c r="H112" s="4">
        <v>1</v>
      </c>
      <c r="I112" s="3" t="s">
        <v>12</v>
      </c>
      <c r="J112" s="5">
        <v>4873.51</v>
      </c>
      <c r="K112" s="5">
        <v>0</v>
      </c>
      <c r="L112" s="5">
        <v>0</v>
      </c>
      <c r="M112" s="5">
        <v>1023.44</v>
      </c>
      <c r="N112" s="5">
        <v>6335.57</v>
      </c>
    </row>
    <row r="113" spans="1:16">
      <c r="A113" s="3" t="s">
        <v>53</v>
      </c>
      <c r="B113" s="3" t="s">
        <v>9</v>
      </c>
      <c r="C113" s="4">
        <v>6364</v>
      </c>
      <c r="D113" s="4">
        <v>6341917</v>
      </c>
      <c r="E113" s="4">
        <v>72248047245851</v>
      </c>
      <c r="F113" s="4">
        <v>30639453738</v>
      </c>
      <c r="G113" s="3" t="s">
        <v>57</v>
      </c>
      <c r="H113" s="4">
        <v>1</v>
      </c>
      <c r="I113" s="3" t="s">
        <v>12</v>
      </c>
      <c r="J113" s="5">
        <v>37480.42</v>
      </c>
      <c r="K113" s="5">
        <v>2.2799999999999998</v>
      </c>
      <c r="L113" s="5">
        <v>0</v>
      </c>
      <c r="M113" s="5">
        <v>7966.78</v>
      </c>
      <c r="N113" s="5">
        <v>48740.93</v>
      </c>
    </row>
    <row r="114" spans="1:16">
      <c r="A114" s="3" t="s">
        <v>74</v>
      </c>
      <c r="B114" s="3" t="s">
        <v>9</v>
      </c>
      <c r="C114" s="4">
        <v>6723</v>
      </c>
      <c r="D114" s="4">
        <v>4093282</v>
      </c>
      <c r="E114" s="4">
        <v>72248511660553</v>
      </c>
      <c r="F114" s="4">
        <v>30639453738</v>
      </c>
      <c r="G114" s="3" t="s">
        <v>57</v>
      </c>
      <c r="H114" s="4">
        <v>1</v>
      </c>
      <c r="I114" s="3" t="s">
        <v>12</v>
      </c>
      <c r="J114" s="5">
        <v>5350</v>
      </c>
      <c r="K114" s="5">
        <v>0</v>
      </c>
      <c r="L114" s="5">
        <v>0</v>
      </c>
      <c r="M114" s="5">
        <v>1123.5</v>
      </c>
      <c r="N114" s="5">
        <v>6955</v>
      </c>
    </row>
    <row r="115" spans="1:16">
      <c r="A115" s="3" t="s">
        <v>74</v>
      </c>
      <c r="B115" s="3" t="s">
        <v>9</v>
      </c>
      <c r="C115" s="4">
        <v>6723</v>
      </c>
      <c r="D115" s="4">
        <v>4065323</v>
      </c>
      <c r="E115" s="4">
        <v>72248510717226</v>
      </c>
      <c r="F115" s="4">
        <v>30639453738</v>
      </c>
      <c r="G115" s="3" t="s">
        <v>57</v>
      </c>
      <c r="H115" s="4">
        <v>1</v>
      </c>
      <c r="I115" s="3" t="s">
        <v>12</v>
      </c>
      <c r="J115" s="5">
        <v>2180</v>
      </c>
      <c r="K115" s="5">
        <v>0</v>
      </c>
      <c r="L115" s="5">
        <v>0</v>
      </c>
      <c r="M115" s="5">
        <v>457.8</v>
      </c>
      <c r="N115" s="5">
        <v>2703.2</v>
      </c>
    </row>
    <row r="116" spans="1:16">
      <c r="A116" s="3" t="s">
        <v>74</v>
      </c>
      <c r="B116" s="3" t="s">
        <v>9</v>
      </c>
      <c r="C116" s="4">
        <v>6723</v>
      </c>
      <c r="D116" s="4">
        <v>4054125</v>
      </c>
      <c r="E116" s="4">
        <v>72248510321466</v>
      </c>
      <c r="F116" s="4">
        <v>30639453738</v>
      </c>
      <c r="G116" s="3" t="s">
        <v>57</v>
      </c>
      <c r="H116" s="4">
        <v>1</v>
      </c>
      <c r="I116" s="3" t="s">
        <v>12</v>
      </c>
      <c r="J116" s="5">
        <v>4080</v>
      </c>
      <c r="K116" s="5">
        <v>0</v>
      </c>
      <c r="L116" s="5">
        <v>0</v>
      </c>
      <c r="M116" s="5">
        <v>856.8</v>
      </c>
      <c r="N116" s="5">
        <v>5304</v>
      </c>
    </row>
    <row r="117" spans="1:16">
      <c r="A117" s="3" t="s">
        <v>23</v>
      </c>
      <c r="B117" s="3" t="s">
        <v>9</v>
      </c>
      <c r="C117" s="4">
        <v>943</v>
      </c>
      <c r="D117" s="4">
        <v>1059791</v>
      </c>
      <c r="E117" s="4">
        <v>72235541194347</v>
      </c>
      <c r="F117" s="4">
        <v>30639453975</v>
      </c>
      <c r="G117" s="3" t="s">
        <v>26</v>
      </c>
      <c r="H117" s="4">
        <v>1</v>
      </c>
      <c r="I117" s="3" t="s">
        <v>12</v>
      </c>
      <c r="J117" s="5">
        <v>9085.08</v>
      </c>
      <c r="K117" s="5">
        <v>0</v>
      </c>
      <c r="L117" s="5">
        <v>0</v>
      </c>
      <c r="M117" s="5">
        <v>2452.9699999999998</v>
      </c>
      <c r="N117" s="5">
        <v>12355.7</v>
      </c>
    </row>
    <row r="118" spans="1:16">
      <c r="A118" s="3" t="s">
        <v>46</v>
      </c>
      <c r="B118" s="3" t="s">
        <v>9</v>
      </c>
      <c r="C118" s="4">
        <v>948</v>
      </c>
      <c r="D118" s="4">
        <v>671906</v>
      </c>
      <c r="E118" s="4">
        <v>72235002981657</v>
      </c>
      <c r="F118" s="4">
        <v>30639453975</v>
      </c>
      <c r="G118" s="3" t="s">
        <v>26</v>
      </c>
      <c r="H118" s="4">
        <v>1</v>
      </c>
      <c r="I118" s="3" t="s">
        <v>12</v>
      </c>
      <c r="J118" s="5">
        <v>2803.51</v>
      </c>
      <c r="K118" s="5">
        <v>0</v>
      </c>
      <c r="L118" s="5">
        <v>0</v>
      </c>
      <c r="M118" s="5">
        <v>756.95</v>
      </c>
      <c r="N118" s="5">
        <v>3812.78</v>
      </c>
    </row>
    <row r="119" spans="1:16">
      <c r="A119" s="3" t="s">
        <v>96</v>
      </c>
      <c r="B119" s="3" t="s">
        <v>9</v>
      </c>
      <c r="C119" s="4">
        <v>5</v>
      </c>
      <c r="D119" s="4">
        <v>5932</v>
      </c>
      <c r="E119" s="4">
        <v>72265376867964</v>
      </c>
      <c r="F119" s="4">
        <v>30532905555</v>
      </c>
      <c r="G119" s="7" t="s">
        <v>97</v>
      </c>
      <c r="H119" s="8">
        <v>1</v>
      </c>
      <c r="I119" s="7" t="s">
        <v>12</v>
      </c>
      <c r="J119" s="9">
        <v>98862.8</v>
      </c>
      <c r="K119" s="9">
        <v>0</v>
      </c>
      <c r="L119" s="9">
        <v>0</v>
      </c>
      <c r="M119" s="9">
        <v>20761.2</v>
      </c>
      <c r="N119" s="9">
        <v>125555.77</v>
      </c>
    </row>
    <row r="120" spans="1:16">
      <c r="A120" s="3" t="s">
        <v>46</v>
      </c>
      <c r="B120" s="3" t="s">
        <v>48</v>
      </c>
      <c r="C120" s="4">
        <v>6</v>
      </c>
      <c r="D120" s="4">
        <v>12311</v>
      </c>
      <c r="E120" s="4">
        <v>72234898090944</v>
      </c>
      <c r="F120" s="4">
        <v>30701023494</v>
      </c>
      <c r="G120" s="7" t="s">
        <v>49</v>
      </c>
      <c r="H120" s="8">
        <v>1</v>
      </c>
      <c r="I120" s="7" t="s">
        <v>12</v>
      </c>
      <c r="J120" s="9">
        <v>19398.07</v>
      </c>
      <c r="K120" s="9">
        <v>0</v>
      </c>
      <c r="L120" s="9">
        <v>0</v>
      </c>
      <c r="M120" s="9">
        <v>4073.59</v>
      </c>
      <c r="N120" s="9">
        <v>24635.54</v>
      </c>
      <c r="O120" s="11">
        <f>SUM(J119:J121)</f>
        <v>120945.09</v>
      </c>
    </row>
    <row r="121" spans="1:16">
      <c r="A121" s="3" t="s">
        <v>104</v>
      </c>
      <c r="B121" s="3" t="s">
        <v>9</v>
      </c>
      <c r="C121" s="4">
        <v>9</v>
      </c>
      <c r="D121" s="4">
        <v>3294</v>
      </c>
      <c r="E121" s="4">
        <v>72264575390423</v>
      </c>
      <c r="F121" s="4">
        <v>30701023494</v>
      </c>
      <c r="G121" s="7" t="s">
        <v>49</v>
      </c>
      <c r="H121" s="10">
        <v>125.04</v>
      </c>
      <c r="I121" s="7" t="s">
        <v>108</v>
      </c>
      <c r="J121" s="9">
        <v>2684.22</v>
      </c>
      <c r="K121" s="9">
        <v>0</v>
      </c>
      <c r="L121" s="9">
        <v>0</v>
      </c>
      <c r="M121" s="9">
        <v>563.69000000000005</v>
      </c>
      <c r="N121" s="9">
        <v>3408.96</v>
      </c>
    </row>
    <row r="122" spans="1:16">
      <c r="A122" s="3" t="s">
        <v>98</v>
      </c>
      <c r="B122" s="3" t="s">
        <v>9</v>
      </c>
      <c r="C122" s="4">
        <v>5</v>
      </c>
      <c r="D122" s="4">
        <v>14121</v>
      </c>
      <c r="E122" s="4">
        <v>72264492831636</v>
      </c>
      <c r="F122" s="4">
        <v>30714034584</v>
      </c>
      <c r="G122" s="3" t="s">
        <v>99</v>
      </c>
      <c r="H122" s="4">
        <v>1</v>
      </c>
      <c r="I122" s="3" t="s">
        <v>12</v>
      </c>
      <c r="J122" s="5">
        <v>11763.8</v>
      </c>
      <c r="K122" s="5">
        <v>0</v>
      </c>
      <c r="L122" s="5">
        <v>0</v>
      </c>
      <c r="M122" s="5">
        <v>1235.2</v>
      </c>
      <c r="N122" s="5">
        <v>12999</v>
      </c>
    </row>
    <row r="123" spans="1:16">
      <c r="A123" s="3" t="s">
        <v>46</v>
      </c>
      <c r="B123" s="3" t="s">
        <v>9</v>
      </c>
      <c r="C123" s="4">
        <v>6</v>
      </c>
      <c r="D123" s="4">
        <v>26241</v>
      </c>
      <c r="E123" s="4">
        <v>72239914766000</v>
      </c>
      <c r="F123" s="4">
        <v>30711526419</v>
      </c>
      <c r="G123" s="3" t="s">
        <v>51</v>
      </c>
      <c r="H123" s="4">
        <v>1</v>
      </c>
      <c r="I123" s="3" t="s">
        <v>12</v>
      </c>
      <c r="J123" s="5">
        <v>6024.46</v>
      </c>
      <c r="K123" s="5">
        <v>0</v>
      </c>
      <c r="L123" s="5">
        <v>0</v>
      </c>
      <c r="M123" s="5">
        <v>875.54</v>
      </c>
      <c r="N123" s="5">
        <v>6900</v>
      </c>
    </row>
    <row r="124" spans="1:16">
      <c r="A124" s="3" t="s">
        <v>46</v>
      </c>
      <c r="B124" s="3" t="s">
        <v>52</v>
      </c>
      <c r="C124" s="4">
        <v>6</v>
      </c>
      <c r="D124" s="4">
        <v>1706</v>
      </c>
      <c r="E124" s="4">
        <v>72239914927003</v>
      </c>
      <c r="F124" s="4">
        <v>30711526419</v>
      </c>
      <c r="G124" s="3" t="s">
        <v>51</v>
      </c>
      <c r="H124" s="4">
        <v>1</v>
      </c>
      <c r="I124" s="3" t="s">
        <v>12</v>
      </c>
      <c r="J124" s="5">
        <v>1625.34</v>
      </c>
      <c r="K124" s="5">
        <v>0</v>
      </c>
      <c r="L124" s="5">
        <v>0</v>
      </c>
      <c r="M124" s="5">
        <v>170.66</v>
      </c>
      <c r="N124" s="5">
        <v>1796</v>
      </c>
    </row>
    <row r="125" spans="1:16">
      <c r="A125" s="3" t="s">
        <v>46</v>
      </c>
      <c r="B125" s="3" t="s">
        <v>9</v>
      </c>
      <c r="C125" s="4">
        <v>6</v>
      </c>
      <c r="D125" s="4">
        <v>26240</v>
      </c>
      <c r="E125" s="4">
        <v>72239912479540</v>
      </c>
      <c r="F125" s="4">
        <v>30711526419</v>
      </c>
      <c r="G125" s="3" t="s">
        <v>51</v>
      </c>
      <c r="H125" s="4">
        <v>1</v>
      </c>
      <c r="I125" s="3" t="s">
        <v>12</v>
      </c>
      <c r="J125" s="5">
        <v>1625.34</v>
      </c>
      <c r="K125" s="5">
        <v>0</v>
      </c>
      <c r="L125" s="5">
        <v>0</v>
      </c>
      <c r="M125" s="5">
        <v>170.66</v>
      </c>
      <c r="N125" s="5">
        <v>1796</v>
      </c>
    </row>
    <row r="126" spans="1:16">
      <c r="A126" s="3" t="s">
        <v>53</v>
      </c>
      <c r="B126" s="3" t="s">
        <v>9</v>
      </c>
      <c r="C126" s="4">
        <v>6</v>
      </c>
      <c r="D126" s="4">
        <v>26245</v>
      </c>
      <c r="E126" s="4">
        <v>72239964718861</v>
      </c>
      <c r="F126" s="4">
        <v>30711526419</v>
      </c>
      <c r="G126" s="3" t="s">
        <v>51</v>
      </c>
      <c r="H126" s="4">
        <v>1</v>
      </c>
      <c r="I126" s="3" t="s">
        <v>12</v>
      </c>
      <c r="J126" s="5">
        <v>19591.79</v>
      </c>
      <c r="K126" s="5">
        <v>0</v>
      </c>
      <c r="L126" s="5">
        <v>0</v>
      </c>
      <c r="M126" s="5">
        <v>3453.61</v>
      </c>
      <c r="N126" s="5">
        <v>23045.4</v>
      </c>
    </row>
    <row r="127" spans="1:16">
      <c r="J127" s="11">
        <f>SUM(J3:J126)</f>
        <v>7855621.3799999962</v>
      </c>
      <c r="K127" s="11">
        <f t="shared" ref="K127:O127" si="0">SUM(K3:K126)</f>
        <v>1012.5799999999999</v>
      </c>
      <c r="L127" s="11">
        <f t="shared" si="0"/>
        <v>76.14</v>
      </c>
      <c r="M127" s="11">
        <f t="shared" si="0"/>
        <v>1631277.4599999988</v>
      </c>
      <c r="O127" s="11">
        <f t="shared" si="0"/>
        <v>6660551.1299999999</v>
      </c>
      <c r="P127" s="11">
        <f>J127-O127</f>
        <v>1195070.2499999963</v>
      </c>
    </row>
    <row r="128" spans="1:16">
      <c r="N128" s="11">
        <f>SUM(N3:N126)</f>
        <v>9585845.9799999986</v>
      </c>
    </row>
  </sheetData>
  <sortState ref="A3:N126">
    <sortCondition ref="G3:G126"/>
  </sortState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123</cp:lastModifiedBy>
  <dcterms:created xsi:type="dcterms:W3CDTF">2022-09-05T20:36:53Z</dcterms:created>
  <dcterms:modified xsi:type="dcterms:W3CDTF">2022-09-06T01:00:51Z</dcterms:modified>
</cp:coreProperties>
</file>