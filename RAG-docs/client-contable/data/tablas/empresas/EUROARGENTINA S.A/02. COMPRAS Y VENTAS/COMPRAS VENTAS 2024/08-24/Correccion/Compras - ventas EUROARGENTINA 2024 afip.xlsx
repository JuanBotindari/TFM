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4\08-24\Correccion\"/>
    </mc:Choice>
  </mc:AlternateContent>
  <xr:revisionPtr revIDLastSave="0" documentId="8_{C0634C7C-1214-4A61-AF06-2AD90BC80063}" xr6:coauthVersionLast="47" xr6:coauthVersionMax="47" xr10:uidLastSave="{00000000-0000-0000-0000-000000000000}"/>
  <bookViews>
    <workbookView xWindow="30" yWindow="105" windowWidth="14955" windowHeight="15345" tabRatio="50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Sheet1!$A$2:$I$167</definedName>
  </definedNames>
  <calcPr calcId="181029"/>
</workbook>
</file>

<file path=xl/calcChain.xml><?xml version="1.0" encoding="utf-8"?>
<calcChain xmlns="http://schemas.openxmlformats.org/spreadsheetml/2006/main">
  <c r="E21" i="2" l="1"/>
  <c r="F21" i="2"/>
  <c r="G21" i="2"/>
  <c r="H21" i="2"/>
  <c r="D21" i="2"/>
  <c r="C21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2" i="2"/>
  <c r="F23" i="2"/>
  <c r="F24" i="2"/>
  <c r="F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2" i="2"/>
  <c r="D23" i="2"/>
  <c r="D24" i="2"/>
  <c r="D3" i="2"/>
</calcChain>
</file>

<file path=xl/sharedStrings.xml><?xml version="1.0" encoding="utf-8"?>
<sst xmlns="http://schemas.openxmlformats.org/spreadsheetml/2006/main" count="507" uniqueCount="131">
  <si>
    <t>Mis Comprobantes Recibidos - CUIT 30663486051</t>
  </si>
  <si>
    <t>Fecha</t>
  </si>
  <si>
    <t>Tipo</t>
  </si>
  <si>
    <t>Punto de Venta</t>
  </si>
  <si>
    <t>Número Desde</t>
  </si>
  <si>
    <t>Nro. Doc. Emisor</t>
  </si>
  <si>
    <t>Denominación Emisor</t>
  </si>
  <si>
    <t>Imp. Neto Gravado</t>
  </si>
  <si>
    <t>IVA</t>
  </si>
  <si>
    <t>Imp. Total</t>
  </si>
  <si>
    <t>01/08/2024</t>
  </si>
  <si>
    <t>1 - Factura A</t>
  </si>
  <si>
    <t>EL CACIQUE LIMPIEZA SRL</t>
  </si>
  <si>
    <t>HOKAMA SERGIO ENRIQUE</t>
  </si>
  <si>
    <t>GARCIA GABRIELA ANDREA</t>
  </si>
  <si>
    <t>ALONSO RODRIGO JAVIER</t>
  </si>
  <si>
    <t>INDUSTRIAS PLASTICOS SALTA S.R.L.</t>
  </si>
  <si>
    <t>EXPOESTETICA</t>
  </si>
  <si>
    <t>CHAMORRO MANUEL</t>
  </si>
  <si>
    <t>11 - Factura C</t>
  </si>
  <si>
    <t>REUS JORGE DIEGO</t>
  </si>
  <si>
    <t>02/08/2024</t>
  </si>
  <si>
    <t>CODAC SRL</t>
  </si>
  <si>
    <t>COTO CENTRO INTEGRAL DE COMERCIALIZACION SOCIEDAD ANONIMA</t>
  </si>
  <si>
    <t>PARAVANO HUGO RODOLFO</t>
  </si>
  <si>
    <t>H UNO 1469 S.A.</t>
  </si>
  <si>
    <t>BATTELLINI MARIA SOLEDAD</t>
  </si>
  <si>
    <t>03/08/2024</t>
  </si>
  <si>
    <t>TELEFONICA MOVILES ARGENTINA SOCIEDAD ANONIMA</t>
  </si>
  <si>
    <t>OPERADORA DE ESTACIONES DE SERVICIOS SA</t>
  </si>
  <si>
    <t>GRUPO CONCESIONARIO DEL OESTE SA</t>
  </si>
  <si>
    <t>AUTOPISTAS DEL SOL S A</t>
  </si>
  <si>
    <t>04/08/2024</t>
  </si>
  <si>
    <t>05/08/2024</t>
  </si>
  <si>
    <t>FAVAR IMPORT S.A.</t>
  </si>
  <si>
    <t>TELECENTRO S A</t>
  </si>
  <si>
    <t>FIDEICOMISO MAMBA</t>
  </si>
  <si>
    <t>BOTINDARI JUAN CARLOS</t>
  </si>
  <si>
    <t>06/08/2024</t>
  </si>
  <si>
    <t>TRONADOR SOCIEDAD ANONIMA COMERCIAL</t>
  </si>
  <si>
    <t>VABAR LIN SRL</t>
  </si>
  <si>
    <t>GRAVEDAD X S. R. L.</t>
  </si>
  <si>
    <t>TELESMART SA</t>
  </si>
  <si>
    <t>GLOBAL AESTHETICS PRODUCTS AND SERVICES SRL</t>
  </si>
  <si>
    <t>SUN Y MOUNTAIN SAS</t>
  </si>
  <si>
    <t>CORREDORES VIALES SOCIEDAD ANONIMA</t>
  </si>
  <si>
    <t>TECNIMAR S R L</t>
  </si>
  <si>
    <t>FERNANDEZ DANIELA NATALIA</t>
  </si>
  <si>
    <t>07/08/2024</t>
  </si>
  <si>
    <t>TELECOM ARGENTINA SOCIEDAD ANONIMA</t>
  </si>
  <si>
    <t>VIPA INTERNATIONAL S.R.L.</t>
  </si>
  <si>
    <t>REPETTO MARIA FERNANDA</t>
  </si>
  <si>
    <t>FLORES HUAYRA MICHAEL MARTIN</t>
  </si>
  <si>
    <t>08/08/2024</t>
  </si>
  <si>
    <t>NEW  HIGH PACK  SA</t>
  </si>
  <si>
    <t>TAZ A TAZ SRL</t>
  </si>
  <si>
    <t>AUTOPISTAS URBANAS S A</t>
  </si>
  <si>
    <t>SMART IT SOLUTIONS S.R.L</t>
  </si>
  <si>
    <t>CAFFARATTI ROMINA PAOLA</t>
  </si>
  <si>
    <t>09/08/2024</t>
  </si>
  <si>
    <t>10/08/2024</t>
  </si>
  <si>
    <t>GLOBAL BUSINESS SUPPLIERS SRL</t>
  </si>
  <si>
    <t>11/08/2024</t>
  </si>
  <si>
    <t>12/08/2024</t>
  </si>
  <si>
    <t>GARCIA HOURQUET MARIA JOSE</t>
  </si>
  <si>
    <t>EMPRENDIMIENTOS SATELITALES SA</t>
  </si>
  <si>
    <t>APPLUS SANTA MARIA DEL BUEN AYRE SA</t>
  </si>
  <si>
    <t>6 - Factura B</t>
  </si>
  <si>
    <t>13/08/2024</t>
  </si>
  <si>
    <t>CATEDRAL ALTA PATAGONIA SA</t>
  </si>
  <si>
    <t>SEDAFE</t>
  </si>
  <si>
    <t>ENGYMAN SRL</t>
  </si>
  <si>
    <t>14/08/2024</t>
  </si>
  <si>
    <t>SUPERMERCADOS MAYORISTAS MAKRO SA</t>
  </si>
  <si>
    <t>LUPONE ALBANO SEBASTIAN</t>
  </si>
  <si>
    <t>RANKO S R L</t>
  </si>
  <si>
    <t>CAMINOS DEL RIO URUGUAY S A DE CONSTRUCCIONES Y CONCESIONES VIALES</t>
  </si>
  <si>
    <t>NOCENTE MARIA DEL SOL</t>
  </si>
  <si>
    <t>PANIZO DIEGO SEBASTIAN</t>
  </si>
  <si>
    <t>FONTENLA ERNESTO MARIO</t>
  </si>
  <si>
    <t>15/08/2024</t>
  </si>
  <si>
    <t>MEGAENVASES SA</t>
  </si>
  <si>
    <t>REDNET  SRL</t>
  </si>
  <si>
    <t>ENERGIA SOCIEDAD DE RESPONSABILIDAD LIMITADA</t>
  </si>
  <si>
    <t>COORDINACION ECOLOGICA AREA METROPOLITANA SOCIEDAD DEL ESTADO</t>
  </si>
  <si>
    <t>GRACIA SANDRO EDUARDO</t>
  </si>
  <si>
    <t>16/08/2024</t>
  </si>
  <si>
    <t>MAXPRIN S.R.L.</t>
  </si>
  <si>
    <t>ROMERO EMILIO</t>
  </si>
  <si>
    <t>3 - Nota de Crédito A</t>
  </si>
  <si>
    <t>MARAUDA HECTOR MARCELO</t>
  </si>
  <si>
    <t>18/08/2024</t>
  </si>
  <si>
    <t>LETTIERI CARLOS ADRIANO</t>
  </si>
  <si>
    <t>19/08/2024</t>
  </si>
  <si>
    <t>ALIMENTIC SRL</t>
  </si>
  <si>
    <t>20/08/2024</t>
  </si>
  <si>
    <t>ATAWALLPA PAPELES SA</t>
  </si>
  <si>
    <t>21/08/2024</t>
  </si>
  <si>
    <t>NSS SA</t>
  </si>
  <si>
    <t>22/08/2024</t>
  </si>
  <si>
    <t>PACKING EXPRESS S R L</t>
  </si>
  <si>
    <t>23/08/2024</t>
  </si>
  <si>
    <t>SASUAR SRL</t>
  </si>
  <si>
    <t>DAMARFU SA</t>
  </si>
  <si>
    <t>LAMPARAS Y FOQUITOS S.R.L.</t>
  </si>
  <si>
    <t>PRADO EMILIANO HERNAN</t>
  </si>
  <si>
    <t>FARRAPEIRA OSCAR MAXIMO</t>
  </si>
  <si>
    <t>RAMIREZ LAURA VERONICA</t>
  </si>
  <si>
    <t>25/08/2024</t>
  </si>
  <si>
    <t>DEHEZA SOCIEDAD ANONIMA INDUSTRIAL COMERCIAL FINANCIERA INMOBILIARIA</t>
  </si>
  <si>
    <t>26/08/2024</t>
  </si>
  <si>
    <t>CASTILLO JUAN RAMON</t>
  </si>
  <si>
    <t>27/08/2024</t>
  </si>
  <si>
    <t>DHACAM S R L</t>
  </si>
  <si>
    <t>ENSAMBLE GRAFICO S.H.</t>
  </si>
  <si>
    <t>VIGORELLI GUILLERMO DANIEL</t>
  </si>
  <si>
    <t>28/08/2024</t>
  </si>
  <si>
    <t>29/08/2024</t>
  </si>
  <si>
    <t>GARBARSKY JAIME GERARDO</t>
  </si>
  <si>
    <t>ELECTRO UNIVERSO - PLIN METAL S A</t>
  </si>
  <si>
    <t>MERCADOLIBRE S.R.L.</t>
  </si>
  <si>
    <t>MEDILEA S.A.</t>
  </si>
  <si>
    <t>FUNDACION AULA ABIERTA</t>
  </si>
  <si>
    <t>30/08/2024</t>
  </si>
  <si>
    <t>BAUDONE ANTONELLA AGOSTINA</t>
  </si>
  <si>
    <t>31/08/2024</t>
  </si>
  <si>
    <t>GOOGLE ARGENTINA S.R.L.</t>
  </si>
  <si>
    <t>AUTOPISTAS DE BUENOS AIRES (AUBASA) SA</t>
  </si>
  <si>
    <t>VEGA GUSTAVO RAUL</t>
  </si>
  <si>
    <t>PERC IVA</t>
  </si>
  <si>
    <t>PERC 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</si>
</sst>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3" fontId="1" fillId="0" borderId="0" xfId="1" applyFont="1" applyFill="1" applyBorder="1"/>
    <xf numFmtId="43" fontId="0" fillId="0" borderId="0" xfId="1" applyFont="1" applyFill="1" applyBorder="1"/>
    <xf numFmtId="0" fontId="0" fillId="2" borderId="0" xfId="0" applyFont="1" applyFill="1" applyBorder="1"/>
    <xf numFmtId="43" fontId="0" fillId="2" borderId="0" xfId="1" applyFont="1" applyFill="1" applyBorder="1"/>
    <xf numFmtId="0" fontId="0" fillId="3" borderId="0" xfId="0" applyFont="1" applyFill="1" applyBorder="1"/>
    <xf numFmtId="1" fontId="0" fillId="3" borderId="0" xfId="0" applyNumberFormat="1" applyFont="1" applyFill="1" applyBorder="1"/>
    <xf numFmtId="43" fontId="0" fillId="3" borderId="0" xfId="1" applyFont="1" applyFill="1" applyBorder="1"/>
    <xf numFmtId="0" fontId="0" fillId="4" borderId="0" xfId="0" applyFont="1" applyFill="1" applyBorder="1"/>
    <xf numFmtId="43" fontId="0" fillId="4" borderId="0" xfId="1" applyFont="1" applyFill="1" applyBorder="1"/>
    <xf numFmtId="43" fontId="2" fillId="0" borderId="0" xfId="1" applyFont="1" applyFill="1" applyBorder="1"/>
  </cellXfs>
  <cellStyles count="2">
    <cellStyle name="Millares" xfId="1" builtinId="3"/>
    <cellStyle name="Normal" xfId="0" builtinId="0"/>
  </cellStyles>
  <dxfs count="1">
    <dxf>
      <fill>
        <patternFill patternType="solid">
          <fgColor rgb="FFF8CBAD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"/>
  <sheetViews>
    <sheetView tabSelected="1" workbookViewId="0">
      <selection activeCell="I100" sqref="I3:I100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4" width="15.5703125" customWidth="1"/>
    <col min="5" max="5" width="20.85546875" customWidth="1"/>
    <col min="6" max="6" width="52" customWidth="1"/>
    <col min="7" max="7" width="22.140625" style="6" customWidth="1"/>
    <col min="8" max="8" width="13" style="6" customWidth="1"/>
    <col min="9" max="9" width="14.28515625" style="6" customWidth="1"/>
  </cols>
  <sheetData>
    <row r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5" t="s">
        <v>7</v>
      </c>
      <c r="H2" s="5" t="s">
        <v>8</v>
      </c>
      <c r="I2" s="5" t="s">
        <v>9</v>
      </c>
    </row>
    <row r="3" spans="1:9" s="9" customFormat="1">
      <c r="A3" s="9" t="s">
        <v>38</v>
      </c>
      <c r="B3" s="9" t="s">
        <v>19</v>
      </c>
      <c r="C3" s="10">
        <v>1</v>
      </c>
      <c r="D3" s="10">
        <v>4</v>
      </c>
      <c r="E3" s="10">
        <v>27309116343</v>
      </c>
      <c r="F3" s="9" t="s">
        <v>47</v>
      </c>
      <c r="G3" s="11"/>
      <c r="H3" s="11"/>
      <c r="I3" s="11">
        <v>72000</v>
      </c>
    </row>
    <row r="4" spans="1:9" s="9" customFormat="1">
      <c r="A4" s="9" t="s">
        <v>95</v>
      </c>
      <c r="B4" s="9" t="s">
        <v>19</v>
      </c>
      <c r="C4" s="10">
        <v>1</v>
      </c>
      <c r="D4" s="10">
        <v>5</v>
      </c>
      <c r="E4" s="10">
        <v>27309116343</v>
      </c>
      <c r="F4" s="9" t="s">
        <v>47</v>
      </c>
      <c r="G4" s="11"/>
      <c r="H4" s="11"/>
      <c r="I4" s="11">
        <v>84000</v>
      </c>
    </row>
    <row r="5" spans="1:9" s="9" customFormat="1">
      <c r="A5" s="9" t="s">
        <v>33</v>
      </c>
      <c r="B5" s="9" t="s">
        <v>11</v>
      </c>
      <c r="C5" s="10">
        <v>1</v>
      </c>
      <c r="D5" s="10">
        <v>6</v>
      </c>
      <c r="E5" s="10">
        <v>30717504824</v>
      </c>
      <c r="F5" s="9" t="s">
        <v>36</v>
      </c>
      <c r="G5" s="11">
        <v>2417375.52</v>
      </c>
      <c r="H5" s="11">
        <v>253824.43</v>
      </c>
      <c r="I5" s="11">
        <v>2671200</v>
      </c>
    </row>
    <row r="6" spans="1:9" s="9" customFormat="1">
      <c r="A6" s="9" t="s">
        <v>116</v>
      </c>
      <c r="B6" s="9" t="s">
        <v>19</v>
      </c>
      <c r="C6" s="10">
        <v>1</v>
      </c>
      <c r="D6" s="10">
        <v>6</v>
      </c>
      <c r="E6" s="10">
        <v>27309116343</v>
      </c>
      <c r="F6" s="9" t="s">
        <v>47</v>
      </c>
      <c r="G6" s="11"/>
      <c r="H6" s="11"/>
      <c r="I6" s="11">
        <v>84000</v>
      </c>
    </row>
    <row r="7" spans="1:9">
      <c r="A7" s="9" t="s">
        <v>101</v>
      </c>
      <c r="B7" s="9" t="s">
        <v>11</v>
      </c>
      <c r="C7" s="10">
        <v>1</v>
      </c>
      <c r="D7" s="10">
        <v>19</v>
      </c>
      <c r="E7" s="10">
        <v>30718454510</v>
      </c>
      <c r="F7" s="9" t="s">
        <v>104</v>
      </c>
      <c r="G7" s="11">
        <v>7963.81</v>
      </c>
      <c r="H7" s="11">
        <v>836.2</v>
      </c>
      <c r="I7" s="11">
        <v>8800</v>
      </c>
    </row>
    <row r="8" spans="1:9">
      <c r="A8" s="9" t="s">
        <v>38</v>
      </c>
      <c r="B8" s="9" t="s">
        <v>11</v>
      </c>
      <c r="C8" s="10">
        <v>406</v>
      </c>
      <c r="D8" s="10">
        <v>41</v>
      </c>
      <c r="E8" s="10">
        <v>30522581506</v>
      </c>
      <c r="F8" s="9" t="s">
        <v>39</v>
      </c>
      <c r="G8" s="11">
        <v>65289.26</v>
      </c>
      <c r="H8" s="11">
        <v>13710.74</v>
      </c>
      <c r="I8" s="11">
        <v>79000</v>
      </c>
    </row>
    <row r="9" spans="1:9" s="9" customFormat="1">
      <c r="A9" s="9" t="s">
        <v>38</v>
      </c>
      <c r="B9" s="9" t="s">
        <v>11</v>
      </c>
      <c r="C9" s="10">
        <v>406</v>
      </c>
      <c r="D9" s="10">
        <v>42</v>
      </c>
      <c r="E9" s="10">
        <v>30522581506</v>
      </c>
      <c r="F9" s="9" t="s">
        <v>39</v>
      </c>
      <c r="G9" s="11">
        <v>47520.66</v>
      </c>
      <c r="H9" s="11">
        <v>9979.34</v>
      </c>
      <c r="I9" s="11">
        <v>57500</v>
      </c>
    </row>
    <row r="10" spans="1:9">
      <c r="A10" s="9" t="s">
        <v>59</v>
      </c>
      <c r="B10" s="9" t="s">
        <v>11</v>
      </c>
      <c r="C10" s="10">
        <v>406</v>
      </c>
      <c r="D10" s="10">
        <v>45</v>
      </c>
      <c r="E10" s="10">
        <v>30522581506</v>
      </c>
      <c r="F10" s="9" t="s">
        <v>39</v>
      </c>
      <c r="G10" s="11">
        <v>73305.789999999994</v>
      </c>
      <c r="H10" s="11">
        <v>15394.21</v>
      </c>
      <c r="I10" s="11">
        <v>88700</v>
      </c>
    </row>
    <row r="11" spans="1:9">
      <c r="A11" s="9" t="s">
        <v>110</v>
      </c>
      <c r="B11" s="9" t="s">
        <v>19</v>
      </c>
      <c r="C11" s="10">
        <v>1</v>
      </c>
      <c r="D11" s="10">
        <v>55</v>
      </c>
      <c r="E11" s="10">
        <v>20176922363</v>
      </c>
      <c r="F11" s="9" t="s">
        <v>111</v>
      </c>
      <c r="G11" s="11"/>
      <c r="H11" s="11"/>
      <c r="I11" s="11">
        <v>1200000</v>
      </c>
    </row>
    <row r="12" spans="1:9" s="9" customFormat="1">
      <c r="A12" s="9" t="s">
        <v>110</v>
      </c>
      <c r="B12" s="9" t="s">
        <v>19</v>
      </c>
      <c r="C12" s="10">
        <v>1</v>
      </c>
      <c r="D12" s="10">
        <v>56</v>
      </c>
      <c r="E12" s="10">
        <v>20176922363</v>
      </c>
      <c r="F12" s="9" t="s">
        <v>111</v>
      </c>
      <c r="G12" s="11"/>
      <c r="H12" s="11"/>
      <c r="I12" s="11">
        <v>700000</v>
      </c>
    </row>
    <row r="13" spans="1:9" s="9" customFormat="1">
      <c r="A13" s="9" t="s">
        <v>72</v>
      </c>
      <c r="B13" s="9" t="s">
        <v>11</v>
      </c>
      <c r="C13" s="10">
        <v>3</v>
      </c>
      <c r="D13" s="10">
        <v>59</v>
      </c>
      <c r="E13" s="10">
        <v>27385473937</v>
      </c>
      <c r="F13" s="9" t="s">
        <v>77</v>
      </c>
      <c r="G13" s="11">
        <v>16528.95</v>
      </c>
      <c r="H13" s="11">
        <v>3471.08</v>
      </c>
      <c r="I13" s="11">
        <v>20000.009999999998</v>
      </c>
    </row>
    <row r="14" spans="1:9" s="9" customFormat="1">
      <c r="A14" s="9" t="s">
        <v>21</v>
      </c>
      <c r="B14" s="9" t="s">
        <v>11</v>
      </c>
      <c r="C14" s="10">
        <v>4000</v>
      </c>
      <c r="D14" s="10">
        <v>67</v>
      </c>
      <c r="E14" s="10">
        <v>30548083156</v>
      </c>
      <c r="F14" s="9" t="s">
        <v>23</v>
      </c>
      <c r="G14" s="11">
        <v>44780.93</v>
      </c>
      <c r="H14" s="11">
        <v>8946.68</v>
      </c>
      <c r="I14" s="11">
        <v>57663.77</v>
      </c>
    </row>
    <row r="15" spans="1:9" s="9" customFormat="1">
      <c r="A15" s="9" t="s">
        <v>125</v>
      </c>
      <c r="B15" s="9" t="s">
        <v>11</v>
      </c>
      <c r="C15" s="10">
        <v>4</v>
      </c>
      <c r="D15" s="10">
        <v>84</v>
      </c>
      <c r="E15" s="10">
        <v>20308004865</v>
      </c>
      <c r="F15" s="9" t="s">
        <v>128</v>
      </c>
      <c r="G15" s="11">
        <v>1156248</v>
      </c>
      <c r="H15" s="11">
        <v>242812.08</v>
      </c>
      <c r="I15" s="11">
        <v>1399060.08</v>
      </c>
    </row>
    <row r="16" spans="1:9" s="9" customFormat="1">
      <c r="A16" s="9" t="s">
        <v>86</v>
      </c>
      <c r="B16" s="9" t="s">
        <v>89</v>
      </c>
      <c r="C16" s="10">
        <v>2</v>
      </c>
      <c r="D16" s="10">
        <v>132</v>
      </c>
      <c r="E16" s="10">
        <v>23180288899</v>
      </c>
      <c r="F16" s="9" t="s">
        <v>88</v>
      </c>
      <c r="G16" s="11">
        <v>3510000</v>
      </c>
      <c r="H16" s="11">
        <v>737100</v>
      </c>
      <c r="I16" s="11">
        <v>4247100</v>
      </c>
    </row>
    <row r="17" spans="1:9" s="9" customFormat="1">
      <c r="A17" s="9" t="s">
        <v>21</v>
      </c>
      <c r="B17" s="9" t="s">
        <v>11</v>
      </c>
      <c r="C17" s="10">
        <v>2</v>
      </c>
      <c r="D17" s="10">
        <v>270</v>
      </c>
      <c r="E17" s="10">
        <v>27309896063</v>
      </c>
      <c r="F17" s="9" t="s">
        <v>26</v>
      </c>
      <c r="G17" s="11">
        <v>550000</v>
      </c>
      <c r="H17" s="11">
        <v>115500</v>
      </c>
      <c r="I17" s="11">
        <v>665500</v>
      </c>
    </row>
    <row r="18" spans="1:9" s="9" customFormat="1">
      <c r="A18" s="9" t="s">
        <v>53</v>
      </c>
      <c r="B18" s="9" t="s">
        <v>19</v>
      </c>
      <c r="C18" s="10">
        <v>2</v>
      </c>
      <c r="D18" s="10">
        <v>302</v>
      </c>
      <c r="E18" s="10">
        <v>23319210954</v>
      </c>
      <c r="F18" s="9" t="s">
        <v>58</v>
      </c>
      <c r="G18" s="11"/>
      <c r="H18" s="11"/>
      <c r="I18" s="11">
        <v>176000</v>
      </c>
    </row>
    <row r="19" spans="1:9">
      <c r="A19" s="9" t="s">
        <v>38</v>
      </c>
      <c r="B19" s="9" t="s">
        <v>11</v>
      </c>
      <c r="C19" s="10">
        <v>4</v>
      </c>
      <c r="D19" s="10">
        <v>349</v>
      </c>
      <c r="E19" s="10">
        <v>30716371324</v>
      </c>
      <c r="F19" s="9" t="s">
        <v>44</v>
      </c>
      <c r="G19" s="11">
        <v>100000</v>
      </c>
      <c r="H19" s="11">
        <v>21000</v>
      </c>
      <c r="I19" s="11">
        <v>121000</v>
      </c>
    </row>
    <row r="20" spans="1:9">
      <c r="A20" s="9" t="s">
        <v>21</v>
      </c>
      <c r="B20" s="9" t="s">
        <v>11</v>
      </c>
      <c r="C20" s="10">
        <v>4</v>
      </c>
      <c r="D20" s="10">
        <v>633</v>
      </c>
      <c r="E20" s="10">
        <v>20101144152</v>
      </c>
      <c r="F20" s="9" t="s">
        <v>24</v>
      </c>
      <c r="G20" s="11">
        <v>41322.33</v>
      </c>
      <c r="H20" s="11">
        <v>8677.69</v>
      </c>
      <c r="I20" s="11">
        <v>50000</v>
      </c>
    </row>
    <row r="21" spans="1:9">
      <c r="A21" s="9" t="s">
        <v>123</v>
      </c>
      <c r="B21" s="9" t="s">
        <v>19</v>
      </c>
      <c r="C21" s="10">
        <v>8</v>
      </c>
      <c r="D21" s="10">
        <v>637</v>
      </c>
      <c r="E21" s="10">
        <v>27409592487</v>
      </c>
      <c r="F21" s="9" t="s">
        <v>124</v>
      </c>
      <c r="G21" s="11"/>
      <c r="H21" s="11"/>
      <c r="I21" s="11">
        <v>58500</v>
      </c>
    </row>
    <row r="22" spans="1:9">
      <c r="A22" s="9" t="s">
        <v>101</v>
      </c>
      <c r="B22" s="9" t="s">
        <v>19</v>
      </c>
      <c r="C22" s="10">
        <v>2</v>
      </c>
      <c r="D22" s="10">
        <v>664</v>
      </c>
      <c r="E22" s="10">
        <v>27218690160</v>
      </c>
      <c r="F22" s="9" t="s">
        <v>107</v>
      </c>
      <c r="G22" s="11"/>
      <c r="H22" s="11"/>
      <c r="I22" s="11">
        <v>21000</v>
      </c>
    </row>
    <row r="23" spans="1:9" s="9" customFormat="1">
      <c r="A23" s="9" t="s">
        <v>123</v>
      </c>
      <c r="B23" s="9" t="s">
        <v>19</v>
      </c>
      <c r="C23" s="10">
        <v>2</v>
      </c>
      <c r="D23" s="10">
        <v>669</v>
      </c>
      <c r="E23" s="10">
        <v>27218690160</v>
      </c>
      <c r="F23" s="9" t="s">
        <v>107</v>
      </c>
      <c r="G23" s="11"/>
      <c r="H23" s="11"/>
      <c r="I23" s="11">
        <v>21000</v>
      </c>
    </row>
    <row r="24" spans="1:9">
      <c r="A24" s="9" t="s">
        <v>53</v>
      </c>
      <c r="B24" s="9" t="s">
        <v>11</v>
      </c>
      <c r="C24" s="10">
        <v>5</v>
      </c>
      <c r="D24" s="10">
        <v>999</v>
      </c>
      <c r="E24" s="10">
        <v>30614274421</v>
      </c>
      <c r="F24" s="9" t="s">
        <v>55</v>
      </c>
      <c r="G24" s="11">
        <v>88347.11</v>
      </c>
      <c r="H24" s="11">
        <v>18552.89</v>
      </c>
      <c r="I24" s="11">
        <v>106900</v>
      </c>
    </row>
    <row r="25" spans="1:9">
      <c r="A25" s="9" t="s">
        <v>72</v>
      </c>
      <c r="B25" s="9" t="s">
        <v>19</v>
      </c>
      <c r="C25" s="10">
        <v>4</v>
      </c>
      <c r="D25" s="10">
        <v>1046</v>
      </c>
      <c r="E25" s="10">
        <v>23242717589</v>
      </c>
      <c r="F25" s="9" t="s">
        <v>78</v>
      </c>
      <c r="G25" s="11"/>
      <c r="H25" s="11"/>
      <c r="I25" s="11">
        <v>3300</v>
      </c>
    </row>
    <row r="26" spans="1:9">
      <c r="A26" s="9" t="s">
        <v>72</v>
      </c>
      <c r="B26" s="9" t="s">
        <v>19</v>
      </c>
      <c r="C26" s="10">
        <v>4</v>
      </c>
      <c r="D26" s="10">
        <v>1047</v>
      </c>
      <c r="E26" s="10">
        <v>23242717589</v>
      </c>
      <c r="F26" s="9" t="s">
        <v>78</v>
      </c>
      <c r="G26" s="11"/>
      <c r="H26" s="11"/>
      <c r="I26" s="11">
        <v>1700</v>
      </c>
    </row>
    <row r="27" spans="1:9">
      <c r="A27" s="9" t="s">
        <v>110</v>
      </c>
      <c r="B27" s="9" t="s">
        <v>19</v>
      </c>
      <c r="C27" s="10">
        <v>4</v>
      </c>
      <c r="D27" s="10">
        <v>1053</v>
      </c>
      <c r="E27" s="10">
        <v>23242717589</v>
      </c>
      <c r="F27" s="9" t="s">
        <v>78</v>
      </c>
      <c r="G27" s="11"/>
      <c r="H27" s="11"/>
      <c r="I27" s="11">
        <v>7100</v>
      </c>
    </row>
    <row r="28" spans="1:9">
      <c r="A28" s="9" t="s">
        <v>86</v>
      </c>
      <c r="B28" s="9" t="s">
        <v>19</v>
      </c>
      <c r="C28" s="10">
        <v>3</v>
      </c>
      <c r="D28" s="10">
        <v>1261</v>
      </c>
      <c r="E28" s="10">
        <v>20173025557</v>
      </c>
      <c r="F28" s="9" t="s">
        <v>90</v>
      </c>
      <c r="G28" s="11"/>
      <c r="H28" s="11"/>
      <c r="I28" s="11">
        <v>5500</v>
      </c>
    </row>
    <row r="29" spans="1:9">
      <c r="A29" s="9" t="s">
        <v>117</v>
      </c>
      <c r="B29" s="9" t="s">
        <v>11</v>
      </c>
      <c r="C29" s="10">
        <v>4</v>
      </c>
      <c r="D29" s="10">
        <v>1421</v>
      </c>
      <c r="E29" s="10">
        <v>20141890159</v>
      </c>
      <c r="F29" s="9" t="s">
        <v>118</v>
      </c>
      <c r="G29" s="11">
        <v>4049.59</v>
      </c>
      <c r="H29" s="11">
        <v>850.41</v>
      </c>
      <c r="I29" s="11">
        <v>4900</v>
      </c>
    </row>
    <row r="30" spans="1:9">
      <c r="A30" s="9" t="s">
        <v>117</v>
      </c>
      <c r="B30" s="9" t="s">
        <v>11</v>
      </c>
      <c r="C30" s="10">
        <v>4</v>
      </c>
      <c r="D30" s="10">
        <v>1423</v>
      </c>
      <c r="E30" s="10">
        <v>20141890159</v>
      </c>
      <c r="F30" s="9" t="s">
        <v>118</v>
      </c>
      <c r="G30" s="11">
        <v>7603.31</v>
      </c>
      <c r="H30" s="11">
        <v>1596.69</v>
      </c>
      <c r="I30" s="11">
        <v>9200</v>
      </c>
    </row>
    <row r="31" spans="1:9">
      <c r="A31" s="9" t="s">
        <v>10</v>
      </c>
      <c r="B31" s="9" t="s">
        <v>11</v>
      </c>
      <c r="C31" s="10">
        <v>8</v>
      </c>
      <c r="D31" s="10">
        <v>1694</v>
      </c>
      <c r="E31" s="10">
        <v>20277381908</v>
      </c>
      <c r="F31" s="9" t="s">
        <v>15</v>
      </c>
      <c r="G31" s="11">
        <v>11074.38</v>
      </c>
      <c r="H31" s="11">
        <v>2325.62</v>
      </c>
      <c r="I31" s="11">
        <v>13399.99</v>
      </c>
    </row>
    <row r="32" spans="1:9">
      <c r="A32" s="9" t="s">
        <v>63</v>
      </c>
      <c r="B32" s="9" t="s">
        <v>11</v>
      </c>
      <c r="C32" s="10">
        <v>5</v>
      </c>
      <c r="D32" s="10">
        <v>1760</v>
      </c>
      <c r="E32" s="10">
        <v>27324789044</v>
      </c>
      <c r="F32" s="9" t="s">
        <v>64</v>
      </c>
      <c r="G32" s="11">
        <v>20495.87</v>
      </c>
      <c r="H32" s="11">
        <v>4304.13</v>
      </c>
      <c r="I32" s="11">
        <v>24800</v>
      </c>
    </row>
    <row r="33" spans="1:9">
      <c r="A33" s="9" t="s">
        <v>123</v>
      </c>
      <c r="B33" s="9" t="s">
        <v>11</v>
      </c>
      <c r="C33" s="10">
        <v>4</v>
      </c>
      <c r="D33" s="10">
        <v>2508</v>
      </c>
      <c r="E33" s="10">
        <v>30715946250</v>
      </c>
      <c r="F33" s="9" t="s">
        <v>43</v>
      </c>
      <c r="G33" s="11">
        <v>2903991</v>
      </c>
      <c r="H33" s="11">
        <v>609838.11</v>
      </c>
      <c r="I33" s="11">
        <v>3513829.11</v>
      </c>
    </row>
    <row r="34" spans="1:9">
      <c r="A34" s="9" t="s">
        <v>48</v>
      </c>
      <c r="B34" s="9" t="s">
        <v>11</v>
      </c>
      <c r="C34" s="10">
        <v>5743</v>
      </c>
      <c r="D34" s="10">
        <v>2758</v>
      </c>
      <c r="E34" s="10">
        <v>30639453738</v>
      </c>
      <c r="F34" s="9" t="s">
        <v>49</v>
      </c>
      <c r="G34" s="11">
        <v>0.01</v>
      </c>
      <c r="H34" s="11">
        <v>0.01</v>
      </c>
      <c r="I34" s="11">
        <v>0.02</v>
      </c>
    </row>
    <row r="35" spans="1:9">
      <c r="A35" s="9" t="s">
        <v>10</v>
      </c>
      <c r="B35" s="9" t="s">
        <v>11</v>
      </c>
      <c r="C35" s="10">
        <v>7</v>
      </c>
      <c r="D35" s="10">
        <v>2849</v>
      </c>
      <c r="E35" s="10">
        <v>20134664518</v>
      </c>
      <c r="F35" s="9" t="s">
        <v>13</v>
      </c>
      <c r="G35" s="11">
        <v>47348.33</v>
      </c>
      <c r="H35" s="11">
        <v>9943.17</v>
      </c>
      <c r="I35" s="11">
        <v>57291.5</v>
      </c>
    </row>
    <row r="36" spans="1:9" s="9" customFormat="1">
      <c r="A36" s="9" t="s">
        <v>32</v>
      </c>
      <c r="B36" s="9" t="s">
        <v>11</v>
      </c>
      <c r="C36" s="10">
        <v>7</v>
      </c>
      <c r="D36" s="10">
        <v>2870</v>
      </c>
      <c r="E36" s="10">
        <v>20134664518</v>
      </c>
      <c r="F36" s="9" t="s">
        <v>13</v>
      </c>
      <c r="G36" s="11">
        <v>15552.9</v>
      </c>
      <c r="H36" s="11">
        <v>3266.1</v>
      </c>
      <c r="I36" s="11">
        <v>18819</v>
      </c>
    </row>
    <row r="37" spans="1:9">
      <c r="A37" s="9" t="s">
        <v>80</v>
      </c>
      <c r="B37" s="9" t="s">
        <v>11</v>
      </c>
      <c r="C37" s="10">
        <v>7</v>
      </c>
      <c r="D37" s="10">
        <v>2897</v>
      </c>
      <c r="E37" s="10">
        <v>20134664518</v>
      </c>
      <c r="F37" s="9" t="s">
        <v>13</v>
      </c>
      <c r="G37" s="11">
        <v>42635.63</v>
      </c>
      <c r="H37" s="11">
        <v>8953.52</v>
      </c>
      <c r="I37" s="11">
        <v>51589.15</v>
      </c>
    </row>
    <row r="38" spans="1:9">
      <c r="A38" s="9" t="s">
        <v>80</v>
      </c>
      <c r="B38" s="9" t="s">
        <v>19</v>
      </c>
      <c r="C38" s="10">
        <v>2</v>
      </c>
      <c r="D38" s="10">
        <v>3704</v>
      </c>
      <c r="E38" s="10">
        <v>20206480409</v>
      </c>
      <c r="F38" s="9" t="s">
        <v>85</v>
      </c>
      <c r="G38" s="11"/>
      <c r="H38" s="11"/>
      <c r="I38" s="11">
        <v>1500</v>
      </c>
    </row>
    <row r="39" spans="1:9" s="9" customFormat="1">
      <c r="A39" s="9" t="s">
        <v>80</v>
      </c>
      <c r="B39" s="9" t="s">
        <v>19</v>
      </c>
      <c r="C39" s="10">
        <v>2</v>
      </c>
      <c r="D39" s="10">
        <v>3705</v>
      </c>
      <c r="E39" s="10">
        <v>20206480409</v>
      </c>
      <c r="F39" s="9" t="s">
        <v>85</v>
      </c>
      <c r="G39" s="11"/>
      <c r="H39" s="11"/>
      <c r="I39" s="11">
        <v>500</v>
      </c>
    </row>
    <row r="40" spans="1:9">
      <c r="A40" s="9" t="s">
        <v>72</v>
      </c>
      <c r="B40" s="9" t="s">
        <v>19</v>
      </c>
      <c r="C40" s="10">
        <v>2</v>
      </c>
      <c r="D40" s="10">
        <v>4493</v>
      </c>
      <c r="E40" s="10">
        <v>20136536320</v>
      </c>
      <c r="F40" s="9" t="s">
        <v>79</v>
      </c>
      <c r="G40" s="11"/>
      <c r="H40" s="11"/>
      <c r="I40" s="11">
        <v>4500</v>
      </c>
    </row>
    <row r="41" spans="1:9">
      <c r="A41" s="9" t="s">
        <v>99</v>
      </c>
      <c r="B41" s="9" t="s">
        <v>19</v>
      </c>
      <c r="C41" s="10">
        <v>2</v>
      </c>
      <c r="D41" s="10">
        <v>4533</v>
      </c>
      <c r="E41" s="10">
        <v>20136536320</v>
      </c>
      <c r="F41" s="9" t="s">
        <v>79</v>
      </c>
      <c r="G41" s="11"/>
      <c r="H41" s="11"/>
      <c r="I41" s="11">
        <v>2800</v>
      </c>
    </row>
    <row r="42" spans="1:9" s="9" customFormat="1">
      <c r="A42" s="9" t="s">
        <v>99</v>
      </c>
      <c r="B42" s="9" t="s">
        <v>19</v>
      </c>
      <c r="C42" s="10">
        <v>2</v>
      </c>
      <c r="D42" s="10">
        <v>4535</v>
      </c>
      <c r="E42" s="10">
        <v>20136536320</v>
      </c>
      <c r="F42" s="9" t="s">
        <v>79</v>
      </c>
      <c r="G42" s="11"/>
      <c r="H42" s="11"/>
      <c r="I42" s="11">
        <v>2600</v>
      </c>
    </row>
    <row r="43" spans="1:9" s="9" customFormat="1">
      <c r="A43" s="9" t="s">
        <v>68</v>
      </c>
      <c r="B43" s="9" t="s">
        <v>11</v>
      </c>
      <c r="C43" s="10">
        <v>5</v>
      </c>
      <c r="D43" s="10">
        <v>4777</v>
      </c>
      <c r="E43" s="10">
        <v>30718509552</v>
      </c>
      <c r="F43" s="9" t="s">
        <v>70</v>
      </c>
      <c r="G43" s="11">
        <v>32706.61</v>
      </c>
      <c r="H43" s="11">
        <v>6868.39</v>
      </c>
      <c r="I43" s="11">
        <v>39575</v>
      </c>
    </row>
    <row r="44" spans="1:9">
      <c r="A44" s="9" t="s">
        <v>68</v>
      </c>
      <c r="B44" s="9" t="s">
        <v>11</v>
      </c>
      <c r="C44" s="10">
        <v>203</v>
      </c>
      <c r="D44" s="10">
        <v>4896</v>
      </c>
      <c r="E44" s="10">
        <v>30678539712</v>
      </c>
      <c r="F44" s="9" t="s">
        <v>69</v>
      </c>
      <c r="G44" s="11">
        <v>1362858.53</v>
      </c>
      <c r="H44" s="11">
        <v>144141.47</v>
      </c>
      <c r="I44" s="11">
        <v>1507000</v>
      </c>
    </row>
    <row r="45" spans="1:9">
      <c r="A45" s="9" t="s">
        <v>38</v>
      </c>
      <c r="B45" s="9" t="s">
        <v>11</v>
      </c>
      <c r="C45" s="10">
        <v>1</v>
      </c>
      <c r="D45" s="10">
        <v>6264</v>
      </c>
      <c r="E45" s="10">
        <v>30717413691</v>
      </c>
      <c r="F45" s="9" t="s">
        <v>41</v>
      </c>
      <c r="G45" s="11">
        <v>71623.14</v>
      </c>
      <c r="H45" s="11">
        <v>15040.86</v>
      </c>
      <c r="I45" s="11">
        <v>86664</v>
      </c>
    </row>
    <row r="46" spans="1:9">
      <c r="A46" s="9" t="s">
        <v>86</v>
      </c>
      <c r="B46" s="9" t="s">
        <v>11</v>
      </c>
      <c r="C46" s="10">
        <v>2</v>
      </c>
      <c r="D46" s="10">
        <v>8262</v>
      </c>
      <c r="E46" s="10">
        <v>23180288899</v>
      </c>
      <c r="F46" s="9" t="s">
        <v>88</v>
      </c>
      <c r="G46" s="11">
        <v>3510000</v>
      </c>
      <c r="H46" s="11">
        <v>737100</v>
      </c>
      <c r="I46" s="11">
        <v>4247100</v>
      </c>
    </row>
    <row r="47" spans="1:9">
      <c r="A47" s="9" t="s">
        <v>117</v>
      </c>
      <c r="B47" s="9" t="s">
        <v>19</v>
      </c>
      <c r="C47" s="10">
        <v>5</v>
      </c>
      <c r="D47" s="10">
        <v>10761</v>
      </c>
      <c r="E47" s="10">
        <v>30716397544</v>
      </c>
      <c r="F47" s="9" t="s">
        <v>122</v>
      </c>
      <c r="G47" s="11"/>
      <c r="H47" s="11"/>
      <c r="I47" s="11">
        <v>324000</v>
      </c>
    </row>
    <row r="48" spans="1:9">
      <c r="A48" s="9" t="s">
        <v>53</v>
      </c>
      <c r="B48" s="9" t="s">
        <v>11</v>
      </c>
      <c r="C48" s="10">
        <v>7</v>
      </c>
      <c r="D48" s="10">
        <v>12301</v>
      </c>
      <c r="E48" s="10">
        <v>30708017759</v>
      </c>
      <c r="F48" s="9" t="s">
        <v>54</v>
      </c>
      <c r="G48" s="11">
        <v>6810804</v>
      </c>
      <c r="H48" s="11">
        <v>1430268.84</v>
      </c>
      <c r="I48" s="11">
        <v>8649721.0800000001</v>
      </c>
    </row>
    <row r="49" spans="1:9">
      <c r="A49" s="9" t="s">
        <v>93</v>
      </c>
      <c r="B49" s="9" t="s">
        <v>11</v>
      </c>
      <c r="C49" s="10">
        <v>14</v>
      </c>
      <c r="D49" s="10">
        <v>13704</v>
      </c>
      <c r="E49" s="10">
        <v>30715186256</v>
      </c>
      <c r="F49" s="9" t="s">
        <v>94</v>
      </c>
      <c r="G49" s="11">
        <v>33282.629999999997</v>
      </c>
      <c r="H49" s="11">
        <v>4814.37</v>
      </c>
      <c r="I49" s="11">
        <v>38097</v>
      </c>
    </row>
    <row r="50" spans="1:9" s="9" customFormat="1">
      <c r="A50" s="9" t="s">
        <v>116</v>
      </c>
      <c r="B50" s="9" t="s">
        <v>11</v>
      </c>
      <c r="C50" s="10">
        <v>14</v>
      </c>
      <c r="D50" s="10">
        <v>13831</v>
      </c>
      <c r="E50" s="10">
        <v>30715186256</v>
      </c>
      <c r="F50" s="9" t="s">
        <v>94</v>
      </c>
      <c r="G50" s="11">
        <v>40932.14</v>
      </c>
      <c r="H50" s="11">
        <v>4297.87</v>
      </c>
      <c r="I50" s="11">
        <v>45230.01</v>
      </c>
    </row>
    <row r="51" spans="1:9" s="9" customFormat="1">
      <c r="A51" s="9" t="s">
        <v>33</v>
      </c>
      <c r="B51" s="9" t="s">
        <v>11</v>
      </c>
      <c r="C51" s="10">
        <v>7</v>
      </c>
      <c r="D51" s="10">
        <v>16748</v>
      </c>
      <c r="E51" s="10">
        <v>30711031320</v>
      </c>
      <c r="F51" s="9" t="s">
        <v>34</v>
      </c>
      <c r="G51" s="11">
        <v>9986.77</v>
      </c>
      <c r="H51" s="11">
        <v>2097.2199999999998</v>
      </c>
      <c r="I51" s="11">
        <v>12083.99</v>
      </c>
    </row>
    <row r="52" spans="1:9" s="9" customFormat="1">
      <c r="A52" s="9" t="s">
        <v>60</v>
      </c>
      <c r="B52" s="9" t="s">
        <v>11</v>
      </c>
      <c r="C52" s="10">
        <v>8898</v>
      </c>
      <c r="D52" s="10">
        <v>19182</v>
      </c>
      <c r="E52" s="10">
        <v>30678774495</v>
      </c>
      <c r="F52" s="9" t="s">
        <v>29</v>
      </c>
      <c r="G52" s="11">
        <v>15548.49</v>
      </c>
      <c r="H52" s="11">
        <v>3265.18</v>
      </c>
      <c r="I52" s="11">
        <v>19632.5</v>
      </c>
    </row>
    <row r="53" spans="1:9" s="9" customFormat="1">
      <c r="A53" s="9" t="s">
        <v>72</v>
      </c>
      <c r="B53" s="9" t="s">
        <v>11</v>
      </c>
      <c r="C53" s="10">
        <v>4</v>
      </c>
      <c r="D53" s="10">
        <v>20070</v>
      </c>
      <c r="E53" s="10">
        <v>20328816807</v>
      </c>
      <c r="F53" s="9" t="s">
        <v>74</v>
      </c>
      <c r="G53" s="11">
        <v>40405.79</v>
      </c>
      <c r="H53" s="11">
        <v>8485.2099999999991</v>
      </c>
      <c r="I53" s="11">
        <v>48891</v>
      </c>
    </row>
    <row r="54" spans="1:9">
      <c r="A54" s="9" t="s">
        <v>32</v>
      </c>
      <c r="B54" s="9" t="s">
        <v>11</v>
      </c>
      <c r="C54" s="10">
        <v>8896</v>
      </c>
      <c r="D54" s="10">
        <v>21617</v>
      </c>
      <c r="E54" s="10">
        <v>30678774495</v>
      </c>
      <c r="F54" s="9" t="s">
        <v>29</v>
      </c>
      <c r="G54" s="11">
        <v>17407.439999999999</v>
      </c>
      <c r="H54" s="11">
        <v>3655.56</v>
      </c>
      <c r="I54" s="11">
        <v>21979.74</v>
      </c>
    </row>
    <row r="55" spans="1:9">
      <c r="A55" s="9" t="s">
        <v>38</v>
      </c>
      <c r="B55" s="9" t="s">
        <v>11</v>
      </c>
      <c r="C55" s="10">
        <v>3</v>
      </c>
      <c r="D55" s="10">
        <v>24426</v>
      </c>
      <c r="E55" s="10">
        <v>33707953549</v>
      </c>
      <c r="F55" s="9" t="s">
        <v>42</v>
      </c>
      <c r="G55" s="11">
        <v>19500</v>
      </c>
      <c r="H55" s="11">
        <v>4095</v>
      </c>
      <c r="I55" s="11">
        <v>23595</v>
      </c>
    </row>
    <row r="56" spans="1:9" s="12" customFormat="1">
      <c r="A56" s="9" t="s">
        <v>86</v>
      </c>
      <c r="B56" s="9" t="s">
        <v>11</v>
      </c>
      <c r="C56" s="10">
        <v>3</v>
      </c>
      <c r="D56" s="10">
        <v>25407</v>
      </c>
      <c r="E56" s="10">
        <v>30716075873</v>
      </c>
      <c r="F56" s="9" t="s">
        <v>87</v>
      </c>
      <c r="G56" s="11">
        <v>22306.05</v>
      </c>
      <c r="H56" s="11">
        <v>4684.2700000000004</v>
      </c>
      <c r="I56" s="11">
        <v>26990.32</v>
      </c>
    </row>
    <row r="57" spans="1:9">
      <c r="A57" s="9" t="s">
        <v>63</v>
      </c>
      <c r="B57" s="9" t="s">
        <v>11</v>
      </c>
      <c r="C57" s="10">
        <v>6852</v>
      </c>
      <c r="D57" s="10">
        <v>26002</v>
      </c>
      <c r="E57" s="10">
        <v>30678774495</v>
      </c>
      <c r="F57" s="9" t="s">
        <v>29</v>
      </c>
      <c r="G57" s="11">
        <v>7126.88</v>
      </c>
      <c r="H57" s="11">
        <v>1496.65</v>
      </c>
      <c r="I57" s="11">
        <v>10000</v>
      </c>
    </row>
    <row r="58" spans="1:9">
      <c r="A58" s="9" t="s">
        <v>123</v>
      </c>
      <c r="B58" s="9" t="s">
        <v>11</v>
      </c>
      <c r="C58" s="10">
        <v>6852</v>
      </c>
      <c r="D58" s="10">
        <v>26408</v>
      </c>
      <c r="E58" s="10">
        <v>30678774495</v>
      </c>
      <c r="F58" s="9" t="s">
        <v>29</v>
      </c>
      <c r="G58" s="11">
        <v>22522.400000000001</v>
      </c>
      <c r="H58" s="11">
        <v>4729.71</v>
      </c>
      <c r="I58" s="11">
        <v>31602.04</v>
      </c>
    </row>
    <row r="59" spans="1:9">
      <c r="A59" s="9" t="s">
        <v>10</v>
      </c>
      <c r="B59" s="9" t="s">
        <v>11</v>
      </c>
      <c r="C59" s="10">
        <v>7</v>
      </c>
      <c r="D59" s="10">
        <v>26547</v>
      </c>
      <c r="E59" s="10">
        <v>30710819552</v>
      </c>
      <c r="F59" s="9" t="s">
        <v>12</v>
      </c>
      <c r="G59" s="11">
        <v>66890.02</v>
      </c>
      <c r="H59" s="11">
        <v>14046.9</v>
      </c>
      <c r="I59" s="11">
        <v>80936.92</v>
      </c>
    </row>
    <row r="60" spans="1:9">
      <c r="A60" s="9" t="s">
        <v>27</v>
      </c>
      <c r="B60" s="9" t="s">
        <v>11</v>
      </c>
      <c r="C60" s="10">
        <v>2199</v>
      </c>
      <c r="D60" s="10">
        <v>30958</v>
      </c>
      <c r="E60" s="10">
        <v>30548083156</v>
      </c>
      <c r="F60" s="9" t="s">
        <v>23</v>
      </c>
      <c r="G60" s="11">
        <v>46467.69</v>
      </c>
      <c r="H60" s="11">
        <v>8875.43</v>
      </c>
      <c r="I60" s="11">
        <v>58992.85</v>
      </c>
    </row>
    <row r="61" spans="1:9" s="12" customFormat="1">
      <c r="A61" s="9" t="s">
        <v>60</v>
      </c>
      <c r="B61" s="9" t="s">
        <v>11</v>
      </c>
      <c r="C61" s="10">
        <v>2199</v>
      </c>
      <c r="D61" s="10">
        <v>31104</v>
      </c>
      <c r="E61" s="10">
        <v>30548083156</v>
      </c>
      <c r="F61" s="9" t="s">
        <v>23</v>
      </c>
      <c r="G61" s="11">
        <v>26372.91</v>
      </c>
      <c r="H61" s="11">
        <v>5347.19</v>
      </c>
      <c r="I61" s="11">
        <v>33929.839999999997</v>
      </c>
    </row>
    <row r="62" spans="1:9" s="9" customFormat="1">
      <c r="A62" s="9" t="s">
        <v>108</v>
      </c>
      <c r="B62" s="9" t="s">
        <v>11</v>
      </c>
      <c r="C62" s="10">
        <v>2199</v>
      </c>
      <c r="D62" s="10">
        <v>31428</v>
      </c>
      <c r="E62" s="10">
        <v>30548083156</v>
      </c>
      <c r="F62" s="9" t="s">
        <v>23</v>
      </c>
      <c r="G62" s="11">
        <v>35801.53</v>
      </c>
      <c r="H62" s="11">
        <v>7274.58</v>
      </c>
      <c r="I62" s="11">
        <v>46025.63</v>
      </c>
    </row>
    <row r="63" spans="1:9" s="9" customFormat="1">
      <c r="A63" s="9" t="s">
        <v>123</v>
      </c>
      <c r="B63" s="9" t="s">
        <v>11</v>
      </c>
      <c r="C63" s="10">
        <v>2199</v>
      </c>
      <c r="D63" s="10">
        <v>31528</v>
      </c>
      <c r="E63" s="10">
        <v>30548083156</v>
      </c>
      <c r="F63" s="9" t="s">
        <v>23</v>
      </c>
      <c r="G63" s="11">
        <v>59930.73</v>
      </c>
      <c r="H63" s="11">
        <v>12378.19</v>
      </c>
      <c r="I63" s="11">
        <v>77359.77</v>
      </c>
    </row>
    <row r="64" spans="1:9" s="9" customFormat="1">
      <c r="A64" s="9" t="s">
        <v>27</v>
      </c>
      <c r="B64" s="9" t="s">
        <v>11</v>
      </c>
      <c r="C64" s="10">
        <v>7320</v>
      </c>
      <c r="D64" s="10">
        <v>38438</v>
      </c>
      <c r="E64" s="10">
        <v>30678774495</v>
      </c>
      <c r="F64" s="9" t="s">
        <v>29</v>
      </c>
      <c r="G64" s="11">
        <v>38473.64</v>
      </c>
      <c r="H64" s="11">
        <v>8079.46</v>
      </c>
      <c r="I64" s="11">
        <v>53504.98</v>
      </c>
    </row>
    <row r="65" spans="1:9" s="9" customFormat="1">
      <c r="A65" s="9" t="s">
        <v>27</v>
      </c>
      <c r="B65" s="9" t="s">
        <v>11</v>
      </c>
      <c r="C65" s="10">
        <v>7498</v>
      </c>
      <c r="D65" s="10">
        <v>41213</v>
      </c>
      <c r="E65" s="10">
        <v>30678774495</v>
      </c>
      <c r="F65" s="9" t="s">
        <v>29</v>
      </c>
      <c r="G65" s="11">
        <v>25164.74</v>
      </c>
      <c r="H65" s="11">
        <v>5284.6</v>
      </c>
      <c r="I65" s="11">
        <v>35593.97</v>
      </c>
    </row>
    <row r="66" spans="1:9">
      <c r="A66" s="9" t="s">
        <v>72</v>
      </c>
      <c r="B66" s="9" t="s">
        <v>11</v>
      </c>
      <c r="C66" s="10">
        <v>1678</v>
      </c>
      <c r="D66" s="10">
        <v>44064</v>
      </c>
      <c r="E66" s="10">
        <v>30589621499</v>
      </c>
      <c r="F66" s="9" t="s">
        <v>73</v>
      </c>
      <c r="G66" s="11">
        <v>103931.81</v>
      </c>
      <c r="H66" s="11">
        <v>18861.759999999998</v>
      </c>
      <c r="I66" s="11">
        <v>131844.01999999999</v>
      </c>
    </row>
    <row r="67" spans="1:9">
      <c r="A67" s="9" t="s">
        <v>97</v>
      </c>
      <c r="B67" s="9" t="s">
        <v>11</v>
      </c>
      <c r="C67" s="10">
        <v>1678</v>
      </c>
      <c r="D67" s="10">
        <v>44527</v>
      </c>
      <c r="E67" s="10">
        <v>30589621499</v>
      </c>
      <c r="F67" s="9" t="s">
        <v>73</v>
      </c>
      <c r="G67" s="11">
        <v>58827.08</v>
      </c>
      <c r="H67" s="11">
        <v>12201.84</v>
      </c>
      <c r="I67" s="11">
        <v>76301.66</v>
      </c>
    </row>
    <row r="68" spans="1:9" s="9" customFormat="1">
      <c r="A68" s="9" t="s">
        <v>91</v>
      </c>
      <c r="B68" s="9" t="s">
        <v>11</v>
      </c>
      <c r="C68" s="10">
        <v>2215</v>
      </c>
      <c r="D68" s="10">
        <v>45732</v>
      </c>
      <c r="E68" s="10">
        <v>30548083156</v>
      </c>
      <c r="F68" s="9" t="s">
        <v>23</v>
      </c>
      <c r="G68" s="11">
        <v>77861.56</v>
      </c>
      <c r="H68" s="11">
        <v>14969.48</v>
      </c>
      <c r="I68" s="11">
        <v>98885.58</v>
      </c>
    </row>
    <row r="69" spans="1:9" s="9" customFormat="1">
      <c r="A69" s="9" t="s">
        <v>63</v>
      </c>
      <c r="B69" s="9" t="s">
        <v>11</v>
      </c>
      <c r="C69" s="10">
        <v>3</v>
      </c>
      <c r="D69" s="10">
        <v>49461</v>
      </c>
      <c r="E69" s="10">
        <v>30714930490</v>
      </c>
      <c r="F69" s="9" t="s">
        <v>66</v>
      </c>
      <c r="G69" s="11">
        <v>27943</v>
      </c>
      <c r="H69" s="11">
        <v>5868.03</v>
      </c>
      <c r="I69" s="11">
        <v>33811.03</v>
      </c>
    </row>
    <row r="70" spans="1:9" s="9" customFormat="1">
      <c r="A70" s="9" t="s">
        <v>62</v>
      </c>
      <c r="B70" s="9" t="s">
        <v>11</v>
      </c>
      <c r="C70" s="10">
        <v>7160</v>
      </c>
      <c r="D70" s="10">
        <v>65583</v>
      </c>
      <c r="E70" s="10">
        <v>30678774495</v>
      </c>
      <c r="F70" s="9" t="s">
        <v>29</v>
      </c>
      <c r="G70" s="11">
        <v>24449.68</v>
      </c>
      <c r="H70" s="11">
        <v>5134.43</v>
      </c>
      <c r="I70" s="11">
        <v>34001.97</v>
      </c>
    </row>
    <row r="71" spans="1:9">
      <c r="A71" s="9" t="s">
        <v>117</v>
      </c>
      <c r="B71" s="9" t="s">
        <v>11</v>
      </c>
      <c r="C71" s="10">
        <v>11</v>
      </c>
      <c r="D71" s="10">
        <v>80114</v>
      </c>
      <c r="E71" s="10">
        <v>30534051049</v>
      </c>
      <c r="F71" s="9" t="s">
        <v>119</v>
      </c>
      <c r="G71" s="11">
        <v>16445.650000000001</v>
      </c>
      <c r="H71" s="11">
        <v>3386.34</v>
      </c>
      <c r="I71" s="11">
        <v>19831.990000000002</v>
      </c>
    </row>
    <row r="72" spans="1:9" s="9" customFormat="1">
      <c r="A72" s="9" t="s">
        <v>86</v>
      </c>
      <c r="B72" s="9" t="s">
        <v>11</v>
      </c>
      <c r="C72" s="10">
        <v>2188</v>
      </c>
      <c r="D72" s="10">
        <v>127302</v>
      </c>
      <c r="E72" s="10">
        <v>30548083156</v>
      </c>
      <c r="F72" s="9" t="s">
        <v>23</v>
      </c>
      <c r="G72" s="11">
        <v>67623.09</v>
      </c>
      <c r="H72" s="11">
        <v>12714.36</v>
      </c>
      <c r="I72" s="11">
        <v>85378.26</v>
      </c>
    </row>
    <row r="73" spans="1:9" s="9" customFormat="1">
      <c r="A73" s="9" t="s">
        <v>101</v>
      </c>
      <c r="B73" s="9" t="s">
        <v>11</v>
      </c>
      <c r="C73" s="10">
        <v>2188</v>
      </c>
      <c r="D73" s="10">
        <v>127906</v>
      </c>
      <c r="E73" s="10">
        <v>30548083156</v>
      </c>
      <c r="F73" s="9" t="s">
        <v>23</v>
      </c>
      <c r="G73" s="11">
        <v>64008.38</v>
      </c>
      <c r="H73" s="11">
        <v>10442.1</v>
      </c>
      <c r="I73" s="11">
        <v>78880.639999999999</v>
      </c>
    </row>
    <row r="74" spans="1:9">
      <c r="A74" s="9" t="s">
        <v>123</v>
      </c>
      <c r="B74" s="9" t="s">
        <v>11</v>
      </c>
      <c r="C74" s="10">
        <v>2188</v>
      </c>
      <c r="D74" s="10">
        <v>128497</v>
      </c>
      <c r="E74" s="10">
        <v>30548083156</v>
      </c>
      <c r="F74" s="9" t="s">
        <v>23</v>
      </c>
      <c r="G74" s="11">
        <v>75363.12</v>
      </c>
      <c r="H74" s="11">
        <v>14849.59</v>
      </c>
      <c r="I74" s="11">
        <v>96450.33</v>
      </c>
    </row>
    <row r="75" spans="1:9">
      <c r="A75" s="9" t="s">
        <v>59</v>
      </c>
      <c r="B75" s="9" t="s">
        <v>11</v>
      </c>
      <c r="C75" s="10">
        <v>3101</v>
      </c>
      <c r="D75" s="10">
        <v>141883</v>
      </c>
      <c r="E75" s="10">
        <v>30678814357</v>
      </c>
      <c r="F75" s="9" t="s">
        <v>28</v>
      </c>
      <c r="G75" s="11">
        <v>35571.800000000003</v>
      </c>
      <c r="H75" s="11">
        <v>9604.39</v>
      </c>
      <c r="I75" s="11">
        <v>48377.65</v>
      </c>
    </row>
    <row r="76" spans="1:9">
      <c r="A76" s="9" t="s">
        <v>108</v>
      </c>
      <c r="B76" s="9" t="s">
        <v>11</v>
      </c>
      <c r="C76" s="10">
        <v>2035</v>
      </c>
      <c r="D76" s="10">
        <v>172604</v>
      </c>
      <c r="E76" s="10">
        <v>30516186670</v>
      </c>
      <c r="F76" s="9" t="s">
        <v>109</v>
      </c>
      <c r="G76" s="11">
        <v>7152.84</v>
      </c>
      <c r="H76" s="11">
        <v>1502.1</v>
      </c>
      <c r="I76" s="11">
        <v>10724.29</v>
      </c>
    </row>
    <row r="77" spans="1:9">
      <c r="A77" s="9" t="s">
        <v>27</v>
      </c>
      <c r="B77" s="9" t="s">
        <v>11</v>
      </c>
      <c r="C77" s="10">
        <v>3099</v>
      </c>
      <c r="D77" s="10">
        <v>204790</v>
      </c>
      <c r="E77" s="10">
        <v>30678814357</v>
      </c>
      <c r="F77" s="9" t="s">
        <v>28</v>
      </c>
      <c r="G77" s="11">
        <v>120535.2</v>
      </c>
      <c r="H77" s="11">
        <v>32544.5</v>
      </c>
      <c r="I77" s="11">
        <v>163927.87</v>
      </c>
    </row>
    <row r="78" spans="1:9" s="9" customFormat="1">
      <c r="A78" s="9" t="s">
        <v>63</v>
      </c>
      <c r="B78" s="9" t="s">
        <v>11</v>
      </c>
      <c r="C78" s="10">
        <v>3</v>
      </c>
      <c r="D78" s="10">
        <v>321262</v>
      </c>
      <c r="E78" s="10">
        <v>30709131865</v>
      </c>
      <c r="F78" s="9" t="s">
        <v>65</v>
      </c>
      <c r="G78" s="11">
        <v>3474</v>
      </c>
      <c r="H78" s="11">
        <v>729.54</v>
      </c>
      <c r="I78" s="11">
        <v>4203.54</v>
      </c>
    </row>
    <row r="79" spans="1:9">
      <c r="A79" s="9" t="s">
        <v>63</v>
      </c>
      <c r="B79" s="9" t="s">
        <v>67</v>
      </c>
      <c r="C79" s="10">
        <v>3</v>
      </c>
      <c r="D79" s="10">
        <v>408532</v>
      </c>
      <c r="E79" s="10">
        <v>30714930490</v>
      </c>
      <c r="F79" s="9" t="s">
        <v>66</v>
      </c>
      <c r="G79" s="11">
        <v>0</v>
      </c>
      <c r="H79" s="11">
        <v>0</v>
      </c>
      <c r="I79" s="11">
        <v>33811.03</v>
      </c>
    </row>
    <row r="80" spans="1:9">
      <c r="A80" s="9" t="s">
        <v>53</v>
      </c>
      <c r="B80" s="9" t="s">
        <v>11</v>
      </c>
      <c r="C80" s="10">
        <v>5015</v>
      </c>
      <c r="D80" s="10">
        <v>633140</v>
      </c>
      <c r="E80" s="10">
        <v>30574876474</v>
      </c>
      <c r="F80" s="9" t="s">
        <v>56</v>
      </c>
      <c r="G80" s="11">
        <v>103207.54</v>
      </c>
      <c r="H80" s="11">
        <v>21673.55</v>
      </c>
      <c r="I80" s="11">
        <v>138298.04</v>
      </c>
    </row>
    <row r="81" spans="1:9">
      <c r="A81" s="9" t="s">
        <v>86</v>
      </c>
      <c r="B81" s="9" t="s">
        <v>11</v>
      </c>
      <c r="C81" s="10">
        <v>5015</v>
      </c>
      <c r="D81" s="10">
        <v>634708</v>
      </c>
      <c r="E81" s="10">
        <v>30574876474</v>
      </c>
      <c r="F81" s="9" t="s">
        <v>56</v>
      </c>
      <c r="G81" s="11">
        <v>117586.86</v>
      </c>
      <c r="H81" s="11">
        <v>24693.19</v>
      </c>
      <c r="I81" s="11">
        <v>157566.32</v>
      </c>
    </row>
    <row r="82" spans="1:9" s="9" customFormat="1">
      <c r="A82" s="9" t="s">
        <v>99</v>
      </c>
      <c r="B82" s="9" t="s">
        <v>11</v>
      </c>
      <c r="C82" s="10">
        <v>5015</v>
      </c>
      <c r="D82" s="10">
        <v>638180</v>
      </c>
      <c r="E82" s="10">
        <v>30574876474</v>
      </c>
      <c r="F82" s="9" t="s">
        <v>56</v>
      </c>
      <c r="G82" s="11">
        <v>84112.75</v>
      </c>
      <c r="H82" s="11">
        <v>17663.64</v>
      </c>
      <c r="I82" s="11">
        <v>112711.05</v>
      </c>
    </row>
    <row r="83" spans="1:9" s="9" customFormat="1">
      <c r="A83" s="9" t="s">
        <v>125</v>
      </c>
      <c r="B83" s="9" t="s">
        <v>11</v>
      </c>
      <c r="C83" s="10">
        <v>5015</v>
      </c>
      <c r="D83" s="10">
        <v>640519</v>
      </c>
      <c r="E83" s="10">
        <v>30574876474</v>
      </c>
      <c r="F83" s="9" t="s">
        <v>56</v>
      </c>
      <c r="G83" s="11">
        <v>131948.79999999999</v>
      </c>
      <c r="H83" s="11">
        <v>27709.19</v>
      </c>
      <c r="I83" s="11">
        <v>176811.31</v>
      </c>
    </row>
    <row r="84" spans="1:9" s="9" customFormat="1">
      <c r="A84" s="9" t="s">
        <v>125</v>
      </c>
      <c r="B84" s="9" t="s">
        <v>11</v>
      </c>
      <c r="C84" s="10">
        <v>11</v>
      </c>
      <c r="D84" s="10">
        <v>1035837</v>
      </c>
      <c r="E84" s="10">
        <v>33709585229</v>
      </c>
      <c r="F84" s="9" t="s">
        <v>126</v>
      </c>
      <c r="G84" s="11">
        <v>67340.06</v>
      </c>
      <c r="H84" s="11">
        <v>14141.41</v>
      </c>
      <c r="I84" s="11">
        <v>97294.59</v>
      </c>
    </row>
    <row r="85" spans="1:9" s="9" customFormat="1">
      <c r="A85" s="9" t="s">
        <v>72</v>
      </c>
      <c r="B85" s="9" t="s">
        <v>11</v>
      </c>
      <c r="C85" s="10">
        <v>503</v>
      </c>
      <c r="D85" s="10">
        <v>1433151</v>
      </c>
      <c r="E85" s="10">
        <v>30639935872</v>
      </c>
      <c r="F85" s="9" t="s">
        <v>76</v>
      </c>
      <c r="G85" s="11">
        <v>2638.28</v>
      </c>
      <c r="H85" s="11">
        <v>554.04</v>
      </c>
      <c r="I85" s="11">
        <v>3350.62</v>
      </c>
    </row>
    <row r="86" spans="1:9">
      <c r="A86" s="9" t="s">
        <v>116</v>
      </c>
      <c r="B86" s="9" t="s">
        <v>11</v>
      </c>
      <c r="C86" s="10">
        <v>503</v>
      </c>
      <c r="D86" s="10">
        <v>1452870</v>
      </c>
      <c r="E86" s="10">
        <v>30639935872</v>
      </c>
      <c r="F86" s="9" t="s">
        <v>76</v>
      </c>
      <c r="G86" s="11">
        <v>2638.28</v>
      </c>
      <c r="H86" s="11">
        <v>554.04</v>
      </c>
      <c r="I86" s="11">
        <v>3350.62</v>
      </c>
    </row>
    <row r="87" spans="1:9">
      <c r="A87" s="9" t="s">
        <v>38</v>
      </c>
      <c r="B87" s="9" t="s">
        <v>11</v>
      </c>
      <c r="C87" s="10">
        <v>700</v>
      </c>
      <c r="D87" s="10">
        <v>1840121</v>
      </c>
      <c r="E87" s="10">
        <v>30715804812</v>
      </c>
      <c r="F87" s="9" t="s">
        <v>45</v>
      </c>
      <c r="G87" s="11">
        <v>2446.48</v>
      </c>
      <c r="H87" s="11">
        <v>513.76</v>
      </c>
      <c r="I87" s="11">
        <v>2960.24</v>
      </c>
    </row>
    <row r="88" spans="1:9">
      <c r="A88" s="9" t="s">
        <v>95</v>
      </c>
      <c r="B88" s="9" t="s">
        <v>11</v>
      </c>
      <c r="C88" s="10">
        <v>700</v>
      </c>
      <c r="D88" s="10">
        <v>1872242</v>
      </c>
      <c r="E88" s="10">
        <v>30715804812</v>
      </c>
      <c r="F88" s="9" t="s">
        <v>45</v>
      </c>
      <c r="G88" s="11">
        <v>694.35</v>
      </c>
      <c r="H88" s="11">
        <v>145.81</v>
      </c>
      <c r="I88" s="11">
        <v>840.16</v>
      </c>
    </row>
    <row r="89" spans="1:9">
      <c r="A89" s="9" t="s">
        <v>117</v>
      </c>
      <c r="B89" s="9" t="s">
        <v>11</v>
      </c>
      <c r="C89" s="10">
        <v>27</v>
      </c>
      <c r="D89" s="10">
        <v>2785607</v>
      </c>
      <c r="E89" s="10">
        <v>30703088534</v>
      </c>
      <c r="F89" s="9" t="s">
        <v>120</v>
      </c>
      <c r="G89" s="11">
        <v>1361365.17</v>
      </c>
      <c r="H89" s="11">
        <v>285886.68</v>
      </c>
      <c r="I89" s="11">
        <v>1783388.25</v>
      </c>
    </row>
    <row r="90" spans="1:9">
      <c r="A90" s="9" t="s">
        <v>80</v>
      </c>
      <c r="B90" s="9" t="s">
        <v>11</v>
      </c>
      <c r="C90" s="10">
        <v>113</v>
      </c>
      <c r="D90" s="10">
        <v>3750723</v>
      </c>
      <c r="E90" s="10">
        <v>30577207190</v>
      </c>
      <c r="F90" s="9" t="s">
        <v>84</v>
      </c>
      <c r="G90" s="11">
        <v>3305.78</v>
      </c>
      <c r="H90" s="11">
        <v>694.22</v>
      </c>
      <c r="I90" s="11">
        <v>4099.17</v>
      </c>
    </row>
    <row r="91" spans="1:9">
      <c r="A91" s="9" t="s">
        <v>125</v>
      </c>
      <c r="B91" s="9" t="s">
        <v>11</v>
      </c>
      <c r="C91" s="10">
        <v>50</v>
      </c>
      <c r="D91" s="10">
        <v>3753069</v>
      </c>
      <c r="E91" s="10">
        <v>30714112836</v>
      </c>
      <c r="F91" s="9" t="s">
        <v>127</v>
      </c>
      <c r="G91" s="11">
        <v>42243.8</v>
      </c>
      <c r="H91" s="11">
        <v>8871.2000000000007</v>
      </c>
      <c r="I91" s="11">
        <v>52382.31</v>
      </c>
    </row>
    <row r="92" spans="1:9">
      <c r="A92" s="9" t="s">
        <v>125</v>
      </c>
      <c r="B92" s="9" t="s">
        <v>11</v>
      </c>
      <c r="C92" s="10">
        <v>113</v>
      </c>
      <c r="D92" s="10">
        <v>3777535</v>
      </c>
      <c r="E92" s="10">
        <v>30577207190</v>
      </c>
      <c r="F92" s="9" t="s">
        <v>84</v>
      </c>
      <c r="G92" s="11">
        <v>7447.93</v>
      </c>
      <c r="H92" s="11">
        <v>1564.07</v>
      </c>
      <c r="I92" s="11">
        <v>9235.44</v>
      </c>
    </row>
    <row r="93" spans="1:9">
      <c r="A93" s="9" t="s">
        <v>63</v>
      </c>
      <c r="B93" s="9" t="s">
        <v>67</v>
      </c>
      <c r="C93" s="10">
        <v>3</v>
      </c>
      <c r="D93" s="10">
        <v>3833285</v>
      </c>
      <c r="E93" s="10">
        <v>30709131865</v>
      </c>
      <c r="F93" s="9" t="s">
        <v>65</v>
      </c>
      <c r="G93" s="11">
        <v>0</v>
      </c>
      <c r="H93" s="11">
        <v>0</v>
      </c>
      <c r="I93" s="11">
        <v>4203.54</v>
      </c>
    </row>
    <row r="94" spans="1:9">
      <c r="A94" s="9" t="s">
        <v>27</v>
      </c>
      <c r="B94" s="9" t="s">
        <v>11</v>
      </c>
      <c r="C94" s="10">
        <v>629</v>
      </c>
      <c r="D94" s="10">
        <v>5328386</v>
      </c>
      <c r="E94" s="10">
        <v>30663498513</v>
      </c>
      <c r="F94" s="9" t="s">
        <v>30</v>
      </c>
      <c r="G94" s="11">
        <v>28475.09</v>
      </c>
      <c r="H94" s="11">
        <v>5979.78</v>
      </c>
      <c r="I94" s="11">
        <v>34454.870000000003</v>
      </c>
    </row>
    <row r="95" spans="1:9">
      <c r="A95" s="9" t="s">
        <v>91</v>
      </c>
      <c r="B95" s="9" t="s">
        <v>11</v>
      </c>
      <c r="C95" s="10">
        <v>629</v>
      </c>
      <c r="D95" s="10">
        <v>5368419</v>
      </c>
      <c r="E95" s="10">
        <v>30663498513</v>
      </c>
      <c r="F95" s="9" t="s">
        <v>30</v>
      </c>
      <c r="G95" s="11">
        <v>32981.360000000001</v>
      </c>
      <c r="H95" s="11">
        <v>6926.02</v>
      </c>
      <c r="I95" s="11">
        <v>39907.379999999997</v>
      </c>
    </row>
    <row r="96" spans="1:9">
      <c r="A96" s="9" t="s">
        <v>27</v>
      </c>
      <c r="B96" s="9" t="s">
        <v>11</v>
      </c>
      <c r="C96" s="10">
        <v>711</v>
      </c>
      <c r="D96" s="10">
        <v>5985044</v>
      </c>
      <c r="E96" s="10">
        <v>30677237119</v>
      </c>
      <c r="F96" s="9" t="s">
        <v>31</v>
      </c>
      <c r="G96" s="11">
        <v>14282.96</v>
      </c>
      <c r="H96" s="11">
        <v>2999.37</v>
      </c>
      <c r="I96" s="11">
        <v>17710.82</v>
      </c>
    </row>
    <row r="97" spans="1:9">
      <c r="A97" s="9" t="s">
        <v>91</v>
      </c>
      <c r="B97" s="9" t="s">
        <v>11</v>
      </c>
      <c r="C97" s="10">
        <v>711</v>
      </c>
      <c r="D97" s="10">
        <v>6042743</v>
      </c>
      <c r="E97" s="10">
        <v>30677237119</v>
      </c>
      <c r="F97" s="9" t="s">
        <v>31</v>
      </c>
      <c r="G97" s="11">
        <v>12143.55</v>
      </c>
      <c r="H97" s="11">
        <v>2550.11</v>
      </c>
      <c r="I97" s="11">
        <v>15057.97</v>
      </c>
    </row>
    <row r="98" spans="1:9">
      <c r="A98" s="9" t="s">
        <v>72</v>
      </c>
      <c r="B98" s="9" t="s">
        <v>11</v>
      </c>
      <c r="C98" s="10">
        <v>104</v>
      </c>
      <c r="D98" s="10">
        <v>6424899</v>
      </c>
      <c r="E98" s="10">
        <v>30715804812</v>
      </c>
      <c r="F98" s="9" t="s">
        <v>45</v>
      </c>
      <c r="G98" s="11">
        <v>764.52</v>
      </c>
      <c r="H98" s="11">
        <v>160.55000000000001</v>
      </c>
      <c r="I98" s="11">
        <v>970.94</v>
      </c>
    </row>
    <row r="99" spans="1:9">
      <c r="A99" s="9" t="s">
        <v>72</v>
      </c>
      <c r="B99" s="9" t="s">
        <v>11</v>
      </c>
      <c r="C99" s="10">
        <v>104</v>
      </c>
      <c r="D99" s="10">
        <v>6483909</v>
      </c>
      <c r="E99" s="10">
        <v>30715804812</v>
      </c>
      <c r="F99" s="9" t="s">
        <v>45</v>
      </c>
      <c r="G99" s="11">
        <v>4029.44</v>
      </c>
      <c r="H99" s="11">
        <v>846.19</v>
      </c>
      <c r="I99" s="11">
        <v>5117.3999999999996</v>
      </c>
    </row>
    <row r="100" spans="1:9" s="9" customFormat="1">
      <c r="A100" s="9" t="s">
        <v>117</v>
      </c>
      <c r="B100" s="9" t="s">
        <v>11</v>
      </c>
      <c r="C100" s="10">
        <v>104</v>
      </c>
      <c r="D100" s="10">
        <v>6550955</v>
      </c>
      <c r="E100" s="10">
        <v>30715804812</v>
      </c>
      <c r="F100" s="9" t="s">
        <v>45</v>
      </c>
      <c r="G100" s="11">
        <v>867.94</v>
      </c>
      <c r="H100" s="11">
        <v>182.27</v>
      </c>
      <c r="I100" s="11">
        <v>1102.29</v>
      </c>
    </row>
    <row r="101" spans="1:9" s="9" customFormat="1">
      <c r="A101" t="s">
        <v>80</v>
      </c>
      <c r="B101" t="s">
        <v>11</v>
      </c>
      <c r="C101" s="2">
        <v>401</v>
      </c>
      <c r="D101" s="2">
        <v>13</v>
      </c>
      <c r="E101" s="2">
        <v>33707790399</v>
      </c>
      <c r="F101" t="s">
        <v>83</v>
      </c>
      <c r="G101" s="6">
        <v>67704.92</v>
      </c>
      <c r="H101" s="6">
        <v>14218.03</v>
      </c>
      <c r="I101" s="6">
        <v>82600</v>
      </c>
    </row>
    <row r="102" spans="1:9">
      <c r="A102" s="7"/>
      <c r="B102" s="7"/>
      <c r="C102" s="7"/>
      <c r="D102" s="7">
        <v>13</v>
      </c>
      <c r="E102" s="7"/>
      <c r="F102" s="7"/>
      <c r="G102" s="8">
        <v>67704.996948242202</v>
      </c>
      <c r="H102" s="8">
        <v>14218</v>
      </c>
      <c r="I102" s="8">
        <v>82600</v>
      </c>
    </row>
    <row r="103" spans="1:9">
      <c r="A103" t="s">
        <v>99</v>
      </c>
      <c r="B103" t="s">
        <v>11</v>
      </c>
      <c r="C103" s="2">
        <v>44</v>
      </c>
      <c r="D103" s="2">
        <v>21</v>
      </c>
      <c r="E103" s="2">
        <v>33697231469</v>
      </c>
      <c r="F103" t="s">
        <v>100</v>
      </c>
      <c r="G103" s="6">
        <v>55467.77</v>
      </c>
      <c r="H103" s="6">
        <v>11648.23</v>
      </c>
      <c r="I103" s="6">
        <v>67116</v>
      </c>
    </row>
    <row r="104" spans="1:9">
      <c r="A104" s="7"/>
      <c r="B104" s="7"/>
      <c r="C104" s="7"/>
      <c r="D104" s="7">
        <v>21</v>
      </c>
      <c r="E104" s="7"/>
      <c r="F104" s="7"/>
      <c r="G104" s="8">
        <v>55468.00390625</v>
      </c>
      <c r="H104" s="8">
        <v>11648.23046875</v>
      </c>
      <c r="I104" s="8">
        <v>67116.2</v>
      </c>
    </row>
    <row r="105" spans="1:9">
      <c r="A105" t="s">
        <v>101</v>
      </c>
      <c r="B105" t="s">
        <v>19</v>
      </c>
      <c r="C105" s="2">
        <v>1</v>
      </c>
      <c r="D105" s="2">
        <v>79</v>
      </c>
      <c r="E105" s="2">
        <v>20299505430</v>
      </c>
      <c r="F105" t="s">
        <v>105</v>
      </c>
      <c r="I105" s="6">
        <v>844000</v>
      </c>
    </row>
    <row r="106" spans="1:9">
      <c r="A106" s="7"/>
      <c r="B106" s="7"/>
      <c r="C106" s="7"/>
      <c r="D106" s="7">
        <v>79</v>
      </c>
      <c r="E106" s="7"/>
      <c r="F106" s="7"/>
      <c r="G106" s="8"/>
      <c r="H106" s="8"/>
      <c r="I106" s="8">
        <v>844000</v>
      </c>
    </row>
    <row r="107" spans="1:9">
      <c r="A107" t="s">
        <v>112</v>
      </c>
      <c r="B107" t="s">
        <v>19</v>
      </c>
      <c r="C107" s="2">
        <v>1</v>
      </c>
      <c r="D107" s="2">
        <v>81</v>
      </c>
      <c r="E107" s="2">
        <v>20299505430</v>
      </c>
      <c r="F107" t="s">
        <v>105</v>
      </c>
      <c r="I107" s="6">
        <v>492063</v>
      </c>
    </row>
    <row r="108" spans="1:9">
      <c r="A108" s="7"/>
      <c r="B108" s="7"/>
      <c r="C108" s="7"/>
      <c r="D108" s="7">
        <v>81</v>
      </c>
      <c r="E108" s="7"/>
      <c r="F108" s="7"/>
      <c r="G108" s="8"/>
      <c r="H108" s="8"/>
      <c r="I108" s="8">
        <v>492063</v>
      </c>
    </row>
    <row r="109" spans="1:9">
      <c r="A109" t="s">
        <v>48</v>
      </c>
      <c r="B109" t="s">
        <v>11</v>
      </c>
      <c r="C109" s="2">
        <v>1</v>
      </c>
      <c r="D109" s="2">
        <v>102</v>
      </c>
      <c r="E109" s="2">
        <v>30718148207</v>
      </c>
      <c r="F109" t="s">
        <v>50</v>
      </c>
      <c r="G109" s="6">
        <v>2250000</v>
      </c>
      <c r="H109" s="6">
        <v>472500</v>
      </c>
      <c r="I109" s="6">
        <v>2722500</v>
      </c>
    </row>
    <row r="110" spans="1:9">
      <c r="A110" s="7"/>
      <c r="B110" s="7"/>
      <c r="C110" s="7"/>
      <c r="D110" s="7">
        <v>102</v>
      </c>
      <c r="E110" s="7"/>
      <c r="F110" s="7"/>
      <c r="G110" s="8">
        <v>2250000</v>
      </c>
      <c r="H110" s="8">
        <v>472500</v>
      </c>
      <c r="I110" s="8">
        <v>2722500</v>
      </c>
    </row>
    <row r="111" spans="1:9">
      <c r="A111" t="s">
        <v>48</v>
      </c>
      <c r="B111" t="s">
        <v>11</v>
      </c>
      <c r="C111" s="2">
        <v>5</v>
      </c>
      <c r="D111" s="2">
        <v>103</v>
      </c>
      <c r="E111" s="2">
        <v>20946785300</v>
      </c>
      <c r="F111" t="s">
        <v>52</v>
      </c>
      <c r="G111" s="6">
        <v>2250000</v>
      </c>
      <c r="H111" s="6">
        <v>472500</v>
      </c>
      <c r="I111" s="6">
        <v>2722500</v>
      </c>
    </row>
    <row r="112" spans="1:9">
      <c r="A112" s="7"/>
      <c r="B112" s="7"/>
      <c r="C112" s="7"/>
      <c r="D112" s="7">
        <v>103</v>
      </c>
      <c r="E112" s="7"/>
      <c r="F112" s="7"/>
      <c r="G112" s="8">
        <v>2250000</v>
      </c>
      <c r="H112" s="8">
        <v>472500</v>
      </c>
      <c r="I112" s="8">
        <v>2722500</v>
      </c>
    </row>
    <row r="113" spans="1:9">
      <c r="A113" t="s">
        <v>97</v>
      </c>
      <c r="B113" t="s">
        <v>11</v>
      </c>
      <c r="C113" s="2">
        <v>5</v>
      </c>
      <c r="D113" s="2">
        <v>104</v>
      </c>
      <c r="E113" s="2">
        <v>20946785300</v>
      </c>
      <c r="F113" t="s">
        <v>52</v>
      </c>
      <c r="G113" s="6">
        <v>1210000</v>
      </c>
      <c r="H113" s="6">
        <v>254100</v>
      </c>
      <c r="I113" s="6">
        <v>1464100</v>
      </c>
    </row>
    <row r="114" spans="1:9">
      <c r="A114" s="7"/>
      <c r="B114" s="7"/>
      <c r="C114" s="7"/>
      <c r="D114" s="7">
        <v>104</v>
      </c>
      <c r="E114" s="7"/>
      <c r="F114" s="7"/>
      <c r="G114" s="8">
        <v>1210000</v>
      </c>
      <c r="H114" s="8">
        <v>254100</v>
      </c>
      <c r="I114" s="8">
        <v>1464100</v>
      </c>
    </row>
    <row r="115" spans="1:9">
      <c r="A115" t="s">
        <v>117</v>
      </c>
      <c r="B115" t="s">
        <v>11</v>
      </c>
      <c r="C115" s="2">
        <v>1</v>
      </c>
      <c r="D115" s="2">
        <v>105</v>
      </c>
      <c r="E115" s="2">
        <v>30718148207</v>
      </c>
      <c r="F115" t="s">
        <v>50</v>
      </c>
      <c r="G115" s="6">
        <v>2042994</v>
      </c>
      <c r="H115" s="6">
        <v>429028.74</v>
      </c>
      <c r="I115" s="6">
        <v>2472022.7400000002</v>
      </c>
    </row>
    <row r="116" spans="1:9">
      <c r="A116" s="7"/>
      <c r="B116" s="7"/>
      <c r="C116" s="7"/>
      <c r="D116" s="7">
        <v>105</v>
      </c>
      <c r="E116" s="7"/>
      <c r="F116" s="7"/>
      <c r="G116" s="8">
        <v>2042994.0625</v>
      </c>
      <c r="H116" s="8">
        <v>429028.6875</v>
      </c>
      <c r="I116" s="8">
        <v>2472020</v>
      </c>
    </row>
    <row r="117" spans="1:9">
      <c r="A117" t="s">
        <v>101</v>
      </c>
      <c r="B117" t="s">
        <v>89</v>
      </c>
      <c r="C117" s="2">
        <v>4</v>
      </c>
      <c r="D117" s="2">
        <v>116</v>
      </c>
      <c r="E117" s="2">
        <v>30715946250</v>
      </c>
      <c r="F117" t="s">
        <v>43</v>
      </c>
      <c r="G117" s="6">
        <v>1283684.3999999999</v>
      </c>
      <c r="H117" s="6">
        <v>269573.71999999997</v>
      </c>
      <c r="I117" s="6">
        <v>1553258.12</v>
      </c>
    </row>
    <row r="118" spans="1:9">
      <c r="A118" s="7"/>
      <c r="B118" s="7"/>
      <c r="C118" s="7"/>
      <c r="D118" s="7">
        <v>116</v>
      </c>
      <c r="E118" s="7"/>
      <c r="F118" s="7"/>
      <c r="G118" s="8">
        <v>-1283684.0625</v>
      </c>
      <c r="H118" s="8">
        <v>-269573.6875</v>
      </c>
      <c r="I118" s="8">
        <v>-1553260</v>
      </c>
    </row>
    <row r="119" spans="1:9">
      <c r="A119" t="s">
        <v>21</v>
      </c>
      <c r="B119" t="s">
        <v>11</v>
      </c>
      <c r="C119" s="2">
        <v>1</v>
      </c>
      <c r="D119" s="2">
        <v>128</v>
      </c>
      <c r="E119" s="2">
        <v>30716010313</v>
      </c>
      <c r="F119" t="s">
        <v>25</v>
      </c>
      <c r="G119" s="6">
        <v>46000</v>
      </c>
      <c r="H119" s="6">
        <v>9660</v>
      </c>
      <c r="I119" s="6">
        <v>55660</v>
      </c>
    </row>
    <row r="120" spans="1:9">
      <c r="A120" s="7"/>
      <c r="B120" s="7"/>
      <c r="C120" s="7"/>
      <c r="D120" s="7">
        <v>128</v>
      </c>
      <c r="E120" s="7"/>
      <c r="F120" s="7"/>
      <c r="G120" s="8">
        <v>46000</v>
      </c>
      <c r="H120" s="8">
        <v>9660</v>
      </c>
      <c r="I120" s="8">
        <v>55660</v>
      </c>
    </row>
    <row r="121" spans="1:9">
      <c r="A121" t="s">
        <v>112</v>
      </c>
      <c r="B121" t="s">
        <v>19</v>
      </c>
      <c r="C121" s="2">
        <v>10</v>
      </c>
      <c r="D121" s="2">
        <v>210</v>
      </c>
      <c r="E121" s="2">
        <v>20302234389</v>
      </c>
      <c r="F121" t="s">
        <v>115</v>
      </c>
      <c r="I121" s="6">
        <v>152000</v>
      </c>
    </row>
    <row r="122" spans="1:9">
      <c r="A122" s="7"/>
      <c r="B122" s="7"/>
      <c r="C122" s="7"/>
      <c r="D122" s="7">
        <v>210</v>
      </c>
      <c r="E122" s="7"/>
      <c r="F122" s="7"/>
      <c r="G122" s="8"/>
      <c r="H122" s="8"/>
      <c r="I122" s="8">
        <v>152000</v>
      </c>
    </row>
    <row r="123" spans="1:9">
      <c r="A123" t="s">
        <v>95</v>
      </c>
      <c r="B123" t="s">
        <v>11</v>
      </c>
      <c r="C123" s="2">
        <v>11</v>
      </c>
      <c r="D123" s="2">
        <v>287</v>
      </c>
      <c r="E123" s="2">
        <v>30715360256</v>
      </c>
      <c r="F123" t="s">
        <v>96</v>
      </c>
      <c r="G123" s="6">
        <v>98418.18</v>
      </c>
      <c r="H123" s="6">
        <v>20667.82</v>
      </c>
      <c r="I123" s="6">
        <v>119086</v>
      </c>
    </row>
    <row r="124" spans="1:9">
      <c r="A124" s="7"/>
      <c r="B124" s="7"/>
      <c r="C124" s="7"/>
      <c r="D124" s="7">
        <v>287</v>
      </c>
      <c r="E124" s="7"/>
      <c r="F124" s="7"/>
      <c r="G124" s="8">
        <v>98418.19921875</v>
      </c>
      <c r="H124" s="8">
        <v>20667.80078125</v>
      </c>
      <c r="I124" s="8">
        <v>119086</v>
      </c>
    </row>
    <row r="125" spans="1:9">
      <c r="A125" t="s">
        <v>101</v>
      </c>
      <c r="B125" t="s">
        <v>19</v>
      </c>
      <c r="C125" s="2">
        <v>2</v>
      </c>
      <c r="D125" s="2">
        <v>368</v>
      </c>
      <c r="E125" s="2">
        <v>20300814094</v>
      </c>
      <c r="F125" t="s">
        <v>106</v>
      </c>
      <c r="I125" s="6">
        <v>297215</v>
      </c>
    </row>
    <row r="126" spans="1:9">
      <c r="A126" s="7"/>
      <c r="B126" s="7"/>
      <c r="C126" s="7"/>
      <c r="D126" s="7">
        <v>368</v>
      </c>
      <c r="E126" s="7"/>
      <c r="F126" s="7"/>
      <c r="G126" s="8"/>
      <c r="H126" s="8"/>
      <c r="I126" s="8">
        <v>297215</v>
      </c>
    </row>
    <row r="127" spans="1:9">
      <c r="A127" t="s">
        <v>10</v>
      </c>
      <c r="B127" t="s">
        <v>19</v>
      </c>
      <c r="C127" s="2">
        <v>3</v>
      </c>
      <c r="D127" s="2">
        <v>490</v>
      </c>
      <c r="E127" s="2">
        <v>20210551574</v>
      </c>
      <c r="F127" t="s">
        <v>20</v>
      </c>
      <c r="I127" s="6">
        <v>227000</v>
      </c>
    </row>
    <row r="128" spans="1:9">
      <c r="A128" s="7"/>
      <c r="B128" s="7"/>
      <c r="C128" s="7"/>
      <c r="D128" s="7">
        <v>490</v>
      </c>
      <c r="E128" s="7"/>
      <c r="F128" s="7"/>
      <c r="G128" s="8"/>
      <c r="H128" s="8"/>
      <c r="I128" s="8">
        <v>227000</v>
      </c>
    </row>
    <row r="129" spans="1:9">
      <c r="A129" t="s">
        <v>10</v>
      </c>
      <c r="B129" t="s">
        <v>11</v>
      </c>
      <c r="C129" s="2">
        <v>1</v>
      </c>
      <c r="D129" s="2">
        <v>531</v>
      </c>
      <c r="E129" s="2">
        <v>20131206144</v>
      </c>
      <c r="F129" t="s">
        <v>18</v>
      </c>
      <c r="G129" s="6">
        <v>707700</v>
      </c>
      <c r="H129" s="6">
        <v>148617</v>
      </c>
      <c r="I129" s="6">
        <v>856317</v>
      </c>
    </row>
    <row r="130" spans="1:9" s="9" customFormat="1">
      <c r="A130" s="7"/>
      <c r="B130" s="7"/>
      <c r="C130" s="7"/>
      <c r="D130" s="7">
        <v>531</v>
      </c>
      <c r="E130" s="7"/>
      <c r="F130" s="7"/>
      <c r="G130" s="8">
        <v>707700</v>
      </c>
      <c r="H130" s="8">
        <v>148617</v>
      </c>
      <c r="I130" s="8">
        <v>856317</v>
      </c>
    </row>
    <row r="131" spans="1:9" s="9" customFormat="1">
      <c r="A131" t="s">
        <v>10</v>
      </c>
      <c r="B131" t="s">
        <v>11</v>
      </c>
      <c r="C131" s="2">
        <v>1</v>
      </c>
      <c r="D131" s="2">
        <v>767</v>
      </c>
      <c r="E131" s="2">
        <v>30715889486</v>
      </c>
      <c r="F131" t="s">
        <v>17</v>
      </c>
      <c r="G131" s="6">
        <v>396000</v>
      </c>
      <c r="H131" s="6">
        <v>83160</v>
      </c>
      <c r="I131" s="6">
        <v>479160</v>
      </c>
    </row>
    <row r="132" spans="1:9" s="9" customFormat="1">
      <c r="A132" s="7"/>
      <c r="B132" s="7"/>
      <c r="C132" s="7"/>
      <c r="D132" s="7">
        <v>767</v>
      </c>
      <c r="E132" s="7"/>
      <c r="F132" s="7"/>
      <c r="G132" s="8">
        <v>396000</v>
      </c>
      <c r="H132" s="8">
        <v>83160</v>
      </c>
      <c r="I132" s="8">
        <v>479160</v>
      </c>
    </row>
    <row r="133" spans="1:9" s="9" customFormat="1">
      <c r="A133" s="12"/>
      <c r="B133" s="12"/>
      <c r="C133" s="12"/>
      <c r="D133" s="12">
        <v>846</v>
      </c>
      <c r="E133" s="12"/>
      <c r="F133" s="12"/>
      <c r="G133" s="13"/>
      <c r="H133" s="13"/>
      <c r="I133" s="13">
        <v>150000</v>
      </c>
    </row>
    <row r="134" spans="1:9" s="9" customFormat="1">
      <c r="A134" t="s">
        <v>112</v>
      </c>
      <c r="B134" t="s">
        <v>11</v>
      </c>
      <c r="C134" s="2">
        <v>9</v>
      </c>
      <c r="D134" s="2">
        <v>851</v>
      </c>
      <c r="E134" s="2">
        <v>30710446047</v>
      </c>
      <c r="F134" t="s">
        <v>114</v>
      </c>
      <c r="G134" s="6">
        <v>1590100</v>
      </c>
      <c r="H134" s="6">
        <v>333921</v>
      </c>
      <c r="I134" s="6">
        <v>1924021</v>
      </c>
    </row>
    <row r="135" spans="1:9" s="9" customFormat="1">
      <c r="A135" s="7"/>
      <c r="B135" s="7"/>
      <c r="C135" s="7"/>
      <c r="D135" s="7">
        <v>851</v>
      </c>
      <c r="E135" s="7"/>
      <c r="F135" s="7"/>
      <c r="G135" s="8">
        <v>1590100</v>
      </c>
      <c r="H135" s="8">
        <v>333921</v>
      </c>
      <c r="I135" s="8">
        <v>1924020</v>
      </c>
    </row>
    <row r="136" spans="1:9">
      <c r="A136" t="s">
        <v>33</v>
      </c>
      <c r="B136" t="s">
        <v>19</v>
      </c>
      <c r="C136" s="2">
        <v>3</v>
      </c>
      <c r="D136" s="2">
        <v>869</v>
      </c>
      <c r="E136" s="2">
        <v>20086277523</v>
      </c>
      <c r="F136" t="s">
        <v>37</v>
      </c>
      <c r="I136" s="6">
        <v>220000</v>
      </c>
    </row>
    <row r="137" spans="1:9">
      <c r="A137" s="7"/>
      <c r="B137" s="7"/>
      <c r="C137" s="7"/>
      <c r="D137" s="7">
        <v>869</v>
      </c>
      <c r="E137" s="7"/>
      <c r="F137" s="7"/>
      <c r="G137" s="8"/>
      <c r="H137" s="8"/>
      <c r="I137" s="8">
        <v>220000</v>
      </c>
    </row>
    <row r="138" spans="1:9">
      <c r="A138" s="12"/>
      <c r="B138" s="12"/>
      <c r="C138" s="12"/>
      <c r="D138" s="12">
        <v>972</v>
      </c>
      <c r="E138" s="12"/>
      <c r="F138" s="12"/>
      <c r="G138" s="13">
        <v>91520.00390625</v>
      </c>
      <c r="H138" s="13">
        <v>19219.19921875</v>
      </c>
      <c r="I138" s="13">
        <v>110739</v>
      </c>
    </row>
    <row r="139" spans="1:9">
      <c r="A139" t="s">
        <v>110</v>
      </c>
      <c r="B139" t="s">
        <v>89</v>
      </c>
      <c r="C139" s="2">
        <v>7</v>
      </c>
      <c r="D139" s="2">
        <v>1097</v>
      </c>
      <c r="E139" s="2">
        <v>30708017759</v>
      </c>
      <c r="F139" t="s">
        <v>54</v>
      </c>
      <c r="G139" s="6">
        <v>6810804</v>
      </c>
      <c r="H139" s="6">
        <v>1430268.84</v>
      </c>
      <c r="I139" s="6">
        <v>8649721.0800000001</v>
      </c>
    </row>
    <row r="140" spans="1:9">
      <c r="A140" s="7"/>
      <c r="B140" s="7"/>
      <c r="C140" s="7"/>
      <c r="D140" s="7">
        <v>1097</v>
      </c>
      <c r="E140" s="7"/>
      <c r="F140" s="7"/>
      <c r="G140" s="8">
        <v>-6815259</v>
      </c>
      <c r="H140" s="8">
        <v>-1430268</v>
      </c>
      <c r="I140" s="8">
        <v>-8654180</v>
      </c>
    </row>
    <row r="141" spans="1:9">
      <c r="A141" s="7"/>
      <c r="B141" s="7"/>
      <c r="C141" s="7"/>
      <c r="D141" s="7">
        <v>1434</v>
      </c>
      <c r="E141" s="7"/>
      <c r="F141" s="7"/>
      <c r="G141" s="8">
        <v>74380.20703125</v>
      </c>
      <c r="H141" s="8">
        <v>15619.83984375</v>
      </c>
      <c r="I141" s="8">
        <v>90000</v>
      </c>
    </row>
    <row r="142" spans="1:9" s="9" customFormat="1">
      <c r="A142" t="s">
        <v>10</v>
      </c>
      <c r="B142" t="s">
        <v>11</v>
      </c>
      <c r="C142" s="2">
        <v>4</v>
      </c>
      <c r="D142" s="2">
        <v>2161</v>
      </c>
      <c r="E142" s="2">
        <v>27239067218</v>
      </c>
      <c r="F142" t="s">
        <v>14</v>
      </c>
      <c r="G142" s="6">
        <v>101239.67</v>
      </c>
      <c r="H142" s="6">
        <v>21260.33</v>
      </c>
      <c r="I142" s="6">
        <v>122500</v>
      </c>
    </row>
    <row r="143" spans="1:9">
      <c r="A143" s="7"/>
      <c r="B143" s="7"/>
      <c r="C143" s="7"/>
      <c r="D143" s="7">
        <v>2161</v>
      </c>
      <c r="E143" s="7"/>
      <c r="F143" s="7"/>
      <c r="G143" s="8">
        <v>101239.599609375</v>
      </c>
      <c r="H143" s="8">
        <v>21260.330078125</v>
      </c>
      <c r="I143" s="8">
        <v>122500</v>
      </c>
    </row>
    <row r="144" spans="1:9">
      <c r="A144" t="s">
        <v>38</v>
      </c>
      <c r="B144" t="s">
        <v>11</v>
      </c>
      <c r="C144" s="2">
        <v>4</v>
      </c>
      <c r="D144" s="2">
        <v>2482</v>
      </c>
      <c r="E144" s="2">
        <v>30715946250</v>
      </c>
      <c r="F144" t="s">
        <v>43</v>
      </c>
      <c r="G144" s="6">
        <v>2049876</v>
      </c>
      <c r="H144" s="6">
        <v>430473.96</v>
      </c>
      <c r="I144" s="6">
        <v>2480349.96</v>
      </c>
    </row>
    <row r="145" spans="1:9" s="9" customFormat="1">
      <c r="A145" s="7"/>
      <c r="B145" s="7"/>
      <c r="C145" s="7"/>
      <c r="D145" s="7">
        <v>2482</v>
      </c>
      <c r="E145" s="7"/>
      <c r="F145" s="7"/>
      <c r="G145" s="8">
        <v>2049876.09375</v>
      </c>
      <c r="H145" s="8">
        <v>430473.90625</v>
      </c>
      <c r="I145" s="8">
        <v>2480350</v>
      </c>
    </row>
    <row r="146" spans="1:9">
      <c r="A146" s="7"/>
      <c r="B146" s="7"/>
      <c r="C146" s="7"/>
      <c r="D146" s="7">
        <v>2655</v>
      </c>
      <c r="E146" s="7"/>
      <c r="F146" s="7"/>
      <c r="G146" s="8">
        <v>66889.998046875</v>
      </c>
      <c r="H146" s="8">
        <v>14046.900390625</v>
      </c>
      <c r="I146" s="8">
        <v>80936.899999999994</v>
      </c>
    </row>
    <row r="147" spans="1:9">
      <c r="A147" t="s">
        <v>48</v>
      </c>
      <c r="B147" t="s">
        <v>11</v>
      </c>
      <c r="C147" s="2">
        <v>1</v>
      </c>
      <c r="D147" s="2">
        <v>2725</v>
      </c>
      <c r="E147" s="2">
        <v>27181689183</v>
      </c>
      <c r="F147" t="s">
        <v>51</v>
      </c>
      <c r="G147" s="6">
        <v>742500</v>
      </c>
      <c r="H147" s="6">
        <v>155925</v>
      </c>
      <c r="I147" s="6">
        <v>898425</v>
      </c>
    </row>
    <row r="148" spans="1:9">
      <c r="A148" s="7"/>
      <c r="B148" s="7"/>
      <c r="C148" s="7"/>
      <c r="D148" s="7">
        <v>2725</v>
      </c>
      <c r="E148" s="7"/>
      <c r="F148" s="7"/>
      <c r="G148" s="8">
        <v>742500</v>
      </c>
      <c r="H148" s="8">
        <v>155925</v>
      </c>
      <c r="I148" s="8">
        <v>898425</v>
      </c>
    </row>
    <row r="149" spans="1:9">
      <c r="A149" t="s">
        <v>21</v>
      </c>
      <c r="B149" t="s">
        <v>11</v>
      </c>
      <c r="C149" s="2">
        <v>6</v>
      </c>
      <c r="D149" s="2">
        <v>3222</v>
      </c>
      <c r="E149" s="2">
        <v>30574603788</v>
      </c>
      <c r="F149" t="s">
        <v>22</v>
      </c>
      <c r="G149" s="6">
        <v>2157150</v>
      </c>
      <c r="H149" s="6">
        <v>453001.5</v>
      </c>
      <c r="I149" s="6">
        <v>2610151.5</v>
      </c>
    </row>
    <row r="150" spans="1:9" s="9" customFormat="1">
      <c r="A150" s="7"/>
      <c r="B150" s="7"/>
      <c r="C150" s="7"/>
      <c r="D150" s="7">
        <v>3222</v>
      </c>
      <c r="E150" s="7"/>
      <c r="F150" s="7"/>
      <c r="G150" s="8">
        <v>2157150</v>
      </c>
      <c r="H150" s="8">
        <v>453001.5</v>
      </c>
      <c r="I150" s="8">
        <v>2610150</v>
      </c>
    </row>
    <row r="151" spans="1:9">
      <c r="A151" t="s">
        <v>59</v>
      </c>
      <c r="B151" t="s">
        <v>11</v>
      </c>
      <c r="C151" s="2">
        <v>6</v>
      </c>
      <c r="D151" s="2">
        <v>3232</v>
      </c>
      <c r="E151" s="2">
        <v>30574603788</v>
      </c>
      <c r="F151" t="s">
        <v>22</v>
      </c>
      <c r="G151" s="6">
        <v>6674900</v>
      </c>
      <c r="H151" s="6">
        <v>1401729</v>
      </c>
      <c r="I151" s="6">
        <v>8076629</v>
      </c>
    </row>
    <row r="152" spans="1:9">
      <c r="A152" s="7"/>
      <c r="B152" s="7"/>
      <c r="C152" s="7"/>
      <c r="D152" s="7">
        <v>3232</v>
      </c>
      <c r="E152" s="7"/>
      <c r="F152" s="7"/>
      <c r="G152" s="8">
        <v>6674900</v>
      </c>
      <c r="H152" s="8">
        <v>1401729</v>
      </c>
      <c r="I152" s="8">
        <v>8076630</v>
      </c>
    </row>
    <row r="153" spans="1:9" s="9" customFormat="1">
      <c r="A153" t="s">
        <v>63</v>
      </c>
      <c r="B153" t="s">
        <v>11</v>
      </c>
      <c r="C153" s="2">
        <v>6</v>
      </c>
      <c r="D153" s="2">
        <v>3234</v>
      </c>
      <c r="E153" s="2">
        <v>30574603788</v>
      </c>
      <c r="F153" t="s">
        <v>22</v>
      </c>
      <c r="G153" s="6">
        <v>1622400</v>
      </c>
      <c r="H153" s="6">
        <v>340704</v>
      </c>
      <c r="I153" s="6">
        <v>1963104</v>
      </c>
    </row>
    <row r="154" spans="1:9" s="9" customFormat="1">
      <c r="A154" s="7"/>
      <c r="B154" s="7"/>
      <c r="C154" s="7"/>
      <c r="D154" s="7">
        <v>3234</v>
      </c>
      <c r="E154" s="7"/>
      <c r="F154" s="7"/>
      <c r="G154" s="8">
        <v>1622400</v>
      </c>
      <c r="H154" s="8">
        <v>340704</v>
      </c>
      <c r="I154" s="8">
        <v>1963100</v>
      </c>
    </row>
    <row r="155" spans="1:9" s="9" customFormat="1">
      <c r="A155" t="s">
        <v>72</v>
      </c>
      <c r="B155" t="s">
        <v>11</v>
      </c>
      <c r="C155" s="2">
        <v>6</v>
      </c>
      <c r="D155" s="2">
        <v>3240</v>
      </c>
      <c r="E155" s="2">
        <v>30574603788</v>
      </c>
      <c r="F155" t="s">
        <v>22</v>
      </c>
      <c r="G155" s="6">
        <v>2073690</v>
      </c>
      <c r="H155" s="6">
        <v>435474.89</v>
      </c>
      <c r="I155" s="6">
        <v>2509164.89</v>
      </c>
    </row>
    <row r="156" spans="1:9" s="9" customFormat="1">
      <c r="A156" s="7"/>
      <c r="B156" s="7"/>
      <c r="C156" s="7"/>
      <c r="D156" s="7">
        <v>3240</v>
      </c>
      <c r="E156" s="7"/>
      <c r="F156" s="7"/>
      <c r="G156" s="8">
        <v>2073689.9375</v>
      </c>
      <c r="H156" s="8">
        <v>435474.8125</v>
      </c>
      <c r="I156" s="8">
        <v>2509160</v>
      </c>
    </row>
    <row r="157" spans="1:9" s="9" customFormat="1">
      <c r="A157" t="s">
        <v>97</v>
      </c>
      <c r="B157" t="s">
        <v>11</v>
      </c>
      <c r="C157" s="2">
        <v>6</v>
      </c>
      <c r="D157" s="2">
        <v>3251</v>
      </c>
      <c r="E157" s="2">
        <v>30574603788</v>
      </c>
      <c r="F157" t="s">
        <v>22</v>
      </c>
      <c r="G157" s="6">
        <v>3040910</v>
      </c>
      <c r="H157" s="6">
        <v>638591.09</v>
      </c>
      <c r="I157" s="6">
        <v>3679501.09</v>
      </c>
    </row>
    <row r="158" spans="1:9">
      <c r="A158" s="7"/>
      <c r="B158" s="7"/>
      <c r="C158" s="7"/>
      <c r="D158" s="7">
        <v>3251</v>
      </c>
      <c r="E158" s="7"/>
      <c r="F158" s="7"/>
      <c r="G158" s="8">
        <v>3040910</v>
      </c>
      <c r="H158" s="8">
        <v>638591</v>
      </c>
      <c r="I158" s="8">
        <v>3679500</v>
      </c>
    </row>
    <row r="159" spans="1:9">
      <c r="A159" t="s">
        <v>99</v>
      </c>
      <c r="B159" t="s">
        <v>11</v>
      </c>
      <c r="C159" s="2">
        <v>6</v>
      </c>
      <c r="D159" s="2">
        <v>3256</v>
      </c>
      <c r="E159" s="2">
        <v>30574603788</v>
      </c>
      <c r="F159" t="s">
        <v>22</v>
      </c>
      <c r="G159" s="6">
        <v>1974500</v>
      </c>
      <c r="H159" s="6">
        <v>414644.99</v>
      </c>
      <c r="I159" s="6">
        <v>2389144.9900000002</v>
      </c>
    </row>
    <row r="160" spans="1:9" s="9" customFormat="1">
      <c r="A160" s="7"/>
      <c r="B160" s="7"/>
      <c r="C160" s="7"/>
      <c r="D160" s="7">
        <v>3256</v>
      </c>
      <c r="E160" s="7"/>
      <c r="F160" s="7"/>
      <c r="G160" s="8">
        <v>1974500.09375</v>
      </c>
      <c r="H160" s="8">
        <v>414644.90625</v>
      </c>
      <c r="I160" s="8">
        <v>2389140</v>
      </c>
    </row>
    <row r="161" spans="1:9" s="9" customFormat="1">
      <c r="A161" t="s">
        <v>101</v>
      </c>
      <c r="B161" t="s">
        <v>11</v>
      </c>
      <c r="C161" s="2">
        <v>6</v>
      </c>
      <c r="D161" s="2">
        <v>3257</v>
      </c>
      <c r="E161" s="2">
        <v>30574603788</v>
      </c>
      <c r="F161" t="s">
        <v>22</v>
      </c>
      <c r="G161" s="6">
        <v>748020</v>
      </c>
      <c r="H161" s="6">
        <v>157084.20000000001</v>
      </c>
      <c r="I161" s="6">
        <v>905104.2</v>
      </c>
    </row>
    <row r="162" spans="1:9" s="9" customFormat="1">
      <c r="A162" s="7"/>
      <c r="B162" s="7"/>
      <c r="C162" s="7"/>
      <c r="D162" s="7">
        <v>3257</v>
      </c>
      <c r="E162" s="7"/>
      <c r="F162" s="7"/>
      <c r="G162" s="8">
        <v>748019.984375</v>
      </c>
      <c r="H162" s="8">
        <v>157084.203125</v>
      </c>
      <c r="I162" s="8">
        <v>905104</v>
      </c>
    </row>
    <row r="163" spans="1:9">
      <c r="A163" t="s">
        <v>38</v>
      </c>
      <c r="B163" t="s">
        <v>11</v>
      </c>
      <c r="C163" s="2">
        <v>2</v>
      </c>
      <c r="D163" s="2">
        <v>3751</v>
      </c>
      <c r="E163" s="2">
        <v>30629863571</v>
      </c>
      <c r="F163" t="s">
        <v>46</v>
      </c>
      <c r="G163" s="6">
        <v>2992800</v>
      </c>
      <c r="H163" s="6">
        <v>628488</v>
      </c>
      <c r="I163" s="6">
        <v>3621288</v>
      </c>
    </row>
    <row r="164" spans="1:9">
      <c r="A164" s="7"/>
      <c r="B164" s="7"/>
      <c r="C164" s="7"/>
      <c r="D164" s="7">
        <v>3751</v>
      </c>
      <c r="E164" s="7"/>
      <c r="F164" s="7"/>
      <c r="G164" s="8">
        <v>2992800</v>
      </c>
      <c r="H164" s="8">
        <v>628488</v>
      </c>
      <c r="I164" s="8">
        <v>3621290</v>
      </c>
    </row>
    <row r="165" spans="1:9">
      <c r="A165" t="s">
        <v>53</v>
      </c>
      <c r="B165" t="s">
        <v>11</v>
      </c>
      <c r="C165" s="2">
        <v>2</v>
      </c>
      <c r="D165" s="2">
        <v>3754</v>
      </c>
      <c r="E165" s="2">
        <v>30629863571</v>
      </c>
      <c r="F165" t="s">
        <v>46</v>
      </c>
      <c r="G165" s="6">
        <v>2406323.4300000002</v>
      </c>
      <c r="H165" s="6">
        <v>505327.92</v>
      </c>
      <c r="I165" s="6">
        <v>2911651.32</v>
      </c>
    </row>
    <row r="166" spans="1:9">
      <c r="A166" s="7"/>
      <c r="B166" s="7"/>
      <c r="C166" s="7"/>
      <c r="D166" s="7">
        <v>3754</v>
      </c>
      <c r="E166" s="7"/>
      <c r="F166" s="7"/>
      <c r="G166" s="8">
        <v>2406323.34375</v>
      </c>
      <c r="H166" s="8">
        <v>505327.90625</v>
      </c>
      <c r="I166" s="8">
        <v>2911650</v>
      </c>
    </row>
    <row r="167" spans="1:9" s="9" customFormat="1">
      <c r="A167" t="s">
        <v>53</v>
      </c>
      <c r="B167" t="s">
        <v>11</v>
      </c>
      <c r="C167" s="2">
        <v>2</v>
      </c>
      <c r="D167" s="2">
        <v>3755</v>
      </c>
      <c r="E167" s="2">
        <v>30629863571</v>
      </c>
      <c r="F167" t="s">
        <v>46</v>
      </c>
      <c r="G167" s="6">
        <v>1109823</v>
      </c>
      <c r="H167" s="6">
        <v>233062.83</v>
      </c>
      <c r="I167" s="6">
        <v>1342885.83</v>
      </c>
    </row>
    <row r="168" spans="1:9" s="9" customFormat="1">
      <c r="A168" s="7"/>
      <c r="B168" s="7"/>
      <c r="C168" s="7"/>
      <c r="D168" s="7">
        <v>3755</v>
      </c>
      <c r="E168" s="7"/>
      <c r="F168" s="7"/>
      <c r="G168" s="8">
        <v>1109822.953125</v>
      </c>
      <c r="H168" s="8">
        <v>233062.796875</v>
      </c>
      <c r="I168" s="8">
        <v>1342890</v>
      </c>
    </row>
    <row r="169" spans="1:9" s="9" customFormat="1">
      <c r="A169" t="s">
        <v>53</v>
      </c>
      <c r="B169" t="s">
        <v>11</v>
      </c>
      <c r="C169" s="2">
        <v>2</v>
      </c>
      <c r="D169" s="2">
        <v>3756</v>
      </c>
      <c r="E169" s="2">
        <v>30629863571</v>
      </c>
      <c r="F169" t="s">
        <v>46</v>
      </c>
      <c r="G169" s="6">
        <v>1686040</v>
      </c>
      <c r="H169" s="6">
        <v>354068.4</v>
      </c>
      <c r="I169" s="6">
        <v>2040108.4</v>
      </c>
    </row>
    <row r="170" spans="1:9" s="9" customFormat="1">
      <c r="A170" s="7"/>
      <c r="B170" s="7"/>
      <c r="C170" s="7"/>
      <c r="D170" s="7">
        <v>3756</v>
      </c>
      <c r="E170" s="7"/>
      <c r="F170" s="7"/>
      <c r="G170" s="8">
        <v>1686039.96875</v>
      </c>
      <c r="H170" s="8">
        <v>354068.40625</v>
      </c>
      <c r="I170" s="8">
        <v>2040110</v>
      </c>
    </row>
    <row r="171" spans="1:9" s="7" customFormat="1">
      <c r="A171" t="s">
        <v>59</v>
      </c>
      <c r="B171" t="s">
        <v>11</v>
      </c>
      <c r="C171" s="2">
        <v>2</v>
      </c>
      <c r="D171" s="2">
        <v>3757</v>
      </c>
      <c r="E171" s="2">
        <v>30629863571</v>
      </c>
      <c r="F171" t="s">
        <v>46</v>
      </c>
      <c r="G171" s="6">
        <v>1471110</v>
      </c>
      <c r="H171" s="6">
        <v>308933.09999999998</v>
      </c>
      <c r="I171" s="6">
        <v>1780043.1</v>
      </c>
    </row>
    <row r="172" spans="1:9" s="7" customFormat="1">
      <c r="D172" s="7">
        <v>3757</v>
      </c>
      <c r="G172" s="8">
        <v>1471110.03125</v>
      </c>
      <c r="H172" s="8">
        <v>308933.09375</v>
      </c>
      <c r="I172" s="8">
        <v>1780040</v>
      </c>
    </row>
    <row r="173" spans="1:9" s="9" customFormat="1">
      <c r="A173" t="s">
        <v>72</v>
      </c>
      <c r="B173" t="s">
        <v>11</v>
      </c>
      <c r="C173" s="2">
        <v>2</v>
      </c>
      <c r="D173" s="2">
        <v>3761</v>
      </c>
      <c r="E173" s="2">
        <v>30629863571</v>
      </c>
      <c r="F173" t="s">
        <v>46</v>
      </c>
      <c r="G173" s="6">
        <v>1671514.76</v>
      </c>
      <c r="H173" s="6">
        <v>351018.1</v>
      </c>
      <c r="I173" s="6">
        <v>2022532.84</v>
      </c>
    </row>
    <row r="174" spans="1:9" s="9" customFormat="1">
      <c r="A174" s="7"/>
      <c r="B174" s="7"/>
      <c r="C174" s="7"/>
      <c r="D174" s="7">
        <v>3761</v>
      </c>
      <c r="E174" s="7"/>
      <c r="F174" s="7"/>
      <c r="G174" s="8">
        <v>1671514.78125</v>
      </c>
      <c r="H174" s="8">
        <v>351018.09375</v>
      </c>
      <c r="I174" s="8">
        <v>2022530</v>
      </c>
    </row>
    <row r="175" spans="1:9" s="9" customFormat="1">
      <c r="A175" t="s">
        <v>80</v>
      </c>
      <c r="B175" t="s">
        <v>11</v>
      </c>
      <c r="C175" s="2">
        <v>2</v>
      </c>
      <c r="D175" s="2">
        <v>3763</v>
      </c>
      <c r="E175" s="2">
        <v>30629863571</v>
      </c>
      <c r="F175" t="s">
        <v>46</v>
      </c>
      <c r="G175" s="6">
        <v>369873</v>
      </c>
      <c r="H175" s="6">
        <v>77673.33</v>
      </c>
      <c r="I175" s="6">
        <v>447546.33</v>
      </c>
    </row>
    <row r="176" spans="1:9" s="7" customFormat="1">
      <c r="D176" s="7">
        <v>3763</v>
      </c>
      <c r="G176" s="8">
        <v>369872.984375</v>
      </c>
      <c r="H176" s="8">
        <v>77673.328125</v>
      </c>
      <c r="I176" s="8">
        <v>447546</v>
      </c>
    </row>
    <row r="177" spans="1:9" s="7" customFormat="1">
      <c r="A177" t="s">
        <v>97</v>
      </c>
      <c r="B177" t="s">
        <v>11</v>
      </c>
      <c r="C177" s="2">
        <v>2</v>
      </c>
      <c r="D177" s="2">
        <v>3771</v>
      </c>
      <c r="E177" s="2">
        <v>30629863571</v>
      </c>
      <c r="F177" t="s">
        <v>46</v>
      </c>
      <c r="G177" s="6">
        <v>2227007.1</v>
      </c>
      <c r="H177" s="6">
        <v>467671.49</v>
      </c>
      <c r="I177" s="6">
        <v>2694678.57</v>
      </c>
    </row>
    <row r="178" spans="1:9" s="9" customFormat="1">
      <c r="A178" s="7"/>
      <c r="B178" s="7"/>
      <c r="C178" s="7"/>
      <c r="D178" s="7">
        <v>3771</v>
      </c>
      <c r="E178" s="7"/>
      <c r="F178" s="7"/>
      <c r="G178" s="8">
        <v>2227007.09375</v>
      </c>
      <c r="H178" s="8">
        <v>467671.40625</v>
      </c>
      <c r="I178" s="8">
        <v>2694680</v>
      </c>
    </row>
    <row r="179" spans="1:9" s="9" customFormat="1">
      <c r="A179" t="s">
        <v>99</v>
      </c>
      <c r="B179" t="s">
        <v>11</v>
      </c>
      <c r="C179" s="2">
        <v>2</v>
      </c>
      <c r="D179" s="2">
        <v>3772</v>
      </c>
      <c r="E179" s="2">
        <v>30629863571</v>
      </c>
      <c r="F179" t="s">
        <v>46</v>
      </c>
      <c r="G179" s="6">
        <v>457600</v>
      </c>
      <c r="H179" s="6">
        <v>96096</v>
      </c>
      <c r="I179" s="6">
        <v>553696</v>
      </c>
    </row>
    <row r="180" spans="1:9" s="9" customFormat="1">
      <c r="A180" s="7"/>
      <c r="B180" s="7"/>
      <c r="C180" s="7"/>
      <c r="D180" s="7">
        <v>3772</v>
      </c>
      <c r="E180" s="7"/>
      <c r="F180" s="7"/>
      <c r="G180" s="8">
        <v>457600</v>
      </c>
      <c r="H180" s="8">
        <v>96096</v>
      </c>
      <c r="I180" s="8">
        <v>553696</v>
      </c>
    </row>
    <row r="181" spans="1:9" s="9" customFormat="1">
      <c r="A181" t="s">
        <v>101</v>
      </c>
      <c r="B181" t="s">
        <v>11</v>
      </c>
      <c r="C181" s="2">
        <v>2</v>
      </c>
      <c r="D181" s="2">
        <v>3776</v>
      </c>
      <c r="E181" s="2">
        <v>30629863571</v>
      </c>
      <c r="F181" t="s">
        <v>46</v>
      </c>
      <c r="G181" s="6">
        <v>404000</v>
      </c>
      <c r="H181" s="6">
        <v>84840</v>
      </c>
      <c r="I181" s="6">
        <v>488840</v>
      </c>
    </row>
    <row r="182" spans="1:9" s="9" customFormat="1">
      <c r="A182" s="7"/>
      <c r="B182" s="7"/>
      <c r="C182" s="7"/>
      <c r="D182" s="7">
        <v>3776</v>
      </c>
      <c r="E182" s="7"/>
      <c r="F182" s="7"/>
      <c r="G182" s="8">
        <v>404000</v>
      </c>
      <c r="H182" s="8">
        <v>84840</v>
      </c>
      <c r="I182" s="8">
        <v>488840</v>
      </c>
    </row>
    <row r="183" spans="1:9" s="7" customFormat="1">
      <c r="A183" t="s">
        <v>110</v>
      </c>
      <c r="B183" t="s">
        <v>11</v>
      </c>
      <c r="C183" s="2">
        <v>2</v>
      </c>
      <c r="D183" s="2">
        <v>3778</v>
      </c>
      <c r="E183" s="2">
        <v>30629863571</v>
      </c>
      <c r="F183" t="s">
        <v>46</v>
      </c>
      <c r="G183" s="6">
        <v>616420</v>
      </c>
      <c r="H183" s="6">
        <v>129448.2</v>
      </c>
      <c r="I183" s="6">
        <v>745868.2</v>
      </c>
    </row>
    <row r="184" spans="1:9" s="7" customFormat="1">
      <c r="D184" s="7">
        <v>3778</v>
      </c>
      <c r="G184" s="8">
        <v>616419.984375</v>
      </c>
      <c r="H184" s="8">
        <v>129448.203125</v>
      </c>
      <c r="I184" s="8">
        <v>745868</v>
      </c>
    </row>
    <row r="185" spans="1:9" s="7" customFormat="1">
      <c r="A185" t="s">
        <v>116</v>
      </c>
      <c r="B185" t="s">
        <v>11</v>
      </c>
      <c r="C185" s="2">
        <v>2</v>
      </c>
      <c r="D185" s="2">
        <v>3781</v>
      </c>
      <c r="E185" s="2">
        <v>30629863571</v>
      </c>
      <c r="F185" t="s">
        <v>46</v>
      </c>
      <c r="G185" s="6">
        <v>1746825.81</v>
      </c>
      <c r="H185" s="6">
        <v>366833.42</v>
      </c>
      <c r="I185" s="6">
        <v>2113659.2200000002</v>
      </c>
    </row>
    <row r="186" spans="1:9" s="7" customFormat="1">
      <c r="D186" s="7">
        <v>3781</v>
      </c>
      <c r="G186" s="8">
        <v>1746825.59375</v>
      </c>
      <c r="H186" s="8">
        <v>368833.40625</v>
      </c>
      <c r="I186" s="8">
        <v>2115660</v>
      </c>
    </row>
    <row r="187" spans="1:9" s="7" customFormat="1">
      <c r="A187" t="s">
        <v>60</v>
      </c>
      <c r="B187" t="s">
        <v>11</v>
      </c>
      <c r="C187" s="2">
        <v>5</v>
      </c>
      <c r="D187" s="2">
        <v>3901</v>
      </c>
      <c r="E187" s="2">
        <v>30716436396</v>
      </c>
      <c r="F187" t="s">
        <v>61</v>
      </c>
      <c r="G187" s="6">
        <v>30570.99</v>
      </c>
      <c r="H187" s="6">
        <v>6419.91</v>
      </c>
      <c r="I187" s="6">
        <v>36990.9</v>
      </c>
    </row>
    <row r="188" spans="1:9" s="7" customFormat="1">
      <c r="D188" s="7">
        <v>3901</v>
      </c>
      <c r="G188" s="8">
        <v>30571</v>
      </c>
      <c r="H188" s="8">
        <v>6419.91015625</v>
      </c>
      <c r="I188" s="8">
        <v>36990.9</v>
      </c>
    </row>
    <row r="189" spans="1:9" s="9" customFormat="1">
      <c r="A189" t="s">
        <v>91</v>
      </c>
      <c r="B189" t="s">
        <v>11</v>
      </c>
      <c r="C189" s="2">
        <v>14</v>
      </c>
      <c r="D189" s="2">
        <v>4278</v>
      </c>
      <c r="E189" s="2">
        <v>20280299686</v>
      </c>
      <c r="F189" t="s">
        <v>92</v>
      </c>
      <c r="G189" s="6">
        <v>47954.75</v>
      </c>
      <c r="H189" s="6">
        <v>5035.25</v>
      </c>
      <c r="I189" s="6">
        <v>52990</v>
      </c>
    </row>
    <row r="190" spans="1:9" s="12" customFormat="1">
      <c r="A190" s="7"/>
      <c r="B190" s="7"/>
      <c r="C190" s="7"/>
      <c r="D190" s="7">
        <v>4278</v>
      </c>
      <c r="E190" s="7"/>
      <c r="F190" s="7"/>
      <c r="G190" s="8">
        <v>47954.80078125</v>
      </c>
      <c r="H190" s="8">
        <v>5035.25</v>
      </c>
      <c r="I190" s="8">
        <v>52990.1</v>
      </c>
    </row>
    <row r="191" spans="1:9" s="12" customFormat="1">
      <c r="A191" t="s">
        <v>117</v>
      </c>
      <c r="B191" t="s">
        <v>11</v>
      </c>
      <c r="C191" s="2">
        <v>3</v>
      </c>
      <c r="D191" s="2">
        <v>6920</v>
      </c>
      <c r="E191" s="2">
        <v>30708006420</v>
      </c>
      <c r="F191" t="s">
        <v>121</v>
      </c>
      <c r="G191" s="6">
        <v>2532637</v>
      </c>
      <c r="H191" s="6">
        <v>531853.77</v>
      </c>
      <c r="I191" s="6">
        <v>3064490.77</v>
      </c>
    </row>
    <row r="192" spans="1:9" s="12" customFormat="1">
      <c r="A192" s="7"/>
      <c r="B192" s="7"/>
      <c r="C192" s="7"/>
      <c r="D192" s="7">
        <v>6920</v>
      </c>
      <c r="E192" s="7"/>
      <c r="F192" s="7"/>
      <c r="G192" s="8">
        <v>2532637.0625</v>
      </c>
      <c r="H192" s="8">
        <v>531853.6875</v>
      </c>
      <c r="I192" s="8">
        <v>3064490</v>
      </c>
    </row>
    <row r="193" spans="1:9" s="12" customFormat="1">
      <c r="A193" t="s">
        <v>38</v>
      </c>
      <c r="B193" t="s">
        <v>11</v>
      </c>
      <c r="C193" s="2">
        <v>2</v>
      </c>
      <c r="D193" s="2">
        <v>8167</v>
      </c>
      <c r="E193" s="2">
        <v>33714677239</v>
      </c>
      <c r="F193" t="s">
        <v>40</v>
      </c>
      <c r="G193" s="6">
        <v>2147625</v>
      </c>
      <c r="H193" s="6">
        <v>451001.25</v>
      </c>
      <c r="I193" s="6">
        <v>2598626.25</v>
      </c>
    </row>
    <row r="194" spans="1:9" s="12" customFormat="1">
      <c r="A194" s="7"/>
      <c r="B194" s="7"/>
      <c r="C194" s="7"/>
      <c r="D194" s="7">
        <v>8167</v>
      </c>
      <c r="E194" s="7"/>
      <c r="F194" s="7"/>
      <c r="G194" s="8">
        <v>2147620</v>
      </c>
      <c r="H194" s="8">
        <v>451001</v>
      </c>
      <c r="I194" s="8">
        <v>2598620</v>
      </c>
    </row>
    <row r="195" spans="1:9" s="7" customFormat="1">
      <c r="A195" t="s">
        <v>86</v>
      </c>
      <c r="B195" t="s">
        <v>11</v>
      </c>
      <c r="C195" s="2">
        <v>2</v>
      </c>
      <c r="D195" s="2">
        <v>8253</v>
      </c>
      <c r="E195" s="2">
        <v>23180288899</v>
      </c>
      <c r="F195" t="s">
        <v>88</v>
      </c>
      <c r="G195" s="6">
        <v>3510000</v>
      </c>
      <c r="H195" s="6">
        <v>737100</v>
      </c>
      <c r="I195" s="6">
        <v>4352400</v>
      </c>
    </row>
    <row r="196" spans="1:9" s="7" customFormat="1">
      <c r="D196" s="7">
        <v>8253</v>
      </c>
      <c r="G196" s="8">
        <v>3510000</v>
      </c>
      <c r="H196" s="8">
        <v>737100</v>
      </c>
      <c r="I196" s="8">
        <v>4352400</v>
      </c>
    </row>
    <row r="197" spans="1:9" s="7" customFormat="1">
      <c r="A197" t="s">
        <v>68</v>
      </c>
      <c r="B197" t="s">
        <v>11</v>
      </c>
      <c r="C197" s="2">
        <v>2</v>
      </c>
      <c r="D197" s="2">
        <v>8538</v>
      </c>
      <c r="E197" s="2">
        <v>30714284963</v>
      </c>
      <c r="F197" t="s">
        <v>71</v>
      </c>
      <c r="G197" s="6">
        <v>266100</v>
      </c>
      <c r="H197" s="6">
        <v>55881</v>
      </c>
      <c r="I197" s="6">
        <v>321981</v>
      </c>
    </row>
    <row r="198" spans="1:9" s="7" customFormat="1">
      <c r="D198" s="7">
        <v>8538</v>
      </c>
      <c r="G198" s="8">
        <v>266100</v>
      </c>
      <c r="H198" s="8">
        <v>55881</v>
      </c>
      <c r="I198" s="8">
        <v>321981</v>
      </c>
    </row>
    <row r="199" spans="1:9" s="9" customFormat="1">
      <c r="A199" t="s">
        <v>101</v>
      </c>
      <c r="B199" t="s">
        <v>11</v>
      </c>
      <c r="C199" s="2">
        <v>3</v>
      </c>
      <c r="D199" s="2">
        <v>10984</v>
      </c>
      <c r="E199" s="2">
        <v>30658667374</v>
      </c>
      <c r="F199" t="s">
        <v>102</v>
      </c>
      <c r="G199" s="6">
        <v>1323420</v>
      </c>
      <c r="H199" s="6">
        <v>277918.2</v>
      </c>
      <c r="I199" s="6">
        <v>1601338.2</v>
      </c>
    </row>
    <row r="200" spans="1:9" s="9" customFormat="1">
      <c r="A200" s="7"/>
      <c r="B200" s="7"/>
      <c r="C200" s="7"/>
      <c r="D200" s="7">
        <v>10984</v>
      </c>
      <c r="E200" s="7"/>
      <c r="F200" s="7"/>
      <c r="G200" s="8">
        <v>1323420.0625</v>
      </c>
      <c r="H200" s="8">
        <v>277918.1875</v>
      </c>
      <c r="I200" s="8">
        <v>1601340</v>
      </c>
    </row>
    <row r="201" spans="1:9" s="12" customFormat="1">
      <c r="A201" t="s">
        <v>72</v>
      </c>
      <c r="B201" t="s">
        <v>11</v>
      </c>
      <c r="C201" s="2">
        <v>3</v>
      </c>
      <c r="D201" s="2">
        <v>11014</v>
      </c>
      <c r="E201" s="2">
        <v>30679163317</v>
      </c>
      <c r="F201" t="s">
        <v>75</v>
      </c>
      <c r="G201" s="6">
        <v>33057.85</v>
      </c>
      <c r="H201" s="6">
        <v>6942.15</v>
      </c>
      <c r="I201" s="6">
        <v>40000</v>
      </c>
    </row>
    <row r="202" spans="1:9" s="12" customFormat="1">
      <c r="A202" s="7"/>
      <c r="B202" s="7"/>
      <c r="C202" s="7"/>
      <c r="D202" s="7">
        <v>11014</v>
      </c>
      <c r="E202" s="7"/>
      <c r="F202" s="7"/>
      <c r="G202" s="8">
        <v>33057.846191406301</v>
      </c>
      <c r="H202" s="8">
        <v>6942.14990234375</v>
      </c>
      <c r="I202" s="8">
        <v>40000</v>
      </c>
    </row>
    <row r="203" spans="1:9" s="12" customFormat="1">
      <c r="A203" t="s">
        <v>97</v>
      </c>
      <c r="B203" t="s">
        <v>11</v>
      </c>
      <c r="C203" s="2">
        <v>7</v>
      </c>
      <c r="D203" s="2">
        <v>12415</v>
      </c>
      <c r="E203" s="2">
        <v>30708017759</v>
      </c>
      <c r="F203" t="s">
        <v>54</v>
      </c>
      <c r="G203" s="6">
        <v>9318972</v>
      </c>
      <c r="H203" s="6">
        <v>1956984.12</v>
      </c>
      <c r="I203" s="6">
        <v>11835094.439999999</v>
      </c>
    </row>
    <row r="204" spans="1:9" s="9" customFormat="1">
      <c r="A204" s="7"/>
      <c r="B204" s="7"/>
      <c r="C204" s="7"/>
      <c r="D204" s="7">
        <v>12415</v>
      </c>
      <c r="E204" s="7"/>
      <c r="F204" s="7"/>
      <c r="G204" s="8">
        <v>9318971.6875</v>
      </c>
      <c r="H204" s="8">
        <v>1956984</v>
      </c>
      <c r="I204" s="8">
        <v>11835100</v>
      </c>
    </row>
    <row r="205" spans="1:9" s="9" customFormat="1">
      <c r="A205" t="s">
        <v>95</v>
      </c>
      <c r="B205" t="s">
        <v>11</v>
      </c>
      <c r="C205" s="2">
        <v>4</v>
      </c>
      <c r="D205" s="2">
        <v>20334</v>
      </c>
      <c r="E205" s="2">
        <v>20328816807</v>
      </c>
      <c r="F205" t="s">
        <v>74</v>
      </c>
      <c r="G205" s="6">
        <v>52315.7</v>
      </c>
      <c r="H205" s="6">
        <v>10986.3</v>
      </c>
      <c r="I205" s="6">
        <v>63302</v>
      </c>
    </row>
    <row r="206" spans="1:9" s="9" customFormat="1">
      <c r="A206" s="7"/>
      <c r="B206" s="7"/>
      <c r="C206" s="7"/>
      <c r="D206" s="7">
        <v>20334</v>
      </c>
      <c r="E206" s="7"/>
      <c r="F206" s="7"/>
      <c r="G206" s="8">
        <v>52315.7001953125</v>
      </c>
      <c r="H206" s="8">
        <v>10986.2998046875</v>
      </c>
      <c r="I206" s="8">
        <v>63302</v>
      </c>
    </row>
    <row r="207" spans="1:9" s="9" customFormat="1">
      <c r="A207" t="s">
        <v>112</v>
      </c>
      <c r="B207" t="s">
        <v>11</v>
      </c>
      <c r="C207" s="2">
        <v>6</v>
      </c>
      <c r="D207" s="2">
        <v>25494</v>
      </c>
      <c r="E207" s="2">
        <v>33640878679</v>
      </c>
      <c r="F207" t="s">
        <v>113</v>
      </c>
      <c r="G207" s="6">
        <v>457800</v>
      </c>
      <c r="H207" s="6">
        <v>96138</v>
      </c>
      <c r="I207" s="6">
        <v>553938</v>
      </c>
    </row>
    <row r="208" spans="1:9" s="9" customFormat="1">
      <c r="A208" s="7"/>
      <c r="B208" s="7"/>
      <c r="C208" s="7"/>
      <c r="D208" s="7">
        <v>25494</v>
      </c>
      <c r="E208" s="7"/>
      <c r="F208" s="7"/>
      <c r="G208" s="8">
        <v>457799.9921875</v>
      </c>
      <c r="H208" s="8">
        <v>96138.8828125</v>
      </c>
      <c r="I208" s="8">
        <v>553939</v>
      </c>
    </row>
    <row r="209" spans="1:9" s="9" customFormat="1">
      <c r="A209" t="s">
        <v>123</v>
      </c>
      <c r="B209" t="s">
        <v>11</v>
      </c>
      <c r="C209" s="2">
        <v>6</v>
      </c>
      <c r="D209" s="2">
        <v>25526</v>
      </c>
      <c r="E209" s="2">
        <v>33640878679</v>
      </c>
      <c r="F209" t="s">
        <v>113</v>
      </c>
      <c r="G209" s="6">
        <v>914540</v>
      </c>
      <c r="H209" s="6">
        <v>192053.4</v>
      </c>
      <c r="I209" s="6">
        <v>1106593.3999999999</v>
      </c>
    </row>
    <row r="210" spans="1:9" s="9" customFormat="1">
      <c r="A210" s="7"/>
      <c r="B210" s="7"/>
      <c r="C210" s="7"/>
      <c r="D210" s="7">
        <v>25526</v>
      </c>
      <c r="E210" s="7"/>
      <c r="F210" s="7"/>
      <c r="G210" s="8">
        <v>914539.96875</v>
      </c>
      <c r="H210" s="8">
        <v>192053.40625</v>
      </c>
      <c r="I210" s="8">
        <v>1106590</v>
      </c>
    </row>
    <row r="211" spans="1:9" s="9" customFormat="1">
      <c r="A211" t="s">
        <v>80</v>
      </c>
      <c r="B211" t="s">
        <v>11</v>
      </c>
      <c r="C211" s="2">
        <v>16</v>
      </c>
      <c r="D211" s="2">
        <v>31006</v>
      </c>
      <c r="E211" s="2">
        <v>30687059812</v>
      </c>
      <c r="F211" t="s">
        <v>82</v>
      </c>
      <c r="G211" s="6">
        <v>10933.21</v>
      </c>
      <c r="H211" s="6">
        <v>2295.9699999999998</v>
      </c>
      <c r="I211" s="6">
        <v>13229.18</v>
      </c>
    </row>
    <row r="212" spans="1:9" s="12" customFormat="1">
      <c r="A212" s="7"/>
      <c r="B212" s="7"/>
      <c r="C212" s="7"/>
      <c r="D212" s="7">
        <v>31006</v>
      </c>
      <c r="E212" s="7"/>
      <c r="F212" s="7"/>
      <c r="G212" s="8">
        <v>10933.2097167969</v>
      </c>
      <c r="H212" s="8">
        <v>2295.96997070313</v>
      </c>
      <c r="I212" s="8">
        <v>13229.2</v>
      </c>
    </row>
    <row r="213" spans="1:9" s="9" customFormat="1">
      <c r="A213" t="s">
        <v>53</v>
      </c>
      <c r="B213" t="s">
        <v>11</v>
      </c>
      <c r="C213" s="2">
        <v>2</v>
      </c>
      <c r="D213" s="2">
        <v>33061</v>
      </c>
      <c r="E213" s="2">
        <v>30717273520</v>
      </c>
      <c r="F213" t="s">
        <v>57</v>
      </c>
      <c r="G213" s="6">
        <v>99499.17</v>
      </c>
      <c r="H213" s="6">
        <v>20894.830000000002</v>
      </c>
      <c r="I213" s="6">
        <v>120394.01</v>
      </c>
    </row>
    <row r="214" spans="1:9" s="9" customFormat="1">
      <c r="A214" s="7"/>
      <c r="B214" s="7"/>
      <c r="C214" s="7"/>
      <c r="D214" s="7">
        <v>33061</v>
      </c>
      <c r="E214" s="7"/>
      <c r="F214" s="7"/>
      <c r="G214" s="8">
        <v>99499.177734375</v>
      </c>
      <c r="H214" s="8">
        <v>20894.830078125</v>
      </c>
      <c r="I214" s="8">
        <v>120394</v>
      </c>
    </row>
    <row r="215" spans="1:9" s="9" customFormat="1">
      <c r="A215" t="s">
        <v>10</v>
      </c>
      <c r="B215" t="s">
        <v>11</v>
      </c>
      <c r="C215" s="2">
        <v>4</v>
      </c>
      <c r="D215" s="2">
        <v>46938</v>
      </c>
      <c r="E215" s="2">
        <v>30709863076</v>
      </c>
      <c r="F215" t="s">
        <v>16</v>
      </c>
      <c r="G215" s="6">
        <v>186942.15</v>
      </c>
      <c r="H215" s="6">
        <v>39257.85</v>
      </c>
      <c r="I215" s="6">
        <v>226200</v>
      </c>
    </row>
    <row r="216" spans="1:9" s="9" customFormat="1">
      <c r="A216" s="7"/>
      <c r="B216" s="7"/>
      <c r="C216" s="7"/>
      <c r="D216" s="7">
        <v>46938</v>
      </c>
      <c r="E216" s="7"/>
      <c r="F216" s="7"/>
      <c r="G216" s="8">
        <v>186942.1015625</v>
      </c>
      <c r="H216" s="8">
        <v>39257.8984375</v>
      </c>
      <c r="I216" s="8">
        <v>226200</v>
      </c>
    </row>
    <row r="217" spans="1:9" s="9" customFormat="1">
      <c r="A217" t="s">
        <v>95</v>
      </c>
      <c r="B217" t="s">
        <v>11</v>
      </c>
      <c r="C217" s="2">
        <v>4</v>
      </c>
      <c r="D217" s="2">
        <v>47125</v>
      </c>
      <c r="E217" s="2">
        <v>30709863076</v>
      </c>
      <c r="F217" t="s">
        <v>16</v>
      </c>
      <c r="G217" s="6">
        <v>163636.35999999999</v>
      </c>
      <c r="H217" s="6">
        <v>34363.64</v>
      </c>
      <c r="I217" s="6">
        <v>198000</v>
      </c>
    </row>
    <row r="218" spans="1:9" s="9" customFormat="1">
      <c r="A218" s="7"/>
      <c r="B218" s="7"/>
      <c r="C218" s="7"/>
      <c r="D218" s="7">
        <v>47125</v>
      </c>
      <c r="E218" s="7"/>
      <c r="F218" s="7"/>
      <c r="G218" s="8">
        <v>163636.296875</v>
      </c>
      <c r="H218" s="8">
        <v>34363.640625</v>
      </c>
      <c r="I218" s="8">
        <v>198000</v>
      </c>
    </row>
    <row r="219" spans="1:9" s="9" customFormat="1">
      <c r="A219" t="s">
        <v>116</v>
      </c>
      <c r="B219" t="s">
        <v>11</v>
      </c>
      <c r="C219" s="2">
        <v>4</v>
      </c>
      <c r="D219" s="2">
        <v>47206</v>
      </c>
      <c r="E219" s="2">
        <v>30709863076</v>
      </c>
      <c r="F219" t="s">
        <v>16</v>
      </c>
      <c r="G219" s="6">
        <v>2247035</v>
      </c>
      <c r="H219" s="6">
        <v>471877.35</v>
      </c>
      <c r="I219" s="6">
        <v>2718912.35</v>
      </c>
    </row>
    <row r="220" spans="1:9" s="12" customFormat="1">
      <c r="A220" s="7"/>
      <c r="B220" s="7"/>
      <c r="C220" s="7"/>
      <c r="D220" s="7">
        <v>47206</v>
      </c>
      <c r="E220" s="7"/>
      <c r="F220" s="7"/>
      <c r="G220" s="8">
        <v>2247034.9375</v>
      </c>
      <c r="H220" s="8">
        <v>471877.3125</v>
      </c>
      <c r="I220" s="8">
        <v>2718910</v>
      </c>
    </row>
    <row r="221" spans="1:9" s="9" customFormat="1">
      <c r="A221" s="12"/>
      <c r="B221" s="12"/>
      <c r="C221" s="12"/>
      <c r="D221" s="12">
        <v>50008</v>
      </c>
      <c r="E221" s="12"/>
      <c r="F221" s="12"/>
      <c r="G221" s="13">
        <v>130518.40234375</v>
      </c>
      <c r="H221" s="13">
        <v>27408.880859375</v>
      </c>
      <c r="I221" s="13">
        <v>185015</v>
      </c>
    </row>
    <row r="222" spans="1:9" s="9" customFormat="1">
      <c r="A222" s="12"/>
      <c r="B222" s="12"/>
      <c r="C222" s="12"/>
      <c r="D222" s="12">
        <v>50172</v>
      </c>
      <c r="E222" s="12"/>
      <c r="F222" s="12"/>
      <c r="G222" s="13">
        <v>178920.912109375</v>
      </c>
      <c r="H222" s="13">
        <v>37573.390625</v>
      </c>
      <c r="I222" s="13">
        <v>245048</v>
      </c>
    </row>
    <row r="223" spans="1:9" s="9" customFormat="1">
      <c r="A223" s="12"/>
      <c r="B223" s="12"/>
      <c r="C223" s="12"/>
      <c r="D223" s="12">
        <v>50441</v>
      </c>
      <c r="E223" s="12"/>
      <c r="F223" s="12"/>
      <c r="G223" s="13">
        <v>136483.703125</v>
      </c>
      <c r="H223" s="13">
        <v>28661.599609375</v>
      </c>
      <c r="I223" s="13">
        <v>191370</v>
      </c>
    </row>
    <row r="224" spans="1:9" s="7" customFormat="1">
      <c r="A224" s="12"/>
      <c r="B224" s="12"/>
      <c r="C224" s="12"/>
      <c r="D224" s="12">
        <v>50697</v>
      </c>
      <c r="E224" s="12"/>
      <c r="F224" s="12"/>
      <c r="G224" s="13">
        <v>132980.205078125</v>
      </c>
      <c r="H224" s="13">
        <v>27925.80078125</v>
      </c>
      <c r="I224" s="13">
        <v>188568</v>
      </c>
    </row>
    <row r="225" spans="1:9" s="7" customFormat="1">
      <c r="A225" s="12"/>
      <c r="B225" s="12"/>
      <c r="C225" s="12"/>
      <c r="D225" s="12">
        <v>50934</v>
      </c>
      <c r="E225" s="12"/>
      <c r="F225" s="12"/>
      <c r="G225" s="13">
        <v>144643.58984375</v>
      </c>
      <c r="H225" s="13">
        <v>30375.16015625</v>
      </c>
      <c r="I225" s="13">
        <v>205107</v>
      </c>
    </row>
    <row r="226" spans="1:9" s="7" customFormat="1">
      <c r="A226" t="s">
        <v>80</v>
      </c>
      <c r="B226" t="s">
        <v>11</v>
      </c>
      <c r="C226" s="2">
        <v>5</v>
      </c>
      <c r="D226" s="2">
        <v>53995</v>
      </c>
      <c r="E226" s="2">
        <v>30709932876</v>
      </c>
      <c r="F226" t="s">
        <v>81</v>
      </c>
      <c r="G226" s="6">
        <v>13071552</v>
      </c>
      <c r="H226" s="6">
        <v>2745025.92</v>
      </c>
      <c r="I226" s="6">
        <v>16600871.039999999</v>
      </c>
    </row>
    <row r="227" spans="1:9" s="7" customFormat="1">
      <c r="D227" s="7">
        <v>53995</v>
      </c>
      <c r="G227" s="8">
        <v>13071551.875</v>
      </c>
      <c r="H227" s="8">
        <v>2745025</v>
      </c>
      <c r="I227" s="8">
        <v>16600900</v>
      </c>
    </row>
    <row r="228" spans="1:9" s="7" customFormat="1">
      <c r="A228" t="s">
        <v>101</v>
      </c>
      <c r="B228" t="s">
        <v>11</v>
      </c>
      <c r="C228" s="2">
        <v>3000</v>
      </c>
      <c r="D228" s="2">
        <v>64758</v>
      </c>
      <c r="E228" s="2">
        <v>33708543409</v>
      </c>
      <c r="F228" t="s">
        <v>103</v>
      </c>
      <c r="G228" s="6">
        <v>802623.53</v>
      </c>
      <c r="H228" s="6">
        <v>84275.47</v>
      </c>
      <c r="I228" s="6">
        <v>935056.41</v>
      </c>
    </row>
    <row r="229" spans="1:9" s="7" customFormat="1">
      <c r="D229" s="7">
        <v>64758</v>
      </c>
      <c r="G229" s="8">
        <v>802623.515625</v>
      </c>
      <c r="H229" s="8">
        <v>84275.3984375</v>
      </c>
      <c r="I229" s="8">
        <v>935056</v>
      </c>
    </row>
    <row r="230" spans="1:9" s="9" customFormat="1">
      <c r="A230" s="12"/>
      <c r="B230" s="12"/>
      <c r="C230" s="12"/>
      <c r="D230" s="12">
        <v>80984</v>
      </c>
      <c r="E230" s="12"/>
      <c r="F230" s="12"/>
      <c r="G230" s="13">
        <v>35571.802612304702</v>
      </c>
      <c r="H230" s="13">
        <v>9604.3896484375</v>
      </c>
      <c r="I230" s="13">
        <v>48377.7</v>
      </c>
    </row>
    <row r="231" spans="1:9" s="9" customFormat="1">
      <c r="A231" s="12"/>
      <c r="B231" s="12"/>
      <c r="C231" s="12"/>
      <c r="D231" s="12">
        <v>120301</v>
      </c>
      <c r="E231" s="12"/>
      <c r="F231" s="12"/>
      <c r="G231" s="13">
        <v>6810803.8125</v>
      </c>
      <c r="H231" s="13">
        <v>1430268</v>
      </c>
      <c r="I231" s="13">
        <v>8649720</v>
      </c>
    </row>
    <row r="232" spans="1:9" s="9" customFormat="1">
      <c r="A232" s="12"/>
      <c r="B232" s="12"/>
      <c r="C232" s="12"/>
      <c r="D232" s="12">
        <v>123456</v>
      </c>
      <c r="E232" s="12"/>
      <c r="F232" s="12"/>
      <c r="G232" s="13">
        <v>28653.5390625</v>
      </c>
      <c r="H232" s="13">
        <v>0</v>
      </c>
      <c r="I232" s="13">
        <v>28653.5</v>
      </c>
    </row>
    <row r="233" spans="1:9" s="9" customFormat="1">
      <c r="A233" s="12"/>
      <c r="B233" s="12"/>
      <c r="C233" s="12"/>
      <c r="D233" s="12">
        <v>576388</v>
      </c>
      <c r="E233" s="12"/>
      <c r="F233" s="12"/>
      <c r="G233" s="13">
        <v>69996.3173828125</v>
      </c>
      <c r="H233" s="13">
        <v>18566.66015625</v>
      </c>
      <c r="I233" s="13">
        <v>90625.9</v>
      </c>
    </row>
    <row r="234" spans="1:9" s="7" customFormat="1">
      <c r="A234" s="12"/>
      <c r="B234" s="12"/>
      <c r="C234" s="12"/>
      <c r="D234" s="12">
        <v>1463194</v>
      </c>
      <c r="E234" s="12"/>
      <c r="F234" s="12"/>
      <c r="G234" s="13">
        <v>139363.50463867199</v>
      </c>
      <c r="H234" s="13">
        <v>35370.4609375</v>
      </c>
      <c r="I234" s="13">
        <v>178614</v>
      </c>
    </row>
    <row r="235" spans="1:9" s="7" customFormat="1">
      <c r="A235" t="s">
        <v>33</v>
      </c>
      <c r="B235" t="s">
        <v>11</v>
      </c>
      <c r="C235" s="2">
        <v>63</v>
      </c>
      <c r="D235" s="2">
        <v>2935272</v>
      </c>
      <c r="E235" s="2">
        <v>30640897267</v>
      </c>
      <c r="F235" t="s">
        <v>35</v>
      </c>
      <c r="G235" s="6">
        <v>47230.58</v>
      </c>
      <c r="H235" s="6">
        <v>9918.42</v>
      </c>
      <c r="I235" s="6">
        <v>61399.75</v>
      </c>
    </row>
    <row r="236" spans="1:9" s="7" customFormat="1">
      <c r="D236" s="7">
        <v>2935272</v>
      </c>
      <c r="G236" s="8">
        <v>47230.579956054702</v>
      </c>
      <c r="H236" s="8">
        <v>9918.419921875</v>
      </c>
      <c r="I236" s="8">
        <v>61399.8</v>
      </c>
    </row>
    <row r="237" spans="1:9" s="7" customFormat="1">
      <c r="A237" t="s">
        <v>33</v>
      </c>
      <c r="B237" t="s">
        <v>11</v>
      </c>
      <c r="C237" s="2">
        <v>63</v>
      </c>
      <c r="D237" s="2">
        <v>2936169</v>
      </c>
      <c r="E237" s="2">
        <v>30640897267</v>
      </c>
      <c r="F237" t="s">
        <v>35</v>
      </c>
      <c r="G237" s="6">
        <v>47230.58</v>
      </c>
      <c r="H237" s="6">
        <v>9918.42</v>
      </c>
      <c r="I237" s="6">
        <v>61399.75</v>
      </c>
    </row>
    <row r="238" spans="1:9" s="7" customFormat="1">
      <c r="D238" s="7">
        <v>2936169</v>
      </c>
      <c r="G238" s="8">
        <v>47230.579956054702</v>
      </c>
      <c r="H238" s="8">
        <v>9918.419921875</v>
      </c>
      <c r="I238" s="8">
        <v>61399.8</v>
      </c>
    </row>
    <row r="239" spans="1:9" s="7" customFormat="1">
      <c r="A239" t="s">
        <v>97</v>
      </c>
      <c r="B239" t="s">
        <v>11</v>
      </c>
      <c r="C239" s="2">
        <v>5</v>
      </c>
      <c r="D239" s="2">
        <v>3103865</v>
      </c>
      <c r="E239" s="2">
        <v>30702652975</v>
      </c>
      <c r="F239" t="s">
        <v>98</v>
      </c>
      <c r="G239" s="6">
        <v>29946.84</v>
      </c>
      <c r="H239" s="6">
        <v>6288.84</v>
      </c>
      <c r="I239" s="6">
        <v>38032.480000000003</v>
      </c>
    </row>
    <row r="240" spans="1:9" s="9" customFormat="1">
      <c r="A240" s="7"/>
      <c r="B240" s="7"/>
      <c r="C240" s="7"/>
      <c r="D240" s="7">
        <v>3103865</v>
      </c>
      <c r="E240" s="7"/>
      <c r="F240" s="7"/>
      <c r="G240" s="8">
        <v>29946.830566406301</v>
      </c>
      <c r="H240" s="8">
        <v>6288.83984375</v>
      </c>
      <c r="I240" s="8">
        <v>38032.5</v>
      </c>
    </row>
    <row r="241" spans="1:9" s="9" customFormat="1">
      <c r="A241" t="s">
        <v>93</v>
      </c>
      <c r="B241" t="s">
        <v>11</v>
      </c>
      <c r="C241" s="2">
        <v>4264</v>
      </c>
      <c r="D241" s="2">
        <v>4140058</v>
      </c>
      <c r="E241" s="2">
        <v>30639453738</v>
      </c>
      <c r="F241" t="s">
        <v>49</v>
      </c>
      <c r="G241" s="6">
        <v>75450</v>
      </c>
      <c r="H241" s="6">
        <v>15844.5</v>
      </c>
      <c r="I241" s="6">
        <v>98085</v>
      </c>
    </row>
    <row r="242" spans="1:9" s="9" customFormat="1">
      <c r="A242" s="7"/>
      <c r="B242" s="7"/>
      <c r="C242" s="7"/>
      <c r="D242" s="7">
        <v>4140058</v>
      </c>
      <c r="E242" s="7"/>
      <c r="F242" s="7"/>
      <c r="G242" s="8">
        <v>75450</v>
      </c>
      <c r="H242" s="8">
        <v>15844.5</v>
      </c>
      <c r="I242" s="8">
        <v>98085</v>
      </c>
    </row>
    <row r="243" spans="1:9" s="9" customFormat="1">
      <c r="A243" t="s">
        <v>93</v>
      </c>
      <c r="B243" t="s">
        <v>11</v>
      </c>
      <c r="C243" s="2">
        <v>4264</v>
      </c>
      <c r="D243" s="2">
        <v>4148661</v>
      </c>
      <c r="E243" s="2">
        <v>30639453738</v>
      </c>
      <c r="F243" t="s">
        <v>49</v>
      </c>
      <c r="G243" s="6">
        <v>28025</v>
      </c>
      <c r="H243" s="6">
        <v>5885.25</v>
      </c>
      <c r="I243" s="6">
        <v>34751</v>
      </c>
    </row>
    <row r="244" spans="1:9" s="9" customFormat="1">
      <c r="A244" s="7"/>
      <c r="B244" s="7"/>
      <c r="C244" s="7"/>
      <c r="D244" s="7">
        <v>4148661</v>
      </c>
      <c r="E244" s="7"/>
      <c r="F244" s="7"/>
      <c r="G244" s="8">
        <v>28025</v>
      </c>
      <c r="H244" s="8">
        <v>5885.25</v>
      </c>
      <c r="I244" s="8">
        <v>34751</v>
      </c>
    </row>
    <row r="245" spans="1:9" s="9" customFormat="1">
      <c r="A245" t="s">
        <v>93</v>
      </c>
      <c r="B245" t="s">
        <v>11</v>
      </c>
      <c r="C245" s="2">
        <v>4264</v>
      </c>
      <c r="D245" s="2">
        <v>4186428</v>
      </c>
      <c r="E245" s="2">
        <v>30639453738</v>
      </c>
      <c r="F245" t="s">
        <v>49</v>
      </c>
      <c r="G245" s="6">
        <v>150900</v>
      </c>
      <c r="H245" s="6">
        <v>31689</v>
      </c>
      <c r="I245" s="6">
        <v>196170</v>
      </c>
    </row>
    <row r="246" spans="1:9" s="9" customFormat="1">
      <c r="A246" s="7"/>
      <c r="B246" s="7"/>
      <c r="C246" s="7"/>
      <c r="D246" s="7">
        <v>4186428</v>
      </c>
      <c r="E246" s="7"/>
      <c r="F246" s="7"/>
      <c r="G246" s="8">
        <v>150905.09375</v>
      </c>
      <c r="H246" s="8">
        <v>31689</v>
      </c>
      <c r="I246" s="8">
        <v>196175</v>
      </c>
    </row>
    <row r="247" spans="1:9" s="7" customFormat="1">
      <c r="A247" t="s">
        <v>60</v>
      </c>
      <c r="B247" t="s">
        <v>11</v>
      </c>
      <c r="C247" s="2">
        <v>6364</v>
      </c>
      <c r="D247" s="2">
        <v>8508923</v>
      </c>
      <c r="E247" s="2">
        <v>30639453738</v>
      </c>
      <c r="F247" t="s">
        <v>49</v>
      </c>
      <c r="G247" s="6">
        <v>239833.73</v>
      </c>
      <c r="H247" s="6">
        <v>50761.93</v>
      </c>
      <c r="I247" s="6">
        <v>311289.76</v>
      </c>
    </row>
    <row r="248" spans="1:9" s="7" customFormat="1">
      <c r="D248" s="7">
        <v>8508923</v>
      </c>
      <c r="G248" s="8">
        <v>239903.98878479001</v>
      </c>
      <c r="H248" s="8">
        <v>50761.93</v>
      </c>
      <c r="I248" s="8">
        <v>311290</v>
      </c>
    </row>
    <row r="249" spans="1:9" s="12" customFormat="1">
      <c r="D249" s="12">
        <v>18254187</v>
      </c>
      <c r="G249" s="13">
        <v>132963.30322265599</v>
      </c>
      <c r="H249" s="13">
        <v>33746.08984375</v>
      </c>
      <c r="I249" s="13">
        <v>170459</v>
      </c>
    </row>
    <row r="250" spans="1:9" s="12" customFormat="1">
      <c r="D250" s="12">
        <v>22113304</v>
      </c>
      <c r="G250" s="13">
        <v>109982</v>
      </c>
      <c r="H250" s="13">
        <v>27642.7890625</v>
      </c>
      <c r="I250" s="13">
        <v>155183</v>
      </c>
    </row>
    <row r="251" spans="1:9" s="12" customFormat="1">
      <c r="D251" s="12">
        <v>29089814</v>
      </c>
      <c r="G251" s="13">
        <v>31787.349121093801</v>
      </c>
      <c r="H251" s="13">
        <v>6080.10009765625</v>
      </c>
      <c r="I251" s="13">
        <v>37867.4</v>
      </c>
    </row>
    <row r="252" spans="1:9" s="12" customFormat="1">
      <c r="D252" s="12">
        <v>29576125</v>
      </c>
      <c r="G252" s="13">
        <v>80968.9580078125</v>
      </c>
      <c r="H252" s="13">
        <v>20549.919921875</v>
      </c>
      <c r="I252" s="13">
        <v>114568</v>
      </c>
    </row>
    <row r="253" spans="1:9" s="12" customFormat="1">
      <c r="D253" s="12">
        <v>30327824</v>
      </c>
      <c r="G253" s="13">
        <v>243225.41796875</v>
      </c>
      <c r="H253" s="13">
        <v>61730.58984375</v>
      </c>
      <c r="I253" s="13">
        <v>344155</v>
      </c>
    </row>
    <row r="254" spans="1:9" s="12" customFormat="1">
      <c r="D254" s="12">
        <v>30828038</v>
      </c>
      <c r="G254" s="13">
        <v>70144.064453125</v>
      </c>
      <c r="H254" s="13">
        <v>12734.849609375</v>
      </c>
      <c r="I254" s="13">
        <v>82878.899999999994</v>
      </c>
    </row>
    <row r="255" spans="1:9" s="12" customFormat="1">
      <c r="D255" s="12">
        <v>53090878</v>
      </c>
      <c r="G255" s="13">
        <v>120535.205078125</v>
      </c>
      <c r="H255" s="13">
        <v>32544.5</v>
      </c>
      <c r="I255" s="13">
        <v>163928</v>
      </c>
    </row>
  </sheetData>
  <autoFilter ref="A2:I167" xr:uid="{00000000-0001-0000-0000-000000000000}">
    <sortState xmlns:xlrd2="http://schemas.microsoft.com/office/spreadsheetml/2017/richdata2" ref="A3:I255">
      <sortCondition sortBy="cellColor" ref="D2:D167" dxfId="0"/>
    </sortState>
  </autoFilter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5C89-D181-4D04-95B6-392010AC7F62}">
  <dimension ref="C3:H24"/>
  <sheetViews>
    <sheetView workbookViewId="0">
      <selection activeCell="C21" sqref="C21:H21"/>
    </sheetView>
  </sheetViews>
  <sheetFormatPr baseColWidth="10" defaultRowHeight="15"/>
  <cols>
    <col min="3" max="8" width="11.42578125" style="6"/>
  </cols>
  <sheetData>
    <row r="3" spans="3:8">
      <c r="C3" s="6">
        <v>10</v>
      </c>
      <c r="D3" s="6">
        <f>C3*0.21</f>
        <v>2.1</v>
      </c>
      <c r="E3" s="6">
        <v>5232.74</v>
      </c>
      <c r="F3" s="6">
        <f>E3*0.105</f>
        <v>549.43769999999995</v>
      </c>
      <c r="G3" s="14" t="s">
        <v>129</v>
      </c>
      <c r="H3" s="14" t="s">
        <v>130</v>
      </c>
    </row>
    <row r="4" spans="3:8">
      <c r="C4" s="6">
        <v>35000</v>
      </c>
      <c r="D4" s="6">
        <f t="shared" ref="D4:H24" si="0">C4*0.21</f>
        <v>7350</v>
      </c>
      <c r="F4" s="6">
        <f t="shared" ref="F4:F24" si="1">E4*0.105</f>
        <v>0</v>
      </c>
      <c r="G4" s="6">
        <v>78.489999999999995</v>
      </c>
      <c r="H4" s="6">
        <v>313.95999999999998</v>
      </c>
    </row>
    <row r="5" spans="3:8">
      <c r="C5" s="6">
        <v>46800</v>
      </c>
      <c r="D5" s="6">
        <f t="shared" si="0"/>
        <v>9828</v>
      </c>
      <c r="F5" s="6">
        <f t="shared" si="1"/>
        <v>0</v>
      </c>
      <c r="G5" s="6">
        <v>1050</v>
      </c>
      <c r="H5" s="6">
        <v>2100</v>
      </c>
    </row>
    <row r="6" spans="3:8">
      <c r="C6" s="6">
        <v>300</v>
      </c>
      <c r="D6" s="6">
        <f t="shared" si="0"/>
        <v>63</v>
      </c>
      <c r="F6" s="6">
        <f t="shared" si="1"/>
        <v>0</v>
      </c>
      <c r="G6" s="6">
        <v>1404</v>
      </c>
      <c r="H6" s="6">
        <v>2808</v>
      </c>
    </row>
    <row r="7" spans="3:8">
      <c r="C7" s="6">
        <v>300</v>
      </c>
      <c r="D7" s="6">
        <f t="shared" si="0"/>
        <v>63</v>
      </c>
      <c r="F7" s="6">
        <f t="shared" si="1"/>
        <v>0</v>
      </c>
    </row>
    <row r="8" spans="3:8">
      <c r="C8" s="6">
        <v>300</v>
      </c>
      <c r="D8" s="6">
        <f t="shared" si="0"/>
        <v>63</v>
      </c>
      <c r="F8" s="6">
        <f t="shared" si="1"/>
        <v>0</v>
      </c>
    </row>
    <row r="9" spans="3:8">
      <c r="C9" s="6">
        <v>300</v>
      </c>
      <c r="D9" s="6">
        <f t="shared" si="0"/>
        <v>63</v>
      </c>
      <c r="F9" s="6">
        <f t="shared" si="1"/>
        <v>0</v>
      </c>
    </row>
    <row r="10" spans="3:8">
      <c r="C10" s="6">
        <v>300</v>
      </c>
      <c r="D10" s="6">
        <f t="shared" si="0"/>
        <v>63</v>
      </c>
      <c r="F10" s="6">
        <f t="shared" si="1"/>
        <v>0</v>
      </c>
    </row>
    <row r="11" spans="3:8">
      <c r="C11" s="6">
        <v>300</v>
      </c>
      <c r="D11" s="6">
        <f t="shared" si="0"/>
        <v>63</v>
      </c>
      <c r="F11" s="6">
        <f t="shared" si="1"/>
        <v>0</v>
      </c>
    </row>
    <row r="12" spans="3:8">
      <c r="C12" s="6">
        <v>300</v>
      </c>
      <c r="D12" s="6">
        <f t="shared" si="0"/>
        <v>63</v>
      </c>
      <c r="F12" s="6">
        <f t="shared" si="1"/>
        <v>0</v>
      </c>
    </row>
    <row r="13" spans="3:8">
      <c r="C13" s="6">
        <v>300</v>
      </c>
      <c r="D13" s="6">
        <f t="shared" si="0"/>
        <v>63</v>
      </c>
      <c r="F13" s="6">
        <f t="shared" si="1"/>
        <v>0</v>
      </c>
    </row>
    <row r="14" spans="3:8">
      <c r="C14" s="6">
        <v>300</v>
      </c>
      <c r="D14" s="6">
        <f t="shared" si="0"/>
        <v>63</v>
      </c>
      <c r="F14" s="6">
        <f t="shared" si="1"/>
        <v>0</v>
      </c>
    </row>
    <row r="15" spans="3:8">
      <c r="C15" s="6">
        <v>300</v>
      </c>
      <c r="D15" s="6">
        <f t="shared" si="0"/>
        <v>63</v>
      </c>
      <c r="F15" s="6">
        <f t="shared" si="1"/>
        <v>0</v>
      </c>
    </row>
    <row r="16" spans="3:8">
      <c r="C16" s="6">
        <v>300</v>
      </c>
      <c r="D16" s="6">
        <f t="shared" si="0"/>
        <v>63</v>
      </c>
      <c r="F16" s="6">
        <f t="shared" si="1"/>
        <v>0</v>
      </c>
    </row>
    <row r="17" spans="3:8">
      <c r="C17" s="6">
        <v>300</v>
      </c>
      <c r="D17" s="6">
        <f t="shared" si="0"/>
        <v>63</v>
      </c>
      <c r="F17" s="6">
        <f t="shared" si="1"/>
        <v>0</v>
      </c>
    </row>
    <row r="18" spans="3:8">
      <c r="C18" s="6">
        <v>300</v>
      </c>
      <c r="D18" s="6">
        <f t="shared" si="0"/>
        <v>63</v>
      </c>
      <c r="F18" s="6">
        <f t="shared" si="1"/>
        <v>0</v>
      </c>
    </row>
    <row r="19" spans="3:8">
      <c r="C19" s="6">
        <v>300</v>
      </c>
      <c r="D19" s="6">
        <f t="shared" si="0"/>
        <v>63</v>
      </c>
      <c r="F19" s="6">
        <f t="shared" si="1"/>
        <v>0</v>
      </c>
    </row>
    <row r="20" spans="3:8">
      <c r="C20" s="6">
        <v>300</v>
      </c>
      <c r="D20" s="6">
        <f t="shared" si="0"/>
        <v>63</v>
      </c>
      <c r="F20" s="6">
        <f t="shared" si="1"/>
        <v>0</v>
      </c>
    </row>
    <row r="21" spans="3:8">
      <c r="C21" s="6">
        <f>SUM(C3:C20)</f>
        <v>86310</v>
      </c>
      <c r="D21" s="6">
        <f>SUM(D3:D20)</f>
        <v>18125.099999999999</v>
      </c>
      <c r="E21" s="6">
        <f t="shared" ref="E21:H21" si="2">SUM(E3:E20)</f>
        <v>5232.74</v>
      </c>
      <c r="F21" s="6">
        <f t="shared" si="2"/>
        <v>549.43769999999995</v>
      </c>
      <c r="G21" s="6">
        <f t="shared" si="2"/>
        <v>2532.4899999999998</v>
      </c>
      <c r="H21" s="6">
        <f t="shared" si="2"/>
        <v>5221.96</v>
      </c>
    </row>
    <row r="22" spans="3:8">
      <c r="D22" s="6">
        <f t="shared" si="0"/>
        <v>0</v>
      </c>
      <c r="F22" s="6">
        <f t="shared" si="1"/>
        <v>0</v>
      </c>
    </row>
    <row r="23" spans="3:8">
      <c r="D23" s="6">
        <f t="shared" si="0"/>
        <v>0</v>
      </c>
      <c r="F23" s="6">
        <f t="shared" si="1"/>
        <v>0</v>
      </c>
    </row>
    <row r="24" spans="3:8">
      <c r="D24" s="6">
        <f t="shared" si="0"/>
        <v>0</v>
      </c>
      <c r="F24" s="6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2024-09-06T19:51:10Z</dcterms:created>
  <dcterms:modified xsi:type="dcterms:W3CDTF">2024-09-06T19:51:10Z</dcterms:modified>
</cp:coreProperties>
</file>