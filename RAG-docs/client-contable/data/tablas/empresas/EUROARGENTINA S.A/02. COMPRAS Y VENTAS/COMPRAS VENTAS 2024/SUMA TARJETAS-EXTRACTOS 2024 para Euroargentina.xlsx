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3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4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7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drawings/drawing8.xml" ContentType="application/vnd.openxmlformats-officedocument.drawing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drawings/drawing9.xml" ContentType="application/vnd.openxmlformats-officedocument.drawing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drawings/drawing10.xml" ContentType="application/vnd.openxmlformats-officedocument.drawing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drawings/drawing11.xml" ContentType="application/vnd.openxmlformats-officedocument.drawing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drawings/drawing12.xml" ContentType="application/vnd.openxmlformats-officedocument.drawing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EUROARGENTINA S.A\COMPRAS VENTAS 2024\"/>
    </mc:Choice>
  </mc:AlternateContent>
  <xr:revisionPtr revIDLastSave="0" documentId="13_ncr:1_{7D804115-66F4-4226-873C-165018F56041}" xr6:coauthVersionLast="47" xr6:coauthVersionMax="47" xr10:uidLastSave="{00000000-0000-0000-0000-000000000000}"/>
  <bookViews>
    <workbookView xWindow="15" yWindow="0" windowWidth="13620" windowHeight="15600" firstSheet="4" activeTab="5" xr2:uid="{00000000-000D-0000-FFFF-FFFF00000000}"/>
  </bookViews>
  <sheets>
    <sheet name="01-2024" sheetId="9" r:id="rId1"/>
    <sheet name="02-2024 " sheetId="10" r:id="rId2"/>
    <sheet name="03-2024" sheetId="11" r:id="rId3"/>
    <sheet name="04-2024" sheetId="13" r:id="rId4"/>
    <sheet name="05-2024" sheetId="14" r:id="rId5"/>
    <sheet name="06-2024" sheetId="18" r:id="rId6"/>
    <sheet name="07-2024" sheetId="19" r:id="rId7"/>
    <sheet name="08-2024" sheetId="20" r:id="rId8"/>
    <sheet name="09-2024" sheetId="15" r:id="rId9"/>
    <sheet name="10-2024" sheetId="16" r:id="rId10"/>
    <sheet name="11-2024" sheetId="21" r:id="rId11"/>
    <sheet name="12-2024" sheetId="17" r:id="rId1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9" i="21" l="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AA93" i="21"/>
  <c r="AA94" i="21"/>
  <c r="AA95" i="21"/>
  <c r="AA96" i="21"/>
  <c r="AA97" i="21"/>
  <c r="AA98" i="21"/>
  <c r="AA99" i="21"/>
  <c r="AA100" i="21"/>
  <c r="AA101" i="21"/>
  <c r="AA102" i="21"/>
  <c r="AA103" i="21"/>
  <c r="AA104" i="21"/>
  <c r="AA105" i="21"/>
  <c r="AA106" i="21"/>
  <c r="AA107" i="21"/>
  <c r="AA108" i="21"/>
  <c r="AA109" i="21"/>
  <c r="AA110" i="21"/>
  <c r="AA111" i="21"/>
  <c r="AA112" i="21"/>
  <c r="AA113" i="21"/>
  <c r="AA114" i="21"/>
  <c r="AA115" i="21"/>
  <c r="AA116" i="21"/>
  <c r="AA117" i="21"/>
  <c r="AA118" i="21"/>
  <c r="AA119" i="21"/>
  <c r="AA120" i="21"/>
  <c r="AA121" i="21"/>
  <c r="AA122" i="21"/>
  <c r="AA123" i="21"/>
  <c r="AA124" i="21"/>
  <c r="AA125" i="21"/>
  <c r="AA126" i="21"/>
  <c r="AA127" i="21"/>
  <c r="AA128" i="21"/>
  <c r="AA129" i="21"/>
  <c r="AA130" i="21"/>
  <c r="AA131" i="21"/>
  <c r="AA132" i="21"/>
  <c r="AA133" i="21"/>
  <c r="AA134" i="21"/>
  <c r="AA135" i="21"/>
  <c r="AA136" i="21"/>
  <c r="AA137" i="21"/>
  <c r="AA138" i="21"/>
  <c r="AA139" i="21"/>
  <c r="AA140" i="21"/>
  <c r="AA141" i="21"/>
  <c r="AA142" i="21"/>
  <c r="AA143" i="21"/>
  <c r="AA144" i="21"/>
  <c r="AA145" i="21"/>
  <c r="AA146" i="21"/>
  <c r="AA147" i="21"/>
  <c r="AA148" i="21"/>
  <c r="AA149" i="21"/>
  <c r="AA150" i="21"/>
  <c r="AA151" i="21"/>
  <c r="AA152" i="21"/>
  <c r="AA153" i="21"/>
  <c r="AA154" i="21"/>
  <c r="AA155" i="21"/>
  <c r="AA156" i="21"/>
  <c r="AA157" i="21"/>
  <c r="AA158" i="21"/>
  <c r="AA159" i="21"/>
  <c r="AA160" i="21"/>
  <c r="AA161" i="21"/>
  <c r="AA162" i="21"/>
  <c r="AA163" i="21"/>
  <c r="AA164" i="21"/>
  <c r="AA165" i="21"/>
  <c r="AA166" i="21"/>
  <c r="AA167" i="21"/>
  <c r="AA36" i="21"/>
  <c r="AA37" i="21"/>
  <c r="AA38" i="21"/>
  <c r="AA39" i="21"/>
  <c r="AA40" i="21"/>
  <c r="AA41" i="21"/>
  <c r="AA42" i="21"/>
  <c r="AA43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L16" i="21" l="1"/>
  <c r="AD169" i="21"/>
  <c r="G7" i="21" s="1"/>
  <c r="AC169" i="21"/>
  <c r="Z169" i="21"/>
  <c r="C7" i="21" s="1"/>
  <c r="AA168" i="21"/>
  <c r="R135" i="21"/>
  <c r="G5" i="21" s="1"/>
  <c r="Q135" i="21"/>
  <c r="N135" i="21"/>
  <c r="C5" i="21" s="1"/>
  <c r="O134" i="21"/>
  <c r="O122" i="21"/>
  <c r="O121" i="21"/>
  <c r="O120" i="21"/>
  <c r="O119" i="21"/>
  <c r="O118" i="21"/>
  <c r="O117" i="21"/>
  <c r="O116" i="21"/>
  <c r="O115" i="21"/>
  <c r="O114" i="21"/>
  <c r="O113" i="21"/>
  <c r="O112" i="21"/>
  <c r="O111" i="21"/>
  <c r="O110" i="21"/>
  <c r="O109" i="21"/>
  <c r="O108" i="21"/>
  <c r="O107" i="21"/>
  <c r="O106" i="21"/>
  <c r="O105" i="21"/>
  <c r="O104" i="21"/>
  <c r="O103" i="21"/>
  <c r="O102" i="21"/>
  <c r="L102" i="21"/>
  <c r="G10" i="21" s="1"/>
  <c r="K102" i="21"/>
  <c r="J102" i="21"/>
  <c r="H102" i="21"/>
  <c r="C10" i="21" s="1"/>
  <c r="O101" i="21"/>
  <c r="I101" i="21"/>
  <c r="O100" i="21"/>
  <c r="I100" i="21"/>
  <c r="O99" i="21"/>
  <c r="I99" i="21"/>
  <c r="O98" i="21"/>
  <c r="I98" i="21"/>
  <c r="O97" i="21"/>
  <c r="I97" i="21"/>
  <c r="O96" i="21"/>
  <c r="I96" i="21"/>
  <c r="O95" i="21"/>
  <c r="I95" i="21"/>
  <c r="X94" i="21"/>
  <c r="W94" i="21"/>
  <c r="V94" i="21"/>
  <c r="T94" i="21"/>
  <c r="O94" i="21"/>
  <c r="I94" i="21"/>
  <c r="U93" i="21"/>
  <c r="O93" i="21"/>
  <c r="I93" i="21"/>
  <c r="U92" i="21"/>
  <c r="O92" i="21"/>
  <c r="I92" i="21"/>
  <c r="U91" i="21"/>
  <c r="O91" i="21"/>
  <c r="I91" i="21"/>
  <c r="U90" i="21"/>
  <c r="O90" i="21"/>
  <c r="I90" i="21"/>
  <c r="U89" i="21"/>
  <c r="O89" i="21"/>
  <c r="I89" i="21"/>
  <c r="U88" i="21"/>
  <c r="O88" i="21"/>
  <c r="I88" i="21"/>
  <c r="U87" i="21"/>
  <c r="O87" i="21"/>
  <c r="I87" i="21"/>
  <c r="U86" i="21"/>
  <c r="O86" i="21"/>
  <c r="I86" i="21"/>
  <c r="U85" i="21"/>
  <c r="O85" i="21"/>
  <c r="I85" i="21"/>
  <c r="U84" i="21"/>
  <c r="O84" i="21"/>
  <c r="I84" i="21"/>
  <c r="U83" i="21"/>
  <c r="O83" i="21"/>
  <c r="I83" i="21"/>
  <c r="U82" i="21"/>
  <c r="O82" i="21"/>
  <c r="I82" i="21"/>
  <c r="U81" i="21"/>
  <c r="O81" i="21"/>
  <c r="I81" i="21"/>
  <c r="U80" i="21"/>
  <c r="O80" i="21"/>
  <c r="I80" i="21"/>
  <c r="U79" i="21"/>
  <c r="O79" i="21"/>
  <c r="I79" i="21"/>
  <c r="U78" i="21"/>
  <c r="O78" i="21"/>
  <c r="I78" i="21"/>
  <c r="U77" i="21"/>
  <c r="O77" i="21"/>
  <c r="I77" i="21"/>
  <c r="U76" i="21"/>
  <c r="O76" i="21"/>
  <c r="I76" i="21"/>
  <c r="U75" i="21"/>
  <c r="O75" i="21"/>
  <c r="I75" i="21"/>
  <c r="U74" i="21"/>
  <c r="O74" i="21"/>
  <c r="I74" i="21"/>
  <c r="U73" i="21"/>
  <c r="O73" i="21"/>
  <c r="I73" i="21"/>
  <c r="U72" i="21"/>
  <c r="O72" i="21"/>
  <c r="I72" i="21"/>
  <c r="U71" i="21"/>
  <c r="O71" i="21"/>
  <c r="I71" i="21"/>
  <c r="U70" i="21"/>
  <c r="O70" i="21"/>
  <c r="I70" i="21"/>
  <c r="U69" i="21"/>
  <c r="O69" i="21"/>
  <c r="I69" i="21"/>
  <c r="U68" i="21"/>
  <c r="O68" i="21"/>
  <c r="I68" i="21"/>
  <c r="U67" i="21"/>
  <c r="O67" i="21"/>
  <c r="I67" i="21"/>
  <c r="U66" i="21"/>
  <c r="U94" i="21" s="1"/>
  <c r="O66" i="21"/>
  <c r="I66" i="21"/>
  <c r="O65" i="21"/>
  <c r="I65" i="21"/>
  <c r="O64" i="21"/>
  <c r="I64" i="21"/>
  <c r="O63" i="21"/>
  <c r="I63" i="21"/>
  <c r="X62" i="21"/>
  <c r="W62" i="21"/>
  <c r="F8" i="21" s="1"/>
  <c r="T62" i="21"/>
  <c r="O62" i="21"/>
  <c r="I62" i="21"/>
  <c r="U61" i="21"/>
  <c r="O61" i="21"/>
  <c r="I61" i="21"/>
  <c r="F61" i="21"/>
  <c r="E61" i="21"/>
  <c r="D61" i="21"/>
  <c r="B61" i="21"/>
  <c r="U60" i="21"/>
  <c r="O60" i="21"/>
  <c r="I60" i="21"/>
  <c r="C60" i="21"/>
  <c r="U59" i="21"/>
  <c r="O59" i="21"/>
  <c r="I59" i="21"/>
  <c r="C59" i="21"/>
  <c r="U58" i="21"/>
  <c r="O58" i="21"/>
  <c r="I58" i="21"/>
  <c r="I102" i="21" s="1"/>
  <c r="D10" i="21" s="1"/>
  <c r="C58" i="21"/>
  <c r="U57" i="21"/>
  <c r="O57" i="21"/>
  <c r="I57" i="21"/>
  <c r="C57" i="21"/>
  <c r="U56" i="21"/>
  <c r="O56" i="21"/>
  <c r="I56" i="21"/>
  <c r="C56" i="21"/>
  <c r="U55" i="21"/>
  <c r="O55" i="21"/>
  <c r="C55" i="21"/>
  <c r="U54" i="21"/>
  <c r="O54" i="21"/>
  <c r="C54" i="21"/>
  <c r="U53" i="21"/>
  <c r="O53" i="21"/>
  <c r="L53" i="21"/>
  <c r="K53" i="21"/>
  <c r="F4" i="21" s="1"/>
  <c r="J53" i="21"/>
  <c r="E4" i="21" s="1"/>
  <c r="H53" i="21"/>
  <c r="C53" i="21"/>
  <c r="U52" i="21"/>
  <c r="O52" i="21"/>
  <c r="I52" i="21"/>
  <c r="C52" i="21"/>
  <c r="U51" i="21"/>
  <c r="O51" i="21"/>
  <c r="I51" i="21"/>
  <c r="C51" i="21"/>
  <c r="U50" i="21"/>
  <c r="O50" i="21"/>
  <c r="I50" i="21"/>
  <c r="C50" i="21"/>
  <c r="U49" i="21"/>
  <c r="O49" i="21"/>
  <c r="I49" i="21"/>
  <c r="C49" i="21"/>
  <c r="AA48" i="21"/>
  <c r="U48" i="21"/>
  <c r="O48" i="21"/>
  <c r="I48" i="21"/>
  <c r="C48" i="21"/>
  <c r="AA47" i="21"/>
  <c r="U47" i="21"/>
  <c r="O47" i="21"/>
  <c r="I47" i="21"/>
  <c r="C47" i="21"/>
  <c r="AA46" i="21"/>
  <c r="U46" i="21"/>
  <c r="O46" i="21"/>
  <c r="I46" i="21"/>
  <c r="C46" i="21"/>
  <c r="AA45" i="21"/>
  <c r="U45" i="21"/>
  <c r="O45" i="21"/>
  <c r="I45" i="21"/>
  <c r="C45" i="21"/>
  <c r="AA44" i="21"/>
  <c r="U44" i="21"/>
  <c r="O44" i="21"/>
  <c r="I44" i="21"/>
  <c r="C44" i="21"/>
  <c r="U43" i="21"/>
  <c r="O43" i="21"/>
  <c r="I43" i="21"/>
  <c r="C43" i="21"/>
  <c r="U42" i="21"/>
  <c r="O42" i="21"/>
  <c r="I42" i="21"/>
  <c r="C42" i="21"/>
  <c r="U41" i="21"/>
  <c r="O41" i="21"/>
  <c r="I41" i="21"/>
  <c r="C41" i="21"/>
  <c r="U40" i="21"/>
  <c r="O40" i="21"/>
  <c r="I40" i="21"/>
  <c r="C40" i="21"/>
  <c r="U39" i="21"/>
  <c r="O39" i="21"/>
  <c r="I39" i="21"/>
  <c r="C39" i="21"/>
  <c r="U38" i="21"/>
  <c r="O38" i="21"/>
  <c r="I38" i="21"/>
  <c r="C38" i="21"/>
  <c r="U37" i="21"/>
  <c r="O37" i="21"/>
  <c r="I37" i="21"/>
  <c r="C37" i="21"/>
  <c r="U36" i="21"/>
  <c r="U62" i="21" s="1"/>
  <c r="D8" i="21" s="1"/>
  <c r="O36" i="21"/>
  <c r="I36" i="21"/>
  <c r="C36" i="21"/>
  <c r="AA35" i="21"/>
  <c r="AB169" i="21" s="1"/>
  <c r="E7" i="21" s="1"/>
  <c r="V35" i="21"/>
  <c r="V62" i="21" s="1"/>
  <c r="E8" i="21" s="1"/>
  <c r="O35" i="21"/>
  <c r="I35" i="21"/>
  <c r="C35" i="21"/>
  <c r="AA34" i="21"/>
  <c r="U34" i="21"/>
  <c r="O34" i="21"/>
  <c r="I34" i="21"/>
  <c r="C34" i="21"/>
  <c r="AA33" i="21"/>
  <c r="O33" i="21"/>
  <c r="I33" i="21"/>
  <c r="C33" i="21"/>
  <c r="O32" i="21"/>
  <c r="I32" i="21"/>
  <c r="C32" i="21"/>
  <c r="AO31" i="21"/>
  <c r="AN31" i="21"/>
  <c r="AM31" i="21"/>
  <c r="E11" i="21" s="1"/>
  <c r="AK31" i="21"/>
  <c r="C11" i="21" s="1"/>
  <c r="X31" i="21"/>
  <c r="W31" i="21"/>
  <c r="F6" i="21" s="1"/>
  <c r="V31" i="21"/>
  <c r="E6" i="21" s="1"/>
  <c r="T31" i="21"/>
  <c r="O31" i="21"/>
  <c r="I31" i="21"/>
  <c r="C31" i="21"/>
  <c r="AL30" i="21"/>
  <c r="U30" i="21"/>
  <c r="O30" i="21"/>
  <c r="I30" i="21"/>
  <c r="C30" i="21"/>
  <c r="AL29" i="21"/>
  <c r="U29" i="21"/>
  <c r="O29" i="21"/>
  <c r="I29" i="21"/>
  <c r="C29" i="21"/>
  <c r="AL28" i="21"/>
  <c r="U28" i="21"/>
  <c r="O28" i="21"/>
  <c r="I28" i="21"/>
  <c r="C28" i="21"/>
  <c r="AL27" i="21"/>
  <c r="U27" i="21"/>
  <c r="O27" i="21"/>
  <c r="I27" i="21"/>
  <c r="C27" i="21"/>
  <c r="AL26" i="21"/>
  <c r="AJ26" i="21"/>
  <c r="AI26" i="21"/>
  <c r="AH26" i="21"/>
  <c r="AF26" i="21"/>
  <c r="U26" i="21"/>
  <c r="O26" i="21"/>
  <c r="I26" i="21"/>
  <c r="C26" i="21"/>
  <c r="AL25" i="21"/>
  <c r="AG25" i="21"/>
  <c r="U25" i="21"/>
  <c r="O25" i="21"/>
  <c r="I25" i="21"/>
  <c r="C25" i="21"/>
  <c r="AL24" i="21"/>
  <c r="AG24" i="21"/>
  <c r="U24" i="21"/>
  <c r="O24" i="21"/>
  <c r="I24" i="21"/>
  <c r="C24" i="21"/>
  <c r="AL23" i="21"/>
  <c r="AG23" i="21"/>
  <c r="U23" i="21"/>
  <c r="O23" i="21"/>
  <c r="I23" i="21"/>
  <c r="C23" i="21"/>
  <c r="AL22" i="21"/>
  <c r="AG22" i="21"/>
  <c r="U22" i="21"/>
  <c r="O22" i="21"/>
  <c r="I22" i="21"/>
  <c r="C22" i="21"/>
  <c r="AL21" i="21"/>
  <c r="AG21" i="21"/>
  <c r="U21" i="21"/>
  <c r="O21" i="21"/>
  <c r="I21" i="21"/>
  <c r="C21" i="21"/>
  <c r="AL20" i="21"/>
  <c r="AG20" i="21"/>
  <c r="U20" i="21"/>
  <c r="O20" i="21"/>
  <c r="I20" i="21"/>
  <c r="C20" i="21"/>
  <c r="AL19" i="21"/>
  <c r="AG19" i="21"/>
  <c r="U19" i="21"/>
  <c r="O19" i="21"/>
  <c r="I19" i="21"/>
  <c r="C19" i="21"/>
  <c r="AL18" i="21"/>
  <c r="AL31" i="21" s="1"/>
  <c r="D11" i="21" s="1"/>
  <c r="AG18" i="21"/>
  <c r="AA18" i="21"/>
  <c r="U18" i="21"/>
  <c r="O18" i="21"/>
  <c r="O135" i="21" s="1"/>
  <c r="D5" i="21" s="1"/>
  <c r="I18" i="21"/>
  <c r="C18" i="21"/>
  <c r="AL17" i="21"/>
  <c r="AG17" i="21"/>
  <c r="AA17" i="21"/>
  <c r="U17" i="21"/>
  <c r="P17" i="21"/>
  <c r="P135" i="21" s="1"/>
  <c r="E5" i="21" s="1"/>
  <c r="I17" i="21"/>
  <c r="C17" i="21"/>
  <c r="AG16" i="21"/>
  <c r="AG26" i="21" s="1"/>
  <c r="D9" i="21" s="1"/>
  <c r="AA16" i="21"/>
  <c r="U16" i="21"/>
  <c r="U31" i="21" s="1"/>
  <c r="D6" i="21" s="1"/>
  <c r="O16" i="21"/>
  <c r="I16" i="21"/>
  <c r="I53" i="21" s="1"/>
  <c r="D4" i="21" s="1"/>
  <c r="C16" i="21"/>
  <c r="C61" i="21" s="1"/>
  <c r="D3" i="21" s="1"/>
  <c r="B11" i="21"/>
  <c r="F10" i="21"/>
  <c r="E10" i="21"/>
  <c r="G9" i="21"/>
  <c r="F9" i="21"/>
  <c r="E9" i="21"/>
  <c r="C9" i="21"/>
  <c r="B9" i="21"/>
  <c r="G8" i="21"/>
  <c r="C8" i="21"/>
  <c r="B8" i="21"/>
  <c r="F7" i="21"/>
  <c r="B7" i="21"/>
  <c r="G6" i="21"/>
  <c r="C6" i="21"/>
  <c r="B6" i="21"/>
  <c r="F5" i="21"/>
  <c r="B5" i="21"/>
  <c r="G4" i="21"/>
  <c r="C4" i="21"/>
  <c r="B4" i="21"/>
  <c r="G3" i="21"/>
  <c r="F3" i="21"/>
  <c r="E3" i="21"/>
  <c r="C3" i="21"/>
  <c r="B3" i="21"/>
  <c r="AD169" i="20"/>
  <c r="AC169" i="20"/>
  <c r="AB169" i="20"/>
  <c r="Z169" i="20"/>
  <c r="AA168" i="20"/>
  <c r="AA167" i="20"/>
  <c r="AA166" i="20"/>
  <c r="AA165" i="20"/>
  <c r="AA164" i="20"/>
  <c r="AA163" i="20"/>
  <c r="AA162" i="20"/>
  <c r="AA161" i="20"/>
  <c r="AA160" i="20"/>
  <c r="AA159" i="20"/>
  <c r="AA158" i="20"/>
  <c r="AA157" i="20"/>
  <c r="AA156" i="20"/>
  <c r="AA155" i="20"/>
  <c r="AA154" i="20"/>
  <c r="AA153" i="20"/>
  <c r="AA152" i="20"/>
  <c r="AA151" i="20"/>
  <c r="AA150" i="20"/>
  <c r="AA149" i="20"/>
  <c r="AA148" i="20"/>
  <c r="AA147" i="20"/>
  <c r="AA146" i="20"/>
  <c r="AA145" i="20"/>
  <c r="AA144" i="20"/>
  <c r="AA143" i="20"/>
  <c r="AA142" i="20"/>
  <c r="AA141" i="20"/>
  <c r="AA140" i="20"/>
  <c r="AA139" i="20"/>
  <c r="AA138" i="20"/>
  <c r="AA137" i="20"/>
  <c r="AA136" i="20"/>
  <c r="AA135" i="20"/>
  <c r="R135" i="20"/>
  <c r="G5" i="20" s="1"/>
  <c r="Q135" i="20"/>
  <c r="N135" i="20"/>
  <c r="C5" i="20" s="1"/>
  <c r="AA134" i="20"/>
  <c r="O134" i="20"/>
  <c r="AA133" i="20"/>
  <c r="AA132" i="20"/>
  <c r="AA131" i="20"/>
  <c r="AA130" i="20"/>
  <c r="AA129" i="20"/>
  <c r="AA128" i="20"/>
  <c r="AA127" i="20"/>
  <c r="AA126" i="20"/>
  <c r="AA125" i="20"/>
  <c r="AA124" i="20"/>
  <c r="AA123" i="20"/>
  <c r="AA122" i="20"/>
  <c r="O122" i="20"/>
  <c r="AA121" i="20"/>
  <c r="O121" i="20"/>
  <c r="AA120" i="20"/>
  <c r="O120" i="20"/>
  <c r="AA119" i="20"/>
  <c r="O119" i="20"/>
  <c r="AA118" i="20"/>
  <c r="O118" i="20"/>
  <c r="AA117" i="20"/>
  <c r="O117" i="20"/>
  <c r="AA116" i="20"/>
  <c r="O116" i="20"/>
  <c r="AA115" i="20"/>
  <c r="O115" i="20"/>
  <c r="AA114" i="20"/>
  <c r="O114" i="20"/>
  <c r="AA113" i="20"/>
  <c r="O113" i="20"/>
  <c r="AA112" i="20"/>
  <c r="O112" i="20"/>
  <c r="AA111" i="20"/>
  <c r="O111" i="20"/>
  <c r="AA110" i="20"/>
  <c r="O110" i="20"/>
  <c r="AA109" i="20"/>
  <c r="O109" i="20"/>
  <c r="AA108" i="20"/>
  <c r="O108" i="20"/>
  <c r="AA107" i="20"/>
  <c r="O107" i="20"/>
  <c r="AA106" i="20"/>
  <c r="O106" i="20"/>
  <c r="AA105" i="20"/>
  <c r="O105" i="20"/>
  <c r="AA104" i="20"/>
  <c r="O104" i="20"/>
  <c r="AA103" i="20"/>
  <c r="O103" i="20"/>
  <c r="AA102" i="20"/>
  <c r="O102" i="20"/>
  <c r="L102" i="20"/>
  <c r="G10" i="20" s="1"/>
  <c r="K102" i="20"/>
  <c r="J102" i="20"/>
  <c r="H102" i="20"/>
  <c r="C10" i="20" s="1"/>
  <c r="AA101" i="20"/>
  <c r="O101" i="20"/>
  <c r="I101" i="20"/>
  <c r="AA100" i="20"/>
  <c r="O100" i="20"/>
  <c r="I100" i="20"/>
  <c r="AA99" i="20"/>
  <c r="O99" i="20"/>
  <c r="I99" i="20"/>
  <c r="AA98" i="20"/>
  <c r="O98" i="20"/>
  <c r="I98" i="20"/>
  <c r="AA97" i="20"/>
  <c r="O97" i="20"/>
  <c r="I97" i="20"/>
  <c r="AA96" i="20"/>
  <c r="O96" i="20"/>
  <c r="I96" i="20"/>
  <c r="AA95" i="20"/>
  <c r="O95" i="20"/>
  <c r="I95" i="20"/>
  <c r="AA94" i="20"/>
  <c r="X94" i="20"/>
  <c r="W94" i="20"/>
  <c r="V94" i="20"/>
  <c r="T94" i="20"/>
  <c r="O94" i="20"/>
  <c r="I94" i="20"/>
  <c r="AA93" i="20"/>
  <c r="U93" i="20"/>
  <c r="O93" i="20"/>
  <c r="I93" i="20"/>
  <c r="U92" i="20"/>
  <c r="O92" i="20"/>
  <c r="I92" i="20"/>
  <c r="AA91" i="20"/>
  <c r="U91" i="20"/>
  <c r="O91" i="20"/>
  <c r="I91" i="20"/>
  <c r="AA90" i="20"/>
  <c r="U90" i="20"/>
  <c r="O90" i="20"/>
  <c r="I90" i="20"/>
  <c r="AA89" i="20"/>
  <c r="U89" i="20"/>
  <c r="O89" i="20"/>
  <c r="I89" i="20"/>
  <c r="AA88" i="20"/>
  <c r="U88" i="20"/>
  <c r="O88" i="20"/>
  <c r="I88" i="20"/>
  <c r="AA87" i="20"/>
  <c r="U87" i="20"/>
  <c r="O87" i="20"/>
  <c r="I87" i="20"/>
  <c r="AA86" i="20"/>
  <c r="U86" i="20"/>
  <c r="O86" i="20"/>
  <c r="I86" i="20"/>
  <c r="U85" i="20"/>
  <c r="O85" i="20"/>
  <c r="I85" i="20"/>
  <c r="AA84" i="20"/>
  <c r="U84" i="20"/>
  <c r="O84" i="20"/>
  <c r="I84" i="20"/>
  <c r="AA83" i="20"/>
  <c r="U83" i="20"/>
  <c r="O83" i="20"/>
  <c r="I83" i="20"/>
  <c r="U82" i="20"/>
  <c r="O82" i="20"/>
  <c r="I82" i="20"/>
  <c r="AA81" i="20"/>
  <c r="U81" i="20"/>
  <c r="O81" i="20"/>
  <c r="I81" i="20"/>
  <c r="AA80" i="20"/>
  <c r="U80" i="20"/>
  <c r="O80" i="20"/>
  <c r="I80" i="20"/>
  <c r="AA79" i="20"/>
  <c r="U79" i="20"/>
  <c r="O79" i="20"/>
  <c r="I79" i="20"/>
  <c r="U78" i="20"/>
  <c r="O78" i="20"/>
  <c r="I78" i="20"/>
  <c r="AA77" i="20"/>
  <c r="U77" i="20"/>
  <c r="O77" i="20"/>
  <c r="I77" i="20"/>
  <c r="AA76" i="20"/>
  <c r="U76" i="20"/>
  <c r="O76" i="20"/>
  <c r="I76" i="20"/>
  <c r="AA75" i="20"/>
  <c r="U75" i="20"/>
  <c r="O75" i="20"/>
  <c r="I75" i="20"/>
  <c r="AA74" i="20"/>
  <c r="U74" i="20"/>
  <c r="O74" i="20"/>
  <c r="I74" i="20"/>
  <c r="U73" i="20"/>
  <c r="O73" i="20"/>
  <c r="I73" i="20"/>
  <c r="AA72" i="20"/>
  <c r="U72" i="20"/>
  <c r="O72" i="20"/>
  <c r="I72" i="20"/>
  <c r="AA71" i="20"/>
  <c r="U71" i="20"/>
  <c r="O71" i="20"/>
  <c r="I71" i="20"/>
  <c r="AA70" i="20"/>
  <c r="U70" i="20"/>
  <c r="O70" i="20"/>
  <c r="I70" i="20"/>
  <c r="AA69" i="20"/>
  <c r="U69" i="20"/>
  <c r="O69" i="20"/>
  <c r="I69" i="20"/>
  <c r="AA68" i="20"/>
  <c r="U68" i="20"/>
  <c r="O68" i="20"/>
  <c r="I68" i="20"/>
  <c r="AA67" i="20"/>
  <c r="U67" i="20"/>
  <c r="O67" i="20"/>
  <c r="I67" i="20"/>
  <c r="AA66" i="20"/>
  <c r="U66" i="20"/>
  <c r="U94" i="20" s="1"/>
  <c r="O66" i="20"/>
  <c r="I66" i="20"/>
  <c r="AA65" i="20"/>
  <c r="O65" i="20"/>
  <c r="I65" i="20"/>
  <c r="AA64" i="20"/>
  <c r="O64" i="20"/>
  <c r="I64" i="20"/>
  <c r="AA63" i="20"/>
  <c r="O63" i="20"/>
  <c r="I63" i="20"/>
  <c r="AA62" i="20"/>
  <c r="X62" i="20"/>
  <c r="W62" i="20"/>
  <c r="F8" i="20" s="1"/>
  <c r="T62" i="20"/>
  <c r="O62" i="20"/>
  <c r="I62" i="20"/>
  <c r="AA61" i="20"/>
  <c r="U61" i="20"/>
  <c r="O61" i="20"/>
  <c r="I61" i="20"/>
  <c r="F61" i="20"/>
  <c r="E61" i="20"/>
  <c r="D61" i="20"/>
  <c r="B61" i="20"/>
  <c r="AA60" i="20"/>
  <c r="U60" i="20"/>
  <c r="O60" i="20"/>
  <c r="I60" i="20"/>
  <c r="C60" i="20"/>
  <c r="AA59" i="20"/>
  <c r="U59" i="20"/>
  <c r="O59" i="20"/>
  <c r="I59" i="20"/>
  <c r="C59" i="20"/>
  <c r="AA58" i="20"/>
  <c r="U58" i="20"/>
  <c r="O58" i="20"/>
  <c r="I58" i="20"/>
  <c r="C58" i="20"/>
  <c r="AA57" i="20"/>
  <c r="U57" i="20"/>
  <c r="O57" i="20"/>
  <c r="I57" i="20"/>
  <c r="C57" i="20"/>
  <c r="AA56" i="20"/>
  <c r="U56" i="20"/>
  <c r="O56" i="20"/>
  <c r="I56" i="20"/>
  <c r="I102" i="20" s="1"/>
  <c r="D10" i="20" s="1"/>
  <c r="C56" i="20"/>
  <c r="AA55" i="20"/>
  <c r="U55" i="20"/>
  <c r="O55" i="20"/>
  <c r="C55" i="20"/>
  <c r="AA54" i="20"/>
  <c r="U54" i="20"/>
  <c r="O54" i="20"/>
  <c r="C54" i="20"/>
  <c r="U53" i="20"/>
  <c r="O53" i="20"/>
  <c r="L53" i="20"/>
  <c r="K53" i="20"/>
  <c r="J53" i="20"/>
  <c r="E4" i="20" s="1"/>
  <c r="H53" i="20"/>
  <c r="C53" i="20"/>
  <c r="AA52" i="20"/>
  <c r="U52" i="20"/>
  <c r="O52" i="20"/>
  <c r="I52" i="20"/>
  <c r="C52" i="20"/>
  <c r="AA51" i="20"/>
  <c r="U51" i="20"/>
  <c r="O51" i="20"/>
  <c r="I51" i="20"/>
  <c r="C51" i="20"/>
  <c r="AA50" i="20"/>
  <c r="U50" i="20"/>
  <c r="O50" i="20"/>
  <c r="I50" i="20"/>
  <c r="C50" i="20"/>
  <c r="U49" i="20"/>
  <c r="O49" i="20"/>
  <c r="I49" i="20"/>
  <c r="C49" i="20"/>
  <c r="AA48" i="20"/>
  <c r="U48" i="20"/>
  <c r="O48" i="20"/>
  <c r="I48" i="20"/>
  <c r="C48" i="20"/>
  <c r="AA47" i="20"/>
  <c r="U47" i="20"/>
  <c r="O47" i="20"/>
  <c r="I47" i="20"/>
  <c r="C47" i="20"/>
  <c r="AA46" i="20"/>
  <c r="U46" i="20"/>
  <c r="O46" i="20"/>
  <c r="I46" i="20"/>
  <c r="C46" i="20"/>
  <c r="AA45" i="20"/>
  <c r="U45" i="20"/>
  <c r="O45" i="20"/>
  <c r="I45" i="20"/>
  <c r="C45" i="20"/>
  <c r="AA44" i="20"/>
  <c r="U44" i="20"/>
  <c r="O44" i="20"/>
  <c r="I44" i="20"/>
  <c r="C44" i="20"/>
  <c r="AA43" i="20"/>
  <c r="U43" i="20"/>
  <c r="O43" i="20"/>
  <c r="I43" i="20"/>
  <c r="C43" i="20"/>
  <c r="AA42" i="20"/>
  <c r="U42" i="20"/>
  <c r="O42" i="20"/>
  <c r="I42" i="20"/>
  <c r="C42" i="20"/>
  <c r="AA41" i="20"/>
  <c r="U41" i="20"/>
  <c r="O41" i="20"/>
  <c r="I41" i="20"/>
  <c r="C41" i="20"/>
  <c r="AA40" i="20"/>
  <c r="U40" i="20"/>
  <c r="O40" i="20"/>
  <c r="I40" i="20"/>
  <c r="C40" i="20"/>
  <c r="AA39" i="20"/>
  <c r="U39" i="20"/>
  <c r="O39" i="20"/>
  <c r="I39" i="20"/>
  <c r="C39" i="20"/>
  <c r="AA38" i="20"/>
  <c r="U38" i="20"/>
  <c r="O38" i="20"/>
  <c r="I38" i="20"/>
  <c r="C38" i="20"/>
  <c r="AA37" i="20"/>
  <c r="U37" i="20"/>
  <c r="O37" i="20"/>
  <c r="I37" i="20"/>
  <c r="C37" i="20"/>
  <c r="U36" i="20"/>
  <c r="O36" i="20"/>
  <c r="I36" i="20"/>
  <c r="C36" i="20"/>
  <c r="AA35" i="20"/>
  <c r="V35" i="20"/>
  <c r="V62" i="20" s="1"/>
  <c r="E8" i="20" s="1"/>
  <c r="O35" i="20"/>
  <c r="I35" i="20"/>
  <c r="C35" i="20"/>
  <c r="AA34" i="20"/>
  <c r="U34" i="20"/>
  <c r="U62" i="20" s="1"/>
  <c r="D8" i="20" s="1"/>
  <c r="O34" i="20"/>
  <c r="I34" i="20"/>
  <c r="C34" i="20"/>
  <c r="AA33" i="20"/>
  <c r="O33" i="20"/>
  <c r="I33" i="20"/>
  <c r="C33" i="20"/>
  <c r="O32" i="20"/>
  <c r="I32" i="20"/>
  <c r="C32" i="20"/>
  <c r="AO31" i="20"/>
  <c r="AN31" i="20"/>
  <c r="AM31" i="20"/>
  <c r="AK31" i="20"/>
  <c r="C11" i="20" s="1"/>
  <c r="AA31" i="20"/>
  <c r="X31" i="20"/>
  <c r="W31" i="20"/>
  <c r="V31" i="20"/>
  <c r="E6" i="20" s="1"/>
  <c r="T31" i="20"/>
  <c r="O31" i="20"/>
  <c r="I31" i="20"/>
  <c r="C31" i="20"/>
  <c r="AL30" i="20"/>
  <c r="AA30" i="20"/>
  <c r="U30" i="20"/>
  <c r="O30" i="20"/>
  <c r="I30" i="20"/>
  <c r="C30" i="20"/>
  <c r="AL29" i="20"/>
  <c r="U29" i="20"/>
  <c r="O29" i="20"/>
  <c r="I29" i="20"/>
  <c r="C29" i="20"/>
  <c r="AL28" i="20"/>
  <c r="AA28" i="20"/>
  <c r="U28" i="20"/>
  <c r="O28" i="20"/>
  <c r="I28" i="20"/>
  <c r="C28" i="20"/>
  <c r="AL27" i="20"/>
  <c r="AA27" i="20"/>
  <c r="U27" i="20"/>
  <c r="O27" i="20"/>
  <c r="I27" i="20"/>
  <c r="C27" i="20"/>
  <c r="AL26" i="20"/>
  <c r="AJ26" i="20"/>
  <c r="AI26" i="20"/>
  <c r="AH26" i="20"/>
  <c r="AF26" i="20"/>
  <c r="AA26" i="20"/>
  <c r="U26" i="20"/>
  <c r="O26" i="20"/>
  <c r="I26" i="20"/>
  <c r="C26" i="20"/>
  <c r="AL25" i="20"/>
  <c r="AG25" i="20"/>
  <c r="AA25" i="20"/>
  <c r="U25" i="20"/>
  <c r="O25" i="20"/>
  <c r="I25" i="20"/>
  <c r="C25" i="20"/>
  <c r="AL24" i="20"/>
  <c r="AG24" i="20"/>
  <c r="AA24" i="20"/>
  <c r="U24" i="20"/>
  <c r="O24" i="20"/>
  <c r="I24" i="20"/>
  <c r="C24" i="20"/>
  <c r="AL23" i="20"/>
  <c r="AG23" i="20"/>
  <c r="U23" i="20"/>
  <c r="O23" i="20"/>
  <c r="I23" i="20"/>
  <c r="C23" i="20"/>
  <c r="AL22" i="20"/>
  <c r="AG22" i="20"/>
  <c r="AA22" i="20"/>
  <c r="U22" i="20"/>
  <c r="O22" i="20"/>
  <c r="I22" i="20"/>
  <c r="C22" i="20"/>
  <c r="AL21" i="20"/>
  <c r="AG21" i="20"/>
  <c r="AA21" i="20"/>
  <c r="U21" i="20"/>
  <c r="O21" i="20"/>
  <c r="I21" i="20"/>
  <c r="C21" i="20"/>
  <c r="AL20" i="20"/>
  <c r="AG20" i="20"/>
  <c r="AA20" i="20"/>
  <c r="U20" i="20"/>
  <c r="O20" i="20"/>
  <c r="I20" i="20"/>
  <c r="C20" i="20"/>
  <c r="AL19" i="20"/>
  <c r="AG19" i="20"/>
  <c r="U19" i="20"/>
  <c r="O19" i="20"/>
  <c r="I19" i="20"/>
  <c r="C19" i="20"/>
  <c r="AL18" i="20"/>
  <c r="AL31" i="20" s="1"/>
  <c r="D11" i="20" s="1"/>
  <c r="AG18" i="20"/>
  <c r="AA18" i="20"/>
  <c r="U18" i="20"/>
  <c r="O18" i="20"/>
  <c r="I18" i="20"/>
  <c r="C18" i="20"/>
  <c r="AL17" i="20"/>
  <c r="AG17" i="20"/>
  <c r="AA17" i="20"/>
  <c r="AA169" i="20" s="1"/>
  <c r="D7" i="20" s="1"/>
  <c r="U17" i="20"/>
  <c r="P17" i="20"/>
  <c r="P135" i="20" s="1"/>
  <c r="E5" i="20" s="1"/>
  <c r="I17" i="20"/>
  <c r="C17" i="20"/>
  <c r="AL16" i="20"/>
  <c r="AG16" i="20"/>
  <c r="AG26" i="20" s="1"/>
  <c r="D9" i="20" s="1"/>
  <c r="AA16" i="20"/>
  <c r="U16" i="20"/>
  <c r="U31" i="20" s="1"/>
  <c r="D6" i="20" s="1"/>
  <c r="O16" i="20"/>
  <c r="O135" i="20" s="1"/>
  <c r="D5" i="20" s="1"/>
  <c r="I16" i="20"/>
  <c r="I53" i="20" s="1"/>
  <c r="D4" i="20" s="1"/>
  <c r="C16" i="20"/>
  <c r="C61" i="20" s="1"/>
  <c r="D3" i="20" s="1"/>
  <c r="E11" i="20"/>
  <c r="B11" i="20"/>
  <c r="F10" i="20"/>
  <c r="E10" i="20"/>
  <c r="G9" i="20"/>
  <c r="F9" i="20"/>
  <c r="E9" i="20"/>
  <c r="C9" i="20"/>
  <c r="B9" i="20"/>
  <c r="G8" i="20"/>
  <c r="C8" i="20"/>
  <c r="B8" i="20"/>
  <c r="G7" i="20"/>
  <c r="F7" i="20"/>
  <c r="E7" i="20"/>
  <c r="C7" i="20"/>
  <c r="B7" i="20"/>
  <c r="G6" i="20"/>
  <c r="F6" i="20"/>
  <c r="C6" i="20"/>
  <c r="B6" i="20"/>
  <c r="F5" i="20"/>
  <c r="B5" i="20"/>
  <c r="G4" i="20"/>
  <c r="G12" i="20" s="1"/>
  <c r="F4" i="20"/>
  <c r="C4" i="20"/>
  <c r="B4" i="20"/>
  <c r="G3" i="20"/>
  <c r="F3" i="20"/>
  <c r="F12" i="20" s="1"/>
  <c r="E3" i="20"/>
  <c r="C3" i="20"/>
  <c r="B3" i="20"/>
  <c r="AD169" i="19"/>
  <c r="AC169" i="19"/>
  <c r="AB169" i="19"/>
  <c r="Z169" i="19"/>
  <c r="AA168" i="19"/>
  <c r="AA167" i="19"/>
  <c r="AA166" i="19"/>
  <c r="AA165" i="19"/>
  <c r="AA164" i="19"/>
  <c r="AA163" i="19"/>
  <c r="AA162" i="19"/>
  <c r="AA161" i="19"/>
  <c r="AA160" i="19"/>
  <c r="AA159" i="19"/>
  <c r="AA158" i="19"/>
  <c r="AA157" i="19"/>
  <c r="AA156" i="19"/>
  <c r="AA155" i="19"/>
  <c r="AA154" i="19"/>
  <c r="AA153" i="19"/>
  <c r="AA152" i="19"/>
  <c r="AA151" i="19"/>
  <c r="AA150" i="19"/>
  <c r="AA149" i="19"/>
  <c r="AA148" i="19"/>
  <c r="AA147" i="19"/>
  <c r="AA146" i="19"/>
  <c r="AA145" i="19"/>
  <c r="AA144" i="19"/>
  <c r="AA143" i="19"/>
  <c r="AA142" i="19"/>
  <c r="AA141" i="19"/>
  <c r="AA140" i="19"/>
  <c r="AA139" i="19"/>
  <c r="AA138" i="19"/>
  <c r="AA137" i="19"/>
  <c r="AA136" i="19"/>
  <c r="AA135" i="19"/>
  <c r="R135" i="19"/>
  <c r="G5" i="19" s="1"/>
  <c r="Q135" i="19"/>
  <c r="N135" i="19"/>
  <c r="C5" i="19" s="1"/>
  <c r="AA134" i="19"/>
  <c r="O134" i="19"/>
  <c r="AA133" i="19"/>
  <c r="AA132" i="19"/>
  <c r="AA131" i="19"/>
  <c r="AA130" i="19"/>
  <c r="AA129" i="19"/>
  <c r="AA128" i="19"/>
  <c r="AA127" i="19"/>
  <c r="AA126" i="19"/>
  <c r="AA125" i="19"/>
  <c r="AA124" i="19"/>
  <c r="AA123" i="19"/>
  <c r="AA122" i="19"/>
  <c r="O122" i="19"/>
  <c r="AA121" i="19"/>
  <c r="O121" i="19"/>
  <c r="AA120" i="19"/>
  <c r="O120" i="19"/>
  <c r="AA119" i="19"/>
  <c r="O119" i="19"/>
  <c r="AA118" i="19"/>
  <c r="O118" i="19"/>
  <c r="AA117" i="19"/>
  <c r="O117" i="19"/>
  <c r="AA116" i="19"/>
  <c r="O116" i="19"/>
  <c r="AA115" i="19"/>
  <c r="O115" i="19"/>
  <c r="AA114" i="19"/>
  <c r="O114" i="19"/>
  <c r="AA113" i="19"/>
  <c r="O113" i="19"/>
  <c r="AA112" i="19"/>
  <c r="O112" i="19"/>
  <c r="AA111" i="19"/>
  <c r="O111" i="19"/>
  <c r="AA110" i="19"/>
  <c r="O110" i="19"/>
  <c r="AA109" i="19"/>
  <c r="O109" i="19"/>
  <c r="AA108" i="19"/>
  <c r="O108" i="19"/>
  <c r="AA107" i="19"/>
  <c r="O107" i="19"/>
  <c r="AA106" i="19"/>
  <c r="O106" i="19"/>
  <c r="AA105" i="19"/>
  <c r="O105" i="19"/>
  <c r="AA104" i="19"/>
  <c r="O104" i="19"/>
  <c r="AA103" i="19"/>
  <c r="O103" i="19"/>
  <c r="AA102" i="19"/>
  <c r="O102" i="19"/>
  <c r="L102" i="19"/>
  <c r="G10" i="19" s="1"/>
  <c r="K102" i="19"/>
  <c r="J102" i="19"/>
  <c r="H102" i="19"/>
  <c r="C10" i="19" s="1"/>
  <c r="AA101" i="19"/>
  <c r="O101" i="19"/>
  <c r="I101" i="19"/>
  <c r="AA100" i="19"/>
  <c r="O100" i="19"/>
  <c r="I100" i="19"/>
  <c r="AA99" i="19"/>
  <c r="O99" i="19"/>
  <c r="I99" i="19"/>
  <c r="AA98" i="19"/>
  <c r="O98" i="19"/>
  <c r="I98" i="19"/>
  <c r="AA97" i="19"/>
  <c r="O97" i="19"/>
  <c r="I97" i="19"/>
  <c r="AA96" i="19"/>
  <c r="O96" i="19"/>
  <c r="I96" i="19"/>
  <c r="AA95" i="19"/>
  <c r="O95" i="19"/>
  <c r="I95" i="19"/>
  <c r="AA94" i="19"/>
  <c r="X94" i="19"/>
  <c r="W94" i="19"/>
  <c r="V94" i="19"/>
  <c r="T94" i="19"/>
  <c r="O94" i="19"/>
  <c r="I94" i="19"/>
  <c r="AA93" i="19"/>
  <c r="U93" i="19"/>
  <c r="O93" i="19"/>
  <c r="I93" i="19"/>
  <c r="U92" i="19"/>
  <c r="O92" i="19"/>
  <c r="I92" i="19"/>
  <c r="AA91" i="19"/>
  <c r="U91" i="19"/>
  <c r="O91" i="19"/>
  <c r="I91" i="19"/>
  <c r="AA90" i="19"/>
  <c r="U90" i="19"/>
  <c r="O90" i="19"/>
  <c r="I90" i="19"/>
  <c r="AA89" i="19"/>
  <c r="U89" i="19"/>
  <c r="O89" i="19"/>
  <c r="I89" i="19"/>
  <c r="AA88" i="19"/>
  <c r="U88" i="19"/>
  <c r="O88" i="19"/>
  <c r="I88" i="19"/>
  <c r="AA87" i="19"/>
  <c r="U87" i="19"/>
  <c r="O87" i="19"/>
  <c r="I87" i="19"/>
  <c r="AA86" i="19"/>
  <c r="U86" i="19"/>
  <c r="O86" i="19"/>
  <c r="I86" i="19"/>
  <c r="U85" i="19"/>
  <c r="O85" i="19"/>
  <c r="I85" i="19"/>
  <c r="AA84" i="19"/>
  <c r="U84" i="19"/>
  <c r="O84" i="19"/>
  <c r="I84" i="19"/>
  <c r="AA83" i="19"/>
  <c r="U83" i="19"/>
  <c r="O83" i="19"/>
  <c r="I83" i="19"/>
  <c r="U82" i="19"/>
  <c r="O82" i="19"/>
  <c r="I82" i="19"/>
  <c r="AA81" i="19"/>
  <c r="U81" i="19"/>
  <c r="O81" i="19"/>
  <c r="I81" i="19"/>
  <c r="AA80" i="19"/>
  <c r="U80" i="19"/>
  <c r="O80" i="19"/>
  <c r="I80" i="19"/>
  <c r="AA79" i="19"/>
  <c r="U79" i="19"/>
  <c r="O79" i="19"/>
  <c r="I79" i="19"/>
  <c r="U78" i="19"/>
  <c r="O78" i="19"/>
  <c r="I78" i="19"/>
  <c r="AA77" i="19"/>
  <c r="U77" i="19"/>
  <c r="O77" i="19"/>
  <c r="I77" i="19"/>
  <c r="AA76" i="19"/>
  <c r="U76" i="19"/>
  <c r="O76" i="19"/>
  <c r="I76" i="19"/>
  <c r="AA75" i="19"/>
  <c r="U75" i="19"/>
  <c r="O75" i="19"/>
  <c r="I75" i="19"/>
  <c r="AA74" i="19"/>
  <c r="U74" i="19"/>
  <c r="O74" i="19"/>
  <c r="I74" i="19"/>
  <c r="U73" i="19"/>
  <c r="O73" i="19"/>
  <c r="I73" i="19"/>
  <c r="AA72" i="19"/>
  <c r="U72" i="19"/>
  <c r="O72" i="19"/>
  <c r="I72" i="19"/>
  <c r="AA71" i="19"/>
  <c r="U71" i="19"/>
  <c r="O71" i="19"/>
  <c r="I71" i="19"/>
  <c r="AA70" i="19"/>
  <c r="U70" i="19"/>
  <c r="O70" i="19"/>
  <c r="I70" i="19"/>
  <c r="AA69" i="19"/>
  <c r="U69" i="19"/>
  <c r="O69" i="19"/>
  <c r="I69" i="19"/>
  <c r="AA68" i="19"/>
  <c r="U68" i="19"/>
  <c r="O68" i="19"/>
  <c r="I68" i="19"/>
  <c r="AA67" i="19"/>
  <c r="U67" i="19"/>
  <c r="O67" i="19"/>
  <c r="I67" i="19"/>
  <c r="AA66" i="19"/>
  <c r="U66" i="19"/>
  <c r="U94" i="19" s="1"/>
  <c r="O66" i="19"/>
  <c r="I66" i="19"/>
  <c r="AA65" i="19"/>
  <c r="O65" i="19"/>
  <c r="I65" i="19"/>
  <c r="AA64" i="19"/>
  <c r="O64" i="19"/>
  <c r="I64" i="19"/>
  <c r="AA63" i="19"/>
  <c r="O63" i="19"/>
  <c r="I63" i="19"/>
  <c r="AA62" i="19"/>
  <c r="X62" i="19"/>
  <c r="W62" i="19"/>
  <c r="F8" i="19" s="1"/>
  <c r="T62" i="19"/>
  <c r="C8" i="19" s="1"/>
  <c r="O62" i="19"/>
  <c r="I62" i="19"/>
  <c r="AA61" i="19"/>
  <c r="U61" i="19"/>
  <c r="O61" i="19"/>
  <c r="I61" i="19"/>
  <c r="F61" i="19"/>
  <c r="E61" i="19"/>
  <c r="D61" i="19"/>
  <c r="B61" i="19"/>
  <c r="AA60" i="19"/>
  <c r="U60" i="19"/>
  <c r="O60" i="19"/>
  <c r="I60" i="19"/>
  <c r="C60" i="19"/>
  <c r="AA59" i="19"/>
  <c r="U59" i="19"/>
  <c r="O59" i="19"/>
  <c r="I59" i="19"/>
  <c r="C59" i="19"/>
  <c r="AA58" i="19"/>
  <c r="U58" i="19"/>
  <c r="O58" i="19"/>
  <c r="I58" i="19"/>
  <c r="I102" i="19" s="1"/>
  <c r="D10" i="19" s="1"/>
  <c r="C58" i="19"/>
  <c r="AA57" i="19"/>
  <c r="U57" i="19"/>
  <c r="O57" i="19"/>
  <c r="I57" i="19"/>
  <c r="C57" i="19"/>
  <c r="AA56" i="19"/>
  <c r="U56" i="19"/>
  <c r="O56" i="19"/>
  <c r="I56" i="19"/>
  <c r="C56" i="19"/>
  <c r="AA55" i="19"/>
  <c r="U55" i="19"/>
  <c r="O55" i="19"/>
  <c r="C55" i="19"/>
  <c r="AA54" i="19"/>
  <c r="U54" i="19"/>
  <c r="O54" i="19"/>
  <c r="C54" i="19"/>
  <c r="U53" i="19"/>
  <c r="O53" i="19"/>
  <c r="L53" i="19"/>
  <c r="K53" i="19"/>
  <c r="F4" i="19" s="1"/>
  <c r="J53" i="19"/>
  <c r="E4" i="19" s="1"/>
  <c r="H53" i="19"/>
  <c r="C53" i="19"/>
  <c r="AA52" i="19"/>
  <c r="U52" i="19"/>
  <c r="O52" i="19"/>
  <c r="I52" i="19"/>
  <c r="C52" i="19"/>
  <c r="AA51" i="19"/>
  <c r="U51" i="19"/>
  <c r="O51" i="19"/>
  <c r="I51" i="19"/>
  <c r="C51" i="19"/>
  <c r="AA50" i="19"/>
  <c r="U50" i="19"/>
  <c r="O50" i="19"/>
  <c r="I50" i="19"/>
  <c r="C50" i="19"/>
  <c r="U49" i="19"/>
  <c r="O49" i="19"/>
  <c r="I49" i="19"/>
  <c r="C49" i="19"/>
  <c r="AA48" i="19"/>
  <c r="U48" i="19"/>
  <c r="O48" i="19"/>
  <c r="I48" i="19"/>
  <c r="C48" i="19"/>
  <c r="AA47" i="19"/>
  <c r="U47" i="19"/>
  <c r="O47" i="19"/>
  <c r="I47" i="19"/>
  <c r="C47" i="19"/>
  <c r="AA46" i="19"/>
  <c r="U46" i="19"/>
  <c r="O46" i="19"/>
  <c r="I46" i="19"/>
  <c r="C46" i="19"/>
  <c r="AA45" i="19"/>
  <c r="U45" i="19"/>
  <c r="O45" i="19"/>
  <c r="I45" i="19"/>
  <c r="C45" i="19"/>
  <c r="AA44" i="19"/>
  <c r="U44" i="19"/>
  <c r="O44" i="19"/>
  <c r="I44" i="19"/>
  <c r="C44" i="19"/>
  <c r="AA43" i="19"/>
  <c r="U43" i="19"/>
  <c r="O43" i="19"/>
  <c r="I43" i="19"/>
  <c r="C43" i="19"/>
  <c r="AA42" i="19"/>
  <c r="U42" i="19"/>
  <c r="O42" i="19"/>
  <c r="I42" i="19"/>
  <c r="C42" i="19"/>
  <c r="AA41" i="19"/>
  <c r="U41" i="19"/>
  <c r="O41" i="19"/>
  <c r="I41" i="19"/>
  <c r="C41" i="19"/>
  <c r="AA40" i="19"/>
  <c r="U40" i="19"/>
  <c r="O40" i="19"/>
  <c r="I40" i="19"/>
  <c r="C40" i="19"/>
  <c r="AA39" i="19"/>
  <c r="U39" i="19"/>
  <c r="O39" i="19"/>
  <c r="I39" i="19"/>
  <c r="C39" i="19"/>
  <c r="AA38" i="19"/>
  <c r="U38" i="19"/>
  <c r="O38" i="19"/>
  <c r="I38" i="19"/>
  <c r="C38" i="19"/>
  <c r="AA37" i="19"/>
  <c r="U37" i="19"/>
  <c r="O37" i="19"/>
  <c r="I37" i="19"/>
  <c r="C37" i="19"/>
  <c r="U36" i="19"/>
  <c r="O36" i="19"/>
  <c r="I36" i="19"/>
  <c r="C36" i="19"/>
  <c r="AA35" i="19"/>
  <c r="V35" i="19"/>
  <c r="V62" i="19" s="1"/>
  <c r="E8" i="19" s="1"/>
  <c r="O35" i="19"/>
  <c r="I35" i="19"/>
  <c r="C35" i="19"/>
  <c r="AA34" i="19"/>
  <c r="U34" i="19"/>
  <c r="O34" i="19"/>
  <c r="I34" i="19"/>
  <c r="C34" i="19"/>
  <c r="AA33" i="19"/>
  <c r="O33" i="19"/>
  <c r="I33" i="19"/>
  <c r="C33" i="19"/>
  <c r="O32" i="19"/>
  <c r="I32" i="19"/>
  <c r="C32" i="19"/>
  <c r="AO31" i="19"/>
  <c r="AN31" i="19"/>
  <c r="AM31" i="19"/>
  <c r="E11" i="19" s="1"/>
  <c r="AK31" i="19"/>
  <c r="C11" i="19" s="1"/>
  <c r="AA31" i="19"/>
  <c r="X31" i="19"/>
  <c r="W31" i="19"/>
  <c r="F6" i="19" s="1"/>
  <c r="V31" i="19"/>
  <c r="E6" i="19" s="1"/>
  <c r="T31" i="19"/>
  <c r="O31" i="19"/>
  <c r="I31" i="19"/>
  <c r="C31" i="19"/>
  <c r="AL30" i="19"/>
  <c r="AA30" i="19"/>
  <c r="U30" i="19"/>
  <c r="O30" i="19"/>
  <c r="I30" i="19"/>
  <c r="C30" i="19"/>
  <c r="AL29" i="19"/>
  <c r="U29" i="19"/>
  <c r="O29" i="19"/>
  <c r="I29" i="19"/>
  <c r="C29" i="19"/>
  <c r="AL28" i="19"/>
  <c r="AA28" i="19"/>
  <c r="U28" i="19"/>
  <c r="O28" i="19"/>
  <c r="I28" i="19"/>
  <c r="C28" i="19"/>
  <c r="AL27" i="19"/>
  <c r="AA27" i="19"/>
  <c r="U27" i="19"/>
  <c r="O27" i="19"/>
  <c r="I27" i="19"/>
  <c r="C27" i="19"/>
  <c r="AL26" i="19"/>
  <c r="AJ26" i="19"/>
  <c r="AI26" i="19"/>
  <c r="AH26" i="19"/>
  <c r="AF26" i="19"/>
  <c r="AA26" i="19"/>
  <c r="U26" i="19"/>
  <c r="O26" i="19"/>
  <c r="I26" i="19"/>
  <c r="C26" i="19"/>
  <c r="AL25" i="19"/>
  <c r="AG25" i="19"/>
  <c r="AA25" i="19"/>
  <c r="U25" i="19"/>
  <c r="O25" i="19"/>
  <c r="I25" i="19"/>
  <c r="C25" i="19"/>
  <c r="AL24" i="19"/>
  <c r="AG24" i="19"/>
  <c r="AA24" i="19"/>
  <c r="U24" i="19"/>
  <c r="O24" i="19"/>
  <c r="I24" i="19"/>
  <c r="C24" i="19"/>
  <c r="AL23" i="19"/>
  <c r="AG23" i="19"/>
  <c r="U23" i="19"/>
  <c r="O23" i="19"/>
  <c r="I23" i="19"/>
  <c r="C23" i="19"/>
  <c r="AL22" i="19"/>
  <c r="AG22" i="19"/>
  <c r="AA22" i="19"/>
  <c r="U22" i="19"/>
  <c r="O22" i="19"/>
  <c r="I22" i="19"/>
  <c r="C22" i="19"/>
  <c r="AL21" i="19"/>
  <c r="AG21" i="19"/>
  <c r="AA21" i="19"/>
  <c r="U21" i="19"/>
  <c r="O21" i="19"/>
  <c r="I21" i="19"/>
  <c r="C21" i="19"/>
  <c r="AL20" i="19"/>
  <c r="AG20" i="19"/>
  <c r="AA20" i="19"/>
  <c r="U20" i="19"/>
  <c r="O20" i="19"/>
  <c r="I20" i="19"/>
  <c r="C20" i="19"/>
  <c r="AL19" i="19"/>
  <c r="AG19" i="19"/>
  <c r="U19" i="19"/>
  <c r="O19" i="19"/>
  <c r="I19" i="19"/>
  <c r="C19" i="19"/>
  <c r="AL18" i="19"/>
  <c r="AL31" i="19" s="1"/>
  <c r="D11" i="19" s="1"/>
  <c r="AG18" i="19"/>
  <c r="AA18" i="19"/>
  <c r="U18" i="19"/>
  <c r="O18" i="19"/>
  <c r="O135" i="19" s="1"/>
  <c r="D5" i="19" s="1"/>
  <c r="I18" i="19"/>
  <c r="C18" i="19"/>
  <c r="AL17" i="19"/>
  <c r="AG17" i="19"/>
  <c r="AA17" i="19"/>
  <c r="U17" i="19"/>
  <c r="P17" i="19"/>
  <c r="P135" i="19" s="1"/>
  <c r="E5" i="19" s="1"/>
  <c r="I17" i="19"/>
  <c r="C17" i="19"/>
  <c r="AL16" i="19"/>
  <c r="AG16" i="19"/>
  <c r="AG26" i="19" s="1"/>
  <c r="D9" i="19" s="1"/>
  <c r="AA16" i="19"/>
  <c r="U16" i="19"/>
  <c r="U31" i="19" s="1"/>
  <c r="D6" i="19" s="1"/>
  <c r="O16" i="19"/>
  <c r="I16" i="19"/>
  <c r="I53" i="19" s="1"/>
  <c r="D4" i="19" s="1"/>
  <c r="C16" i="19"/>
  <c r="C61" i="19" s="1"/>
  <c r="D3" i="19" s="1"/>
  <c r="B11" i="19"/>
  <c r="F10" i="19"/>
  <c r="E10" i="19"/>
  <c r="G9" i="19"/>
  <c r="F9" i="19"/>
  <c r="E9" i="19"/>
  <c r="C9" i="19"/>
  <c r="B9" i="19"/>
  <c r="G8" i="19"/>
  <c r="B8" i="19"/>
  <c r="G7" i="19"/>
  <c r="F7" i="19"/>
  <c r="E7" i="19"/>
  <c r="C7" i="19"/>
  <c r="B7" i="19"/>
  <c r="G6" i="19"/>
  <c r="C6" i="19"/>
  <c r="B6" i="19"/>
  <c r="F5" i="19"/>
  <c r="B5" i="19"/>
  <c r="G4" i="19"/>
  <c r="C4" i="19"/>
  <c r="B4" i="19"/>
  <c r="G3" i="19"/>
  <c r="F3" i="19"/>
  <c r="E3" i="19"/>
  <c r="C3" i="19"/>
  <c r="B3" i="19"/>
  <c r="V35" i="18"/>
  <c r="AD169" i="18"/>
  <c r="G7" i="18" s="1"/>
  <c r="AC169" i="18"/>
  <c r="Z169" i="18"/>
  <c r="C7" i="18" s="1"/>
  <c r="AA168" i="18"/>
  <c r="AA167" i="18"/>
  <c r="AA166" i="18"/>
  <c r="AA165" i="18"/>
  <c r="AA164" i="18"/>
  <c r="AA163" i="18"/>
  <c r="AA162" i="18"/>
  <c r="AA161" i="18"/>
  <c r="AA160" i="18"/>
  <c r="AA159" i="18"/>
  <c r="AA158" i="18"/>
  <c r="AA157" i="18"/>
  <c r="AA156" i="18"/>
  <c r="AA155" i="18"/>
  <c r="AA154" i="18"/>
  <c r="AA153" i="18"/>
  <c r="AA152" i="18"/>
  <c r="AA151" i="18"/>
  <c r="AA150" i="18"/>
  <c r="AA149" i="18"/>
  <c r="AA148" i="18"/>
  <c r="AA147" i="18"/>
  <c r="AA146" i="18"/>
  <c r="AA145" i="18"/>
  <c r="AA144" i="18"/>
  <c r="AA143" i="18"/>
  <c r="AA142" i="18"/>
  <c r="AA141" i="18"/>
  <c r="AA140" i="18"/>
  <c r="AA139" i="18"/>
  <c r="AA138" i="18"/>
  <c r="AA137" i="18"/>
  <c r="AA136" i="18"/>
  <c r="AA135" i="18"/>
  <c r="R135" i="18"/>
  <c r="G5" i="18" s="1"/>
  <c r="Q135" i="18"/>
  <c r="N135" i="18"/>
  <c r="C5" i="18" s="1"/>
  <c r="AA134" i="18"/>
  <c r="O134" i="18"/>
  <c r="AA133" i="18"/>
  <c r="AA132" i="18"/>
  <c r="AA131" i="18"/>
  <c r="AA130" i="18"/>
  <c r="AA129" i="18"/>
  <c r="AA128" i="18"/>
  <c r="AA127" i="18"/>
  <c r="AA126" i="18"/>
  <c r="AA125" i="18"/>
  <c r="AA124" i="18"/>
  <c r="AA123" i="18"/>
  <c r="AA122" i="18"/>
  <c r="O122" i="18"/>
  <c r="AA121" i="18"/>
  <c r="O121" i="18"/>
  <c r="AA120" i="18"/>
  <c r="O120" i="18"/>
  <c r="AA119" i="18"/>
  <c r="O119" i="18"/>
  <c r="AA118" i="18"/>
  <c r="O118" i="18"/>
  <c r="AA117" i="18"/>
  <c r="O117" i="18"/>
  <c r="AA116" i="18"/>
  <c r="O116" i="18"/>
  <c r="AA115" i="18"/>
  <c r="O115" i="18"/>
  <c r="AA114" i="18"/>
  <c r="O114" i="18"/>
  <c r="AA113" i="18"/>
  <c r="O113" i="18"/>
  <c r="AA112" i="18"/>
  <c r="O112" i="18"/>
  <c r="AA111" i="18"/>
  <c r="O111" i="18"/>
  <c r="AA110" i="18"/>
  <c r="O110" i="18"/>
  <c r="AA109" i="18"/>
  <c r="O109" i="18"/>
  <c r="AA108" i="18"/>
  <c r="O108" i="18"/>
  <c r="AA107" i="18"/>
  <c r="O107" i="18"/>
  <c r="AA106" i="18"/>
  <c r="O106" i="18"/>
  <c r="AA105" i="18"/>
  <c r="O105" i="18"/>
  <c r="AA104" i="18"/>
  <c r="O104" i="18"/>
  <c r="AA103" i="18"/>
  <c r="O103" i="18"/>
  <c r="AA102" i="18"/>
  <c r="O102" i="18"/>
  <c r="L102" i="18"/>
  <c r="G10" i="18" s="1"/>
  <c r="K102" i="18"/>
  <c r="J102" i="18"/>
  <c r="H102" i="18"/>
  <c r="C10" i="18" s="1"/>
  <c r="AA101" i="18"/>
  <c r="O101" i="18"/>
  <c r="I101" i="18"/>
  <c r="AA100" i="18"/>
  <c r="O100" i="18"/>
  <c r="I100" i="18"/>
  <c r="AA99" i="18"/>
  <c r="O99" i="18"/>
  <c r="I99" i="18"/>
  <c r="AA98" i="18"/>
  <c r="O98" i="18"/>
  <c r="I98" i="18"/>
  <c r="AA97" i="18"/>
  <c r="O97" i="18"/>
  <c r="I97" i="18"/>
  <c r="AA96" i="18"/>
  <c r="O96" i="18"/>
  <c r="I96" i="18"/>
  <c r="AA95" i="18"/>
  <c r="O95" i="18"/>
  <c r="I95" i="18"/>
  <c r="AA94" i="18"/>
  <c r="X94" i="18"/>
  <c r="W94" i="18"/>
  <c r="V94" i="18"/>
  <c r="T94" i="18"/>
  <c r="O94" i="18"/>
  <c r="I94" i="18"/>
  <c r="AA93" i="18"/>
  <c r="U93" i="18"/>
  <c r="O93" i="18"/>
  <c r="I93" i="18"/>
  <c r="U92" i="18"/>
  <c r="O92" i="18"/>
  <c r="I92" i="18"/>
  <c r="AA91" i="18"/>
  <c r="U91" i="18"/>
  <c r="O91" i="18"/>
  <c r="I91" i="18"/>
  <c r="AA90" i="18"/>
  <c r="U90" i="18"/>
  <c r="O90" i="18"/>
  <c r="I90" i="18"/>
  <c r="AA89" i="18"/>
  <c r="U89" i="18"/>
  <c r="O89" i="18"/>
  <c r="I89" i="18"/>
  <c r="AA88" i="18"/>
  <c r="U88" i="18"/>
  <c r="O88" i="18"/>
  <c r="I88" i="18"/>
  <c r="AA87" i="18"/>
  <c r="U87" i="18"/>
  <c r="O87" i="18"/>
  <c r="I87" i="18"/>
  <c r="AA86" i="18"/>
  <c r="U86" i="18"/>
  <c r="O86" i="18"/>
  <c r="I86" i="18"/>
  <c r="U85" i="18"/>
  <c r="O85" i="18"/>
  <c r="I85" i="18"/>
  <c r="AA84" i="18"/>
  <c r="U84" i="18"/>
  <c r="O84" i="18"/>
  <c r="I84" i="18"/>
  <c r="AA83" i="18"/>
  <c r="U83" i="18"/>
  <c r="O83" i="18"/>
  <c r="I83" i="18"/>
  <c r="U82" i="18"/>
  <c r="O82" i="18"/>
  <c r="I82" i="18"/>
  <c r="AA81" i="18"/>
  <c r="U81" i="18"/>
  <c r="O81" i="18"/>
  <c r="I81" i="18"/>
  <c r="AA80" i="18"/>
  <c r="U80" i="18"/>
  <c r="O80" i="18"/>
  <c r="I80" i="18"/>
  <c r="AA79" i="18"/>
  <c r="U79" i="18"/>
  <c r="O79" i="18"/>
  <c r="I79" i="18"/>
  <c r="U78" i="18"/>
  <c r="O78" i="18"/>
  <c r="I78" i="18"/>
  <c r="AA77" i="18"/>
  <c r="U77" i="18"/>
  <c r="O77" i="18"/>
  <c r="I77" i="18"/>
  <c r="AA76" i="18"/>
  <c r="U76" i="18"/>
  <c r="O76" i="18"/>
  <c r="I76" i="18"/>
  <c r="AA75" i="18"/>
  <c r="U75" i="18"/>
  <c r="O75" i="18"/>
  <c r="I75" i="18"/>
  <c r="AA74" i="18"/>
  <c r="U74" i="18"/>
  <c r="O74" i="18"/>
  <c r="I74" i="18"/>
  <c r="U73" i="18"/>
  <c r="O73" i="18"/>
  <c r="I73" i="18"/>
  <c r="AA72" i="18"/>
  <c r="U72" i="18"/>
  <c r="O72" i="18"/>
  <c r="I72" i="18"/>
  <c r="AA71" i="18"/>
  <c r="U71" i="18"/>
  <c r="O71" i="18"/>
  <c r="I71" i="18"/>
  <c r="AA70" i="18"/>
  <c r="U70" i="18"/>
  <c r="O70" i="18"/>
  <c r="I70" i="18"/>
  <c r="AA69" i="18"/>
  <c r="U69" i="18"/>
  <c r="O69" i="18"/>
  <c r="I69" i="18"/>
  <c r="AA68" i="18"/>
  <c r="U68" i="18"/>
  <c r="O68" i="18"/>
  <c r="I68" i="18"/>
  <c r="AA67" i="18"/>
  <c r="U67" i="18"/>
  <c r="O67" i="18"/>
  <c r="I67" i="18"/>
  <c r="AA66" i="18"/>
  <c r="U66" i="18"/>
  <c r="U94" i="18" s="1"/>
  <c r="O66" i="18"/>
  <c r="I66" i="18"/>
  <c r="AA65" i="18"/>
  <c r="O65" i="18"/>
  <c r="I65" i="18"/>
  <c r="AA64" i="18"/>
  <c r="O64" i="18"/>
  <c r="I64" i="18"/>
  <c r="AA63" i="18"/>
  <c r="O63" i="18"/>
  <c r="I63" i="18"/>
  <c r="AA62" i="18"/>
  <c r="X62" i="18"/>
  <c r="G8" i="18" s="1"/>
  <c r="W62" i="18"/>
  <c r="V62" i="18"/>
  <c r="E8" i="18" s="1"/>
  <c r="T62" i="18"/>
  <c r="O62" i="18"/>
  <c r="I62" i="18"/>
  <c r="AA61" i="18"/>
  <c r="U61" i="18"/>
  <c r="O61" i="18"/>
  <c r="I61" i="18"/>
  <c r="F61" i="18"/>
  <c r="G3" i="18" s="1"/>
  <c r="E61" i="18"/>
  <c r="F3" i="18" s="1"/>
  <c r="D61" i="18"/>
  <c r="B61" i="18"/>
  <c r="C3" i="18" s="1"/>
  <c r="AA60" i="18"/>
  <c r="U60" i="18"/>
  <c r="O60" i="18"/>
  <c r="I60" i="18"/>
  <c r="C60" i="18"/>
  <c r="AA59" i="18"/>
  <c r="U59" i="18"/>
  <c r="O59" i="18"/>
  <c r="I59" i="18"/>
  <c r="C59" i="18"/>
  <c r="AA58" i="18"/>
  <c r="U58" i="18"/>
  <c r="O58" i="18"/>
  <c r="I58" i="18"/>
  <c r="C58" i="18"/>
  <c r="AA57" i="18"/>
  <c r="U57" i="18"/>
  <c r="O57" i="18"/>
  <c r="I57" i="18"/>
  <c r="C57" i="18"/>
  <c r="AA56" i="18"/>
  <c r="U56" i="18"/>
  <c r="O56" i="18"/>
  <c r="I56" i="18"/>
  <c r="I102" i="18" s="1"/>
  <c r="D10" i="18" s="1"/>
  <c r="C56" i="18"/>
  <c r="AA55" i="18"/>
  <c r="U55" i="18"/>
  <c r="O55" i="18"/>
  <c r="C55" i="18"/>
  <c r="AA54" i="18"/>
  <c r="U54" i="18"/>
  <c r="O54" i="18"/>
  <c r="C54" i="18"/>
  <c r="U53" i="18"/>
  <c r="O53" i="18"/>
  <c r="L53" i="18"/>
  <c r="G4" i="18" s="1"/>
  <c r="K53" i="18"/>
  <c r="J53" i="18"/>
  <c r="H53" i="18"/>
  <c r="C4" i="18" s="1"/>
  <c r="C53" i="18"/>
  <c r="AA52" i="18"/>
  <c r="U52" i="18"/>
  <c r="O52" i="18"/>
  <c r="I52" i="18"/>
  <c r="C52" i="18"/>
  <c r="AA51" i="18"/>
  <c r="U51" i="18"/>
  <c r="O51" i="18"/>
  <c r="I51" i="18"/>
  <c r="C51" i="18"/>
  <c r="AA50" i="18"/>
  <c r="U50" i="18"/>
  <c r="O50" i="18"/>
  <c r="I50" i="18"/>
  <c r="C50" i="18"/>
  <c r="U49" i="18"/>
  <c r="O49" i="18"/>
  <c r="I49" i="18"/>
  <c r="C49" i="18"/>
  <c r="AA48" i="18"/>
  <c r="U48" i="18"/>
  <c r="O48" i="18"/>
  <c r="I48" i="18"/>
  <c r="C48" i="18"/>
  <c r="AA47" i="18"/>
  <c r="U47" i="18"/>
  <c r="O47" i="18"/>
  <c r="I47" i="18"/>
  <c r="C47" i="18"/>
  <c r="AA46" i="18"/>
  <c r="U46" i="18"/>
  <c r="O46" i="18"/>
  <c r="I46" i="18"/>
  <c r="C46" i="18"/>
  <c r="AA45" i="18"/>
  <c r="U45" i="18"/>
  <c r="O45" i="18"/>
  <c r="I45" i="18"/>
  <c r="C45" i="18"/>
  <c r="AA44" i="18"/>
  <c r="U44" i="18"/>
  <c r="O44" i="18"/>
  <c r="I44" i="18"/>
  <c r="C44" i="18"/>
  <c r="AA43" i="18"/>
  <c r="U43" i="18"/>
  <c r="O43" i="18"/>
  <c r="I43" i="18"/>
  <c r="C43" i="18"/>
  <c r="AA42" i="18"/>
  <c r="U42" i="18"/>
  <c r="O42" i="18"/>
  <c r="I42" i="18"/>
  <c r="C42" i="18"/>
  <c r="AA41" i="18"/>
  <c r="U41" i="18"/>
  <c r="O41" i="18"/>
  <c r="I41" i="18"/>
  <c r="C41" i="18"/>
  <c r="AA40" i="18"/>
  <c r="U40" i="18"/>
  <c r="O40" i="18"/>
  <c r="I40" i="18"/>
  <c r="C40" i="18"/>
  <c r="AA39" i="18"/>
  <c r="U39" i="18"/>
  <c r="O39" i="18"/>
  <c r="I39" i="18"/>
  <c r="C39" i="18"/>
  <c r="AA38" i="18"/>
  <c r="U38" i="18"/>
  <c r="O38" i="18"/>
  <c r="I38" i="18"/>
  <c r="C38" i="18"/>
  <c r="AA37" i="18"/>
  <c r="U37" i="18"/>
  <c r="O37" i="18"/>
  <c r="I37" i="18"/>
  <c r="C37" i="18"/>
  <c r="U36" i="18"/>
  <c r="O36" i="18"/>
  <c r="I36" i="18"/>
  <c r="C36" i="18"/>
  <c r="AA35" i="18"/>
  <c r="O35" i="18"/>
  <c r="I35" i="18"/>
  <c r="C35" i="18"/>
  <c r="AA34" i="18"/>
  <c r="U34" i="18"/>
  <c r="O34" i="18"/>
  <c r="I34" i="18"/>
  <c r="C34" i="18"/>
  <c r="AA33" i="18"/>
  <c r="O33" i="18"/>
  <c r="I33" i="18"/>
  <c r="C33" i="18"/>
  <c r="O32" i="18"/>
  <c r="I32" i="18"/>
  <c r="C32" i="18"/>
  <c r="AO31" i="18"/>
  <c r="AN31" i="18"/>
  <c r="AM31" i="18"/>
  <c r="E11" i="18" s="1"/>
  <c r="AK31" i="18"/>
  <c r="C11" i="18" s="1"/>
  <c r="AA31" i="18"/>
  <c r="X31" i="18"/>
  <c r="W31" i="18"/>
  <c r="F6" i="18" s="1"/>
  <c r="V31" i="18"/>
  <c r="T31" i="18"/>
  <c r="C6" i="18" s="1"/>
  <c r="O31" i="18"/>
  <c r="I31" i="18"/>
  <c r="C31" i="18"/>
  <c r="AL30" i="18"/>
  <c r="AA30" i="18"/>
  <c r="U30" i="18"/>
  <c r="O30" i="18"/>
  <c r="I30" i="18"/>
  <c r="C30" i="18"/>
  <c r="AL29" i="18"/>
  <c r="U29" i="18"/>
  <c r="O29" i="18"/>
  <c r="I29" i="18"/>
  <c r="C29" i="18"/>
  <c r="AL28" i="18"/>
  <c r="AA28" i="18"/>
  <c r="U28" i="18"/>
  <c r="O28" i="18"/>
  <c r="I28" i="18"/>
  <c r="C28" i="18"/>
  <c r="AL27" i="18"/>
  <c r="AA27" i="18"/>
  <c r="U27" i="18"/>
  <c r="O27" i="18"/>
  <c r="I27" i="18"/>
  <c r="C27" i="18"/>
  <c r="AL26" i="18"/>
  <c r="AJ26" i="18"/>
  <c r="G9" i="18" s="1"/>
  <c r="AI26" i="18"/>
  <c r="AH26" i="18"/>
  <c r="AF26" i="18"/>
  <c r="C9" i="18" s="1"/>
  <c r="AA26" i="18"/>
  <c r="U26" i="18"/>
  <c r="O26" i="18"/>
  <c r="I26" i="18"/>
  <c r="C26" i="18"/>
  <c r="AL25" i="18"/>
  <c r="AG25" i="18"/>
  <c r="AA25" i="18"/>
  <c r="U25" i="18"/>
  <c r="O25" i="18"/>
  <c r="I25" i="18"/>
  <c r="C25" i="18"/>
  <c r="AL24" i="18"/>
  <c r="AG24" i="18"/>
  <c r="AA24" i="18"/>
  <c r="U24" i="18"/>
  <c r="O24" i="18"/>
  <c r="I24" i="18"/>
  <c r="C24" i="18"/>
  <c r="AL23" i="18"/>
  <c r="AG23" i="18"/>
  <c r="U23" i="18"/>
  <c r="O23" i="18"/>
  <c r="I23" i="18"/>
  <c r="C23" i="18"/>
  <c r="AL22" i="18"/>
  <c r="AG22" i="18"/>
  <c r="AA22" i="18"/>
  <c r="U22" i="18"/>
  <c r="O22" i="18"/>
  <c r="I22" i="18"/>
  <c r="C22" i="18"/>
  <c r="AL21" i="18"/>
  <c r="AG21" i="18"/>
  <c r="AA21" i="18"/>
  <c r="U21" i="18"/>
  <c r="O21" i="18"/>
  <c r="I21" i="18"/>
  <c r="C21" i="18"/>
  <c r="AL20" i="18"/>
  <c r="AG20" i="18"/>
  <c r="AA20" i="18"/>
  <c r="U20" i="18"/>
  <c r="O20" i="18"/>
  <c r="I20" i="18"/>
  <c r="C20" i="18"/>
  <c r="AL19" i="18"/>
  <c r="AG19" i="18"/>
  <c r="U19" i="18"/>
  <c r="O19" i="18"/>
  <c r="I19" i="18"/>
  <c r="C19" i="18"/>
  <c r="AL18" i="18"/>
  <c r="AG18" i="18"/>
  <c r="AA18" i="18"/>
  <c r="U18" i="18"/>
  <c r="O18" i="18"/>
  <c r="I18" i="18"/>
  <c r="C18" i="18"/>
  <c r="AL17" i="18"/>
  <c r="AG17" i="18"/>
  <c r="AA17" i="18"/>
  <c r="U17" i="18"/>
  <c r="P17" i="18"/>
  <c r="P135" i="18" s="1"/>
  <c r="E5" i="18" s="1"/>
  <c r="I17" i="18"/>
  <c r="C17" i="18"/>
  <c r="AL16" i="18"/>
  <c r="AG16" i="18"/>
  <c r="AA16" i="18"/>
  <c r="U16" i="18"/>
  <c r="U31" i="18" s="1"/>
  <c r="D6" i="18" s="1"/>
  <c r="O16" i="18"/>
  <c r="I16" i="18"/>
  <c r="C16" i="18"/>
  <c r="B11" i="18"/>
  <c r="F10" i="18"/>
  <c r="E10" i="18"/>
  <c r="F9" i="18"/>
  <c r="E9" i="18"/>
  <c r="B9" i="18"/>
  <c r="F8" i="18"/>
  <c r="C8" i="18"/>
  <c r="B8" i="18"/>
  <c r="F7" i="18"/>
  <c r="B7" i="18"/>
  <c r="G6" i="18"/>
  <c r="E6" i="18"/>
  <c r="B6" i="18"/>
  <c r="F5" i="18"/>
  <c r="B5" i="18"/>
  <c r="F4" i="18"/>
  <c r="E4" i="18"/>
  <c r="B4" i="18"/>
  <c r="E3" i="18"/>
  <c r="B3" i="18"/>
  <c r="B8" i="9"/>
  <c r="B3" i="9"/>
  <c r="B9" i="9"/>
  <c r="D8" i="9"/>
  <c r="AA89" i="17"/>
  <c r="AA81" i="17"/>
  <c r="AB80" i="17"/>
  <c r="AA77" i="17"/>
  <c r="AA61" i="17"/>
  <c r="AA56" i="17"/>
  <c r="AA48" i="17"/>
  <c r="AA44" i="17"/>
  <c r="AA40" i="17"/>
  <c r="AB22" i="17"/>
  <c r="AB18" i="17"/>
  <c r="AB26" i="17"/>
  <c r="AB30" i="17"/>
  <c r="AB34" i="17"/>
  <c r="AB38" i="17"/>
  <c r="AB42" i="17"/>
  <c r="AB46" i="17"/>
  <c r="AB50" i="17"/>
  <c r="AB72" i="17"/>
  <c r="AB85" i="17"/>
  <c r="AB90" i="17"/>
  <c r="AB92" i="17"/>
  <c r="AB93" i="17"/>
  <c r="AB94" i="17"/>
  <c r="AB95" i="17"/>
  <c r="AB96" i="17"/>
  <c r="AB97" i="17"/>
  <c r="AB98" i="17"/>
  <c r="AB99" i="17"/>
  <c r="AB100" i="17"/>
  <c r="AB101" i="17"/>
  <c r="AB102" i="17"/>
  <c r="AB103" i="17"/>
  <c r="AB104" i="17"/>
  <c r="AB105" i="17"/>
  <c r="AB106" i="17"/>
  <c r="AB107" i="17"/>
  <c r="AB108" i="17"/>
  <c r="AB109" i="17"/>
  <c r="AB110" i="17"/>
  <c r="AB111" i="17"/>
  <c r="AB112" i="17"/>
  <c r="AB113" i="17"/>
  <c r="AB114" i="17"/>
  <c r="AB115" i="17"/>
  <c r="AB116" i="17"/>
  <c r="AB117" i="17"/>
  <c r="AB118" i="17"/>
  <c r="AB119" i="17"/>
  <c r="AB120" i="17"/>
  <c r="AB121" i="17"/>
  <c r="AB122" i="17"/>
  <c r="AB123" i="17"/>
  <c r="AB124" i="17"/>
  <c r="AB125" i="17"/>
  <c r="AB126" i="17"/>
  <c r="AB127" i="17"/>
  <c r="AB128" i="17"/>
  <c r="AB129" i="17"/>
  <c r="AB130" i="17"/>
  <c r="AB131" i="17"/>
  <c r="AB132" i="17"/>
  <c r="AB133" i="17"/>
  <c r="AB134" i="17"/>
  <c r="AB135" i="17"/>
  <c r="AB136" i="17"/>
  <c r="AB137" i="17"/>
  <c r="AB138" i="17"/>
  <c r="AB139" i="17"/>
  <c r="AB140" i="17"/>
  <c r="AB141" i="17"/>
  <c r="AB142" i="17"/>
  <c r="AB143" i="17"/>
  <c r="AB144" i="17"/>
  <c r="AB145" i="17"/>
  <c r="AB146" i="17"/>
  <c r="AB147" i="17"/>
  <c r="AB148" i="17"/>
  <c r="AB149" i="17"/>
  <c r="AB150" i="17"/>
  <c r="AB151" i="17"/>
  <c r="AB152" i="17"/>
  <c r="AB153" i="17"/>
  <c r="AB154" i="17"/>
  <c r="AB155" i="17"/>
  <c r="AB156" i="17"/>
  <c r="AB157" i="17"/>
  <c r="AB158" i="17"/>
  <c r="AB159" i="17"/>
  <c r="AB160" i="17"/>
  <c r="AB161" i="17"/>
  <c r="AB162" i="17"/>
  <c r="AB163" i="17"/>
  <c r="AB164" i="17"/>
  <c r="AB165" i="17"/>
  <c r="AB166" i="17"/>
  <c r="AB167" i="17"/>
  <c r="AB168" i="17"/>
  <c r="V35" i="17"/>
  <c r="AA31" i="17"/>
  <c r="AA32" i="17"/>
  <c r="AA33" i="17"/>
  <c r="AA29" i="17"/>
  <c r="AA27" i="17"/>
  <c r="AA28" i="17"/>
  <c r="AA25" i="17"/>
  <c r="AA23" i="17"/>
  <c r="AA24" i="17"/>
  <c r="AA21" i="17"/>
  <c r="AA19" i="17"/>
  <c r="AA20" i="17"/>
  <c r="AA92" i="17"/>
  <c r="AA82" i="17"/>
  <c r="AA76" i="17"/>
  <c r="AA64" i="17"/>
  <c r="AA59" i="17"/>
  <c r="AA53" i="17"/>
  <c r="AA52" i="17"/>
  <c r="AA43" i="17"/>
  <c r="AA37" i="17"/>
  <c r="AA17" i="17"/>
  <c r="AD169" i="17"/>
  <c r="AC169" i="17"/>
  <c r="Z169" i="17"/>
  <c r="AA168" i="17"/>
  <c r="AA167" i="17"/>
  <c r="AA166" i="17"/>
  <c r="AA165" i="17"/>
  <c r="AA164" i="17"/>
  <c r="AA163" i="17"/>
  <c r="AA162" i="17"/>
  <c r="AA161" i="17"/>
  <c r="AA160" i="17"/>
  <c r="AA159" i="17"/>
  <c r="AA158" i="17"/>
  <c r="AA157" i="17"/>
  <c r="AA156" i="17"/>
  <c r="AA155" i="17"/>
  <c r="AA154" i="17"/>
  <c r="AA153" i="17"/>
  <c r="AA152" i="17"/>
  <c r="AA151" i="17"/>
  <c r="AA150" i="17"/>
  <c r="AA149" i="17"/>
  <c r="AA148" i="17"/>
  <c r="AA147" i="17"/>
  <c r="AA146" i="17"/>
  <c r="AA145" i="17"/>
  <c r="AA144" i="17"/>
  <c r="AA143" i="17"/>
  <c r="AA142" i="17"/>
  <c r="AA141" i="17"/>
  <c r="AA140" i="17"/>
  <c r="AA139" i="17"/>
  <c r="AA138" i="17"/>
  <c r="AA137" i="17"/>
  <c r="AA136" i="17"/>
  <c r="AA135" i="17"/>
  <c r="R135" i="17"/>
  <c r="Q135" i="17"/>
  <c r="P135" i="17"/>
  <c r="N135" i="17"/>
  <c r="AA134" i="17"/>
  <c r="O134" i="17"/>
  <c r="AA133" i="17"/>
  <c r="AA132" i="17"/>
  <c r="AA131" i="17"/>
  <c r="AA130" i="17"/>
  <c r="AA129" i="17"/>
  <c r="AA128" i="17"/>
  <c r="AA127" i="17"/>
  <c r="AA126" i="17"/>
  <c r="AA125" i="17"/>
  <c r="AA124" i="17"/>
  <c r="AA123" i="17"/>
  <c r="AA122" i="17"/>
  <c r="O122" i="17"/>
  <c r="AA121" i="17"/>
  <c r="O121" i="17"/>
  <c r="AA120" i="17"/>
  <c r="O120" i="17"/>
  <c r="AA119" i="17"/>
  <c r="O119" i="17"/>
  <c r="AA118" i="17"/>
  <c r="O118" i="17"/>
  <c r="AA117" i="17"/>
  <c r="O117" i="17"/>
  <c r="AA116" i="17"/>
  <c r="O116" i="17"/>
  <c r="AA115" i="17"/>
  <c r="O115" i="17"/>
  <c r="AA114" i="17"/>
  <c r="O114" i="17"/>
  <c r="AA113" i="17"/>
  <c r="O113" i="17"/>
  <c r="AA112" i="17"/>
  <c r="O112" i="17"/>
  <c r="AA111" i="17"/>
  <c r="O111" i="17"/>
  <c r="AA110" i="17"/>
  <c r="O110" i="17"/>
  <c r="AA109" i="17"/>
  <c r="O109" i="17"/>
  <c r="AA108" i="17"/>
  <c r="O108" i="17"/>
  <c r="AA107" i="17"/>
  <c r="O107" i="17"/>
  <c r="AA106" i="17"/>
  <c r="O106" i="17"/>
  <c r="AA105" i="17"/>
  <c r="O105" i="17"/>
  <c r="AA104" i="17"/>
  <c r="O104" i="17"/>
  <c r="AA103" i="17"/>
  <c r="O103" i="17"/>
  <c r="AA102" i="17"/>
  <c r="O102" i="17"/>
  <c r="L102" i="17"/>
  <c r="K102" i="17"/>
  <c r="J102" i="17"/>
  <c r="H102" i="17"/>
  <c r="AA101" i="17"/>
  <c r="O101" i="17"/>
  <c r="I101" i="17"/>
  <c r="AA100" i="17"/>
  <c r="O100" i="17"/>
  <c r="I100" i="17"/>
  <c r="AA99" i="17"/>
  <c r="O99" i="17"/>
  <c r="I99" i="17"/>
  <c r="AA98" i="17"/>
  <c r="O98" i="17"/>
  <c r="I98" i="17"/>
  <c r="AA97" i="17"/>
  <c r="O97" i="17"/>
  <c r="I97" i="17"/>
  <c r="AA96" i="17"/>
  <c r="O96" i="17"/>
  <c r="I96" i="17"/>
  <c r="AA95" i="17"/>
  <c r="O95" i="17"/>
  <c r="I95" i="17"/>
  <c r="AA94" i="17"/>
  <c r="X94" i="17"/>
  <c r="W94" i="17"/>
  <c r="V94" i="17"/>
  <c r="T94" i="17"/>
  <c r="O94" i="17"/>
  <c r="I94" i="17"/>
  <c r="U93" i="17"/>
  <c r="O93" i="17"/>
  <c r="I93" i="17"/>
  <c r="U92" i="17"/>
  <c r="O92" i="17"/>
  <c r="I92" i="17"/>
  <c r="AA91" i="17"/>
  <c r="U91" i="17"/>
  <c r="O91" i="17"/>
  <c r="I91" i="17"/>
  <c r="U90" i="17"/>
  <c r="O90" i="17"/>
  <c r="I90" i="17"/>
  <c r="U89" i="17"/>
  <c r="O89" i="17"/>
  <c r="I89" i="17"/>
  <c r="AA88" i="17"/>
  <c r="U88" i="17"/>
  <c r="O88" i="17"/>
  <c r="I88" i="17"/>
  <c r="AA87" i="17"/>
  <c r="U87" i="17"/>
  <c r="O87" i="17"/>
  <c r="I87" i="17"/>
  <c r="AA86" i="17"/>
  <c r="U86" i="17"/>
  <c r="O86" i="17"/>
  <c r="I86" i="17"/>
  <c r="U85" i="17"/>
  <c r="O85" i="17"/>
  <c r="I85" i="17"/>
  <c r="AA84" i="17"/>
  <c r="U84" i="17"/>
  <c r="O84" i="17"/>
  <c r="I84" i="17"/>
  <c r="AA83" i="17"/>
  <c r="U83" i="17"/>
  <c r="O83" i="17"/>
  <c r="I83" i="17"/>
  <c r="U82" i="17"/>
  <c r="O82" i="17"/>
  <c r="I82" i="17"/>
  <c r="U81" i="17"/>
  <c r="O81" i="17"/>
  <c r="I81" i="17"/>
  <c r="U80" i="17"/>
  <c r="O80" i="17"/>
  <c r="I80" i="17"/>
  <c r="AA79" i="17"/>
  <c r="U79" i="17"/>
  <c r="O79" i="17"/>
  <c r="I79" i="17"/>
  <c r="AA78" i="17"/>
  <c r="U78" i="17"/>
  <c r="O78" i="17"/>
  <c r="I78" i="17"/>
  <c r="U77" i="17"/>
  <c r="O77" i="17"/>
  <c r="I77" i="17"/>
  <c r="U76" i="17"/>
  <c r="O76" i="17"/>
  <c r="I76" i="17"/>
  <c r="AA75" i="17"/>
  <c r="U75" i="17"/>
  <c r="O75" i="17"/>
  <c r="I75" i="17"/>
  <c r="AA74" i="17"/>
  <c r="U74" i="17"/>
  <c r="O74" i="17"/>
  <c r="I74" i="17"/>
  <c r="AA73" i="17"/>
  <c r="U73" i="17"/>
  <c r="O73" i="17"/>
  <c r="I73" i="17"/>
  <c r="U72" i="17"/>
  <c r="O72" i="17"/>
  <c r="I72" i="17"/>
  <c r="AA71" i="17"/>
  <c r="U71" i="17"/>
  <c r="O71" i="17"/>
  <c r="I71" i="17"/>
  <c r="AA70" i="17"/>
  <c r="U70" i="17"/>
  <c r="O70" i="17"/>
  <c r="I70" i="17"/>
  <c r="AA69" i="17"/>
  <c r="U69" i="17"/>
  <c r="O69" i="17"/>
  <c r="I69" i="17"/>
  <c r="U68" i="17"/>
  <c r="O68" i="17"/>
  <c r="I68" i="17"/>
  <c r="AA67" i="17"/>
  <c r="U67" i="17"/>
  <c r="O67" i="17"/>
  <c r="I67" i="17"/>
  <c r="AA66" i="17"/>
  <c r="U66" i="17"/>
  <c r="O66" i="17"/>
  <c r="I66" i="17"/>
  <c r="AA65" i="17"/>
  <c r="O65" i="17"/>
  <c r="I65" i="17"/>
  <c r="O64" i="17"/>
  <c r="I64" i="17"/>
  <c r="AA63" i="17"/>
  <c r="O63" i="17"/>
  <c r="I63" i="17"/>
  <c r="AA62" i="17"/>
  <c r="X62" i="17"/>
  <c r="W62" i="17"/>
  <c r="V62" i="17"/>
  <c r="T62" i="17"/>
  <c r="O62" i="17"/>
  <c r="I62" i="17"/>
  <c r="U61" i="17"/>
  <c r="O61" i="17"/>
  <c r="I61" i="17"/>
  <c r="F61" i="17"/>
  <c r="E61" i="17"/>
  <c r="B61" i="17"/>
  <c r="AA60" i="17"/>
  <c r="U60" i="17"/>
  <c r="O60" i="17"/>
  <c r="I60" i="17"/>
  <c r="D60" i="17"/>
  <c r="C60" i="17"/>
  <c r="U59" i="17"/>
  <c r="O59" i="17"/>
  <c r="I59" i="17"/>
  <c r="D59" i="17"/>
  <c r="C59" i="17"/>
  <c r="AA58" i="17"/>
  <c r="U58" i="17"/>
  <c r="O58" i="17"/>
  <c r="I58" i="17"/>
  <c r="D58" i="17"/>
  <c r="C58" i="17"/>
  <c r="AA57" i="17"/>
  <c r="U57" i="17"/>
  <c r="O57" i="17"/>
  <c r="I57" i="17"/>
  <c r="D57" i="17"/>
  <c r="C57" i="17"/>
  <c r="U56" i="17"/>
  <c r="O56" i="17"/>
  <c r="I56" i="17"/>
  <c r="D56" i="17"/>
  <c r="C56" i="17"/>
  <c r="AA55" i="17"/>
  <c r="U55" i="17"/>
  <c r="O55" i="17"/>
  <c r="D55" i="17"/>
  <c r="C55" i="17"/>
  <c r="AA54" i="17"/>
  <c r="U54" i="17"/>
  <c r="O54" i="17"/>
  <c r="D54" i="17"/>
  <c r="C54" i="17"/>
  <c r="U53" i="17"/>
  <c r="O53" i="17"/>
  <c r="L53" i="17"/>
  <c r="K53" i="17"/>
  <c r="J53" i="17"/>
  <c r="H53" i="17"/>
  <c r="D53" i="17"/>
  <c r="C53" i="17"/>
  <c r="U52" i="17"/>
  <c r="O52" i="17"/>
  <c r="I52" i="17"/>
  <c r="D52" i="17"/>
  <c r="C52" i="17"/>
  <c r="AA51" i="17"/>
  <c r="U51" i="17"/>
  <c r="O51" i="17"/>
  <c r="I51" i="17"/>
  <c r="D51" i="17"/>
  <c r="C51" i="17"/>
  <c r="U50" i="17"/>
  <c r="O50" i="17"/>
  <c r="I50" i="17"/>
  <c r="D50" i="17"/>
  <c r="C50" i="17"/>
  <c r="AA49" i="17"/>
  <c r="U49" i="17"/>
  <c r="O49" i="17"/>
  <c r="I49" i="17"/>
  <c r="D49" i="17"/>
  <c r="C49" i="17"/>
  <c r="U48" i="17"/>
  <c r="O48" i="17"/>
  <c r="I48" i="17"/>
  <c r="D48" i="17"/>
  <c r="C48" i="17"/>
  <c r="AA47" i="17"/>
  <c r="U47" i="17"/>
  <c r="O47" i="17"/>
  <c r="I47" i="17"/>
  <c r="D47" i="17"/>
  <c r="C47" i="17"/>
  <c r="U46" i="17"/>
  <c r="O46" i="17"/>
  <c r="I46" i="17"/>
  <c r="D46" i="17"/>
  <c r="C46" i="17"/>
  <c r="AA45" i="17"/>
  <c r="U45" i="17"/>
  <c r="O45" i="17"/>
  <c r="I45" i="17"/>
  <c r="D45" i="17"/>
  <c r="C45" i="17"/>
  <c r="U44" i="17"/>
  <c r="O44" i="17"/>
  <c r="I44" i="17"/>
  <c r="D44" i="17"/>
  <c r="C44" i="17"/>
  <c r="U43" i="17"/>
  <c r="O43" i="17"/>
  <c r="I43" i="17"/>
  <c r="D43" i="17"/>
  <c r="C43" i="17"/>
  <c r="U42" i="17"/>
  <c r="O42" i="17"/>
  <c r="I42" i="17"/>
  <c r="D42" i="17"/>
  <c r="C42" i="17"/>
  <c r="AA41" i="17"/>
  <c r="U41" i="17"/>
  <c r="O41" i="17"/>
  <c r="I41" i="17"/>
  <c r="D41" i="17"/>
  <c r="C41" i="17"/>
  <c r="U40" i="17"/>
  <c r="O40" i="17"/>
  <c r="I40" i="17"/>
  <c r="D40" i="17"/>
  <c r="C40" i="17"/>
  <c r="AA39" i="17"/>
  <c r="U39" i="17"/>
  <c r="O39" i="17"/>
  <c r="I39" i="17"/>
  <c r="D39" i="17"/>
  <c r="C39" i="17"/>
  <c r="U38" i="17"/>
  <c r="O38" i="17"/>
  <c r="I38" i="17"/>
  <c r="D38" i="17"/>
  <c r="C38" i="17"/>
  <c r="U37" i="17"/>
  <c r="O37" i="17"/>
  <c r="I37" i="17"/>
  <c r="D37" i="17"/>
  <c r="C37" i="17"/>
  <c r="AA36" i="17"/>
  <c r="U36" i="17"/>
  <c r="O36" i="17"/>
  <c r="I36" i="17"/>
  <c r="D36" i="17"/>
  <c r="C36" i="17"/>
  <c r="AA35" i="17"/>
  <c r="O35" i="17"/>
  <c r="I35" i="17"/>
  <c r="D35" i="17"/>
  <c r="C35" i="17"/>
  <c r="U34" i="17"/>
  <c r="O34" i="17"/>
  <c r="I34" i="17"/>
  <c r="D34" i="17"/>
  <c r="C34" i="17"/>
  <c r="O33" i="17"/>
  <c r="I33" i="17"/>
  <c r="D33" i="17"/>
  <c r="C33" i="17"/>
  <c r="O32" i="17"/>
  <c r="I32" i="17"/>
  <c r="D32" i="17"/>
  <c r="C32" i="17"/>
  <c r="AO31" i="17"/>
  <c r="AN31" i="17"/>
  <c r="AM31" i="17"/>
  <c r="AK31" i="17"/>
  <c r="X31" i="17"/>
  <c r="W31" i="17"/>
  <c r="V31" i="17"/>
  <c r="T31" i="17"/>
  <c r="O31" i="17"/>
  <c r="I31" i="17"/>
  <c r="D31" i="17"/>
  <c r="C31" i="17"/>
  <c r="AL30" i="17"/>
  <c r="U30" i="17"/>
  <c r="O30" i="17"/>
  <c r="I30" i="17"/>
  <c r="D30" i="17"/>
  <c r="C30" i="17"/>
  <c r="AL29" i="17"/>
  <c r="U29" i="17"/>
  <c r="O29" i="17"/>
  <c r="I29" i="17"/>
  <c r="D29" i="17"/>
  <c r="C29" i="17"/>
  <c r="AL28" i="17"/>
  <c r="U28" i="17"/>
  <c r="O28" i="17"/>
  <c r="I28" i="17"/>
  <c r="D28" i="17"/>
  <c r="C28" i="17"/>
  <c r="AL27" i="17"/>
  <c r="U27" i="17"/>
  <c r="O27" i="17"/>
  <c r="I27" i="17"/>
  <c r="D27" i="17"/>
  <c r="C27" i="17"/>
  <c r="AL26" i="17"/>
  <c r="AJ26" i="17"/>
  <c r="AI26" i="17"/>
  <c r="AH26" i="17"/>
  <c r="AF26" i="17"/>
  <c r="U26" i="17"/>
  <c r="O26" i="17"/>
  <c r="I26" i="17"/>
  <c r="D26" i="17"/>
  <c r="C26" i="17"/>
  <c r="AL25" i="17"/>
  <c r="AG25" i="17"/>
  <c r="U25" i="17"/>
  <c r="O25" i="17"/>
  <c r="I25" i="17"/>
  <c r="D25" i="17"/>
  <c r="C25" i="17"/>
  <c r="AL24" i="17"/>
  <c r="AG24" i="17"/>
  <c r="U24" i="17"/>
  <c r="O24" i="17"/>
  <c r="I24" i="17"/>
  <c r="D24" i="17"/>
  <c r="C24" i="17"/>
  <c r="AL23" i="17"/>
  <c r="AG23" i="17"/>
  <c r="U23" i="17"/>
  <c r="O23" i="17"/>
  <c r="I23" i="17"/>
  <c r="D23" i="17"/>
  <c r="C23" i="17"/>
  <c r="AL22" i="17"/>
  <c r="AG22" i="17"/>
  <c r="U22" i="17"/>
  <c r="O22" i="17"/>
  <c r="I22" i="17"/>
  <c r="D22" i="17"/>
  <c r="C22" i="17"/>
  <c r="AL21" i="17"/>
  <c r="AG21" i="17"/>
  <c r="U21" i="17"/>
  <c r="O21" i="17"/>
  <c r="I21" i="17"/>
  <c r="D21" i="17"/>
  <c r="C21" i="17"/>
  <c r="AL20" i="17"/>
  <c r="AG20" i="17"/>
  <c r="U20" i="17"/>
  <c r="O20" i="17"/>
  <c r="I20" i="17"/>
  <c r="D20" i="17"/>
  <c r="C20" i="17"/>
  <c r="AL19" i="17"/>
  <c r="AG19" i="17"/>
  <c r="U19" i="17"/>
  <c r="O19" i="17"/>
  <c r="I19" i="17"/>
  <c r="D19" i="17"/>
  <c r="C19" i="17"/>
  <c r="AL18" i="17"/>
  <c r="AG18" i="17"/>
  <c r="U18" i="17"/>
  <c r="O18" i="17"/>
  <c r="I18" i="17"/>
  <c r="D18" i="17"/>
  <c r="C18" i="17"/>
  <c r="AL17" i="17"/>
  <c r="AG17" i="17"/>
  <c r="U17" i="17"/>
  <c r="P17" i="17"/>
  <c r="I17" i="17"/>
  <c r="D17" i="17"/>
  <c r="C17" i="17"/>
  <c r="AL16" i="17"/>
  <c r="AG16" i="17"/>
  <c r="AG26" i="17" s="1"/>
  <c r="AA16" i="17"/>
  <c r="U16" i="17"/>
  <c r="O16" i="17"/>
  <c r="I16" i="17"/>
  <c r="D16" i="17"/>
  <c r="G12" i="17"/>
  <c r="F12" i="17"/>
  <c r="E12" i="17"/>
  <c r="D12" i="17"/>
  <c r="C12" i="17"/>
  <c r="J10" i="17"/>
  <c r="B7" i="17"/>
  <c r="B6" i="17"/>
  <c r="B5" i="17"/>
  <c r="B4" i="17"/>
  <c r="B3" i="17"/>
  <c r="J10" i="16"/>
  <c r="AA169" i="21" l="1"/>
  <c r="D7" i="21" s="1"/>
  <c r="D12" i="21" s="1"/>
  <c r="E12" i="21"/>
  <c r="C12" i="21"/>
  <c r="F12" i="21"/>
  <c r="G12" i="21"/>
  <c r="D12" i="20"/>
  <c r="E12" i="20"/>
  <c r="C12" i="20"/>
  <c r="AA169" i="19"/>
  <c r="D7" i="19" s="1"/>
  <c r="U62" i="19"/>
  <c r="D8" i="19" s="1"/>
  <c r="E12" i="19"/>
  <c r="C12" i="19"/>
  <c r="F12" i="19"/>
  <c r="G12" i="19"/>
  <c r="AL31" i="18"/>
  <c r="D11" i="18" s="1"/>
  <c r="AG26" i="18"/>
  <c r="D9" i="18" s="1"/>
  <c r="AA169" i="18"/>
  <c r="D7" i="18" s="1"/>
  <c r="AB169" i="18"/>
  <c r="E7" i="18" s="1"/>
  <c r="E12" i="18" s="1"/>
  <c r="U62" i="18"/>
  <c r="D8" i="18" s="1"/>
  <c r="I53" i="18"/>
  <c r="D4" i="18" s="1"/>
  <c r="O135" i="18"/>
  <c r="D5" i="18" s="1"/>
  <c r="C61" i="18"/>
  <c r="D3" i="18" s="1"/>
  <c r="G12" i="18"/>
  <c r="C12" i="18"/>
  <c r="F12" i="18"/>
  <c r="O135" i="17"/>
  <c r="D61" i="17"/>
  <c r="U94" i="17"/>
  <c r="C61" i="17"/>
  <c r="I102" i="17"/>
  <c r="I53" i="17"/>
  <c r="AL31" i="17"/>
  <c r="U62" i="17"/>
  <c r="AA169" i="17"/>
  <c r="AB169" i="17"/>
  <c r="U31" i="17"/>
  <c r="I56" i="16"/>
  <c r="J102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AB80" i="16"/>
  <c r="AA78" i="16"/>
  <c r="AB76" i="16"/>
  <c r="AA74" i="16"/>
  <c r="AA73" i="16"/>
  <c r="AA70" i="16"/>
  <c r="AA67" i="16"/>
  <c r="AB64" i="16"/>
  <c r="AA60" i="16"/>
  <c r="AB59" i="16"/>
  <c r="AA57" i="16"/>
  <c r="AB56" i="16"/>
  <c r="AA55" i="16"/>
  <c r="AB53" i="16"/>
  <c r="AA52" i="16"/>
  <c r="AA49" i="16"/>
  <c r="AB48" i="16"/>
  <c r="AA46" i="16"/>
  <c r="AB43" i="16"/>
  <c r="AA41" i="16"/>
  <c r="AB40" i="16"/>
  <c r="AB37" i="16"/>
  <c r="AA36" i="16"/>
  <c r="AB34" i="16"/>
  <c r="AA33" i="16"/>
  <c r="AB31" i="16"/>
  <c r="AA22" i="16"/>
  <c r="AB20" i="16"/>
  <c r="AA19" i="16"/>
  <c r="AB17" i="16"/>
  <c r="AA16" i="16"/>
  <c r="AD169" i="16"/>
  <c r="AC169" i="16"/>
  <c r="AA168" i="16"/>
  <c r="AA167" i="16"/>
  <c r="AA166" i="16"/>
  <c r="AA165" i="16"/>
  <c r="AA164" i="16"/>
  <c r="AA163" i="16"/>
  <c r="AA162" i="16"/>
  <c r="AA161" i="16"/>
  <c r="AA160" i="16"/>
  <c r="AA159" i="16"/>
  <c r="AA158" i="16"/>
  <c r="AA157" i="16"/>
  <c r="AA156" i="16"/>
  <c r="AA155" i="16"/>
  <c r="AA154" i="16"/>
  <c r="AA153" i="16"/>
  <c r="AA152" i="16"/>
  <c r="AA151" i="16"/>
  <c r="AA150" i="16"/>
  <c r="AA149" i="16"/>
  <c r="AA148" i="16"/>
  <c r="AA147" i="16"/>
  <c r="AA146" i="16"/>
  <c r="AA145" i="16"/>
  <c r="AA144" i="16"/>
  <c r="AA143" i="16"/>
  <c r="AA142" i="16"/>
  <c r="AA141" i="16"/>
  <c r="AA140" i="16"/>
  <c r="AA139" i="16"/>
  <c r="AA138" i="16"/>
  <c r="AA137" i="16"/>
  <c r="AA136" i="16"/>
  <c r="AA135" i="16"/>
  <c r="R135" i="16"/>
  <c r="Q135" i="16"/>
  <c r="N135" i="16"/>
  <c r="AA134" i="16"/>
  <c r="O134" i="16"/>
  <c r="AA133" i="16"/>
  <c r="AA132" i="16"/>
  <c r="AA131" i="16"/>
  <c r="AA130" i="16"/>
  <c r="AA129" i="16"/>
  <c r="AA128" i="16"/>
  <c r="AA127" i="16"/>
  <c r="AA126" i="16"/>
  <c r="AA125" i="16"/>
  <c r="AA124" i="16"/>
  <c r="AA123" i="16"/>
  <c r="AA122" i="16"/>
  <c r="O122" i="16"/>
  <c r="AA121" i="16"/>
  <c r="O121" i="16"/>
  <c r="AA120" i="16"/>
  <c r="O120" i="16"/>
  <c r="AA119" i="16"/>
  <c r="O119" i="16"/>
  <c r="AA118" i="16"/>
  <c r="O118" i="16"/>
  <c r="AA117" i="16"/>
  <c r="O117" i="16"/>
  <c r="AA116" i="16"/>
  <c r="O116" i="16"/>
  <c r="AA115" i="16"/>
  <c r="O115" i="16"/>
  <c r="AA114" i="16"/>
  <c r="O114" i="16"/>
  <c r="AA113" i="16"/>
  <c r="O113" i="16"/>
  <c r="AA112" i="16"/>
  <c r="O112" i="16"/>
  <c r="AA111" i="16"/>
  <c r="O111" i="16"/>
  <c r="AA110" i="16"/>
  <c r="O110" i="16"/>
  <c r="AA109" i="16"/>
  <c r="O109" i="16"/>
  <c r="AA108" i="16"/>
  <c r="O108" i="16"/>
  <c r="AA107" i="16"/>
  <c r="O107" i="16"/>
  <c r="AA106" i="16"/>
  <c r="O106" i="16"/>
  <c r="AA105" i="16"/>
  <c r="O105" i="16"/>
  <c r="AA104" i="16"/>
  <c r="O104" i="16"/>
  <c r="AA103" i="16"/>
  <c r="O103" i="16"/>
  <c r="AA102" i="16"/>
  <c r="O102" i="16"/>
  <c r="L102" i="16"/>
  <c r="K102" i="16"/>
  <c r="H102" i="16"/>
  <c r="AA101" i="16"/>
  <c r="O101" i="16"/>
  <c r="I101" i="16"/>
  <c r="AA100" i="16"/>
  <c r="O100" i="16"/>
  <c r="I100" i="16"/>
  <c r="AA99" i="16"/>
  <c r="O99" i="16"/>
  <c r="I99" i="16"/>
  <c r="AA98" i="16"/>
  <c r="O98" i="16"/>
  <c r="I98" i="16"/>
  <c r="AA97" i="16"/>
  <c r="O97" i="16"/>
  <c r="I97" i="16"/>
  <c r="AA96" i="16"/>
  <c r="O96" i="16"/>
  <c r="I96" i="16"/>
  <c r="AA95" i="16"/>
  <c r="O95" i="16"/>
  <c r="I95" i="16"/>
  <c r="AA94" i="16"/>
  <c r="X94" i="16"/>
  <c r="W94" i="16"/>
  <c r="V94" i="16"/>
  <c r="T94" i="16"/>
  <c r="O94" i="16"/>
  <c r="I94" i="16"/>
  <c r="AA93" i="16"/>
  <c r="U93" i="16"/>
  <c r="O93" i="16"/>
  <c r="I93" i="16"/>
  <c r="AB92" i="16"/>
  <c r="U92" i="16"/>
  <c r="O92" i="16"/>
  <c r="I92" i="16"/>
  <c r="AA91" i="16"/>
  <c r="U91" i="16"/>
  <c r="O91" i="16"/>
  <c r="I91" i="16"/>
  <c r="AA90" i="16"/>
  <c r="U90" i="16"/>
  <c r="O90" i="16"/>
  <c r="I90" i="16"/>
  <c r="AA89" i="16"/>
  <c r="U89" i="16"/>
  <c r="O89" i="16"/>
  <c r="I89" i="16"/>
  <c r="AA88" i="16"/>
  <c r="U88" i="16"/>
  <c r="O88" i="16"/>
  <c r="I88" i="16"/>
  <c r="AA87" i="16"/>
  <c r="U87" i="16"/>
  <c r="O87" i="16"/>
  <c r="I87" i="16"/>
  <c r="AA86" i="16"/>
  <c r="U86" i="16"/>
  <c r="O86" i="16"/>
  <c r="I86" i="16"/>
  <c r="AB85" i="16"/>
  <c r="U85" i="16"/>
  <c r="O85" i="16"/>
  <c r="I85" i="16"/>
  <c r="AA84" i="16"/>
  <c r="U84" i="16"/>
  <c r="O84" i="16"/>
  <c r="I84" i="16"/>
  <c r="AA83" i="16"/>
  <c r="U83" i="16"/>
  <c r="O83" i="16"/>
  <c r="I83" i="16"/>
  <c r="AB82" i="16"/>
  <c r="U82" i="16"/>
  <c r="O82" i="16"/>
  <c r="I82" i="16"/>
  <c r="AA81" i="16"/>
  <c r="U81" i="16"/>
  <c r="O81" i="16"/>
  <c r="I81" i="16"/>
  <c r="U80" i="16"/>
  <c r="O80" i="16"/>
  <c r="I80" i="16"/>
  <c r="AA79" i="16"/>
  <c r="U79" i="16"/>
  <c r="O79" i="16"/>
  <c r="I79" i="16"/>
  <c r="U78" i="16"/>
  <c r="O78" i="16"/>
  <c r="I78" i="16"/>
  <c r="AA77" i="16"/>
  <c r="U77" i="16"/>
  <c r="O77" i="16"/>
  <c r="I77" i="16"/>
  <c r="U76" i="16"/>
  <c r="O76" i="16"/>
  <c r="I76" i="16"/>
  <c r="AA75" i="16"/>
  <c r="U75" i="16"/>
  <c r="O75" i="16"/>
  <c r="I75" i="16"/>
  <c r="U74" i="16"/>
  <c r="O74" i="16"/>
  <c r="I74" i="16"/>
  <c r="U73" i="16"/>
  <c r="O73" i="16"/>
  <c r="I73" i="16"/>
  <c r="U72" i="16"/>
  <c r="O72" i="16"/>
  <c r="I72" i="16"/>
  <c r="AA71" i="16"/>
  <c r="U71" i="16"/>
  <c r="O71" i="16"/>
  <c r="I71" i="16"/>
  <c r="U70" i="16"/>
  <c r="O70" i="16"/>
  <c r="I70" i="16"/>
  <c r="AA69" i="16"/>
  <c r="U69" i="16"/>
  <c r="O69" i="16"/>
  <c r="I69" i="16"/>
  <c r="AA68" i="16"/>
  <c r="U68" i="16"/>
  <c r="O68" i="16"/>
  <c r="I68" i="16"/>
  <c r="U67" i="16"/>
  <c r="O67" i="16"/>
  <c r="I67" i="16"/>
  <c r="AA66" i="16"/>
  <c r="U66" i="16"/>
  <c r="U94" i="16" s="1"/>
  <c r="O66" i="16"/>
  <c r="I66" i="16"/>
  <c r="AA65" i="16"/>
  <c r="O65" i="16"/>
  <c r="I65" i="16"/>
  <c r="O64" i="16"/>
  <c r="I64" i="16"/>
  <c r="AA63" i="16"/>
  <c r="O63" i="16"/>
  <c r="I63" i="16"/>
  <c r="AA62" i="16"/>
  <c r="X62" i="16"/>
  <c r="W62" i="16"/>
  <c r="V62" i="16"/>
  <c r="T62" i="16"/>
  <c r="O62" i="16"/>
  <c r="I62" i="16"/>
  <c r="AA61" i="16"/>
  <c r="U61" i="16"/>
  <c r="O61" i="16"/>
  <c r="I61" i="16"/>
  <c r="F61" i="16"/>
  <c r="E61" i="16"/>
  <c r="D61" i="16"/>
  <c r="B61" i="16"/>
  <c r="U60" i="16"/>
  <c r="O60" i="16"/>
  <c r="I60" i="16"/>
  <c r="C60" i="16"/>
  <c r="U59" i="16"/>
  <c r="O59" i="16"/>
  <c r="I59" i="16"/>
  <c r="C59" i="16"/>
  <c r="AA58" i="16"/>
  <c r="U58" i="16"/>
  <c r="O58" i="16"/>
  <c r="I58" i="16"/>
  <c r="C58" i="16"/>
  <c r="U57" i="16"/>
  <c r="O57" i="16"/>
  <c r="I57" i="16"/>
  <c r="C57" i="16"/>
  <c r="U56" i="16"/>
  <c r="O56" i="16"/>
  <c r="C56" i="16"/>
  <c r="U55" i="16"/>
  <c r="O55" i="16"/>
  <c r="C55" i="16"/>
  <c r="AA54" i="16"/>
  <c r="U54" i="16"/>
  <c r="O54" i="16"/>
  <c r="C54" i="16"/>
  <c r="U53" i="16"/>
  <c r="O53" i="16"/>
  <c r="L53" i="16"/>
  <c r="K53" i="16"/>
  <c r="J53" i="16"/>
  <c r="H53" i="16"/>
  <c r="C53" i="16"/>
  <c r="U52" i="16"/>
  <c r="O52" i="16"/>
  <c r="I52" i="16"/>
  <c r="C52" i="16"/>
  <c r="AA51" i="16"/>
  <c r="U51" i="16"/>
  <c r="O51" i="16"/>
  <c r="I51" i="16"/>
  <c r="C51" i="16"/>
  <c r="AA50" i="16"/>
  <c r="U50" i="16"/>
  <c r="O50" i="16"/>
  <c r="I50" i="16"/>
  <c r="C50" i="16"/>
  <c r="U49" i="16"/>
  <c r="O49" i="16"/>
  <c r="I49" i="16"/>
  <c r="C49" i="16"/>
  <c r="U48" i="16"/>
  <c r="O48" i="16"/>
  <c r="I48" i="16"/>
  <c r="C48" i="16"/>
  <c r="AA47" i="16"/>
  <c r="U47" i="16"/>
  <c r="O47" i="16"/>
  <c r="I47" i="16"/>
  <c r="C47" i="16"/>
  <c r="U46" i="16"/>
  <c r="O46" i="16"/>
  <c r="I46" i="16"/>
  <c r="C46" i="16"/>
  <c r="AA45" i="16"/>
  <c r="U45" i="16"/>
  <c r="O45" i="16"/>
  <c r="I45" i="16"/>
  <c r="C45" i="16"/>
  <c r="AA44" i="16"/>
  <c r="U44" i="16"/>
  <c r="O44" i="16"/>
  <c r="I44" i="16"/>
  <c r="C44" i="16"/>
  <c r="U43" i="16"/>
  <c r="O43" i="16"/>
  <c r="I43" i="16"/>
  <c r="C43" i="16"/>
  <c r="AA42" i="16"/>
  <c r="U42" i="16"/>
  <c r="O42" i="16"/>
  <c r="I42" i="16"/>
  <c r="C42" i="16"/>
  <c r="U41" i="16"/>
  <c r="O41" i="16"/>
  <c r="I41" i="16"/>
  <c r="C41" i="16"/>
  <c r="U40" i="16"/>
  <c r="O40" i="16"/>
  <c r="I40" i="16"/>
  <c r="C40" i="16"/>
  <c r="AA39" i="16"/>
  <c r="U39" i="16"/>
  <c r="O39" i="16"/>
  <c r="I39" i="16"/>
  <c r="C39" i="16"/>
  <c r="AA38" i="16"/>
  <c r="U38" i="16"/>
  <c r="O38" i="16"/>
  <c r="I38" i="16"/>
  <c r="C38" i="16"/>
  <c r="U37" i="16"/>
  <c r="O37" i="16"/>
  <c r="I37" i="16"/>
  <c r="C37" i="16"/>
  <c r="U36" i="16"/>
  <c r="O36" i="16"/>
  <c r="I36" i="16"/>
  <c r="C36" i="16"/>
  <c r="AA35" i="16"/>
  <c r="U35" i="16"/>
  <c r="O35" i="16"/>
  <c r="I35" i="16"/>
  <c r="C35" i="16"/>
  <c r="U34" i="16"/>
  <c r="O34" i="16"/>
  <c r="I34" i="16"/>
  <c r="C34" i="16"/>
  <c r="O33" i="16"/>
  <c r="I33" i="16"/>
  <c r="C33" i="16"/>
  <c r="AA32" i="16"/>
  <c r="O32" i="16"/>
  <c r="I32" i="16"/>
  <c r="C32" i="16"/>
  <c r="AO31" i="16"/>
  <c r="AN31" i="16"/>
  <c r="AM31" i="16"/>
  <c r="AK31" i="16"/>
  <c r="X31" i="16"/>
  <c r="W31" i="16"/>
  <c r="V31" i="16"/>
  <c r="T31" i="16"/>
  <c r="O31" i="16"/>
  <c r="I31" i="16"/>
  <c r="C31" i="16"/>
  <c r="AL30" i="16"/>
  <c r="AA30" i="16"/>
  <c r="U30" i="16"/>
  <c r="O30" i="16"/>
  <c r="I30" i="16"/>
  <c r="C30" i="16"/>
  <c r="AL29" i="16"/>
  <c r="AA29" i="16"/>
  <c r="U29" i="16"/>
  <c r="O29" i="16"/>
  <c r="I29" i="16"/>
  <c r="C29" i="16"/>
  <c r="AL28" i="16"/>
  <c r="AB28" i="16"/>
  <c r="U28" i="16"/>
  <c r="O28" i="16"/>
  <c r="I28" i="16"/>
  <c r="C28" i="16"/>
  <c r="AL27" i="16"/>
  <c r="AA27" i="16"/>
  <c r="U27" i="16"/>
  <c r="O27" i="16"/>
  <c r="I27" i="16"/>
  <c r="C27" i="16"/>
  <c r="AL26" i="16"/>
  <c r="AJ26" i="16"/>
  <c r="AI26" i="16"/>
  <c r="AH26" i="16"/>
  <c r="AF26" i="16"/>
  <c r="AA26" i="16"/>
  <c r="U26" i="16"/>
  <c r="O26" i="16"/>
  <c r="I26" i="16"/>
  <c r="C26" i="16"/>
  <c r="AL25" i="16"/>
  <c r="AG25" i="16"/>
  <c r="AB25" i="16"/>
  <c r="U25" i="16"/>
  <c r="O25" i="16"/>
  <c r="I25" i="16"/>
  <c r="C25" i="16"/>
  <c r="AL24" i="16"/>
  <c r="AG24" i="16"/>
  <c r="AA24" i="16"/>
  <c r="U24" i="16"/>
  <c r="O24" i="16"/>
  <c r="I24" i="16"/>
  <c r="C24" i="16"/>
  <c r="AL23" i="16"/>
  <c r="AG23" i="16"/>
  <c r="AA23" i="16"/>
  <c r="U23" i="16"/>
  <c r="O23" i="16"/>
  <c r="I23" i="16"/>
  <c r="C23" i="16"/>
  <c r="AL22" i="16"/>
  <c r="AG22" i="16"/>
  <c r="Z169" i="16"/>
  <c r="U22" i="16"/>
  <c r="O22" i="16"/>
  <c r="I22" i="16"/>
  <c r="C22" i="16"/>
  <c r="AL21" i="16"/>
  <c r="AG21" i="16"/>
  <c r="AA21" i="16"/>
  <c r="U21" i="16"/>
  <c r="O21" i="16"/>
  <c r="I21" i="16"/>
  <c r="C21" i="16"/>
  <c r="AL20" i="16"/>
  <c r="AG20" i="16"/>
  <c r="U20" i="16"/>
  <c r="O20" i="16"/>
  <c r="I20" i="16"/>
  <c r="C20" i="16"/>
  <c r="AL19" i="16"/>
  <c r="AG19" i="16"/>
  <c r="U19" i="16"/>
  <c r="O19" i="16"/>
  <c r="I19" i="16"/>
  <c r="C19" i="16"/>
  <c r="AL18" i="16"/>
  <c r="AG18" i="16"/>
  <c r="AA18" i="16"/>
  <c r="U18" i="16"/>
  <c r="O18" i="16"/>
  <c r="I18" i="16"/>
  <c r="C18" i="16"/>
  <c r="AL17" i="16"/>
  <c r="AG17" i="16"/>
  <c r="U17" i="16"/>
  <c r="P17" i="16"/>
  <c r="P135" i="16" s="1"/>
  <c r="I17" i="16"/>
  <c r="C17" i="16"/>
  <c r="C61" i="16" s="1"/>
  <c r="AL16" i="16"/>
  <c r="AG16" i="16"/>
  <c r="U16" i="16"/>
  <c r="O16" i="16"/>
  <c r="O135" i="16" s="1"/>
  <c r="I16" i="16"/>
  <c r="G12" i="16"/>
  <c r="F12" i="16"/>
  <c r="E12" i="16"/>
  <c r="D12" i="16"/>
  <c r="C12" i="16"/>
  <c r="B7" i="16"/>
  <c r="B6" i="16"/>
  <c r="B5" i="16"/>
  <c r="B4" i="16"/>
  <c r="B3" i="16"/>
  <c r="Z52" i="15"/>
  <c r="Z33" i="15"/>
  <c r="Z22" i="15"/>
  <c r="AB70" i="15"/>
  <c r="AB67" i="15"/>
  <c r="AB60" i="15"/>
  <c r="AB57" i="15"/>
  <c r="AB55" i="15"/>
  <c r="AA53" i="15"/>
  <c r="AB46" i="15"/>
  <c r="AB41" i="15"/>
  <c r="AA32" i="15"/>
  <c r="AA29" i="15"/>
  <c r="AB28" i="15"/>
  <c r="AB25" i="15"/>
  <c r="AA23" i="15"/>
  <c r="AB16" i="15"/>
  <c r="AD169" i="15"/>
  <c r="AC169" i="15"/>
  <c r="AA168" i="15"/>
  <c r="AA167" i="15"/>
  <c r="AA166" i="15"/>
  <c r="AA165" i="15"/>
  <c r="AA164" i="15"/>
  <c r="AA163" i="15"/>
  <c r="AA162" i="15"/>
  <c r="AA161" i="15"/>
  <c r="AA160" i="15"/>
  <c r="AA159" i="15"/>
  <c r="AA158" i="15"/>
  <c r="AA157" i="15"/>
  <c r="AA156" i="15"/>
  <c r="AA155" i="15"/>
  <c r="AA154" i="15"/>
  <c r="AA153" i="15"/>
  <c r="AA152" i="15"/>
  <c r="AA151" i="15"/>
  <c r="AA150" i="15"/>
  <c r="AA149" i="15"/>
  <c r="AA148" i="15"/>
  <c r="AA147" i="15"/>
  <c r="AA146" i="15"/>
  <c r="AA145" i="15"/>
  <c r="AA144" i="15"/>
  <c r="AA143" i="15"/>
  <c r="AA142" i="15"/>
  <c r="AA141" i="15"/>
  <c r="AA140" i="15"/>
  <c r="AA139" i="15"/>
  <c r="AA138" i="15"/>
  <c r="AA137" i="15"/>
  <c r="AA136" i="15"/>
  <c r="AA135" i="15"/>
  <c r="R135" i="15"/>
  <c r="Q135" i="15"/>
  <c r="N135" i="15"/>
  <c r="AA134" i="15"/>
  <c r="O134" i="15"/>
  <c r="AA133" i="15"/>
  <c r="AA132" i="15"/>
  <c r="AA131" i="15"/>
  <c r="AA130" i="15"/>
  <c r="AA129" i="15"/>
  <c r="AA128" i="15"/>
  <c r="AA127" i="15"/>
  <c r="AA126" i="15"/>
  <c r="AA125" i="15"/>
  <c r="AA124" i="15"/>
  <c r="AA123" i="15"/>
  <c r="AA122" i="15"/>
  <c r="O122" i="15"/>
  <c r="AA121" i="15"/>
  <c r="O121" i="15"/>
  <c r="AA120" i="15"/>
  <c r="O120" i="15"/>
  <c r="AA119" i="15"/>
  <c r="O119" i="15"/>
  <c r="AA118" i="15"/>
  <c r="O118" i="15"/>
  <c r="AA117" i="15"/>
  <c r="O117" i="15"/>
  <c r="AA116" i="15"/>
  <c r="O116" i="15"/>
  <c r="AA115" i="15"/>
  <c r="O115" i="15"/>
  <c r="AA114" i="15"/>
  <c r="O114" i="15"/>
  <c r="AA113" i="15"/>
  <c r="O113" i="15"/>
  <c r="AA112" i="15"/>
  <c r="O112" i="15"/>
  <c r="AA111" i="15"/>
  <c r="O111" i="15"/>
  <c r="AA110" i="15"/>
  <c r="O110" i="15"/>
  <c r="AA109" i="15"/>
  <c r="O109" i="15"/>
  <c r="AA108" i="15"/>
  <c r="O108" i="15"/>
  <c r="AA107" i="15"/>
  <c r="O107" i="15"/>
  <c r="AA106" i="15"/>
  <c r="O106" i="15"/>
  <c r="AA105" i="15"/>
  <c r="O105" i="15"/>
  <c r="AA104" i="15"/>
  <c r="O104" i="15"/>
  <c r="AA103" i="15"/>
  <c r="O103" i="15"/>
  <c r="AA102" i="15"/>
  <c r="O102" i="15"/>
  <c r="L102" i="15"/>
  <c r="K102" i="15"/>
  <c r="J102" i="15"/>
  <c r="H102" i="15"/>
  <c r="AA101" i="15"/>
  <c r="O101" i="15"/>
  <c r="I101" i="15"/>
  <c r="AA100" i="15"/>
  <c r="O100" i="15"/>
  <c r="I100" i="15"/>
  <c r="AA99" i="15"/>
  <c r="O99" i="15"/>
  <c r="I99" i="15"/>
  <c r="AA98" i="15"/>
  <c r="O98" i="15"/>
  <c r="I98" i="15"/>
  <c r="AA97" i="15"/>
  <c r="O97" i="15"/>
  <c r="I97" i="15"/>
  <c r="AA96" i="15"/>
  <c r="O96" i="15"/>
  <c r="I96" i="15"/>
  <c r="AA95" i="15"/>
  <c r="O95" i="15"/>
  <c r="I95" i="15"/>
  <c r="AA94" i="15"/>
  <c r="X94" i="15"/>
  <c r="W94" i="15"/>
  <c r="V94" i="15"/>
  <c r="T94" i="15"/>
  <c r="O94" i="15"/>
  <c r="I94" i="15"/>
  <c r="AA93" i="15"/>
  <c r="U93" i="15"/>
  <c r="O93" i="15"/>
  <c r="I93" i="15"/>
  <c r="AB92" i="15"/>
  <c r="U92" i="15"/>
  <c r="O92" i="15"/>
  <c r="I92" i="15"/>
  <c r="AA91" i="15"/>
  <c r="U91" i="15"/>
  <c r="O91" i="15"/>
  <c r="I91" i="15"/>
  <c r="AA90" i="15"/>
  <c r="U90" i="15"/>
  <c r="O90" i="15"/>
  <c r="I90" i="15"/>
  <c r="AA89" i="15"/>
  <c r="U89" i="15"/>
  <c r="O89" i="15"/>
  <c r="I89" i="15"/>
  <c r="AA88" i="15"/>
  <c r="U88" i="15"/>
  <c r="O88" i="15"/>
  <c r="I88" i="15"/>
  <c r="AA87" i="15"/>
  <c r="U87" i="15"/>
  <c r="O87" i="15"/>
  <c r="I87" i="15"/>
  <c r="AA86" i="15"/>
  <c r="U86" i="15"/>
  <c r="O86" i="15"/>
  <c r="I86" i="15"/>
  <c r="AB85" i="15"/>
  <c r="U85" i="15"/>
  <c r="O85" i="15"/>
  <c r="I85" i="15"/>
  <c r="AA84" i="15"/>
  <c r="U84" i="15"/>
  <c r="O84" i="15"/>
  <c r="I84" i="15"/>
  <c r="AA83" i="15"/>
  <c r="U83" i="15"/>
  <c r="O83" i="15"/>
  <c r="I83" i="15"/>
  <c r="AB82" i="15"/>
  <c r="U82" i="15"/>
  <c r="O82" i="15"/>
  <c r="I82" i="15"/>
  <c r="AA81" i="15"/>
  <c r="U81" i="15"/>
  <c r="O81" i="15"/>
  <c r="I81" i="15"/>
  <c r="AA80" i="15"/>
  <c r="U80" i="15"/>
  <c r="O80" i="15"/>
  <c r="I80" i="15"/>
  <c r="AA79" i="15"/>
  <c r="U79" i="15"/>
  <c r="O79" i="15"/>
  <c r="I79" i="15"/>
  <c r="AB78" i="15"/>
  <c r="U78" i="15"/>
  <c r="O78" i="15"/>
  <c r="I78" i="15"/>
  <c r="AA77" i="15"/>
  <c r="U77" i="15"/>
  <c r="O77" i="15"/>
  <c r="I77" i="15"/>
  <c r="U76" i="15"/>
  <c r="O76" i="15"/>
  <c r="I76" i="15"/>
  <c r="AA75" i="15"/>
  <c r="U75" i="15"/>
  <c r="O75" i="15"/>
  <c r="I75" i="15"/>
  <c r="AA74" i="15"/>
  <c r="U74" i="15"/>
  <c r="O74" i="15"/>
  <c r="I74" i="15"/>
  <c r="AB73" i="15"/>
  <c r="U73" i="15"/>
  <c r="O73" i="15"/>
  <c r="I73" i="15"/>
  <c r="AA72" i="15"/>
  <c r="U72" i="15"/>
  <c r="O72" i="15"/>
  <c r="I72" i="15"/>
  <c r="AA71" i="15"/>
  <c r="U71" i="15"/>
  <c r="O71" i="15"/>
  <c r="I71" i="15"/>
  <c r="U70" i="15"/>
  <c r="O70" i="15"/>
  <c r="I70" i="15"/>
  <c r="AA69" i="15"/>
  <c r="U69" i="15"/>
  <c r="O69" i="15"/>
  <c r="I69" i="15"/>
  <c r="AA68" i="15"/>
  <c r="U68" i="15"/>
  <c r="O68" i="15"/>
  <c r="I68" i="15"/>
  <c r="U67" i="15"/>
  <c r="O67" i="15"/>
  <c r="I67" i="15"/>
  <c r="AA66" i="15"/>
  <c r="U66" i="15"/>
  <c r="U94" i="15" s="1"/>
  <c r="O66" i="15"/>
  <c r="I66" i="15"/>
  <c r="AA65" i="15"/>
  <c r="O65" i="15"/>
  <c r="I65" i="15"/>
  <c r="AA64" i="15"/>
  <c r="O64" i="15"/>
  <c r="I64" i="15"/>
  <c r="AA63" i="15"/>
  <c r="O63" i="15"/>
  <c r="I63" i="15"/>
  <c r="AA62" i="15"/>
  <c r="X62" i="15"/>
  <c r="W62" i="15"/>
  <c r="V62" i="15"/>
  <c r="T62" i="15"/>
  <c r="O62" i="15"/>
  <c r="I62" i="15"/>
  <c r="AA61" i="15"/>
  <c r="U61" i="15"/>
  <c r="O61" i="15"/>
  <c r="I61" i="15"/>
  <c r="F61" i="15"/>
  <c r="E61" i="15"/>
  <c r="D61" i="15"/>
  <c r="B61" i="15"/>
  <c r="U60" i="15"/>
  <c r="O60" i="15"/>
  <c r="I60" i="15"/>
  <c r="C60" i="15"/>
  <c r="AA59" i="15"/>
  <c r="U59" i="15"/>
  <c r="O59" i="15"/>
  <c r="I59" i="15"/>
  <c r="C59" i="15"/>
  <c r="AA58" i="15"/>
  <c r="U58" i="15"/>
  <c r="O58" i="15"/>
  <c r="I58" i="15"/>
  <c r="C58" i="15"/>
  <c r="U57" i="15"/>
  <c r="O57" i="15"/>
  <c r="I57" i="15"/>
  <c r="C57" i="15"/>
  <c r="AA56" i="15"/>
  <c r="U56" i="15"/>
  <c r="O56" i="15"/>
  <c r="I56" i="15"/>
  <c r="C56" i="15"/>
  <c r="U55" i="15"/>
  <c r="O55" i="15"/>
  <c r="C55" i="15"/>
  <c r="AA54" i="15"/>
  <c r="U54" i="15"/>
  <c r="O54" i="15"/>
  <c r="C54" i="15"/>
  <c r="U53" i="15"/>
  <c r="O53" i="15"/>
  <c r="L53" i="15"/>
  <c r="K53" i="15"/>
  <c r="J53" i="15"/>
  <c r="H53" i="15"/>
  <c r="C53" i="15"/>
  <c r="U52" i="15"/>
  <c r="O52" i="15"/>
  <c r="I52" i="15"/>
  <c r="C52" i="15"/>
  <c r="AA51" i="15"/>
  <c r="U51" i="15"/>
  <c r="O51" i="15"/>
  <c r="I51" i="15"/>
  <c r="C51" i="15"/>
  <c r="AA50" i="15"/>
  <c r="U50" i="15"/>
  <c r="O50" i="15"/>
  <c r="I50" i="15"/>
  <c r="C50" i="15"/>
  <c r="AB49" i="15"/>
  <c r="U49" i="15"/>
  <c r="O49" i="15"/>
  <c r="I49" i="15"/>
  <c r="C49" i="15"/>
  <c r="AA48" i="15"/>
  <c r="U48" i="15"/>
  <c r="O48" i="15"/>
  <c r="I48" i="15"/>
  <c r="C48" i="15"/>
  <c r="AA47" i="15"/>
  <c r="U47" i="15"/>
  <c r="O47" i="15"/>
  <c r="I47" i="15"/>
  <c r="C47" i="15"/>
  <c r="U46" i="15"/>
  <c r="O46" i="15"/>
  <c r="I46" i="15"/>
  <c r="C46" i="15"/>
  <c r="AA45" i="15"/>
  <c r="U45" i="15"/>
  <c r="O45" i="15"/>
  <c r="I45" i="15"/>
  <c r="C45" i="15"/>
  <c r="AA44" i="15"/>
  <c r="U44" i="15"/>
  <c r="O44" i="15"/>
  <c r="I44" i="15"/>
  <c r="C44" i="15"/>
  <c r="AA43" i="15"/>
  <c r="U43" i="15"/>
  <c r="O43" i="15"/>
  <c r="I43" i="15"/>
  <c r="C43" i="15"/>
  <c r="AA42" i="15"/>
  <c r="U42" i="15"/>
  <c r="O42" i="15"/>
  <c r="I42" i="15"/>
  <c r="C42" i="15"/>
  <c r="U41" i="15"/>
  <c r="O41" i="15"/>
  <c r="I41" i="15"/>
  <c r="C41" i="15"/>
  <c r="AA40" i="15"/>
  <c r="U40" i="15"/>
  <c r="O40" i="15"/>
  <c r="I40" i="15"/>
  <c r="C40" i="15"/>
  <c r="AA39" i="15"/>
  <c r="U39" i="15"/>
  <c r="O39" i="15"/>
  <c r="I39" i="15"/>
  <c r="C39" i="15"/>
  <c r="AA38" i="15"/>
  <c r="U38" i="15"/>
  <c r="O38" i="15"/>
  <c r="I38" i="15"/>
  <c r="C38" i="15"/>
  <c r="AA37" i="15"/>
  <c r="U37" i="15"/>
  <c r="O37" i="15"/>
  <c r="I37" i="15"/>
  <c r="C37" i="15"/>
  <c r="AB36" i="15"/>
  <c r="U36" i="15"/>
  <c r="O36" i="15"/>
  <c r="I36" i="15"/>
  <c r="C36" i="15"/>
  <c r="AA35" i="15"/>
  <c r="U35" i="15"/>
  <c r="O35" i="15"/>
  <c r="I35" i="15"/>
  <c r="C35" i="15"/>
  <c r="AA34" i="15"/>
  <c r="U34" i="15"/>
  <c r="O34" i="15"/>
  <c r="I34" i="15"/>
  <c r="C34" i="15"/>
  <c r="O33" i="15"/>
  <c r="I33" i="15"/>
  <c r="C33" i="15"/>
  <c r="O32" i="15"/>
  <c r="I32" i="15"/>
  <c r="C32" i="15"/>
  <c r="AO31" i="15"/>
  <c r="AN31" i="15"/>
  <c r="AM31" i="15"/>
  <c r="AK31" i="15"/>
  <c r="AA31" i="15"/>
  <c r="X31" i="15"/>
  <c r="W31" i="15"/>
  <c r="V31" i="15"/>
  <c r="T31" i="15"/>
  <c r="O31" i="15"/>
  <c r="I31" i="15"/>
  <c r="C31" i="15"/>
  <c r="AL30" i="15"/>
  <c r="AA30" i="15"/>
  <c r="U30" i="15"/>
  <c r="O30" i="15"/>
  <c r="I30" i="15"/>
  <c r="C30" i="15"/>
  <c r="AL29" i="15"/>
  <c r="U29" i="15"/>
  <c r="O29" i="15"/>
  <c r="I29" i="15"/>
  <c r="C29" i="15"/>
  <c r="AL28" i="15"/>
  <c r="U28" i="15"/>
  <c r="O28" i="15"/>
  <c r="I28" i="15"/>
  <c r="C28" i="15"/>
  <c r="AL27" i="15"/>
  <c r="AA27" i="15"/>
  <c r="U27" i="15"/>
  <c r="O27" i="15"/>
  <c r="I27" i="15"/>
  <c r="C27" i="15"/>
  <c r="AL26" i="15"/>
  <c r="AJ26" i="15"/>
  <c r="AI26" i="15"/>
  <c r="AH26" i="15"/>
  <c r="AF26" i="15"/>
  <c r="AA26" i="15"/>
  <c r="U26" i="15"/>
  <c r="O26" i="15"/>
  <c r="I26" i="15"/>
  <c r="C26" i="15"/>
  <c r="AL25" i="15"/>
  <c r="AG25" i="15"/>
  <c r="U25" i="15"/>
  <c r="O25" i="15"/>
  <c r="I25" i="15"/>
  <c r="C25" i="15"/>
  <c r="AL24" i="15"/>
  <c r="AG24" i="15"/>
  <c r="AA24" i="15"/>
  <c r="U24" i="15"/>
  <c r="O24" i="15"/>
  <c r="I24" i="15"/>
  <c r="C24" i="15"/>
  <c r="AL23" i="15"/>
  <c r="AG23" i="15"/>
  <c r="U23" i="15"/>
  <c r="O23" i="15"/>
  <c r="I23" i="15"/>
  <c r="C23" i="15"/>
  <c r="AL22" i="15"/>
  <c r="AG22" i="15"/>
  <c r="U22" i="15"/>
  <c r="O22" i="15"/>
  <c r="I22" i="15"/>
  <c r="C22" i="15"/>
  <c r="AL21" i="15"/>
  <c r="AG21" i="15"/>
  <c r="AA21" i="15"/>
  <c r="U21" i="15"/>
  <c r="O21" i="15"/>
  <c r="I21" i="15"/>
  <c r="C21" i="15"/>
  <c r="AL20" i="15"/>
  <c r="AG20" i="15"/>
  <c r="AA20" i="15"/>
  <c r="U20" i="15"/>
  <c r="O20" i="15"/>
  <c r="I20" i="15"/>
  <c r="C20" i="15"/>
  <c r="AL19" i="15"/>
  <c r="AG19" i="15"/>
  <c r="AB19" i="15"/>
  <c r="U19" i="15"/>
  <c r="O19" i="15"/>
  <c r="I19" i="15"/>
  <c r="C19" i="15"/>
  <c r="AL18" i="15"/>
  <c r="AG18" i="15"/>
  <c r="AA18" i="15"/>
  <c r="U18" i="15"/>
  <c r="O18" i="15"/>
  <c r="I18" i="15"/>
  <c r="C18" i="15"/>
  <c r="AL17" i="15"/>
  <c r="AG17" i="15"/>
  <c r="AA17" i="15"/>
  <c r="U17" i="15"/>
  <c r="P17" i="15"/>
  <c r="P135" i="15" s="1"/>
  <c r="I17" i="15"/>
  <c r="C17" i="15"/>
  <c r="AL16" i="15"/>
  <c r="AG16" i="15"/>
  <c r="U16" i="15"/>
  <c r="O16" i="15"/>
  <c r="I16" i="15"/>
  <c r="C16" i="15"/>
  <c r="B11" i="15"/>
  <c r="B9" i="15"/>
  <c r="B8" i="15"/>
  <c r="B7" i="15"/>
  <c r="B6" i="15"/>
  <c r="B5" i="15"/>
  <c r="B4" i="15"/>
  <c r="G12" i="15"/>
  <c r="F12" i="15"/>
  <c r="C12" i="15"/>
  <c r="B3" i="15"/>
  <c r="AB92" i="14"/>
  <c r="AB85" i="14"/>
  <c r="AB82" i="14"/>
  <c r="AB78" i="14"/>
  <c r="AA56" i="14"/>
  <c r="AB73" i="14"/>
  <c r="AA55" i="14"/>
  <c r="AB53" i="14"/>
  <c r="AB49" i="14"/>
  <c r="AB36" i="14"/>
  <c r="AB32" i="14"/>
  <c r="AB29" i="14"/>
  <c r="AB23" i="14"/>
  <c r="AB19" i="14"/>
  <c r="P17" i="14"/>
  <c r="E10" i="14"/>
  <c r="I16" i="14"/>
  <c r="I17" i="14"/>
  <c r="I18" i="14"/>
  <c r="I19" i="14"/>
  <c r="I20" i="14"/>
  <c r="I21" i="14"/>
  <c r="I22" i="14"/>
  <c r="I23" i="14"/>
  <c r="I24" i="14"/>
  <c r="C16" i="14"/>
  <c r="C17" i="14"/>
  <c r="C18" i="14"/>
  <c r="C19" i="14"/>
  <c r="C20" i="14"/>
  <c r="C21" i="14"/>
  <c r="AD169" i="14"/>
  <c r="G7" i="14" s="1"/>
  <c r="AC169" i="14"/>
  <c r="F7" i="14" s="1"/>
  <c r="AB169" i="14"/>
  <c r="E7" i="14" s="1"/>
  <c r="Z169" i="14"/>
  <c r="C7" i="14" s="1"/>
  <c r="AA168" i="14"/>
  <c r="AA167" i="14"/>
  <c r="AA166" i="14"/>
  <c r="AA165" i="14"/>
  <c r="AA164" i="14"/>
  <c r="AA163" i="14"/>
  <c r="AA162" i="14"/>
  <c r="AA161" i="14"/>
  <c r="AA160" i="14"/>
  <c r="AA159" i="14"/>
  <c r="AA158" i="14"/>
  <c r="AA157" i="14"/>
  <c r="AA156" i="14"/>
  <c r="AA155" i="14"/>
  <c r="AA154" i="14"/>
  <c r="AA153" i="14"/>
  <c r="AA152" i="14"/>
  <c r="AA151" i="14"/>
  <c r="AA150" i="14"/>
  <c r="AA149" i="14"/>
  <c r="AA148" i="14"/>
  <c r="AA147" i="14"/>
  <c r="AA146" i="14"/>
  <c r="AA145" i="14"/>
  <c r="AA144" i="14"/>
  <c r="AA143" i="14"/>
  <c r="AA142" i="14"/>
  <c r="AA141" i="14"/>
  <c r="AA140" i="14"/>
  <c r="AA139" i="14"/>
  <c r="AA138" i="14"/>
  <c r="AA137" i="14"/>
  <c r="AA136" i="14"/>
  <c r="AA135" i="14"/>
  <c r="R135" i="14"/>
  <c r="G5" i="14" s="1"/>
  <c r="Q135" i="14"/>
  <c r="P135" i="14"/>
  <c r="E5" i="14" s="1"/>
  <c r="N135" i="14"/>
  <c r="C5" i="14" s="1"/>
  <c r="AA134" i="14"/>
  <c r="O134" i="14"/>
  <c r="AA133" i="14"/>
  <c r="AA132" i="14"/>
  <c r="AA131" i="14"/>
  <c r="AA130" i="14"/>
  <c r="AA129" i="14"/>
  <c r="AA128" i="14"/>
  <c r="AA127" i="14"/>
  <c r="AA126" i="14"/>
  <c r="AA125" i="14"/>
  <c r="AA124" i="14"/>
  <c r="AA123" i="14"/>
  <c r="AA122" i="14"/>
  <c r="O122" i="14"/>
  <c r="AA121" i="14"/>
  <c r="O121" i="14"/>
  <c r="AA120" i="14"/>
  <c r="O120" i="14"/>
  <c r="AA119" i="14"/>
  <c r="O119" i="14"/>
  <c r="AA118" i="14"/>
  <c r="O118" i="14"/>
  <c r="AA117" i="14"/>
  <c r="O117" i="14"/>
  <c r="AA116" i="14"/>
  <c r="O116" i="14"/>
  <c r="AA115" i="14"/>
  <c r="O115" i="14"/>
  <c r="AA114" i="14"/>
  <c r="O114" i="14"/>
  <c r="AA113" i="14"/>
  <c r="O113" i="14"/>
  <c r="AA112" i="14"/>
  <c r="O112" i="14"/>
  <c r="AA111" i="14"/>
  <c r="O111" i="14"/>
  <c r="AA110" i="14"/>
  <c r="O110" i="14"/>
  <c r="AA109" i="14"/>
  <c r="O109" i="14"/>
  <c r="AA108" i="14"/>
  <c r="O108" i="14"/>
  <c r="AA107" i="14"/>
  <c r="O107" i="14"/>
  <c r="AA106" i="14"/>
  <c r="O106" i="14"/>
  <c r="AA105" i="14"/>
  <c r="O105" i="14"/>
  <c r="AA104" i="14"/>
  <c r="O104" i="14"/>
  <c r="AA103" i="14"/>
  <c r="O103" i="14"/>
  <c r="AA102" i="14"/>
  <c r="O102" i="14"/>
  <c r="L102" i="14"/>
  <c r="G10" i="14" s="1"/>
  <c r="K102" i="14"/>
  <c r="F10" i="14" s="1"/>
  <c r="J102" i="14"/>
  <c r="H102" i="14"/>
  <c r="C10" i="14" s="1"/>
  <c r="AA101" i="14"/>
  <c r="O101" i="14"/>
  <c r="I101" i="14"/>
  <c r="AA100" i="14"/>
  <c r="O100" i="14"/>
  <c r="I100" i="14"/>
  <c r="AA99" i="14"/>
  <c r="O99" i="14"/>
  <c r="I99" i="14"/>
  <c r="AA98" i="14"/>
  <c r="O98" i="14"/>
  <c r="I98" i="14"/>
  <c r="AA97" i="14"/>
  <c r="O97" i="14"/>
  <c r="I97" i="14"/>
  <c r="AA96" i="14"/>
  <c r="O96" i="14"/>
  <c r="I96" i="14"/>
  <c r="AA95" i="14"/>
  <c r="O95" i="14"/>
  <c r="I95" i="14"/>
  <c r="AA94" i="14"/>
  <c r="X94" i="14"/>
  <c r="W94" i="14"/>
  <c r="V94" i="14"/>
  <c r="T94" i="14"/>
  <c r="O94" i="14"/>
  <c r="I94" i="14"/>
  <c r="AA93" i="14"/>
  <c r="U93" i="14"/>
  <c r="O93" i="14"/>
  <c r="I93" i="14"/>
  <c r="U92" i="14"/>
  <c r="O92" i="14"/>
  <c r="I92" i="14"/>
  <c r="AA91" i="14"/>
  <c r="U91" i="14"/>
  <c r="O91" i="14"/>
  <c r="I91" i="14"/>
  <c r="AA90" i="14"/>
  <c r="U90" i="14"/>
  <c r="O90" i="14"/>
  <c r="I90" i="14"/>
  <c r="AA89" i="14"/>
  <c r="U89" i="14"/>
  <c r="O89" i="14"/>
  <c r="I89" i="14"/>
  <c r="AA88" i="14"/>
  <c r="U88" i="14"/>
  <c r="O88" i="14"/>
  <c r="I88" i="14"/>
  <c r="AA87" i="14"/>
  <c r="U87" i="14"/>
  <c r="O87" i="14"/>
  <c r="I87" i="14"/>
  <c r="AA86" i="14"/>
  <c r="U86" i="14"/>
  <c r="O86" i="14"/>
  <c r="I86" i="14"/>
  <c r="U85" i="14"/>
  <c r="O85" i="14"/>
  <c r="I85" i="14"/>
  <c r="AA84" i="14"/>
  <c r="U84" i="14"/>
  <c r="O84" i="14"/>
  <c r="I84" i="14"/>
  <c r="AA83" i="14"/>
  <c r="U83" i="14"/>
  <c r="O83" i="14"/>
  <c r="I83" i="14"/>
  <c r="U82" i="14"/>
  <c r="O82" i="14"/>
  <c r="I82" i="14"/>
  <c r="AA81" i="14"/>
  <c r="U81" i="14"/>
  <c r="O81" i="14"/>
  <c r="I81" i="14"/>
  <c r="AA80" i="14"/>
  <c r="U80" i="14"/>
  <c r="O80" i="14"/>
  <c r="I80" i="14"/>
  <c r="AA79" i="14"/>
  <c r="U79" i="14"/>
  <c r="O79" i="14"/>
  <c r="I79" i="14"/>
  <c r="U78" i="14"/>
  <c r="O78" i="14"/>
  <c r="I78" i="14"/>
  <c r="AA77" i="14"/>
  <c r="U77" i="14"/>
  <c r="O77" i="14"/>
  <c r="I77" i="14"/>
  <c r="AA76" i="14"/>
  <c r="U76" i="14"/>
  <c r="O76" i="14"/>
  <c r="I76" i="14"/>
  <c r="AA75" i="14"/>
  <c r="U75" i="14"/>
  <c r="O75" i="14"/>
  <c r="I75" i="14"/>
  <c r="AA74" i="14"/>
  <c r="U74" i="14"/>
  <c r="O74" i="14"/>
  <c r="I74" i="14"/>
  <c r="U73" i="14"/>
  <c r="O73" i="14"/>
  <c r="I73" i="14"/>
  <c r="AA72" i="14"/>
  <c r="U72" i="14"/>
  <c r="O72" i="14"/>
  <c r="I72" i="14"/>
  <c r="AA71" i="14"/>
  <c r="U71" i="14"/>
  <c r="O71" i="14"/>
  <c r="I71" i="14"/>
  <c r="AA70" i="14"/>
  <c r="U70" i="14"/>
  <c r="O70" i="14"/>
  <c r="I70" i="14"/>
  <c r="AA69" i="14"/>
  <c r="U69" i="14"/>
  <c r="O69" i="14"/>
  <c r="I69" i="14"/>
  <c r="AA68" i="14"/>
  <c r="U68" i="14"/>
  <c r="O68" i="14"/>
  <c r="I68" i="14"/>
  <c r="AA67" i="14"/>
  <c r="U67" i="14"/>
  <c r="O67" i="14"/>
  <c r="I67" i="14"/>
  <c r="AA66" i="14"/>
  <c r="U66" i="14"/>
  <c r="O66" i="14"/>
  <c r="I66" i="14"/>
  <c r="AA65" i="14"/>
  <c r="O65" i="14"/>
  <c r="I65" i="14"/>
  <c r="AA64" i="14"/>
  <c r="O64" i="14"/>
  <c r="I64" i="14"/>
  <c r="AA63" i="14"/>
  <c r="O63" i="14"/>
  <c r="I63" i="14"/>
  <c r="AA62" i="14"/>
  <c r="X62" i="14"/>
  <c r="G8" i="14" s="1"/>
  <c r="W62" i="14"/>
  <c r="F8" i="14" s="1"/>
  <c r="V62" i="14"/>
  <c r="T62" i="14"/>
  <c r="C8" i="14" s="1"/>
  <c r="O62" i="14"/>
  <c r="I62" i="14"/>
  <c r="AA61" i="14"/>
  <c r="U61" i="14"/>
  <c r="O61" i="14"/>
  <c r="I61" i="14"/>
  <c r="F61" i="14"/>
  <c r="G3" i="14" s="1"/>
  <c r="E61" i="14"/>
  <c r="F3" i="14" s="1"/>
  <c r="D61" i="14"/>
  <c r="E3" i="14" s="1"/>
  <c r="B61" i="14"/>
  <c r="C3" i="14" s="1"/>
  <c r="AA60" i="14"/>
  <c r="U60" i="14"/>
  <c r="O60" i="14"/>
  <c r="I60" i="14"/>
  <c r="C60" i="14"/>
  <c r="AA59" i="14"/>
  <c r="U59" i="14"/>
  <c r="O59" i="14"/>
  <c r="I59" i="14"/>
  <c r="C59" i="14"/>
  <c r="AA58" i="14"/>
  <c r="U58" i="14"/>
  <c r="O58" i="14"/>
  <c r="I58" i="14"/>
  <c r="C58" i="14"/>
  <c r="AA57" i="14"/>
  <c r="U57" i="14"/>
  <c r="O57" i="14"/>
  <c r="I57" i="14"/>
  <c r="C57" i="14"/>
  <c r="U56" i="14"/>
  <c r="O56" i="14"/>
  <c r="I56" i="14"/>
  <c r="I102" i="14" s="1"/>
  <c r="D10" i="14" s="1"/>
  <c r="C56" i="14"/>
  <c r="U55" i="14"/>
  <c r="O55" i="14"/>
  <c r="C55" i="14"/>
  <c r="AA54" i="14"/>
  <c r="U54" i="14"/>
  <c r="O54" i="14"/>
  <c r="C54" i="14"/>
  <c r="U53" i="14"/>
  <c r="O53" i="14"/>
  <c r="L53" i="14"/>
  <c r="G4" i="14" s="1"/>
  <c r="K53" i="14"/>
  <c r="F4" i="14" s="1"/>
  <c r="J53" i="14"/>
  <c r="H53" i="14"/>
  <c r="C4" i="14" s="1"/>
  <c r="C53" i="14"/>
  <c r="AA52" i="14"/>
  <c r="U52" i="14"/>
  <c r="O52" i="14"/>
  <c r="I52" i="14"/>
  <c r="C52" i="14"/>
  <c r="AA51" i="14"/>
  <c r="U51" i="14"/>
  <c r="O51" i="14"/>
  <c r="I51" i="14"/>
  <c r="C51" i="14"/>
  <c r="AA50" i="14"/>
  <c r="U50" i="14"/>
  <c r="O50" i="14"/>
  <c r="I50" i="14"/>
  <c r="C50" i="14"/>
  <c r="U49" i="14"/>
  <c r="O49" i="14"/>
  <c r="I49" i="14"/>
  <c r="C49" i="14"/>
  <c r="AA48" i="14"/>
  <c r="U48" i="14"/>
  <c r="O48" i="14"/>
  <c r="I48" i="14"/>
  <c r="C48" i="14"/>
  <c r="AA47" i="14"/>
  <c r="U47" i="14"/>
  <c r="O47" i="14"/>
  <c r="I47" i="14"/>
  <c r="C47" i="14"/>
  <c r="AA46" i="14"/>
  <c r="U46" i="14"/>
  <c r="O46" i="14"/>
  <c r="I46" i="14"/>
  <c r="C46" i="14"/>
  <c r="AA45" i="14"/>
  <c r="U45" i="14"/>
  <c r="O45" i="14"/>
  <c r="I45" i="14"/>
  <c r="C45" i="14"/>
  <c r="AA44" i="14"/>
  <c r="U44" i="14"/>
  <c r="O44" i="14"/>
  <c r="I44" i="14"/>
  <c r="C44" i="14"/>
  <c r="AA43" i="14"/>
  <c r="U43" i="14"/>
  <c r="O43" i="14"/>
  <c r="I43" i="14"/>
  <c r="C43" i="14"/>
  <c r="AA42" i="14"/>
  <c r="U42" i="14"/>
  <c r="O42" i="14"/>
  <c r="I42" i="14"/>
  <c r="C42" i="14"/>
  <c r="AA41" i="14"/>
  <c r="U41" i="14"/>
  <c r="O41" i="14"/>
  <c r="I41" i="14"/>
  <c r="C41" i="14"/>
  <c r="AA40" i="14"/>
  <c r="U40" i="14"/>
  <c r="O40" i="14"/>
  <c r="I40" i="14"/>
  <c r="C40" i="14"/>
  <c r="AA39" i="14"/>
  <c r="U39" i="14"/>
  <c r="O39" i="14"/>
  <c r="I39" i="14"/>
  <c r="C39" i="14"/>
  <c r="AA38" i="14"/>
  <c r="U38" i="14"/>
  <c r="O38" i="14"/>
  <c r="I38" i="14"/>
  <c r="C38" i="14"/>
  <c r="AA37" i="14"/>
  <c r="U37" i="14"/>
  <c r="O37" i="14"/>
  <c r="I37" i="14"/>
  <c r="C37" i="14"/>
  <c r="U36" i="14"/>
  <c r="O36" i="14"/>
  <c r="I36" i="14"/>
  <c r="C36" i="14"/>
  <c r="AA35" i="14"/>
  <c r="U35" i="14"/>
  <c r="O35" i="14"/>
  <c r="I35" i="14"/>
  <c r="C35" i="14"/>
  <c r="AA34" i="14"/>
  <c r="U34" i="14"/>
  <c r="O34" i="14"/>
  <c r="I34" i="14"/>
  <c r="C34" i="14"/>
  <c r="AA33" i="14"/>
  <c r="O33" i="14"/>
  <c r="I33" i="14"/>
  <c r="C33" i="14"/>
  <c r="O32" i="14"/>
  <c r="I32" i="14"/>
  <c r="C32" i="14"/>
  <c r="AO31" i="14"/>
  <c r="AN31" i="14"/>
  <c r="AM31" i="14"/>
  <c r="E11" i="14" s="1"/>
  <c r="AK31" i="14"/>
  <c r="C11" i="14" s="1"/>
  <c r="AA31" i="14"/>
  <c r="X31" i="14"/>
  <c r="W31" i="14"/>
  <c r="F6" i="14" s="1"/>
  <c r="V31" i="14"/>
  <c r="E6" i="14" s="1"/>
  <c r="T31" i="14"/>
  <c r="C6" i="14" s="1"/>
  <c r="O31" i="14"/>
  <c r="I31" i="14"/>
  <c r="C31" i="14"/>
  <c r="AL30" i="14"/>
  <c r="AA30" i="14"/>
  <c r="U30" i="14"/>
  <c r="O30" i="14"/>
  <c r="I30" i="14"/>
  <c r="C30" i="14"/>
  <c r="AL29" i="14"/>
  <c r="U29" i="14"/>
  <c r="O29" i="14"/>
  <c r="I29" i="14"/>
  <c r="C29" i="14"/>
  <c r="AL28" i="14"/>
  <c r="AA28" i="14"/>
  <c r="U28" i="14"/>
  <c r="O28" i="14"/>
  <c r="I28" i="14"/>
  <c r="C28" i="14"/>
  <c r="AL27" i="14"/>
  <c r="AA27" i="14"/>
  <c r="U27" i="14"/>
  <c r="O27" i="14"/>
  <c r="I27" i="14"/>
  <c r="C27" i="14"/>
  <c r="AL26" i="14"/>
  <c r="AJ26" i="14"/>
  <c r="G9" i="14" s="1"/>
  <c r="AI26" i="14"/>
  <c r="AH26" i="14"/>
  <c r="E9" i="14" s="1"/>
  <c r="AF26" i="14"/>
  <c r="C9" i="14" s="1"/>
  <c r="AA26" i="14"/>
  <c r="U26" i="14"/>
  <c r="O26" i="14"/>
  <c r="I26" i="14"/>
  <c r="C26" i="14"/>
  <c r="AL25" i="14"/>
  <c r="AG25" i="14"/>
  <c r="AA25" i="14"/>
  <c r="U25" i="14"/>
  <c r="O25" i="14"/>
  <c r="I25" i="14"/>
  <c r="C25" i="14"/>
  <c r="AL24" i="14"/>
  <c r="AG24" i="14"/>
  <c r="AA24" i="14"/>
  <c r="U24" i="14"/>
  <c r="O24" i="14"/>
  <c r="C24" i="14"/>
  <c r="AL23" i="14"/>
  <c r="AG23" i="14"/>
  <c r="U23" i="14"/>
  <c r="O23" i="14"/>
  <c r="C23" i="14"/>
  <c r="AL22" i="14"/>
  <c r="AG22" i="14"/>
  <c r="AA22" i="14"/>
  <c r="U22" i="14"/>
  <c r="O22" i="14"/>
  <c r="C22" i="14"/>
  <c r="AL21" i="14"/>
  <c r="AG21" i="14"/>
  <c r="AA21" i="14"/>
  <c r="U21" i="14"/>
  <c r="O21" i="14"/>
  <c r="AL20" i="14"/>
  <c r="AG20" i="14"/>
  <c r="AA20" i="14"/>
  <c r="U20" i="14"/>
  <c r="O20" i="14"/>
  <c r="AL19" i="14"/>
  <c r="AG19" i="14"/>
  <c r="U19" i="14"/>
  <c r="O19" i="14"/>
  <c r="AL18" i="14"/>
  <c r="AG18" i="14"/>
  <c r="AA18" i="14"/>
  <c r="U18" i="14"/>
  <c r="O18" i="14"/>
  <c r="AL17" i="14"/>
  <c r="AG17" i="14"/>
  <c r="AA17" i="14"/>
  <c r="U17" i="14"/>
  <c r="AL16" i="14"/>
  <c r="AG16" i="14"/>
  <c r="AA16" i="14"/>
  <c r="U16" i="14"/>
  <c r="O16" i="14"/>
  <c r="B11" i="14"/>
  <c r="F9" i="14"/>
  <c r="B9" i="14"/>
  <c r="E8" i="14"/>
  <c r="B8" i="14"/>
  <c r="B7" i="14"/>
  <c r="G6" i="14"/>
  <c r="B6" i="14"/>
  <c r="F5" i="14"/>
  <c r="B5" i="14"/>
  <c r="E4" i="14"/>
  <c r="B4" i="14"/>
  <c r="B3" i="14"/>
  <c r="AA15" i="13"/>
  <c r="AD168" i="13"/>
  <c r="G7" i="13" s="1"/>
  <c r="AC168" i="13"/>
  <c r="F7" i="13" s="1"/>
  <c r="AB168" i="13"/>
  <c r="E7" i="13" s="1"/>
  <c r="Z168" i="13"/>
  <c r="AA167" i="13"/>
  <c r="AA166" i="13"/>
  <c r="AA165" i="13"/>
  <c r="AA164" i="13"/>
  <c r="AA163" i="13"/>
  <c r="AA162" i="13"/>
  <c r="AA161" i="13"/>
  <c r="AA160" i="13"/>
  <c r="AA159" i="13"/>
  <c r="AA158" i="13"/>
  <c r="AA157" i="13"/>
  <c r="AA156" i="13"/>
  <c r="AA155" i="13"/>
  <c r="AA154" i="13"/>
  <c r="AA153" i="13"/>
  <c r="AA152" i="13"/>
  <c r="AA151" i="13"/>
  <c r="AA150" i="13"/>
  <c r="AA149" i="13"/>
  <c r="AA148" i="13"/>
  <c r="AA147" i="13"/>
  <c r="AA146" i="13"/>
  <c r="AA145" i="13"/>
  <c r="AA144" i="13"/>
  <c r="AA143" i="13"/>
  <c r="AA142" i="13"/>
  <c r="AA141" i="13"/>
  <c r="AA140" i="13"/>
  <c r="AA139" i="13"/>
  <c r="AA138" i="13"/>
  <c r="AA137" i="13"/>
  <c r="AA136" i="13"/>
  <c r="AA135" i="13"/>
  <c r="AA134" i="13"/>
  <c r="R134" i="13"/>
  <c r="G5" i="13" s="1"/>
  <c r="Q134" i="13"/>
  <c r="P134" i="13"/>
  <c r="E5" i="13" s="1"/>
  <c r="N134" i="13"/>
  <c r="C5" i="13" s="1"/>
  <c r="AA133" i="13"/>
  <c r="O133" i="13"/>
  <c r="AA132" i="13"/>
  <c r="AA131" i="13"/>
  <c r="AA130" i="13"/>
  <c r="AA129" i="13"/>
  <c r="AA128" i="13"/>
  <c r="AA127" i="13"/>
  <c r="AA126" i="13"/>
  <c r="AA125" i="13"/>
  <c r="AA124" i="13"/>
  <c r="AA123" i="13"/>
  <c r="AA122" i="13"/>
  <c r="AA121" i="13"/>
  <c r="O121" i="13"/>
  <c r="AA120" i="13"/>
  <c r="O120" i="13"/>
  <c r="AA119" i="13"/>
  <c r="O119" i="13"/>
  <c r="AA118" i="13"/>
  <c r="O118" i="13"/>
  <c r="AA117" i="13"/>
  <c r="O117" i="13"/>
  <c r="AA116" i="13"/>
  <c r="O116" i="13"/>
  <c r="AA115" i="13"/>
  <c r="O115" i="13"/>
  <c r="AA114" i="13"/>
  <c r="O114" i="13"/>
  <c r="AA113" i="13"/>
  <c r="O113" i="13"/>
  <c r="AA112" i="13"/>
  <c r="O112" i="13"/>
  <c r="AA111" i="13"/>
  <c r="O111" i="13"/>
  <c r="AA110" i="13"/>
  <c r="O110" i="13"/>
  <c r="AA109" i="13"/>
  <c r="O109" i="13"/>
  <c r="AA108" i="13"/>
  <c r="O108" i="13"/>
  <c r="AA107" i="13"/>
  <c r="O107" i="13"/>
  <c r="AA106" i="13"/>
  <c r="O106" i="13"/>
  <c r="AA105" i="13"/>
  <c r="O105" i="13"/>
  <c r="AA104" i="13"/>
  <c r="O104" i="13"/>
  <c r="AA103" i="13"/>
  <c r="O103" i="13"/>
  <c r="AA102" i="13"/>
  <c r="O102" i="13"/>
  <c r="AA101" i="13"/>
  <c r="O101" i="13"/>
  <c r="L101" i="13"/>
  <c r="K101" i="13"/>
  <c r="J101" i="13"/>
  <c r="H101" i="13"/>
  <c r="AA100" i="13"/>
  <c r="O100" i="13"/>
  <c r="I100" i="13"/>
  <c r="AA99" i="13"/>
  <c r="O99" i="13"/>
  <c r="I99" i="13"/>
  <c r="AA98" i="13"/>
  <c r="O98" i="13"/>
  <c r="I98" i="13"/>
  <c r="AA97" i="13"/>
  <c r="O97" i="13"/>
  <c r="I97" i="13"/>
  <c r="AA96" i="13"/>
  <c r="O96" i="13"/>
  <c r="I96" i="13"/>
  <c r="AA95" i="13"/>
  <c r="O95" i="13"/>
  <c r="I95" i="13"/>
  <c r="AA94" i="13"/>
  <c r="O94" i="13"/>
  <c r="I94" i="13"/>
  <c r="AA93" i="13"/>
  <c r="X93" i="13"/>
  <c r="W93" i="13"/>
  <c r="V93" i="13"/>
  <c r="T93" i="13"/>
  <c r="O93" i="13"/>
  <c r="I93" i="13"/>
  <c r="AA92" i="13"/>
  <c r="U92" i="13"/>
  <c r="O92" i="13"/>
  <c r="I92" i="13"/>
  <c r="AA91" i="13"/>
  <c r="U91" i="13"/>
  <c r="O91" i="13"/>
  <c r="I91" i="13"/>
  <c r="AA90" i="13"/>
  <c r="U90" i="13"/>
  <c r="O90" i="13"/>
  <c r="I90" i="13"/>
  <c r="AA89" i="13"/>
  <c r="U89" i="13"/>
  <c r="O89" i="13"/>
  <c r="I89" i="13"/>
  <c r="AA88" i="13"/>
  <c r="U88" i="13"/>
  <c r="O88" i="13"/>
  <c r="I88" i="13"/>
  <c r="AA87" i="13"/>
  <c r="U87" i="13"/>
  <c r="O87" i="13"/>
  <c r="I87" i="13"/>
  <c r="AA86" i="13"/>
  <c r="U86" i="13"/>
  <c r="O86" i="13"/>
  <c r="I86" i="13"/>
  <c r="AA85" i="13"/>
  <c r="U85" i="13"/>
  <c r="O85" i="13"/>
  <c r="I85" i="13"/>
  <c r="AA84" i="13"/>
  <c r="U84" i="13"/>
  <c r="O84" i="13"/>
  <c r="I84" i="13"/>
  <c r="AA83" i="13"/>
  <c r="U83" i="13"/>
  <c r="O83" i="13"/>
  <c r="I83" i="13"/>
  <c r="AA82" i="13"/>
  <c r="U82" i="13"/>
  <c r="O82" i="13"/>
  <c r="I82" i="13"/>
  <c r="AA81" i="13"/>
  <c r="U81" i="13"/>
  <c r="O81" i="13"/>
  <c r="I81" i="13"/>
  <c r="AA80" i="13"/>
  <c r="U80" i="13"/>
  <c r="O80" i="13"/>
  <c r="I80" i="13"/>
  <c r="AA79" i="13"/>
  <c r="U79" i="13"/>
  <c r="O79" i="13"/>
  <c r="I79" i="13"/>
  <c r="AA78" i="13"/>
  <c r="U78" i="13"/>
  <c r="O78" i="13"/>
  <c r="I78" i="13"/>
  <c r="AA77" i="13"/>
  <c r="U77" i="13"/>
  <c r="O77" i="13"/>
  <c r="I77" i="13"/>
  <c r="AA76" i="13"/>
  <c r="U76" i="13"/>
  <c r="O76" i="13"/>
  <c r="I76" i="13"/>
  <c r="AA75" i="13"/>
  <c r="U75" i="13"/>
  <c r="O75" i="13"/>
  <c r="I75" i="13"/>
  <c r="AA74" i="13"/>
  <c r="U74" i="13"/>
  <c r="O74" i="13"/>
  <c r="I74" i="13"/>
  <c r="AA73" i="13"/>
  <c r="U73" i="13"/>
  <c r="O73" i="13"/>
  <c r="I73" i="13"/>
  <c r="AA72" i="13"/>
  <c r="U72" i="13"/>
  <c r="O72" i="13"/>
  <c r="I72" i="13"/>
  <c r="AA71" i="13"/>
  <c r="U71" i="13"/>
  <c r="O71" i="13"/>
  <c r="I71" i="13"/>
  <c r="AA70" i="13"/>
  <c r="U70" i="13"/>
  <c r="O70" i="13"/>
  <c r="I70" i="13"/>
  <c r="AA69" i="13"/>
  <c r="U69" i="13"/>
  <c r="O69" i="13"/>
  <c r="I69" i="13"/>
  <c r="AA68" i="13"/>
  <c r="U68" i="13"/>
  <c r="O68" i="13"/>
  <c r="I68" i="13"/>
  <c r="AA67" i="13"/>
  <c r="U67" i="13"/>
  <c r="O67" i="13"/>
  <c r="I67" i="13"/>
  <c r="AA66" i="13"/>
  <c r="U66" i="13"/>
  <c r="O66" i="13"/>
  <c r="I66" i="13"/>
  <c r="AA65" i="13"/>
  <c r="U65" i="13"/>
  <c r="U93" i="13" s="1"/>
  <c r="O65" i="13"/>
  <c r="I65" i="13"/>
  <c r="AA64" i="13"/>
  <c r="O64" i="13"/>
  <c r="I64" i="13"/>
  <c r="AA63" i="13"/>
  <c r="O63" i="13"/>
  <c r="I63" i="13"/>
  <c r="AA62" i="13"/>
  <c r="O62" i="13"/>
  <c r="I62" i="13"/>
  <c r="AA61" i="13"/>
  <c r="X61" i="13"/>
  <c r="G8" i="13" s="1"/>
  <c r="W61" i="13"/>
  <c r="F8" i="13" s="1"/>
  <c r="V61" i="13"/>
  <c r="T61" i="13"/>
  <c r="C8" i="13" s="1"/>
  <c r="O61" i="13"/>
  <c r="I61" i="13"/>
  <c r="AA60" i="13"/>
  <c r="U60" i="13"/>
  <c r="O60" i="13"/>
  <c r="I60" i="13"/>
  <c r="F60" i="13"/>
  <c r="E60" i="13"/>
  <c r="F3" i="13" s="1"/>
  <c r="D60" i="13"/>
  <c r="E3" i="13" s="1"/>
  <c r="B60" i="13"/>
  <c r="C3" i="13" s="1"/>
  <c r="AA59" i="13"/>
  <c r="U59" i="13"/>
  <c r="O59" i="13"/>
  <c r="I59" i="13"/>
  <c r="C59" i="13"/>
  <c r="AA58" i="13"/>
  <c r="U58" i="13"/>
  <c r="O58" i="13"/>
  <c r="I58" i="13"/>
  <c r="C58" i="13"/>
  <c r="AA57" i="13"/>
  <c r="U57" i="13"/>
  <c r="O57" i="13"/>
  <c r="I57" i="13"/>
  <c r="C57" i="13"/>
  <c r="AA56" i="13"/>
  <c r="U56" i="13"/>
  <c r="O56" i="13"/>
  <c r="I56" i="13"/>
  <c r="C56" i="13"/>
  <c r="AA55" i="13"/>
  <c r="U55" i="13"/>
  <c r="O55" i="13"/>
  <c r="I55" i="13"/>
  <c r="I101" i="13" s="1"/>
  <c r="C55" i="13"/>
  <c r="AA54" i="13"/>
  <c r="U54" i="13"/>
  <c r="O54" i="13"/>
  <c r="C54" i="13"/>
  <c r="AA53" i="13"/>
  <c r="U53" i="13"/>
  <c r="O53" i="13"/>
  <c r="C53" i="13"/>
  <c r="AA52" i="13"/>
  <c r="U52" i="13"/>
  <c r="O52" i="13"/>
  <c r="L52" i="13"/>
  <c r="K52" i="13"/>
  <c r="F4" i="13" s="1"/>
  <c r="J52" i="13"/>
  <c r="E4" i="13" s="1"/>
  <c r="H52" i="13"/>
  <c r="C4" i="13" s="1"/>
  <c r="C52" i="13"/>
  <c r="AA51" i="13"/>
  <c r="U51" i="13"/>
  <c r="O51" i="13"/>
  <c r="I51" i="13"/>
  <c r="C51" i="13"/>
  <c r="AA50" i="13"/>
  <c r="U50" i="13"/>
  <c r="O50" i="13"/>
  <c r="I50" i="13"/>
  <c r="C50" i="13"/>
  <c r="AA49" i="13"/>
  <c r="U49" i="13"/>
  <c r="O49" i="13"/>
  <c r="I49" i="13"/>
  <c r="C49" i="13"/>
  <c r="AA48" i="13"/>
  <c r="U48" i="13"/>
  <c r="O48" i="13"/>
  <c r="I48" i="13"/>
  <c r="C48" i="13"/>
  <c r="AA47" i="13"/>
  <c r="U47" i="13"/>
  <c r="O47" i="13"/>
  <c r="I47" i="13"/>
  <c r="C47" i="13"/>
  <c r="AA46" i="13"/>
  <c r="U46" i="13"/>
  <c r="O46" i="13"/>
  <c r="I46" i="13"/>
  <c r="C46" i="13"/>
  <c r="AA45" i="13"/>
  <c r="U45" i="13"/>
  <c r="O45" i="13"/>
  <c r="I45" i="13"/>
  <c r="C45" i="13"/>
  <c r="AA44" i="13"/>
  <c r="U44" i="13"/>
  <c r="O44" i="13"/>
  <c r="I44" i="13"/>
  <c r="C44" i="13"/>
  <c r="AA43" i="13"/>
  <c r="U43" i="13"/>
  <c r="O43" i="13"/>
  <c r="I43" i="13"/>
  <c r="C43" i="13"/>
  <c r="AA42" i="13"/>
  <c r="U42" i="13"/>
  <c r="O42" i="13"/>
  <c r="I42" i="13"/>
  <c r="C42" i="13"/>
  <c r="AA41" i="13"/>
  <c r="U41" i="13"/>
  <c r="O41" i="13"/>
  <c r="I41" i="13"/>
  <c r="C41" i="13"/>
  <c r="AA40" i="13"/>
  <c r="U40" i="13"/>
  <c r="O40" i="13"/>
  <c r="I40" i="13"/>
  <c r="C40" i="13"/>
  <c r="AA39" i="13"/>
  <c r="U39" i="13"/>
  <c r="O39" i="13"/>
  <c r="I39" i="13"/>
  <c r="C39" i="13"/>
  <c r="AA38" i="13"/>
  <c r="U38" i="13"/>
  <c r="O38" i="13"/>
  <c r="I38" i="13"/>
  <c r="C38" i="13"/>
  <c r="AA37" i="13"/>
  <c r="U37" i="13"/>
  <c r="O37" i="13"/>
  <c r="I37" i="13"/>
  <c r="C37" i="13"/>
  <c r="AA36" i="13"/>
  <c r="U36" i="13"/>
  <c r="O36" i="13"/>
  <c r="I36" i="13"/>
  <c r="C36" i="13"/>
  <c r="AA35" i="13"/>
  <c r="U35" i="13"/>
  <c r="O35" i="13"/>
  <c r="I35" i="13"/>
  <c r="C35" i="13"/>
  <c r="AA34" i="13"/>
  <c r="U34" i="13"/>
  <c r="O34" i="13"/>
  <c r="I34" i="13"/>
  <c r="C34" i="13"/>
  <c r="AA33" i="13"/>
  <c r="U33" i="13"/>
  <c r="O33" i="13"/>
  <c r="I33" i="13"/>
  <c r="C33" i="13"/>
  <c r="AA32" i="13"/>
  <c r="O32" i="13"/>
  <c r="I32" i="13"/>
  <c r="C32" i="13"/>
  <c r="AA31" i="13"/>
  <c r="O31" i="13"/>
  <c r="I31" i="13"/>
  <c r="C31" i="13"/>
  <c r="AO30" i="13"/>
  <c r="AN30" i="13"/>
  <c r="AM30" i="13"/>
  <c r="E10" i="13" s="1"/>
  <c r="AK30" i="13"/>
  <c r="C10" i="13" s="1"/>
  <c r="AA30" i="13"/>
  <c r="X30" i="13"/>
  <c r="G6" i="13" s="1"/>
  <c r="W30" i="13"/>
  <c r="F6" i="13" s="1"/>
  <c r="V30" i="13"/>
  <c r="E6" i="13" s="1"/>
  <c r="T30" i="13"/>
  <c r="C6" i="13" s="1"/>
  <c r="O30" i="13"/>
  <c r="I30" i="13"/>
  <c r="C30" i="13"/>
  <c r="AL29" i="13"/>
  <c r="AA29" i="13"/>
  <c r="U29" i="13"/>
  <c r="O29" i="13"/>
  <c r="I29" i="13"/>
  <c r="C29" i="13"/>
  <c r="AL28" i="13"/>
  <c r="AA28" i="13"/>
  <c r="U28" i="13"/>
  <c r="O28" i="13"/>
  <c r="I28" i="13"/>
  <c r="C28" i="13"/>
  <c r="AL27" i="13"/>
  <c r="AA27" i="13"/>
  <c r="U27" i="13"/>
  <c r="O27" i="13"/>
  <c r="I27" i="13"/>
  <c r="C27" i="13"/>
  <c r="AL26" i="13"/>
  <c r="AA26" i="13"/>
  <c r="U26" i="13"/>
  <c r="O26" i="13"/>
  <c r="I26" i="13"/>
  <c r="C26" i="13"/>
  <c r="AL25" i="13"/>
  <c r="AJ25" i="13"/>
  <c r="AI25" i="13"/>
  <c r="F9" i="13" s="1"/>
  <c r="AH25" i="13"/>
  <c r="E9" i="13" s="1"/>
  <c r="AF25" i="13"/>
  <c r="C9" i="13" s="1"/>
  <c r="AA25" i="13"/>
  <c r="U25" i="13"/>
  <c r="O25" i="13"/>
  <c r="I25" i="13"/>
  <c r="C25" i="13"/>
  <c r="AL24" i="13"/>
  <c r="AG24" i="13"/>
  <c r="AA24" i="13"/>
  <c r="U24" i="13"/>
  <c r="O24" i="13"/>
  <c r="I24" i="13"/>
  <c r="C24" i="13"/>
  <c r="AL23" i="13"/>
  <c r="AG23" i="13"/>
  <c r="AA23" i="13"/>
  <c r="U23" i="13"/>
  <c r="O23" i="13"/>
  <c r="I23" i="13"/>
  <c r="C23" i="13"/>
  <c r="AL22" i="13"/>
  <c r="AG22" i="13"/>
  <c r="AA22" i="13"/>
  <c r="U22" i="13"/>
  <c r="O22" i="13"/>
  <c r="I22" i="13"/>
  <c r="C22" i="13"/>
  <c r="AL21" i="13"/>
  <c r="AG21" i="13"/>
  <c r="AA21" i="13"/>
  <c r="U21" i="13"/>
  <c r="O21" i="13"/>
  <c r="I21" i="13"/>
  <c r="C21" i="13"/>
  <c r="AL20" i="13"/>
  <c r="AG20" i="13"/>
  <c r="AA20" i="13"/>
  <c r="U20" i="13"/>
  <c r="O20" i="13"/>
  <c r="I20" i="13"/>
  <c r="C20" i="13"/>
  <c r="AL19" i="13"/>
  <c r="AG19" i="13"/>
  <c r="AA19" i="13"/>
  <c r="U19" i="13"/>
  <c r="O19" i="13"/>
  <c r="I19" i="13"/>
  <c r="C19" i="13"/>
  <c r="AL18" i="13"/>
  <c r="AG18" i="13"/>
  <c r="AA18" i="13"/>
  <c r="U18" i="13"/>
  <c r="O18" i="13"/>
  <c r="I18" i="13"/>
  <c r="C18" i="13"/>
  <c r="AL17" i="13"/>
  <c r="AG17" i="13"/>
  <c r="AA17" i="13"/>
  <c r="U17" i="13"/>
  <c r="O17" i="13"/>
  <c r="I17" i="13"/>
  <c r="C17" i="13"/>
  <c r="AL16" i="13"/>
  <c r="AG16" i="13"/>
  <c r="AA16" i="13"/>
  <c r="U16" i="13"/>
  <c r="O16" i="13"/>
  <c r="I16" i="13"/>
  <c r="C16" i="13"/>
  <c r="AL15" i="13"/>
  <c r="AG15" i="13"/>
  <c r="U15" i="13"/>
  <c r="O15" i="13"/>
  <c r="I15" i="13"/>
  <c r="C15" i="13"/>
  <c r="H11" i="13"/>
  <c r="B10" i="13"/>
  <c r="G9" i="13"/>
  <c r="B9" i="13"/>
  <c r="E8" i="13"/>
  <c r="B8" i="13"/>
  <c r="C7" i="13"/>
  <c r="B7" i="13"/>
  <c r="B6" i="13"/>
  <c r="F5" i="13"/>
  <c r="B5" i="13"/>
  <c r="G4" i="13"/>
  <c r="B4" i="13"/>
  <c r="G3" i="13"/>
  <c r="B3" i="13"/>
  <c r="B8" i="10"/>
  <c r="B10" i="10"/>
  <c r="AG18" i="10"/>
  <c r="AG17" i="10"/>
  <c r="AG16" i="10"/>
  <c r="W66" i="10"/>
  <c r="AN16" i="10"/>
  <c r="D12" i="19" l="1"/>
  <c r="D12" i="18"/>
  <c r="G12" i="14"/>
  <c r="I102" i="16"/>
  <c r="AL30" i="13"/>
  <c r="D10" i="13" s="1"/>
  <c r="U30" i="13"/>
  <c r="D6" i="13" s="1"/>
  <c r="C60" i="13"/>
  <c r="D3" i="13" s="1"/>
  <c r="Z169" i="15"/>
  <c r="AG26" i="16"/>
  <c r="AG25" i="13"/>
  <c r="D9" i="13" s="1"/>
  <c r="U94" i="14"/>
  <c r="O135" i="15"/>
  <c r="I102" i="15"/>
  <c r="U31" i="16"/>
  <c r="O134" i="13"/>
  <c r="D5" i="13" s="1"/>
  <c r="AA168" i="13"/>
  <c r="D7" i="13" s="1"/>
  <c r="U61" i="13"/>
  <c r="D8" i="13" s="1"/>
  <c r="I53" i="15"/>
  <c r="I53" i="16"/>
  <c r="AL31" i="16"/>
  <c r="U62" i="16"/>
  <c r="AB169" i="16"/>
  <c r="AA169" i="16"/>
  <c r="AA169" i="15"/>
  <c r="U62" i="15"/>
  <c r="AL31" i="15"/>
  <c r="AG26" i="15"/>
  <c r="AB169" i="15"/>
  <c r="U31" i="15"/>
  <c r="C61" i="15"/>
  <c r="D12" i="15"/>
  <c r="E12" i="15"/>
  <c r="U31" i="14"/>
  <c r="D6" i="14" s="1"/>
  <c r="I53" i="14"/>
  <c r="D4" i="14" s="1"/>
  <c r="O135" i="14"/>
  <c r="D5" i="14" s="1"/>
  <c r="C61" i="14"/>
  <c r="D3" i="14" s="1"/>
  <c r="AA169" i="14"/>
  <c r="D7" i="14" s="1"/>
  <c r="AG26" i="14"/>
  <c r="D9" i="14" s="1"/>
  <c r="AL31" i="14"/>
  <c r="D11" i="14" s="1"/>
  <c r="U62" i="14"/>
  <c r="D8" i="14" s="1"/>
  <c r="F12" i="14"/>
  <c r="E12" i="14"/>
  <c r="C12" i="14"/>
  <c r="I52" i="13"/>
  <c r="D4" i="13" s="1"/>
  <c r="D11" i="13" s="1"/>
  <c r="C11" i="13"/>
  <c r="F11" i="13"/>
  <c r="E11" i="13"/>
  <c r="AD127" i="10"/>
  <c r="AB127" i="10"/>
  <c r="AD123" i="10"/>
  <c r="AB123" i="10"/>
  <c r="AD120" i="10"/>
  <c r="AB120" i="10"/>
  <c r="AD116" i="10"/>
  <c r="AB116" i="10"/>
  <c r="AD112" i="10"/>
  <c r="AD110" i="10"/>
  <c r="AB110" i="10"/>
  <c r="AD106" i="10"/>
  <c r="AD103" i="10"/>
  <c r="AB103" i="10"/>
  <c r="AD100" i="10"/>
  <c r="AB100" i="10"/>
  <c r="D12" i="14" l="1"/>
  <c r="AD97" i="10"/>
  <c r="AB97" i="10"/>
  <c r="AD91" i="10"/>
  <c r="AB91" i="10"/>
  <c r="AD87" i="10"/>
  <c r="AB87" i="10"/>
  <c r="AD84" i="10"/>
  <c r="AB84" i="10"/>
  <c r="AD78" i="10"/>
  <c r="AB78" i="10"/>
  <c r="AD75" i="10"/>
  <c r="AB75" i="10"/>
  <c r="AD53" i="10"/>
  <c r="AB53" i="10"/>
  <c r="AD47" i="10"/>
  <c r="AB47" i="10"/>
  <c r="AD44" i="10"/>
  <c r="AB44" i="10"/>
  <c r="AD40" i="10"/>
  <c r="AB40" i="10"/>
  <c r="AB34" i="10"/>
  <c r="AD31" i="10"/>
  <c r="AD27" i="10"/>
  <c r="AB27" i="10"/>
  <c r="AD24" i="10"/>
  <c r="AB24" i="10"/>
  <c r="AD22" i="10"/>
  <c r="AB22" i="10"/>
  <c r="AD19" i="10"/>
  <c r="AB19" i="10"/>
  <c r="P135" i="10" l="1"/>
  <c r="E5" i="10" s="1"/>
  <c r="O17" i="10"/>
  <c r="AD168" i="11"/>
  <c r="G7" i="11" s="1"/>
  <c r="AC168" i="11"/>
  <c r="F7" i="11" s="1"/>
  <c r="AB168" i="11"/>
  <c r="E7" i="11" s="1"/>
  <c r="Z168" i="11"/>
  <c r="C7" i="11" s="1"/>
  <c r="AA167" i="11"/>
  <c r="AA166" i="11"/>
  <c r="AA165" i="11"/>
  <c r="AA164" i="11"/>
  <c r="AA163" i="11"/>
  <c r="AA162" i="11"/>
  <c r="AA161" i="11"/>
  <c r="AA160" i="11"/>
  <c r="AA159" i="11"/>
  <c r="AA158" i="11"/>
  <c r="AA157" i="11"/>
  <c r="AA156" i="11"/>
  <c r="AA155" i="11"/>
  <c r="AA154" i="11"/>
  <c r="AA153" i="11"/>
  <c r="AA152" i="11"/>
  <c r="AA151" i="11"/>
  <c r="AA150" i="11"/>
  <c r="AA149" i="11"/>
  <c r="AA148" i="11"/>
  <c r="AA147" i="11"/>
  <c r="AA146" i="11"/>
  <c r="AA145" i="11"/>
  <c r="AA144" i="11"/>
  <c r="AA143" i="11"/>
  <c r="AA142" i="11"/>
  <c r="AA141" i="11"/>
  <c r="AA140" i="11"/>
  <c r="AA139" i="11"/>
  <c r="AA138" i="11"/>
  <c r="AA137" i="11"/>
  <c r="AA136" i="11"/>
  <c r="AA135" i="11"/>
  <c r="AA134" i="11"/>
  <c r="R134" i="11"/>
  <c r="G5" i="11" s="1"/>
  <c r="Q134" i="11"/>
  <c r="F5" i="11" s="1"/>
  <c r="P134" i="11"/>
  <c r="E5" i="11" s="1"/>
  <c r="N134" i="11"/>
  <c r="C5" i="11" s="1"/>
  <c r="AA133" i="11"/>
  <c r="O133" i="11"/>
  <c r="AA132" i="11"/>
  <c r="AA131" i="11"/>
  <c r="AA130" i="11"/>
  <c r="AA129" i="11"/>
  <c r="AA128" i="11"/>
  <c r="AA127" i="11"/>
  <c r="AA126" i="11"/>
  <c r="AA125" i="11"/>
  <c r="AA124" i="11"/>
  <c r="AA123" i="11"/>
  <c r="AA122" i="11"/>
  <c r="AA121" i="11"/>
  <c r="O121" i="11"/>
  <c r="AA120" i="11"/>
  <c r="O120" i="11"/>
  <c r="AA119" i="11"/>
  <c r="O119" i="11"/>
  <c r="AA118" i="11"/>
  <c r="O118" i="11"/>
  <c r="AA117" i="11"/>
  <c r="O117" i="11"/>
  <c r="AA116" i="11"/>
  <c r="O116" i="11"/>
  <c r="AA115" i="11"/>
  <c r="O115" i="11"/>
  <c r="AA114" i="11"/>
  <c r="O114" i="11"/>
  <c r="AA113" i="11"/>
  <c r="O113" i="11"/>
  <c r="AA112" i="11"/>
  <c r="O112" i="11"/>
  <c r="AA111" i="11"/>
  <c r="O111" i="11"/>
  <c r="AA110" i="11"/>
  <c r="O110" i="11"/>
  <c r="AA109" i="11"/>
  <c r="O109" i="11"/>
  <c r="AA108" i="11"/>
  <c r="O108" i="11"/>
  <c r="AA107" i="11"/>
  <c r="O107" i="11"/>
  <c r="AA106" i="11"/>
  <c r="O106" i="11"/>
  <c r="AA105" i="11"/>
  <c r="O105" i="11"/>
  <c r="AA104" i="11"/>
  <c r="O104" i="11"/>
  <c r="AA103" i="11"/>
  <c r="O103" i="11"/>
  <c r="AA102" i="11"/>
  <c r="O102" i="11"/>
  <c r="AA101" i="11"/>
  <c r="O101" i="11"/>
  <c r="L101" i="11"/>
  <c r="K101" i="11"/>
  <c r="J101" i="11"/>
  <c r="H101" i="11"/>
  <c r="AA100" i="11"/>
  <c r="O100" i="11"/>
  <c r="I100" i="11"/>
  <c r="AA99" i="11"/>
  <c r="O99" i="11"/>
  <c r="I99" i="11"/>
  <c r="AA98" i="11"/>
  <c r="O98" i="11"/>
  <c r="I98" i="11"/>
  <c r="AA97" i="11"/>
  <c r="O97" i="11"/>
  <c r="I97" i="11"/>
  <c r="AA96" i="11"/>
  <c r="O96" i="11"/>
  <c r="I96" i="11"/>
  <c r="AA95" i="11"/>
  <c r="O95" i="11"/>
  <c r="I95" i="11"/>
  <c r="AA94" i="11"/>
  <c r="O94" i="11"/>
  <c r="I94" i="11"/>
  <c r="AA93" i="11"/>
  <c r="X93" i="11"/>
  <c r="W93" i="11"/>
  <c r="V93" i="11"/>
  <c r="T93" i="11"/>
  <c r="O93" i="11"/>
  <c r="I93" i="11"/>
  <c r="AA92" i="11"/>
  <c r="U92" i="11"/>
  <c r="O92" i="11"/>
  <c r="I92" i="11"/>
  <c r="AA91" i="11"/>
  <c r="U91" i="11"/>
  <c r="O91" i="11"/>
  <c r="I91" i="11"/>
  <c r="AA90" i="11"/>
  <c r="U90" i="11"/>
  <c r="O90" i="11"/>
  <c r="I90" i="11"/>
  <c r="AA89" i="11"/>
  <c r="U89" i="11"/>
  <c r="O89" i="11"/>
  <c r="I89" i="11"/>
  <c r="AA88" i="11"/>
  <c r="U88" i="11"/>
  <c r="O88" i="11"/>
  <c r="I88" i="11"/>
  <c r="AA87" i="11"/>
  <c r="U87" i="11"/>
  <c r="O87" i="11"/>
  <c r="I87" i="11"/>
  <c r="AA86" i="11"/>
  <c r="U86" i="11"/>
  <c r="O86" i="11"/>
  <c r="I86" i="11"/>
  <c r="AA85" i="11"/>
  <c r="U85" i="11"/>
  <c r="O85" i="11"/>
  <c r="I85" i="11"/>
  <c r="AA84" i="11"/>
  <c r="U84" i="11"/>
  <c r="O84" i="11"/>
  <c r="I84" i="11"/>
  <c r="AA83" i="11"/>
  <c r="U83" i="11"/>
  <c r="O83" i="11"/>
  <c r="I83" i="11"/>
  <c r="AA82" i="11"/>
  <c r="U82" i="11"/>
  <c r="O82" i="11"/>
  <c r="I82" i="11"/>
  <c r="AA81" i="11"/>
  <c r="U81" i="11"/>
  <c r="O81" i="11"/>
  <c r="I81" i="11"/>
  <c r="AA80" i="11"/>
  <c r="U80" i="11"/>
  <c r="O80" i="11"/>
  <c r="I80" i="11"/>
  <c r="AA79" i="11"/>
  <c r="U79" i="11"/>
  <c r="O79" i="11"/>
  <c r="I79" i="11"/>
  <c r="AA78" i="11"/>
  <c r="U78" i="11"/>
  <c r="O78" i="11"/>
  <c r="I78" i="11"/>
  <c r="AA77" i="11"/>
  <c r="U77" i="11"/>
  <c r="O77" i="11"/>
  <c r="I77" i="11"/>
  <c r="AA76" i="11"/>
  <c r="U76" i="11"/>
  <c r="O76" i="11"/>
  <c r="I76" i="11"/>
  <c r="AA75" i="11"/>
  <c r="U75" i="11"/>
  <c r="O75" i="11"/>
  <c r="I75" i="11"/>
  <c r="AA74" i="11"/>
  <c r="U74" i="11"/>
  <c r="O74" i="11"/>
  <c r="I74" i="11"/>
  <c r="AA73" i="11"/>
  <c r="U73" i="11"/>
  <c r="O73" i="11"/>
  <c r="I73" i="11"/>
  <c r="AA72" i="11"/>
  <c r="U72" i="11"/>
  <c r="O72" i="11"/>
  <c r="I72" i="11"/>
  <c r="AA71" i="11"/>
  <c r="U71" i="11"/>
  <c r="O71" i="11"/>
  <c r="I71" i="11"/>
  <c r="AA70" i="11"/>
  <c r="U70" i="11"/>
  <c r="O70" i="11"/>
  <c r="I70" i="11"/>
  <c r="AA69" i="11"/>
  <c r="U69" i="11"/>
  <c r="O69" i="11"/>
  <c r="I69" i="11"/>
  <c r="AA68" i="11"/>
  <c r="U68" i="11"/>
  <c r="O68" i="11"/>
  <c r="I68" i="11"/>
  <c r="AA67" i="11"/>
  <c r="U67" i="11"/>
  <c r="O67" i="11"/>
  <c r="I67" i="11"/>
  <c r="AA66" i="11"/>
  <c r="U66" i="11"/>
  <c r="O66" i="11"/>
  <c r="I66" i="11"/>
  <c r="AA65" i="11"/>
  <c r="U65" i="11"/>
  <c r="O65" i="11"/>
  <c r="I65" i="11"/>
  <c r="AA64" i="11"/>
  <c r="O64" i="11"/>
  <c r="I64" i="11"/>
  <c r="AA63" i="11"/>
  <c r="O63" i="11"/>
  <c r="I63" i="11"/>
  <c r="AA62" i="11"/>
  <c r="O62" i="11"/>
  <c r="I62" i="11"/>
  <c r="AA61" i="11"/>
  <c r="X61" i="11"/>
  <c r="G8" i="11" s="1"/>
  <c r="W61" i="11"/>
  <c r="F8" i="11" s="1"/>
  <c r="V61" i="11"/>
  <c r="E8" i="11" s="1"/>
  <c r="T61" i="11"/>
  <c r="C8" i="11" s="1"/>
  <c r="O61" i="11"/>
  <c r="I61" i="11"/>
  <c r="AA60" i="11"/>
  <c r="U60" i="11"/>
  <c r="O60" i="11"/>
  <c r="I60" i="11"/>
  <c r="F60" i="11"/>
  <c r="G3" i="11" s="1"/>
  <c r="E60" i="11"/>
  <c r="F3" i="11" s="1"/>
  <c r="D60" i="11"/>
  <c r="B60" i="11"/>
  <c r="C3" i="11" s="1"/>
  <c r="AA59" i="11"/>
  <c r="U59" i="11"/>
  <c r="O59" i="11"/>
  <c r="I59" i="11"/>
  <c r="C59" i="11"/>
  <c r="AA58" i="11"/>
  <c r="U58" i="11"/>
  <c r="O58" i="11"/>
  <c r="I58" i="11"/>
  <c r="C58" i="11"/>
  <c r="AA57" i="11"/>
  <c r="U57" i="11"/>
  <c r="O57" i="11"/>
  <c r="I57" i="11"/>
  <c r="C57" i="11"/>
  <c r="AA56" i="11"/>
  <c r="U56" i="11"/>
  <c r="O56" i="11"/>
  <c r="I56" i="11"/>
  <c r="C56" i="11"/>
  <c r="AA55" i="11"/>
  <c r="U55" i="11"/>
  <c r="O55" i="11"/>
  <c r="I55" i="11"/>
  <c r="C55" i="11"/>
  <c r="AA54" i="11"/>
  <c r="U54" i="11"/>
  <c r="O54" i="11"/>
  <c r="C54" i="11"/>
  <c r="AA53" i="11"/>
  <c r="U53" i="11"/>
  <c r="O53" i="11"/>
  <c r="C53" i="11"/>
  <c r="AA52" i="11"/>
  <c r="U52" i="11"/>
  <c r="O52" i="11"/>
  <c r="L52" i="11"/>
  <c r="G4" i="11" s="1"/>
  <c r="K52" i="11"/>
  <c r="J52" i="11"/>
  <c r="E4" i="11" s="1"/>
  <c r="H52" i="11"/>
  <c r="C4" i="11" s="1"/>
  <c r="C52" i="11"/>
  <c r="AA51" i="11"/>
  <c r="U51" i="11"/>
  <c r="O51" i="11"/>
  <c r="I51" i="11"/>
  <c r="C51" i="11"/>
  <c r="AA50" i="11"/>
  <c r="U50" i="11"/>
  <c r="O50" i="11"/>
  <c r="I50" i="11"/>
  <c r="C50" i="11"/>
  <c r="AA49" i="11"/>
  <c r="U49" i="11"/>
  <c r="O49" i="11"/>
  <c r="I49" i="11"/>
  <c r="C49" i="11"/>
  <c r="AA48" i="11"/>
  <c r="U48" i="11"/>
  <c r="O48" i="11"/>
  <c r="I48" i="11"/>
  <c r="C48" i="11"/>
  <c r="AA47" i="11"/>
  <c r="U47" i="11"/>
  <c r="O47" i="11"/>
  <c r="I47" i="11"/>
  <c r="C47" i="11"/>
  <c r="AA46" i="11"/>
  <c r="U46" i="11"/>
  <c r="O46" i="11"/>
  <c r="I46" i="11"/>
  <c r="C46" i="11"/>
  <c r="AA45" i="11"/>
  <c r="U45" i="11"/>
  <c r="O45" i="11"/>
  <c r="I45" i="11"/>
  <c r="C45" i="11"/>
  <c r="AA44" i="11"/>
  <c r="U44" i="11"/>
  <c r="O44" i="11"/>
  <c r="I44" i="11"/>
  <c r="C44" i="11"/>
  <c r="AA43" i="11"/>
  <c r="U43" i="11"/>
  <c r="O43" i="11"/>
  <c r="I43" i="11"/>
  <c r="C43" i="11"/>
  <c r="AA42" i="11"/>
  <c r="U42" i="11"/>
  <c r="O42" i="11"/>
  <c r="I42" i="11"/>
  <c r="C42" i="11"/>
  <c r="AA41" i="11"/>
  <c r="U41" i="11"/>
  <c r="O41" i="11"/>
  <c r="I41" i="11"/>
  <c r="C41" i="11"/>
  <c r="AA40" i="11"/>
  <c r="U40" i="11"/>
  <c r="O40" i="11"/>
  <c r="I40" i="11"/>
  <c r="C40" i="11"/>
  <c r="AA39" i="11"/>
  <c r="U39" i="11"/>
  <c r="O39" i="11"/>
  <c r="I39" i="11"/>
  <c r="C39" i="11"/>
  <c r="AA38" i="11"/>
  <c r="U38" i="11"/>
  <c r="O38" i="11"/>
  <c r="I38" i="11"/>
  <c r="C38" i="11"/>
  <c r="AA37" i="11"/>
  <c r="U37" i="11"/>
  <c r="O37" i="11"/>
  <c r="I37" i="11"/>
  <c r="C37" i="11"/>
  <c r="AA36" i="11"/>
  <c r="U36" i="11"/>
  <c r="O36" i="11"/>
  <c r="I36" i="11"/>
  <c r="C36" i="11"/>
  <c r="AA35" i="11"/>
  <c r="U35" i="11"/>
  <c r="O35" i="11"/>
  <c r="I35" i="11"/>
  <c r="C35" i="11"/>
  <c r="AA34" i="11"/>
  <c r="U34" i="11"/>
  <c r="O34" i="11"/>
  <c r="I34" i="11"/>
  <c r="C34" i="11"/>
  <c r="AA33" i="11"/>
  <c r="U33" i="11"/>
  <c r="O33" i="11"/>
  <c r="I33" i="11"/>
  <c r="C33" i="11"/>
  <c r="AA32" i="11"/>
  <c r="O32" i="11"/>
  <c r="I32" i="11"/>
  <c r="C32" i="11"/>
  <c r="AA31" i="11"/>
  <c r="O31" i="11"/>
  <c r="I31" i="11"/>
  <c r="C31" i="11"/>
  <c r="AO30" i="11"/>
  <c r="AN30" i="11"/>
  <c r="AM30" i="11"/>
  <c r="AK30" i="11"/>
  <c r="C10" i="11" s="1"/>
  <c r="AA30" i="11"/>
  <c r="X30" i="11"/>
  <c r="G6" i="11" s="1"/>
  <c r="W30" i="11"/>
  <c r="F6" i="11" s="1"/>
  <c r="V30" i="11"/>
  <c r="E6" i="11" s="1"/>
  <c r="T30" i="11"/>
  <c r="C6" i="11" s="1"/>
  <c r="O30" i="11"/>
  <c r="I30" i="11"/>
  <c r="C30" i="11"/>
  <c r="AL29" i="11"/>
  <c r="AA29" i="11"/>
  <c r="U29" i="11"/>
  <c r="O29" i="11"/>
  <c r="I29" i="11"/>
  <c r="C29" i="11"/>
  <c r="AL28" i="11"/>
  <c r="AA28" i="11"/>
  <c r="U28" i="11"/>
  <c r="O28" i="11"/>
  <c r="I28" i="11"/>
  <c r="C28" i="11"/>
  <c r="AL27" i="11"/>
  <c r="AA27" i="11"/>
  <c r="U27" i="11"/>
  <c r="O27" i="11"/>
  <c r="I27" i="11"/>
  <c r="C27" i="11"/>
  <c r="AL26" i="11"/>
  <c r="AA26" i="11"/>
  <c r="U26" i="11"/>
  <c r="O26" i="11"/>
  <c r="I26" i="11"/>
  <c r="C26" i="11"/>
  <c r="AL25" i="11"/>
  <c r="AJ25" i="11"/>
  <c r="G9" i="11" s="1"/>
  <c r="AI25" i="11"/>
  <c r="F9" i="11" s="1"/>
  <c r="AH25" i="11"/>
  <c r="E9" i="11" s="1"/>
  <c r="AF25" i="11"/>
  <c r="C9" i="11" s="1"/>
  <c r="AA25" i="11"/>
  <c r="U25" i="11"/>
  <c r="O25" i="11"/>
  <c r="I25" i="11"/>
  <c r="C25" i="11"/>
  <c r="AL24" i="11"/>
  <c r="AG24" i="11"/>
  <c r="AA24" i="11"/>
  <c r="U24" i="11"/>
  <c r="O24" i="11"/>
  <c r="I24" i="11"/>
  <c r="C24" i="11"/>
  <c r="AL23" i="11"/>
  <c r="AG23" i="11"/>
  <c r="AA23" i="11"/>
  <c r="U23" i="11"/>
  <c r="O23" i="11"/>
  <c r="I23" i="11"/>
  <c r="C23" i="11"/>
  <c r="AL22" i="11"/>
  <c r="AG22" i="11"/>
  <c r="AA22" i="11"/>
  <c r="U22" i="11"/>
  <c r="O22" i="11"/>
  <c r="I22" i="11"/>
  <c r="C22" i="11"/>
  <c r="AL21" i="11"/>
  <c r="AG21" i="11"/>
  <c r="AA21" i="11"/>
  <c r="U21" i="11"/>
  <c r="O21" i="11"/>
  <c r="I21" i="11"/>
  <c r="C21" i="11"/>
  <c r="AL20" i="11"/>
  <c r="AG20" i="11"/>
  <c r="AA20" i="11"/>
  <c r="U20" i="11"/>
  <c r="O20" i="11"/>
  <c r="I20" i="11"/>
  <c r="C20" i="11"/>
  <c r="AL19" i="11"/>
  <c r="AG19" i="11"/>
  <c r="AA19" i="11"/>
  <c r="U19" i="11"/>
  <c r="O19" i="11"/>
  <c r="I19" i="11"/>
  <c r="C19" i="11"/>
  <c r="AL18" i="11"/>
  <c r="AG18" i="11"/>
  <c r="AA18" i="11"/>
  <c r="U18" i="11"/>
  <c r="O18" i="11"/>
  <c r="I18" i="11"/>
  <c r="C18" i="11"/>
  <c r="AL17" i="11"/>
  <c r="AG17" i="11"/>
  <c r="AA17" i="11"/>
  <c r="U17" i="11"/>
  <c r="O17" i="11"/>
  <c r="I17" i="11"/>
  <c r="C17" i="11"/>
  <c r="AL16" i="11"/>
  <c r="AG16" i="11"/>
  <c r="AA16" i="11"/>
  <c r="U16" i="11"/>
  <c r="O16" i="11"/>
  <c r="I16" i="11"/>
  <c r="C16" i="11"/>
  <c r="AL15" i="11"/>
  <c r="AG15" i="11"/>
  <c r="AA15" i="11"/>
  <c r="U15" i="11"/>
  <c r="O15" i="11"/>
  <c r="I15" i="11"/>
  <c r="C15" i="11"/>
  <c r="H11" i="11"/>
  <c r="E10" i="11"/>
  <c r="B10" i="11"/>
  <c r="B9" i="11"/>
  <c r="B8" i="11"/>
  <c r="B7" i="11"/>
  <c r="B6" i="11"/>
  <c r="B5" i="11"/>
  <c r="F4" i="11"/>
  <c r="B4" i="11"/>
  <c r="E3" i="11"/>
  <c r="B3" i="11"/>
  <c r="AD169" i="10"/>
  <c r="G7" i="10" s="1"/>
  <c r="AC169" i="10"/>
  <c r="F7" i="10" s="1"/>
  <c r="AB169" i="10"/>
  <c r="E7" i="10" s="1"/>
  <c r="Z169" i="10"/>
  <c r="C7" i="10" s="1"/>
  <c r="AA168" i="10"/>
  <c r="AA167" i="10"/>
  <c r="AA166" i="10"/>
  <c r="AA165" i="10"/>
  <c r="AA164" i="10"/>
  <c r="AA163" i="10"/>
  <c r="AA162" i="10"/>
  <c r="AA161" i="10"/>
  <c r="AA160" i="10"/>
  <c r="AA159" i="10"/>
  <c r="AA158" i="10"/>
  <c r="AA157" i="10"/>
  <c r="AA156" i="10"/>
  <c r="AA155" i="10"/>
  <c r="AA154" i="10"/>
  <c r="AA153" i="10"/>
  <c r="AA152" i="10"/>
  <c r="AA151" i="10"/>
  <c r="AA150" i="10"/>
  <c r="AA149" i="10"/>
  <c r="AA148" i="10"/>
  <c r="AA147" i="10"/>
  <c r="AA146" i="10"/>
  <c r="AA145" i="10"/>
  <c r="AA144" i="10"/>
  <c r="AA143" i="10"/>
  <c r="AA142" i="10"/>
  <c r="AA141" i="10"/>
  <c r="AA140" i="10"/>
  <c r="AA139" i="10"/>
  <c r="AA138" i="10"/>
  <c r="AA137" i="10"/>
  <c r="AA136" i="10"/>
  <c r="AA135" i="10"/>
  <c r="R135" i="10"/>
  <c r="G5" i="10" s="1"/>
  <c r="Q135" i="10"/>
  <c r="F5" i="10" s="1"/>
  <c r="N135" i="10"/>
  <c r="C5" i="10" s="1"/>
  <c r="AA134" i="10"/>
  <c r="O134" i="10"/>
  <c r="AA133" i="10"/>
  <c r="AA132" i="10"/>
  <c r="AA131" i="10"/>
  <c r="AA130" i="10"/>
  <c r="AA129" i="10"/>
  <c r="AA128" i="10"/>
  <c r="AA126" i="10"/>
  <c r="AA125" i="10"/>
  <c r="AA124" i="10"/>
  <c r="AA122" i="10"/>
  <c r="O122" i="10"/>
  <c r="AA121" i="10"/>
  <c r="O121" i="10"/>
  <c r="O120" i="10"/>
  <c r="AA119" i="10"/>
  <c r="O119" i="10"/>
  <c r="AA118" i="10"/>
  <c r="O118" i="10"/>
  <c r="AA117" i="10"/>
  <c r="O117" i="10"/>
  <c r="O116" i="10"/>
  <c r="AA115" i="10"/>
  <c r="O115" i="10"/>
  <c r="AA114" i="10"/>
  <c r="O114" i="10"/>
  <c r="AA113" i="10"/>
  <c r="O113" i="10"/>
  <c r="AA112" i="10"/>
  <c r="O112" i="10"/>
  <c r="AA111" i="10"/>
  <c r="O111" i="10"/>
  <c r="O110" i="10"/>
  <c r="AA109" i="10"/>
  <c r="O109" i="10"/>
  <c r="AA108" i="10"/>
  <c r="O108" i="10"/>
  <c r="AA107" i="10"/>
  <c r="O107" i="10"/>
  <c r="O106" i="10"/>
  <c r="AA105" i="10"/>
  <c r="O105" i="10"/>
  <c r="AA104" i="10"/>
  <c r="O104" i="10"/>
  <c r="O103" i="10"/>
  <c r="AA102" i="10"/>
  <c r="O102" i="10"/>
  <c r="L102" i="10"/>
  <c r="G10" i="10" s="1"/>
  <c r="K102" i="10"/>
  <c r="F10" i="10" s="1"/>
  <c r="J102" i="10"/>
  <c r="E10" i="10" s="1"/>
  <c r="H102" i="10"/>
  <c r="C10" i="10" s="1"/>
  <c r="AA101" i="10"/>
  <c r="O101" i="10"/>
  <c r="I101" i="10"/>
  <c r="O100" i="10"/>
  <c r="I100" i="10"/>
  <c r="AA99" i="10"/>
  <c r="O99" i="10"/>
  <c r="I99" i="10"/>
  <c r="AA98" i="10"/>
  <c r="O98" i="10"/>
  <c r="I98" i="10"/>
  <c r="O97" i="10"/>
  <c r="I97" i="10"/>
  <c r="AA96" i="10"/>
  <c r="O96" i="10"/>
  <c r="I96" i="10"/>
  <c r="AA95" i="10"/>
  <c r="O95" i="10"/>
  <c r="I95" i="10"/>
  <c r="AA94" i="10"/>
  <c r="X94" i="10"/>
  <c r="G8" i="10" s="1"/>
  <c r="W94" i="10"/>
  <c r="F8" i="10" s="1"/>
  <c r="V94" i="10"/>
  <c r="E8" i="10" s="1"/>
  <c r="T94" i="10"/>
  <c r="C8" i="10" s="1"/>
  <c r="O94" i="10"/>
  <c r="I94" i="10"/>
  <c r="AA93" i="10"/>
  <c r="U93" i="10"/>
  <c r="O93" i="10"/>
  <c r="I93" i="10"/>
  <c r="AA92" i="10"/>
  <c r="U92" i="10"/>
  <c r="O92" i="10"/>
  <c r="I92" i="10"/>
  <c r="U91" i="10"/>
  <c r="O91" i="10"/>
  <c r="I91" i="10"/>
  <c r="AA90" i="10"/>
  <c r="U90" i="10"/>
  <c r="O90" i="10"/>
  <c r="I90" i="10"/>
  <c r="AA89" i="10"/>
  <c r="U89" i="10"/>
  <c r="O89" i="10"/>
  <c r="I89" i="10"/>
  <c r="AA88" i="10"/>
  <c r="U88" i="10"/>
  <c r="O88" i="10"/>
  <c r="I88" i="10"/>
  <c r="U87" i="10"/>
  <c r="O87" i="10"/>
  <c r="I87" i="10"/>
  <c r="AA86" i="10"/>
  <c r="U86" i="10"/>
  <c r="O86" i="10"/>
  <c r="I86" i="10"/>
  <c r="AA85" i="10"/>
  <c r="U85" i="10"/>
  <c r="O85" i="10"/>
  <c r="I85" i="10"/>
  <c r="U84" i="10"/>
  <c r="O84" i="10"/>
  <c r="I84" i="10"/>
  <c r="AA83" i="10"/>
  <c r="U83" i="10"/>
  <c r="O83" i="10"/>
  <c r="I83" i="10"/>
  <c r="AA82" i="10"/>
  <c r="U82" i="10"/>
  <c r="O82" i="10"/>
  <c r="I82" i="10"/>
  <c r="AA81" i="10"/>
  <c r="U81" i="10"/>
  <c r="O81" i="10"/>
  <c r="I81" i="10"/>
  <c r="AA80" i="10"/>
  <c r="U80" i="10"/>
  <c r="O80" i="10"/>
  <c r="I80" i="10"/>
  <c r="AA79" i="10"/>
  <c r="U79" i="10"/>
  <c r="O79" i="10"/>
  <c r="I79" i="10"/>
  <c r="U78" i="10"/>
  <c r="O78" i="10"/>
  <c r="I78" i="10"/>
  <c r="AA77" i="10"/>
  <c r="U77" i="10"/>
  <c r="O77" i="10"/>
  <c r="I77" i="10"/>
  <c r="AA76" i="10"/>
  <c r="U76" i="10"/>
  <c r="O76" i="10"/>
  <c r="I76" i="10"/>
  <c r="U75" i="10"/>
  <c r="O75" i="10"/>
  <c r="I75" i="10"/>
  <c r="AA74" i="10"/>
  <c r="U74" i="10"/>
  <c r="O74" i="10"/>
  <c r="I74" i="10"/>
  <c r="AA73" i="10"/>
  <c r="U73" i="10"/>
  <c r="O73" i="10"/>
  <c r="I73" i="10"/>
  <c r="AA72" i="10"/>
  <c r="U72" i="10"/>
  <c r="O72" i="10"/>
  <c r="I72" i="10"/>
  <c r="AA71" i="10"/>
  <c r="U71" i="10"/>
  <c r="O71" i="10"/>
  <c r="I71" i="10"/>
  <c r="AA70" i="10"/>
  <c r="U70" i="10"/>
  <c r="O70" i="10"/>
  <c r="I70" i="10"/>
  <c r="AA69" i="10"/>
  <c r="U69" i="10"/>
  <c r="O69" i="10"/>
  <c r="I69" i="10"/>
  <c r="AA68" i="10"/>
  <c r="U68" i="10"/>
  <c r="O68" i="10"/>
  <c r="I68" i="10"/>
  <c r="AA67" i="10"/>
  <c r="U67" i="10"/>
  <c r="O67" i="10"/>
  <c r="I67" i="10"/>
  <c r="AA66" i="10"/>
  <c r="U66" i="10"/>
  <c r="O66" i="10"/>
  <c r="I66" i="10"/>
  <c r="AA65" i="10"/>
  <c r="O65" i="10"/>
  <c r="I65" i="10"/>
  <c r="AA64" i="10"/>
  <c r="O64" i="10"/>
  <c r="I64" i="10"/>
  <c r="AA63" i="10"/>
  <c r="O63" i="10"/>
  <c r="I63" i="10"/>
  <c r="AA62" i="10"/>
  <c r="X62" i="10"/>
  <c r="W62" i="10"/>
  <c r="V62" i="10"/>
  <c r="T62" i="10"/>
  <c r="O62" i="10"/>
  <c r="I62" i="10"/>
  <c r="AA61" i="10"/>
  <c r="U61" i="10"/>
  <c r="O61" i="10"/>
  <c r="I61" i="10"/>
  <c r="F61" i="10"/>
  <c r="G3" i="10" s="1"/>
  <c r="E61" i="10"/>
  <c r="F3" i="10" s="1"/>
  <c r="D61" i="10"/>
  <c r="E3" i="10" s="1"/>
  <c r="B61" i="10"/>
  <c r="C3" i="10" s="1"/>
  <c r="AA60" i="10"/>
  <c r="U60" i="10"/>
  <c r="O60" i="10"/>
  <c r="I60" i="10"/>
  <c r="C60" i="10"/>
  <c r="AA59" i="10"/>
  <c r="U59" i="10"/>
  <c r="O59" i="10"/>
  <c r="I59" i="10"/>
  <c r="C59" i="10"/>
  <c r="AA58" i="10"/>
  <c r="U58" i="10"/>
  <c r="O58" i="10"/>
  <c r="I58" i="10"/>
  <c r="C58" i="10"/>
  <c r="AA57" i="10"/>
  <c r="U57" i="10"/>
  <c r="O57" i="10"/>
  <c r="I57" i="10"/>
  <c r="C57" i="10"/>
  <c r="AA56" i="10"/>
  <c r="U56" i="10"/>
  <c r="O56" i="10"/>
  <c r="I56" i="10"/>
  <c r="C56" i="10"/>
  <c r="AA55" i="10"/>
  <c r="U55" i="10"/>
  <c r="O55" i="10"/>
  <c r="C55" i="10"/>
  <c r="AA54" i="10"/>
  <c r="U54" i="10"/>
  <c r="O54" i="10"/>
  <c r="C54" i="10"/>
  <c r="U53" i="10"/>
  <c r="O53" i="10"/>
  <c r="L53" i="10"/>
  <c r="G4" i="10" s="1"/>
  <c r="K53" i="10"/>
  <c r="F4" i="10" s="1"/>
  <c r="J53" i="10"/>
  <c r="E4" i="10" s="1"/>
  <c r="H53" i="10"/>
  <c r="C4" i="10" s="1"/>
  <c r="C53" i="10"/>
  <c r="AA52" i="10"/>
  <c r="U52" i="10"/>
  <c r="O52" i="10"/>
  <c r="I52" i="10"/>
  <c r="C52" i="10"/>
  <c r="AA51" i="10"/>
  <c r="U51" i="10"/>
  <c r="O51" i="10"/>
  <c r="I51" i="10"/>
  <c r="C51" i="10"/>
  <c r="AA50" i="10"/>
  <c r="U50" i="10"/>
  <c r="O50" i="10"/>
  <c r="I50" i="10"/>
  <c r="C50" i="10"/>
  <c r="AA49" i="10"/>
  <c r="U49" i="10"/>
  <c r="O49" i="10"/>
  <c r="I49" i="10"/>
  <c r="C49" i="10"/>
  <c r="AA48" i="10"/>
  <c r="U48" i="10"/>
  <c r="O48" i="10"/>
  <c r="I48" i="10"/>
  <c r="C48" i="10"/>
  <c r="U47" i="10"/>
  <c r="O47" i="10"/>
  <c r="I47" i="10"/>
  <c r="C47" i="10"/>
  <c r="AA46" i="10"/>
  <c r="U46" i="10"/>
  <c r="O46" i="10"/>
  <c r="I46" i="10"/>
  <c r="C46" i="10"/>
  <c r="AA45" i="10"/>
  <c r="U45" i="10"/>
  <c r="O45" i="10"/>
  <c r="I45" i="10"/>
  <c r="C45" i="10"/>
  <c r="U44" i="10"/>
  <c r="O44" i="10"/>
  <c r="I44" i="10"/>
  <c r="C44" i="10"/>
  <c r="AA43" i="10"/>
  <c r="U43" i="10"/>
  <c r="O43" i="10"/>
  <c r="I43" i="10"/>
  <c r="C43" i="10"/>
  <c r="AA42" i="10"/>
  <c r="U42" i="10"/>
  <c r="O42" i="10"/>
  <c r="I42" i="10"/>
  <c r="C42" i="10"/>
  <c r="AA41" i="10"/>
  <c r="U41" i="10"/>
  <c r="O41" i="10"/>
  <c r="I41" i="10"/>
  <c r="C41" i="10"/>
  <c r="U40" i="10"/>
  <c r="O40" i="10"/>
  <c r="I40" i="10"/>
  <c r="C40" i="10"/>
  <c r="AA39" i="10"/>
  <c r="U39" i="10"/>
  <c r="O39" i="10"/>
  <c r="I39" i="10"/>
  <c r="C39" i="10"/>
  <c r="AA38" i="10"/>
  <c r="U38" i="10"/>
  <c r="O38" i="10"/>
  <c r="I38" i="10"/>
  <c r="C38" i="10"/>
  <c r="AA37" i="10"/>
  <c r="U37" i="10"/>
  <c r="O37" i="10"/>
  <c r="I37" i="10"/>
  <c r="C37" i="10"/>
  <c r="AA36" i="10"/>
  <c r="U36" i="10"/>
  <c r="O36" i="10"/>
  <c r="I36" i="10"/>
  <c r="C36" i="10"/>
  <c r="AA35" i="10"/>
  <c r="U35" i="10"/>
  <c r="O35" i="10"/>
  <c r="I35" i="10"/>
  <c r="C35" i="10"/>
  <c r="U34" i="10"/>
  <c r="O34" i="10"/>
  <c r="I34" i="10"/>
  <c r="C34" i="10"/>
  <c r="AA33" i="10"/>
  <c r="O33" i="10"/>
  <c r="I33" i="10"/>
  <c r="C33" i="10"/>
  <c r="AA32" i="10"/>
  <c r="O32" i="10"/>
  <c r="I32" i="10"/>
  <c r="C32" i="10"/>
  <c r="AO31" i="10"/>
  <c r="AN31" i="10"/>
  <c r="AM31" i="10"/>
  <c r="E11" i="10" s="1"/>
  <c r="AK31" i="10"/>
  <c r="C11" i="10" s="1"/>
  <c r="AA31" i="10"/>
  <c r="X31" i="10"/>
  <c r="G6" i="10" s="1"/>
  <c r="W31" i="10"/>
  <c r="F6" i="10" s="1"/>
  <c r="V31" i="10"/>
  <c r="T31" i="10"/>
  <c r="C6" i="10" s="1"/>
  <c r="O31" i="10"/>
  <c r="I31" i="10"/>
  <c r="C31" i="10"/>
  <c r="AL30" i="10"/>
  <c r="AA30" i="10"/>
  <c r="U30" i="10"/>
  <c r="O30" i="10"/>
  <c r="I30" i="10"/>
  <c r="C30" i="10"/>
  <c r="AL29" i="10"/>
  <c r="AA29" i="10"/>
  <c r="U29" i="10"/>
  <c r="O29" i="10"/>
  <c r="I29" i="10"/>
  <c r="C29" i="10"/>
  <c r="AL28" i="10"/>
  <c r="AA28" i="10"/>
  <c r="U28" i="10"/>
  <c r="O28" i="10"/>
  <c r="I28" i="10"/>
  <c r="C28" i="10"/>
  <c r="AL27" i="10"/>
  <c r="U27" i="10"/>
  <c r="O27" i="10"/>
  <c r="I27" i="10"/>
  <c r="C27" i="10"/>
  <c r="AL26" i="10"/>
  <c r="AJ26" i="10"/>
  <c r="G9" i="10" s="1"/>
  <c r="AI26" i="10"/>
  <c r="F9" i="10" s="1"/>
  <c r="AH26" i="10"/>
  <c r="AF26" i="10"/>
  <c r="C9" i="10" s="1"/>
  <c r="AA26" i="10"/>
  <c r="U26" i="10"/>
  <c r="O26" i="10"/>
  <c r="I26" i="10"/>
  <c r="C26" i="10"/>
  <c r="AL25" i="10"/>
  <c r="AG25" i="10"/>
  <c r="AA25" i="10"/>
  <c r="U25" i="10"/>
  <c r="O25" i="10"/>
  <c r="I25" i="10"/>
  <c r="C25" i="10"/>
  <c r="AL24" i="10"/>
  <c r="AG24" i="10"/>
  <c r="U24" i="10"/>
  <c r="O24" i="10"/>
  <c r="I24" i="10"/>
  <c r="C24" i="10"/>
  <c r="AL23" i="10"/>
  <c r="AG23" i="10"/>
  <c r="AA23" i="10"/>
  <c r="U23" i="10"/>
  <c r="O23" i="10"/>
  <c r="I23" i="10"/>
  <c r="C23" i="10"/>
  <c r="AL22" i="10"/>
  <c r="AG22" i="10"/>
  <c r="U22" i="10"/>
  <c r="O22" i="10"/>
  <c r="I22" i="10"/>
  <c r="C22" i="10"/>
  <c r="AL21" i="10"/>
  <c r="AG21" i="10"/>
  <c r="AA21" i="10"/>
  <c r="U21" i="10"/>
  <c r="O21" i="10"/>
  <c r="I21" i="10"/>
  <c r="C21" i="10"/>
  <c r="AL20" i="10"/>
  <c r="AG20" i="10"/>
  <c r="AA20" i="10"/>
  <c r="U20" i="10"/>
  <c r="O20" i="10"/>
  <c r="I20" i="10"/>
  <c r="C20" i="10"/>
  <c r="AL19" i="10"/>
  <c r="AG19" i="10"/>
  <c r="U19" i="10"/>
  <c r="O19" i="10"/>
  <c r="I19" i="10"/>
  <c r="C19" i="10"/>
  <c r="AL18" i="10"/>
  <c r="AA18" i="10"/>
  <c r="U18" i="10"/>
  <c r="O18" i="10"/>
  <c r="I18" i="10"/>
  <c r="C18" i="10"/>
  <c r="AL17" i="10"/>
  <c r="AA17" i="10"/>
  <c r="I17" i="10"/>
  <c r="C17" i="10"/>
  <c r="AL16" i="10"/>
  <c r="AA16" i="10"/>
  <c r="U16" i="10"/>
  <c r="I16" i="10"/>
  <c r="C16" i="10"/>
  <c r="B11" i="10"/>
  <c r="E9" i="10"/>
  <c r="B9" i="10"/>
  <c r="B7" i="10"/>
  <c r="E6" i="10"/>
  <c r="B6" i="10"/>
  <c r="B5" i="10"/>
  <c r="B4" i="10"/>
  <c r="B3" i="10"/>
  <c r="C23" i="9"/>
  <c r="H11" i="9"/>
  <c r="B10" i="9"/>
  <c r="B7" i="9"/>
  <c r="B6" i="9"/>
  <c r="B5" i="9"/>
  <c r="B4" i="9"/>
  <c r="I55" i="9"/>
  <c r="AA79" i="9"/>
  <c r="AG25" i="11" l="1"/>
  <c r="D9" i="11" s="1"/>
  <c r="I101" i="11"/>
  <c r="C60" i="11"/>
  <c r="D3" i="11" s="1"/>
  <c r="G12" i="10"/>
  <c r="U93" i="11"/>
  <c r="I52" i="11"/>
  <c r="D4" i="11" s="1"/>
  <c r="U94" i="10"/>
  <c r="D8" i="10" s="1"/>
  <c r="F12" i="10"/>
  <c r="O135" i="10"/>
  <c r="D5" i="10" s="1"/>
  <c r="E11" i="11"/>
  <c r="U31" i="10"/>
  <c r="D6" i="10" s="1"/>
  <c r="AA169" i="10"/>
  <c r="D7" i="10" s="1"/>
  <c r="AL31" i="10"/>
  <c r="D11" i="10" s="1"/>
  <c r="U62" i="10"/>
  <c r="O134" i="11"/>
  <c r="D5" i="11" s="1"/>
  <c r="C61" i="10"/>
  <c r="D3" i="10" s="1"/>
  <c r="I53" i="10"/>
  <c r="D4" i="10" s="1"/>
  <c r="AG26" i="10"/>
  <c r="D9" i="10" s="1"/>
  <c r="I102" i="10"/>
  <c r="D10" i="10" s="1"/>
  <c r="U30" i="11"/>
  <c r="D6" i="11" s="1"/>
  <c r="AA168" i="11"/>
  <c r="D7" i="11" s="1"/>
  <c r="AL30" i="11"/>
  <c r="D10" i="11" s="1"/>
  <c r="U61" i="11"/>
  <c r="D8" i="11" s="1"/>
  <c r="F11" i="11"/>
  <c r="C11" i="11"/>
  <c r="E12" i="10"/>
  <c r="C12" i="10"/>
  <c r="N134" i="9"/>
  <c r="C5" i="9" s="1"/>
  <c r="O83" i="9"/>
  <c r="O87" i="9"/>
  <c r="O89" i="9"/>
  <c r="O91" i="9"/>
  <c r="O93" i="9"/>
  <c r="O95" i="9"/>
  <c r="O97" i="9"/>
  <c r="O99" i="9"/>
  <c r="O133" i="9"/>
  <c r="O16" i="9"/>
  <c r="AC168" i="9"/>
  <c r="F7" i="9" s="1"/>
  <c r="AB168" i="9"/>
  <c r="E7" i="9" s="1"/>
  <c r="Z168" i="9"/>
  <c r="C7" i="9" s="1"/>
  <c r="AA167" i="9"/>
  <c r="AA166" i="9"/>
  <c r="AA165" i="9"/>
  <c r="AA164" i="9"/>
  <c r="AA163" i="9"/>
  <c r="AA162" i="9"/>
  <c r="AA161" i="9"/>
  <c r="AA160" i="9"/>
  <c r="AA159" i="9"/>
  <c r="AA158" i="9"/>
  <c r="AA157" i="9"/>
  <c r="AA156" i="9"/>
  <c r="AA155" i="9"/>
  <c r="AA154" i="9"/>
  <c r="AA153" i="9"/>
  <c r="AA152" i="9"/>
  <c r="AJ25" i="9"/>
  <c r="G9" i="9" s="1"/>
  <c r="AI25" i="9"/>
  <c r="F9" i="9" s="1"/>
  <c r="AH25" i="9"/>
  <c r="E9" i="9" s="1"/>
  <c r="AF25" i="9"/>
  <c r="C9" i="9" s="1"/>
  <c r="AA151" i="9"/>
  <c r="AA150" i="9"/>
  <c r="AA149" i="9"/>
  <c r="AA148" i="9"/>
  <c r="AA147" i="9"/>
  <c r="AA146" i="9"/>
  <c r="AA145" i="9"/>
  <c r="AA144" i="9"/>
  <c r="AA143" i="9"/>
  <c r="AA142" i="9"/>
  <c r="AA141" i="9"/>
  <c r="AA140" i="9"/>
  <c r="AA139" i="9"/>
  <c r="AA138" i="9"/>
  <c r="AA137" i="9"/>
  <c r="AA136" i="9"/>
  <c r="AA135" i="9"/>
  <c r="AA134" i="9"/>
  <c r="R134" i="9"/>
  <c r="G5" i="9" s="1"/>
  <c r="Q134" i="9"/>
  <c r="F5" i="9" s="1"/>
  <c r="P134" i="9"/>
  <c r="E5" i="9" s="1"/>
  <c r="AA133" i="9"/>
  <c r="AA132" i="9"/>
  <c r="AA131" i="9"/>
  <c r="AA130" i="9"/>
  <c r="AA129" i="9"/>
  <c r="AA128" i="9"/>
  <c r="AA127" i="9"/>
  <c r="AA126" i="9"/>
  <c r="AA125" i="9"/>
  <c r="AA124" i="9"/>
  <c r="AA123" i="9"/>
  <c r="AA122" i="9"/>
  <c r="AA121" i="9"/>
  <c r="O121" i="9"/>
  <c r="AA120" i="9"/>
  <c r="O120" i="9"/>
  <c r="AA119" i="9"/>
  <c r="O119" i="9"/>
  <c r="AA118" i="9"/>
  <c r="O118" i="9"/>
  <c r="AA117" i="9"/>
  <c r="O117" i="9"/>
  <c r="AA116" i="9"/>
  <c r="O116" i="9"/>
  <c r="AA115" i="9"/>
  <c r="O115" i="9"/>
  <c r="AA114" i="9"/>
  <c r="O114" i="9"/>
  <c r="AA113" i="9"/>
  <c r="O113" i="9"/>
  <c r="AA112" i="9"/>
  <c r="O112" i="9"/>
  <c r="AA111" i="9"/>
  <c r="O111" i="9"/>
  <c r="AA110" i="9"/>
  <c r="O110" i="9"/>
  <c r="AA109" i="9"/>
  <c r="O109" i="9"/>
  <c r="AA108" i="9"/>
  <c r="O108" i="9"/>
  <c r="AA107" i="9"/>
  <c r="O107" i="9"/>
  <c r="AA106" i="9"/>
  <c r="O106" i="9"/>
  <c r="AA105" i="9"/>
  <c r="O105" i="9"/>
  <c r="AA104" i="9"/>
  <c r="O104" i="9"/>
  <c r="AA103" i="9"/>
  <c r="O103" i="9"/>
  <c r="AA102" i="9"/>
  <c r="O102" i="9"/>
  <c r="AA101" i="9"/>
  <c r="O101" i="9"/>
  <c r="L101" i="9"/>
  <c r="K101" i="9"/>
  <c r="J101" i="9"/>
  <c r="H101" i="9"/>
  <c r="AA100" i="9"/>
  <c r="O100" i="9"/>
  <c r="I100" i="9"/>
  <c r="AA99" i="9"/>
  <c r="I99" i="9"/>
  <c r="AA98" i="9"/>
  <c r="O98" i="9"/>
  <c r="I98" i="9"/>
  <c r="AA97" i="9"/>
  <c r="I97" i="9"/>
  <c r="AA96" i="9"/>
  <c r="O96" i="9"/>
  <c r="I96" i="9"/>
  <c r="AA95" i="9"/>
  <c r="I95" i="9"/>
  <c r="AA94" i="9"/>
  <c r="O94" i="9"/>
  <c r="I94" i="9"/>
  <c r="AA93" i="9"/>
  <c r="X93" i="9"/>
  <c r="W93" i="9"/>
  <c r="V93" i="9"/>
  <c r="T93" i="9"/>
  <c r="I93" i="9"/>
  <c r="AA92" i="9"/>
  <c r="U92" i="9"/>
  <c r="O92" i="9"/>
  <c r="I92" i="9"/>
  <c r="AA91" i="9"/>
  <c r="U91" i="9"/>
  <c r="I91" i="9"/>
  <c r="AA90" i="9"/>
  <c r="U90" i="9"/>
  <c r="O90" i="9"/>
  <c r="I90" i="9"/>
  <c r="AA89" i="9"/>
  <c r="U89" i="9"/>
  <c r="I89" i="9"/>
  <c r="AA88" i="9"/>
  <c r="U88" i="9"/>
  <c r="O88" i="9"/>
  <c r="I88" i="9"/>
  <c r="AA87" i="9"/>
  <c r="U87" i="9"/>
  <c r="I87" i="9"/>
  <c r="AA86" i="9"/>
  <c r="U86" i="9"/>
  <c r="O86" i="9"/>
  <c r="I86" i="9"/>
  <c r="AA85" i="9"/>
  <c r="U85" i="9"/>
  <c r="O85" i="9"/>
  <c r="I85" i="9"/>
  <c r="AA84" i="9"/>
  <c r="U84" i="9"/>
  <c r="O84" i="9"/>
  <c r="I84" i="9"/>
  <c r="AA83" i="9"/>
  <c r="U83" i="9"/>
  <c r="I83" i="9"/>
  <c r="AA82" i="9"/>
  <c r="U82" i="9"/>
  <c r="O82" i="9"/>
  <c r="I82" i="9"/>
  <c r="AA81" i="9"/>
  <c r="U81" i="9"/>
  <c r="O81" i="9"/>
  <c r="I81" i="9"/>
  <c r="AA80" i="9"/>
  <c r="U80" i="9"/>
  <c r="O80" i="9"/>
  <c r="I80" i="9"/>
  <c r="U79" i="9"/>
  <c r="O79" i="9"/>
  <c r="I79" i="9"/>
  <c r="AA78" i="9"/>
  <c r="U78" i="9"/>
  <c r="O78" i="9"/>
  <c r="I78" i="9"/>
  <c r="AA77" i="9"/>
  <c r="U77" i="9"/>
  <c r="O77" i="9"/>
  <c r="I77" i="9"/>
  <c r="AA76" i="9"/>
  <c r="U76" i="9"/>
  <c r="O76" i="9"/>
  <c r="I76" i="9"/>
  <c r="AA75" i="9"/>
  <c r="U75" i="9"/>
  <c r="O75" i="9"/>
  <c r="I75" i="9"/>
  <c r="AA74" i="9"/>
  <c r="U74" i="9"/>
  <c r="O74" i="9"/>
  <c r="I74" i="9"/>
  <c r="AA73" i="9"/>
  <c r="U73" i="9"/>
  <c r="O73" i="9"/>
  <c r="I73" i="9"/>
  <c r="AA72" i="9"/>
  <c r="U72" i="9"/>
  <c r="O72" i="9"/>
  <c r="I72" i="9"/>
  <c r="AA71" i="9"/>
  <c r="U71" i="9"/>
  <c r="O71" i="9"/>
  <c r="I71" i="9"/>
  <c r="AA70" i="9"/>
  <c r="U70" i="9"/>
  <c r="O70" i="9"/>
  <c r="I70" i="9"/>
  <c r="AA69" i="9"/>
  <c r="U69" i="9"/>
  <c r="O69" i="9"/>
  <c r="I69" i="9"/>
  <c r="AA68" i="9"/>
  <c r="U68" i="9"/>
  <c r="O68" i="9"/>
  <c r="I68" i="9"/>
  <c r="AA67" i="9"/>
  <c r="U67" i="9"/>
  <c r="O67" i="9"/>
  <c r="I67" i="9"/>
  <c r="AA66" i="9"/>
  <c r="U66" i="9"/>
  <c r="O66" i="9"/>
  <c r="I66" i="9"/>
  <c r="AA65" i="9"/>
  <c r="U65" i="9"/>
  <c r="O65" i="9"/>
  <c r="I65" i="9"/>
  <c r="AA64" i="9"/>
  <c r="O64" i="9"/>
  <c r="I64" i="9"/>
  <c r="AA63" i="9"/>
  <c r="O63" i="9"/>
  <c r="I63" i="9"/>
  <c r="AA62" i="9"/>
  <c r="O62" i="9"/>
  <c r="I62" i="9"/>
  <c r="AA61" i="9"/>
  <c r="X61" i="9"/>
  <c r="G8" i="9" s="1"/>
  <c r="W61" i="9"/>
  <c r="F8" i="9" s="1"/>
  <c r="V61" i="9"/>
  <c r="E8" i="9" s="1"/>
  <c r="T61" i="9"/>
  <c r="C8" i="9" s="1"/>
  <c r="O61" i="9"/>
  <c r="I61" i="9"/>
  <c r="AA60" i="9"/>
  <c r="U60" i="9"/>
  <c r="O60" i="9"/>
  <c r="I60" i="9"/>
  <c r="F60" i="9"/>
  <c r="G3" i="9" s="1"/>
  <c r="E60" i="9"/>
  <c r="F3" i="9" s="1"/>
  <c r="D60" i="9"/>
  <c r="E3" i="9" s="1"/>
  <c r="B60" i="9"/>
  <c r="C3" i="9" s="1"/>
  <c r="AA59" i="9"/>
  <c r="U59" i="9"/>
  <c r="O59" i="9"/>
  <c r="I59" i="9"/>
  <c r="C59" i="9"/>
  <c r="AA58" i="9"/>
  <c r="U58" i="9"/>
  <c r="O58" i="9"/>
  <c r="I58" i="9"/>
  <c r="C58" i="9"/>
  <c r="AA57" i="9"/>
  <c r="U57" i="9"/>
  <c r="O57" i="9"/>
  <c r="I57" i="9"/>
  <c r="C57" i="9"/>
  <c r="AA56" i="9"/>
  <c r="U56" i="9"/>
  <c r="O56" i="9"/>
  <c r="I56" i="9"/>
  <c r="C56" i="9"/>
  <c r="AA55" i="9"/>
  <c r="U55" i="9"/>
  <c r="O55" i="9"/>
  <c r="C55" i="9"/>
  <c r="AA54" i="9"/>
  <c r="U54" i="9"/>
  <c r="O54" i="9"/>
  <c r="C54" i="9"/>
  <c r="AA53" i="9"/>
  <c r="U53" i="9"/>
  <c r="O53" i="9"/>
  <c r="C53" i="9"/>
  <c r="AA52" i="9"/>
  <c r="U52" i="9"/>
  <c r="O52" i="9"/>
  <c r="L52" i="9"/>
  <c r="G4" i="9" s="1"/>
  <c r="K52" i="9"/>
  <c r="F4" i="9" s="1"/>
  <c r="J52" i="9"/>
  <c r="E4" i="9" s="1"/>
  <c r="H52" i="9"/>
  <c r="C4" i="9" s="1"/>
  <c r="C52" i="9"/>
  <c r="AA51" i="9"/>
  <c r="U51" i="9"/>
  <c r="O51" i="9"/>
  <c r="I51" i="9"/>
  <c r="C51" i="9"/>
  <c r="AA50" i="9"/>
  <c r="U50" i="9"/>
  <c r="O50" i="9"/>
  <c r="I50" i="9"/>
  <c r="C50" i="9"/>
  <c r="AA49" i="9"/>
  <c r="U49" i="9"/>
  <c r="O49" i="9"/>
  <c r="I49" i="9"/>
  <c r="C49" i="9"/>
  <c r="AA48" i="9"/>
  <c r="U48" i="9"/>
  <c r="O48" i="9"/>
  <c r="I48" i="9"/>
  <c r="C48" i="9"/>
  <c r="AA47" i="9"/>
  <c r="U47" i="9"/>
  <c r="O47" i="9"/>
  <c r="I47" i="9"/>
  <c r="C47" i="9"/>
  <c r="AA46" i="9"/>
  <c r="U46" i="9"/>
  <c r="O46" i="9"/>
  <c r="I46" i="9"/>
  <c r="C46" i="9"/>
  <c r="AA45" i="9"/>
  <c r="U45" i="9"/>
  <c r="O45" i="9"/>
  <c r="I45" i="9"/>
  <c r="C45" i="9"/>
  <c r="AA44" i="9"/>
  <c r="U44" i="9"/>
  <c r="O44" i="9"/>
  <c r="I44" i="9"/>
  <c r="C44" i="9"/>
  <c r="AA43" i="9"/>
  <c r="U43" i="9"/>
  <c r="O43" i="9"/>
  <c r="I43" i="9"/>
  <c r="C43" i="9"/>
  <c r="AA42" i="9"/>
  <c r="U42" i="9"/>
  <c r="O42" i="9"/>
  <c r="I42" i="9"/>
  <c r="C42" i="9"/>
  <c r="AA41" i="9"/>
  <c r="U41" i="9"/>
  <c r="O41" i="9"/>
  <c r="I41" i="9"/>
  <c r="C41" i="9"/>
  <c r="AA40" i="9"/>
  <c r="U40" i="9"/>
  <c r="O40" i="9"/>
  <c r="I40" i="9"/>
  <c r="C40" i="9"/>
  <c r="AA39" i="9"/>
  <c r="U39" i="9"/>
  <c r="O39" i="9"/>
  <c r="I39" i="9"/>
  <c r="C39" i="9"/>
  <c r="AA38" i="9"/>
  <c r="U38" i="9"/>
  <c r="O38" i="9"/>
  <c r="I38" i="9"/>
  <c r="C38" i="9"/>
  <c r="AA37" i="9"/>
  <c r="U37" i="9"/>
  <c r="O37" i="9"/>
  <c r="I37" i="9"/>
  <c r="C37" i="9"/>
  <c r="AA36" i="9"/>
  <c r="U36" i="9"/>
  <c r="O36" i="9"/>
  <c r="I36" i="9"/>
  <c r="C36" i="9"/>
  <c r="AA35" i="9"/>
  <c r="U35" i="9"/>
  <c r="O35" i="9"/>
  <c r="I35" i="9"/>
  <c r="C35" i="9"/>
  <c r="AA34" i="9"/>
  <c r="U34" i="9"/>
  <c r="O34" i="9"/>
  <c r="I34" i="9"/>
  <c r="C34" i="9"/>
  <c r="AA33" i="9"/>
  <c r="U33" i="9"/>
  <c r="O33" i="9"/>
  <c r="I33" i="9"/>
  <c r="C33" i="9"/>
  <c r="AA32" i="9"/>
  <c r="O32" i="9"/>
  <c r="I32" i="9"/>
  <c r="C32" i="9"/>
  <c r="AA31" i="9"/>
  <c r="O31" i="9"/>
  <c r="I31" i="9"/>
  <c r="C31" i="9"/>
  <c r="AO30" i="9"/>
  <c r="AN30" i="9"/>
  <c r="AM30" i="9"/>
  <c r="E10" i="9" s="1"/>
  <c r="AK30" i="9"/>
  <c r="C10" i="9" s="1"/>
  <c r="AA30" i="9"/>
  <c r="X30" i="9"/>
  <c r="G6" i="9" s="1"/>
  <c r="W30" i="9"/>
  <c r="F6" i="9" s="1"/>
  <c r="V30" i="9"/>
  <c r="E6" i="9" s="1"/>
  <c r="T30" i="9"/>
  <c r="C6" i="9" s="1"/>
  <c r="O30" i="9"/>
  <c r="I30" i="9"/>
  <c r="C30" i="9"/>
  <c r="AL29" i="9"/>
  <c r="AA29" i="9"/>
  <c r="U29" i="9"/>
  <c r="O29" i="9"/>
  <c r="I29" i="9"/>
  <c r="C29" i="9"/>
  <c r="AL28" i="9"/>
  <c r="AA28" i="9"/>
  <c r="U28" i="9"/>
  <c r="O28" i="9"/>
  <c r="I28" i="9"/>
  <c r="C28" i="9"/>
  <c r="AL27" i="9"/>
  <c r="AA27" i="9"/>
  <c r="U27" i="9"/>
  <c r="O27" i="9"/>
  <c r="I27" i="9"/>
  <c r="C27" i="9"/>
  <c r="AL26" i="9"/>
  <c r="AA26" i="9"/>
  <c r="U26" i="9"/>
  <c r="O26" i="9"/>
  <c r="I26" i="9"/>
  <c r="C26" i="9"/>
  <c r="AL25" i="9"/>
  <c r="AA25" i="9"/>
  <c r="U25" i="9"/>
  <c r="O25" i="9"/>
  <c r="I25" i="9"/>
  <c r="C25" i="9"/>
  <c r="AL24" i="9"/>
  <c r="AG24" i="9"/>
  <c r="AA24" i="9"/>
  <c r="U24" i="9"/>
  <c r="O24" i="9"/>
  <c r="I24" i="9"/>
  <c r="C24" i="9"/>
  <c r="AL23" i="9"/>
  <c r="AG23" i="9"/>
  <c r="AA23" i="9"/>
  <c r="U23" i="9"/>
  <c r="O23" i="9"/>
  <c r="I23" i="9"/>
  <c r="AL22" i="9"/>
  <c r="AG22" i="9"/>
  <c r="AA22" i="9"/>
  <c r="U22" i="9"/>
  <c r="O22" i="9"/>
  <c r="I22" i="9"/>
  <c r="C22" i="9"/>
  <c r="AL21" i="9"/>
  <c r="AG21" i="9"/>
  <c r="AA21" i="9"/>
  <c r="U21" i="9"/>
  <c r="O21" i="9"/>
  <c r="I21" i="9"/>
  <c r="C21" i="9"/>
  <c r="AL20" i="9"/>
  <c r="AG20" i="9"/>
  <c r="AA20" i="9"/>
  <c r="U20" i="9"/>
  <c r="O20" i="9"/>
  <c r="I20" i="9"/>
  <c r="C20" i="9"/>
  <c r="AL19" i="9"/>
  <c r="AG19" i="9"/>
  <c r="AA19" i="9"/>
  <c r="U19" i="9"/>
  <c r="O19" i="9"/>
  <c r="I19" i="9"/>
  <c r="C19" i="9"/>
  <c r="AL18" i="9"/>
  <c r="AG18" i="9"/>
  <c r="AA18" i="9"/>
  <c r="U18" i="9"/>
  <c r="O18" i="9"/>
  <c r="I18" i="9"/>
  <c r="C18" i="9"/>
  <c r="AL17" i="9"/>
  <c r="AG17" i="9"/>
  <c r="AA17" i="9"/>
  <c r="U17" i="9"/>
  <c r="O17" i="9"/>
  <c r="I17" i="9"/>
  <c r="C17" i="9"/>
  <c r="AL16" i="9"/>
  <c r="AG16" i="9"/>
  <c r="AA16" i="9"/>
  <c r="U16" i="9"/>
  <c r="I16" i="9"/>
  <c r="C16" i="9"/>
  <c r="AL15" i="9"/>
  <c r="AG15" i="9"/>
  <c r="AA15" i="9"/>
  <c r="U15" i="9"/>
  <c r="O15" i="9"/>
  <c r="I15" i="9"/>
  <c r="C15" i="9"/>
  <c r="D11" i="11" l="1"/>
  <c r="D12" i="10"/>
  <c r="E11" i="9"/>
  <c r="F11" i="9"/>
  <c r="C11" i="9"/>
  <c r="AD168" i="9"/>
  <c r="G7" i="9" s="1"/>
  <c r="I101" i="9"/>
  <c r="AL30" i="9"/>
  <c r="D10" i="9" s="1"/>
  <c r="U93" i="9"/>
  <c r="U61" i="9"/>
  <c r="AG25" i="9"/>
  <c r="D9" i="9" s="1"/>
  <c r="AA168" i="9"/>
  <c r="D7" i="9" s="1"/>
  <c r="U30" i="9"/>
  <c r="D6" i="9" s="1"/>
  <c r="O134" i="9"/>
  <c r="D5" i="9" s="1"/>
  <c r="I52" i="9"/>
  <c r="D4" i="9" s="1"/>
  <c r="C60" i="9"/>
  <c r="D3" i="9" s="1"/>
  <c r="D11" i="9" l="1"/>
</calcChain>
</file>

<file path=xl/sharedStrings.xml><?xml version="1.0" encoding="utf-8"?>
<sst xmlns="http://schemas.openxmlformats.org/spreadsheetml/2006/main" count="823" uniqueCount="47">
  <si>
    <t>IVA 21</t>
  </si>
  <si>
    <t>IVA 10,5</t>
  </si>
  <si>
    <t>COMISIONES</t>
  </si>
  <si>
    <t>Ret IIBB Caba</t>
  </si>
  <si>
    <t>PERC IVA</t>
  </si>
  <si>
    <r>
      <rPr>
        <b/>
        <u/>
        <sz val="11"/>
        <color theme="1"/>
        <rFont val="Calibri"/>
        <family val="2"/>
        <scheme val="minor"/>
      </rPr>
      <t>EJEMPLO</t>
    </r>
    <r>
      <rPr>
        <sz val="11"/>
        <color theme="1"/>
        <rFont val="Calibri"/>
        <family val="2"/>
        <scheme val="minor"/>
      </rPr>
      <t xml:space="preserve"> </t>
    </r>
  </si>
  <si>
    <t>Liquidacion VISA  (FRANCES)</t>
  </si>
  <si>
    <t>Liquidacion amex Credito</t>
  </si>
  <si>
    <t>CABAL</t>
  </si>
  <si>
    <t>RESUM BCO BBVA VISA 31/08 CREDITO</t>
  </si>
  <si>
    <t>FRANCES RESUMEN (31/09)</t>
  </si>
  <si>
    <t>GALICIA EXTRACTO (31/09)</t>
  </si>
  <si>
    <t>BBVA MASTERCARD CRED(31/09)</t>
  </si>
  <si>
    <t>BBVA - LIQ DEBITO (31/09)</t>
  </si>
  <si>
    <t>GALICIA CREDITO (31/09)</t>
  </si>
  <si>
    <t>RESUM BCO BBVA VISA 31/09(Nº RESUMEN 000017206766)</t>
  </si>
  <si>
    <t>Liquidacion amex Credito 18/1</t>
  </si>
  <si>
    <t>FRANCES RESUMEN (31/01)</t>
  </si>
  <si>
    <t>GALICIA EXTRACTO CC(31/01)</t>
  </si>
  <si>
    <t>BBVA - MAESTRO DEBITO</t>
  </si>
  <si>
    <t>BBVA MASTERCARD CRED(31/01)</t>
  </si>
  <si>
    <t>Liquidacion VISA  (FRANCES) 31-1</t>
  </si>
  <si>
    <t>RESUM BCO BBVA VISA 01/2 CREDITO</t>
  </si>
  <si>
    <t>GALICIA CREDITO (1/2)</t>
  </si>
  <si>
    <t>GALICIA EXTRACTO (31/03)</t>
  </si>
  <si>
    <t>listo</t>
  </si>
  <si>
    <t>CABAL 22/3</t>
  </si>
  <si>
    <t>BBVA - LIQ DEBITO (08/03)</t>
  </si>
  <si>
    <t>BBVA MASTERCARD CRED(27/03)</t>
  </si>
  <si>
    <t>Liquidacion VISA  (FRANCES) 31-3</t>
  </si>
  <si>
    <t>FRANCES extracto (27/03)</t>
  </si>
  <si>
    <t>RESUM BCO BBVA VISA 27/3CREDITO</t>
  </si>
  <si>
    <t>GALICIA CREDITO visa (30/09)</t>
  </si>
  <si>
    <t>Liq. VISA Frances</t>
  </si>
  <si>
    <t>SANTANDER</t>
  </si>
  <si>
    <t xml:space="preserve">BBVA CREDITO </t>
  </si>
  <si>
    <t>GALICIA - CREDITO</t>
  </si>
  <si>
    <t>EXTRACTO SANTANDER</t>
  </si>
  <si>
    <t>Extracto Santander</t>
  </si>
  <si>
    <t>BBVA VISA</t>
  </si>
  <si>
    <t>FRANCES VISA</t>
  </si>
  <si>
    <t>Tarjeta BBVA</t>
  </si>
  <si>
    <t>TARJETA BBVA</t>
  </si>
  <si>
    <t>VISA GALICIA</t>
  </si>
  <si>
    <t>EXTRACTO BBVA</t>
  </si>
  <si>
    <t>TARJETA CREDITO BBVA</t>
  </si>
  <si>
    <t>LIQ SANTANDER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</si>
</sst>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C0A]mmmm\-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4" fontId="0" fillId="0" borderId="0" xfId="0" applyNumberFormat="1"/>
    <xf numFmtId="39" fontId="0" fillId="0" borderId="0" xfId="0" applyNumberFormat="1"/>
    <xf numFmtId="43" fontId="0" fillId="0" borderId="0" xfId="1" applyFont="1"/>
    <xf numFmtId="39" fontId="3" fillId="3" borderId="0" xfId="0" applyNumberFormat="1" applyFont="1" applyFill="1"/>
    <xf numFmtId="0" fontId="0" fillId="0" borderId="0" xfId="0" applyAlignment="1">
      <alignment horizontal="center"/>
    </xf>
    <xf numFmtId="0" fontId="0" fillId="5" borderId="0" xfId="0" applyFill="1"/>
    <xf numFmtId="39" fontId="0" fillId="5" borderId="0" xfId="0" applyNumberFormat="1" applyFill="1" applyAlignment="1">
      <alignment horizontal="center"/>
    </xf>
    <xf numFmtId="39" fontId="0" fillId="5" borderId="0" xfId="0" applyNumberForma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43" fontId="0" fillId="0" borderId="1" xfId="1" applyFont="1" applyBorder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39" fontId="0" fillId="0" borderId="2" xfId="0" applyNumberFormat="1" applyBorder="1"/>
    <xf numFmtId="0" fontId="6" fillId="4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39" fontId="8" fillId="3" borderId="0" xfId="0" applyNumberFormat="1" applyFont="1" applyFill="1"/>
    <xf numFmtId="43" fontId="9" fillId="0" borderId="1" xfId="1" applyFont="1" applyBorder="1"/>
    <xf numFmtId="43" fontId="0" fillId="0" borderId="0" xfId="0" applyNumberFormat="1"/>
    <xf numFmtId="39" fontId="10" fillId="3" borderId="0" xfId="0" applyNumberFormat="1" applyFont="1" applyFill="1"/>
    <xf numFmtId="43" fontId="11" fillId="0" borderId="1" xfId="1" applyFont="1" applyBorder="1"/>
    <xf numFmtId="43" fontId="12" fillId="0" borderId="1" xfId="1" applyFont="1" applyBorder="1"/>
    <xf numFmtId="43" fontId="12" fillId="0" borderId="0" xfId="1" applyFont="1" applyBorder="1"/>
    <xf numFmtId="39" fontId="13" fillId="3" borderId="0" xfId="0" applyNumberFormat="1" applyFont="1" applyFill="1"/>
    <xf numFmtId="0" fontId="1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39" fontId="1" fillId="5" borderId="0" xfId="0" applyNumberFormat="1" applyFont="1" applyFill="1" applyAlignment="1">
      <alignment horizontal="center"/>
    </xf>
    <xf numFmtId="0" fontId="1" fillId="5" borderId="3" xfId="0" applyFont="1" applyFill="1" applyBorder="1"/>
    <xf numFmtId="43" fontId="0" fillId="0" borderId="1" xfId="1" applyFont="1" applyFill="1" applyBorder="1"/>
    <xf numFmtId="43" fontId="11" fillId="0" borderId="1" xfId="1" applyFont="1" applyFill="1" applyBorder="1"/>
    <xf numFmtId="43" fontId="0" fillId="0" borderId="6" xfId="1" applyFont="1" applyBorder="1"/>
    <xf numFmtId="39" fontId="0" fillId="0" borderId="3" xfId="0" applyNumberFormat="1" applyBorder="1"/>
    <xf numFmtId="0" fontId="0" fillId="0" borderId="4" xfId="0" applyBorder="1"/>
    <xf numFmtId="43" fontId="0" fillId="0" borderId="4" xfId="1" applyFont="1" applyBorder="1" applyAlignment="1"/>
    <xf numFmtId="3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164" fontId="4" fillId="6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39" fontId="0" fillId="0" borderId="4" xfId="0" applyNumberFormat="1" applyBorder="1" applyAlignment="1">
      <alignment horizontal="center"/>
    </xf>
    <xf numFmtId="39" fontId="1" fillId="5" borderId="5" xfId="0" applyNumberFormat="1" applyFont="1" applyFill="1" applyBorder="1" applyAlignment="1">
      <alignment horizontal="center"/>
    </xf>
    <xf numFmtId="39" fontId="0" fillId="8" borderId="2" xfId="0" applyNumberFormat="1" applyFill="1" applyBorder="1"/>
    <xf numFmtId="43" fontId="14" fillId="0" borderId="1" xfId="1" applyNumberFormat="1" applyFont="1" applyBorder="1"/>
  </cellXfs>
  <cellStyles count="2">
    <cellStyle name="Millares" xfId="1" builtinId="3"/>
    <cellStyle name="Normal" xfId="0" builtinId="0"/>
  </cellStyles>
  <dxfs count="150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7" formatCode="#,##0.00;\-#,##0.00"/>
    </dxf>
    <dxf>
      <numFmt numFmtId="7" formatCode="#,##0.00;\-#,##0.00"/>
    </dxf>
    <dxf>
      <numFmt numFmtId="7" formatCode="#,##0.00;\-#,##0.00"/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7" formatCode="#,##0.00;\-#,##0.00"/>
    </dxf>
    <dxf>
      <numFmt numFmtId="7" formatCode="#,##0.00;\-#,##0.00"/>
    </dxf>
    <dxf>
      <numFmt numFmtId="7" formatCode="#,##0.00;\-#,##0.00"/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161192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4084" y="480265"/>
          <a:ext cx="5144233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161192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73D068-B0F2-4AC4-9BC0-D4B886C32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3234" y="477090"/>
          <a:ext cx="5229958" cy="9630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161192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36BDA0-F6F4-4A89-8C43-A22B28DA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3234" y="477090"/>
          <a:ext cx="5229958" cy="9630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18317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5EB627-DAE8-4EF9-971D-69FA3BAE7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4184" y="480265"/>
          <a:ext cx="5144233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18318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32EC05-4E85-47B9-84B7-B86940EC9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9434" y="480265"/>
          <a:ext cx="5144233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18318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0A3058-7B0C-43BE-A666-D2F4C67F5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6109" y="480265"/>
          <a:ext cx="5144234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18318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2849E8-19F8-421B-9732-1D9127C73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6109" y="480265"/>
          <a:ext cx="5144234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18318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CFBF31-1983-4BC3-A36B-D7F087D5C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6109" y="480265"/>
          <a:ext cx="5144234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18318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4ECA0E-717D-4D92-9E1F-35C536461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6109" y="480265"/>
          <a:ext cx="5144234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15</xdr:col>
      <xdr:colOff>722339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FCA185-2832-4451-99A7-FDB64D4A1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9934" y="594565"/>
          <a:ext cx="5144234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18318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591D08-7A7E-49AB-A649-553D2BD1E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6109" y="480265"/>
          <a:ext cx="5144234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15</xdr:col>
      <xdr:colOff>722339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575FA1-9924-49F5-9923-8FBF4A55A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9934" y="594565"/>
          <a:ext cx="5143405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0000000}" name="Tabla13162432" displayName="Tabla13162432" ref="B14:F60" totalsRowCount="1" headerRowDxfId="1499" totalsRowDxfId="1498">
  <autoFilter ref="B14:F59" xr:uid="{00000000-0009-0000-0100-00001F000000}"/>
  <tableColumns count="5">
    <tableColumn id="1" xr3:uid="{00000000-0010-0000-0000-000001000000}" name="COMISIONES" totalsRowFunction="sum" dataDxfId="1497" totalsRowDxfId="1496"/>
    <tableColumn id="2" xr3:uid="{00000000-0010-0000-0000-000002000000}" name="IVA 21" totalsRowFunction="sum" dataDxfId="1495" totalsRowDxfId="1494">
      <calculatedColumnFormula>Tabla13162432[[#This Row],[COMISIONES]]*0.21</calculatedColumnFormula>
    </tableColumn>
    <tableColumn id="3" xr3:uid="{00000000-0010-0000-0000-000003000000}" name="IVA 10,5" totalsRowFunction="sum" dataDxfId="1493" totalsRowDxfId="1492"/>
    <tableColumn id="4" xr3:uid="{00000000-0010-0000-0000-000004000000}" name="Ret IIBB Caba" totalsRowFunction="sum" dataDxfId="1491" totalsRowDxfId="1490"/>
    <tableColumn id="5" xr3:uid="{00000000-0010-0000-0000-000005000000}" name="PERC IVA" totalsRowFunction="sum" totalsRowDxfId="148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1000000}" name="Tabla39172535" displayName="Tabla39172535" ref="H14:L52" totalsRowCount="1" headerRowDxfId="1488" dataDxfId="1487" totalsRowDxfId="1485" tableBorderDxfId="1486" dataCellStyle="Millares">
  <autoFilter ref="H14:L51" xr:uid="{00000000-0009-0000-0100-000022000000}"/>
  <tableColumns count="5">
    <tableColumn id="1" xr3:uid="{00000000-0010-0000-0100-000001000000}" name="COMISIONES" totalsRowFunction="sum" dataDxfId="1484" totalsRowDxfId="1483" dataCellStyle="Millares"/>
    <tableColumn id="2" xr3:uid="{00000000-0010-0000-0100-000002000000}" name="IVA 21" totalsRowFunction="sum" dataDxfId="1482" totalsRowDxfId="1481" dataCellStyle="Millares">
      <calculatedColumnFormula>Tabla39172535[[#This Row],[COMISIONES]]*0.21</calculatedColumnFormula>
    </tableColumn>
    <tableColumn id="3" xr3:uid="{00000000-0010-0000-0100-000003000000}" name="IVA 10,5" totalsRowFunction="sum" dataDxfId="1480" totalsRowDxfId="1479" dataCellStyle="Millares"/>
    <tableColumn id="4" xr3:uid="{00000000-0010-0000-0100-000004000000}" name="Ret IIBB Caba" totalsRowFunction="sum" dataDxfId="1478" totalsRowDxfId="1477" dataCellStyle="Millares"/>
    <tableColumn id="5" xr3:uid="{00000000-0010-0000-0100-000005000000}" name="PERC IVA" totalsRowFunction="sum" dataDxfId="1476" totalsRowDxfId="1475" dataCellStyle="Millar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2000000}" name="Tabla3510182636" displayName="Tabla3510182636" ref="N14:R134" totalsRowCount="1" headerRowDxfId="1474" dataDxfId="1473" totalsRowDxfId="1471" tableBorderDxfId="1472" dataCellStyle="Millares">
  <autoFilter ref="N14:R133" xr:uid="{00000000-0009-0000-0100-000023000000}"/>
  <tableColumns count="5">
    <tableColumn id="1" xr3:uid="{00000000-0010-0000-0200-000001000000}" name="COMISIONES" totalsRowFunction="sum" dataDxfId="1470" totalsRowDxfId="1469" dataCellStyle="Millares"/>
    <tableColumn id="2" xr3:uid="{00000000-0010-0000-0200-000002000000}" name="IVA 21" totalsRowFunction="sum" dataDxfId="1468" totalsRowDxfId="1467" dataCellStyle="Millares">
      <calculatedColumnFormula>Tabla3510182636[[#This Row],[COMISIONES]]*0.21</calculatedColumnFormula>
    </tableColumn>
    <tableColumn id="3" xr3:uid="{00000000-0010-0000-0200-000003000000}" name="IVA 10,5" totalsRowFunction="sum" dataDxfId="1466" totalsRowDxfId="1465" dataCellStyle="Millares"/>
    <tableColumn id="4" xr3:uid="{00000000-0010-0000-0200-000004000000}" name="Ret IIBB Caba" totalsRowFunction="sum" dataDxfId="1464" totalsRowDxfId="1463" dataCellStyle="Millares"/>
    <tableColumn id="5" xr3:uid="{00000000-0010-0000-0200-000005000000}" name="PERC IVA" totalsRowFunction="sum" dataDxfId="1462" totalsRowDxfId="1461" dataCellStyle="Millare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3000000}" name="Tabla35611192737" displayName="Tabla35611192737" ref="T14:X30" totalsRowCount="1" headerRowDxfId="1460" dataDxfId="1459" totalsRowDxfId="1457" tableBorderDxfId="1458" dataCellStyle="Millares">
  <autoFilter ref="T14:X29" xr:uid="{00000000-0009-0000-0100-000024000000}"/>
  <tableColumns count="5">
    <tableColumn id="1" xr3:uid="{00000000-0010-0000-0300-000001000000}" name="COMISIONES" totalsRowFunction="sum" dataDxfId="1456" totalsRowDxfId="1455" dataCellStyle="Millares"/>
    <tableColumn id="2" xr3:uid="{00000000-0010-0000-0300-000002000000}" name="IVA 21" totalsRowFunction="sum" dataDxfId="1454" totalsRowDxfId="1453" dataCellStyle="Millares">
      <calculatedColumnFormula>Tabla35611192737[[#This Row],[COMISIONES]]*0.21</calculatedColumnFormula>
    </tableColumn>
    <tableColumn id="3" xr3:uid="{00000000-0010-0000-0300-000003000000}" name="IVA 10,5" totalsRowFunction="sum" dataDxfId="1452" totalsRowDxfId="1451" dataCellStyle="Millares"/>
    <tableColumn id="4" xr3:uid="{00000000-0010-0000-0300-000004000000}" name="Ret IIBB Caba" totalsRowFunction="sum" dataDxfId="1450" totalsRowDxfId="1449" dataCellStyle="Millares"/>
    <tableColumn id="5" xr3:uid="{00000000-0010-0000-0300-000005000000}" name="PERC IVA" totalsRowFunction="sum" dataDxfId="1448" totalsRowDxfId="1447" dataCellStyle="Millare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4000000}" name="Tabla612202838" displayName="Tabla612202838" ref="T32:X61" totalsRowCount="1" headerRowDxfId="1446" totalsRowDxfId="1445">
  <autoFilter ref="T32:X60" xr:uid="{00000000-0009-0000-0100-000025000000}"/>
  <tableColumns count="5">
    <tableColumn id="1" xr3:uid="{00000000-0010-0000-0400-000001000000}" name="COMISIONES" totalsRowFunction="sum" totalsRowDxfId="1444"/>
    <tableColumn id="2" xr3:uid="{00000000-0010-0000-0400-000002000000}" name="IVA 21" totalsRowFunction="sum" dataDxfId="1443" totalsRowDxfId="1442">
      <calculatedColumnFormula>Tabla612202838[[#This Row],[COMISIONES]]*0.21</calculatedColumnFormula>
    </tableColumn>
    <tableColumn id="3" xr3:uid="{00000000-0010-0000-0400-000003000000}" name="IVA 10,5" totalsRowFunction="sum" totalsRowDxfId="1441"/>
    <tableColumn id="4" xr3:uid="{00000000-0010-0000-0400-000004000000}" name="Ret IIBB Caba" totalsRowFunction="sum" totalsRowDxfId="1440"/>
    <tableColumn id="5" xr3:uid="{00000000-0010-0000-0400-000005000000}" name="PERC IVA" totalsRowFunction="sum" totalsRowDxfId="1439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5000000}" name="Tabla356813212939" displayName="Tabla356813212939" ref="Z14:AD168" totalsRowCount="1" headerRowDxfId="1438" dataDxfId="1437" totalsRowDxfId="1435" tableBorderDxfId="1436" dataCellStyle="Millares">
  <autoFilter ref="Z14:AD167" xr:uid="{00000000-0009-0000-0100-000026000000}"/>
  <tableColumns count="5">
    <tableColumn id="1" xr3:uid="{00000000-0010-0000-0500-000001000000}" name="COMISIONES" totalsRowFunction="sum" dataDxfId="1434" totalsRowDxfId="1433" dataCellStyle="Millares"/>
    <tableColumn id="2" xr3:uid="{00000000-0010-0000-0500-000002000000}" name="IVA 21" totalsRowFunction="sum" dataDxfId="1432" totalsRowDxfId="1431" dataCellStyle="Millares">
      <calculatedColumnFormula>Tabla356813212939[[#This Row],[COMISIONES]]*0.21</calculatedColumnFormula>
    </tableColumn>
    <tableColumn id="3" xr3:uid="{00000000-0010-0000-0500-000003000000}" name="IVA 10,5" totalsRowFunction="sum" dataDxfId="1430" totalsRowDxfId="1429" dataCellStyle="Millares"/>
    <tableColumn id="4" xr3:uid="{00000000-0010-0000-0500-000004000000}" name="Ret IIBB Caba" totalsRowFunction="sum" dataDxfId="1428" totalsRowDxfId="1427" dataCellStyle="Millares"/>
    <tableColumn id="5" xr3:uid="{00000000-0010-0000-0500-000005000000}" name="PERC IVA" totalsRowFunction="sum" dataDxfId="1426" totalsRowDxfId="1425" dataCellStyle="Millares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6000000}" name="Tabla35681314223040" displayName="Tabla35681314223040" ref="AF14:AJ25" totalsRowCount="1" headerRowDxfId="1424" dataDxfId="1423" totalsRowDxfId="1421" tableBorderDxfId="1422" dataCellStyle="Millares">
  <autoFilter ref="AF14:AJ24" xr:uid="{00000000-0009-0000-0100-000027000000}"/>
  <tableColumns count="5">
    <tableColumn id="1" xr3:uid="{00000000-0010-0000-0600-000001000000}" name="COMISIONES" totalsRowFunction="sum" dataDxfId="1420" totalsRowDxfId="1419" dataCellStyle="Millares"/>
    <tableColumn id="2" xr3:uid="{00000000-0010-0000-0600-000002000000}" name="IVA 21" totalsRowFunction="sum" dataDxfId="1418" totalsRowDxfId="1417" dataCellStyle="Millares">
      <calculatedColumnFormula>Tabla35681314223040[[#This Row],[COMISIONES]]*0.21</calculatedColumnFormula>
    </tableColumn>
    <tableColumn id="3" xr3:uid="{00000000-0010-0000-0600-000003000000}" name="IVA 10,5" totalsRowFunction="sum" dataDxfId="1416" totalsRowDxfId="1415" dataCellStyle="Millares"/>
    <tableColumn id="4" xr3:uid="{00000000-0010-0000-0600-000004000000}" name="Ret IIBB Caba" totalsRowFunction="sum" dataDxfId="1414" totalsRowDxfId="1413" dataCellStyle="Millares"/>
    <tableColumn id="5" xr3:uid="{00000000-0010-0000-0600-000005000000}" name="PERC IVA" totalsRowFunction="sum" dataDxfId="1412" totalsRowDxfId="1411" dataCellStyle="Millares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07000000}" name="Tabla3915233141" displayName="Tabla3915233141" ref="H54:L101" totalsRowCount="1" headerRowDxfId="1410" dataDxfId="1409" totalsRowDxfId="1407" tableBorderDxfId="1408" dataCellStyle="Millares">
  <autoFilter ref="H54:L100" xr:uid="{00000000-0009-0000-0100-000028000000}"/>
  <tableColumns count="5">
    <tableColumn id="1" xr3:uid="{00000000-0010-0000-0700-000001000000}" name="COMISIONES" totalsRowFunction="sum" dataDxfId="1406" totalsRowDxfId="1405" dataCellStyle="Millares"/>
    <tableColumn id="2" xr3:uid="{00000000-0010-0000-0700-000002000000}" name="IVA 21" totalsRowFunction="sum" dataDxfId="1404" totalsRowDxfId="1403" dataCellStyle="Millares">
      <calculatedColumnFormula>Tabla3915233141[[#This Row],[COMISIONES]]*0.21</calculatedColumnFormula>
    </tableColumn>
    <tableColumn id="3" xr3:uid="{00000000-0010-0000-0700-000003000000}" name="IVA 10,5" totalsRowFunction="sum" dataDxfId="1402" totalsRowDxfId="1401" dataCellStyle="Millares"/>
    <tableColumn id="4" xr3:uid="{00000000-0010-0000-0700-000004000000}" name="Ret IIBB Caba" totalsRowFunction="sum" dataDxfId="1400" totalsRowDxfId="1399" dataCellStyle="Millares"/>
    <tableColumn id="5" xr3:uid="{00000000-0010-0000-0700-000005000000}" name="PERC IVA" totalsRowFunction="sum" dataDxfId="1398" totalsRowDxfId="1397" dataCellStyle="Millares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08000000}" name="Tabla61220283342" displayName="Tabla61220283342" ref="T64:X93" totalsRowCount="1" headerRowDxfId="1396" totalsRowDxfId="1395">
  <autoFilter ref="T64:X92" xr:uid="{00000000-0009-0000-0100-000029000000}"/>
  <tableColumns count="5">
    <tableColumn id="1" xr3:uid="{00000000-0010-0000-0800-000001000000}" name="COMISIONES" totalsRowFunction="sum" totalsRowDxfId="1394"/>
    <tableColumn id="2" xr3:uid="{00000000-0010-0000-0800-000002000000}" name="IVA 21" totalsRowFunction="sum" dataDxfId="1393" totalsRowDxfId="1392">
      <calculatedColumnFormula>Tabla61220283342[[#This Row],[COMISIONES]]*0.21</calculatedColumnFormula>
    </tableColumn>
    <tableColumn id="3" xr3:uid="{00000000-0010-0000-0800-000003000000}" name="IVA 10,5" totalsRowFunction="sum" totalsRowDxfId="1391"/>
    <tableColumn id="4" xr3:uid="{00000000-0010-0000-0800-000004000000}" name="Ret IIBB Caba" totalsRowFunction="sum" totalsRowDxfId="1390"/>
    <tableColumn id="5" xr3:uid="{00000000-0010-0000-0800-000005000000}" name="PERC IVA" totalsRowFunction="sum" totalsRowDxfId="1389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09000000}" name="Tabla3561119273443" displayName="Tabla3561119273443" ref="AK14:AO30" totalsRowCount="1" headerRowDxfId="1388" dataDxfId="1387" totalsRowDxfId="1385" tableBorderDxfId="1386" dataCellStyle="Millares">
  <autoFilter ref="AK14:AO29" xr:uid="{00000000-0009-0000-0100-00002A000000}"/>
  <tableColumns count="5">
    <tableColumn id="1" xr3:uid="{00000000-0010-0000-0900-000001000000}" name="COMISIONES" totalsRowFunction="sum" dataDxfId="1384" totalsRowDxfId="1383" dataCellStyle="Millares"/>
    <tableColumn id="2" xr3:uid="{00000000-0010-0000-0900-000002000000}" name="IVA 21" totalsRowFunction="sum" dataDxfId="1382" totalsRowDxfId="1381" dataCellStyle="Millares">
      <calculatedColumnFormula>Tabla3561119273443[[#This Row],[COMISIONES]]*0.21</calculatedColumnFormula>
    </tableColumn>
    <tableColumn id="3" xr3:uid="{00000000-0010-0000-0900-000003000000}" name="IVA 10,5" totalsRowFunction="sum" dataDxfId="1380" totalsRowDxfId="1379" dataCellStyle="Millares"/>
    <tableColumn id="4" xr3:uid="{00000000-0010-0000-0900-000004000000}" name="Ret IIBB Caba" totalsRowFunction="sum" dataDxfId="1378" totalsRowDxfId="1377" dataCellStyle="Millares"/>
    <tableColumn id="5" xr3:uid="{00000000-0010-0000-0900-000005000000}" name="PERC IVA" totalsRowFunction="sum" dataDxfId="1376" totalsRowDxfId="1375" dataCellStyle="Millares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A000000}" name="Tabla131624322" displayName="Tabla131624322" ref="B15:F61" totalsRowCount="1" headerRowDxfId="1374" totalsRowDxfId="1373">
  <autoFilter ref="B15:F60" xr:uid="{00000000-0009-0000-0100-000001000000}"/>
  <tableColumns count="5">
    <tableColumn id="1" xr3:uid="{00000000-0010-0000-0A00-000001000000}" name="COMISIONES" totalsRowFunction="sum" dataDxfId="1372" totalsRowDxfId="1371"/>
    <tableColumn id="2" xr3:uid="{00000000-0010-0000-0A00-000002000000}" name="IVA 21" totalsRowFunction="sum" dataDxfId="1370" totalsRowDxfId="1369">
      <calculatedColumnFormula>Tabla131624322[[#This Row],[COMISIONES]]*0.21</calculatedColumnFormula>
    </tableColumn>
    <tableColumn id="3" xr3:uid="{00000000-0010-0000-0A00-000003000000}" name="IVA 10,5" totalsRowFunction="sum" dataDxfId="1368" totalsRowDxfId="1367"/>
    <tableColumn id="4" xr3:uid="{00000000-0010-0000-0A00-000004000000}" name="Ret IIBB Caba" totalsRowFunction="sum" dataDxfId="1366" totalsRowDxfId="1365"/>
    <tableColumn id="5" xr3:uid="{00000000-0010-0000-0A00-000005000000}" name="PERC IVA" totalsRowFunction="sum" totalsRowDxfId="1364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391725353" displayName="Tabla391725353" ref="H15:L53" totalsRowCount="1" headerRowDxfId="1363" dataDxfId="1362" totalsRowDxfId="1360" tableBorderDxfId="1361" dataCellStyle="Millares">
  <autoFilter ref="H15:L52" xr:uid="{00000000-0009-0000-0100-000002000000}"/>
  <tableColumns count="5">
    <tableColumn id="1" xr3:uid="{00000000-0010-0000-0B00-000001000000}" name="COMISIONES" totalsRowFunction="sum" dataDxfId="1359" totalsRowDxfId="1358" dataCellStyle="Millares"/>
    <tableColumn id="2" xr3:uid="{00000000-0010-0000-0B00-000002000000}" name="IVA 21" totalsRowFunction="sum" dataDxfId="1357" totalsRowDxfId="1356" dataCellStyle="Millares">
      <calculatedColumnFormula>Tabla391725353[[#This Row],[COMISIONES]]*0.21</calculatedColumnFormula>
    </tableColumn>
    <tableColumn id="3" xr3:uid="{00000000-0010-0000-0B00-000003000000}" name="IVA 10,5" totalsRowFunction="sum" dataDxfId="1355" totalsRowDxfId="1354" dataCellStyle="Millares"/>
    <tableColumn id="4" xr3:uid="{00000000-0010-0000-0B00-000004000000}" name="Ret IIBB Caba" totalsRowFunction="sum" dataDxfId="1353" totalsRowDxfId="1352" dataCellStyle="Millares"/>
    <tableColumn id="5" xr3:uid="{00000000-0010-0000-0B00-000005000000}" name="PERC IVA" totalsRowFunction="sum" dataDxfId="1351" totalsRowDxfId="1350" dataCellStyle="Millares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C000000}" name="Tabla35101826364" displayName="Tabla35101826364" ref="N15:R135" totalsRowCount="1" headerRowDxfId="1349" dataDxfId="1348" totalsRowDxfId="1346" tableBorderDxfId="1347" dataCellStyle="Millares">
  <autoFilter ref="N15:R134" xr:uid="{00000000-0009-0000-0100-000003000000}"/>
  <tableColumns count="5">
    <tableColumn id="1" xr3:uid="{00000000-0010-0000-0C00-000001000000}" name="COMISIONES" totalsRowFunction="sum" dataDxfId="1345" totalsRowDxfId="1344" dataCellStyle="Millares"/>
    <tableColumn id="2" xr3:uid="{00000000-0010-0000-0C00-000002000000}" name="IVA 21" totalsRowFunction="sum" dataDxfId="1343" totalsRowDxfId="1342" dataCellStyle="Millares">
      <calculatedColumnFormula>Tabla35101826364[[#This Row],[COMISIONES]]*0.21</calculatedColumnFormula>
    </tableColumn>
    <tableColumn id="3" xr3:uid="{00000000-0010-0000-0C00-000003000000}" name="IVA 10,5" totalsRowFunction="sum" dataDxfId="1341" totalsRowDxfId="1340" dataCellStyle="Millares"/>
    <tableColumn id="4" xr3:uid="{00000000-0010-0000-0C00-000004000000}" name="Ret IIBB Caba" totalsRowFunction="sum" dataDxfId="1339" totalsRowDxfId="1338" dataCellStyle="Millares"/>
    <tableColumn id="5" xr3:uid="{00000000-0010-0000-0C00-000005000000}" name="PERC IVA" totalsRowFunction="sum" dataDxfId="1337" totalsRowDxfId="1336" dataCellStyle="Millares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356111927375" displayName="Tabla356111927375" ref="T15:X31" totalsRowCount="1" headerRowDxfId="1335" dataDxfId="1334" totalsRowDxfId="1332" tableBorderDxfId="1333" dataCellStyle="Millares">
  <autoFilter ref="T15:X30" xr:uid="{00000000-0009-0000-0100-000004000000}"/>
  <tableColumns count="5">
    <tableColumn id="1" xr3:uid="{00000000-0010-0000-0D00-000001000000}" name="COMISIONES" totalsRowFunction="sum" dataDxfId="1331" totalsRowDxfId="1330" dataCellStyle="Millares"/>
    <tableColumn id="2" xr3:uid="{00000000-0010-0000-0D00-000002000000}" name="IVA 21" totalsRowFunction="sum" dataDxfId="1329" totalsRowDxfId="1328" dataCellStyle="Millares">
      <calculatedColumnFormula>Tabla356111927375[[#This Row],[COMISIONES]]*0.21</calculatedColumnFormula>
    </tableColumn>
    <tableColumn id="3" xr3:uid="{00000000-0010-0000-0D00-000003000000}" name="IVA 10,5" totalsRowFunction="sum" dataDxfId="1327" totalsRowDxfId="1326" dataCellStyle="Millares"/>
    <tableColumn id="4" xr3:uid="{00000000-0010-0000-0D00-000004000000}" name="Ret IIBB Caba" totalsRowFunction="sum" dataDxfId="1325" totalsRowDxfId="1324" dataCellStyle="Millares"/>
    <tableColumn id="5" xr3:uid="{00000000-0010-0000-0D00-000005000000}" name="PERC IVA" totalsRowFunction="sum" dataDxfId="1323" totalsRowDxfId="1322" dataCellStyle="Millares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E000000}" name="Tabla6122028386" displayName="Tabla6122028386" ref="T33:X62" totalsRowCount="1" headerRowDxfId="1321" totalsRowDxfId="1320">
  <autoFilter ref="T33:X61" xr:uid="{00000000-0009-0000-0100-000005000000}"/>
  <tableColumns count="5">
    <tableColumn id="1" xr3:uid="{00000000-0010-0000-0E00-000001000000}" name="COMISIONES" totalsRowFunction="sum" totalsRowDxfId="1319"/>
    <tableColumn id="2" xr3:uid="{00000000-0010-0000-0E00-000002000000}" name="IVA 21" totalsRowFunction="sum" dataDxfId="1318" totalsRowDxfId="1317">
      <calculatedColumnFormula>Tabla6122028386[[#This Row],[COMISIONES]]*0.21</calculatedColumnFormula>
    </tableColumn>
    <tableColumn id="3" xr3:uid="{00000000-0010-0000-0E00-000003000000}" name="IVA 10,5" totalsRowFunction="sum" totalsRowDxfId="1316"/>
    <tableColumn id="4" xr3:uid="{00000000-0010-0000-0E00-000004000000}" name="Ret IIBB Caba" totalsRowFunction="sum" totalsRowDxfId="1315"/>
    <tableColumn id="5" xr3:uid="{00000000-0010-0000-0E00-000005000000}" name="PERC IVA" totalsRowFunction="sum" totalsRowDxfId="1314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F000000}" name="Tabla3568132129397" displayName="Tabla3568132129397" ref="Z15:AD169" totalsRowCount="1" headerRowDxfId="1313" dataDxfId="1312" totalsRowDxfId="1310" tableBorderDxfId="1311" dataCellStyle="Millares">
  <autoFilter ref="Z15:AD168" xr:uid="{00000000-0009-0000-0100-000006000000}"/>
  <tableColumns count="5">
    <tableColumn id="1" xr3:uid="{00000000-0010-0000-0F00-000001000000}" name="COMISIONES" totalsRowFunction="sum" dataDxfId="1309" totalsRowDxfId="1308" dataCellStyle="Millares"/>
    <tableColumn id="2" xr3:uid="{00000000-0010-0000-0F00-000002000000}" name="IVA 21" totalsRowFunction="sum" dataDxfId="1307" totalsRowDxfId="1306" dataCellStyle="Millares">
      <calculatedColumnFormula>Tabla3568132129397[[#This Row],[COMISIONES]]*0.21</calculatedColumnFormula>
    </tableColumn>
    <tableColumn id="3" xr3:uid="{00000000-0010-0000-0F00-000003000000}" name="IVA 10,5" totalsRowFunction="sum" dataDxfId="1305" totalsRowDxfId="1304" dataCellStyle="Millares"/>
    <tableColumn id="4" xr3:uid="{00000000-0010-0000-0F00-000004000000}" name="Ret IIBB Caba" totalsRowFunction="sum" dataDxfId="1303" totalsRowDxfId="1302" dataCellStyle="Millares"/>
    <tableColumn id="5" xr3:uid="{00000000-0010-0000-0F00-000005000000}" name="PERC IVA" totalsRowFunction="sum" dataDxfId="1301" totalsRowDxfId="1300" dataCellStyle="Millares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0000000}" name="Tabla356813142230408" displayName="Tabla356813142230408" ref="AF15:AJ26" totalsRowCount="1" headerRowDxfId="1299" dataDxfId="1298" totalsRowDxfId="1296" tableBorderDxfId="1297" dataCellStyle="Millares">
  <autoFilter ref="AF15:AJ25" xr:uid="{00000000-0009-0000-0100-000007000000}"/>
  <tableColumns count="5">
    <tableColumn id="1" xr3:uid="{00000000-0010-0000-1000-000001000000}" name="COMISIONES" totalsRowFunction="sum" dataDxfId="1295" totalsRowDxfId="1294" dataCellStyle="Millares"/>
    <tableColumn id="2" xr3:uid="{00000000-0010-0000-1000-000002000000}" name="IVA 21" totalsRowFunction="sum" dataDxfId="1293" totalsRowDxfId="1292" dataCellStyle="Millares">
      <calculatedColumnFormula>Tabla356813142230408[[#This Row],[COMISIONES]]*0.21</calculatedColumnFormula>
    </tableColumn>
    <tableColumn id="3" xr3:uid="{00000000-0010-0000-1000-000003000000}" name="IVA 10,5" totalsRowFunction="sum" dataDxfId="1291" totalsRowDxfId="1290" dataCellStyle="Millares"/>
    <tableColumn id="4" xr3:uid="{00000000-0010-0000-1000-000004000000}" name="Ret IIBB Caba" totalsRowFunction="sum" dataDxfId="1289" totalsRowDxfId="1288" dataCellStyle="Millares"/>
    <tableColumn id="5" xr3:uid="{00000000-0010-0000-1000-000005000000}" name="PERC IVA" totalsRowFunction="sum" dataDxfId="1287" totalsRowDxfId="1286" dataCellStyle="Millares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1000000}" name="Tabla39152331419" displayName="Tabla39152331419" ref="H55:L102" totalsRowCount="1" headerRowDxfId="1285" dataDxfId="1284" totalsRowDxfId="1282" tableBorderDxfId="1283" dataCellStyle="Millares">
  <autoFilter ref="H55:L101" xr:uid="{00000000-0009-0000-0100-000008000000}"/>
  <tableColumns count="5">
    <tableColumn id="1" xr3:uid="{00000000-0010-0000-1100-000001000000}" name="COMISIONES" totalsRowFunction="sum" dataDxfId="1281" totalsRowDxfId="1280" dataCellStyle="Millares"/>
    <tableColumn id="2" xr3:uid="{00000000-0010-0000-1100-000002000000}" name="IVA 21" totalsRowFunction="sum" dataDxfId="1279" totalsRowDxfId="1278" dataCellStyle="Millares">
      <calculatedColumnFormula>Tabla39152331419[[#This Row],[COMISIONES]]*0.21</calculatedColumnFormula>
    </tableColumn>
    <tableColumn id="3" xr3:uid="{00000000-0010-0000-1100-000003000000}" name="IVA 10,5" totalsRowFunction="sum" dataDxfId="1277" totalsRowDxfId="1276" dataCellStyle="Millares"/>
    <tableColumn id="4" xr3:uid="{00000000-0010-0000-1100-000004000000}" name="Ret IIBB Caba" totalsRowFunction="sum" dataDxfId="1275" totalsRowDxfId="1274" dataCellStyle="Millares"/>
    <tableColumn id="5" xr3:uid="{00000000-0010-0000-1100-000005000000}" name="PERC IVA" totalsRowFunction="sum" dataDxfId="1273" totalsRowDxfId="1272" dataCellStyle="Millares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2000000}" name="Tabla6122028334210" displayName="Tabla6122028334210" ref="T65:X94" totalsRowCount="1" headerRowDxfId="1271" totalsRowDxfId="1270">
  <autoFilter ref="T65:X93" xr:uid="{00000000-0009-0000-0100-000009000000}"/>
  <tableColumns count="5">
    <tableColumn id="1" xr3:uid="{00000000-0010-0000-1200-000001000000}" name="COMISIONES" totalsRowFunction="sum" totalsRowDxfId="1269"/>
    <tableColumn id="2" xr3:uid="{00000000-0010-0000-1200-000002000000}" name="IVA 21" totalsRowFunction="sum" dataDxfId="1268" totalsRowDxfId="1267">
      <calculatedColumnFormula>Tabla6122028334210[[#This Row],[COMISIONES]]*0.21</calculatedColumnFormula>
    </tableColumn>
    <tableColumn id="3" xr3:uid="{00000000-0010-0000-1200-000003000000}" name="IVA 10,5" totalsRowFunction="sum" totalsRowDxfId="1266"/>
    <tableColumn id="4" xr3:uid="{00000000-0010-0000-1200-000004000000}" name="Ret IIBB Caba" totalsRowFunction="sum" totalsRowDxfId="1265"/>
    <tableColumn id="5" xr3:uid="{00000000-0010-0000-1200-000005000000}" name="PERC IVA" totalsRowFunction="sum" totalsRowDxfId="1264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3000000}" name="Tabla356111927344311" displayName="Tabla356111927344311" ref="AK15:AO31" totalsRowCount="1" headerRowDxfId="1263" dataDxfId="1262" totalsRowDxfId="1260" tableBorderDxfId="1261" dataCellStyle="Millares">
  <autoFilter ref="AK15:AO30" xr:uid="{00000000-0009-0000-0100-00000A000000}"/>
  <tableColumns count="5">
    <tableColumn id="1" xr3:uid="{00000000-0010-0000-1300-000001000000}" name="COMISIONES" totalsRowFunction="sum" dataDxfId="1259" totalsRowDxfId="1258" dataCellStyle="Millares"/>
    <tableColumn id="2" xr3:uid="{00000000-0010-0000-1300-000002000000}" name="IVA 21" totalsRowFunction="sum" dataDxfId="1257" totalsRowDxfId="1256" dataCellStyle="Millares">
      <calculatedColumnFormula>Tabla356111927344311[[#This Row],[COMISIONES]]*0.21</calculatedColumnFormula>
    </tableColumn>
    <tableColumn id="3" xr3:uid="{00000000-0010-0000-1300-000003000000}" name="IVA 10,5" totalsRowFunction="sum" dataDxfId="1255" totalsRowDxfId="1254" dataCellStyle="Millares"/>
    <tableColumn id="4" xr3:uid="{00000000-0010-0000-1300-000004000000}" name="Ret IIBB Caba" totalsRowFunction="sum" dataDxfId="1253" totalsRowDxfId="1252" dataCellStyle="Millares"/>
    <tableColumn id="5" xr3:uid="{00000000-0010-0000-1300-000005000000}" name="PERC IVA" totalsRowFunction="sum" dataDxfId="1251" totalsRowDxfId="1250" dataCellStyle="Millares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4000000}" name="Tabla13162432212" displayName="Tabla13162432212" ref="B14:F60" totalsRowCount="1" headerRowDxfId="1249" totalsRowDxfId="1248">
  <autoFilter ref="B14:F59" xr:uid="{00000000-0009-0000-0100-00000B000000}"/>
  <tableColumns count="5">
    <tableColumn id="1" xr3:uid="{00000000-0010-0000-1400-000001000000}" name="COMISIONES" totalsRowFunction="sum" dataDxfId="1247" totalsRowDxfId="1246"/>
    <tableColumn id="2" xr3:uid="{00000000-0010-0000-1400-000002000000}" name="IVA 21" totalsRowFunction="sum" dataDxfId="1245" totalsRowDxfId="1244">
      <calculatedColumnFormula>Tabla13162432212[[#This Row],[COMISIONES]]*0.21</calculatedColumnFormula>
    </tableColumn>
    <tableColumn id="3" xr3:uid="{00000000-0010-0000-1400-000003000000}" name="IVA 10,5" totalsRowFunction="sum" dataDxfId="1243" totalsRowDxfId="1242"/>
    <tableColumn id="4" xr3:uid="{00000000-0010-0000-1400-000004000000}" name="Ret IIBB Caba" totalsRowFunction="sum" dataDxfId="1241" totalsRowDxfId="1240"/>
    <tableColumn id="5" xr3:uid="{00000000-0010-0000-1400-000005000000}" name="PERC IVA" totalsRowFunction="sum" totalsRowDxfId="1239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5000000}" name="Tabla39172535313" displayName="Tabla39172535313" ref="H14:L52" totalsRowCount="1" headerRowDxfId="1238" dataDxfId="1237" totalsRowDxfId="1235" tableBorderDxfId="1236" dataCellStyle="Millares">
  <autoFilter ref="H14:L51" xr:uid="{00000000-0009-0000-0100-00000C000000}"/>
  <tableColumns count="5">
    <tableColumn id="1" xr3:uid="{00000000-0010-0000-1500-000001000000}" name="COMISIONES" totalsRowFunction="sum" dataDxfId="1234" totalsRowDxfId="1233" dataCellStyle="Millares"/>
    <tableColumn id="2" xr3:uid="{00000000-0010-0000-1500-000002000000}" name="IVA 21" totalsRowFunction="sum" dataDxfId="1232" totalsRowDxfId="1231" dataCellStyle="Millares">
      <calculatedColumnFormula>Tabla39172535313[[#This Row],[COMISIONES]]*0.21</calculatedColumnFormula>
    </tableColumn>
    <tableColumn id="3" xr3:uid="{00000000-0010-0000-1500-000003000000}" name="IVA 10,5" totalsRowFunction="sum" dataDxfId="1230" totalsRowDxfId="1229" dataCellStyle="Millares"/>
    <tableColumn id="4" xr3:uid="{00000000-0010-0000-1500-000004000000}" name="Ret IIBB Caba" totalsRowFunction="sum" dataDxfId="1228" totalsRowDxfId="1227" dataCellStyle="Millares"/>
    <tableColumn id="5" xr3:uid="{00000000-0010-0000-1500-000005000000}" name="PERC IVA" totalsRowFunction="sum" dataDxfId="1226" totalsRowDxfId="1225" dataCellStyle="Millares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6000000}" name="Tabla3510182636414" displayName="Tabla3510182636414" ref="N14:R134" totalsRowCount="1" headerRowDxfId="1224" dataDxfId="1223" totalsRowDxfId="1221" tableBorderDxfId="1222" dataCellStyle="Millares">
  <autoFilter ref="N14:R133" xr:uid="{00000000-0009-0000-0100-00000D000000}"/>
  <tableColumns count="5">
    <tableColumn id="1" xr3:uid="{00000000-0010-0000-1600-000001000000}" name="COMISIONES" totalsRowFunction="sum" dataDxfId="1220" totalsRowDxfId="1219" dataCellStyle="Millares"/>
    <tableColumn id="2" xr3:uid="{00000000-0010-0000-1600-000002000000}" name="IVA 21" totalsRowFunction="sum" dataDxfId="1218" totalsRowDxfId="1217" dataCellStyle="Millares">
      <calculatedColumnFormula>Tabla3510182636414[[#This Row],[COMISIONES]]*0.21</calculatedColumnFormula>
    </tableColumn>
    <tableColumn id="3" xr3:uid="{00000000-0010-0000-1600-000003000000}" name="IVA 10,5" totalsRowFunction="sum" dataDxfId="1216" totalsRowDxfId="1215" dataCellStyle="Millares"/>
    <tableColumn id="4" xr3:uid="{00000000-0010-0000-1600-000004000000}" name="Ret IIBB Caba" totalsRowFunction="sum" dataDxfId="1214" totalsRowDxfId="1213" dataCellStyle="Millares"/>
    <tableColumn id="5" xr3:uid="{00000000-0010-0000-1600-000005000000}" name="PERC IVA" totalsRowFunction="sum" dataDxfId="1212" totalsRowDxfId="1211" dataCellStyle="Millares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7000000}" name="Tabla35611192737515" displayName="Tabla35611192737515" ref="T14:X30" totalsRowCount="1" headerRowDxfId="1210" dataDxfId="1209" totalsRowDxfId="1207" tableBorderDxfId="1208" dataCellStyle="Millares">
  <autoFilter ref="T14:X29" xr:uid="{00000000-0009-0000-0100-00000E000000}"/>
  <tableColumns count="5">
    <tableColumn id="1" xr3:uid="{00000000-0010-0000-1700-000001000000}" name="COMISIONES" totalsRowFunction="sum" dataDxfId="1206" totalsRowDxfId="1205" dataCellStyle="Millares"/>
    <tableColumn id="2" xr3:uid="{00000000-0010-0000-1700-000002000000}" name="IVA 21" totalsRowFunction="sum" dataDxfId="1204" totalsRowDxfId="1203" dataCellStyle="Millares">
      <calculatedColumnFormula>Tabla35611192737515[[#This Row],[COMISIONES]]*0.21</calculatedColumnFormula>
    </tableColumn>
    <tableColumn id="3" xr3:uid="{00000000-0010-0000-1700-000003000000}" name="IVA 10,5" totalsRowFunction="sum" dataDxfId="1202" totalsRowDxfId="1201" dataCellStyle="Millares"/>
    <tableColumn id="4" xr3:uid="{00000000-0010-0000-1700-000004000000}" name="Ret IIBB Caba" totalsRowFunction="sum" dataDxfId="1200" totalsRowDxfId="1199" dataCellStyle="Millares"/>
    <tableColumn id="5" xr3:uid="{00000000-0010-0000-1700-000005000000}" name="PERC IVA" totalsRowFunction="sum" dataDxfId="1198" totalsRowDxfId="1197" dataCellStyle="Millares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8000000}" name="Tabla612202838616" displayName="Tabla612202838616" ref="T32:X61" totalsRowCount="1" headerRowDxfId="1196" totalsRowDxfId="1195">
  <autoFilter ref="T32:X60" xr:uid="{00000000-0009-0000-0100-00000F000000}"/>
  <tableColumns count="5">
    <tableColumn id="1" xr3:uid="{00000000-0010-0000-1800-000001000000}" name="COMISIONES" totalsRowFunction="sum" totalsRowDxfId="1194"/>
    <tableColumn id="2" xr3:uid="{00000000-0010-0000-1800-000002000000}" name="IVA 21" totalsRowFunction="sum" dataDxfId="1193" totalsRowDxfId="1192">
      <calculatedColumnFormula>Tabla612202838616[[#This Row],[COMISIONES]]*0.21</calculatedColumnFormula>
    </tableColumn>
    <tableColumn id="3" xr3:uid="{00000000-0010-0000-1800-000003000000}" name="IVA 10,5" totalsRowFunction="sum" totalsRowDxfId="1191"/>
    <tableColumn id="4" xr3:uid="{00000000-0010-0000-1800-000004000000}" name="Ret IIBB Caba" totalsRowFunction="sum" totalsRowDxfId="1190"/>
    <tableColumn id="5" xr3:uid="{00000000-0010-0000-1800-000005000000}" name="PERC IVA" totalsRowFunction="sum" totalsRowDxfId="1189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9000000}" name="Tabla356813212939717" displayName="Tabla356813212939717" ref="Z14:AD168" totalsRowCount="1" headerRowDxfId="1188" dataDxfId="1187" totalsRowDxfId="1185" tableBorderDxfId="1186" dataCellStyle="Millares">
  <autoFilter ref="Z14:AD167" xr:uid="{00000000-0009-0000-0100-000010000000}"/>
  <tableColumns count="5">
    <tableColumn id="1" xr3:uid="{00000000-0010-0000-1900-000001000000}" name="COMISIONES" totalsRowFunction="sum" dataDxfId="1184" totalsRowDxfId="1183" dataCellStyle="Millares"/>
    <tableColumn id="2" xr3:uid="{00000000-0010-0000-1900-000002000000}" name="IVA 21" totalsRowFunction="sum" dataDxfId="1182" totalsRowDxfId="1181" dataCellStyle="Millares">
      <calculatedColumnFormula>Tabla356813212939717[[#This Row],[COMISIONES]]*0.21</calculatedColumnFormula>
    </tableColumn>
    <tableColumn id="3" xr3:uid="{00000000-0010-0000-1900-000003000000}" name="IVA 10,5" totalsRowFunction="sum" dataDxfId="1180" totalsRowDxfId="1179" dataCellStyle="Millares"/>
    <tableColumn id="4" xr3:uid="{00000000-0010-0000-1900-000004000000}" name="Ret IIBB Caba" totalsRowFunction="sum" dataDxfId="1178" totalsRowDxfId="1177" dataCellStyle="Millares"/>
    <tableColumn id="5" xr3:uid="{00000000-0010-0000-1900-000005000000}" name="PERC IVA" totalsRowFunction="sum" dataDxfId="1176" totalsRowDxfId="1175" dataCellStyle="Millares"/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A000000}" name="Tabla35681314223040818" displayName="Tabla35681314223040818" ref="AF14:AJ25" totalsRowCount="1" headerRowDxfId="1174" dataDxfId="1173" totalsRowDxfId="1171" tableBorderDxfId="1172" dataCellStyle="Millares">
  <autoFilter ref="AF14:AJ24" xr:uid="{00000000-0009-0000-0100-000011000000}"/>
  <tableColumns count="5">
    <tableColumn id="1" xr3:uid="{00000000-0010-0000-1A00-000001000000}" name="COMISIONES" totalsRowFunction="sum" dataDxfId="1170" totalsRowDxfId="1169" dataCellStyle="Millares"/>
    <tableColumn id="2" xr3:uid="{00000000-0010-0000-1A00-000002000000}" name="IVA 21" totalsRowFunction="sum" dataDxfId="1168" totalsRowDxfId="1167" dataCellStyle="Millares">
      <calculatedColumnFormula>Tabla35681314223040818[[#This Row],[COMISIONES]]*0.21</calculatedColumnFormula>
    </tableColumn>
    <tableColumn id="3" xr3:uid="{00000000-0010-0000-1A00-000003000000}" name="IVA 10,5" totalsRowFunction="sum" dataDxfId="1166" totalsRowDxfId="1165" dataCellStyle="Millares"/>
    <tableColumn id="4" xr3:uid="{00000000-0010-0000-1A00-000004000000}" name="Ret IIBB Caba" totalsRowFunction="sum" dataDxfId="1164" totalsRowDxfId="1163" dataCellStyle="Millares"/>
    <tableColumn id="5" xr3:uid="{00000000-0010-0000-1A00-000005000000}" name="PERC IVA" totalsRowFunction="sum" dataDxfId="1162" totalsRowDxfId="1161" dataCellStyle="Millares"/>
  </tableColumns>
  <tableStyleInfo name="TableStyleLight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B000000}" name="Tabla3915233141919" displayName="Tabla3915233141919" ref="H54:L101" totalsRowCount="1" headerRowDxfId="1160" dataDxfId="1159" totalsRowDxfId="1157" tableBorderDxfId="1158" dataCellStyle="Millares">
  <autoFilter ref="H54:L100" xr:uid="{00000000-0009-0000-0100-000012000000}"/>
  <tableColumns count="5">
    <tableColumn id="1" xr3:uid="{00000000-0010-0000-1B00-000001000000}" name="COMISIONES" totalsRowFunction="sum" dataDxfId="1156" totalsRowDxfId="1155" dataCellStyle="Millares"/>
    <tableColumn id="2" xr3:uid="{00000000-0010-0000-1B00-000002000000}" name="IVA 21" totalsRowFunction="sum" dataDxfId="1154" totalsRowDxfId="1153" dataCellStyle="Millares">
      <calculatedColumnFormula>Tabla3915233141919[[#This Row],[COMISIONES]]*0.21</calculatedColumnFormula>
    </tableColumn>
    <tableColumn id="3" xr3:uid="{00000000-0010-0000-1B00-000003000000}" name="IVA 10,5" totalsRowFunction="sum" dataDxfId="1152" totalsRowDxfId="1151" dataCellStyle="Millares"/>
    <tableColumn id="4" xr3:uid="{00000000-0010-0000-1B00-000004000000}" name="Ret IIBB Caba" totalsRowFunction="sum" dataDxfId="1150" totalsRowDxfId="1149" dataCellStyle="Millares"/>
    <tableColumn id="5" xr3:uid="{00000000-0010-0000-1B00-000005000000}" name="PERC IVA" totalsRowFunction="sum" dataDxfId="1148" totalsRowDxfId="1147" dataCellStyle="Millares"/>
  </tableColumns>
  <tableStyleInfo name="TableStyleLight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C000000}" name="Tabla612202833421020" displayName="Tabla612202833421020" ref="T64:X93" totalsRowCount="1" headerRowDxfId="1146" totalsRowDxfId="1145">
  <autoFilter ref="T64:X92" xr:uid="{00000000-0009-0000-0100-000013000000}"/>
  <tableColumns count="5">
    <tableColumn id="1" xr3:uid="{00000000-0010-0000-1C00-000001000000}" name="COMISIONES" totalsRowFunction="sum" totalsRowDxfId="1144"/>
    <tableColumn id="2" xr3:uid="{00000000-0010-0000-1C00-000002000000}" name="IVA 21" totalsRowFunction="sum" dataDxfId="1143" totalsRowDxfId="1142">
      <calculatedColumnFormula>Tabla612202833421020[[#This Row],[COMISIONES]]*0.21</calculatedColumnFormula>
    </tableColumn>
    <tableColumn id="3" xr3:uid="{00000000-0010-0000-1C00-000003000000}" name="IVA 10,5" totalsRowFunction="sum" totalsRowDxfId="1141"/>
    <tableColumn id="4" xr3:uid="{00000000-0010-0000-1C00-000004000000}" name="Ret IIBB Caba" totalsRowFunction="sum" totalsRowDxfId="1140"/>
    <tableColumn id="5" xr3:uid="{00000000-0010-0000-1C00-000005000000}" name="PERC IVA" totalsRowFunction="sum" totalsRowDxfId="1139"/>
  </tableColumns>
  <tableStyleInfo name="TableStyleLight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D000000}" name="Tabla35611192734431121" displayName="Tabla35611192734431121" ref="AK14:AO30" totalsRowCount="1" headerRowDxfId="1138" dataDxfId="1137" totalsRowDxfId="1135" tableBorderDxfId="1136" dataCellStyle="Millares">
  <autoFilter ref="AK14:AO29" xr:uid="{00000000-0009-0000-0100-000014000000}"/>
  <tableColumns count="5">
    <tableColumn id="1" xr3:uid="{00000000-0010-0000-1D00-000001000000}" name="COMISIONES" totalsRowFunction="sum" dataDxfId="1134" totalsRowDxfId="1133" dataCellStyle="Millares"/>
    <tableColumn id="2" xr3:uid="{00000000-0010-0000-1D00-000002000000}" name="IVA 21" totalsRowFunction="sum" dataDxfId="1132" totalsRowDxfId="1131" dataCellStyle="Millares">
      <calculatedColumnFormula>Tabla35611192734431121[[#This Row],[COMISIONES]]*0.21</calculatedColumnFormula>
    </tableColumn>
    <tableColumn id="3" xr3:uid="{00000000-0010-0000-1D00-000003000000}" name="IVA 10,5" totalsRowFunction="sum" dataDxfId="1130" totalsRowDxfId="1129" dataCellStyle="Millares"/>
    <tableColumn id="4" xr3:uid="{00000000-0010-0000-1D00-000004000000}" name="Ret IIBB Caba" totalsRowFunction="sum" dataDxfId="1128" totalsRowDxfId="1127" dataCellStyle="Millares"/>
    <tableColumn id="5" xr3:uid="{00000000-0010-0000-1D00-000005000000}" name="PERC IVA" totalsRowFunction="sum" dataDxfId="1126" totalsRowDxfId="1125" dataCellStyle="Millares"/>
  </tableColumns>
  <tableStyleInfo name="TableStyleLight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1311EB4-6319-42CC-B289-F30EF1CAF95C}" name="Tabla1316243221222" displayName="Tabla1316243221222" ref="B14:F60" totalsRowCount="1" headerRowDxfId="1124" totalsRowDxfId="1123">
  <autoFilter ref="B14:F59" xr:uid="{00000000-0009-0000-0100-00000B000000}"/>
  <tableColumns count="5">
    <tableColumn id="1" xr3:uid="{6B9CBEBF-6BC6-43C1-B5E5-FCE9A0EDEECB}" name="COMISIONES" totalsRowFunction="sum" dataDxfId="1122" totalsRowDxfId="1121"/>
    <tableColumn id="2" xr3:uid="{78417F60-05B0-41A2-80AF-DF6846494F28}" name="IVA 21" totalsRowFunction="sum" dataDxfId="1120" totalsRowDxfId="1119">
      <calculatedColumnFormula>Tabla1316243221222[[#This Row],[COMISIONES]]*0.21</calculatedColumnFormula>
    </tableColumn>
    <tableColumn id="3" xr3:uid="{B712EBDA-CE83-4C6A-8BE2-0798F54D59A1}" name="IVA 10,5" totalsRowFunction="sum" dataDxfId="1118" totalsRowDxfId="1117"/>
    <tableColumn id="4" xr3:uid="{ACA5977E-3E32-42C7-86BF-6D6753EF218C}" name="Ret IIBB Caba" totalsRowFunction="sum" dataDxfId="1116" totalsRowDxfId="1115"/>
    <tableColumn id="5" xr3:uid="{42D69E34-D203-447C-88C8-DD6BAC47E8D0}" name="PERC IVA" totalsRowFunction="sum" totalsRowDxfId="1114"/>
  </tableColumns>
  <tableStyleInfo name="TableStyleLight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BB3177D-2FDA-4854-8CA7-E54F8ED791F7}" name="Tabla3917253531323" displayName="Tabla3917253531323" ref="H14:L52" totalsRowCount="1" headerRowDxfId="1113" dataDxfId="1112" totalsRowDxfId="1110" tableBorderDxfId="1111" dataCellStyle="Millares">
  <autoFilter ref="H14:L51" xr:uid="{00000000-0009-0000-0100-00000C000000}"/>
  <tableColumns count="5">
    <tableColumn id="1" xr3:uid="{3C3110ED-68D2-4B02-9BFE-FD01605610FE}" name="COMISIONES" totalsRowFunction="sum" dataDxfId="1109" totalsRowDxfId="1108" dataCellStyle="Millares"/>
    <tableColumn id="2" xr3:uid="{DF1C18EE-0EF4-420F-801D-3F11264B1CB1}" name="IVA 21" totalsRowFunction="sum" dataDxfId="1107" totalsRowDxfId="1106" dataCellStyle="Millares">
      <calculatedColumnFormula>Tabla3917253531323[[#This Row],[COMISIONES]]*0.21</calculatedColumnFormula>
    </tableColumn>
    <tableColumn id="3" xr3:uid="{08C640AE-5EFC-448C-BB2B-FB21C4F6BCEF}" name="IVA 10,5" totalsRowFunction="sum" dataDxfId="1105" totalsRowDxfId="1104" dataCellStyle="Millares"/>
    <tableColumn id="4" xr3:uid="{4EBF5462-A4D8-4D07-B207-E9C7CB787ADD}" name="Ret IIBB Caba" totalsRowFunction="sum" dataDxfId="1103" totalsRowDxfId="1102" dataCellStyle="Millares"/>
    <tableColumn id="5" xr3:uid="{B971D605-174A-449E-BC3B-A082D9D7567D}" name="PERC IVA" totalsRowFunction="sum" dataDxfId="1101" totalsRowDxfId="1100" dataCellStyle="Millares"/>
  </tableColumns>
  <tableStyleInfo name="TableStyleLight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3A42A40-0D6B-4CBF-AE10-EB4A0BC7745F}" name="Tabla351018263641424" displayName="Tabla351018263641424" ref="N14:R134" totalsRowCount="1" headerRowDxfId="1099" dataDxfId="1098" totalsRowDxfId="1096" tableBorderDxfId="1097" dataCellStyle="Millares">
  <autoFilter ref="N14:R133" xr:uid="{00000000-0009-0000-0100-00000D000000}"/>
  <tableColumns count="5">
    <tableColumn id="1" xr3:uid="{149D0FFA-C9F2-4167-8FB6-C291ADD42522}" name="COMISIONES" totalsRowFunction="sum" dataDxfId="1095" totalsRowDxfId="1094" dataCellStyle="Millares"/>
    <tableColumn id="2" xr3:uid="{2C960588-7933-40E1-A35D-A131075AB8B1}" name="IVA 21" totalsRowFunction="sum" dataDxfId="1093" totalsRowDxfId="1092" dataCellStyle="Millares">
      <calculatedColumnFormula>Tabla351018263641424[[#This Row],[COMISIONES]]*0.21</calculatedColumnFormula>
    </tableColumn>
    <tableColumn id="3" xr3:uid="{AC7E8FE9-645A-40E8-A4A6-C354E5DE6132}" name="IVA 10,5" totalsRowFunction="sum" dataDxfId="1091" totalsRowDxfId="1090" dataCellStyle="Millares"/>
    <tableColumn id="4" xr3:uid="{C43C9C8D-AAED-495B-9ACC-CDC2B7AFAEC1}" name="Ret IIBB Caba" totalsRowFunction="sum" dataDxfId="1089" totalsRowDxfId="1088" dataCellStyle="Millares"/>
    <tableColumn id="5" xr3:uid="{9911E2A9-82B2-4EA7-B94A-FF8399B69565}" name="PERC IVA" totalsRowFunction="sum" dataDxfId="1087" totalsRowDxfId="1086" dataCellStyle="Millares"/>
  </tableColumns>
  <tableStyleInfo name="TableStyleLight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3B8EA28-2BB4-4AE1-B019-A9013EBE4F81}" name="Tabla3561119273751525" displayName="Tabla3561119273751525" ref="T14:X30" totalsRowCount="1" headerRowDxfId="1085" dataDxfId="1084" totalsRowDxfId="1082" tableBorderDxfId="1083" dataCellStyle="Millares">
  <autoFilter ref="T14:X29" xr:uid="{00000000-0009-0000-0100-00000E000000}"/>
  <tableColumns count="5">
    <tableColumn id="1" xr3:uid="{97C5250A-1E5F-4BF2-BBCB-84F2DF6FDEA6}" name="COMISIONES" totalsRowFunction="sum" dataDxfId="1081" totalsRowDxfId="1080" dataCellStyle="Millares"/>
    <tableColumn id="2" xr3:uid="{E3AEB982-EB06-4161-A695-5506DA904993}" name="IVA 21" totalsRowFunction="sum" dataDxfId="1079" totalsRowDxfId="1078" dataCellStyle="Millares">
      <calculatedColumnFormula>Tabla3561119273751525[[#This Row],[COMISIONES]]*0.21</calculatedColumnFormula>
    </tableColumn>
    <tableColumn id="3" xr3:uid="{CE55D3D0-F4B2-47CE-864F-DD8B2BE47E3D}" name="IVA 10,5" totalsRowFunction="sum" dataDxfId="1077" totalsRowDxfId="1076" dataCellStyle="Millares"/>
    <tableColumn id="4" xr3:uid="{2201F09E-1C5B-4F0B-A771-CCD2B3D49BE6}" name="Ret IIBB Caba" totalsRowFunction="sum" dataDxfId="1075" totalsRowDxfId="1074" dataCellStyle="Millares"/>
    <tableColumn id="5" xr3:uid="{B414C8EA-C251-4392-B6E2-E0BBA2893C86}" name="PERC IVA" totalsRowFunction="sum" dataDxfId="1073" totalsRowDxfId="1072" dataCellStyle="Millares"/>
  </tableColumns>
  <tableStyleInfo name="TableStyleLight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9979D06-357C-41A1-A5B9-EB5BFEF1CA6E}" name="Tabla61220283861626" displayName="Tabla61220283861626" ref="T32:X61" totalsRowCount="1" headerRowDxfId="1071" totalsRowDxfId="1070">
  <autoFilter ref="T32:X60" xr:uid="{00000000-0009-0000-0100-00000F000000}"/>
  <tableColumns count="5">
    <tableColumn id="1" xr3:uid="{D1D282CB-5C52-456C-AD81-7F08B2394E4C}" name="COMISIONES" totalsRowFunction="sum" totalsRowDxfId="1069"/>
    <tableColumn id="2" xr3:uid="{0A83B107-9CDA-469F-AB5C-1EABB6A09917}" name="IVA 21" totalsRowFunction="sum" dataDxfId="1068" totalsRowDxfId="1067">
      <calculatedColumnFormula>Tabla61220283861626[[#This Row],[COMISIONES]]*0.21</calculatedColumnFormula>
    </tableColumn>
    <tableColumn id="3" xr3:uid="{126EDB54-5F3B-49A0-9FC5-6F9029B4387D}" name="IVA 10,5" totalsRowFunction="sum" totalsRowDxfId="1066"/>
    <tableColumn id="4" xr3:uid="{0FE889C3-1BDD-49BD-B17F-60E7CFD41754}" name="Ret IIBB Caba" totalsRowFunction="sum" totalsRowDxfId="1065"/>
    <tableColumn id="5" xr3:uid="{1ED881FD-50DE-4C8A-97DC-F42BDB531EBA}" name="PERC IVA" totalsRowFunction="sum" totalsRowDxfId="1064"/>
  </tableColumns>
  <tableStyleInfo name="TableStyleLight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3F8DDB8-87E7-4376-A5D6-8CB73229B022}" name="Tabla35681321293971727" displayName="Tabla35681321293971727" ref="Z14:AD168" totalsRowCount="1" headerRowDxfId="1063" dataDxfId="1062" totalsRowDxfId="1060" tableBorderDxfId="1061" dataCellStyle="Millares">
  <autoFilter ref="Z14:AD167" xr:uid="{00000000-0009-0000-0100-000010000000}"/>
  <tableColumns count="5">
    <tableColumn id="1" xr3:uid="{909A9BA4-9803-483F-AB70-F64A5488A40C}" name="COMISIONES" totalsRowFunction="sum" dataDxfId="1059" totalsRowDxfId="1058" dataCellStyle="Millares"/>
    <tableColumn id="2" xr3:uid="{CFFAE7A5-A8D5-484C-AB6D-8BC4FAFD3BDF}" name="IVA 21" totalsRowFunction="sum" dataDxfId="1057" totalsRowDxfId="1056" dataCellStyle="Millares">
      <calculatedColumnFormula>Tabla35681321293971727[[#This Row],[COMISIONES]]*0.21</calculatedColumnFormula>
    </tableColumn>
    <tableColumn id="3" xr3:uid="{04EDA75C-1DDF-4043-98AD-B2510FF131DB}" name="IVA 10,5" totalsRowFunction="sum" dataDxfId="1055" totalsRowDxfId="1054" dataCellStyle="Millares"/>
    <tableColumn id="4" xr3:uid="{D266543C-CC91-4D71-ADC8-BC85157A8C50}" name="Ret IIBB Caba" totalsRowFunction="sum" dataDxfId="1053" totalsRowDxfId="1052" dataCellStyle="Millares"/>
    <tableColumn id="5" xr3:uid="{F477E62D-7731-4D17-9778-9ACA17730773}" name="PERC IVA" totalsRowFunction="sum" dataDxfId="1051" totalsRowDxfId="1050" dataCellStyle="Millares"/>
  </tableColumns>
  <tableStyleInfo name="TableStyleLight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796D4DF-A06C-4F51-83C7-AEE931654282}" name="Tabla3568131422304081828" displayName="Tabla3568131422304081828" ref="AF14:AJ25" totalsRowCount="1" headerRowDxfId="1049" dataDxfId="1048" totalsRowDxfId="1046" tableBorderDxfId="1047" dataCellStyle="Millares">
  <autoFilter ref="AF14:AJ24" xr:uid="{00000000-0009-0000-0100-000011000000}"/>
  <tableColumns count="5">
    <tableColumn id="1" xr3:uid="{FA110073-CFBB-43D3-B743-5199EE17B085}" name="COMISIONES" totalsRowFunction="sum" dataDxfId="1045" totalsRowDxfId="1044" dataCellStyle="Millares"/>
    <tableColumn id="2" xr3:uid="{4589E6DE-24EA-4AD7-B611-98E2B67C7158}" name="IVA 21" totalsRowFunction="sum" dataDxfId="1043" totalsRowDxfId="1042" dataCellStyle="Millares">
      <calculatedColumnFormula>Tabla3568131422304081828[[#This Row],[COMISIONES]]*0.21</calculatedColumnFormula>
    </tableColumn>
    <tableColumn id="3" xr3:uid="{F2CE2F8E-390E-4059-8709-3FD7A5B51BF2}" name="IVA 10,5" totalsRowFunction="sum" dataDxfId="1041" totalsRowDxfId="1040" dataCellStyle="Millares"/>
    <tableColumn id="4" xr3:uid="{D9E12315-1A96-445E-8A4C-0986B399DB84}" name="Ret IIBB Caba" totalsRowFunction="sum" dataDxfId="1039" totalsRowDxfId="1038" dataCellStyle="Millares"/>
    <tableColumn id="5" xr3:uid="{BB2FF65E-FB99-40E4-A777-1130CE26772B}" name="PERC IVA" totalsRowFunction="sum" dataDxfId="1037" totalsRowDxfId="1036" dataCellStyle="Millares"/>
  </tableColumns>
  <tableStyleInfo name="TableStyleLight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22D0488-A394-485E-910A-05A58F0F7380}" name="Tabla391523314191929" displayName="Tabla391523314191929" ref="H54:L101" totalsRowCount="1" headerRowDxfId="1035" dataDxfId="1034" totalsRowDxfId="1032" tableBorderDxfId="1033" dataCellStyle="Millares">
  <autoFilter ref="H54:L100" xr:uid="{00000000-0009-0000-0100-000012000000}"/>
  <tableColumns count="5">
    <tableColumn id="1" xr3:uid="{F1E256CF-F69D-4F3E-AD57-95C36478C7E6}" name="COMISIONES" totalsRowFunction="sum" dataDxfId="1031" totalsRowDxfId="1030" dataCellStyle="Millares"/>
    <tableColumn id="2" xr3:uid="{27D2B515-BB96-4BA2-923F-0BE973D75E2F}" name="IVA 21" totalsRowFunction="sum" dataDxfId="1029" totalsRowDxfId="1028" dataCellStyle="Millares">
      <calculatedColumnFormula>Tabla391523314191929[[#This Row],[COMISIONES]]*0.21</calculatedColumnFormula>
    </tableColumn>
    <tableColumn id="3" xr3:uid="{B9333FD0-3BEE-43C8-B98D-0E7C7B0253E6}" name="IVA 10,5" totalsRowFunction="sum" dataDxfId="1027" totalsRowDxfId="1026" dataCellStyle="Millares"/>
    <tableColumn id="4" xr3:uid="{86B378D7-B716-4B9F-BB91-957625985632}" name="Ret IIBB Caba" totalsRowFunction="sum" dataDxfId="1025" totalsRowDxfId="1024" dataCellStyle="Millares"/>
    <tableColumn id="5" xr3:uid="{69DBAC36-490E-4ED6-BEAC-650F99CFDBFD}" name="PERC IVA" totalsRowFunction="sum" dataDxfId="1023" totalsRowDxfId="1022" dataCellStyle="Millares"/>
  </tableColumns>
  <tableStyleInfo name="TableStyleLight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FCEBB09-A45C-4AE2-A8A4-216B32E55EBB}" name="Tabla61220283342102030" displayName="Tabla61220283342102030" ref="T64:X93" totalsRowCount="1" headerRowDxfId="1021" totalsRowDxfId="1020">
  <autoFilter ref="T64:X92" xr:uid="{00000000-0009-0000-0100-000013000000}"/>
  <tableColumns count="5">
    <tableColumn id="1" xr3:uid="{0767674F-8C4F-4FCD-A642-E9CC70B1497E}" name="COMISIONES" totalsRowFunction="sum" totalsRowDxfId="1019"/>
    <tableColumn id="2" xr3:uid="{84AF8D1F-8CCC-4895-A550-B94434AFA86B}" name="IVA 21" totalsRowFunction="sum" dataDxfId="1018" totalsRowDxfId="1017">
      <calculatedColumnFormula>Tabla61220283342102030[[#This Row],[COMISIONES]]*0.21</calculatedColumnFormula>
    </tableColumn>
    <tableColumn id="3" xr3:uid="{0898449C-A1BE-4FCE-9BDF-1B932311DE46}" name="IVA 10,5" totalsRowFunction="sum" totalsRowDxfId="1016"/>
    <tableColumn id="4" xr3:uid="{4FD33EC1-18AF-4146-8C41-20ECF3EB3A78}" name="Ret IIBB Caba" totalsRowFunction="sum" totalsRowDxfId="1015"/>
    <tableColumn id="5" xr3:uid="{D507CBC3-13E9-4830-BD5C-DA8DBD86FC67}" name="PERC IVA" totalsRowFunction="sum" totalsRowDxfId="1014"/>
  </tableColumns>
  <tableStyleInfo name="TableStyleLight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17D1DD5-A8A2-4065-ADAF-598007EB687F}" name="Tabla3561119273443112131" displayName="Tabla3561119273443112131" ref="AK14:AO30" totalsRowCount="1" headerRowDxfId="1013" dataDxfId="1012" totalsRowDxfId="1010" tableBorderDxfId="1011" dataCellStyle="Millares">
  <autoFilter ref="AK14:AO29" xr:uid="{00000000-0009-0000-0100-000014000000}"/>
  <tableColumns count="5">
    <tableColumn id="1" xr3:uid="{B0233C0A-3325-42D5-B35F-BD57CE355BF2}" name="COMISIONES" totalsRowFunction="sum" dataDxfId="1009" totalsRowDxfId="1008" dataCellStyle="Millares"/>
    <tableColumn id="2" xr3:uid="{DA7B1FCC-5A8E-401F-BDCB-948C9360BC79}" name="IVA 21" totalsRowFunction="sum" dataDxfId="1007" totalsRowDxfId="1006" dataCellStyle="Millares">
      <calculatedColumnFormula>Tabla3561119273443112131[[#This Row],[COMISIONES]]*0.21</calculatedColumnFormula>
    </tableColumn>
    <tableColumn id="3" xr3:uid="{8A110C15-E9F2-4F68-B6DE-5802A0E006C3}" name="IVA 10,5" totalsRowFunction="sum" dataDxfId="1005" totalsRowDxfId="1004" dataCellStyle="Millares"/>
    <tableColumn id="4" xr3:uid="{4E93BF26-C3D6-4078-9192-FB98EEED6624}" name="Ret IIBB Caba" totalsRowFunction="sum" dataDxfId="1003" totalsRowDxfId="1002" dataCellStyle="Millares"/>
    <tableColumn id="5" xr3:uid="{6B9264B6-B189-45C7-805B-4646BADFF8E3}" name="PERC IVA" totalsRowFunction="sum" dataDxfId="1001" totalsRowDxfId="1000" dataCellStyle="Millares"/>
  </tableColumns>
  <tableStyleInfo name="TableStyleLight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2F99E8F-98A2-4624-A9A8-DA297594A72E}" name="Tabla131624322122233" displayName="Tabla131624322122233" ref="B15:F61" totalsRowCount="1" headerRowDxfId="999" totalsRowDxfId="998">
  <autoFilter ref="B15:F60" xr:uid="{00000000-0009-0000-0100-00000B000000}"/>
  <tableColumns count="5">
    <tableColumn id="1" xr3:uid="{4AFB1BCC-B703-44E1-9D37-67C1C8E1F301}" name="COMISIONES" totalsRowFunction="sum" dataDxfId="997" totalsRowDxfId="996"/>
    <tableColumn id="2" xr3:uid="{93300795-0C69-4BF7-A510-260A064236AF}" name="IVA 21" totalsRowFunction="sum" dataDxfId="995" totalsRowDxfId="994">
      <calculatedColumnFormula>Tabla131624322122233[[#This Row],[COMISIONES]]*0.21</calculatedColumnFormula>
    </tableColumn>
    <tableColumn id="3" xr3:uid="{53869451-9B96-4CFF-8A17-F4B1EEE50C1C}" name="IVA 10,5" totalsRowFunction="sum" dataDxfId="993" totalsRowDxfId="992"/>
    <tableColumn id="4" xr3:uid="{D8AEFDA4-BC55-41BF-A8A5-6C39A04B4422}" name="Ret IIBB Caba" totalsRowFunction="sum" dataDxfId="991" totalsRowDxfId="990"/>
    <tableColumn id="5" xr3:uid="{31512D04-3802-4CE3-A270-9B7227349CF5}" name="PERC IVA" totalsRowFunction="sum" totalsRowDxfId="989"/>
  </tableColumns>
  <tableStyleInfo name="TableStyleLight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DB2A0F6-964A-4C1D-AE45-658B41CFE3EA}" name="Tabla391725353132334" displayName="Tabla391725353132334" ref="H15:L53" totalsRowCount="1" headerRowDxfId="988" dataDxfId="987" totalsRowDxfId="985" tableBorderDxfId="986" dataCellStyle="Millares">
  <autoFilter ref="H15:L52" xr:uid="{00000000-0009-0000-0100-00000C000000}"/>
  <tableColumns count="5">
    <tableColumn id="1" xr3:uid="{CDB91B7B-FFA7-410B-B9E6-292817446A3D}" name="COMISIONES" totalsRowFunction="sum" dataDxfId="984" totalsRowDxfId="983" dataCellStyle="Millares"/>
    <tableColumn id="2" xr3:uid="{40A953AA-3105-4289-9DA7-9A5EB00D18B5}" name="IVA 21" totalsRowFunction="sum" dataDxfId="982" totalsRowDxfId="981" dataCellStyle="Millares">
      <calculatedColumnFormula>Tabla391725353132334[[#This Row],[COMISIONES]]*0.21</calculatedColumnFormula>
    </tableColumn>
    <tableColumn id="3" xr3:uid="{AAEF1389-64AA-452D-80AF-136D56142246}" name="IVA 10,5" totalsRowFunction="sum" dataDxfId="980" totalsRowDxfId="979" dataCellStyle="Millares"/>
    <tableColumn id="4" xr3:uid="{118B7406-4A63-4D36-8032-CA87C7B2CEA3}" name="Ret IIBB Caba" totalsRowFunction="sum" dataDxfId="978" totalsRowDxfId="977" dataCellStyle="Millares"/>
    <tableColumn id="5" xr3:uid="{D7E0BC28-B78F-41E7-8123-A2018205C387}" name="PERC IVA" totalsRowFunction="sum" dataDxfId="976" totalsRowDxfId="975" dataCellStyle="Millares"/>
  </tableColumns>
  <tableStyleInfo name="TableStyleLight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BA4D35E-D3DD-4DF6-BE53-E9EE9C8324C2}" name="Tabla35101826364142444" displayName="Tabla35101826364142444" ref="N15:R135" totalsRowCount="1" headerRowDxfId="974" dataDxfId="973" totalsRowDxfId="971" tableBorderDxfId="972" dataCellStyle="Millares">
  <autoFilter ref="N15:R134" xr:uid="{00000000-0009-0000-0100-00000D000000}"/>
  <tableColumns count="5">
    <tableColumn id="1" xr3:uid="{D85BC839-DC85-4222-92B4-C16B57BAEBDA}" name="COMISIONES" totalsRowFunction="sum" dataDxfId="970" totalsRowDxfId="969" dataCellStyle="Millares"/>
    <tableColumn id="2" xr3:uid="{4872DD4E-2078-44FE-80DD-4B17DAD41042}" name="IVA 21" totalsRowFunction="sum" dataDxfId="968" totalsRowDxfId="967" dataCellStyle="Millares">
      <calculatedColumnFormula>Tabla35101826364142444[[#This Row],[COMISIONES]]*0.21</calculatedColumnFormula>
    </tableColumn>
    <tableColumn id="3" xr3:uid="{F5E27B39-1EAD-4AF5-9B03-DACE534E92CB}" name="IVA 10,5" totalsRowFunction="sum" dataDxfId="966" totalsRowDxfId="965" dataCellStyle="Millares"/>
    <tableColumn id="4" xr3:uid="{7B0161B4-1A97-40D5-A654-8C6F682C7597}" name="Ret IIBB Caba" totalsRowFunction="sum" dataDxfId="964" totalsRowDxfId="963" dataCellStyle="Millares"/>
    <tableColumn id="5" xr3:uid="{3EE1B7FD-9BD8-4DCE-ABB1-A2CECEF6ED1D}" name="PERC IVA" totalsRowFunction="sum" dataDxfId="962" totalsRowDxfId="961" dataCellStyle="Millares"/>
  </tableColumns>
  <tableStyleInfo name="TableStyleLight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5C7DFFB-7D44-49C9-AD96-76EA6FA7A345}" name="Tabla356111927375152545" displayName="Tabla356111927375152545" ref="T15:X31" totalsRowCount="1" headerRowDxfId="960" dataDxfId="959" totalsRowDxfId="957" tableBorderDxfId="958" dataCellStyle="Millares">
  <autoFilter ref="T15:X30" xr:uid="{00000000-0009-0000-0100-00000E000000}"/>
  <tableColumns count="5">
    <tableColumn id="1" xr3:uid="{8D1F1BBD-97CC-4595-A8BF-63FF54281336}" name="COMISIONES" totalsRowFunction="sum" dataDxfId="956" totalsRowDxfId="955" dataCellStyle="Millares"/>
    <tableColumn id="2" xr3:uid="{D1FB490B-3E9F-41A2-AA05-88FC8E7F5375}" name="IVA 21" totalsRowFunction="sum" dataDxfId="954" totalsRowDxfId="953" dataCellStyle="Millares">
      <calculatedColumnFormula>Tabla356111927375152545[[#This Row],[COMISIONES]]*0.21</calculatedColumnFormula>
    </tableColumn>
    <tableColumn id="3" xr3:uid="{17409EE8-F290-4051-B787-521C9173026C}" name="IVA 10,5" totalsRowFunction="sum" dataDxfId="952" totalsRowDxfId="951" dataCellStyle="Millares"/>
    <tableColumn id="4" xr3:uid="{E3F8D2F5-9501-4DB8-A000-555B8035474C}" name="Ret IIBB Caba" totalsRowFunction="sum" dataDxfId="950" totalsRowDxfId="949" dataCellStyle="Millares"/>
    <tableColumn id="5" xr3:uid="{454BBC2F-3C2A-487E-B737-CF6CCE7774E2}" name="PERC IVA" totalsRowFunction="sum" dataDxfId="948" totalsRowDxfId="947" dataCellStyle="Millares"/>
  </tableColumns>
  <tableStyleInfo name="TableStyleLight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B005B9A6-1687-4BD2-8BD4-1CF4574CC5BA}" name="Tabla6122028386162646" displayName="Tabla6122028386162646" ref="T33:X62" totalsRowCount="1" headerRowDxfId="946" totalsRowDxfId="945">
  <autoFilter ref="T33:X61" xr:uid="{00000000-0009-0000-0100-00000F000000}"/>
  <tableColumns count="5">
    <tableColumn id="1" xr3:uid="{5363CA93-4ECA-434C-ADA8-A8AEFDF48914}" name="COMISIONES" totalsRowFunction="sum" totalsRowDxfId="944"/>
    <tableColumn id="2" xr3:uid="{5D6F102A-579B-497F-A41C-0843562E84B5}" name="IVA 21" totalsRowFunction="sum" dataDxfId="943" totalsRowDxfId="942">
      <calculatedColumnFormula>Tabla6122028386162646[[#This Row],[COMISIONES]]*0.21</calculatedColumnFormula>
    </tableColumn>
    <tableColumn id="3" xr3:uid="{D0D977D1-3B59-41FE-9498-9DFE30E848DF}" name="IVA 10,5" totalsRowFunction="sum" totalsRowDxfId="941"/>
    <tableColumn id="4" xr3:uid="{FC96C666-C582-4C13-A6AB-C2D3BEA044AC}" name="Ret IIBB Caba" totalsRowFunction="sum" totalsRowDxfId="940"/>
    <tableColumn id="5" xr3:uid="{ED3FA029-D875-444C-983A-53C0F6457FE4}" name="PERC IVA" totalsRowFunction="sum" totalsRowDxfId="939"/>
  </tableColumns>
  <tableStyleInfo name="TableStyleLight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0F0DDD1-0C69-4F6B-86EA-6708BEBF8D91}" name="Tabla3568132129397172747" displayName="Tabla3568132129397172747" ref="Z15:AD169" totalsRowCount="1" headerRowDxfId="938" dataDxfId="937" totalsRowDxfId="935" tableBorderDxfId="936" dataCellStyle="Millares">
  <autoFilter ref="Z15:AD168" xr:uid="{00000000-0009-0000-0100-000010000000}"/>
  <tableColumns count="5">
    <tableColumn id="1" xr3:uid="{4B3757F5-7F47-4833-A77F-30037B4BF913}" name="COMISIONES" totalsRowFunction="sum" dataDxfId="934" totalsRowDxfId="933" dataCellStyle="Millares"/>
    <tableColumn id="2" xr3:uid="{7BC56A9C-1671-40FA-80C9-14EEC1B39EA6}" name="IVA 21" totalsRowFunction="sum" dataDxfId="932" totalsRowDxfId="931" dataCellStyle="Millares">
      <calculatedColumnFormula>Tabla3568132129397172747[[#This Row],[COMISIONES]]*0.21</calculatedColumnFormula>
    </tableColumn>
    <tableColumn id="3" xr3:uid="{D0059B18-0EC4-4587-9F60-8A9E40C4CCD0}" name="IVA 10,5" totalsRowFunction="sum" dataDxfId="930" totalsRowDxfId="929" dataCellStyle="Millares"/>
    <tableColumn id="4" xr3:uid="{5DFDDD7B-E7A5-46C9-8639-DFF76FF22A31}" name="Ret IIBB Caba" totalsRowFunction="sum" dataDxfId="928" totalsRowDxfId="927" dataCellStyle="Millares"/>
    <tableColumn id="5" xr3:uid="{C4D5CC28-9121-416A-A43D-DDD11D4893C9}" name="PERC IVA" totalsRowFunction="sum" dataDxfId="926" totalsRowDxfId="925" dataCellStyle="Millares"/>
  </tableColumns>
  <tableStyleInfo name="TableStyleLight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820C2E0E-06B3-4A38-8D52-216317EA014D}" name="Tabla356813142230408182848" displayName="Tabla356813142230408182848" ref="AF15:AJ26" totalsRowCount="1" headerRowDxfId="924" dataDxfId="923" totalsRowDxfId="921" tableBorderDxfId="922" dataCellStyle="Millares">
  <autoFilter ref="AF15:AJ25" xr:uid="{00000000-0009-0000-0100-000011000000}"/>
  <tableColumns count="5">
    <tableColumn id="1" xr3:uid="{4EB26343-F618-4227-AA71-C2B1A850B7D1}" name="COMISIONES" totalsRowFunction="sum" dataDxfId="920" totalsRowDxfId="919" dataCellStyle="Millares"/>
    <tableColumn id="2" xr3:uid="{5D45081C-E691-447C-80F2-08DB74B7F287}" name="IVA 21" totalsRowFunction="sum" dataDxfId="918" totalsRowDxfId="917" dataCellStyle="Millares">
      <calculatedColumnFormula>Tabla356813142230408182848[[#This Row],[COMISIONES]]*0.21</calculatedColumnFormula>
    </tableColumn>
    <tableColumn id="3" xr3:uid="{80EBD89F-F724-41A1-88B1-E3BFF9C115B1}" name="IVA 10,5" totalsRowFunction="sum" dataDxfId="916" totalsRowDxfId="915" dataCellStyle="Millares"/>
    <tableColumn id="4" xr3:uid="{A9501ED5-0F42-49BB-BF70-3F7048AE0B7F}" name="Ret IIBB Caba" totalsRowFunction="sum" dataDxfId="914" totalsRowDxfId="913" dataCellStyle="Millares"/>
    <tableColumn id="5" xr3:uid="{D3BFEE5A-6441-4E5C-A51A-5A19D410E125}" name="PERC IVA" totalsRowFunction="sum" dataDxfId="912" totalsRowDxfId="911" dataCellStyle="Millares"/>
  </tableColumns>
  <tableStyleInfo name="TableStyleLight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5E7332D-EE41-4B8F-8D74-EADE7107A154}" name="Tabla39152331419192949" displayName="Tabla39152331419192949" ref="H55:L102" totalsRowCount="1" headerRowDxfId="910" dataDxfId="909" totalsRowDxfId="907" tableBorderDxfId="908" dataCellStyle="Millares">
  <autoFilter ref="H55:L101" xr:uid="{00000000-0009-0000-0100-000012000000}"/>
  <tableColumns count="5">
    <tableColumn id="1" xr3:uid="{247480BD-58D2-4BAE-9F95-41859287835F}" name="COMISIONES" totalsRowFunction="sum" dataDxfId="906" totalsRowDxfId="905" dataCellStyle="Millares"/>
    <tableColumn id="2" xr3:uid="{76B66961-958B-466C-9DA3-AA4DCD12CED8}" name="IVA 21" totalsRowFunction="sum" dataDxfId="904" totalsRowDxfId="903" dataCellStyle="Millares">
      <calculatedColumnFormula>Tabla39152331419192949[[#This Row],[COMISIONES]]*0.21</calculatedColumnFormula>
    </tableColumn>
    <tableColumn id="3" xr3:uid="{948EF222-33CA-4FB3-BF2E-186E04B6F3CD}" name="IVA 10,5" totalsRowFunction="sum" dataDxfId="902" totalsRowDxfId="901" dataCellStyle="Millares"/>
    <tableColumn id="4" xr3:uid="{40A55FA9-1A00-4EE0-811C-4B77EF85738F}" name="Ret IIBB Caba" totalsRowFunction="sum" dataDxfId="900" totalsRowDxfId="899" dataCellStyle="Millares"/>
    <tableColumn id="5" xr3:uid="{8F004A28-216E-4DC0-A3EE-1CD86B33283E}" name="PERC IVA" totalsRowFunction="sum" dataDxfId="898" totalsRowDxfId="897" dataCellStyle="Millares"/>
  </tableColumns>
  <tableStyleInfo name="TableStyleLight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FFF1210E-5BAB-4A99-809E-E011ADAC125B}" name="Tabla6122028334210203050" displayName="Tabla6122028334210203050" ref="T65:X94" totalsRowCount="1" headerRowDxfId="896" totalsRowDxfId="895">
  <autoFilter ref="T65:X93" xr:uid="{00000000-0009-0000-0100-000013000000}"/>
  <tableColumns count="5">
    <tableColumn id="1" xr3:uid="{EE544E80-F9DB-4E92-9547-4FAE9CEEA7A0}" name="COMISIONES" totalsRowFunction="sum" totalsRowDxfId="894"/>
    <tableColumn id="2" xr3:uid="{9D0E9717-805F-4B95-95AE-84FDBEBB3E54}" name="IVA 21" totalsRowFunction="sum" dataDxfId="893" totalsRowDxfId="892">
      <calculatedColumnFormula>Tabla6122028334210203050[[#This Row],[COMISIONES]]*0.21</calculatedColumnFormula>
    </tableColumn>
    <tableColumn id="3" xr3:uid="{DB48E699-DEFD-49D9-B89B-DB6A013F0E09}" name="IVA 10,5" totalsRowFunction="sum" totalsRowDxfId="891"/>
    <tableColumn id="4" xr3:uid="{03676DC6-41A8-440C-B35A-9B039EF951F8}" name="Ret IIBB Caba" totalsRowFunction="sum" totalsRowDxfId="890"/>
    <tableColumn id="5" xr3:uid="{CD8A547C-A425-4B14-9AFB-9076AC6CE733}" name="PERC IVA" totalsRowFunction="sum" totalsRowDxfId="889"/>
  </tableColumns>
  <tableStyleInfo name="TableStyleLight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7EFB7399-9BC8-4E05-8E41-D2282A7773DC}" name="Tabla356111927344311213151" displayName="Tabla356111927344311213151" ref="AK15:AO31" totalsRowCount="1" headerRowDxfId="888" dataDxfId="887" totalsRowDxfId="885" tableBorderDxfId="886" dataCellStyle="Millares">
  <autoFilter ref="AK15:AO30" xr:uid="{00000000-0009-0000-0100-000014000000}"/>
  <tableColumns count="5">
    <tableColumn id="1" xr3:uid="{47DE03B2-6BE7-4807-8B99-B0CE81F15410}" name="COMISIONES" totalsRowFunction="sum" dataDxfId="884" totalsRowDxfId="883" dataCellStyle="Millares"/>
    <tableColumn id="2" xr3:uid="{D4B0A34C-F9AD-4692-B44A-D627025D2AED}" name="IVA 21" totalsRowFunction="sum" dataDxfId="882" totalsRowDxfId="881" dataCellStyle="Millares">
      <calculatedColumnFormula>Tabla356111927344311213151[[#This Row],[COMISIONES]]*0.21</calculatedColumnFormula>
    </tableColumn>
    <tableColumn id="3" xr3:uid="{CF1D0DEA-A030-4FCB-9704-D76649ED3C9A}" name="IVA 10,5" totalsRowFunction="sum" dataDxfId="880" totalsRowDxfId="879" dataCellStyle="Millares"/>
    <tableColumn id="4" xr3:uid="{83B33B69-7803-4145-B22E-CF4CFB6DF963}" name="Ret IIBB Caba" totalsRowFunction="sum" dataDxfId="878" totalsRowDxfId="877" dataCellStyle="Millares"/>
    <tableColumn id="5" xr3:uid="{464F000D-E7A9-473D-BABC-38A73AF8D5B3}" name="PERC IVA" totalsRowFunction="sum" dataDxfId="876" totalsRowDxfId="875" dataCellStyle="Millares"/>
  </tableColumns>
  <tableStyleInfo name="TableStyleLight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DAB98A7A-0A85-457B-B75D-F3E6A8B6B837}" name="Tabla13162432212223382" displayName="Tabla13162432212223382" ref="B15:F61" totalsRowCount="1" headerRowDxfId="499" totalsRowDxfId="498">
  <autoFilter ref="B15:F60" xr:uid="{00000000-0009-0000-0100-00000B000000}"/>
  <tableColumns count="5">
    <tableColumn id="1" xr3:uid="{E31F6FB9-8C2A-424D-9E51-45FE5CEAFD40}" name="COMISIONES" totalsRowFunction="sum" dataDxfId="497" totalsRowDxfId="419"/>
    <tableColumn id="2" xr3:uid="{8D625BF0-3BAE-4161-9564-51D846175412}" name="IVA 21" totalsRowFunction="sum" dataDxfId="496" totalsRowDxfId="418">
      <calculatedColumnFormula>Tabla13162432212223382[[#This Row],[COMISIONES]]*0.21</calculatedColumnFormula>
    </tableColumn>
    <tableColumn id="3" xr3:uid="{85B5C2A1-0C3F-496E-B398-1E1EACE007C2}" name="IVA 10,5" totalsRowFunction="sum" dataDxfId="495" totalsRowDxfId="417"/>
    <tableColumn id="4" xr3:uid="{F789D439-F766-491B-9CA0-4883585F1BEC}" name="Ret IIBB Caba" totalsRowFunction="sum" dataDxfId="494" totalsRowDxfId="416"/>
    <tableColumn id="5" xr3:uid="{3F0C432A-BBEB-4A1B-8D4C-0D0CE4A8BA76}" name="PERC IVA" totalsRowFunction="sum" totalsRowDxfId="415"/>
  </tableColumns>
  <tableStyleInfo name="TableStyleLight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921AB949-87FE-4C30-904B-ACD3824B4FE4}" name="Tabla39172535313233483" displayName="Tabla39172535313233483" ref="H15:L53" totalsRowCount="1" headerRowDxfId="493" dataDxfId="492" totalsRowDxfId="491" tableBorderDxfId="490" dataCellStyle="Millares">
  <autoFilter ref="H15:L52" xr:uid="{00000000-0009-0000-0100-00000C000000}"/>
  <tableColumns count="5">
    <tableColumn id="1" xr3:uid="{0BFF6C58-1D1C-4425-A40F-867D3F3BCA28}" name="COMISIONES" totalsRowFunction="sum" dataDxfId="489" totalsRowDxfId="414" dataCellStyle="Millares"/>
    <tableColumn id="2" xr3:uid="{3C02982A-9ECB-4D91-97AA-5FA9670FCCF9}" name="IVA 21" totalsRowFunction="sum" dataDxfId="488" totalsRowDxfId="413" dataCellStyle="Millares">
      <calculatedColumnFormula>Tabla39172535313233483[[#This Row],[COMISIONES]]*0.21</calculatedColumnFormula>
    </tableColumn>
    <tableColumn id="3" xr3:uid="{3B09714F-9251-42CD-AFE9-FEFF4378E239}" name="IVA 10,5" totalsRowFunction="sum" dataDxfId="487" totalsRowDxfId="412" dataCellStyle="Millares"/>
    <tableColumn id="4" xr3:uid="{A480E064-94BE-4C2C-93B8-DF9CE48D2B08}" name="Ret IIBB Caba" totalsRowFunction="sum" dataDxfId="486" totalsRowDxfId="411" dataCellStyle="Millares"/>
    <tableColumn id="5" xr3:uid="{AC67E61E-4B7D-4B0E-9EA5-43FF3F2034BA}" name="PERC IVA" totalsRowFunction="sum" dataDxfId="485" totalsRowDxfId="410" dataCellStyle="Millares"/>
  </tableColumns>
  <tableStyleInfo name="TableStyleLight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94336275-46FF-4C25-999B-E931F94DD25D}" name="Tabla3510182636414244484" displayName="Tabla3510182636414244484" ref="N15:R135" totalsRowCount="1" headerRowDxfId="484" dataDxfId="483" totalsRowDxfId="482" tableBorderDxfId="481" dataCellStyle="Millares">
  <autoFilter ref="N15:R134" xr:uid="{00000000-0009-0000-0100-00000D000000}"/>
  <tableColumns count="5">
    <tableColumn id="1" xr3:uid="{BDB598A0-5DF8-46DE-9B6B-EF67EE63DD8B}" name="COMISIONES" totalsRowFunction="sum" dataDxfId="480" totalsRowDxfId="409" dataCellStyle="Millares"/>
    <tableColumn id="2" xr3:uid="{A41D6ADD-4F3D-475F-9154-A566FD1B2CE1}" name="IVA 21" totalsRowFunction="sum" dataDxfId="479" totalsRowDxfId="408" dataCellStyle="Millares">
      <calculatedColumnFormula>Tabla3510182636414244484[[#This Row],[COMISIONES]]*0.21</calculatedColumnFormula>
    </tableColumn>
    <tableColumn id="3" xr3:uid="{04BCB208-8E2B-48B7-AC2F-92BA356A62F7}" name="IVA 10,5" totalsRowFunction="sum" dataDxfId="478" totalsRowDxfId="407" dataCellStyle="Millares"/>
    <tableColumn id="4" xr3:uid="{4BA37D8D-E4E7-468C-9548-5B1B8D3F72BC}" name="Ret IIBB Caba" totalsRowFunction="sum" dataDxfId="477" totalsRowDxfId="406" dataCellStyle="Millares"/>
    <tableColumn id="5" xr3:uid="{A10483C0-B4FA-4B08-80C8-33069EBDF80D}" name="PERC IVA" totalsRowFunction="sum" dataDxfId="476" totalsRowDxfId="405" dataCellStyle="Millares"/>
  </tableColumns>
  <tableStyleInfo name="TableStyleLight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C8282B6D-FD0F-4D54-ABCB-45084C420075}" name="Tabla35611192737515254585" displayName="Tabla35611192737515254585" ref="T15:X31" totalsRowCount="1" headerRowDxfId="475" dataDxfId="474" totalsRowDxfId="473" tableBorderDxfId="472" dataCellStyle="Millares">
  <autoFilter ref="T15:X30" xr:uid="{00000000-0009-0000-0100-00000E000000}"/>
  <tableColumns count="5">
    <tableColumn id="1" xr3:uid="{78A90EDC-4F88-4667-9C54-DA1292BEE718}" name="COMISIONES" totalsRowFunction="sum" dataDxfId="471" totalsRowDxfId="404" dataCellStyle="Millares"/>
    <tableColumn id="2" xr3:uid="{7A51CBE0-0418-445D-B39E-F7270A36A7CA}" name="IVA 21" totalsRowFunction="sum" dataDxfId="470" totalsRowDxfId="403" dataCellStyle="Millares">
      <calculatedColumnFormula>Tabla35611192737515254585[[#This Row],[COMISIONES]]*0.21</calculatedColumnFormula>
    </tableColumn>
    <tableColumn id="3" xr3:uid="{46CA1185-41D2-49B4-9BB6-A490F68DB0D0}" name="IVA 10,5" totalsRowFunction="sum" dataDxfId="469" totalsRowDxfId="402" dataCellStyle="Millares"/>
    <tableColumn id="4" xr3:uid="{38F2F8A8-1B6D-41D1-BD48-6B0700CC9C40}" name="Ret IIBB Caba" totalsRowFunction="sum" dataDxfId="468" totalsRowDxfId="401" dataCellStyle="Millares"/>
    <tableColumn id="5" xr3:uid="{C2DBB9FC-EDF0-4CB1-9726-284FD2B1CFA5}" name="PERC IVA" totalsRowFunction="sum" dataDxfId="467" totalsRowDxfId="400" dataCellStyle="Millares"/>
  </tableColumns>
  <tableStyleInfo name="TableStyleLight8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D42F912B-B59E-49AC-A93A-D72979C18CA1}" name="Tabla612202838616264686" displayName="Tabla612202838616264686" ref="T33:X62" totalsRowCount="1" headerRowDxfId="466" totalsRowDxfId="465">
  <autoFilter ref="T33:X61" xr:uid="{00000000-0009-0000-0100-00000F000000}"/>
  <tableColumns count="5">
    <tableColumn id="1" xr3:uid="{75FFF34E-B5FF-4286-B9A3-ABFD2389C5B1}" name="COMISIONES" totalsRowFunction="sum" totalsRowDxfId="384"/>
    <tableColumn id="2" xr3:uid="{CB627DE3-6D2A-4134-ADC7-23E5BF69E86D}" name="IVA 21" totalsRowFunction="sum" dataDxfId="464" totalsRowDxfId="383">
      <calculatedColumnFormula>Tabla612202838616264686[[#This Row],[COMISIONES]]*0.21</calculatedColumnFormula>
    </tableColumn>
    <tableColumn id="3" xr3:uid="{9C203EB6-C423-4CC1-8B2C-5BD98B852135}" name="IVA 10,5" totalsRowFunction="sum" totalsRowDxfId="382"/>
    <tableColumn id="4" xr3:uid="{72761A30-14A0-4E91-BB1B-E7065C756524}" name="Ret IIBB Caba" totalsRowFunction="sum" totalsRowDxfId="381"/>
    <tableColumn id="5" xr3:uid="{11FDEB6E-B761-4A3E-B08D-5B4A132F7086}" name="PERC IVA" totalsRowFunction="sum" totalsRowDxfId="380"/>
  </tableColumns>
  <tableStyleInfo name="TableStyleLight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E3E02A2A-BD0E-44CE-ADBB-F1D5EC093700}" name="Tabla356813212939717274787" displayName="Tabla356813212939717274787" ref="Z15:AD169" totalsRowCount="1" headerRowDxfId="463" dataDxfId="462" totalsRowDxfId="461" tableBorderDxfId="460" dataCellStyle="Millares">
  <autoFilter ref="Z15:AD168" xr:uid="{00000000-0009-0000-0100-000010000000}"/>
  <tableColumns count="5">
    <tableColumn id="1" xr3:uid="{416C6A71-BCEA-4A6C-ACAB-4CAF5123665E}" name="COMISIONES" totalsRowFunction="sum" dataDxfId="459" totalsRowDxfId="394" dataCellStyle="Millares"/>
    <tableColumn id="2" xr3:uid="{3DBB5505-247A-4F05-9F6C-CAFECA0371DB}" name="IVA 21" totalsRowFunction="sum" dataDxfId="458" totalsRowDxfId="393" dataCellStyle="Millares">
      <calculatedColumnFormula>Tabla356813212939717274787[[#This Row],[COMISIONES]]*0.21</calculatedColumnFormula>
    </tableColumn>
    <tableColumn id="3" xr3:uid="{BE05777C-0344-4AE9-8537-262AAF722ADE}" name="IVA 10,5" totalsRowFunction="sum" dataDxfId="457" totalsRowDxfId="392" dataCellStyle="Millares"/>
    <tableColumn id="4" xr3:uid="{7523E487-3AA0-4A60-A6B7-A923D177FB02}" name="Ret IIBB Caba" totalsRowFunction="sum" dataDxfId="456" totalsRowDxfId="391" dataCellStyle="Millares"/>
    <tableColumn id="5" xr3:uid="{91904C7B-8A71-4997-BBAC-7C6388778B59}" name="PERC IVA" totalsRowFunction="sum" dataDxfId="455" totalsRowDxfId="390" dataCellStyle="Millares"/>
  </tableColumns>
  <tableStyleInfo name="TableStyleLight8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5741643C-EDFC-4CB7-9EEE-B153202178CB}" name="Tabla35681314223040818284888" displayName="Tabla35681314223040818284888" ref="AF15:AJ26" totalsRowCount="1" headerRowDxfId="454" dataDxfId="453" totalsRowDxfId="452" tableBorderDxfId="451" dataCellStyle="Millares">
  <autoFilter ref="AF15:AJ25" xr:uid="{00000000-0009-0000-0100-000011000000}"/>
  <tableColumns count="5">
    <tableColumn id="1" xr3:uid="{8E9166B2-751A-40AC-BCC3-E45C45420C0F}" name="COMISIONES" totalsRowFunction="sum" dataDxfId="450" totalsRowDxfId="399" dataCellStyle="Millares"/>
    <tableColumn id="2" xr3:uid="{811B0C5D-B092-4CDA-9E39-C99D62B04CCC}" name="IVA 21" totalsRowFunction="sum" dataDxfId="449" totalsRowDxfId="398" dataCellStyle="Millares">
      <calculatedColumnFormula>Tabla35681314223040818284888[[#This Row],[COMISIONES]]*0.21</calculatedColumnFormula>
    </tableColumn>
    <tableColumn id="3" xr3:uid="{47CE4A76-5045-4583-A085-54CF5C07AF91}" name="IVA 10,5" totalsRowFunction="sum" dataDxfId="448" totalsRowDxfId="397" dataCellStyle="Millares"/>
    <tableColumn id="4" xr3:uid="{72743D10-4ACE-454A-84EF-5FD74C53B32E}" name="Ret IIBB Caba" totalsRowFunction="sum" dataDxfId="447" totalsRowDxfId="396" dataCellStyle="Millares"/>
    <tableColumn id="5" xr3:uid="{DF13C884-49D7-4D04-B607-81EE2D0C692F}" name="PERC IVA" totalsRowFunction="sum" dataDxfId="446" totalsRowDxfId="395" dataCellStyle="Millares"/>
  </tableColumns>
  <tableStyleInfo name="TableStyleLight8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46D4726F-E098-4EEF-9BA4-3BD609BDCC92}" name="Tabla3915233141919294989" displayName="Tabla3915233141919294989" ref="H55:L102" totalsRowCount="1" headerRowDxfId="445" dataDxfId="444" totalsRowDxfId="443" tableBorderDxfId="442" dataCellStyle="Millares">
  <autoFilter ref="H55:L101" xr:uid="{00000000-0009-0000-0100-000012000000}"/>
  <tableColumns count="5">
    <tableColumn id="1" xr3:uid="{8608DD4B-A528-434A-A166-58F385485B87}" name="COMISIONES" totalsRowFunction="sum" dataDxfId="441" totalsRowDxfId="389" dataCellStyle="Millares"/>
    <tableColumn id="2" xr3:uid="{00294658-458D-4EEE-BE60-EC87B48D3869}" name="IVA 21" totalsRowFunction="sum" dataDxfId="440" totalsRowDxfId="388" dataCellStyle="Millares">
      <calculatedColumnFormula>Tabla3915233141919294989[[#This Row],[COMISIONES]]*0.21</calculatedColumnFormula>
    </tableColumn>
    <tableColumn id="3" xr3:uid="{00A748D3-52FC-4134-A8F2-B470D9911715}" name="IVA 10,5" totalsRowFunction="sum" dataDxfId="439" totalsRowDxfId="387" dataCellStyle="Millares"/>
    <tableColumn id="4" xr3:uid="{60CEBEE7-047A-453D-80E1-C0E3178AECD5}" name="Ret IIBB Caba" totalsRowFunction="sum" dataDxfId="438" totalsRowDxfId="386" dataCellStyle="Millares"/>
    <tableColumn id="5" xr3:uid="{F925075D-BE83-4B1A-9F3E-2DD7352458DC}" name="PERC IVA" totalsRowFunction="sum" dataDxfId="437" totalsRowDxfId="385" dataCellStyle="Millares"/>
  </tableColumns>
  <tableStyleInfo name="TableStyleLight8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F5E9284-F8C1-4C81-820E-0E6DFC399B1B}" name="Tabla612202833421020305090" displayName="Tabla612202833421020305090" ref="T65:X94" totalsRowCount="1" headerRowDxfId="436" totalsRowDxfId="435">
  <autoFilter ref="T65:X93" xr:uid="{00000000-0009-0000-0100-000013000000}"/>
  <tableColumns count="5">
    <tableColumn id="1" xr3:uid="{22A3AF5D-487D-4559-AAAC-1F52EA9FD2DA}" name="COMISIONES" totalsRowFunction="sum" totalsRowDxfId="434"/>
    <tableColumn id="2" xr3:uid="{9469B902-C8BE-43D2-8A4D-A484B2065478}" name="IVA 21" totalsRowFunction="sum" dataDxfId="432" totalsRowDxfId="433">
      <calculatedColumnFormula>Tabla612202833421020305090[[#This Row],[COMISIONES]]*0.21</calculatedColumnFormula>
    </tableColumn>
    <tableColumn id="3" xr3:uid="{E839C8BF-7E1D-4C1E-A68D-E9D32DC8DDAA}" name="IVA 10,5" totalsRowFunction="sum" totalsRowDxfId="431"/>
    <tableColumn id="4" xr3:uid="{1CEB8CB9-A9C2-4D2E-B989-CE98AD770984}" name="Ret IIBB Caba" totalsRowFunction="sum" totalsRowDxfId="430"/>
    <tableColumn id="5" xr3:uid="{1B972833-55E3-4568-B538-2E5707807FAF}" name="PERC IVA" totalsRowFunction="sum" totalsRowDxfId="429"/>
  </tableColumns>
  <tableStyleInfo name="TableStyleLight8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54EACAA7-53D5-4FCF-AB3A-F87B4361EB13}" name="Tabla35611192734431121315191" displayName="Tabla35611192734431121315191" ref="AK15:AO31" totalsRowCount="1" headerRowDxfId="428" dataDxfId="427" totalsRowDxfId="426" tableBorderDxfId="425" dataCellStyle="Millares">
  <autoFilter ref="AK15:AO30" xr:uid="{00000000-0009-0000-0100-000014000000}"/>
  <tableColumns count="5">
    <tableColumn id="1" xr3:uid="{CFC73729-0256-4FB9-821D-00A0F31A0EBE}" name="COMISIONES" totalsRowFunction="sum" dataDxfId="424" totalsRowDxfId="379" dataCellStyle="Millares"/>
    <tableColumn id="2" xr3:uid="{1EF7E2FE-96CC-4984-A3D3-44D06015B5B8}" name="IVA 21" totalsRowFunction="sum" dataDxfId="423" totalsRowDxfId="378" dataCellStyle="Millares">
      <calculatedColumnFormula>Tabla35611192734431121315191[[#This Row],[COMISIONES]]*0.21</calculatedColumnFormula>
    </tableColumn>
    <tableColumn id="3" xr3:uid="{E708266A-0CA9-4112-A725-5F1EF5144556}" name="IVA 10,5" totalsRowFunction="sum" dataDxfId="422" totalsRowDxfId="377" dataCellStyle="Millares"/>
    <tableColumn id="4" xr3:uid="{83F22C4D-E0FA-414E-9377-F4773EB77F0D}" name="Ret IIBB Caba" totalsRowFunction="sum" dataDxfId="421" totalsRowDxfId="376" dataCellStyle="Millares"/>
    <tableColumn id="5" xr3:uid="{87DB21B9-03EA-4370-8A1D-D3F38CAABE6F}" name="PERC IVA" totalsRowFunction="sum" dataDxfId="420" totalsRowDxfId="375" dataCellStyle="Millares"/>
  </tableColumns>
  <tableStyleInfo name="TableStyleLight8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3E84BB51-D275-42BB-9373-ED0951A16338}" name="Tabla1316243221222338292" displayName="Tabla1316243221222338292" ref="B15:F61" totalsRowCount="1" headerRowDxfId="374" totalsRowDxfId="373">
  <autoFilter ref="B15:F60" xr:uid="{00000000-0009-0000-0100-00000B000000}"/>
  <tableColumns count="5">
    <tableColumn id="1" xr3:uid="{01C7666A-4A74-48FE-9405-E570A616742D}" name="COMISIONES" totalsRowFunction="sum" dataDxfId="372" totalsRowDxfId="64"/>
    <tableColumn id="2" xr3:uid="{2BBECA63-3512-42FD-B6F7-BE589DDD8034}" name="IVA 21" totalsRowFunction="sum" dataDxfId="371" totalsRowDxfId="63">
      <calculatedColumnFormula>Tabla1316243221222338292[[#This Row],[COMISIONES]]*0.21</calculatedColumnFormula>
    </tableColumn>
    <tableColumn id="3" xr3:uid="{1FAB87AC-3A8D-4755-AE91-08D1A1000917}" name="IVA 10,5" totalsRowFunction="sum" dataDxfId="370" totalsRowDxfId="62"/>
    <tableColumn id="4" xr3:uid="{A552AE65-C515-4BCE-987D-C217C34A77EE}" name="Ret IIBB Caba" totalsRowFunction="sum" dataDxfId="369" totalsRowDxfId="61"/>
    <tableColumn id="5" xr3:uid="{FE567454-515F-4768-991C-BF14735E372F}" name="PERC IVA" totalsRowFunction="sum" totalsRowDxfId="60"/>
  </tableColumns>
  <tableStyleInfo name="TableStyleLight8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4B741ACE-0327-499B-9B48-429080495122}" name="Tabla3917253531323348393" displayName="Tabla3917253531323348393" ref="H15:L53" totalsRowCount="1" headerRowDxfId="368" dataDxfId="367" totalsRowDxfId="366" tableBorderDxfId="365" dataCellStyle="Millares">
  <autoFilter ref="H15:L52" xr:uid="{00000000-0009-0000-0100-00000C000000}"/>
  <tableColumns count="5">
    <tableColumn id="1" xr3:uid="{C329D293-02D8-4591-8A49-52BB8EDB41C6}" name="COMISIONES" totalsRowFunction="sum" dataDxfId="363" totalsRowDxfId="364" dataCellStyle="Millares"/>
    <tableColumn id="2" xr3:uid="{FF8F2D58-B3F8-4255-930F-3BDCB083930B}" name="IVA 21" totalsRowFunction="sum" dataDxfId="361" totalsRowDxfId="362" dataCellStyle="Millares">
      <calculatedColumnFormula>Tabla3917253531323348393[[#This Row],[COMISIONES]]*0.21</calculatedColumnFormula>
    </tableColumn>
    <tableColumn id="3" xr3:uid="{042FB6B5-BFCE-43B2-A665-F1C1372607D5}" name="IVA 10,5" totalsRowFunction="sum" dataDxfId="359" totalsRowDxfId="360" dataCellStyle="Millares"/>
    <tableColumn id="4" xr3:uid="{61C6D331-B8E4-434C-92AB-705D3B5D92D0}" name="Ret IIBB Caba" totalsRowFunction="sum" dataDxfId="357" totalsRowDxfId="358" dataCellStyle="Millares"/>
    <tableColumn id="5" xr3:uid="{4F1D8E86-2A6A-471D-9CF6-E030595F51EE}" name="PERC IVA" totalsRowFunction="sum" dataDxfId="355" totalsRowDxfId="356" dataCellStyle="Millares"/>
  </tableColumns>
  <tableStyleInfo name="TableStyleLight8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2213BBAF-DA21-47E2-910C-5A9B701B5870}" name="Tabla351018263641424448494" displayName="Tabla351018263641424448494" ref="N15:R135" totalsRowCount="1" headerRowDxfId="354" dataDxfId="353" totalsRowDxfId="352" tableBorderDxfId="351" dataCellStyle="Millares">
  <autoFilter ref="N15:R134" xr:uid="{00000000-0009-0000-0100-00000D000000}"/>
  <tableColumns count="5">
    <tableColumn id="1" xr3:uid="{DCCE7AA4-E3D1-4F49-AFA2-C78686198DFB}" name="COMISIONES" totalsRowFunction="sum" dataDxfId="349" totalsRowDxfId="350" dataCellStyle="Millares"/>
    <tableColumn id="2" xr3:uid="{347CF691-2648-4859-8CF3-C7DE674E8FF1}" name="IVA 21" totalsRowFunction="sum" dataDxfId="347" totalsRowDxfId="348" dataCellStyle="Millares">
      <calculatedColumnFormula>Tabla351018263641424448494[[#This Row],[COMISIONES]]*0.21</calculatedColumnFormula>
    </tableColumn>
    <tableColumn id="3" xr3:uid="{7872D6B7-48AB-4F85-8BB3-2EEC46C56285}" name="IVA 10,5" totalsRowFunction="sum" dataDxfId="345" totalsRowDxfId="346" dataCellStyle="Millares"/>
    <tableColumn id="4" xr3:uid="{511CB6FA-72FC-4306-8DC2-DE2AD883DC25}" name="Ret IIBB Caba" totalsRowFunction="sum" dataDxfId="343" totalsRowDxfId="344" dataCellStyle="Millares"/>
    <tableColumn id="5" xr3:uid="{6F806C42-E9D6-40D3-836A-E501844CAF63}" name="PERC IVA" totalsRowFunction="sum" dataDxfId="341" totalsRowDxfId="342" dataCellStyle="Millares"/>
  </tableColumns>
  <tableStyleInfo name="TableStyleLight8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C6303DC-53CB-4474-9AF7-C7965317E90A}" name="Tabla3561119273751525458595" displayName="Tabla3561119273751525458595" ref="T15:X31" totalsRowCount="1" headerRowDxfId="340" dataDxfId="339" totalsRowDxfId="338" tableBorderDxfId="337" dataCellStyle="Millares">
  <autoFilter ref="T15:X30" xr:uid="{00000000-0009-0000-0100-00000E000000}"/>
  <tableColumns count="5">
    <tableColumn id="1" xr3:uid="{91BA521A-F7FA-4298-B00F-E87DB93AC5D1}" name="COMISIONES" totalsRowFunction="sum" dataDxfId="335" totalsRowDxfId="336" dataCellStyle="Millares"/>
    <tableColumn id="2" xr3:uid="{C34202C8-16D4-49A1-AE99-E5FFE3105DB9}" name="IVA 21" totalsRowFunction="sum" dataDxfId="333" totalsRowDxfId="334" dataCellStyle="Millares">
      <calculatedColumnFormula>Tabla3561119273751525458595[[#This Row],[COMISIONES]]*0.21</calculatedColumnFormula>
    </tableColumn>
    <tableColumn id="3" xr3:uid="{F0206D2F-927E-44C6-8093-E4DCF89AEF07}" name="IVA 10,5" totalsRowFunction="sum" dataDxfId="331" totalsRowDxfId="332" dataCellStyle="Millares"/>
    <tableColumn id="4" xr3:uid="{BFEB1D56-782C-49B6-B849-0C9044A3FBEB}" name="Ret IIBB Caba" totalsRowFunction="sum" dataDxfId="329" totalsRowDxfId="330" dataCellStyle="Millares"/>
    <tableColumn id="5" xr3:uid="{A5AC6445-AD43-4611-9E97-ED89B1808D9C}" name="PERC IVA" totalsRowFunction="sum" dataDxfId="327" totalsRowDxfId="328" dataCellStyle="Millares"/>
  </tableColumns>
  <tableStyleInfo name="TableStyleLight8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1A61B2C1-4FC4-43F1-BF6E-0C398ACE6E2C}" name="Tabla61220283861626468696" displayName="Tabla61220283861626468696" ref="T33:X62" totalsRowCount="1" headerRowDxfId="326" totalsRowDxfId="325">
  <autoFilter ref="T33:X61" xr:uid="{00000000-0009-0000-0100-00000F000000}"/>
  <tableColumns count="5">
    <tableColumn id="1" xr3:uid="{D99A70D6-6E17-44C8-976B-5B2B5C9B22FB}" name="COMISIONES" totalsRowFunction="sum" totalsRowDxfId="54"/>
    <tableColumn id="2" xr3:uid="{ABA4381A-C0A5-46D2-88C7-3687712FDAB2}" name="IVA 21" totalsRowFunction="sum" dataDxfId="280" totalsRowDxfId="53">
      <calculatedColumnFormula>Tabla61220283861626468696[[#This Row],[COMISIONES]]*0.21</calculatedColumnFormula>
    </tableColumn>
    <tableColumn id="3" xr3:uid="{50641B4C-E076-4536-97D8-ADBAA0E2C9DC}" name="IVA 10,5" totalsRowFunction="sum" totalsRowDxfId="52"/>
    <tableColumn id="4" xr3:uid="{9E88ACBE-6B40-4A7E-95A9-09C9C4B3170A}" name="Ret IIBB Caba" totalsRowFunction="sum" totalsRowDxfId="51"/>
    <tableColumn id="5" xr3:uid="{7EFA28D1-549E-401B-AD14-32366133BF79}" name="PERC IVA" totalsRowFunction="sum" totalsRowDxfId="50"/>
  </tableColumns>
  <tableStyleInfo name="TableStyleLight8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30E395DC-2FC9-498D-8570-5DBB9E423BCB}" name="Tabla35681321293971727478797" displayName="Tabla35681321293971727478797" ref="Z15:AD169" totalsRowCount="1" headerRowDxfId="324" dataDxfId="323" totalsRowDxfId="322" tableBorderDxfId="321" dataCellStyle="Millares">
  <autoFilter ref="Z15:AD168" xr:uid="{00000000-0009-0000-0100-000010000000}"/>
  <tableColumns count="5">
    <tableColumn id="1" xr3:uid="{B659E33D-B7CE-4C04-A47E-59097059BD5C}" name="COMISIONES" totalsRowFunction="sum" dataDxfId="320" totalsRowDxfId="279" dataCellStyle="Millares"/>
    <tableColumn id="2" xr3:uid="{523C0CD0-AB36-450E-898E-32EC97BFBF55}" name="IVA 21" totalsRowFunction="sum" dataDxfId="319" totalsRowDxfId="278" dataCellStyle="Millares">
      <calculatedColumnFormula>Tabla35681321293971727478797[[#This Row],[COMISIONES]]*0.21</calculatedColumnFormula>
    </tableColumn>
    <tableColumn id="3" xr3:uid="{50F78DB1-169A-4FDB-AC33-C393E2D3E87E}" name="IVA 10,5" totalsRowFunction="sum" dataDxfId="318" totalsRowDxfId="277" dataCellStyle="Millares"/>
    <tableColumn id="4" xr3:uid="{A24D5E09-BA52-49FF-B498-2CBB44BC7319}" name="Ret IIBB Caba" totalsRowFunction="sum" dataDxfId="317" totalsRowDxfId="276" dataCellStyle="Millares"/>
    <tableColumn id="5" xr3:uid="{A0615C35-270F-4010-93EF-554FB6FE5DDB}" name="PERC IVA" totalsRowFunction="sum" dataDxfId="316" totalsRowDxfId="275" dataCellStyle="Millares"/>
  </tableColumns>
  <tableStyleInfo name="TableStyleLight8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5A69F697-0BF6-424C-8A38-73AB9CD698C5}" name="Tabla3568131422304081828488898" displayName="Tabla3568131422304081828488898" ref="AF15:AJ26" totalsRowCount="1" headerRowDxfId="315" dataDxfId="314" totalsRowDxfId="313" tableBorderDxfId="312" dataCellStyle="Millares">
  <autoFilter ref="AF15:AJ25" xr:uid="{00000000-0009-0000-0100-000011000000}"/>
  <tableColumns count="5">
    <tableColumn id="1" xr3:uid="{D5E81AC8-4C84-44D4-B777-D6CE7944D386}" name="COMISIONES" totalsRowFunction="sum" dataDxfId="310" totalsRowDxfId="311" dataCellStyle="Millares"/>
    <tableColumn id="2" xr3:uid="{1711D993-B028-4A5F-9982-F644FF0B976B}" name="IVA 21" totalsRowFunction="sum" dataDxfId="308" totalsRowDxfId="309" dataCellStyle="Millares">
      <calculatedColumnFormula>Tabla3568131422304081828488898[[#This Row],[COMISIONES]]*0.21</calculatedColumnFormula>
    </tableColumn>
    <tableColumn id="3" xr3:uid="{927D49E2-E632-4482-A442-A0916627044B}" name="IVA 10,5" totalsRowFunction="sum" dataDxfId="306" totalsRowDxfId="307" dataCellStyle="Millares"/>
    <tableColumn id="4" xr3:uid="{59A6980F-0FDF-4254-89C3-5B8FAC4F46CA}" name="Ret IIBB Caba" totalsRowFunction="sum" dataDxfId="304" totalsRowDxfId="305" dataCellStyle="Millares"/>
    <tableColumn id="5" xr3:uid="{A031C421-15D8-441A-A967-5FBE45FADCF5}" name="PERC IVA" totalsRowFunction="sum" dataDxfId="302" totalsRowDxfId="303" dataCellStyle="Millares"/>
  </tableColumns>
  <tableStyleInfo name="TableStyleLight8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444D5088-29A8-4BC7-A600-7F3202256415}" name="Tabla391523314191929498999" displayName="Tabla391523314191929498999" ref="H55:L102" totalsRowCount="1" headerRowDxfId="301" dataDxfId="300" totalsRowDxfId="299" tableBorderDxfId="298" dataCellStyle="Millares">
  <autoFilter ref="H55:L101" xr:uid="{00000000-0009-0000-0100-000012000000}"/>
  <tableColumns count="5">
    <tableColumn id="1" xr3:uid="{CB6E3D42-9E1B-4827-8841-A321EEB94CCA}" name="COMISIONES" totalsRowFunction="sum" dataDxfId="297" totalsRowDxfId="59" dataCellStyle="Millares"/>
    <tableColumn id="2" xr3:uid="{290FBCAC-2F4A-46DA-A448-5895189A392B}" name="IVA 21" totalsRowFunction="sum" dataDxfId="296" totalsRowDxfId="58" dataCellStyle="Millares">
      <calculatedColumnFormula>Tabla391523314191929498999[[#This Row],[COMISIONES]]*0.21</calculatedColumnFormula>
    </tableColumn>
    <tableColumn id="3" xr3:uid="{EF7F2CE5-8999-4B8C-9399-986799CD04E6}" name="IVA 10,5" totalsRowFunction="sum" dataDxfId="295" totalsRowDxfId="57" dataCellStyle="Millares"/>
    <tableColumn id="4" xr3:uid="{3041DFAA-066B-4662-8C07-1DC13A8FCA9D}" name="Ret IIBB Caba" totalsRowFunction="sum" dataDxfId="294" totalsRowDxfId="56" dataCellStyle="Millares"/>
    <tableColumn id="5" xr3:uid="{F0B2D8EA-1AA0-42C8-8845-76250E219C6C}" name="PERC IVA" totalsRowFunction="sum" dataDxfId="293" totalsRowDxfId="55" dataCellStyle="Millares"/>
  </tableColumns>
  <tableStyleInfo name="TableStyleLight8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679C3E9E-CA49-4E95-BAF2-266DED7D5D3A}" name="Tabla612202833421020305090100" displayName="Tabla612202833421020305090100" ref="T65:X94" totalsRowCount="1" headerRowDxfId="292" totalsRowDxfId="291">
  <autoFilter ref="T65:X93" xr:uid="{00000000-0009-0000-0100-000013000000}"/>
  <tableColumns count="5">
    <tableColumn id="1" xr3:uid="{A21DEA36-C30D-4DC4-A51E-7C7643691F64}" name="COMISIONES" totalsRowFunction="sum" totalsRowDxfId="49"/>
    <tableColumn id="2" xr3:uid="{8BC64710-9E37-4AC2-B225-C9E9050CDA61}" name="IVA 21" totalsRowFunction="sum" dataDxfId="290" totalsRowDxfId="48">
      <calculatedColumnFormula>Tabla612202833421020305090100[[#This Row],[COMISIONES]]*0.21</calculatedColumnFormula>
    </tableColumn>
    <tableColumn id="3" xr3:uid="{F25C279E-9BA8-40EE-91D2-E39C2F27B6DF}" name="IVA 10,5" totalsRowFunction="sum" totalsRowDxfId="47"/>
    <tableColumn id="4" xr3:uid="{E9D0E4EA-F497-43CE-9CAE-ECC70437CE77}" name="Ret IIBB Caba" totalsRowFunction="sum" totalsRowDxfId="46"/>
    <tableColumn id="5" xr3:uid="{B8B6CC90-1600-4D6B-8450-D9091E59259E}" name="PERC IVA" totalsRowFunction="sum" totalsRowDxfId="45"/>
  </tableColumns>
  <tableStyleInfo name="TableStyleLight8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778D7AD3-4759-4B9D-9258-DB06D70C9136}" name="Tabla35611192734431121315191101" displayName="Tabla35611192734431121315191101" ref="AK15:AO31" totalsRowCount="1" headerRowDxfId="289" dataDxfId="288" totalsRowDxfId="287" tableBorderDxfId="286" dataCellStyle="Millares">
  <autoFilter ref="AK15:AO30" xr:uid="{00000000-0009-0000-0100-000014000000}"/>
  <tableColumns count="5">
    <tableColumn id="1" xr3:uid="{14570765-0A0E-447D-A90B-E043B58A26E9}" name="COMISIONES" totalsRowFunction="sum" dataDxfId="285" totalsRowDxfId="44" dataCellStyle="Millares"/>
    <tableColumn id="2" xr3:uid="{68AD0437-1773-4070-A888-9A8BCDCC1A37}" name="IVA 21" totalsRowFunction="sum" dataDxfId="284" totalsRowDxfId="43" dataCellStyle="Millares">
      <calculatedColumnFormula>Tabla35611192734431121315191101[[#This Row],[COMISIONES]]*0.21</calculatedColumnFormula>
    </tableColumn>
    <tableColumn id="3" xr3:uid="{15DD0C08-2869-4F70-A60C-A4B60520ED68}" name="IVA 10,5" totalsRowFunction="sum" dataDxfId="283" totalsRowDxfId="42" dataCellStyle="Millares"/>
    <tableColumn id="4" xr3:uid="{80DFDC11-2C3B-44E6-8925-7D5A0C9E022B}" name="Ret IIBB Caba" totalsRowFunction="sum" dataDxfId="282" totalsRowDxfId="41" dataCellStyle="Millares"/>
    <tableColumn id="5" xr3:uid="{99BAA470-824A-4FE5-8DFA-EB670D4512BF}" name="PERC IVA" totalsRowFunction="sum" dataDxfId="281" totalsRowDxfId="40" dataCellStyle="Millares"/>
  </tableColumns>
  <tableStyleInfo name="TableStyleLight8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1F5567A2-CB73-468E-83E3-0C585A1E4800}" name="Tabla1316243221222338292102" displayName="Tabla1316243221222338292102" ref="B15:F61" totalsRowCount="1" headerRowDxfId="274" totalsRowDxfId="273">
  <autoFilter ref="B15:F60" xr:uid="{00000000-0009-0000-0100-00000B000000}"/>
  <tableColumns count="5">
    <tableColumn id="1" xr3:uid="{921818E3-9A96-4D4E-9B25-9AEE3191F36C}" name="COMISIONES" totalsRowFunction="sum" dataDxfId="271" totalsRowDxfId="272"/>
    <tableColumn id="2" xr3:uid="{945F55A0-11B6-40F4-9392-CBE4919D249F}" name="IVA 21" totalsRowFunction="sum" dataDxfId="269" totalsRowDxfId="270">
      <calculatedColumnFormula>Tabla1316243221222338292102[[#This Row],[COMISIONES]]*0.21</calculatedColumnFormula>
    </tableColumn>
    <tableColumn id="3" xr3:uid="{7F82F272-3E97-4310-93FA-7874487F2237}" name="IVA 10,5" totalsRowFunction="sum" dataDxfId="267" totalsRowDxfId="268"/>
    <tableColumn id="4" xr3:uid="{66044D88-DA5B-4CE2-B195-3B5F4D3FA2D7}" name="Ret IIBB Caba" totalsRowFunction="sum" dataDxfId="265" totalsRowDxfId="266"/>
    <tableColumn id="5" xr3:uid="{490E09CE-4420-43DD-BD6C-B8EF5A244B68}" name="PERC IVA" totalsRowFunction="sum" totalsRowDxfId="264"/>
  </tableColumns>
  <tableStyleInfo name="TableStyleLight8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7AF5E18-2182-4830-A06A-38121F1D922F}" name="Tabla3917253531323348393103" displayName="Tabla3917253531323348393103" ref="H15:L53" totalsRowCount="1" headerRowDxfId="263" dataDxfId="262" totalsRowDxfId="261" tableBorderDxfId="260" dataCellStyle="Millares">
  <autoFilter ref="H15:L52" xr:uid="{00000000-0009-0000-0100-00000C000000}"/>
  <tableColumns count="5">
    <tableColumn id="1" xr3:uid="{35CB27D2-CE49-4AC3-94D5-057D01BD384B}" name="COMISIONES" totalsRowFunction="sum" dataDxfId="259" totalsRowDxfId="39" dataCellStyle="Millares"/>
    <tableColumn id="2" xr3:uid="{57EC7DBC-B459-428C-8B69-DC7591A32ED2}" name="IVA 21" totalsRowFunction="sum" dataDxfId="258" totalsRowDxfId="38" dataCellStyle="Millares">
      <calculatedColumnFormula>Tabla3917253531323348393103[[#This Row],[COMISIONES]]*0.21</calculatedColumnFormula>
    </tableColumn>
    <tableColumn id="3" xr3:uid="{5E316FD8-5D8E-49D2-ADF2-0A69471C2A4F}" name="IVA 10,5" totalsRowFunction="sum" dataDxfId="257" totalsRowDxfId="37" dataCellStyle="Millares"/>
    <tableColumn id="4" xr3:uid="{D4AB5686-6D07-4CD3-90EE-77FC107A5A0B}" name="Ret IIBB Caba" totalsRowFunction="sum" dataDxfId="256" totalsRowDxfId="36" dataCellStyle="Millares"/>
    <tableColumn id="5" xr3:uid="{D3F49624-D080-49AF-BEAE-10823BD4F2DB}" name="PERC IVA" totalsRowFunction="sum" dataDxfId="255" totalsRowDxfId="35" dataCellStyle="Millares"/>
  </tableColumns>
  <tableStyleInfo name="TableStyleLight8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8A1044C7-0DA6-4404-BEC8-C7B77920CE97}" name="Tabla351018263641424448494104" displayName="Tabla351018263641424448494104" ref="N15:R135" totalsRowCount="1" headerRowDxfId="254" dataDxfId="253" totalsRowDxfId="252" tableBorderDxfId="251" dataCellStyle="Millares">
  <autoFilter ref="N15:R134" xr:uid="{00000000-0009-0000-0100-00000D000000}"/>
  <tableColumns count="5">
    <tableColumn id="1" xr3:uid="{47A596E2-2B23-42B7-AD8B-DB190D12FE60}" name="COMISIONES" totalsRowFunction="sum" dataDxfId="249" totalsRowDxfId="250" dataCellStyle="Millares"/>
    <tableColumn id="2" xr3:uid="{E55C00DB-4E27-4A9D-BD5A-888A08AA09A0}" name="IVA 21" totalsRowFunction="sum" dataDxfId="247" totalsRowDxfId="248" dataCellStyle="Millares">
      <calculatedColumnFormula>Tabla351018263641424448494104[[#This Row],[COMISIONES]]*0.21</calculatedColumnFormula>
    </tableColumn>
    <tableColumn id="3" xr3:uid="{65E0F441-0599-4C0A-8DEA-42D4777EF742}" name="IVA 10,5" totalsRowFunction="sum" dataDxfId="245" totalsRowDxfId="246" dataCellStyle="Millares"/>
    <tableColumn id="4" xr3:uid="{B675705D-1660-4E70-BD9E-69518EE2FF3D}" name="Ret IIBB Caba" totalsRowFunction="sum" dataDxfId="243" totalsRowDxfId="244" dataCellStyle="Millares"/>
    <tableColumn id="5" xr3:uid="{03C2E922-6760-4E15-A128-55405012B6E3}" name="PERC IVA" totalsRowFunction="sum" dataDxfId="241" totalsRowDxfId="242" dataCellStyle="Millares"/>
  </tableColumns>
  <tableStyleInfo name="TableStyleLight8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81D19F4B-C164-4CA6-9786-751FED74C13E}" name="Tabla3561119273751525458595105" displayName="Tabla3561119273751525458595105" ref="T15:X31" totalsRowCount="1" headerRowDxfId="240" dataDxfId="239" totalsRowDxfId="238" tableBorderDxfId="237" dataCellStyle="Millares">
  <autoFilter ref="T15:X30" xr:uid="{00000000-0009-0000-0100-00000E000000}"/>
  <tableColumns count="5">
    <tableColumn id="1" xr3:uid="{C625B4FC-B265-4347-83E3-167F93DE9772}" name="COMISIONES" totalsRowFunction="sum" dataDxfId="235" totalsRowDxfId="236" dataCellStyle="Millares"/>
    <tableColumn id="2" xr3:uid="{69F8A87D-4B12-42F3-ADEB-FDC0FCED1E55}" name="IVA 21" totalsRowFunction="sum" dataDxfId="233" totalsRowDxfId="234" dataCellStyle="Millares">
      <calculatedColumnFormula>Tabla3561119273751525458595105[[#This Row],[COMISIONES]]*0.21</calculatedColumnFormula>
    </tableColumn>
    <tableColumn id="3" xr3:uid="{988D2B71-D736-4D5D-AD37-DAA55A724AA3}" name="IVA 10,5" totalsRowFunction="sum" dataDxfId="231" totalsRowDxfId="232" dataCellStyle="Millares"/>
    <tableColumn id="4" xr3:uid="{74D6D62B-D385-47CA-A330-FDB50F7DEE40}" name="Ret IIBB Caba" totalsRowFunction="sum" dataDxfId="229" totalsRowDxfId="230" dataCellStyle="Millares"/>
    <tableColumn id="5" xr3:uid="{3B389CEF-0612-4481-9698-34D5E238BC3A}" name="PERC IVA" totalsRowFunction="sum" dataDxfId="227" totalsRowDxfId="228" dataCellStyle="Millares"/>
  </tableColumns>
  <tableStyleInfo name="TableStyleLight8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7C998095-406C-4A8F-96CC-C447B651470F}" name="Tabla61220283861626468696106" displayName="Tabla61220283861626468696106" ref="T33:X62" totalsRowCount="1" headerRowDxfId="226" totalsRowDxfId="225">
  <autoFilter ref="T33:X61" xr:uid="{00000000-0009-0000-0100-00000F000000}"/>
  <tableColumns count="5">
    <tableColumn id="1" xr3:uid="{0B9A15D0-DFFE-4A12-96B8-CA697CD6AA43}" name="COMISIONES" totalsRowFunction="sum" totalsRowDxfId="34"/>
    <tableColumn id="2" xr3:uid="{D2C909EE-CEDE-4B72-B5B2-4FCEF726A3B8}" name="IVA 21" totalsRowFunction="sum" dataDxfId="224" totalsRowDxfId="33">
      <calculatedColumnFormula>Tabla61220283861626468696106[[#This Row],[COMISIONES]]*0.21</calculatedColumnFormula>
    </tableColumn>
    <tableColumn id="3" xr3:uid="{C3D11CD8-2781-49AA-B8C7-5394542B4B8B}" name="IVA 10,5" totalsRowFunction="sum" totalsRowDxfId="32"/>
    <tableColumn id="4" xr3:uid="{818C0826-23D4-4560-A83A-44974A3FD609}" name="Ret IIBB Caba" totalsRowFunction="sum" totalsRowDxfId="31"/>
    <tableColumn id="5" xr3:uid="{3417882A-F8B3-4E45-8F61-B5B12DF1D47C}" name="PERC IVA" totalsRowFunction="sum" totalsRowDxfId="30"/>
  </tableColumns>
  <tableStyleInfo name="TableStyleLight8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425C38C7-6F73-45BF-A460-27A6DBB5DB65}" name="Tabla35681321293971727478797107" displayName="Tabla35681321293971727478797107" ref="Z15:AD169" totalsRowCount="1" headerRowDxfId="223" dataDxfId="222" totalsRowDxfId="221" tableBorderDxfId="220" dataCellStyle="Millares">
  <autoFilter ref="Z15:AD168" xr:uid="{00000000-0009-0000-0100-000010000000}"/>
  <tableColumns count="5">
    <tableColumn id="1" xr3:uid="{DEFA134B-E3AA-4378-9162-3328AE74BA0C}" name="COMISIONES" totalsRowFunction="sum" dataDxfId="218" totalsRowDxfId="219" dataCellStyle="Millares"/>
    <tableColumn id="2" xr3:uid="{D4FE8EA0-1651-4985-BA32-F635307A498C}" name="IVA 21" totalsRowFunction="sum" dataDxfId="216" totalsRowDxfId="217" dataCellStyle="Millares">
      <calculatedColumnFormula>Tabla35681321293971727478797107[[#This Row],[COMISIONES]]*0.21</calculatedColumnFormula>
    </tableColumn>
    <tableColumn id="3" xr3:uid="{DD850C1D-6148-4812-9E5A-E5ECEA7484E8}" name="IVA 10,5" totalsRowFunction="sum" dataDxfId="214" totalsRowDxfId="215" dataCellStyle="Millares"/>
    <tableColumn id="4" xr3:uid="{E0126AF9-D7D9-46E8-BC6A-31E3BD861E46}" name="Ret IIBB Caba" totalsRowFunction="sum" dataDxfId="212" totalsRowDxfId="213" dataCellStyle="Millares"/>
    <tableColumn id="5" xr3:uid="{562912D7-82C9-4E4F-85F5-6638800EFEB2}" name="PERC IVA" totalsRowFunction="sum" dataDxfId="210" totalsRowDxfId="211" dataCellStyle="Millares"/>
  </tableColumns>
  <tableStyleInfo name="TableStyleLight8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1EACE86D-B038-42F0-9B74-9523F5BB9031}" name="Tabla3568131422304081828488898108" displayName="Tabla3568131422304081828488898108" ref="AF15:AJ26" totalsRowCount="1" headerRowDxfId="209" dataDxfId="208" totalsRowDxfId="207" tableBorderDxfId="206" dataCellStyle="Millares">
  <autoFilter ref="AF15:AJ25" xr:uid="{00000000-0009-0000-0100-000011000000}"/>
  <tableColumns count="5">
    <tableColumn id="1" xr3:uid="{B509BFC0-9E33-403D-B4BD-5E1C50F35E65}" name="COMISIONES" totalsRowFunction="sum" dataDxfId="204" totalsRowDxfId="205" dataCellStyle="Millares"/>
    <tableColumn id="2" xr3:uid="{3AFB9774-F4CB-4ED5-968E-77675D4516FF}" name="IVA 21" totalsRowFunction="sum" dataDxfId="202" totalsRowDxfId="203" dataCellStyle="Millares">
      <calculatedColumnFormula>Tabla3568131422304081828488898108[[#This Row],[COMISIONES]]*0.21</calculatedColumnFormula>
    </tableColumn>
    <tableColumn id="3" xr3:uid="{37966BBE-15B6-4662-82BF-2EAD56E364A2}" name="IVA 10,5" totalsRowFunction="sum" dataDxfId="200" totalsRowDxfId="201" dataCellStyle="Millares"/>
    <tableColumn id="4" xr3:uid="{078253D5-9CBF-4A12-9433-E6CFAE1E2B4C}" name="Ret IIBB Caba" totalsRowFunction="sum" dataDxfId="198" totalsRowDxfId="199" dataCellStyle="Millares"/>
    <tableColumn id="5" xr3:uid="{4CEBDD71-A144-4E2E-A418-D09322E7502D}" name="PERC IVA" totalsRowFunction="sum" dataDxfId="196" totalsRowDxfId="197" dataCellStyle="Millares"/>
  </tableColumns>
  <tableStyleInfo name="TableStyleLight8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412B2BF-610B-43F5-99A4-13B391F26B82}" name="Tabla391523314191929498999109" displayName="Tabla391523314191929498999109" ref="H55:L102" totalsRowCount="1" headerRowDxfId="195" dataDxfId="194" totalsRowDxfId="193" tableBorderDxfId="192" dataCellStyle="Millares">
  <autoFilter ref="H55:L101" xr:uid="{00000000-0009-0000-0100-000012000000}"/>
  <tableColumns count="5">
    <tableColumn id="1" xr3:uid="{6EA49AA5-03D3-4940-BA3E-0A2A41826DA2}" name="COMISIONES" totalsRowFunction="sum" dataDxfId="191" totalsRowDxfId="24" dataCellStyle="Millares"/>
    <tableColumn id="2" xr3:uid="{BCC180B4-82D5-4003-9B2D-D33F4416B7D5}" name="IVA 21" totalsRowFunction="sum" dataDxfId="190" totalsRowDxfId="23" dataCellStyle="Millares">
      <calculatedColumnFormula>Tabla391523314191929498999109[[#This Row],[COMISIONES]]*0.21</calculatedColumnFormula>
    </tableColumn>
    <tableColumn id="3" xr3:uid="{CE4DB2E0-059E-4363-8044-6B6E0B83E40A}" name="IVA 10,5" totalsRowFunction="sum" dataDxfId="189" totalsRowDxfId="22" dataCellStyle="Millares"/>
    <tableColumn id="4" xr3:uid="{69AC5E59-693F-4248-B2A7-00CA59656B22}" name="Ret IIBB Caba" totalsRowFunction="sum" dataDxfId="188" totalsRowDxfId="21" dataCellStyle="Millares"/>
    <tableColumn id="5" xr3:uid="{10E8599D-58EE-4CE9-AF04-9A980DC29CD8}" name="PERC IVA" totalsRowFunction="sum" dataDxfId="187" totalsRowDxfId="20" dataCellStyle="Millares"/>
  </tableColumns>
  <tableStyleInfo name="TableStyleLight8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523A2ED-5B07-4826-9B86-2D2404B7CFFC}" name="Tabla612202833421020305090100110" displayName="Tabla612202833421020305090100110" ref="T65:X94" totalsRowCount="1" headerRowDxfId="186" totalsRowDxfId="185">
  <autoFilter ref="T65:X93" xr:uid="{00000000-0009-0000-0100-000013000000}"/>
  <tableColumns count="5">
    <tableColumn id="1" xr3:uid="{DA5A8D78-99D6-4B5C-AB37-8156AAF15D2C}" name="COMISIONES" totalsRowFunction="sum" totalsRowDxfId="184"/>
    <tableColumn id="2" xr3:uid="{72573ACF-F907-4DAC-90D5-ADAC228F3913}" name="IVA 21" totalsRowFunction="sum" dataDxfId="182" totalsRowDxfId="183">
      <calculatedColumnFormula>Tabla612202833421020305090100110[[#This Row],[COMISIONES]]*0.21</calculatedColumnFormula>
    </tableColumn>
    <tableColumn id="3" xr3:uid="{6351A674-8986-43AB-948A-2AFB9D6F2DDE}" name="IVA 10,5" totalsRowFunction="sum" totalsRowDxfId="181"/>
    <tableColumn id="4" xr3:uid="{D637D7BE-198C-46A8-82C6-EFBC0FA38950}" name="Ret IIBB Caba" totalsRowFunction="sum" totalsRowDxfId="180"/>
    <tableColumn id="5" xr3:uid="{A9A3C1AE-310B-4517-A457-A96066B7A893}" name="PERC IVA" totalsRowFunction="sum" totalsRowDxfId="179"/>
  </tableColumns>
  <tableStyleInfo name="TableStyleLight8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F1DA916D-A79B-4B8E-95F3-2FE3ECC42D1D}" name="Tabla35611192734431121315191101111" displayName="Tabla35611192734431121315191101111" ref="AK15:AO31" totalsRowCount="1" headerRowDxfId="178" dataDxfId="177" totalsRowDxfId="176" tableBorderDxfId="175" dataCellStyle="Millares">
  <autoFilter ref="AK15:AO30" xr:uid="{00000000-0009-0000-0100-000014000000}"/>
  <tableColumns count="5">
    <tableColumn id="1" xr3:uid="{9E5AE7A8-7321-4536-8827-964983A194F5}" name="COMISIONES" totalsRowFunction="sum" dataDxfId="174" totalsRowDxfId="29" dataCellStyle="Millares"/>
    <tableColumn id="2" xr3:uid="{96A8BB89-91DA-47C1-8E54-9C129E76EA83}" name="IVA 21" totalsRowFunction="sum" dataDxfId="173" totalsRowDxfId="28" dataCellStyle="Millares">
      <calculatedColumnFormula>Tabla35611192734431121315191101111[[#This Row],[COMISIONES]]*0.21</calculatedColumnFormula>
    </tableColumn>
    <tableColumn id="3" xr3:uid="{57210011-0FC0-4C83-8181-93B08E17C03D}" name="IVA 10,5" totalsRowFunction="sum" dataDxfId="172" totalsRowDxfId="27" dataCellStyle="Millares"/>
    <tableColumn id="4" xr3:uid="{896A9E0A-0222-4365-BD3A-B8B825185AE6}" name="Ret IIBB Caba" totalsRowFunction="sum" dataDxfId="171" totalsRowDxfId="26" dataCellStyle="Millares"/>
    <tableColumn id="5" xr3:uid="{62FC615E-2BB2-4E33-B13F-A021B040973A}" name="PERC IVA" totalsRowFunction="sum" dataDxfId="170" totalsRowDxfId="25" dataCellStyle="Millares"/>
  </tableColumns>
  <tableStyleInfo name="TableStyleLight8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2F5332E4-6C2E-4D37-853B-D88D2AE7B1B8}" name="Tabla13162432212223352" displayName="Tabla13162432212223352" ref="B15:F61" totalsRowCount="1" headerRowDxfId="874" totalsRowDxfId="873">
  <autoFilter ref="B15:F60" xr:uid="{00000000-0009-0000-0100-00000B000000}"/>
  <tableColumns count="5">
    <tableColumn id="1" xr3:uid="{873085A1-438F-433F-8B13-8726A57A41C0}" name="COMISIONES" totalsRowFunction="sum" dataDxfId="872" totalsRowDxfId="871"/>
    <tableColumn id="2" xr3:uid="{2C7F35CF-F0CD-4D5E-BAF7-9966303BE455}" name="IVA 21" totalsRowFunction="sum" dataDxfId="870" totalsRowDxfId="869">
      <calculatedColumnFormula>Tabla13162432212223352[[#This Row],[COMISIONES]]*0.21</calculatedColumnFormula>
    </tableColumn>
    <tableColumn id="3" xr3:uid="{6318EDE2-F8F0-46C1-97D7-D3B3D61BB29F}" name="IVA 10,5" totalsRowFunction="sum" dataDxfId="868" totalsRowDxfId="867"/>
    <tableColumn id="4" xr3:uid="{2BCA71CC-5BE9-4F39-91A0-35BC265A5AD0}" name="Ret IIBB Caba" totalsRowFunction="sum" dataDxfId="866" totalsRowDxfId="865"/>
    <tableColumn id="5" xr3:uid="{B220E802-31CD-4DC0-AC43-E654B78AC804}" name="PERC IVA" totalsRowFunction="sum" totalsRowDxfId="864"/>
  </tableColumns>
  <tableStyleInfo name="TableStyleLight8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35D21608-EB1F-46C8-8A8F-A2935951BEF4}" name="Tabla39172535313233453" displayName="Tabla39172535313233453" ref="H15:L53" totalsRowCount="1" headerRowDxfId="863" dataDxfId="862" totalsRowDxfId="860" tableBorderDxfId="861" dataCellStyle="Millares">
  <autoFilter ref="H15:L52" xr:uid="{00000000-0009-0000-0100-00000C000000}"/>
  <tableColumns count="5">
    <tableColumn id="1" xr3:uid="{1C8EC345-2A36-4E70-A75E-EEAF6DCDCA29}" name="COMISIONES" totalsRowFunction="sum" dataDxfId="859" totalsRowDxfId="858" dataCellStyle="Millares"/>
    <tableColumn id="2" xr3:uid="{9BA5AA5C-4B7C-4225-A72D-6B92712E9DF9}" name="IVA 21" totalsRowFunction="sum" dataDxfId="857" totalsRowDxfId="856" dataCellStyle="Millares">
      <calculatedColumnFormula>Tabla39172535313233453[[#This Row],[COMISIONES]]*0.21</calculatedColumnFormula>
    </tableColumn>
    <tableColumn id="3" xr3:uid="{27F773E0-E6ED-4946-9B51-117E56819B53}" name="IVA 10,5" totalsRowFunction="sum" dataDxfId="855" totalsRowDxfId="854" dataCellStyle="Millares"/>
    <tableColumn id="4" xr3:uid="{705F7202-1C66-45CC-BABE-3789B0162225}" name="Ret IIBB Caba" totalsRowFunction="sum" dataDxfId="853" totalsRowDxfId="852" dataCellStyle="Millares"/>
    <tableColumn id="5" xr3:uid="{23480FE1-555C-473B-B90F-E2BD5AFDDCFA}" name="PERC IVA" totalsRowFunction="sum" dataDxfId="851" totalsRowDxfId="850" dataCellStyle="Millares"/>
  </tableColumns>
  <tableStyleInfo name="TableStyleLight8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FE90AE7-E1BF-4BCC-8AC8-643B785A0822}" name="Tabla3510182636414244454" displayName="Tabla3510182636414244454" ref="N15:R135" totalsRowCount="1" headerRowDxfId="849" dataDxfId="848" totalsRowDxfId="846" tableBorderDxfId="847" dataCellStyle="Millares">
  <autoFilter ref="N15:R134" xr:uid="{00000000-0009-0000-0100-00000D000000}"/>
  <tableColumns count="5">
    <tableColumn id="1" xr3:uid="{34340DEC-8343-4B2E-A827-A34321C61ED6}" name="COMISIONES" totalsRowFunction="sum" dataDxfId="845" totalsRowDxfId="844" dataCellStyle="Millares"/>
    <tableColumn id="2" xr3:uid="{634223F9-5E29-4818-8D76-2DB4093B495D}" name="IVA 21" totalsRowFunction="sum" dataDxfId="843" totalsRowDxfId="842" dataCellStyle="Millares">
      <calculatedColumnFormula>Tabla3510182636414244454[[#This Row],[COMISIONES]]*0.21</calculatedColumnFormula>
    </tableColumn>
    <tableColumn id="3" xr3:uid="{A7924CB5-CFA4-4246-B432-2CC7A0BF0B8C}" name="IVA 10,5" totalsRowFunction="sum" dataDxfId="841" totalsRowDxfId="840" dataCellStyle="Millares"/>
    <tableColumn id="4" xr3:uid="{55A42DB7-ABE3-4564-A4D2-7F11BCEDE3D3}" name="Ret IIBB Caba" totalsRowFunction="sum" dataDxfId="839" totalsRowDxfId="838" dataCellStyle="Millares"/>
    <tableColumn id="5" xr3:uid="{6F3A0BD1-C631-42F9-AE95-A2E6B371538C}" name="PERC IVA" totalsRowFunction="sum" dataDxfId="837" totalsRowDxfId="836" dataCellStyle="Millares"/>
  </tableColumns>
  <tableStyleInfo name="TableStyleLight8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4505B7C5-4D13-421C-923A-7B4C39C5CB46}" name="Tabla35611192737515254555" displayName="Tabla35611192737515254555" ref="T15:X31" totalsRowCount="1" headerRowDxfId="835" dataDxfId="834" totalsRowDxfId="832" tableBorderDxfId="833" dataCellStyle="Millares">
  <autoFilter ref="T15:X30" xr:uid="{00000000-0009-0000-0100-00000E000000}"/>
  <tableColumns count="5">
    <tableColumn id="1" xr3:uid="{63E9D277-46C9-4DBB-9933-7D7DF8C7FB0D}" name="COMISIONES" totalsRowFunction="sum" dataDxfId="831" totalsRowDxfId="830" dataCellStyle="Millares"/>
    <tableColumn id="2" xr3:uid="{E36F58C7-5789-44A1-B299-2158910E9A10}" name="IVA 21" totalsRowFunction="sum" dataDxfId="829" totalsRowDxfId="828" dataCellStyle="Millares">
      <calculatedColumnFormula>Tabla35611192737515254555[[#This Row],[COMISIONES]]*0.21</calculatedColumnFormula>
    </tableColumn>
    <tableColumn id="3" xr3:uid="{2C2F5A3C-1F35-467D-AB3F-51AC6D5BF82D}" name="IVA 10,5" totalsRowFunction="sum" dataDxfId="827" totalsRowDxfId="826" dataCellStyle="Millares"/>
    <tableColumn id="4" xr3:uid="{19794CCE-98C4-44B5-B0C0-127C374F9DEB}" name="Ret IIBB Caba" totalsRowFunction="sum" dataDxfId="825" totalsRowDxfId="824" dataCellStyle="Millares"/>
    <tableColumn id="5" xr3:uid="{0E1E6125-1307-4193-B21D-6D5ED6FCE569}" name="PERC IVA" totalsRowFunction="sum" dataDxfId="823" totalsRowDxfId="822" dataCellStyle="Millares"/>
  </tableColumns>
  <tableStyleInfo name="TableStyleLight8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D74ACD09-059F-4CAA-9B82-42A28A95A186}" name="Tabla612202838616264656" displayName="Tabla612202838616264656" ref="T33:X62" totalsRowCount="1" headerRowDxfId="821" totalsRowDxfId="820">
  <autoFilter ref="T33:X61" xr:uid="{00000000-0009-0000-0100-00000F000000}"/>
  <tableColumns count="5">
    <tableColumn id="1" xr3:uid="{77541BC6-4546-4DB2-A0C3-61073E1CCF45}" name="COMISIONES" totalsRowFunction="sum" totalsRowDxfId="819"/>
    <tableColumn id="2" xr3:uid="{FD6D8384-5407-4D46-89D7-E5DA0D5B598D}" name="IVA 21" totalsRowFunction="sum" dataDxfId="818" totalsRowDxfId="817">
      <calculatedColumnFormula>Tabla612202838616264656[[#This Row],[COMISIONES]]*0.21</calculatedColumnFormula>
    </tableColumn>
    <tableColumn id="3" xr3:uid="{D503F871-2004-47B2-B840-EB17273D1DCE}" name="IVA 10,5" totalsRowFunction="sum" totalsRowDxfId="816"/>
    <tableColumn id="4" xr3:uid="{8C2B5475-7360-4A61-B683-41E78F9DA586}" name="Ret IIBB Caba" totalsRowFunction="sum" totalsRowDxfId="815"/>
    <tableColumn id="5" xr3:uid="{E5034B02-1F2D-4B33-91DD-F3430F8C7C0B}" name="PERC IVA" totalsRowFunction="sum" totalsRowDxfId="814"/>
  </tableColumns>
  <tableStyleInfo name="TableStyleLight8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2004515E-1E3E-41FA-AC86-B8820AAA5307}" name="Tabla356813212939717274757" displayName="Tabla356813212939717274757" ref="Z15:AD169" totalsRowCount="1" headerRowDxfId="813" dataDxfId="812" totalsRowDxfId="810" tableBorderDxfId="811" dataCellStyle="Millares">
  <autoFilter ref="Z15:AD168" xr:uid="{00000000-0009-0000-0100-000010000000}"/>
  <tableColumns count="5">
    <tableColumn id="1" xr3:uid="{C0951E0F-21F6-42D4-A5C2-3B09A79DD65F}" name="COMISIONES" totalsRowFunction="sum" dataDxfId="809" totalsRowDxfId="808" dataCellStyle="Millares"/>
    <tableColumn id="2" xr3:uid="{1E899743-B50B-4547-BB3F-B1E4105AD897}" name="IVA 21" totalsRowFunction="sum" dataDxfId="807" totalsRowDxfId="806" dataCellStyle="Millares">
      <calculatedColumnFormula>Tabla356813212939717274757[[#This Row],[COMISIONES]]*0.21</calculatedColumnFormula>
    </tableColumn>
    <tableColumn id="3" xr3:uid="{5486BB28-D5CC-44E4-8DB1-9B5E01A8B153}" name="IVA 10,5" totalsRowFunction="sum" dataDxfId="805" totalsRowDxfId="804" dataCellStyle="Millares"/>
    <tableColumn id="4" xr3:uid="{D63CF43B-A096-4B0A-8CBE-B5948592727A}" name="Ret IIBB Caba" totalsRowFunction="sum" dataDxfId="803" totalsRowDxfId="802" dataCellStyle="Millares"/>
    <tableColumn id="5" xr3:uid="{F6C67DB1-6791-4527-B3A8-DEDE35B982CF}" name="PERC IVA" totalsRowFunction="sum" dataDxfId="801" totalsRowDxfId="800" dataCellStyle="Millares"/>
  </tableColumns>
  <tableStyleInfo name="TableStyleLight8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E033E331-8188-4347-8717-47B65021A226}" name="Tabla35681314223040818284858" displayName="Tabla35681314223040818284858" ref="AF15:AJ26" totalsRowCount="1" headerRowDxfId="799" dataDxfId="798" totalsRowDxfId="796" tableBorderDxfId="797" dataCellStyle="Millares">
  <autoFilter ref="AF15:AJ25" xr:uid="{00000000-0009-0000-0100-000011000000}"/>
  <tableColumns count="5">
    <tableColumn id="1" xr3:uid="{1F78C58C-C964-4496-9C2A-A3396C60C9AF}" name="COMISIONES" totalsRowFunction="sum" dataDxfId="795" totalsRowDxfId="794" dataCellStyle="Millares"/>
    <tableColumn id="2" xr3:uid="{D80425ED-67FB-436A-B118-2D7C9BC443C0}" name="IVA 21" totalsRowFunction="sum" dataDxfId="793" totalsRowDxfId="792" dataCellStyle="Millares">
      <calculatedColumnFormula>Tabla35681314223040818284858[[#This Row],[COMISIONES]]*0.21</calculatedColumnFormula>
    </tableColumn>
    <tableColumn id="3" xr3:uid="{9C84636F-9421-419F-A2F4-9C6E10136B26}" name="IVA 10,5" totalsRowFunction="sum" dataDxfId="791" totalsRowDxfId="790" dataCellStyle="Millares"/>
    <tableColumn id="4" xr3:uid="{6BA50A27-27B1-4DDC-8A9D-A820A0FBFA03}" name="Ret IIBB Caba" totalsRowFunction="sum" dataDxfId="789" totalsRowDxfId="788" dataCellStyle="Millares"/>
    <tableColumn id="5" xr3:uid="{62DE5B91-F8C6-4F5F-9D02-CDE2279B7AE7}" name="PERC IVA" totalsRowFunction="sum" dataDxfId="787" totalsRowDxfId="786" dataCellStyle="Millares"/>
  </tableColumns>
  <tableStyleInfo name="TableStyleLight8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60873131-C06E-49E9-AA82-71D5DBDA3EED}" name="Tabla3915233141919294959" displayName="Tabla3915233141919294959" ref="H55:L102" totalsRowCount="1" headerRowDxfId="785" dataDxfId="784" totalsRowDxfId="782" tableBorderDxfId="783" dataCellStyle="Millares">
  <autoFilter ref="H55:L101" xr:uid="{00000000-0009-0000-0100-000012000000}"/>
  <tableColumns count="5">
    <tableColumn id="1" xr3:uid="{D991B569-DD62-4C4A-9CAC-FFB3607AB300}" name="COMISIONES" totalsRowFunction="sum" dataDxfId="781" totalsRowDxfId="780" dataCellStyle="Millares"/>
    <tableColumn id="2" xr3:uid="{8B0A1167-AF71-4474-8EAB-1C8FB138ED06}" name="IVA 21" totalsRowFunction="sum" dataDxfId="779" totalsRowDxfId="778" dataCellStyle="Millares">
      <calculatedColumnFormula>Tabla3915233141919294959[[#This Row],[COMISIONES]]*0.21</calculatedColumnFormula>
    </tableColumn>
    <tableColumn id="3" xr3:uid="{1178F3A0-17BF-4204-9049-E471EA2253C3}" name="IVA 10,5" totalsRowFunction="sum" dataDxfId="777" totalsRowDxfId="776" dataCellStyle="Millares"/>
    <tableColumn id="4" xr3:uid="{2E7ECC09-74DC-47DF-997F-5FE4C3DF6349}" name="Ret IIBB Caba" totalsRowFunction="sum" dataDxfId="775" totalsRowDxfId="774" dataCellStyle="Millares"/>
    <tableColumn id="5" xr3:uid="{C767BF0D-FF22-4B7C-BB12-9AC8DAA8D148}" name="PERC IVA" totalsRowFunction="sum" dataDxfId="773" totalsRowDxfId="772" dataCellStyle="Millares"/>
  </tableColumns>
  <tableStyleInfo name="TableStyleLight8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5072CA93-D21B-4951-8A4B-7FA4A7F277B2}" name="Tabla612202833421020305060" displayName="Tabla612202833421020305060" ref="T65:X94" totalsRowCount="1" headerRowDxfId="771" totalsRowDxfId="770">
  <autoFilter ref="T65:X93" xr:uid="{00000000-0009-0000-0100-000013000000}"/>
  <tableColumns count="5">
    <tableColumn id="1" xr3:uid="{77CD0571-2214-4FD5-8649-CAB5C9EE62B2}" name="COMISIONES" totalsRowFunction="sum" totalsRowDxfId="769"/>
    <tableColumn id="2" xr3:uid="{D30F1A79-947A-4771-9C1C-032D2C1E7074}" name="IVA 21" totalsRowFunction="sum" dataDxfId="768" totalsRowDxfId="767">
      <calculatedColumnFormula>Tabla612202833421020305060[[#This Row],[COMISIONES]]*0.21</calculatedColumnFormula>
    </tableColumn>
    <tableColumn id="3" xr3:uid="{F9048872-7D22-4830-8061-E242EA87B8DC}" name="IVA 10,5" totalsRowFunction="sum" totalsRowDxfId="766"/>
    <tableColumn id="4" xr3:uid="{65FF9F9B-23B9-4D76-95B4-56CEE98782F2}" name="Ret IIBB Caba" totalsRowFunction="sum" totalsRowDxfId="765"/>
    <tableColumn id="5" xr3:uid="{2F6D44F3-2E18-4DA2-A560-7A74235D39A0}" name="PERC IVA" totalsRowFunction="sum" totalsRowDxfId="764"/>
  </tableColumns>
  <tableStyleInfo name="TableStyleLight8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2C57FA21-F8FE-4B4F-AF4E-1B120C59CDF6}" name="Tabla35611192734431121315161" displayName="Tabla35611192734431121315161" ref="AK15:AO31" totalsRowCount="1" headerRowDxfId="763" dataDxfId="762" totalsRowDxfId="760" tableBorderDxfId="761" dataCellStyle="Millares">
  <autoFilter ref="AK15:AO30" xr:uid="{00000000-0009-0000-0100-000014000000}"/>
  <tableColumns count="5">
    <tableColumn id="1" xr3:uid="{CA450B25-10E7-46AE-958D-85C42F199EC3}" name="COMISIONES" totalsRowFunction="sum" dataDxfId="759" totalsRowDxfId="758" dataCellStyle="Millares"/>
    <tableColumn id="2" xr3:uid="{CAC481AF-1686-49EB-9EA8-F01BD22A66E8}" name="IVA 21" totalsRowFunction="sum" dataDxfId="757" totalsRowDxfId="756" dataCellStyle="Millares">
      <calculatedColumnFormula>Tabla35611192734431121315161[[#This Row],[COMISIONES]]*0.21</calculatedColumnFormula>
    </tableColumn>
    <tableColumn id="3" xr3:uid="{D338342A-A277-43FF-B464-F8B114BB8C06}" name="IVA 10,5" totalsRowFunction="sum" dataDxfId="755" totalsRowDxfId="754" dataCellStyle="Millares"/>
    <tableColumn id="4" xr3:uid="{B0E5003C-F7A1-4048-BE52-3A279B610910}" name="Ret IIBB Caba" totalsRowFunction="sum" dataDxfId="753" totalsRowDxfId="752" dataCellStyle="Millares"/>
    <tableColumn id="5" xr3:uid="{5B1FDA50-9EF3-4190-A7BD-EE5EA7C22CCA}" name="PERC IVA" totalsRowFunction="sum" dataDxfId="751" totalsRowDxfId="750" dataCellStyle="Millares"/>
  </tableColumns>
  <tableStyleInfo name="TableStyleLight8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B8E0BB5-7872-4DAC-8F83-0B85DE08F754}" name="Tabla1316243221222335262" displayName="Tabla1316243221222335262" ref="B15:F61" totalsRowCount="1" headerRowDxfId="749" totalsRowDxfId="748">
  <autoFilter ref="B15:F60" xr:uid="{00000000-0009-0000-0100-00000B000000}"/>
  <tableColumns count="5">
    <tableColumn id="1" xr3:uid="{F879A3B7-52E0-466C-87A6-820FC90F28A5}" name="COMISIONES" totalsRowFunction="sum" dataDxfId="747" totalsRowDxfId="746"/>
    <tableColumn id="2" xr3:uid="{9E9969B0-B39A-4632-88B6-14DEE7ED79B5}" name="IVA 21" totalsRowFunction="sum" dataDxfId="745" totalsRowDxfId="744">
      <calculatedColumnFormula>Tabla1316243221222335262[[#This Row],[COMISIONES]]*0.21</calculatedColumnFormula>
    </tableColumn>
    <tableColumn id="3" xr3:uid="{836EB6E2-7B29-47E1-A137-BE676853F1DE}" name="IVA 10,5" totalsRowFunction="sum" dataDxfId="743" totalsRowDxfId="742">
      <calculatedColumnFormula>Tabla1316243221222335262[[#This Row],[COMISIONES]]*0.105</calculatedColumnFormula>
    </tableColumn>
    <tableColumn id="4" xr3:uid="{7D28BBE1-DE1C-41F2-83B6-43E4D4EE0D00}" name="Ret IIBB Caba" totalsRowFunction="sum" dataDxfId="741" totalsRowDxfId="740"/>
    <tableColumn id="5" xr3:uid="{254DA311-39F4-4B24-AD46-FAC0F2762293}" name="PERC IVA" totalsRowFunction="sum" totalsRowDxfId="739"/>
  </tableColumns>
  <tableStyleInfo name="TableStyleLight8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B13942A9-032B-4D34-854B-278A163E9FA0}" name="Tabla3917253531323345363" displayName="Tabla3917253531323345363" ref="H15:L53" totalsRowCount="1" headerRowDxfId="738" dataDxfId="737" totalsRowDxfId="735" tableBorderDxfId="736" dataCellStyle="Millares">
  <autoFilter ref="H15:L52" xr:uid="{00000000-0009-0000-0100-00000C000000}"/>
  <tableColumns count="5">
    <tableColumn id="1" xr3:uid="{072EBBC5-48C9-4BA4-B5EE-FC2E0807E3E4}" name="COMISIONES" totalsRowFunction="sum" dataDxfId="734" totalsRowDxfId="733" dataCellStyle="Millares"/>
    <tableColumn id="2" xr3:uid="{9F85F010-E6B3-4EFC-97C1-9C22F9A4F2DD}" name="IVA 21" totalsRowFunction="sum" dataDxfId="732" totalsRowDxfId="731" dataCellStyle="Millares">
      <calculatedColumnFormula>Tabla3917253531323345363[[#This Row],[COMISIONES]]*0.21</calculatedColumnFormula>
    </tableColumn>
    <tableColumn id="3" xr3:uid="{6C67E32E-CD42-4722-A47D-90109F58B83D}" name="IVA 10,5" totalsRowFunction="sum" dataDxfId="730" totalsRowDxfId="729" dataCellStyle="Millares"/>
    <tableColumn id="4" xr3:uid="{B318A17C-A7F4-458E-9190-87F9C6A76138}" name="Ret IIBB Caba" totalsRowFunction="sum" dataDxfId="728" totalsRowDxfId="727" dataCellStyle="Millares"/>
    <tableColumn id="5" xr3:uid="{BD3D8418-EA6B-4AB6-B43F-F1B3A2187D27}" name="PERC IVA" totalsRowFunction="sum" dataDxfId="726" totalsRowDxfId="725" dataCellStyle="Millares"/>
  </tableColumns>
  <tableStyleInfo name="TableStyleLight8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DFB57ADA-72E4-4D44-9BEA-79F0BA2C11A8}" name="Tabla351018263641424445464" displayName="Tabla351018263641424445464" ref="N15:R135" totalsRowCount="1" headerRowDxfId="724" dataDxfId="723" totalsRowDxfId="721" tableBorderDxfId="722" dataCellStyle="Millares">
  <autoFilter ref="N15:R134" xr:uid="{00000000-0009-0000-0100-00000D000000}"/>
  <tableColumns count="5">
    <tableColumn id="1" xr3:uid="{47B2DE83-BDE3-43B8-B8E4-549B9007F47C}" name="COMISIONES" totalsRowFunction="sum" dataDxfId="720" totalsRowDxfId="719" dataCellStyle="Millares"/>
    <tableColumn id="2" xr3:uid="{F9F3D562-F8BF-4F48-8037-672E9FD62634}" name="IVA 21" totalsRowFunction="sum" dataDxfId="718" totalsRowDxfId="717" dataCellStyle="Millares">
      <calculatedColumnFormula>Tabla351018263641424445464[[#This Row],[COMISIONES]]*0.21</calculatedColumnFormula>
    </tableColumn>
    <tableColumn id="3" xr3:uid="{97F3D711-78D7-4418-9BA9-C3CF254A84DA}" name="IVA 10,5" totalsRowFunction="sum" dataDxfId="716" totalsRowDxfId="715" dataCellStyle="Millares"/>
    <tableColumn id="4" xr3:uid="{83309DBA-45A6-46BF-8528-70F27E19D5F5}" name="Ret IIBB Caba" totalsRowFunction="sum" dataDxfId="714" totalsRowDxfId="713" dataCellStyle="Millares"/>
    <tableColumn id="5" xr3:uid="{31A73800-CFFF-4461-9A04-FA6D5F5D8835}" name="PERC IVA" totalsRowFunction="sum" dataDxfId="712" totalsRowDxfId="711" dataCellStyle="Millares"/>
  </tableColumns>
  <tableStyleInfo name="TableStyleLight8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DE730CE9-93A9-447E-952A-E120FE0941F9}" name="Tabla3561119273751525455565" displayName="Tabla3561119273751525455565" ref="T15:X31" totalsRowCount="1" headerRowDxfId="710" dataDxfId="709" totalsRowDxfId="707" tableBorderDxfId="708" dataCellStyle="Millares">
  <autoFilter ref="T15:X30" xr:uid="{00000000-0009-0000-0100-00000E000000}"/>
  <tableColumns count="5">
    <tableColumn id="1" xr3:uid="{4849B662-44F8-4CD5-B3C0-1DC9F0DE7CA4}" name="COMISIONES" totalsRowFunction="sum" dataDxfId="706" totalsRowDxfId="705" dataCellStyle="Millares"/>
    <tableColumn id="2" xr3:uid="{4D8FFE20-FCF5-4BFF-95E7-B36D5EBAFB37}" name="IVA 21" totalsRowFunction="sum" dataDxfId="704" totalsRowDxfId="703" dataCellStyle="Millares">
      <calculatedColumnFormula>Tabla3561119273751525455565[[#This Row],[COMISIONES]]*0.21</calculatedColumnFormula>
    </tableColumn>
    <tableColumn id="3" xr3:uid="{8F0A774E-CE98-44F2-ADDF-652F4E8F9833}" name="IVA 10,5" totalsRowFunction="sum" dataDxfId="702" totalsRowDxfId="701" dataCellStyle="Millares"/>
    <tableColumn id="4" xr3:uid="{183131DD-F2DB-40AC-BEE8-0FC9CA02A443}" name="Ret IIBB Caba" totalsRowFunction="sum" dataDxfId="700" totalsRowDxfId="699" dataCellStyle="Millares"/>
    <tableColumn id="5" xr3:uid="{4E298AC4-EAD7-43D7-82CE-9C101E79A302}" name="PERC IVA" totalsRowFunction="sum" dataDxfId="698" totalsRowDxfId="697" dataCellStyle="Millares"/>
  </tableColumns>
  <tableStyleInfo name="TableStyleLight8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9CB76BAF-F89B-49D0-A1DC-C1057B16BD82}" name="Tabla61220283861626465666" displayName="Tabla61220283861626465666" ref="T33:X62" totalsRowCount="1" headerRowDxfId="696" totalsRowDxfId="695">
  <autoFilter ref="T33:X61" xr:uid="{00000000-0009-0000-0100-00000F000000}"/>
  <tableColumns count="5">
    <tableColumn id="1" xr3:uid="{6E45C196-BC26-49AA-940E-C81CFBF5F5B2}" name="COMISIONES" totalsRowFunction="sum" totalsRowDxfId="694"/>
    <tableColumn id="2" xr3:uid="{1863A9AE-E803-479E-8795-B065BDF7534E}" name="IVA 21" totalsRowFunction="sum" dataDxfId="693" totalsRowDxfId="692">
      <calculatedColumnFormula>Tabla61220283861626465666[[#This Row],[COMISIONES]]*0.21</calculatedColumnFormula>
    </tableColumn>
    <tableColumn id="3" xr3:uid="{5192D340-AA2F-4533-829E-0E9B5240E17A}" name="IVA 10,5" totalsRowFunction="sum" totalsRowDxfId="691"/>
    <tableColumn id="4" xr3:uid="{259755FA-AE6A-4D5F-A6A1-915E85F44BD2}" name="Ret IIBB Caba" totalsRowFunction="sum" totalsRowDxfId="690"/>
    <tableColumn id="5" xr3:uid="{22A856AF-6723-42E1-8015-FE8ED06DCEFE}" name="PERC IVA" totalsRowFunction="sum" totalsRowDxfId="689"/>
  </tableColumns>
  <tableStyleInfo name="TableStyleLight8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C954AB9-FE8F-424F-A2CE-D3EC647831F8}" name="Tabla35681321293971727475767" displayName="Tabla35681321293971727475767" ref="Z15:AD169" totalsRowCount="1" headerRowDxfId="688" dataDxfId="687" totalsRowDxfId="685" tableBorderDxfId="686" dataCellStyle="Millares">
  <autoFilter ref="Z15:AD168" xr:uid="{00000000-0009-0000-0100-000010000000}"/>
  <tableColumns count="5">
    <tableColumn id="1" xr3:uid="{5FECD8AA-1B1B-417B-8DD0-13EEC68E8768}" name="COMISIONES" totalsRowFunction="sum" dataDxfId="684" totalsRowDxfId="683" dataCellStyle="Millares"/>
    <tableColumn id="2" xr3:uid="{3E596662-B833-4B8D-8FEA-B684E45CC644}" name="IVA 21" totalsRowFunction="sum" dataDxfId="682" totalsRowDxfId="681" dataCellStyle="Millares">
      <calculatedColumnFormula>Tabla35681321293971727475767[[#This Row],[COMISIONES]]*0.21</calculatedColumnFormula>
    </tableColumn>
    <tableColumn id="3" xr3:uid="{0522C83F-1AD7-4735-A1BB-8DB02EF09BBC}" name="IVA 10,5" totalsRowFunction="sum" dataDxfId="680" totalsRowDxfId="679" dataCellStyle="Millares"/>
    <tableColumn id="4" xr3:uid="{14A5FD74-C4BB-4CCC-83A4-A3CF8BF10517}" name="Ret IIBB Caba" totalsRowFunction="sum" dataDxfId="678" totalsRowDxfId="677" dataCellStyle="Millares"/>
    <tableColumn id="5" xr3:uid="{AC3D2FAA-A411-482D-98DA-22294A86F305}" name="PERC IVA" totalsRowFunction="sum" dataDxfId="676" totalsRowDxfId="675" dataCellStyle="Millares"/>
  </tableColumns>
  <tableStyleInfo name="TableStyleLight8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63789D09-40AE-440C-A324-E13E71F7C99B}" name="Tabla3568131422304081828485868" displayName="Tabla3568131422304081828485868" ref="AF15:AJ26" totalsRowCount="1" headerRowDxfId="674" dataDxfId="673" totalsRowDxfId="671" tableBorderDxfId="672" dataCellStyle="Millares">
  <autoFilter ref="AF15:AJ25" xr:uid="{00000000-0009-0000-0100-000011000000}"/>
  <tableColumns count="5">
    <tableColumn id="1" xr3:uid="{29375123-60A7-4F1B-8732-1E3E5F25D314}" name="COMISIONES" totalsRowFunction="sum" dataDxfId="670" totalsRowDxfId="669" dataCellStyle="Millares"/>
    <tableColumn id="2" xr3:uid="{0A619D0C-38DD-4566-9A57-0E40660DB149}" name="IVA 21" totalsRowFunction="sum" dataDxfId="668" totalsRowDxfId="667" dataCellStyle="Millares">
      <calculatedColumnFormula>Tabla3568131422304081828485868[[#This Row],[COMISIONES]]*0.21</calculatedColumnFormula>
    </tableColumn>
    <tableColumn id="3" xr3:uid="{92912A6E-E027-4DEA-B295-61BFE1D01AC8}" name="IVA 10,5" totalsRowFunction="sum" dataDxfId="666" totalsRowDxfId="665" dataCellStyle="Millares"/>
    <tableColumn id="4" xr3:uid="{C7EBC61C-E757-4A92-893B-8C7BEFA58CEC}" name="Ret IIBB Caba" totalsRowFunction="sum" dataDxfId="664" totalsRowDxfId="663" dataCellStyle="Millares"/>
    <tableColumn id="5" xr3:uid="{45D1F509-1E3E-4621-AFE8-883EB46377D1}" name="PERC IVA" totalsRowFunction="sum" dataDxfId="662" totalsRowDxfId="661" dataCellStyle="Millares"/>
  </tableColumns>
  <tableStyleInfo name="TableStyleLight8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ABD1512-C334-4E2A-B0B7-1BEE071BD216}" name="Tabla391523314191929495969" displayName="Tabla391523314191929495969" ref="H55:L102" totalsRowCount="1" headerRowDxfId="660" dataDxfId="659" totalsRowDxfId="657" tableBorderDxfId="658" dataCellStyle="Millares">
  <autoFilter ref="H55:L101" xr:uid="{00000000-0009-0000-0100-000012000000}"/>
  <tableColumns count="5">
    <tableColumn id="1" xr3:uid="{168A2AA6-0769-40D3-8337-DE89B48E7367}" name="COMISIONES" totalsRowFunction="sum" dataDxfId="656" totalsRowDxfId="655" dataCellStyle="Millares"/>
    <tableColumn id="2" xr3:uid="{B89EBD26-5EBF-4CC3-A716-24B36AE81CF4}" name="IVA 21" totalsRowFunction="sum" dataDxfId="654" totalsRowDxfId="653" dataCellStyle="Millares">
      <calculatedColumnFormula>Tabla391523314191929495969[[#This Row],[COMISIONES]]*0.21</calculatedColumnFormula>
    </tableColumn>
    <tableColumn id="3" xr3:uid="{3EC92B80-A3FF-4DB5-8116-F506F75B7B7F}" name="IVA 10,5" totalsRowFunction="sum" dataDxfId="652" totalsRowDxfId="651" dataCellStyle="Millares"/>
    <tableColumn id="4" xr3:uid="{A0E86AC0-9245-4010-B20B-DC4ACF8DF4C5}" name="Ret IIBB Caba" totalsRowFunction="sum" dataDxfId="650" totalsRowDxfId="649" dataCellStyle="Millares"/>
    <tableColumn id="5" xr3:uid="{6DB8D514-76E5-45FE-BDAF-72A9E04F9535}" name="PERC IVA" totalsRowFunction="sum" dataDxfId="648" totalsRowDxfId="647" dataCellStyle="Millares"/>
  </tableColumns>
  <tableStyleInfo name="TableStyleLight8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EB89EAE-99F7-4AEC-AD2A-C4EFC5AC551F}" name="Tabla61220283342102030506070" displayName="Tabla61220283342102030506070" ref="T65:X94" totalsRowCount="1" headerRowDxfId="646" totalsRowDxfId="645">
  <autoFilter ref="T65:X93" xr:uid="{00000000-0009-0000-0100-000013000000}"/>
  <tableColumns count="5">
    <tableColumn id="1" xr3:uid="{C1A93F4D-7C81-4717-A79D-4BB505BDC69E}" name="COMISIONES" totalsRowFunction="sum" totalsRowDxfId="644"/>
    <tableColumn id="2" xr3:uid="{8CEDD15A-5E2C-425A-89AF-FE0CFAE6F127}" name="IVA 21" totalsRowFunction="sum" dataDxfId="643" totalsRowDxfId="642">
      <calculatedColumnFormula>Tabla61220283342102030506070[[#This Row],[COMISIONES]]*0.21</calculatedColumnFormula>
    </tableColumn>
    <tableColumn id="3" xr3:uid="{615BA210-4D49-4D69-BFC2-F5CC5A8A7C91}" name="IVA 10,5" totalsRowFunction="sum" totalsRowDxfId="641"/>
    <tableColumn id="4" xr3:uid="{516AC23E-8249-4895-8A03-42ECAACC9176}" name="Ret IIBB Caba" totalsRowFunction="sum" totalsRowDxfId="640"/>
    <tableColumn id="5" xr3:uid="{663B55ED-678B-47E6-AE97-A5DA13A6FEF7}" name="PERC IVA" totalsRowFunction="sum" totalsRowDxfId="639"/>
  </tableColumns>
  <tableStyleInfo name="TableStyleLight8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B139E720-EE5A-4300-A40D-1F1D606B708F}" name="Tabla3561119273443112131516171" displayName="Tabla3561119273443112131516171" ref="AK15:AO31" totalsRowCount="1" headerRowDxfId="638" dataDxfId="637" totalsRowDxfId="635" tableBorderDxfId="636" dataCellStyle="Millares">
  <autoFilter ref="AK15:AO30" xr:uid="{00000000-0009-0000-0100-000014000000}"/>
  <tableColumns count="5">
    <tableColumn id="1" xr3:uid="{61FBB07B-5225-41E6-B35C-FB51F084864D}" name="COMISIONES" totalsRowFunction="sum" dataDxfId="634" totalsRowDxfId="633" dataCellStyle="Millares"/>
    <tableColumn id="2" xr3:uid="{5E6C708E-D97A-498A-A8A0-BC8501AE1750}" name="IVA 21" totalsRowFunction="sum" dataDxfId="632" totalsRowDxfId="631" dataCellStyle="Millares">
      <calculatedColumnFormula>Tabla3561119273443112131516171[[#This Row],[COMISIONES]]*0.21</calculatedColumnFormula>
    </tableColumn>
    <tableColumn id="3" xr3:uid="{9CA7DDAD-156D-4B22-A17D-899A038B7378}" name="IVA 10,5" totalsRowFunction="sum" dataDxfId="630" totalsRowDxfId="629" dataCellStyle="Millares"/>
    <tableColumn id="4" xr3:uid="{E6869E8B-7482-4B7D-B012-F3B37B0B22CC}" name="Ret IIBB Caba" totalsRowFunction="sum" dataDxfId="628" totalsRowDxfId="627" dataCellStyle="Millares"/>
    <tableColumn id="5" xr3:uid="{C3494354-7696-4A76-81BC-6434A7810991}" name="PERC IVA" totalsRowFunction="sum" dataDxfId="626" totalsRowDxfId="625" dataCellStyle="Millares"/>
  </tableColumns>
  <tableStyleInfo name="TableStyleLight8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3C26DDC8-D069-4808-8141-0F06D8690335}" name="Tabla1316243221222338292102112" displayName="Tabla1316243221222338292102112" ref="B15:F61" totalsRowCount="1" headerRowDxfId="169" totalsRowDxfId="168">
  <autoFilter ref="B15:F60" xr:uid="{00000000-0009-0000-0100-00000B000000}"/>
  <tableColumns count="5">
    <tableColumn id="1" xr3:uid="{2ECBB13D-0D81-4915-840F-EE51FD371FF9}" name="COMISIONES" totalsRowFunction="sum" dataDxfId="166" totalsRowDxfId="167"/>
    <tableColumn id="2" xr3:uid="{229B043D-D404-4F42-9951-8556276A03F6}" name="IVA 21" totalsRowFunction="sum" dataDxfId="164" totalsRowDxfId="165">
      <calculatedColumnFormula>Tabla1316243221222338292102112[[#This Row],[COMISIONES]]*0.21</calculatedColumnFormula>
    </tableColumn>
    <tableColumn id="3" xr3:uid="{B7C6B72F-1A32-4826-A903-82E3E8311055}" name="IVA 10,5" totalsRowFunction="sum" dataDxfId="162" totalsRowDxfId="163"/>
    <tableColumn id="4" xr3:uid="{6E0355DF-A934-4A69-8731-FC7D7E787AC4}" name="Ret IIBB Caba" totalsRowFunction="sum" dataDxfId="160" totalsRowDxfId="161"/>
    <tableColumn id="5" xr3:uid="{81EA6291-9084-45B7-8AAE-8DF0CEBE2986}" name="PERC IVA" totalsRowFunction="sum" totalsRowDxfId="159"/>
  </tableColumns>
  <tableStyleInfo name="TableStyleLight8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AE1DEB9E-C81F-4CF1-B786-B8A3571ED563}" name="Tabla3917253531323348393103113" displayName="Tabla3917253531323348393103113" ref="H15:L53" totalsRowCount="1" headerRowDxfId="158" dataDxfId="157" totalsRowDxfId="156" tableBorderDxfId="155" dataCellStyle="Millares">
  <autoFilter ref="H15:L52" xr:uid="{00000000-0009-0000-0100-00000C000000}"/>
  <tableColumns count="5">
    <tableColumn id="1" xr3:uid="{3FDC6E5C-2EEF-47EE-AAF2-36110C217DD1}" name="COMISIONES" totalsRowFunction="sum" dataDxfId="153" totalsRowDxfId="154" dataCellStyle="Millares"/>
    <tableColumn id="2" xr3:uid="{826A5354-1AD4-4DD2-8FDB-F5ABFD3709A8}" name="IVA 21" totalsRowFunction="sum" dataDxfId="151" totalsRowDxfId="152" dataCellStyle="Millares">
      <calculatedColumnFormula>Tabla3917253531323348393103113[[#This Row],[COMISIONES]]*0.21</calculatedColumnFormula>
    </tableColumn>
    <tableColumn id="3" xr3:uid="{4EF420A6-3847-4147-8FBC-2DBF3B5C8F78}" name="IVA 10,5" totalsRowFunction="sum" dataDxfId="149" totalsRowDxfId="150" dataCellStyle="Millares"/>
    <tableColumn id="4" xr3:uid="{D138AD87-5C79-4016-B0A5-CB6738B16944}" name="Ret IIBB Caba" totalsRowFunction="sum" dataDxfId="147" totalsRowDxfId="148" dataCellStyle="Millares"/>
    <tableColumn id="5" xr3:uid="{59E29CA7-220D-4B82-9C2C-FD335F84F5E6}" name="PERC IVA" totalsRowFunction="sum" dataDxfId="145" totalsRowDxfId="146" dataCellStyle="Millares"/>
  </tableColumns>
  <tableStyleInfo name="TableStyleLight8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921F17F2-3847-48E1-80A7-581938A5F82C}" name="Tabla351018263641424448494104114" displayName="Tabla351018263641424448494104114" ref="N15:R135" totalsRowCount="1" headerRowDxfId="144" dataDxfId="143" totalsRowDxfId="142" tableBorderDxfId="141" dataCellStyle="Millares">
  <autoFilter ref="N15:R134" xr:uid="{00000000-0009-0000-0100-00000D000000}"/>
  <tableColumns count="5">
    <tableColumn id="1" xr3:uid="{F89C39D1-6C79-4852-B6F8-DC4883F19FD9}" name="COMISIONES" totalsRowFunction="sum" dataDxfId="139" totalsRowDxfId="140" dataCellStyle="Millares"/>
    <tableColumn id="2" xr3:uid="{D41F6F90-A32A-4D39-BEAB-A8AE2F015FF0}" name="IVA 21" totalsRowFunction="sum" dataDxfId="137" totalsRowDxfId="138" dataCellStyle="Millares">
      <calculatedColumnFormula>Tabla351018263641424448494104114[[#This Row],[COMISIONES]]*0.21</calculatedColumnFormula>
    </tableColumn>
    <tableColumn id="3" xr3:uid="{61AE82F5-E60C-4E21-BF70-FDC3180D06F0}" name="IVA 10,5" totalsRowFunction="sum" dataDxfId="135" totalsRowDxfId="136" dataCellStyle="Millares"/>
    <tableColumn id="4" xr3:uid="{EB98271B-DCF7-4585-9EBD-05625D4D8B9A}" name="Ret IIBB Caba" totalsRowFunction="sum" dataDxfId="133" totalsRowDxfId="134" dataCellStyle="Millares"/>
    <tableColumn id="5" xr3:uid="{0BE1261B-BC74-48A4-B030-0A882FA95ADC}" name="PERC IVA" totalsRowFunction="sum" dataDxfId="131" totalsRowDxfId="132" dataCellStyle="Millares"/>
  </tableColumns>
  <tableStyleInfo name="TableStyleLight8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F4A3AAA-B2F4-429D-A76B-646A055C413F}" name="Tabla3561119273751525458595105115" displayName="Tabla3561119273751525458595105115" ref="T15:X31" totalsRowCount="1" headerRowDxfId="130" dataDxfId="129" totalsRowDxfId="128" tableBorderDxfId="127" dataCellStyle="Millares">
  <autoFilter ref="T15:X30" xr:uid="{00000000-0009-0000-0100-00000E000000}"/>
  <tableColumns count="5">
    <tableColumn id="1" xr3:uid="{FF0701E3-4470-43AC-BC4A-256DA29535EF}" name="COMISIONES" totalsRowFunction="sum" dataDxfId="125" totalsRowDxfId="126" dataCellStyle="Millares"/>
    <tableColumn id="2" xr3:uid="{79CAAEDC-7429-4B68-8BA8-43AA69EA6450}" name="IVA 21" totalsRowFunction="sum" dataDxfId="123" totalsRowDxfId="124" dataCellStyle="Millares">
      <calculatedColumnFormula>Tabla3561119273751525458595105115[[#This Row],[COMISIONES]]*0.21</calculatedColumnFormula>
    </tableColumn>
    <tableColumn id="3" xr3:uid="{7731D024-9D13-4F9A-AAD3-71A6B6E73CA5}" name="IVA 10,5" totalsRowFunction="sum" dataDxfId="121" totalsRowDxfId="122" dataCellStyle="Millares"/>
    <tableColumn id="4" xr3:uid="{0EB01BCC-BF4F-4571-8BE0-4330283E09DD}" name="Ret IIBB Caba" totalsRowFunction="sum" dataDxfId="119" totalsRowDxfId="120" dataCellStyle="Millares"/>
    <tableColumn id="5" xr3:uid="{B6A4E361-EE41-4D96-8B93-80A3D1D033F5}" name="PERC IVA" totalsRowFunction="sum" dataDxfId="117" totalsRowDxfId="118" dataCellStyle="Millares"/>
  </tableColumns>
  <tableStyleInfo name="TableStyleLight8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BF473A71-1D1B-44D9-A8F4-3AF8E863A9D2}" name="Tabla61220283861626468696106116" displayName="Tabla61220283861626468696106116" ref="T33:X62" totalsRowCount="1" headerRowDxfId="116" totalsRowDxfId="115">
  <autoFilter ref="T33:X61" xr:uid="{00000000-0009-0000-0100-00000F000000}"/>
  <tableColumns count="5">
    <tableColumn id="1" xr3:uid="{EAEC8B57-C191-48CE-9180-55DA4BBFF517}" name="COMISIONES" totalsRowFunction="sum" totalsRowDxfId="114"/>
    <tableColumn id="2" xr3:uid="{D46E9371-8967-4F38-AA6A-D763DF1D23CA}" name="IVA 21" totalsRowFunction="sum" dataDxfId="112" totalsRowDxfId="113">
      <calculatedColumnFormula>Tabla61220283861626468696106116[[#This Row],[COMISIONES]]*0.21</calculatedColumnFormula>
    </tableColumn>
    <tableColumn id="3" xr3:uid="{26078B2E-4312-414F-91AC-F7B0D224C15C}" name="IVA 10,5" totalsRowFunction="sum" totalsRowDxfId="111"/>
    <tableColumn id="4" xr3:uid="{2D3B257F-F04F-4EAE-97D3-66DB2EBBB745}" name="Ret IIBB Caba" totalsRowFunction="sum" totalsRowDxfId="110"/>
    <tableColumn id="5" xr3:uid="{2D1A6D91-6867-48F9-8A48-108C3B4D3CBC}" name="PERC IVA" totalsRowFunction="sum" totalsRowDxfId="109"/>
  </tableColumns>
  <tableStyleInfo name="TableStyleLight8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86DED9A3-9917-4D17-9F1F-331F3924BCF6}" name="Tabla35681321293971727478797107117" displayName="Tabla35681321293971727478797107117" ref="Z15:AD169" totalsRowCount="1" headerRowDxfId="108" dataDxfId="107" totalsRowDxfId="106" tableBorderDxfId="105" dataCellStyle="Millares">
  <autoFilter ref="Z15:AD168" xr:uid="{00000000-0009-0000-0100-000010000000}"/>
  <tableColumns count="5">
    <tableColumn id="1" xr3:uid="{75660C89-B7CC-4A0E-9B12-649CD15586B8}" name="COMISIONES" totalsRowFunction="sum" dataDxfId="104" totalsRowDxfId="4" dataCellStyle="Millares"/>
    <tableColumn id="2" xr3:uid="{49652B8F-8EF5-4C4D-B753-29C6D918D814}" name="IVA 21" totalsRowFunction="sum" dataDxfId="103" totalsRowDxfId="3" dataCellStyle="Millares">
      <calculatedColumnFormula>Tabla35681321293971727478797107117[[#This Row],[COMISIONES]]*0.21</calculatedColumnFormula>
    </tableColumn>
    <tableColumn id="3" xr3:uid="{9160F3A9-DFF3-494E-AB6F-01066A76D93C}" name="IVA 10,5" totalsRowFunction="sum" dataDxfId="102" totalsRowDxfId="2" dataCellStyle="Millares"/>
    <tableColumn id="4" xr3:uid="{31CB9F6D-ED77-4111-8DC7-A267D21EAE1D}" name="Ret IIBB Caba" totalsRowFunction="sum" dataDxfId="101" totalsRowDxfId="1" dataCellStyle="Millares"/>
    <tableColumn id="5" xr3:uid="{98867216-9204-4E44-A2E0-BBEA9F748EF4}" name="PERC IVA" totalsRowFunction="sum" dataDxfId="100" totalsRowDxfId="0" dataCellStyle="Millares"/>
  </tableColumns>
  <tableStyleInfo name="TableStyleLight8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A7F3F81-4858-450C-A8DC-FA32E9BBF191}" name="Tabla3568131422304081828488898108118" displayName="Tabla3568131422304081828488898108118" ref="AF15:AJ26" totalsRowCount="1" headerRowDxfId="99" dataDxfId="98" totalsRowDxfId="97" tableBorderDxfId="96" dataCellStyle="Millares">
  <autoFilter ref="AF15:AJ25" xr:uid="{00000000-0009-0000-0100-000011000000}"/>
  <tableColumns count="5">
    <tableColumn id="1" xr3:uid="{C501DC65-2D81-4D1E-8BCB-5FA04A33875F}" name="COMISIONES" totalsRowFunction="sum" dataDxfId="94" totalsRowDxfId="95" dataCellStyle="Millares"/>
    <tableColumn id="2" xr3:uid="{487C6909-EBD8-4F6F-9DA5-2DB311AA5C29}" name="IVA 21" totalsRowFunction="sum" dataDxfId="92" totalsRowDxfId="93" dataCellStyle="Millares">
      <calculatedColumnFormula>Tabla3568131422304081828488898108118[[#This Row],[COMISIONES]]*0.21</calculatedColumnFormula>
    </tableColumn>
    <tableColumn id="3" xr3:uid="{41A5A4FB-827B-47D8-87A9-05C4FB0B2FD2}" name="IVA 10,5" totalsRowFunction="sum" dataDxfId="90" totalsRowDxfId="91" dataCellStyle="Millares"/>
    <tableColumn id="4" xr3:uid="{FEA8017A-97F8-4E8E-BA34-DA0970E1C389}" name="Ret IIBB Caba" totalsRowFunction="sum" dataDxfId="88" totalsRowDxfId="89" dataCellStyle="Millares"/>
    <tableColumn id="5" xr3:uid="{A956C74C-60B6-41D8-8503-700D2BE1B65E}" name="PERC IVA" totalsRowFunction="sum" dataDxfId="86" totalsRowDxfId="87" dataCellStyle="Millares"/>
  </tableColumns>
  <tableStyleInfo name="TableStyleLight8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90048EA-EE27-4864-8B20-AEEA0FBD4E85}" name="Tabla391523314191929498999109119" displayName="Tabla391523314191929498999109119" ref="H55:L102" totalsRowCount="1" headerRowDxfId="85" dataDxfId="84" totalsRowDxfId="83" tableBorderDxfId="82" dataCellStyle="Millares">
  <autoFilter ref="H55:L101" xr:uid="{00000000-0009-0000-0100-000012000000}"/>
  <tableColumns count="5">
    <tableColumn id="1" xr3:uid="{6F2F3454-6D96-4C5E-ADAD-1C0AB2FF34A1}" name="COMISIONES" totalsRowFunction="sum" dataDxfId="81" totalsRowDxfId="9" dataCellStyle="Millares"/>
    <tableColumn id="2" xr3:uid="{DD5C78EA-7315-49F1-9234-B40ADFB0285E}" name="IVA 21" totalsRowFunction="sum" dataDxfId="80" totalsRowDxfId="8" dataCellStyle="Millares">
      <calculatedColumnFormula>Tabla391523314191929498999109119[[#This Row],[COMISIONES]]*0.21</calculatedColumnFormula>
    </tableColumn>
    <tableColumn id="3" xr3:uid="{5C2C2CF8-DB0E-4F09-9610-09EB801D4198}" name="IVA 10,5" totalsRowFunction="sum" dataDxfId="79" totalsRowDxfId="7" dataCellStyle="Millares"/>
    <tableColumn id="4" xr3:uid="{16F2F8DA-A211-4DCC-8E63-F7D220FC1B82}" name="Ret IIBB Caba" totalsRowFunction="sum" dataDxfId="78" totalsRowDxfId="6" dataCellStyle="Millares"/>
    <tableColumn id="5" xr3:uid="{15676A35-919F-4F1D-A03C-2A7F445DC141}" name="PERC IVA" totalsRowFunction="sum" dataDxfId="77" totalsRowDxfId="5" dataCellStyle="Millares"/>
  </tableColumns>
  <tableStyleInfo name="TableStyleLight8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A976DB35-61DB-4BFA-9EE2-BB2F8C7E1981}" name="Tabla612202833421020305090100110120" displayName="Tabla612202833421020305090100110120" ref="T65:X94" totalsRowCount="1" headerRowDxfId="76" totalsRowDxfId="75">
  <autoFilter ref="T65:X93" xr:uid="{00000000-0009-0000-0100-000013000000}"/>
  <tableColumns count="5">
    <tableColumn id="1" xr3:uid="{2D8570EA-2421-47B6-9A96-069DB4D7832F}" name="COMISIONES" totalsRowFunction="sum" totalsRowDxfId="74"/>
    <tableColumn id="2" xr3:uid="{C8404689-DF03-4469-AD05-F3BD0BC82B3D}" name="IVA 21" totalsRowFunction="sum" dataDxfId="72" totalsRowDxfId="73">
      <calculatedColumnFormula>Tabla612202833421020305090100110120[[#This Row],[COMISIONES]]*0.21</calculatedColumnFormula>
    </tableColumn>
    <tableColumn id="3" xr3:uid="{51067E5C-38B0-4FC2-A4CB-1C5B1094EABE}" name="IVA 10,5" totalsRowFunction="sum" totalsRowDxfId="71"/>
    <tableColumn id="4" xr3:uid="{65FEB67F-C65B-4B97-809A-402429E6B381}" name="Ret IIBB Caba" totalsRowFunction="sum" totalsRowDxfId="70"/>
    <tableColumn id="5" xr3:uid="{03E8C8C2-9D98-49F6-88F1-FD7450F48F08}" name="PERC IVA" totalsRowFunction="sum" totalsRowDxfId="69"/>
  </tableColumns>
  <tableStyleInfo name="TableStyleLight8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1E7DAA-DDEA-46E3-B4D0-1B650CF442A2}" name="Tabla35611192734431121315191101111121" displayName="Tabla35611192734431121315191101111121" ref="AK15:AO31" totalsRowCount="1" headerRowDxfId="68" dataDxfId="67" totalsRowDxfId="66" tableBorderDxfId="65" dataCellStyle="Millares">
  <autoFilter ref="AK15:AO30" xr:uid="{00000000-0009-0000-0100-000014000000}"/>
  <tableColumns count="5">
    <tableColumn id="1" xr3:uid="{B46EB6AE-B725-434A-A782-0A566BDB2724}" name="COMISIONES" totalsRowFunction="sum" dataDxfId="19" totalsRowDxfId="14" dataCellStyle="Millares"/>
    <tableColumn id="2" xr3:uid="{2992F975-702E-41D5-8539-2218273855B9}" name="IVA 21" totalsRowFunction="sum" dataDxfId="18" totalsRowDxfId="13" dataCellStyle="Millares">
      <calculatedColumnFormula>Tabla35611192734431121315191101111121[[#This Row],[COMISIONES]]*0.21</calculatedColumnFormula>
    </tableColumn>
    <tableColumn id="3" xr3:uid="{AF2C6F79-EAE3-4B21-9CD2-CBC8CD1417A3}" name="IVA 10,5" totalsRowFunction="sum" dataDxfId="17" totalsRowDxfId="12" dataCellStyle="Millares"/>
    <tableColumn id="4" xr3:uid="{3E98E364-394B-416A-BF63-E93EB790A282}" name="Ret IIBB Caba" totalsRowFunction="sum" dataDxfId="16" totalsRowDxfId="11" dataCellStyle="Millares"/>
    <tableColumn id="5" xr3:uid="{B1E5A364-9808-4DCC-BCA8-8984170802A0}" name="PERC IVA" totalsRowFunction="sum" dataDxfId="15" totalsRowDxfId="10" dataCellStyle="Millares"/>
  </tableColumns>
  <tableStyleInfo name="TableStyleLight8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B71BFF7-2E1C-4388-8F16-4F48B813753E}" name="Tabla131624322122233526272" displayName="Tabla131624322122233526272" ref="B15:F61" totalsRowCount="1" headerRowDxfId="624" totalsRowDxfId="623">
  <autoFilter ref="B15:F60" xr:uid="{00000000-0009-0000-0100-00000B000000}"/>
  <tableColumns count="5">
    <tableColumn id="1" xr3:uid="{B2590894-A87E-481A-B6E2-B22CEFD8A4CB}" name="COMISIONES" totalsRowFunction="sum" dataDxfId="622" totalsRowDxfId="621"/>
    <tableColumn id="2" xr3:uid="{E736EB41-C03D-4750-954B-E5888D38691A}" name="IVA 21" totalsRowFunction="sum" dataDxfId="620" totalsRowDxfId="619">
      <calculatedColumnFormula>Tabla131624322122233526272[[#This Row],[COMISIONES]]*0.21</calculatedColumnFormula>
    </tableColumn>
    <tableColumn id="3" xr3:uid="{D6B53F34-F11F-4979-81BA-E6843CD6E0E9}" name="IVA 10,5" totalsRowFunction="sum" dataDxfId="618" totalsRowDxfId="617">
      <calculatedColumnFormula>Tabla131624322122233526272[[#This Row],[COMISIONES]]*0.105</calculatedColumnFormula>
    </tableColumn>
    <tableColumn id="4" xr3:uid="{1829B41A-4C4B-4203-921C-63CA4673EAF6}" name="Ret IIBB Caba" totalsRowFunction="sum" dataDxfId="616" totalsRowDxfId="615"/>
    <tableColumn id="5" xr3:uid="{EB4D19B1-AAF3-49E8-A24E-05304823C2C5}" name="PERC IVA" totalsRowFunction="sum" totalsRowDxfId="614"/>
  </tableColumns>
  <tableStyleInfo name="TableStyleLight8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47674F72-79AF-4A59-A8BE-9C2327F58885}" name="Tabla391725353132334536373" displayName="Tabla391725353132334536373" ref="H15:L53" totalsRowCount="1" headerRowDxfId="613" dataDxfId="612" totalsRowDxfId="610" tableBorderDxfId="611" dataCellStyle="Millares">
  <autoFilter ref="H15:L52" xr:uid="{00000000-0009-0000-0100-00000C000000}"/>
  <tableColumns count="5">
    <tableColumn id="1" xr3:uid="{B2C35FC4-D917-4F19-A282-F56BC15EC9D3}" name="COMISIONES" totalsRowFunction="sum" dataDxfId="609" totalsRowDxfId="608" dataCellStyle="Millares"/>
    <tableColumn id="2" xr3:uid="{1B648C13-80E5-4398-A7C7-0B2E85E4BE92}" name="IVA 21" totalsRowFunction="sum" dataDxfId="607" totalsRowDxfId="606" dataCellStyle="Millares">
      <calculatedColumnFormula>Tabla391725353132334536373[[#This Row],[COMISIONES]]*0.21</calculatedColumnFormula>
    </tableColumn>
    <tableColumn id="3" xr3:uid="{47B41067-66B0-49E4-A77A-4FB46D40DC95}" name="IVA 10,5" totalsRowFunction="sum" dataDxfId="605" totalsRowDxfId="604" dataCellStyle="Millares"/>
    <tableColumn id="4" xr3:uid="{C5E8BD12-FF12-4462-AC76-E7291FBB4F04}" name="Ret IIBB Caba" totalsRowFunction="sum" dataDxfId="603" totalsRowDxfId="602" dataCellStyle="Millares"/>
    <tableColumn id="5" xr3:uid="{966AB39F-2F0F-407A-A5FD-3ECC2C0A5CC5}" name="PERC IVA" totalsRowFunction="sum" dataDxfId="601" totalsRowDxfId="600" dataCellStyle="Millares"/>
  </tableColumns>
  <tableStyleInfo name="TableStyleLight8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BBF845BA-C62E-4818-808A-69F05547CCBB}" name="Tabla35101826364142444546474" displayName="Tabla35101826364142444546474" ref="N15:R135" totalsRowCount="1" headerRowDxfId="599" dataDxfId="598" totalsRowDxfId="596" tableBorderDxfId="597" dataCellStyle="Millares">
  <autoFilter ref="N15:R134" xr:uid="{00000000-0009-0000-0100-00000D000000}"/>
  <tableColumns count="5">
    <tableColumn id="1" xr3:uid="{8E475034-0B07-420B-B41B-CAE869A51A40}" name="COMISIONES" totalsRowFunction="sum" dataDxfId="595" totalsRowDxfId="594" dataCellStyle="Millares"/>
    <tableColumn id="2" xr3:uid="{55CCD5A4-2E43-4E6B-8A7C-EC09AE4156AD}" name="IVA 21" totalsRowFunction="sum" dataDxfId="593" totalsRowDxfId="592" dataCellStyle="Millares">
      <calculatedColumnFormula>Tabla35101826364142444546474[[#This Row],[COMISIONES]]*0.21</calculatedColumnFormula>
    </tableColumn>
    <tableColumn id="3" xr3:uid="{964EC5C9-7094-4D19-9699-F6A5C4D54FA4}" name="IVA 10,5" totalsRowFunction="sum" dataDxfId="591" totalsRowDxfId="590" dataCellStyle="Millares"/>
    <tableColumn id="4" xr3:uid="{77FC4F24-0032-4796-AB01-8CE8AF934F18}" name="Ret IIBB Caba" totalsRowFunction="sum" dataDxfId="589" totalsRowDxfId="588" dataCellStyle="Millares"/>
    <tableColumn id="5" xr3:uid="{3ED684F2-1305-4DC6-8314-81E99D0207A0}" name="PERC IVA" totalsRowFunction="sum" dataDxfId="587" totalsRowDxfId="586" dataCellStyle="Millares"/>
  </tableColumns>
  <tableStyleInfo name="TableStyleLight8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F9D6EE92-FAD5-4990-8E05-1826DDF35F93}" name="Tabla356111927375152545556575" displayName="Tabla356111927375152545556575" ref="T15:X31" totalsRowCount="1" headerRowDxfId="585" dataDxfId="584" totalsRowDxfId="582" tableBorderDxfId="583" dataCellStyle="Millares">
  <autoFilter ref="T15:X30" xr:uid="{00000000-0009-0000-0100-00000E000000}"/>
  <tableColumns count="5">
    <tableColumn id="1" xr3:uid="{B98A43DD-2A9A-409B-8A09-1206C8D2F5E6}" name="COMISIONES" totalsRowFunction="sum" dataDxfId="581" totalsRowDxfId="580" dataCellStyle="Millares"/>
    <tableColumn id="2" xr3:uid="{55C6E5ED-BBA5-4B5C-A4C9-5D0AC29D5C3D}" name="IVA 21" totalsRowFunction="sum" dataDxfId="579" totalsRowDxfId="578" dataCellStyle="Millares">
      <calculatedColumnFormula>Tabla356111927375152545556575[[#This Row],[COMISIONES]]*0.21</calculatedColumnFormula>
    </tableColumn>
    <tableColumn id="3" xr3:uid="{8693135E-F99A-4CEE-B947-379FCB398648}" name="IVA 10,5" totalsRowFunction="sum" dataDxfId="577" totalsRowDxfId="576" dataCellStyle="Millares"/>
    <tableColumn id="4" xr3:uid="{F9632FD6-8AE9-4D52-B5C9-3AC33175ADD8}" name="Ret IIBB Caba" totalsRowFunction="sum" dataDxfId="575" totalsRowDxfId="574" dataCellStyle="Millares"/>
    <tableColumn id="5" xr3:uid="{B841D1F7-C99E-40C9-BB50-783516F354E2}" name="PERC IVA" totalsRowFunction="sum" dataDxfId="573" totalsRowDxfId="572" dataCellStyle="Millares"/>
  </tableColumns>
  <tableStyleInfo name="TableStyleLight8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ACDD9D03-4D99-4745-B3BC-A62D335D7D41}" name="Tabla6122028386162646566676" displayName="Tabla6122028386162646566676" ref="T33:X62" totalsRowCount="1" headerRowDxfId="571" totalsRowDxfId="570">
  <autoFilter ref="T33:X61" xr:uid="{00000000-0009-0000-0100-00000F000000}"/>
  <tableColumns count="5">
    <tableColumn id="1" xr3:uid="{35D7C556-EB06-47B6-9D7F-4D516EAA7D2E}" name="COMISIONES" totalsRowFunction="sum" totalsRowDxfId="569"/>
    <tableColumn id="2" xr3:uid="{F4F5BBAF-3D94-4504-9413-A9F347953E18}" name="IVA 21" totalsRowFunction="sum" dataDxfId="568" totalsRowDxfId="567">
      <calculatedColumnFormula>Tabla6122028386162646566676[[#This Row],[COMISIONES]]*0.21</calculatedColumnFormula>
    </tableColumn>
    <tableColumn id="3" xr3:uid="{9817D2D3-0543-4050-B86A-ACE147A6D1CA}" name="IVA 10,5" totalsRowFunction="sum" totalsRowDxfId="566"/>
    <tableColumn id="4" xr3:uid="{374B4FDA-8322-4608-9C84-335243CC0950}" name="Ret IIBB Caba" totalsRowFunction="sum" totalsRowDxfId="565"/>
    <tableColumn id="5" xr3:uid="{68704383-99E9-4FF9-8C05-A8258842CF92}" name="PERC IVA" totalsRowFunction="sum" totalsRowDxfId="564"/>
  </tableColumns>
  <tableStyleInfo name="TableStyleLight8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9D011BBD-4326-4996-87DF-8DAD21022CFE}" name="Tabla3568132129397172747576777" displayName="Tabla3568132129397172747576777" ref="Z15:AD169" totalsRowCount="1" headerRowDxfId="563" dataDxfId="562" totalsRowDxfId="560" tableBorderDxfId="561" dataCellStyle="Millares">
  <autoFilter ref="Z15:AD168" xr:uid="{00000000-0009-0000-0100-000010000000}"/>
  <tableColumns count="5">
    <tableColumn id="1" xr3:uid="{E3A3FFCA-1D82-48D0-99FB-98C29FA954FC}" name="COMISIONES" totalsRowFunction="sum" dataDxfId="559" totalsRowDxfId="558" dataCellStyle="Millares"/>
    <tableColumn id="2" xr3:uid="{8945FE12-A8C8-4D9A-B772-E7BF766D073C}" name="IVA 21" totalsRowFunction="sum" dataDxfId="557" totalsRowDxfId="556" dataCellStyle="Millares">
      <calculatedColumnFormula>Tabla3568132129397172747576777[[#This Row],[COMISIONES]]*0.21</calculatedColumnFormula>
    </tableColumn>
    <tableColumn id="3" xr3:uid="{061356E6-0711-4E97-967D-3C5321032F59}" name="IVA 10,5" totalsRowFunction="sum" dataDxfId="555" totalsRowDxfId="554" dataCellStyle="Millares">
      <calculatedColumnFormula>Tabla3568132129397172747576777[[#This Row],[COMISIONES]]*0.105</calculatedColumnFormula>
    </tableColumn>
    <tableColumn id="4" xr3:uid="{A5873C52-AD53-4448-87BA-A66DABFD1459}" name="Ret IIBB Caba" totalsRowFunction="sum" dataDxfId="553" totalsRowDxfId="552" dataCellStyle="Millares"/>
    <tableColumn id="5" xr3:uid="{7B484523-A306-43A8-9832-05CE2DBA8C6C}" name="PERC IVA" totalsRowFunction="sum" dataDxfId="551" totalsRowDxfId="550" dataCellStyle="Millares"/>
  </tableColumns>
  <tableStyleInfo name="TableStyleLight8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A10FFABC-D20E-4F9D-923E-A3CE61A36589}" name="Tabla356813142230408182848586878" displayName="Tabla356813142230408182848586878" ref="AF15:AJ26" totalsRowCount="1" headerRowDxfId="549" dataDxfId="548" totalsRowDxfId="546" tableBorderDxfId="547" dataCellStyle="Millares">
  <autoFilter ref="AF15:AJ25" xr:uid="{00000000-0009-0000-0100-000011000000}"/>
  <tableColumns count="5">
    <tableColumn id="1" xr3:uid="{1994B46E-6E0E-4D0D-9878-C68EA7D6E49A}" name="COMISIONES" totalsRowFunction="sum" dataDxfId="545" totalsRowDxfId="544" dataCellStyle="Millares"/>
    <tableColumn id="2" xr3:uid="{BD093096-54E6-44F9-8603-15C2E8C2B093}" name="IVA 21" totalsRowFunction="sum" dataDxfId="543" totalsRowDxfId="542" dataCellStyle="Millares">
      <calculatedColumnFormula>Tabla356813142230408182848586878[[#This Row],[COMISIONES]]*0.21</calculatedColumnFormula>
    </tableColumn>
    <tableColumn id="3" xr3:uid="{E909066F-C974-4775-BB55-46AC2F41907E}" name="IVA 10,5" totalsRowFunction="sum" dataDxfId="541" totalsRowDxfId="540" dataCellStyle="Millares"/>
    <tableColumn id="4" xr3:uid="{2FE3B24C-69B7-4735-8049-B23C6FF4742E}" name="Ret IIBB Caba" totalsRowFunction="sum" dataDxfId="539" totalsRowDxfId="538" dataCellStyle="Millares"/>
    <tableColumn id="5" xr3:uid="{2BEE999E-4959-4632-9C5F-A7CBC1A51036}" name="PERC IVA" totalsRowFunction="sum" dataDxfId="537" totalsRowDxfId="536" dataCellStyle="Millares"/>
  </tableColumns>
  <tableStyleInfo name="TableStyleLight8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BDF19725-BB47-43FE-847D-9E7722E6C0A3}" name="Tabla39152331419192949596979" displayName="Tabla39152331419192949596979" ref="H55:L102" totalsRowCount="1" headerRowDxfId="535" dataDxfId="534" totalsRowDxfId="532" tableBorderDxfId="533" dataCellStyle="Millares">
  <autoFilter ref="H55:L101" xr:uid="{00000000-0009-0000-0100-000012000000}"/>
  <tableColumns count="5">
    <tableColumn id="1" xr3:uid="{F7C56BD0-DDDD-480B-AD74-0B14584B4465}" name="COMISIONES" totalsRowFunction="sum" dataDxfId="531" totalsRowDxfId="530" dataCellStyle="Millares"/>
    <tableColumn id="2" xr3:uid="{B4BBD787-0D9C-4222-A205-9A6D70B9558D}" name="IVA 21" totalsRowFunction="sum" dataDxfId="529" totalsRowDxfId="528" dataCellStyle="Millares">
      <calculatedColumnFormula>Tabla39152331419192949596979[[#This Row],[COMISIONES]]*0.21</calculatedColumnFormula>
    </tableColumn>
    <tableColumn id="3" xr3:uid="{11FCFD78-CFA7-4E59-B114-641974EB6FA5}" name="IVA 10,5" totalsRowFunction="sum" dataDxfId="527" totalsRowDxfId="526" dataCellStyle="Millares"/>
    <tableColumn id="4" xr3:uid="{C7951993-D04B-45F3-8FFE-2DF787705BB1}" name="Ret IIBB Caba" totalsRowFunction="sum" dataDxfId="525" totalsRowDxfId="524" dataCellStyle="Millares"/>
    <tableColumn id="5" xr3:uid="{0AABC391-E49A-4726-B9B2-271F9269CB20}" name="PERC IVA" totalsRowFunction="sum" dataDxfId="523" totalsRowDxfId="522" dataCellStyle="Millares"/>
  </tableColumns>
  <tableStyleInfo name="TableStyleLight8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41FA3A4E-2D9A-44B3-965F-98FDC6FF5B39}" name="Tabla6122028334210203050607080" displayName="Tabla6122028334210203050607080" ref="T65:X94" totalsRowCount="1" headerRowDxfId="521" totalsRowDxfId="520">
  <autoFilter ref="T65:X93" xr:uid="{00000000-0009-0000-0100-000013000000}"/>
  <tableColumns count="5">
    <tableColumn id="1" xr3:uid="{D5E4BA18-8985-4E4A-8612-FCD9AFC24D4E}" name="COMISIONES" totalsRowFunction="sum" totalsRowDxfId="519"/>
    <tableColumn id="2" xr3:uid="{79D5D1C1-8424-445A-A398-1AF2086E204B}" name="IVA 21" totalsRowFunction="sum" dataDxfId="518" totalsRowDxfId="517">
      <calculatedColumnFormula>Tabla6122028334210203050607080[[#This Row],[COMISIONES]]*0.21</calculatedColumnFormula>
    </tableColumn>
    <tableColumn id="3" xr3:uid="{1F11283F-2C52-458A-B958-B72E0EEB63EB}" name="IVA 10,5" totalsRowFunction="sum" totalsRowDxfId="516"/>
    <tableColumn id="4" xr3:uid="{A4B15FA7-4C38-4801-90F2-9A585F076F85}" name="Ret IIBB Caba" totalsRowFunction="sum" totalsRowDxfId="515"/>
    <tableColumn id="5" xr3:uid="{816E5251-5C1F-4E9E-86A9-DAB259BA3E42}" name="PERC IVA" totalsRowFunction="sum" totalsRowDxfId="514"/>
  </tableColumns>
  <tableStyleInfo name="TableStyleLight8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5C67A52-66EA-429C-BD5A-41FBA1A00E1D}" name="Tabla356111927344311213151617181" displayName="Tabla356111927344311213151617181" ref="AK15:AO31" totalsRowCount="1" headerRowDxfId="513" dataDxfId="512" totalsRowDxfId="510" tableBorderDxfId="511" dataCellStyle="Millares">
  <autoFilter ref="AK15:AO30" xr:uid="{00000000-0009-0000-0100-000014000000}"/>
  <tableColumns count="5">
    <tableColumn id="1" xr3:uid="{9C590F0C-F193-43B6-AD0F-72BA0A8EBEA8}" name="COMISIONES" totalsRowFunction="sum" dataDxfId="509" totalsRowDxfId="508" dataCellStyle="Millares"/>
    <tableColumn id="2" xr3:uid="{87C901B3-92DB-4EA7-8BA4-CCA4444452B4}" name="IVA 21" totalsRowFunction="sum" dataDxfId="507" totalsRowDxfId="506" dataCellStyle="Millares">
      <calculatedColumnFormula>Tabla356111927344311213151617181[[#This Row],[COMISIONES]]*0.21</calculatedColumnFormula>
    </tableColumn>
    <tableColumn id="3" xr3:uid="{537B3E9E-7568-4FBB-9390-1360920A2104}" name="IVA 10,5" totalsRowFunction="sum" dataDxfId="505" totalsRowDxfId="504" dataCellStyle="Millares"/>
    <tableColumn id="4" xr3:uid="{BACF2EC6-97C5-42D4-A244-0AF823401028}" name="Ret IIBB Caba" totalsRowFunction="sum" dataDxfId="503" totalsRowDxfId="502" dataCellStyle="Millares"/>
    <tableColumn id="5" xr3:uid="{6C15A747-B564-4862-9EB3-916DC214C8E9}" name="PERC IVA" totalsRowFunction="sum" dataDxfId="501" totalsRowDxfId="500" dataCellStyle="Millar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12" Type="http://schemas.openxmlformats.org/officeDocument/2006/relationships/table" Target="../tables/table2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5" Type="http://schemas.openxmlformats.org/officeDocument/2006/relationships/table" Target="../tables/table13.xml"/><Relationship Id="rId10" Type="http://schemas.openxmlformats.org/officeDocument/2006/relationships/table" Target="../tables/table18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12" Type="http://schemas.openxmlformats.org/officeDocument/2006/relationships/table" Target="../tables/table3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4.xml"/><Relationship Id="rId11" Type="http://schemas.openxmlformats.org/officeDocument/2006/relationships/table" Target="../tables/table29.xml"/><Relationship Id="rId5" Type="http://schemas.openxmlformats.org/officeDocument/2006/relationships/table" Target="../tables/table23.xml"/><Relationship Id="rId10" Type="http://schemas.openxmlformats.org/officeDocument/2006/relationships/table" Target="../tables/table28.xml"/><Relationship Id="rId4" Type="http://schemas.openxmlformats.org/officeDocument/2006/relationships/table" Target="../tables/table22.xml"/><Relationship Id="rId9" Type="http://schemas.openxmlformats.org/officeDocument/2006/relationships/table" Target="../tables/table2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6.xml"/><Relationship Id="rId3" Type="http://schemas.openxmlformats.org/officeDocument/2006/relationships/table" Target="../tables/table31.xml"/><Relationship Id="rId7" Type="http://schemas.openxmlformats.org/officeDocument/2006/relationships/table" Target="../tables/table35.xml"/><Relationship Id="rId12" Type="http://schemas.openxmlformats.org/officeDocument/2006/relationships/table" Target="../tables/table4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34.xml"/><Relationship Id="rId11" Type="http://schemas.openxmlformats.org/officeDocument/2006/relationships/table" Target="../tables/table39.xml"/><Relationship Id="rId5" Type="http://schemas.openxmlformats.org/officeDocument/2006/relationships/table" Target="../tables/table33.xml"/><Relationship Id="rId10" Type="http://schemas.openxmlformats.org/officeDocument/2006/relationships/table" Target="../tables/table38.xml"/><Relationship Id="rId4" Type="http://schemas.openxmlformats.org/officeDocument/2006/relationships/table" Target="../tables/table32.xml"/><Relationship Id="rId9" Type="http://schemas.openxmlformats.org/officeDocument/2006/relationships/table" Target="../tables/table3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6.xml"/><Relationship Id="rId3" Type="http://schemas.openxmlformats.org/officeDocument/2006/relationships/table" Target="../tables/table41.xml"/><Relationship Id="rId7" Type="http://schemas.openxmlformats.org/officeDocument/2006/relationships/table" Target="../tables/table45.xml"/><Relationship Id="rId12" Type="http://schemas.openxmlformats.org/officeDocument/2006/relationships/table" Target="../tables/table5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44.xml"/><Relationship Id="rId11" Type="http://schemas.openxmlformats.org/officeDocument/2006/relationships/table" Target="../tables/table49.xml"/><Relationship Id="rId5" Type="http://schemas.openxmlformats.org/officeDocument/2006/relationships/table" Target="../tables/table43.xml"/><Relationship Id="rId10" Type="http://schemas.openxmlformats.org/officeDocument/2006/relationships/table" Target="../tables/table48.xml"/><Relationship Id="rId4" Type="http://schemas.openxmlformats.org/officeDocument/2006/relationships/table" Target="../tables/table42.xml"/><Relationship Id="rId9" Type="http://schemas.openxmlformats.org/officeDocument/2006/relationships/table" Target="../tables/table4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6.xml"/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12" Type="http://schemas.openxmlformats.org/officeDocument/2006/relationships/table" Target="../tables/table60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54.xml"/><Relationship Id="rId11" Type="http://schemas.openxmlformats.org/officeDocument/2006/relationships/table" Target="../tables/table59.xml"/><Relationship Id="rId5" Type="http://schemas.openxmlformats.org/officeDocument/2006/relationships/table" Target="../tables/table53.xml"/><Relationship Id="rId10" Type="http://schemas.openxmlformats.org/officeDocument/2006/relationships/table" Target="../tables/table58.xml"/><Relationship Id="rId4" Type="http://schemas.openxmlformats.org/officeDocument/2006/relationships/table" Target="../tables/table52.xml"/><Relationship Id="rId9" Type="http://schemas.openxmlformats.org/officeDocument/2006/relationships/table" Target="../tables/table57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6.xml"/><Relationship Id="rId3" Type="http://schemas.openxmlformats.org/officeDocument/2006/relationships/table" Target="../tables/table61.xml"/><Relationship Id="rId7" Type="http://schemas.openxmlformats.org/officeDocument/2006/relationships/table" Target="../tables/table65.xml"/><Relationship Id="rId12" Type="http://schemas.openxmlformats.org/officeDocument/2006/relationships/table" Target="../tables/table7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64.xml"/><Relationship Id="rId11" Type="http://schemas.openxmlformats.org/officeDocument/2006/relationships/table" Target="../tables/table69.xml"/><Relationship Id="rId5" Type="http://schemas.openxmlformats.org/officeDocument/2006/relationships/table" Target="../tables/table63.xml"/><Relationship Id="rId10" Type="http://schemas.openxmlformats.org/officeDocument/2006/relationships/table" Target="../tables/table68.xml"/><Relationship Id="rId4" Type="http://schemas.openxmlformats.org/officeDocument/2006/relationships/table" Target="../tables/table62.xml"/><Relationship Id="rId9" Type="http://schemas.openxmlformats.org/officeDocument/2006/relationships/table" Target="../tables/table6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6.xml"/><Relationship Id="rId3" Type="http://schemas.openxmlformats.org/officeDocument/2006/relationships/table" Target="../tables/table71.xml"/><Relationship Id="rId7" Type="http://schemas.openxmlformats.org/officeDocument/2006/relationships/table" Target="../tables/table75.xml"/><Relationship Id="rId12" Type="http://schemas.openxmlformats.org/officeDocument/2006/relationships/table" Target="../tables/table8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74.xml"/><Relationship Id="rId11" Type="http://schemas.openxmlformats.org/officeDocument/2006/relationships/table" Target="../tables/table79.xml"/><Relationship Id="rId5" Type="http://schemas.openxmlformats.org/officeDocument/2006/relationships/table" Target="../tables/table73.xml"/><Relationship Id="rId10" Type="http://schemas.openxmlformats.org/officeDocument/2006/relationships/table" Target="../tables/table78.xml"/><Relationship Id="rId4" Type="http://schemas.openxmlformats.org/officeDocument/2006/relationships/table" Target="../tables/table72.xml"/><Relationship Id="rId9" Type="http://schemas.openxmlformats.org/officeDocument/2006/relationships/table" Target="../tables/table7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6.xml"/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12" Type="http://schemas.openxmlformats.org/officeDocument/2006/relationships/table" Target="../tables/table9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84.xml"/><Relationship Id="rId11" Type="http://schemas.openxmlformats.org/officeDocument/2006/relationships/table" Target="../tables/table89.xml"/><Relationship Id="rId5" Type="http://schemas.openxmlformats.org/officeDocument/2006/relationships/table" Target="../tables/table83.xml"/><Relationship Id="rId10" Type="http://schemas.openxmlformats.org/officeDocument/2006/relationships/table" Target="../tables/table88.xml"/><Relationship Id="rId4" Type="http://schemas.openxmlformats.org/officeDocument/2006/relationships/table" Target="../tables/table82.xml"/><Relationship Id="rId9" Type="http://schemas.openxmlformats.org/officeDocument/2006/relationships/table" Target="../tables/table8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6.xml"/><Relationship Id="rId3" Type="http://schemas.openxmlformats.org/officeDocument/2006/relationships/table" Target="../tables/table91.xml"/><Relationship Id="rId7" Type="http://schemas.openxmlformats.org/officeDocument/2006/relationships/table" Target="../tables/table95.xml"/><Relationship Id="rId12" Type="http://schemas.openxmlformats.org/officeDocument/2006/relationships/table" Target="../tables/table10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94.xml"/><Relationship Id="rId11" Type="http://schemas.openxmlformats.org/officeDocument/2006/relationships/table" Target="../tables/table99.xml"/><Relationship Id="rId5" Type="http://schemas.openxmlformats.org/officeDocument/2006/relationships/table" Target="../tables/table93.xml"/><Relationship Id="rId10" Type="http://schemas.openxmlformats.org/officeDocument/2006/relationships/table" Target="../tables/table98.xml"/><Relationship Id="rId4" Type="http://schemas.openxmlformats.org/officeDocument/2006/relationships/table" Target="../tables/table92.xml"/><Relationship Id="rId9" Type="http://schemas.openxmlformats.org/officeDocument/2006/relationships/table" Target="../tables/table97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6.xml"/><Relationship Id="rId3" Type="http://schemas.openxmlformats.org/officeDocument/2006/relationships/table" Target="../tables/table101.xml"/><Relationship Id="rId7" Type="http://schemas.openxmlformats.org/officeDocument/2006/relationships/table" Target="../tables/table105.xml"/><Relationship Id="rId12" Type="http://schemas.openxmlformats.org/officeDocument/2006/relationships/table" Target="../tables/table110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104.xml"/><Relationship Id="rId11" Type="http://schemas.openxmlformats.org/officeDocument/2006/relationships/table" Target="../tables/table109.xml"/><Relationship Id="rId5" Type="http://schemas.openxmlformats.org/officeDocument/2006/relationships/table" Target="../tables/table103.xml"/><Relationship Id="rId10" Type="http://schemas.openxmlformats.org/officeDocument/2006/relationships/table" Target="../tables/table108.xml"/><Relationship Id="rId4" Type="http://schemas.openxmlformats.org/officeDocument/2006/relationships/table" Target="../tables/table102.xml"/><Relationship Id="rId9" Type="http://schemas.openxmlformats.org/officeDocument/2006/relationships/table" Target="../tables/table107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6.xml"/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12" Type="http://schemas.openxmlformats.org/officeDocument/2006/relationships/table" Target="../tables/table120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114.xml"/><Relationship Id="rId11" Type="http://schemas.openxmlformats.org/officeDocument/2006/relationships/table" Target="../tables/table119.xml"/><Relationship Id="rId5" Type="http://schemas.openxmlformats.org/officeDocument/2006/relationships/table" Target="../tables/table113.xml"/><Relationship Id="rId10" Type="http://schemas.openxmlformats.org/officeDocument/2006/relationships/table" Target="../tables/table118.xml"/><Relationship Id="rId4" Type="http://schemas.openxmlformats.org/officeDocument/2006/relationships/table" Target="../tables/table112.xml"/><Relationship Id="rId9" Type="http://schemas.openxmlformats.org/officeDocument/2006/relationships/table" Target="../tables/table1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8"/>
  <sheetViews>
    <sheetView showGridLines="0" zoomScaleNormal="100" workbookViewId="0">
      <selection activeCell="D7" activeCellId="1" sqref="D3:D4 D7:D10"/>
    </sheetView>
  </sheetViews>
  <sheetFormatPr baseColWidth="10" defaultRowHeight="15" x14ac:dyDescent="0.25"/>
  <cols>
    <col min="1" max="1" width="4.5703125" customWidth="1"/>
    <col min="2" max="2" width="26.42578125" customWidth="1"/>
    <col min="3" max="3" width="11.140625" bestFit="1" customWidth="1"/>
    <col min="4" max="4" width="10.7109375" customWidth="1"/>
    <col min="5" max="5" width="11.5703125" customWidth="1"/>
    <col min="6" max="6" width="12.140625" customWidth="1"/>
    <col min="7" max="7" width="2.5703125" style="6" customWidth="1"/>
    <col min="8" max="8" width="12.7109375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31" max="31" width="2.5703125" style="6" customWidth="1"/>
  </cols>
  <sheetData>
    <row r="1" spans="1:41" ht="6" customHeight="1" x14ac:dyDescent="0.25">
      <c r="G1"/>
      <c r="M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4</v>
      </c>
      <c r="H2" s="38"/>
      <c r="J2" s="39">
        <v>45292</v>
      </c>
      <c r="K2" s="39"/>
      <c r="M2"/>
      <c r="S2"/>
      <c r="Y2"/>
      <c r="AE2"/>
    </row>
    <row r="3" spans="1:41" x14ac:dyDescent="0.25">
      <c r="B3" s="25" t="str">
        <f>+B13</f>
        <v>Liquidacion amex Credito 18/1</v>
      </c>
      <c r="C3" s="14">
        <f>Tabla13162432[[#Totals],[COMISIONES]]</f>
        <v>196716.98966666666</v>
      </c>
      <c r="D3" s="14">
        <f>Tabla13162432[[#Totals],[IVA 21]]</f>
        <v>41310.56783</v>
      </c>
      <c r="E3" s="14">
        <f>Tabla13162432[[#Totals],[IVA 10,5]]</f>
        <v>0</v>
      </c>
      <c r="F3" s="14">
        <f>Tabla13162432[[#Totals],[Ret IIBB Caba]]</f>
        <v>418613.37</v>
      </c>
      <c r="G3" s="35">
        <f>Tabla13162432[[#Totals],[PERC IVA]]</f>
        <v>39500.94</v>
      </c>
      <c r="H3" s="36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+H13</f>
        <v>Liquidacion VISA  (FRANCES) 31-1</v>
      </c>
      <c r="C4" s="14">
        <f>Tabla39172535[[#Totals],[COMISIONES]]</f>
        <v>71995</v>
      </c>
      <c r="D4" s="14">
        <f>Tabla39172535[[#Totals],[IVA 21]]</f>
        <v>15118.949999999999</v>
      </c>
      <c r="E4" s="14">
        <f>Tabla39172535[[#Totals],[IVA 10,5]]</f>
        <v>0</v>
      </c>
      <c r="F4" s="14">
        <f>Tabla39172535[[#Totals],[Ret IIBB Caba]]</f>
        <v>0</v>
      </c>
      <c r="G4" s="35">
        <f>Tabla39172535[[#Totals],[PERC IVA]]</f>
        <v>0</v>
      </c>
      <c r="H4" s="36"/>
      <c r="J4" s="2"/>
      <c r="K4" s="3"/>
      <c r="M4"/>
      <c r="S4"/>
      <c r="Y4"/>
      <c r="AE4"/>
    </row>
    <row r="5" spans="1:41" x14ac:dyDescent="0.25">
      <c r="B5" s="25" t="str">
        <f>+N13</f>
        <v>FRANCES RESUMEN (31/01)</v>
      </c>
      <c r="C5" s="14">
        <f>Tabla3510182636[[#Totals],[COMISIONES]]</f>
        <v>40368.74</v>
      </c>
      <c r="D5" s="45">
        <f>Tabla3510182636[[#Totals],[IVA 21]]</f>
        <v>8477.4353999999985</v>
      </c>
      <c r="E5" s="14">
        <f>Tabla3510182636[[#Totals],[IVA 10,5]]</f>
        <v>0</v>
      </c>
      <c r="F5" s="14">
        <f>Tabla3510182636[[#Totals],[Ret IIBB Caba]]</f>
        <v>2091.42</v>
      </c>
      <c r="G5" s="35">
        <f>Tabla3510182636[[#Totals],[PERC IVA]]</f>
        <v>1049.4000000000001</v>
      </c>
      <c r="H5" s="36"/>
      <c r="M5"/>
      <c r="S5"/>
      <c r="Y5"/>
      <c r="AE5"/>
    </row>
    <row r="6" spans="1:41" x14ac:dyDescent="0.25">
      <c r="B6" s="25" t="str">
        <f>+T13</f>
        <v>GALICIA EXTRACTO CC(31/01)</v>
      </c>
      <c r="C6" s="14">
        <f>Tabla35611192737[[#Totals],[COMISIONES]]</f>
        <v>13856.19</v>
      </c>
      <c r="D6" s="45">
        <f>Tabla35611192737[[#Totals],[IVA 21]]</f>
        <v>2909.7999</v>
      </c>
      <c r="E6" s="14">
        <f>Tabla35611192737[[#Totals],[IVA 10,5]]</f>
        <v>0</v>
      </c>
      <c r="F6" s="14">
        <f>Tabla35611192737[[#Totals],[Ret IIBB Caba]]</f>
        <v>787.5</v>
      </c>
      <c r="G6" s="35">
        <f>Tabla35611192737[[#Totals],[PERC IVA]]</f>
        <v>393.75</v>
      </c>
      <c r="H6" s="36"/>
      <c r="M6"/>
      <c r="S6"/>
      <c r="Y6"/>
      <c r="AE6"/>
    </row>
    <row r="7" spans="1:41" x14ac:dyDescent="0.25">
      <c r="B7" s="25" t="str">
        <f>+Z13</f>
        <v>BBVA MASTERCARD CRED(31/01)</v>
      </c>
      <c r="C7" s="14">
        <f>Tabla356813212939[[#Totals],[COMISIONES]]</f>
        <v>213268.40999999997</v>
      </c>
      <c r="D7" s="14">
        <f>Tabla356813212939[[#Totals],[IVA 21]]</f>
        <v>44786.366099999999</v>
      </c>
      <c r="E7" s="14">
        <f>Tabla356813212939[[#Totals],[IVA 10,5]]</f>
        <v>83506.180000000008</v>
      </c>
      <c r="F7" s="14">
        <f>Tabla356813212939[[#Totals],[Ret IIBB Caba]]</f>
        <v>113519.01</v>
      </c>
      <c r="G7" s="35">
        <f>Tabla356813212939[[#Totals],[PERC IVA]]</f>
        <v>187.74999999999997</v>
      </c>
      <c r="H7" s="36"/>
      <c r="M7"/>
      <c r="S7"/>
      <c r="Y7"/>
      <c r="AE7"/>
    </row>
    <row r="8" spans="1:41" x14ac:dyDescent="0.25">
      <c r="B8" s="25" t="str">
        <f>T31</f>
        <v>RESUM BCO BBVA VISA 01/2 CREDITO</v>
      </c>
      <c r="C8" s="14">
        <f>Tabla612202838[[#Totals],[COMISIONES]]</f>
        <v>2400</v>
      </c>
      <c r="D8" s="14">
        <f>Tabla612202838[[#Totals],[IVA 21]]</f>
        <v>504</v>
      </c>
      <c r="E8" s="14">
        <f>Tabla612202838[[#Totals],[IVA 10,5]]</f>
        <v>0</v>
      </c>
      <c r="F8" s="14">
        <f>Tabla612202838[[#Totals],[Ret IIBB Caba]]</f>
        <v>5112.2699999999995</v>
      </c>
      <c r="G8" s="35">
        <f>Tabla612202838[[#Totals],[PERC IVA]]</f>
        <v>72</v>
      </c>
      <c r="H8" s="36"/>
      <c r="M8"/>
      <c r="S8"/>
      <c r="Y8"/>
      <c r="AE8"/>
    </row>
    <row r="9" spans="1:41" x14ac:dyDescent="0.25">
      <c r="B9" s="28" t="str">
        <f>+AF13</f>
        <v>BBVA - MAESTRO DEBITO</v>
      </c>
      <c r="C9" s="14">
        <f>+Tabla35681314223040[[#Totals],[COMISIONES]]</f>
        <v>167.48</v>
      </c>
      <c r="D9" s="14">
        <f>+Tabla35681314223040[[#Totals],[IVA 21]]</f>
        <v>35.1708</v>
      </c>
      <c r="E9" s="14">
        <f>+Tabla35681314223040[[#Totals],[IVA 10,5]]</f>
        <v>0</v>
      </c>
      <c r="F9" s="14">
        <f>+Tabla35681314223040[[#Totals],[Ret IIBB Caba]]</f>
        <v>934.54</v>
      </c>
      <c r="G9" s="35">
        <f>+Tabla35681314223040[[#Totals],[PERC IVA]]</f>
        <v>0</v>
      </c>
      <c r="H9" s="36"/>
      <c r="M9"/>
      <c r="S9"/>
      <c r="Y9"/>
      <c r="AE9"/>
    </row>
    <row r="10" spans="1:41" x14ac:dyDescent="0.25">
      <c r="B10" s="28" t="str">
        <f>+AK13</f>
        <v>GALICIA CREDITO (1/2)</v>
      </c>
      <c r="C10" s="14">
        <f>+Tabla3561119273443[[#Totals],[COMISIONES]]</f>
        <v>1500</v>
      </c>
      <c r="D10" s="14">
        <f>+Tabla3561119273443[[#Totals],[IVA 21]]</f>
        <v>315</v>
      </c>
      <c r="E10" s="14">
        <f>+Tabla3561119273443[[#Totals],[IVA 10,5]]</f>
        <v>0</v>
      </c>
      <c r="F10" s="14"/>
      <c r="G10" s="35"/>
      <c r="H10" s="36"/>
      <c r="M10"/>
      <c r="S10"/>
      <c r="Y10"/>
      <c r="AE10"/>
    </row>
    <row r="11" spans="1:41" x14ac:dyDescent="0.25">
      <c r="A11" s="26"/>
      <c r="B11" s="26"/>
      <c r="C11" s="27">
        <f>SUM(C3:C10)</f>
        <v>540272.80966666667</v>
      </c>
      <c r="D11" s="27">
        <f t="shared" ref="D11:H11" si="0">SUM(D3:D10)</f>
        <v>113457.29003</v>
      </c>
      <c r="E11" s="27">
        <f t="shared" si="0"/>
        <v>83506.180000000008</v>
      </c>
      <c r="F11" s="27">
        <f t="shared" si="0"/>
        <v>541058.11</v>
      </c>
      <c r="G11" s="27"/>
      <c r="H11" s="27">
        <f t="shared" si="0"/>
        <v>0</v>
      </c>
      <c r="M11"/>
      <c r="S11"/>
      <c r="Y11"/>
      <c r="AE11"/>
    </row>
    <row r="12" spans="1:41" x14ac:dyDescent="0.25">
      <c r="A12" s="26"/>
      <c r="B12" s="26"/>
      <c r="G12"/>
      <c r="M12"/>
      <c r="S12"/>
      <c r="Y12"/>
      <c r="AE12"/>
    </row>
    <row r="13" spans="1:41" ht="16.5" customHeight="1" x14ac:dyDescent="0.3">
      <c r="B13" s="40" t="s">
        <v>16</v>
      </c>
      <c r="C13" s="40"/>
      <c r="D13" s="40"/>
      <c r="E13" s="40"/>
      <c r="F13" s="40"/>
      <c r="H13" s="41" t="s">
        <v>21</v>
      </c>
      <c r="I13" s="41"/>
      <c r="J13" s="41"/>
      <c r="K13" s="41"/>
      <c r="L13" s="41"/>
      <c r="N13" s="40" t="s">
        <v>17</v>
      </c>
      <c r="O13" s="40"/>
      <c r="P13" s="40"/>
      <c r="Q13" s="40"/>
      <c r="R13" s="40"/>
      <c r="T13" s="40" t="s">
        <v>18</v>
      </c>
      <c r="U13" s="40"/>
      <c r="V13" s="40"/>
      <c r="W13" s="40"/>
      <c r="X13" s="40"/>
      <c r="Z13" s="40" t="s">
        <v>20</v>
      </c>
      <c r="AA13" s="40"/>
      <c r="AB13" s="40"/>
      <c r="AC13" s="40"/>
      <c r="AD13" s="40"/>
      <c r="AF13" s="41" t="s">
        <v>19</v>
      </c>
      <c r="AG13" s="41"/>
      <c r="AH13" s="41"/>
      <c r="AI13" s="41"/>
      <c r="AJ13" s="41"/>
      <c r="AK13" s="41" t="s">
        <v>23</v>
      </c>
      <c r="AL13" s="41"/>
      <c r="AM13" s="41"/>
      <c r="AN13" s="41"/>
      <c r="AO13" s="41"/>
    </row>
    <row r="14" spans="1:41" s="5" customFormat="1" x14ac:dyDescent="0.25">
      <c r="B14" s="10" t="s">
        <v>2</v>
      </c>
      <c r="C14" s="9" t="s">
        <v>0</v>
      </c>
      <c r="D14" s="9" t="s">
        <v>1</v>
      </c>
      <c r="E14" s="9" t="s">
        <v>3</v>
      </c>
      <c r="F14" s="9" t="s">
        <v>4</v>
      </c>
      <c r="G14" s="7"/>
      <c r="H14" s="12" t="s">
        <v>2</v>
      </c>
      <c r="I14" s="13" t="s">
        <v>0</v>
      </c>
      <c r="J14" s="13" t="s">
        <v>1</v>
      </c>
      <c r="K14" s="13" t="s">
        <v>3</v>
      </c>
      <c r="L14" s="13" t="s">
        <v>4</v>
      </c>
      <c r="M14" s="7"/>
      <c r="N14" s="12" t="s">
        <v>2</v>
      </c>
      <c r="O14" s="13" t="s">
        <v>0</v>
      </c>
      <c r="P14" s="13" t="s">
        <v>1</v>
      </c>
      <c r="Q14" s="13" t="s">
        <v>3</v>
      </c>
      <c r="R14" s="13" t="s">
        <v>4</v>
      </c>
      <c r="S14" s="7"/>
      <c r="T14" s="12" t="s">
        <v>2</v>
      </c>
      <c r="U14" s="13" t="s">
        <v>0</v>
      </c>
      <c r="V14" s="13" t="s">
        <v>1</v>
      </c>
      <c r="W14" s="13" t="s">
        <v>3</v>
      </c>
      <c r="X14" s="13" t="s">
        <v>4</v>
      </c>
      <c r="Y14" s="7"/>
      <c r="Z14" s="12" t="s">
        <v>2</v>
      </c>
      <c r="AA14" s="13" t="s">
        <v>0</v>
      </c>
      <c r="AB14" s="13" t="s">
        <v>1</v>
      </c>
      <c r="AC14" s="13" t="s">
        <v>3</v>
      </c>
      <c r="AD14" s="13" t="s">
        <v>4</v>
      </c>
      <c r="AE14" s="7"/>
      <c r="AF14" s="12" t="s">
        <v>2</v>
      </c>
      <c r="AG14" s="13" t="s">
        <v>0</v>
      </c>
      <c r="AH14" s="13" t="s">
        <v>1</v>
      </c>
      <c r="AI14" s="13" t="s">
        <v>3</v>
      </c>
      <c r="AJ14" s="13" t="s">
        <v>4</v>
      </c>
      <c r="AK14" s="12" t="s">
        <v>2</v>
      </c>
      <c r="AL14" s="13" t="s">
        <v>0</v>
      </c>
      <c r="AM14" s="13" t="s">
        <v>1</v>
      </c>
      <c r="AN14" s="13" t="s">
        <v>3</v>
      </c>
      <c r="AO14" s="13" t="s">
        <v>4</v>
      </c>
    </row>
    <row r="15" spans="1:41" x14ac:dyDescent="0.25">
      <c r="B15" s="2">
        <v>109958.90476190476</v>
      </c>
      <c r="C15" s="2">
        <f>Tabla13162432[[#This Row],[COMISIONES]]*0.21</f>
        <v>23091.37</v>
      </c>
      <c r="D15" s="3"/>
      <c r="E15" s="3">
        <v>208136.5</v>
      </c>
      <c r="F15" s="1">
        <v>23091.37</v>
      </c>
      <c r="G15" s="8"/>
      <c r="H15" s="3">
        <v>71995</v>
      </c>
      <c r="I15" s="11">
        <f>Tabla39172535[[#This Row],[COMISIONES]]*0.21</f>
        <v>15118.949999999999</v>
      </c>
      <c r="J15" s="11"/>
      <c r="K15" s="11"/>
      <c r="L15" s="3"/>
      <c r="M15" s="8"/>
      <c r="N15" s="11">
        <v>10</v>
      </c>
      <c r="O15" s="11">
        <f>Tabla3510182636[[#This Row],[COMISIONES]]*0.21</f>
        <v>2.1</v>
      </c>
      <c r="P15" s="11"/>
      <c r="Q15" s="11">
        <v>229.98</v>
      </c>
      <c r="R15" s="23">
        <v>57.49</v>
      </c>
      <c r="S15" s="8"/>
      <c r="T15" s="11">
        <v>13125</v>
      </c>
      <c r="U15" s="11">
        <f>Tabla35611192737[[#This Row],[COMISIONES]]*0.21</f>
        <v>2756.25</v>
      </c>
      <c r="V15" s="11"/>
      <c r="W15" s="11">
        <v>787.5</v>
      </c>
      <c r="X15" s="11">
        <v>393.75</v>
      </c>
      <c r="Y15" s="8"/>
      <c r="Z15" s="1">
        <v>1366.38</v>
      </c>
      <c r="AA15" s="11">
        <f>Tabla356813212939[[#This Row],[COMISIONES]]*0.21</f>
        <v>286.93979999999999</v>
      </c>
      <c r="AB15" s="11">
        <v>1385.59</v>
      </c>
      <c r="AC15" s="11">
        <v>3354.46</v>
      </c>
      <c r="AD15" s="11">
        <v>45.34</v>
      </c>
      <c r="AE15" s="8"/>
      <c r="AF15" s="11">
        <v>71.599999999999994</v>
      </c>
      <c r="AG15" s="11">
        <f>Tabla35681314223040[[#This Row],[COMISIONES]]*0.21</f>
        <v>15.035999999999998</v>
      </c>
      <c r="AH15" s="11"/>
      <c r="AI15" s="11">
        <v>399.53</v>
      </c>
      <c r="AJ15" s="11"/>
      <c r="AK15" s="11">
        <v>1500</v>
      </c>
      <c r="AL15" s="11">
        <f>Tabla3561119273443[[#This Row],[COMISIONES]]*0.21</f>
        <v>315</v>
      </c>
      <c r="AM15" s="11"/>
      <c r="AN15" s="11">
        <v>4578.2</v>
      </c>
      <c r="AO15" s="11"/>
    </row>
    <row r="16" spans="1:41" x14ac:dyDescent="0.25">
      <c r="B16" s="3">
        <v>1964.2857142857142</v>
      </c>
      <c r="C16" s="2">
        <f>Tabla13162432[[#This Row],[COMISIONES]]*0.21</f>
        <v>412.49999999999994</v>
      </c>
      <c r="D16" s="3"/>
      <c r="E16" s="3">
        <v>16000.87</v>
      </c>
      <c r="F16" s="3">
        <v>7676.23</v>
      </c>
      <c r="G16" s="8"/>
      <c r="H16" s="11"/>
      <c r="I16" s="11">
        <f>Tabla39172535[[#This Row],[COMISIONES]]*0.21</f>
        <v>0</v>
      </c>
      <c r="J16" s="11"/>
      <c r="K16" s="11"/>
      <c r="L16" s="11"/>
      <c r="M16" s="8"/>
      <c r="N16" s="11">
        <v>14154</v>
      </c>
      <c r="O16" s="11">
        <f>Tabla3510182636[[#This Row],[COMISIONES]]*0.21</f>
        <v>2972.3399999999997</v>
      </c>
      <c r="P16" s="11"/>
      <c r="Q16" s="11">
        <v>849.24</v>
      </c>
      <c r="R16" s="23">
        <v>424.62</v>
      </c>
      <c r="S16" s="8"/>
      <c r="T16" s="11">
        <v>212.19</v>
      </c>
      <c r="U16" s="11">
        <f>Tabla35611192737[[#This Row],[COMISIONES]]*0.21</f>
        <v>44.559899999999999</v>
      </c>
      <c r="V16" s="11"/>
      <c r="W16" s="11"/>
      <c r="X16" s="11"/>
      <c r="Y16" s="8"/>
      <c r="Z16" s="11">
        <v>234</v>
      </c>
      <c r="AA16" s="11">
        <f>Tabla356813212939[[#This Row],[COMISIONES]]*0.21</f>
        <v>49.14</v>
      </c>
      <c r="AB16" s="11">
        <v>2046.06</v>
      </c>
      <c r="AC16" s="11">
        <v>574.47</v>
      </c>
      <c r="AD16" s="11">
        <v>18.64</v>
      </c>
      <c r="AE16" s="8"/>
      <c r="AF16" s="11">
        <v>45</v>
      </c>
      <c r="AG16" s="11">
        <f>Tabla35681314223040[[#This Row],[COMISIONES]]*0.21</f>
        <v>9.4499999999999993</v>
      </c>
      <c r="AH16" s="11"/>
      <c r="AI16" s="11">
        <v>251.1</v>
      </c>
      <c r="AJ16" s="11"/>
      <c r="AK16" s="11"/>
      <c r="AL16" s="11">
        <f>Tabla3561119273443[[#This Row],[COMISIONES]]*0.21</f>
        <v>0</v>
      </c>
      <c r="AM16" s="11"/>
      <c r="AN16" s="11">
        <v>165.11</v>
      </c>
      <c r="AO16" s="11"/>
    </row>
    <row r="17" spans="2:41" x14ac:dyDescent="0.25">
      <c r="B17" s="3">
        <v>36553.476190476191</v>
      </c>
      <c r="C17" s="2">
        <f>Tabla13162432[[#This Row],[COMISIONES]]*0.21</f>
        <v>7676.23</v>
      </c>
      <c r="D17" s="3"/>
      <c r="E17" s="3">
        <v>80923.47</v>
      </c>
      <c r="F17" s="3">
        <v>8733.34</v>
      </c>
      <c r="H17" s="11"/>
      <c r="I17" s="11">
        <f>Tabla39172535[[#This Row],[COMISIONES]]*0.21</f>
        <v>0</v>
      </c>
      <c r="J17" s="11"/>
      <c r="K17" s="11"/>
      <c r="L17" s="11"/>
      <c r="N17" s="11">
        <v>16870</v>
      </c>
      <c r="O17" s="11">
        <f>Tabla3510182636[[#This Row],[COMISIONES]]*0.21</f>
        <v>3542.7</v>
      </c>
      <c r="P17" s="11"/>
      <c r="Q17" s="11">
        <v>1012.2</v>
      </c>
      <c r="R17" s="23">
        <v>506.1</v>
      </c>
      <c r="T17" s="11">
        <v>519</v>
      </c>
      <c r="U17" s="11">
        <f>Tabla35611192737[[#This Row],[COMISIONES]]*0.21</f>
        <v>108.99</v>
      </c>
      <c r="V17" s="11"/>
      <c r="W17" s="11"/>
      <c r="X17" s="11"/>
      <c r="Z17" s="11">
        <v>1131.3</v>
      </c>
      <c r="AA17" s="11">
        <f>Tabla356813212939[[#This Row],[COMISIONES]]*0.21</f>
        <v>237.57299999999998</v>
      </c>
      <c r="AB17" s="11">
        <v>841.06</v>
      </c>
      <c r="AC17" s="11">
        <v>2777.34</v>
      </c>
      <c r="AD17" s="11"/>
      <c r="AF17" s="11">
        <v>50.88</v>
      </c>
      <c r="AG17" s="11">
        <f>Tabla35681314223040[[#This Row],[COMISIONES]]*0.21</f>
        <v>10.684800000000001</v>
      </c>
      <c r="AH17" s="11"/>
      <c r="AI17" s="11">
        <v>283.91000000000003</v>
      </c>
      <c r="AJ17" s="11"/>
      <c r="AK17" s="11"/>
      <c r="AL17" s="11">
        <f>Tabla3561119273443[[#This Row],[COMISIONES]]*0.21</f>
        <v>0</v>
      </c>
      <c r="AM17" s="11"/>
      <c r="AN17" s="11"/>
      <c r="AO17" s="11"/>
    </row>
    <row r="18" spans="2:41" x14ac:dyDescent="0.25">
      <c r="B18" s="3">
        <v>41587.332999999999</v>
      </c>
      <c r="C18" s="2">
        <f>Tabla13162432[[#This Row],[COMISIONES]]*0.21</f>
        <v>8733.3399300000001</v>
      </c>
      <c r="D18" s="3"/>
      <c r="E18" s="3">
        <v>59358.05</v>
      </c>
      <c r="F18" s="3"/>
      <c r="G18" s="8"/>
      <c r="H18" s="11"/>
      <c r="I18" s="11">
        <f>Tabla39172535[[#This Row],[COMISIONES]]*0.21</f>
        <v>0</v>
      </c>
      <c r="J18" s="11"/>
      <c r="K18" s="11"/>
      <c r="L18" s="11"/>
      <c r="M18" s="8"/>
      <c r="N18" s="11">
        <v>300</v>
      </c>
      <c r="O18" s="11">
        <f>Tabla3510182636[[#This Row],[COMISIONES]]*0.21</f>
        <v>63</v>
      </c>
      <c r="P18" s="11"/>
      <c r="Q18" s="11"/>
      <c r="R18" s="23"/>
      <c r="S18" s="8"/>
      <c r="T18" s="11"/>
      <c r="U18" s="11">
        <f>Tabla35611192737[[#This Row],[COMISIONES]]*0.21</f>
        <v>0</v>
      </c>
      <c r="V18" s="11"/>
      <c r="W18" s="11"/>
      <c r="X18" s="11"/>
      <c r="Y18" s="8"/>
      <c r="Z18" s="11">
        <v>108</v>
      </c>
      <c r="AA18" s="11">
        <f>Tabla356813212939[[#This Row],[COMISIONES]]*0.21</f>
        <v>22.68</v>
      </c>
      <c r="AB18" s="11">
        <v>786.88</v>
      </c>
      <c r="AC18" s="1">
        <v>265.14</v>
      </c>
      <c r="AD18" s="11"/>
      <c r="AE18" s="8"/>
      <c r="AF18" s="11"/>
      <c r="AG18" s="11">
        <f>Tabla35681314223040[[#This Row],[COMISIONES]]*0.21</f>
        <v>0</v>
      </c>
      <c r="AH18" s="11"/>
      <c r="AI18" s="11"/>
      <c r="AJ18" s="11"/>
      <c r="AK18" s="11"/>
      <c r="AL18" s="11">
        <f>Tabla3561119273443[[#This Row],[COMISIONES]]*0.21</f>
        <v>0</v>
      </c>
      <c r="AM18" s="11"/>
      <c r="AN18" s="11"/>
      <c r="AO18" s="11"/>
    </row>
    <row r="19" spans="2:41" x14ac:dyDescent="0.25">
      <c r="B19" s="3">
        <v>2815.47</v>
      </c>
      <c r="C19" s="2">
        <f>Tabla13162432[[#This Row],[COMISIONES]]*0.21</f>
        <v>591.24869999999999</v>
      </c>
      <c r="D19" s="3"/>
      <c r="E19" s="3">
        <v>22934.59</v>
      </c>
      <c r="F19" s="3"/>
      <c r="H19" s="11"/>
      <c r="I19" s="11">
        <f>Tabla39172535[[#This Row],[COMISIONES]]*0.21</f>
        <v>0</v>
      </c>
      <c r="J19" s="11"/>
      <c r="K19" s="11"/>
      <c r="L19" s="11"/>
      <c r="N19" s="11">
        <v>300</v>
      </c>
      <c r="O19" s="11">
        <f>Tabla3510182636[[#This Row],[COMISIONES]]*0.21</f>
        <v>63</v>
      </c>
      <c r="P19" s="11"/>
      <c r="Q19" s="11"/>
      <c r="R19" s="23"/>
      <c r="T19" s="11"/>
      <c r="U19" s="11">
        <f>Tabla35611192737[[#This Row],[COMISIONES]]*0.21</f>
        <v>0</v>
      </c>
      <c r="V19" s="11"/>
      <c r="W19" s="11"/>
      <c r="X19" s="11"/>
      <c r="Z19" s="11">
        <v>1511.28</v>
      </c>
      <c r="AA19" s="11">
        <f>Tabla356813212939[[#This Row],[COMISIONES]]*0.21</f>
        <v>317.36879999999996</v>
      </c>
      <c r="AB19" s="11"/>
      <c r="AC19" s="11">
        <v>2833.31</v>
      </c>
      <c r="AD19" s="11"/>
      <c r="AF19" s="11"/>
      <c r="AG19" s="11">
        <f>Tabla35681314223040[[#This Row],[COMISIONES]]*0.21</f>
        <v>0</v>
      </c>
      <c r="AH19" s="11"/>
      <c r="AI19" s="11"/>
      <c r="AJ19" s="11"/>
      <c r="AK19" s="11"/>
      <c r="AL19" s="11">
        <f>Tabla3561119273443[[#This Row],[COMISIONES]]*0.21</f>
        <v>0</v>
      </c>
      <c r="AM19" s="11"/>
      <c r="AN19" s="11"/>
      <c r="AO19" s="11"/>
    </row>
    <row r="20" spans="2:41" x14ac:dyDescent="0.25">
      <c r="B20" s="3">
        <v>3837.52</v>
      </c>
      <c r="C20" s="2">
        <f>Tabla13162432[[#This Row],[COMISIONES]]*0.21</f>
        <v>805.87919999999997</v>
      </c>
      <c r="D20" s="3"/>
      <c r="E20" s="3">
        <v>31259.89</v>
      </c>
      <c r="F20" s="3"/>
      <c r="H20" s="11"/>
      <c r="I20" s="11">
        <f>Tabla39172535[[#This Row],[COMISIONES]]*0.21</f>
        <v>0</v>
      </c>
      <c r="J20" s="11"/>
      <c r="K20" s="11"/>
      <c r="L20" s="11"/>
      <c r="N20" s="11">
        <v>300</v>
      </c>
      <c r="O20" s="11">
        <f>Tabla3510182636[[#This Row],[COMISIONES]]*0.21</f>
        <v>63</v>
      </c>
      <c r="P20" s="11"/>
      <c r="Q20" s="11"/>
      <c r="R20" s="11"/>
      <c r="T20" s="11"/>
      <c r="U20" s="11">
        <f>Tabla35611192737[[#This Row],[COMISIONES]]*0.21</f>
        <v>0</v>
      </c>
      <c r="V20" s="11"/>
      <c r="W20" s="11"/>
      <c r="X20" s="11"/>
      <c r="Z20" s="11">
        <v>812.7</v>
      </c>
      <c r="AA20" s="11">
        <f>Tabla356813212939[[#This Row],[COMISIONES]]*0.21</f>
        <v>170.667</v>
      </c>
      <c r="AB20" s="11"/>
      <c r="AC20" s="11">
        <v>1995.18</v>
      </c>
      <c r="AD20" s="11"/>
      <c r="AF20" s="11"/>
      <c r="AG20" s="11">
        <f>Tabla35681314223040[[#This Row],[COMISIONES]]*0.21</f>
        <v>0</v>
      </c>
      <c r="AH20" s="11"/>
      <c r="AI20" s="11"/>
      <c r="AJ20" s="11"/>
      <c r="AK20" s="11"/>
      <c r="AL20" s="11">
        <f>Tabla3561119273443[[#This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Tabla13162432[[#This Row],[COMISIONES]]*0.21</f>
        <v>0</v>
      </c>
      <c r="D21" s="3"/>
      <c r="E21" s="3"/>
      <c r="F21" s="3"/>
      <c r="H21" s="11"/>
      <c r="I21" s="11">
        <f>Tabla39172535[[#This Row],[COMISIONES]]*0.21</f>
        <v>0</v>
      </c>
      <c r="J21" s="11"/>
      <c r="K21" s="11"/>
      <c r="L21" s="11"/>
      <c r="N21" s="11">
        <v>300</v>
      </c>
      <c r="O21" s="11">
        <f>Tabla3510182636[[#This Row],[COMISIONES]]*0.21</f>
        <v>63</v>
      </c>
      <c r="P21" s="11"/>
      <c r="Q21" s="11"/>
      <c r="R21" s="11"/>
      <c r="T21" s="11"/>
      <c r="U21" s="11">
        <f>Tabla35611192737[[#This Row],[COMISIONES]]*0.21</f>
        <v>0</v>
      </c>
      <c r="V21" s="11"/>
      <c r="W21" s="11"/>
      <c r="X21" s="11"/>
      <c r="Z21" s="11">
        <v>1701.9</v>
      </c>
      <c r="AA21" s="11">
        <f>Tabla356813212939[[#This Row],[COMISIONES]]*0.21</f>
        <v>357.399</v>
      </c>
      <c r="AB21" s="11"/>
      <c r="AC21" s="11">
        <v>4178.16</v>
      </c>
      <c r="AD21" s="11"/>
      <c r="AF21" s="11"/>
      <c r="AG21" s="11">
        <f>Tabla35681314223040[[#This Row],[COMISIONES]]*0.21</f>
        <v>0</v>
      </c>
      <c r="AH21" s="11"/>
      <c r="AI21" s="11"/>
      <c r="AJ21" s="11"/>
      <c r="AK21" s="11"/>
      <c r="AL21" s="11">
        <f>Tabla3561119273443[[#This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Tabla13162432[[#This Row],[COMISIONES]]*0.21</f>
        <v>0</v>
      </c>
      <c r="D22" s="3"/>
      <c r="E22" s="3"/>
      <c r="F22" s="3"/>
      <c r="H22" s="11"/>
      <c r="I22" s="11">
        <f>Tabla39172535[[#This Row],[COMISIONES]]*0.21</f>
        <v>0</v>
      </c>
      <c r="J22" s="11"/>
      <c r="K22" s="11"/>
      <c r="L22" s="11"/>
      <c r="N22" s="11">
        <v>300</v>
      </c>
      <c r="O22" s="11">
        <f>Tabla3510182636[[#This Row],[COMISIONES]]*0.21</f>
        <v>63</v>
      </c>
      <c r="P22" s="11"/>
      <c r="Q22" s="11"/>
      <c r="R22" s="11"/>
      <c r="T22" s="11"/>
      <c r="U22" s="11">
        <f>Tabla35611192737[[#This Row],[COMISIONES]]*0.21</f>
        <v>0</v>
      </c>
      <c r="V22" s="11"/>
      <c r="W22" s="11"/>
      <c r="X22" s="11"/>
      <c r="Z22" s="11">
        <v>621.23</v>
      </c>
      <c r="AA22" s="11">
        <f>Tabla356813212939[[#This Row],[COMISIONES]]*0.21</f>
        <v>130.45830000000001</v>
      </c>
      <c r="AB22" s="11"/>
      <c r="AC22" s="11">
        <v>1164.67</v>
      </c>
      <c r="AD22" s="11"/>
      <c r="AF22" s="11"/>
      <c r="AG22" s="11">
        <f>Tabla35681314223040[[#This Row],[COMISIONES]]*0.21</f>
        <v>0</v>
      </c>
      <c r="AH22" s="11"/>
      <c r="AI22" s="11"/>
      <c r="AJ22" s="11"/>
      <c r="AK22" s="11"/>
      <c r="AL22" s="11">
        <f>Tabla3561119273443[[#This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Tabla13162432[[#This Row],[COMISIONES]]*0.21</f>
        <v>0</v>
      </c>
      <c r="D23" s="3"/>
      <c r="E23" s="3"/>
      <c r="F23" s="3"/>
      <c r="H23" s="11"/>
      <c r="I23" s="11">
        <f>Tabla39172535[[#This Row],[COMISIONES]]*0.21</f>
        <v>0</v>
      </c>
      <c r="J23" s="11"/>
      <c r="K23" s="11"/>
      <c r="L23" s="11"/>
      <c r="N23" s="11">
        <v>300</v>
      </c>
      <c r="O23" s="11">
        <f>Tabla3510182636[[#This Row],[COMISIONES]]*0.21</f>
        <v>63</v>
      </c>
      <c r="P23" s="11"/>
      <c r="Q23" s="11"/>
      <c r="R23" s="11"/>
      <c r="T23" s="11"/>
      <c r="U23" s="11">
        <f>Tabla35611192737[[#This Row],[COMISIONES]]*0.21</f>
        <v>0</v>
      </c>
      <c r="V23" s="11"/>
      <c r="W23" s="11"/>
      <c r="X23" s="11"/>
      <c r="Z23" s="11">
        <v>568.79999999999995</v>
      </c>
      <c r="AA23" s="11">
        <f>Tabla356813212939[[#This Row],[COMISIONES]]*0.21</f>
        <v>119.44799999999998</v>
      </c>
      <c r="AB23" s="11"/>
      <c r="AC23" s="11">
        <v>1396.4</v>
      </c>
      <c r="AD23" s="11"/>
      <c r="AF23" s="11"/>
      <c r="AG23" s="11">
        <f>Tabla35681314223040[[#This Row],[COMISIONES]]*0.21</f>
        <v>0</v>
      </c>
      <c r="AH23" s="11"/>
      <c r="AI23" s="11"/>
      <c r="AJ23" s="11"/>
      <c r="AK23" s="11"/>
      <c r="AL23" s="11">
        <f>Tabla3561119273443[[#This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Tabla13162432[[#This Row],[COMISIONES]]*0.21</f>
        <v>0</v>
      </c>
      <c r="D24" s="3"/>
      <c r="E24" s="3"/>
      <c r="F24" s="3"/>
      <c r="H24" s="11"/>
      <c r="I24" s="11">
        <f>Tabla39172535[[#This Row],[COMISIONES]]*0.21</f>
        <v>0</v>
      </c>
      <c r="J24" s="11"/>
      <c r="K24" s="11"/>
      <c r="L24" s="11"/>
      <c r="N24" s="11">
        <v>495</v>
      </c>
      <c r="O24" s="11">
        <f>Tabla3510182636[[#This Row],[COMISIONES]]*0.21</f>
        <v>103.95</v>
      </c>
      <c r="P24" s="11"/>
      <c r="Q24" s="11"/>
      <c r="R24" s="11"/>
      <c r="T24" s="11"/>
      <c r="U24" s="11">
        <f>Tabla35611192737[[#This Row],[COMISIONES]]*0.21</f>
        <v>0</v>
      </c>
      <c r="V24" s="11"/>
      <c r="W24" s="11"/>
      <c r="X24" s="11"/>
      <c r="Z24" s="11">
        <v>2461.6799999999998</v>
      </c>
      <c r="AA24" s="11">
        <f>Tabla356813212939[[#This Row],[COMISIONES]]*0.21</f>
        <v>516.95279999999991</v>
      </c>
      <c r="AB24" s="11"/>
      <c r="AC24" s="11">
        <v>6043.42</v>
      </c>
      <c r="AD24" s="11"/>
      <c r="AF24" s="11"/>
      <c r="AG24" s="11">
        <f>Tabla35681314223040[[#This Row],[COMISIONES]]*0.21</f>
        <v>0</v>
      </c>
      <c r="AH24" s="11"/>
      <c r="AI24" s="11"/>
      <c r="AJ24" s="11"/>
      <c r="AK24" s="11"/>
      <c r="AL24" s="11">
        <f>Tabla3561119273443[[#This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Tabla13162432[[#This Row],[COMISIONES]]*0.21</f>
        <v>0</v>
      </c>
      <c r="D25" s="3"/>
      <c r="E25" s="3"/>
      <c r="F25" s="3"/>
      <c r="H25" s="11"/>
      <c r="I25" s="11">
        <f>Tabla39172535[[#This Row],[COMISIONES]]*0.21</f>
        <v>0</v>
      </c>
      <c r="J25" s="11"/>
      <c r="K25" s="11"/>
      <c r="L25" s="11"/>
      <c r="N25" s="11">
        <v>300</v>
      </c>
      <c r="O25" s="11">
        <f>Tabla3510182636[[#This Row],[COMISIONES]]*0.21</f>
        <v>63</v>
      </c>
      <c r="P25" s="11"/>
      <c r="Q25" s="11"/>
      <c r="R25" s="11"/>
      <c r="T25" s="11"/>
      <c r="U25" s="11">
        <f>Tabla35611192737[[#This Row],[COMISIONES]]*0.21</f>
        <v>0</v>
      </c>
      <c r="V25" s="11"/>
      <c r="W25" s="11"/>
      <c r="X25" s="11"/>
      <c r="Z25" s="11">
        <v>749.21</v>
      </c>
      <c r="AA25" s="11">
        <f>Tabla356813212939[[#This Row],[COMISIONES]]*0.21</f>
        <v>157.33410000000001</v>
      </c>
      <c r="AB25" s="11"/>
      <c r="AC25" s="11">
        <v>1502.09</v>
      </c>
      <c r="AD25" s="11"/>
      <c r="AF25" s="4">
        <f>SUBTOTAL(109,Tabla35681314223040[COMISIONES])</f>
        <v>167.48</v>
      </c>
      <c r="AG25" s="4">
        <f>SUBTOTAL(109,Tabla35681314223040[IVA 21])</f>
        <v>35.1708</v>
      </c>
      <c r="AH25" s="4">
        <f>SUBTOTAL(109,Tabla35681314223040[IVA 10,5])</f>
        <v>0</v>
      </c>
      <c r="AI25" s="4">
        <f>SUBTOTAL(109,Tabla35681314223040[Ret IIBB Caba])</f>
        <v>934.54</v>
      </c>
      <c r="AJ25" s="4">
        <f>SUBTOTAL(109,Tabla35681314223040[PERC IVA])</f>
        <v>0</v>
      </c>
      <c r="AK25" s="11"/>
      <c r="AL25" s="11">
        <f>Tabla3561119273443[[#This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Tabla13162432[[#This Row],[COMISIONES]]*0.21</f>
        <v>0</v>
      </c>
      <c r="D26" s="3"/>
      <c r="E26" s="3"/>
      <c r="F26" s="3"/>
      <c r="H26" s="11"/>
      <c r="I26" s="11">
        <f>Tabla39172535[[#This Row],[COMISIONES]]*0.21</f>
        <v>0</v>
      </c>
      <c r="J26" s="11"/>
      <c r="K26" s="11"/>
      <c r="L26" s="11"/>
      <c r="N26" s="11">
        <v>300</v>
      </c>
      <c r="O26" s="11">
        <f>Tabla3510182636[[#This Row],[COMISIONES]]*0.21</f>
        <v>63</v>
      </c>
      <c r="P26" s="11"/>
      <c r="Q26" s="11"/>
      <c r="R26" s="11"/>
      <c r="T26" s="11"/>
      <c r="U26" s="11">
        <f>Tabla35611192737[[#This Row],[COMISIONES]]*0.21</f>
        <v>0</v>
      </c>
      <c r="V26" s="11"/>
      <c r="W26" s="11"/>
      <c r="X26" s="11"/>
      <c r="Z26" s="11">
        <v>1775.88</v>
      </c>
      <c r="AA26" s="11">
        <f>Tabla356813212939[[#This Row],[COMISIONES]]*0.21</f>
        <v>372.9348</v>
      </c>
      <c r="AB26" s="11"/>
      <c r="AC26" s="11">
        <v>4359.78</v>
      </c>
      <c r="AD26" s="11"/>
      <c r="AK26" s="11"/>
      <c r="AL26" s="11">
        <f>Tabla3561119273443[[#This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Tabla13162432[[#This Row],[COMISIONES]]*0.21</f>
        <v>0</v>
      </c>
      <c r="D27" s="3"/>
      <c r="E27" s="3"/>
      <c r="F27" s="3"/>
      <c r="H27" s="11"/>
      <c r="I27" s="11">
        <f>Tabla39172535[[#This Row],[COMISIONES]]*0.21</f>
        <v>0</v>
      </c>
      <c r="J27" s="11"/>
      <c r="K27" s="11"/>
      <c r="L27" s="11"/>
      <c r="N27" s="11">
        <v>300</v>
      </c>
      <c r="O27" s="11">
        <f>Tabla3510182636[[#This Row],[COMISIONES]]*0.21</f>
        <v>63</v>
      </c>
      <c r="P27" s="11"/>
      <c r="Q27" s="11"/>
      <c r="R27" s="11"/>
      <c r="T27" s="11"/>
      <c r="U27" s="11">
        <f>Tabla35611192737[[#This Row],[COMISIONES]]*0.21</f>
        <v>0</v>
      </c>
      <c r="V27" s="11"/>
      <c r="W27" s="11"/>
      <c r="X27" s="11"/>
      <c r="Z27" s="11">
        <v>450</v>
      </c>
      <c r="AA27" s="11">
        <f>Tabla356813212939[[#This Row],[COMISIONES]]*0.21</f>
        <v>94.5</v>
      </c>
      <c r="AB27" s="11"/>
      <c r="AC27" s="11">
        <v>1104.75</v>
      </c>
      <c r="AD27" s="11"/>
      <c r="AK27" s="11"/>
      <c r="AL27" s="11">
        <f>Tabla3561119273443[[#This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Tabla13162432[[#This Row],[COMISIONES]]*0.21</f>
        <v>0</v>
      </c>
      <c r="D28" s="3"/>
      <c r="E28" s="3"/>
      <c r="F28" s="3"/>
      <c r="H28" s="11"/>
      <c r="I28" s="11">
        <f>Tabla39172535[[#This Row],[COMISIONES]]*0.21</f>
        <v>0</v>
      </c>
      <c r="J28" s="11"/>
      <c r="K28" s="11"/>
      <c r="L28" s="11"/>
      <c r="N28" s="11">
        <v>300</v>
      </c>
      <c r="O28" s="11">
        <f>Tabla3510182636[[#This Row],[COMISIONES]]*0.21</f>
        <v>63</v>
      </c>
      <c r="P28" s="11"/>
      <c r="Q28" s="11"/>
      <c r="R28" s="11">
        <v>61.19</v>
      </c>
      <c r="T28" s="18"/>
      <c r="U28" s="18">
        <f>Tabla35611192737[[#This Row],[COMISIONES]]*0.21</f>
        <v>0</v>
      </c>
      <c r="V28" s="18"/>
      <c r="W28" s="18"/>
      <c r="X28" s="18"/>
      <c r="Z28" s="11">
        <v>1371.78</v>
      </c>
      <c r="AA28" s="11">
        <f>Tabla356813212939[[#This Row],[COMISIONES]]*0.21</f>
        <v>288.07380000000001</v>
      </c>
      <c r="AB28" s="11"/>
      <c r="AC28" s="11">
        <v>3367.72</v>
      </c>
      <c r="AD28" s="11"/>
      <c r="AK28" s="18"/>
      <c r="AL28" s="18">
        <f>Tabla3561119273443[[#This Row],[COMISIONES]]*0.21</f>
        <v>0</v>
      </c>
      <c r="AM28" s="18"/>
      <c r="AN28" s="18"/>
      <c r="AO28" s="18"/>
    </row>
    <row r="29" spans="2:41" x14ac:dyDescent="0.25">
      <c r="B29" s="3"/>
      <c r="C29" s="2">
        <f>Tabla13162432[[#This Row],[COMISIONES]]*0.21</f>
        <v>0</v>
      </c>
      <c r="D29" s="3"/>
      <c r="E29" s="3"/>
      <c r="F29" s="3"/>
      <c r="H29" s="11"/>
      <c r="I29" s="11">
        <f>Tabla39172535[[#This Row],[COMISIONES]]*0.21</f>
        <v>0</v>
      </c>
      <c r="J29" s="11"/>
      <c r="K29" s="11"/>
      <c r="L29" s="11"/>
      <c r="N29" s="11">
        <v>2039.74</v>
      </c>
      <c r="O29" s="11">
        <f>Tabla3510182636[[#This Row],[COMISIONES]]*0.21</f>
        <v>428.34539999999998</v>
      </c>
      <c r="P29" s="11"/>
      <c r="Q29" s="11"/>
      <c r="R29" s="11"/>
      <c r="T29" s="18"/>
      <c r="U29" s="18">
        <f>Tabla35611192737[[#This Row],[COMISIONES]]*0.21</f>
        <v>0</v>
      </c>
      <c r="V29" s="18"/>
      <c r="W29" s="18"/>
      <c r="X29" s="18"/>
      <c r="Z29" s="11">
        <v>563.4</v>
      </c>
      <c r="AA29" s="11">
        <f>Tabla356813212939[[#This Row],[COMISIONES]]*0.21</f>
        <v>118.31399999999999</v>
      </c>
      <c r="AB29" s="11"/>
      <c r="AC29" s="11">
        <v>1383.15</v>
      </c>
      <c r="AD29" s="11"/>
      <c r="AK29" s="18"/>
      <c r="AL29" s="18">
        <f>Tabla3561119273443[[#This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Tabla13162432[[#This Row],[COMISIONES]]*0.21</f>
        <v>0</v>
      </c>
      <c r="D30" s="3"/>
      <c r="E30" s="1"/>
      <c r="F30" s="3"/>
      <c r="H30" s="11"/>
      <c r="I30" s="11">
        <f>Tabla39172535[[#This Row],[COMISIONES]]*0.21</f>
        <v>0</v>
      </c>
      <c r="J30" s="11"/>
      <c r="K30" s="11"/>
      <c r="L30" s="11"/>
      <c r="N30" s="11">
        <v>300</v>
      </c>
      <c r="O30" s="11">
        <f>Tabla3510182636[[#This Row],[COMISIONES]]*0.21</f>
        <v>63</v>
      </c>
      <c r="P30" s="11"/>
      <c r="Q30" s="11"/>
      <c r="R30" s="11"/>
      <c r="T30" s="4">
        <f>SUBTOTAL(109,Tabla35611192737[COMISIONES])</f>
        <v>13856.19</v>
      </c>
      <c r="U30" s="4">
        <f>SUBTOTAL(109,Tabla35611192737[IVA 21])</f>
        <v>2909.7999</v>
      </c>
      <c r="V30" s="4">
        <f>SUBTOTAL(109,Tabla35611192737[IVA 10,5])</f>
        <v>0</v>
      </c>
      <c r="W30" s="4">
        <f>SUBTOTAL(109,Tabla35611192737[Ret IIBB Caba])</f>
        <v>787.5</v>
      </c>
      <c r="X30" s="4">
        <f>SUBTOTAL(109,Tabla35611192737[PERC IVA])</f>
        <v>393.75</v>
      </c>
      <c r="Z30" s="11">
        <v>454.54</v>
      </c>
      <c r="AA30" s="11">
        <f>Tabla356813212939[[#This Row],[COMISIONES]]*0.21</f>
        <v>95.453400000000002</v>
      </c>
      <c r="AB30" s="11"/>
      <c r="AC30" s="11">
        <v>1115.8900000000001</v>
      </c>
      <c r="AD30" s="11"/>
      <c r="AK30" s="4">
        <f>SUBTOTAL(109,Tabla3561119273443[COMISIONES])</f>
        <v>1500</v>
      </c>
      <c r="AL30" s="4">
        <f>SUBTOTAL(109,Tabla3561119273443[IVA 21])</f>
        <v>315</v>
      </c>
      <c r="AM30" s="4">
        <f>SUBTOTAL(109,Tabla3561119273443[IVA 10,5])</f>
        <v>0</v>
      </c>
      <c r="AN30" s="4">
        <f>SUBTOTAL(109,Tabla3561119273443[Ret IIBB Caba])</f>
        <v>4743.3099999999995</v>
      </c>
      <c r="AO30" s="4">
        <f>SUBTOTAL(109,Tabla3561119273443[PERC IVA])</f>
        <v>0</v>
      </c>
    </row>
    <row r="31" spans="2:41" ht="18.75" x14ac:dyDescent="0.3">
      <c r="B31" s="3"/>
      <c r="C31" s="2">
        <f>Tabla13162432[[#This Row],[COMISIONES]]*0.21</f>
        <v>0</v>
      </c>
      <c r="D31" s="3"/>
      <c r="E31" s="3"/>
      <c r="F31" s="3"/>
      <c r="H31" s="11"/>
      <c r="I31" s="11">
        <f>Tabla39172535[[#This Row],[COMISIONES]]*0.21</f>
        <v>0</v>
      </c>
      <c r="J31" s="11"/>
      <c r="K31" s="11"/>
      <c r="L31" s="11"/>
      <c r="N31" s="11">
        <v>300</v>
      </c>
      <c r="O31" s="11">
        <f>Tabla3510182636[[#This Row],[COMISIONES]]*0.21</f>
        <v>63</v>
      </c>
      <c r="P31" s="11"/>
      <c r="Q31" s="11"/>
      <c r="R31" s="11"/>
      <c r="T31" s="40" t="s">
        <v>22</v>
      </c>
      <c r="U31" s="40"/>
      <c r="V31" s="40"/>
      <c r="W31" s="40"/>
      <c r="X31" s="40"/>
      <c r="Z31" s="11">
        <v>1230.22</v>
      </c>
      <c r="AA31" s="11">
        <f>Tabla356813212939[[#This Row],[COMISIONES]]*0.21</f>
        <v>258.34620000000001</v>
      </c>
      <c r="AB31" s="11">
        <v>4478.46</v>
      </c>
      <c r="AC31" s="11">
        <v>2266.96</v>
      </c>
      <c r="AD31" s="11"/>
    </row>
    <row r="32" spans="2:41" x14ac:dyDescent="0.25">
      <c r="B32" s="3"/>
      <c r="C32" s="2">
        <f>Tabla13162432[[#This Row],[COMISIONES]]*0.21</f>
        <v>0</v>
      </c>
      <c r="D32" s="3"/>
      <c r="E32" s="3"/>
      <c r="F32" s="3"/>
      <c r="H32" s="11"/>
      <c r="I32" s="11">
        <f>Tabla39172535[[#This Row],[COMISIONES]]*0.21</f>
        <v>0</v>
      </c>
      <c r="J32" s="11"/>
      <c r="K32" s="11"/>
      <c r="L32" s="11"/>
      <c r="N32" s="11">
        <v>300</v>
      </c>
      <c r="O32" s="11">
        <f>Tabla3510182636[[#This Row],[COMISIONES]]*0.21</f>
        <v>63</v>
      </c>
      <c r="P32" s="11"/>
      <c r="Q32" s="11"/>
      <c r="R32" s="11"/>
      <c r="T32" s="12" t="s">
        <v>2</v>
      </c>
      <c r="U32" s="13" t="s">
        <v>0</v>
      </c>
      <c r="V32" s="13" t="s">
        <v>1</v>
      </c>
      <c r="W32" s="13" t="s">
        <v>3</v>
      </c>
      <c r="X32" s="13" t="s">
        <v>4</v>
      </c>
      <c r="Z32" s="11">
        <v>1023.44</v>
      </c>
      <c r="AA32" s="11">
        <f>Tabla356813212939[[#This Row],[COMISIONES]]*0.21</f>
        <v>214.92240000000001</v>
      </c>
      <c r="AB32" s="11">
        <v>2505.66</v>
      </c>
      <c r="AC32" s="11">
        <v>172.34</v>
      </c>
      <c r="AD32" s="11"/>
    </row>
    <row r="33" spans="2:31" x14ac:dyDescent="0.25">
      <c r="B33" s="3"/>
      <c r="C33" s="2">
        <f>Tabla13162432[[#This Row],[COMISIONES]]*0.21</f>
        <v>0</v>
      </c>
      <c r="D33" s="3"/>
      <c r="E33" s="3"/>
      <c r="F33" s="3"/>
      <c r="H33" s="11"/>
      <c r="I33" s="11">
        <f>Tabla39172535[[#This Row],[COMISIONES]]*0.21</f>
        <v>0</v>
      </c>
      <c r="J33" s="11"/>
      <c r="K33" s="11"/>
      <c r="L33" s="11"/>
      <c r="N33" s="11">
        <v>300</v>
      </c>
      <c r="O33" s="11">
        <f>Tabla3510182636[[#This Row],[COMISIONES]]*0.21</f>
        <v>63</v>
      </c>
      <c r="P33" s="11"/>
      <c r="Q33" s="11"/>
      <c r="R33" s="11"/>
      <c r="T33" s="11">
        <v>2400</v>
      </c>
      <c r="U33" s="11">
        <f>Tabla612202838[[#This Row],[COMISIONES]]*0.21</f>
        <v>504</v>
      </c>
      <c r="V33" s="11"/>
      <c r="W33" s="11">
        <v>1145.55</v>
      </c>
      <c r="X33" s="11">
        <v>72</v>
      </c>
      <c r="Z33" s="11">
        <v>70.2</v>
      </c>
      <c r="AA33" s="11">
        <f>Tabla356813212939[[#This Row],[COMISIONES]]*0.21</f>
        <v>14.742000000000001</v>
      </c>
      <c r="AB33" s="11">
        <v>5867.74</v>
      </c>
      <c r="AC33" s="11">
        <v>1918.72</v>
      </c>
      <c r="AD33" s="11"/>
    </row>
    <row r="34" spans="2:31" x14ac:dyDescent="0.25">
      <c r="B34" s="3"/>
      <c r="C34" s="2">
        <f>Tabla13162432[[#This Row],[COMISIONES]]*0.21</f>
        <v>0</v>
      </c>
      <c r="D34" s="3"/>
      <c r="E34" s="3"/>
      <c r="F34" s="3"/>
      <c r="H34" s="11"/>
      <c r="I34" s="11">
        <f>Tabla39172535[[#This Row],[COMISIONES]]*0.21</f>
        <v>0</v>
      </c>
      <c r="J34" s="11"/>
      <c r="K34" s="11"/>
      <c r="L34" s="11"/>
      <c r="N34" s="11">
        <v>300</v>
      </c>
      <c r="O34" s="11">
        <f>Tabla3510182636[[#This Row],[COMISIONES]]*0.21</f>
        <v>63</v>
      </c>
      <c r="P34" s="11"/>
      <c r="Q34" s="11"/>
      <c r="R34" s="11"/>
      <c r="T34" s="11"/>
      <c r="U34" s="11">
        <f>Tabla612202838[[#This Row],[COMISIONES]]*0.21</f>
        <v>0</v>
      </c>
      <c r="V34" s="11"/>
      <c r="W34" s="11">
        <v>3966.72</v>
      </c>
      <c r="X34" s="11"/>
      <c r="Z34" s="11">
        <v>1193.76</v>
      </c>
      <c r="AA34" s="11">
        <f>Tabla356813212939[[#This Row],[COMISIONES]]*0.21</f>
        <v>250.68959999999998</v>
      </c>
      <c r="AB34" s="11">
        <v>834.32</v>
      </c>
      <c r="AC34" s="11">
        <v>2930.68</v>
      </c>
      <c r="AD34" s="11"/>
    </row>
    <row r="35" spans="2:31" x14ac:dyDescent="0.25">
      <c r="B35" s="3"/>
      <c r="C35" s="2">
        <f>Tabla13162432[[#This Row],[COMISIONES]]*0.21</f>
        <v>0</v>
      </c>
      <c r="D35" s="3"/>
      <c r="E35" s="3"/>
      <c r="F35" s="3"/>
      <c r="H35" s="11"/>
      <c r="I35" s="11">
        <f>Tabla39172535[[#This Row],[COMISIONES]]*0.21</f>
        <v>0</v>
      </c>
      <c r="J35" s="11"/>
      <c r="K35" s="11"/>
      <c r="L35" s="11"/>
      <c r="N35" s="11">
        <v>300</v>
      </c>
      <c r="O35" s="11">
        <f>Tabla3510182636[[#This Row],[COMISIONES]]*0.21</f>
        <v>63</v>
      </c>
      <c r="P35" s="11"/>
      <c r="Q35" s="11"/>
      <c r="R35" s="11"/>
      <c r="T35" s="11"/>
      <c r="U35" s="19">
        <f>Tabla612202838[[#This Row],[COMISIONES]]*0.21</f>
        <v>0</v>
      </c>
      <c r="Z35" s="11">
        <v>638.09</v>
      </c>
      <c r="AA35" s="11">
        <f>Tabla356813212939[[#This Row],[COMISIONES]]*0.21</f>
        <v>133.99889999999999</v>
      </c>
      <c r="AB35" s="11">
        <v>1475.89</v>
      </c>
      <c r="AC35" s="11">
        <v>1566.51</v>
      </c>
      <c r="AD35" s="11"/>
    </row>
    <row r="36" spans="2:31" x14ac:dyDescent="0.25">
      <c r="B36" s="3"/>
      <c r="C36" s="2">
        <f>Tabla13162432[[#This Row],[COMISIONES]]*0.21</f>
        <v>0</v>
      </c>
      <c r="D36" s="3"/>
      <c r="E36" s="3"/>
      <c r="F36" s="3"/>
      <c r="H36" s="11"/>
      <c r="I36" s="11">
        <f>Tabla39172535[[#This Row],[COMISIONES]]*0.21</f>
        <v>0</v>
      </c>
      <c r="J36" s="11"/>
      <c r="K36" s="11"/>
      <c r="L36" s="11"/>
      <c r="N36" s="11">
        <v>300</v>
      </c>
      <c r="O36" s="11">
        <f>Tabla3510182636[[#This Row],[COMISIONES]]*0.21</f>
        <v>63</v>
      </c>
      <c r="P36" s="11"/>
      <c r="Q36" s="11"/>
      <c r="R36" s="11"/>
      <c r="T36" s="11"/>
      <c r="U36" s="19">
        <f>Tabla612202838[[#This Row],[COMISIONES]]*0.21</f>
        <v>0</v>
      </c>
      <c r="Z36" s="21">
        <v>1202.8</v>
      </c>
      <c r="AA36" s="21">
        <f>Tabla356813212939[[#This Row],[COMISIONES]]*0.21</f>
        <v>252.58799999999999</v>
      </c>
      <c r="AB36" s="21">
        <v>6086.94</v>
      </c>
      <c r="AC36" s="21">
        <v>2952.86</v>
      </c>
      <c r="AD36" s="22"/>
    </row>
    <row r="37" spans="2:31" x14ac:dyDescent="0.25">
      <c r="B37" s="3"/>
      <c r="C37" s="2">
        <f>Tabla13162432[[#This Row],[COMISIONES]]*0.21</f>
        <v>0</v>
      </c>
      <c r="D37" s="3"/>
      <c r="E37" s="3"/>
      <c r="F37" s="3"/>
      <c r="H37" s="11"/>
      <c r="I37" s="11">
        <f>Tabla39172535[[#This Row],[COMISIONES]]*0.21</f>
        <v>0</v>
      </c>
      <c r="J37" s="11"/>
      <c r="K37" s="11"/>
      <c r="L37" s="11"/>
      <c r="N37" s="11">
        <v>1400</v>
      </c>
      <c r="O37" s="11">
        <f>Tabla3510182636[[#This Row],[COMISIONES]]*0.21</f>
        <v>294</v>
      </c>
      <c r="P37" s="11"/>
      <c r="Q37" s="11"/>
      <c r="R37" s="11"/>
      <c r="T37" s="11"/>
      <c r="U37" s="19">
        <f>Tabla612202838[[#This Row],[COMISIONES]]*0.21</f>
        <v>0</v>
      </c>
      <c r="Z37" s="21">
        <v>2117.09</v>
      </c>
      <c r="AA37" s="21">
        <f>Tabla356813212939[[#This Row],[COMISIONES]]*0.21</f>
        <v>444.58890000000002</v>
      </c>
      <c r="AB37" s="21">
        <v>1587.77</v>
      </c>
      <c r="AC37" s="21">
        <v>3160.47</v>
      </c>
      <c r="AD37" s="21"/>
    </row>
    <row r="38" spans="2:31" x14ac:dyDescent="0.25">
      <c r="B38" s="3"/>
      <c r="C38" s="2">
        <f>Tabla13162432[[#This Row],[COMISIONES]]*0.21</f>
        <v>0</v>
      </c>
      <c r="D38" s="3"/>
      <c r="E38" s="3"/>
      <c r="F38" s="3"/>
      <c r="H38" s="11"/>
      <c r="I38" s="11">
        <f>Tabla39172535[[#This Row],[COMISIONES]]*0.21</f>
        <v>0</v>
      </c>
      <c r="J38" s="11"/>
      <c r="K38" s="11"/>
      <c r="L38" s="11"/>
      <c r="N38" s="11">
        <v>300</v>
      </c>
      <c r="O38" s="11">
        <f>Tabla3510182636[[#This Row],[COMISIONES]]*0.21</f>
        <v>63</v>
      </c>
      <c r="P38" s="11"/>
      <c r="Q38" s="11"/>
      <c r="R38" s="11"/>
      <c r="T38" s="11"/>
      <c r="U38" s="19">
        <f>Tabla612202838[[#This Row],[COMISIONES]]*0.21</f>
        <v>0</v>
      </c>
      <c r="Z38" s="21">
        <v>1287.3599999999999</v>
      </c>
      <c r="AA38" s="21">
        <f>Tabla356813212939[[#This Row],[COMISIONES]]*0.21</f>
        <v>270.34559999999999</v>
      </c>
      <c r="AB38" s="21"/>
      <c r="AC38" s="21">
        <v>3278.12</v>
      </c>
      <c r="AD38" s="21"/>
    </row>
    <row r="39" spans="2:31" x14ac:dyDescent="0.25">
      <c r="B39" s="3"/>
      <c r="C39" s="2">
        <f>Tabla13162432[[#This Row],[COMISIONES]]*0.21</f>
        <v>0</v>
      </c>
      <c r="D39" s="3"/>
      <c r="E39" s="3"/>
      <c r="F39" s="3"/>
      <c r="H39" s="11"/>
      <c r="I39" s="11">
        <f>Tabla39172535[[#This Row],[COMISIONES]]*0.21</f>
        <v>0</v>
      </c>
      <c r="J39" s="11"/>
      <c r="K39" s="11"/>
      <c r="L39" s="11"/>
      <c r="N39" s="11"/>
      <c r="O39" s="11">
        <f>Tabla3510182636[[#This Row],[COMISIONES]]*0.21</f>
        <v>0</v>
      </c>
      <c r="P39" s="11"/>
      <c r="Q39" s="11"/>
      <c r="R39" s="11"/>
      <c r="T39" s="11"/>
      <c r="U39" s="19">
        <f>Tabla612202838[[#This Row],[COMISIONES]]*0.21</f>
        <v>0</v>
      </c>
      <c r="Z39" s="21">
        <v>1850.76</v>
      </c>
      <c r="AA39" s="21">
        <f>Tabla356813212939[[#This Row],[COMISIONES]]*0.21</f>
        <v>388.65960000000001</v>
      </c>
      <c r="AB39" s="21"/>
      <c r="AC39" s="21">
        <v>3469.75</v>
      </c>
      <c r="AD39" s="21">
        <v>18.489999999999998</v>
      </c>
    </row>
    <row r="40" spans="2:31" x14ac:dyDescent="0.25">
      <c r="B40" s="3"/>
      <c r="C40" s="2">
        <f>Tabla13162432[[#This Row],[COMISIONES]]*0.21</f>
        <v>0</v>
      </c>
      <c r="D40" s="3"/>
      <c r="E40" s="3"/>
      <c r="F40" s="3"/>
      <c r="H40" s="18"/>
      <c r="I40" s="18">
        <f>Tabla39172535[[#This Row],[COMISIONES]]*0.21</f>
        <v>0</v>
      </c>
      <c r="J40" s="18"/>
      <c r="K40" s="18"/>
      <c r="L40" s="18"/>
      <c r="N40" s="11"/>
      <c r="O40" s="11">
        <f>Tabla3510182636[[#This Row],[COMISIONES]]*0.21</f>
        <v>0</v>
      </c>
      <c r="P40" s="11"/>
      <c r="Q40" s="11"/>
      <c r="R40" s="11"/>
      <c r="T40" s="11"/>
      <c r="U40" s="19">
        <f>Tabla612202838[[#This Row],[COMISIONES]]*0.21</f>
        <v>0</v>
      </c>
      <c r="Z40" s="21">
        <v>487.8</v>
      </c>
      <c r="AA40" s="21">
        <f>Tabla356813212939[[#This Row],[COMISIONES]]*0.21</f>
        <v>102.438</v>
      </c>
      <c r="AB40" s="21">
        <v>800.62</v>
      </c>
      <c r="AC40" s="21">
        <v>1197.55</v>
      </c>
      <c r="AD40" s="21"/>
    </row>
    <row r="41" spans="2:31" x14ac:dyDescent="0.25">
      <c r="B41" s="3"/>
      <c r="C41" s="2">
        <f>Tabla13162432[[#This Row],[COMISIONES]]*0.21</f>
        <v>0</v>
      </c>
      <c r="D41" s="3"/>
      <c r="E41" s="3"/>
      <c r="F41" s="3"/>
      <c r="H41" s="18"/>
      <c r="I41" s="18">
        <f>Tabla39172535[[#This Row],[COMISIONES]]*0.21</f>
        <v>0</v>
      </c>
      <c r="J41" s="18"/>
      <c r="K41" s="18"/>
      <c r="L41" s="18"/>
      <c r="N41" s="11"/>
      <c r="O41" s="11">
        <f>Tabla3510182636[[#This Row],[COMISIONES]]*0.21</f>
        <v>0</v>
      </c>
      <c r="P41" s="11"/>
      <c r="Q41" s="11"/>
      <c r="R41" s="11"/>
      <c r="T41" s="11"/>
      <c r="U41" s="19">
        <f>Tabla612202838[[#This Row],[COMISIONES]]*0.21</f>
        <v>0</v>
      </c>
      <c r="Z41" s="21">
        <v>4334.09</v>
      </c>
      <c r="AA41" s="21">
        <f>Tabla356813212939[[#This Row],[COMISIONES]]*0.21</f>
        <v>910.15890000000002</v>
      </c>
      <c r="AB41" s="21">
        <v>608.15</v>
      </c>
      <c r="AC41" s="21">
        <v>8125.45</v>
      </c>
      <c r="AD41" s="21"/>
    </row>
    <row r="42" spans="2:31" x14ac:dyDescent="0.25">
      <c r="B42" s="3"/>
      <c r="C42" s="2">
        <f>Tabla13162432[[#This Row],[COMISIONES]]*0.21</f>
        <v>0</v>
      </c>
      <c r="D42" s="3"/>
      <c r="E42" s="3"/>
      <c r="F42" s="3"/>
      <c r="G42" s="8"/>
      <c r="H42" s="18"/>
      <c r="I42" s="18">
        <f>Tabla39172535[[#This Row],[COMISIONES]]*0.21</f>
        <v>0</v>
      </c>
      <c r="J42" s="18"/>
      <c r="K42" s="18"/>
      <c r="L42" s="18"/>
      <c r="M42" s="8"/>
      <c r="N42" s="11"/>
      <c r="O42" s="11">
        <f>Tabla3510182636[[#This Row],[COMISIONES]]*0.21</f>
        <v>0</v>
      </c>
      <c r="P42" s="11"/>
      <c r="Q42" s="11"/>
      <c r="R42" s="11"/>
      <c r="S42" s="8"/>
      <c r="T42" s="11"/>
      <c r="U42" s="19">
        <f>Tabla612202838[[#This Row],[COMISIONES]]*0.21</f>
        <v>0</v>
      </c>
      <c r="Y42" s="8"/>
      <c r="Z42" s="21">
        <v>638.1</v>
      </c>
      <c r="AA42" s="21">
        <f>Tabla356813212939[[#This Row],[COMISIONES]]*0.21</f>
        <v>134.001</v>
      </c>
      <c r="AB42" s="21"/>
      <c r="AC42" s="21">
        <v>1566.54</v>
      </c>
      <c r="AD42" s="21"/>
      <c r="AE42" s="8"/>
    </row>
    <row r="43" spans="2:31" x14ac:dyDescent="0.25">
      <c r="B43" s="3"/>
      <c r="C43" s="2">
        <f>Tabla13162432[[#This Row],[COMISIONES]]*0.21</f>
        <v>0</v>
      </c>
      <c r="D43" s="3"/>
      <c r="E43" s="3"/>
      <c r="F43" s="3"/>
      <c r="H43" s="18"/>
      <c r="I43" s="18">
        <f>Tabla39172535[[#This Row],[COMISIONES]]*0.21</f>
        <v>0</v>
      </c>
      <c r="J43" s="18"/>
      <c r="K43" s="18"/>
      <c r="L43" s="18"/>
      <c r="N43" s="11"/>
      <c r="O43" s="11">
        <f>Tabla3510182636[[#This Row],[COMISIONES]]*0.21</f>
        <v>0</v>
      </c>
      <c r="P43" s="11"/>
      <c r="Q43" s="11"/>
      <c r="R43" s="11"/>
      <c r="U43" s="19">
        <f>Tabla612202838[[#This Row],[COMISIONES]]*0.21</f>
        <v>0</v>
      </c>
      <c r="Z43" s="21">
        <v>616.25</v>
      </c>
      <c r="AA43" s="21">
        <f>Tabla356813212939[[#This Row],[COMISIONES]]*0.21</f>
        <v>129.41249999999999</v>
      </c>
      <c r="AB43" s="21"/>
      <c r="AC43" s="21">
        <v>1155.3399999999999</v>
      </c>
      <c r="AD43" s="21"/>
    </row>
    <row r="44" spans="2:31" x14ac:dyDescent="0.25">
      <c r="B44" s="3"/>
      <c r="C44" s="2">
        <f>Tabla13162432[[#This Row],[COMISIONES]]*0.21</f>
        <v>0</v>
      </c>
      <c r="D44" s="3"/>
      <c r="E44" s="3"/>
      <c r="F44" s="3"/>
      <c r="H44" s="18"/>
      <c r="I44" s="18">
        <f>Tabla39172535[[#This Row],[COMISIONES]]*0.21</f>
        <v>0</v>
      </c>
      <c r="J44" s="18"/>
      <c r="K44" s="18"/>
      <c r="L44" s="18"/>
      <c r="N44" s="11"/>
      <c r="O44" s="11">
        <f>Tabla3510182636[[#This Row],[COMISIONES]]*0.21</f>
        <v>0</v>
      </c>
      <c r="P44" s="11"/>
      <c r="Q44" s="11"/>
      <c r="R44" s="11"/>
      <c r="U44" s="19">
        <f>Tabla612202838[[#This Row],[COMISIONES]]*0.21</f>
        <v>0</v>
      </c>
      <c r="Z44" s="21">
        <v>963</v>
      </c>
      <c r="AA44" s="21">
        <f>Tabla356813212939[[#This Row],[COMISIONES]]*0.21</f>
        <v>202.23</v>
      </c>
      <c r="AB44" s="21"/>
      <c r="AC44" s="21">
        <v>2364.17</v>
      </c>
      <c r="AD44" s="21"/>
    </row>
    <row r="45" spans="2:31" x14ac:dyDescent="0.25">
      <c r="B45" s="3"/>
      <c r="C45" s="2">
        <f>Tabla13162432[[#This Row],[COMISIONES]]*0.21</f>
        <v>0</v>
      </c>
      <c r="D45" s="3"/>
      <c r="E45" s="3"/>
      <c r="F45" s="3"/>
      <c r="H45" s="18"/>
      <c r="I45" s="18">
        <f>Tabla39172535[[#This Row],[COMISIONES]]*0.21</f>
        <v>0</v>
      </c>
      <c r="J45" s="18"/>
      <c r="K45" s="18"/>
      <c r="L45" s="18"/>
      <c r="N45" s="11"/>
      <c r="O45" s="11">
        <f>Tabla3510182636[[#This Row],[COMISIONES]]*0.21</f>
        <v>0</v>
      </c>
      <c r="P45" s="11"/>
      <c r="Q45" s="11"/>
      <c r="R45" s="11"/>
      <c r="U45" s="19">
        <f>Tabla612202838[[#This Row],[COMISIONES]]*0.21</f>
        <v>0</v>
      </c>
      <c r="Z45" s="21">
        <v>1090.1500000000001</v>
      </c>
      <c r="AA45" s="21">
        <f>Tabla356813212939[[#This Row],[COMISIONES]]*0.21</f>
        <v>228.9315</v>
      </c>
      <c r="AB45" s="21"/>
      <c r="AC45" s="21">
        <v>2043.78</v>
      </c>
      <c r="AD45" s="21"/>
    </row>
    <row r="46" spans="2:31" x14ac:dyDescent="0.25">
      <c r="B46" s="3"/>
      <c r="C46" s="2">
        <f>Tabla13162432[[#This Row],[COMISIONES]]*0.21</f>
        <v>0</v>
      </c>
      <c r="D46" s="3"/>
      <c r="E46" s="3"/>
      <c r="F46" s="3"/>
      <c r="H46" s="18"/>
      <c r="I46" s="18">
        <f>Tabla39172535[[#This Row],[COMISIONES]]*0.21</f>
        <v>0</v>
      </c>
      <c r="J46" s="18"/>
      <c r="K46" s="18"/>
      <c r="L46" s="18"/>
      <c r="N46" s="11"/>
      <c r="O46" s="11">
        <f>Tabla3510182636[[#This Row],[COMISIONES]]*0.21</f>
        <v>0</v>
      </c>
      <c r="P46" s="11"/>
      <c r="Q46" s="11"/>
      <c r="R46" s="11"/>
      <c r="U46" s="19">
        <f>Tabla612202838[[#This Row],[COMISIONES]]*0.21</f>
        <v>0</v>
      </c>
      <c r="Z46" s="21">
        <v>2322.9</v>
      </c>
      <c r="AA46" s="21">
        <f>Tabla356813212939[[#This Row],[COMISIONES]]*0.21</f>
        <v>487.80900000000003</v>
      </c>
      <c r="AB46" s="21"/>
      <c r="AC46" s="21">
        <v>5702.72</v>
      </c>
      <c r="AD46" s="21"/>
    </row>
    <row r="47" spans="2:31" x14ac:dyDescent="0.25">
      <c r="B47" s="3"/>
      <c r="C47" s="2">
        <f>Tabla13162432[[#This Row],[COMISIONES]]*0.21</f>
        <v>0</v>
      </c>
      <c r="D47" s="3"/>
      <c r="E47" s="3"/>
      <c r="F47" s="3"/>
      <c r="H47" s="18"/>
      <c r="I47" s="18">
        <f>Tabla39172535[[#This Row],[COMISIONES]]*0.21</f>
        <v>0</v>
      </c>
      <c r="J47" s="18"/>
      <c r="K47" s="18"/>
      <c r="L47" s="18"/>
      <c r="N47" s="11"/>
      <c r="O47" s="11">
        <f>Tabla3510182636[[#This Row],[COMISIONES]]*0.21</f>
        <v>0</v>
      </c>
      <c r="P47" s="11"/>
      <c r="Q47" s="11"/>
      <c r="R47" s="11"/>
      <c r="U47" s="19">
        <f>Tabla612202838[[#This Row],[COMISIONES]]*0.21</f>
        <v>0</v>
      </c>
      <c r="Z47" s="21">
        <v>2877.46</v>
      </c>
      <c r="AA47" s="21">
        <f>Tabla356813212939[[#This Row],[COMISIONES]]*0.21</f>
        <v>604.26660000000004</v>
      </c>
      <c r="AB47" s="21"/>
      <c r="AC47" s="21">
        <v>4455.4799999999996</v>
      </c>
      <c r="AD47" s="21">
        <v>91.8</v>
      </c>
    </row>
    <row r="48" spans="2:31" x14ac:dyDescent="0.25">
      <c r="B48" s="3"/>
      <c r="C48" s="2">
        <f>Tabla13162432[[#This Row],[COMISIONES]]*0.21</f>
        <v>0</v>
      </c>
      <c r="D48" s="3"/>
      <c r="E48" s="3"/>
      <c r="F48" s="3"/>
      <c r="H48" s="18"/>
      <c r="I48" s="18">
        <f>Tabla39172535[[#This Row],[COMISIONES]]*0.21</f>
        <v>0</v>
      </c>
      <c r="J48" s="18"/>
      <c r="K48" s="18"/>
      <c r="L48" s="18"/>
      <c r="N48" s="11"/>
      <c r="O48" s="11">
        <f>Tabla3510182636[[#This Row],[COMISIONES]]*0.21</f>
        <v>0</v>
      </c>
      <c r="P48" s="11"/>
      <c r="Q48" s="11"/>
      <c r="R48" s="11"/>
      <c r="U48" s="19">
        <f>Tabla612202838[[#This Row],[COMISIONES]]*0.21</f>
        <v>0</v>
      </c>
      <c r="Z48" s="21">
        <v>476.1</v>
      </c>
      <c r="AA48" s="21">
        <f>Tabla356813212939[[#This Row],[COMISIONES]]*0.21</f>
        <v>99.980999999999995</v>
      </c>
      <c r="AB48" s="21"/>
      <c r="AC48" s="21">
        <v>1168.83</v>
      </c>
      <c r="AD48" s="21"/>
    </row>
    <row r="49" spans="2:30" x14ac:dyDescent="0.25">
      <c r="B49" s="3"/>
      <c r="C49" s="2">
        <f>Tabla13162432[[#This Row],[COMISIONES]]*0.21</f>
        <v>0</v>
      </c>
      <c r="D49" s="3"/>
      <c r="E49" s="3"/>
      <c r="F49" s="3"/>
      <c r="H49" s="18"/>
      <c r="I49" s="18">
        <f>Tabla39172535[[#This Row],[COMISIONES]]*0.21</f>
        <v>0</v>
      </c>
      <c r="J49" s="18"/>
      <c r="K49" s="18"/>
      <c r="L49" s="18"/>
      <c r="N49" s="11"/>
      <c r="O49" s="11">
        <f>Tabla3510182636[[#This Row],[COMISIONES]]*0.21</f>
        <v>0</v>
      </c>
      <c r="P49" s="11"/>
      <c r="Q49" s="11"/>
      <c r="R49" s="11"/>
      <c r="U49" s="19">
        <f>Tabla612202838[[#This Row],[COMISIONES]]*0.21</f>
        <v>0</v>
      </c>
      <c r="Z49" s="21">
        <v>519.48</v>
      </c>
      <c r="AA49" s="21">
        <f>Tabla356813212939[[#This Row],[COMISIONES]]*0.21</f>
        <v>109.0908</v>
      </c>
      <c r="AB49" s="21">
        <v>1617.42</v>
      </c>
      <c r="AC49" s="21">
        <v>1275.32</v>
      </c>
      <c r="AD49" s="21"/>
    </row>
    <row r="50" spans="2:30" x14ac:dyDescent="0.25">
      <c r="B50" s="2"/>
      <c r="C50" s="2">
        <f>Tabla13162432[[#This Row],[COMISIONES]]*0.21</f>
        <v>0</v>
      </c>
      <c r="D50" s="2"/>
      <c r="E50" s="2"/>
      <c r="H50" s="18"/>
      <c r="I50" s="18">
        <f>Tabla39172535[[#This Row],[COMISIONES]]*0.21</f>
        <v>0</v>
      </c>
      <c r="J50" s="18"/>
      <c r="K50" s="18"/>
      <c r="L50" s="18"/>
      <c r="N50" s="11"/>
      <c r="O50" s="11">
        <f>Tabla3510182636[[#This Row],[COMISIONES]]*0.21</f>
        <v>0</v>
      </c>
      <c r="P50" s="11"/>
      <c r="Q50" s="11"/>
      <c r="R50" s="11"/>
      <c r="U50" s="19">
        <f>Tabla612202838[[#This Row],[COMISIONES]]*0.21</f>
        <v>0</v>
      </c>
      <c r="Z50" s="21">
        <v>3060</v>
      </c>
      <c r="AA50" s="21">
        <f>Tabla356813212939[[#This Row],[COMISIONES]]*0.21</f>
        <v>642.6</v>
      </c>
      <c r="AB50" s="21"/>
      <c r="AC50" s="21">
        <v>2198.69</v>
      </c>
      <c r="AD50" s="21"/>
    </row>
    <row r="51" spans="2:30" x14ac:dyDescent="0.25">
      <c r="B51" s="2"/>
      <c r="C51" s="2">
        <f>Tabla13162432[[#This Row],[COMISIONES]]*0.21</f>
        <v>0</v>
      </c>
      <c r="D51" s="2"/>
      <c r="E51" s="2"/>
      <c r="H51" s="18"/>
      <c r="I51" s="18">
        <f>Tabla39172535[[#This Row],[COMISIONES]]*0.21</f>
        <v>0</v>
      </c>
      <c r="J51" s="18"/>
      <c r="K51" s="18"/>
      <c r="L51" s="18"/>
      <c r="N51" s="11"/>
      <c r="O51" s="11">
        <f>Tabla3510182636[[#This Row],[COMISIONES]]*0.21</f>
        <v>0</v>
      </c>
      <c r="P51" s="11"/>
      <c r="Q51" s="11"/>
      <c r="R51" s="11"/>
      <c r="U51" s="19">
        <f>Tabla612202838[[#This Row],[COMISIONES]]*0.21</f>
        <v>0</v>
      </c>
      <c r="Z51" s="21">
        <v>1172.78</v>
      </c>
      <c r="AA51" s="21">
        <f>Tabla356813212939[[#This Row],[COMISIONES]]*0.21</f>
        <v>246.28379999999999</v>
      </c>
      <c r="AB51" s="21"/>
      <c r="AC51" s="21">
        <v>7512.3</v>
      </c>
      <c r="AD51" s="21"/>
    </row>
    <row r="52" spans="2:30" x14ac:dyDescent="0.25">
      <c r="B52" s="2"/>
      <c r="C52" s="2">
        <f>Tabla13162432[[#This Row],[COMISIONES]]*0.21</f>
        <v>0</v>
      </c>
      <c r="D52" s="2"/>
      <c r="E52" s="2"/>
      <c r="H52" s="24">
        <f>SUBTOTAL(109,Tabla39172535[COMISIONES])</f>
        <v>71995</v>
      </c>
      <c r="I52" s="24">
        <f>SUBTOTAL(109,Tabla39172535[IVA 21])</f>
        <v>15118.949999999999</v>
      </c>
      <c r="J52" s="24">
        <f>SUBTOTAL(109,Tabla39172535[IVA 10,5])</f>
        <v>0</v>
      </c>
      <c r="K52" s="24">
        <f>SUBTOTAL(109,Tabla39172535[Ret IIBB Caba])</f>
        <v>0</v>
      </c>
      <c r="L52" s="24">
        <f>SUBTOTAL(109,Tabla39172535[PERC IVA])</f>
        <v>0</v>
      </c>
      <c r="N52" s="11"/>
      <c r="O52" s="11">
        <f>Tabla3510182636[[#This Row],[COMISIONES]]*0.21</f>
        <v>0</v>
      </c>
      <c r="P52" s="11"/>
      <c r="Q52" s="11"/>
      <c r="R52" s="11"/>
      <c r="U52" s="19">
        <f>Tabla612202838[[#This Row],[COMISIONES]]*0.21</f>
        <v>0</v>
      </c>
      <c r="Z52" s="21">
        <v>812.7</v>
      </c>
      <c r="AA52" s="21">
        <f>Tabla356813212939[[#This Row],[COMISIONES]]*0.21</f>
        <v>170.667</v>
      </c>
      <c r="AB52" s="21"/>
      <c r="AC52" s="21">
        <v>1995.18</v>
      </c>
      <c r="AD52" s="21"/>
    </row>
    <row r="53" spans="2:30" ht="18.75" x14ac:dyDescent="0.3">
      <c r="B53" s="2"/>
      <c r="C53" s="2">
        <f>Tabla13162432[[#This Row],[COMISIONES]]*0.21</f>
        <v>0</v>
      </c>
      <c r="D53" s="2"/>
      <c r="E53" s="2"/>
      <c r="H53" s="41"/>
      <c r="I53" s="41"/>
      <c r="J53" s="41"/>
      <c r="K53" s="41"/>
      <c r="L53" s="41"/>
      <c r="N53" s="11"/>
      <c r="O53" s="11">
        <f>Tabla3510182636[[#This Row],[COMISIONES]]*0.21</f>
        <v>0</v>
      </c>
      <c r="P53" s="11"/>
      <c r="Q53" s="11"/>
      <c r="R53" s="11"/>
      <c r="U53" s="19">
        <f>Tabla612202838[[#This Row],[COMISIONES]]*0.21</f>
        <v>0</v>
      </c>
      <c r="Z53" s="21">
        <v>591.37</v>
      </c>
      <c r="AA53" s="21">
        <f>Tabla356813212939[[#This Row],[COMISIONES]]*0.21</f>
        <v>124.18769999999999</v>
      </c>
      <c r="AB53" s="21"/>
      <c r="AC53" s="21">
        <v>1108.68</v>
      </c>
      <c r="AD53" s="21"/>
    </row>
    <row r="54" spans="2:30" x14ac:dyDescent="0.25">
      <c r="B54" s="2"/>
      <c r="C54" s="2">
        <f>Tabla13162432[[#This Row],[COMISIONES]]*0.21</f>
        <v>0</v>
      </c>
      <c r="D54" s="2"/>
      <c r="E54" s="2"/>
      <c r="H54" s="12" t="s">
        <v>2</v>
      </c>
      <c r="I54" s="13" t="s">
        <v>0</v>
      </c>
      <c r="J54" s="13" t="s">
        <v>1</v>
      </c>
      <c r="K54" s="13" t="s">
        <v>3</v>
      </c>
      <c r="L54" s="13" t="s">
        <v>4</v>
      </c>
      <c r="N54" s="11"/>
      <c r="O54" s="11">
        <f>Tabla3510182636[[#This Row],[COMISIONES]]*0.21</f>
        <v>0</v>
      </c>
      <c r="P54" s="11"/>
      <c r="Q54" s="11"/>
      <c r="R54" s="11"/>
      <c r="U54" s="19">
        <f>Tabla612202838[[#This Row],[COMISIONES]]*0.21</f>
        <v>0</v>
      </c>
      <c r="Z54" s="21">
        <v>856.8</v>
      </c>
      <c r="AA54" s="21">
        <f>Tabla356813212939[[#This Row],[COMISIONES]]*0.21</f>
        <v>179.928</v>
      </c>
      <c r="AB54" s="21"/>
      <c r="AC54" s="21">
        <v>2103.44</v>
      </c>
      <c r="AD54" s="21"/>
    </row>
    <row r="55" spans="2:30" x14ac:dyDescent="0.25">
      <c r="B55" s="2"/>
      <c r="C55" s="2">
        <f>Tabla13162432[[#This Row],[COMISIONES]]*0.21</f>
        <v>0</v>
      </c>
      <c r="D55" s="2"/>
      <c r="E55" s="2"/>
      <c r="H55" s="3"/>
      <c r="I55" s="11">
        <f>Tabla3915233141[[#This Row],[COMISIONES]]*0.21</f>
        <v>0</v>
      </c>
      <c r="J55" s="11"/>
      <c r="K55" s="11"/>
      <c r="L55" s="11"/>
      <c r="N55" s="11"/>
      <c r="O55" s="11">
        <f>Tabla3510182636[[#This Row],[COMISIONES]]*0.21</f>
        <v>0</v>
      </c>
      <c r="P55" s="11"/>
      <c r="Q55" s="11"/>
      <c r="R55" s="11"/>
      <c r="U55" s="19">
        <f>Tabla612202838[[#This Row],[COMISIONES]]*0.21</f>
        <v>0</v>
      </c>
      <c r="Z55" s="21">
        <v>801.9</v>
      </c>
      <c r="AA55" s="21">
        <f>Tabla356813212939[[#This Row],[COMISIONES]]*0.21</f>
        <v>168.399</v>
      </c>
      <c r="AB55" s="21"/>
      <c r="AC55" s="21">
        <v>1968.66</v>
      </c>
      <c r="AD55" s="21">
        <v>13.48</v>
      </c>
    </row>
    <row r="56" spans="2:30" x14ac:dyDescent="0.25">
      <c r="B56" s="2"/>
      <c r="C56" s="2">
        <f>Tabla13162432[[#This Row],[COMISIONES]]*0.21</f>
        <v>0</v>
      </c>
      <c r="D56" s="2"/>
      <c r="E56" s="2"/>
      <c r="H56" s="11"/>
      <c r="I56" s="11">
        <f>Tabla3915233141[[#This Row],[COMISIONES]]*0.21</f>
        <v>0</v>
      </c>
      <c r="J56" s="11"/>
      <c r="K56" s="11"/>
      <c r="L56" s="21"/>
      <c r="N56" s="11"/>
      <c r="O56" s="11">
        <f>Tabla3510182636[[#This Row],[COMISIONES]]*0.21</f>
        <v>0</v>
      </c>
      <c r="P56" s="11"/>
      <c r="Q56" s="11"/>
      <c r="R56" s="11"/>
      <c r="U56" s="19">
        <f>Tabla612202838[[#This Row],[COMISIONES]]*0.21</f>
        <v>0</v>
      </c>
      <c r="Z56" s="21">
        <v>449.2</v>
      </c>
      <c r="AA56" s="21">
        <f>Tabla356813212939[[#This Row],[COMISIONES]]*0.21</f>
        <v>94.331999999999994</v>
      </c>
      <c r="AB56" s="21"/>
      <c r="AC56" s="21">
        <v>842.15</v>
      </c>
      <c r="AD56" s="21"/>
    </row>
    <row r="57" spans="2:30" x14ac:dyDescent="0.25">
      <c r="B57" s="2"/>
      <c r="C57" s="2">
        <f>Tabla13162432[[#This Row],[COMISIONES]]*0.21</f>
        <v>0</v>
      </c>
      <c r="D57" s="1"/>
      <c r="E57" s="2"/>
      <c r="H57" s="11"/>
      <c r="I57" s="11">
        <f>Tabla3915233141[[#This Row],[COMISIONES]]*0.21</f>
        <v>0</v>
      </c>
      <c r="J57" s="11"/>
      <c r="K57" s="11"/>
      <c r="L57" s="11"/>
      <c r="N57" s="11"/>
      <c r="O57" s="11">
        <f>Tabla3510182636[[#This Row],[COMISIONES]]*0.21</f>
        <v>0</v>
      </c>
      <c r="P57" s="11"/>
      <c r="Q57" s="11"/>
      <c r="R57" s="11"/>
      <c r="U57" s="19">
        <f>Tabla612202838[[#This Row],[COMISIONES]]*0.21</f>
        <v>0</v>
      </c>
      <c r="Z57" s="21">
        <v>135.9</v>
      </c>
      <c r="AA57" s="21">
        <f>Tabla356813212939[[#This Row],[COMISIONES]]*0.21</f>
        <v>28.539000000000001</v>
      </c>
      <c r="AB57" s="21"/>
      <c r="AC57" s="21">
        <v>333.63</v>
      </c>
      <c r="AD57" s="21"/>
    </row>
    <row r="58" spans="2:30" x14ac:dyDescent="0.25">
      <c r="B58" s="2"/>
      <c r="C58" s="2">
        <f>Tabla13162432[[#This Row],[COMISIONES]]*0.21</f>
        <v>0</v>
      </c>
      <c r="D58" s="2"/>
      <c r="E58" s="2"/>
      <c r="H58" s="11"/>
      <c r="I58" s="11">
        <f>Tabla3915233141[[#This Row],[COMISIONES]]*0.21</f>
        <v>0</v>
      </c>
      <c r="J58" s="11"/>
      <c r="K58" s="11"/>
      <c r="L58" s="11"/>
      <c r="N58" s="11"/>
      <c r="O58" s="11">
        <f>Tabla3510182636[[#This Row],[COMISIONES]]*0.21</f>
        <v>0</v>
      </c>
      <c r="P58" s="11"/>
      <c r="Q58" s="11"/>
      <c r="R58" s="11"/>
      <c r="U58" s="19">
        <f>Tabla612202838[[#This Row],[COMISIONES]]*0.21</f>
        <v>0</v>
      </c>
      <c r="Z58" s="21">
        <v>999.9</v>
      </c>
      <c r="AA58" s="21">
        <f>Tabla356813212939[[#This Row],[COMISIONES]]*0.21</f>
        <v>209.97899999999998</v>
      </c>
      <c r="AB58" s="21"/>
      <c r="AC58" s="21">
        <v>2454.75</v>
      </c>
      <c r="AD58" s="21"/>
    </row>
    <row r="59" spans="2:30" x14ac:dyDescent="0.25">
      <c r="B59" s="2"/>
      <c r="C59" s="2">
        <f>Tabla13162432[[#This Row],[COMISIONES]]*0.21</f>
        <v>0</v>
      </c>
      <c r="D59" s="2"/>
      <c r="E59" s="2"/>
      <c r="H59" s="11"/>
      <c r="I59" s="11">
        <f>Tabla3915233141[[#This Row],[COMISIONES]]*0.21</f>
        <v>0</v>
      </c>
      <c r="J59" s="11"/>
      <c r="K59" s="11"/>
      <c r="L59" s="11"/>
      <c r="N59" s="11"/>
      <c r="O59" s="11">
        <f>Tabla3510182636[[#This Row],[COMISIONES]]*0.21</f>
        <v>0</v>
      </c>
      <c r="P59" s="11"/>
      <c r="Q59" s="11"/>
      <c r="R59" s="11"/>
      <c r="U59" s="19">
        <f>Tabla612202838[[#This Row],[COMISIONES]]*0.21</f>
        <v>0</v>
      </c>
      <c r="Z59" s="21">
        <v>2591.66</v>
      </c>
      <c r="AA59" s="21">
        <f>Tabla356813212939[[#This Row],[COMISIONES]]*0.21</f>
        <v>544.2485999999999</v>
      </c>
      <c r="AB59" s="21"/>
      <c r="AC59" s="21">
        <v>4814.01</v>
      </c>
      <c r="AD59" s="21"/>
    </row>
    <row r="60" spans="2:30" x14ac:dyDescent="0.25">
      <c r="B60" s="4">
        <f>SUBTOTAL(109,Tabla13162432[COMISIONES])</f>
        <v>196716.98966666666</v>
      </c>
      <c r="C60" s="4">
        <f>SUBTOTAL(109,Tabla13162432[IVA 21])</f>
        <v>41310.56783</v>
      </c>
      <c r="D60" s="4">
        <f>SUBTOTAL(109,Tabla13162432[IVA 10,5])</f>
        <v>0</v>
      </c>
      <c r="E60" s="4">
        <f>SUBTOTAL(109,Tabla13162432[Ret IIBB Caba])</f>
        <v>418613.37</v>
      </c>
      <c r="F60" s="4">
        <f>SUBTOTAL(109,Tabla13162432[PERC IVA])</f>
        <v>39500.94</v>
      </c>
      <c r="H60" s="11"/>
      <c r="I60" s="11">
        <f>Tabla3915233141[[#This Row],[COMISIONES]]*0.21</f>
        <v>0</v>
      </c>
      <c r="J60" s="11"/>
      <c r="K60" s="11"/>
      <c r="L60" s="11"/>
      <c r="N60" s="11"/>
      <c r="O60" s="11">
        <f>Tabla3510182636[[#This Row],[COMISIONES]]*0.21</f>
        <v>0</v>
      </c>
      <c r="P60" s="11"/>
      <c r="Q60" s="11"/>
      <c r="R60" s="11"/>
      <c r="U60" s="19">
        <f>Tabla612202838[[#This Row],[COMISIONES]]*0.21</f>
        <v>0</v>
      </c>
      <c r="Z60" s="21">
        <v>114.88</v>
      </c>
      <c r="AA60" s="21">
        <f>Tabla356813212939[[#This Row],[COMISIONES]]*0.21</f>
        <v>24.124799999999997</v>
      </c>
      <c r="AB60" s="21"/>
      <c r="AC60" s="21"/>
      <c r="AD60" s="21"/>
    </row>
    <row r="61" spans="2:30" x14ac:dyDescent="0.25">
      <c r="H61" s="11"/>
      <c r="I61" s="11">
        <f>Tabla3915233141[[#This Row],[COMISIONES]]*0.21</f>
        <v>0</v>
      </c>
      <c r="J61" s="11"/>
      <c r="K61" s="11"/>
      <c r="L61" s="11"/>
      <c r="N61" s="11"/>
      <c r="O61" s="11">
        <f>Tabla3510182636[[#This Row],[COMISIONES]]*0.21</f>
        <v>0</v>
      </c>
      <c r="P61" s="11"/>
      <c r="Q61" s="11"/>
      <c r="R61" s="11"/>
      <c r="T61" s="4">
        <f>SUBTOTAL(109,Tabla612202838[COMISIONES])</f>
        <v>2400</v>
      </c>
      <c r="U61" s="4">
        <f>SUBTOTAL(109,Tabla612202838[IVA 21])</f>
        <v>504</v>
      </c>
      <c r="V61" s="4">
        <f>SUBTOTAL(109,Tabla612202838[IVA 10,5])</f>
        <v>0</v>
      </c>
      <c r="W61" s="4">
        <f>SUBTOTAL(109,Tabla612202838[Ret IIBB Caba])</f>
        <v>5112.2699999999995</v>
      </c>
      <c r="X61" s="4">
        <f>SUBTOTAL(109,Tabla612202838[PERC IVA])</f>
        <v>72</v>
      </c>
      <c r="Z61" s="21">
        <v>266.8</v>
      </c>
      <c r="AA61" s="21">
        <f>Tabla356813212939[[#This Row],[COMISIONES]]*0.21</f>
        <v>56.027999999999999</v>
      </c>
      <c r="AB61" s="21"/>
      <c r="AC61" s="21"/>
      <c r="AD61" s="21"/>
    </row>
    <row r="62" spans="2:30" x14ac:dyDescent="0.25">
      <c r="H62" s="11"/>
      <c r="I62" s="11">
        <f>Tabla3915233141[[#This Row],[COMISIONES]]*0.21</f>
        <v>0</v>
      </c>
      <c r="J62" s="11"/>
      <c r="K62" s="11"/>
      <c r="L62" s="11"/>
      <c r="N62" s="11"/>
      <c r="O62" s="11">
        <f>Tabla3510182636[[#This Row],[COMISIONES]]*0.21</f>
        <v>0</v>
      </c>
      <c r="P62" s="11"/>
      <c r="Q62" s="11"/>
      <c r="R62" s="11"/>
      <c r="Z62" s="21">
        <v>183.2</v>
      </c>
      <c r="AA62" s="21">
        <f>Tabla356813212939[[#This Row],[COMISIONES]]*0.21</f>
        <v>38.471999999999994</v>
      </c>
      <c r="AB62" s="21"/>
      <c r="AC62" s="21"/>
      <c r="AD62" s="21"/>
    </row>
    <row r="63" spans="2:30" x14ac:dyDescent="0.25">
      <c r="H63" s="11"/>
      <c r="I63" s="11">
        <f>Tabla3915233141[[#This Row],[COMISIONES]]*0.21</f>
        <v>0</v>
      </c>
      <c r="J63" s="11"/>
      <c r="K63" s="11"/>
      <c r="L63" s="11"/>
      <c r="N63" s="11"/>
      <c r="O63" s="11">
        <f>Tabla3510182636[[#This Row],[COMISIONES]]*0.21</f>
        <v>0</v>
      </c>
      <c r="P63" s="11"/>
      <c r="Q63" s="11"/>
      <c r="R63" s="11"/>
      <c r="Z63" s="21">
        <v>575.6</v>
      </c>
      <c r="AA63" s="21">
        <f>Tabla356813212939[[#This Row],[COMISIONES]]*0.21</f>
        <v>120.876</v>
      </c>
      <c r="AB63" s="21"/>
      <c r="AC63" s="21"/>
      <c r="AD63" s="21"/>
    </row>
    <row r="64" spans="2:30" x14ac:dyDescent="0.25">
      <c r="H64" s="11"/>
      <c r="I64" s="11">
        <f>Tabla3915233141[[#This Row],[COMISIONES]]*0.21</f>
        <v>0</v>
      </c>
      <c r="J64" s="11"/>
      <c r="K64" s="11"/>
      <c r="L64" s="11"/>
      <c r="N64" s="11"/>
      <c r="O64" s="11">
        <f>Tabla3510182636[[#This Row],[COMISIONES]]*0.21</f>
        <v>0</v>
      </c>
      <c r="P64" s="11"/>
      <c r="Q64" s="11"/>
      <c r="R64" s="11"/>
      <c r="T64" s="12" t="s">
        <v>2</v>
      </c>
      <c r="U64" s="13" t="s">
        <v>0</v>
      </c>
      <c r="V64" s="13" t="s">
        <v>1</v>
      </c>
      <c r="W64" s="13" t="s">
        <v>3</v>
      </c>
      <c r="X64" s="13" t="s">
        <v>4</v>
      </c>
      <c r="Z64" s="21">
        <v>96</v>
      </c>
      <c r="AA64" s="21">
        <f>Tabla356813212939[[#This Row],[COMISIONES]]*0.21</f>
        <v>20.16</v>
      </c>
      <c r="AB64" s="21"/>
      <c r="AC64" s="21"/>
      <c r="AD64" s="21"/>
    </row>
    <row r="65" spans="8:30" x14ac:dyDescent="0.25">
      <c r="H65" s="11"/>
      <c r="I65" s="11">
        <f>Tabla3915233141[[#This Row],[COMISIONES]]*0.21</f>
        <v>0</v>
      </c>
      <c r="J65" s="11"/>
      <c r="K65" s="11"/>
      <c r="L65" s="11"/>
      <c r="N65" s="11"/>
      <c r="O65" s="11">
        <f>Tabla3510182636[[#This Row],[COMISIONES]]*0.21</f>
        <v>0</v>
      </c>
      <c r="P65" s="11"/>
      <c r="Q65" s="11"/>
      <c r="R65" s="11"/>
      <c r="T65" s="11"/>
      <c r="U65" s="11">
        <f>Tabla61220283342[[#This Row],[COMISIONES]]*0.21</f>
        <v>0</v>
      </c>
      <c r="V65" s="11"/>
      <c r="W65" s="11"/>
      <c r="X65" s="11"/>
      <c r="Z65" s="21">
        <v>280</v>
      </c>
      <c r="AA65" s="21">
        <f>Tabla356813212939[[#This Row],[COMISIONES]]*0.21</f>
        <v>58.8</v>
      </c>
      <c r="AB65" s="21"/>
      <c r="AC65" s="21"/>
      <c r="AD65" s="21"/>
    </row>
    <row r="66" spans="8:30" x14ac:dyDescent="0.25">
      <c r="H66" s="11"/>
      <c r="I66" s="11">
        <f>Tabla3915233141[[#This Row],[COMISIONES]]*0.21</f>
        <v>0</v>
      </c>
      <c r="J66" s="11"/>
      <c r="K66" s="11"/>
      <c r="L66" s="11"/>
      <c r="N66" s="18"/>
      <c r="O66" s="11">
        <f>Tabla3510182636[[#This Row],[COMISIONES]]*0.21</f>
        <v>0</v>
      </c>
      <c r="P66" s="18"/>
      <c r="Q66" s="18"/>
      <c r="R66" s="18"/>
      <c r="T66" s="11"/>
      <c r="U66" s="11">
        <f>Tabla61220283342[[#This Row],[COMISIONES]]*0.21</f>
        <v>0</v>
      </c>
      <c r="V66" s="11"/>
      <c r="W66" s="11"/>
      <c r="X66" s="11"/>
      <c r="Z66" s="21">
        <v>333.68</v>
      </c>
      <c r="AA66" s="21">
        <f>Tabla356813212939[[#This Row],[COMISIONES]]*0.21</f>
        <v>70.072800000000001</v>
      </c>
      <c r="AB66" s="21"/>
      <c r="AC66" s="21"/>
      <c r="AD66" s="21"/>
    </row>
    <row r="67" spans="8:30" x14ac:dyDescent="0.25">
      <c r="H67" s="11"/>
      <c r="I67" s="11">
        <f>Tabla3915233141[[#This Row],[COMISIONES]]*0.21</f>
        <v>0</v>
      </c>
      <c r="J67" s="11"/>
      <c r="K67" s="11"/>
      <c r="L67" s="11"/>
      <c r="N67" s="18"/>
      <c r="O67" s="11">
        <f>Tabla3510182636[[#This Row],[COMISIONES]]*0.21</f>
        <v>0</v>
      </c>
      <c r="P67" s="18"/>
      <c r="Q67" s="18"/>
      <c r="R67" s="18"/>
      <c r="T67" s="11"/>
      <c r="U67" s="19">
        <f>Tabla61220283342[[#This Row],[COMISIONES]]*0.21</f>
        <v>0</v>
      </c>
      <c r="W67" s="1"/>
      <c r="Z67" s="21">
        <v>95.92</v>
      </c>
      <c r="AA67" s="21">
        <f>Tabla356813212939[[#This Row],[COMISIONES]]*0.21</f>
        <v>20.1432</v>
      </c>
      <c r="AB67" s="21"/>
      <c r="AC67" s="21"/>
      <c r="AD67" s="21"/>
    </row>
    <row r="68" spans="8:30" x14ac:dyDescent="0.25">
      <c r="H68" s="11"/>
      <c r="I68" s="11">
        <f>Tabla3915233141[[#This Row],[COMISIONES]]*0.21</f>
        <v>0</v>
      </c>
      <c r="J68" s="11"/>
      <c r="K68" s="11"/>
      <c r="L68" s="11"/>
      <c r="N68" s="18"/>
      <c r="O68" s="11">
        <f>Tabla3510182636[[#This Row],[COMISIONES]]*0.21</f>
        <v>0</v>
      </c>
      <c r="P68" s="18"/>
      <c r="Q68" s="18"/>
      <c r="R68" s="18"/>
      <c r="T68" s="11"/>
      <c r="U68" s="19">
        <f>Tabla61220283342[[#This Row],[COMISIONES]]*0.21</f>
        <v>0</v>
      </c>
      <c r="Z68" s="21">
        <v>343.36</v>
      </c>
      <c r="AA68" s="21">
        <f>Tabla356813212939[[#This Row],[COMISIONES]]*0.21</f>
        <v>72.105599999999995</v>
      </c>
      <c r="AB68" s="21"/>
      <c r="AC68" s="21"/>
      <c r="AD68" s="21"/>
    </row>
    <row r="69" spans="8:30" x14ac:dyDescent="0.25">
      <c r="H69" s="11"/>
      <c r="I69" s="11">
        <f>Tabla3915233141[[#This Row],[COMISIONES]]*0.21</f>
        <v>0</v>
      </c>
      <c r="J69" s="11"/>
      <c r="K69" s="11"/>
      <c r="L69" s="11"/>
      <c r="N69" s="18"/>
      <c r="O69" s="11">
        <f>Tabla3510182636[[#This Row],[COMISIONES]]*0.21</f>
        <v>0</v>
      </c>
      <c r="P69" s="18"/>
      <c r="Q69" s="18"/>
      <c r="R69" s="18"/>
      <c r="T69" s="11"/>
      <c r="U69" s="19">
        <f>Tabla61220283342[[#This Row],[COMISIONES]]*0.21</f>
        <v>0</v>
      </c>
      <c r="Z69" s="21">
        <v>121.2</v>
      </c>
      <c r="AA69" s="21">
        <f>Tabla356813212939[[#This Row],[COMISIONES]]*0.21</f>
        <v>25.451999999999998</v>
      </c>
      <c r="AB69" s="21"/>
      <c r="AC69" s="21"/>
      <c r="AD69" s="21"/>
    </row>
    <row r="70" spans="8:30" x14ac:dyDescent="0.25">
      <c r="H70" s="11"/>
      <c r="I70" s="11">
        <f>Tabla3915233141[[#This Row],[COMISIONES]]*0.21</f>
        <v>0</v>
      </c>
      <c r="J70" s="11"/>
      <c r="K70" s="11"/>
      <c r="L70" s="11"/>
      <c r="N70" s="18"/>
      <c r="O70" s="11">
        <f>Tabla3510182636[[#This Row],[COMISIONES]]*0.21</f>
        <v>0</v>
      </c>
      <c r="P70" s="18"/>
      <c r="Q70" s="18"/>
      <c r="R70" s="18"/>
      <c r="T70" s="11"/>
      <c r="U70" s="19">
        <f>Tabla61220283342[[#This Row],[COMISIONES]]*0.21</f>
        <v>0</v>
      </c>
      <c r="Z70" s="21">
        <v>267.52</v>
      </c>
      <c r="AA70" s="21">
        <f>Tabla356813212939[[#This Row],[COMISIONES]]*0.21</f>
        <v>56.179199999999994</v>
      </c>
      <c r="AB70" s="21">
        <v>2911.63</v>
      </c>
      <c r="AC70" s="21"/>
      <c r="AD70" s="21"/>
    </row>
    <row r="71" spans="8:30" x14ac:dyDescent="0.25">
      <c r="H71" s="11"/>
      <c r="I71" s="11">
        <f>Tabla3915233141[[#This Row],[COMISIONES]]*0.21</f>
        <v>0</v>
      </c>
      <c r="J71" s="11"/>
      <c r="K71" s="11"/>
      <c r="L71" s="11"/>
      <c r="N71" s="18"/>
      <c r="O71" s="11">
        <f>Tabla3510182636[[#This Row],[COMISIONES]]*0.21</f>
        <v>0</v>
      </c>
      <c r="P71" s="18"/>
      <c r="Q71" s="18"/>
      <c r="R71" s="18"/>
      <c r="T71" s="11"/>
      <c r="U71" s="19">
        <f>Tabla61220283342[[#This Row],[COMISIONES]]*0.21</f>
        <v>0</v>
      </c>
      <c r="Z71" s="21">
        <v>127.36</v>
      </c>
      <c r="AA71" s="21">
        <f>Tabla356813212939[[#This Row],[COMISIONES]]*0.21</f>
        <v>26.7456</v>
      </c>
      <c r="AB71" s="21">
        <v>6632.79</v>
      </c>
      <c r="AC71" s="21"/>
      <c r="AD71" s="21"/>
    </row>
    <row r="72" spans="8:30" x14ac:dyDescent="0.25">
      <c r="H72" s="11"/>
      <c r="I72" s="11">
        <f>Tabla3915233141[[#This Row],[COMISIONES]]*0.21</f>
        <v>0</v>
      </c>
      <c r="J72" s="11"/>
      <c r="K72" s="11"/>
      <c r="L72" s="11"/>
      <c r="N72" s="18"/>
      <c r="O72" s="11">
        <f>Tabla3510182636[[#This Row],[COMISIONES]]*0.21</f>
        <v>0</v>
      </c>
      <c r="P72" s="18"/>
      <c r="Q72" s="18"/>
      <c r="R72" s="18"/>
      <c r="T72" s="11"/>
      <c r="U72" s="19">
        <f>Tabla61220283342[[#This Row],[COMISIONES]]*0.21</f>
        <v>0</v>
      </c>
      <c r="Z72" s="21">
        <v>139.04</v>
      </c>
      <c r="AA72" s="21">
        <f>Tabla356813212939[[#This Row],[COMISIONES]]*0.21</f>
        <v>29.198399999999996</v>
      </c>
      <c r="AB72" s="21">
        <v>2774.29</v>
      </c>
      <c r="AC72" s="21"/>
      <c r="AD72" s="21"/>
    </row>
    <row r="73" spans="8:30" x14ac:dyDescent="0.25">
      <c r="H73" s="11"/>
      <c r="I73" s="11">
        <f>Tabla3915233141[[#This Row],[COMISIONES]]*0.21</f>
        <v>0</v>
      </c>
      <c r="J73" s="11"/>
      <c r="K73" s="11"/>
      <c r="L73" s="11"/>
      <c r="N73" s="18"/>
      <c r="O73" s="11">
        <f>Tabla3510182636[[#This Row],[COMISIONES]]*0.21</f>
        <v>0</v>
      </c>
      <c r="P73" s="18"/>
      <c r="Q73" s="18"/>
      <c r="R73" s="18"/>
      <c r="T73" s="11"/>
      <c r="U73" s="19">
        <f>Tabla61220283342[[#This Row],[COMISIONES]]*0.21</f>
        <v>0</v>
      </c>
      <c r="Z73" s="21">
        <v>3878.1</v>
      </c>
      <c r="AA73" s="21">
        <f>Tabla356813212939[[#This Row],[COMISIONES]]*0.21</f>
        <v>814.40099999999995</v>
      </c>
      <c r="AB73" s="21"/>
      <c r="AC73" s="21"/>
      <c r="AD73" s="21"/>
    </row>
    <row r="74" spans="8:30" x14ac:dyDescent="0.25">
      <c r="H74" s="11"/>
      <c r="I74" s="11">
        <f>Tabla3915233141[[#This Row],[COMISIONES]]*0.21</f>
        <v>0</v>
      </c>
      <c r="J74" s="11"/>
      <c r="K74" s="11"/>
      <c r="L74" s="11"/>
      <c r="N74" s="18"/>
      <c r="O74" s="11">
        <f>Tabla3510182636[[#This Row],[COMISIONES]]*0.21</f>
        <v>0</v>
      </c>
      <c r="P74" s="18"/>
      <c r="Q74" s="18"/>
      <c r="R74" s="18"/>
      <c r="T74" s="11"/>
      <c r="U74" s="19">
        <f>Tabla61220283342[[#This Row],[COMISIONES]]*0.21</f>
        <v>0</v>
      </c>
      <c r="Z74" s="21">
        <v>549</v>
      </c>
      <c r="AA74" s="21">
        <f>Tabla356813212939[[#This Row],[COMISIONES]]*0.21</f>
        <v>115.28999999999999</v>
      </c>
      <c r="AB74" s="21"/>
      <c r="AC74" s="21"/>
      <c r="AD74" s="21"/>
    </row>
    <row r="75" spans="8:30" x14ac:dyDescent="0.25">
      <c r="H75" s="11"/>
      <c r="I75" s="11">
        <f>Tabla3915233141[[#This Row],[COMISIONES]]*0.21</f>
        <v>0</v>
      </c>
      <c r="J75" s="11"/>
      <c r="K75" s="11"/>
      <c r="L75" s="11"/>
      <c r="N75" s="18"/>
      <c r="O75" s="11">
        <f>Tabla3510182636[[#This Row],[COMISIONES]]*0.21</f>
        <v>0</v>
      </c>
      <c r="P75" s="18"/>
      <c r="Q75" s="18"/>
      <c r="R75" s="18"/>
      <c r="U75" s="19">
        <f>Tabla61220283342[[#This Row],[COMISIONES]]*0.21</f>
        <v>0</v>
      </c>
      <c r="Z75" s="21">
        <v>2447.2800000000002</v>
      </c>
      <c r="AA75" s="21">
        <f>Tabla356813212939[[#This Row],[COMISIONES]]*0.21</f>
        <v>513.92880000000002</v>
      </c>
      <c r="AB75" s="21"/>
      <c r="AC75" s="21"/>
      <c r="AD75" s="21"/>
    </row>
    <row r="76" spans="8:30" x14ac:dyDescent="0.25">
      <c r="H76" s="11"/>
      <c r="I76" s="11">
        <f>Tabla3915233141[[#This Row],[COMISIONES]]*0.21</f>
        <v>0</v>
      </c>
      <c r="J76" s="11"/>
      <c r="K76" s="11"/>
      <c r="L76" s="11"/>
      <c r="N76" s="18"/>
      <c r="O76" s="11">
        <f>Tabla3510182636[[#This Row],[COMISIONES]]*0.21</f>
        <v>0</v>
      </c>
      <c r="P76" s="18"/>
      <c r="Q76" s="18"/>
      <c r="R76" s="18"/>
      <c r="U76" s="19">
        <f>Tabla61220283342[[#This Row],[COMISIONES]]*0.21</f>
        <v>0</v>
      </c>
      <c r="Z76" s="21">
        <v>2227.94</v>
      </c>
      <c r="AA76" s="21">
        <f>Tabla356813212939[[#This Row],[COMISIONES]]*0.21</f>
        <v>467.86739999999998</v>
      </c>
      <c r="AB76" s="21"/>
      <c r="AC76" s="21"/>
      <c r="AD76" s="21"/>
    </row>
    <row r="77" spans="8:30" x14ac:dyDescent="0.25">
      <c r="H77" s="11"/>
      <c r="I77" s="11">
        <f>Tabla3915233141[[#This Row],[COMISIONES]]*0.21</f>
        <v>0</v>
      </c>
      <c r="J77" s="11"/>
      <c r="K77" s="11"/>
      <c r="L77" s="11"/>
      <c r="N77" s="18"/>
      <c r="O77" s="11">
        <f>Tabla3510182636[[#This Row],[COMISIONES]]*0.21</f>
        <v>0</v>
      </c>
      <c r="P77" s="18"/>
      <c r="Q77" s="18"/>
      <c r="R77" s="18"/>
      <c r="U77" s="19">
        <f>Tabla61220283342[[#This Row],[COMISIONES]]*0.21</f>
        <v>0</v>
      </c>
      <c r="Z77" s="21">
        <v>1439.82</v>
      </c>
      <c r="AA77" s="21">
        <f>Tabla356813212939[[#This Row],[COMISIONES]]*0.21</f>
        <v>302.36219999999997</v>
      </c>
      <c r="AB77" s="21"/>
      <c r="AC77" s="21"/>
      <c r="AD77" s="21"/>
    </row>
    <row r="78" spans="8:30" x14ac:dyDescent="0.25">
      <c r="H78" s="11"/>
      <c r="I78" s="11">
        <f>Tabla3915233141[[#This Row],[COMISIONES]]*0.21</f>
        <v>0</v>
      </c>
      <c r="J78" s="11"/>
      <c r="K78" s="11"/>
      <c r="L78" s="11"/>
      <c r="N78" s="18"/>
      <c r="O78" s="11">
        <f>Tabla3510182636[[#This Row],[COMISIONES]]*0.21</f>
        <v>0</v>
      </c>
      <c r="P78" s="18"/>
      <c r="Q78" s="18"/>
      <c r="R78" s="18"/>
      <c r="U78" s="19">
        <f>Tabla61220283342[[#This Row],[COMISIONES]]*0.21</f>
        <v>0</v>
      </c>
      <c r="Z78" s="21">
        <v>482.85</v>
      </c>
      <c r="AA78" s="21">
        <f>Tabla356813212939[[#This Row],[COMISIONES]]*0.21</f>
        <v>101.3985</v>
      </c>
      <c r="AB78" s="21"/>
      <c r="AC78" s="21"/>
      <c r="AD78" s="21"/>
    </row>
    <row r="79" spans="8:30" x14ac:dyDescent="0.25">
      <c r="H79" s="11"/>
      <c r="I79" s="11">
        <f>Tabla3915233141[[#This Row],[COMISIONES]]*0.21</f>
        <v>0</v>
      </c>
      <c r="J79" s="11"/>
      <c r="K79" s="11"/>
      <c r="L79" s="11"/>
      <c r="N79" s="18"/>
      <c r="O79" s="11">
        <f>Tabla3510182636[[#This Row],[COMISIONES]]*0.21</f>
        <v>0</v>
      </c>
      <c r="P79" s="18"/>
      <c r="Q79" s="18"/>
      <c r="R79" s="18"/>
      <c r="U79" s="19">
        <f>Tabla61220283342[[#This Row],[COMISIONES]]*0.21</f>
        <v>0</v>
      </c>
      <c r="Z79" s="21">
        <v>4523.58</v>
      </c>
      <c r="AA79" s="21">
        <f>Tabla356813212939[[#This Row],[COMISIONES]]*0.21</f>
        <v>949.95179999999993</v>
      </c>
      <c r="AB79" s="21"/>
      <c r="AC79" s="21"/>
      <c r="AD79" s="21"/>
    </row>
    <row r="80" spans="8:30" x14ac:dyDescent="0.25">
      <c r="H80" s="18"/>
      <c r="I80" s="18">
        <f>Tabla3915233141[[#This Row],[COMISIONES]]*0.21</f>
        <v>0</v>
      </c>
      <c r="J80" s="18"/>
      <c r="K80" s="18"/>
      <c r="L80" s="18"/>
      <c r="N80" s="18"/>
      <c r="O80" s="11">
        <f>Tabla3510182636[[#This Row],[COMISIONES]]*0.21</f>
        <v>0</v>
      </c>
      <c r="P80" s="18"/>
      <c r="Q80" s="18"/>
      <c r="R80" s="18"/>
      <c r="U80" s="19">
        <f>Tabla61220283342[[#This Row],[COMISIONES]]*0.21</f>
        <v>0</v>
      </c>
      <c r="Z80" s="21">
        <v>1724.72</v>
      </c>
      <c r="AA80" s="21">
        <f>Tabla356813212939[[#This Row],[COMISIONES]]*0.21</f>
        <v>362.19119999999998</v>
      </c>
      <c r="AB80" s="21"/>
      <c r="AC80" s="21"/>
      <c r="AD80" s="21"/>
    </row>
    <row r="81" spans="8:30" x14ac:dyDescent="0.25">
      <c r="H81" s="18"/>
      <c r="I81" s="18">
        <f>Tabla3915233141[[#This Row],[COMISIONES]]*0.21</f>
        <v>0</v>
      </c>
      <c r="J81" s="18"/>
      <c r="K81" s="18"/>
      <c r="L81" s="18"/>
      <c r="N81" s="18"/>
      <c r="O81" s="11">
        <f>Tabla3510182636[[#This Row],[COMISIONES]]*0.21</f>
        <v>0</v>
      </c>
      <c r="P81" s="18"/>
      <c r="Q81" s="18"/>
      <c r="R81" s="18"/>
      <c r="U81" s="19">
        <f>Tabla61220283342[[#This Row],[COMISIONES]]*0.21</f>
        <v>0</v>
      </c>
      <c r="Z81" s="21">
        <v>153.9</v>
      </c>
      <c r="AA81" s="21">
        <f>Tabla356813212939[[#This Row],[COMISIONES]]*0.21</f>
        <v>32.319000000000003</v>
      </c>
      <c r="AB81" s="21"/>
      <c r="AC81" s="21"/>
      <c r="AD81" s="21"/>
    </row>
    <row r="82" spans="8:30" x14ac:dyDescent="0.25">
      <c r="H82" s="18"/>
      <c r="I82" s="18">
        <f>Tabla3915233141[[#This Row],[COMISIONES]]*0.21</f>
        <v>0</v>
      </c>
      <c r="J82" s="18"/>
      <c r="K82" s="18"/>
      <c r="L82" s="18"/>
      <c r="N82" s="18"/>
      <c r="O82" s="11">
        <f>Tabla3510182636[[#This Row],[COMISIONES]]*0.21</f>
        <v>0</v>
      </c>
      <c r="P82" s="18"/>
      <c r="Q82" s="18"/>
      <c r="R82" s="18"/>
      <c r="U82" s="19">
        <f>Tabla61220283342[[#This Row],[COMISIONES]]*0.21</f>
        <v>0</v>
      </c>
      <c r="Z82" s="21">
        <v>5745.24</v>
      </c>
      <c r="AA82" s="21">
        <f>Tabla356813212939[[#This Row],[COMISIONES]]*0.21</f>
        <v>1206.5003999999999</v>
      </c>
      <c r="AB82" s="21">
        <v>4081.18</v>
      </c>
      <c r="AC82" s="21"/>
      <c r="AD82" s="21"/>
    </row>
    <row r="83" spans="8:30" x14ac:dyDescent="0.25">
      <c r="H83" s="18"/>
      <c r="I83" s="18">
        <f>Tabla3915233141[[#This Row],[COMISIONES]]*0.21</f>
        <v>0</v>
      </c>
      <c r="J83" s="18"/>
      <c r="K83" s="18"/>
      <c r="L83" s="18"/>
      <c r="N83" s="18"/>
      <c r="O83" s="11">
        <f>Tabla3510182636[[#This Row],[COMISIONES]]*0.21</f>
        <v>0</v>
      </c>
      <c r="P83" s="18"/>
      <c r="Q83" s="18"/>
      <c r="R83" s="18"/>
      <c r="U83" s="19">
        <f>Tabla61220283342[[#This Row],[COMISIONES]]*0.21</f>
        <v>0</v>
      </c>
      <c r="Z83" s="21">
        <v>2337.79</v>
      </c>
      <c r="AA83" s="21">
        <f>Tabla356813212939[[#This Row],[COMISIONES]]*0.21</f>
        <v>490.93589999999995</v>
      </c>
      <c r="AB83" s="21">
        <v>1544.64</v>
      </c>
      <c r="AC83" s="21"/>
      <c r="AD83" s="21"/>
    </row>
    <row r="84" spans="8:30" x14ac:dyDescent="0.25">
      <c r="H84" s="18"/>
      <c r="I84" s="18">
        <f>Tabla3915233141[[#This Row],[COMISIONES]]*0.21</f>
        <v>0</v>
      </c>
      <c r="J84" s="18"/>
      <c r="K84" s="18"/>
      <c r="L84" s="18"/>
      <c r="N84" s="18"/>
      <c r="O84" s="11">
        <f>Tabla3510182636[[#This Row],[COMISIONES]]*0.21</f>
        <v>0</v>
      </c>
      <c r="P84" s="18"/>
      <c r="Q84" s="18"/>
      <c r="R84" s="18"/>
      <c r="U84" s="19">
        <f>Tabla61220283342[[#This Row],[COMISIONES]]*0.21</f>
        <v>0</v>
      </c>
      <c r="Z84" s="21">
        <v>5961.24</v>
      </c>
      <c r="AA84" s="21">
        <f>Tabla356813212939[[#This Row],[COMISIONES]]*0.21</f>
        <v>1251.8603999999998</v>
      </c>
      <c r="AB84" s="21">
        <v>3562</v>
      </c>
      <c r="AC84" s="21"/>
      <c r="AD84" s="21"/>
    </row>
    <row r="85" spans="8:30" x14ac:dyDescent="0.25">
      <c r="H85" s="18"/>
      <c r="I85" s="18">
        <f>Tabla3915233141[[#This Row],[COMISIONES]]*0.21</f>
        <v>0</v>
      </c>
      <c r="J85" s="18"/>
      <c r="K85" s="18"/>
      <c r="L85" s="18"/>
      <c r="N85" s="18"/>
      <c r="O85" s="11">
        <f>Tabla3510182636[[#This Row],[COMISIONES]]*0.21</f>
        <v>0</v>
      </c>
      <c r="P85" s="18"/>
      <c r="Q85" s="18"/>
      <c r="R85" s="18"/>
      <c r="U85" s="19">
        <f>Tabla61220283342[[#This Row],[COMISIONES]]*0.21</f>
        <v>0</v>
      </c>
      <c r="Z85" s="21">
        <v>4899.18</v>
      </c>
      <c r="AA85" s="21">
        <f>Tabla356813212939[[#This Row],[COMISIONES]]*0.21</f>
        <v>1028.8278</v>
      </c>
      <c r="AB85" s="21">
        <v>6080.45</v>
      </c>
      <c r="AC85" s="21"/>
      <c r="AD85" s="21"/>
    </row>
    <row r="86" spans="8:30" x14ac:dyDescent="0.25">
      <c r="H86" s="18"/>
      <c r="I86" s="18">
        <f>Tabla3915233141[[#This Row],[COMISIONES]]*0.21</f>
        <v>0</v>
      </c>
      <c r="J86" s="18"/>
      <c r="K86" s="18"/>
      <c r="L86" s="18"/>
      <c r="N86" s="18"/>
      <c r="O86" s="11">
        <f>Tabla3510182636[[#This Row],[COMISIONES]]*0.21</f>
        <v>0</v>
      </c>
      <c r="P86" s="18"/>
      <c r="Q86" s="18"/>
      <c r="R86" s="18"/>
      <c r="U86" s="19">
        <f>Tabla61220283342[[#This Row],[COMISIONES]]*0.21</f>
        <v>0</v>
      </c>
      <c r="Z86" s="21">
        <v>5518.26</v>
      </c>
      <c r="AA86" s="21">
        <f>Tabla356813212939[[#This Row],[COMISIONES]]*0.21</f>
        <v>1158.8345999999999</v>
      </c>
      <c r="AB86" s="21"/>
      <c r="AC86" s="21"/>
      <c r="AD86" s="21"/>
    </row>
    <row r="87" spans="8:30" x14ac:dyDescent="0.25">
      <c r="H87" s="18"/>
      <c r="I87" s="18">
        <f>Tabla3915233141[[#This Row],[COMISIONES]]*0.21</f>
        <v>0</v>
      </c>
      <c r="J87" s="18"/>
      <c r="K87" s="18"/>
      <c r="L87" s="18"/>
      <c r="N87" s="18"/>
      <c r="O87" s="11">
        <f>Tabla3510182636[[#This Row],[COMISIONES]]*0.21</f>
        <v>0</v>
      </c>
      <c r="P87" s="18"/>
      <c r="Q87" s="18"/>
      <c r="R87" s="18"/>
      <c r="U87" s="19">
        <f>Tabla61220283342[[#This Row],[COMISIONES]]*0.21</f>
        <v>0</v>
      </c>
      <c r="Z87" s="21">
        <v>432</v>
      </c>
      <c r="AA87" s="21">
        <f>Tabla356813212939[[#This Row],[COMISIONES]]*0.21</f>
        <v>90.72</v>
      </c>
      <c r="AB87" s="21"/>
      <c r="AC87" s="21"/>
      <c r="AD87" s="21"/>
    </row>
    <row r="88" spans="8:30" x14ac:dyDescent="0.25">
      <c r="H88" s="18"/>
      <c r="I88" s="18">
        <f>Tabla3915233141[[#This Row],[COMISIONES]]*0.21</f>
        <v>0</v>
      </c>
      <c r="J88" s="18"/>
      <c r="K88" s="18"/>
      <c r="L88" s="18"/>
      <c r="N88" s="18"/>
      <c r="O88" s="11">
        <f>Tabla3510182636[[#This Row],[COMISIONES]]*0.21</f>
        <v>0</v>
      </c>
      <c r="P88" s="18"/>
      <c r="Q88" s="18"/>
      <c r="R88" s="18"/>
      <c r="U88" s="19">
        <f>Tabla61220283342[[#This Row],[COMISIONES]]*0.21</f>
        <v>0</v>
      </c>
      <c r="Z88" s="21">
        <v>3362.54</v>
      </c>
      <c r="AA88" s="21">
        <f>Tabla356813212939[[#This Row],[COMISIONES]]*0.21</f>
        <v>706.13339999999994</v>
      </c>
      <c r="AB88" s="21"/>
      <c r="AC88" s="21"/>
      <c r="AD88" s="21"/>
    </row>
    <row r="89" spans="8:30" x14ac:dyDescent="0.25">
      <c r="H89" s="18"/>
      <c r="I89" s="18">
        <f>Tabla3915233141[[#This Row],[COMISIONES]]*0.21</f>
        <v>0</v>
      </c>
      <c r="J89" s="18"/>
      <c r="K89" s="18"/>
      <c r="L89" s="18"/>
      <c r="N89" s="18"/>
      <c r="O89" s="11">
        <f>Tabla3510182636[[#This Row],[COMISIONES]]*0.21</f>
        <v>0</v>
      </c>
      <c r="P89" s="18"/>
      <c r="Q89" s="18"/>
      <c r="R89" s="18"/>
      <c r="U89" s="19">
        <f>Tabla61220283342[[#This Row],[COMISIONES]]*0.21</f>
        <v>0</v>
      </c>
      <c r="Z89" s="21">
        <v>2049.17</v>
      </c>
      <c r="AA89" s="21">
        <f>Tabla356813212939[[#This Row],[COMISIONES]]*0.21</f>
        <v>430.32569999999998</v>
      </c>
      <c r="AB89" s="21"/>
      <c r="AC89" s="21"/>
      <c r="AD89" s="21"/>
    </row>
    <row r="90" spans="8:30" x14ac:dyDescent="0.25">
      <c r="H90" s="18"/>
      <c r="I90" s="18">
        <f>Tabla3915233141[[#This Row],[COMISIONES]]*0.21</f>
        <v>0</v>
      </c>
      <c r="J90" s="18"/>
      <c r="K90" s="18"/>
      <c r="L90" s="18"/>
      <c r="N90" s="18"/>
      <c r="O90" s="11">
        <f>Tabla3510182636[[#This Row],[COMISIONES]]*0.21</f>
        <v>0</v>
      </c>
      <c r="P90" s="18"/>
      <c r="Q90" s="18"/>
      <c r="R90" s="18"/>
      <c r="U90" s="19">
        <f>Tabla61220283342[[#This Row],[COMISIONES]]*0.21</f>
        <v>0</v>
      </c>
      <c r="Z90" s="21">
        <v>1710.9</v>
      </c>
      <c r="AA90" s="21">
        <f>Tabla356813212939[[#This Row],[COMISIONES]]*0.21</f>
        <v>359.28899999999999</v>
      </c>
      <c r="AB90" s="21"/>
      <c r="AC90" s="21"/>
      <c r="AD90" s="21"/>
    </row>
    <row r="91" spans="8:30" x14ac:dyDescent="0.25">
      <c r="H91" s="18"/>
      <c r="I91" s="18">
        <f>Tabla3915233141[[#This Row],[COMISIONES]]*0.21</f>
        <v>0</v>
      </c>
      <c r="J91" s="18"/>
      <c r="K91" s="18"/>
      <c r="L91" s="18"/>
      <c r="N91" s="18"/>
      <c r="O91" s="11">
        <f>Tabla3510182636[[#This Row],[COMISIONES]]*0.21</f>
        <v>0</v>
      </c>
      <c r="P91" s="18"/>
      <c r="Q91" s="18"/>
      <c r="R91" s="18"/>
      <c r="U91" s="19">
        <f>Tabla61220283342[[#This Row],[COMISIONES]]*0.21</f>
        <v>0</v>
      </c>
      <c r="Z91" s="21">
        <v>3104.54</v>
      </c>
      <c r="AA91" s="21">
        <f>Tabla356813212939[[#This Row],[COMISIONES]]*0.21</f>
        <v>651.95339999999999</v>
      </c>
      <c r="AB91" s="21">
        <v>1156.46</v>
      </c>
      <c r="AC91" s="21"/>
      <c r="AD91" s="21"/>
    </row>
    <row r="92" spans="8:30" x14ac:dyDescent="0.25">
      <c r="H92" s="21"/>
      <c r="I92" s="21">
        <f>Tabla3915233141[[#This Row],[COMISIONES]]*0.21</f>
        <v>0</v>
      </c>
      <c r="J92" s="21"/>
      <c r="K92" s="21"/>
      <c r="L92" s="21"/>
      <c r="N92" s="18"/>
      <c r="O92" s="11">
        <f>Tabla3510182636[[#This Row],[COMISIONES]]*0.21</f>
        <v>0</v>
      </c>
      <c r="P92" s="18"/>
      <c r="Q92" s="18"/>
      <c r="R92" s="18"/>
      <c r="U92" s="19">
        <f>Tabla61220283342[[#This Row],[COMISIONES]]*0.21</f>
        <v>0</v>
      </c>
      <c r="Z92" s="21">
        <v>736.74</v>
      </c>
      <c r="AA92" s="21">
        <f>Tabla356813212939[[#This Row],[COMISIONES]]*0.21</f>
        <v>154.71539999999999</v>
      </c>
      <c r="AB92" s="21">
        <v>3594.97</v>
      </c>
      <c r="AC92" s="21"/>
      <c r="AD92" s="21"/>
    </row>
    <row r="93" spans="8:30" x14ac:dyDescent="0.25">
      <c r="H93" s="21"/>
      <c r="I93" s="21">
        <f>Tabla3915233141[[#This Row],[COMISIONES]]*0.21</f>
        <v>0</v>
      </c>
      <c r="J93" s="21"/>
      <c r="K93" s="21"/>
      <c r="L93" s="21"/>
      <c r="N93" s="18"/>
      <c r="O93" s="11">
        <f>Tabla3510182636[[#This Row],[COMISIONES]]*0.21</f>
        <v>0</v>
      </c>
      <c r="P93" s="18"/>
      <c r="Q93" s="18"/>
      <c r="R93" s="18"/>
      <c r="T93" s="17">
        <f>SUBTOTAL(109,Tabla61220283342[COMISIONES])</f>
        <v>0</v>
      </c>
      <c r="U93" s="17">
        <f>SUBTOTAL(109,Tabla61220283342[IVA 21])</f>
        <v>0</v>
      </c>
      <c r="V93" s="17">
        <f>SUBTOTAL(109,Tabla61220283342[IVA 10,5])</f>
        <v>0</v>
      </c>
      <c r="W93" s="17">
        <f>SUBTOTAL(109,Tabla61220283342[Ret IIBB Caba])</f>
        <v>0</v>
      </c>
      <c r="X93" s="17">
        <f>SUBTOTAL(109,Tabla61220283342[PERC IVA])</f>
        <v>0</v>
      </c>
      <c r="Z93" s="21">
        <v>1140.92</v>
      </c>
      <c r="AA93" s="21">
        <f>Tabla356813212939[[#This Row],[COMISIONES]]*0.21</f>
        <v>239.5932</v>
      </c>
      <c r="AB93" s="21"/>
      <c r="AC93" s="21"/>
      <c r="AD93" s="21"/>
    </row>
    <row r="94" spans="8:30" x14ac:dyDescent="0.25">
      <c r="H94" s="21"/>
      <c r="I94" s="21">
        <f>Tabla3915233141[[#This Row],[COMISIONES]]*0.21</f>
        <v>0</v>
      </c>
      <c r="J94" s="21"/>
      <c r="K94" s="21"/>
      <c r="L94" s="21"/>
      <c r="N94" s="18"/>
      <c r="O94" s="11">
        <f>Tabla3510182636[[#This Row],[COMISIONES]]*0.21</f>
        <v>0</v>
      </c>
      <c r="P94" s="18"/>
      <c r="Q94" s="18"/>
      <c r="R94" s="18"/>
      <c r="Z94" s="21">
        <v>540</v>
      </c>
      <c r="AA94" s="21">
        <f>Tabla356813212939[[#This Row],[COMISIONES]]*0.21</f>
        <v>113.39999999999999</v>
      </c>
      <c r="AB94" s="21"/>
      <c r="AC94" s="21"/>
      <c r="AD94" s="21"/>
    </row>
    <row r="95" spans="8:30" x14ac:dyDescent="0.25">
      <c r="H95" s="21"/>
      <c r="I95" s="21">
        <f>Tabla3915233141[[#This Row],[COMISIONES]]*0.21</f>
        <v>0</v>
      </c>
      <c r="J95" s="21"/>
      <c r="K95" s="21"/>
      <c r="L95" s="21"/>
      <c r="N95" s="18"/>
      <c r="O95" s="11">
        <f>Tabla3510182636[[#This Row],[COMISIONES]]*0.21</f>
        <v>0</v>
      </c>
      <c r="P95" s="18"/>
      <c r="Q95" s="18"/>
      <c r="R95" s="18"/>
      <c r="Z95" s="21">
        <v>3641.04</v>
      </c>
      <c r="AA95" s="21">
        <f>Tabla356813212939[[#This Row],[COMISIONES]]*0.21</f>
        <v>764.61839999999995</v>
      </c>
      <c r="AB95" s="21"/>
      <c r="AC95" s="21"/>
      <c r="AD95" s="21"/>
    </row>
    <row r="96" spans="8:30" x14ac:dyDescent="0.25">
      <c r="H96" s="21"/>
      <c r="I96" s="21">
        <f>Tabla3915233141[[#This Row],[COMISIONES]]*0.21</f>
        <v>0</v>
      </c>
      <c r="J96" s="21"/>
      <c r="K96" s="21"/>
      <c r="L96" s="21"/>
      <c r="N96" s="18"/>
      <c r="O96" s="11">
        <f>Tabla3510182636[[#This Row],[COMISIONES]]*0.21</f>
        <v>0</v>
      </c>
      <c r="P96" s="18"/>
      <c r="Q96" s="18"/>
      <c r="R96" s="18"/>
      <c r="Z96" s="21">
        <v>2221.1</v>
      </c>
      <c r="AA96" s="21">
        <f>Tabla356813212939[[#This Row],[COMISIONES]]*0.21</f>
        <v>466.43099999999998</v>
      </c>
      <c r="AB96" s="21"/>
      <c r="AC96" s="21"/>
      <c r="AD96" s="21"/>
    </row>
    <row r="97" spans="8:30" x14ac:dyDescent="0.25">
      <c r="H97" s="21"/>
      <c r="I97" s="21">
        <f>Tabla3915233141[[#This Row],[COMISIONES]]*0.21</f>
        <v>0</v>
      </c>
      <c r="J97" s="21"/>
      <c r="K97" s="21"/>
      <c r="L97" s="21"/>
      <c r="N97" s="18"/>
      <c r="O97" s="11">
        <f>Tabla3510182636[[#This Row],[COMISIONES]]*0.21</f>
        <v>0</v>
      </c>
      <c r="P97" s="18"/>
      <c r="Q97" s="18"/>
      <c r="R97" s="18"/>
      <c r="Z97" s="21">
        <v>6792.37</v>
      </c>
      <c r="AA97" s="21">
        <f>Tabla356813212939[[#This Row],[COMISIONES]]*0.21</f>
        <v>1426.3977</v>
      </c>
      <c r="AB97" s="21"/>
      <c r="AC97" s="21"/>
      <c r="AD97" s="21"/>
    </row>
    <row r="98" spans="8:30" x14ac:dyDescent="0.25">
      <c r="H98" s="21"/>
      <c r="I98" s="21">
        <f>Tabla3915233141[[#This Row],[COMISIONES]]*0.21</f>
        <v>0</v>
      </c>
      <c r="J98" s="21"/>
      <c r="K98" s="21"/>
      <c r="L98" s="21"/>
      <c r="N98" s="18"/>
      <c r="O98" s="11">
        <f>Tabla3510182636[[#This Row],[COMISIONES]]*0.21</f>
        <v>0</v>
      </c>
      <c r="P98" s="18"/>
      <c r="Q98" s="18"/>
      <c r="R98" s="18"/>
      <c r="Z98" s="21">
        <v>561.5</v>
      </c>
      <c r="AA98" s="21">
        <f>Tabla356813212939[[#This Row],[COMISIONES]]*0.21</f>
        <v>117.91499999999999</v>
      </c>
      <c r="AB98" s="21"/>
      <c r="AC98" s="21"/>
      <c r="AD98" s="21"/>
    </row>
    <row r="99" spans="8:30" x14ac:dyDescent="0.25">
      <c r="H99" s="21"/>
      <c r="I99" s="21">
        <f>Tabla3915233141[[#This Row],[COMISIONES]]*0.21</f>
        <v>0</v>
      </c>
      <c r="J99" s="21"/>
      <c r="K99" s="21"/>
      <c r="L99" s="21"/>
      <c r="N99" s="18"/>
      <c r="O99" s="11">
        <f>Tabla3510182636[[#This Row],[COMISIONES]]*0.21</f>
        <v>0</v>
      </c>
      <c r="P99" s="18"/>
      <c r="Q99" s="18"/>
      <c r="R99" s="18"/>
      <c r="Z99" s="21">
        <v>760.19</v>
      </c>
      <c r="AA99" s="21">
        <f>Tabla356813212939[[#This Row],[COMISIONES]]*0.21</f>
        <v>159.63990000000001</v>
      </c>
      <c r="AB99" s="21"/>
      <c r="AC99" s="21"/>
      <c r="AD99" s="21"/>
    </row>
    <row r="100" spans="8:30" x14ac:dyDescent="0.25">
      <c r="H100" s="21"/>
      <c r="I100" s="21">
        <f>Tabla3915233141[[#This Row],[COMISIONES]]*0.21</f>
        <v>0</v>
      </c>
      <c r="J100" s="21"/>
      <c r="K100" s="21"/>
      <c r="L100" s="21"/>
      <c r="N100" s="18"/>
      <c r="O100" s="11">
        <f>Tabla3510182636[[#This Row],[COMISIONES]]*0.21</f>
        <v>0</v>
      </c>
      <c r="P100" s="18"/>
      <c r="Q100" s="18"/>
      <c r="R100" s="18"/>
      <c r="Z100" s="21">
        <v>1116.9000000000001</v>
      </c>
      <c r="AA100" s="21">
        <f>Tabla356813212939[[#This Row],[COMISIONES]]*0.21</f>
        <v>234.54900000000001</v>
      </c>
      <c r="AB100" s="21"/>
      <c r="AC100" s="21"/>
      <c r="AD100" s="21"/>
    </row>
    <row r="101" spans="8:30" x14ac:dyDescent="0.25">
      <c r="H101" s="20">
        <f>SUBTOTAL(109,Tabla3915233141[COMISIONES])</f>
        <v>0</v>
      </c>
      <c r="I101" s="20">
        <f>SUBTOTAL(109,Tabla3915233141[IVA 21])</f>
        <v>0</v>
      </c>
      <c r="J101" s="20">
        <f>SUBTOTAL(109,Tabla3915233141[IVA 10,5])</f>
        <v>0</v>
      </c>
      <c r="K101" s="20">
        <f>SUBTOTAL(109,Tabla3915233141[Ret IIBB Caba])</f>
        <v>0</v>
      </c>
      <c r="L101" s="20">
        <f>SUBTOTAL(109,Tabla3915233141[PERC IVA])</f>
        <v>0</v>
      </c>
      <c r="N101" s="18"/>
      <c r="O101" s="11">
        <f>Tabla3510182636[[#This Row],[COMISIONES]]*0.21</f>
        <v>0</v>
      </c>
      <c r="P101" s="18"/>
      <c r="Q101" s="18"/>
      <c r="R101" s="18"/>
      <c r="Z101" s="21">
        <v>948.6</v>
      </c>
      <c r="AA101" s="21">
        <f>Tabla356813212939[[#This Row],[COMISIONES]]*0.21</f>
        <v>199.20599999999999</v>
      </c>
      <c r="AB101" s="21"/>
      <c r="AC101" s="21"/>
      <c r="AD101" s="21"/>
    </row>
    <row r="102" spans="8:30" x14ac:dyDescent="0.25">
      <c r="N102" s="18"/>
      <c r="O102" s="11">
        <f>Tabla3510182636[[#This Row],[COMISIONES]]*0.21</f>
        <v>0</v>
      </c>
      <c r="P102" s="18"/>
      <c r="Q102" s="18"/>
      <c r="R102" s="18"/>
      <c r="Z102" s="21">
        <v>3194.8</v>
      </c>
      <c r="AA102" s="21">
        <f>Tabla356813212939[[#This Row],[COMISIONES]]*0.21</f>
        <v>670.90800000000002</v>
      </c>
      <c r="AB102" s="21"/>
      <c r="AC102" s="21"/>
      <c r="AD102" s="21"/>
    </row>
    <row r="103" spans="8:30" x14ac:dyDescent="0.25">
      <c r="N103" s="18"/>
      <c r="O103" s="11">
        <f>Tabla3510182636[[#This Row],[COMISIONES]]*0.21</f>
        <v>0</v>
      </c>
      <c r="P103" s="18"/>
      <c r="Q103" s="18"/>
      <c r="R103" s="18"/>
      <c r="Z103" s="21">
        <v>5152.95</v>
      </c>
      <c r="AA103" s="21">
        <f>Tabla356813212939[[#This Row],[COMISIONES]]*0.21</f>
        <v>1082.1195</v>
      </c>
      <c r="AB103" s="21">
        <v>2974.62</v>
      </c>
      <c r="AC103" s="21"/>
      <c r="AD103" s="21"/>
    </row>
    <row r="104" spans="8:30" x14ac:dyDescent="0.25">
      <c r="N104" s="18"/>
      <c r="O104" s="11">
        <f>Tabla3510182636[[#This Row],[COMISIONES]]*0.21</f>
        <v>0</v>
      </c>
      <c r="P104" s="18"/>
      <c r="Q104" s="18"/>
      <c r="R104" s="18"/>
      <c r="Z104" s="21">
        <v>1130.4000000000001</v>
      </c>
      <c r="AA104" s="21">
        <f>Tabla356813212939[[#This Row],[COMISIONES]]*0.21</f>
        <v>237.38400000000001</v>
      </c>
      <c r="AB104" s="21">
        <v>5961.66</v>
      </c>
      <c r="AC104" s="21"/>
      <c r="AD104" s="21"/>
    </row>
    <row r="105" spans="8:30" x14ac:dyDescent="0.25">
      <c r="N105" s="18"/>
      <c r="O105" s="11">
        <f>Tabla3510182636[[#This Row],[COMISIONES]]*0.21</f>
        <v>0</v>
      </c>
      <c r="P105" s="18"/>
      <c r="Q105" s="18"/>
      <c r="R105" s="18"/>
      <c r="Z105" s="21">
        <v>854.19</v>
      </c>
      <c r="AA105" s="21">
        <f>Tabla356813212939[[#This Row],[COMISIONES]]*0.21</f>
        <v>179.37989999999999</v>
      </c>
      <c r="AB105" s="21">
        <v>1466.19</v>
      </c>
      <c r="AC105" s="21"/>
      <c r="AD105" s="21"/>
    </row>
    <row r="106" spans="8:30" x14ac:dyDescent="0.25">
      <c r="N106" s="18"/>
      <c r="O106" s="11">
        <f>Tabla3510182636[[#This Row],[COMISIONES]]*0.21</f>
        <v>0</v>
      </c>
      <c r="P106" s="18"/>
      <c r="Q106" s="18"/>
      <c r="R106" s="18"/>
      <c r="Z106" s="21">
        <v>393.3</v>
      </c>
      <c r="AA106" s="21">
        <f>Tabla356813212939[[#This Row],[COMISIONES]]*0.21</f>
        <v>82.593000000000004</v>
      </c>
      <c r="AB106" s="21">
        <v>9842.74</v>
      </c>
      <c r="AC106" s="21"/>
      <c r="AD106" s="21"/>
    </row>
    <row r="107" spans="8:30" x14ac:dyDescent="0.25">
      <c r="N107" s="18"/>
      <c r="O107" s="11">
        <f>Tabla3510182636[[#This Row],[COMISIONES]]*0.21</f>
        <v>0</v>
      </c>
      <c r="P107" s="18"/>
      <c r="Q107" s="18"/>
      <c r="R107" s="18"/>
      <c r="Z107" s="21">
        <v>2229.98</v>
      </c>
      <c r="AA107" s="21">
        <f>Tabla356813212939[[#This Row],[COMISIONES]]*0.21</f>
        <v>468.29579999999999</v>
      </c>
      <c r="AB107" s="21"/>
      <c r="AC107" s="21"/>
      <c r="AD107" s="21"/>
    </row>
    <row r="108" spans="8:30" x14ac:dyDescent="0.25">
      <c r="N108" s="18"/>
      <c r="O108" s="11">
        <f>Tabla3510182636[[#This Row],[COMISIONES]]*0.21</f>
        <v>0</v>
      </c>
      <c r="P108" s="18"/>
      <c r="Q108" s="18"/>
      <c r="R108" s="18"/>
      <c r="Z108" s="21">
        <v>2015.55</v>
      </c>
      <c r="AA108" s="21">
        <f>Tabla356813212939[[#This Row],[COMISIONES]]*0.21</f>
        <v>423.26549999999997</v>
      </c>
      <c r="AB108" s="21"/>
      <c r="AC108" s="21"/>
      <c r="AD108" s="21"/>
    </row>
    <row r="109" spans="8:30" x14ac:dyDescent="0.25">
      <c r="N109" s="18"/>
      <c r="O109" s="11">
        <f>Tabla3510182636[[#This Row],[COMISIONES]]*0.21</f>
        <v>0</v>
      </c>
      <c r="P109" s="18"/>
      <c r="Q109" s="18"/>
      <c r="R109" s="18"/>
      <c r="Z109" s="21">
        <v>2056.86</v>
      </c>
      <c r="AA109" s="21">
        <f>Tabla356813212939[[#This Row],[COMISIONES]]*0.21</f>
        <v>431.94060000000002</v>
      </c>
      <c r="AB109" s="21"/>
      <c r="AC109" s="21"/>
      <c r="AD109" s="21"/>
    </row>
    <row r="110" spans="8:30" x14ac:dyDescent="0.25">
      <c r="N110" s="18"/>
      <c r="O110" s="11">
        <f>Tabla3510182636[[#This Row],[COMISIONES]]*0.21</f>
        <v>0</v>
      </c>
      <c r="P110" s="18"/>
      <c r="Q110" s="18"/>
      <c r="R110" s="18"/>
      <c r="Z110" s="21">
        <v>1523.34</v>
      </c>
      <c r="AA110" s="21">
        <f>Tabla356813212939[[#This Row],[COMISIONES]]*0.21</f>
        <v>319.90139999999997</v>
      </c>
      <c r="AB110" s="21"/>
      <c r="AC110" s="21"/>
      <c r="AD110" s="21"/>
    </row>
    <row r="111" spans="8:30" x14ac:dyDescent="0.25">
      <c r="N111" s="18"/>
      <c r="O111" s="11">
        <f>Tabla3510182636[[#This Row],[COMISIONES]]*0.21</f>
        <v>0</v>
      </c>
      <c r="P111" s="18"/>
      <c r="Q111" s="18"/>
      <c r="R111" s="18"/>
      <c r="Z111" s="21">
        <v>2347.38</v>
      </c>
      <c r="AA111" s="21">
        <f>Tabla356813212939[[#This Row],[COMISIONES]]*0.21</f>
        <v>492.94979999999998</v>
      </c>
      <c r="AB111" s="21"/>
      <c r="AC111" s="21"/>
      <c r="AD111" s="21"/>
    </row>
    <row r="112" spans="8:30" x14ac:dyDescent="0.25">
      <c r="N112" s="18"/>
      <c r="O112" s="11">
        <f>Tabla3510182636[[#This Row],[COMISIONES]]*0.21</f>
        <v>0</v>
      </c>
      <c r="P112" s="18"/>
      <c r="Q112" s="18"/>
      <c r="R112" s="18"/>
      <c r="Z112" s="21">
        <v>5130.4799999999996</v>
      </c>
      <c r="AA112" s="21">
        <f>Tabla356813212939[[#This Row],[COMISIONES]]*0.21</f>
        <v>1077.4007999999999</v>
      </c>
      <c r="AB112" s="21"/>
      <c r="AC112" s="21"/>
      <c r="AD112" s="21"/>
    </row>
    <row r="113" spans="14:30" x14ac:dyDescent="0.25">
      <c r="N113" s="18"/>
      <c r="O113" s="11">
        <f>Tabla3510182636[[#This Row],[COMISIONES]]*0.21</f>
        <v>0</v>
      </c>
      <c r="P113" s="18"/>
      <c r="Q113" s="18"/>
      <c r="R113" s="18"/>
      <c r="Z113" s="21">
        <v>6486.26</v>
      </c>
      <c r="AA113" s="21">
        <f>Tabla356813212939[[#This Row],[COMISIONES]]*0.21</f>
        <v>1362.1145999999999</v>
      </c>
      <c r="AB113" s="21"/>
      <c r="AC113" s="21"/>
      <c r="AD113" s="21"/>
    </row>
    <row r="114" spans="14:30" x14ac:dyDescent="0.25">
      <c r="N114" s="18"/>
      <c r="O114" s="11">
        <f>Tabla3510182636[[#This Row],[COMISIONES]]*0.21</f>
        <v>0</v>
      </c>
      <c r="P114" s="18"/>
      <c r="Q114" s="18"/>
      <c r="R114" s="18"/>
      <c r="Z114" s="21">
        <v>1082.97</v>
      </c>
      <c r="AA114" s="21">
        <f>Tabla356813212939[[#This Row],[COMISIONES]]*0.21</f>
        <v>227.4237</v>
      </c>
      <c r="AB114" s="21"/>
      <c r="AC114" s="21"/>
      <c r="AD114" s="21"/>
    </row>
    <row r="115" spans="14:30" x14ac:dyDescent="0.25">
      <c r="N115" s="18"/>
      <c r="O115" s="11">
        <f>Tabla3510182636[[#This Row],[COMISIONES]]*0.21</f>
        <v>0</v>
      </c>
      <c r="P115" s="18"/>
      <c r="Q115" s="18"/>
      <c r="R115" s="18"/>
      <c r="Z115" s="21">
        <v>821.71</v>
      </c>
      <c r="AA115" s="21">
        <f>Tabla356813212939[[#This Row],[COMISIONES]]*0.21</f>
        <v>172.5591</v>
      </c>
      <c r="AB115" s="21"/>
      <c r="AC115" s="21"/>
      <c r="AD115" s="21"/>
    </row>
    <row r="116" spans="14:30" x14ac:dyDescent="0.25">
      <c r="N116" s="18"/>
      <c r="O116" s="11">
        <f>Tabla3510182636[[#This Row],[COMISIONES]]*0.21</f>
        <v>0</v>
      </c>
      <c r="P116" s="18"/>
      <c r="Q116" s="18"/>
      <c r="R116" s="18"/>
      <c r="Z116" s="21">
        <v>7451.08</v>
      </c>
      <c r="AA116" s="21">
        <f>Tabla356813212939[[#This Row],[COMISIONES]]*0.21</f>
        <v>1564.7267999999999</v>
      </c>
      <c r="AB116" s="21"/>
      <c r="AC116" s="21"/>
      <c r="AD116" s="21"/>
    </row>
    <row r="117" spans="14:30" x14ac:dyDescent="0.25">
      <c r="N117" s="18"/>
      <c r="O117" s="11">
        <f>Tabla3510182636[[#This Row],[COMISIONES]]*0.21</f>
        <v>0</v>
      </c>
      <c r="P117" s="18"/>
      <c r="Q117" s="18"/>
      <c r="R117" s="18"/>
      <c r="Z117" s="21">
        <v>2674.22</v>
      </c>
      <c r="AA117" s="21">
        <f>Tabla356813212939[[#This Row],[COMISIONES]]*0.21</f>
        <v>561.58619999999996</v>
      </c>
      <c r="AB117" s="21"/>
      <c r="AC117" s="21"/>
      <c r="AD117" s="21"/>
    </row>
    <row r="118" spans="14:30" x14ac:dyDescent="0.25">
      <c r="N118" s="18"/>
      <c r="O118" s="11">
        <f>Tabla3510182636[[#This Row],[COMISIONES]]*0.21</f>
        <v>0</v>
      </c>
      <c r="P118" s="18"/>
      <c r="Q118" s="18"/>
      <c r="R118" s="18"/>
      <c r="Z118" s="21">
        <v>1663.17</v>
      </c>
      <c r="AA118" s="21">
        <f>Tabla356813212939[[#This Row],[COMISIONES]]*0.21</f>
        <v>349.26569999999998</v>
      </c>
      <c r="AB118" s="21"/>
      <c r="AC118" s="21"/>
      <c r="AD118" s="21"/>
    </row>
    <row r="119" spans="14:30" x14ac:dyDescent="0.25">
      <c r="N119" s="18"/>
      <c r="O119" s="11">
        <f>Tabla3510182636[[#This Row],[COMISIONES]]*0.21</f>
        <v>0</v>
      </c>
      <c r="P119" s="18"/>
      <c r="Q119" s="18"/>
      <c r="R119" s="18"/>
      <c r="Z119" s="21">
        <v>703.6</v>
      </c>
      <c r="AA119" s="21">
        <f>Tabla356813212939[[#This Row],[COMISIONES]]*0.21</f>
        <v>147.756</v>
      </c>
      <c r="AB119" s="21"/>
      <c r="AC119" s="21"/>
      <c r="AD119" s="21"/>
    </row>
    <row r="120" spans="14:30" x14ac:dyDescent="0.25">
      <c r="N120" s="18"/>
      <c r="O120" s="11">
        <f>Tabla3510182636[[#This Row],[COMISIONES]]*0.21</f>
        <v>0</v>
      </c>
      <c r="P120" s="18"/>
      <c r="Q120" s="18"/>
      <c r="R120" s="18"/>
      <c r="Z120" s="21">
        <v>1621.64</v>
      </c>
      <c r="AA120" s="21">
        <f>Tabla356813212939[[#This Row],[COMISIONES]]*0.21</f>
        <v>340.5444</v>
      </c>
      <c r="AB120" s="21"/>
      <c r="AC120" s="21"/>
      <c r="AD120" s="21"/>
    </row>
    <row r="121" spans="14:30" x14ac:dyDescent="0.25">
      <c r="N121" s="18"/>
      <c r="O121" s="11">
        <f>Tabla3510182636[[#This Row],[COMISIONES]]*0.21</f>
        <v>0</v>
      </c>
      <c r="P121" s="18"/>
      <c r="Q121" s="18"/>
      <c r="R121" s="18"/>
      <c r="Z121" s="21">
        <v>1699.4</v>
      </c>
      <c r="AA121" s="21">
        <f>Tabla356813212939[[#This Row],[COMISIONES]]*0.21</f>
        <v>356.87400000000002</v>
      </c>
      <c r="AB121" s="21"/>
      <c r="AC121" s="21"/>
      <c r="AD121" s="21"/>
    </row>
    <row r="122" spans="14:30" x14ac:dyDescent="0.25">
      <c r="N122" s="18"/>
      <c r="O122" s="18"/>
      <c r="P122" s="18"/>
      <c r="Q122" s="18"/>
      <c r="R122" s="18"/>
      <c r="Z122" s="21">
        <v>2487.2600000000002</v>
      </c>
      <c r="AA122" s="21">
        <f>Tabla356813212939[[#This Row],[COMISIONES]]*0.21</f>
        <v>522.32460000000003</v>
      </c>
      <c r="AB122" s="21"/>
      <c r="AC122" s="21"/>
      <c r="AD122" s="21"/>
    </row>
    <row r="123" spans="14:30" x14ac:dyDescent="0.25">
      <c r="N123" s="18"/>
      <c r="O123" s="18"/>
      <c r="P123" s="18"/>
      <c r="Q123" s="18"/>
      <c r="R123" s="18"/>
      <c r="Z123" s="21">
        <v>617.15</v>
      </c>
      <c r="AA123" s="21">
        <f>Tabla356813212939[[#This Row],[COMISIONES]]*0.21</f>
        <v>129.60149999999999</v>
      </c>
      <c r="AB123" s="21"/>
      <c r="AC123" s="21"/>
      <c r="AD123" s="21"/>
    </row>
    <row r="124" spans="14:30" x14ac:dyDescent="0.25">
      <c r="N124" s="18"/>
      <c r="O124" s="18"/>
      <c r="P124" s="18"/>
      <c r="Q124" s="18"/>
      <c r="R124" s="18"/>
      <c r="Z124" s="21">
        <v>1204.8</v>
      </c>
      <c r="AA124" s="21">
        <f>Tabla356813212939[[#This Row],[COMISIONES]]*0.21</f>
        <v>253.00799999999998</v>
      </c>
      <c r="AB124" s="21"/>
      <c r="AC124" s="21"/>
      <c r="AD124" s="21"/>
    </row>
    <row r="125" spans="14:30" x14ac:dyDescent="0.25">
      <c r="N125" s="18"/>
      <c r="O125" s="18"/>
      <c r="P125" s="18"/>
      <c r="Q125" s="18"/>
      <c r="R125" s="18"/>
      <c r="Z125" s="21">
        <v>1679.2</v>
      </c>
      <c r="AA125" s="21">
        <f>Tabla356813212939[[#This Row],[COMISIONES]]*0.21</f>
        <v>352.63200000000001</v>
      </c>
      <c r="AB125" s="21"/>
      <c r="AC125" s="21"/>
      <c r="AD125" s="21"/>
    </row>
    <row r="126" spans="14:30" x14ac:dyDescent="0.25">
      <c r="N126" s="18"/>
      <c r="O126" s="18"/>
      <c r="P126" s="18"/>
      <c r="Q126" s="18"/>
      <c r="R126" s="18"/>
      <c r="Z126" s="21">
        <v>1169.3599999999999</v>
      </c>
      <c r="AA126" s="21">
        <f>Tabla356813212939[[#This Row],[COMISIONES]]*0.21</f>
        <v>245.56559999999996</v>
      </c>
      <c r="AB126" s="21"/>
      <c r="AC126" s="21"/>
      <c r="AD126" s="21"/>
    </row>
    <row r="127" spans="14:30" x14ac:dyDescent="0.25">
      <c r="N127" s="18"/>
      <c r="O127" s="18"/>
      <c r="P127" s="18"/>
      <c r="Q127" s="18"/>
      <c r="R127" s="18"/>
      <c r="Z127" s="21">
        <v>2027.08</v>
      </c>
      <c r="AA127" s="21">
        <f>Tabla356813212939[[#This Row],[COMISIONES]]*0.21</f>
        <v>425.68679999999995</v>
      </c>
      <c r="AB127" s="21"/>
      <c r="AC127" s="21"/>
      <c r="AD127" s="21"/>
    </row>
    <row r="128" spans="14:30" x14ac:dyDescent="0.25">
      <c r="N128" s="18"/>
      <c r="O128" s="18"/>
      <c r="P128" s="18"/>
      <c r="Q128" s="18"/>
      <c r="R128" s="18"/>
      <c r="Z128" s="21">
        <v>932.6</v>
      </c>
      <c r="AA128" s="21">
        <f>Tabla356813212939[[#This Row],[COMISIONES]]*0.21</f>
        <v>195.846</v>
      </c>
      <c r="AB128" s="21"/>
      <c r="AC128" s="21"/>
      <c r="AD128" s="21"/>
    </row>
    <row r="129" spans="14:30" x14ac:dyDescent="0.25">
      <c r="N129" s="18"/>
      <c r="O129" s="18"/>
      <c r="P129" s="18"/>
      <c r="Q129" s="18"/>
      <c r="R129" s="18"/>
      <c r="Z129" s="21">
        <v>962.02</v>
      </c>
      <c r="AA129" s="21">
        <f>Tabla356813212939[[#This Row],[COMISIONES]]*0.21</f>
        <v>202.02419999999998</v>
      </c>
      <c r="AB129" s="21"/>
      <c r="AC129" s="21"/>
      <c r="AD129" s="21"/>
    </row>
    <row r="130" spans="14:30" x14ac:dyDescent="0.25">
      <c r="N130" s="18"/>
      <c r="O130" s="18"/>
      <c r="P130" s="18"/>
      <c r="Q130" s="18"/>
      <c r="R130" s="18"/>
      <c r="Z130" s="21">
        <v>3503.01</v>
      </c>
      <c r="AA130" s="21">
        <f>Tabla356813212939[[#This Row],[COMISIONES]]*0.21</f>
        <v>735.63210000000004</v>
      </c>
      <c r="AB130" s="21"/>
      <c r="AC130" s="21"/>
      <c r="AD130" s="21"/>
    </row>
    <row r="131" spans="14:30" x14ac:dyDescent="0.25">
      <c r="N131" s="18"/>
      <c r="O131" s="18"/>
      <c r="P131" s="18"/>
      <c r="Q131" s="18"/>
      <c r="R131" s="18"/>
      <c r="Z131" s="21">
        <v>1951.4</v>
      </c>
      <c r="AA131" s="21">
        <f>Tabla356813212939[[#This Row],[COMISIONES]]*0.21</f>
        <v>409.79399999999998</v>
      </c>
      <c r="AB131" s="21"/>
      <c r="AC131" s="21"/>
      <c r="AD131" s="21"/>
    </row>
    <row r="132" spans="14:30" x14ac:dyDescent="0.25">
      <c r="N132" s="18"/>
      <c r="O132" s="18"/>
      <c r="P132" s="18"/>
      <c r="Q132" s="18"/>
      <c r="R132" s="18"/>
      <c r="Z132" s="21">
        <v>3995.7</v>
      </c>
      <c r="AA132" s="21">
        <f>Tabla356813212939[[#This Row],[COMISIONES]]*0.21</f>
        <v>839.09699999999998</v>
      </c>
      <c r="AB132" s="21"/>
      <c r="AC132" s="21"/>
      <c r="AD132" s="21"/>
    </row>
    <row r="133" spans="14:30" x14ac:dyDescent="0.25">
      <c r="N133" s="18"/>
      <c r="O133" s="18">
        <f>Tabla3510182636[[#This Row],[COMISIONES]]*0.21</f>
        <v>0</v>
      </c>
      <c r="P133" s="18"/>
      <c r="Q133" s="18"/>
      <c r="R133" s="18"/>
      <c r="Z133" s="21">
        <v>1153.1199999999999</v>
      </c>
      <c r="AA133" s="21">
        <f>Tabla356813212939[[#This Row],[COMISIONES]]*0.21</f>
        <v>242.15519999999998</v>
      </c>
      <c r="AB133" s="21"/>
      <c r="AC133" s="21"/>
      <c r="AD133" s="21"/>
    </row>
    <row r="134" spans="14:30" x14ac:dyDescent="0.25">
      <c r="N134" s="24">
        <f>SUBTOTAL(109,Tabla3510182636[COMISIONES])</f>
        <v>40368.74</v>
      </c>
      <c r="O134" s="24">
        <f>SUBTOTAL(109,Tabla3510182636[IVA 21])</f>
        <v>8477.4353999999985</v>
      </c>
      <c r="P134" s="24">
        <f>SUBTOTAL(109,Tabla3510182636[IVA 10,5])</f>
        <v>0</v>
      </c>
      <c r="Q134" s="24">
        <f>SUBTOTAL(109,Tabla3510182636[Ret IIBB Caba])</f>
        <v>2091.42</v>
      </c>
      <c r="R134" s="24">
        <f>SUBTOTAL(109,Tabla3510182636[PERC IVA])</f>
        <v>1049.4000000000001</v>
      </c>
      <c r="Z134" s="21">
        <v>1908.8</v>
      </c>
      <c r="AA134" s="21">
        <f>Tabla356813212939[[#This Row],[COMISIONES]]*0.21</f>
        <v>400.84799999999996</v>
      </c>
      <c r="AB134" s="21"/>
      <c r="AC134" s="21"/>
      <c r="AD134" s="21"/>
    </row>
    <row r="135" spans="14:30" x14ac:dyDescent="0.25">
      <c r="Z135" s="21">
        <v>2312.64</v>
      </c>
      <c r="AA135" s="21">
        <f>Tabla356813212939[[#This Row],[COMISIONES]]*0.21</f>
        <v>485.65439999999995</v>
      </c>
      <c r="AB135" s="21"/>
      <c r="AC135" s="21"/>
      <c r="AD135" s="21"/>
    </row>
    <row r="136" spans="14:30" x14ac:dyDescent="0.25">
      <c r="Z136" s="21">
        <v>2609.52</v>
      </c>
      <c r="AA136" s="21">
        <f>Tabla356813212939[[#This Row],[COMISIONES]]*0.21</f>
        <v>547.99919999999997</v>
      </c>
      <c r="AB136" s="21"/>
      <c r="AC136" s="21"/>
      <c r="AD136" s="21"/>
    </row>
    <row r="137" spans="14:30" x14ac:dyDescent="0.25">
      <c r="Z137" s="21">
        <v>6359.76</v>
      </c>
      <c r="AA137" s="21">
        <f>Tabla356813212939[[#This Row],[COMISIONES]]*0.21</f>
        <v>1335.5496000000001</v>
      </c>
      <c r="AB137" s="21"/>
      <c r="AC137" s="21"/>
      <c r="AD137" s="21"/>
    </row>
    <row r="138" spans="14:30" x14ac:dyDescent="0.25">
      <c r="Z138" s="21">
        <v>1916.4</v>
      </c>
      <c r="AA138" s="21">
        <f>Tabla356813212939[[#This Row],[COMISIONES]]*0.21</f>
        <v>402.44400000000002</v>
      </c>
      <c r="AB138" s="21"/>
      <c r="AC138" s="21"/>
      <c r="AD138" s="21"/>
    </row>
    <row r="139" spans="14:30" x14ac:dyDescent="0.25">
      <c r="Z139" s="21"/>
      <c r="AA139" s="21">
        <f>Tabla356813212939[[#This Row],[COMISIONES]]*0.21</f>
        <v>0</v>
      </c>
      <c r="AB139" s="21"/>
      <c r="AC139" s="21"/>
      <c r="AD139" s="21"/>
    </row>
    <row r="140" spans="14:30" x14ac:dyDescent="0.25">
      <c r="Z140" s="21"/>
      <c r="AA140" s="21">
        <f>Tabla356813212939[[#This Row],[COMISIONES]]*0.21</f>
        <v>0</v>
      </c>
      <c r="AB140" s="21"/>
      <c r="AC140" s="21"/>
      <c r="AD140" s="21"/>
    </row>
    <row r="141" spans="14:30" x14ac:dyDescent="0.25">
      <c r="Z141" s="21"/>
      <c r="AA141" s="21">
        <f>Tabla356813212939[[#This Row],[COMISIONES]]*0.21</f>
        <v>0</v>
      </c>
      <c r="AB141" s="21"/>
      <c r="AC141" s="21"/>
      <c r="AD141" s="21"/>
    </row>
    <row r="142" spans="14:30" x14ac:dyDescent="0.25">
      <c r="Z142" s="21"/>
      <c r="AA142" s="21">
        <f>Tabla356813212939[[#This Row],[COMISIONES]]*0.21</f>
        <v>0</v>
      </c>
      <c r="AB142" s="21"/>
      <c r="AC142" s="21"/>
      <c r="AD142" s="21"/>
    </row>
    <row r="143" spans="14:30" x14ac:dyDescent="0.25">
      <c r="Z143" s="21"/>
      <c r="AA143" s="21">
        <f>Tabla356813212939[[#This Row],[COMISIONES]]*0.21</f>
        <v>0</v>
      </c>
      <c r="AB143" s="21"/>
      <c r="AC143" s="21"/>
      <c r="AD143" s="21"/>
    </row>
    <row r="144" spans="14:30" x14ac:dyDescent="0.25">
      <c r="Z144" s="21"/>
      <c r="AA144" s="21">
        <f>Tabla356813212939[[#This Row],[COMISIONES]]*0.21</f>
        <v>0</v>
      </c>
      <c r="AB144" s="21"/>
      <c r="AC144" s="21"/>
      <c r="AD144" s="21"/>
    </row>
    <row r="145" spans="26:30" x14ac:dyDescent="0.25">
      <c r="Z145" s="21"/>
      <c r="AA145" s="21">
        <f>Tabla356813212939[[#This Row],[COMISIONES]]*0.21</f>
        <v>0</v>
      </c>
      <c r="AB145" s="21"/>
      <c r="AC145" s="21"/>
      <c r="AD145" s="21"/>
    </row>
    <row r="146" spans="26:30" x14ac:dyDescent="0.25">
      <c r="Z146" s="21"/>
      <c r="AA146" s="21">
        <f>Tabla356813212939[[#This Row],[COMISIONES]]*0.21</f>
        <v>0</v>
      </c>
      <c r="AB146" s="21"/>
      <c r="AC146" s="21"/>
      <c r="AD146" s="21"/>
    </row>
    <row r="147" spans="26:30" x14ac:dyDescent="0.25">
      <c r="Z147" s="21"/>
      <c r="AA147" s="21">
        <f>Tabla356813212939[[#This Row],[COMISIONES]]*0.21</f>
        <v>0</v>
      </c>
      <c r="AB147" s="21"/>
      <c r="AC147" s="21"/>
      <c r="AD147" s="21"/>
    </row>
    <row r="148" spans="26:30" x14ac:dyDescent="0.25">
      <c r="Z148" s="21"/>
      <c r="AA148" s="21">
        <f>Tabla356813212939[[#This Row],[COMISIONES]]*0.21</f>
        <v>0</v>
      </c>
      <c r="AB148" s="21"/>
      <c r="AC148" s="21"/>
      <c r="AD148" s="21"/>
    </row>
    <row r="149" spans="26:30" x14ac:dyDescent="0.25">
      <c r="Z149" s="21"/>
      <c r="AA149" s="21">
        <f>Tabla356813212939[[#This Row],[COMISIONES]]*0.21</f>
        <v>0</v>
      </c>
      <c r="AB149" s="21"/>
      <c r="AC149" s="21"/>
      <c r="AD149" s="21"/>
    </row>
    <row r="150" spans="26:30" x14ac:dyDescent="0.25">
      <c r="Z150" s="21"/>
      <c r="AA150" s="21">
        <f>Tabla356813212939[[#This Row],[COMISIONES]]*0.21</f>
        <v>0</v>
      </c>
      <c r="AB150" s="21"/>
      <c r="AC150" s="21"/>
      <c r="AD150" s="21"/>
    </row>
    <row r="151" spans="26:30" x14ac:dyDescent="0.25">
      <c r="Z151" s="21"/>
      <c r="AA151" s="21">
        <f>Tabla356813212939[[#This Row],[COMISIONES]]*0.21</f>
        <v>0</v>
      </c>
      <c r="AB151" s="21"/>
      <c r="AC151" s="21"/>
      <c r="AD151" s="21"/>
    </row>
    <row r="152" spans="26:30" x14ac:dyDescent="0.25">
      <c r="Z152" s="21"/>
      <c r="AA152" s="21">
        <f>Tabla356813212939[[#This Row],[COMISIONES]]*0.21</f>
        <v>0</v>
      </c>
      <c r="AB152" s="21"/>
      <c r="AC152" s="21"/>
      <c r="AD152" s="21"/>
    </row>
    <row r="153" spans="26:30" x14ac:dyDescent="0.25">
      <c r="Z153" s="21"/>
      <c r="AA153" s="21">
        <f>Tabla356813212939[[#This Row],[COMISIONES]]*0.21</f>
        <v>0</v>
      </c>
      <c r="AB153" s="21"/>
      <c r="AC153" s="21"/>
      <c r="AD153" s="21"/>
    </row>
    <row r="154" spans="26:30" x14ac:dyDescent="0.25">
      <c r="Z154" s="21"/>
      <c r="AA154" s="21">
        <f>Tabla356813212939[[#This Row],[COMISIONES]]*0.21</f>
        <v>0</v>
      </c>
      <c r="AB154" s="21"/>
      <c r="AC154" s="21"/>
      <c r="AD154" s="21"/>
    </row>
    <row r="155" spans="26:30" x14ac:dyDescent="0.25">
      <c r="Z155" s="21"/>
      <c r="AA155" s="21">
        <f>Tabla356813212939[[#This Row],[COMISIONES]]*0.21</f>
        <v>0</v>
      </c>
      <c r="AB155" s="21"/>
      <c r="AC155" s="21"/>
      <c r="AD155" s="21"/>
    </row>
    <row r="156" spans="26:30" x14ac:dyDescent="0.25">
      <c r="Z156" s="21"/>
      <c r="AA156" s="21">
        <f>Tabla356813212939[[#This Row],[COMISIONES]]*0.21</f>
        <v>0</v>
      </c>
      <c r="AB156" s="21"/>
      <c r="AC156" s="21"/>
      <c r="AD156" s="21"/>
    </row>
    <row r="157" spans="26:30" x14ac:dyDescent="0.25">
      <c r="Z157" s="21"/>
      <c r="AA157" s="21">
        <f>Tabla356813212939[[#This Row],[COMISIONES]]*0.21</f>
        <v>0</v>
      </c>
      <c r="AB157" s="21"/>
      <c r="AC157" s="21"/>
      <c r="AD157" s="21"/>
    </row>
    <row r="158" spans="26:30" x14ac:dyDescent="0.25">
      <c r="Z158" s="21"/>
      <c r="AA158" s="21">
        <f>Tabla356813212939[[#This Row],[COMISIONES]]*0.21</f>
        <v>0</v>
      </c>
      <c r="AB158" s="21"/>
      <c r="AC158" s="21"/>
      <c r="AD158" s="21"/>
    </row>
    <row r="159" spans="26:30" x14ac:dyDescent="0.25">
      <c r="Z159" s="21"/>
      <c r="AA159" s="21">
        <f>Tabla356813212939[[#This Row],[COMISIONES]]*0.21</f>
        <v>0</v>
      </c>
      <c r="AB159" s="21"/>
      <c r="AC159" s="21"/>
      <c r="AD159" s="21"/>
    </row>
    <row r="160" spans="26:30" x14ac:dyDescent="0.25">
      <c r="Z160" s="21"/>
      <c r="AA160" s="21">
        <f>Tabla356813212939[[#This Row],[COMISIONES]]*0.21</f>
        <v>0</v>
      </c>
      <c r="AB160" s="21"/>
      <c r="AC160" s="21"/>
      <c r="AD160" s="21"/>
    </row>
    <row r="161" spans="26:30" x14ac:dyDescent="0.25">
      <c r="Z161" s="21"/>
      <c r="AA161" s="21">
        <f>Tabla356813212939[[#This Row],[COMISIONES]]*0.21</f>
        <v>0</v>
      </c>
      <c r="AB161" s="21"/>
      <c r="AC161" s="21"/>
      <c r="AD161" s="21"/>
    </row>
    <row r="162" spans="26:30" x14ac:dyDescent="0.25">
      <c r="Z162" s="21"/>
      <c r="AA162" s="21">
        <f>Tabla356813212939[[#This Row],[COMISIONES]]*0.21</f>
        <v>0</v>
      </c>
      <c r="AB162" s="21"/>
      <c r="AC162" s="21"/>
      <c r="AD162" s="21"/>
    </row>
    <row r="163" spans="26:30" x14ac:dyDescent="0.25">
      <c r="Z163" s="21"/>
      <c r="AA163" s="21">
        <f>Tabla356813212939[[#This Row],[COMISIONES]]*0.21</f>
        <v>0</v>
      </c>
      <c r="AB163" s="21"/>
      <c r="AC163" s="21"/>
      <c r="AD163" s="21"/>
    </row>
    <row r="164" spans="26:30" x14ac:dyDescent="0.25">
      <c r="Z164" s="21"/>
      <c r="AA164" s="21">
        <f>Tabla356813212939[[#This Row],[COMISIONES]]*0.21</f>
        <v>0</v>
      </c>
      <c r="AB164" s="21"/>
      <c r="AC164" s="21"/>
      <c r="AD164" s="21"/>
    </row>
    <row r="165" spans="26:30" x14ac:dyDescent="0.25">
      <c r="Z165" s="21"/>
      <c r="AA165" s="21">
        <f>Tabla356813212939[[#This Row],[COMISIONES]]*0.21</f>
        <v>0</v>
      </c>
      <c r="AB165" s="21"/>
      <c r="AC165" s="21"/>
      <c r="AD165" s="21"/>
    </row>
    <row r="166" spans="26:30" x14ac:dyDescent="0.25">
      <c r="Z166" s="21"/>
      <c r="AA166" s="21">
        <f>Tabla356813212939[[#This Row],[COMISIONES]]*0.21</f>
        <v>0</v>
      </c>
      <c r="AB166" s="21"/>
      <c r="AC166" s="21"/>
      <c r="AD166" s="21"/>
    </row>
    <row r="167" spans="26:30" x14ac:dyDescent="0.25">
      <c r="Z167" s="21"/>
      <c r="AA167" s="21">
        <f>Tabla356813212939[[#This Row],[COMISIONES]]*0.21</f>
        <v>0</v>
      </c>
      <c r="AB167" s="21"/>
      <c r="AC167" s="21"/>
      <c r="AD167" s="21"/>
    </row>
    <row r="168" spans="26:30" x14ac:dyDescent="0.25">
      <c r="Z168" s="4">
        <f>SUBTOTAL(109,Tabla356813212939[COMISIONES])</f>
        <v>213268.40999999997</v>
      </c>
      <c r="AA168" s="4">
        <f>SUBTOTAL(109,Tabla356813212939[IVA 21])</f>
        <v>44786.366099999999</v>
      </c>
      <c r="AB168" s="4">
        <f>SUBTOTAL(109,Tabla356813212939[IVA 10,5])</f>
        <v>83506.180000000008</v>
      </c>
      <c r="AC168" s="4">
        <f>SUBTOTAL(109,Tabla356813212939[Ret IIBB Caba])</f>
        <v>113519.01</v>
      </c>
      <c r="AD168" s="4">
        <f>SUBTOTAL(109,Tabla356813212939[PERC IVA])</f>
        <v>187.74999999999997</v>
      </c>
    </row>
  </sheetData>
  <mergeCells count="19">
    <mergeCell ref="Z13:AD13"/>
    <mergeCell ref="AF13:AJ13"/>
    <mergeCell ref="AK13:AO13"/>
    <mergeCell ref="H53:L53"/>
    <mergeCell ref="T31:X31"/>
    <mergeCell ref="T13:X13"/>
    <mergeCell ref="G7:H7"/>
    <mergeCell ref="G8:H8"/>
    <mergeCell ref="B13:F13"/>
    <mergeCell ref="H13:L13"/>
    <mergeCell ref="N13:R13"/>
    <mergeCell ref="G9:H9"/>
    <mergeCell ref="G10:H10"/>
    <mergeCell ref="G6:H6"/>
    <mergeCell ref="G2:H2"/>
    <mergeCell ref="J2:K2"/>
    <mergeCell ref="G3:H3"/>
    <mergeCell ref="G4:H4"/>
    <mergeCell ref="G5:H5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69"/>
  <sheetViews>
    <sheetView showGridLines="0" zoomScale="80" zoomScaleNormal="80" workbookViewId="0">
      <selection activeCell="D7" activeCellId="1" sqref="D3:D4 D7:D11"/>
    </sheetView>
  </sheetViews>
  <sheetFormatPr baseColWidth="10" defaultRowHeight="15" x14ac:dyDescent="0.25"/>
  <cols>
    <col min="1" max="1" width="4.5703125" customWidth="1"/>
    <col min="2" max="2" width="26.42578125" customWidth="1"/>
    <col min="3" max="3" width="12.7109375" customWidth="1"/>
    <col min="4" max="4" width="10.7109375" customWidth="1"/>
    <col min="5" max="5" width="11.5703125" customWidth="1"/>
    <col min="6" max="6" width="12.140625" customWidth="1"/>
    <col min="7" max="7" width="2.5703125" style="6" customWidth="1"/>
    <col min="8" max="8" width="12.7109375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31" max="31" width="2.5703125" style="6" customWidth="1"/>
  </cols>
  <sheetData>
    <row r="1" spans="1:41" ht="6" customHeight="1" x14ac:dyDescent="0.25">
      <c r="G1"/>
      <c r="M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4</v>
      </c>
      <c r="H2" s="38"/>
      <c r="J2" s="39">
        <v>45323</v>
      </c>
      <c r="K2" s="39"/>
      <c r="M2"/>
      <c r="S2"/>
      <c r="Y2"/>
      <c r="AE2"/>
    </row>
    <row r="3" spans="1:41" x14ac:dyDescent="0.25">
      <c r="B3" s="25" t="str">
        <f>+B14</f>
        <v>Liquidacion amex Credito</v>
      </c>
      <c r="C3" s="14">
        <f>Tabla131624322[[#Totals],[COMISIONES]]</f>
        <v>11418.59</v>
      </c>
      <c r="D3" s="14">
        <f>Tabla131624322[[#Totals],[IVA 21]]</f>
        <v>2397.9039000000002</v>
      </c>
      <c r="E3" s="14">
        <f>Tabla131624322[[#Totals],[IVA 10,5]]</f>
        <v>0</v>
      </c>
      <c r="F3" s="14">
        <f>Tabla131624322[[#Totals],[Ret IIBB Caba]]</f>
        <v>8482.9500000000007</v>
      </c>
      <c r="G3" s="35">
        <f>Tabla131624322[[#Totals],[PERC IVA]]</f>
        <v>285.09000000000003</v>
      </c>
      <c r="H3" s="36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</v>
      </c>
      <c r="C4" s="14">
        <f>Tabla391725353[[#Totals],[COMISIONES]]</f>
        <v>1979.32</v>
      </c>
      <c r="D4" s="14">
        <f>Tabla391725353[[#Totals],[IVA 21]]</f>
        <v>415.65719999999999</v>
      </c>
      <c r="E4" s="14">
        <f>Tabla391725353[[#Totals],[IVA 10,5]]</f>
        <v>0</v>
      </c>
      <c r="F4" s="14">
        <f>Tabla391725353[[#Totals],[Ret IIBB Caba]]</f>
        <v>7322.41</v>
      </c>
      <c r="G4" s="35">
        <f>Tabla391725353[[#Totals],[PERC IVA]]</f>
        <v>0</v>
      </c>
      <c r="H4" s="36"/>
      <c r="J4" s="2"/>
      <c r="K4" s="3"/>
      <c r="M4"/>
      <c r="S4"/>
      <c r="Y4"/>
      <c r="AE4"/>
    </row>
    <row r="5" spans="1:41" x14ac:dyDescent="0.25">
      <c r="B5" s="25" t="str">
        <f>+N14</f>
        <v>FRANCES RESUMEN (31/09)</v>
      </c>
      <c r="C5" s="14">
        <f>Tabla35101826364[[#Totals],[COMISIONES]]</f>
        <v>64136.820000000007</v>
      </c>
      <c r="D5" s="45">
        <f>Tabla35101826364[[#Totals],[IVA 21]]</f>
        <v>12846.918</v>
      </c>
      <c r="E5" s="14">
        <f>Tabla35101826364[[#Totals],[IVA 10,5]]</f>
        <v>310.89999999999998</v>
      </c>
      <c r="F5" s="14">
        <f>Tabla35101826364[[#Totals],[Ret IIBB Caba]]</f>
        <v>3347.37</v>
      </c>
      <c r="G5" s="35">
        <f>Tabla35101826364[[#Totals],[PERC IVA]]</f>
        <v>1673.6699999999998</v>
      </c>
      <c r="H5" s="36"/>
      <c r="M5"/>
      <c r="S5"/>
      <c r="Y5"/>
      <c r="AE5"/>
    </row>
    <row r="6" spans="1:41" x14ac:dyDescent="0.25">
      <c r="B6" s="25" t="str">
        <f>+T14</f>
        <v>GALICIA EXTRACTO (31/09)</v>
      </c>
      <c r="C6" s="14">
        <f>Tabla356111927375[[#Totals],[COMISIONES]]</f>
        <v>13125</v>
      </c>
      <c r="D6" s="45">
        <f>Tabla356111927375[[#Totals],[IVA 21]]</f>
        <v>3002.07</v>
      </c>
      <c r="E6" s="14">
        <f>Tabla356111927375[[#Totals],[IVA 10,5]]</f>
        <v>0</v>
      </c>
      <c r="F6" s="14">
        <f>Tabla356111927375[[#Totals],[Ret IIBB Caba]]</f>
        <v>787.5</v>
      </c>
      <c r="G6" s="35">
        <f>Tabla356111927375[[#Totals],[PERC IVA]]</f>
        <v>393.75</v>
      </c>
      <c r="H6" s="36"/>
      <c r="M6"/>
      <c r="S6"/>
      <c r="Y6"/>
      <c r="AE6"/>
    </row>
    <row r="7" spans="1:41" x14ac:dyDescent="0.25">
      <c r="B7" s="25" t="str">
        <f>+Z14</f>
        <v>BBVA MASTERCARD CRED(31/09)</v>
      </c>
      <c r="C7" s="14">
        <f>Tabla3568132129397[[#Totals],[COMISIONES]]</f>
        <v>964404.03000000026</v>
      </c>
      <c r="D7" s="14">
        <f>Tabla3568132129397[[#Totals],[IVA 21]]</f>
        <v>50624.473200000008</v>
      </c>
      <c r="E7" s="14">
        <f>Tabla3568132129397[[#Totals],[IVA 10,5]]</f>
        <v>75950.056199999992</v>
      </c>
      <c r="F7" s="14">
        <f>Tabla3568132129397[[#Totals],[Ret IIBB Caba]]</f>
        <v>647448.19999999995</v>
      </c>
      <c r="G7" s="35">
        <f>Tabla3568132129397[[#Totals],[PERC IVA]]</f>
        <v>17086.68</v>
      </c>
      <c r="H7" s="36"/>
      <c r="M7"/>
      <c r="S7"/>
      <c r="Y7"/>
      <c r="AE7"/>
    </row>
    <row r="8" spans="1:41" x14ac:dyDescent="0.25">
      <c r="B8" s="25" t="str">
        <f>+T64</f>
        <v>RESUM BCO BBVA VISA 31/08 CREDITO</v>
      </c>
      <c r="C8" s="14">
        <f>Tabla6122028334210[[#Totals],[COMISIONES]]</f>
        <v>2400</v>
      </c>
      <c r="D8" s="14">
        <f>Tabla6122028334210[[#Totals],[IVA 21]]</f>
        <v>504</v>
      </c>
      <c r="E8" s="14">
        <f>Tabla6122028334210[[#Totals],[IVA 10,5]]</f>
        <v>0</v>
      </c>
      <c r="F8" s="14">
        <f>Tabla6122028334210[[#Totals],[Ret IIBB Caba]]</f>
        <v>2697.04</v>
      </c>
      <c r="G8" s="35">
        <f>Tabla6122028334210[[#Totals],[PERC IVA]]</f>
        <v>72</v>
      </c>
      <c r="H8" s="36"/>
      <c r="M8"/>
      <c r="S8"/>
      <c r="Y8"/>
      <c r="AE8"/>
    </row>
    <row r="9" spans="1:41" x14ac:dyDescent="0.25">
      <c r="B9" s="28" t="str">
        <f>+AF14</f>
        <v>BBVA - LIQ DEBITO (31/09)</v>
      </c>
      <c r="C9" s="14">
        <f>+Tabla356813142230408[[#Totals],[COMISIONES]]</f>
        <v>316.88</v>
      </c>
      <c r="D9" s="14">
        <f>+Tabla356813142230408[[#Totals],[IVA 21]]</f>
        <v>66.544799999999995</v>
      </c>
      <c r="E9" s="14">
        <f>+Tabla356813142230408[[#Totals],[IVA 10,5]]</f>
        <v>0</v>
      </c>
      <c r="F9" s="14">
        <f>+Tabla356813142230408[[#Totals],[Ret IIBB Caba]]</f>
        <v>1768.1899999999998</v>
      </c>
      <c r="G9" s="35">
        <f>+Tabla356813142230408[[#Totals],[PERC IVA]]</f>
        <v>0</v>
      </c>
      <c r="H9" s="36"/>
      <c r="M9"/>
      <c r="S9"/>
      <c r="Y9"/>
      <c r="AE9"/>
    </row>
    <row r="10" spans="1:41" x14ac:dyDescent="0.25">
      <c r="B10" s="28" t="str">
        <f>H54</f>
        <v>Liquidacion VISA  (FRANCES)</v>
      </c>
      <c r="C10" s="14">
        <f>Tabla39152331419[[#Totals],[COMISIONES]]</f>
        <v>94500</v>
      </c>
      <c r="D10" s="14">
        <f>Tabla39152331419[[#Totals],[IVA 21]]</f>
        <v>19845</v>
      </c>
      <c r="E10" s="14">
        <f>Tabla39152331419[[#Totals],[IVA 10,5]]</f>
        <v>0</v>
      </c>
      <c r="F10" s="14">
        <f>Tabla39152331419[[#Totals],[Ret IIBB Caba]]</f>
        <v>0</v>
      </c>
      <c r="G10" s="35">
        <f>Tabla39152331419[[#Totals],[PERC IVA]]</f>
        <v>2835</v>
      </c>
      <c r="H10" s="43"/>
      <c r="M10"/>
      <c r="S10"/>
      <c r="Y10"/>
      <c r="AE10"/>
    </row>
    <row r="11" spans="1:41" x14ac:dyDescent="0.25">
      <c r="B11" s="28" t="str">
        <f>+AK14</f>
        <v>GALICIA CREDITO (31/09)</v>
      </c>
      <c r="C11" s="14">
        <f>+Tabla356111927344311[[#Totals],[COMISIONES]]</f>
        <v>1500</v>
      </c>
      <c r="D11" s="14">
        <f>+Tabla356111927344311[[#Totals],[IVA 21]]</f>
        <v>315</v>
      </c>
      <c r="E11" s="14">
        <f>+Tabla356111927344311[[#Totals],[IVA 10,5]]</f>
        <v>0</v>
      </c>
      <c r="F11" s="14"/>
      <c r="G11" s="35"/>
      <c r="H11" s="36"/>
      <c r="M11"/>
      <c r="S11"/>
      <c r="Y11"/>
      <c r="AE11"/>
    </row>
    <row r="12" spans="1:41" x14ac:dyDescent="0.25">
      <c r="A12" s="26"/>
      <c r="B12" s="26"/>
      <c r="C12" s="27">
        <f>SUM(C3:C11)</f>
        <v>1153780.6400000001</v>
      </c>
      <c r="D12" s="27">
        <f t="shared" ref="D12:F12" si="0">SUM(D3:D11)</f>
        <v>90017.567100000015</v>
      </c>
      <c r="E12" s="27">
        <f t="shared" si="0"/>
        <v>76260.956199999986</v>
      </c>
      <c r="F12" s="27">
        <f t="shared" si="0"/>
        <v>671853.65999999992</v>
      </c>
      <c r="G12" s="44">
        <f>SUM(G3:H11)</f>
        <v>22346.19</v>
      </c>
      <c r="H12" s="44"/>
      <c r="M12"/>
      <c r="S12"/>
      <c r="Y12"/>
      <c r="AE12"/>
    </row>
    <row r="13" spans="1:41" x14ac:dyDescent="0.25">
      <c r="A13" s="26"/>
      <c r="B13" s="26"/>
      <c r="G13"/>
      <c r="M13"/>
      <c r="S13"/>
      <c r="Y13"/>
      <c r="AE13"/>
    </row>
    <row r="14" spans="1:41" ht="16.5" customHeight="1" x14ac:dyDescent="0.3">
      <c r="B14" s="41" t="s">
        <v>7</v>
      </c>
      <c r="C14" s="41"/>
      <c r="D14" s="41"/>
      <c r="E14" s="41"/>
      <c r="F14" s="41"/>
      <c r="H14" s="41" t="s">
        <v>8</v>
      </c>
      <c r="I14" s="41"/>
      <c r="J14" s="41"/>
      <c r="K14" s="41"/>
      <c r="L14" s="41"/>
      <c r="N14" s="41" t="s">
        <v>10</v>
      </c>
      <c r="O14" s="41"/>
      <c r="P14" s="41"/>
      <c r="Q14" s="41"/>
      <c r="R14" s="41"/>
      <c r="T14" s="41" t="s">
        <v>11</v>
      </c>
      <c r="U14" s="41"/>
      <c r="V14" s="41"/>
      <c r="W14" s="41"/>
      <c r="X14" s="41"/>
      <c r="Z14" s="41" t="s">
        <v>12</v>
      </c>
      <c r="AA14" s="41"/>
      <c r="AB14" s="41"/>
      <c r="AC14" s="41"/>
      <c r="AD14" s="41"/>
      <c r="AF14" s="41" t="s">
        <v>13</v>
      </c>
      <c r="AG14" s="41"/>
      <c r="AH14" s="41"/>
      <c r="AI14" s="41"/>
      <c r="AJ14" s="41"/>
      <c r="AK14" s="41" t="s">
        <v>14</v>
      </c>
      <c r="AL14" s="41"/>
      <c r="AM14" s="41"/>
      <c r="AN14" s="41"/>
      <c r="AO14" s="41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>
        <v>1054.1300000000001</v>
      </c>
      <c r="C16" s="2">
        <f>Tabla131624322[[#This Row],[COMISIONES]]*0.21</f>
        <v>221.36730000000003</v>
      </c>
      <c r="D16" s="3"/>
      <c r="E16" s="3">
        <v>1840.02</v>
      </c>
      <c r="G16" s="8"/>
      <c r="H16" s="3">
        <v>275.2</v>
      </c>
      <c r="I16" s="11">
        <f>Tabla391725353[[#This Row],[COMISIONES]]*0.21</f>
        <v>57.791999999999994</v>
      </c>
      <c r="J16" s="11"/>
      <c r="K16" s="11">
        <v>1533.02</v>
      </c>
      <c r="L16" s="3"/>
      <c r="M16" s="8"/>
      <c r="N16" s="11">
        <v>2961.02</v>
      </c>
      <c r="O16" s="11"/>
      <c r="P16" s="11">
        <v>310.89999999999998</v>
      </c>
      <c r="Q16" s="11"/>
      <c r="R16" s="23"/>
      <c r="S16" s="8"/>
      <c r="T16" s="11">
        <v>13125</v>
      </c>
      <c r="U16" s="11">
        <f>Tabla356111927375[[#This Row],[COMISIONES]]*0.21</f>
        <v>2756.25</v>
      </c>
      <c r="V16" s="11"/>
      <c r="W16" s="11">
        <v>787.5</v>
      </c>
      <c r="X16" s="11">
        <v>393.75</v>
      </c>
      <c r="Y16" s="8"/>
      <c r="Z16" s="3">
        <v>193.5</v>
      </c>
      <c r="AA16" s="11">
        <f>Tabla3568132129397[[#This Row],[COMISIONES]]*0.21</f>
        <v>40.634999999999998</v>
      </c>
      <c r="AB16" s="11"/>
      <c r="AC16" s="11">
        <v>475.04</v>
      </c>
      <c r="AD16" s="11"/>
      <c r="AE16" s="8"/>
      <c r="AF16" s="11">
        <v>308.48</v>
      </c>
      <c r="AG16" s="11">
        <f>Tabla356813142230408[[#This Row],[COMISIONES]]*0.21</f>
        <v>64.780799999999999</v>
      </c>
      <c r="AH16" s="11"/>
      <c r="AI16" s="11">
        <v>1721.32</v>
      </c>
      <c r="AJ16" s="11"/>
      <c r="AK16" s="11">
        <v>1500</v>
      </c>
      <c r="AL16" s="11">
        <f>Tabla356111927344311[[#This Row],[COMISIONES]]*0.21</f>
        <v>315</v>
      </c>
      <c r="AM16" s="11"/>
      <c r="AN16" s="11">
        <f>1538.74+168.17</f>
        <v>1706.91</v>
      </c>
      <c r="AO16" s="11"/>
    </row>
    <row r="17" spans="2:41" x14ac:dyDescent="0.25">
      <c r="B17" s="3">
        <v>4141.05</v>
      </c>
      <c r="C17" s="2">
        <f>Tabla131624322[[#This Row],[COMISIONES]]*0.21</f>
        <v>869.62049999999999</v>
      </c>
      <c r="D17" s="3"/>
      <c r="E17" s="3">
        <v>1314.04</v>
      </c>
      <c r="F17" s="3">
        <v>124.23</v>
      </c>
      <c r="G17" s="8"/>
      <c r="H17" s="11">
        <v>597.6</v>
      </c>
      <c r="I17" s="11">
        <f>Tabla391725353[[#This Row],[COMISIONES]]*0.21</f>
        <v>125.496</v>
      </c>
      <c r="J17" s="11"/>
      <c r="K17" s="11">
        <v>1461.46</v>
      </c>
      <c r="L17" s="11"/>
      <c r="M17" s="8"/>
      <c r="N17" s="11">
        <v>16870</v>
      </c>
      <c r="O17" s="11">
        <f>Tabla35101826364[[#This Row],[COMISIONES]]*0.21</f>
        <v>3542.7</v>
      </c>
      <c r="P17" s="11"/>
      <c r="Q17" s="11">
        <v>1012.2</v>
      </c>
      <c r="R17" s="23">
        <v>506.1</v>
      </c>
      <c r="S17" s="8"/>
      <c r="T17" s="11"/>
      <c r="U17" s="11">
        <v>245.82</v>
      </c>
      <c r="V17" s="11"/>
      <c r="W17" s="11"/>
      <c r="X17" s="11"/>
      <c r="Y17" s="8"/>
      <c r="Z17" s="11">
        <v>2073.6</v>
      </c>
      <c r="AA17" s="11">
        <f>Tabla3568132129397[[#This Row],[COMISIONES]]*0.21</f>
        <v>435.45599999999996</v>
      </c>
      <c r="AB17" s="11"/>
      <c r="AC17" s="11">
        <v>5090.6899999999996</v>
      </c>
      <c r="AD17" s="11">
        <v>62.21</v>
      </c>
      <c r="AE17" s="8"/>
      <c r="AF17" s="11">
        <v>8.4</v>
      </c>
      <c r="AG17" s="11">
        <f>Tabla356813142230408[[#This Row],[COMISIONES]]*0.21</f>
        <v>1.764</v>
      </c>
      <c r="AH17" s="11"/>
      <c r="AI17" s="11">
        <v>46.87</v>
      </c>
      <c r="AJ17" s="11"/>
      <c r="AK17" s="11"/>
      <c r="AL17" s="11">
        <f>Tabla356111927344311[[#This Row],[COMISIONES]]*0.21</f>
        <v>0</v>
      </c>
      <c r="AM17" s="11"/>
      <c r="AN17" s="11"/>
      <c r="AO17" s="11"/>
    </row>
    <row r="18" spans="2:41" x14ac:dyDescent="0.25">
      <c r="B18" s="3">
        <v>5362.16</v>
      </c>
      <c r="C18" s="2">
        <f>Tabla131624322[[#This Row],[COMISIONES]]*0.21</f>
        <v>1126.0536</v>
      </c>
      <c r="D18" s="3"/>
      <c r="E18" s="3">
        <v>3825.54</v>
      </c>
      <c r="F18" s="3">
        <v>160.86000000000001</v>
      </c>
      <c r="H18" s="11">
        <v>587.52</v>
      </c>
      <c r="I18" s="11">
        <f>Tabla391725353[[#This Row],[COMISIONES]]*0.21</f>
        <v>123.3792</v>
      </c>
      <c r="J18" s="11"/>
      <c r="K18" s="11">
        <v>1436.81</v>
      </c>
      <c r="L18" s="11"/>
      <c r="N18" s="11">
        <v>20557</v>
      </c>
      <c r="O18" s="11">
        <f>Tabla35101826364[[#This Row],[COMISIONES]]*0.21</f>
        <v>4316.97</v>
      </c>
      <c r="P18" s="11"/>
      <c r="Q18" s="11">
        <v>1233.42</v>
      </c>
      <c r="R18" s="23">
        <v>616.71</v>
      </c>
      <c r="T18" s="11"/>
      <c r="U18" s="11">
        <f>Tabla356111927375[[#This Row],[COMISIONES]]*0.21</f>
        <v>0</v>
      </c>
      <c r="V18" s="11"/>
      <c r="W18" s="11"/>
      <c r="X18" s="11"/>
      <c r="Z18" s="11">
        <v>751.25</v>
      </c>
      <c r="AA18" s="11">
        <f>Tabla3568132129397[[#This Row],[COMISIONES]]*0.21</f>
        <v>157.76249999999999</v>
      </c>
      <c r="AB18" s="11"/>
      <c r="AC18" s="11"/>
      <c r="AD18" s="11"/>
      <c r="AF18" s="11"/>
      <c r="AG18" s="11">
        <f>Tabla356813142230408[[#This Row],[COMISIONES]]*0.21</f>
        <v>0</v>
      </c>
      <c r="AH18" s="11"/>
      <c r="AI18" s="11"/>
      <c r="AJ18" s="11"/>
      <c r="AK18" s="11"/>
      <c r="AL18" s="11">
        <f>Tabla356111927344311[[#This Row],[COMISIONES]]*0.21</f>
        <v>0</v>
      </c>
      <c r="AM18" s="11"/>
      <c r="AN18" s="11"/>
      <c r="AO18" s="11"/>
    </row>
    <row r="19" spans="2:41" x14ac:dyDescent="0.25">
      <c r="B19" s="3">
        <v>861.25</v>
      </c>
      <c r="C19" s="2">
        <f>Tabla131624322[[#This Row],[COMISIONES]]*0.21</f>
        <v>180.86249999999998</v>
      </c>
      <c r="D19" s="3"/>
      <c r="E19" s="3">
        <v>1503.35</v>
      </c>
      <c r="F19" s="3"/>
      <c r="G19" s="8"/>
      <c r="H19" s="11">
        <v>400</v>
      </c>
      <c r="I19" s="11">
        <f>Tabla391725353[[#This Row],[COMISIONES]]*0.21</f>
        <v>84</v>
      </c>
      <c r="J19" s="11"/>
      <c r="K19" s="11">
        <v>2228.2199999999998</v>
      </c>
      <c r="L19" s="11"/>
      <c r="M19" s="8"/>
      <c r="N19" s="11">
        <v>300</v>
      </c>
      <c r="O19" s="11">
        <f>Tabla35101826364[[#This Row],[COMISIONES]]*0.21</f>
        <v>63</v>
      </c>
      <c r="P19" s="11"/>
      <c r="Q19" s="11"/>
      <c r="R19" s="23"/>
      <c r="S19" s="8"/>
      <c r="T19" s="11"/>
      <c r="U19" s="11">
        <f>Tabla356111927375[[#This Row],[COMISIONES]]*0.21</f>
        <v>0</v>
      </c>
      <c r="V19" s="11"/>
      <c r="W19" s="11"/>
      <c r="X19" s="11"/>
      <c r="Y19" s="8"/>
      <c r="Z19" s="11">
        <v>9686.57</v>
      </c>
      <c r="AA19" s="11"/>
      <c r="AB19" s="11">
        <f>Tabla3568132129397[[#This Row],[COMISIONES]]*0.105</f>
        <v>1017.08985</v>
      </c>
      <c r="AC19" s="1">
        <v>1408.43</v>
      </c>
      <c r="AD19" s="11">
        <f>145.3+22.54</f>
        <v>167.84</v>
      </c>
      <c r="AE19" s="8"/>
      <c r="AF19" s="11"/>
      <c r="AG19" s="11">
        <f>Tabla356813142230408[[#This Row],[COMISIONES]]*0.21</f>
        <v>0</v>
      </c>
      <c r="AH19" s="11"/>
      <c r="AI19" s="11"/>
      <c r="AJ19" s="11"/>
      <c r="AK19" s="11"/>
      <c r="AL19" s="11">
        <f>Tabla356111927344311[[#This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Tabla131624322[[#This Row],[COMISIONES]]*0.21</f>
        <v>0</v>
      </c>
      <c r="D20" s="3"/>
      <c r="E20" s="3"/>
      <c r="F20" s="3"/>
      <c r="H20" s="11">
        <v>119</v>
      </c>
      <c r="I20" s="11">
        <f>Tabla391725353[[#This Row],[COMISIONES]]*0.21</f>
        <v>24.99</v>
      </c>
      <c r="J20" s="11"/>
      <c r="K20" s="11">
        <v>662.9</v>
      </c>
      <c r="L20" s="11"/>
      <c r="N20" s="11">
        <v>300</v>
      </c>
      <c r="O20" s="11">
        <f>Tabla35101826364[[#This Row],[COMISIONES]]*0.21</f>
        <v>63</v>
      </c>
      <c r="P20" s="11"/>
      <c r="Q20" s="11"/>
      <c r="R20" s="23"/>
      <c r="T20" s="11"/>
      <c r="U20" s="11">
        <f>Tabla356111927375[[#This Row],[COMISIONES]]*0.21</f>
        <v>0</v>
      </c>
      <c r="V20" s="11"/>
      <c r="W20" s="11"/>
      <c r="X20" s="11"/>
      <c r="Z20" s="11">
        <v>1044.3599999999999</v>
      </c>
      <c r="AA20" s="11">
        <f>Tabla3568132129397[[#This Row],[COMISIONES]]*0.21</f>
        <v>219.31559999999996</v>
      </c>
      <c r="AB20" s="11"/>
      <c r="AC20" s="11">
        <v>2563.9</v>
      </c>
      <c r="AD20" s="11"/>
      <c r="AF20" s="11"/>
      <c r="AG20" s="11">
        <f>Tabla356813142230408[[#This Row],[COMISIONES]]*0.21</f>
        <v>0</v>
      </c>
      <c r="AH20" s="11"/>
      <c r="AI20" s="11"/>
      <c r="AJ20" s="11"/>
      <c r="AK20" s="11"/>
      <c r="AL20" s="11">
        <f>Tabla356111927344311[[#This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Tabla131624322[[#This Row],[COMISIONES]]*0.21</f>
        <v>0</v>
      </c>
      <c r="D21" s="3"/>
      <c r="E21" s="3"/>
      <c r="F21" s="3"/>
      <c r="H21" s="11"/>
      <c r="I21" s="11">
        <f>Tabla391725353[[#This Row],[COMISIONES]]*0.21</f>
        <v>0</v>
      </c>
      <c r="J21" s="11"/>
      <c r="K21" s="11"/>
      <c r="L21" s="11"/>
      <c r="N21" s="11">
        <v>300</v>
      </c>
      <c r="O21" s="11">
        <f>Tabla35101826364[[#This Row],[COMISIONES]]*0.21</f>
        <v>63</v>
      </c>
      <c r="P21" s="11"/>
      <c r="Q21" s="11"/>
      <c r="R21" s="11"/>
      <c r="T21" s="11"/>
      <c r="U21" s="11">
        <f>Tabla356111927375[[#This Row],[COMISIONES]]*0.21</f>
        <v>0</v>
      </c>
      <c r="V21" s="11"/>
      <c r="W21" s="11"/>
      <c r="X21" s="11"/>
      <c r="Z21" s="11">
        <v>542.38</v>
      </c>
      <c r="AA21" s="11">
        <f>Tabla3568132129397[[#This Row],[COMISIONES]]*0.21</f>
        <v>113.8998</v>
      </c>
      <c r="AB21" s="11"/>
      <c r="AC21" s="11"/>
      <c r="AD21" s="11"/>
      <c r="AF21" s="11"/>
      <c r="AG21" s="11">
        <f>Tabla356813142230408[[#This Row],[COMISIONES]]*0.21</f>
        <v>0</v>
      </c>
      <c r="AH21" s="11"/>
      <c r="AI21" s="11"/>
      <c r="AJ21" s="11"/>
      <c r="AK21" s="11"/>
      <c r="AL21" s="11">
        <f>Tabla356111927344311[[#This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Tabla131624322[[#This Row],[COMISIONES]]*0.21</f>
        <v>0</v>
      </c>
      <c r="D22" s="3"/>
      <c r="E22" s="3"/>
      <c r="F22" s="3"/>
      <c r="H22" s="11"/>
      <c r="I22" s="11">
        <f>Tabla391725353[[#This Row],[COMISIONES]]*0.21</f>
        <v>0</v>
      </c>
      <c r="J22" s="11"/>
      <c r="K22" s="11"/>
      <c r="L22" s="11"/>
      <c r="N22" s="11">
        <v>300</v>
      </c>
      <c r="O22" s="11">
        <f>Tabla35101826364[[#This Row],[COMISIONES]]*0.21</f>
        <v>63</v>
      </c>
      <c r="P22" s="11"/>
      <c r="Q22" s="11"/>
      <c r="R22" s="11"/>
      <c r="T22" s="11"/>
      <c r="U22" s="11">
        <f>Tabla356111927375[[#This Row],[COMISIONES]]*0.21</f>
        <v>0</v>
      </c>
      <c r="V22" s="11"/>
      <c r="W22" s="11"/>
      <c r="X22" s="11"/>
      <c r="Z22" s="11">
        <v>6993.43</v>
      </c>
      <c r="AA22" s="11"/>
      <c r="AB22" s="11">
        <f>Tabla3568132129397[[#This Row],[COMISIONES]]*0.105</f>
        <v>734.31015000000002</v>
      </c>
      <c r="AC22" s="11">
        <v>1016.85</v>
      </c>
      <c r="AD22" s="11">
        <f>104.9+16.27</f>
        <v>121.17</v>
      </c>
      <c r="AF22" s="11"/>
      <c r="AG22" s="11">
        <f>Tabla356813142230408[[#This Row],[COMISIONES]]*0.21</f>
        <v>0</v>
      </c>
      <c r="AH22" s="11"/>
      <c r="AI22" s="11"/>
      <c r="AJ22" s="11"/>
      <c r="AK22" s="11"/>
      <c r="AL22" s="11">
        <f>Tabla356111927344311[[#This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Tabla131624322[[#This Row],[COMISIONES]]*0.21</f>
        <v>0</v>
      </c>
      <c r="D23" s="3"/>
      <c r="E23" s="3"/>
      <c r="F23" s="3"/>
      <c r="H23" s="11"/>
      <c r="I23" s="11">
        <f>Tabla391725353[[#This Row],[COMISIONES]]*0.21</f>
        <v>0</v>
      </c>
      <c r="J23" s="11"/>
      <c r="K23" s="11"/>
      <c r="L23" s="11"/>
      <c r="N23" s="11">
        <v>300</v>
      </c>
      <c r="O23" s="11">
        <f>Tabla35101826364[[#This Row],[COMISIONES]]*0.21</f>
        <v>63</v>
      </c>
      <c r="P23" s="11"/>
      <c r="Q23" s="11"/>
      <c r="R23" s="11"/>
      <c r="T23" s="11"/>
      <c r="U23" s="11">
        <f>Tabla356111927375[[#This Row],[COMISIONES]]*0.21</f>
        <v>0</v>
      </c>
      <c r="V23" s="11"/>
      <c r="W23" s="11"/>
      <c r="X23" s="11"/>
      <c r="Z23" s="11">
        <v>931.78</v>
      </c>
      <c r="AA23" s="11">
        <f>Tabla3568132129397[[#This Row],[COMISIONES]]*0.21</f>
        <v>195.6738</v>
      </c>
      <c r="AB23" s="11"/>
      <c r="AC23" s="11"/>
      <c r="AD23" s="11"/>
      <c r="AF23" s="11"/>
      <c r="AG23" s="11">
        <f>Tabla356813142230408[[#This Row],[COMISIONES]]*0.21</f>
        <v>0</v>
      </c>
      <c r="AH23" s="11"/>
      <c r="AI23" s="11"/>
      <c r="AJ23" s="11"/>
      <c r="AK23" s="11"/>
      <c r="AL23" s="11">
        <f>Tabla356111927344311[[#This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Tabla131624322[[#This Row],[COMISIONES]]*0.21</f>
        <v>0</v>
      </c>
      <c r="D24" s="3"/>
      <c r="E24" s="3"/>
      <c r="F24" s="3"/>
      <c r="H24" s="11"/>
      <c r="I24" s="11">
        <f>Tabla391725353[[#This Row],[COMISIONES]]*0.21</f>
        <v>0</v>
      </c>
      <c r="J24" s="11"/>
      <c r="K24" s="11"/>
      <c r="L24" s="11"/>
      <c r="N24" s="11">
        <v>300</v>
      </c>
      <c r="O24" s="11">
        <f>Tabla35101826364[[#This Row],[COMISIONES]]*0.21</f>
        <v>63</v>
      </c>
      <c r="P24" s="11"/>
      <c r="Q24" s="11"/>
      <c r="R24" s="11"/>
      <c r="T24" s="11"/>
      <c r="U24" s="11">
        <f>Tabla356111927375[[#This Row],[COMISIONES]]*0.21</f>
        <v>0</v>
      </c>
      <c r="V24" s="11"/>
      <c r="W24" s="11"/>
      <c r="X24" s="11"/>
      <c r="Z24" s="11">
        <v>18772.169999999998</v>
      </c>
      <c r="AA24" s="11"/>
      <c r="AB24" s="11">
        <f>Tabla3568132129397[[#This Row],[COMISIONES]]*0.105</f>
        <v>1971.0778499999997</v>
      </c>
      <c r="AC24" s="11">
        <v>1442.78</v>
      </c>
      <c r="AD24" s="11">
        <f>281.58+27.95</f>
        <v>309.52999999999997</v>
      </c>
      <c r="AF24" s="11"/>
      <c r="AG24" s="11">
        <f>Tabla356813142230408[[#This Row],[COMISIONES]]*0.21</f>
        <v>0</v>
      </c>
      <c r="AH24" s="11"/>
      <c r="AI24" s="11"/>
      <c r="AJ24" s="11"/>
      <c r="AK24" s="11"/>
      <c r="AL24" s="11">
        <f>Tabla356111927344311[[#This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Tabla131624322[[#This Row],[COMISIONES]]*0.21</f>
        <v>0</v>
      </c>
      <c r="D25" s="3"/>
      <c r="E25" s="3"/>
      <c r="F25" s="3"/>
      <c r="H25" s="11"/>
      <c r="I25" s="11">
        <f>Tabla391725353[[#This Row],[COMISIONES]]*0.21</f>
        <v>0</v>
      </c>
      <c r="J25" s="11"/>
      <c r="K25" s="11"/>
      <c r="L25" s="11"/>
      <c r="N25" s="11">
        <v>300</v>
      </c>
      <c r="O25" s="11">
        <f>Tabla35101826364[[#This Row],[COMISIONES]]*0.21</f>
        <v>63</v>
      </c>
      <c r="P25" s="11"/>
      <c r="Q25" s="11"/>
      <c r="R25" s="11"/>
      <c r="T25" s="11"/>
      <c r="U25" s="11">
        <f>Tabla356111927375[[#This Row],[COMISIONES]]*0.21</f>
        <v>0</v>
      </c>
      <c r="V25" s="11"/>
      <c r="W25" s="11"/>
      <c r="X25" s="11"/>
      <c r="Z25" s="11">
        <v>966.24</v>
      </c>
      <c r="AA25" s="11">
        <f>Tabla3568132129397[[#This Row],[COMISIONES]]*0.21</f>
        <v>202.91039999999998</v>
      </c>
      <c r="AB25" s="11"/>
      <c r="AC25" s="11">
        <v>2372.12</v>
      </c>
      <c r="AD25" s="11"/>
      <c r="AF25" s="11"/>
      <c r="AG25" s="11">
        <f>Tabla356813142230408[[#This Row],[COMISIONES]]*0.21</f>
        <v>0</v>
      </c>
      <c r="AH25" s="11"/>
      <c r="AI25" s="11"/>
      <c r="AJ25" s="11"/>
      <c r="AK25" s="11"/>
      <c r="AL25" s="11">
        <f>Tabla356111927344311[[#This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Tabla131624322[[#This Row],[COMISIONES]]*0.21</f>
        <v>0</v>
      </c>
      <c r="D26" s="3"/>
      <c r="E26" s="3"/>
      <c r="F26" s="3"/>
      <c r="H26" s="11"/>
      <c r="I26" s="11">
        <f>Tabla391725353[[#This Row],[COMISIONES]]*0.21</f>
        <v>0</v>
      </c>
      <c r="J26" s="11"/>
      <c r="K26" s="11"/>
      <c r="L26" s="11"/>
      <c r="N26" s="11">
        <v>300</v>
      </c>
      <c r="O26" s="11">
        <f>Tabla35101826364[[#This Row],[COMISIONES]]*0.21</f>
        <v>63</v>
      </c>
      <c r="P26" s="11"/>
      <c r="Q26" s="11"/>
      <c r="R26" s="11"/>
      <c r="T26" s="11"/>
      <c r="U26" s="11">
        <f>Tabla356111927375[[#This Row],[COMISIONES]]*0.21</f>
        <v>0</v>
      </c>
      <c r="V26" s="11"/>
      <c r="W26" s="11"/>
      <c r="X26" s="11"/>
      <c r="Z26" s="11">
        <v>320.57</v>
      </c>
      <c r="AA26" s="11">
        <f>Tabla3568132129397[[#This Row],[COMISIONES]]*0.21</f>
        <v>67.319699999999997</v>
      </c>
      <c r="AB26" s="11"/>
      <c r="AC26" s="11"/>
      <c r="AD26" s="11"/>
      <c r="AF26" s="4">
        <f>SUBTOTAL(109,Tabla356813142230408[COMISIONES])</f>
        <v>316.88</v>
      </c>
      <c r="AG26" s="4">
        <f>SUBTOTAL(109,Tabla356813142230408[IVA 21])</f>
        <v>66.544799999999995</v>
      </c>
      <c r="AH26" s="4">
        <f>SUBTOTAL(109,Tabla356813142230408[IVA 10,5])</f>
        <v>0</v>
      </c>
      <c r="AI26" s="4">
        <f>SUBTOTAL(109,Tabla356813142230408[Ret IIBB Caba])</f>
        <v>1768.1899999999998</v>
      </c>
      <c r="AJ26" s="4">
        <f>SUBTOTAL(109,Tabla356813142230408[PERC IVA])</f>
        <v>0</v>
      </c>
      <c r="AK26" s="11"/>
      <c r="AL26" s="11">
        <f>Tabla356111927344311[[#This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Tabla131624322[[#This Row],[COMISIONES]]*0.21</f>
        <v>0</v>
      </c>
      <c r="D27" s="3"/>
      <c r="E27" s="3"/>
      <c r="F27" s="3"/>
      <c r="H27" s="11"/>
      <c r="I27" s="11">
        <f>Tabla391725353[[#This Row],[COMISIONES]]*0.21</f>
        <v>0</v>
      </c>
      <c r="J27" s="11"/>
      <c r="K27" s="11"/>
      <c r="L27" s="11"/>
      <c r="N27" s="11">
        <v>300</v>
      </c>
      <c r="O27" s="11">
        <f>Tabla35101826364[[#This Row],[COMISIONES]]*0.21</f>
        <v>63</v>
      </c>
      <c r="P27" s="11"/>
      <c r="Q27" s="11"/>
      <c r="R27" s="11"/>
      <c r="T27" s="11"/>
      <c r="U27" s="11">
        <f>Tabla356111927375[[#This Row],[COMISIONES]]*0.21</f>
        <v>0</v>
      </c>
      <c r="V27" s="11"/>
      <c r="W27" s="11"/>
      <c r="X27" s="11"/>
      <c r="Z27" s="11">
        <v>4133.41</v>
      </c>
      <c r="AA27" s="11"/>
      <c r="AB27" s="11">
        <f>Tabla3568132129397[[#This Row],[COMISIONES]]*0.105</f>
        <v>434.00804999999997</v>
      </c>
      <c r="AC27" s="11">
        <v>601</v>
      </c>
      <c r="AD27" s="11">
        <f>62+9.62</f>
        <v>71.62</v>
      </c>
      <c r="AK27" s="11"/>
      <c r="AL27" s="11">
        <f>Tabla356111927344311[[#This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Tabla131624322[[#This Row],[COMISIONES]]*0.21</f>
        <v>0</v>
      </c>
      <c r="D28" s="3"/>
      <c r="E28" s="3"/>
      <c r="F28" s="3"/>
      <c r="H28" s="11"/>
      <c r="I28" s="11">
        <f>Tabla391725353[[#This Row],[COMISIONES]]*0.21</f>
        <v>0</v>
      </c>
      <c r="J28" s="11"/>
      <c r="K28" s="11"/>
      <c r="L28" s="11"/>
      <c r="N28" s="11">
        <v>5578</v>
      </c>
      <c r="O28" s="11">
        <f>Tabla35101826364[[#This Row],[COMISIONES]]*0.21</f>
        <v>1171.3799999999999</v>
      </c>
      <c r="P28" s="11"/>
      <c r="Q28" s="11">
        <v>334.68</v>
      </c>
      <c r="R28" s="11">
        <v>167.34</v>
      </c>
      <c r="T28" s="11"/>
      <c r="U28" s="11">
        <f>Tabla356111927375[[#This Row],[COMISIONES]]*0.21</f>
        <v>0</v>
      </c>
      <c r="V28" s="11"/>
      <c r="W28" s="11"/>
      <c r="X28" s="11"/>
      <c r="Z28" s="11">
        <v>436.5</v>
      </c>
      <c r="AA28" s="11">
        <f>Tabla3568132129397[[#This Row],[COMISIONES]]*0.21</f>
        <v>91.664999999999992</v>
      </c>
      <c r="AB28" s="11"/>
      <c r="AC28" s="11">
        <v>1071.6099999999999</v>
      </c>
      <c r="AD28" s="11"/>
      <c r="AK28" s="11"/>
      <c r="AL28" s="11">
        <f>Tabla356111927344311[[#This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Tabla131624322[[#This Row],[COMISIONES]]*0.21</f>
        <v>0</v>
      </c>
      <c r="D29" s="3"/>
      <c r="E29" s="3"/>
      <c r="F29" s="3"/>
      <c r="H29" s="11"/>
      <c r="I29" s="11">
        <f>Tabla391725353[[#This Row],[COMISIONES]]*0.21</f>
        <v>0</v>
      </c>
      <c r="J29" s="11"/>
      <c r="K29" s="11"/>
      <c r="L29" s="11"/>
      <c r="N29" s="11">
        <v>3984.29</v>
      </c>
      <c r="O29" s="11">
        <f>Tabla35101826364[[#This Row],[COMISIONES]]*0.21</f>
        <v>836.70089999999993</v>
      </c>
      <c r="P29" s="11"/>
      <c r="Q29" s="11">
        <v>239.05</v>
      </c>
      <c r="R29" s="11">
        <v>119.52</v>
      </c>
      <c r="T29" s="18"/>
      <c r="U29" s="18">
        <f>Tabla356111927375[[#This Row],[COMISIONES]]*0.21</f>
        <v>0</v>
      </c>
      <c r="V29" s="18"/>
      <c r="W29" s="18"/>
      <c r="X29" s="18"/>
      <c r="Z29" s="11">
        <v>1608.28</v>
      </c>
      <c r="AA29" s="11">
        <f>Tabla3568132129397[[#This Row],[COMISIONES]]*0.21</f>
        <v>337.73879999999997</v>
      </c>
      <c r="AB29" s="11"/>
      <c r="AC29" s="11">
        <v>3948.33</v>
      </c>
      <c r="AD29" s="11"/>
      <c r="AK29" s="18"/>
      <c r="AL29" s="18">
        <f>Tabla356111927344311[[#This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Tabla131624322[[#This Row],[COMISIONES]]*0.21</f>
        <v>0</v>
      </c>
      <c r="D30" s="3"/>
      <c r="E30" s="3"/>
      <c r="F30" s="3"/>
      <c r="H30" s="11"/>
      <c r="I30" s="11">
        <f>Tabla391725353[[#This Row],[COMISIONES]]*0.21</f>
        <v>0</v>
      </c>
      <c r="J30" s="11"/>
      <c r="K30" s="11"/>
      <c r="L30" s="11"/>
      <c r="N30" s="11">
        <v>300</v>
      </c>
      <c r="O30" s="11">
        <f>Tabla35101826364[[#This Row],[COMISIONES]]*0.21</f>
        <v>63</v>
      </c>
      <c r="P30" s="11"/>
      <c r="Q30" s="11"/>
      <c r="R30" s="11"/>
      <c r="T30" s="18"/>
      <c r="U30" s="18">
        <f>Tabla356111927375[[#This Row],[COMISIONES]]*0.21</f>
        <v>0</v>
      </c>
      <c r="V30" s="18"/>
      <c r="W30" s="18"/>
      <c r="X30" s="18"/>
      <c r="Z30" s="11">
        <v>1521.22</v>
      </c>
      <c r="AA30" s="11">
        <f>Tabla3568132129397[[#This Row],[COMISIONES]]*0.21</f>
        <v>319.45619999999997</v>
      </c>
      <c r="AB30" s="11"/>
      <c r="AC30" s="11"/>
      <c r="AD30" s="11"/>
      <c r="AK30" s="18"/>
      <c r="AL30" s="18">
        <f>Tabla356111927344311[[#This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Tabla131624322[[#This Row],[COMISIONES]]*0.21</f>
        <v>0</v>
      </c>
      <c r="D31" s="3"/>
      <c r="E31" s="1"/>
      <c r="F31" s="3"/>
      <c r="H31" s="11"/>
      <c r="I31" s="11">
        <f>Tabla391725353[[#This Row],[COMISIONES]]*0.21</f>
        <v>0</v>
      </c>
      <c r="J31" s="11"/>
      <c r="K31" s="11"/>
      <c r="L31" s="11"/>
      <c r="N31" s="11">
        <v>300</v>
      </c>
      <c r="O31" s="11">
        <f>Tabla35101826364[[#This Row],[COMISIONES]]*0.21</f>
        <v>63</v>
      </c>
      <c r="P31" s="11"/>
      <c r="Q31" s="11"/>
      <c r="R31" s="11"/>
      <c r="T31" s="4">
        <f>SUBTOTAL(109,Tabla356111927375[COMISIONES])</f>
        <v>13125</v>
      </c>
      <c r="U31" s="4">
        <f>SUBTOTAL(109,Tabla356111927375[IVA 21])</f>
        <v>3002.07</v>
      </c>
      <c r="V31" s="4">
        <f>SUBTOTAL(109,Tabla356111927375[IVA 10,5])</f>
        <v>0</v>
      </c>
      <c r="W31" s="4">
        <f>SUBTOTAL(109,Tabla356111927375[Ret IIBB Caba])</f>
        <v>787.5</v>
      </c>
      <c r="X31" s="4">
        <f>SUBTOTAL(109,Tabla356111927375[PERC IVA])</f>
        <v>393.75</v>
      </c>
      <c r="Z31" s="11">
        <v>20697.759999999998</v>
      </c>
      <c r="AA31" s="11">
        <f>Tabla3568132129397[[#This Row],[COMISIONES]]*0.21</f>
        <v>4346.5295999999998</v>
      </c>
      <c r="AB31" s="11"/>
      <c r="AC31" s="11">
        <v>2803.2</v>
      </c>
      <c r="AD31" s="11">
        <f>620.93+45.64</f>
        <v>666.56999999999994</v>
      </c>
      <c r="AK31" s="4">
        <f>SUBTOTAL(109,Tabla356111927344311[COMISIONES])</f>
        <v>1500</v>
      </c>
      <c r="AL31" s="4">
        <f>SUBTOTAL(109,Tabla356111927344311[IVA 21])</f>
        <v>315</v>
      </c>
      <c r="AM31" s="4">
        <f>SUBTOTAL(109,Tabla356111927344311[IVA 10,5])</f>
        <v>0</v>
      </c>
      <c r="AN31" s="4">
        <f>SUBTOTAL(109,Tabla356111927344311[Ret IIBB Caba])</f>
        <v>1706.91</v>
      </c>
      <c r="AO31" s="4">
        <f>SUBTOTAL(109,Tabla356111927344311[PERC IVA])</f>
        <v>0</v>
      </c>
    </row>
    <row r="32" spans="2:41" ht="18.75" x14ac:dyDescent="0.3">
      <c r="B32" s="3"/>
      <c r="C32" s="2">
        <f>Tabla131624322[[#This Row],[COMISIONES]]*0.21</f>
        <v>0</v>
      </c>
      <c r="D32" s="3"/>
      <c r="E32" s="3"/>
      <c r="F32" s="3"/>
      <c r="H32" s="11"/>
      <c r="I32" s="11">
        <f>Tabla391725353[[#This Row],[COMISIONES]]*0.21</f>
        <v>0</v>
      </c>
      <c r="J32" s="11"/>
      <c r="K32" s="11"/>
      <c r="L32" s="11"/>
      <c r="N32" s="11">
        <v>743</v>
      </c>
      <c r="O32" s="11">
        <f>Tabla35101826364[[#This Row],[COMISIONES]]*0.21</f>
        <v>156.03</v>
      </c>
      <c r="P32" s="11"/>
      <c r="Q32" s="11"/>
      <c r="R32" s="11"/>
      <c r="T32" s="42" t="s">
        <v>15</v>
      </c>
      <c r="U32" s="42"/>
      <c r="V32" s="42"/>
      <c r="W32" s="42"/>
      <c r="X32" s="42"/>
      <c r="Z32" s="11">
        <v>4739.3999999999996</v>
      </c>
      <c r="AA32" s="11">
        <f>Tabla3568132129397[[#This Row],[COMISIONES]]*0.21</f>
        <v>995.27399999999989</v>
      </c>
      <c r="AB32" s="11"/>
      <c r="AC32" s="11">
        <v>11635.23</v>
      </c>
      <c r="AD32" s="11">
        <v>142.16999999999999</v>
      </c>
    </row>
    <row r="33" spans="2:31" x14ac:dyDescent="0.25">
      <c r="B33" s="3"/>
      <c r="C33" s="2">
        <f>Tabla131624322[[#This Row],[COMISIONES]]*0.21</f>
        <v>0</v>
      </c>
      <c r="D33" s="3"/>
      <c r="E33" s="3"/>
      <c r="F33" s="3"/>
      <c r="H33" s="11"/>
      <c r="I33" s="11">
        <f>Tabla391725353[[#This Row],[COMISIONES]]*0.21</f>
        <v>0</v>
      </c>
      <c r="J33" s="11"/>
      <c r="K33" s="11"/>
      <c r="L33" s="11"/>
      <c r="N33" s="11">
        <v>743</v>
      </c>
      <c r="O33" s="11">
        <f>Tabla35101826364[[#This Row],[COMISIONES]]*0.21</f>
        <v>156.03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11">
        <v>192.6</v>
      </c>
      <c r="AA33" s="11">
        <f>Tabla3568132129397[[#This Row],[COMISIONES]]*0.21</f>
        <v>40.445999999999998</v>
      </c>
      <c r="AB33" s="11"/>
      <c r="AC33" s="11"/>
      <c r="AD33" s="11"/>
    </row>
    <row r="34" spans="2:31" x14ac:dyDescent="0.25">
      <c r="B34" s="3"/>
      <c r="C34" s="2">
        <f>Tabla131624322[[#This Row],[COMISIONES]]*0.21</f>
        <v>0</v>
      </c>
      <c r="D34" s="3"/>
      <c r="E34" s="3"/>
      <c r="F34" s="3"/>
      <c r="H34" s="11"/>
      <c r="I34" s="11">
        <f>Tabla391725353[[#This Row],[COMISIONES]]*0.21</f>
        <v>0</v>
      </c>
      <c r="J34" s="11"/>
      <c r="K34" s="11"/>
      <c r="L34" s="11"/>
      <c r="N34" s="11">
        <v>4052.21</v>
      </c>
      <c r="O34" s="11">
        <f>Tabla35101826364[[#This Row],[COMISIONES]]*0.21</f>
        <v>850.96410000000003</v>
      </c>
      <c r="P34" s="11"/>
      <c r="Q34" s="11">
        <v>243.13</v>
      </c>
      <c r="R34" s="11">
        <v>121.56</v>
      </c>
      <c r="T34" s="11"/>
      <c r="U34" s="11">
        <f>Tabla6122028386[[#This Row],[COMISIONES]]*0.21</f>
        <v>0</v>
      </c>
      <c r="V34" s="11"/>
      <c r="W34" s="11"/>
      <c r="X34" s="11"/>
      <c r="Z34" s="11">
        <v>1926.49</v>
      </c>
      <c r="AA34" s="11"/>
      <c r="AB34" s="11">
        <f>Tabla3568132129397[[#This Row],[COMISIONES]]*0.105</f>
        <v>202.28145000000001</v>
      </c>
      <c r="AC34" s="11">
        <v>386.14</v>
      </c>
      <c r="AD34" s="11"/>
    </row>
    <row r="35" spans="2:31" x14ac:dyDescent="0.25">
      <c r="B35" s="3"/>
      <c r="C35" s="2">
        <f>Tabla131624322[[#This Row],[COMISIONES]]*0.21</f>
        <v>0</v>
      </c>
      <c r="D35" s="3"/>
      <c r="E35" s="3"/>
      <c r="F35" s="3"/>
      <c r="H35" s="11"/>
      <c r="I35" s="11">
        <f>Tabla391725353[[#This Row],[COMISIONES]]*0.21</f>
        <v>0</v>
      </c>
      <c r="J35" s="11"/>
      <c r="K35" s="11"/>
      <c r="L35" s="11"/>
      <c r="N35" s="11">
        <v>4748.3</v>
      </c>
      <c r="O35" s="11">
        <f>Tabla35101826364[[#This Row],[COMISIONES]]*0.21</f>
        <v>997.14300000000003</v>
      </c>
      <c r="P35" s="11"/>
      <c r="Q35" s="11">
        <v>284.89</v>
      </c>
      <c r="R35" s="11">
        <v>142.44</v>
      </c>
      <c r="T35" s="11"/>
      <c r="U35" s="11">
        <f>Tabla6122028386[[#This Row],[COMISIONES]]*0.21</f>
        <v>0</v>
      </c>
      <c r="V35" s="11"/>
      <c r="W35" s="11"/>
      <c r="X35" s="11"/>
      <c r="Z35" s="11">
        <v>95.76</v>
      </c>
      <c r="AA35" s="11">
        <f>Tabla3568132129397[[#This Row],[COMISIONES]]*0.21</f>
        <v>20.1096</v>
      </c>
      <c r="AB35" s="11"/>
      <c r="AC35" s="11">
        <v>235.09</v>
      </c>
      <c r="AD35" s="11"/>
    </row>
    <row r="36" spans="2:31" x14ac:dyDescent="0.25">
      <c r="B36" s="3"/>
      <c r="C36" s="2">
        <f>Tabla131624322[[#This Row],[COMISIONES]]*0.21</f>
        <v>0</v>
      </c>
      <c r="D36" s="3"/>
      <c r="E36" s="3"/>
      <c r="F36" s="3"/>
      <c r="H36" s="11"/>
      <c r="I36" s="11">
        <f>Tabla391725353[[#This Row],[COMISIONES]]*0.21</f>
        <v>0</v>
      </c>
      <c r="J36" s="11"/>
      <c r="K36" s="11"/>
      <c r="L36" s="11"/>
      <c r="N36" s="11">
        <v>300</v>
      </c>
      <c r="O36" s="11">
        <f>Tabla35101826364[[#This Row],[COMISIONES]]*0.21</f>
        <v>63</v>
      </c>
      <c r="P36" s="11"/>
      <c r="Q36" s="11"/>
      <c r="R36" s="11"/>
      <c r="T36" s="11"/>
      <c r="U36" s="19">
        <f>Tabla6122028386[[#This Row],[COMISIONES]]*0.21</f>
        <v>0</v>
      </c>
      <c r="Z36" s="11">
        <v>279</v>
      </c>
      <c r="AA36" s="11">
        <f>Tabla3568132129397[[#This Row],[COMISIONES]]*0.21</f>
        <v>58.589999999999996</v>
      </c>
      <c r="AB36" s="11"/>
      <c r="AC36" s="11">
        <v>684.95</v>
      </c>
      <c r="AD36" s="11"/>
    </row>
    <row r="37" spans="2:31" x14ac:dyDescent="0.25">
      <c r="B37" s="3"/>
      <c r="C37" s="2">
        <f>Tabla131624322[[#This Row],[COMISIONES]]*0.21</f>
        <v>0</v>
      </c>
      <c r="D37" s="3"/>
      <c r="E37" s="3"/>
      <c r="F37" s="3"/>
      <c r="H37" s="11"/>
      <c r="I37" s="11">
        <f>Tabla391725353[[#This Row],[COMISIONES]]*0.21</f>
        <v>0</v>
      </c>
      <c r="J37" s="11"/>
      <c r="K37" s="11"/>
      <c r="L37" s="11"/>
      <c r="N37" s="11">
        <v>300</v>
      </c>
      <c r="O37" s="11">
        <f>Tabla35101826364[[#This Row],[COMISIONES]]*0.21</f>
        <v>63</v>
      </c>
      <c r="P37" s="11"/>
      <c r="Q37" s="11"/>
      <c r="R37" s="11"/>
      <c r="T37" s="11"/>
      <c r="U37" s="19">
        <f>Tabla6122028386[[#This Row],[COMISIONES]]*0.21</f>
        <v>0</v>
      </c>
      <c r="Z37" s="21">
        <v>942.48</v>
      </c>
      <c r="AA37" s="21">
        <f>Tabla3568132129397[[#This Row],[COMISIONES]]*0.21</f>
        <v>197.92079999999999</v>
      </c>
      <c r="AB37" s="21"/>
      <c r="AC37" s="21">
        <v>2313.79</v>
      </c>
      <c r="AD37" s="22"/>
    </row>
    <row r="38" spans="2:31" x14ac:dyDescent="0.25">
      <c r="B38" s="3"/>
      <c r="C38" s="2">
        <f>Tabla131624322[[#This Row],[COMISIONES]]*0.21</f>
        <v>0</v>
      </c>
      <c r="D38" s="3"/>
      <c r="E38" s="3"/>
      <c r="F38" s="3"/>
      <c r="H38" s="11"/>
      <c r="I38" s="11">
        <f>Tabla391725353[[#This Row],[COMISIONES]]*0.21</f>
        <v>0</v>
      </c>
      <c r="J38" s="11"/>
      <c r="K38" s="11"/>
      <c r="L38" s="11"/>
      <c r="N38" s="11"/>
      <c r="O38" s="11">
        <f>Tabla35101826364[[#This Row],[COMISIONES]]*0.21</f>
        <v>0</v>
      </c>
      <c r="P38" s="11"/>
      <c r="Q38" s="11"/>
      <c r="R38" s="11"/>
      <c r="T38" s="11"/>
      <c r="U38" s="19">
        <f>Tabla6122028386[[#This Row],[COMISIONES]]*0.21</f>
        <v>0</v>
      </c>
      <c r="Z38" s="21">
        <v>475.92</v>
      </c>
      <c r="AA38" s="21">
        <f>Tabla3568132129397[[#This Row],[COMISIONES]]*0.21</f>
        <v>99.943200000000004</v>
      </c>
      <c r="AB38" s="21"/>
      <c r="AC38" s="21">
        <v>1168.3800000000001</v>
      </c>
      <c r="AD38" s="21"/>
    </row>
    <row r="39" spans="2:31" x14ac:dyDescent="0.25">
      <c r="B39" s="3"/>
      <c r="C39" s="2">
        <f>Tabla131624322[[#This Row],[COMISIONES]]*0.21</f>
        <v>0</v>
      </c>
      <c r="D39" s="3"/>
      <c r="E39" s="3"/>
      <c r="F39" s="3"/>
      <c r="H39" s="11"/>
      <c r="I39" s="11">
        <f>Tabla391725353[[#This Row],[COMISIONES]]*0.21</f>
        <v>0</v>
      </c>
      <c r="J39" s="11"/>
      <c r="K39" s="11"/>
      <c r="L39" s="11"/>
      <c r="N39" s="11"/>
      <c r="O39" s="11">
        <f>Tabla35101826364[[#This Row],[COMISIONES]]*0.21</f>
        <v>0</v>
      </c>
      <c r="P39" s="11"/>
      <c r="Q39" s="11"/>
      <c r="R39" s="11"/>
      <c r="T39" s="11"/>
      <c r="U39" s="19">
        <f>Tabla6122028386[[#This Row],[COMISIONES]]*0.21</f>
        <v>0</v>
      </c>
      <c r="Z39" s="21">
        <v>10935.95</v>
      </c>
      <c r="AA39" s="21">
        <f>Tabla3568132129397[[#This Row],[COMISIONES]]*0.21</f>
        <v>2296.5495000000001</v>
      </c>
      <c r="AB39" s="21"/>
      <c r="AC39" s="21"/>
      <c r="AD39" s="21"/>
    </row>
    <row r="40" spans="2:31" x14ac:dyDescent="0.25">
      <c r="B40" s="3"/>
      <c r="C40" s="2">
        <f>Tabla131624322[[#This Row],[COMISIONES]]*0.21</f>
        <v>0</v>
      </c>
      <c r="D40" s="3"/>
      <c r="E40" s="3"/>
      <c r="F40" s="3"/>
      <c r="H40" s="11"/>
      <c r="I40" s="11">
        <f>Tabla391725353[[#This Row],[COMISIONES]]*0.21</f>
        <v>0</v>
      </c>
      <c r="J40" s="11"/>
      <c r="K40" s="11"/>
      <c r="L40" s="11"/>
      <c r="N40" s="11"/>
      <c r="O40" s="11">
        <f>Tabla35101826364[[#This Row],[COMISIONES]]*0.21</f>
        <v>0</v>
      </c>
      <c r="P40" s="11"/>
      <c r="Q40" s="11"/>
      <c r="R40" s="11"/>
      <c r="T40" s="11"/>
      <c r="U40" s="19">
        <f>Tabla6122028386[[#This Row],[COMISIONES]]*0.21</f>
        <v>0</v>
      </c>
      <c r="Z40" s="21">
        <v>195133.52</v>
      </c>
      <c r="AA40" s="21"/>
      <c r="AB40" s="11">
        <f>Tabla3568132129397[[#This Row],[COMISIONES]]*0.105</f>
        <v>20489.0196</v>
      </c>
      <c r="AC40" s="21">
        <v>18066.740000000002</v>
      </c>
      <c r="AD40" s="21">
        <f>2927.01+328.09</f>
        <v>3255.1000000000004</v>
      </c>
    </row>
    <row r="41" spans="2:31" x14ac:dyDescent="0.25">
      <c r="B41" s="3"/>
      <c r="C41" s="2">
        <f>Tabla131624322[[#This Row],[COMISIONES]]*0.21</f>
        <v>0</v>
      </c>
      <c r="D41" s="3"/>
      <c r="E41" s="3"/>
      <c r="F41" s="3"/>
      <c r="H41" s="18"/>
      <c r="I41" s="18">
        <f>Tabla391725353[[#This Row],[COMISIONES]]*0.21</f>
        <v>0</v>
      </c>
      <c r="J41" s="18"/>
      <c r="K41" s="18"/>
      <c r="L41" s="18"/>
      <c r="N41" s="11"/>
      <c r="O41" s="11">
        <f>Tabla35101826364[[#This Row],[COMISIONES]]*0.21</f>
        <v>0</v>
      </c>
      <c r="P41" s="11"/>
      <c r="Q41" s="11"/>
      <c r="R41" s="11"/>
      <c r="T41" s="11"/>
      <c r="U41" s="19">
        <f>Tabla6122028386[[#This Row],[COMISIONES]]*0.21</f>
        <v>0</v>
      </c>
      <c r="Z41" s="21">
        <v>873.9</v>
      </c>
      <c r="AA41" s="21">
        <f>Tabla3568132129397[[#This Row],[COMISIONES]]*0.21</f>
        <v>183.51899999999998</v>
      </c>
      <c r="AB41" s="21"/>
      <c r="AC41" s="21">
        <v>2145.42</v>
      </c>
      <c r="AD41" s="21"/>
    </row>
    <row r="42" spans="2:31" x14ac:dyDescent="0.25">
      <c r="B42" s="3"/>
      <c r="C42" s="2">
        <f>Tabla131624322[[#This Row],[COMISIONES]]*0.21</f>
        <v>0</v>
      </c>
      <c r="D42" s="3"/>
      <c r="E42" s="3"/>
      <c r="F42" s="3"/>
      <c r="H42" s="18"/>
      <c r="I42" s="18">
        <f>Tabla391725353[[#This Row],[COMISIONES]]*0.21</f>
        <v>0</v>
      </c>
      <c r="J42" s="18"/>
      <c r="K42" s="18"/>
      <c r="L42" s="18"/>
      <c r="N42" s="11"/>
      <c r="O42" s="11">
        <f>Tabla35101826364[[#This Row],[COMISIONES]]*0.21</f>
        <v>0</v>
      </c>
      <c r="P42" s="11"/>
      <c r="Q42" s="11"/>
      <c r="R42" s="11"/>
      <c r="T42" s="11"/>
      <c r="U42" s="19">
        <f>Tabla6122028386[[#This Row],[COMISIONES]]*0.21</f>
        <v>0</v>
      </c>
      <c r="Z42" s="21">
        <v>2458.44</v>
      </c>
      <c r="AA42" s="21">
        <f>Tabla3568132129397[[#This Row],[COMISIONES]]*0.21</f>
        <v>516.27239999999995</v>
      </c>
      <c r="AB42" s="21"/>
      <c r="AC42" s="21">
        <v>6035.47</v>
      </c>
      <c r="AD42" s="21">
        <v>73.760000000000005</v>
      </c>
    </row>
    <row r="43" spans="2:31" x14ac:dyDescent="0.25">
      <c r="B43" s="3"/>
      <c r="C43" s="2">
        <f>Tabla131624322[[#This Row],[COMISIONES]]*0.21</f>
        <v>0</v>
      </c>
      <c r="D43" s="3"/>
      <c r="E43" s="3"/>
      <c r="F43" s="3"/>
      <c r="G43" s="8"/>
      <c r="H43" s="18"/>
      <c r="I43" s="18">
        <f>Tabla391725353[[#This Row],[COMISIONES]]*0.21</f>
        <v>0</v>
      </c>
      <c r="J43" s="18"/>
      <c r="K43" s="18"/>
      <c r="L43" s="18"/>
      <c r="M43" s="8"/>
      <c r="N43" s="11"/>
      <c r="O43" s="11">
        <f>Tabla35101826364[[#This Row],[COMISIONES]]*0.21</f>
        <v>0</v>
      </c>
      <c r="P43" s="11"/>
      <c r="Q43" s="11"/>
      <c r="R43" s="11"/>
      <c r="S43" s="8"/>
      <c r="T43" s="11"/>
      <c r="U43" s="19">
        <f>Tabla6122028386[[#This Row],[COMISIONES]]*0.21</f>
        <v>0</v>
      </c>
      <c r="Y43" s="8"/>
      <c r="Z43" s="21">
        <v>2227.0300000000002</v>
      </c>
      <c r="AA43" s="21">
        <f>Tabla3568132129397[[#This Row],[COMISIONES]]*0.21</f>
        <v>467.67630000000003</v>
      </c>
      <c r="AB43" s="21"/>
      <c r="AC43" s="21"/>
      <c r="AD43" s="21"/>
      <c r="AE43" s="8"/>
    </row>
    <row r="44" spans="2:31" x14ac:dyDescent="0.25">
      <c r="B44" s="3"/>
      <c r="C44" s="2">
        <f>Tabla131624322[[#This Row],[COMISIONES]]*0.21</f>
        <v>0</v>
      </c>
      <c r="D44" s="3"/>
      <c r="E44" s="3"/>
      <c r="F44" s="3"/>
      <c r="H44" s="18"/>
      <c r="I44" s="18">
        <f>Tabla391725353[[#This Row],[COMISIONES]]*0.21</f>
        <v>0</v>
      </c>
      <c r="J44" s="18"/>
      <c r="K44" s="18"/>
      <c r="L44" s="18"/>
      <c r="N44" s="11"/>
      <c r="O44" s="11">
        <f>Tabla35101826364[[#This Row],[COMISIONES]]*0.21</f>
        <v>0</v>
      </c>
      <c r="P44" s="11"/>
      <c r="Q44" s="11"/>
      <c r="R44" s="11"/>
      <c r="U44" s="19">
        <f>Tabla6122028386[[#This Row],[COMISIONES]]*0.21</f>
        <v>0</v>
      </c>
      <c r="Z44" s="21">
        <v>28715.040000000001</v>
      </c>
      <c r="AA44" s="21"/>
      <c r="AB44" s="11">
        <f>Tabla3568132129397[[#This Row],[COMISIONES]]*0.105</f>
        <v>3015.0792000000001</v>
      </c>
      <c r="AC44" s="21">
        <v>4175.18</v>
      </c>
      <c r="AD44" s="21">
        <f>430.72+66.81</f>
        <v>497.53000000000003</v>
      </c>
    </row>
    <row r="45" spans="2:31" x14ac:dyDescent="0.25">
      <c r="B45" s="3"/>
      <c r="C45" s="2">
        <f>Tabla131624322[[#This Row],[COMISIONES]]*0.21</f>
        <v>0</v>
      </c>
      <c r="D45" s="3"/>
      <c r="E45" s="3"/>
      <c r="F45" s="3"/>
      <c r="H45" s="18"/>
      <c r="I45" s="18">
        <f>Tabla391725353[[#This Row],[COMISIONES]]*0.21</f>
        <v>0</v>
      </c>
      <c r="J45" s="18"/>
      <c r="K45" s="18"/>
      <c r="L45" s="18"/>
      <c r="N45" s="11"/>
      <c r="O45" s="11">
        <f>Tabla35101826364[[#This Row],[COMISIONES]]*0.21</f>
        <v>0</v>
      </c>
      <c r="P45" s="11"/>
      <c r="Q45" s="11"/>
      <c r="R45" s="11"/>
      <c r="U45" s="19">
        <f>Tabla6122028386[[#This Row],[COMISIONES]]*0.21</f>
        <v>0</v>
      </c>
      <c r="Z45" s="21">
        <v>270.18</v>
      </c>
      <c r="AA45" s="21">
        <f>Tabla3568132129397[[#This Row],[COMISIONES]]*0.21</f>
        <v>56.7378</v>
      </c>
      <c r="AB45" s="21"/>
      <c r="AC45" s="21">
        <v>663.29</v>
      </c>
      <c r="AD45" s="21"/>
    </row>
    <row r="46" spans="2:31" x14ac:dyDescent="0.25">
      <c r="B46" s="3"/>
      <c r="C46" s="2">
        <f>Tabla131624322[[#This Row],[COMISIONES]]*0.21</f>
        <v>0</v>
      </c>
      <c r="D46" s="3"/>
      <c r="E46" s="3"/>
      <c r="F46" s="3"/>
      <c r="H46" s="18"/>
      <c r="I46" s="18">
        <f>Tabla391725353[[#This Row],[COMISIONES]]*0.21</f>
        <v>0</v>
      </c>
      <c r="J46" s="18"/>
      <c r="K46" s="18"/>
      <c r="L46" s="18"/>
      <c r="N46" s="11"/>
      <c r="O46" s="11">
        <f>Tabla35101826364[[#This Row],[COMISIONES]]*0.21</f>
        <v>0</v>
      </c>
      <c r="P46" s="11"/>
      <c r="Q46" s="11"/>
      <c r="R46" s="11"/>
      <c r="U46" s="19">
        <f>Tabla6122028386[[#This Row],[COMISIONES]]*0.21</f>
        <v>0</v>
      </c>
      <c r="Z46" s="21">
        <v>609.29999999999995</v>
      </c>
      <c r="AA46" s="21">
        <f>Tabla3568132129397[[#This Row],[COMISIONES]]*0.21</f>
        <v>127.95299999999999</v>
      </c>
      <c r="AB46" s="21"/>
      <c r="AC46" s="21"/>
      <c r="AD46" s="21"/>
    </row>
    <row r="47" spans="2:31" x14ac:dyDescent="0.25">
      <c r="B47" s="3"/>
      <c r="C47" s="2">
        <f>Tabla131624322[[#This Row],[COMISIONES]]*0.21</f>
        <v>0</v>
      </c>
      <c r="D47" s="3"/>
      <c r="E47" s="3"/>
      <c r="F47" s="3"/>
      <c r="H47" s="18"/>
      <c r="I47" s="18">
        <f>Tabla391725353[[#This Row],[COMISIONES]]*0.21</f>
        <v>0</v>
      </c>
      <c r="J47" s="18"/>
      <c r="K47" s="18"/>
      <c r="L47" s="18"/>
      <c r="N47" s="11"/>
      <c r="O47" s="11">
        <f>Tabla35101826364[[#This Row],[COMISIONES]]*0.21</f>
        <v>0</v>
      </c>
      <c r="P47" s="11"/>
      <c r="Q47" s="11"/>
      <c r="R47" s="11"/>
      <c r="U47" s="19">
        <f>Tabla6122028386[[#This Row],[COMISIONES]]*0.21</f>
        <v>0</v>
      </c>
      <c r="Z47" s="21">
        <v>7856.23</v>
      </c>
      <c r="AA47" s="21"/>
      <c r="AB47" s="11">
        <f>Tabla3568132129397[[#This Row],[COMISIONES]]*0.105</f>
        <v>824.90414999999996</v>
      </c>
      <c r="AC47" s="21">
        <v>1142.3</v>
      </c>
      <c r="AD47" s="21">
        <f>117.84+18.28</f>
        <v>136.12</v>
      </c>
    </row>
    <row r="48" spans="2:31" x14ac:dyDescent="0.25">
      <c r="B48" s="3"/>
      <c r="C48" s="2">
        <f>Tabla131624322[[#This Row],[COMISIONES]]*0.21</f>
        <v>0</v>
      </c>
      <c r="D48" s="3"/>
      <c r="E48" s="3"/>
      <c r="F48" s="3"/>
      <c r="H48" s="18"/>
      <c r="I48" s="18">
        <f>Tabla391725353[[#This Row],[COMISIONES]]*0.21</f>
        <v>0</v>
      </c>
      <c r="J48" s="18"/>
      <c r="K48" s="18"/>
      <c r="L48" s="18"/>
      <c r="N48" s="11"/>
      <c r="O48" s="11">
        <f>Tabla35101826364[[#This Row],[COMISIONES]]*0.21</f>
        <v>0</v>
      </c>
      <c r="P48" s="11"/>
      <c r="Q48" s="11"/>
      <c r="R48" s="11"/>
      <c r="U48" s="19">
        <f>Tabla6122028386[[#This Row],[COMISIONES]]*0.21</f>
        <v>0</v>
      </c>
      <c r="Z48" s="21">
        <v>391.68</v>
      </c>
      <c r="AA48" s="21">
        <f>Tabla3568132129397[[#This Row],[COMISIONES]]*0.21</f>
        <v>82.252799999999993</v>
      </c>
      <c r="AB48" s="21"/>
      <c r="AC48" s="21">
        <v>961.57</v>
      </c>
      <c r="AD48" s="21"/>
    </row>
    <row r="49" spans="2:30" x14ac:dyDescent="0.25">
      <c r="B49" s="3"/>
      <c r="C49" s="2">
        <f>Tabla131624322[[#This Row],[COMISIONES]]*0.21</f>
        <v>0</v>
      </c>
      <c r="D49" s="3"/>
      <c r="E49" s="3"/>
      <c r="F49" s="3"/>
      <c r="H49" s="18"/>
      <c r="I49" s="18">
        <f>Tabla391725353[[#This Row],[COMISIONES]]*0.21</f>
        <v>0</v>
      </c>
      <c r="J49" s="18"/>
      <c r="K49" s="18"/>
      <c r="L49" s="18"/>
      <c r="N49" s="11"/>
      <c r="O49" s="11">
        <f>Tabla35101826364[[#This Row],[COMISIONES]]*0.21</f>
        <v>0</v>
      </c>
      <c r="P49" s="11"/>
      <c r="Q49" s="11"/>
      <c r="R49" s="11"/>
      <c r="U49" s="19">
        <f>Tabla6122028386[[#This Row],[COMISIONES]]*0.21</f>
        <v>0</v>
      </c>
      <c r="Z49" s="21">
        <v>1112.8</v>
      </c>
      <c r="AA49" s="21">
        <f>Tabla3568132129397[[#This Row],[COMISIONES]]*0.21</f>
        <v>233.68799999999999</v>
      </c>
      <c r="AB49" s="21"/>
      <c r="AC49" s="21">
        <v>2731.91</v>
      </c>
      <c r="AD49" s="21"/>
    </row>
    <row r="50" spans="2:30" x14ac:dyDescent="0.25">
      <c r="B50" s="3"/>
      <c r="C50" s="2">
        <f>Tabla131624322[[#This Row],[COMISIONES]]*0.21</f>
        <v>0</v>
      </c>
      <c r="D50" s="3"/>
      <c r="E50" s="3"/>
      <c r="F50" s="3"/>
      <c r="H50" s="18"/>
      <c r="I50" s="18">
        <f>Tabla391725353[[#This Row],[COMISIONES]]*0.21</f>
        <v>0</v>
      </c>
      <c r="J50" s="18"/>
      <c r="K50" s="18"/>
      <c r="L50" s="18"/>
      <c r="N50" s="11"/>
      <c r="O50" s="11">
        <f>Tabla35101826364[[#This Row],[COMISIONES]]*0.21</f>
        <v>0</v>
      </c>
      <c r="P50" s="11"/>
      <c r="Q50" s="11"/>
      <c r="R50" s="11"/>
      <c r="U50" s="19">
        <f>Tabla6122028386[[#This Row],[COMISIONES]]*0.21</f>
        <v>0</v>
      </c>
      <c r="Z50" s="21">
        <v>1385.82</v>
      </c>
      <c r="AA50" s="21">
        <f>Tabla3568132129397[[#This Row],[COMISIONES]]*0.21</f>
        <v>291.0222</v>
      </c>
      <c r="AB50" s="21"/>
      <c r="AC50" s="21">
        <v>3402.19</v>
      </c>
      <c r="AD50" s="21"/>
    </row>
    <row r="51" spans="2:30" x14ac:dyDescent="0.25">
      <c r="B51" s="2"/>
      <c r="C51" s="2">
        <f>Tabla131624322[[#This Row],[COMISIONES]]*0.21</f>
        <v>0</v>
      </c>
      <c r="D51" s="2"/>
      <c r="E51" s="2"/>
      <c r="H51" s="18"/>
      <c r="I51" s="18">
        <f>Tabla391725353[[#This Row],[COMISIONES]]*0.21</f>
        <v>0</v>
      </c>
      <c r="J51" s="18"/>
      <c r="K51" s="18"/>
      <c r="L51" s="18"/>
      <c r="N51" s="11"/>
      <c r="O51" s="11">
        <f>Tabla35101826364[[#This Row],[COMISIONES]]*0.21</f>
        <v>0</v>
      </c>
      <c r="P51" s="11"/>
      <c r="Q51" s="11"/>
      <c r="R51" s="11"/>
      <c r="U51" s="19">
        <f>Tabla6122028386[[#This Row],[COMISIONES]]*0.21</f>
        <v>0</v>
      </c>
      <c r="Z51" s="21">
        <v>812.79</v>
      </c>
      <c r="AA51" s="21">
        <f>Tabla3568132129397[[#This Row],[COMISIONES]]*0.21</f>
        <v>170.68589999999998</v>
      </c>
      <c r="AB51" s="21"/>
      <c r="AC51" s="21">
        <v>1995.4</v>
      </c>
      <c r="AD51" s="21"/>
    </row>
    <row r="52" spans="2:30" x14ac:dyDescent="0.25">
      <c r="B52" s="2"/>
      <c r="C52" s="2">
        <f>Tabla131624322[[#This Row],[COMISIONES]]*0.21</f>
        <v>0</v>
      </c>
      <c r="D52" s="2"/>
      <c r="E52" s="2"/>
      <c r="H52" s="18"/>
      <c r="I52" s="18">
        <f>Tabla391725353[[#This Row],[COMISIONES]]*0.21</f>
        <v>0</v>
      </c>
      <c r="J52" s="18"/>
      <c r="K52" s="18"/>
      <c r="L52" s="18"/>
      <c r="N52" s="11"/>
      <c r="O52" s="11">
        <f>Tabla35101826364[[#This Row],[COMISIONES]]*0.21</f>
        <v>0</v>
      </c>
      <c r="P52" s="11"/>
      <c r="Q52" s="11"/>
      <c r="R52" s="11"/>
      <c r="U52" s="19">
        <f>Tabla6122028386[[#This Row],[COMISIONES]]*0.21</f>
        <v>0</v>
      </c>
      <c r="Z52" s="21">
        <v>1651.05</v>
      </c>
      <c r="AA52" s="21">
        <f>Tabla3568132129397[[#This Row],[COMISIONES]]*0.21</f>
        <v>346.72049999999996</v>
      </c>
      <c r="AB52" s="21"/>
      <c r="AC52" s="21"/>
      <c r="AD52" s="21"/>
    </row>
    <row r="53" spans="2:30" x14ac:dyDescent="0.25">
      <c r="B53" s="2"/>
      <c r="C53" s="2">
        <f>Tabla131624322[[#This Row],[COMISIONES]]*0.21</f>
        <v>0</v>
      </c>
      <c r="D53" s="2"/>
      <c r="E53" s="2"/>
      <c r="H53" s="24">
        <f>SUBTOTAL(109,Tabla391725353[COMISIONES])</f>
        <v>1979.32</v>
      </c>
      <c r="I53" s="24">
        <f>SUBTOTAL(109,Tabla391725353[IVA 21])</f>
        <v>415.65719999999999</v>
      </c>
      <c r="J53" s="24">
        <f>SUBTOTAL(109,Tabla391725353[IVA 10,5])</f>
        <v>0</v>
      </c>
      <c r="K53" s="24">
        <f>SUBTOTAL(109,Tabla391725353[Ret IIBB Caba])</f>
        <v>7322.41</v>
      </c>
      <c r="L53" s="24">
        <f>SUBTOTAL(109,Tabla391725353[PERC IVA])</f>
        <v>0</v>
      </c>
      <c r="N53" s="11"/>
      <c r="O53" s="11">
        <f>Tabla35101826364[[#This Row],[COMISIONES]]*0.21</f>
        <v>0</v>
      </c>
      <c r="P53" s="11"/>
      <c r="Q53" s="11"/>
      <c r="R53" s="11"/>
      <c r="U53" s="19">
        <f>Tabla6122028386[[#This Row],[COMISIONES]]*0.21</f>
        <v>0</v>
      </c>
      <c r="Z53" s="21">
        <v>21288.37</v>
      </c>
      <c r="AA53" s="21"/>
      <c r="AB53" s="11">
        <f>Tabla3568132129397[[#This Row],[COMISIONES]]*0.105</f>
        <v>2235.2788499999997</v>
      </c>
      <c r="AC53" s="21">
        <v>3095.34</v>
      </c>
      <c r="AD53" s="21">
        <f>319.33+49.53</f>
        <v>368.86</v>
      </c>
    </row>
    <row r="54" spans="2:30" ht="18.75" x14ac:dyDescent="0.3">
      <c r="B54" s="2"/>
      <c r="C54" s="2">
        <f>Tabla131624322[[#This Row],[COMISIONES]]*0.21</f>
        <v>0</v>
      </c>
      <c r="D54" s="2"/>
      <c r="E54" s="2"/>
      <c r="H54" s="41" t="s">
        <v>6</v>
      </c>
      <c r="I54" s="41"/>
      <c r="J54" s="41"/>
      <c r="K54" s="41"/>
      <c r="L54" s="41"/>
      <c r="N54" s="11"/>
      <c r="O54" s="11">
        <f>Tabla35101826364[[#This Row],[COMISIONES]]*0.21</f>
        <v>0</v>
      </c>
      <c r="P54" s="11"/>
      <c r="Q54" s="11"/>
      <c r="R54" s="11"/>
      <c r="U54" s="19">
        <f>Tabla6122028386[[#This Row],[COMISIONES]]*0.21</f>
        <v>0</v>
      </c>
      <c r="Z54" s="21">
        <v>3148.69</v>
      </c>
      <c r="AA54" s="21">
        <f>Tabla3568132129397[[#This Row],[COMISIONES]]*0.21</f>
        <v>661.22489999999993</v>
      </c>
      <c r="AB54" s="21"/>
      <c r="AC54" s="21">
        <v>7730.03</v>
      </c>
      <c r="AD54" s="21">
        <v>94.46</v>
      </c>
    </row>
    <row r="55" spans="2:30" x14ac:dyDescent="0.25">
      <c r="B55" s="2"/>
      <c r="C55" s="2">
        <f>Tabla131624322[[#This Row],[COMISIONES]]*0.21</f>
        <v>0</v>
      </c>
      <c r="D55" s="2"/>
      <c r="E55" s="2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Tabla35101826364[[#This Row],[COMISIONES]]*0.21</f>
        <v>0</v>
      </c>
      <c r="P55" s="11"/>
      <c r="Q55" s="11"/>
      <c r="R55" s="11"/>
      <c r="U55" s="19">
        <f>Tabla6122028386[[#This Row],[COMISIONES]]*0.21</f>
        <v>0</v>
      </c>
      <c r="Z55" s="21">
        <v>1497.6</v>
      </c>
      <c r="AA55" s="21">
        <f>Tabla3568132129397[[#This Row],[COMISIONES]]*0.21</f>
        <v>314.49599999999998</v>
      </c>
      <c r="AB55" s="21"/>
      <c r="AC55" s="21">
        <v>3676.61</v>
      </c>
      <c r="AD55" s="21"/>
    </row>
    <row r="56" spans="2:30" x14ac:dyDescent="0.25">
      <c r="B56" s="2"/>
      <c r="C56" s="2">
        <f>Tabla131624322[[#This Row],[COMISIONES]]*0.21</f>
        <v>0</v>
      </c>
      <c r="D56" s="2"/>
      <c r="E56" s="2"/>
      <c r="H56" s="3">
        <v>94500</v>
      </c>
      <c r="I56" s="11">
        <f>Tabla39152331419[[#This Row],[COMISIONES]]*0.21</f>
        <v>19845</v>
      </c>
      <c r="J56" s="11"/>
      <c r="K56" s="11"/>
      <c r="L56" s="11">
        <v>2835</v>
      </c>
      <c r="N56" s="11"/>
      <c r="O56" s="11">
        <f>Tabla35101826364[[#This Row],[COMISIONES]]*0.21</f>
        <v>0</v>
      </c>
      <c r="P56" s="11"/>
      <c r="Q56" s="11"/>
      <c r="R56" s="11"/>
      <c r="U56" s="19">
        <f>Tabla6122028386[[#This Row],[COMISIONES]]*0.21</f>
        <v>0</v>
      </c>
      <c r="Z56" s="21">
        <v>783.27</v>
      </c>
      <c r="AA56" s="21">
        <f>Tabla3568132129397[[#This Row],[COMISIONES]]*0.21</f>
        <v>164.48669999999998</v>
      </c>
      <c r="AB56" s="21"/>
      <c r="AC56" s="21">
        <v>1922.93</v>
      </c>
      <c r="AD56" s="21"/>
    </row>
    <row r="57" spans="2:30" x14ac:dyDescent="0.25">
      <c r="B57" s="2"/>
      <c r="C57" s="2">
        <f>Tabla131624322[[#This Row],[COMISIONES]]*0.21</f>
        <v>0</v>
      </c>
      <c r="D57" s="2"/>
      <c r="E57" s="2"/>
      <c r="H57" s="11"/>
      <c r="I57" s="11">
        <f>Tabla39152331419[[#This Row],[COMISIONES]]*0.21</f>
        <v>0</v>
      </c>
      <c r="J57" s="11"/>
      <c r="K57" s="11"/>
      <c r="L57" s="21"/>
      <c r="N57" s="11"/>
      <c r="O57" s="11">
        <f>Tabla35101826364[[#This Row],[COMISIONES]]*0.21</f>
        <v>0</v>
      </c>
      <c r="P57" s="11"/>
      <c r="Q57" s="11"/>
      <c r="R57" s="11"/>
      <c r="U57" s="19">
        <f>Tabla6122028386[[#This Row],[COMISIONES]]*0.21</f>
        <v>0</v>
      </c>
      <c r="Z57" s="21">
        <v>250.56</v>
      </c>
      <c r="AA57" s="21">
        <f>Tabla3568132129397[[#This Row],[COMISIONES]]*0.21</f>
        <v>52.617599999999996</v>
      </c>
      <c r="AB57" s="21"/>
      <c r="AC57" s="21">
        <v>615.12</v>
      </c>
      <c r="AD57" s="21"/>
    </row>
    <row r="58" spans="2:30" x14ac:dyDescent="0.25">
      <c r="B58" s="2"/>
      <c r="C58" s="2">
        <f>Tabla131624322[[#This Row],[COMISIONES]]*0.21</f>
        <v>0</v>
      </c>
      <c r="D58" s="1"/>
      <c r="E58" s="2"/>
      <c r="H58" s="11"/>
      <c r="I58" s="11">
        <f>Tabla39152331419[[#This Row],[COMISIONES]]*0.21</f>
        <v>0</v>
      </c>
      <c r="J58" s="11"/>
      <c r="K58" s="11"/>
      <c r="L58" s="11"/>
      <c r="N58" s="11"/>
      <c r="O58" s="11">
        <f>Tabla35101826364[[#This Row],[COMISIONES]]*0.21</f>
        <v>0</v>
      </c>
      <c r="P58" s="11"/>
      <c r="Q58" s="11"/>
      <c r="R58" s="11"/>
      <c r="U58" s="19">
        <f>Tabla6122028386[[#This Row],[COMISIONES]]*0.21</f>
        <v>0</v>
      </c>
      <c r="Z58" s="21">
        <v>704.88</v>
      </c>
      <c r="AA58" s="21">
        <f>Tabla3568132129397[[#This Row],[COMISIONES]]*0.21</f>
        <v>148.0248</v>
      </c>
      <c r="AB58" s="21"/>
      <c r="AC58" s="21">
        <v>1730.48</v>
      </c>
      <c r="AD58" s="21"/>
    </row>
    <row r="59" spans="2:30" x14ac:dyDescent="0.25">
      <c r="B59" s="2"/>
      <c r="C59" s="2">
        <f>Tabla131624322[[#This Row],[COMISIONES]]*0.21</f>
        <v>0</v>
      </c>
      <c r="D59" s="2"/>
      <c r="E59" s="2"/>
      <c r="H59" s="11"/>
      <c r="I59" s="11">
        <f>Tabla39152331419[[#This Row],[COMISIONES]]*0.21</f>
        <v>0</v>
      </c>
      <c r="J59" s="11"/>
      <c r="K59" s="11"/>
      <c r="L59" s="11"/>
      <c r="N59" s="11"/>
      <c r="O59" s="11">
        <f>Tabla35101826364[[#This Row],[COMISIONES]]*0.21</f>
        <v>0</v>
      </c>
      <c r="P59" s="11"/>
      <c r="Q59" s="11"/>
      <c r="R59" s="11"/>
      <c r="U59" s="19">
        <f>Tabla6122028386[[#This Row],[COMISIONES]]*0.21</f>
        <v>0</v>
      </c>
      <c r="Z59" s="21">
        <v>270</v>
      </c>
      <c r="AA59" s="21">
        <f>Tabla3568132129397[[#This Row],[COMISIONES]]*0.21</f>
        <v>56.699999999999996</v>
      </c>
      <c r="AB59" s="21"/>
      <c r="AC59" s="21">
        <v>662.85</v>
      </c>
      <c r="AD59" s="21"/>
    </row>
    <row r="60" spans="2:30" x14ac:dyDescent="0.25">
      <c r="B60" s="2"/>
      <c r="C60" s="2">
        <f>Tabla131624322[[#This Row],[COMISIONES]]*0.21</f>
        <v>0</v>
      </c>
      <c r="D60" s="2"/>
      <c r="E60" s="2"/>
      <c r="H60" s="11"/>
      <c r="I60" s="11">
        <f>Tabla39152331419[[#This Row],[COMISIONES]]*0.21</f>
        <v>0</v>
      </c>
      <c r="J60" s="11"/>
      <c r="K60" s="11"/>
      <c r="L60" s="11"/>
      <c r="N60" s="11"/>
      <c r="O60" s="11">
        <f>Tabla35101826364[[#This Row],[COMISIONES]]*0.21</f>
        <v>0</v>
      </c>
      <c r="P60" s="11"/>
      <c r="Q60" s="11"/>
      <c r="R60" s="11"/>
      <c r="U60" s="19">
        <f>Tabla6122028386[[#This Row],[COMISIONES]]*0.21</f>
        <v>0</v>
      </c>
      <c r="Z60" s="21">
        <v>379.8</v>
      </c>
      <c r="AA60" s="21">
        <f>Tabla3568132129397[[#This Row],[COMISIONES]]*0.21</f>
        <v>79.757999999999996</v>
      </c>
      <c r="AB60" s="21"/>
      <c r="AC60" s="21">
        <v>932.41</v>
      </c>
      <c r="AD60" s="21"/>
    </row>
    <row r="61" spans="2:30" x14ac:dyDescent="0.25">
      <c r="B61" s="4">
        <f>SUBTOTAL(109,Tabla131624322[COMISIONES])</f>
        <v>11418.59</v>
      </c>
      <c r="C61" s="4">
        <f>SUBTOTAL(109,Tabla131624322[IVA 21])</f>
        <v>2397.9039000000002</v>
      </c>
      <c r="D61" s="4">
        <f>SUBTOTAL(109,Tabla131624322[IVA 10,5])</f>
        <v>0</v>
      </c>
      <c r="E61" s="4">
        <f>SUBTOTAL(109,Tabla131624322[Ret IIBB Caba])</f>
        <v>8482.9500000000007</v>
      </c>
      <c r="F61" s="4">
        <f>SUBTOTAL(109,Tabla131624322[PERC IVA])</f>
        <v>285.09000000000003</v>
      </c>
      <c r="H61" s="11"/>
      <c r="I61" s="11">
        <f>Tabla39152331419[[#This Row],[COMISIONES]]*0.21</f>
        <v>0</v>
      </c>
      <c r="J61" s="11"/>
      <c r="K61" s="11"/>
      <c r="L61" s="11"/>
      <c r="N61" s="11"/>
      <c r="O61" s="11">
        <f>Tabla35101826364[[#This Row],[COMISIONES]]*0.21</f>
        <v>0</v>
      </c>
      <c r="P61" s="11"/>
      <c r="Q61" s="11"/>
      <c r="R61" s="11"/>
      <c r="U61" s="19">
        <f>Tabla6122028386[[#This Row],[COMISIONES]]*0.21</f>
        <v>0</v>
      </c>
      <c r="Z61" s="21">
        <v>208.96</v>
      </c>
      <c r="AA61" s="21">
        <f>Tabla3568132129397[[#This Row],[COMISIONES]]*0.21</f>
        <v>43.881599999999999</v>
      </c>
      <c r="AB61" s="21"/>
      <c r="AC61" s="21">
        <v>1166</v>
      </c>
      <c r="AD61" s="21"/>
    </row>
    <row r="62" spans="2:30" x14ac:dyDescent="0.25">
      <c r="H62" s="11"/>
      <c r="I62" s="11">
        <f>Tabla39152331419[[#This Row],[COMISIONES]]*0.21</f>
        <v>0</v>
      </c>
      <c r="J62" s="11"/>
      <c r="K62" s="11"/>
      <c r="L62" s="11"/>
      <c r="N62" s="11"/>
      <c r="O62" s="11">
        <f>Tabla35101826364[[#This Row],[COMISIONES]]*0.21</f>
        <v>0</v>
      </c>
      <c r="P62" s="11"/>
      <c r="Q62" s="11"/>
      <c r="R62" s="11"/>
      <c r="T62" s="17">
        <f>SUBTOTAL(109,Tabla6122028386[COMISIONES])</f>
        <v>0</v>
      </c>
      <c r="U62" s="17">
        <f>SUBTOTAL(109,Tabla6122028386[IVA 21])</f>
        <v>0</v>
      </c>
      <c r="V62" s="17">
        <f>SUBTOTAL(109,Tabla6122028386[IVA 10,5])</f>
        <v>0</v>
      </c>
      <c r="W62" s="17">
        <f>SUBTOTAL(109,Tabla6122028386[Ret IIBB Caba])</f>
        <v>0</v>
      </c>
      <c r="X62" s="17">
        <f>SUBTOTAL(109,Tabla6122028386[PERC IVA])</f>
        <v>0</v>
      </c>
      <c r="Z62" s="21">
        <v>58.24</v>
      </c>
      <c r="AA62" s="21">
        <f>Tabla3568132129397[[#This Row],[COMISIONES]]*0.21</f>
        <v>12.230399999999999</v>
      </c>
      <c r="AB62" s="21"/>
      <c r="AC62" s="21">
        <v>324.98</v>
      </c>
      <c r="AD62" s="21"/>
    </row>
    <row r="63" spans="2:30" x14ac:dyDescent="0.25">
      <c r="H63" s="11"/>
      <c r="I63" s="11">
        <f>Tabla39152331419[[#This Row],[COMISIONES]]*0.21</f>
        <v>0</v>
      </c>
      <c r="J63" s="11"/>
      <c r="K63" s="11"/>
      <c r="L63" s="11"/>
      <c r="N63" s="11"/>
      <c r="O63" s="11">
        <f>Tabla35101826364[[#This Row],[COMISIONES]]*0.21</f>
        <v>0</v>
      </c>
      <c r="P63" s="11"/>
      <c r="Q63" s="11"/>
      <c r="R63" s="11"/>
      <c r="Z63" s="21">
        <v>142</v>
      </c>
      <c r="AA63" s="21">
        <f>Tabla3568132129397[[#This Row],[COMISIONES]]*0.21</f>
        <v>29.82</v>
      </c>
      <c r="AB63" s="21"/>
      <c r="AC63" s="21">
        <v>792.36</v>
      </c>
      <c r="AD63" s="21"/>
    </row>
    <row r="64" spans="2:30" ht="18.75" x14ac:dyDescent="0.3">
      <c r="H64" s="11"/>
      <c r="I64" s="11">
        <f>Tabla39152331419[[#This Row],[COMISIONES]]*0.21</f>
        <v>0</v>
      </c>
      <c r="J64" s="11"/>
      <c r="K64" s="11"/>
      <c r="L64" s="11"/>
      <c r="N64" s="11"/>
      <c r="O64" s="11">
        <f>Tabla35101826364[[#This Row],[COMISIONES]]*0.21</f>
        <v>0</v>
      </c>
      <c r="P64" s="11"/>
      <c r="Q64" s="11"/>
      <c r="R64" s="11"/>
      <c r="T64" s="41" t="s">
        <v>9</v>
      </c>
      <c r="U64" s="41"/>
      <c r="V64" s="41"/>
      <c r="W64" s="41"/>
      <c r="X64" s="41"/>
      <c r="Z64" s="21">
        <v>129.96</v>
      </c>
      <c r="AA64" s="21">
        <f>Tabla3568132129397[[#This Row],[COMISIONES]]*0.21</f>
        <v>27.291599999999999</v>
      </c>
      <c r="AB64" s="21"/>
      <c r="AC64" s="21">
        <v>725.18</v>
      </c>
      <c r="AD64" s="21"/>
    </row>
    <row r="65" spans="8:30" x14ac:dyDescent="0.25">
      <c r="H65" s="11"/>
      <c r="I65" s="11">
        <f>Tabla39152331419[[#This Row],[COMISIONES]]*0.21</f>
        <v>0</v>
      </c>
      <c r="J65" s="11"/>
      <c r="K65" s="11"/>
      <c r="L65" s="11"/>
      <c r="N65" s="11"/>
      <c r="O65" s="11">
        <f>Tabla35101826364[[#This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 s="21">
        <v>123.42</v>
      </c>
      <c r="AA65" s="21">
        <f>Tabla3568132129397[[#This Row],[COMISIONES]]*0.21</f>
        <v>25.918199999999999</v>
      </c>
      <c r="AB65" s="21"/>
      <c r="AC65" s="21">
        <v>688.71</v>
      </c>
      <c r="AD65" s="21"/>
    </row>
    <row r="66" spans="8:30" x14ac:dyDescent="0.25">
      <c r="H66" s="11"/>
      <c r="I66" s="11">
        <f>Tabla39152331419[[#This Row],[COMISIONES]]*0.21</f>
        <v>0</v>
      </c>
      <c r="J66" s="11"/>
      <c r="K66" s="11"/>
      <c r="L66" s="11"/>
      <c r="N66" s="11"/>
      <c r="O66" s="11">
        <f>Tabla35101826364[[#This Row],[COMISIONES]]*0.21</f>
        <v>0</v>
      </c>
      <c r="P66" s="11"/>
      <c r="Q66" s="11"/>
      <c r="R66" s="11"/>
      <c r="T66" s="11">
        <v>2400</v>
      </c>
      <c r="U66" s="11">
        <f>Tabla6122028334210[[#This Row],[COMISIONES]]*0.21</f>
        <v>504</v>
      </c>
      <c r="V66" s="11"/>
      <c r="W66" s="11">
        <f>1464.32+1232.72</f>
        <v>2697.04</v>
      </c>
      <c r="X66" s="11">
        <v>72</v>
      </c>
      <c r="Z66" s="21">
        <v>1027.56</v>
      </c>
      <c r="AA66" s="21">
        <f>Tabla3568132129397[[#This Row],[COMISIONES]]*0.21</f>
        <v>215.78759999999997</v>
      </c>
      <c r="AB66" s="21"/>
      <c r="AC66" s="21">
        <v>5733.78</v>
      </c>
      <c r="AD66" s="21"/>
    </row>
    <row r="67" spans="8:30" x14ac:dyDescent="0.25">
      <c r="H67" s="11"/>
      <c r="I67" s="11">
        <f>Tabla39152331419[[#This Row],[COMISIONES]]*0.21</f>
        <v>0</v>
      </c>
      <c r="J67" s="11"/>
      <c r="K67" s="11"/>
      <c r="L67" s="11"/>
      <c r="N67" s="18"/>
      <c r="O67" s="11">
        <f>Tabla35101826364[[#This Row],[COMISIONES]]*0.21</f>
        <v>0</v>
      </c>
      <c r="P67" s="18"/>
      <c r="Q67" s="18"/>
      <c r="R67" s="18"/>
      <c r="T67" s="11"/>
      <c r="U67" s="11">
        <f>Tabla6122028334210[[#This Row],[COMISIONES]]*0.21</f>
        <v>0</v>
      </c>
      <c r="V67" s="11"/>
      <c r="W67" s="11"/>
      <c r="X67" s="11"/>
      <c r="Z67" s="21">
        <v>402.96</v>
      </c>
      <c r="AA67" s="21">
        <f>Tabla3568132129397[[#This Row],[COMISIONES]]*0.21</f>
        <v>84.621599999999987</v>
      </c>
      <c r="AB67" s="21"/>
      <c r="AC67" s="21">
        <v>2248.52</v>
      </c>
      <c r="AD67" s="21"/>
    </row>
    <row r="68" spans="8:30" x14ac:dyDescent="0.25">
      <c r="H68" s="11"/>
      <c r="I68" s="11">
        <f>Tabla39152331419[[#This Row],[COMISIONES]]*0.21</f>
        <v>0</v>
      </c>
      <c r="J68" s="11"/>
      <c r="K68" s="11"/>
      <c r="L68" s="11"/>
      <c r="N68" s="18"/>
      <c r="O68" s="11">
        <f>Tabla35101826364[[#This Row],[COMISIONES]]*0.21</f>
        <v>0</v>
      </c>
      <c r="P68" s="18"/>
      <c r="Q68" s="18"/>
      <c r="R68" s="18"/>
      <c r="T68" s="11"/>
      <c r="U68" s="19">
        <f>Tabla6122028334210[[#This Row],[COMISIONES]]*0.21</f>
        <v>0</v>
      </c>
      <c r="W68" s="1"/>
      <c r="Z68" s="21">
        <v>406.8</v>
      </c>
      <c r="AA68" s="21">
        <f>Tabla3568132129397[[#This Row],[COMISIONES]]*0.21</f>
        <v>85.427999999999997</v>
      </c>
      <c r="AB68" s="21"/>
      <c r="AC68" s="21">
        <v>2269.94</v>
      </c>
      <c r="AD68" s="21"/>
    </row>
    <row r="69" spans="8:30" x14ac:dyDescent="0.25">
      <c r="H69" s="11"/>
      <c r="I69" s="11">
        <f>Tabla39152331419[[#This Row],[COMISIONES]]*0.21</f>
        <v>0</v>
      </c>
      <c r="J69" s="11"/>
      <c r="K69" s="11"/>
      <c r="L69" s="11"/>
      <c r="N69" s="18"/>
      <c r="O69" s="11">
        <f>Tabla35101826364[[#This Row],[COMISIONES]]*0.21</f>
        <v>0</v>
      </c>
      <c r="P69" s="18"/>
      <c r="Q69" s="18"/>
      <c r="R69" s="18"/>
      <c r="T69" s="11"/>
      <c r="U69" s="19">
        <f>Tabla6122028334210[[#This Row],[COMISIONES]]*0.21</f>
        <v>0</v>
      </c>
      <c r="Z69" s="21">
        <v>389.76</v>
      </c>
      <c r="AA69" s="21">
        <f>Tabla3568132129397[[#This Row],[COMISIONES]]*0.21</f>
        <v>81.849599999999995</v>
      </c>
      <c r="AB69" s="21"/>
      <c r="AC69" s="21">
        <v>2174.86</v>
      </c>
      <c r="AD69" s="21"/>
    </row>
    <row r="70" spans="8:30" x14ac:dyDescent="0.25">
      <c r="H70" s="11"/>
      <c r="I70" s="11">
        <f>Tabla39152331419[[#This Row],[COMISIONES]]*0.21</f>
        <v>0</v>
      </c>
      <c r="J70" s="11"/>
      <c r="K70" s="11"/>
      <c r="L70" s="11"/>
      <c r="N70" s="18"/>
      <c r="O70" s="11">
        <f>Tabla35101826364[[#This Row],[COMISIONES]]*0.21</f>
        <v>0</v>
      </c>
      <c r="P70" s="18"/>
      <c r="Q70" s="18"/>
      <c r="R70" s="18"/>
      <c r="T70" s="11"/>
      <c r="U70" s="19">
        <f>Tabla6122028334210[[#This Row],[COMISIONES]]*0.21</f>
        <v>0</v>
      </c>
      <c r="Z70" s="21">
        <v>1516.4</v>
      </c>
      <c r="AA70" s="21">
        <f>Tabla3568132129397[[#This Row],[COMISIONES]]*0.21</f>
        <v>318.44400000000002</v>
      </c>
      <c r="AB70" s="21"/>
      <c r="AC70" s="21">
        <v>8461.51</v>
      </c>
      <c r="AD70" s="21"/>
    </row>
    <row r="71" spans="8:30" x14ac:dyDescent="0.25">
      <c r="H71" s="11"/>
      <c r="I71" s="11">
        <f>Tabla39152331419[[#This Row],[COMISIONES]]*0.21</f>
        <v>0</v>
      </c>
      <c r="J71" s="11"/>
      <c r="K71" s="11"/>
      <c r="L71" s="11"/>
      <c r="N71" s="18"/>
      <c r="O71" s="11">
        <f>Tabla35101826364[[#This Row],[COMISIONES]]*0.21</f>
        <v>0</v>
      </c>
      <c r="P71" s="18"/>
      <c r="Q71" s="18"/>
      <c r="R71" s="18"/>
      <c r="T71" s="11"/>
      <c r="U71" s="19">
        <f>Tabla6122028334210[[#This Row],[COMISIONES]]*0.21</f>
        <v>0</v>
      </c>
      <c r="Z71" s="21">
        <v>212.12</v>
      </c>
      <c r="AA71" s="21">
        <f>Tabla3568132129397[[#This Row],[COMISIONES]]*0.21</f>
        <v>44.545200000000001</v>
      </c>
      <c r="AB71" s="21"/>
      <c r="AC71" s="21">
        <v>1183.6300000000001</v>
      </c>
      <c r="AD71" s="21"/>
    </row>
    <row r="72" spans="8:30" x14ac:dyDescent="0.25">
      <c r="H72" s="11"/>
      <c r="I72" s="11">
        <f>Tabla39152331419[[#This Row],[COMISIONES]]*0.21</f>
        <v>0</v>
      </c>
      <c r="J72" s="11"/>
      <c r="K72" s="11"/>
      <c r="L72" s="11"/>
      <c r="N72" s="18"/>
      <c r="O72" s="11">
        <f>Tabla35101826364[[#This Row],[COMISIONES]]*0.21</f>
        <v>0</v>
      </c>
      <c r="P72" s="18"/>
      <c r="Q72" s="18"/>
      <c r="R72" s="18"/>
      <c r="T72" s="11"/>
      <c r="U72" s="19">
        <f>Tabla6122028334210[[#This Row],[COMISIONES]]*0.21</f>
        <v>0</v>
      </c>
      <c r="Z72" s="21">
        <v>128.52000000000001</v>
      </c>
      <c r="AA72" s="21">
        <f>Tabla3568132129397[[#This Row],[COMISIONES]]*0.21</f>
        <v>26.9892</v>
      </c>
      <c r="AB72" s="21"/>
      <c r="AC72" s="21">
        <v>717.14</v>
      </c>
      <c r="AD72" s="21"/>
    </row>
    <row r="73" spans="8:30" x14ac:dyDescent="0.25">
      <c r="H73" s="11"/>
      <c r="I73" s="11">
        <f>Tabla39152331419[[#This Row],[COMISIONES]]*0.21</f>
        <v>0</v>
      </c>
      <c r="J73" s="11"/>
      <c r="K73" s="11"/>
      <c r="L73" s="11"/>
      <c r="N73" s="18"/>
      <c r="O73" s="11">
        <f>Tabla35101826364[[#This Row],[COMISIONES]]*0.21</f>
        <v>0</v>
      </c>
      <c r="P73" s="18"/>
      <c r="Q73" s="18"/>
      <c r="R73" s="18"/>
      <c r="T73" s="11"/>
      <c r="U73" s="19">
        <f>Tabla6122028334210[[#This Row],[COMISIONES]]*0.21</f>
        <v>0</v>
      </c>
      <c r="Z73" s="21">
        <v>4970.7</v>
      </c>
      <c r="AA73" s="21">
        <f>Tabla3568132129397[[#This Row],[COMISIONES]]*0.21</f>
        <v>1043.847</v>
      </c>
      <c r="AB73" s="21"/>
      <c r="AC73" s="21">
        <v>12203.07</v>
      </c>
      <c r="AD73" s="21">
        <v>149.13</v>
      </c>
    </row>
    <row r="74" spans="8:30" x14ac:dyDescent="0.25">
      <c r="H74" s="11"/>
      <c r="I74" s="11">
        <f>Tabla39152331419[[#This Row],[COMISIONES]]*0.21</f>
        <v>0</v>
      </c>
      <c r="J74" s="11"/>
      <c r="K74" s="11"/>
      <c r="L74" s="11"/>
      <c r="N74" s="18"/>
      <c r="O74" s="11">
        <f>Tabla35101826364[[#This Row],[COMISIONES]]*0.21</f>
        <v>0</v>
      </c>
      <c r="P74" s="18"/>
      <c r="Q74" s="18"/>
      <c r="R74" s="18"/>
      <c r="T74" s="11"/>
      <c r="U74" s="19">
        <f>Tabla6122028334210[[#This Row],[COMISIONES]]*0.21</f>
        <v>0</v>
      </c>
      <c r="Z74" s="21">
        <v>1557.81</v>
      </c>
      <c r="AA74" s="21">
        <f>Tabla3568132129397[[#This Row],[COMISIONES]]*0.21</f>
        <v>327.14009999999996</v>
      </c>
      <c r="AB74" s="21"/>
      <c r="AC74" s="21"/>
      <c r="AD74" s="21"/>
    </row>
    <row r="75" spans="8:30" x14ac:dyDescent="0.25">
      <c r="H75" s="11"/>
      <c r="I75" s="11">
        <f>Tabla39152331419[[#This Row],[COMISIONES]]*0.21</f>
        <v>0</v>
      </c>
      <c r="J75" s="11"/>
      <c r="K75" s="11"/>
      <c r="L75" s="11"/>
      <c r="N75" s="18"/>
      <c r="O75" s="11">
        <f>Tabla35101826364[[#This Row],[COMISIONES]]*0.21</f>
        <v>0</v>
      </c>
      <c r="P75" s="18"/>
      <c r="Q75" s="18"/>
      <c r="R75" s="18"/>
      <c r="T75" s="11"/>
      <c r="U75" s="19">
        <f>Tabla6122028334210[[#This Row],[COMISIONES]]*0.21</f>
        <v>0</v>
      </c>
      <c r="Z75" s="21">
        <v>18422.16</v>
      </c>
      <c r="AA75" s="21"/>
      <c r="AB75" s="21">
        <f>Tabla3568132129397[[#This Row],[COMISIONES]]*0.105</f>
        <v>1934.3267999999998</v>
      </c>
      <c r="AC75" s="21">
        <v>2995.4</v>
      </c>
      <c r="AD75" s="21">
        <f>276.34+46.74</f>
        <v>323.08</v>
      </c>
    </row>
    <row r="76" spans="8:30" x14ac:dyDescent="0.25">
      <c r="H76" s="11"/>
      <c r="I76" s="11">
        <f>Tabla39152331419[[#This Row],[COMISIONES]]*0.21</f>
        <v>0</v>
      </c>
      <c r="J76" s="11"/>
      <c r="K76" s="11"/>
      <c r="L76" s="11"/>
      <c r="N76" s="18"/>
      <c r="O76" s="11">
        <f>Tabla35101826364[[#This Row],[COMISIONES]]*0.21</f>
        <v>0</v>
      </c>
      <c r="P76" s="18"/>
      <c r="Q76" s="18"/>
      <c r="R76" s="18"/>
      <c r="U76" s="19">
        <f>Tabla6122028334210[[#This Row],[COMISIONES]]*0.21</f>
        <v>0</v>
      </c>
      <c r="Z76" s="21">
        <v>5138.28</v>
      </c>
      <c r="AA76" s="21">
        <f>Tabla3568132129397[[#This Row],[COMISIONES]]*0.21</f>
        <v>1079.0387999999998</v>
      </c>
      <c r="AB76" s="21"/>
      <c r="AC76" s="21">
        <v>12614.48</v>
      </c>
      <c r="AD76" s="21">
        <v>154.15</v>
      </c>
    </row>
    <row r="77" spans="8:30" x14ac:dyDescent="0.25">
      <c r="H77" s="11"/>
      <c r="I77" s="11">
        <f>Tabla39152331419[[#This Row],[COMISIONES]]*0.21</f>
        <v>0</v>
      </c>
      <c r="J77" s="11"/>
      <c r="K77" s="11"/>
      <c r="L77" s="11"/>
      <c r="N77" s="18"/>
      <c r="O77" s="11">
        <f>Tabla35101826364[[#This Row],[COMISIONES]]*0.21</f>
        <v>0</v>
      </c>
      <c r="P77" s="18"/>
      <c r="Q77" s="18"/>
      <c r="R77" s="18"/>
      <c r="U77" s="19">
        <f>Tabla6122028334210[[#This Row],[COMISIONES]]*0.21</f>
        <v>0</v>
      </c>
      <c r="Z77" s="21">
        <v>2983.52</v>
      </c>
      <c r="AA77" s="21">
        <f>Tabla3568132129397[[#This Row],[COMISIONES]]*0.21</f>
        <v>626.53919999999994</v>
      </c>
      <c r="AB77" s="21"/>
      <c r="AC77" s="21"/>
      <c r="AD77" s="21"/>
    </row>
    <row r="78" spans="8:30" x14ac:dyDescent="0.25">
      <c r="H78" s="11"/>
      <c r="I78" s="11">
        <f>Tabla39152331419[[#This Row],[COMISIONES]]*0.21</f>
        <v>0</v>
      </c>
      <c r="J78" s="11"/>
      <c r="K78" s="11"/>
      <c r="L78" s="11"/>
      <c r="N78" s="18"/>
      <c r="O78" s="11">
        <f>Tabla35101826364[[#This Row],[COMISIONES]]*0.21</f>
        <v>0</v>
      </c>
      <c r="P78" s="18"/>
      <c r="Q78" s="18"/>
      <c r="R78" s="18"/>
      <c r="U78" s="19">
        <f>Tabla6122028334210[[#This Row],[COMISIONES]]*0.21</f>
        <v>0</v>
      </c>
      <c r="Z78" s="21">
        <v>38469.019999999997</v>
      </c>
      <c r="AA78" s="21"/>
      <c r="AB78" s="21">
        <f>Tabla3568132129397[[#This Row],[COMISIONES]]*0.105</f>
        <v>4039.2470999999996</v>
      </c>
      <c r="AC78" s="21">
        <v>5593.42</v>
      </c>
      <c r="AD78" s="21">
        <f>577.04+89.51</f>
        <v>666.55</v>
      </c>
    </row>
    <row r="79" spans="8:30" x14ac:dyDescent="0.25">
      <c r="H79" s="11"/>
      <c r="I79" s="11">
        <f>Tabla39152331419[[#This Row],[COMISIONES]]*0.21</f>
        <v>0</v>
      </c>
      <c r="J79" s="11"/>
      <c r="K79" s="11"/>
      <c r="L79" s="11"/>
      <c r="N79" s="18"/>
      <c r="O79" s="11">
        <f>Tabla35101826364[[#This Row],[COMISIONES]]*0.21</f>
        <v>0</v>
      </c>
      <c r="P79" s="18"/>
      <c r="Q79" s="18"/>
      <c r="R79" s="18"/>
      <c r="U79" s="19">
        <f>Tabla6122028334210[[#This Row],[COMISIONES]]*0.21</f>
        <v>0</v>
      </c>
      <c r="Z79" s="21">
        <v>4868.38</v>
      </c>
      <c r="AA79" s="21">
        <f>Tabla3568132129397[[#This Row],[COMISIONES]]*0.21</f>
        <v>1022.3598</v>
      </c>
      <c r="AB79" s="21"/>
      <c r="AC79" s="21">
        <v>11951.85</v>
      </c>
      <c r="AD79" s="21">
        <v>146.05000000000001</v>
      </c>
    </row>
    <row r="80" spans="8:30" x14ac:dyDescent="0.25">
      <c r="H80" s="11"/>
      <c r="I80" s="11">
        <f>Tabla39152331419[[#This Row],[COMISIONES]]*0.21</f>
        <v>0</v>
      </c>
      <c r="J80" s="11"/>
      <c r="K80" s="11"/>
      <c r="L80" s="11"/>
      <c r="N80" s="18"/>
      <c r="O80" s="11">
        <f>Tabla35101826364[[#This Row],[COMISIONES]]*0.21</f>
        <v>0</v>
      </c>
      <c r="P80" s="18"/>
      <c r="Q80" s="18"/>
      <c r="R80" s="18"/>
      <c r="U80" s="19">
        <f>Tabla6122028334210[[#This Row],[COMISIONES]]*0.21</f>
        <v>0</v>
      </c>
      <c r="Z80" s="21">
        <v>124.2</v>
      </c>
      <c r="AA80" s="21">
        <f>Tabla3568132129397[[#This Row],[COMISIONES]]*0.21</f>
        <v>26.082000000000001</v>
      </c>
      <c r="AB80" s="21"/>
      <c r="AC80" s="21">
        <v>304.91000000000003</v>
      </c>
      <c r="AD80" s="21"/>
    </row>
    <row r="81" spans="8:30" x14ac:dyDescent="0.25">
      <c r="H81" s="18"/>
      <c r="I81" s="18">
        <f>Tabla39152331419[[#This Row],[COMISIONES]]*0.21</f>
        <v>0</v>
      </c>
      <c r="J81" s="18"/>
      <c r="K81" s="18"/>
      <c r="L81" s="18"/>
      <c r="N81" s="18"/>
      <c r="O81" s="11">
        <f>Tabla35101826364[[#This Row],[COMISIONES]]*0.21</f>
        <v>0</v>
      </c>
      <c r="P81" s="18"/>
      <c r="Q81" s="18"/>
      <c r="R81" s="18"/>
      <c r="U81" s="19">
        <f>Tabla6122028334210[[#This Row],[COMISIONES]]*0.21</f>
        <v>0</v>
      </c>
      <c r="Z81" s="21">
        <v>7733.21</v>
      </c>
      <c r="AA81" s="21">
        <f>Tabla3568132129397[[#This Row],[COMISIONES]]*0.21</f>
        <v>1623.9740999999999</v>
      </c>
      <c r="AB81" s="21"/>
      <c r="AC81" s="21">
        <v>18985.02</v>
      </c>
      <c r="AD81" s="21">
        <v>232.01</v>
      </c>
    </row>
    <row r="82" spans="8:30" x14ac:dyDescent="0.25">
      <c r="H82" s="18"/>
      <c r="I82" s="18">
        <f>Tabla39152331419[[#This Row],[COMISIONES]]*0.21</f>
        <v>0</v>
      </c>
      <c r="J82" s="18"/>
      <c r="K82" s="18"/>
      <c r="L82" s="18"/>
      <c r="N82" s="18"/>
      <c r="O82" s="11">
        <f>Tabla35101826364[[#This Row],[COMISIONES]]*0.21</f>
        <v>0</v>
      </c>
      <c r="P82" s="18"/>
      <c r="Q82" s="18"/>
      <c r="R82" s="18"/>
      <c r="U82" s="19">
        <f>Tabla6122028334210[[#This Row],[COMISIONES]]*0.21</f>
        <v>0</v>
      </c>
      <c r="Z82" s="21">
        <v>12378.12</v>
      </c>
      <c r="AA82" s="21">
        <f>Tabla3568132129397[[#This Row],[COMISIONES]]*0.21</f>
        <v>2599.4052000000001</v>
      </c>
      <c r="AB82" s="21"/>
      <c r="AC82" s="21">
        <v>30388.27</v>
      </c>
      <c r="AD82" s="21">
        <v>371.34</v>
      </c>
    </row>
    <row r="83" spans="8:30" x14ac:dyDescent="0.25">
      <c r="H83" s="18"/>
      <c r="I83" s="18">
        <f>Tabla39152331419[[#This Row],[COMISIONES]]*0.21</f>
        <v>0</v>
      </c>
      <c r="J83" s="18"/>
      <c r="K83" s="18"/>
      <c r="L83" s="18"/>
      <c r="N83" s="18"/>
      <c r="O83" s="11">
        <f>Tabla35101826364[[#This Row],[COMISIONES]]*0.21</f>
        <v>0</v>
      </c>
      <c r="P83" s="18"/>
      <c r="Q83" s="18"/>
      <c r="R83" s="18"/>
      <c r="U83" s="19">
        <f>Tabla6122028334210[[#This Row],[COMISIONES]]*0.21</f>
        <v>0</v>
      </c>
      <c r="Z83" s="21">
        <v>1539.8</v>
      </c>
      <c r="AA83" s="21">
        <f>Tabla3568132129397[[#This Row],[COMISIONES]]*0.21</f>
        <v>323.358</v>
      </c>
      <c r="AB83" s="21"/>
      <c r="AC83" s="21"/>
      <c r="AD83" s="21"/>
    </row>
    <row r="84" spans="8:30" x14ac:dyDescent="0.25">
      <c r="H84" s="18"/>
      <c r="I84" s="18">
        <f>Tabla39152331419[[#This Row],[COMISIONES]]*0.21</f>
        <v>0</v>
      </c>
      <c r="J84" s="18"/>
      <c r="K84" s="18"/>
      <c r="L84" s="18"/>
      <c r="N84" s="18"/>
      <c r="O84" s="11">
        <f>Tabla35101826364[[#This Row],[COMISIONES]]*0.21</f>
        <v>0</v>
      </c>
      <c r="P84" s="18"/>
      <c r="Q84" s="18"/>
      <c r="R84" s="18"/>
      <c r="U84" s="19">
        <f>Tabla6122028334210[[#This Row],[COMISIONES]]*0.21</f>
        <v>0</v>
      </c>
      <c r="Z84" s="21">
        <v>31021.67</v>
      </c>
      <c r="AA84" s="21"/>
      <c r="AB84" s="21">
        <f>Tabla3568132129397[[#This Row],[COMISIONES]]*0.105</f>
        <v>3257.2753499999999</v>
      </c>
      <c r="AC84" s="21">
        <v>2384.34</v>
      </c>
      <c r="AD84" s="21">
        <f>465.33+46.19</f>
        <v>511.52</v>
      </c>
    </row>
    <row r="85" spans="8:30" x14ac:dyDescent="0.25">
      <c r="H85" s="18"/>
      <c r="I85" s="18">
        <f>Tabla39152331419[[#This Row],[COMISIONES]]*0.21</f>
        <v>0</v>
      </c>
      <c r="J85" s="18"/>
      <c r="K85" s="18"/>
      <c r="L85" s="18"/>
      <c r="N85" s="18"/>
      <c r="O85" s="11">
        <f>Tabla35101826364[[#This Row],[COMISIONES]]*0.21</f>
        <v>0</v>
      </c>
      <c r="P85" s="18"/>
      <c r="Q85" s="18"/>
      <c r="R85" s="18"/>
      <c r="U85" s="19">
        <f>Tabla6122028334210[[#This Row],[COMISIONES]]*0.21</f>
        <v>0</v>
      </c>
      <c r="Z85" s="21">
        <v>3754.62</v>
      </c>
      <c r="AA85" s="21">
        <f>Tabla3568132129397[[#This Row],[COMISIONES]]*0.21</f>
        <v>788.47019999999998</v>
      </c>
      <c r="AB85" s="21"/>
      <c r="AC85" s="21">
        <v>9217.59</v>
      </c>
      <c r="AD85" s="21">
        <v>112.64</v>
      </c>
    </row>
    <row r="86" spans="8:30" x14ac:dyDescent="0.25">
      <c r="H86" s="18"/>
      <c r="I86" s="18">
        <f>Tabla39152331419[[#This Row],[COMISIONES]]*0.21</f>
        <v>0</v>
      </c>
      <c r="J86" s="18"/>
      <c r="K86" s="18"/>
      <c r="L86" s="18"/>
      <c r="N86" s="18"/>
      <c r="O86" s="11">
        <f>Tabla35101826364[[#This Row],[COMISIONES]]*0.21</f>
        <v>0</v>
      </c>
      <c r="P86" s="18"/>
      <c r="Q86" s="18"/>
      <c r="R86" s="18"/>
      <c r="U86" s="19">
        <f>Tabla6122028334210[[#This Row],[COMISIONES]]*0.21</f>
        <v>0</v>
      </c>
      <c r="Z86" s="21">
        <v>1222.6500000000001</v>
      </c>
      <c r="AA86" s="21">
        <f>Tabla3568132129397[[#This Row],[COMISIONES]]*0.21</f>
        <v>256.75650000000002</v>
      </c>
      <c r="AB86" s="21"/>
      <c r="AC86" s="21"/>
      <c r="AD86" s="21"/>
    </row>
    <row r="87" spans="8:30" x14ac:dyDescent="0.25">
      <c r="H87" s="18"/>
      <c r="I87" s="18">
        <f>Tabla39152331419[[#This Row],[COMISIONES]]*0.21</f>
        <v>0</v>
      </c>
      <c r="J87" s="18"/>
      <c r="K87" s="18"/>
      <c r="L87" s="18"/>
      <c r="N87" s="18"/>
      <c r="O87" s="11">
        <f>Tabla35101826364[[#This Row],[COMISIONES]]*0.21</f>
        <v>0</v>
      </c>
      <c r="P87" s="18"/>
      <c r="Q87" s="18"/>
      <c r="R87" s="18"/>
      <c r="U87" s="19">
        <f>Tabla6122028334210[[#This Row],[COMISIONES]]*0.21</f>
        <v>0</v>
      </c>
      <c r="Z87" s="21">
        <v>15764.74</v>
      </c>
      <c r="AA87" s="21"/>
      <c r="AB87" s="21">
        <f>Tabla3568132129397[[#This Row],[COMISIONES]]*0.105</f>
        <v>1655.2976999999998</v>
      </c>
      <c r="AC87" s="21">
        <v>2292.1999999999998</v>
      </c>
      <c r="AD87" s="21">
        <f>236.48+36.68</f>
        <v>273.15999999999997</v>
      </c>
    </row>
    <row r="88" spans="8:30" x14ac:dyDescent="0.25">
      <c r="H88" s="18"/>
      <c r="I88" s="18">
        <f>Tabla39152331419[[#This Row],[COMISIONES]]*0.21</f>
        <v>0</v>
      </c>
      <c r="J88" s="18"/>
      <c r="K88" s="18"/>
      <c r="L88" s="18"/>
      <c r="N88" s="18"/>
      <c r="O88" s="11">
        <f>Tabla35101826364[[#This Row],[COMISIONES]]*0.21</f>
        <v>0</v>
      </c>
      <c r="P88" s="18"/>
      <c r="Q88" s="18"/>
      <c r="R88" s="18"/>
      <c r="U88" s="19">
        <f>Tabla6122028334210[[#This Row],[COMISIONES]]*0.21</f>
        <v>0</v>
      </c>
      <c r="Z88" s="21">
        <v>3285.9</v>
      </c>
      <c r="AA88" s="21">
        <f>Tabla3568132129397[[#This Row],[COMISIONES]]*0.21</f>
        <v>690.03899999999999</v>
      </c>
      <c r="AB88" s="21"/>
      <c r="AC88" s="21">
        <v>8066.88</v>
      </c>
      <c r="AD88" s="21">
        <v>98.58</v>
      </c>
    </row>
    <row r="89" spans="8:30" x14ac:dyDescent="0.25">
      <c r="H89" s="18"/>
      <c r="I89" s="18">
        <f>Tabla39152331419[[#This Row],[COMISIONES]]*0.21</f>
        <v>0</v>
      </c>
      <c r="J89" s="18"/>
      <c r="K89" s="18"/>
      <c r="L89" s="18"/>
      <c r="N89" s="18"/>
      <c r="O89" s="11">
        <f>Tabla35101826364[[#This Row],[COMISIONES]]*0.21</f>
        <v>0</v>
      </c>
      <c r="P89" s="18"/>
      <c r="Q89" s="18"/>
      <c r="R89" s="18"/>
      <c r="U89" s="19">
        <f>Tabla6122028334210[[#This Row],[COMISIONES]]*0.21</f>
        <v>0</v>
      </c>
      <c r="Z89" s="21">
        <v>883.08</v>
      </c>
      <c r="AA89" s="21">
        <f>Tabla3568132129397[[#This Row],[COMISIONES]]*0.21</f>
        <v>185.4468</v>
      </c>
      <c r="AB89" s="21"/>
      <c r="AC89" s="21">
        <v>2167.96</v>
      </c>
      <c r="AD89" s="21"/>
    </row>
    <row r="90" spans="8:30" x14ac:dyDescent="0.25">
      <c r="H90" s="18"/>
      <c r="I90" s="18">
        <f>Tabla39152331419[[#This Row],[COMISIONES]]*0.21</f>
        <v>0</v>
      </c>
      <c r="J90" s="18"/>
      <c r="K90" s="18"/>
      <c r="L90" s="18"/>
      <c r="N90" s="18"/>
      <c r="O90" s="11">
        <f>Tabla35101826364[[#This Row],[COMISIONES]]*0.21</f>
        <v>0</v>
      </c>
      <c r="P90" s="18"/>
      <c r="Q90" s="18"/>
      <c r="R90" s="18"/>
      <c r="U90" s="19">
        <f>Tabla6122028334210[[#This Row],[COMISIONES]]*0.21</f>
        <v>0</v>
      </c>
      <c r="Z90" s="21">
        <v>2353.84</v>
      </c>
      <c r="AA90" s="21">
        <f>Tabla3568132129397[[#This Row],[COMISIONES]]*0.21</f>
        <v>494.3064</v>
      </c>
      <c r="AB90" s="21"/>
      <c r="AC90" s="21"/>
      <c r="AD90" s="21"/>
    </row>
    <row r="91" spans="8:30" x14ac:dyDescent="0.25">
      <c r="H91" s="18"/>
      <c r="I91" s="18">
        <f>Tabla39152331419[[#This Row],[COMISIONES]]*0.21</f>
        <v>0</v>
      </c>
      <c r="J91" s="18"/>
      <c r="K91" s="18"/>
      <c r="L91" s="18"/>
      <c r="N91" s="18"/>
      <c r="O91" s="11">
        <f>Tabla35101826364[[#This Row],[COMISIONES]]*0.21</f>
        <v>0</v>
      </c>
      <c r="P91" s="18"/>
      <c r="Q91" s="18"/>
      <c r="R91" s="18"/>
      <c r="U91" s="19">
        <f>Tabla6122028334210[[#This Row],[COMISIONES]]*0.21</f>
        <v>0</v>
      </c>
      <c r="Z91" s="21">
        <v>30350.080000000002</v>
      </c>
      <c r="AA91" s="21"/>
      <c r="AB91" s="21">
        <f>Tabla3568132129397[[#This Row],[COMISIONES]]*0.105</f>
        <v>3186.7584000000002</v>
      </c>
      <c r="AC91" s="21">
        <v>4412.92</v>
      </c>
      <c r="AD91" s="21">
        <f>455.25+70.61</f>
        <v>525.86</v>
      </c>
    </row>
    <row r="92" spans="8:30" x14ac:dyDescent="0.25">
      <c r="H92" s="18"/>
      <c r="I92" s="18">
        <f>Tabla39152331419[[#This Row],[COMISIONES]]*0.21</f>
        <v>0</v>
      </c>
      <c r="J92" s="18"/>
      <c r="K92" s="18"/>
      <c r="L92" s="18"/>
      <c r="N92" s="18"/>
      <c r="O92" s="11">
        <f>Tabla35101826364[[#This Row],[COMISIONES]]*0.21</f>
        <v>0</v>
      </c>
      <c r="P92" s="18"/>
      <c r="Q92" s="18"/>
      <c r="R92" s="18"/>
      <c r="U92" s="19">
        <f>Tabla6122028334210[[#This Row],[COMISIONES]]*0.21</f>
        <v>0</v>
      </c>
      <c r="Z92" s="21">
        <v>309.60000000000002</v>
      </c>
      <c r="AA92" s="21">
        <f>Tabla3568132129397[[#This Row],[COMISIONES]]*0.21</f>
        <v>65.016000000000005</v>
      </c>
      <c r="AB92" s="21"/>
      <c r="AC92" s="21">
        <v>760.07</v>
      </c>
      <c r="AD92" s="21"/>
    </row>
    <row r="93" spans="8:30" x14ac:dyDescent="0.25">
      <c r="H93" s="21"/>
      <c r="I93" s="21">
        <f>Tabla39152331419[[#This Row],[COMISIONES]]*0.21</f>
        <v>0</v>
      </c>
      <c r="J93" s="21"/>
      <c r="K93" s="21"/>
      <c r="L93" s="21"/>
      <c r="N93" s="18"/>
      <c r="O93" s="11">
        <f>Tabla35101826364[[#This Row],[COMISIONES]]*0.21</f>
        <v>0</v>
      </c>
      <c r="P93" s="18"/>
      <c r="Q93" s="18"/>
      <c r="R93" s="18"/>
      <c r="U93" s="19">
        <f>Tabla6122028334210[[#This Row],[COMISIONES]]*0.21</f>
        <v>0</v>
      </c>
      <c r="Z93" s="21">
        <v>199.11</v>
      </c>
      <c r="AA93" s="21">
        <f>Tabla3568132129397[[#This Row],[COMISIONES]]*0.21</f>
        <v>41.813099999999999</v>
      </c>
      <c r="AB93" s="21"/>
      <c r="AC93" s="21"/>
      <c r="AD93" s="21"/>
    </row>
    <row r="94" spans="8:30" x14ac:dyDescent="0.25">
      <c r="H94" s="21"/>
      <c r="I94" s="21">
        <f>Tabla39152331419[[#This Row],[COMISIONES]]*0.21</f>
        <v>0</v>
      </c>
      <c r="J94" s="21"/>
      <c r="K94" s="21"/>
      <c r="L94" s="21"/>
      <c r="N94" s="18"/>
      <c r="O94" s="11">
        <f>Tabla35101826364[[#This Row],[COMISIONES]]*0.21</f>
        <v>0</v>
      </c>
      <c r="P94" s="18"/>
      <c r="Q94" s="18"/>
      <c r="R94" s="18"/>
      <c r="T94" s="17">
        <f>SUBTOTAL(109,Tabla6122028334210[COMISIONES])</f>
        <v>2400</v>
      </c>
      <c r="U94" s="17">
        <f>SUBTOTAL(109,Tabla6122028334210[IVA 21])</f>
        <v>504</v>
      </c>
      <c r="V94" s="17">
        <f>SUBTOTAL(109,Tabla6122028334210[IVA 10,5])</f>
        <v>0</v>
      </c>
      <c r="W94" s="17">
        <f>SUBTOTAL(109,Tabla6122028334210[Ret IIBB Caba])</f>
        <v>2697.04</v>
      </c>
      <c r="X94" s="17">
        <f>SUBTOTAL(109,Tabla6122028334210[PERC IVA])</f>
        <v>72</v>
      </c>
      <c r="Z94" s="21">
        <v>2567.34</v>
      </c>
      <c r="AA94" s="21">
        <f>Tabla3568132129397[[#This Row],[COMISIONES]]*0.21</f>
        <v>539.14139999999998</v>
      </c>
      <c r="AB94" s="21"/>
      <c r="AC94" s="21">
        <v>373.29</v>
      </c>
      <c r="AD94" s="21"/>
    </row>
    <row r="95" spans="8:30" x14ac:dyDescent="0.25">
      <c r="H95" s="21"/>
      <c r="I95" s="21">
        <f>Tabla39152331419[[#This Row],[COMISIONES]]*0.21</f>
        <v>0</v>
      </c>
      <c r="J95" s="21"/>
      <c r="K95" s="21"/>
      <c r="L95" s="21"/>
      <c r="N95" s="18"/>
      <c r="O95" s="11">
        <f>Tabla35101826364[[#This Row],[COMISIONES]]*0.21</f>
        <v>0</v>
      </c>
      <c r="P95" s="18"/>
      <c r="Q95" s="18"/>
      <c r="R95" s="18"/>
      <c r="Z95" s="21">
        <v>8002.99</v>
      </c>
      <c r="AA95" s="21">
        <f>Tabla3568132129397[[#This Row],[COMISIONES]]*0.21</f>
        <v>1680.6279</v>
      </c>
      <c r="AB95" s="21"/>
      <c r="AC95" s="21">
        <v>19647.349999999999</v>
      </c>
      <c r="AD95" s="21">
        <v>240.09</v>
      </c>
    </row>
    <row r="96" spans="8:30" x14ac:dyDescent="0.25">
      <c r="H96" s="21"/>
      <c r="I96" s="21">
        <f>Tabla39152331419[[#This Row],[COMISIONES]]*0.21</f>
        <v>0</v>
      </c>
      <c r="J96" s="21"/>
      <c r="K96" s="21"/>
      <c r="L96" s="21"/>
      <c r="N96" s="18"/>
      <c r="O96" s="11">
        <f>Tabla35101826364[[#This Row],[COMISIONES]]*0.21</f>
        <v>0</v>
      </c>
      <c r="P96" s="18"/>
      <c r="Q96" s="18"/>
      <c r="R96" s="18"/>
      <c r="Z96" s="21">
        <v>1004.53</v>
      </c>
      <c r="AA96" s="21">
        <f>Tabla3568132129397[[#This Row],[COMISIONES]]*0.21</f>
        <v>210.95129999999997</v>
      </c>
      <c r="AB96" s="21"/>
      <c r="AC96" s="21"/>
      <c r="AD96" s="21"/>
    </row>
    <row r="97" spans="8:30" x14ac:dyDescent="0.25">
      <c r="H97" s="21"/>
      <c r="I97" s="21">
        <f>Tabla39152331419[[#This Row],[COMISIONES]]*0.21</f>
        <v>0</v>
      </c>
      <c r="J97" s="21"/>
      <c r="K97" s="21"/>
      <c r="L97" s="21"/>
      <c r="N97" s="18"/>
      <c r="O97" s="11">
        <f>Tabla35101826364[[#This Row],[COMISIONES]]*0.21</f>
        <v>0</v>
      </c>
      <c r="P97" s="18"/>
      <c r="Q97" s="18"/>
      <c r="R97" s="18"/>
      <c r="Z97" s="21">
        <v>12952.22</v>
      </c>
      <c r="AA97" s="21"/>
      <c r="AB97" s="21">
        <f>Tabla3568132129397[[#This Row],[COMISIONES]]*0.105</f>
        <v>1359.9830999999999</v>
      </c>
      <c r="AC97" s="21">
        <v>1883.26</v>
      </c>
      <c r="AD97" s="21">
        <f>194.28+30.14</f>
        <v>224.42000000000002</v>
      </c>
    </row>
    <row r="98" spans="8:30" x14ac:dyDescent="0.25">
      <c r="H98" s="21"/>
      <c r="I98" s="21">
        <f>Tabla39152331419[[#This Row],[COMISIONES]]*0.21</f>
        <v>0</v>
      </c>
      <c r="J98" s="21"/>
      <c r="K98" s="21"/>
      <c r="L98" s="21"/>
      <c r="N98" s="18"/>
      <c r="O98" s="11">
        <f>Tabla35101826364[[#This Row],[COMISIONES]]*0.21</f>
        <v>0</v>
      </c>
      <c r="P98" s="18"/>
      <c r="Q98" s="18"/>
      <c r="R98" s="18"/>
      <c r="Z98" s="21">
        <v>6922.61</v>
      </c>
      <c r="AA98" s="21">
        <f>Tabla3568132129397[[#This Row],[COMISIONES]]*0.21</f>
        <v>1453.7480999999998</v>
      </c>
      <c r="AB98" s="21"/>
      <c r="AC98" s="21">
        <v>16995.009999999998</v>
      </c>
      <c r="AD98" s="21">
        <v>207.69</v>
      </c>
    </row>
    <row r="99" spans="8:30" x14ac:dyDescent="0.25">
      <c r="H99" s="21"/>
      <c r="I99" s="21">
        <f>Tabla39152331419[[#This Row],[COMISIONES]]*0.21</f>
        <v>0</v>
      </c>
      <c r="J99" s="21"/>
      <c r="K99" s="21"/>
      <c r="L99" s="21"/>
      <c r="N99" s="18"/>
      <c r="O99" s="11">
        <f>Tabla35101826364[[#This Row],[COMISIONES]]*0.21</f>
        <v>0</v>
      </c>
      <c r="P99" s="18"/>
      <c r="Q99" s="18"/>
      <c r="R99" s="18"/>
      <c r="Z99" s="21">
        <v>1208.6199999999999</v>
      </c>
      <c r="AA99" s="21">
        <f>Tabla3568132129397[[#This Row],[COMISIONES]]*0.21</f>
        <v>253.81019999999998</v>
      </c>
      <c r="AB99" s="21"/>
      <c r="AC99" s="21"/>
      <c r="AD99" s="21"/>
    </row>
    <row r="100" spans="8:30" x14ac:dyDescent="0.25">
      <c r="H100" s="21"/>
      <c r="I100" s="21">
        <f>Tabla39152331419[[#This Row],[COMISIONES]]*0.21</f>
        <v>0</v>
      </c>
      <c r="J100" s="21"/>
      <c r="K100" s="21"/>
      <c r="L100" s="21"/>
      <c r="N100" s="18"/>
      <c r="O100" s="11">
        <f>Tabla35101826364[[#This Row],[COMISIONES]]*0.21</f>
        <v>0</v>
      </c>
      <c r="P100" s="18"/>
      <c r="Q100" s="18"/>
      <c r="R100" s="18"/>
      <c r="Z100" s="21">
        <v>15583.74</v>
      </c>
      <c r="AA100" s="21"/>
      <c r="AB100" s="21">
        <f>Tabla3568132129397[[#This Row],[COMISIONES]]*0.105</f>
        <v>1636.2927</v>
      </c>
      <c r="AC100" s="21">
        <v>2265.88</v>
      </c>
      <c r="AD100" s="21">
        <f>233.76+36.26</f>
        <v>270.02</v>
      </c>
    </row>
    <row r="101" spans="8:30" x14ac:dyDescent="0.25">
      <c r="H101" s="21"/>
      <c r="I101" s="21">
        <f>Tabla39152331419[[#This Row],[COMISIONES]]*0.21</f>
        <v>0</v>
      </c>
      <c r="J101" s="21"/>
      <c r="K101" s="21"/>
      <c r="L101" s="21"/>
      <c r="N101" s="18"/>
      <c r="O101" s="11">
        <f>Tabla35101826364[[#This Row],[COMISIONES]]*0.21</f>
        <v>0</v>
      </c>
      <c r="P101" s="18"/>
      <c r="Q101" s="18"/>
      <c r="R101" s="18"/>
      <c r="Z101" s="21">
        <v>2316.61</v>
      </c>
      <c r="AA101" s="21">
        <f>Tabla3568132129397[[#This Row],[COMISIONES]]*0.21</f>
        <v>486.48810000000003</v>
      </c>
      <c r="AB101" s="21"/>
      <c r="AC101" s="21">
        <v>5687.25</v>
      </c>
      <c r="AD101" s="21">
        <v>69.510000000000005</v>
      </c>
    </row>
    <row r="102" spans="8:30" x14ac:dyDescent="0.25">
      <c r="H102" s="20">
        <f>SUBTOTAL(109,Tabla39152331419[COMISIONES])</f>
        <v>94500</v>
      </c>
      <c r="I102" s="20">
        <f>SUBTOTAL(109,Tabla39152331419[IVA 21])</f>
        <v>19845</v>
      </c>
      <c r="J102" s="20">
        <f>SUBTOTAL(109,Tabla39152331419[IVA 10,5])</f>
        <v>0</v>
      </c>
      <c r="K102" s="20">
        <f>SUBTOTAL(109,Tabla39152331419[Ret IIBB Caba])</f>
        <v>0</v>
      </c>
      <c r="L102" s="20">
        <f>SUBTOTAL(109,Tabla39152331419[PERC IVA])</f>
        <v>2835</v>
      </c>
      <c r="N102" s="18"/>
      <c r="O102" s="11">
        <f>Tabla35101826364[[#This Row],[COMISIONES]]*0.21</f>
        <v>0</v>
      </c>
      <c r="P102" s="18"/>
      <c r="Q102" s="18"/>
      <c r="R102" s="18"/>
      <c r="Z102" s="21">
        <v>4396.3599999999997</v>
      </c>
      <c r="AA102" s="21">
        <f>Tabla3568132129397[[#This Row],[COMISIONES]]*0.21</f>
        <v>923.23559999999986</v>
      </c>
      <c r="AB102" s="21"/>
      <c r="AC102" s="21"/>
      <c r="AD102" s="21"/>
    </row>
    <row r="103" spans="8:30" x14ac:dyDescent="0.25">
      <c r="N103" s="18"/>
      <c r="O103" s="11">
        <f>Tabla35101826364[[#This Row],[COMISIONES]]*0.21</f>
        <v>0</v>
      </c>
      <c r="P103" s="18"/>
      <c r="Q103" s="18"/>
      <c r="R103" s="18"/>
      <c r="Z103" s="21">
        <v>67837.34</v>
      </c>
      <c r="AA103" s="21"/>
      <c r="AB103" s="21">
        <f>Tabla3568132129397[[#This Row],[COMISIONES]]*0.105</f>
        <v>7122.9206999999997</v>
      </c>
      <c r="AC103" s="21">
        <v>7740.35</v>
      </c>
      <c r="AD103" s="21">
        <f>1017.57+131.89</f>
        <v>1149.46</v>
      </c>
    </row>
    <row r="104" spans="8:30" x14ac:dyDescent="0.25">
      <c r="N104" s="18"/>
      <c r="O104" s="11">
        <f>Tabla35101826364[[#This Row],[COMISIONES]]*0.21</f>
        <v>0</v>
      </c>
      <c r="P104" s="18"/>
      <c r="Q104" s="18"/>
      <c r="R104" s="18"/>
      <c r="Z104" s="21">
        <v>1796.63</v>
      </c>
      <c r="AA104" s="21">
        <f>Tabla3568132129397[[#This Row],[COMISIONES]]*0.21</f>
        <v>377.29230000000001</v>
      </c>
      <c r="AB104" s="21"/>
      <c r="AC104" s="21">
        <v>4410.74</v>
      </c>
      <c r="AD104" s="21"/>
    </row>
    <row r="105" spans="8:30" x14ac:dyDescent="0.25">
      <c r="N105" s="18"/>
      <c r="O105" s="11">
        <f>Tabla35101826364[[#This Row],[COMISIONES]]*0.21</f>
        <v>0</v>
      </c>
      <c r="P105" s="18"/>
      <c r="Q105" s="18"/>
      <c r="R105" s="18"/>
      <c r="Z105" s="21">
        <v>1261.1500000000001</v>
      </c>
      <c r="AA105" s="21">
        <f>Tabla3568132129397[[#This Row],[COMISIONES]]*0.21</f>
        <v>264.8415</v>
      </c>
      <c r="AB105" s="21"/>
      <c r="AC105" s="21"/>
      <c r="AD105" s="21"/>
    </row>
    <row r="106" spans="8:30" x14ac:dyDescent="0.25">
      <c r="N106" s="18"/>
      <c r="O106" s="11">
        <f>Tabla35101826364[[#This Row],[COMISIONES]]*0.21</f>
        <v>0</v>
      </c>
      <c r="P106" s="18"/>
      <c r="Q106" s="18"/>
      <c r="R106" s="18"/>
      <c r="Z106" s="21">
        <v>12614.67</v>
      </c>
      <c r="AA106" s="21">
        <v>378</v>
      </c>
      <c r="AB106" s="21">
        <v>1135.4100000000001</v>
      </c>
      <c r="AC106" s="21">
        <v>2528.4499999999998</v>
      </c>
      <c r="AD106" s="21">
        <f>189.22+37.83</f>
        <v>227.05</v>
      </c>
    </row>
    <row r="107" spans="8:30" x14ac:dyDescent="0.25">
      <c r="N107" s="18"/>
      <c r="O107" s="11">
        <f>Tabla35101826364[[#This Row],[COMISIONES]]*0.21</f>
        <v>0</v>
      </c>
      <c r="P107" s="18"/>
      <c r="Q107" s="18"/>
      <c r="R107" s="18"/>
      <c r="Z107" s="21">
        <v>602.64</v>
      </c>
      <c r="AA107" s="21">
        <f>Tabla3568132129397[[#This Row],[COMISIONES]]*0.21</f>
        <v>126.55439999999999</v>
      </c>
      <c r="AB107" s="21"/>
      <c r="AC107" s="21">
        <v>1479.48</v>
      </c>
      <c r="AD107" s="21"/>
    </row>
    <row r="108" spans="8:30" x14ac:dyDescent="0.25">
      <c r="N108" s="18"/>
      <c r="O108" s="11">
        <f>Tabla35101826364[[#This Row],[COMISIONES]]*0.21</f>
        <v>0</v>
      </c>
      <c r="P108" s="18"/>
      <c r="Q108" s="18"/>
      <c r="R108" s="18"/>
      <c r="Z108" s="21">
        <v>4709.58</v>
      </c>
      <c r="AA108" s="21">
        <f>Tabla3568132129397[[#This Row],[COMISIONES]]*0.21</f>
        <v>989.01179999999999</v>
      </c>
      <c r="AB108" s="21"/>
      <c r="AC108" s="21">
        <v>11562</v>
      </c>
      <c r="AD108" s="21">
        <v>141.29</v>
      </c>
    </row>
    <row r="109" spans="8:30" x14ac:dyDescent="0.25">
      <c r="N109" s="18"/>
      <c r="O109" s="11">
        <f>Tabla35101826364[[#This Row],[COMISIONES]]*0.21</f>
        <v>0</v>
      </c>
      <c r="P109" s="18"/>
      <c r="Q109" s="18"/>
      <c r="R109" s="18"/>
      <c r="Z109" s="21">
        <v>600.03</v>
      </c>
      <c r="AA109" s="21">
        <f>Tabla3568132129397[[#This Row],[COMISIONES]]*0.21</f>
        <v>126.0063</v>
      </c>
      <c r="AB109" s="21"/>
      <c r="AC109" s="21"/>
      <c r="AD109" s="21"/>
    </row>
    <row r="110" spans="8:30" x14ac:dyDescent="0.25">
      <c r="N110" s="18"/>
      <c r="O110" s="11">
        <f>Tabla35101826364[[#This Row],[COMISIONES]]*0.21</f>
        <v>0</v>
      </c>
      <c r="P110" s="18"/>
      <c r="Q110" s="18"/>
      <c r="R110" s="18"/>
      <c r="Z110" s="21">
        <v>7736.68</v>
      </c>
      <c r="AA110" s="21"/>
      <c r="AB110" s="21">
        <f>Tabla3568132129397[[#This Row],[COMISIONES]]*0.105</f>
        <v>812.35140000000001</v>
      </c>
      <c r="AC110" s="21">
        <v>1124.92</v>
      </c>
      <c r="AD110" s="21">
        <f>116.05+18</f>
        <v>134.05000000000001</v>
      </c>
    </row>
    <row r="111" spans="8:30" x14ac:dyDescent="0.25">
      <c r="N111" s="18"/>
      <c r="O111" s="11">
        <f>Tabla35101826364[[#This Row],[COMISIONES]]*0.21</f>
        <v>0</v>
      </c>
      <c r="P111" s="18"/>
      <c r="Q111" s="18"/>
      <c r="R111" s="18"/>
      <c r="Z111" s="21">
        <v>4397.67</v>
      </c>
      <c r="AA111" s="21">
        <f>Tabla3568132129397[[#This Row],[COMISIONES]]*0.21</f>
        <v>923.51069999999993</v>
      </c>
      <c r="AB111" s="21"/>
      <c r="AC111" s="21">
        <v>10796.28</v>
      </c>
      <c r="AD111" s="21">
        <v>131.94</v>
      </c>
    </row>
    <row r="112" spans="8:30" x14ac:dyDescent="0.25">
      <c r="N112" s="18"/>
      <c r="O112" s="11">
        <f>Tabla35101826364[[#This Row],[COMISIONES]]*0.21</f>
        <v>0</v>
      </c>
      <c r="P112" s="18"/>
      <c r="Q112" s="18"/>
      <c r="R112" s="18"/>
      <c r="Z112" s="21">
        <v>1962.9</v>
      </c>
      <c r="AA112" s="21">
        <f>Tabla3568132129397[[#This Row],[COMISIONES]]*0.21</f>
        <v>412.209</v>
      </c>
      <c r="AB112" s="21"/>
      <c r="AC112" s="21">
        <v>3723.61</v>
      </c>
      <c r="AD112" s="21">
        <f>365.1+58.88</f>
        <v>423.98</v>
      </c>
    </row>
    <row r="113" spans="14:30" x14ac:dyDescent="0.25">
      <c r="N113" s="18"/>
      <c r="O113" s="11">
        <f>Tabla35101826364[[#This Row],[COMISIONES]]*0.21</f>
        <v>0</v>
      </c>
      <c r="P113" s="18"/>
      <c r="Q113" s="18"/>
      <c r="R113" s="18"/>
      <c r="Z113" s="21">
        <v>236.16</v>
      </c>
      <c r="AA113" s="21">
        <f>Tabla3568132129397[[#This Row],[COMISIONES]]*0.21</f>
        <v>49.593599999999995</v>
      </c>
      <c r="AB113" s="21"/>
      <c r="AC113" s="21">
        <v>579.77</v>
      </c>
      <c r="AD113" s="21"/>
    </row>
    <row r="114" spans="14:30" x14ac:dyDescent="0.25">
      <c r="N114" s="18"/>
      <c r="O114" s="11">
        <f>Tabla35101826364[[#This Row],[COMISIONES]]*0.21</f>
        <v>0</v>
      </c>
      <c r="P114" s="18"/>
      <c r="Q114" s="18"/>
      <c r="R114" s="18"/>
      <c r="Z114" s="21">
        <v>2323.89</v>
      </c>
      <c r="AA114" s="21">
        <f>Tabla3568132129397[[#This Row],[COMISIONES]]*0.21</f>
        <v>488.01689999999996</v>
      </c>
      <c r="AB114" s="21"/>
      <c r="AC114" s="21">
        <v>5705.15</v>
      </c>
      <c r="AD114" s="21">
        <v>69.709999999999994</v>
      </c>
    </row>
    <row r="115" spans="14:30" x14ac:dyDescent="0.25">
      <c r="N115" s="18"/>
      <c r="O115" s="11">
        <f>Tabla35101826364[[#This Row],[COMISIONES]]*0.21</f>
        <v>0</v>
      </c>
      <c r="P115" s="18"/>
      <c r="Q115" s="18"/>
      <c r="R115" s="18"/>
      <c r="Z115" s="21">
        <v>4626.08</v>
      </c>
      <c r="AA115" s="21">
        <f>Tabla3568132129397[[#This Row],[COMISIONES]]*0.21</f>
        <v>971.47679999999991</v>
      </c>
      <c r="AB115" s="21"/>
      <c r="AC115" s="21"/>
      <c r="AD115" s="21"/>
    </row>
    <row r="116" spans="14:30" x14ac:dyDescent="0.25">
      <c r="N116" s="18"/>
      <c r="O116" s="11">
        <f>Tabla35101826364[[#This Row],[COMISIONES]]*0.21</f>
        <v>0</v>
      </c>
      <c r="P116" s="18"/>
      <c r="Q116" s="18"/>
      <c r="R116" s="18"/>
      <c r="Z116" s="21">
        <v>58224.61</v>
      </c>
      <c r="AA116" s="21"/>
      <c r="AB116" s="21">
        <f>Tabla3568132129397[[#This Row],[COMISIONES]]*0.105</f>
        <v>6113.5840499999995</v>
      </c>
      <c r="AC116" s="21">
        <v>8736.9</v>
      </c>
      <c r="AD116" s="21">
        <f>873.37+138.78</f>
        <v>1012.15</v>
      </c>
    </row>
    <row r="117" spans="14:30" x14ac:dyDescent="0.25">
      <c r="N117" s="18"/>
      <c r="O117" s="11">
        <f>Tabla35101826364[[#This Row],[COMISIONES]]*0.21</f>
        <v>0</v>
      </c>
      <c r="P117" s="18"/>
      <c r="Q117" s="18"/>
      <c r="R117" s="18"/>
      <c r="Z117" s="21">
        <v>815.58</v>
      </c>
      <c r="AA117" s="21">
        <f>Tabla3568132129397[[#This Row],[COMISIONES]]*0.21</f>
        <v>171.27180000000001</v>
      </c>
      <c r="AB117" s="21"/>
      <c r="AC117" s="21">
        <v>2002.25</v>
      </c>
      <c r="AD117" s="21"/>
    </row>
    <row r="118" spans="14:30" x14ac:dyDescent="0.25">
      <c r="N118" s="18"/>
      <c r="O118" s="11">
        <f>Tabla35101826364[[#This Row],[COMISIONES]]*0.21</f>
        <v>0</v>
      </c>
      <c r="P118" s="18"/>
      <c r="Q118" s="18"/>
      <c r="R118" s="18"/>
      <c r="Z118" s="21">
        <v>2089.2199999999998</v>
      </c>
      <c r="AA118" s="21">
        <f>Tabla3568132129397[[#This Row],[COMISIONES]]*0.21</f>
        <v>438.73619999999994</v>
      </c>
      <c r="AB118" s="21"/>
      <c r="AC118" s="21">
        <v>5129.0200000000004</v>
      </c>
      <c r="AD118" s="21">
        <v>62.67</v>
      </c>
    </row>
    <row r="119" spans="14:30" x14ac:dyDescent="0.25">
      <c r="N119" s="18"/>
      <c r="O119" s="11">
        <f>Tabla35101826364[[#This Row],[COMISIONES]]*0.21</f>
        <v>0</v>
      </c>
      <c r="P119" s="18"/>
      <c r="Q119" s="18"/>
      <c r="R119" s="18"/>
      <c r="Z119" s="21">
        <v>1206.6400000000001</v>
      </c>
      <c r="AA119" s="21">
        <f>Tabla3568132129397[[#This Row],[COMISIONES]]*0.21</f>
        <v>253.39440000000002</v>
      </c>
      <c r="AB119" s="21"/>
      <c r="AC119" s="21"/>
      <c r="AD119" s="21"/>
    </row>
    <row r="120" spans="14:30" x14ac:dyDescent="0.25">
      <c r="N120" s="18"/>
      <c r="O120" s="11">
        <f>Tabla35101826364[[#This Row],[COMISIONES]]*0.21</f>
        <v>0</v>
      </c>
      <c r="P120" s="18"/>
      <c r="Q120" s="18"/>
      <c r="R120" s="18"/>
      <c r="Z120" s="21">
        <v>12069.47</v>
      </c>
      <c r="AA120" s="21"/>
      <c r="AB120" s="21">
        <f>Tabla3568132129397[[#This Row],[COMISIONES]]*0.105</f>
        <v>1267.2943499999999</v>
      </c>
      <c r="AC120" s="21">
        <v>2419.17</v>
      </c>
      <c r="AD120" s="21">
        <f>181.04+36.2</f>
        <v>217.24</v>
      </c>
    </row>
    <row r="121" spans="14:30" x14ac:dyDescent="0.25">
      <c r="N121" s="18"/>
      <c r="O121" s="11">
        <f>Tabla35101826364[[#This Row],[COMISIONES]]*0.21</f>
        <v>0</v>
      </c>
      <c r="P121" s="18"/>
      <c r="Q121" s="18"/>
      <c r="R121" s="18"/>
      <c r="Z121" s="21">
        <v>1388.34</v>
      </c>
      <c r="AA121" s="21">
        <f>Tabla3568132129397[[#This Row],[COMISIONES]]*0.21</f>
        <v>291.55139999999994</v>
      </c>
      <c r="AB121" s="21"/>
      <c r="AC121" s="21">
        <v>3408.37</v>
      </c>
      <c r="AD121" s="21"/>
    </row>
    <row r="122" spans="14:30" x14ac:dyDescent="0.25">
      <c r="N122" s="18"/>
      <c r="O122" s="11">
        <f>Tabla35101826364[[#This Row],[COMISIONES]]*0.21</f>
        <v>0</v>
      </c>
      <c r="P122" s="18"/>
      <c r="Q122" s="18"/>
      <c r="R122" s="18"/>
      <c r="Z122" s="21">
        <v>6461.21</v>
      </c>
      <c r="AA122" s="21">
        <f>Tabla3568132129397[[#This Row],[COMISIONES]]*0.21</f>
        <v>1356.8541</v>
      </c>
      <c r="AB122" s="21"/>
      <c r="AC122" s="21"/>
      <c r="AD122" s="21"/>
    </row>
    <row r="123" spans="14:30" x14ac:dyDescent="0.25">
      <c r="N123" s="18"/>
      <c r="O123" s="18"/>
      <c r="P123" s="18"/>
      <c r="Q123" s="18"/>
      <c r="R123" s="18"/>
      <c r="Z123" s="21">
        <v>83310.13</v>
      </c>
      <c r="AA123" s="21"/>
      <c r="AB123" s="21">
        <f>Tabla3568132129397[[#This Row],[COMISIONES]]*0.105</f>
        <v>8747.5636500000001</v>
      </c>
      <c r="AC123" s="21">
        <v>12113.34</v>
      </c>
      <c r="AD123" s="21">
        <f>1249.66+193.84</f>
        <v>1443.5</v>
      </c>
    </row>
    <row r="124" spans="14:30" x14ac:dyDescent="0.25">
      <c r="N124" s="18"/>
      <c r="O124" s="18"/>
      <c r="P124" s="18"/>
      <c r="Q124" s="18"/>
      <c r="R124" s="18"/>
      <c r="Z124" s="21">
        <v>1059.3</v>
      </c>
      <c r="AA124" s="21">
        <f>Tabla3568132129397[[#This Row],[COMISIONES]]*0.21</f>
        <v>222.45299999999997</v>
      </c>
      <c r="AB124" s="21"/>
      <c r="AC124" s="21">
        <v>2600.58</v>
      </c>
      <c r="AD124" s="21"/>
    </row>
    <row r="125" spans="14:30" x14ac:dyDescent="0.25">
      <c r="N125" s="18"/>
      <c r="O125" s="18"/>
      <c r="P125" s="18"/>
      <c r="Q125" s="18"/>
      <c r="R125" s="18"/>
      <c r="Z125" s="21">
        <v>5783</v>
      </c>
      <c r="AA125" s="21">
        <f>Tabla3568132129397[[#This Row],[COMISIONES]]*0.21</f>
        <v>1214.43</v>
      </c>
      <c r="AB125" s="21"/>
      <c r="AC125" s="21">
        <v>14197.25</v>
      </c>
      <c r="AD125" s="21">
        <v>173.48</v>
      </c>
    </row>
    <row r="126" spans="14:30" x14ac:dyDescent="0.25">
      <c r="N126" s="18"/>
      <c r="O126" s="18"/>
      <c r="P126" s="18"/>
      <c r="Q126" s="18"/>
      <c r="R126" s="18"/>
      <c r="Z126" s="21">
        <v>2037.66</v>
      </c>
      <c r="AA126" s="21">
        <f>Tabla3568132129397[[#This Row],[COMISIONES]]*0.21</f>
        <v>427.90859999999998</v>
      </c>
      <c r="AB126" s="21"/>
      <c r="AC126" s="21"/>
      <c r="AD126" s="21"/>
    </row>
    <row r="127" spans="14:30" x14ac:dyDescent="0.25">
      <c r="N127" s="18"/>
      <c r="O127" s="18"/>
      <c r="P127" s="18"/>
      <c r="Q127" s="18"/>
      <c r="R127" s="18"/>
      <c r="Z127" s="21">
        <v>26273.35</v>
      </c>
      <c r="AA127" s="21"/>
      <c r="AB127" s="21">
        <f>Tabla3568132129397[[#This Row],[COMISIONES]]*0.105</f>
        <v>2758.7017499999997</v>
      </c>
      <c r="AC127" s="21">
        <v>3820.16</v>
      </c>
      <c r="AD127" s="21">
        <f>394.1+61.13</f>
        <v>455.23</v>
      </c>
    </row>
    <row r="128" spans="14:30" x14ac:dyDescent="0.25">
      <c r="N128" s="18"/>
      <c r="O128" s="18"/>
      <c r="P128" s="18"/>
      <c r="Q128" s="18"/>
      <c r="R128" s="18"/>
      <c r="Z128" s="21">
        <v>2968.32</v>
      </c>
      <c r="AA128" s="21">
        <f>Tabla3568132129397[[#This Row],[COMISIONES]]*0.21</f>
        <v>623.34720000000004</v>
      </c>
      <c r="AB128" s="21"/>
      <c r="AC128" s="21">
        <v>16563.23</v>
      </c>
      <c r="AD128" s="21">
        <v>89.06</v>
      </c>
    </row>
    <row r="129" spans="14:30" x14ac:dyDescent="0.25">
      <c r="N129" s="18"/>
      <c r="O129" s="18"/>
      <c r="P129" s="18"/>
      <c r="Q129" s="18"/>
      <c r="R129" s="18"/>
      <c r="Z129" s="21">
        <v>1751.6</v>
      </c>
      <c r="AA129" s="21">
        <f>Tabla3568132129397[[#This Row],[COMISIONES]]*0.21</f>
        <v>367.83599999999996</v>
      </c>
      <c r="AB129" s="21"/>
      <c r="AC129" s="21">
        <v>9773.93</v>
      </c>
      <c r="AD129" s="21"/>
    </row>
    <row r="130" spans="14:30" x14ac:dyDescent="0.25">
      <c r="N130" s="18"/>
      <c r="O130" s="18"/>
      <c r="P130" s="18"/>
      <c r="Q130" s="18"/>
      <c r="R130" s="18"/>
      <c r="Z130" s="21">
        <v>1314.26</v>
      </c>
      <c r="AA130" s="21">
        <f>Tabla3568132129397[[#This Row],[COMISIONES]]*0.21</f>
        <v>275.99459999999999</v>
      </c>
      <c r="AB130" s="21"/>
      <c r="AC130" s="21">
        <v>7333.57</v>
      </c>
      <c r="AD130" s="21"/>
    </row>
    <row r="131" spans="14:30" x14ac:dyDescent="0.25">
      <c r="N131" s="18"/>
      <c r="O131" s="18"/>
      <c r="P131" s="18"/>
      <c r="Q131" s="18"/>
      <c r="R131" s="18"/>
      <c r="Z131" s="21">
        <v>2332.6799999999998</v>
      </c>
      <c r="AA131" s="21">
        <f>Tabla3568132129397[[#This Row],[COMISIONES]]*0.21</f>
        <v>489.86279999999994</v>
      </c>
      <c r="AB131" s="21"/>
      <c r="AC131" s="21">
        <v>13016.33</v>
      </c>
      <c r="AD131" s="21">
        <v>69.98</v>
      </c>
    </row>
    <row r="132" spans="14:30" x14ac:dyDescent="0.25">
      <c r="N132" s="18"/>
      <c r="O132" s="18"/>
      <c r="P132" s="18"/>
      <c r="Q132" s="18"/>
      <c r="R132" s="18"/>
      <c r="Z132" s="21">
        <v>2418.42</v>
      </c>
      <c r="AA132" s="21">
        <f>Tabla3568132129397[[#This Row],[COMISIONES]]*0.21</f>
        <v>507.8682</v>
      </c>
      <c r="AB132" s="21"/>
      <c r="AC132" s="21">
        <v>13494.78</v>
      </c>
      <c r="AD132" s="21">
        <v>72.569999999999993</v>
      </c>
    </row>
    <row r="133" spans="14:30" x14ac:dyDescent="0.25">
      <c r="N133" s="18"/>
      <c r="O133" s="18"/>
      <c r="P133" s="18"/>
      <c r="Q133" s="18"/>
      <c r="R133" s="18"/>
      <c r="Z133" s="21">
        <v>1015.82</v>
      </c>
      <c r="AA133" s="21">
        <f>Tabla3568132129397[[#This Row],[COMISIONES]]*0.21</f>
        <v>213.32220000000001</v>
      </c>
      <c r="AB133" s="21"/>
      <c r="AC133" s="21">
        <v>5668.25</v>
      </c>
      <c r="AD133" s="21"/>
    </row>
    <row r="134" spans="14:30" x14ac:dyDescent="0.25">
      <c r="N134" s="18"/>
      <c r="O134" s="18">
        <f>Tabla35101826364[[#This Row],[COMISIONES]]*0.21</f>
        <v>0</v>
      </c>
      <c r="P134" s="18"/>
      <c r="Q134" s="18"/>
      <c r="R134" s="18"/>
      <c r="Z134" s="21">
        <v>1663.04</v>
      </c>
      <c r="AA134" s="21">
        <f>Tabla3568132129397[[#This Row],[COMISIONES]]*0.21</f>
        <v>349.23839999999996</v>
      </c>
      <c r="AB134" s="21"/>
      <c r="AC134" s="21">
        <v>9279.76</v>
      </c>
      <c r="AD134" s="21"/>
    </row>
    <row r="135" spans="14:30" x14ac:dyDescent="0.25">
      <c r="N135" s="24">
        <f>SUBTOTAL(109,Tabla35101826364[COMISIONES])</f>
        <v>64136.820000000007</v>
      </c>
      <c r="O135" s="24">
        <f>SUBTOTAL(109,Tabla35101826364[IVA 21])</f>
        <v>12846.918</v>
      </c>
      <c r="P135" s="24">
        <f>SUBTOTAL(109,Tabla35101826364[IVA 10,5])</f>
        <v>310.89999999999998</v>
      </c>
      <c r="Q135" s="24">
        <f>SUBTOTAL(109,Tabla35101826364[Ret IIBB Caba])</f>
        <v>3347.37</v>
      </c>
      <c r="R135" s="24">
        <f>SUBTOTAL(109,Tabla35101826364[PERC IVA])</f>
        <v>1673.6699999999998</v>
      </c>
      <c r="Z135" s="21">
        <v>2812.18</v>
      </c>
      <c r="AA135" s="21">
        <f>Tabla3568132129397[[#This Row],[COMISIONES]]*0.21</f>
        <v>590.55779999999993</v>
      </c>
      <c r="AB135" s="21"/>
      <c r="AC135" s="21">
        <v>15691.94</v>
      </c>
      <c r="AD135" s="21">
        <v>84.36</v>
      </c>
    </row>
    <row r="136" spans="14:30" x14ac:dyDescent="0.25">
      <c r="Z136" s="21">
        <v>1874.92</v>
      </c>
      <c r="AA136" s="21">
        <f>Tabla3568132129397[[#This Row],[COMISIONES]]*0.21</f>
        <v>393.73320000000001</v>
      </c>
      <c r="AB136" s="21"/>
      <c r="AC136" s="21">
        <v>10462.049999999999</v>
      </c>
      <c r="AD136" s="21"/>
    </row>
    <row r="137" spans="14:30" x14ac:dyDescent="0.25">
      <c r="Z137" s="21">
        <v>2583.64</v>
      </c>
      <c r="AA137" s="21">
        <f>Tabla3568132129397[[#This Row],[COMISIONES]]*0.21</f>
        <v>542.56439999999998</v>
      </c>
      <c r="AB137" s="21"/>
      <c r="AC137" s="21">
        <v>14416.71</v>
      </c>
      <c r="AD137" s="21">
        <v>77.510000000000005</v>
      </c>
    </row>
    <row r="138" spans="14:30" x14ac:dyDescent="0.25">
      <c r="Z138" s="21">
        <v>1363.52</v>
      </c>
      <c r="AA138" s="21">
        <f>Tabla3568132129397[[#This Row],[COMISIONES]]*0.21</f>
        <v>286.33920000000001</v>
      </c>
      <c r="AB138" s="21"/>
      <c r="AC138" s="21">
        <v>7608.44</v>
      </c>
      <c r="AD138" s="21"/>
    </row>
    <row r="139" spans="14:30" x14ac:dyDescent="0.25">
      <c r="Z139" s="21">
        <v>3941.88</v>
      </c>
      <c r="AA139" s="21">
        <f>Tabla3568132129397[[#This Row],[COMISIONES]]*0.21</f>
        <v>827.79480000000001</v>
      </c>
      <c r="AB139" s="21"/>
      <c r="AC139" s="21">
        <v>21995.69</v>
      </c>
      <c r="AD139" s="21">
        <v>118.25</v>
      </c>
    </row>
    <row r="140" spans="14:30" x14ac:dyDescent="0.25">
      <c r="Z140" s="21">
        <v>1704.54</v>
      </c>
      <c r="AA140" s="21">
        <f>Tabla3568132129397[[#This Row],[COMISIONES]]*0.21</f>
        <v>357.95339999999999</v>
      </c>
      <c r="AB140" s="21"/>
      <c r="AC140" s="21">
        <v>9511.36</v>
      </c>
      <c r="AD140" s="21"/>
    </row>
    <row r="141" spans="14:30" x14ac:dyDescent="0.25">
      <c r="Z141" s="21">
        <v>1627.42</v>
      </c>
      <c r="AA141" s="21">
        <f>Tabla3568132129397[[#This Row],[COMISIONES]]*0.21</f>
        <v>341.75819999999999</v>
      </c>
      <c r="AB141" s="21"/>
      <c r="AC141" s="21">
        <v>9080.98</v>
      </c>
      <c r="AD141" s="21"/>
    </row>
    <row r="142" spans="14:30" x14ac:dyDescent="0.25">
      <c r="Z142" s="21">
        <v>2224.3000000000002</v>
      </c>
      <c r="AA142" s="21">
        <f>Tabla3568132129397[[#This Row],[COMISIONES]]*0.21</f>
        <v>467.10300000000001</v>
      </c>
      <c r="AB142" s="21"/>
      <c r="AC142" s="21">
        <v>12411.57</v>
      </c>
      <c r="AD142" s="21">
        <v>66.760000000000005</v>
      </c>
    </row>
    <row r="143" spans="14:30" x14ac:dyDescent="0.25">
      <c r="Z143" s="21">
        <v>1483.02</v>
      </c>
      <c r="AA143" s="21">
        <f>Tabla3568132129397[[#This Row],[COMISIONES]]*0.21</f>
        <v>311.43419999999998</v>
      </c>
      <c r="AB143" s="21"/>
      <c r="AC143" s="21">
        <v>8275.23</v>
      </c>
      <c r="AD143" s="21"/>
    </row>
    <row r="144" spans="14:30" x14ac:dyDescent="0.25">
      <c r="Z144" s="21">
        <v>3676.66</v>
      </c>
      <c r="AA144" s="21">
        <f>Tabla3568132129397[[#This Row],[COMISIONES]]*0.21</f>
        <v>772.09859999999992</v>
      </c>
      <c r="AB144" s="21"/>
      <c r="AC144" s="21">
        <v>20532.46</v>
      </c>
      <c r="AD144" s="21">
        <v>110.4</v>
      </c>
    </row>
    <row r="145" spans="26:30" x14ac:dyDescent="0.25">
      <c r="Z145" s="21">
        <v>2469.34</v>
      </c>
      <c r="AA145" s="21">
        <f>Tabla3568132129397[[#This Row],[COMISIONES]]*0.21</f>
        <v>518.56140000000005</v>
      </c>
      <c r="AB145" s="21"/>
      <c r="AC145" s="21">
        <v>13778.92</v>
      </c>
      <c r="AD145" s="21">
        <v>74.08</v>
      </c>
    </row>
    <row r="146" spans="26:30" x14ac:dyDescent="0.25">
      <c r="Z146" s="21">
        <v>4640.76</v>
      </c>
      <c r="AA146" s="21">
        <f>Tabla3568132129397[[#This Row],[COMISIONES]]*0.21</f>
        <v>974.55960000000005</v>
      </c>
      <c r="AB146" s="21"/>
      <c r="AC146" s="21">
        <v>25895.41</v>
      </c>
      <c r="AD146" s="21">
        <v>139.22</v>
      </c>
    </row>
    <row r="147" spans="26:30" x14ac:dyDescent="0.25">
      <c r="Z147" s="21"/>
      <c r="AA147" s="21">
        <f>Tabla3568132129397[[#This Row],[COMISIONES]]*0.21</f>
        <v>0</v>
      </c>
      <c r="AB147" s="21"/>
      <c r="AC147" s="21"/>
      <c r="AD147" s="21"/>
    </row>
    <row r="148" spans="26:30" x14ac:dyDescent="0.25">
      <c r="Z148" s="21"/>
      <c r="AA148" s="21">
        <f>Tabla3568132129397[[#This Row],[COMISIONES]]*0.21</f>
        <v>0</v>
      </c>
      <c r="AB148" s="21"/>
      <c r="AC148" s="21"/>
      <c r="AD148" s="21"/>
    </row>
    <row r="149" spans="26:30" x14ac:dyDescent="0.25">
      <c r="Z149" s="21"/>
      <c r="AA149" s="21">
        <f>Tabla3568132129397[[#This Row],[COMISIONES]]*0.21</f>
        <v>0</v>
      </c>
      <c r="AB149" s="21"/>
      <c r="AC149" s="21"/>
      <c r="AD149" s="21"/>
    </row>
    <row r="150" spans="26:30" x14ac:dyDescent="0.25">
      <c r="Z150" s="21"/>
      <c r="AA150" s="21">
        <f>Tabla3568132129397[[#This Row],[COMISIONES]]*0.21</f>
        <v>0</v>
      </c>
      <c r="AB150" s="21"/>
      <c r="AC150" s="21"/>
      <c r="AD150" s="21"/>
    </row>
    <row r="151" spans="26:30" x14ac:dyDescent="0.25">
      <c r="Z151" s="21"/>
      <c r="AA151" s="21">
        <f>Tabla3568132129397[[#This Row],[COMISIONES]]*0.21</f>
        <v>0</v>
      </c>
      <c r="AB151" s="21"/>
      <c r="AC151" s="21"/>
      <c r="AD151" s="21"/>
    </row>
    <row r="152" spans="26:30" x14ac:dyDescent="0.25">
      <c r="Z152" s="21"/>
      <c r="AA152" s="21">
        <f>Tabla3568132129397[[#This Row],[COMISIONES]]*0.21</f>
        <v>0</v>
      </c>
      <c r="AB152" s="21"/>
      <c r="AC152" s="21"/>
      <c r="AD152" s="21"/>
    </row>
    <row r="153" spans="26:30" x14ac:dyDescent="0.25">
      <c r="Z153" s="21"/>
      <c r="AA153" s="21">
        <f>Tabla3568132129397[[#This Row],[COMISIONES]]*0.21</f>
        <v>0</v>
      </c>
      <c r="AB153" s="21"/>
      <c r="AC153" s="21"/>
      <c r="AD153" s="21"/>
    </row>
    <row r="154" spans="26:30" x14ac:dyDescent="0.25">
      <c r="Z154" s="21"/>
      <c r="AA154" s="21">
        <f>Tabla3568132129397[[#This Row],[COMISIONES]]*0.21</f>
        <v>0</v>
      </c>
      <c r="AB154" s="21"/>
      <c r="AC154" s="21"/>
      <c r="AD154" s="21"/>
    </row>
    <row r="155" spans="26:30" x14ac:dyDescent="0.25">
      <c r="Z155" s="21"/>
      <c r="AA155" s="21">
        <f>Tabla3568132129397[[#This Row],[COMISIONES]]*0.21</f>
        <v>0</v>
      </c>
      <c r="AB155" s="21"/>
      <c r="AC155" s="21"/>
      <c r="AD155" s="21"/>
    </row>
    <row r="156" spans="26:30" x14ac:dyDescent="0.25">
      <c r="Z156" s="21"/>
      <c r="AA156" s="21">
        <f>Tabla3568132129397[[#This Row],[COMISIONES]]*0.21</f>
        <v>0</v>
      </c>
      <c r="AB156" s="21"/>
      <c r="AC156" s="21"/>
      <c r="AD156" s="21"/>
    </row>
    <row r="157" spans="26:30" x14ac:dyDescent="0.25">
      <c r="Z157" s="21"/>
      <c r="AA157" s="21">
        <f>Tabla3568132129397[[#This Row],[COMISIONES]]*0.21</f>
        <v>0</v>
      </c>
      <c r="AB157" s="21"/>
      <c r="AC157" s="21"/>
      <c r="AD157" s="21"/>
    </row>
    <row r="158" spans="26:30" x14ac:dyDescent="0.25">
      <c r="Z158" s="21"/>
      <c r="AA158" s="21">
        <f>Tabla3568132129397[[#This Row],[COMISIONES]]*0.21</f>
        <v>0</v>
      </c>
      <c r="AB158" s="21"/>
      <c r="AC158" s="21"/>
      <c r="AD158" s="21"/>
    </row>
    <row r="159" spans="26:30" x14ac:dyDescent="0.25">
      <c r="Z159" s="21"/>
      <c r="AA159" s="21">
        <f>Tabla3568132129397[[#This Row],[COMISIONES]]*0.21</f>
        <v>0</v>
      </c>
      <c r="AB159" s="21"/>
      <c r="AC159" s="21"/>
      <c r="AD159" s="21"/>
    </row>
    <row r="160" spans="26:30" x14ac:dyDescent="0.25">
      <c r="Z160" s="21"/>
      <c r="AA160" s="21">
        <f>Tabla3568132129397[[#This Row],[COMISIONES]]*0.21</f>
        <v>0</v>
      </c>
      <c r="AB160" s="21"/>
      <c r="AC160" s="21"/>
      <c r="AD160" s="21"/>
    </row>
    <row r="161" spans="26:30" x14ac:dyDescent="0.25">
      <c r="Z161" s="21"/>
      <c r="AA161" s="21">
        <f>Tabla3568132129397[[#This Row],[COMISIONES]]*0.21</f>
        <v>0</v>
      </c>
      <c r="AB161" s="21"/>
      <c r="AC161" s="21"/>
      <c r="AD161" s="21"/>
    </row>
    <row r="162" spans="26:30" x14ac:dyDescent="0.25">
      <c r="Z162" s="21"/>
      <c r="AA162" s="21">
        <f>Tabla3568132129397[[#This Row],[COMISIONES]]*0.21</f>
        <v>0</v>
      </c>
      <c r="AB162" s="21"/>
      <c r="AC162" s="21"/>
      <c r="AD162" s="21"/>
    </row>
    <row r="163" spans="26:30" x14ac:dyDescent="0.25">
      <c r="Z163" s="21"/>
      <c r="AA163" s="21">
        <f>Tabla3568132129397[[#This Row],[COMISIONES]]*0.21</f>
        <v>0</v>
      </c>
      <c r="AB163" s="21"/>
      <c r="AC163" s="21"/>
      <c r="AD163" s="21"/>
    </row>
    <row r="164" spans="26:30" x14ac:dyDescent="0.25">
      <c r="Z164" s="21"/>
      <c r="AA164" s="21">
        <f>Tabla3568132129397[[#This Row],[COMISIONES]]*0.21</f>
        <v>0</v>
      </c>
      <c r="AB164" s="21"/>
      <c r="AC164" s="21"/>
      <c r="AD164" s="21"/>
    </row>
    <row r="165" spans="26:30" x14ac:dyDescent="0.25">
      <c r="Z165" s="21"/>
      <c r="AA165" s="21">
        <f>Tabla3568132129397[[#This Row],[COMISIONES]]*0.21</f>
        <v>0</v>
      </c>
      <c r="AB165" s="21"/>
      <c r="AC165" s="21"/>
      <c r="AD165" s="21"/>
    </row>
    <row r="166" spans="26:30" x14ac:dyDescent="0.25">
      <c r="Z166" s="21"/>
      <c r="AA166" s="21">
        <f>Tabla3568132129397[[#This Row],[COMISIONES]]*0.21</f>
        <v>0</v>
      </c>
      <c r="AB166" s="21"/>
      <c r="AC166" s="21"/>
      <c r="AD166" s="21"/>
    </row>
    <row r="167" spans="26:30" x14ac:dyDescent="0.25">
      <c r="Z167" s="21"/>
      <c r="AA167" s="21">
        <f>Tabla3568132129397[[#This Row],[COMISIONES]]*0.21</f>
        <v>0</v>
      </c>
      <c r="AB167" s="21"/>
      <c r="AC167" s="21"/>
      <c r="AD167" s="21"/>
    </row>
    <row r="168" spans="26:30" x14ac:dyDescent="0.25">
      <c r="Z168" s="21"/>
      <c r="AA168" s="21">
        <f>Tabla3568132129397[[#This Row],[COMISIONES]]*0.21</f>
        <v>0</v>
      </c>
      <c r="AB168" s="21"/>
      <c r="AC168" s="21"/>
      <c r="AD168" s="21"/>
    </row>
    <row r="169" spans="26:30" x14ac:dyDescent="0.25">
      <c r="Z169" s="4">
        <f>SUBTOTAL(109,Tabla3568132129397[COMISIONES])</f>
        <v>964404.03000000026</v>
      </c>
      <c r="AA169" s="4">
        <f>SUBTOTAL(109,Tabla3568132129397[IVA 21])</f>
        <v>50624.473200000008</v>
      </c>
      <c r="AB169" s="4">
        <f>SUBTOTAL(109,Tabla3568132129397[IVA 10,5])</f>
        <v>75950.056199999992</v>
      </c>
      <c r="AC169" s="4">
        <f>SUBTOTAL(109,Tabla3568132129397[Ret IIBB Caba])</f>
        <v>647448.19999999995</v>
      </c>
      <c r="AD169" s="4">
        <f>SUBTOTAL(109,Tabla3568132129397[PERC IVA])</f>
        <v>17086.68</v>
      </c>
    </row>
  </sheetData>
  <mergeCells count="22">
    <mergeCell ref="B14:F14"/>
    <mergeCell ref="H14:L14"/>
    <mergeCell ref="G2:H2"/>
    <mergeCell ref="J2:K2"/>
    <mergeCell ref="G3:H3"/>
    <mergeCell ref="G4:H4"/>
    <mergeCell ref="G5:H5"/>
    <mergeCell ref="G6:H6"/>
    <mergeCell ref="G10:H10"/>
    <mergeCell ref="G12:H12"/>
    <mergeCell ref="AF14:AJ14"/>
    <mergeCell ref="AK14:AO14"/>
    <mergeCell ref="T32:X32"/>
    <mergeCell ref="G7:H7"/>
    <mergeCell ref="G8:H8"/>
    <mergeCell ref="G9:H9"/>
    <mergeCell ref="G11:H11"/>
    <mergeCell ref="H54:L54"/>
    <mergeCell ref="T64:X64"/>
    <mergeCell ref="N14:R14"/>
    <mergeCell ref="T14:X14"/>
    <mergeCell ref="Z14:AD14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68"/>
  <sheetViews>
    <sheetView showGridLines="0" zoomScale="80" zoomScaleNormal="80" workbookViewId="0">
      <selection activeCell="D7" activeCellId="1" sqref="D3:D4 D7:D10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1.140625" bestFit="1" customWidth="1"/>
    <col min="4" max="4" width="10.7109375" customWidth="1"/>
    <col min="5" max="5" width="11.5703125" customWidth="1"/>
    <col min="6" max="6" width="12.140625" customWidth="1"/>
    <col min="7" max="7" width="2.5703125" style="6" customWidth="1"/>
    <col min="8" max="8" width="12.7109375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31" max="31" width="2.5703125" style="6" customWidth="1"/>
  </cols>
  <sheetData>
    <row r="1" spans="1:41" ht="6" customHeight="1" x14ac:dyDescent="0.25">
      <c r="G1"/>
      <c r="M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4</v>
      </c>
      <c r="H2" s="38"/>
      <c r="J2" s="39">
        <v>45352</v>
      </c>
      <c r="K2" s="39"/>
      <c r="M2"/>
      <c r="S2"/>
      <c r="Y2"/>
      <c r="AE2"/>
    </row>
    <row r="3" spans="1:41" x14ac:dyDescent="0.25">
      <c r="B3" s="25" t="str">
        <f>+B13</f>
        <v>Liquidacion amex Credito</v>
      </c>
      <c r="C3" s="14">
        <f>Tabla13162432212[[#Totals],[COMISIONES]]</f>
        <v>0</v>
      </c>
      <c r="D3" s="14">
        <f>Tabla13162432212[[#Totals],[IVA 21]]</f>
        <v>0</v>
      </c>
      <c r="E3" s="14">
        <f>Tabla13162432212[[#Totals],[IVA 10,5]]</f>
        <v>0</v>
      </c>
      <c r="F3" s="14">
        <f>Tabla13162432212[[#Totals],[Ret IIBB Caba]]</f>
        <v>0</v>
      </c>
      <c r="G3" s="35">
        <f>Tabla13162432212[[#Totals],[PERC IVA]]</f>
        <v>0</v>
      </c>
      <c r="H3" s="36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+H13</f>
        <v>CABAL 22/3</v>
      </c>
      <c r="C4" s="14">
        <f>Tabla39172535313[[#Totals],[COMISIONES]]</f>
        <v>664.44</v>
      </c>
      <c r="D4" s="14">
        <f>Tabla39172535313[[#Totals],[IVA 21]]</f>
        <v>139.5324</v>
      </c>
      <c r="E4" s="14">
        <f>Tabla39172535313[[#Totals],[IVA 10,5]]</f>
        <v>0</v>
      </c>
      <c r="F4" s="14">
        <f>Tabla39172535313[[#Totals],[Ret IIBB Caba]]</f>
        <v>0</v>
      </c>
      <c r="G4" s="35">
        <f>Tabla39172535313[[#Totals],[PERC IVA]]</f>
        <v>0</v>
      </c>
      <c r="H4" s="36"/>
      <c r="J4" s="2"/>
      <c r="K4" s="3"/>
      <c r="M4"/>
      <c r="S4"/>
      <c r="Y4"/>
      <c r="AE4"/>
    </row>
    <row r="5" spans="1:41" x14ac:dyDescent="0.25">
      <c r="B5" s="25" t="str">
        <f>+N13</f>
        <v>FRANCES extracto (27/03)</v>
      </c>
      <c r="C5" s="14">
        <f>Tabla3510182636414[[#Totals],[COMISIONES]]</f>
        <v>56876.5</v>
      </c>
      <c r="D5" s="45">
        <f>Tabla3510182636414[[#Totals],[IVA 21]]</f>
        <v>11944.065000000001</v>
      </c>
      <c r="E5" s="14">
        <f>Tabla3510182636414[[#Totals],[IVA 10,5]]</f>
        <v>0</v>
      </c>
      <c r="F5" s="14">
        <f>Tabla3510182636414[[#Totals],[Ret IIBB Caba]]</f>
        <v>2979.48</v>
      </c>
      <c r="G5" s="35">
        <f>Tabla3510182636414[[#Totals],[PERC IVA]]</f>
        <v>1489.74</v>
      </c>
      <c r="H5" s="36"/>
      <c r="M5"/>
      <c r="S5"/>
      <c r="Y5"/>
      <c r="AE5"/>
    </row>
    <row r="6" spans="1:41" x14ac:dyDescent="0.25">
      <c r="B6" s="25" t="str">
        <f>+T13</f>
        <v>GALICIA EXTRACTO (31/03)</v>
      </c>
      <c r="C6" s="14">
        <f>Tabla35611192737515[[#Totals],[COMISIONES]]</f>
        <v>5625</v>
      </c>
      <c r="D6" s="45">
        <f>Tabla35611192737515[[#Totals],[IVA 21]]</f>
        <v>1181.25</v>
      </c>
      <c r="E6" s="14">
        <f>Tabla35611192737515[[#Totals],[IVA 10,5]]</f>
        <v>0</v>
      </c>
      <c r="F6" s="14">
        <f>Tabla35611192737515[[#Totals],[Ret IIBB Caba]]</f>
        <v>337.5</v>
      </c>
      <c r="G6" s="35">
        <f>Tabla35611192737515[[#Totals],[PERC IVA]]</f>
        <v>168.75</v>
      </c>
      <c r="H6" s="36"/>
      <c r="M6"/>
      <c r="S6"/>
      <c r="Y6"/>
      <c r="AE6"/>
    </row>
    <row r="7" spans="1:41" x14ac:dyDescent="0.25">
      <c r="B7" s="25" t="str">
        <f>+Z13</f>
        <v>BBVA MASTERCARD CRED(27/03)</v>
      </c>
      <c r="C7" s="14">
        <f>Tabla356813212939717[[#Totals],[COMISIONES]]</f>
        <v>241838.28999999995</v>
      </c>
      <c r="D7" s="14">
        <f>Tabla356813212939717[[#Totals],[IVA 21]]</f>
        <v>50786.040899999993</v>
      </c>
      <c r="E7" s="14">
        <f>Tabla356813212939717[[#Totals],[IVA 10,5]]</f>
        <v>68910.559999999983</v>
      </c>
      <c r="F7" s="14">
        <f>Tabla356813212939717[[#Totals],[Ret IIBB Caba]]</f>
        <v>270271.77999999997</v>
      </c>
      <c r="G7" s="35">
        <f>Tabla356813212939717[[#Totals],[PERC IVA]]</f>
        <v>4413.1400000000003</v>
      </c>
      <c r="H7" s="36"/>
      <c r="M7"/>
      <c r="S7"/>
      <c r="Y7"/>
      <c r="AE7"/>
    </row>
    <row r="8" spans="1:41" x14ac:dyDescent="0.25">
      <c r="B8" s="25" t="str">
        <f>+T31</f>
        <v>RESUM BCO BBVA VISA 31/09(Nº RESUMEN 000017206766)</v>
      </c>
      <c r="C8" s="14">
        <f>Tabla612202838616[[#Totals],[COMISIONES]]</f>
        <v>0</v>
      </c>
      <c r="D8" s="14">
        <f>Tabla612202838616[[#Totals],[IVA 21]]</f>
        <v>0</v>
      </c>
      <c r="E8" s="14">
        <f>Tabla612202838616[[#Totals],[IVA 10,5]]</f>
        <v>0</v>
      </c>
      <c r="F8" s="14">
        <f>Tabla612202838616[[#Totals],[Ret IIBB Caba]]</f>
        <v>0</v>
      </c>
      <c r="G8" s="35">
        <f>Tabla612202838616[[#Totals],[PERC IVA]]</f>
        <v>0</v>
      </c>
      <c r="H8" s="36"/>
      <c r="M8"/>
      <c r="S8"/>
      <c r="Y8"/>
      <c r="AE8"/>
    </row>
    <row r="9" spans="1:41" x14ac:dyDescent="0.25">
      <c r="B9" s="28" t="str">
        <f>+AF13</f>
        <v>BBVA - LIQ DEBITO (08/03)</v>
      </c>
      <c r="C9" s="14">
        <f>+Tabla35681314223040818[[#Totals],[COMISIONES]]</f>
        <v>402.22</v>
      </c>
      <c r="D9" s="14">
        <f>+Tabla35681314223040818[[#Totals],[IVA 21]]</f>
        <v>84.466200000000001</v>
      </c>
      <c r="E9" s="14">
        <f>+Tabla35681314223040818[[#Totals],[IVA 10,5]]</f>
        <v>0</v>
      </c>
      <c r="F9" s="14">
        <f>+Tabla35681314223040818[[#Totals],[Ret IIBB Caba]]</f>
        <v>2244.39</v>
      </c>
      <c r="G9" s="35">
        <f>+Tabla35681314223040818[[#Totals],[PERC IVA]]</f>
        <v>0</v>
      </c>
      <c r="H9" s="36"/>
      <c r="M9"/>
      <c r="S9"/>
      <c r="Y9"/>
      <c r="AE9"/>
    </row>
    <row r="10" spans="1:41" x14ac:dyDescent="0.25">
      <c r="B10" s="28" t="str">
        <f>+AK13</f>
        <v>GALICIA CREDITO visa (30/09)</v>
      </c>
      <c r="C10" s="14">
        <f>+Tabla35611192734431121[[#Totals],[COMISIONES]]</f>
        <v>496</v>
      </c>
      <c r="D10" s="14">
        <f>+Tabla35611192734431121[[#Totals],[IVA 21]]</f>
        <v>104.16</v>
      </c>
      <c r="E10" s="14">
        <f>+Tabla35611192734431121[[#Totals],[IVA 10,5]]</f>
        <v>0</v>
      </c>
      <c r="F10" s="14"/>
      <c r="G10" s="35"/>
      <c r="H10" s="36"/>
      <c r="M10"/>
      <c r="S10"/>
      <c r="Y10"/>
      <c r="AE10"/>
    </row>
    <row r="11" spans="1:41" x14ac:dyDescent="0.25">
      <c r="A11" s="26"/>
      <c r="B11" s="26"/>
      <c r="C11" s="27">
        <f>SUM(C3:C10)</f>
        <v>305902.44999999995</v>
      </c>
      <c r="D11" s="27">
        <f t="shared" ref="D11:H11" si="0">SUM(D3:D10)</f>
        <v>64239.514499999997</v>
      </c>
      <c r="E11" s="27">
        <f t="shared" si="0"/>
        <v>68910.559999999983</v>
      </c>
      <c r="F11" s="27">
        <f t="shared" si="0"/>
        <v>275833.14999999997</v>
      </c>
      <c r="G11" s="27"/>
      <c r="H11" s="27">
        <f t="shared" si="0"/>
        <v>0</v>
      </c>
      <c r="M11"/>
      <c r="S11"/>
      <c r="Y11"/>
      <c r="AE11"/>
    </row>
    <row r="12" spans="1:41" x14ac:dyDescent="0.25">
      <c r="A12" s="26"/>
      <c r="B12" s="26"/>
      <c r="G12"/>
      <c r="J12" t="s">
        <v>25</v>
      </c>
      <c r="M12"/>
      <c r="S12"/>
      <c r="V12" t="s">
        <v>25</v>
      </c>
      <c r="Y12"/>
      <c r="AE12"/>
    </row>
    <row r="13" spans="1:41" ht="16.5" customHeight="1" x14ac:dyDescent="0.3">
      <c r="B13" s="41" t="s">
        <v>7</v>
      </c>
      <c r="C13" s="41"/>
      <c r="D13" s="41"/>
      <c r="E13" s="41"/>
      <c r="F13" s="41"/>
      <c r="H13" s="41" t="s">
        <v>26</v>
      </c>
      <c r="I13" s="41"/>
      <c r="J13" s="41"/>
      <c r="K13" s="41"/>
      <c r="L13" s="41"/>
      <c r="N13" s="41" t="s">
        <v>30</v>
      </c>
      <c r="O13" s="41"/>
      <c r="P13" s="41"/>
      <c r="Q13" s="41"/>
      <c r="R13" s="41"/>
      <c r="T13" s="41" t="s">
        <v>24</v>
      </c>
      <c r="U13" s="41"/>
      <c r="V13" s="41"/>
      <c r="W13" s="41"/>
      <c r="X13" s="41"/>
      <c r="Z13" s="41" t="s">
        <v>28</v>
      </c>
      <c r="AA13" s="41"/>
      <c r="AB13" s="41"/>
      <c r="AC13" s="41"/>
      <c r="AD13" s="41"/>
      <c r="AF13" s="41" t="s">
        <v>27</v>
      </c>
      <c r="AG13" s="41"/>
      <c r="AH13" s="41"/>
      <c r="AI13" s="41"/>
      <c r="AJ13" s="41"/>
      <c r="AK13" s="41" t="s">
        <v>32</v>
      </c>
      <c r="AL13" s="41"/>
      <c r="AM13" s="41"/>
      <c r="AN13" s="41"/>
      <c r="AO13" s="41"/>
    </row>
    <row r="14" spans="1:41" s="5" customFormat="1" x14ac:dyDescent="0.25">
      <c r="B14" s="10" t="s">
        <v>2</v>
      </c>
      <c r="C14" s="9" t="s">
        <v>0</v>
      </c>
      <c r="D14" s="9" t="s">
        <v>1</v>
      </c>
      <c r="E14" s="9" t="s">
        <v>3</v>
      </c>
      <c r="F14" s="9" t="s">
        <v>4</v>
      </c>
      <c r="G14" s="7"/>
      <c r="H14" s="12" t="s">
        <v>2</v>
      </c>
      <c r="I14" s="13" t="s">
        <v>0</v>
      </c>
      <c r="J14" s="13" t="s">
        <v>1</v>
      </c>
      <c r="K14" s="13" t="s">
        <v>3</v>
      </c>
      <c r="L14" s="13" t="s">
        <v>4</v>
      </c>
      <c r="M14" s="7"/>
      <c r="N14" s="12" t="s">
        <v>2</v>
      </c>
      <c r="O14" s="13" t="s">
        <v>0</v>
      </c>
      <c r="P14" s="13" t="s">
        <v>1</v>
      </c>
      <c r="Q14" s="13" t="s">
        <v>3</v>
      </c>
      <c r="R14" s="13" t="s">
        <v>4</v>
      </c>
      <c r="S14" s="7"/>
      <c r="T14" s="12" t="s">
        <v>2</v>
      </c>
      <c r="U14" s="13" t="s">
        <v>0</v>
      </c>
      <c r="V14" s="13" t="s">
        <v>1</v>
      </c>
      <c r="W14" s="13" t="s">
        <v>3</v>
      </c>
      <c r="X14" s="13" t="s">
        <v>4</v>
      </c>
      <c r="Y14" s="7"/>
      <c r="Z14" s="12" t="s">
        <v>2</v>
      </c>
      <c r="AA14" s="13" t="s">
        <v>0</v>
      </c>
      <c r="AB14" s="13" t="s">
        <v>1</v>
      </c>
      <c r="AC14" s="13" t="s">
        <v>3</v>
      </c>
      <c r="AD14" s="13" t="s">
        <v>4</v>
      </c>
      <c r="AE14" s="7"/>
      <c r="AF14" s="12" t="s">
        <v>2</v>
      </c>
      <c r="AG14" s="13" t="s">
        <v>0</v>
      </c>
      <c r="AH14" s="13" t="s">
        <v>1</v>
      </c>
      <c r="AI14" s="13" t="s">
        <v>3</v>
      </c>
      <c r="AJ14" s="13" t="s">
        <v>4</v>
      </c>
      <c r="AK14" s="12" t="s">
        <v>2</v>
      </c>
      <c r="AL14" s="13" t="s">
        <v>0</v>
      </c>
      <c r="AM14" s="13" t="s">
        <v>1</v>
      </c>
      <c r="AN14" s="13" t="s">
        <v>3</v>
      </c>
      <c r="AO14" s="13" t="s">
        <v>4</v>
      </c>
    </row>
    <row r="15" spans="1:41" x14ac:dyDescent="0.25">
      <c r="B15" s="2"/>
      <c r="C15" s="2">
        <f>Tabla13162432212[[#This Row],[COMISIONES]]*0.21</f>
        <v>0</v>
      </c>
      <c r="D15" s="3"/>
      <c r="E15" s="3"/>
      <c r="F15" s="1"/>
      <c r="G15" s="8"/>
      <c r="H15" s="3">
        <v>338.04</v>
      </c>
      <c r="I15" s="11">
        <f>Tabla39172535313[[#This Row],[COMISIONES]]*0.21</f>
        <v>70.988399999999999</v>
      </c>
      <c r="J15" s="11"/>
      <c r="K15" s="11"/>
      <c r="L15" s="3"/>
      <c r="M15" s="8"/>
      <c r="N15">
        <v>743</v>
      </c>
      <c r="O15" s="11">
        <f>Tabla3510182636414[[#This Row],[COMISIONES]]*0.21</f>
        <v>156.03</v>
      </c>
      <c r="P15" s="11"/>
      <c r="Q15" s="1">
        <v>1461.18</v>
      </c>
      <c r="R15">
        <v>730.59</v>
      </c>
      <c r="S15" s="8"/>
      <c r="T15" s="11">
        <v>5625</v>
      </c>
      <c r="U15" s="11">
        <f>Tabla35611192737515[[#This Row],[COMISIONES]]*0.21</f>
        <v>1181.25</v>
      </c>
      <c r="V15" s="11"/>
      <c r="W15" s="11">
        <v>337.5</v>
      </c>
      <c r="X15" s="11">
        <v>168.75</v>
      </c>
      <c r="Y15" s="8"/>
      <c r="Z15">
        <v>505.8</v>
      </c>
      <c r="AA15" s="11">
        <f>Tabla356813212939717[[#This Row],[COMISIONES]]*0.21</f>
        <v>106.218</v>
      </c>
      <c r="AB15">
        <v>956.64</v>
      </c>
      <c r="AC15" s="1">
        <v>1241.74</v>
      </c>
      <c r="AD15">
        <v>21.2</v>
      </c>
      <c r="AE15" s="8"/>
      <c r="AF15">
        <v>402.22</v>
      </c>
      <c r="AG15" s="11">
        <f>Tabla35681314223040818[[#This Row],[COMISIONES]]*0.21</f>
        <v>84.466200000000001</v>
      </c>
      <c r="AH15" s="11"/>
      <c r="AI15" s="1">
        <v>2244.39</v>
      </c>
      <c r="AJ15" s="11"/>
      <c r="AK15" s="11">
        <v>496</v>
      </c>
      <c r="AL15" s="11">
        <f>Tabla35611192734431121[[#This Row],[COMISIONES]]*0.21</f>
        <v>104.16</v>
      </c>
      <c r="AM15" s="11"/>
      <c r="AN15" s="11">
        <v>4.12</v>
      </c>
      <c r="AO15" s="11"/>
    </row>
    <row r="16" spans="1:41" x14ac:dyDescent="0.25">
      <c r="B16" s="3"/>
      <c r="C16" s="2">
        <f>Tabla13162432212[[#This Row],[COMISIONES]]*0.21</f>
        <v>0</v>
      </c>
      <c r="D16" s="3"/>
      <c r="E16" s="3"/>
      <c r="F16" s="3"/>
      <c r="G16" s="8"/>
      <c r="H16" s="11">
        <v>326.39999999999998</v>
      </c>
      <c r="I16" s="11">
        <f>Tabla39172535313[[#This Row],[COMISIONES]]*0.21</f>
        <v>68.543999999999997</v>
      </c>
      <c r="J16" s="11"/>
      <c r="K16" s="11"/>
      <c r="L16" s="11"/>
      <c r="M16" s="8"/>
      <c r="N16" s="11">
        <v>10</v>
      </c>
      <c r="O16" s="11">
        <f>Tabla3510182636414[[#This Row],[COMISIONES]]*0.21</f>
        <v>2.1</v>
      </c>
      <c r="P16" s="11"/>
      <c r="Q16" s="1">
        <v>1518.3</v>
      </c>
      <c r="R16">
        <v>759.15</v>
      </c>
      <c r="S16" s="8"/>
      <c r="T16" s="11"/>
      <c r="U16" s="11">
        <f>Tabla35611192737515[[#This Row],[COMISIONES]]*0.21</f>
        <v>0</v>
      </c>
      <c r="V16" s="11"/>
      <c r="W16" s="11"/>
      <c r="X16" s="11"/>
      <c r="Y16" s="8"/>
      <c r="Z16">
        <v>706.6</v>
      </c>
      <c r="AA16" s="11">
        <f>Tabla356813212939717[[#This Row],[COMISIONES]]*0.21</f>
        <v>148.386</v>
      </c>
      <c r="AB16" s="1">
        <v>1827.62</v>
      </c>
      <c r="AC16" s="1">
        <v>1324.72</v>
      </c>
      <c r="AD16">
        <v>24.64</v>
      </c>
      <c r="AE16" s="8"/>
      <c r="AF16" s="11"/>
      <c r="AG16" s="11">
        <f>Tabla35681314223040818[[#This Row],[COMISIONES]]*0.21</f>
        <v>0</v>
      </c>
      <c r="AH16" s="11"/>
      <c r="AI16" s="11"/>
      <c r="AJ16" s="11"/>
      <c r="AK16" s="11"/>
      <c r="AL16" s="11">
        <f>Tabla35611192734431121[[#This Row],[COMISIONES]]*0.21</f>
        <v>0</v>
      </c>
      <c r="AM16" s="11"/>
      <c r="AN16" s="11"/>
      <c r="AO16" s="11"/>
    </row>
    <row r="17" spans="2:41" x14ac:dyDescent="0.25">
      <c r="B17" s="3"/>
      <c r="C17" s="2">
        <f>Tabla13162432212[[#This Row],[COMISIONES]]*0.21</f>
        <v>0</v>
      </c>
      <c r="D17" s="3"/>
      <c r="E17" s="3"/>
      <c r="F17" s="3"/>
      <c r="H17" s="11"/>
      <c r="I17" s="11">
        <f>Tabla39172535313[[#This Row],[COMISIONES]]*0.21</f>
        <v>0</v>
      </c>
      <c r="J17" s="11"/>
      <c r="K17" s="11"/>
      <c r="L17" s="11"/>
      <c r="N17" s="1">
        <v>1522.5</v>
      </c>
      <c r="O17" s="11">
        <f>Tabla3510182636414[[#This Row],[COMISIONES]]*0.21</f>
        <v>319.72499999999997</v>
      </c>
      <c r="P17" s="11"/>
      <c r="Q17" s="11"/>
      <c r="R17" s="23"/>
      <c r="T17" s="11"/>
      <c r="U17" s="11">
        <f>Tabla35611192737515[[#This Row],[COMISIONES]]*0.21</f>
        <v>0</v>
      </c>
      <c r="V17" s="11"/>
      <c r="W17" s="11"/>
      <c r="X17" s="11"/>
      <c r="Z17">
        <v>268.64999999999998</v>
      </c>
      <c r="AA17" s="11">
        <f>Tabla356813212939717[[#This Row],[COMISIONES]]*0.21</f>
        <v>56.416499999999992</v>
      </c>
      <c r="AB17" s="1">
        <v>2108.79</v>
      </c>
      <c r="AC17">
        <v>659.54</v>
      </c>
      <c r="AD17">
        <v>173.04</v>
      </c>
      <c r="AF17" s="11"/>
      <c r="AG17" s="11">
        <f>Tabla35681314223040818[[#This Row],[COMISIONES]]*0.21</f>
        <v>0</v>
      </c>
      <c r="AH17" s="11"/>
      <c r="AI17" s="11"/>
      <c r="AJ17" s="11"/>
      <c r="AK17" s="11"/>
      <c r="AL17" s="11">
        <f>Tabla35611192734431121[[#This Row],[COMISIONES]]*0.21</f>
        <v>0</v>
      </c>
      <c r="AM17" s="11"/>
      <c r="AN17" s="11"/>
      <c r="AO17" s="11"/>
    </row>
    <row r="18" spans="2:41" x14ac:dyDescent="0.25">
      <c r="B18" s="3"/>
      <c r="C18" s="2">
        <f>Tabla13162432212[[#This Row],[COMISIONES]]*0.21</f>
        <v>0</v>
      </c>
      <c r="D18" s="3"/>
      <c r="E18" s="3"/>
      <c r="F18" s="3"/>
      <c r="G18" s="8"/>
      <c r="H18" s="11"/>
      <c r="I18" s="11">
        <f>Tabla39172535313[[#This Row],[COMISIONES]]*0.21</f>
        <v>0</v>
      </c>
      <c r="J18" s="11"/>
      <c r="K18" s="11"/>
      <c r="L18" s="11"/>
      <c r="M18" s="8"/>
      <c r="N18" s="1">
        <v>24353</v>
      </c>
      <c r="O18" s="11">
        <f>Tabla3510182636414[[#This Row],[COMISIONES]]*0.21</f>
        <v>5114.13</v>
      </c>
      <c r="P18" s="11"/>
      <c r="Q18" s="11"/>
      <c r="R18" s="23"/>
      <c r="S18" s="8"/>
      <c r="T18" s="11"/>
      <c r="U18" s="11">
        <f>Tabla35611192737515[[#This Row],[COMISIONES]]*0.21</f>
        <v>0</v>
      </c>
      <c r="V18" s="11"/>
      <c r="W18" s="11"/>
      <c r="X18" s="11"/>
      <c r="Y18" s="8"/>
      <c r="Z18">
        <v>423.45</v>
      </c>
      <c r="AA18" s="11">
        <f>Tabla356813212939717[[#This Row],[COMISIONES]]*0.21</f>
        <v>88.924499999999995</v>
      </c>
      <c r="AB18" s="1">
        <v>2606.62</v>
      </c>
      <c r="AC18" s="1">
        <v>1039.57</v>
      </c>
      <c r="AD18">
        <v>40.5</v>
      </c>
      <c r="AE18" s="8"/>
      <c r="AF18" s="11"/>
      <c r="AG18" s="11">
        <f>Tabla35681314223040818[[#This Row],[COMISIONES]]*0.21</f>
        <v>0</v>
      </c>
      <c r="AH18" s="11"/>
      <c r="AI18" s="11"/>
      <c r="AJ18" s="11"/>
      <c r="AK18" s="11"/>
      <c r="AL18" s="11">
        <f>Tabla35611192734431121[[#This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Tabla13162432212[[#This Row],[COMISIONES]]*0.21</f>
        <v>0</v>
      </c>
      <c r="D19" s="3"/>
      <c r="E19" s="3"/>
      <c r="F19" s="3"/>
      <c r="H19" s="11"/>
      <c r="I19" s="11">
        <f>Tabla39172535313[[#This Row],[COMISIONES]]*0.21</f>
        <v>0</v>
      </c>
      <c r="J19" s="11"/>
      <c r="K19" s="11"/>
      <c r="L19" s="11"/>
      <c r="N19" s="1">
        <v>25305</v>
      </c>
      <c r="O19" s="11">
        <f>Tabla3510182636414[[#This Row],[COMISIONES]]*0.21</f>
        <v>5314.05</v>
      </c>
      <c r="P19" s="11"/>
      <c r="Q19" s="11"/>
      <c r="R19" s="23"/>
      <c r="T19" s="11"/>
      <c r="U19" s="11">
        <f>Tabla35611192737515[[#This Row],[COMISIONES]]*0.21</f>
        <v>0</v>
      </c>
      <c r="V19" s="11"/>
      <c r="W19" s="11"/>
      <c r="X19" s="11"/>
      <c r="Z19">
        <v>821.44</v>
      </c>
      <c r="AA19" s="11">
        <f>Tabla356813212939717[[#This Row],[COMISIONES]]*0.21</f>
        <v>172.50239999999999</v>
      </c>
      <c r="AB19" s="11"/>
      <c r="AC19" s="1">
        <v>1513.69</v>
      </c>
      <c r="AD19">
        <v>46.73</v>
      </c>
      <c r="AF19" s="11"/>
      <c r="AG19" s="11">
        <f>Tabla35681314223040818[[#This Row],[COMISIONES]]*0.21</f>
        <v>0</v>
      </c>
      <c r="AH19" s="11"/>
      <c r="AI19" s="11"/>
      <c r="AJ19" s="11"/>
      <c r="AK19" s="11"/>
      <c r="AL19" s="11">
        <f>Tabla35611192734431121[[#This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Tabla13162432212[[#This Row],[COMISIONES]]*0.21</f>
        <v>0</v>
      </c>
      <c r="D20" s="3"/>
      <c r="E20" s="3"/>
      <c r="F20" s="3"/>
      <c r="H20" s="11"/>
      <c r="I20" s="11">
        <f>Tabla39172535313[[#This Row],[COMISIONES]]*0.21</f>
        <v>0</v>
      </c>
      <c r="J20" s="11"/>
      <c r="K20" s="11"/>
      <c r="L20" s="11"/>
      <c r="N20" s="11">
        <v>300</v>
      </c>
      <c r="O20" s="11">
        <f>Tabla3510182636414[[#This Row],[COMISIONES]]*0.21</f>
        <v>63</v>
      </c>
      <c r="P20" s="11"/>
      <c r="Q20" s="11"/>
      <c r="R20" s="11"/>
      <c r="T20" s="11"/>
      <c r="U20" s="11">
        <f>Tabla35611192737515[[#This Row],[COMISIONES]]*0.21</f>
        <v>0</v>
      </c>
      <c r="V20" s="11"/>
      <c r="W20" s="11"/>
      <c r="X20" s="11"/>
      <c r="Z20" s="1">
        <v>1411.2</v>
      </c>
      <c r="AA20" s="11">
        <f>Tabla356813212939717[[#This Row],[COMISIONES]]*0.21</f>
        <v>296.35199999999998</v>
      </c>
      <c r="AB20" s="11"/>
      <c r="AC20" s="1">
        <v>1072.3800000000001</v>
      </c>
      <c r="AD20">
        <v>57.76</v>
      </c>
      <c r="AF20" s="11"/>
      <c r="AG20" s="11">
        <f>Tabla35681314223040818[[#This Row],[COMISIONES]]*0.21</f>
        <v>0</v>
      </c>
      <c r="AH20" s="11"/>
      <c r="AI20" s="11"/>
      <c r="AJ20" s="11"/>
      <c r="AK20" s="11"/>
      <c r="AL20" s="11">
        <f>Tabla35611192734431121[[#This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Tabla13162432212[[#This Row],[COMISIONES]]*0.21</f>
        <v>0</v>
      </c>
      <c r="D21" s="3"/>
      <c r="E21" s="3"/>
      <c r="F21" s="3"/>
      <c r="H21" s="11"/>
      <c r="I21" s="11">
        <f>Tabla39172535313[[#This Row],[COMISIONES]]*0.21</f>
        <v>0</v>
      </c>
      <c r="J21" s="11"/>
      <c r="K21" s="11"/>
      <c r="L21" s="11"/>
      <c r="N21" s="11">
        <v>743</v>
      </c>
      <c r="O21" s="11">
        <f>Tabla3510182636414[[#This Row],[COMISIONES]]*0.21</f>
        <v>156.03</v>
      </c>
      <c r="P21" s="11"/>
      <c r="Q21" s="11"/>
      <c r="R21" s="11"/>
      <c r="T21" s="11"/>
      <c r="U21" s="11">
        <f>Tabla35611192737515[[#This Row],[COMISIONES]]*0.21</f>
        <v>0</v>
      </c>
      <c r="V21" s="11"/>
      <c r="W21" s="11"/>
      <c r="X21" s="11"/>
      <c r="Z21">
        <v>436.82</v>
      </c>
      <c r="AA21" s="11">
        <f>Tabla356813212939717[[#This Row],[COMISIONES]]*0.21</f>
        <v>91.732199999999992</v>
      </c>
      <c r="AB21" s="11"/>
      <c r="AC21" s="1">
        <v>1259.42</v>
      </c>
      <c r="AD21" s="11"/>
      <c r="AF21" s="11"/>
      <c r="AG21" s="11">
        <f>Tabla35681314223040818[[#This Row],[COMISIONES]]*0.21</f>
        <v>0</v>
      </c>
      <c r="AH21" s="11"/>
      <c r="AI21" s="11"/>
      <c r="AJ21" s="11"/>
      <c r="AK21" s="11"/>
      <c r="AL21" s="11">
        <f>Tabla35611192734431121[[#This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Tabla13162432212[[#This Row],[COMISIONES]]*0.21</f>
        <v>0</v>
      </c>
      <c r="D22" s="3"/>
      <c r="E22" s="3"/>
      <c r="F22" s="3"/>
      <c r="H22" s="11"/>
      <c r="I22" s="11">
        <f>Tabla39172535313[[#This Row],[COMISIONES]]*0.21</f>
        <v>0</v>
      </c>
      <c r="J22" s="11"/>
      <c r="K22" s="11"/>
      <c r="L22" s="11"/>
      <c r="N22" s="11">
        <v>300</v>
      </c>
      <c r="O22" s="11">
        <f>Tabla3510182636414[[#This Row],[COMISIONES]]*0.21</f>
        <v>63</v>
      </c>
      <c r="P22" s="11"/>
      <c r="Q22" s="11"/>
      <c r="R22" s="11"/>
      <c r="T22" s="11"/>
      <c r="U22" s="11">
        <f>Tabla35611192737515[[#This Row],[COMISIONES]]*0.21</f>
        <v>0</v>
      </c>
      <c r="V22" s="11"/>
      <c r="W22" s="11"/>
      <c r="X22" s="11"/>
      <c r="Z22" s="1">
        <v>5768.06</v>
      </c>
      <c r="AA22" s="11">
        <f>Tabla356813212939717[[#This Row],[COMISIONES]]*0.21</f>
        <v>1211.2926</v>
      </c>
      <c r="AB22" s="11"/>
      <c r="AC22" s="1">
        <v>1607.63</v>
      </c>
      <c r="AD22" s="11"/>
      <c r="AF22" s="11"/>
      <c r="AG22" s="11">
        <f>Tabla35681314223040818[[#This Row],[COMISIONES]]*0.21</f>
        <v>0</v>
      </c>
      <c r="AH22" s="11"/>
      <c r="AI22" s="11"/>
      <c r="AJ22" s="11"/>
      <c r="AK22" s="11"/>
      <c r="AL22" s="11">
        <f>Tabla35611192734431121[[#This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Tabla13162432212[[#This Row],[COMISIONES]]*0.21</f>
        <v>0</v>
      </c>
      <c r="D23" s="3"/>
      <c r="E23" s="3"/>
      <c r="F23" s="3"/>
      <c r="H23" s="11"/>
      <c r="I23" s="11">
        <f>Tabla39172535313[[#This Row],[COMISIONES]]*0.21</f>
        <v>0</v>
      </c>
      <c r="J23" s="11"/>
      <c r="K23" s="11"/>
      <c r="L23" s="11"/>
      <c r="N23" s="11">
        <v>300</v>
      </c>
      <c r="O23" s="11">
        <f>Tabla3510182636414[[#This Row],[COMISIONES]]*0.21</f>
        <v>63</v>
      </c>
      <c r="P23" s="11"/>
      <c r="Q23" s="11"/>
      <c r="R23" s="11"/>
      <c r="T23" s="11"/>
      <c r="U23" s="11">
        <f>Tabla35611192737515[[#This Row],[COMISIONES]]*0.21</f>
        <v>0</v>
      </c>
      <c r="V23" s="11"/>
      <c r="W23" s="11"/>
      <c r="X23" s="11"/>
      <c r="Z23" s="1">
        <v>1349.94</v>
      </c>
      <c r="AA23" s="11">
        <f>Tabla356813212939717[[#This Row],[COMISIONES]]*0.21</f>
        <v>283.48739999999998</v>
      </c>
      <c r="AB23" s="11"/>
      <c r="AC23" s="1">
        <v>2297</v>
      </c>
      <c r="AD23" s="11"/>
      <c r="AF23" s="11"/>
      <c r="AG23" s="11">
        <f>Tabla35681314223040818[[#This Row],[COMISIONES]]*0.21</f>
        <v>0</v>
      </c>
      <c r="AH23" s="11"/>
      <c r="AI23" s="11"/>
      <c r="AJ23" s="11"/>
      <c r="AK23" s="11"/>
      <c r="AL23" s="11">
        <f>Tabla35611192734431121[[#This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Tabla13162432212[[#This Row],[COMISIONES]]*0.21</f>
        <v>0</v>
      </c>
      <c r="D24" s="3"/>
      <c r="E24" s="3"/>
      <c r="F24" s="3"/>
      <c r="H24" s="11"/>
      <c r="I24" s="11">
        <f>Tabla39172535313[[#This Row],[COMISIONES]]*0.21</f>
        <v>0</v>
      </c>
      <c r="J24" s="11"/>
      <c r="K24" s="11"/>
      <c r="L24" s="11"/>
      <c r="N24" s="11">
        <v>300</v>
      </c>
      <c r="O24" s="11">
        <f>Tabla3510182636414[[#This Row],[COMISIONES]]*0.21</f>
        <v>63</v>
      </c>
      <c r="P24" s="11"/>
      <c r="Q24" s="11"/>
      <c r="R24" s="11"/>
      <c r="T24" s="11"/>
      <c r="U24" s="11">
        <f>Tabla35611192737515[[#This Row],[COMISIONES]]*0.21</f>
        <v>0</v>
      </c>
      <c r="V24" s="11"/>
      <c r="W24" s="11"/>
      <c r="X24" s="11"/>
      <c r="Z24">
        <v>513</v>
      </c>
      <c r="AA24" s="11">
        <f>Tabla356813212939717[[#This Row],[COMISIONES]]*0.21</f>
        <v>107.72999999999999</v>
      </c>
      <c r="AB24" s="11"/>
      <c r="AC24" s="1">
        <v>2125.94</v>
      </c>
      <c r="AD24" s="11"/>
      <c r="AF24" s="11"/>
      <c r="AG24" s="11">
        <f>Tabla35681314223040818[[#This Row],[COMISIONES]]*0.21</f>
        <v>0</v>
      </c>
      <c r="AH24" s="11"/>
      <c r="AI24" s="11"/>
      <c r="AJ24" s="11"/>
      <c r="AK24" s="11"/>
      <c r="AL24" s="11">
        <f>Tabla35611192734431121[[#This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Tabla13162432212[[#This Row],[COMISIONES]]*0.21</f>
        <v>0</v>
      </c>
      <c r="D25" s="3"/>
      <c r="E25" s="3"/>
      <c r="F25" s="3"/>
      <c r="H25" s="11"/>
      <c r="I25" s="11">
        <f>Tabla39172535313[[#This Row],[COMISIONES]]*0.21</f>
        <v>0</v>
      </c>
      <c r="J25" s="11"/>
      <c r="K25" s="11"/>
      <c r="L25" s="11"/>
      <c r="N25" s="11">
        <v>300</v>
      </c>
      <c r="O25" s="11">
        <f>Tabla3510182636414[[#This Row],[COMISIONES]]*0.21</f>
        <v>63</v>
      </c>
      <c r="P25" s="11"/>
      <c r="Q25" s="11"/>
      <c r="R25" s="11"/>
      <c r="T25" s="11"/>
      <c r="U25" s="11">
        <f>Tabla35611192737515[[#This Row],[COMISIONES]]*0.21</f>
        <v>0</v>
      </c>
      <c r="V25" s="11"/>
      <c r="W25" s="11"/>
      <c r="X25" s="11"/>
      <c r="Z25">
        <v>654.84</v>
      </c>
      <c r="AA25" s="11">
        <f>Tabla356813212939717[[#This Row],[COMISIONES]]*0.21</f>
        <v>137.5164</v>
      </c>
      <c r="AB25" s="11"/>
      <c r="AC25" s="1">
        <v>3151.41</v>
      </c>
      <c r="AD25" s="11"/>
      <c r="AF25" s="4">
        <f>SUBTOTAL(109,Tabla35681314223040818[COMISIONES])</f>
        <v>402.22</v>
      </c>
      <c r="AG25" s="4">
        <f>SUBTOTAL(109,Tabla35681314223040818[IVA 21])</f>
        <v>84.466200000000001</v>
      </c>
      <c r="AH25" s="4">
        <f>SUBTOTAL(109,Tabla35681314223040818[IVA 10,5])</f>
        <v>0</v>
      </c>
      <c r="AI25" s="4">
        <f>SUBTOTAL(109,Tabla35681314223040818[Ret IIBB Caba])</f>
        <v>2244.39</v>
      </c>
      <c r="AJ25" s="4">
        <f>SUBTOTAL(109,Tabla35681314223040818[PERC IVA])</f>
        <v>0</v>
      </c>
      <c r="AK25" s="11"/>
      <c r="AL25" s="11">
        <f>Tabla35611192734431121[[#This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Tabla13162432212[[#This Row],[COMISIONES]]*0.21</f>
        <v>0</v>
      </c>
      <c r="D26" s="3"/>
      <c r="E26" s="3"/>
      <c r="F26" s="3"/>
      <c r="H26" s="11"/>
      <c r="I26" s="11">
        <f>Tabla39172535313[[#This Row],[COMISIONES]]*0.21</f>
        <v>0</v>
      </c>
      <c r="J26" s="11"/>
      <c r="K26" s="11"/>
      <c r="L26" s="11"/>
      <c r="N26" s="11">
        <v>300</v>
      </c>
      <c r="O26" s="11">
        <f>Tabla3510182636414[[#This Row],[COMISIONES]]*0.21</f>
        <v>63</v>
      </c>
      <c r="P26" s="11"/>
      <c r="Q26" s="11"/>
      <c r="R26" s="11"/>
      <c r="T26" s="11"/>
      <c r="U26" s="11">
        <f>Tabla35611192737515[[#This Row],[COMISIONES]]*0.21</f>
        <v>0</v>
      </c>
      <c r="V26" s="11"/>
      <c r="W26" s="11"/>
      <c r="X26" s="11"/>
      <c r="Z26" s="1">
        <v>1557.61</v>
      </c>
      <c r="AA26" s="11">
        <f>Tabla356813212939717[[#This Row],[COMISIONES]]*0.21</f>
        <v>327.09809999999999</v>
      </c>
      <c r="AB26" s="11"/>
      <c r="AC26" s="1">
        <v>1718.99</v>
      </c>
      <c r="AD26">
        <v>93.98</v>
      </c>
      <c r="AK26" s="11"/>
      <c r="AL26" s="11">
        <f>Tabla35611192734431121[[#This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Tabla13162432212[[#This Row],[COMISIONES]]*0.21</f>
        <v>0</v>
      </c>
      <c r="D27" s="3"/>
      <c r="E27" s="3"/>
      <c r="F27" s="3"/>
      <c r="H27" s="11"/>
      <c r="I27" s="11">
        <f>Tabla39172535313[[#This Row],[COMISIONES]]*0.21</f>
        <v>0</v>
      </c>
      <c r="J27" s="11"/>
      <c r="K27" s="11"/>
      <c r="L27" s="11"/>
      <c r="N27" s="11">
        <v>300</v>
      </c>
      <c r="O27" s="11">
        <f>Tabla3510182636414[[#This Row],[COMISIONES]]*0.21</f>
        <v>63</v>
      </c>
      <c r="P27" s="11"/>
      <c r="Q27" s="11"/>
      <c r="R27" s="11"/>
      <c r="T27" s="11"/>
      <c r="U27" s="11">
        <f>Tabla35611192737515[[#This Row],[COMISIONES]]*0.21</f>
        <v>0</v>
      </c>
      <c r="V27" s="11"/>
      <c r="W27" s="11"/>
      <c r="X27" s="11"/>
      <c r="Z27">
        <v>935.64</v>
      </c>
      <c r="AA27" s="11">
        <f>Tabla356813212939717[[#This Row],[COMISIONES]]*0.21</f>
        <v>196.48439999999999</v>
      </c>
      <c r="AB27" s="1">
        <v>4241.16</v>
      </c>
      <c r="AC27" s="1">
        <v>4706.79</v>
      </c>
      <c r="AD27" s="11"/>
      <c r="AK27" s="11"/>
      <c r="AL27" s="11">
        <f>Tabla35611192734431121[[#This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Tabla13162432212[[#This Row],[COMISIONES]]*0.21</f>
        <v>0</v>
      </c>
      <c r="D28" s="3"/>
      <c r="E28" s="3"/>
      <c r="F28" s="3"/>
      <c r="H28" s="11"/>
      <c r="I28" s="11">
        <f>Tabla39172535313[[#This Row],[COMISIONES]]*0.21</f>
        <v>0</v>
      </c>
      <c r="J28" s="11"/>
      <c r="K28" s="11"/>
      <c r="L28" s="11"/>
      <c r="N28" s="11">
        <v>300</v>
      </c>
      <c r="O28" s="11">
        <f>Tabla3510182636414[[#This Row],[COMISIONES]]*0.21</f>
        <v>63</v>
      </c>
      <c r="P28" s="11"/>
      <c r="Q28" s="11"/>
      <c r="R28" s="11"/>
      <c r="T28" s="18"/>
      <c r="U28" s="18">
        <f>Tabla35611192737515[[#This Row],[COMISIONES]]*0.21</f>
        <v>0</v>
      </c>
      <c r="V28" s="18"/>
      <c r="W28" s="18"/>
      <c r="X28" s="18"/>
      <c r="Z28">
        <v>865.97</v>
      </c>
      <c r="AA28" s="11">
        <f>Tabla356813212939717[[#This Row],[COMISIONES]]*0.21</f>
        <v>181.8537</v>
      </c>
      <c r="AB28" s="11"/>
      <c r="AC28">
        <v>866.12</v>
      </c>
      <c r="AD28" s="11"/>
      <c r="AK28" s="18"/>
      <c r="AL28" s="18">
        <f>Tabla35611192734431121[[#This Row],[COMISIONES]]*0.21</f>
        <v>0</v>
      </c>
      <c r="AM28" s="18"/>
      <c r="AN28" s="18"/>
      <c r="AO28" s="18"/>
    </row>
    <row r="29" spans="2:41" x14ac:dyDescent="0.25">
      <c r="B29" s="3"/>
      <c r="C29" s="2">
        <f>Tabla13162432212[[#This Row],[COMISIONES]]*0.21</f>
        <v>0</v>
      </c>
      <c r="D29" s="3"/>
      <c r="E29" s="3"/>
      <c r="F29" s="3"/>
      <c r="H29" s="11"/>
      <c r="I29" s="11">
        <f>Tabla39172535313[[#This Row],[COMISIONES]]*0.21</f>
        <v>0</v>
      </c>
      <c r="J29" s="11"/>
      <c r="K29" s="11"/>
      <c r="L29" s="11"/>
      <c r="N29" s="11">
        <v>300</v>
      </c>
      <c r="O29" s="11">
        <f>Tabla3510182636414[[#This Row],[COMISIONES]]*0.21</f>
        <v>63</v>
      </c>
      <c r="P29" s="11"/>
      <c r="Q29" s="11"/>
      <c r="R29" s="11"/>
      <c r="T29" s="18"/>
      <c r="U29" s="18">
        <f>Tabla35611192737515[[#This Row],[COMISIONES]]*0.21</f>
        <v>0</v>
      </c>
      <c r="V29" s="18"/>
      <c r="W29" s="18"/>
      <c r="X29" s="18"/>
      <c r="Z29" s="1">
        <v>2109.2399999999998</v>
      </c>
      <c r="AA29" s="11">
        <f>Tabla356813212939717[[#This Row],[COMISIONES]]*0.21</f>
        <v>442.94039999999995</v>
      </c>
      <c r="AB29" s="11"/>
      <c r="AC29" s="11"/>
      <c r="AD29" s="11"/>
      <c r="AK29" s="18"/>
      <c r="AL29" s="18">
        <f>Tabla35611192734431121[[#This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Tabla13162432212[[#This Row],[COMISIONES]]*0.21</f>
        <v>0</v>
      </c>
      <c r="D30" s="3"/>
      <c r="E30" s="1"/>
      <c r="F30" s="3"/>
      <c r="H30" s="11"/>
      <c r="I30" s="11">
        <f>Tabla39172535313[[#This Row],[COMISIONES]]*0.21</f>
        <v>0</v>
      </c>
      <c r="J30" s="11"/>
      <c r="K30" s="11"/>
      <c r="L30" s="11"/>
      <c r="N30" s="11">
        <v>300</v>
      </c>
      <c r="O30" s="11">
        <f>Tabla3510182636414[[#This Row],[COMISIONES]]*0.21</f>
        <v>63</v>
      </c>
      <c r="P30" s="11"/>
      <c r="Q30" s="11"/>
      <c r="R30" s="11"/>
      <c r="T30" s="4">
        <f>SUBTOTAL(109,Tabla35611192737515[COMISIONES])</f>
        <v>5625</v>
      </c>
      <c r="U30" s="4">
        <f>SUBTOTAL(109,Tabla35611192737515[IVA 21])</f>
        <v>1181.25</v>
      </c>
      <c r="V30" s="4">
        <f>SUBTOTAL(109,Tabla35611192737515[IVA 10,5])</f>
        <v>0</v>
      </c>
      <c r="W30" s="4">
        <f>SUBTOTAL(109,Tabla35611192737515[Ret IIBB Caba])</f>
        <v>337.5</v>
      </c>
      <c r="X30" s="4">
        <f>SUBTOTAL(109,Tabla35611192737515[PERC IVA])</f>
        <v>168.75</v>
      </c>
      <c r="Z30" s="1">
        <v>5178.18</v>
      </c>
      <c r="AA30" s="11">
        <f>Tabla356813212939717[[#This Row],[COMISIONES]]*0.21</f>
        <v>1087.4177999999999</v>
      </c>
      <c r="AB30" s="11"/>
      <c r="AC30" s="1">
        <v>4998.7700000000004</v>
      </c>
      <c r="AD30">
        <v>61.08</v>
      </c>
      <c r="AK30" s="4">
        <f>SUBTOTAL(109,Tabla35611192734431121[COMISIONES])</f>
        <v>496</v>
      </c>
      <c r="AL30" s="4">
        <f>SUBTOTAL(109,Tabla35611192734431121[IVA 21])</f>
        <v>104.16</v>
      </c>
      <c r="AM30" s="4">
        <f>SUBTOTAL(109,Tabla35611192734431121[IVA 10,5])</f>
        <v>0</v>
      </c>
      <c r="AN30" s="4">
        <f>SUBTOTAL(109,Tabla35611192734431121[Ret IIBB Caba])</f>
        <v>4.12</v>
      </c>
      <c r="AO30" s="4">
        <f>SUBTOTAL(109,Tabla35611192734431121[PERC IVA])</f>
        <v>0</v>
      </c>
    </row>
    <row r="31" spans="2:41" ht="18.75" x14ac:dyDescent="0.3">
      <c r="B31" s="3"/>
      <c r="C31" s="2">
        <f>Tabla13162432212[[#This Row],[COMISIONES]]*0.21</f>
        <v>0</v>
      </c>
      <c r="D31" s="3"/>
      <c r="E31" s="3"/>
      <c r="F31" s="3"/>
      <c r="H31" s="11"/>
      <c r="I31" s="11">
        <f>Tabla39172535313[[#This Row],[COMISIONES]]*0.21</f>
        <v>0</v>
      </c>
      <c r="J31" s="11"/>
      <c r="K31" s="11"/>
      <c r="L31" s="11"/>
      <c r="N31" s="11">
        <v>300</v>
      </c>
      <c r="O31" s="11">
        <f>Tabla3510182636414[[#This Row],[COMISIONES]]*0.21</f>
        <v>63</v>
      </c>
      <c r="P31" s="11"/>
      <c r="Q31" s="11"/>
      <c r="R31" s="11"/>
      <c r="T31" s="42" t="s">
        <v>15</v>
      </c>
      <c r="U31" s="42"/>
      <c r="V31" s="42"/>
      <c r="W31" s="42"/>
      <c r="X31" s="42"/>
      <c r="Z31" s="1">
        <v>1283.67</v>
      </c>
      <c r="AA31" s="11">
        <f>Tabla356813212939717[[#This Row],[COMISIONES]]*0.21</f>
        <v>269.57069999999999</v>
      </c>
      <c r="AB31" s="11"/>
      <c r="AC31" s="11"/>
      <c r="AD31" s="11"/>
    </row>
    <row r="32" spans="2:41" x14ac:dyDescent="0.25">
      <c r="B32" s="3"/>
      <c r="C32" s="2">
        <f>Tabla13162432212[[#This Row],[COMISIONES]]*0.21</f>
        <v>0</v>
      </c>
      <c r="D32" s="3"/>
      <c r="E32" s="3"/>
      <c r="F32" s="3"/>
      <c r="H32" s="11"/>
      <c r="I32" s="11">
        <f>Tabla39172535313[[#This Row],[COMISIONES]]*0.21</f>
        <v>0</v>
      </c>
      <c r="J32" s="11"/>
      <c r="K32" s="11"/>
      <c r="L32" s="11"/>
      <c r="N32" s="11">
        <v>300</v>
      </c>
      <c r="O32" s="11">
        <f>Tabla3510182636414[[#This Row],[COMISIONES]]*0.21</f>
        <v>63</v>
      </c>
      <c r="P32" s="11"/>
      <c r="Q32" s="11"/>
      <c r="R32" s="11"/>
      <c r="T32" s="12" t="s">
        <v>2</v>
      </c>
      <c r="U32" s="13" t="s">
        <v>0</v>
      </c>
      <c r="V32" s="13" t="s">
        <v>1</v>
      </c>
      <c r="W32" s="13" t="s">
        <v>3</v>
      </c>
      <c r="X32" s="13" t="s">
        <v>4</v>
      </c>
      <c r="Z32" s="1">
        <v>1925.33</v>
      </c>
      <c r="AA32" s="11">
        <f>Tabla356813212939717[[#This Row],[COMISIONES]]*0.21</f>
        <v>404.31929999999994</v>
      </c>
      <c r="AB32" s="11"/>
      <c r="AC32" s="11"/>
      <c r="AD32" s="11"/>
    </row>
    <row r="33" spans="2:31" x14ac:dyDescent="0.25">
      <c r="B33" s="3"/>
      <c r="C33" s="2">
        <f>Tabla13162432212[[#This Row],[COMISIONES]]*0.21</f>
        <v>0</v>
      </c>
      <c r="D33" s="3"/>
      <c r="E33" s="3"/>
      <c r="F33" s="3"/>
      <c r="H33" s="11"/>
      <c r="I33" s="11">
        <f>Tabla39172535313[[#This Row],[COMISIONES]]*0.21</f>
        <v>0</v>
      </c>
      <c r="J33" s="11"/>
      <c r="K33" s="11"/>
      <c r="L33" s="11"/>
      <c r="N33" s="11">
        <v>300</v>
      </c>
      <c r="O33" s="11">
        <f>Tabla3510182636414[[#This Row],[COMISIONES]]*0.21</f>
        <v>63</v>
      </c>
      <c r="P33" s="11"/>
      <c r="Q33" s="11"/>
      <c r="R33" s="11"/>
      <c r="T33" s="11"/>
      <c r="U33" s="11">
        <f>Tabla612202838616[[#This Row],[COMISIONES]]*0.21</f>
        <v>0</v>
      </c>
      <c r="V33" s="11"/>
      <c r="W33" s="11"/>
      <c r="X33" s="11"/>
      <c r="Z33">
        <v>700.2</v>
      </c>
      <c r="AA33" s="11">
        <f>Tabla356813212939717[[#This Row],[COMISIONES]]*0.21</f>
        <v>147.042</v>
      </c>
      <c r="AB33" s="11"/>
      <c r="AC33" s="11"/>
      <c r="AD33" s="11"/>
    </row>
    <row r="34" spans="2:31" x14ac:dyDescent="0.25">
      <c r="B34" s="3"/>
      <c r="C34" s="2">
        <f>Tabla13162432212[[#This Row],[COMISIONES]]*0.21</f>
        <v>0</v>
      </c>
      <c r="D34" s="3"/>
      <c r="E34" s="3"/>
      <c r="F34" s="3"/>
      <c r="H34" s="11"/>
      <c r="I34" s="11">
        <f>Tabla39172535313[[#This Row],[COMISIONES]]*0.21</f>
        <v>0</v>
      </c>
      <c r="J34" s="11"/>
      <c r="K34" s="11"/>
      <c r="L34" s="11"/>
      <c r="N34" s="11">
        <v>300</v>
      </c>
      <c r="O34" s="11">
        <f>Tabla3510182636414[[#This Row],[COMISIONES]]*0.21</f>
        <v>63</v>
      </c>
      <c r="P34" s="11"/>
      <c r="Q34" s="11"/>
      <c r="R34" s="11"/>
      <c r="T34" s="11"/>
      <c r="U34" s="11">
        <f>Tabla612202838616[[#This Row],[COMISIONES]]*0.21</f>
        <v>0</v>
      </c>
      <c r="V34" s="11"/>
      <c r="W34" s="11"/>
      <c r="X34" s="11"/>
      <c r="Z34" s="1">
        <v>1917.23</v>
      </c>
      <c r="AA34" s="11">
        <f>Tabla356813212939717[[#This Row],[COMISIONES]]*0.21</f>
        <v>402.61829999999998</v>
      </c>
      <c r="AB34" s="11"/>
      <c r="AC34" s="11"/>
      <c r="AD34" s="11"/>
    </row>
    <row r="35" spans="2:31" x14ac:dyDescent="0.25">
      <c r="B35" s="3"/>
      <c r="C35" s="2">
        <f>Tabla13162432212[[#This Row],[COMISIONES]]*0.21</f>
        <v>0</v>
      </c>
      <c r="D35" s="3"/>
      <c r="E35" s="3"/>
      <c r="F35" s="3"/>
      <c r="H35" s="11"/>
      <c r="I35" s="11">
        <f>Tabla39172535313[[#This Row],[COMISIONES]]*0.21</f>
        <v>0</v>
      </c>
      <c r="J35" s="11"/>
      <c r="K35" s="11"/>
      <c r="L35" s="11"/>
      <c r="N35" s="11"/>
      <c r="O35" s="11">
        <f>Tabla3510182636414[[#This Row],[COMISIONES]]*0.21</f>
        <v>0</v>
      </c>
      <c r="P35" s="11"/>
      <c r="Q35" s="11"/>
      <c r="R35" s="11"/>
      <c r="T35" s="11"/>
      <c r="U35" s="19">
        <f>Tabla612202838616[[#This Row],[COMISIONES]]*0.21</f>
        <v>0</v>
      </c>
      <c r="Z35" s="1">
        <v>3132.65</v>
      </c>
      <c r="AA35" s="11">
        <f>Tabla356813212939717[[#This Row],[COMISIONES]]*0.21</f>
        <v>657.85649999999998</v>
      </c>
      <c r="AB35" s="11"/>
      <c r="AC35" s="11"/>
      <c r="AD35" s="11"/>
    </row>
    <row r="36" spans="2:31" x14ac:dyDescent="0.25">
      <c r="B36" s="3"/>
      <c r="C36" s="2">
        <f>Tabla13162432212[[#This Row],[COMISIONES]]*0.21</f>
        <v>0</v>
      </c>
      <c r="D36" s="3"/>
      <c r="E36" s="3"/>
      <c r="F36" s="3"/>
      <c r="H36" s="11"/>
      <c r="I36" s="11">
        <f>Tabla39172535313[[#This Row],[COMISIONES]]*0.21</f>
        <v>0</v>
      </c>
      <c r="J36" s="11"/>
      <c r="K36" s="11"/>
      <c r="L36" s="11"/>
      <c r="N36" s="11"/>
      <c r="O36" s="11">
        <f>Tabla3510182636414[[#This Row],[COMISIONES]]*0.21</f>
        <v>0</v>
      </c>
      <c r="P36" s="11"/>
      <c r="Q36" s="11"/>
      <c r="R36" s="11"/>
      <c r="T36" s="11"/>
      <c r="U36" s="19">
        <f>Tabla612202838616[[#This Row],[COMISIONES]]*0.21</f>
        <v>0</v>
      </c>
      <c r="Z36">
        <v>352.8</v>
      </c>
      <c r="AA36" s="21">
        <f>Tabla356813212939717[[#This Row],[COMISIONES]]*0.21</f>
        <v>74.087999999999994</v>
      </c>
      <c r="AB36" s="21"/>
      <c r="AC36" s="21"/>
      <c r="AD36" s="22"/>
    </row>
    <row r="37" spans="2:31" x14ac:dyDescent="0.25">
      <c r="B37" s="3"/>
      <c r="C37" s="2">
        <f>Tabla13162432212[[#This Row],[COMISIONES]]*0.21</f>
        <v>0</v>
      </c>
      <c r="D37" s="3"/>
      <c r="E37" s="3"/>
      <c r="F37" s="3"/>
      <c r="H37" s="11"/>
      <c r="I37" s="11">
        <f>Tabla39172535313[[#This Row],[COMISIONES]]*0.21</f>
        <v>0</v>
      </c>
      <c r="J37" s="11"/>
      <c r="K37" s="11"/>
      <c r="L37" s="11"/>
      <c r="N37" s="11"/>
      <c r="O37" s="11">
        <f>Tabla3510182636414[[#This Row],[COMISIONES]]*0.21</f>
        <v>0</v>
      </c>
      <c r="P37" s="11"/>
      <c r="Q37" s="11"/>
      <c r="R37" s="11"/>
      <c r="T37" s="11"/>
      <c r="U37" s="19">
        <f>Tabla612202838616[[#This Row],[COMISIONES]]*0.21</f>
        <v>0</v>
      </c>
      <c r="Z37">
        <v>983.2</v>
      </c>
      <c r="AA37" s="21">
        <f>Tabla356813212939717[[#This Row],[COMISIONES]]*0.21</f>
        <v>206.47200000000001</v>
      </c>
      <c r="AB37" s="1">
        <v>3529.71</v>
      </c>
      <c r="AC37" s="1">
        <v>4887.83</v>
      </c>
      <c r="AD37">
        <v>78.209999999999994</v>
      </c>
    </row>
    <row r="38" spans="2:31" x14ac:dyDescent="0.25">
      <c r="B38" s="3"/>
      <c r="C38" s="2">
        <f>Tabla13162432212[[#This Row],[COMISIONES]]*0.21</f>
        <v>0</v>
      </c>
      <c r="D38" s="3"/>
      <c r="E38" s="3"/>
      <c r="F38" s="3"/>
      <c r="H38" s="11"/>
      <c r="I38" s="11">
        <f>Tabla39172535313[[#This Row],[COMISIONES]]*0.21</f>
        <v>0</v>
      </c>
      <c r="J38" s="11"/>
      <c r="K38" s="11"/>
      <c r="L38" s="11"/>
      <c r="N38" s="11"/>
      <c r="O38" s="11">
        <f>Tabla3510182636414[[#This Row],[COMISIONES]]*0.21</f>
        <v>0</v>
      </c>
      <c r="P38" s="11"/>
      <c r="Q38" s="11"/>
      <c r="R38" s="11"/>
      <c r="T38" s="11"/>
      <c r="U38" s="19">
        <f>Tabla612202838616[[#This Row],[COMISIONES]]*0.21</f>
        <v>0</v>
      </c>
      <c r="Z38">
        <v>266.22000000000003</v>
      </c>
      <c r="AA38" s="21">
        <f>Tabla356813212939717[[#This Row],[COMISIONES]]*0.21</f>
        <v>55.906200000000005</v>
      </c>
      <c r="AB38" s="21"/>
      <c r="AC38" s="21"/>
      <c r="AD38" s="21"/>
    </row>
    <row r="39" spans="2:31" x14ac:dyDescent="0.25">
      <c r="B39" s="3"/>
      <c r="C39" s="2">
        <f>Tabla13162432212[[#This Row],[COMISIONES]]*0.21</f>
        <v>0</v>
      </c>
      <c r="D39" s="3"/>
      <c r="E39" s="3"/>
      <c r="F39" s="3"/>
      <c r="H39" s="11"/>
      <c r="I39" s="11">
        <f>Tabla39172535313[[#This Row],[COMISIONES]]*0.21</f>
        <v>0</v>
      </c>
      <c r="J39" s="11"/>
      <c r="K39" s="11"/>
      <c r="L39" s="11"/>
      <c r="N39" s="11"/>
      <c r="O39" s="11">
        <f>Tabla3510182636414[[#This Row],[COMISIONES]]*0.21</f>
        <v>0</v>
      </c>
      <c r="P39" s="11"/>
      <c r="Q39" s="11"/>
      <c r="R39" s="11"/>
      <c r="T39" s="11"/>
      <c r="U39" s="19">
        <f>Tabla612202838616[[#This Row],[COMISIONES]]*0.21</f>
        <v>0</v>
      </c>
      <c r="Z39" s="1">
        <v>3093.12</v>
      </c>
      <c r="AA39" s="21">
        <f>Tabla356813212939717[[#This Row],[COMISIONES]]*0.21</f>
        <v>649.5551999999999</v>
      </c>
      <c r="AB39" s="21"/>
      <c r="AC39" s="21"/>
      <c r="AD39" s="21"/>
    </row>
    <row r="40" spans="2:31" x14ac:dyDescent="0.25">
      <c r="B40" s="3"/>
      <c r="C40" s="2">
        <f>Tabla13162432212[[#This Row],[COMISIONES]]*0.21</f>
        <v>0</v>
      </c>
      <c r="D40" s="3"/>
      <c r="E40" s="3"/>
      <c r="F40" s="3"/>
      <c r="H40" s="18"/>
      <c r="I40" s="18">
        <f>Tabla39172535313[[#This Row],[COMISIONES]]*0.21</f>
        <v>0</v>
      </c>
      <c r="J40" s="18"/>
      <c r="K40" s="18"/>
      <c r="L40" s="18"/>
      <c r="N40" s="11"/>
      <c r="O40" s="11">
        <f>Tabla3510182636414[[#This Row],[COMISIONES]]*0.21</f>
        <v>0</v>
      </c>
      <c r="P40" s="11"/>
      <c r="Q40" s="11"/>
      <c r="R40" s="11"/>
      <c r="T40" s="11"/>
      <c r="U40" s="19">
        <f>Tabla612202838616[[#This Row],[COMISIONES]]*0.21</f>
        <v>0</v>
      </c>
      <c r="Z40" s="1">
        <v>2036.16</v>
      </c>
      <c r="AA40" s="21">
        <f>Tabla356813212939717[[#This Row],[COMISIONES]]*0.21</f>
        <v>427.59359999999998</v>
      </c>
      <c r="AB40" s="21"/>
      <c r="AC40" s="21"/>
      <c r="AD40" s="21"/>
    </row>
    <row r="41" spans="2:31" x14ac:dyDescent="0.25">
      <c r="B41" s="3"/>
      <c r="C41" s="2">
        <f>Tabla13162432212[[#This Row],[COMISIONES]]*0.21</f>
        <v>0</v>
      </c>
      <c r="D41" s="3"/>
      <c r="E41" s="3"/>
      <c r="F41" s="3"/>
      <c r="H41" s="18"/>
      <c r="I41" s="18">
        <f>Tabla39172535313[[#This Row],[COMISIONES]]*0.21</f>
        <v>0</v>
      </c>
      <c r="J41" s="18"/>
      <c r="K41" s="18"/>
      <c r="L41" s="18"/>
      <c r="N41" s="11"/>
      <c r="O41" s="11">
        <f>Tabla3510182636414[[#This Row],[COMISIONES]]*0.21</f>
        <v>0</v>
      </c>
      <c r="P41" s="11"/>
      <c r="Q41" s="11"/>
      <c r="R41" s="11"/>
      <c r="T41" s="11"/>
      <c r="U41" s="19">
        <f>Tabla612202838616[[#This Row],[COMISIONES]]*0.21</f>
        <v>0</v>
      </c>
      <c r="Z41">
        <v>10.85</v>
      </c>
      <c r="AA41" s="21">
        <f>Tabla356813212939717[[#This Row],[COMISIONES]]*0.21</f>
        <v>2.2784999999999997</v>
      </c>
      <c r="AB41" s="21"/>
      <c r="AC41" s="21"/>
      <c r="AD41" s="21"/>
    </row>
    <row r="42" spans="2:31" x14ac:dyDescent="0.25">
      <c r="B42" s="3"/>
      <c r="C42" s="2">
        <f>Tabla13162432212[[#This Row],[COMISIONES]]*0.21</f>
        <v>0</v>
      </c>
      <c r="D42" s="3"/>
      <c r="E42" s="3"/>
      <c r="F42" s="3"/>
      <c r="G42" s="8"/>
      <c r="H42" s="18"/>
      <c r="I42" s="18">
        <f>Tabla39172535313[[#This Row],[COMISIONES]]*0.21</f>
        <v>0</v>
      </c>
      <c r="J42" s="18"/>
      <c r="K42" s="18"/>
      <c r="L42" s="18"/>
      <c r="M42" s="8"/>
      <c r="N42" s="11"/>
      <c r="O42" s="11">
        <f>Tabla3510182636414[[#This Row],[COMISIONES]]*0.21</f>
        <v>0</v>
      </c>
      <c r="P42" s="11"/>
      <c r="Q42" s="11"/>
      <c r="R42" s="11"/>
      <c r="S42" s="8"/>
      <c r="T42" s="11"/>
      <c r="U42" s="19">
        <f>Tabla612202838616[[#This Row],[COMISIONES]]*0.21</f>
        <v>0</v>
      </c>
      <c r="Y42" s="8"/>
      <c r="Z42">
        <v>571.5</v>
      </c>
      <c r="AA42" s="21">
        <f>Tabla356813212939717[[#This Row],[COMISIONES]]*0.21</f>
        <v>120.015</v>
      </c>
      <c r="AB42" s="21"/>
      <c r="AC42" s="21"/>
      <c r="AD42" s="21"/>
      <c r="AE42" s="8"/>
    </row>
    <row r="43" spans="2:31" x14ac:dyDescent="0.25">
      <c r="B43" s="3"/>
      <c r="C43" s="2">
        <f>Tabla13162432212[[#This Row],[COMISIONES]]*0.21</f>
        <v>0</v>
      </c>
      <c r="D43" s="3"/>
      <c r="E43" s="3"/>
      <c r="F43" s="3"/>
      <c r="H43" s="18"/>
      <c r="I43" s="18">
        <f>Tabla39172535313[[#This Row],[COMISIONES]]*0.21</f>
        <v>0</v>
      </c>
      <c r="J43" s="18"/>
      <c r="K43" s="18"/>
      <c r="L43" s="18"/>
      <c r="N43" s="11"/>
      <c r="O43" s="11">
        <f>Tabla3510182636414[[#This Row],[COMISIONES]]*0.21</f>
        <v>0</v>
      </c>
      <c r="P43" s="11"/>
      <c r="Q43" s="11"/>
      <c r="R43" s="11"/>
      <c r="U43" s="19">
        <f>Tabla612202838616[[#This Row],[COMISIONES]]*0.21</f>
        <v>0</v>
      </c>
      <c r="Z43" s="1">
        <v>1972.26</v>
      </c>
      <c r="AA43" s="21">
        <f>Tabla356813212939717[[#This Row],[COMISIONES]]*0.21</f>
        <v>414.1746</v>
      </c>
      <c r="AB43" s="21"/>
      <c r="AC43" s="21"/>
      <c r="AD43" s="21"/>
    </row>
    <row r="44" spans="2:31" x14ac:dyDescent="0.25">
      <c r="B44" s="3"/>
      <c r="C44" s="2">
        <f>Tabla13162432212[[#This Row],[COMISIONES]]*0.21</f>
        <v>0</v>
      </c>
      <c r="D44" s="3"/>
      <c r="E44" s="3"/>
      <c r="F44" s="3"/>
      <c r="H44" s="18"/>
      <c r="I44" s="18">
        <f>Tabla39172535313[[#This Row],[COMISIONES]]*0.21</f>
        <v>0</v>
      </c>
      <c r="J44" s="18"/>
      <c r="K44" s="18"/>
      <c r="L44" s="18"/>
      <c r="N44" s="11"/>
      <c r="O44" s="11">
        <f>Tabla3510182636414[[#This Row],[COMISIONES]]*0.21</f>
        <v>0</v>
      </c>
      <c r="P44" s="11"/>
      <c r="Q44" s="11"/>
      <c r="R44" s="11"/>
      <c r="U44" s="19">
        <f>Tabla612202838616[[#This Row],[COMISIONES]]*0.21</f>
        <v>0</v>
      </c>
      <c r="Z44" s="1">
        <v>2607.16</v>
      </c>
      <c r="AA44" s="21">
        <f>Tabla356813212939717[[#This Row],[COMISIONES]]*0.21</f>
        <v>547.50360000000001</v>
      </c>
      <c r="AB44" s="21"/>
      <c r="AC44" s="21"/>
      <c r="AD44" s="21"/>
    </row>
    <row r="45" spans="2:31" x14ac:dyDescent="0.25">
      <c r="B45" s="3"/>
      <c r="C45" s="2">
        <f>Tabla13162432212[[#This Row],[COMISIONES]]*0.21</f>
        <v>0</v>
      </c>
      <c r="D45" s="3"/>
      <c r="E45" s="3"/>
      <c r="F45" s="3"/>
      <c r="H45" s="18"/>
      <c r="I45" s="18">
        <f>Tabla39172535313[[#This Row],[COMISIONES]]*0.21</f>
        <v>0</v>
      </c>
      <c r="J45" s="18"/>
      <c r="K45" s="18"/>
      <c r="L45" s="18"/>
      <c r="N45" s="11"/>
      <c r="O45" s="11">
        <f>Tabla3510182636414[[#This Row],[COMISIONES]]*0.21</f>
        <v>0</v>
      </c>
      <c r="P45" s="11"/>
      <c r="Q45" s="11"/>
      <c r="R45" s="11"/>
      <c r="U45" s="19">
        <f>Tabla612202838616[[#This Row],[COMISIONES]]*0.21</f>
        <v>0</v>
      </c>
      <c r="Z45">
        <v>286.2</v>
      </c>
      <c r="AA45" s="21">
        <f>Tabla356813212939717[[#This Row],[COMISIONES]]*0.21</f>
        <v>60.101999999999997</v>
      </c>
      <c r="AB45" s="21"/>
      <c r="AC45" s="21"/>
      <c r="AD45" s="21"/>
    </row>
    <row r="46" spans="2:31" x14ac:dyDescent="0.25">
      <c r="B46" s="3"/>
      <c r="C46" s="2">
        <f>Tabla13162432212[[#This Row],[COMISIONES]]*0.21</f>
        <v>0</v>
      </c>
      <c r="D46" s="3"/>
      <c r="E46" s="3"/>
      <c r="F46" s="3"/>
      <c r="H46" s="18"/>
      <c r="I46" s="18">
        <f>Tabla39172535313[[#This Row],[COMISIONES]]*0.21</f>
        <v>0</v>
      </c>
      <c r="J46" s="18"/>
      <c r="K46" s="18"/>
      <c r="L46" s="18"/>
      <c r="N46" s="11"/>
      <c r="O46" s="11">
        <f>Tabla3510182636414[[#This Row],[COMISIONES]]*0.21</f>
        <v>0</v>
      </c>
      <c r="P46" s="11"/>
      <c r="Q46" s="11"/>
      <c r="R46" s="11"/>
      <c r="U46" s="19">
        <f>Tabla612202838616[[#This Row],[COMISIONES]]*0.21</f>
        <v>0</v>
      </c>
      <c r="Z46">
        <v>264.60000000000002</v>
      </c>
      <c r="AA46" s="21">
        <f>Tabla356813212939717[[#This Row],[COMISIONES]]*0.21</f>
        <v>55.566000000000003</v>
      </c>
      <c r="AB46" s="21"/>
      <c r="AC46" s="21"/>
      <c r="AD46" s="21"/>
    </row>
    <row r="47" spans="2:31" x14ac:dyDescent="0.25">
      <c r="B47" s="3"/>
      <c r="C47" s="2">
        <f>Tabla13162432212[[#This Row],[COMISIONES]]*0.21</f>
        <v>0</v>
      </c>
      <c r="D47" s="3"/>
      <c r="E47" s="3"/>
      <c r="F47" s="3"/>
      <c r="H47" s="18"/>
      <c r="I47" s="18">
        <f>Tabla39172535313[[#This Row],[COMISIONES]]*0.21</f>
        <v>0</v>
      </c>
      <c r="J47" s="18"/>
      <c r="K47" s="18"/>
      <c r="L47" s="18"/>
      <c r="N47" s="11"/>
      <c r="O47" s="11">
        <f>Tabla3510182636414[[#This Row],[COMISIONES]]*0.21</f>
        <v>0</v>
      </c>
      <c r="P47" s="11"/>
      <c r="Q47" s="11"/>
      <c r="R47" s="11"/>
      <c r="U47" s="19">
        <f>Tabla612202838616[[#This Row],[COMISIONES]]*0.21</f>
        <v>0</v>
      </c>
      <c r="Z47" s="1">
        <v>1605.78</v>
      </c>
      <c r="AA47" s="21">
        <f>Tabla356813212939717[[#This Row],[COMISIONES]]*0.21</f>
        <v>337.21379999999999</v>
      </c>
      <c r="AB47" s="21"/>
      <c r="AC47" s="21"/>
      <c r="AD47" s="21"/>
    </row>
    <row r="48" spans="2:31" x14ac:dyDescent="0.25">
      <c r="B48" s="3"/>
      <c r="C48" s="2">
        <f>Tabla13162432212[[#This Row],[COMISIONES]]*0.21</f>
        <v>0</v>
      </c>
      <c r="D48" s="3"/>
      <c r="E48" s="3"/>
      <c r="F48" s="3"/>
      <c r="H48" s="18"/>
      <c r="I48" s="18">
        <f>Tabla39172535313[[#This Row],[COMISIONES]]*0.21</f>
        <v>0</v>
      </c>
      <c r="J48" s="18"/>
      <c r="K48" s="18"/>
      <c r="L48" s="18"/>
      <c r="N48" s="11"/>
      <c r="O48" s="11">
        <f>Tabla3510182636414[[#This Row],[COMISIONES]]*0.21</f>
        <v>0</v>
      </c>
      <c r="P48" s="11"/>
      <c r="Q48" s="11"/>
      <c r="R48" s="11"/>
      <c r="U48" s="19">
        <f>Tabla612202838616[[#This Row],[COMISIONES]]*0.21</f>
        <v>0</v>
      </c>
      <c r="Z48">
        <v>853.42</v>
      </c>
      <c r="AA48" s="21">
        <f>Tabla356813212939717[[#This Row],[COMISIONES]]*0.21</f>
        <v>179.2182</v>
      </c>
      <c r="AB48" s="21"/>
      <c r="AC48" s="21"/>
      <c r="AD48" s="21"/>
    </row>
    <row r="49" spans="2:30" x14ac:dyDescent="0.25">
      <c r="B49" s="3"/>
      <c r="C49" s="2">
        <f>Tabla13162432212[[#This Row],[COMISIONES]]*0.21</f>
        <v>0</v>
      </c>
      <c r="D49" s="3"/>
      <c r="E49" s="3"/>
      <c r="F49" s="3"/>
      <c r="H49" s="18"/>
      <c r="I49" s="18">
        <f>Tabla39172535313[[#This Row],[COMISIONES]]*0.21</f>
        <v>0</v>
      </c>
      <c r="J49" s="18"/>
      <c r="K49" s="18"/>
      <c r="L49" s="18"/>
      <c r="N49" s="11"/>
      <c r="O49" s="11">
        <f>Tabla3510182636414[[#This Row],[COMISIONES]]*0.21</f>
        <v>0</v>
      </c>
      <c r="P49" s="11"/>
      <c r="Q49" s="11"/>
      <c r="R49" s="11"/>
      <c r="U49" s="19">
        <f>Tabla612202838616[[#This Row],[COMISIONES]]*0.21</f>
        <v>0</v>
      </c>
      <c r="Z49">
        <v>913.59</v>
      </c>
      <c r="AA49" s="21">
        <f>Tabla356813212939717[[#This Row],[COMISIONES]]*0.21</f>
        <v>191.85390000000001</v>
      </c>
      <c r="AB49" s="21"/>
      <c r="AC49" s="21"/>
      <c r="AD49" s="21"/>
    </row>
    <row r="50" spans="2:30" x14ac:dyDescent="0.25">
      <c r="B50" s="2"/>
      <c r="C50" s="2">
        <f>Tabla13162432212[[#This Row],[COMISIONES]]*0.21</f>
        <v>0</v>
      </c>
      <c r="D50" s="2"/>
      <c r="E50" s="2"/>
      <c r="H50" s="18"/>
      <c r="I50" s="18">
        <f>Tabla39172535313[[#This Row],[COMISIONES]]*0.21</f>
        <v>0</v>
      </c>
      <c r="J50" s="18"/>
      <c r="K50" s="18"/>
      <c r="L50" s="18"/>
      <c r="N50" s="11"/>
      <c r="O50" s="11">
        <f>Tabla3510182636414[[#This Row],[COMISIONES]]*0.21</f>
        <v>0</v>
      </c>
      <c r="P50" s="11"/>
      <c r="Q50" s="11"/>
      <c r="R50" s="11"/>
      <c r="U50" s="19">
        <f>Tabla612202838616[[#This Row],[COMISIONES]]*0.21</f>
        <v>0</v>
      </c>
      <c r="Z50">
        <v>446.85</v>
      </c>
      <c r="AA50" s="21">
        <f>Tabla356813212939717[[#This Row],[COMISIONES]]*0.21</f>
        <v>93.838499999999996</v>
      </c>
      <c r="AB50" s="21"/>
      <c r="AC50" s="21"/>
      <c r="AD50" s="21"/>
    </row>
    <row r="51" spans="2:30" x14ac:dyDescent="0.25">
      <c r="B51" s="2"/>
      <c r="C51" s="2">
        <f>Tabla13162432212[[#This Row],[COMISIONES]]*0.21</f>
        <v>0</v>
      </c>
      <c r="D51" s="2"/>
      <c r="E51" s="2"/>
      <c r="H51" s="18"/>
      <c r="I51" s="18">
        <f>Tabla39172535313[[#This Row],[COMISIONES]]*0.21</f>
        <v>0</v>
      </c>
      <c r="J51" s="18"/>
      <c r="K51" s="18"/>
      <c r="L51" s="18"/>
      <c r="N51" s="11"/>
      <c r="O51" s="11">
        <f>Tabla3510182636414[[#This Row],[COMISIONES]]*0.21</f>
        <v>0</v>
      </c>
      <c r="P51" s="11"/>
      <c r="Q51" s="11"/>
      <c r="R51" s="11"/>
      <c r="U51" s="19">
        <f>Tabla612202838616[[#This Row],[COMISIONES]]*0.21</f>
        <v>0</v>
      </c>
      <c r="Z51" s="1">
        <v>1987.47</v>
      </c>
      <c r="AA51" s="21">
        <f>Tabla356813212939717[[#This Row],[COMISIONES]]*0.21</f>
        <v>417.36869999999999</v>
      </c>
      <c r="AB51" s="21"/>
      <c r="AC51" s="21"/>
      <c r="AD51" s="21"/>
    </row>
    <row r="52" spans="2:30" x14ac:dyDescent="0.25">
      <c r="B52" s="2"/>
      <c r="C52" s="2">
        <f>Tabla13162432212[[#This Row],[COMISIONES]]*0.21</f>
        <v>0</v>
      </c>
      <c r="D52" s="2"/>
      <c r="E52" s="2"/>
      <c r="H52" s="24">
        <f>SUBTOTAL(109,Tabla39172535313[COMISIONES])</f>
        <v>664.44</v>
      </c>
      <c r="I52" s="24">
        <f>SUBTOTAL(109,Tabla39172535313[IVA 21])</f>
        <v>139.5324</v>
      </c>
      <c r="J52" s="24">
        <f>SUBTOTAL(109,Tabla39172535313[IVA 10,5])</f>
        <v>0</v>
      </c>
      <c r="K52" s="24">
        <f>SUBTOTAL(109,Tabla39172535313[Ret IIBB Caba])</f>
        <v>0</v>
      </c>
      <c r="L52" s="24">
        <f>SUBTOTAL(109,Tabla39172535313[PERC IVA])</f>
        <v>0</v>
      </c>
      <c r="N52" s="11"/>
      <c r="O52" s="11">
        <f>Tabla3510182636414[[#This Row],[COMISIONES]]*0.21</f>
        <v>0</v>
      </c>
      <c r="P52" s="11"/>
      <c r="Q52" s="11"/>
      <c r="R52" s="11"/>
      <c r="U52" s="19">
        <f>Tabla612202838616[[#This Row],[COMISIONES]]*0.21</f>
        <v>0</v>
      </c>
      <c r="Z52" s="1">
        <v>1419.84</v>
      </c>
      <c r="AA52" s="21">
        <f>Tabla356813212939717[[#This Row],[COMISIONES]]*0.21</f>
        <v>298.16639999999995</v>
      </c>
      <c r="AB52" s="21"/>
      <c r="AC52" s="21"/>
      <c r="AD52" s="21"/>
    </row>
    <row r="53" spans="2:30" ht="18.75" x14ac:dyDescent="0.3">
      <c r="B53" s="2"/>
      <c r="C53" s="2">
        <f>Tabla13162432212[[#This Row],[COMISIONES]]*0.21</f>
        <v>0</v>
      </c>
      <c r="D53" s="2"/>
      <c r="E53" s="2"/>
      <c r="H53" s="41" t="s">
        <v>29</v>
      </c>
      <c r="I53" s="41"/>
      <c r="J53" s="41"/>
      <c r="K53" s="41"/>
      <c r="L53" s="41"/>
      <c r="N53" s="11"/>
      <c r="O53" s="11">
        <f>Tabla3510182636414[[#This Row],[COMISIONES]]*0.21</f>
        <v>0</v>
      </c>
      <c r="P53" s="11"/>
      <c r="Q53" s="11"/>
      <c r="R53" s="11"/>
      <c r="U53" s="19">
        <f>Tabla612202838616[[#This Row],[COMISIONES]]*0.21</f>
        <v>0</v>
      </c>
      <c r="Z53" s="1">
        <v>1631.52</v>
      </c>
      <c r="AA53" s="21">
        <f>Tabla356813212939717[[#This Row],[COMISIONES]]*0.21</f>
        <v>342.61919999999998</v>
      </c>
      <c r="AB53" s="21"/>
      <c r="AC53" s="1">
        <v>1168.68</v>
      </c>
      <c r="AD53" s="21"/>
    </row>
    <row r="54" spans="2:30" x14ac:dyDescent="0.25">
      <c r="B54" s="2"/>
      <c r="C54" s="2">
        <f>Tabla13162432212[[#This Row],[COMISIONES]]*0.21</f>
        <v>0</v>
      </c>
      <c r="D54" s="2"/>
      <c r="E54" s="2"/>
      <c r="H54" s="12" t="s">
        <v>2</v>
      </c>
      <c r="I54" s="13" t="s">
        <v>0</v>
      </c>
      <c r="J54" s="13" t="s">
        <v>1</v>
      </c>
      <c r="K54" s="13" t="s">
        <v>3</v>
      </c>
      <c r="L54" s="13" t="s">
        <v>4</v>
      </c>
      <c r="N54" s="11"/>
      <c r="O54" s="11">
        <f>Tabla3510182636414[[#This Row],[COMISIONES]]*0.21</f>
        <v>0</v>
      </c>
      <c r="P54" s="11"/>
      <c r="Q54" s="11"/>
      <c r="R54" s="11"/>
      <c r="U54" s="19">
        <f>Tabla612202838616[[#This Row],[COMISIONES]]*0.21</f>
        <v>0</v>
      </c>
      <c r="Z54">
        <v>985.48</v>
      </c>
      <c r="AA54" s="21">
        <f>Tabla356813212939717[[#This Row],[COMISIONES]]*0.21</f>
        <v>206.95079999999999</v>
      </c>
      <c r="AB54">
        <v>675.74</v>
      </c>
      <c r="AC54" s="1">
        <v>5092.1099999999997</v>
      </c>
      <c r="AD54" s="21"/>
    </row>
    <row r="55" spans="2:30" x14ac:dyDescent="0.25">
      <c r="B55" s="2"/>
      <c r="C55" s="2">
        <f>Tabla13162432212[[#This Row],[COMISIONES]]*0.21</f>
        <v>0</v>
      </c>
      <c r="D55" s="2"/>
      <c r="E55" s="2"/>
      <c r="H55" s="1">
        <v>113750</v>
      </c>
      <c r="I55" s="11">
        <f>Tabla3915233141919[[#This Row],[COMISIONES]]*0.21</f>
        <v>23887.5</v>
      </c>
      <c r="J55" s="11"/>
      <c r="K55" s="11"/>
      <c r="L55" s="1">
        <v>3412.5</v>
      </c>
      <c r="N55" s="11"/>
      <c r="O55" s="11">
        <f>Tabla3510182636414[[#This Row],[COMISIONES]]*0.21</f>
        <v>0</v>
      </c>
      <c r="P55" s="11"/>
      <c r="Q55" s="11"/>
      <c r="R55" s="11"/>
      <c r="U55" s="19">
        <f>Tabla612202838616[[#This Row],[COMISIONES]]*0.21</f>
        <v>0</v>
      </c>
      <c r="Z55">
        <v>11.04</v>
      </c>
      <c r="AA55" s="21">
        <f>Tabla356813212939717[[#This Row],[COMISIONES]]*0.21</f>
        <v>2.3183999999999996</v>
      </c>
      <c r="AB55" s="21"/>
      <c r="AC55">
        <v>935.75</v>
      </c>
      <c r="AD55" s="21"/>
    </row>
    <row r="56" spans="2:30" x14ac:dyDescent="0.25">
      <c r="B56" s="2"/>
      <c r="C56" s="2">
        <f>Tabla13162432212[[#This Row],[COMISIONES]]*0.21</f>
        <v>0</v>
      </c>
      <c r="D56" s="2"/>
      <c r="E56" s="2"/>
      <c r="H56" s="11"/>
      <c r="I56" s="11">
        <f>Tabla3915233141919[[#This Row],[COMISIONES]]*0.21</f>
        <v>0</v>
      </c>
      <c r="J56" s="11"/>
      <c r="K56" s="11"/>
      <c r="L56" s="21"/>
      <c r="N56" s="11"/>
      <c r="O56" s="11">
        <f>Tabla3510182636414[[#This Row],[COMISIONES]]*0.21</f>
        <v>0</v>
      </c>
      <c r="P56" s="11"/>
      <c r="Q56" s="11"/>
      <c r="R56" s="11"/>
      <c r="U56" s="19">
        <f>Tabla612202838616[[#This Row],[COMISIONES]]*0.21</f>
        <v>0</v>
      </c>
      <c r="Z56">
        <v>164.56</v>
      </c>
      <c r="AA56" s="21">
        <f>Tabla356813212939717[[#This Row],[COMISIONES]]*0.21</f>
        <v>34.557600000000001</v>
      </c>
      <c r="AB56" s="21"/>
      <c r="AC56" s="21"/>
      <c r="AD56" s="21"/>
    </row>
    <row r="57" spans="2:30" x14ac:dyDescent="0.25">
      <c r="B57" s="2"/>
      <c r="C57" s="2">
        <f>Tabla13162432212[[#This Row],[COMISIONES]]*0.21</f>
        <v>0</v>
      </c>
      <c r="D57" s="1"/>
      <c r="E57" s="2"/>
      <c r="H57" s="11"/>
      <c r="I57" s="11">
        <f>Tabla3915233141919[[#This Row],[COMISIONES]]*0.21</f>
        <v>0</v>
      </c>
      <c r="J57" s="11"/>
      <c r="K57" s="11"/>
      <c r="L57" s="11"/>
      <c r="N57" s="11"/>
      <c r="O57" s="11">
        <f>Tabla3510182636414[[#This Row],[COMISIONES]]*0.21</f>
        <v>0</v>
      </c>
      <c r="P57" s="11"/>
      <c r="Q57" s="11"/>
      <c r="R57" s="11"/>
      <c r="U57" s="19">
        <f>Tabla612202838616[[#This Row],[COMISIONES]]*0.21</f>
        <v>0</v>
      </c>
      <c r="Z57">
        <v>282.18</v>
      </c>
      <c r="AA57" s="21">
        <f>Tabla356813212939717[[#This Row],[COMISIONES]]*0.21</f>
        <v>59.257799999999996</v>
      </c>
      <c r="AB57" s="21"/>
      <c r="AC57" s="21"/>
      <c r="AD57" s="21"/>
    </row>
    <row r="58" spans="2:30" x14ac:dyDescent="0.25">
      <c r="B58" s="2"/>
      <c r="C58" s="2">
        <f>Tabla13162432212[[#This Row],[COMISIONES]]*0.21</f>
        <v>0</v>
      </c>
      <c r="D58" s="2"/>
      <c r="E58" s="2"/>
      <c r="H58" s="11"/>
      <c r="I58" s="11">
        <f>Tabla3915233141919[[#This Row],[COMISIONES]]*0.21</f>
        <v>0</v>
      </c>
      <c r="J58" s="11"/>
      <c r="K58" s="11"/>
      <c r="L58" s="11"/>
      <c r="N58" s="11"/>
      <c r="O58" s="11">
        <f>Tabla3510182636414[[#This Row],[COMISIONES]]*0.21</f>
        <v>0</v>
      </c>
      <c r="P58" s="11"/>
      <c r="Q58" s="11"/>
      <c r="R58" s="11"/>
      <c r="U58" s="19">
        <f>Tabla612202838616[[#This Row],[COMISIONES]]*0.21</f>
        <v>0</v>
      </c>
      <c r="Z58">
        <v>360.32</v>
      </c>
      <c r="AA58" s="21">
        <f>Tabla356813212939717[[#This Row],[COMISIONES]]*0.21</f>
        <v>75.667199999999994</v>
      </c>
      <c r="AB58" s="21"/>
      <c r="AC58" s="21"/>
      <c r="AD58" s="21"/>
    </row>
    <row r="59" spans="2:30" x14ac:dyDescent="0.25">
      <c r="B59" s="2"/>
      <c r="C59" s="2">
        <f>Tabla13162432212[[#This Row],[COMISIONES]]*0.21</f>
        <v>0</v>
      </c>
      <c r="D59" s="2"/>
      <c r="E59" s="2"/>
      <c r="H59" s="11"/>
      <c r="I59" s="11">
        <f>Tabla3915233141919[[#This Row],[COMISIONES]]*0.21</f>
        <v>0</v>
      </c>
      <c r="J59" s="11"/>
      <c r="K59" s="11"/>
      <c r="L59" s="11"/>
      <c r="N59" s="11"/>
      <c r="O59" s="11">
        <f>Tabla3510182636414[[#This Row],[COMISIONES]]*0.21</f>
        <v>0</v>
      </c>
      <c r="P59" s="11"/>
      <c r="Q59" s="11"/>
      <c r="R59" s="11"/>
      <c r="U59" s="19">
        <f>Tabla612202838616[[#This Row],[COMISIONES]]*0.21</f>
        <v>0</v>
      </c>
      <c r="Z59">
        <v>664.54</v>
      </c>
      <c r="AA59" s="21">
        <f>Tabla356813212939717[[#This Row],[COMISIONES]]*0.21</f>
        <v>139.55339999999998</v>
      </c>
      <c r="AB59" s="21"/>
      <c r="AC59" s="21"/>
      <c r="AD59" s="21"/>
    </row>
    <row r="60" spans="2:30" x14ac:dyDescent="0.25">
      <c r="B60" s="4">
        <f>SUBTOTAL(109,Tabla13162432212[COMISIONES])</f>
        <v>0</v>
      </c>
      <c r="C60" s="4">
        <f>SUBTOTAL(109,Tabla13162432212[IVA 21])</f>
        <v>0</v>
      </c>
      <c r="D60" s="4">
        <f>SUBTOTAL(109,Tabla13162432212[IVA 10,5])</f>
        <v>0</v>
      </c>
      <c r="E60" s="4">
        <f>SUBTOTAL(109,Tabla13162432212[Ret IIBB Caba])</f>
        <v>0</v>
      </c>
      <c r="F60" s="4">
        <f>SUBTOTAL(109,Tabla13162432212[PERC IVA])</f>
        <v>0</v>
      </c>
      <c r="H60" s="11"/>
      <c r="I60" s="11">
        <f>Tabla3915233141919[[#This Row],[COMISIONES]]*0.21</f>
        <v>0</v>
      </c>
      <c r="J60" s="11"/>
      <c r="K60" s="11"/>
      <c r="L60" s="11"/>
      <c r="N60" s="11"/>
      <c r="O60" s="11">
        <f>Tabla3510182636414[[#This Row],[COMISIONES]]*0.21</f>
        <v>0</v>
      </c>
      <c r="P60" s="11"/>
      <c r="Q60" s="11"/>
      <c r="R60" s="11"/>
      <c r="U60" s="19">
        <f>Tabla612202838616[[#This Row],[COMISIONES]]*0.21</f>
        <v>0</v>
      </c>
      <c r="Z60">
        <v>138.88</v>
      </c>
      <c r="AA60" s="21">
        <f>Tabla356813212939717[[#This Row],[COMISIONES]]*0.21</f>
        <v>29.1648</v>
      </c>
      <c r="AB60" s="21"/>
      <c r="AC60" s="21"/>
      <c r="AD60" s="21"/>
    </row>
    <row r="61" spans="2:30" x14ac:dyDescent="0.25">
      <c r="H61" s="11"/>
      <c r="I61" s="11">
        <f>Tabla3915233141919[[#This Row],[COMISIONES]]*0.21</f>
        <v>0</v>
      </c>
      <c r="J61" s="11"/>
      <c r="K61" s="11"/>
      <c r="L61" s="11"/>
      <c r="N61" s="11"/>
      <c r="O61" s="11">
        <f>Tabla3510182636414[[#This Row],[COMISIONES]]*0.21</f>
        <v>0</v>
      </c>
      <c r="P61" s="11"/>
      <c r="Q61" s="11"/>
      <c r="R61" s="11"/>
      <c r="T61" s="17">
        <f>SUBTOTAL(109,Tabla612202838616[COMISIONES])</f>
        <v>0</v>
      </c>
      <c r="U61" s="17">
        <f>SUBTOTAL(109,Tabla612202838616[IVA 21])</f>
        <v>0</v>
      </c>
      <c r="V61" s="17">
        <f>SUBTOTAL(109,Tabla612202838616[IVA 10,5])</f>
        <v>0</v>
      </c>
      <c r="W61" s="17">
        <f>SUBTOTAL(109,Tabla612202838616[Ret IIBB Caba])</f>
        <v>0</v>
      </c>
      <c r="X61" s="17">
        <f>SUBTOTAL(109,Tabla612202838616[PERC IVA])</f>
        <v>0</v>
      </c>
      <c r="Z61">
        <v>435.6</v>
      </c>
      <c r="AA61" s="21">
        <f>Tabla356813212939717[[#This Row],[COMISIONES]]*0.21</f>
        <v>91.475999999999999</v>
      </c>
      <c r="AB61" s="21"/>
      <c r="AC61" s="21"/>
      <c r="AD61" s="21"/>
    </row>
    <row r="62" spans="2:30" x14ac:dyDescent="0.25">
      <c r="H62" s="11"/>
      <c r="I62" s="11">
        <f>Tabla3915233141919[[#This Row],[COMISIONES]]*0.21</f>
        <v>0</v>
      </c>
      <c r="J62" s="11"/>
      <c r="K62" s="11"/>
      <c r="L62" s="11"/>
      <c r="N62" s="11"/>
      <c r="O62" s="11">
        <f>Tabla3510182636414[[#This Row],[COMISIONES]]*0.21</f>
        <v>0</v>
      </c>
      <c r="P62" s="11"/>
      <c r="Q62" s="11"/>
      <c r="R62" s="11"/>
      <c r="Z62">
        <v>430.32</v>
      </c>
      <c r="AA62" s="21">
        <f>Tabla356813212939717[[#This Row],[COMISIONES]]*0.21</f>
        <v>90.367199999999997</v>
      </c>
      <c r="AB62" s="21"/>
      <c r="AC62" s="21"/>
      <c r="AD62" s="21"/>
    </row>
    <row r="63" spans="2:30" ht="18.75" x14ac:dyDescent="0.3">
      <c r="H63" s="11"/>
      <c r="I63" s="11">
        <f>Tabla3915233141919[[#This Row],[COMISIONES]]*0.21</f>
        <v>0</v>
      </c>
      <c r="J63" s="11"/>
      <c r="K63" s="11"/>
      <c r="L63" s="11"/>
      <c r="N63" s="11"/>
      <c r="O63" s="11">
        <f>Tabla3510182636414[[#This Row],[COMISIONES]]*0.21</f>
        <v>0</v>
      </c>
      <c r="P63" s="11"/>
      <c r="Q63" s="11"/>
      <c r="R63" s="11"/>
      <c r="T63" s="41" t="s">
        <v>31</v>
      </c>
      <c r="U63" s="41"/>
      <c r="V63" s="41"/>
      <c r="W63" s="41"/>
      <c r="X63" s="41"/>
      <c r="Z63">
        <v>159.19999999999999</v>
      </c>
      <c r="AA63" s="21">
        <f>Tabla356813212939717[[#This Row],[COMISIONES]]*0.21</f>
        <v>33.431999999999995</v>
      </c>
      <c r="AB63" s="1">
        <v>13941.91</v>
      </c>
      <c r="AC63" s="21"/>
      <c r="AD63">
        <v>317.97000000000003</v>
      </c>
    </row>
    <row r="64" spans="2:30" x14ac:dyDescent="0.25">
      <c r="H64" s="11"/>
      <c r="I64" s="11">
        <f>Tabla3915233141919[[#This Row],[COMISIONES]]*0.21</f>
        <v>0</v>
      </c>
      <c r="J64" s="11"/>
      <c r="K64" s="11"/>
      <c r="L64" s="11"/>
      <c r="N64" s="11"/>
      <c r="O64" s="11">
        <f>Tabla3510182636414[[#This Row],[COMISIONES]]*0.21</f>
        <v>0</v>
      </c>
      <c r="P64" s="11"/>
      <c r="Q64" s="11"/>
      <c r="R64" s="11"/>
      <c r="T64" s="12" t="s">
        <v>2</v>
      </c>
      <c r="U64" s="13" t="s">
        <v>0</v>
      </c>
      <c r="V64" s="13" t="s">
        <v>1</v>
      </c>
      <c r="W64" s="13" t="s">
        <v>3</v>
      </c>
      <c r="X64" s="13" t="s">
        <v>4</v>
      </c>
      <c r="Z64">
        <v>224</v>
      </c>
      <c r="AA64" s="21">
        <f>Tabla356813212939717[[#This Row],[COMISIONES]]*0.21</f>
        <v>47.04</v>
      </c>
      <c r="AB64" s="21"/>
      <c r="AC64" s="21"/>
      <c r="AD64">
        <v>207.8</v>
      </c>
    </row>
    <row r="65" spans="8:30" x14ac:dyDescent="0.25">
      <c r="H65" s="11"/>
      <c r="I65" s="11">
        <f>Tabla3915233141919[[#This Row],[COMISIONES]]*0.21</f>
        <v>0</v>
      </c>
      <c r="J65" s="11"/>
      <c r="K65" s="11"/>
      <c r="L65" s="11"/>
      <c r="N65" s="11"/>
      <c r="O65" s="11">
        <f>Tabla3510182636414[[#This Row],[COMISIONES]]*0.21</f>
        <v>0</v>
      </c>
      <c r="P65" s="11"/>
      <c r="Q65" s="11"/>
      <c r="R65" s="11"/>
      <c r="T65" s="11">
        <v>2400</v>
      </c>
      <c r="U65" s="11">
        <f>Tabla612202833421020[[#This Row],[COMISIONES]]*0.21</f>
        <v>504</v>
      </c>
      <c r="V65" s="11">
        <v>209</v>
      </c>
      <c r="W65" s="1">
        <v>5282.75</v>
      </c>
      <c r="X65" s="11">
        <v>72</v>
      </c>
      <c r="Z65">
        <v>208.42</v>
      </c>
      <c r="AA65" s="21">
        <f>Tabla356813212939717[[#This Row],[COMISIONES]]*0.21</f>
        <v>43.768199999999993</v>
      </c>
      <c r="AB65" s="21"/>
      <c r="AC65" s="21"/>
      <c r="AD65" s="21"/>
    </row>
    <row r="66" spans="8:30" x14ac:dyDescent="0.25">
      <c r="H66" s="11"/>
      <c r="I66" s="11">
        <f>Tabla3915233141919[[#This Row],[COMISIONES]]*0.21</f>
        <v>0</v>
      </c>
      <c r="J66" s="11"/>
      <c r="K66" s="11"/>
      <c r="L66" s="11"/>
      <c r="N66" s="18"/>
      <c r="O66" s="11">
        <f>Tabla3510182636414[[#This Row],[COMISIONES]]*0.21</f>
        <v>0</v>
      </c>
      <c r="P66" s="18"/>
      <c r="Q66" s="18"/>
      <c r="R66" s="18"/>
      <c r="T66" s="11"/>
      <c r="U66" s="11">
        <f>Tabla612202833421020[[#This Row],[COMISIONES]]*0.21</f>
        <v>0</v>
      </c>
      <c r="V66" s="11"/>
      <c r="W66" s="11"/>
      <c r="X66" s="11"/>
      <c r="Z66">
        <v>209.44</v>
      </c>
      <c r="AA66" s="21">
        <f>Tabla356813212939717[[#This Row],[COMISIONES]]*0.21</f>
        <v>43.982399999999998</v>
      </c>
      <c r="AB66" s="21"/>
      <c r="AC66" s="21"/>
      <c r="AD66" s="21"/>
    </row>
    <row r="67" spans="8:30" x14ac:dyDescent="0.25">
      <c r="H67" s="11"/>
      <c r="I67" s="11">
        <f>Tabla3915233141919[[#This Row],[COMISIONES]]*0.21</f>
        <v>0</v>
      </c>
      <c r="J67" s="11"/>
      <c r="K67" s="11"/>
      <c r="L67" s="11"/>
      <c r="N67" s="18"/>
      <c r="O67" s="11">
        <f>Tabla3510182636414[[#This Row],[COMISIONES]]*0.21</f>
        <v>0</v>
      </c>
      <c r="P67" s="18"/>
      <c r="Q67" s="18"/>
      <c r="R67" s="18"/>
      <c r="T67" s="11"/>
      <c r="U67" s="19">
        <f>Tabla612202833421020[[#This Row],[COMISIONES]]*0.21</f>
        <v>0</v>
      </c>
      <c r="W67" s="1"/>
      <c r="Z67">
        <v>912.56</v>
      </c>
      <c r="AA67" s="21">
        <f>Tabla356813212939717[[#This Row],[COMISIONES]]*0.21</f>
        <v>191.63759999999999</v>
      </c>
      <c r="AB67" s="21"/>
      <c r="AC67" s="21"/>
      <c r="AD67" s="21"/>
    </row>
    <row r="68" spans="8:30" x14ac:dyDescent="0.25">
      <c r="H68" s="11"/>
      <c r="I68" s="11">
        <f>Tabla3915233141919[[#This Row],[COMISIONES]]*0.21</f>
        <v>0</v>
      </c>
      <c r="J68" s="11"/>
      <c r="K68" s="11"/>
      <c r="L68" s="11"/>
      <c r="N68" s="18"/>
      <c r="O68" s="11">
        <f>Tabla3510182636414[[#This Row],[COMISIONES]]*0.21</f>
        <v>0</v>
      </c>
      <c r="P68" s="18"/>
      <c r="Q68" s="18"/>
      <c r="R68" s="18"/>
      <c r="T68" s="11"/>
      <c r="U68" s="19">
        <f>Tabla612202833421020[[#This Row],[COMISIONES]]*0.21</f>
        <v>0</v>
      </c>
      <c r="Z68">
        <v>277.7</v>
      </c>
      <c r="AA68" s="21">
        <f>Tabla356813212939717[[#This Row],[COMISIONES]]*0.21</f>
        <v>58.316999999999993</v>
      </c>
      <c r="AB68" s="21"/>
      <c r="AC68" s="21"/>
      <c r="AD68" s="21"/>
    </row>
    <row r="69" spans="8:30" x14ac:dyDescent="0.25">
      <c r="H69" s="11"/>
      <c r="I69" s="11">
        <f>Tabla3915233141919[[#This Row],[COMISIONES]]*0.21</f>
        <v>0</v>
      </c>
      <c r="J69" s="11"/>
      <c r="K69" s="11"/>
      <c r="L69" s="11"/>
      <c r="N69" s="18"/>
      <c r="O69" s="11">
        <f>Tabla3510182636414[[#This Row],[COMISIONES]]*0.21</f>
        <v>0</v>
      </c>
      <c r="P69" s="18"/>
      <c r="Q69" s="18"/>
      <c r="R69" s="18"/>
      <c r="T69" s="11"/>
      <c r="U69" s="19">
        <f>Tabla612202833421020[[#This Row],[COMISIONES]]*0.21</f>
        <v>0</v>
      </c>
      <c r="Z69">
        <v>499.12</v>
      </c>
      <c r="AA69" s="21">
        <f>Tabla356813212939717[[#This Row],[COMISIONES]]*0.21</f>
        <v>104.81519999999999</v>
      </c>
      <c r="AB69" s="21"/>
      <c r="AC69" s="21"/>
      <c r="AD69" s="21"/>
    </row>
    <row r="70" spans="8:30" x14ac:dyDescent="0.25">
      <c r="H70" s="11"/>
      <c r="I70" s="11">
        <f>Tabla3915233141919[[#This Row],[COMISIONES]]*0.21</f>
        <v>0</v>
      </c>
      <c r="J70" s="11"/>
      <c r="K70" s="11"/>
      <c r="L70" s="11"/>
      <c r="N70" s="18"/>
      <c r="O70" s="11">
        <f>Tabla3510182636414[[#This Row],[COMISIONES]]*0.21</f>
        <v>0</v>
      </c>
      <c r="P70" s="18"/>
      <c r="Q70" s="18"/>
      <c r="R70" s="18"/>
      <c r="T70" s="11"/>
      <c r="U70" s="19">
        <f>Tabla612202833421020[[#This Row],[COMISIONES]]*0.21</f>
        <v>0</v>
      </c>
      <c r="Z70">
        <v>380.16</v>
      </c>
      <c r="AA70" s="21">
        <f>Tabla356813212939717[[#This Row],[COMISIONES]]*0.21</f>
        <v>79.833600000000004</v>
      </c>
      <c r="AB70" s="21"/>
      <c r="AC70" s="21"/>
      <c r="AD70" s="21"/>
    </row>
    <row r="71" spans="8:30" x14ac:dyDescent="0.25">
      <c r="H71" s="11"/>
      <c r="I71" s="11">
        <f>Tabla3915233141919[[#This Row],[COMISIONES]]*0.21</f>
        <v>0</v>
      </c>
      <c r="J71" s="11"/>
      <c r="K71" s="11"/>
      <c r="L71" s="11"/>
      <c r="N71" s="18"/>
      <c r="O71" s="11">
        <f>Tabla3510182636414[[#This Row],[COMISIONES]]*0.21</f>
        <v>0</v>
      </c>
      <c r="P71" s="18"/>
      <c r="Q71" s="18"/>
      <c r="R71" s="18"/>
      <c r="T71" s="11"/>
      <c r="U71" s="19">
        <f>Tabla612202833421020[[#This Row],[COMISIONES]]*0.21</f>
        <v>0</v>
      </c>
      <c r="Z71" s="1">
        <v>3200.18</v>
      </c>
      <c r="AA71" s="21">
        <f>Tabla356813212939717[[#This Row],[COMISIONES]]*0.21</f>
        <v>672.03779999999995</v>
      </c>
      <c r="AB71" s="21"/>
      <c r="AC71" s="21"/>
      <c r="AD71" s="21"/>
    </row>
    <row r="72" spans="8:30" x14ac:dyDescent="0.25">
      <c r="H72" s="11"/>
      <c r="I72" s="11">
        <f>Tabla3915233141919[[#This Row],[COMISIONES]]*0.21</f>
        <v>0</v>
      </c>
      <c r="J72" s="11"/>
      <c r="K72" s="11"/>
      <c r="L72" s="11"/>
      <c r="N72" s="18"/>
      <c r="O72" s="11">
        <f>Tabla3510182636414[[#This Row],[COMISIONES]]*0.21</f>
        <v>0</v>
      </c>
      <c r="P72" s="18"/>
      <c r="Q72" s="18"/>
      <c r="R72" s="18"/>
      <c r="T72" s="11"/>
      <c r="U72" s="19">
        <f>Tabla612202833421020[[#This Row],[COMISIONES]]*0.21</f>
        <v>0</v>
      </c>
      <c r="Z72" s="1">
        <v>2963.91</v>
      </c>
      <c r="AA72" s="21">
        <f>Tabla356813212939717[[#This Row],[COMISIONES]]*0.21</f>
        <v>622.42109999999991</v>
      </c>
      <c r="AB72" s="1">
        <v>1856.73</v>
      </c>
      <c r="AC72" s="1">
        <v>13015.84</v>
      </c>
      <c r="AD72">
        <v>63.41</v>
      </c>
    </row>
    <row r="73" spans="8:30" x14ac:dyDescent="0.25">
      <c r="H73" s="11"/>
      <c r="I73" s="11">
        <f>Tabla3915233141919[[#This Row],[COMISIONES]]*0.21</f>
        <v>0</v>
      </c>
      <c r="J73" s="11"/>
      <c r="K73" s="11"/>
      <c r="L73" s="11"/>
      <c r="N73" s="18"/>
      <c r="O73" s="11">
        <f>Tabla3510182636414[[#This Row],[COMISIONES]]*0.21</f>
        <v>0</v>
      </c>
      <c r="P73" s="18"/>
      <c r="Q73" s="18"/>
      <c r="R73" s="18"/>
      <c r="T73" s="11"/>
      <c r="U73" s="19">
        <f>Tabla612202833421020[[#This Row],[COMISIONES]]*0.21</f>
        <v>0</v>
      </c>
      <c r="Z73" s="1">
        <v>4481.8900000000003</v>
      </c>
      <c r="AA73" s="21">
        <f>Tabla356813212939717[[#This Row],[COMISIONES]]*0.21</f>
        <v>941.19690000000003</v>
      </c>
      <c r="AB73">
        <v>824.9</v>
      </c>
      <c r="AC73">
        <v>198.86</v>
      </c>
      <c r="AD73">
        <v>159.06</v>
      </c>
    </row>
    <row r="74" spans="8:30" x14ac:dyDescent="0.25">
      <c r="H74" s="11"/>
      <c r="I74" s="11">
        <f>Tabla3915233141919[[#This Row],[COMISIONES]]*0.21</f>
        <v>0</v>
      </c>
      <c r="J74" s="11"/>
      <c r="K74" s="11"/>
      <c r="L74" s="11"/>
      <c r="N74" s="18"/>
      <c r="O74" s="11">
        <f>Tabla3510182636414[[#This Row],[COMISIONES]]*0.21</f>
        <v>0</v>
      </c>
      <c r="P74" s="18"/>
      <c r="Q74" s="18"/>
      <c r="R74" s="18"/>
      <c r="T74" s="11"/>
      <c r="U74" s="19">
        <f>Tabla612202833421020[[#This Row],[COMISIONES]]*0.21</f>
        <v>0</v>
      </c>
      <c r="Z74" s="1">
        <v>1674.9</v>
      </c>
      <c r="AA74" s="21">
        <f>Tabla356813212939717[[#This Row],[COMISIONES]]*0.21</f>
        <v>351.72899999999998</v>
      </c>
      <c r="AB74" s="1">
        <v>2614.54</v>
      </c>
      <c r="AC74" s="21"/>
      <c r="AD74">
        <v>18.28</v>
      </c>
    </row>
    <row r="75" spans="8:30" x14ac:dyDescent="0.25">
      <c r="H75" s="11"/>
      <c r="I75" s="11">
        <f>Tabla3915233141919[[#This Row],[COMISIONES]]*0.21</f>
        <v>0</v>
      </c>
      <c r="J75" s="11"/>
      <c r="K75" s="11"/>
      <c r="L75" s="11"/>
      <c r="N75" s="18"/>
      <c r="O75" s="11">
        <f>Tabla3510182636414[[#This Row],[COMISIONES]]*0.21</f>
        <v>0</v>
      </c>
      <c r="P75" s="18"/>
      <c r="Q75" s="18"/>
      <c r="R75" s="18"/>
      <c r="U75" s="19">
        <f>Tabla612202833421020[[#This Row],[COMISIONES]]*0.21</f>
        <v>0</v>
      </c>
      <c r="Z75" s="1">
        <v>2927.57</v>
      </c>
      <c r="AA75" s="21">
        <f>Tabla356813212939717[[#This Row],[COMISIONES]]*0.21</f>
        <v>614.78970000000004</v>
      </c>
      <c r="AB75" s="1">
        <v>3894.89</v>
      </c>
      <c r="AC75" s="21"/>
      <c r="AD75">
        <v>60.32</v>
      </c>
    </row>
    <row r="76" spans="8:30" x14ac:dyDescent="0.25">
      <c r="H76" s="11"/>
      <c r="I76" s="11">
        <f>Tabla3915233141919[[#This Row],[COMISIONES]]*0.21</f>
        <v>0</v>
      </c>
      <c r="J76" s="11"/>
      <c r="K76" s="11"/>
      <c r="L76" s="11"/>
      <c r="N76" s="18"/>
      <c r="O76" s="11">
        <f>Tabla3510182636414[[#This Row],[COMISIONES]]*0.21</f>
        <v>0</v>
      </c>
      <c r="P76" s="18"/>
      <c r="Q76" s="18"/>
      <c r="R76" s="18"/>
      <c r="U76" s="19">
        <f>Tabla612202833421020[[#This Row],[COMISIONES]]*0.21</f>
        <v>0</v>
      </c>
      <c r="Z76" s="1">
        <v>10599.34</v>
      </c>
      <c r="AA76" s="21">
        <f>Tabla356813212939717[[#This Row],[COMISIONES]]*0.21</f>
        <v>2225.8613999999998</v>
      </c>
      <c r="AB76" s="1">
        <v>3022.43</v>
      </c>
      <c r="AC76" s="21"/>
      <c r="AD76">
        <v>255.32</v>
      </c>
    </row>
    <row r="77" spans="8:30" x14ac:dyDescent="0.25">
      <c r="H77" s="11"/>
      <c r="I77" s="11">
        <f>Tabla3915233141919[[#This Row],[COMISIONES]]*0.21</f>
        <v>0</v>
      </c>
      <c r="J77" s="11"/>
      <c r="K77" s="11"/>
      <c r="L77" s="11"/>
      <c r="N77" s="18"/>
      <c r="O77" s="11">
        <f>Tabla3510182636414[[#This Row],[COMISIONES]]*0.21</f>
        <v>0</v>
      </c>
      <c r="P77" s="18"/>
      <c r="Q77" s="18"/>
      <c r="R77" s="18"/>
      <c r="U77" s="19">
        <f>Tabla612202833421020[[#This Row],[COMISIONES]]*0.21</f>
        <v>0</v>
      </c>
      <c r="Z77" s="1">
        <v>6926.41</v>
      </c>
      <c r="AA77" s="21">
        <f>Tabla356813212939717[[#This Row],[COMISIONES]]*0.21</f>
        <v>1454.5461</v>
      </c>
      <c r="AB77" s="21"/>
      <c r="AC77" s="21"/>
      <c r="AD77">
        <v>139.22</v>
      </c>
    </row>
    <row r="78" spans="8:30" x14ac:dyDescent="0.25">
      <c r="H78" s="11"/>
      <c r="I78" s="11">
        <f>Tabla3915233141919[[#This Row],[COMISIONES]]*0.21</f>
        <v>0</v>
      </c>
      <c r="J78" s="11"/>
      <c r="K78" s="11"/>
      <c r="L78" s="11"/>
      <c r="N78" s="18"/>
      <c r="O78" s="11">
        <f>Tabla3510182636414[[#This Row],[COMISIONES]]*0.21</f>
        <v>0</v>
      </c>
      <c r="P78" s="18"/>
      <c r="Q78" s="18"/>
      <c r="R78" s="18"/>
      <c r="U78" s="19">
        <f>Tabla612202833421020[[#This Row],[COMISIONES]]*0.21</f>
        <v>0</v>
      </c>
      <c r="Z78" s="1">
        <v>2113.7399999999998</v>
      </c>
      <c r="AA78" s="21">
        <f>Tabla356813212939717[[#This Row],[COMISIONES]]*0.21</f>
        <v>443.88539999999995</v>
      </c>
      <c r="AB78" s="21"/>
      <c r="AC78" s="21"/>
      <c r="AD78">
        <v>66.97</v>
      </c>
    </row>
    <row r="79" spans="8:30" x14ac:dyDescent="0.25">
      <c r="H79" s="11"/>
      <c r="I79" s="11">
        <f>Tabla3915233141919[[#This Row],[COMISIONES]]*0.21</f>
        <v>0</v>
      </c>
      <c r="J79" s="11"/>
      <c r="K79" s="11"/>
      <c r="L79" s="11"/>
      <c r="N79" s="18"/>
      <c r="O79" s="11">
        <f>Tabla3510182636414[[#This Row],[COMISIONES]]*0.21</f>
        <v>0</v>
      </c>
      <c r="P79" s="18"/>
      <c r="Q79" s="18"/>
      <c r="R79" s="18"/>
      <c r="U79" s="19">
        <f>Tabla612202833421020[[#This Row],[COMISIONES]]*0.21</f>
        <v>0</v>
      </c>
      <c r="Z79" s="1">
        <v>5301.77</v>
      </c>
      <c r="AA79" s="21">
        <f>Tabla356813212939717[[#This Row],[COMISIONES]]*0.21</f>
        <v>1113.3717000000001</v>
      </c>
      <c r="AB79" s="21"/>
      <c r="AC79" s="21"/>
      <c r="AD79">
        <v>95.97</v>
      </c>
    </row>
    <row r="80" spans="8:30" x14ac:dyDescent="0.25">
      <c r="H80" s="18"/>
      <c r="I80" s="18">
        <f>Tabla3915233141919[[#This Row],[COMISIONES]]*0.21</f>
        <v>0</v>
      </c>
      <c r="J80" s="18"/>
      <c r="K80" s="18"/>
      <c r="L80" s="18"/>
      <c r="N80" s="18"/>
      <c r="O80" s="11">
        <f>Tabla3510182636414[[#This Row],[COMISIONES]]*0.21</f>
        <v>0</v>
      </c>
      <c r="P80" s="18"/>
      <c r="Q80" s="18"/>
      <c r="R80" s="18"/>
      <c r="U80" s="19">
        <f>Tabla612202833421020[[#This Row],[COMISIONES]]*0.21</f>
        <v>0</v>
      </c>
      <c r="Z80">
        <v>609.29999999999995</v>
      </c>
      <c r="AA80" s="21">
        <f>Tabla356813212939717[[#This Row],[COMISIONES]]*0.21</f>
        <v>127.95299999999999</v>
      </c>
      <c r="AB80" s="21"/>
      <c r="AC80" s="21"/>
      <c r="AD80">
        <v>15.54</v>
      </c>
    </row>
    <row r="81" spans="8:30" x14ac:dyDescent="0.25">
      <c r="H81" s="18"/>
      <c r="I81" s="18">
        <f>Tabla3915233141919[[#This Row],[COMISIONES]]*0.21</f>
        <v>0</v>
      </c>
      <c r="J81" s="18"/>
      <c r="K81" s="18"/>
      <c r="L81" s="18"/>
      <c r="N81" s="18"/>
      <c r="O81" s="11">
        <f>Tabla3510182636414[[#This Row],[COMISIONES]]*0.21</f>
        <v>0</v>
      </c>
      <c r="P81" s="18"/>
      <c r="Q81" s="18"/>
      <c r="R81" s="18"/>
      <c r="U81" s="19">
        <f>Tabla612202833421020[[#This Row],[COMISIONES]]*0.21</f>
        <v>0</v>
      </c>
      <c r="Z81">
        <v>81</v>
      </c>
      <c r="AA81" s="21">
        <f>Tabla356813212939717[[#This Row],[COMISIONES]]*0.21</f>
        <v>17.009999999999998</v>
      </c>
      <c r="AB81" s="1">
        <v>3208.57</v>
      </c>
      <c r="AC81" s="1">
        <v>5590.92</v>
      </c>
      <c r="AD81">
        <v>68.319999999999993</v>
      </c>
    </row>
    <row r="82" spans="8:30" x14ac:dyDescent="0.25">
      <c r="H82" s="18"/>
      <c r="I82" s="18">
        <f>Tabla3915233141919[[#This Row],[COMISIONES]]*0.21</f>
        <v>0</v>
      </c>
      <c r="J82" s="18"/>
      <c r="K82" s="18"/>
      <c r="L82" s="18"/>
      <c r="N82" s="18"/>
      <c r="O82" s="11">
        <f>Tabla3510182636414[[#This Row],[COMISIONES]]*0.21</f>
        <v>0</v>
      </c>
      <c r="P82" s="18"/>
      <c r="Q82" s="18"/>
      <c r="R82" s="18"/>
      <c r="U82" s="19">
        <f>Tabla612202833421020[[#This Row],[COMISIONES]]*0.21</f>
        <v>0</v>
      </c>
      <c r="Z82" s="1">
        <v>3780.36</v>
      </c>
      <c r="AA82" s="21">
        <f>Tabla356813212939717[[#This Row],[COMISIONES]]*0.21</f>
        <v>793.87559999999996</v>
      </c>
      <c r="AB82" s="21"/>
      <c r="AC82" s="21"/>
      <c r="AD82">
        <v>71.099999999999994</v>
      </c>
    </row>
    <row r="83" spans="8:30" x14ac:dyDescent="0.25">
      <c r="H83" s="18"/>
      <c r="I83" s="18">
        <f>Tabla3915233141919[[#This Row],[COMISIONES]]*0.21</f>
        <v>0</v>
      </c>
      <c r="J83" s="18"/>
      <c r="K83" s="18"/>
      <c r="L83" s="18"/>
      <c r="N83" s="18"/>
      <c r="O83" s="11">
        <f>Tabla3510182636414[[#This Row],[COMISIONES]]*0.21</f>
        <v>0</v>
      </c>
      <c r="P83" s="18"/>
      <c r="Q83" s="18"/>
      <c r="R83" s="18"/>
      <c r="U83" s="19">
        <f>Tabla612202833421020[[#This Row],[COMISIONES]]*0.21</f>
        <v>0</v>
      </c>
      <c r="Z83" s="1">
        <v>3721.23</v>
      </c>
      <c r="AA83" s="21">
        <f>Tabla356813212939717[[#This Row],[COMISIONES]]*0.21</f>
        <v>781.45830000000001</v>
      </c>
      <c r="AB83" s="21"/>
      <c r="AC83" s="1">
        <v>12207.38</v>
      </c>
      <c r="AD83">
        <v>149.18</v>
      </c>
    </row>
    <row r="84" spans="8:30" x14ac:dyDescent="0.25">
      <c r="H84" s="18"/>
      <c r="I84" s="18">
        <f>Tabla3915233141919[[#This Row],[COMISIONES]]*0.21</f>
        <v>0</v>
      </c>
      <c r="J84" s="18"/>
      <c r="K84" s="18"/>
      <c r="L84" s="18"/>
      <c r="N84" s="18"/>
      <c r="O84" s="11">
        <f>Tabla3510182636414[[#This Row],[COMISIONES]]*0.21</f>
        <v>0</v>
      </c>
      <c r="P84" s="18"/>
      <c r="Q84" s="18"/>
      <c r="R84" s="18"/>
      <c r="U84" s="19">
        <f>Tabla612202833421020[[#This Row],[COMISIONES]]*0.21</f>
        <v>0</v>
      </c>
      <c r="Z84" s="1">
        <v>2010.29</v>
      </c>
      <c r="AA84" s="21">
        <f>Tabla356813212939717[[#This Row],[COMISIONES]]*0.21</f>
        <v>422.16089999999997</v>
      </c>
      <c r="AB84" s="21"/>
      <c r="AC84" s="1">
        <v>6885.75</v>
      </c>
      <c r="AD84">
        <v>110.18</v>
      </c>
    </row>
    <row r="85" spans="8:30" x14ac:dyDescent="0.25">
      <c r="H85" s="18"/>
      <c r="I85" s="18">
        <f>Tabla3915233141919[[#This Row],[COMISIONES]]*0.21</f>
        <v>0</v>
      </c>
      <c r="J85" s="18"/>
      <c r="K85" s="18"/>
      <c r="L85" s="18"/>
      <c r="N85" s="18"/>
      <c r="O85" s="11">
        <f>Tabla3510182636414[[#This Row],[COMISIONES]]*0.21</f>
        <v>0</v>
      </c>
      <c r="P85" s="18"/>
      <c r="Q85" s="18"/>
      <c r="R85" s="18"/>
      <c r="U85" s="19">
        <f>Tabla612202833421020[[#This Row],[COMISIONES]]*0.21</f>
        <v>0</v>
      </c>
      <c r="Z85" s="1">
        <v>3091.13</v>
      </c>
      <c r="AA85" s="21">
        <f>Tabla356813212939717[[#This Row],[COMISIONES]]*0.21</f>
        <v>649.13729999999998</v>
      </c>
      <c r="AB85" s="21"/>
      <c r="AC85" s="1">
        <v>9554.2099999999991</v>
      </c>
      <c r="AD85">
        <v>116.76</v>
      </c>
    </row>
    <row r="86" spans="8:30" x14ac:dyDescent="0.25">
      <c r="H86" s="18"/>
      <c r="I86" s="18">
        <f>Tabla3915233141919[[#This Row],[COMISIONES]]*0.21</f>
        <v>0</v>
      </c>
      <c r="J86" s="18"/>
      <c r="K86" s="18"/>
      <c r="L86" s="18"/>
      <c r="N86" s="18"/>
      <c r="O86" s="11">
        <f>Tabla3510182636414[[#This Row],[COMISIONES]]*0.21</f>
        <v>0</v>
      </c>
      <c r="P86" s="18"/>
      <c r="Q86" s="18"/>
      <c r="R86" s="18"/>
      <c r="U86" s="19">
        <f>Tabla612202833421020[[#This Row],[COMISIONES]]*0.21</f>
        <v>0</v>
      </c>
      <c r="Z86" s="1">
        <v>6153.13</v>
      </c>
      <c r="AA86" s="21">
        <f>Tabla356813212939717[[#This Row],[COMISIONES]]*0.21</f>
        <v>1292.1573000000001</v>
      </c>
      <c r="AB86" s="1">
        <v>3909.12</v>
      </c>
      <c r="AC86" s="1">
        <v>5413.23</v>
      </c>
      <c r="AD86" s="21">
        <v>86.62</v>
      </c>
    </row>
    <row r="87" spans="8:30" x14ac:dyDescent="0.25">
      <c r="H87" s="18"/>
      <c r="I87" s="18">
        <f>Tabla3915233141919[[#This Row],[COMISIONES]]*0.21</f>
        <v>0</v>
      </c>
      <c r="J87" s="18"/>
      <c r="K87" s="18"/>
      <c r="L87" s="18"/>
      <c r="N87" s="18"/>
      <c r="O87" s="11">
        <f>Tabla3510182636414[[#This Row],[COMISIONES]]*0.21</f>
        <v>0</v>
      </c>
      <c r="P87" s="18"/>
      <c r="Q87" s="18"/>
      <c r="R87" s="18"/>
      <c r="U87" s="19">
        <f>Tabla612202833421020[[#This Row],[COMISIONES]]*0.21</f>
        <v>0</v>
      </c>
      <c r="Z87" s="1">
        <v>8511.0499999999993</v>
      </c>
      <c r="AA87" s="21">
        <f>Tabla356813212939717[[#This Row],[COMISIONES]]*0.21</f>
        <v>1787.3204999999998</v>
      </c>
      <c r="AB87" s="21"/>
      <c r="AC87" s="21"/>
      <c r="AD87">
        <v>65.650000000000006</v>
      </c>
    </row>
    <row r="88" spans="8:30" x14ac:dyDescent="0.25">
      <c r="H88" s="18"/>
      <c r="I88" s="18">
        <f>Tabla3915233141919[[#This Row],[COMISIONES]]*0.21</f>
        <v>0</v>
      </c>
      <c r="J88" s="18"/>
      <c r="K88" s="18"/>
      <c r="L88" s="18"/>
      <c r="N88" s="18"/>
      <c r="O88" s="11">
        <f>Tabla3510182636414[[#This Row],[COMISIONES]]*0.21</f>
        <v>0</v>
      </c>
      <c r="P88" s="18"/>
      <c r="Q88" s="18"/>
      <c r="R88" s="18"/>
      <c r="U88" s="19">
        <f>Tabla612202833421020[[#This Row],[COMISIONES]]*0.21</f>
        <v>0</v>
      </c>
      <c r="Z88" s="1">
        <v>4640.37</v>
      </c>
      <c r="AA88" s="21">
        <f>Tabla356813212939717[[#This Row],[COMISIONES]]*0.21</f>
        <v>974.47769999999991</v>
      </c>
      <c r="AB88">
        <v>683.63</v>
      </c>
      <c r="AC88">
        <v>946.66</v>
      </c>
      <c r="AD88">
        <v>15.15</v>
      </c>
    </row>
    <row r="89" spans="8:30" x14ac:dyDescent="0.25">
      <c r="H89" s="18"/>
      <c r="I89" s="18">
        <f>Tabla3915233141919[[#This Row],[COMISIONES]]*0.21</f>
        <v>0</v>
      </c>
      <c r="J89" s="18"/>
      <c r="K89" s="18"/>
      <c r="L89" s="18"/>
      <c r="N89" s="18"/>
      <c r="O89" s="11">
        <f>Tabla3510182636414[[#This Row],[COMISIONES]]*0.21</f>
        <v>0</v>
      </c>
      <c r="P89" s="18"/>
      <c r="Q89" s="18"/>
      <c r="R89" s="18"/>
      <c r="U89" s="19">
        <f>Tabla612202833421020[[#This Row],[COMISIONES]]*0.21</f>
        <v>0</v>
      </c>
      <c r="Z89" s="1">
        <v>2232.46</v>
      </c>
      <c r="AA89" s="21">
        <f>Tabla356813212939717[[#This Row],[COMISIONES]]*0.21</f>
        <v>468.81659999999999</v>
      </c>
      <c r="AB89" s="21"/>
      <c r="AC89" s="21"/>
      <c r="AD89">
        <v>67.69</v>
      </c>
    </row>
    <row r="90" spans="8:30" x14ac:dyDescent="0.25">
      <c r="H90" s="18"/>
      <c r="I90" s="18">
        <f>Tabla3915233141919[[#This Row],[COMISIONES]]*0.21</f>
        <v>0</v>
      </c>
      <c r="J90" s="18"/>
      <c r="K90" s="18"/>
      <c r="L90" s="18"/>
      <c r="N90" s="18"/>
      <c r="O90" s="11">
        <f>Tabla3510182636414[[#This Row],[COMISIONES]]*0.21</f>
        <v>0</v>
      </c>
      <c r="P90" s="18"/>
      <c r="Q90" s="18"/>
      <c r="R90" s="18"/>
      <c r="U90" s="19">
        <f>Tabla612202833421020[[#This Row],[COMISIONES]]*0.21</f>
        <v>0</v>
      </c>
      <c r="Z90" s="1">
        <v>3198.92</v>
      </c>
      <c r="AA90" s="21">
        <f>Tabla356813212939717[[#This Row],[COMISIONES]]*0.21</f>
        <v>671.77319999999997</v>
      </c>
      <c r="AB90" s="21"/>
      <c r="AC90" s="1">
        <v>5031.38</v>
      </c>
      <c r="AD90">
        <v>76.430000000000007</v>
      </c>
    </row>
    <row r="91" spans="8:30" x14ac:dyDescent="0.25">
      <c r="H91" s="18"/>
      <c r="I91" s="18">
        <f>Tabla3915233141919[[#This Row],[COMISIONES]]*0.21</f>
        <v>0</v>
      </c>
      <c r="J91" s="18"/>
      <c r="K91" s="18"/>
      <c r="L91" s="18"/>
      <c r="N91" s="18"/>
      <c r="O91" s="11">
        <f>Tabla3510182636414[[#This Row],[COMISIONES]]*0.21</f>
        <v>0</v>
      </c>
      <c r="P91" s="18"/>
      <c r="Q91" s="18"/>
      <c r="R91" s="18"/>
      <c r="U91" s="19">
        <f>Tabla612202833421020[[#This Row],[COMISIONES]]*0.21</f>
        <v>0</v>
      </c>
      <c r="Z91">
        <v>518.02</v>
      </c>
      <c r="AA91" s="21">
        <f>Tabla356813212939717[[#This Row],[COMISIONES]]*0.21</f>
        <v>108.7842</v>
      </c>
      <c r="AB91" s="21"/>
      <c r="AC91" s="21"/>
      <c r="AD91" s="21"/>
    </row>
    <row r="92" spans="8:30" x14ac:dyDescent="0.25">
      <c r="H92" s="21"/>
      <c r="I92" s="21">
        <f>Tabla3915233141919[[#This Row],[COMISIONES]]*0.21</f>
        <v>0</v>
      </c>
      <c r="J92" s="21"/>
      <c r="K92" s="21"/>
      <c r="L92" s="21"/>
      <c r="N92" s="18"/>
      <c r="O92" s="11">
        <f>Tabla3510182636414[[#This Row],[COMISIONES]]*0.21</f>
        <v>0</v>
      </c>
      <c r="P92" s="18"/>
      <c r="Q92" s="18"/>
      <c r="R92" s="18"/>
      <c r="U92" s="19">
        <f>Tabla612202833421020[[#This Row],[COMISIONES]]*0.21</f>
        <v>0</v>
      </c>
      <c r="Z92">
        <v>161.1</v>
      </c>
      <c r="AA92" s="21">
        <f>Tabla356813212939717[[#This Row],[COMISIONES]]*0.21</f>
        <v>33.830999999999996</v>
      </c>
      <c r="AB92" s="21"/>
      <c r="AC92" s="21"/>
      <c r="AD92" s="21"/>
    </row>
    <row r="93" spans="8:30" x14ac:dyDescent="0.25">
      <c r="H93" s="21"/>
      <c r="I93" s="21">
        <f>Tabla3915233141919[[#This Row],[COMISIONES]]*0.21</f>
        <v>0</v>
      </c>
      <c r="J93" s="21"/>
      <c r="K93" s="21"/>
      <c r="L93" s="21"/>
      <c r="N93" s="18"/>
      <c r="O93" s="11">
        <f>Tabla3510182636414[[#This Row],[COMISIONES]]*0.21</f>
        <v>0</v>
      </c>
      <c r="P93" s="18"/>
      <c r="Q93" s="18"/>
      <c r="R93" s="18"/>
      <c r="T93" s="17">
        <f>SUBTOTAL(109,Tabla612202833421020[COMISIONES])</f>
        <v>2400</v>
      </c>
      <c r="U93" s="17">
        <f>SUBTOTAL(109,Tabla612202833421020[IVA 21])</f>
        <v>504</v>
      </c>
      <c r="V93" s="17">
        <f>SUBTOTAL(109,Tabla612202833421020[IVA 10,5])</f>
        <v>209</v>
      </c>
      <c r="W93" s="17">
        <f>SUBTOTAL(109,Tabla612202833421020[Ret IIBB Caba])</f>
        <v>5282.75</v>
      </c>
      <c r="X93" s="17">
        <f>SUBTOTAL(109,Tabla612202833421020[PERC IVA])</f>
        <v>72</v>
      </c>
      <c r="Z93" s="1">
        <v>2277.36</v>
      </c>
      <c r="AA93" s="21">
        <f>Tabla356813212939717[[#This Row],[COMISIONES]]*0.21</f>
        <v>478.24560000000002</v>
      </c>
      <c r="AB93" s="21"/>
      <c r="AC93" s="21"/>
      <c r="AD93" s="21"/>
    </row>
    <row r="94" spans="8:30" x14ac:dyDescent="0.25">
      <c r="H94" s="21"/>
      <c r="I94" s="21">
        <f>Tabla3915233141919[[#This Row],[COMISIONES]]*0.21</f>
        <v>0</v>
      </c>
      <c r="J94" s="21"/>
      <c r="K94" s="21"/>
      <c r="L94" s="21"/>
      <c r="N94" s="18"/>
      <c r="O94" s="11">
        <f>Tabla3510182636414[[#This Row],[COMISIONES]]*0.21</f>
        <v>0</v>
      </c>
      <c r="P94" s="18"/>
      <c r="Q94" s="18"/>
      <c r="R94" s="18"/>
      <c r="Z94" s="1">
        <v>2369.94</v>
      </c>
      <c r="AA94" s="21">
        <f>Tabla356813212939717[[#This Row],[COMISIONES]]*0.21</f>
        <v>497.68739999999997</v>
      </c>
      <c r="AB94" s="21"/>
      <c r="AC94" s="21"/>
      <c r="AD94" s="21"/>
    </row>
    <row r="95" spans="8:30" x14ac:dyDescent="0.25">
      <c r="H95" s="21"/>
      <c r="I95" s="21">
        <f>Tabla3915233141919[[#This Row],[COMISIONES]]*0.21</f>
        <v>0</v>
      </c>
      <c r="J95" s="21"/>
      <c r="K95" s="21"/>
      <c r="L95" s="21"/>
      <c r="N95" s="18"/>
      <c r="O95" s="11">
        <f>Tabla3510182636414[[#This Row],[COMISIONES]]*0.21</f>
        <v>0</v>
      </c>
      <c r="P95" s="18"/>
      <c r="Q95" s="18"/>
      <c r="R95" s="18"/>
      <c r="Z95" s="1">
        <v>4972.46</v>
      </c>
      <c r="AA95" s="21">
        <f>Tabla356813212939717[[#This Row],[COMISIONES]]*0.21</f>
        <v>1044.2166</v>
      </c>
      <c r="AB95" s="1">
        <v>12314.3</v>
      </c>
      <c r="AC95" s="1">
        <v>26152.42</v>
      </c>
      <c r="AD95">
        <v>390.57</v>
      </c>
    </row>
    <row r="96" spans="8:30" x14ac:dyDescent="0.25">
      <c r="H96" s="21"/>
      <c r="I96" s="21">
        <f>Tabla3915233141919[[#This Row],[COMISIONES]]*0.21</f>
        <v>0</v>
      </c>
      <c r="J96" s="21"/>
      <c r="K96" s="21"/>
      <c r="L96" s="21"/>
      <c r="N96" s="18"/>
      <c r="O96" s="11">
        <f>Tabla3510182636414[[#This Row],[COMISIONES]]*0.21</f>
        <v>0</v>
      </c>
      <c r="P96" s="18"/>
      <c r="Q96" s="18"/>
      <c r="R96" s="18"/>
      <c r="Z96" s="1">
        <v>3672.83</v>
      </c>
      <c r="AA96" s="21">
        <f>Tabla356813212939717[[#This Row],[COMISIONES]]*0.21</f>
        <v>771.29429999999991</v>
      </c>
      <c r="AB96" s="1">
        <v>6693.26</v>
      </c>
      <c r="AC96" s="1">
        <v>13089.96</v>
      </c>
      <c r="AD96">
        <v>159.96</v>
      </c>
    </row>
    <row r="97" spans="8:30" x14ac:dyDescent="0.25">
      <c r="H97" s="21"/>
      <c r="I97" s="21">
        <f>Tabla3915233141919[[#This Row],[COMISIONES]]*0.21</f>
        <v>0</v>
      </c>
      <c r="J97" s="21"/>
      <c r="K97" s="21"/>
      <c r="L97" s="21"/>
      <c r="N97" s="18"/>
      <c r="O97" s="11">
        <f>Tabla3510182636414[[#This Row],[COMISIONES]]*0.21</f>
        <v>0</v>
      </c>
      <c r="P97" s="18"/>
      <c r="Q97" s="18"/>
      <c r="R97" s="18"/>
      <c r="Z97" s="1">
        <v>3891.74</v>
      </c>
      <c r="AA97" s="21">
        <f>Tabla356813212939717[[#This Row],[COMISIONES]]*0.21</f>
        <v>817.26539999999989</v>
      </c>
      <c r="AB97" s="21"/>
      <c r="AC97" s="21"/>
      <c r="AD97">
        <v>179.4</v>
      </c>
    </row>
    <row r="98" spans="8:30" x14ac:dyDescent="0.25">
      <c r="H98" s="21"/>
      <c r="I98" s="21">
        <f>Tabla3915233141919[[#This Row],[COMISIONES]]*0.21</f>
        <v>0</v>
      </c>
      <c r="J98" s="21"/>
      <c r="K98" s="21"/>
      <c r="L98" s="21"/>
      <c r="N98" s="18"/>
      <c r="O98" s="11">
        <f>Tabla3510182636414[[#This Row],[COMISIONES]]*0.21</f>
        <v>0</v>
      </c>
      <c r="P98" s="18"/>
      <c r="Q98" s="18"/>
      <c r="R98" s="18"/>
      <c r="Z98" s="1">
        <v>2887.4</v>
      </c>
      <c r="AA98" s="21">
        <f>Tabla356813212939717[[#This Row],[COMISIONES]]*0.21</f>
        <v>606.35400000000004</v>
      </c>
      <c r="AB98" s="21"/>
      <c r="AC98" s="21"/>
      <c r="AD98">
        <v>184.45</v>
      </c>
    </row>
    <row r="99" spans="8:30" x14ac:dyDescent="0.25">
      <c r="H99" s="21"/>
      <c r="I99" s="21">
        <f>Tabla3915233141919[[#This Row],[COMISIONES]]*0.21</f>
        <v>0</v>
      </c>
      <c r="J99" s="21"/>
      <c r="K99" s="21"/>
      <c r="L99" s="21"/>
      <c r="N99" s="18"/>
      <c r="O99" s="11">
        <f>Tabla3510182636414[[#This Row],[COMISIONES]]*0.21</f>
        <v>0</v>
      </c>
      <c r="P99" s="18"/>
      <c r="Q99" s="18"/>
      <c r="R99" s="18"/>
      <c r="Z99" s="1">
        <v>2188.44</v>
      </c>
      <c r="AA99" s="21">
        <f>Tabla356813212939717[[#This Row],[COMISIONES]]*0.21</f>
        <v>459.57240000000002</v>
      </c>
      <c r="AB99" s="21"/>
      <c r="AC99" s="21"/>
      <c r="AD99">
        <v>107.57</v>
      </c>
    </row>
    <row r="100" spans="8:30" x14ac:dyDescent="0.25">
      <c r="H100" s="21"/>
      <c r="I100" s="21">
        <f>Tabla3915233141919[[#This Row],[COMISIONES]]*0.21</f>
        <v>0</v>
      </c>
      <c r="J100" s="21"/>
      <c r="K100" s="21"/>
      <c r="L100" s="21"/>
      <c r="N100" s="18"/>
      <c r="O100" s="11">
        <f>Tabla3510182636414[[#This Row],[COMISIONES]]*0.21</f>
        <v>0</v>
      </c>
      <c r="P100" s="18"/>
      <c r="Q100" s="18"/>
      <c r="R100" s="18"/>
      <c r="Z100">
        <v>504.95</v>
      </c>
      <c r="AA100" s="21">
        <f>Tabla356813212939717[[#This Row],[COMISIONES]]*0.21</f>
        <v>106.03949999999999</v>
      </c>
      <c r="AB100" s="21"/>
      <c r="AC100" s="21"/>
      <c r="AD100" s="21"/>
    </row>
    <row r="101" spans="8:30" x14ac:dyDescent="0.25">
      <c r="H101" s="20">
        <f>SUBTOTAL(109,Tabla3915233141919[COMISIONES])</f>
        <v>113750</v>
      </c>
      <c r="I101" s="20">
        <f>SUBTOTAL(109,Tabla3915233141919[IVA 21])</f>
        <v>23887.5</v>
      </c>
      <c r="J101" s="20">
        <f>SUBTOTAL(109,Tabla3915233141919[IVA 10,5])</f>
        <v>0</v>
      </c>
      <c r="K101" s="20">
        <f>SUBTOTAL(109,Tabla3915233141919[Ret IIBB Caba])</f>
        <v>0</v>
      </c>
      <c r="L101" s="20">
        <f>SUBTOTAL(109,Tabla3915233141919[PERC IVA])</f>
        <v>3412.5</v>
      </c>
      <c r="N101" s="18"/>
      <c r="O101" s="11">
        <f>Tabla3510182636414[[#This Row],[COMISIONES]]*0.21</f>
        <v>0</v>
      </c>
      <c r="P101" s="18"/>
      <c r="Q101" s="18"/>
      <c r="R101" s="18"/>
      <c r="Z101" s="1">
        <v>2256.34</v>
      </c>
      <c r="AA101" s="21">
        <f>Tabla356813212939717[[#This Row],[COMISIONES]]*0.21</f>
        <v>473.83140000000003</v>
      </c>
      <c r="AB101" s="21"/>
      <c r="AC101" s="21"/>
      <c r="AD101" s="21"/>
    </row>
    <row r="102" spans="8:30" x14ac:dyDescent="0.25">
      <c r="N102" s="18"/>
      <c r="O102" s="11">
        <f>Tabla3510182636414[[#This Row],[COMISIONES]]*0.21</f>
        <v>0</v>
      </c>
      <c r="P102" s="18"/>
      <c r="Q102" s="18"/>
      <c r="R102" s="18"/>
      <c r="Z102">
        <v>159.84</v>
      </c>
      <c r="AA102" s="21">
        <f>Tabla356813212939717[[#This Row],[COMISIONES]]*0.21</f>
        <v>33.566400000000002</v>
      </c>
      <c r="AB102" s="21"/>
      <c r="AC102" s="21"/>
      <c r="AD102" s="21"/>
    </row>
    <row r="103" spans="8:30" x14ac:dyDescent="0.25">
      <c r="N103" s="18"/>
      <c r="O103" s="11">
        <f>Tabla3510182636414[[#This Row],[COMISIONES]]*0.21</f>
        <v>0</v>
      </c>
      <c r="P103" s="18"/>
      <c r="Q103" s="18"/>
      <c r="R103" s="18"/>
      <c r="Z103" s="1">
        <v>1753.34</v>
      </c>
      <c r="AA103" s="21">
        <f>Tabla356813212939717[[#This Row],[COMISIONES]]*0.21</f>
        <v>368.20139999999998</v>
      </c>
      <c r="AB103" s="21"/>
      <c r="AC103" s="1">
        <v>6738.85</v>
      </c>
      <c r="AD103" s="21"/>
    </row>
    <row r="104" spans="8:30" x14ac:dyDescent="0.25">
      <c r="N104" s="18"/>
      <c r="O104" s="11">
        <f>Tabla3510182636414[[#This Row],[COMISIONES]]*0.21</f>
        <v>0</v>
      </c>
      <c r="P104" s="18"/>
      <c r="Q104" s="18"/>
      <c r="R104" s="18"/>
      <c r="Z104" s="1">
        <v>2547.8200000000002</v>
      </c>
      <c r="AA104" s="21">
        <f>Tabla356813212939717[[#This Row],[COMISIONES]]*0.21</f>
        <v>535.04219999999998</v>
      </c>
      <c r="AB104" s="21"/>
      <c r="AC104" s="1">
        <v>4994.46</v>
      </c>
      <c r="AD104">
        <v>82.51</v>
      </c>
    </row>
    <row r="105" spans="8:30" x14ac:dyDescent="0.25">
      <c r="N105" s="18"/>
      <c r="O105" s="11">
        <f>Tabla3510182636414[[#This Row],[COMISIONES]]*0.21</f>
        <v>0</v>
      </c>
      <c r="P105" s="18"/>
      <c r="Q105" s="18"/>
      <c r="R105" s="18"/>
      <c r="Z105" s="1">
        <v>3576.96</v>
      </c>
      <c r="AA105" s="21">
        <f>Tabla356813212939717[[#This Row],[COMISIONES]]*0.21</f>
        <v>751.16160000000002</v>
      </c>
      <c r="AB105" s="21"/>
      <c r="AC105" s="1">
        <v>6181.08</v>
      </c>
      <c r="AD105" s="21"/>
    </row>
    <row r="106" spans="8:30" x14ac:dyDescent="0.25">
      <c r="N106" s="18"/>
      <c r="O106" s="11">
        <f>Tabla3510182636414[[#This Row],[COMISIONES]]*0.21</f>
        <v>0</v>
      </c>
      <c r="P106" s="18"/>
      <c r="Q106" s="18"/>
      <c r="R106" s="18"/>
      <c r="Z106" s="1">
        <v>13018.61</v>
      </c>
      <c r="AA106" s="21">
        <f>Tabla356813212939717[[#This Row],[COMISIONES]]*0.21</f>
        <v>2733.9081000000001</v>
      </c>
      <c r="AB106" s="21"/>
      <c r="AC106" s="1">
        <v>5882.43</v>
      </c>
      <c r="AD106">
        <v>89.66</v>
      </c>
    </row>
    <row r="107" spans="8:30" x14ac:dyDescent="0.25">
      <c r="N107" s="18"/>
      <c r="O107" s="11">
        <f>Tabla3510182636414[[#This Row],[COMISIONES]]*0.21</f>
        <v>0</v>
      </c>
      <c r="P107" s="18"/>
      <c r="Q107" s="18"/>
      <c r="R107" s="18"/>
      <c r="Z107" s="1">
        <v>5331.96</v>
      </c>
      <c r="AA107" s="21">
        <f>Tabla356813212939717[[#This Row],[COMISIONES]]*0.21</f>
        <v>1119.7115999999999</v>
      </c>
      <c r="AB107" s="21"/>
      <c r="AC107" s="1">
        <v>2727.06</v>
      </c>
      <c r="AD107">
        <v>69.88</v>
      </c>
    </row>
    <row r="108" spans="8:30" x14ac:dyDescent="0.25">
      <c r="N108" s="18"/>
      <c r="O108" s="11">
        <f>Tabla3510182636414[[#This Row],[COMISIONES]]*0.21</f>
        <v>0</v>
      </c>
      <c r="P108" s="18"/>
      <c r="Q108" s="18"/>
      <c r="R108" s="18"/>
      <c r="Z108" s="1">
        <v>5979.89</v>
      </c>
      <c r="AA108" s="21">
        <f>Tabla356813212939717[[#This Row],[COMISIONES]]*0.21</f>
        <v>1255.7769000000001</v>
      </c>
      <c r="AB108" s="21"/>
      <c r="AC108" s="1">
        <v>7743.25</v>
      </c>
      <c r="AD108">
        <v>135.68</v>
      </c>
    </row>
    <row r="109" spans="8:30" x14ac:dyDescent="0.25">
      <c r="N109" s="18"/>
      <c r="O109" s="11">
        <f>Tabla3510182636414[[#This Row],[COMISIONES]]*0.21</f>
        <v>0</v>
      </c>
      <c r="P109" s="18"/>
      <c r="Q109" s="18"/>
      <c r="R109" s="18"/>
      <c r="Z109" s="1">
        <v>6148.38</v>
      </c>
      <c r="AA109" s="21">
        <f>Tabla356813212939717[[#This Row],[COMISIONES]]*0.21</f>
        <v>1291.1597999999999</v>
      </c>
      <c r="AB109" s="21"/>
      <c r="AC109" s="1">
        <v>25233.65</v>
      </c>
      <c r="AD109" s="21"/>
    </row>
    <row r="110" spans="8:30" x14ac:dyDescent="0.25">
      <c r="N110" s="18"/>
      <c r="O110" s="11">
        <f>Tabla3510182636414[[#This Row],[COMISIONES]]*0.21</f>
        <v>0</v>
      </c>
      <c r="P110" s="18"/>
      <c r="Q110" s="18"/>
      <c r="R110" s="18"/>
      <c r="Z110" s="1">
        <v>4245.92</v>
      </c>
      <c r="AA110" s="21">
        <f>Tabla356813212939717[[#This Row],[COMISIONES]]*0.21</f>
        <v>891.64319999999998</v>
      </c>
      <c r="AB110" s="21"/>
      <c r="AC110" s="1">
        <v>10212.74</v>
      </c>
      <c r="AD110" s="21"/>
    </row>
    <row r="111" spans="8:30" x14ac:dyDescent="0.25">
      <c r="N111" s="18"/>
      <c r="O111" s="11">
        <f>Tabla3510182636414[[#This Row],[COMISIONES]]*0.21</f>
        <v>0</v>
      </c>
      <c r="P111" s="18"/>
      <c r="Q111" s="18"/>
      <c r="R111" s="18"/>
      <c r="Z111" s="1">
        <v>3585.44</v>
      </c>
      <c r="AA111" s="21">
        <f>Tabla356813212939717[[#This Row],[COMISIONES]]*0.21</f>
        <v>752.94240000000002</v>
      </c>
      <c r="AB111" s="21"/>
      <c r="AC111" s="21"/>
      <c r="AD111" s="21"/>
    </row>
    <row r="112" spans="8:30" x14ac:dyDescent="0.25">
      <c r="N112" s="18"/>
      <c r="O112" s="11">
        <f>Tabla3510182636414[[#This Row],[COMISIONES]]*0.21</f>
        <v>0</v>
      </c>
      <c r="P112" s="18"/>
      <c r="Q112" s="18"/>
      <c r="R112" s="18"/>
      <c r="Z112">
        <v>895.06</v>
      </c>
      <c r="AA112" s="21">
        <f>Tabla356813212939717[[#This Row],[COMISIONES]]*0.21</f>
        <v>187.96259999999998</v>
      </c>
      <c r="AB112" s="21"/>
      <c r="AC112" s="21"/>
      <c r="AD112" s="21"/>
    </row>
    <row r="113" spans="14:30" x14ac:dyDescent="0.25">
      <c r="N113" s="18"/>
      <c r="O113" s="11">
        <f>Tabla3510182636414[[#This Row],[COMISIONES]]*0.21</f>
        <v>0</v>
      </c>
      <c r="P113" s="18"/>
      <c r="Q113" s="18"/>
      <c r="R113" s="18"/>
      <c r="Z113" s="1">
        <v>1207.68</v>
      </c>
      <c r="AA113" s="21">
        <f>Tabla356813212939717[[#This Row],[COMISIONES]]*0.21</f>
        <v>253.61279999999999</v>
      </c>
      <c r="AB113" s="21"/>
      <c r="AC113" s="1">
        <v>3438.62</v>
      </c>
      <c r="AD113" s="21"/>
    </row>
    <row r="114" spans="14:30" x14ac:dyDescent="0.25">
      <c r="N114" s="18"/>
      <c r="O114" s="11">
        <f>Tabla3510182636414[[#This Row],[COMISIONES]]*0.21</f>
        <v>0</v>
      </c>
      <c r="P114" s="18"/>
      <c r="Q114" s="18"/>
      <c r="R114" s="18"/>
      <c r="Z114" s="21">
        <v>2750.14</v>
      </c>
      <c r="AA114" s="21">
        <f>Tabla356813212939717[[#This Row],[COMISIONES]]*0.21</f>
        <v>577.5293999999999</v>
      </c>
      <c r="AB114" s="21"/>
      <c r="AC114" s="1">
        <v>14572.62</v>
      </c>
      <c r="AD114" s="21"/>
    </row>
    <row r="115" spans="14:30" x14ac:dyDescent="0.25">
      <c r="N115" s="18"/>
      <c r="O115" s="11">
        <f>Tabla3510182636414[[#This Row],[COMISIONES]]*0.21</f>
        <v>0</v>
      </c>
      <c r="P115" s="18"/>
      <c r="Q115" s="18"/>
      <c r="R115" s="18"/>
      <c r="Z115" s="1">
        <v>1107.72</v>
      </c>
      <c r="AA115" s="21">
        <f>Tabla356813212939717[[#This Row],[COMISIONES]]*0.21</f>
        <v>232.62119999999999</v>
      </c>
      <c r="AB115" s="21"/>
      <c r="AC115" s="1">
        <v>7565.14</v>
      </c>
      <c r="AD115" s="21"/>
    </row>
    <row r="116" spans="14:30" x14ac:dyDescent="0.25">
      <c r="N116" s="18"/>
      <c r="O116" s="11">
        <f>Tabla3510182636414[[#This Row],[COMISIONES]]*0.21</f>
        <v>0</v>
      </c>
      <c r="P116" s="18"/>
      <c r="Q116" s="18"/>
      <c r="R116" s="18"/>
      <c r="Z116" s="1">
        <v>2989.04</v>
      </c>
      <c r="AA116" s="21">
        <f>Tabla356813212939717[[#This Row],[COMISIONES]]*0.21</f>
        <v>627.69839999999999</v>
      </c>
      <c r="AB116" s="21"/>
      <c r="AC116" s="1">
        <v>16384.419999999998</v>
      </c>
      <c r="AD116">
        <v>88.08</v>
      </c>
    </row>
    <row r="117" spans="14:30" x14ac:dyDescent="0.25">
      <c r="N117" s="18"/>
      <c r="O117" s="11">
        <f>Tabla3510182636414[[#This Row],[COMISIONES]]*0.21</f>
        <v>0</v>
      </c>
      <c r="P117" s="18"/>
      <c r="Q117" s="18"/>
      <c r="R117" s="18"/>
      <c r="Z117" s="1">
        <v>1054.2</v>
      </c>
      <c r="AA117" s="21">
        <f>Tabla356813212939717[[#This Row],[COMISIONES]]*0.21</f>
        <v>221.38200000000001</v>
      </c>
      <c r="AB117" s="21"/>
      <c r="AC117" s="1">
        <v>18842.77</v>
      </c>
      <c r="AD117">
        <v>101.3</v>
      </c>
    </row>
    <row r="118" spans="14:30" x14ac:dyDescent="0.25">
      <c r="N118" s="18"/>
      <c r="O118" s="11">
        <f>Tabla3510182636414[[#This Row],[COMISIONES]]*0.21</f>
        <v>0</v>
      </c>
      <c r="P118" s="18"/>
      <c r="Q118" s="18"/>
      <c r="R118" s="18"/>
      <c r="Z118">
        <v>488.72</v>
      </c>
      <c r="AA118" s="21">
        <f>Tabla356813212939717[[#This Row],[COMISIONES]]*0.21</f>
        <v>102.63120000000001</v>
      </c>
      <c r="AB118" s="21"/>
      <c r="AC118" s="21"/>
      <c r="AD118" s="21"/>
    </row>
    <row r="119" spans="14:30" x14ac:dyDescent="0.25">
      <c r="N119" s="18"/>
      <c r="O119" s="11">
        <f>Tabla3510182636414[[#This Row],[COMISIONES]]*0.21</f>
        <v>0</v>
      </c>
      <c r="P119" s="18"/>
      <c r="Q119" s="18"/>
      <c r="R119" s="18"/>
      <c r="Z119" s="1">
        <v>1387.68</v>
      </c>
      <c r="AA119" s="21">
        <f>Tabla356813212939717[[#This Row],[COMISIONES]]*0.21</f>
        <v>291.4128</v>
      </c>
      <c r="AB119" s="21"/>
      <c r="AC119" s="21"/>
      <c r="AD119" s="21"/>
    </row>
    <row r="120" spans="14:30" x14ac:dyDescent="0.25">
      <c r="N120" s="18"/>
      <c r="O120" s="11">
        <f>Tabla3510182636414[[#This Row],[COMISIONES]]*0.21</f>
        <v>0</v>
      </c>
      <c r="P120" s="18"/>
      <c r="Q120" s="18"/>
      <c r="R120" s="18"/>
      <c r="Z120" s="1">
        <v>2329.6799999999998</v>
      </c>
      <c r="AA120" s="21">
        <f>Tabla356813212939717[[#This Row],[COMISIONES]]*0.21</f>
        <v>489.23279999999994</v>
      </c>
      <c r="AB120" s="21"/>
      <c r="AC120" s="21"/>
      <c r="AD120" s="21"/>
    </row>
    <row r="121" spans="14:30" x14ac:dyDescent="0.25">
      <c r="N121" s="18"/>
      <c r="O121" s="11">
        <f>Tabla3510182636414[[#This Row],[COMISIONES]]*0.21</f>
        <v>0</v>
      </c>
      <c r="P121" s="18"/>
      <c r="Q121" s="18"/>
      <c r="R121" s="18"/>
      <c r="Z121" s="1">
        <v>4522.16</v>
      </c>
      <c r="AA121" s="21">
        <f>Tabla356813212939717[[#This Row],[COMISIONES]]*0.21</f>
        <v>949.65359999999998</v>
      </c>
      <c r="AB121" s="21"/>
      <c r="AC121" s="21"/>
      <c r="AD121" s="21"/>
    </row>
    <row r="122" spans="14:30" x14ac:dyDescent="0.25">
      <c r="N122" s="18"/>
      <c r="O122" s="18"/>
      <c r="P122" s="18"/>
      <c r="Q122" s="18"/>
      <c r="R122" s="18"/>
      <c r="Z122" s="1">
        <v>1830.24</v>
      </c>
      <c r="AA122" s="21">
        <f>Tabla356813212939717[[#This Row],[COMISIONES]]*0.21</f>
        <v>384.35039999999998</v>
      </c>
      <c r="AB122" s="21"/>
      <c r="AC122" s="21"/>
      <c r="AD122" s="21"/>
    </row>
    <row r="123" spans="14:30" x14ac:dyDescent="0.25">
      <c r="N123" s="18"/>
      <c r="O123" s="18"/>
      <c r="P123" s="18"/>
      <c r="Q123" s="18"/>
      <c r="R123" s="18"/>
      <c r="Z123">
        <v>616.24</v>
      </c>
      <c r="AA123" s="21">
        <f>Tabla356813212939717[[#This Row],[COMISIONES]]*0.21</f>
        <v>129.41040000000001</v>
      </c>
      <c r="AB123" s="21"/>
      <c r="AC123" s="21"/>
      <c r="AD123" s="21"/>
    </row>
    <row r="124" spans="14:30" x14ac:dyDescent="0.25">
      <c r="N124" s="18"/>
      <c r="O124" s="18"/>
      <c r="P124" s="18"/>
      <c r="Q124" s="18"/>
      <c r="R124" s="18"/>
      <c r="Z124" s="1">
        <v>2611.58</v>
      </c>
      <c r="AA124" s="21">
        <f>Tabla356813212939717[[#This Row],[COMISIONES]]*0.21</f>
        <v>548.43179999999995</v>
      </c>
      <c r="AB124" s="21"/>
      <c r="AC124" s="21"/>
      <c r="AD124" s="21"/>
    </row>
    <row r="125" spans="14:30" x14ac:dyDescent="0.25">
      <c r="N125" s="18"/>
      <c r="O125" s="18"/>
      <c r="P125" s="18"/>
      <c r="Q125" s="18"/>
      <c r="R125" s="18"/>
      <c r="Z125" s="1">
        <v>1355.76</v>
      </c>
      <c r="AA125" s="21">
        <f>Tabla356813212939717[[#This Row],[COMISIONES]]*0.21</f>
        <v>284.70959999999997</v>
      </c>
      <c r="AB125" s="21"/>
      <c r="AC125" s="21"/>
      <c r="AD125" s="21"/>
    </row>
    <row r="126" spans="14:30" x14ac:dyDescent="0.25">
      <c r="N126" s="18"/>
      <c r="O126" s="18"/>
      <c r="P126" s="18"/>
      <c r="Q126" s="18"/>
      <c r="R126" s="18"/>
      <c r="Z126" s="1">
        <v>2936.28</v>
      </c>
      <c r="AA126" s="21">
        <f>Tabla356813212939717[[#This Row],[COMISIONES]]*0.21</f>
        <v>616.61879999999996</v>
      </c>
      <c r="AB126" s="21"/>
      <c r="AC126" s="21"/>
      <c r="AD126" s="21"/>
    </row>
    <row r="127" spans="14:30" x14ac:dyDescent="0.25">
      <c r="N127" s="18"/>
      <c r="O127" s="18"/>
      <c r="P127" s="18"/>
      <c r="Q127" s="18"/>
      <c r="R127" s="18"/>
      <c r="Z127" s="1">
        <v>3376.84</v>
      </c>
      <c r="AA127" s="21">
        <f>Tabla356813212939717[[#This Row],[COMISIONES]]*0.21</f>
        <v>709.13639999999998</v>
      </c>
      <c r="AB127" s="21"/>
      <c r="AC127" s="21"/>
      <c r="AD127" s="21"/>
    </row>
    <row r="128" spans="14:30" x14ac:dyDescent="0.25">
      <c r="N128" s="18"/>
      <c r="O128" s="18"/>
      <c r="P128" s="18"/>
      <c r="Q128" s="18"/>
      <c r="R128" s="18"/>
      <c r="Z128" s="21"/>
      <c r="AA128" s="21">
        <f>Tabla356813212939717[[#This Row],[COMISIONES]]*0.21</f>
        <v>0</v>
      </c>
      <c r="AB128" s="21"/>
      <c r="AC128" s="21"/>
      <c r="AD128" s="21"/>
    </row>
    <row r="129" spans="14:30" x14ac:dyDescent="0.25">
      <c r="N129" s="18"/>
      <c r="O129" s="18"/>
      <c r="P129" s="18"/>
      <c r="Q129" s="18"/>
      <c r="R129" s="18"/>
      <c r="Z129" s="21"/>
      <c r="AA129" s="21">
        <f>Tabla356813212939717[[#This Row],[COMISIONES]]*0.21</f>
        <v>0</v>
      </c>
      <c r="AB129" s="21"/>
      <c r="AC129" s="21"/>
      <c r="AD129" s="21"/>
    </row>
    <row r="130" spans="14:30" x14ac:dyDescent="0.25">
      <c r="N130" s="18"/>
      <c r="O130" s="18"/>
      <c r="P130" s="18"/>
      <c r="Q130" s="18"/>
      <c r="R130" s="18"/>
      <c r="Z130" s="21"/>
      <c r="AA130" s="21">
        <f>Tabla356813212939717[[#This Row],[COMISIONES]]*0.21</f>
        <v>0</v>
      </c>
      <c r="AB130" s="21"/>
      <c r="AC130" s="21"/>
      <c r="AD130" s="21"/>
    </row>
    <row r="131" spans="14:30" x14ac:dyDescent="0.25">
      <c r="N131" s="18"/>
      <c r="O131" s="18"/>
      <c r="P131" s="18"/>
      <c r="Q131" s="18"/>
      <c r="R131" s="18"/>
      <c r="Z131" s="21"/>
      <c r="AA131" s="21">
        <f>Tabla356813212939717[[#This Row],[COMISIONES]]*0.21</f>
        <v>0</v>
      </c>
      <c r="AB131" s="21"/>
      <c r="AC131" s="21"/>
      <c r="AD131" s="21"/>
    </row>
    <row r="132" spans="14:30" x14ac:dyDescent="0.25">
      <c r="N132" s="18"/>
      <c r="O132" s="18"/>
      <c r="P132" s="18"/>
      <c r="Q132" s="18"/>
      <c r="R132" s="18"/>
      <c r="Z132" s="21"/>
      <c r="AA132" s="21">
        <f>Tabla356813212939717[[#This Row],[COMISIONES]]*0.21</f>
        <v>0</v>
      </c>
      <c r="AB132" s="21"/>
      <c r="AC132" s="21"/>
      <c r="AD132" s="21"/>
    </row>
    <row r="133" spans="14:30" x14ac:dyDescent="0.25">
      <c r="N133" s="18"/>
      <c r="O133" s="18">
        <f>Tabla3510182636414[[#This Row],[COMISIONES]]*0.21</f>
        <v>0</v>
      </c>
      <c r="P133" s="18"/>
      <c r="Q133" s="18"/>
      <c r="R133" s="18"/>
      <c r="Z133" s="21"/>
      <c r="AA133" s="21">
        <f>Tabla356813212939717[[#This Row],[COMISIONES]]*0.21</f>
        <v>0</v>
      </c>
      <c r="AB133" s="21"/>
      <c r="AC133" s="21"/>
      <c r="AD133" s="21"/>
    </row>
    <row r="134" spans="14:30" x14ac:dyDescent="0.25">
      <c r="N134" s="24">
        <f>SUBTOTAL(109,Tabla3510182636414[COMISIONES])</f>
        <v>56876.5</v>
      </c>
      <c r="O134" s="24">
        <f>SUBTOTAL(109,Tabla3510182636414[IVA 21])</f>
        <v>11944.065000000001</v>
      </c>
      <c r="P134" s="24">
        <f>SUBTOTAL(109,Tabla3510182636414[IVA 10,5])</f>
        <v>0</v>
      </c>
      <c r="Q134" s="24">
        <f>SUBTOTAL(109,Tabla3510182636414[Ret IIBB Caba])</f>
        <v>2979.48</v>
      </c>
      <c r="R134" s="24">
        <f>SUBTOTAL(109,Tabla3510182636414[PERC IVA])</f>
        <v>1489.74</v>
      </c>
      <c r="Z134" s="21"/>
      <c r="AA134" s="21">
        <f>Tabla356813212939717[[#This Row],[COMISIONES]]*0.21</f>
        <v>0</v>
      </c>
      <c r="AB134" s="21"/>
      <c r="AC134" s="21"/>
      <c r="AD134" s="21"/>
    </row>
    <row r="135" spans="14:30" x14ac:dyDescent="0.25">
      <c r="Z135" s="21"/>
      <c r="AA135" s="21">
        <f>Tabla356813212939717[[#This Row],[COMISIONES]]*0.21</f>
        <v>0</v>
      </c>
      <c r="AB135" s="21"/>
      <c r="AC135" s="21"/>
      <c r="AD135" s="21"/>
    </row>
    <row r="136" spans="14:30" x14ac:dyDescent="0.25">
      <c r="Z136" s="21"/>
      <c r="AA136" s="21">
        <f>Tabla356813212939717[[#This Row],[COMISIONES]]*0.21</f>
        <v>0</v>
      </c>
      <c r="AB136" s="21"/>
      <c r="AC136" s="21"/>
      <c r="AD136" s="21"/>
    </row>
    <row r="137" spans="14:30" x14ac:dyDescent="0.25">
      <c r="Z137" s="21"/>
      <c r="AA137" s="21">
        <f>Tabla356813212939717[[#This Row],[COMISIONES]]*0.21</f>
        <v>0</v>
      </c>
      <c r="AB137" s="21"/>
      <c r="AC137" s="21"/>
      <c r="AD137" s="21"/>
    </row>
    <row r="138" spans="14:30" x14ac:dyDescent="0.25">
      <c r="Z138" s="21"/>
      <c r="AA138" s="21">
        <f>Tabla356813212939717[[#This Row],[COMISIONES]]*0.21</f>
        <v>0</v>
      </c>
      <c r="AB138" s="21"/>
      <c r="AC138" s="21"/>
      <c r="AD138" s="21"/>
    </row>
    <row r="139" spans="14:30" x14ac:dyDescent="0.25">
      <c r="Z139" s="21"/>
      <c r="AA139" s="21">
        <f>Tabla356813212939717[[#This Row],[COMISIONES]]*0.21</f>
        <v>0</v>
      </c>
      <c r="AB139" s="21"/>
      <c r="AC139" s="21"/>
      <c r="AD139" s="21"/>
    </row>
    <row r="140" spans="14:30" x14ac:dyDescent="0.25">
      <c r="Z140" s="21"/>
      <c r="AA140" s="21">
        <f>Tabla356813212939717[[#This Row],[COMISIONES]]*0.21</f>
        <v>0</v>
      </c>
      <c r="AB140" s="21"/>
      <c r="AC140" s="21"/>
      <c r="AD140" s="21"/>
    </row>
    <row r="141" spans="14:30" x14ac:dyDescent="0.25">
      <c r="Z141" s="21"/>
      <c r="AA141" s="21">
        <f>Tabla356813212939717[[#This Row],[COMISIONES]]*0.21</f>
        <v>0</v>
      </c>
      <c r="AB141" s="21"/>
      <c r="AC141" s="21"/>
      <c r="AD141" s="21"/>
    </row>
    <row r="142" spans="14:30" x14ac:dyDescent="0.25">
      <c r="Z142" s="21"/>
      <c r="AA142" s="21">
        <f>Tabla356813212939717[[#This Row],[COMISIONES]]*0.21</f>
        <v>0</v>
      </c>
      <c r="AB142" s="21"/>
      <c r="AC142" s="21"/>
      <c r="AD142" s="21"/>
    </row>
    <row r="143" spans="14:30" x14ac:dyDescent="0.25">
      <c r="Z143" s="21"/>
      <c r="AA143" s="21">
        <f>Tabla356813212939717[[#This Row],[COMISIONES]]*0.21</f>
        <v>0</v>
      </c>
      <c r="AB143" s="21"/>
      <c r="AC143" s="21"/>
      <c r="AD143" s="21"/>
    </row>
    <row r="144" spans="14:30" x14ac:dyDescent="0.25">
      <c r="Z144" s="21"/>
      <c r="AA144" s="21">
        <f>Tabla356813212939717[[#This Row],[COMISIONES]]*0.21</f>
        <v>0</v>
      </c>
      <c r="AB144" s="21"/>
      <c r="AC144" s="21"/>
      <c r="AD144" s="21"/>
    </row>
    <row r="145" spans="26:30" x14ac:dyDescent="0.25">
      <c r="Z145" s="21"/>
      <c r="AA145" s="21">
        <f>Tabla356813212939717[[#This Row],[COMISIONES]]*0.21</f>
        <v>0</v>
      </c>
      <c r="AB145" s="21"/>
      <c r="AC145" s="21"/>
      <c r="AD145" s="21"/>
    </row>
    <row r="146" spans="26:30" x14ac:dyDescent="0.25">
      <c r="Z146" s="21"/>
      <c r="AA146" s="21">
        <f>Tabla356813212939717[[#This Row],[COMISIONES]]*0.21</f>
        <v>0</v>
      </c>
      <c r="AB146" s="21"/>
      <c r="AC146" s="21"/>
      <c r="AD146" s="21"/>
    </row>
    <row r="147" spans="26:30" x14ac:dyDescent="0.25">
      <c r="Z147" s="21"/>
      <c r="AA147" s="21">
        <f>Tabla356813212939717[[#This Row],[COMISIONES]]*0.21</f>
        <v>0</v>
      </c>
      <c r="AB147" s="21"/>
      <c r="AC147" s="21"/>
      <c r="AD147" s="21"/>
    </row>
    <row r="148" spans="26:30" x14ac:dyDescent="0.25">
      <c r="Z148" s="21"/>
      <c r="AA148" s="21">
        <f>Tabla356813212939717[[#This Row],[COMISIONES]]*0.21</f>
        <v>0</v>
      </c>
      <c r="AB148" s="21"/>
      <c r="AC148" s="21"/>
      <c r="AD148" s="21"/>
    </row>
    <row r="149" spans="26:30" x14ac:dyDescent="0.25">
      <c r="Z149" s="21"/>
      <c r="AA149" s="21">
        <f>Tabla356813212939717[[#This Row],[COMISIONES]]*0.21</f>
        <v>0</v>
      </c>
      <c r="AB149" s="21"/>
      <c r="AC149" s="21"/>
      <c r="AD149" s="21"/>
    </row>
    <row r="150" spans="26:30" x14ac:dyDescent="0.25">
      <c r="Z150" s="21"/>
      <c r="AA150" s="21">
        <f>Tabla356813212939717[[#This Row],[COMISIONES]]*0.21</f>
        <v>0</v>
      </c>
      <c r="AB150" s="21"/>
      <c r="AC150" s="21"/>
      <c r="AD150" s="21"/>
    </row>
    <row r="151" spans="26:30" x14ac:dyDescent="0.25">
      <c r="Z151" s="21"/>
      <c r="AA151" s="21">
        <f>Tabla356813212939717[[#This Row],[COMISIONES]]*0.21</f>
        <v>0</v>
      </c>
      <c r="AB151" s="21"/>
      <c r="AC151" s="21"/>
      <c r="AD151" s="21"/>
    </row>
    <row r="152" spans="26:30" x14ac:dyDescent="0.25">
      <c r="Z152" s="21"/>
      <c r="AA152" s="21">
        <f>Tabla356813212939717[[#This Row],[COMISIONES]]*0.21</f>
        <v>0</v>
      </c>
      <c r="AB152" s="21"/>
      <c r="AC152" s="21"/>
      <c r="AD152" s="21"/>
    </row>
    <row r="153" spans="26:30" x14ac:dyDescent="0.25">
      <c r="Z153" s="21"/>
      <c r="AA153" s="21">
        <f>Tabla356813212939717[[#This Row],[COMISIONES]]*0.21</f>
        <v>0</v>
      </c>
      <c r="AB153" s="21"/>
      <c r="AC153" s="21"/>
      <c r="AD153" s="21"/>
    </row>
    <row r="154" spans="26:30" x14ac:dyDescent="0.25">
      <c r="Z154" s="21"/>
      <c r="AA154" s="21">
        <f>Tabla356813212939717[[#This Row],[COMISIONES]]*0.21</f>
        <v>0</v>
      </c>
      <c r="AB154" s="21"/>
      <c r="AC154" s="21"/>
      <c r="AD154" s="21"/>
    </row>
    <row r="155" spans="26:30" x14ac:dyDescent="0.25">
      <c r="Z155" s="21"/>
      <c r="AA155" s="21">
        <f>Tabla356813212939717[[#This Row],[COMISIONES]]*0.21</f>
        <v>0</v>
      </c>
      <c r="AB155" s="21"/>
      <c r="AC155" s="21"/>
      <c r="AD155" s="21"/>
    </row>
    <row r="156" spans="26:30" x14ac:dyDescent="0.25">
      <c r="Z156" s="21"/>
      <c r="AA156" s="21">
        <f>Tabla356813212939717[[#This Row],[COMISIONES]]*0.21</f>
        <v>0</v>
      </c>
      <c r="AB156" s="21"/>
      <c r="AC156" s="21"/>
      <c r="AD156" s="21"/>
    </row>
    <row r="157" spans="26:30" x14ac:dyDescent="0.25">
      <c r="Z157" s="21"/>
      <c r="AA157" s="21">
        <f>Tabla356813212939717[[#This Row],[COMISIONES]]*0.21</f>
        <v>0</v>
      </c>
      <c r="AB157" s="21"/>
      <c r="AC157" s="21"/>
      <c r="AD157" s="21"/>
    </row>
    <row r="158" spans="26:30" x14ac:dyDescent="0.25">
      <c r="Z158" s="21"/>
      <c r="AA158" s="21">
        <f>Tabla356813212939717[[#This Row],[COMISIONES]]*0.21</f>
        <v>0</v>
      </c>
      <c r="AB158" s="21"/>
      <c r="AC158" s="21"/>
      <c r="AD158" s="21"/>
    </row>
    <row r="159" spans="26:30" x14ac:dyDescent="0.25">
      <c r="Z159" s="21"/>
      <c r="AA159" s="21">
        <f>Tabla356813212939717[[#This Row],[COMISIONES]]*0.21</f>
        <v>0</v>
      </c>
      <c r="AB159" s="21"/>
      <c r="AC159" s="21"/>
      <c r="AD159" s="21"/>
    </row>
    <row r="160" spans="26:30" x14ac:dyDescent="0.25">
      <c r="Z160" s="21"/>
      <c r="AA160" s="21">
        <f>Tabla356813212939717[[#This Row],[COMISIONES]]*0.21</f>
        <v>0</v>
      </c>
      <c r="AB160" s="21"/>
      <c r="AC160" s="21"/>
      <c r="AD160" s="21"/>
    </row>
    <row r="161" spans="26:30" x14ac:dyDescent="0.25">
      <c r="Z161" s="21"/>
      <c r="AA161" s="21">
        <f>Tabla356813212939717[[#This Row],[COMISIONES]]*0.21</f>
        <v>0</v>
      </c>
      <c r="AB161" s="21"/>
      <c r="AC161" s="21"/>
      <c r="AD161" s="21"/>
    </row>
    <row r="162" spans="26:30" x14ac:dyDescent="0.25">
      <c r="Z162" s="21"/>
      <c r="AA162" s="21">
        <f>Tabla356813212939717[[#This Row],[COMISIONES]]*0.21</f>
        <v>0</v>
      </c>
      <c r="AB162" s="21"/>
      <c r="AC162" s="21"/>
      <c r="AD162" s="21"/>
    </row>
    <row r="163" spans="26:30" x14ac:dyDescent="0.25">
      <c r="Z163" s="21"/>
      <c r="AA163" s="21">
        <f>Tabla356813212939717[[#This Row],[COMISIONES]]*0.21</f>
        <v>0</v>
      </c>
      <c r="AB163" s="21"/>
      <c r="AC163" s="21"/>
      <c r="AD163" s="21"/>
    </row>
    <row r="164" spans="26:30" x14ac:dyDescent="0.25">
      <c r="Z164" s="21"/>
      <c r="AA164" s="21">
        <f>Tabla356813212939717[[#This Row],[COMISIONES]]*0.21</f>
        <v>0</v>
      </c>
      <c r="AB164" s="21"/>
      <c r="AC164" s="21"/>
      <c r="AD164" s="21"/>
    </row>
    <row r="165" spans="26:30" x14ac:dyDescent="0.25">
      <c r="Z165" s="21"/>
      <c r="AA165" s="21">
        <f>Tabla356813212939717[[#This Row],[COMISIONES]]*0.21</f>
        <v>0</v>
      </c>
      <c r="AB165" s="21"/>
      <c r="AC165" s="21"/>
      <c r="AD165" s="21"/>
    </row>
    <row r="166" spans="26:30" x14ac:dyDescent="0.25">
      <c r="Z166" s="21"/>
      <c r="AA166" s="21">
        <f>Tabla356813212939717[[#This Row],[COMISIONES]]*0.21</f>
        <v>0</v>
      </c>
      <c r="AB166" s="21"/>
      <c r="AC166" s="21"/>
      <c r="AD166" s="21"/>
    </row>
    <row r="167" spans="26:30" x14ac:dyDescent="0.25">
      <c r="Z167" s="21"/>
      <c r="AA167" s="21">
        <f>Tabla356813212939717[[#This Row],[COMISIONES]]*0.21</f>
        <v>0</v>
      </c>
      <c r="AB167" s="21"/>
      <c r="AC167" s="21"/>
      <c r="AD167" s="21"/>
    </row>
    <row r="168" spans="26:30" x14ac:dyDescent="0.25">
      <c r="Z168" s="4">
        <f>SUBTOTAL(109,Tabla356813212939717[COMISIONES])</f>
        <v>241838.28999999995</v>
      </c>
      <c r="AA168" s="4">
        <f>SUBTOTAL(109,Tabla356813212939717[IVA 21])</f>
        <v>50786.040899999993</v>
      </c>
      <c r="AB168" s="4">
        <f>SUBTOTAL(109,Tabla356813212939717[IVA 10,5])</f>
        <v>68910.559999999983</v>
      </c>
      <c r="AC168" s="4">
        <f>SUBTOTAL(109,Tabla356813212939717[Ret IIBB Caba])</f>
        <v>270271.77999999997</v>
      </c>
      <c r="AD168" s="4">
        <f>SUBTOTAL(109,Tabla356813212939717[PERC IVA])</f>
        <v>4413.1400000000003</v>
      </c>
    </row>
  </sheetData>
  <mergeCells count="20">
    <mergeCell ref="B13:F13"/>
    <mergeCell ref="H13:L13"/>
    <mergeCell ref="G2:H2"/>
    <mergeCell ref="J2:K2"/>
    <mergeCell ref="G3:H3"/>
    <mergeCell ref="G4:H4"/>
    <mergeCell ref="G5:H5"/>
    <mergeCell ref="G6:H6"/>
    <mergeCell ref="AF13:AJ13"/>
    <mergeCell ref="AK13:AO13"/>
    <mergeCell ref="T31:X31"/>
    <mergeCell ref="G7:H7"/>
    <mergeCell ref="G8:H8"/>
    <mergeCell ref="G9:H9"/>
    <mergeCell ref="G10:H10"/>
    <mergeCell ref="H53:L53"/>
    <mergeCell ref="T63:X63"/>
    <mergeCell ref="N13:R13"/>
    <mergeCell ref="T13:X13"/>
    <mergeCell ref="Z13:AD13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75B8-1E92-4D2E-8ECF-CF619720A437}">
  <dimension ref="A1:AO168"/>
  <sheetViews>
    <sheetView showGridLines="0" zoomScale="80" zoomScaleNormal="80" workbookViewId="0">
      <selection activeCell="D7" activeCellId="1" sqref="D3:D4 D7:D10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2.5703125" customWidth="1"/>
    <col min="4" max="4" width="10.7109375" customWidth="1"/>
    <col min="5" max="5" width="11.5703125" customWidth="1"/>
    <col min="6" max="6" width="12.140625" customWidth="1"/>
    <col min="7" max="7" width="2.5703125" style="6" customWidth="1"/>
    <col min="8" max="8" width="12.7109375" customWidth="1"/>
    <col min="9" max="9" width="13.5703125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7" max="27" width="13.28515625" customWidth="1"/>
    <col min="31" max="31" width="2.5703125" style="6" customWidth="1"/>
  </cols>
  <sheetData>
    <row r="1" spans="1:41" ht="6" customHeight="1" x14ac:dyDescent="0.25">
      <c r="G1"/>
      <c r="M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4</v>
      </c>
      <c r="H2" s="38"/>
      <c r="J2" s="39">
        <v>45383</v>
      </c>
      <c r="K2" s="39"/>
      <c r="M2"/>
      <c r="S2"/>
      <c r="Y2"/>
      <c r="AE2"/>
    </row>
    <row r="3" spans="1:41" x14ac:dyDescent="0.25">
      <c r="B3" s="25" t="str">
        <f>+B13</f>
        <v>Liquidacion amex Credito</v>
      </c>
      <c r="C3" s="14">
        <f>Tabla1316243221222[[#Totals],[COMISIONES]]</f>
        <v>27947.57</v>
      </c>
      <c r="D3" s="14">
        <f>Tabla1316243221222[[#Totals],[IVA 21]]</f>
        <v>5868.9897000000001</v>
      </c>
      <c r="E3" s="14">
        <f>Tabla1316243221222[[#Totals],[IVA 10,5]]</f>
        <v>0</v>
      </c>
      <c r="F3" s="14">
        <f>Tabla1316243221222[[#Totals],[Ret IIBB Caba]]</f>
        <v>23018.12</v>
      </c>
      <c r="G3" s="35">
        <f>Tabla1316243221222[[#Totals],[PERC IVA]]</f>
        <v>0</v>
      </c>
      <c r="H3" s="36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+H13</f>
        <v>CABAL 22/3</v>
      </c>
      <c r="C4" s="14">
        <f>Tabla3917253531323[[#Totals],[COMISIONES]]</f>
        <v>2029.57</v>
      </c>
      <c r="D4" s="14">
        <f>Tabla3917253531323[[#Totals],[IVA 21]]</f>
        <v>426.2097</v>
      </c>
      <c r="E4" s="14">
        <f>Tabla3917253531323[[#Totals],[IVA 10,5]]</f>
        <v>0</v>
      </c>
      <c r="F4" s="14">
        <f>Tabla3917253531323[[#Totals],[Ret IIBB Caba]]</f>
        <v>6596.71</v>
      </c>
      <c r="G4" s="35">
        <f>Tabla3917253531323[[#Totals],[PERC IVA]]</f>
        <v>0</v>
      </c>
      <c r="H4" s="36"/>
      <c r="J4" s="2"/>
      <c r="K4" s="3"/>
      <c r="M4"/>
      <c r="S4"/>
      <c r="Y4"/>
      <c r="AE4"/>
    </row>
    <row r="5" spans="1:41" x14ac:dyDescent="0.25">
      <c r="B5" s="25" t="str">
        <f>+N13</f>
        <v>FRANCES extracto (27/03)</v>
      </c>
      <c r="C5" s="14">
        <f>Tabla351018263641424[[#Totals],[COMISIONES]]</f>
        <v>69797.350000000006</v>
      </c>
      <c r="D5" s="45">
        <f>Tabla351018263641424[[#Totals],[IVA 21]]</f>
        <v>14657.443500000001</v>
      </c>
      <c r="E5" s="14">
        <f>Tabla351018263641424[[#Totals],[IVA 10,5]]</f>
        <v>0</v>
      </c>
      <c r="F5" s="14">
        <f>Tabla351018263641424[[#Totals],[Ret IIBB Caba]]</f>
        <v>4479.34</v>
      </c>
      <c r="G5" s="35">
        <f>Tabla351018263641424[[#Totals],[PERC IVA]]</f>
        <v>3387.22</v>
      </c>
      <c r="H5" s="36"/>
      <c r="M5"/>
      <c r="S5"/>
      <c r="Y5"/>
      <c r="AE5"/>
    </row>
    <row r="6" spans="1:41" x14ac:dyDescent="0.25">
      <c r="B6" s="25" t="str">
        <f>+T13</f>
        <v>GALICIA EXTRACTO (31/03)</v>
      </c>
      <c r="C6" s="14">
        <f>Tabla3561119273751525[[#Totals],[COMISIONES]]</f>
        <v>23306</v>
      </c>
      <c r="D6" s="45">
        <f>Tabla3561119273751525[[#Totals],[IVA 21]]</f>
        <v>4894.26</v>
      </c>
      <c r="E6" s="14">
        <f>Tabla3561119273751525[[#Totals],[IVA 10,5]]</f>
        <v>0</v>
      </c>
      <c r="F6" s="14">
        <f>Tabla3561119273751525[[#Totals],[Ret IIBB Caba]]</f>
        <v>1662.74</v>
      </c>
      <c r="G6" s="35">
        <f>Tabla3561119273751525[[#Totals],[PERC IVA]]</f>
        <v>699.18</v>
      </c>
      <c r="H6" s="36"/>
      <c r="M6"/>
      <c r="S6"/>
      <c r="Y6"/>
      <c r="AE6"/>
    </row>
    <row r="7" spans="1:41" x14ac:dyDescent="0.25">
      <c r="B7" s="25" t="str">
        <f>+Z13</f>
        <v>BBVA MASTERCARD CRED(27/03)</v>
      </c>
      <c r="C7" s="14">
        <f>Tabla35681321293971727[[#Totals],[COMISIONES]]</f>
        <v>743300.52</v>
      </c>
      <c r="D7" s="14">
        <f>Tabla35681321293971727[[#Totals],[IVA 21]]</f>
        <v>156093.10920000001</v>
      </c>
      <c r="E7" s="14">
        <f>Tabla35681321293971727[[#Totals],[IVA 10,5]]</f>
        <v>0</v>
      </c>
      <c r="F7" s="14">
        <f>Tabla35681321293971727[[#Totals],[Ret IIBB Caba]]</f>
        <v>0</v>
      </c>
      <c r="G7" s="35">
        <f>Tabla35681321293971727[[#Totals],[PERC IVA]]</f>
        <v>0</v>
      </c>
      <c r="H7" s="36"/>
      <c r="M7"/>
      <c r="S7"/>
      <c r="Y7"/>
      <c r="AE7"/>
    </row>
    <row r="8" spans="1:41" x14ac:dyDescent="0.25">
      <c r="B8" s="25" t="str">
        <f>+T31</f>
        <v>RESUM BCO BBVA VISA 31/09(Nº RESUMEN 000017206766)</v>
      </c>
      <c r="C8" s="14">
        <f>Tabla61220283861626[[#Totals],[COMISIONES]]</f>
        <v>3600</v>
      </c>
      <c r="D8" s="14">
        <f>Tabla61220283861626[[#Totals],[IVA 21]]</f>
        <v>756</v>
      </c>
      <c r="E8" s="14">
        <f>Tabla61220283861626[[#Totals],[IVA 10,5]]</f>
        <v>0</v>
      </c>
      <c r="F8" s="14">
        <f>Tabla61220283861626[[#Totals],[Ret IIBB Caba]]</f>
        <v>2839.65</v>
      </c>
      <c r="G8" s="35">
        <f>Tabla61220283861626[[#Totals],[PERC IVA]]</f>
        <v>108</v>
      </c>
      <c r="H8" s="36"/>
      <c r="M8"/>
      <c r="S8"/>
      <c r="Y8"/>
      <c r="AE8"/>
    </row>
    <row r="9" spans="1:41" x14ac:dyDescent="0.25">
      <c r="B9" s="28" t="str">
        <f>+AF13</f>
        <v>BBVA - LIQ DEBITO (08/03)</v>
      </c>
      <c r="C9" s="14">
        <f>+Tabla3568131422304081828[[#Totals],[COMISIONES]]</f>
        <v>0</v>
      </c>
      <c r="D9" s="14">
        <f>+Tabla3568131422304081828[[#Totals],[IVA 21]]</f>
        <v>0</v>
      </c>
      <c r="E9" s="14">
        <f>+Tabla3568131422304081828[[#Totals],[IVA 10,5]]</f>
        <v>0</v>
      </c>
      <c r="F9" s="14">
        <f>+Tabla3568131422304081828[[#Totals],[Ret IIBB Caba]]</f>
        <v>0</v>
      </c>
      <c r="G9" s="35">
        <f>+Tabla3568131422304081828[[#Totals],[PERC IVA]]</f>
        <v>0</v>
      </c>
      <c r="H9" s="36"/>
      <c r="M9"/>
      <c r="S9"/>
      <c r="Y9"/>
      <c r="AE9"/>
    </row>
    <row r="10" spans="1:41" x14ac:dyDescent="0.25">
      <c r="B10" s="28" t="str">
        <f>+AK13</f>
        <v>GALICIA CREDITO visa (30/09)</v>
      </c>
      <c r="C10" s="14">
        <f>+Tabla3561119273443112131[[#Totals],[COMISIONES]]</f>
        <v>1500</v>
      </c>
      <c r="D10" s="14">
        <f>+Tabla3561119273443112131[[#Totals],[IVA 21]]</f>
        <v>315</v>
      </c>
      <c r="E10" s="14">
        <f>+Tabla3561119273443112131[[#Totals],[IVA 10,5]]</f>
        <v>0</v>
      </c>
      <c r="F10" s="14"/>
      <c r="G10" s="35"/>
      <c r="H10" s="36"/>
      <c r="M10"/>
      <c r="S10"/>
      <c r="Y10"/>
      <c r="AE10"/>
    </row>
    <row r="11" spans="1:41" x14ac:dyDescent="0.25">
      <c r="A11" s="26"/>
      <c r="B11" s="26"/>
      <c r="C11" s="27">
        <f>SUM(C3:C10)</f>
        <v>871481.01</v>
      </c>
      <c r="D11" s="27">
        <f t="shared" ref="D11:H11" si="0">SUM(D3:D10)</f>
        <v>183011.01209999999</v>
      </c>
      <c r="E11" s="27">
        <f t="shared" si="0"/>
        <v>0</v>
      </c>
      <c r="F11" s="27">
        <f t="shared" si="0"/>
        <v>38596.559999999998</v>
      </c>
      <c r="G11" s="27"/>
      <c r="H11" s="27">
        <f t="shared" si="0"/>
        <v>0</v>
      </c>
      <c r="M11"/>
      <c r="S11"/>
      <c r="Y11"/>
      <c r="AE11"/>
    </row>
    <row r="12" spans="1:41" x14ac:dyDescent="0.25">
      <c r="A12" s="26"/>
      <c r="B12" s="26"/>
      <c r="G12"/>
      <c r="J12" t="s">
        <v>25</v>
      </c>
      <c r="M12"/>
      <c r="S12"/>
      <c r="V12" t="s">
        <v>25</v>
      </c>
      <c r="Y12"/>
      <c r="AE12"/>
    </row>
    <row r="13" spans="1:41" ht="16.5" customHeight="1" x14ac:dyDescent="0.3">
      <c r="B13" s="41" t="s">
        <v>7</v>
      </c>
      <c r="C13" s="41"/>
      <c r="D13" s="41"/>
      <c r="E13" s="41"/>
      <c r="F13" s="41"/>
      <c r="H13" s="41" t="s">
        <v>26</v>
      </c>
      <c r="I13" s="41"/>
      <c r="J13" s="41"/>
      <c r="K13" s="41"/>
      <c r="L13" s="41"/>
      <c r="N13" s="41" t="s">
        <v>30</v>
      </c>
      <c r="O13" s="41"/>
      <c r="P13" s="41"/>
      <c r="Q13" s="41"/>
      <c r="R13" s="41"/>
      <c r="T13" s="41" t="s">
        <v>24</v>
      </c>
      <c r="U13" s="41"/>
      <c r="V13" s="41"/>
      <c r="W13" s="41"/>
      <c r="X13" s="41"/>
      <c r="Z13" s="41" t="s">
        <v>28</v>
      </c>
      <c r="AA13" s="41"/>
      <c r="AB13" s="41"/>
      <c r="AC13" s="41"/>
      <c r="AD13" s="41"/>
      <c r="AF13" s="41" t="s">
        <v>27</v>
      </c>
      <c r="AG13" s="41"/>
      <c r="AH13" s="41"/>
      <c r="AI13" s="41"/>
      <c r="AJ13" s="41"/>
      <c r="AK13" s="41" t="s">
        <v>32</v>
      </c>
      <c r="AL13" s="41"/>
      <c r="AM13" s="41"/>
      <c r="AN13" s="41"/>
      <c r="AO13" s="41"/>
    </row>
    <row r="14" spans="1:41" s="5" customFormat="1" x14ac:dyDescent="0.25">
      <c r="B14" s="10" t="s">
        <v>2</v>
      </c>
      <c r="C14" s="9" t="s">
        <v>0</v>
      </c>
      <c r="D14" s="9" t="s">
        <v>1</v>
      </c>
      <c r="E14" s="9" t="s">
        <v>3</v>
      </c>
      <c r="F14" s="9" t="s">
        <v>4</v>
      </c>
      <c r="G14" s="7"/>
      <c r="H14" s="12" t="s">
        <v>2</v>
      </c>
      <c r="I14" s="13" t="s">
        <v>0</v>
      </c>
      <c r="J14" s="13" t="s">
        <v>1</v>
      </c>
      <c r="K14" s="13" t="s">
        <v>3</v>
      </c>
      <c r="L14" s="13" t="s">
        <v>4</v>
      </c>
      <c r="M14" s="7"/>
      <c r="N14" s="12" t="s">
        <v>2</v>
      </c>
      <c r="O14" s="13" t="s">
        <v>0</v>
      </c>
      <c r="P14" s="13" t="s">
        <v>1</v>
      </c>
      <c r="Q14" s="13" t="s">
        <v>3</v>
      </c>
      <c r="R14" s="13" t="s">
        <v>4</v>
      </c>
      <c r="S14" s="7"/>
      <c r="T14" s="12" t="s">
        <v>2</v>
      </c>
      <c r="U14" s="13" t="s">
        <v>0</v>
      </c>
      <c r="V14" s="13" t="s">
        <v>1</v>
      </c>
      <c r="W14" s="13" t="s">
        <v>3</v>
      </c>
      <c r="X14" s="13" t="s">
        <v>4</v>
      </c>
      <c r="Y14" s="7"/>
      <c r="Z14" s="12" t="s">
        <v>2</v>
      </c>
      <c r="AA14" s="13" t="s">
        <v>0</v>
      </c>
      <c r="AB14" s="13" t="s">
        <v>1</v>
      </c>
      <c r="AC14" s="13" t="s">
        <v>3</v>
      </c>
      <c r="AD14" s="13" t="s">
        <v>4</v>
      </c>
      <c r="AE14" s="7"/>
      <c r="AF14" s="12" t="s">
        <v>2</v>
      </c>
      <c r="AG14" s="13" t="s">
        <v>0</v>
      </c>
      <c r="AH14" s="13" t="s">
        <v>1</v>
      </c>
      <c r="AI14" s="13" t="s">
        <v>3</v>
      </c>
      <c r="AJ14" s="13" t="s">
        <v>4</v>
      </c>
      <c r="AK14" s="12" t="s">
        <v>2</v>
      </c>
      <c r="AL14" s="13" t="s">
        <v>0</v>
      </c>
      <c r="AM14" s="13" t="s">
        <v>1</v>
      </c>
      <c r="AN14" s="13" t="s">
        <v>3</v>
      </c>
      <c r="AO14" s="13" t="s">
        <v>4</v>
      </c>
    </row>
    <row r="15" spans="1:41" x14ac:dyDescent="0.25">
      <c r="B15" s="2">
        <v>27947.57</v>
      </c>
      <c r="C15" s="2">
        <f>Tabla1316243221222[[#This Row],[COMISIONES]]*0.21</f>
        <v>5868.9897000000001</v>
      </c>
      <c r="D15" s="3"/>
      <c r="E15" s="3">
        <v>23018.12</v>
      </c>
      <c r="F15" s="1"/>
      <c r="G15" s="8"/>
      <c r="H15" s="3">
        <v>2029.57</v>
      </c>
      <c r="I15" s="11">
        <f>Tabla3917253531323[[#This Row],[COMISIONES]]*0.21</f>
        <v>426.2097</v>
      </c>
      <c r="J15" s="11"/>
      <c r="K15" s="11">
        <v>6596.71</v>
      </c>
      <c r="L15" s="3"/>
      <c r="M15" s="8"/>
      <c r="N15">
        <v>69797.350000000006</v>
      </c>
      <c r="O15" s="11">
        <f>Tabla351018263641424[[#This Row],[COMISIONES]]*0.21</f>
        <v>14657.443500000001</v>
      </c>
      <c r="P15" s="11"/>
      <c r="Q15" s="1">
        <v>4479.34</v>
      </c>
      <c r="R15">
        <v>3387.22</v>
      </c>
      <c r="S15" s="8"/>
      <c r="T15" s="11">
        <v>23306</v>
      </c>
      <c r="U15" s="11">
        <f>Tabla3561119273751525[[#This Row],[COMISIONES]]*0.21</f>
        <v>4894.26</v>
      </c>
      <c r="V15" s="11"/>
      <c r="W15" s="11">
        <v>1662.74</v>
      </c>
      <c r="X15" s="11">
        <v>699.18</v>
      </c>
      <c r="Y15" s="8"/>
      <c r="Z15">
        <v>743300.52</v>
      </c>
      <c r="AA15" s="11">
        <f>Tabla35681321293971727[[#This Row],[COMISIONES]]*0.21</f>
        <v>156093.10920000001</v>
      </c>
      <c r="AC15" s="1"/>
      <c r="AE15" s="8"/>
      <c r="AG15" s="11">
        <f>Tabla3568131422304081828[[#This Row],[COMISIONES]]*0.21</f>
        <v>0</v>
      </c>
      <c r="AH15" s="11"/>
      <c r="AI15" s="1"/>
      <c r="AJ15" s="11"/>
      <c r="AK15" s="11">
        <v>1500</v>
      </c>
      <c r="AL15" s="11">
        <f>Tabla3561119273443112131[[#This Row],[COMISIONES]]*0.21</f>
        <v>315</v>
      </c>
      <c r="AM15" s="11"/>
      <c r="AN15" s="11">
        <v>350.24</v>
      </c>
      <c r="AO15" s="11"/>
    </row>
    <row r="16" spans="1:41" x14ac:dyDescent="0.25">
      <c r="B16" s="3"/>
      <c r="C16" s="2">
        <f>Tabla1316243221222[[#This Row],[COMISIONES]]*0.21</f>
        <v>0</v>
      </c>
      <c r="D16" s="3"/>
      <c r="E16" s="3"/>
      <c r="F16" s="3"/>
      <c r="G16" s="8"/>
      <c r="H16" s="11"/>
      <c r="I16" s="11">
        <f>Tabla3917253531323[[#This Row],[COMISIONES]]*0.21</f>
        <v>0</v>
      </c>
      <c r="J16" s="11"/>
      <c r="K16" s="11"/>
      <c r="L16" s="11"/>
      <c r="M16" s="8"/>
      <c r="N16" s="11"/>
      <c r="O16" s="11">
        <f>Tabla351018263641424[[#This Row],[COMISIONES]]*0.21</f>
        <v>0</v>
      </c>
      <c r="P16" s="11"/>
      <c r="Q16" s="1"/>
      <c r="S16" s="8"/>
      <c r="T16" s="11"/>
      <c r="U16" s="11">
        <f>Tabla3561119273751525[[#This Row],[COMISIONES]]*0.21</f>
        <v>0</v>
      </c>
      <c r="V16" s="11"/>
      <c r="W16" s="11"/>
      <c r="X16" s="11"/>
      <c r="Y16" s="8"/>
      <c r="AA16" s="11">
        <f>Tabla35681321293971727[[#This Row],[COMISIONES]]*0.21</f>
        <v>0</v>
      </c>
      <c r="AB16" s="1"/>
      <c r="AC16" s="1"/>
      <c r="AE16" s="8"/>
      <c r="AF16" s="11"/>
      <c r="AG16" s="11">
        <f>Tabla3568131422304081828[[#This Row],[COMISIONES]]*0.21</f>
        <v>0</v>
      </c>
      <c r="AH16" s="11"/>
      <c r="AI16" s="11"/>
      <c r="AJ16" s="11"/>
      <c r="AK16" s="11"/>
      <c r="AL16" s="11">
        <f>Tabla3561119273443112131[[#This Row],[COMISIONES]]*0.21</f>
        <v>0</v>
      </c>
      <c r="AM16" s="11"/>
      <c r="AN16" s="11"/>
      <c r="AO16" s="11"/>
    </row>
    <row r="17" spans="2:41" x14ac:dyDescent="0.25">
      <c r="B17" s="3"/>
      <c r="C17" s="2">
        <f>Tabla1316243221222[[#This Row],[COMISIONES]]*0.21</f>
        <v>0</v>
      </c>
      <c r="D17" s="3"/>
      <c r="E17" s="3"/>
      <c r="F17" s="3"/>
      <c r="H17" s="11"/>
      <c r="I17" s="11">
        <f>Tabla3917253531323[[#This Row],[COMISIONES]]*0.21</f>
        <v>0</v>
      </c>
      <c r="J17" s="11"/>
      <c r="K17" s="11"/>
      <c r="L17" s="11"/>
      <c r="N17" s="1"/>
      <c r="O17" s="11">
        <f>Tabla351018263641424[[#This Row],[COMISIONES]]*0.21</f>
        <v>0</v>
      </c>
      <c r="P17" s="11"/>
      <c r="Q17" s="11"/>
      <c r="R17" s="23"/>
      <c r="T17" s="11"/>
      <c r="U17" s="11">
        <f>Tabla3561119273751525[[#This Row],[COMISIONES]]*0.21</f>
        <v>0</v>
      </c>
      <c r="V17" s="11"/>
      <c r="W17" s="11"/>
      <c r="X17" s="11"/>
      <c r="AA17" s="11">
        <f>Tabla35681321293971727[[#This Row],[COMISIONES]]*0.21</f>
        <v>0</v>
      </c>
      <c r="AB17" s="1"/>
      <c r="AF17" s="11"/>
      <c r="AG17" s="11">
        <f>Tabla3568131422304081828[[#This Row],[COMISIONES]]*0.21</f>
        <v>0</v>
      </c>
      <c r="AH17" s="11"/>
      <c r="AI17" s="11"/>
      <c r="AJ17" s="11"/>
      <c r="AK17" s="11"/>
      <c r="AL17" s="11">
        <f>Tabla3561119273443112131[[#This Row],[COMISIONES]]*0.21</f>
        <v>0</v>
      </c>
      <c r="AM17" s="11"/>
      <c r="AN17" s="11"/>
      <c r="AO17" s="11"/>
    </row>
    <row r="18" spans="2:41" x14ac:dyDescent="0.25">
      <c r="B18" s="3"/>
      <c r="C18" s="2">
        <f>Tabla1316243221222[[#This Row],[COMISIONES]]*0.21</f>
        <v>0</v>
      </c>
      <c r="D18" s="3"/>
      <c r="E18" s="3"/>
      <c r="F18" s="3"/>
      <c r="G18" s="8"/>
      <c r="H18" s="11"/>
      <c r="I18" s="11">
        <f>Tabla3917253531323[[#This Row],[COMISIONES]]*0.21</f>
        <v>0</v>
      </c>
      <c r="J18" s="11"/>
      <c r="K18" s="11"/>
      <c r="L18" s="11"/>
      <c r="M18" s="8"/>
      <c r="N18" s="1"/>
      <c r="O18" s="11">
        <f>Tabla351018263641424[[#This Row],[COMISIONES]]*0.21</f>
        <v>0</v>
      </c>
      <c r="P18" s="11"/>
      <c r="Q18" s="11"/>
      <c r="R18" s="23"/>
      <c r="S18" s="8"/>
      <c r="T18" s="11"/>
      <c r="U18" s="11">
        <f>Tabla3561119273751525[[#This Row],[COMISIONES]]*0.21</f>
        <v>0</v>
      </c>
      <c r="V18" s="11"/>
      <c r="W18" s="11"/>
      <c r="X18" s="11"/>
      <c r="Y18" s="8"/>
      <c r="AA18" s="11">
        <f>Tabla35681321293971727[[#This Row],[COMISIONES]]*0.21</f>
        <v>0</v>
      </c>
      <c r="AB18" s="1"/>
      <c r="AC18" s="1"/>
      <c r="AE18" s="8"/>
      <c r="AF18" s="11"/>
      <c r="AG18" s="11">
        <f>Tabla3568131422304081828[[#This Row],[COMISIONES]]*0.21</f>
        <v>0</v>
      </c>
      <c r="AH18" s="11"/>
      <c r="AI18" s="11"/>
      <c r="AJ18" s="11"/>
      <c r="AK18" s="11"/>
      <c r="AL18" s="11">
        <f>Tabla3561119273443112131[[#This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Tabla1316243221222[[#This Row],[COMISIONES]]*0.21</f>
        <v>0</v>
      </c>
      <c r="D19" s="3"/>
      <c r="E19" s="3"/>
      <c r="F19" s="3"/>
      <c r="H19" s="11"/>
      <c r="I19" s="11">
        <f>Tabla3917253531323[[#This Row],[COMISIONES]]*0.21</f>
        <v>0</v>
      </c>
      <c r="J19" s="11"/>
      <c r="K19" s="11"/>
      <c r="L19" s="11"/>
      <c r="N19" s="1"/>
      <c r="O19" s="11">
        <f>Tabla351018263641424[[#This Row],[COMISIONES]]*0.21</f>
        <v>0</v>
      </c>
      <c r="P19" s="11"/>
      <c r="Q19" s="11"/>
      <c r="R19" s="23"/>
      <c r="T19" s="11"/>
      <c r="U19" s="11">
        <f>Tabla3561119273751525[[#This Row],[COMISIONES]]*0.21</f>
        <v>0</v>
      </c>
      <c r="V19" s="11"/>
      <c r="W19" s="11"/>
      <c r="X19" s="11"/>
      <c r="AA19" s="11">
        <f>Tabla35681321293971727[[#This Row],[COMISIONES]]*0.21</f>
        <v>0</v>
      </c>
      <c r="AB19" s="11"/>
      <c r="AC19" s="1"/>
      <c r="AF19" s="11"/>
      <c r="AG19" s="11">
        <f>Tabla3568131422304081828[[#This Row],[COMISIONES]]*0.21</f>
        <v>0</v>
      </c>
      <c r="AH19" s="11"/>
      <c r="AI19" s="11"/>
      <c r="AJ19" s="11"/>
      <c r="AK19" s="11"/>
      <c r="AL19" s="11">
        <f>Tabla3561119273443112131[[#This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Tabla1316243221222[[#This Row],[COMISIONES]]*0.21</f>
        <v>0</v>
      </c>
      <c r="D20" s="3"/>
      <c r="E20" s="3"/>
      <c r="F20" s="3"/>
      <c r="H20" s="11"/>
      <c r="I20" s="11">
        <f>Tabla3917253531323[[#This Row],[COMISIONES]]*0.21</f>
        <v>0</v>
      </c>
      <c r="J20" s="11"/>
      <c r="K20" s="11"/>
      <c r="L20" s="11"/>
      <c r="N20" s="11"/>
      <c r="O20" s="11">
        <f>Tabla351018263641424[[#This Row],[COMISIONES]]*0.21</f>
        <v>0</v>
      </c>
      <c r="P20" s="11"/>
      <c r="Q20" s="11"/>
      <c r="R20" s="11"/>
      <c r="T20" s="11"/>
      <c r="U20" s="11">
        <f>Tabla3561119273751525[[#This Row],[COMISIONES]]*0.21</f>
        <v>0</v>
      </c>
      <c r="V20" s="11"/>
      <c r="W20" s="11"/>
      <c r="X20" s="11"/>
      <c r="Z20" s="1"/>
      <c r="AA20" s="11">
        <f>Tabla35681321293971727[[#This Row],[COMISIONES]]*0.21</f>
        <v>0</v>
      </c>
      <c r="AB20" s="11"/>
      <c r="AC20" s="1"/>
      <c r="AF20" s="11"/>
      <c r="AG20" s="11">
        <f>Tabla3568131422304081828[[#This Row],[COMISIONES]]*0.21</f>
        <v>0</v>
      </c>
      <c r="AH20" s="11"/>
      <c r="AI20" s="11"/>
      <c r="AJ20" s="11"/>
      <c r="AK20" s="11"/>
      <c r="AL20" s="11">
        <f>Tabla3561119273443112131[[#This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Tabla1316243221222[[#This Row],[COMISIONES]]*0.21</f>
        <v>0</v>
      </c>
      <c r="D21" s="3"/>
      <c r="E21" s="3"/>
      <c r="F21" s="3"/>
      <c r="H21" s="11"/>
      <c r="I21" s="11">
        <f>Tabla3917253531323[[#This Row],[COMISIONES]]*0.21</f>
        <v>0</v>
      </c>
      <c r="J21" s="11"/>
      <c r="K21" s="11"/>
      <c r="L21" s="11"/>
      <c r="N21" s="11"/>
      <c r="O21" s="11">
        <f>Tabla351018263641424[[#This Row],[COMISIONES]]*0.21</f>
        <v>0</v>
      </c>
      <c r="P21" s="11"/>
      <c r="Q21" s="11"/>
      <c r="R21" s="11"/>
      <c r="T21" s="11"/>
      <c r="U21" s="11">
        <f>Tabla3561119273751525[[#This Row],[COMISIONES]]*0.21</f>
        <v>0</v>
      </c>
      <c r="V21" s="11"/>
      <c r="W21" s="11"/>
      <c r="X21" s="11"/>
      <c r="AA21" s="11">
        <f>Tabla35681321293971727[[#This Row],[COMISIONES]]*0.21</f>
        <v>0</v>
      </c>
      <c r="AB21" s="11"/>
      <c r="AC21" s="1"/>
      <c r="AD21" s="11"/>
      <c r="AF21" s="11"/>
      <c r="AG21" s="11">
        <f>Tabla3568131422304081828[[#This Row],[COMISIONES]]*0.21</f>
        <v>0</v>
      </c>
      <c r="AH21" s="11"/>
      <c r="AI21" s="11"/>
      <c r="AJ21" s="11"/>
      <c r="AK21" s="11"/>
      <c r="AL21" s="11">
        <f>Tabla3561119273443112131[[#This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Tabla1316243221222[[#This Row],[COMISIONES]]*0.21</f>
        <v>0</v>
      </c>
      <c r="D22" s="3"/>
      <c r="E22" s="3"/>
      <c r="F22" s="3"/>
      <c r="H22" s="11"/>
      <c r="I22" s="11">
        <f>Tabla3917253531323[[#This Row],[COMISIONES]]*0.21</f>
        <v>0</v>
      </c>
      <c r="J22" s="11"/>
      <c r="K22" s="11"/>
      <c r="L22" s="11"/>
      <c r="N22" s="11"/>
      <c r="O22" s="11">
        <f>Tabla351018263641424[[#This Row],[COMISIONES]]*0.21</f>
        <v>0</v>
      </c>
      <c r="P22" s="11"/>
      <c r="Q22" s="11"/>
      <c r="R22" s="11"/>
      <c r="T22" s="11"/>
      <c r="U22" s="11">
        <f>Tabla3561119273751525[[#This Row],[COMISIONES]]*0.21</f>
        <v>0</v>
      </c>
      <c r="V22" s="11"/>
      <c r="W22" s="11"/>
      <c r="X22" s="11"/>
      <c r="Z22" s="1"/>
      <c r="AA22" s="11">
        <f>Tabla35681321293971727[[#This Row],[COMISIONES]]*0.21</f>
        <v>0</v>
      </c>
      <c r="AB22" s="11"/>
      <c r="AC22" s="1"/>
      <c r="AD22" s="11"/>
      <c r="AF22" s="11"/>
      <c r="AG22" s="11">
        <f>Tabla3568131422304081828[[#This Row],[COMISIONES]]*0.21</f>
        <v>0</v>
      </c>
      <c r="AH22" s="11"/>
      <c r="AI22" s="11"/>
      <c r="AJ22" s="11"/>
      <c r="AK22" s="11"/>
      <c r="AL22" s="11">
        <f>Tabla3561119273443112131[[#This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Tabla1316243221222[[#This Row],[COMISIONES]]*0.21</f>
        <v>0</v>
      </c>
      <c r="D23" s="3"/>
      <c r="E23" s="3"/>
      <c r="F23" s="3"/>
      <c r="H23" s="11"/>
      <c r="I23" s="11">
        <f>Tabla3917253531323[[#This Row],[COMISIONES]]*0.21</f>
        <v>0</v>
      </c>
      <c r="J23" s="11"/>
      <c r="K23" s="11"/>
      <c r="L23" s="11"/>
      <c r="N23" s="11"/>
      <c r="O23" s="11">
        <f>Tabla351018263641424[[#This Row],[COMISIONES]]*0.21</f>
        <v>0</v>
      </c>
      <c r="P23" s="11"/>
      <c r="Q23" s="11"/>
      <c r="R23" s="11"/>
      <c r="T23" s="11"/>
      <c r="U23" s="11">
        <f>Tabla3561119273751525[[#This Row],[COMISIONES]]*0.21</f>
        <v>0</v>
      </c>
      <c r="V23" s="11"/>
      <c r="W23" s="11"/>
      <c r="X23" s="11"/>
      <c r="Z23" s="1"/>
      <c r="AA23" s="11">
        <f>Tabla35681321293971727[[#This Row],[COMISIONES]]*0.21</f>
        <v>0</v>
      </c>
      <c r="AB23" s="11"/>
      <c r="AC23" s="1"/>
      <c r="AD23" s="11"/>
      <c r="AF23" s="11"/>
      <c r="AG23" s="11">
        <f>Tabla3568131422304081828[[#This Row],[COMISIONES]]*0.21</f>
        <v>0</v>
      </c>
      <c r="AH23" s="11"/>
      <c r="AI23" s="11"/>
      <c r="AJ23" s="11"/>
      <c r="AK23" s="11"/>
      <c r="AL23" s="11">
        <f>Tabla3561119273443112131[[#This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Tabla1316243221222[[#This Row],[COMISIONES]]*0.21</f>
        <v>0</v>
      </c>
      <c r="D24" s="3"/>
      <c r="E24" s="3"/>
      <c r="F24" s="3"/>
      <c r="H24" s="11"/>
      <c r="I24" s="11">
        <f>Tabla3917253531323[[#This Row],[COMISIONES]]*0.21</f>
        <v>0</v>
      </c>
      <c r="J24" s="11"/>
      <c r="K24" s="11"/>
      <c r="L24" s="11"/>
      <c r="N24" s="11"/>
      <c r="O24" s="11">
        <f>Tabla351018263641424[[#This Row],[COMISIONES]]*0.21</f>
        <v>0</v>
      </c>
      <c r="P24" s="11"/>
      <c r="Q24" s="11"/>
      <c r="R24" s="11"/>
      <c r="T24" s="11"/>
      <c r="U24" s="11">
        <f>Tabla3561119273751525[[#This Row],[COMISIONES]]*0.21</f>
        <v>0</v>
      </c>
      <c r="V24" s="11"/>
      <c r="W24" s="11"/>
      <c r="X24" s="11"/>
      <c r="AA24" s="11">
        <f>Tabla35681321293971727[[#This Row],[COMISIONES]]*0.21</f>
        <v>0</v>
      </c>
      <c r="AB24" s="11"/>
      <c r="AC24" s="1"/>
      <c r="AD24" s="11"/>
      <c r="AF24" s="11"/>
      <c r="AG24" s="11">
        <f>Tabla3568131422304081828[[#This Row],[COMISIONES]]*0.21</f>
        <v>0</v>
      </c>
      <c r="AH24" s="11"/>
      <c r="AI24" s="11"/>
      <c r="AJ24" s="11"/>
      <c r="AK24" s="11"/>
      <c r="AL24" s="11">
        <f>Tabla3561119273443112131[[#This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Tabla1316243221222[[#This Row],[COMISIONES]]*0.21</f>
        <v>0</v>
      </c>
      <c r="D25" s="3"/>
      <c r="E25" s="3"/>
      <c r="F25" s="3"/>
      <c r="H25" s="11"/>
      <c r="I25" s="11">
        <f>Tabla3917253531323[[#This Row],[COMISIONES]]*0.21</f>
        <v>0</v>
      </c>
      <c r="J25" s="11"/>
      <c r="K25" s="11"/>
      <c r="L25" s="11"/>
      <c r="N25" s="11"/>
      <c r="O25" s="11">
        <f>Tabla351018263641424[[#This Row],[COMISIONES]]*0.21</f>
        <v>0</v>
      </c>
      <c r="P25" s="11"/>
      <c r="Q25" s="11"/>
      <c r="R25" s="11"/>
      <c r="T25" s="11"/>
      <c r="U25" s="11">
        <f>Tabla3561119273751525[[#This Row],[COMISIONES]]*0.21</f>
        <v>0</v>
      </c>
      <c r="V25" s="11"/>
      <c r="W25" s="11"/>
      <c r="X25" s="11"/>
      <c r="AA25" s="11">
        <f>Tabla35681321293971727[[#This Row],[COMISIONES]]*0.21</f>
        <v>0</v>
      </c>
      <c r="AB25" s="11"/>
      <c r="AC25" s="1"/>
      <c r="AD25" s="11"/>
      <c r="AF25" s="4">
        <f>SUBTOTAL(109,Tabla3568131422304081828[COMISIONES])</f>
        <v>0</v>
      </c>
      <c r="AG25" s="4">
        <f>SUBTOTAL(109,Tabla3568131422304081828[IVA 21])</f>
        <v>0</v>
      </c>
      <c r="AH25" s="4">
        <f>SUBTOTAL(109,Tabla3568131422304081828[IVA 10,5])</f>
        <v>0</v>
      </c>
      <c r="AI25" s="4">
        <f>SUBTOTAL(109,Tabla3568131422304081828[Ret IIBB Caba])</f>
        <v>0</v>
      </c>
      <c r="AJ25" s="4">
        <f>SUBTOTAL(109,Tabla3568131422304081828[PERC IVA])</f>
        <v>0</v>
      </c>
      <c r="AK25" s="11"/>
      <c r="AL25" s="11">
        <f>Tabla3561119273443112131[[#This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Tabla1316243221222[[#This Row],[COMISIONES]]*0.21</f>
        <v>0</v>
      </c>
      <c r="D26" s="3"/>
      <c r="E26" s="3"/>
      <c r="F26" s="3"/>
      <c r="H26" s="11"/>
      <c r="I26" s="11">
        <f>Tabla3917253531323[[#This Row],[COMISIONES]]*0.21</f>
        <v>0</v>
      </c>
      <c r="J26" s="11"/>
      <c r="K26" s="11"/>
      <c r="L26" s="11"/>
      <c r="N26" s="11"/>
      <c r="O26" s="11">
        <f>Tabla351018263641424[[#This Row],[COMISIONES]]*0.21</f>
        <v>0</v>
      </c>
      <c r="P26" s="11"/>
      <c r="Q26" s="11"/>
      <c r="R26" s="11"/>
      <c r="T26" s="11"/>
      <c r="U26" s="11">
        <f>Tabla3561119273751525[[#This Row],[COMISIONES]]*0.21</f>
        <v>0</v>
      </c>
      <c r="V26" s="11"/>
      <c r="W26" s="11"/>
      <c r="X26" s="11"/>
      <c r="Z26" s="1"/>
      <c r="AA26" s="11">
        <f>Tabla35681321293971727[[#This Row],[COMISIONES]]*0.21</f>
        <v>0</v>
      </c>
      <c r="AB26" s="11"/>
      <c r="AC26" s="1"/>
      <c r="AK26" s="11"/>
      <c r="AL26" s="11">
        <f>Tabla3561119273443112131[[#This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Tabla1316243221222[[#This Row],[COMISIONES]]*0.21</f>
        <v>0</v>
      </c>
      <c r="D27" s="3"/>
      <c r="E27" s="3"/>
      <c r="F27" s="3"/>
      <c r="H27" s="11"/>
      <c r="I27" s="11">
        <f>Tabla3917253531323[[#This Row],[COMISIONES]]*0.21</f>
        <v>0</v>
      </c>
      <c r="J27" s="11"/>
      <c r="K27" s="11"/>
      <c r="L27" s="11"/>
      <c r="N27" s="11"/>
      <c r="O27" s="11">
        <f>Tabla351018263641424[[#This Row],[COMISIONES]]*0.21</f>
        <v>0</v>
      </c>
      <c r="P27" s="11"/>
      <c r="Q27" s="11"/>
      <c r="R27" s="11"/>
      <c r="T27" s="11"/>
      <c r="U27" s="11">
        <f>Tabla3561119273751525[[#This Row],[COMISIONES]]*0.21</f>
        <v>0</v>
      </c>
      <c r="V27" s="11"/>
      <c r="W27" s="11"/>
      <c r="X27" s="11"/>
      <c r="AA27" s="11">
        <f>Tabla35681321293971727[[#This Row],[COMISIONES]]*0.21</f>
        <v>0</v>
      </c>
      <c r="AB27" s="1"/>
      <c r="AC27" s="1"/>
      <c r="AD27" s="11"/>
      <c r="AK27" s="11"/>
      <c r="AL27" s="11">
        <f>Tabla3561119273443112131[[#This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Tabla1316243221222[[#This Row],[COMISIONES]]*0.21</f>
        <v>0</v>
      </c>
      <c r="D28" s="3"/>
      <c r="E28" s="3"/>
      <c r="F28" s="3"/>
      <c r="H28" s="11"/>
      <c r="I28" s="11">
        <f>Tabla3917253531323[[#This Row],[COMISIONES]]*0.21</f>
        <v>0</v>
      </c>
      <c r="J28" s="11"/>
      <c r="K28" s="11"/>
      <c r="L28" s="11"/>
      <c r="N28" s="11"/>
      <c r="O28" s="11">
        <f>Tabla351018263641424[[#This Row],[COMISIONES]]*0.21</f>
        <v>0</v>
      </c>
      <c r="P28" s="11"/>
      <c r="Q28" s="11"/>
      <c r="R28" s="11"/>
      <c r="T28" s="18"/>
      <c r="U28" s="18">
        <f>Tabla3561119273751525[[#This Row],[COMISIONES]]*0.21</f>
        <v>0</v>
      </c>
      <c r="V28" s="18"/>
      <c r="W28" s="18"/>
      <c r="X28" s="18"/>
      <c r="AA28" s="11">
        <f>Tabla35681321293971727[[#This Row],[COMISIONES]]*0.21</f>
        <v>0</v>
      </c>
      <c r="AB28" s="11"/>
      <c r="AD28" s="11"/>
      <c r="AK28" s="18"/>
      <c r="AL28" s="18">
        <f>Tabla3561119273443112131[[#This Row],[COMISIONES]]*0.21</f>
        <v>0</v>
      </c>
      <c r="AM28" s="18"/>
      <c r="AN28" s="18"/>
      <c r="AO28" s="18"/>
    </row>
    <row r="29" spans="2:41" x14ac:dyDescent="0.25">
      <c r="B29" s="3"/>
      <c r="C29" s="2">
        <f>Tabla1316243221222[[#This Row],[COMISIONES]]*0.21</f>
        <v>0</v>
      </c>
      <c r="D29" s="3"/>
      <c r="E29" s="3"/>
      <c r="F29" s="3"/>
      <c r="H29" s="11"/>
      <c r="I29" s="11">
        <f>Tabla3917253531323[[#This Row],[COMISIONES]]*0.21</f>
        <v>0</v>
      </c>
      <c r="J29" s="11"/>
      <c r="K29" s="11"/>
      <c r="L29" s="11"/>
      <c r="N29" s="11"/>
      <c r="O29" s="11">
        <f>Tabla351018263641424[[#This Row],[COMISIONES]]*0.21</f>
        <v>0</v>
      </c>
      <c r="P29" s="11"/>
      <c r="Q29" s="11"/>
      <c r="R29" s="11"/>
      <c r="T29" s="18"/>
      <c r="U29" s="18">
        <f>Tabla3561119273751525[[#This Row],[COMISIONES]]*0.21</f>
        <v>0</v>
      </c>
      <c r="V29" s="18"/>
      <c r="W29" s="18"/>
      <c r="X29" s="18"/>
      <c r="Z29" s="1"/>
      <c r="AA29" s="11">
        <f>Tabla35681321293971727[[#This Row],[COMISIONES]]*0.21</f>
        <v>0</v>
      </c>
      <c r="AB29" s="11"/>
      <c r="AC29" s="11"/>
      <c r="AD29" s="11"/>
      <c r="AK29" s="18"/>
      <c r="AL29" s="18">
        <f>Tabla3561119273443112131[[#This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Tabla1316243221222[[#This Row],[COMISIONES]]*0.21</f>
        <v>0</v>
      </c>
      <c r="D30" s="3"/>
      <c r="E30" s="1"/>
      <c r="F30" s="3"/>
      <c r="H30" s="11"/>
      <c r="I30" s="11">
        <f>Tabla3917253531323[[#This Row],[COMISIONES]]*0.21</f>
        <v>0</v>
      </c>
      <c r="J30" s="11"/>
      <c r="K30" s="11"/>
      <c r="L30" s="11"/>
      <c r="N30" s="11"/>
      <c r="O30" s="11">
        <f>Tabla351018263641424[[#This Row],[COMISIONES]]*0.21</f>
        <v>0</v>
      </c>
      <c r="P30" s="11"/>
      <c r="Q30" s="11"/>
      <c r="R30" s="11"/>
      <c r="T30" s="4">
        <f>SUBTOTAL(109,Tabla3561119273751525[COMISIONES])</f>
        <v>23306</v>
      </c>
      <c r="U30" s="4">
        <f>SUBTOTAL(109,Tabla3561119273751525[IVA 21])</f>
        <v>4894.26</v>
      </c>
      <c r="V30" s="4">
        <f>SUBTOTAL(109,Tabla3561119273751525[IVA 10,5])</f>
        <v>0</v>
      </c>
      <c r="W30" s="4">
        <f>SUBTOTAL(109,Tabla3561119273751525[Ret IIBB Caba])</f>
        <v>1662.74</v>
      </c>
      <c r="X30" s="4">
        <f>SUBTOTAL(109,Tabla3561119273751525[PERC IVA])</f>
        <v>699.18</v>
      </c>
      <c r="Z30" s="1"/>
      <c r="AA30" s="11">
        <f>Tabla35681321293971727[[#This Row],[COMISIONES]]*0.21</f>
        <v>0</v>
      </c>
      <c r="AB30" s="11"/>
      <c r="AC30" s="1"/>
      <c r="AK30" s="4">
        <f>SUBTOTAL(109,Tabla3561119273443112131[COMISIONES])</f>
        <v>1500</v>
      </c>
      <c r="AL30" s="4">
        <f>SUBTOTAL(109,Tabla3561119273443112131[IVA 21])</f>
        <v>315</v>
      </c>
      <c r="AM30" s="4">
        <f>SUBTOTAL(109,Tabla3561119273443112131[IVA 10,5])</f>
        <v>0</v>
      </c>
      <c r="AN30" s="4">
        <f>SUBTOTAL(109,Tabla3561119273443112131[Ret IIBB Caba])</f>
        <v>350.24</v>
      </c>
      <c r="AO30" s="4">
        <f>SUBTOTAL(109,Tabla3561119273443112131[PERC IVA])</f>
        <v>0</v>
      </c>
    </row>
    <row r="31" spans="2:41" ht="18.75" x14ac:dyDescent="0.3">
      <c r="B31" s="3"/>
      <c r="C31" s="2">
        <f>Tabla1316243221222[[#This Row],[COMISIONES]]*0.21</f>
        <v>0</v>
      </c>
      <c r="D31" s="3"/>
      <c r="E31" s="3"/>
      <c r="F31" s="3"/>
      <c r="H31" s="11"/>
      <c r="I31" s="11">
        <f>Tabla3917253531323[[#This Row],[COMISIONES]]*0.21</f>
        <v>0</v>
      </c>
      <c r="J31" s="11"/>
      <c r="K31" s="11"/>
      <c r="L31" s="11"/>
      <c r="N31" s="11"/>
      <c r="O31" s="11">
        <f>Tabla351018263641424[[#This Row],[COMISIONES]]*0.21</f>
        <v>0</v>
      </c>
      <c r="P31" s="11"/>
      <c r="Q31" s="11"/>
      <c r="R31" s="11"/>
      <c r="T31" s="42" t="s">
        <v>15</v>
      </c>
      <c r="U31" s="42"/>
      <c r="V31" s="42"/>
      <c r="W31" s="42"/>
      <c r="X31" s="42"/>
      <c r="Z31" s="1"/>
      <c r="AA31" s="11">
        <f>Tabla35681321293971727[[#This Row],[COMISIONES]]*0.21</f>
        <v>0</v>
      </c>
      <c r="AB31" s="11"/>
      <c r="AC31" s="11"/>
      <c r="AD31" s="11"/>
    </row>
    <row r="32" spans="2:41" x14ac:dyDescent="0.25">
      <c r="B32" s="3"/>
      <c r="C32" s="2">
        <f>Tabla1316243221222[[#This Row],[COMISIONES]]*0.21</f>
        <v>0</v>
      </c>
      <c r="D32" s="3"/>
      <c r="E32" s="3"/>
      <c r="F32" s="3"/>
      <c r="H32" s="11"/>
      <c r="I32" s="11">
        <f>Tabla3917253531323[[#This Row],[COMISIONES]]*0.21</f>
        <v>0</v>
      </c>
      <c r="J32" s="11"/>
      <c r="K32" s="11"/>
      <c r="L32" s="11"/>
      <c r="N32" s="11"/>
      <c r="O32" s="11">
        <f>Tabla351018263641424[[#This Row],[COMISIONES]]*0.21</f>
        <v>0</v>
      </c>
      <c r="P32" s="11"/>
      <c r="Q32" s="11"/>
      <c r="R32" s="11"/>
      <c r="T32" s="12" t="s">
        <v>2</v>
      </c>
      <c r="U32" s="13" t="s">
        <v>0</v>
      </c>
      <c r="V32" s="13" t="s">
        <v>1</v>
      </c>
      <c r="W32" s="13" t="s">
        <v>3</v>
      </c>
      <c r="X32" s="13" t="s">
        <v>4</v>
      </c>
      <c r="Z32" s="1"/>
      <c r="AA32" s="11">
        <f>Tabla35681321293971727[[#This Row],[COMISIONES]]*0.21</f>
        <v>0</v>
      </c>
      <c r="AB32" s="11"/>
      <c r="AC32" s="11"/>
      <c r="AD32" s="11"/>
    </row>
    <row r="33" spans="2:31" x14ac:dyDescent="0.25">
      <c r="B33" s="3"/>
      <c r="C33" s="2">
        <f>Tabla1316243221222[[#This Row],[COMISIONES]]*0.21</f>
        <v>0</v>
      </c>
      <c r="D33" s="3"/>
      <c r="E33" s="3"/>
      <c r="F33" s="3"/>
      <c r="H33" s="11"/>
      <c r="I33" s="11">
        <f>Tabla3917253531323[[#This Row],[COMISIONES]]*0.21</f>
        <v>0</v>
      </c>
      <c r="J33" s="11"/>
      <c r="K33" s="11"/>
      <c r="L33" s="11"/>
      <c r="N33" s="11"/>
      <c r="O33" s="11">
        <f>Tabla351018263641424[[#This Row],[COMISIONES]]*0.21</f>
        <v>0</v>
      </c>
      <c r="P33" s="11"/>
      <c r="Q33" s="11"/>
      <c r="R33" s="11"/>
      <c r="T33" s="11">
        <v>3600</v>
      </c>
      <c r="U33" s="11">
        <f>Tabla61220283861626[[#This Row],[COMISIONES]]*0.21</f>
        <v>756</v>
      </c>
      <c r="V33" s="11"/>
      <c r="W33" s="11">
        <v>2839.65</v>
      </c>
      <c r="X33" s="11">
        <v>108</v>
      </c>
      <c r="AA33" s="11">
        <f>Tabla35681321293971727[[#This Row],[COMISIONES]]*0.21</f>
        <v>0</v>
      </c>
      <c r="AB33" s="11"/>
      <c r="AC33" s="11"/>
      <c r="AD33" s="11"/>
    </row>
    <row r="34" spans="2:31" x14ac:dyDescent="0.25">
      <c r="B34" s="3"/>
      <c r="C34" s="2">
        <f>Tabla1316243221222[[#This Row],[COMISIONES]]*0.21</f>
        <v>0</v>
      </c>
      <c r="D34" s="3"/>
      <c r="E34" s="3"/>
      <c r="F34" s="3"/>
      <c r="H34" s="11"/>
      <c r="I34" s="11">
        <f>Tabla3917253531323[[#This Row],[COMISIONES]]*0.21</f>
        <v>0</v>
      </c>
      <c r="J34" s="11"/>
      <c r="K34" s="11"/>
      <c r="L34" s="11"/>
      <c r="N34" s="11"/>
      <c r="O34" s="11">
        <f>Tabla351018263641424[[#This Row],[COMISIONES]]*0.21</f>
        <v>0</v>
      </c>
      <c r="P34" s="11"/>
      <c r="Q34" s="11"/>
      <c r="R34" s="11"/>
      <c r="T34" s="11"/>
      <c r="U34" s="11">
        <f>Tabla61220283861626[[#This Row],[COMISIONES]]*0.21</f>
        <v>0</v>
      </c>
      <c r="V34" s="11"/>
      <c r="W34" s="11"/>
      <c r="X34" s="11"/>
      <c r="Z34" s="1"/>
      <c r="AA34" s="11">
        <f>Tabla35681321293971727[[#This Row],[COMISIONES]]*0.21</f>
        <v>0</v>
      </c>
      <c r="AB34" s="11"/>
      <c r="AC34" s="11"/>
      <c r="AD34" s="11"/>
    </row>
    <row r="35" spans="2:31" x14ac:dyDescent="0.25">
      <c r="B35" s="3"/>
      <c r="C35" s="2">
        <f>Tabla1316243221222[[#This Row],[COMISIONES]]*0.21</f>
        <v>0</v>
      </c>
      <c r="D35" s="3"/>
      <c r="E35" s="3"/>
      <c r="F35" s="3"/>
      <c r="H35" s="11"/>
      <c r="I35" s="11">
        <f>Tabla3917253531323[[#This Row],[COMISIONES]]*0.21</f>
        <v>0</v>
      </c>
      <c r="J35" s="11"/>
      <c r="K35" s="11"/>
      <c r="L35" s="11"/>
      <c r="N35" s="11"/>
      <c r="O35" s="11">
        <f>Tabla351018263641424[[#This Row],[COMISIONES]]*0.21</f>
        <v>0</v>
      </c>
      <c r="P35" s="11"/>
      <c r="Q35" s="11"/>
      <c r="R35" s="11"/>
      <c r="T35" s="11"/>
      <c r="U35" s="19">
        <f>Tabla61220283861626[[#This Row],[COMISIONES]]*0.21</f>
        <v>0</v>
      </c>
      <c r="Z35" s="1"/>
      <c r="AA35" s="11">
        <f>Tabla35681321293971727[[#This Row],[COMISIONES]]*0.21</f>
        <v>0</v>
      </c>
      <c r="AB35" s="11"/>
      <c r="AC35" s="11"/>
      <c r="AD35" s="11"/>
    </row>
    <row r="36" spans="2:31" x14ac:dyDescent="0.25">
      <c r="B36" s="3"/>
      <c r="C36" s="2">
        <f>Tabla1316243221222[[#This Row],[COMISIONES]]*0.21</f>
        <v>0</v>
      </c>
      <c r="D36" s="3"/>
      <c r="E36" s="3"/>
      <c r="F36" s="3"/>
      <c r="H36" s="11"/>
      <c r="I36" s="11">
        <f>Tabla3917253531323[[#This Row],[COMISIONES]]*0.21</f>
        <v>0</v>
      </c>
      <c r="J36" s="11"/>
      <c r="K36" s="11"/>
      <c r="L36" s="11"/>
      <c r="N36" s="11"/>
      <c r="O36" s="11">
        <f>Tabla351018263641424[[#This Row],[COMISIONES]]*0.21</f>
        <v>0</v>
      </c>
      <c r="P36" s="11"/>
      <c r="Q36" s="11"/>
      <c r="R36" s="11"/>
      <c r="T36" s="11"/>
      <c r="U36" s="19">
        <f>Tabla61220283861626[[#This Row],[COMISIONES]]*0.21</f>
        <v>0</v>
      </c>
      <c r="AA36" s="21">
        <f>Tabla35681321293971727[[#This Row],[COMISIONES]]*0.21</f>
        <v>0</v>
      </c>
      <c r="AB36" s="21"/>
      <c r="AC36" s="21"/>
      <c r="AD36" s="22"/>
    </row>
    <row r="37" spans="2:31" x14ac:dyDescent="0.25">
      <c r="B37" s="3"/>
      <c r="C37" s="2">
        <f>Tabla1316243221222[[#This Row],[COMISIONES]]*0.21</f>
        <v>0</v>
      </c>
      <c r="D37" s="3"/>
      <c r="E37" s="3"/>
      <c r="F37" s="3"/>
      <c r="H37" s="11"/>
      <c r="I37" s="11">
        <f>Tabla3917253531323[[#This Row],[COMISIONES]]*0.21</f>
        <v>0</v>
      </c>
      <c r="J37" s="11"/>
      <c r="K37" s="11"/>
      <c r="L37" s="11"/>
      <c r="N37" s="11"/>
      <c r="O37" s="11">
        <f>Tabla351018263641424[[#This Row],[COMISIONES]]*0.21</f>
        <v>0</v>
      </c>
      <c r="P37" s="11"/>
      <c r="Q37" s="11"/>
      <c r="R37" s="11"/>
      <c r="T37" s="11"/>
      <c r="U37" s="19">
        <f>Tabla61220283861626[[#This Row],[COMISIONES]]*0.21</f>
        <v>0</v>
      </c>
      <c r="AA37" s="21">
        <f>Tabla35681321293971727[[#This Row],[COMISIONES]]*0.21</f>
        <v>0</v>
      </c>
      <c r="AB37" s="1"/>
      <c r="AC37" s="1"/>
    </row>
    <row r="38" spans="2:31" x14ac:dyDescent="0.25">
      <c r="B38" s="3"/>
      <c r="C38" s="2">
        <f>Tabla1316243221222[[#This Row],[COMISIONES]]*0.21</f>
        <v>0</v>
      </c>
      <c r="D38" s="3"/>
      <c r="E38" s="3"/>
      <c r="F38" s="3"/>
      <c r="H38" s="11"/>
      <c r="I38" s="11">
        <f>Tabla3917253531323[[#This Row],[COMISIONES]]*0.21</f>
        <v>0</v>
      </c>
      <c r="J38" s="11"/>
      <c r="K38" s="11"/>
      <c r="L38" s="11"/>
      <c r="N38" s="11"/>
      <c r="O38" s="11">
        <f>Tabla351018263641424[[#This Row],[COMISIONES]]*0.21</f>
        <v>0</v>
      </c>
      <c r="P38" s="11"/>
      <c r="Q38" s="11"/>
      <c r="R38" s="11"/>
      <c r="T38" s="11"/>
      <c r="U38" s="19">
        <f>Tabla61220283861626[[#This Row],[COMISIONES]]*0.21</f>
        <v>0</v>
      </c>
      <c r="AA38" s="21">
        <f>Tabla35681321293971727[[#This Row],[COMISIONES]]*0.21</f>
        <v>0</v>
      </c>
      <c r="AB38" s="21"/>
      <c r="AC38" s="21"/>
      <c r="AD38" s="21"/>
    </row>
    <row r="39" spans="2:31" x14ac:dyDescent="0.25">
      <c r="B39" s="3"/>
      <c r="C39" s="2">
        <f>Tabla1316243221222[[#This Row],[COMISIONES]]*0.21</f>
        <v>0</v>
      </c>
      <c r="D39" s="3"/>
      <c r="E39" s="3"/>
      <c r="F39" s="3"/>
      <c r="H39" s="11"/>
      <c r="I39" s="11">
        <f>Tabla3917253531323[[#This Row],[COMISIONES]]*0.21</f>
        <v>0</v>
      </c>
      <c r="J39" s="11"/>
      <c r="K39" s="11"/>
      <c r="L39" s="11"/>
      <c r="N39" s="11"/>
      <c r="O39" s="11">
        <f>Tabla351018263641424[[#This Row],[COMISIONES]]*0.21</f>
        <v>0</v>
      </c>
      <c r="P39" s="11"/>
      <c r="Q39" s="11"/>
      <c r="R39" s="11"/>
      <c r="T39" s="11"/>
      <c r="U39" s="19">
        <f>Tabla61220283861626[[#This Row],[COMISIONES]]*0.21</f>
        <v>0</v>
      </c>
      <c r="Z39" s="1"/>
      <c r="AA39" s="21">
        <f>Tabla35681321293971727[[#This Row],[COMISIONES]]*0.21</f>
        <v>0</v>
      </c>
      <c r="AB39" s="21"/>
      <c r="AC39" s="21"/>
      <c r="AD39" s="21"/>
    </row>
    <row r="40" spans="2:31" x14ac:dyDescent="0.25">
      <c r="B40" s="3"/>
      <c r="C40" s="2">
        <f>Tabla1316243221222[[#This Row],[COMISIONES]]*0.21</f>
        <v>0</v>
      </c>
      <c r="D40" s="3"/>
      <c r="E40" s="3"/>
      <c r="F40" s="3"/>
      <c r="H40" s="18"/>
      <c r="I40" s="18">
        <f>Tabla3917253531323[[#This Row],[COMISIONES]]*0.21</f>
        <v>0</v>
      </c>
      <c r="J40" s="18"/>
      <c r="K40" s="18"/>
      <c r="L40" s="18"/>
      <c r="N40" s="11"/>
      <c r="O40" s="11">
        <f>Tabla351018263641424[[#This Row],[COMISIONES]]*0.21</f>
        <v>0</v>
      </c>
      <c r="P40" s="11"/>
      <c r="Q40" s="11"/>
      <c r="R40" s="11"/>
      <c r="T40" s="11"/>
      <c r="U40" s="19">
        <f>Tabla61220283861626[[#This Row],[COMISIONES]]*0.21</f>
        <v>0</v>
      </c>
      <c r="Z40" s="1"/>
      <c r="AA40" s="21">
        <f>Tabla35681321293971727[[#This Row],[COMISIONES]]*0.21</f>
        <v>0</v>
      </c>
      <c r="AB40" s="21"/>
      <c r="AC40" s="21"/>
      <c r="AD40" s="21"/>
    </row>
    <row r="41" spans="2:31" x14ac:dyDescent="0.25">
      <c r="B41" s="3"/>
      <c r="C41" s="2">
        <f>Tabla1316243221222[[#This Row],[COMISIONES]]*0.21</f>
        <v>0</v>
      </c>
      <c r="D41" s="3"/>
      <c r="E41" s="3"/>
      <c r="F41" s="3"/>
      <c r="H41" s="18"/>
      <c r="I41" s="18">
        <f>Tabla3917253531323[[#This Row],[COMISIONES]]*0.21</f>
        <v>0</v>
      </c>
      <c r="J41" s="18"/>
      <c r="K41" s="18"/>
      <c r="L41" s="18"/>
      <c r="N41" s="11"/>
      <c r="O41" s="11">
        <f>Tabla351018263641424[[#This Row],[COMISIONES]]*0.21</f>
        <v>0</v>
      </c>
      <c r="P41" s="11"/>
      <c r="Q41" s="11"/>
      <c r="R41" s="11"/>
      <c r="T41" s="11"/>
      <c r="U41" s="19">
        <f>Tabla61220283861626[[#This Row],[COMISIONES]]*0.21</f>
        <v>0</v>
      </c>
      <c r="AA41" s="21">
        <f>Tabla35681321293971727[[#This Row],[COMISIONES]]*0.21</f>
        <v>0</v>
      </c>
      <c r="AB41" s="21"/>
      <c r="AC41" s="21"/>
      <c r="AD41" s="21"/>
    </row>
    <row r="42" spans="2:31" x14ac:dyDescent="0.25">
      <c r="B42" s="3"/>
      <c r="C42" s="2">
        <f>Tabla1316243221222[[#This Row],[COMISIONES]]*0.21</f>
        <v>0</v>
      </c>
      <c r="D42" s="3"/>
      <c r="E42" s="3"/>
      <c r="F42" s="3"/>
      <c r="G42" s="8"/>
      <c r="H42" s="18"/>
      <c r="I42" s="18">
        <f>Tabla3917253531323[[#This Row],[COMISIONES]]*0.21</f>
        <v>0</v>
      </c>
      <c r="J42" s="18"/>
      <c r="K42" s="18"/>
      <c r="L42" s="18"/>
      <c r="M42" s="8"/>
      <c r="N42" s="11"/>
      <c r="O42" s="11">
        <f>Tabla351018263641424[[#This Row],[COMISIONES]]*0.21</f>
        <v>0</v>
      </c>
      <c r="P42" s="11"/>
      <c r="Q42" s="11"/>
      <c r="R42" s="11"/>
      <c r="S42" s="8"/>
      <c r="T42" s="11"/>
      <c r="U42" s="19">
        <f>Tabla61220283861626[[#This Row],[COMISIONES]]*0.21</f>
        <v>0</v>
      </c>
      <c r="Y42" s="8"/>
      <c r="AA42" s="21">
        <f>Tabla35681321293971727[[#This Row],[COMISIONES]]*0.21</f>
        <v>0</v>
      </c>
      <c r="AB42" s="21"/>
      <c r="AC42" s="21"/>
      <c r="AD42" s="21"/>
      <c r="AE42" s="8"/>
    </row>
    <row r="43" spans="2:31" x14ac:dyDescent="0.25">
      <c r="B43" s="3"/>
      <c r="C43" s="2">
        <f>Tabla1316243221222[[#This Row],[COMISIONES]]*0.21</f>
        <v>0</v>
      </c>
      <c r="D43" s="3"/>
      <c r="E43" s="3"/>
      <c r="F43" s="3"/>
      <c r="H43" s="18"/>
      <c r="I43" s="18">
        <f>Tabla3917253531323[[#This Row],[COMISIONES]]*0.21</f>
        <v>0</v>
      </c>
      <c r="J43" s="18"/>
      <c r="K43" s="18"/>
      <c r="L43" s="18"/>
      <c r="N43" s="11"/>
      <c r="O43" s="11">
        <f>Tabla351018263641424[[#This Row],[COMISIONES]]*0.21</f>
        <v>0</v>
      </c>
      <c r="P43" s="11"/>
      <c r="Q43" s="11"/>
      <c r="R43" s="11"/>
      <c r="U43" s="19">
        <f>Tabla61220283861626[[#This Row],[COMISIONES]]*0.21</f>
        <v>0</v>
      </c>
      <c r="Z43" s="1"/>
      <c r="AA43" s="21">
        <f>Tabla35681321293971727[[#This Row],[COMISIONES]]*0.21</f>
        <v>0</v>
      </c>
      <c r="AB43" s="21"/>
      <c r="AC43" s="21"/>
      <c r="AD43" s="21"/>
    </row>
    <row r="44" spans="2:31" x14ac:dyDescent="0.25">
      <c r="B44" s="3"/>
      <c r="C44" s="2">
        <f>Tabla1316243221222[[#This Row],[COMISIONES]]*0.21</f>
        <v>0</v>
      </c>
      <c r="D44" s="3"/>
      <c r="E44" s="3"/>
      <c r="F44" s="3"/>
      <c r="H44" s="18"/>
      <c r="I44" s="18">
        <f>Tabla3917253531323[[#This Row],[COMISIONES]]*0.21</f>
        <v>0</v>
      </c>
      <c r="J44" s="18"/>
      <c r="K44" s="18"/>
      <c r="L44" s="18"/>
      <c r="N44" s="11"/>
      <c r="O44" s="11">
        <f>Tabla351018263641424[[#This Row],[COMISIONES]]*0.21</f>
        <v>0</v>
      </c>
      <c r="P44" s="11"/>
      <c r="Q44" s="11"/>
      <c r="R44" s="11"/>
      <c r="U44" s="19">
        <f>Tabla61220283861626[[#This Row],[COMISIONES]]*0.21</f>
        <v>0</v>
      </c>
      <c r="Z44" s="1"/>
      <c r="AA44" s="21">
        <f>Tabla35681321293971727[[#This Row],[COMISIONES]]*0.21</f>
        <v>0</v>
      </c>
      <c r="AB44" s="21"/>
      <c r="AC44" s="21"/>
      <c r="AD44" s="21"/>
    </row>
    <row r="45" spans="2:31" x14ac:dyDescent="0.25">
      <c r="B45" s="3"/>
      <c r="C45" s="2">
        <f>Tabla1316243221222[[#This Row],[COMISIONES]]*0.21</f>
        <v>0</v>
      </c>
      <c r="D45" s="3"/>
      <c r="E45" s="3"/>
      <c r="F45" s="3"/>
      <c r="H45" s="18"/>
      <c r="I45" s="18">
        <f>Tabla3917253531323[[#This Row],[COMISIONES]]*0.21</f>
        <v>0</v>
      </c>
      <c r="J45" s="18"/>
      <c r="K45" s="18"/>
      <c r="L45" s="18"/>
      <c r="N45" s="11"/>
      <c r="O45" s="11">
        <f>Tabla351018263641424[[#This Row],[COMISIONES]]*0.21</f>
        <v>0</v>
      </c>
      <c r="P45" s="11"/>
      <c r="Q45" s="11"/>
      <c r="R45" s="11"/>
      <c r="U45" s="19">
        <f>Tabla61220283861626[[#This Row],[COMISIONES]]*0.21</f>
        <v>0</v>
      </c>
      <c r="AA45" s="21">
        <f>Tabla35681321293971727[[#This Row],[COMISIONES]]*0.21</f>
        <v>0</v>
      </c>
      <c r="AB45" s="21"/>
      <c r="AC45" s="21"/>
      <c r="AD45" s="21"/>
    </row>
    <row r="46" spans="2:31" x14ac:dyDescent="0.25">
      <c r="B46" s="3"/>
      <c r="C46" s="2">
        <f>Tabla1316243221222[[#This Row],[COMISIONES]]*0.21</f>
        <v>0</v>
      </c>
      <c r="D46" s="3"/>
      <c r="E46" s="3"/>
      <c r="F46" s="3"/>
      <c r="H46" s="18"/>
      <c r="I46" s="18">
        <f>Tabla3917253531323[[#This Row],[COMISIONES]]*0.21</f>
        <v>0</v>
      </c>
      <c r="J46" s="18"/>
      <c r="K46" s="18"/>
      <c r="L46" s="18"/>
      <c r="N46" s="11"/>
      <c r="O46" s="11">
        <f>Tabla351018263641424[[#This Row],[COMISIONES]]*0.21</f>
        <v>0</v>
      </c>
      <c r="P46" s="11"/>
      <c r="Q46" s="11"/>
      <c r="R46" s="11"/>
      <c r="U46" s="19">
        <f>Tabla61220283861626[[#This Row],[COMISIONES]]*0.21</f>
        <v>0</v>
      </c>
      <c r="AA46" s="21">
        <f>Tabla35681321293971727[[#This Row],[COMISIONES]]*0.21</f>
        <v>0</v>
      </c>
      <c r="AB46" s="21"/>
      <c r="AC46" s="21"/>
      <c r="AD46" s="21"/>
    </row>
    <row r="47" spans="2:31" x14ac:dyDescent="0.25">
      <c r="B47" s="3"/>
      <c r="C47" s="2">
        <f>Tabla1316243221222[[#This Row],[COMISIONES]]*0.21</f>
        <v>0</v>
      </c>
      <c r="D47" s="3"/>
      <c r="E47" s="3"/>
      <c r="F47" s="3"/>
      <c r="H47" s="18"/>
      <c r="I47" s="18">
        <f>Tabla3917253531323[[#This Row],[COMISIONES]]*0.21</f>
        <v>0</v>
      </c>
      <c r="J47" s="18"/>
      <c r="K47" s="18"/>
      <c r="L47" s="18"/>
      <c r="N47" s="11"/>
      <c r="O47" s="11">
        <f>Tabla351018263641424[[#This Row],[COMISIONES]]*0.21</f>
        <v>0</v>
      </c>
      <c r="P47" s="11"/>
      <c r="Q47" s="11"/>
      <c r="R47" s="11"/>
      <c r="U47" s="19">
        <f>Tabla61220283861626[[#This Row],[COMISIONES]]*0.21</f>
        <v>0</v>
      </c>
      <c r="Z47" s="1"/>
      <c r="AA47" s="21">
        <f>Tabla35681321293971727[[#This Row],[COMISIONES]]*0.21</f>
        <v>0</v>
      </c>
      <c r="AB47" s="21"/>
      <c r="AC47" s="21"/>
      <c r="AD47" s="21"/>
    </row>
    <row r="48" spans="2:31" x14ac:dyDescent="0.25">
      <c r="B48" s="3"/>
      <c r="C48" s="2">
        <f>Tabla1316243221222[[#This Row],[COMISIONES]]*0.21</f>
        <v>0</v>
      </c>
      <c r="D48" s="3"/>
      <c r="E48" s="3"/>
      <c r="F48" s="3"/>
      <c r="H48" s="18"/>
      <c r="I48" s="18">
        <f>Tabla3917253531323[[#This Row],[COMISIONES]]*0.21</f>
        <v>0</v>
      </c>
      <c r="J48" s="18"/>
      <c r="K48" s="18"/>
      <c r="L48" s="18"/>
      <c r="N48" s="11"/>
      <c r="O48" s="11">
        <f>Tabla351018263641424[[#This Row],[COMISIONES]]*0.21</f>
        <v>0</v>
      </c>
      <c r="P48" s="11"/>
      <c r="Q48" s="11"/>
      <c r="R48" s="11"/>
      <c r="U48" s="19">
        <f>Tabla61220283861626[[#This Row],[COMISIONES]]*0.21</f>
        <v>0</v>
      </c>
      <c r="AA48" s="21">
        <f>Tabla35681321293971727[[#This Row],[COMISIONES]]*0.21</f>
        <v>0</v>
      </c>
      <c r="AB48" s="21"/>
      <c r="AC48" s="21"/>
      <c r="AD48" s="21"/>
    </row>
    <row r="49" spans="2:30" x14ac:dyDescent="0.25">
      <c r="B49" s="3"/>
      <c r="C49" s="2">
        <f>Tabla1316243221222[[#This Row],[COMISIONES]]*0.21</f>
        <v>0</v>
      </c>
      <c r="D49" s="3"/>
      <c r="E49" s="3"/>
      <c r="F49" s="3"/>
      <c r="H49" s="18"/>
      <c r="I49" s="18">
        <f>Tabla3917253531323[[#This Row],[COMISIONES]]*0.21</f>
        <v>0</v>
      </c>
      <c r="J49" s="18"/>
      <c r="K49" s="18"/>
      <c r="L49" s="18"/>
      <c r="N49" s="11"/>
      <c r="O49" s="11">
        <f>Tabla351018263641424[[#This Row],[COMISIONES]]*0.21</f>
        <v>0</v>
      </c>
      <c r="P49" s="11"/>
      <c r="Q49" s="11"/>
      <c r="R49" s="11"/>
      <c r="U49" s="19">
        <f>Tabla61220283861626[[#This Row],[COMISIONES]]*0.21</f>
        <v>0</v>
      </c>
      <c r="AA49" s="21">
        <f>Tabla35681321293971727[[#This Row],[COMISIONES]]*0.21</f>
        <v>0</v>
      </c>
      <c r="AB49" s="21"/>
      <c r="AC49" s="21"/>
      <c r="AD49" s="21"/>
    </row>
    <row r="50" spans="2:30" x14ac:dyDescent="0.25">
      <c r="B50" s="2"/>
      <c r="C50" s="2">
        <f>Tabla1316243221222[[#This Row],[COMISIONES]]*0.21</f>
        <v>0</v>
      </c>
      <c r="D50" s="2"/>
      <c r="E50" s="2"/>
      <c r="H50" s="18"/>
      <c r="I50" s="18">
        <f>Tabla3917253531323[[#This Row],[COMISIONES]]*0.21</f>
        <v>0</v>
      </c>
      <c r="J50" s="18"/>
      <c r="K50" s="18"/>
      <c r="L50" s="18"/>
      <c r="N50" s="11"/>
      <c r="O50" s="11">
        <f>Tabla351018263641424[[#This Row],[COMISIONES]]*0.21</f>
        <v>0</v>
      </c>
      <c r="P50" s="11"/>
      <c r="Q50" s="11"/>
      <c r="R50" s="11"/>
      <c r="U50" s="19">
        <f>Tabla61220283861626[[#This Row],[COMISIONES]]*0.21</f>
        <v>0</v>
      </c>
      <c r="AA50" s="21">
        <f>Tabla35681321293971727[[#This Row],[COMISIONES]]*0.21</f>
        <v>0</v>
      </c>
      <c r="AB50" s="21"/>
      <c r="AC50" s="21"/>
      <c r="AD50" s="21"/>
    </row>
    <row r="51" spans="2:30" x14ac:dyDescent="0.25">
      <c r="B51" s="2"/>
      <c r="C51" s="2">
        <f>Tabla1316243221222[[#This Row],[COMISIONES]]*0.21</f>
        <v>0</v>
      </c>
      <c r="D51" s="2"/>
      <c r="E51" s="2"/>
      <c r="H51" s="18"/>
      <c r="I51" s="18">
        <f>Tabla3917253531323[[#This Row],[COMISIONES]]*0.21</f>
        <v>0</v>
      </c>
      <c r="J51" s="18"/>
      <c r="K51" s="18"/>
      <c r="L51" s="18"/>
      <c r="N51" s="11"/>
      <c r="O51" s="11">
        <f>Tabla351018263641424[[#This Row],[COMISIONES]]*0.21</f>
        <v>0</v>
      </c>
      <c r="P51" s="11"/>
      <c r="Q51" s="11"/>
      <c r="R51" s="11"/>
      <c r="U51" s="19">
        <f>Tabla61220283861626[[#This Row],[COMISIONES]]*0.21</f>
        <v>0</v>
      </c>
      <c r="Z51" s="1"/>
      <c r="AA51" s="21">
        <f>Tabla35681321293971727[[#This Row],[COMISIONES]]*0.21</f>
        <v>0</v>
      </c>
      <c r="AB51" s="21"/>
      <c r="AC51" s="21"/>
      <c r="AD51" s="21"/>
    </row>
    <row r="52" spans="2:30" x14ac:dyDescent="0.25">
      <c r="B52" s="2"/>
      <c r="C52" s="2">
        <f>Tabla1316243221222[[#This Row],[COMISIONES]]*0.21</f>
        <v>0</v>
      </c>
      <c r="D52" s="2"/>
      <c r="E52" s="2"/>
      <c r="H52" s="24">
        <f>SUBTOTAL(109,Tabla3917253531323[COMISIONES])</f>
        <v>2029.57</v>
      </c>
      <c r="I52" s="24">
        <f>SUBTOTAL(109,Tabla3917253531323[IVA 21])</f>
        <v>426.2097</v>
      </c>
      <c r="J52" s="24">
        <f>SUBTOTAL(109,Tabla3917253531323[IVA 10,5])</f>
        <v>0</v>
      </c>
      <c r="K52" s="24">
        <f>SUBTOTAL(109,Tabla3917253531323[Ret IIBB Caba])</f>
        <v>6596.71</v>
      </c>
      <c r="L52" s="24">
        <f>SUBTOTAL(109,Tabla3917253531323[PERC IVA])</f>
        <v>0</v>
      </c>
      <c r="N52" s="11"/>
      <c r="O52" s="11">
        <f>Tabla351018263641424[[#This Row],[COMISIONES]]*0.21</f>
        <v>0</v>
      </c>
      <c r="P52" s="11"/>
      <c r="Q52" s="11"/>
      <c r="R52" s="11"/>
      <c r="U52" s="19">
        <f>Tabla61220283861626[[#This Row],[COMISIONES]]*0.21</f>
        <v>0</v>
      </c>
      <c r="Z52" s="1"/>
      <c r="AA52" s="21">
        <f>Tabla35681321293971727[[#This Row],[COMISIONES]]*0.21</f>
        <v>0</v>
      </c>
      <c r="AB52" s="21"/>
      <c r="AC52" s="21"/>
      <c r="AD52" s="21"/>
    </row>
    <row r="53" spans="2:30" ht="18.75" x14ac:dyDescent="0.3">
      <c r="B53" s="2"/>
      <c r="C53" s="2">
        <f>Tabla1316243221222[[#This Row],[COMISIONES]]*0.21</f>
        <v>0</v>
      </c>
      <c r="D53" s="2"/>
      <c r="E53" s="2"/>
      <c r="H53" s="41" t="s">
        <v>29</v>
      </c>
      <c r="I53" s="41"/>
      <c r="J53" s="41"/>
      <c r="K53" s="41"/>
      <c r="L53" s="41"/>
      <c r="N53" s="11"/>
      <c r="O53" s="11">
        <f>Tabla351018263641424[[#This Row],[COMISIONES]]*0.21</f>
        <v>0</v>
      </c>
      <c r="P53" s="11"/>
      <c r="Q53" s="11"/>
      <c r="R53" s="11"/>
      <c r="U53" s="19">
        <f>Tabla61220283861626[[#This Row],[COMISIONES]]*0.21</f>
        <v>0</v>
      </c>
      <c r="Z53" s="1"/>
      <c r="AA53" s="21">
        <f>Tabla35681321293971727[[#This Row],[COMISIONES]]*0.21</f>
        <v>0</v>
      </c>
      <c r="AB53" s="21"/>
      <c r="AC53" s="1"/>
      <c r="AD53" s="21"/>
    </row>
    <row r="54" spans="2:30" x14ac:dyDescent="0.25">
      <c r="B54" s="2"/>
      <c r="C54" s="2">
        <f>Tabla1316243221222[[#This Row],[COMISIONES]]*0.21</f>
        <v>0</v>
      </c>
      <c r="D54" s="2"/>
      <c r="E54" s="2"/>
      <c r="H54" s="12" t="s">
        <v>2</v>
      </c>
      <c r="I54" s="13" t="s">
        <v>0</v>
      </c>
      <c r="J54" s="13" t="s">
        <v>1</v>
      </c>
      <c r="K54" s="13" t="s">
        <v>3</v>
      </c>
      <c r="L54" s="13" t="s">
        <v>4</v>
      </c>
      <c r="N54" s="11"/>
      <c r="O54" s="11">
        <f>Tabla351018263641424[[#This Row],[COMISIONES]]*0.21</f>
        <v>0</v>
      </c>
      <c r="P54" s="11"/>
      <c r="Q54" s="11"/>
      <c r="R54" s="11"/>
      <c r="U54" s="19">
        <f>Tabla61220283861626[[#This Row],[COMISIONES]]*0.21</f>
        <v>0</v>
      </c>
      <c r="AA54" s="21">
        <f>Tabla35681321293971727[[#This Row],[COMISIONES]]*0.21</f>
        <v>0</v>
      </c>
      <c r="AC54" s="1"/>
      <c r="AD54" s="21"/>
    </row>
    <row r="55" spans="2:30" x14ac:dyDescent="0.25">
      <c r="B55" s="2"/>
      <c r="C55" s="2">
        <f>Tabla1316243221222[[#This Row],[COMISIONES]]*0.21</f>
        <v>0</v>
      </c>
      <c r="D55" s="2"/>
      <c r="E55" s="2"/>
      <c r="H55" s="1">
        <v>128995</v>
      </c>
      <c r="I55" s="11">
        <f>Tabla391523314191929[[#This Row],[COMISIONES]]*0.21</f>
        <v>27088.95</v>
      </c>
      <c r="J55" s="11"/>
      <c r="K55" s="11"/>
      <c r="L55" s="1">
        <v>3869.85</v>
      </c>
      <c r="N55" s="11"/>
      <c r="O55" s="11">
        <f>Tabla351018263641424[[#This Row],[COMISIONES]]*0.21</f>
        <v>0</v>
      </c>
      <c r="P55" s="11"/>
      <c r="Q55" s="11"/>
      <c r="R55" s="11"/>
      <c r="U55" s="19">
        <f>Tabla61220283861626[[#This Row],[COMISIONES]]*0.21</f>
        <v>0</v>
      </c>
      <c r="AA55" s="21">
        <f>Tabla35681321293971727[[#This Row],[COMISIONES]]*0.21</f>
        <v>0</v>
      </c>
      <c r="AB55" s="21"/>
      <c r="AD55" s="21"/>
    </row>
    <row r="56" spans="2:30" x14ac:dyDescent="0.25">
      <c r="B56" s="2"/>
      <c r="C56" s="2">
        <f>Tabla1316243221222[[#This Row],[COMISIONES]]*0.21</f>
        <v>0</v>
      </c>
      <c r="D56" s="2"/>
      <c r="E56" s="2"/>
      <c r="H56" s="11"/>
      <c r="I56" s="11">
        <f>Tabla391523314191929[[#This Row],[COMISIONES]]*0.21</f>
        <v>0</v>
      </c>
      <c r="J56" s="11"/>
      <c r="K56" s="11"/>
      <c r="L56" s="21"/>
      <c r="N56" s="11"/>
      <c r="O56" s="11">
        <f>Tabla351018263641424[[#This Row],[COMISIONES]]*0.21</f>
        <v>0</v>
      </c>
      <c r="P56" s="11"/>
      <c r="Q56" s="11"/>
      <c r="R56" s="11"/>
      <c r="U56" s="19">
        <f>Tabla61220283861626[[#This Row],[COMISIONES]]*0.21</f>
        <v>0</v>
      </c>
      <c r="AA56" s="21">
        <f>Tabla35681321293971727[[#This Row],[COMISIONES]]*0.21</f>
        <v>0</v>
      </c>
      <c r="AB56" s="21"/>
      <c r="AC56" s="21"/>
      <c r="AD56" s="21"/>
    </row>
    <row r="57" spans="2:30" x14ac:dyDescent="0.25">
      <c r="B57" s="2"/>
      <c r="C57" s="2">
        <f>Tabla1316243221222[[#This Row],[COMISIONES]]*0.21</f>
        <v>0</v>
      </c>
      <c r="D57" s="1"/>
      <c r="E57" s="2"/>
      <c r="H57" s="11"/>
      <c r="I57" s="11">
        <f>Tabla391523314191929[[#This Row],[COMISIONES]]*0.21</f>
        <v>0</v>
      </c>
      <c r="J57" s="11"/>
      <c r="K57" s="11"/>
      <c r="L57" s="11"/>
      <c r="N57" s="11"/>
      <c r="O57" s="11">
        <f>Tabla351018263641424[[#This Row],[COMISIONES]]*0.21</f>
        <v>0</v>
      </c>
      <c r="P57" s="11"/>
      <c r="Q57" s="11"/>
      <c r="R57" s="11"/>
      <c r="U57" s="19">
        <f>Tabla61220283861626[[#This Row],[COMISIONES]]*0.21</f>
        <v>0</v>
      </c>
      <c r="AA57" s="21">
        <f>Tabla35681321293971727[[#This Row],[COMISIONES]]*0.21</f>
        <v>0</v>
      </c>
      <c r="AB57" s="21"/>
      <c r="AC57" s="21"/>
      <c r="AD57" s="21"/>
    </row>
    <row r="58" spans="2:30" x14ac:dyDescent="0.25">
      <c r="B58" s="2"/>
      <c r="C58" s="2">
        <f>Tabla1316243221222[[#This Row],[COMISIONES]]*0.21</f>
        <v>0</v>
      </c>
      <c r="D58" s="2"/>
      <c r="E58" s="2"/>
      <c r="H58" s="11"/>
      <c r="I58" s="11">
        <f>Tabla391523314191929[[#This Row],[COMISIONES]]*0.21</f>
        <v>0</v>
      </c>
      <c r="J58" s="11"/>
      <c r="K58" s="11"/>
      <c r="L58" s="11"/>
      <c r="N58" s="11"/>
      <c r="O58" s="11">
        <f>Tabla351018263641424[[#This Row],[COMISIONES]]*0.21</f>
        <v>0</v>
      </c>
      <c r="P58" s="11"/>
      <c r="Q58" s="11"/>
      <c r="R58" s="11"/>
      <c r="U58" s="19">
        <f>Tabla61220283861626[[#This Row],[COMISIONES]]*0.21</f>
        <v>0</v>
      </c>
      <c r="AA58" s="21">
        <f>Tabla35681321293971727[[#This Row],[COMISIONES]]*0.21</f>
        <v>0</v>
      </c>
      <c r="AB58" s="21"/>
      <c r="AC58" s="21"/>
      <c r="AD58" s="21"/>
    </row>
    <row r="59" spans="2:30" x14ac:dyDescent="0.25">
      <c r="B59" s="2"/>
      <c r="C59" s="2">
        <f>Tabla1316243221222[[#This Row],[COMISIONES]]*0.21</f>
        <v>0</v>
      </c>
      <c r="D59" s="2"/>
      <c r="E59" s="2"/>
      <c r="H59" s="11"/>
      <c r="I59" s="11">
        <f>Tabla391523314191929[[#This Row],[COMISIONES]]*0.21</f>
        <v>0</v>
      </c>
      <c r="J59" s="11"/>
      <c r="K59" s="11"/>
      <c r="L59" s="11"/>
      <c r="N59" s="11"/>
      <c r="O59" s="11">
        <f>Tabla351018263641424[[#This Row],[COMISIONES]]*0.21</f>
        <v>0</v>
      </c>
      <c r="P59" s="11"/>
      <c r="Q59" s="11"/>
      <c r="R59" s="11"/>
      <c r="U59" s="19">
        <f>Tabla61220283861626[[#This Row],[COMISIONES]]*0.21</f>
        <v>0</v>
      </c>
      <c r="AA59" s="21">
        <f>Tabla35681321293971727[[#This Row],[COMISIONES]]*0.21</f>
        <v>0</v>
      </c>
      <c r="AB59" s="21"/>
      <c r="AC59" s="21"/>
      <c r="AD59" s="21"/>
    </row>
    <row r="60" spans="2:30" x14ac:dyDescent="0.25">
      <c r="B60" s="4">
        <f>SUBTOTAL(109,Tabla1316243221222[COMISIONES])</f>
        <v>27947.57</v>
      </c>
      <c r="C60" s="4">
        <f>SUBTOTAL(109,Tabla1316243221222[IVA 21])</f>
        <v>5868.9897000000001</v>
      </c>
      <c r="D60" s="4">
        <f>SUBTOTAL(109,Tabla1316243221222[IVA 10,5])</f>
        <v>0</v>
      </c>
      <c r="E60" s="4">
        <f>SUBTOTAL(109,Tabla1316243221222[Ret IIBB Caba])</f>
        <v>23018.12</v>
      </c>
      <c r="F60" s="4">
        <f>SUBTOTAL(109,Tabla1316243221222[PERC IVA])</f>
        <v>0</v>
      </c>
      <c r="H60" s="11"/>
      <c r="I60" s="11">
        <f>Tabla391523314191929[[#This Row],[COMISIONES]]*0.21</f>
        <v>0</v>
      </c>
      <c r="J60" s="11"/>
      <c r="K60" s="11"/>
      <c r="L60" s="11"/>
      <c r="N60" s="11"/>
      <c r="O60" s="11">
        <f>Tabla351018263641424[[#This Row],[COMISIONES]]*0.21</f>
        <v>0</v>
      </c>
      <c r="P60" s="11"/>
      <c r="Q60" s="11"/>
      <c r="R60" s="11"/>
      <c r="U60" s="19">
        <f>Tabla61220283861626[[#This Row],[COMISIONES]]*0.21</f>
        <v>0</v>
      </c>
      <c r="AA60" s="21">
        <f>Tabla35681321293971727[[#This Row],[COMISIONES]]*0.21</f>
        <v>0</v>
      </c>
      <c r="AB60" s="21"/>
      <c r="AC60" s="21"/>
      <c r="AD60" s="21"/>
    </row>
    <row r="61" spans="2:30" x14ac:dyDescent="0.25">
      <c r="H61" s="11"/>
      <c r="I61" s="11">
        <f>Tabla391523314191929[[#This Row],[COMISIONES]]*0.21</f>
        <v>0</v>
      </c>
      <c r="J61" s="11"/>
      <c r="K61" s="11"/>
      <c r="L61" s="11"/>
      <c r="N61" s="11"/>
      <c r="O61" s="11">
        <f>Tabla351018263641424[[#This Row],[COMISIONES]]*0.21</f>
        <v>0</v>
      </c>
      <c r="P61" s="11"/>
      <c r="Q61" s="11"/>
      <c r="R61" s="11"/>
      <c r="T61" s="17">
        <f>SUBTOTAL(109,Tabla61220283861626[COMISIONES])</f>
        <v>3600</v>
      </c>
      <c r="U61" s="17">
        <f>SUBTOTAL(109,Tabla61220283861626[IVA 21])</f>
        <v>756</v>
      </c>
      <c r="V61" s="17">
        <f>SUBTOTAL(109,Tabla61220283861626[IVA 10,5])</f>
        <v>0</v>
      </c>
      <c r="W61" s="17">
        <f>SUBTOTAL(109,Tabla61220283861626[Ret IIBB Caba])</f>
        <v>2839.65</v>
      </c>
      <c r="X61" s="17">
        <f>SUBTOTAL(109,Tabla61220283861626[PERC IVA])</f>
        <v>108</v>
      </c>
      <c r="AA61" s="21">
        <f>Tabla35681321293971727[[#This Row],[COMISIONES]]*0.21</f>
        <v>0</v>
      </c>
      <c r="AB61" s="21"/>
      <c r="AC61" s="21"/>
      <c r="AD61" s="21"/>
    </row>
    <row r="62" spans="2:30" x14ac:dyDescent="0.25">
      <c r="H62" s="11"/>
      <c r="I62" s="11">
        <f>Tabla391523314191929[[#This Row],[COMISIONES]]*0.21</f>
        <v>0</v>
      </c>
      <c r="J62" s="11"/>
      <c r="K62" s="11"/>
      <c r="L62" s="11"/>
      <c r="N62" s="11"/>
      <c r="O62" s="11">
        <f>Tabla351018263641424[[#This Row],[COMISIONES]]*0.21</f>
        <v>0</v>
      </c>
      <c r="P62" s="11"/>
      <c r="Q62" s="11"/>
      <c r="R62" s="11"/>
      <c r="AA62" s="21">
        <f>Tabla35681321293971727[[#This Row],[COMISIONES]]*0.21</f>
        <v>0</v>
      </c>
      <c r="AB62" s="21"/>
      <c r="AC62" s="21"/>
      <c r="AD62" s="21"/>
    </row>
    <row r="63" spans="2:30" ht="18.75" x14ac:dyDescent="0.3">
      <c r="H63" s="11"/>
      <c r="I63" s="11">
        <f>Tabla391523314191929[[#This Row],[COMISIONES]]*0.21</f>
        <v>0</v>
      </c>
      <c r="J63" s="11"/>
      <c r="K63" s="11"/>
      <c r="L63" s="11"/>
      <c r="N63" s="11"/>
      <c r="O63" s="11">
        <f>Tabla351018263641424[[#This Row],[COMISIONES]]*0.21</f>
        <v>0</v>
      </c>
      <c r="P63" s="11"/>
      <c r="Q63" s="11"/>
      <c r="R63" s="11"/>
      <c r="T63" s="41" t="s">
        <v>31</v>
      </c>
      <c r="U63" s="41"/>
      <c r="V63" s="41"/>
      <c r="W63" s="41"/>
      <c r="X63" s="41"/>
      <c r="AA63" s="21">
        <f>Tabla35681321293971727[[#This Row],[COMISIONES]]*0.21</f>
        <v>0</v>
      </c>
      <c r="AB63" s="1"/>
      <c r="AC63" s="21"/>
    </row>
    <row r="64" spans="2:30" x14ac:dyDescent="0.25">
      <c r="H64" s="11"/>
      <c r="I64" s="11">
        <f>Tabla391523314191929[[#This Row],[COMISIONES]]*0.21</f>
        <v>0</v>
      </c>
      <c r="J64" s="11"/>
      <c r="K64" s="11"/>
      <c r="L64" s="11"/>
      <c r="N64" s="11"/>
      <c r="O64" s="11">
        <f>Tabla351018263641424[[#This Row],[COMISIONES]]*0.21</f>
        <v>0</v>
      </c>
      <c r="P64" s="11"/>
      <c r="Q64" s="11"/>
      <c r="R64" s="11"/>
      <c r="T64" s="12" t="s">
        <v>2</v>
      </c>
      <c r="U64" s="13" t="s">
        <v>0</v>
      </c>
      <c r="V64" s="13" t="s">
        <v>1</v>
      </c>
      <c r="W64" s="13" t="s">
        <v>3</v>
      </c>
      <c r="X64" s="13" t="s">
        <v>4</v>
      </c>
      <c r="AA64" s="21">
        <f>Tabla35681321293971727[[#This Row],[COMISIONES]]*0.21</f>
        <v>0</v>
      </c>
      <c r="AB64" s="21"/>
      <c r="AC64" s="21"/>
    </row>
    <row r="65" spans="8:30" x14ac:dyDescent="0.25">
      <c r="H65" s="11"/>
      <c r="I65" s="11">
        <f>Tabla391523314191929[[#This Row],[COMISIONES]]*0.21</f>
        <v>0</v>
      </c>
      <c r="J65" s="11"/>
      <c r="K65" s="11"/>
      <c r="L65" s="11"/>
      <c r="N65" s="11"/>
      <c r="O65" s="11">
        <f>Tabla351018263641424[[#This Row],[COMISIONES]]*0.21</f>
        <v>0</v>
      </c>
      <c r="P65" s="11"/>
      <c r="Q65" s="11"/>
      <c r="R65" s="11"/>
      <c r="T65" s="11"/>
      <c r="U65" s="11">
        <f>Tabla61220283342102030[[#This Row],[COMISIONES]]*0.21</f>
        <v>0</v>
      </c>
      <c r="V65" s="11"/>
      <c r="W65" s="1"/>
      <c r="X65" s="11"/>
      <c r="AA65" s="21">
        <f>Tabla35681321293971727[[#This Row],[COMISIONES]]*0.21</f>
        <v>0</v>
      </c>
      <c r="AB65" s="21"/>
      <c r="AC65" s="21"/>
      <c r="AD65" s="21"/>
    </row>
    <row r="66" spans="8:30" x14ac:dyDescent="0.25">
      <c r="H66" s="11"/>
      <c r="I66" s="11">
        <f>Tabla391523314191929[[#This Row],[COMISIONES]]*0.21</f>
        <v>0</v>
      </c>
      <c r="J66" s="11"/>
      <c r="K66" s="11"/>
      <c r="L66" s="11"/>
      <c r="N66" s="18"/>
      <c r="O66" s="11">
        <f>Tabla351018263641424[[#This Row],[COMISIONES]]*0.21</f>
        <v>0</v>
      </c>
      <c r="P66" s="18"/>
      <c r="Q66" s="18"/>
      <c r="R66" s="18"/>
      <c r="T66" s="11"/>
      <c r="U66" s="11">
        <f>Tabla61220283342102030[[#This Row],[COMISIONES]]*0.21</f>
        <v>0</v>
      </c>
      <c r="V66" s="11"/>
      <c r="W66" s="11"/>
      <c r="X66" s="11"/>
      <c r="AA66" s="21">
        <f>Tabla35681321293971727[[#This Row],[COMISIONES]]*0.21</f>
        <v>0</v>
      </c>
      <c r="AB66" s="21"/>
      <c r="AC66" s="21"/>
      <c r="AD66" s="21"/>
    </row>
    <row r="67" spans="8:30" x14ac:dyDescent="0.25">
      <c r="H67" s="11"/>
      <c r="I67" s="11">
        <f>Tabla391523314191929[[#This Row],[COMISIONES]]*0.21</f>
        <v>0</v>
      </c>
      <c r="J67" s="11"/>
      <c r="K67" s="11"/>
      <c r="L67" s="11"/>
      <c r="N67" s="18"/>
      <c r="O67" s="11">
        <f>Tabla351018263641424[[#This Row],[COMISIONES]]*0.21</f>
        <v>0</v>
      </c>
      <c r="P67" s="18"/>
      <c r="Q67" s="18"/>
      <c r="R67" s="18"/>
      <c r="T67" s="11"/>
      <c r="U67" s="19">
        <f>Tabla61220283342102030[[#This Row],[COMISIONES]]*0.21</f>
        <v>0</v>
      </c>
      <c r="W67" s="1"/>
      <c r="AA67" s="21">
        <f>Tabla35681321293971727[[#This Row],[COMISIONES]]*0.21</f>
        <v>0</v>
      </c>
      <c r="AB67" s="21"/>
      <c r="AC67" s="21"/>
      <c r="AD67" s="21"/>
    </row>
    <row r="68" spans="8:30" x14ac:dyDescent="0.25">
      <c r="H68" s="11"/>
      <c r="I68" s="11">
        <f>Tabla391523314191929[[#This Row],[COMISIONES]]*0.21</f>
        <v>0</v>
      </c>
      <c r="J68" s="11"/>
      <c r="K68" s="11"/>
      <c r="L68" s="11"/>
      <c r="N68" s="18"/>
      <c r="O68" s="11">
        <f>Tabla351018263641424[[#This Row],[COMISIONES]]*0.21</f>
        <v>0</v>
      </c>
      <c r="P68" s="18"/>
      <c r="Q68" s="18"/>
      <c r="R68" s="18"/>
      <c r="T68" s="11"/>
      <c r="U68" s="19">
        <f>Tabla61220283342102030[[#This Row],[COMISIONES]]*0.21</f>
        <v>0</v>
      </c>
      <c r="AA68" s="21">
        <f>Tabla35681321293971727[[#This Row],[COMISIONES]]*0.21</f>
        <v>0</v>
      </c>
      <c r="AB68" s="21"/>
      <c r="AC68" s="21"/>
      <c r="AD68" s="21"/>
    </row>
    <row r="69" spans="8:30" x14ac:dyDescent="0.25">
      <c r="H69" s="11"/>
      <c r="I69" s="11">
        <f>Tabla391523314191929[[#This Row],[COMISIONES]]*0.21</f>
        <v>0</v>
      </c>
      <c r="J69" s="11"/>
      <c r="K69" s="11"/>
      <c r="L69" s="11"/>
      <c r="N69" s="18"/>
      <c r="O69" s="11">
        <f>Tabla351018263641424[[#This Row],[COMISIONES]]*0.21</f>
        <v>0</v>
      </c>
      <c r="P69" s="18"/>
      <c r="Q69" s="18"/>
      <c r="R69" s="18"/>
      <c r="T69" s="11"/>
      <c r="U69" s="19">
        <f>Tabla61220283342102030[[#This Row],[COMISIONES]]*0.21</f>
        <v>0</v>
      </c>
      <c r="AA69" s="21">
        <f>Tabla35681321293971727[[#This Row],[COMISIONES]]*0.21</f>
        <v>0</v>
      </c>
      <c r="AB69" s="21"/>
      <c r="AC69" s="21"/>
      <c r="AD69" s="21"/>
    </row>
    <row r="70" spans="8:30" x14ac:dyDescent="0.25">
      <c r="H70" s="11"/>
      <c r="I70" s="11">
        <f>Tabla391523314191929[[#This Row],[COMISIONES]]*0.21</f>
        <v>0</v>
      </c>
      <c r="J70" s="11"/>
      <c r="K70" s="11"/>
      <c r="L70" s="11"/>
      <c r="N70" s="18"/>
      <c r="O70" s="11">
        <f>Tabla351018263641424[[#This Row],[COMISIONES]]*0.21</f>
        <v>0</v>
      </c>
      <c r="P70" s="18"/>
      <c r="Q70" s="18"/>
      <c r="R70" s="18"/>
      <c r="T70" s="11"/>
      <c r="U70" s="19">
        <f>Tabla61220283342102030[[#This Row],[COMISIONES]]*0.21</f>
        <v>0</v>
      </c>
      <c r="AA70" s="21">
        <f>Tabla35681321293971727[[#This Row],[COMISIONES]]*0.21</f>
        <v>0</v>
      </c>
      <c r="AB70" s="21"/>
      <c r="AC70" s="21"/>
      <c r="AD70" s="21"/>
    </row>
    <row r="71" spans="8:30" x14ac:dyDescent="0.25">
      <c r="H71" s="11"/>
      <c r="I71" s="11">
        <f>Tabla391523314191929[[#This Row],[COMISIONES]]*0.21</f>
        <v>0</v>
      </c>
      <c r="J71" s="11"/>
      <c r="K71" s="11"/>
      <c r="L71" s="11"/>
      <c r="N71" s="18"/>
      <c r="O71" s="11">
        <f>Tabla351018263641424[[#This Row],[COMISIONES]]*0.21</f>
        <v>0</v>
      </c>
      <c r="P71" s="18"/>
      <c r="Q71" s="18"/>
      <c r="R71" s="18"/>
      <c r="T71" s="11"/>
      <c r="U71" s="19">
        <f>Tabla61220283342102030[[#This Row],[COMISIONES]]*0.21</f>
        <v>0</v>
      </c>
      <c r="Z71" s="1"/>
      <c r="AA71" s="21">
        <f>Tabla35681321293971727[[#This Row],[COMISIONES]]*0.21</f>
        <v>0</v>
      </c>
      <c r="AB71" s="21"/>
      <c r="AC71" s="21"/>
      <c r="AD71" s="21"/>
    </row>
    <row r="72" spans="8:30" x14ac:dyDescent="0.25">
      <c r="H72" s="11"/>
      <c r="I72" s="11">
        <f>Tabla391523314191929[[#This Row],[COMISIONES]]*0.21</f>
        <v>0</v>
      </c>
      <c r="J72" s="11"/>
      <c r="K72" s="11"/>
      <c r="L72" s="11"/>
      <c r="N72" s="18"/>
      <c r="O72" s="11">
        <f>Tabla351018263641424[[#This Row],[COMISIONES]]*0.21</f>
        <v>0</v>
      </c>
      <c r="P72" s="18"/>
      <c r="Q72" s="18"/>
      <c r="R72" s="18"/>
      <c r="T72" s="11"/>
      <c r="U72" s="19">
        <f>Tabla61220283342102030[[#This Row],[COMISIONES]]*0.21</f>
        <v>0</v>
      </c>
      <c r="Z72" s="1"/>
      <c r="AA72" s="21">
        <f>Tabla35681321293971727[[#This Row],[COMISIONES]]*0.21</f>
        <v>0</v>
      </c>
      <c r="AB72" s="1"/>
      <c r="AC72" s="1"/>
    </row>
    <row r="73" spans="8:30" x14ac:dyDescent="0.25">
      <c r="H73" s="11"/>
      <c r="I73" s="11">
        <f>Tabla391523314191929[[#This Row],[COMISIONES]]*0.21</f>
        <v>0</v>
      </c>
      <c r="J73" s="11"/>
      <c r="K73" s="11"/>
      <c r="L73" s="11"/>
      <c r="N73" s="18"/>
      <c r="O73" s="11">
        <f>Tabla351018263641424[[#This Row],[COMISIONES]]*0.21</f>
        <v>0</v>
      </c>
      <c r="P73" s="18"/>
      <c r="Q73" s="18"/>
      <c r="R73" s="18"/>
      <c r="T73" s="11"/>
      <c r="U73" s="19">
        <f>Tabla61220283342102030[[#This Row],[COMISIONES]]*0.21</f>
        <v>0</v>
      </c>
      <c r="Z73" s="1"/>
      <c r="AA73" s="21">
        <f>Tabla35681321293971727[[#This Row],[COMISIONES]]*0.21</f>
        <v>0</v>
      </c>
    </row>
    <row r="74" spans="8:30" x14ac:dyDescent="0.25">
      <c r="H74" s="11"/>
      <c r="I74" s="11">
        <f>Tabla391523314191929[[#This Row],[COMISIONES]]*0.21</f>
        <v>0</v>
      </c>
      <c r="J74" s="11"/>
      <c r="K74" s="11"/>
      <c r="L74" s="11"/>
      <c r="N74" s="18"/>
      <c r="O74" s="11">
        <f>Tabla351018263641424[[#This Row],[COMISIONES]]*0.21</f>
        <v>0</v>
      </c>
      <c r="P74" s="18"/>
      <c r="Q74" s="18"/>
      <c r="R74" s="18"/>
      <c r="T74" s="11"/>
      <c r="U74" s="19">
        <f>Tabla61220283342102030[[#This Row],[COMISIONES]]*0.21</f>
        <v>0</v>
      </c>
      <c r="Z74" s="1"/>
      <c r="AA74" s="21">
        <f>Tabla35681321293971727[[#This Row],[COMISIONES]]*0.21</f>
        <v>0</v>
      </c>
      <c r="AB74" s="1"/>
      <c r="AC74" s="21"/>
    </row>
    <row r="75" spans="8:30" x14ac:dyDescent="0.25">
      <c r="H75" s="11"/>
      <c r="I75" s="11">
        <f>Tabla391523314191929[[#This Row],[COMISIONES]]*0.21</f>
        <v>0</v>
      </c>
      <c r="J75" s="11"/>
      <c r="K75" s="11"/>
      <c r="L75" s="11"/>
      <c r="N75" s="18"/>
      <c r="O75" s="11">
        <f>Tabla351018263641424[[#This Row],[COMISIONES]]*0.21</f>
        <v>0</v>
      </c>
      <c r="P75" s="18"/>
      <c r="Q75" s="18"/>
      <c r="R75" s="18"/>
      <c r="U75" s="19">
        <f>Tabla61220283342102030[[#This Row],[COMISIONES]]*0.21</f>
        <v>0</v>
      </c>
      <c r="Z75" s="1"/>
      <c r="AA75" s="21">
        <f>Tabla35681321293971727[[#This Row],[COMISIONES]]*0.21</f>
        <v>0</v>
      </c>
      <c r="AB75" s="1"/>
      <c r="AC75" s="21"/>
    </row>
    <row r="76" spans="8:30" x14ac:dyDescent="0.25">
      <c r="H76" s="11"/>
      <c r="I76" s="11">
        <f>Tabla391523314191929[[#This Row],[COMISIONES]]*0.21</f>
        <v>0</v>
      </c>
      <c r="J76" s="11"/>
      <c r="K76" s="11"/>
      <c r="L76" s="11"/>
      <c r="N76" s="18"/>
      <c r="O76" s="11">
        <f>Tabla351018263641424[[#This Row],[COMISIONES]]*0.21</f>
        <v>0</v>
      </c>
      <c r="P76" s="18"/>
      <c r="Q76" s="18"/>
      <c r="R76" s="18"/>
      <c r="U76" s="19">
        <f>Tabla61220283342102030[[#This Row],[COMISIONES]]*0.21</f>
        <v>0</v>
      </c>
      <c r="Z76" s="1"/>
      <c r="AA76" s="21">
        <f>Tabla35681321293971727[[#This Row],[COMISIONES]]*0.21</f>
        <v>0</v>
      </c>
      <c r="AB76" s="1"/>
      <c r="AC76" s="21"/>
    </row>
    <row r="77" spans="8:30" x14ac:dyDescent="0.25">
      <c r="H77" s="11"/>
      <c r="I77" s="11">
        <f>Tabla391523314191929[[#This Row],[COMISIONES]]*0.21</f>
        <v>0</v>
      </c>
      <c r="J77" s="11"/>
      <c r="K77" s="11"/>
      <c r="L77" s="11"/>
      <c r="N77" s="18"/>
      <c r="O77" s="11">
        <f>Tabla351018263641424[[#This Row],[COMISIONES]]*0.21</f>
        <v>0</v>
      </c>
      <c r="P77" s="18"/>
      <c r="Q77" s="18"/>
      <c r="R77" s="18"/>
      <c r="U77" s="19">
        <f>Tabla61220283342102030[[#This Row],[COMISIONES]]*0.21</f>
        <v>0</v>
      </c>
      <c r="Z77" s="1"/>
      <c r="AA77" s="21">
        <f>Tabla35681321293971727[[#This Row],[COMISIONES]]*0.21</f>
        <v>0</v>
      </c>
      <c r="AB77" s="21"/>
      <c r="AC77" s="21"/>
    </row>
    <row r="78" spans="8:30" x14ac:dyDescent="0.25">
      <c r="H78" s="11"/>
      <c r="I78" s="11">
        <f>Tabla391523314191929[[#This Row],[COMISIONES]]*0.21</f>
        <v>0</v>
      </c>
      <c r="J78" s="11"/>
      <c r="K78" s="11"/>
      <c r="L78" s="11"/>
      <c r="N78" s="18"/>
      <c r="O78" s="11">
        <f>Tabla351018263641424[[#This Row],[COMISIONES]]*0.21</f>
        <v>0</v>
      </c>
      <c r="P78" s="18"/>
      <c r="Q78" s="18"/>
      <c r="R78" s="18"/>
      <c r="U78" s="19">
        <f>Tabla61220283342102030[[#This Row],[COMISIONES]]*0.21</f>
        <v>0</v>
      </c>
      <c r="Z78" s="1"/>
      <c r="AA78" s="21">
        <f>Tabla35681321293971727[[#This Row],[COMISIONES]]*0.21</f>
        <v>0</v>
      </c>
      <c r="AB78" s="21"/>
      <c r="AC78" s="21"/>
    </row>
    <row r="79" spans="8:30" x14ac:dyDescent="0.25">
      <c r="H79" s="11"/>
      <c r="I79" s="11">
        <f>Tabla391523314191929[[#This Row],[COMISIONES]]*0.21</f>
        <v>0</v>
      </c>
      <c r="J79" s="11"/>
      <c r="K79" s="11"/>
      <c r="L79" s="11"/>
      <c r="N79" s="18"/>
      <c r="O79" s="11">
        <f>Tabla351018263641424[[#This Row],[COMISIONES]]*0.21</f>
        <v>0</v>
      </c>
      <c r="P79" s="18"/>
      <c r="Q79" s="18"/>
      <c r="R79" s="18"/>
      <c r="U79" s="19">
        <f>Tabla61220283342102030[[#This Row],[COMISIONES]]*0.21</f>
        <v>0</v>
      </c>
      <c r="Z79" s="1"/>
      <c r="AA79" s="21">
        <f>Tabla35681321293971727[[#This Row],[COMISIONES]]*0.21</f>
        <v>0</v>
      </c>
      <c r="AB79" s="21"/>
      <c r="AC79" s="21"/>
    </row>
    <row r="80" spans="8:30" x14ac:dyDescent="0.25">
      <c r="H80" s="18"/>
      <c r="I80" s="18">
        <f>Tabla391523314191929[[#This Row],[COMISIONES]]*0.21</f>
        <v>0</v>
      </c>
      <c r="J80" s="18"/>
      <c r="K80" s="18"/>
      <c r="L80" s="18"/>
      <c r="N80" s="18"/>
      <c r="O80" s="11">
        <f>Tabla351018263641424[[#This Row],[COMISIONES]]*0.21</f>
        <v>0</v>
      </c>
      <c r="P80" s="18"/>
      <c r="Q80" s="18"/>
      <c r="R80" s="18"/>
      <c r="U80" s="19">
        <f>Tabla61220283342102030[[#This Row],[COMISIONES]]*0.21</f>
        <v>0</v>
      </c>
      <c r="AA80" s="21">
        <f>Tabla35681321293971727[[#This Row],[COMISIONES]]*0.21</f>
        <v>0</v>
      </c>
      <c r="AB80" s="21"/>
      <c r="AC80" s="21"/>
    </row>
    <row r="81" spans="8:30" x14ac:dyDescent="0.25">
      <c r="H81" s="18"/>
      <c r="I81" s="18">
        <f>Tabla391523314191929[[#This Row],[COMISIONES]]*0.21</f>
        <v>0</v>
      </c>
      <c r="J81" s="18"/>
      <c r="K81" s="18"/>
      <c r="L81" s="18"/>
      <c r="N81" s="18"/>
      <c r="O81" s="11">
        <f>Tabla351018263641424[[#This Row],[COMISIONES]]*0.21</f>
        <v>0</v>
      </c>
      <c r="P81" s="18"/>
      <c r="Q81" s="18"/>
      <c r="R81" s="18"/>
      <c r="U81" s="19">
        <f>Tabla61220283342102030[[#This Row],[COMISIONES]]*0.21</f>
        <v>0</v>
      </c>
      <c r="AA81" s="21">
        <f>Tabla35681321293971727[[#This Row],[COMISIONES]]*0.21</f>
        <v>0</v>
      </c>
      <c r="AB81" s="1"/>
      <c r="AC81" s="1"/>
    </row>
    <row r="82" spans="8:30" x14ac:dyDescent="0.25">
      <c r="H82" s="18"/>
      <c r="I82" s="18">
        <f>Tabla391523314191929[[#This Row],[COMISIONES]]*0.21</f>
        <v>0</v>
      </c>
      <c r="J82" s="18"/>
      <c r="K82" s="18"/>
      <c r="L82" s="18"/>
      <c r="N82" s="18"/>
      <c r="O82" s="11">
        <f>Tabla351018263641424[[#This Row],[COMISIONES]]*0.21</f>
        <v>0</v>
      </c>
      <c r="P82" s="18"/>
      <c r="Q82" s="18"/>
      <c r="R82" s="18"/>
      <c r="U82" s="19">
        <f>Tabla61220283342102030[[#This Row],[COMISIONES]]*0.21</f>
        <v>0</v>
      </c>
      <c r="Z82" s="1"/>
      <c r="AA82" s="21">
        <f>Tabla35681321293971727[[#This Row],[COMISIONES]]*0.21</f>
        <v>0</v>
      </c>
      <c r="AB82" s="21"/>
      <c r="AC82" s="21"/>
    </row>
    <row r="83" spans="8:30" x14ac:dyDescent="0.25">
      <c r="H83" s="18"/>
      <c r="I83" s="18">
        <f>Tabla391523314191929[[#This Row],[COMISIONES]]*0.21</f>
        <v>0</v>
      </c>
      <c r="J83" s="18"/>
      <c r="K83" s="18"/>
      <c r="L83" s="18"/>
      <c r="N83" s="18"/>
      <c r="O83" s="11">
        <f>Tabla351018263641424[[#This Row],[COMISIONES]]*0.21</f>
        <v>0</v>
      </c>
      <c r="P83" s="18"/>
      <c r="Q83" s="18"/>
      <c r="R83" s="18"/>
      <c r="U83" s="19">
        <f>Tabla61220283342102030[[#This Row],[COMISIONES]]*0.21</f>
        <v>0</v>
      </c>
      <c r="Z83" s="1"/>
      <c r="AA83" s="21">
        <f>Tabla35681321293971727[[#This Row],[COMISIONES]]*0.21</f>
        <v>0</v>
      </c>
      <c r="AB83" s="21"/>
      <c r="AC83" s="1"/>
    </row>
    <row r="84" spans="8:30" x14ac:dyDescent="0.25">
      <c r="H84" s="18"/>
      <c r="I84" s="18">
        <f>Tabla391523314191929[[#This Row],[COMISIONES]]*0.21</f>
        <v>0</v>
      </c>
      <c r="J84" s="18"/>
      <c r="K84" s="18"/>
      <c r="L84" s="18"/>
      <c r="N84" s="18"/>
      <c r="O84" s="11">
        <f>Tabla351018263641424[[#This Row],[COMISIONES]]*0.21</f>
        <v>0</v>
      </c>
      <c r="P84" s="18"/>
      <c r="Q84" s="18"/>
      <c r="R84" s="18"/>
      <c r="U84" s="19">
        <f>Tabla61220283342102030[[#This Row],[COMISIONES]]*0.21</f>
        <v>0</v>
      </c>
      <c r="Z84" s="1"/>
      <c r="AA84" s="21">
        <f>Tabla35681321293971727[[#This Row],[COMISIONES]]*0.21</f>
        <v>0</v>
      </c>
      <c r="AB84" s="21"/>
      <c r="AC84" s="1"/>
    </row>
    <row r="85" spans="8:30" x14ac:dyDescent="0.25">
      <c r="H85" s="18"/>
      <c r="I85" s="18">
        <f>Tabla391523314191929[[#This Row],[COMISIONES]]*0.21</f>
        <v>0</v>
      </c>
      <c r="J85" s="18"/>
      <c r="K85" s="18"/>
      <c r="L85" s="18"/>
      <c r="N85" s="18"/>
      <c r="O85" s="11">
        <f>Tabla351018263641424[[#This Row],[COMISIONES]]*0.21</f>
        <v>0</v>
      </c>
      <c r="P85" s="18"/>
      <c r="Q85" s="18"/>
      <c r="R85" s="18"/>
      <c r="U85" s="19">
        <f>Tabla61220283342102030[[#This Row],[COMISIONES]]*0.21</f>
        <v>0</v>
      </c>
      <c r="Z85" s="1"/>
      <c r="AA85" s="21">
        <f>Tabla35681321293971727[[#This Row],[COMISIONES]]*0.21</f>
        <v>0</v>
      </c>
      <c r="AB85" s="21"/>
      <c r="AC85" s="1"/>
    </row>
    <row r="86" spans="8:30" x14ac:dyDescent="0.25">
      <c r="H86" s="18"/>
      <c r="I86" s="18">
        <f>Tabla391523314191929[[#This Row],[COMISIONES]]*0.21</f>
        <v>0</v>
      </c>
      <c r="J86" s="18"/>
      <c r="K86" s="18"/>
      <c r="L86" s="18"/>
      <c r="N86" s="18"/>
      <c r="O86" s="11">
        <f>Tabla351018263641424[[#This Row],[COMISIONES]]*0.21</f>
        <v>0</v>
      </c>
      <c r="P86" s="18"/>
      <c r="Q86" s="18"/>
      <c r="R86" s="18"/>
      <c r="U86" s="19">
        <f>Tabla61220283342102030[[#This Row],[COMISIONES]]*0.21</f>
        <v>0</v>
      </c>
      <c r="Z86" s="1"/>
      <c r="AA86" s="21">
        <f>Tabla35681321293971727[[#This Row],[COMISIONES]]*0.21</f>
        <v>0</v>
      </c>
      <c r="AB86" s="1"/>
      <c r="AC86" s="1"/>
      <c r="AD86" s="21"/>
    </row>
    <row r="87" spans="8:30" x14ac:dyDescent="0.25">
      <c r="H87" s="18"/>
      <c r="I87" s="18">
        <f>Tabla391523314191929[[#This Row],[COMISIONES]]*0.21</f>
        <v>0</v>
      </c>
      <c r="J87" s="18"/>
      <c r="K87" s="18"/>
      <c r="L87" s="18"/>
      <c r="N87" s="18"/>
      <c r="O87" s="11">
        <f>Tabla351018263641424[[#This Row],[COMISIONES]]*0.21</f>
        <v>0</v>
      </c>
      <c r="P87" s="18"/>
      <c r="Q87" s="18"/>
      <c r="R87" s="18"/>
      <c r="U87" s="19">
        <f>Tabla61220283342102030[[#This Row],[COMISIONES]]*0.21</f>
        <v>0</v>
      </c>
      <c r="Z87" s="1"/>
      <c r="AA87" s="21">
        <f>Tabla35681321293971727[[#This Row],[COMISIONES]]*0.21</f>
        <v>0</v>
      </c>
      <c r="AB87" s="21"/>
      <c r="AC87" s="21"/>
    </row>
    <row r="88" spans="8:30" x14ac:dyDescent="0.25">
      <c r="H88" s="18"/>
      <c r="I88" s="18">
        <f>Tabla391523314191929[[#This Row],[COMISIONES]]*0.21</f>
        <v>0</v>
      </c>
      <c r="J88" s="18"/>
      <c r="K88" s="18"/>
      <c r="L88" s="18"/>
      <c r="N88" s="18"/>
      <c r="O88" s="11">
        <f>Tabla351018263641424[[#This Row],[COMISIONES]]*0.21</f>
        <v>0</v>
      </c>
      <c r="P88" s="18"/>
      <c r="Q88" s="18"/>
      <c r="R88" s="18"/>
      <c r="U88" s="19">
        <f>Tabla61220283342102030[[#This Row],[COMISIONES]]*0.21</f>
        <v>0</v>
      </c>
      <c r="Z88" s="1"/>
      <c r="AA88" s="21">
        <f>Tabla35681321293971727[[#This Row],[COMISIONES]]*0.21</f>
        <v>0</v>
      </c>
    </row>
    <row r="89" spans="8:30" x14ac:dyDescent="0.25">
      <c r="H89" s="18"/>
      <c r="I89" s="18">
        <f>Tabla391523314191929[[#This Row],[COMISIONES]]*0.21</f>
        <v>0</v>
      </c>
      <c r="J89" s="18"/>
      <c r="K89" s="18"/>
      <c r="L89" s="18"/>
      <c r="N89" s="18"/>
      <c r="O89" s="11">
        <f>Tabla351018263641424[[#This Row],[COMISIONES]]*0.21</f>
        <v>0</v>
      </c>
      <c r="P89" s="18"/>
      <c r="Q89" s="18"/>
      <c r="R89" s="18"/>
      <c r="U89" s="19">
        <f>Tabla61220283342102030[[#This Row],[COMISIONES]]*0.21</f>
        <v>0</v>
      </c>
      <c r="Z89" s="1"/>
      <c r="AA89" s="21">
        <f>Tabla35681321293971727[[#This Row],[COMISIONES]]*0.21</f>
        <v>0</v>
      </c>
      <c r="AB89" s="21"/>
      <c r="AC89" s="21"/>
    </row>
    <row r="90" spans="8:30" x14ac:dyDescent="0.25">
      <c r="H90" s="18"/>
      <c r="I90" s="18">
        <f>Tabla391523314191929[[#This Row],[COMISIONES]]*0.21</f>
        <v>0</v>
      </c>
      <c r="J90" s="18"/>
      <c r="K90" s="18"/>
      <c r="L90" s="18"/>
      <c r="N90" s="18"/>
      <c r="O90" s="11">
        <f>Tabla351018263641424[[#This Row],[COMISIONES]]*0.21</f>
        <v>0</v>
      </c>
      <c r="P90" s="18"/>
      <c r="Q90" s="18"/>
      <c r="R90" s="18"/>
      <c r="U90" s="19">
        <f>Tabla61220283342102030[[#This Row],[COMISIONES]]*0.21</f>
        <v>0</v>
      </c>
      <c r="Z90" s="1"/>
      <c r="AA90" s="21">
        <f>Tabla35681321293971727[[#This Row],[COMISIONES]]*0.21</f>
        <v>0</v>
      </c>
      <c r="AB90" s="21"/>
      <c r="AC90" s="1"/>
    </row>
    <row r="91" spans="8:30" x14ac:dyDescent="0.25">
      <c r="H91" s="18"/>
      <c r="I91" s="18">
        <f>Tabla391523314191929[[#This Row],[COMISIONES]]*0.21</f>
        <v>0</v>
      </c>
      <c r="J91" s="18"/>
      <c r="K91" s="18"/>
      <c r="L91" s="18"/>
      <c r="N91" s="18"/>
      <c r="O91" s="11">
        <f>Tabla351018263641424[[#This Row],[COMISIONES]]*0.21</f>
        <v>0</v>
      </c>
      <c r="P91" s="18"/>
      <c r="Q91" s="18"/>
      <c r="R91" s="18"/>
      <c r="U91" s="19">
        <f>Tabla61220283342102030[[#This Row],[COMISIONES]]*0.21</f>
        <v>0</v>
      </c>
      <c r="AA91" s="21">
        <f>Tabla35681321293971727[[#This Row],[COMISIONES]]*0.21</f>
        <v>0</v>
      </c>
      <c r="AB91" s="21"/>
      <c r="AC91" s="21"/>
      <c r="AD91" s="21"/>
    </row>
    <row r="92" spans="8:30" x14ac:dyDescent="0.25">
      <c r="H92" s="21"/>
      <c r="I92" s="21">
        <f>Tabla391523314191929[[#This Row],[COMISIONES]]*0.21</f>
        <v>0</v>
      </c>
      <c r="J92" s="21"/>
      <c r="K92" s="21"/>
      <c r="L92" s="21"/>
      <c r="N92" s="18"/>
      <c r="O92" s="11">
        <f>Tabla351018263641424[[#This Row],[COMISIONES]]*0.21</f>
        <v>0</v>
      </c>
      <c r="P92" s="18"/>
      <c r="Q92" s="18"/>
      <c r="R92" s="18"/>
      <c r="U92" s="19">
        <f>Tabla61220283342102030[[#This Row],[COMISIONES]]*0.21</f>
        <v>0</v>
      </c>
      <c r="AA92" s="21">
        <f>Tabla35681321293971727[[#This Row],[COMISIONES]]*0.21</f>
        <v>0</v>
      </c>
      <c r="AB92" s="21"/>
      <c r="AC92" s="21"/>
      <c r="AD92" s="21"/>
    </row>
    <row r="93" spans="8:30" x14ac:dyDescent="0.25">
      <c r="H93" s="21"/>
      <c r="I93" s="21">
        <f>Tabla391523314191929[[#This Row],[COMISIONES]]*0.21</f>
        <v>0</v>
      </c>
      <c r="J93" s="21"/>
      <c r="K93" s="21"/>
      <c r="L93" s="21"/>
      <c r="N93" s="18"/>
      <c r="O93" s="11">
        <f>Tabla351018263641424[[#This Row],[COMISIONES]]*0.21</f>
        <v>0</v>
      </c>
      <c r="P93" s="18"/>
      <c r="Q93" s="18"/>
      <c r="R93" s="18"/>
      <c r="T93" s="17">
        <f>SUBTOTAL(109,Tabla61220283342102030[COMISIONES])</f>
        <v>0</v>
      </c>
      <c r="U93" s="17">
        <f>SUBTOTAL(109,Tabla61220283342102030[IVA 21])</f>
        <v>0</v>
      </c>
      <c r="V93" s="17">
        <f>SUBTOTAL(109,Tabla61220283342102030[IVA 10,5])</f>
        <v>0</v>
      </c>
      <c r="W93" s="17">
        <f>SUBTOTAL(109,Tabla61220283342102030[Ret IIBB Caba])</f>
        <v>0</v>
      </c>
      <c r="X93" s="17">
        <f>SUBTOTAL(109,Tabla61220283342102030[PERC IVA])</f>
        <v>0</v>
      </c>
      <c r="Z93" s="1"/>
      <c r="AA93" s="21">
        <f>Tabla35681321293971727[[#This Row],[COMISIONES]]*0.21</f>
        <v>0</v>
      </c>
      <c r="AB93" s="21"/>
      <c r="AC93" s="21"/>
      <c r="AD93" s="21"/>
    </row>
    <row r="94" spans="8:30" x14ac:dyDescent="0.25">
      <c r="H94" s="21"/>
      <c r="I94" s="21">
        <f>Tabla391523314191929[[#This Row],[COMISIONES]]*0.21</f>
        <v>0</v>
      </c>
      <c r="J94" s="21"/>
      <c r="K94" s="21"/>
      <c r="L94" s="21"/>
      <c r="N94" s="18"/>
      <c r="O94" s="11">
        <f>Tabla351018263641424[[#This Row],[COMISIONES]]*0.21</f>
        <v>0</v>
      </c>
      <c r="P94" s="18"/>
      <c r="Q94" s="18"/>
      <c r="R94" s="18"/>
      <c r="Z94" s="1"/>
      <c r="AA94" s="21">
        <f>Tabla35681321293971727[[#This Row],[COMISIONES]]*0.21</f>
        <v>0</v>
      </c>
      <c r="AB94" s="21"/>
      <c r="AC94" s="21"/>
      <c r="AD94" s="21"/>
    </row>
    <row r="95" spans="8:30" x14ac:dyDescent="0.25">
      <c r="H95" s="21"/>
      <c r="I95" s="21">
        <f>Tabla391523314191929[[#This Row],[COMISIONES]]*0.21</f>
        <v>0</v>
      </c>
      <c r="J95" s="21"/>
      <c r="K95" s="21"/>
      <c r="L95" s="21"/>
      <c r="N95" s="18"/>
      <c r="O95" s="11">
        <f>Tabla351018263641424[[#This Row],[COMISIONES]]*0.21</f>
        <v>0</v>
      </c>
      <c r="P95" s="18"/>
      <c r="Q95" s="18"/>
      <c r="R95" s="18"/>
      <c r="Z95" s="1"/>
      <c r="AA95" s="21">
        <f>Tabla35681321293971727[[#This Row],[COMISIONES]]*0.21</f>
        <v>0</v>
      </c>
      <c r="AB95" s="1"/>
      <c r="AC95" s="1"/>
    </row>
    <row r="96" spans="8:30" x14ac:dyDescent="0.25">
      <c r="H96" s="21"/>
      <c r="I96" s="21">
        <f>Tabla391523314191929[[#This Row],[COMISIONES]]*0.21</f>
        <v>0</v>
      </c>
      <c r="J96" s="21"/>
      <c r="K96" s="21"/>
      <c r="L96" s="21"/>
      <c r="N96" s="18"/>
      <c r="O96" s="11">
        <f>Tabla351018263641424[[#This Row],[COMISIONES]]*0.21</f>
        <v>0</v>
      </c>
      <c r="P96" s="18"/>
      <c r="Q96" s="18"/>
      <c r="R96" s="18"/>
      <c r="Z96" s="1"/>
      <c r="AA96" s="21">
        <f>Tabla35681321293971727[[#This Row],[COMISIONES]]*0.21</f>
        <v>0</v>
      </c>
      <c r="AB96" s="1"/>
      <c r="AC96" s="1"/>
    </row>
    <row r="97" spans="8:30" x14ac:dyDescent="0.25">
      <c r="H97" s="21"/>
      <c r="I97" s="21">
        <f>Tabla391523314191929[[#This Row],[COMISIONES]]*0.21</f>
        <v>0</v>
      </c>
      <c r="J97" s="21"/>
      <c r="K97" s="21"/>
      <c r="L97" s="21"/>
      <c r="N97" s="18"/>
      <c r="O97" s="11">
        <f>Tabla351018263641424[[#This Row],[COMISIONES]]*0.21</f>
        <v>0</v>
      </c>
      <c r="P97" s="18"/>
      <c r="Q97" s="18"/>
      <c r="R97" s="18"/>
      <c r="Z97" s="1"/>
      <c r="AA97" s="21">
        <f>Tabla35681321293971727[[#This Row],[COMISIONES]]*0.21</f>
        <v>0</v>
      </c>
      <c r="AB97" s="21"/>
      <c r="AC97" s="21"/>
    </row>
    <row r="98" spans="8:30" x14ac:dyDescent="0.25">
      <c r="H98" s="21"/>
      <c r="I98" s="21">
        <f>Tabla391523314191929[[#This Row],[COMISIONES]]*0.21</f>
        <v>0</v>
      </c>
      <c r="J98" s="21"/>
      <c r="K98" s="21"/>
      <c r="L98" s="21"/>
      <c r="N98" s="18"/>
      <c r="O98" s="11">
        <f>Tabla351018263641424[[#This Row],[COMISIONES]]*0.21</f>
        <v>0</v>
      </c>
      <c r="P98" s="18"/>
      <c r="Q98" s="18"/>
      <c r="R98" s="18"/>
      <c r="Z98" s="1"/>
      <c r="AA98" s="21">
        <f>Tabla35681321293971727[[#This Row],[COMISIONES]]*0.21</f>
        <v>0</v>
      </c>
      <c r="AB98" s="21"/>
      <c r="AC98" s="21"/>
    </row>
    <row r="99" spans="8:30" x14ac:dyDescent="0.25">
      <c r="H99" s="21"/>
      <c r="I99" s="21">
        <f>Tabla391523314191929[[#This Row],[COMISIONES]]*0.21</f>
        <v>0</v>
      </c>
      <c r="J99" s="21"/>
      <c r="K99" s="21"/>
      <c r="L99" s="21"/>
      <c r="N99" s="18"/>
      <c r="O99" s="11">
        <f>Tabla351018263641424[[#This Row],[COMISIONES]]*0.21</f>
        <v>0</v>
      </c>
      <c r="P99" s="18"/>
      <c r="Q99" s="18"/>
      <c r="R99" s="18"/>
      <c r="Z99" s="1"/>
      <c r="AA99" s="21">
        <f>Tabla35681321293971727[[#This Row],[COMISIONES]]*0.21</f>
        <v>0</v>
      </c>
      <c r="AB99" s="21"/>
      <c r="AC99" s="21"/>
    </row>
    <row r="100" spans="8:30" x14ac:dyDescent="0.25">
      <c r="H100" s="21"/>
      <c r="I100" s="21">
        <f>Tabla391523314191929[[#This Row],[COMISIONES]]*0.21</f>
        <v>0</v>
      </c>
      <c r="J100" s="21"/>
      <c r="K100" s="21"/>
      <c r="L100" s="21"/>
      <c r="N100" s="18"/>
      <c r="O100" s="11">
        <f>Tabla351018263641424[[#This Row],[COMISIONES]]*0.21</f>
        <v>0</v>
      </c>
      <c r="P100" s="18"/>
      <c r="Q100" s="18"/>
      <c r="R100" s="18"/>
      <c r="AA100" s="21">
        <f>Tabla35681321293971727[[#This Row],[COMISIONES]]*0.21</f>
        <v>0</v>
      </c>
      <c r="AB100" s="21"/>
      <c r="AC100" s="21"/>
      <c r="AD100" s="21"/>
    </row>
    <row r="101" spans="8:30" x14ac:dyDescent="0.25">
      <c r="H101" s="20">
        <f>SUBTOTAL(109,Tabla391523314191929[COMISIONES])</f>
        <v>128995</v>
      </c>
      <c r="I101" s="20">
        <f>SUBTOTAL(109,Tabla391523314191929[IVA 21])</f>
        <v>27088.95</v>
      </c>
      <c r="J101" s="20">
        <f>SUBTOTAL(109,Tabla391523314191929[IVA 10,5])</f>
        <v>0</v>
      </c>
      <c r="K101" s="20">
        <f>SUBTOTAL(109,Tabla391523314191929[Ret IIBB Caba])</f>
        <v>0</v>
      </c>
      <c r="L101" s="20">
        <f>SUBTOTAL(109,Tabla391523314191929[PERC IVA])</f>
        <v>3869.85</v>
      </c>
      <c r="N101" s="18"/>
      <c r="O101" s="11">
        <f>Tabla351018263641424[[#This Row],[COMISIONES]]*0.21</f>
        <v>0</v>
      </c>
      <c r="P101" s="18"/>
      <c r="Q101" s="18"/>
      <c r="R101" s="18"/>
      <c r="Z101" s="1"/>
      <c r="AA101" s="21">
        <f>Tabla35681321293971727[[#This Row],[COMISIONES]]*0.21</f>
        <v>0</v>
      </c>
      <c r="AB101" s="21"/>
      <c r="AC101" s="21"/>
      <c r="AD101" s="21"/>
    </row>
    <row r="102" spans="8:30" x14ac:dyDescent="0.25">
      <c r="N102" s="18"/>
      <c r="O102" s="11">
        <f>Tabla351018263641424[[#This Row],[COMISIONES]]*0.21</f>
        <v>0</v>
      </c>
      <c r="P102" s="18"/>
      <c r="Q102" s="18"/>
      <c r="R102" s="18"/>
      <c r="AA102" s="21">
        <f>Tabla35681321293971727[[#This Row],[COMISIONES]]*0.21</f>
        <v>0</v>
      </c>
      <c r="AB102" s="21"/>
      <c r="AC102" s="21"/>
      <c r="AD102" s="21"/>
    </row>
    <row r="103" spans="8:30" x14ac:dyDescent="0.25">
      <c r="N103" s="18"/>
      <c r="O103" s="11">
        <f>Tabla351018263641424[[#This Row],[COMISIONES]]*0.21</f>
        <v>0</v>
      </c>
      <c r="P103" s="18"/>
      <c r="Q103" s="18"/>
      <c r="R103" s="18"/>
      <c r="Z103" s="1"/>
      <c r="AA103" s="21">
        <f>Tabla35681321293971727[[#This Row],[COMISIONES]]*0.21</f>
        <v>0</v>
      </c>
      <c r="AB103" s="21"/>
      <c r="AC103" s="1"/>
      <c r="AD103" s="21"/>
    </row>
    <row r="104" spans="8:30" x14ac:dyDescent="0.25">
      <c r="N104" s="18"/>
      <c r="O104" s="11">
        <f>Tabla351018263641424[[#This Row],[COMISIONES]]*0.21</f>
        <v>0</v>
      </c>
      <c r="P104" s="18"/>
      <c r="Q104" s="18"/>
      <c r="R104" s="18"/>
      <c r="Z104" s="1"/>
      <c r="AA104" s="21">
        <f>Tabla35681321293971727[[#This Row],[COMISIONES]]*0.21</f>
        <v>0</v>
      </c>
      <c r="AB104" s="21"/>
      <c r="AC104" s="1"/>
    </row>
    <row r="105" spans="8:30" x14ac:dyDescent="0.25">
      <c r="N105" s="18"/>
      <c r="O105" s="11">
        <f>Tabla351018263641424[[#This Row],[COMISIONES]]*0.21</f>
        <v>0</v>
      </c>
      <c r="P105" s="18"/>
      <c r="Q105" s="18"/>
      <c r="R105" s="18"/>
      <c r="Z105" s="1"/>
      <c r="AA105" s="21">
        <f>Tabla35681321293971727[[#This Row],[COMISIONES]]*0.21</f>
        <v>0</v>
      </c>
      <c r="AB105" s="21"/>
      <c r="AC105" s="1"/>
      <c r="AD105" s="21"/>
    </row>
    <row r="106" spans="8:30" x14ac:dyDescent="0.25">
      <c r="N106" s="18"/>
      <c r="O106" s="11">
        <f>Tabla351018263641424[[#This Row],[COMISIONES]]*0.21</f>
        <v>0</v>
      </c>
      <c r="P106" s="18"/>
      <c r="Q106" s="18"/>
      <c r="R106" s="18"/>
      <c r="Z106" s="1"/>
      <c r="AA106" s="21">
        <f>Tabla35681321293971727[[#This Row],[COMISIONES]]*0.21</f>
        <v>0</v>
      </c>
      <c r="AB106" s="21"/>
      <c r="AC106" s="1"/>
    </row>
    <row r="107" spans="8:30" x14ac:dyDescent="0.25">
      <c r="N107" s="18"/>
      <c r="O107" s="11">
        <f>Tabla351018263641424[[#This Row],[COMISIONES]]*0.21</f>
        <v>0</v>
      </c>
      <c r="P107" s="18"/>
      <c r="Q107" s="18"/>
      <c r="R107" s="18"/>
      <c r="Z107" s="1"/>
      <c r="AA107" s="21">
        <f>Tabla35681321293971727[[#This Row],[COMISIONES]]*0.21</f>
        <v>0</v>
      </c>
      <c r="AB107" s="21"/>
      <c r="AC107" s="1"/>
    </row>
    <row r="108" spans="8:30" x14ac:dyDescent="0.25">
      <c r="N108" s="18"/>
      <c r="O108" s="11">
        <f>Tabla351018263641424[[#This Row],[COMISIONES]]*0.21</f>
        <v>0</v>
      </c>
      <c r="P108" s="18"/>
      <c r="Q108" s="18"/>
      <c r="R108" s="18"/>
      <c r="Z108" s="1"/>
      <c r="AA108" s="21">
        <f>Tabla35681321293971727[[#This Row],[COMISIONES]]*0.21</f>
        <v>0</v>
      </c>
      <c r="AB108" s="21"/>
      <c r="AC108" s="1"/>
    </row>
    <row r="109" spans="8:30" x14ac:dyDescent="0.25">
      <c r="N109" s="18"/>
      <c r="O109" s="11">
        <f>Tabla351018263641424[[#This Row],[COMISIONES]]*0.21</f>
        <v>0</v>
      </c>
      <c r="P109" s="18"/>
      <c r="Q109" s="18"/>
      <c r="R109" s="18"/>
      <c r="Z109" s="1"/>
      <c r="AA109" s="21">
        <f>Tabla35681321293971727[[#This Row],[COMISIONES]]*0.21</f>
        <v>0</v>
      </c>
      <c r="AB109" s="21"/>
      <c r="AC109" s="1"/>
      <c r="AD109" s="21"/>
    </row>
    <row r="110" spans="8:30" x14ac:dyDescent="0.25">
      <c r="N110" s="18"/>
      <c r="O110" s="11">
        <f>Tabla351018263641424[[#This Row],[COMISIONES]]*0.21</f>
        <v>0</v>
      </c>
      <c r="P110" s="18"/>
      <c r="Q110" s="18"/>
      <c r="R110" s="18"/>
      <c r="Z110" s="1"/>
      <c r="AA110" s="21">
        <f>Tabla35681321293971727[[#This Row],[COMISIONES]]*0.21</f>
        <v>0</v>
      </c>
      <c r="AB110" s="21"/>
      <c r="AC110" s="1"/>
      <c r="AD110" s="21"/>
    </row>
    <row r="111" spans="8:30" x14ac:dyDescent="0.25">
      <c r="N111" s="18"/>
      <c r="O111" s="11">
        <f>Tabla351018263641424[[#This Row],[COMISIONES]]*0.21</f>
        <v>0</v>
      </c>
      <c r="P111" s="18"/>
      <c r="Q111" s="18"/>
      <c r="R111" s="18"/>
      <c r="Z111" s="1"/>
      <c r="AA111" s="21">
        <f>Tabla35681321293971727[[#This Row],[COMISIONES]]*0.21</f>
        <v>0</v>
      </c>
      <c r="AB111" s="21"/>
      <c r="AC111" s="21"/>
      <c r="AD111" s="21"/>
    </row>
    <row r="112" spans="8:30" x14ac:dyDescent="0.25">
      <c r="N112" s="18"/>
      <c r="O112" s="11">
        <f>Tabla351018263641424[[#This Row],[COMISIONES]]*0.21</f>
        <v>0</v>
      </c>
      <c r="P112" s="18"/>
      <c r="Q112" s="18"/>
      <c r="R112" s="18"/>
      <c r="AA112" s="21">
        <f>Tabla35681321293971727[[#This Row],[COMISIONES]]*0.21</f>
        <v>0</v>
      </c>
      <c r="AB112" s="21"/>
      <c r="AC112" s="21"/>
      <c r="AD112" s="21"/>
    </row>
    <row r="113" spans="14:30" x14ac:dyDescent="0.25">
      <c r="N113" s="18"/>
      <c r="O113" s="11">
        <f>Tabla351018263641424[[#This Row],[COMISIONES]]*0.21</f>
        <v>0</v>
      </c>
      <c r="P113" s="18"/>
      <c r="Q113" s="18"/>
      <c r="R113" s="18"/>
      <c r="Z113" s="1"/>
      <c r="AA113" s="21">
        <f>Tabla35681321293971727[[#This Row],[COMISIONES]]*0.21</f>
        <v>0</v>
      </c>
      <c r="AB113" s="21"/>
      <c r="AC113" s="1"/>
      <c r="AD113" s="21"/>
    </row>
    <row r="114" spans="14:30" x14ac:dyDescent="0.25">
      <c r="N114" s="18"/>
      <c r="O114" s="11">
        <f>Tabla351018263641424[[#This Row],[COMISIONES]]*0.21</f>
        <v>0</v>
      </c>
      <c r="P114" s="18"/>
      <c r="Q114" s="18"/>
      <c r="R114" s="18"/>
      <c r="Z114" s="21"/>
      <c r="AA114" s="21">
        <f>Tabla35681321293971727[[#This Row],[COMISIONES]]*0.21</f>
        <v>0</v>
      </c>
      <c r="AB114" s="21"/>
      <c r="AC114" s="1"/>
      <c r="AD114" s="21"/>
    </row>
    <row r="115" spans="14:30" x14ac:dyDescent="0.25">
      <c r="N115" s="18"/>
      <c r="O115" s="11">
        <f>Tabla351018263641424[[#This Row],[COMISIONES]]*0.21</f>
        <v>0</v>
      </c>
      <c r="P115" s="18"/>
      <c r="Q115" s="18"/>
      <c r="R115" s="18"/>
      <c r="Z115" s="1"/>
      <c r="AA115" s="21">
        <f>Tabla35681321293971727[[#This Row],[COMISIONES]]*0.21</f>
        <v>0</v>
      </c>
      <c r="AB115" s="21"/>
      <c r="AC115" s="1"/>
      <c r="AD115" s="21"/>
    </row>
    <row r="116" spans="14:30" x14ac:dyDescent="0.25">
      <c r="N116" s="18"/>
      <c r="O116" s="11">
        <f>Tabla351018263641424[[#This Row],[COMISIONES]]*0.21</f>
        <v>0</v>
      </c>
      <c r="P116" s="18"/>
      <c r="Q116" s="18"/>
      <c r="R116" s="18"/>
      <c r="Z116" s="1"/>
      <c r="AA116" s="21">
        <f>Tabla35681321293971727[[#This Row],[COMISIONES]]*0.21</f>
        <v>0</v>
      </c>
      <c r="AB116" s="21"/>
      <c r="AC116" s="1"/>
    </row>
    <row r="117" spans="14:30" x14ac:dyDescent="0.25">
      <c r="N117" s="18"/>
      <c r="O117" s="11">
        <f>Tabla351018263641424[[#This Row],[COMISIONES]]*0.21</f>
        <v>0</v>
      </c>
      <c r="P117" s="18"/>
      <c r="Q117" s="18"/>
      <c r="R117" s="18"/>
      <c r="Z117" s="1"/>
      <c r="AA117" s="21">
        <f>Tabla35681321293971727[[#This Row],[COMISIONES]]*0.21</f>
        <v>0</v>
      </c>
      <c r="AB117" s="21"/>
      <c r="AC117" s="1"/>
    </row>
    <row r="118" spans="14:30" x14ac:dyDescent="0.25">
      <c r="N118" s="18"/>
      <c r="O118" s="11">
        <f>Tabla351018263641424[[#This Row],[COMISIONES]]*0.21</f>
        <v>0</v>
      </c>
      <c r="P118" s="18"/>
      <c r="Q118" s="18"/>
      <c r="R118" s="18"/>
      <c r="AA118" s="21">
        <f>Tabla35681321293971727[[#This Row],[COMISIONES]]*0.21</f>
        <v>0</v>
      </c>
      <c r="AB118" s="21"/>
      <c r="AC118" s="21"/>
      <c r="AD118" s="21"/>
    </row>
    <row r="119" spans="14:30" x14ac:dyDescent="0.25">
      <c r="N119" s="18"/>
      <c r="O119" s="11">
        <f>Tabla351018263641424[[#This Row],[COMISIONES]]*0.21</f>
        <v>0</v>
      </c>
      <c r="P119" s="18"/>
      <c r="Q119" s="18"/>
      <c r="R119" s="18"/>
      <c r="Z119" s="1"/>
      <c r="AA119" s="21">
        <f>Tabla35681321293971727[[#This Row],[COMISIONES]]*0.21</f>
        <v>0</v>
      </c>
      <c r="AB119" s="21"/>
      <c r="AC119" s="21"/>
      <c r="AD119" s="21"/>
    </row>
    <row r="120" spans="14:30" x14ac:dyDescent="0.25">
      <c r="N120" s="18"/>
      <c r="O120" s="11">
        <f>Tabla351018263641424[[#This Row],[COMISIONES]]*0.21</f>
        <v>0</v>
      </c>
      <c r="P120" s="18"/>
      <c r="Q120" s="18"/>
      <c r="R120" s="18"/>
      <c r="Z120" s="1"/>
      <c r="AA120" s="21">
        <f>Tabla35681321293971727[[#This Row],[COMISIONES]]*0.21</f>
        <v>0</v>
      </c>
      <c r="AB120" s="21"/>
      <c r="AC120" s="21"/>
      <c r="AD120" s="21"/>
    </row>
    <row r="121" spans="14:30" x14ac:dyDescent="0.25">
      <c r="N121" s="18"/>
      <c r="O121" s="11">
        <f>Tabla351018263641424[[#This Row],[COMISIONES]]*0.21</f>
        <v>0</v>
      </c>
      <c r="P121" s="18"/>
      <c r="Q121" s="18"/>
      <c r="R121" s="18"/>
      <c r="Z121" s="1"/>
      <c r="AA121" s="21">
        <f>Tabla35681321293971727[[#This Row],[COMISIONES]]*0.21</f>
        <v>0</v>
      </c>
      <c r="AB121" s="21"/>
      <c r="AC121" s="21"/>
      <c r="AD121" s="21"/>
    </row>
    <row r="122" spans="14:30" x14ac:dyDescent="0.25">
      <c r="N122" s="18"/>
      <c r="O122" s="18"/>
      <c r="P122" s="18"/>
      <c r="Q122" s="18"/>
      <c r="R122" s="18"/>
      <c r="Z122" s="1"/>
      <c r="AA122" s="21">
        <f>Tabla35681321293971727[[#This Row],[COMISIONES]]*0.21</f>
        <v>0</v>
      </c>
      <c r="AB122" s="21"/>
      <c r="AC122" s="21"/>
      <c r="AD122" s="21"/>
    </row>
    <row r="123" spans="14:30" x14ac:dyDescent="0.25">
      <c r="N123" s="18"/>
      <c r="O123" s="18"/>
      <c r="P123" s="18"/>
      <c r="Q123" s="18"/>
      <c r="R123" s="18"/>
      <c r="AA123" s="21">
        <f>Tabla35681321293971727[[#This Row],[COMISIONES]]*0.21</f>
        <v>0</v>
      </c>
      <c r="AB123" s="21"/>
      <c r="AC123" s="21"/>
      <c r="AD123" s="21"/>
    </row>
    <row r="124" spans="14:30" x14ac:dyDescent="0.25">
      <c r="N124" s="18"/>
      <c r="O124" s="18"/>
      <c r="P124" s="18"/>
      <c r="Q124" s="18"/>
      <c r="R124" s="18"/>
      <c r="Z124" s="1"/>
      <c r="AA124" s="21">
        <f>Tabla35681321293971727[[#This Row],[COMISIONES]]*0.21</f>
        <v>0</v>
      </c>
      <c r="AB124" s="21"/>
      <c r="AC124" s="21"/>
      <c r="AD124" s="21"/>
    </row>
    <row r="125" spans="14:30" x14ac:dyDescent="0.25">
      <c r="N125" s="18"/>
      <c r="O125" s="18"/>
      <c r="P125" s="18"/>
      <c r="Q125" s="18"/>
      <c r="R125" s="18"/>
      <c r="Z125" s="1"/>
      <c r="AA125" s="21">
        <f>Tabla35681321293971727[[#This Row],[COMISIONES]]*0.21</f>
        <v>0</v>
      </c>
      <c r="AB125" s="21"/>
      <c r="AC125" s="21"/>
      <c r="AD125" s="21"/>
    </row>
    <row r="126" spans="14:30" x14ac:dyDescent="0.25">
      <c r="N126" s="18"/>
      <c r="O126" s="18"/>
      <c r="P126" s="18"/>
      <c r="Q126" s="18"/>
      <c r="R126" s="18"/>
      <c r="Z126" s="1"/>
      <c r="AA126" s="21">
        <f>Tabla35681321293971727[[#This Row],[COMISIONES]]*0.21</f>
        <v>0</v>
      </c>
      <c r="AB126" s="21"/>
      <c r="AC126" s="21"/>
      <c r="AD126" s="21"/>
    </row>
    <row r="127" spans="14:30" x14ac:dyDescent="0.25">
      <c r="N127" s="18"/>
      <c r="O127" s="18"/>
      <c r="P127" s="18"/>
      <c r="Q127" s="18"/>
      <c r="R127" s="18"/>
      <c r="Z127" s="1"/>
      <c r="AA127" s="21">
        <f>Tabla35681321293971727[[#This Row],[COMISIONES]]*0.21</f>
        <v>0</v>
      </c>
      <c r="AB127" s="21"/>
      <c r="AC127" s="21"/>
      <c r="AD127" s="21"/>
    </row>
    <row r="128" spans="14:30" x14ac:dyDescent="0.25">
      <c r="N128" s="18"/>
      <c r="O128" s="18"/>
      <c r="P128" s="18"/>
      <c r="Q128" s="18"/>
      <c r="R128" s="18"/>
      <c r="Z128" s="21"/>
      <c r="AA128" s="21">
        <f>Tabla35681321293971727[[#This Row],[COMISIONES]]*0.21</f>
        <v>0</v>
      </c>
      <c r="AB128" s="21"/>
      <c r="AC128" s="21"/>
      <c r="AD128" s="21"/>
    </row>
    <row r="129" spans="14:30" x14ac:dyDescent="0.25">
      <c r="N129" s="18"/>
      <c r="O129" s="18"/>
      <c r="P129" s="18"/>
      <c r="Q129" s="18"/>
      <c r="R129" s="18"/>
      <c r="Z129" s="21"/>
      <c r="AA129" s="21">
        <f>Tabla35681321293971727[[#This Row],[COMISIONES]]*0.21</f>
        <v>0</v>
      </c>
      <c r="AB129" s="21"/>
      <c r="AC129" s="21"/>
      <c r="AD129" s="21"/>
    </row>
    <row r="130" spans="14:30" x14ac:dyDescent="0.25">
      <c r="N130" s="18"/>
      <c r="O130" s="18"/>
      <c r="P130" s="18"/>
      <c r="Q130" s="18"/>
      <c r="R130" s="18"/>
      <c r="Z130" s="21"/>
      <c r="AA130" s="21">
        <f>Tabla35681321293971727[[#This Row],[COMISIONES]]*0.21</f>
        <v>0</v>
      </c>
      <c r="AB130" s="21"/>
      <c r="AC130" s="21"/>
      <c r="AD130" s="21"/>
    </row>
    <row r="131" spans="14:30" x14ac:dyDescent="0.25">
      <c r="N131" s="18"/>
      <c r="O131" s="18"/>
      <c r="P131" s="18"/>
      <c r="Q131" s="18"/>
      <c r="R131" s="18"/>
      <c r="Z131" s="21"/>
      <c r="AA131" s="21">
        <f>Tabla35681321293971727[[#This Row],[COMISIONES]]*0.21</f>
        <v>0</v>
      </c>
      <c r="AB131" s="21"/>
      <c r="AC131" s="21"/>
      <c r="AD131" s="21"/>
    </row>
    <row r="132" spans="14:30" x14ac:dyDescent="0.25">
      <c r="N132" s="18"/>
      <c r="O132" s="18"/>
      <c r="P132" s="18"/>
      <c r="Q132" s="18"/>
      <c r="R132" s="18"/>
      <c r="Z132" s="21"/>
      <c r="AA132" s="21">
        <f>Tabla35681321293971727[[#This Row],[COMISIONES]]*0.21</f>
        <v>0</v>
      </c>
      <c r="AB132" s="21"/>
      <c r="AC132" s="21"/>
      <c r="AD132" s="21"/>
    </row>
    <row r="133" spans="14:30" x14ac:dyDescent="0.25">
      <c r="N133" s="18"/>
      <c r="O133" s="18">
        <f>Tabla351018263641424[[#This Row],[COMISIONES]]*0.21</f>
        <v>0</v>
      </c>
      <c r="P133" s="18"/>
      <c r="Q133" s="18"/>
      <c r="R133" s="18"/>
      <c r="Z133" s="21"/>
      <c r="AA133" s="21">
        <f>Tabla35681321293971727[[#This Row],[COMISIONES]]*0.21</f>
        <v>0</v>
      </c>
      <c r="AB133" s="21"/>
      <c r="AC133" s="21"/>
      <c r="AD133" s="21"/>
    </row>
    <row r="134" spans="14:30" x14ac:dyDescent="0.25">
      <c r="N134" s="24">
        <f>SUBTOTAL(109,Tabla351018263641424[COMISIONES])</f>
        <v>69797.350000000006</v>
      </c>
      <c r="O134" s="24">
        <f>SUBTOTAL(109,Tabla351018263641424[IVA 21])</f>
        <v>14657.443500000001</v>
      </c>
      <c r="P134" s="24">
        <f>SUBTOTAL(109,Tabla351018263641424[IVA 10,5])</f>
        <v>0</v>
      </c>
      <c r="Q134" s="24">
        <f>SUBTOTAL(109,Tabla351018263641424[Ret IIBB Caba])</f>
        <v>4479.34</v>
      </c>
      <c r="R134" s="24">
        <f>SUBTOTAL(109,Tabla351018263641424[PERC IVA])</f>
        <v>3387.22</v>
      </c>
      <c r="Z134" s="21"/>
      <c r="AA134" s="21">
        <f>Tabla35681321293971727[[#This Row],[COMISIONES]]*0.21</f>
        <v>0</v>
      </c>
      <c r="AB134" s="21"/>
      <c r="AC134" s="21"/>
      <c r="AD134" s="21"/>
    </row>
    <row r="135" spans="14:30" x14ac:dyDescent="0.25">
      <c r="Z135" s="21"/>
      <c r="AA135" s="21">
        <f>Tabla35681321293971727[[#This Row],[COMISIONES]]*0.21</f>
        <v>0</v>
      </c>
      <c r="AB135" s="21"/>
      <c r="AC135" s="21"/>
      <c r="AD135" s="21"/>
    </row>
    <row r="136" spans="14:30" x14ac:dyDescent="0.25">
      <c r="Z136" s="21"/>
      <c r="AA136" s="21">
        <f>Tabla35681321293971727[[#This Row],[COMISIONES]]*0.21</f>
        <v>0</v>
      </c>
      <c r="AB136" s="21"/>
      <c r="AC136" s="21"/>
      <c r="AD136" s="21"/>
    </row>
    <row r="137" spans="14:30" x14ac:dyDescent="0.25">
      <c r="Z137" s="21"/>
      <c r="AA137" s="21">
        <f>Tabla35681321293971727[[#This Row],[COMISIONES]]*0.21</f>
        <v>0</v>
      </c>
      <c r="AB137" s="21"/>
      <c r="AC137" s="21"/>
      <c r="AD137" s="21"/>
    </row>
    <row r="138" spans="14:30" x14ac:dyDescent="0.25">
      <c r="Z138" s="21"/>
      <c r="AA138" s="21">
        <f>Tabla35681321293971727[[#This Row],[COMISIONES]]*0.21</f>
        <v>0</v>
      </c>
      <c r="AB138" s="21"/>
      <c r="AC138" s="21"/>
      <c r="AD138" s="21"/>
    </row>
    <row r="139" spans="14:30" x14ac:dyDescent="0.25">
      <c r="Z139" s="21"/>
      <c r="AA139" s="21">
        <f>Tabla35681321293971727[[#This Row],[COMISIONES]]*0.21</f>
        <v>0</v>
      </c>
      <c r="AB139" s="21"/>
      <c r="AC139" s="21"/>
      <c r="AD139" s="21"/>
    </row>
    <row r="140" spans="14:30" x14ac:dyDescent="0.25">
      <c r="Z140" s="21"/>
      <c r="AA140" s="21">
        <f>Tabla35681321293971727[[#This Row],[COMISIONES]]*0.21</f>
        <v>0</v>
      </c>
      <c r="AB140" s="21"/>
      <c r="AC140" s="21"/>
      <c r="AD140" s="21"/>
    </row>
    <row r="141" spans="14:30" x14ac:dyDescent="0.25">
      <c r="Z141" s="21"/>
      <c r="AA141" s="21">
        <f>Tabla35681321293971727[[#This Row],[COMISIONES]]*0.21</f>
        <v>0</v>
      </c>
      <c r="AB141" s="21"/>
      <c r="AC141" s="21"/>
      <c r="AD141" s="21"/>
    </row>
    <row r="142" spans="14:30" x14ac:dyDescent="0.25">
      <c r="Z142" s="21"/>
      <c r="AA142" s="21">
        <f>Tabla35681321293971727[[#This Row],[COMISIONES]]*0.21</f>
        <v>0</v>
      </c>
      <c r="AB142" s="21"/>
      <c r="AC142" s="21"/>
      <c r="AD142" s="21"/>
    </row>
    <row r="143" spans="14:30" x14ac:dyDescent="0.25">
      <c r="Z143" s="21"/>
      <c r="AA143" s="21">
        <f>Tabla35681321293971727[[#This Row],[COMISIONES]]*0.21</f>
        <v>0</v>
      </c>
      <c r="AB143" s="21"/>
      <c r="AC143" s="21"/>
      <c r="AD143" s="21"/>
    </row>
    <row r="144" spans="14:30" x14ac:dyDescent="0.25">
      <c r="Z144" s="21"/>
      <c r="AA144" s="21">
        <f>Tabla35681321293971727[[#This Row],[COMISIONES]]*0.21</f>
        <v>0</v>
      </c>
      <c r="AB144" s="21"/>
      <c r="AC144" s="21"/>
      <c r="AD144" s="21"/>
    </row>
    <row r="145" spans="26:30" x14ac:dyDescent="0.25">
      <c r="Z145" s="21"/>
      <c r="AA145" s="21">
        <f>Tabla35681321293971727[[#This Row],[COMISIONES]]*0.21</f>
        <v>0</v>
      </c>
      <c r="AB145" s="21"/>
      <c r="AC145" s="21"/>
      <c r="AD145" s="21"/>
    </row>
    <row r="146" spans="26:30" x14ac:dyDescent="0.25">
      <c r="Z146" s="21"/>
      <c r="AA146" s="21">
        <f>Tabla35681321293971727[[#This Row],[COMISIONES]]*0.21</f>
        <v>0</v>
      </c>
      <c r="AB146" s="21"/>
      <c r="AC146" s="21"/>
      <c r="AD146" s="21"/>
    </row>
    <row r="147" spans="26:30" x14ac:dyDescent="0.25">
      <c r="Z147" s="21"/>
      <c r="AA147" s="21">
        <f>Tabla35681321293971727[[#This Row],[COMISIONES]]*0.21</f>
        <v>0</v>
      </c>
      <c r="AB147" s="21"/>
      <c r="AC147" s="21"/>
      <c r="AD147" s="21"/>
    </row>
    <row r="148" spans="26:30" x14ac:dyDescent="0.25">
      <c r="Z148" s="21"/>
      <c r="AA148" s="21">
        <f>Tabla35681321293971727[[#This Row],[COMISIONES]]*0.21</f>
        <v>0</v>
      </c>
      <c r="AB148" s="21"/>
      <c r="AC148" s="21"/>
      <c r="AD148" s="21"/>
    </row>
    <row r="149" spans="26:30" x14ac:dyDescent="0.25">
      <c r="Z149" s="21"/>
      <c r="AA149" s="21">
        <f>Tabla35681321293971727[[#This Row],[COMISIONES]]*0.21</f>
        <v>0</v>
      </c>
      <c r="AB149" s="21"/>
      <c r="AC149" s="21"/>
      <c r="AD149" s="21"/>
    </row>
    <row r="150" spans="26:30" x14ac:dyDescent="0.25">
      <c r="Z150" s="21"/>
      <c r="AA150" s="21">
        <f>Tabla35681321293971727[[#This Row],[COMISIONES]]*0.21</f>
        <v>0</v>
      </c>
      <c r="AB150" s="21"/>
      <c r="AC150" s="21"/>
      <c r="AD150" s="21"/>
    </row>
    <row r="151" spans="26:30" x14ac:dyDescent="0.25">
      <c r="Z151" s="21"/>
      <c r="AA151" s="21">
        <f>Tabla35681321293971727[[#This Row],[COMISIONES]]*0.21</f>
        <v>0</v>
      </c>
      <c r="AB151" s="21"/>
      <c r="AC151" s="21"/>
      <c r="AD151" s="21"/>
    </row>
    <row r="152" spans="26:30" x14ac:dyDescent="0.25">
      <c r="Z152" s="21"/>
      <c r="AA152" s="21">
        <f>Tabla35681321293971727[[#This Row],[COMISIONES]]*0.21</f>
        <v>0</v>
      </c>
      <c r="AB152" s="21"/>
      <c r="AC152" s="21"/>
      <c r="AD152" s="21"/>
    </row>
    <row r="153" spans="26:30" x14ac:dyDescent="0.25">
      <c r="Z153" s="21"/>
      <c r="AA153" s="21">
        <f>Tabla35681321293971727[[#This Row],[COMISIONES]]*0.21</f>
        <v>0</v>
      </c>
      <c r="AB153" s="21"/>
      <c r="AC153" s="21"/>
      <c r="AD153" s="21"/>
    </row>
    <row r="154" spans="26:30" x14ac:dyDescent="0.25">
      <c r="Z154" s="21"/>
      <c r="AA154" s="21">
        <f>Tabla35681321293971727[[#This Row],[COMISIONES]]*0.21</f>
        <v>0</v>
      </c>
      <c r="AB154" s="21"/>
      <c r="AC154" s="21"/>
      <c r="AD154" s="21"/>
    </row>
    <row r="155" spans="26:30" x14ac:dyDescent="0.25">
      <c r="Z155" s="21"/>
      <c r="AA155" s="21">
        <f>Tabla35681321293971727[[#This Row],[COMISIONES]]*0.21</f>
        <v>0</v>
      </c>
      <c r="AB155" s="21"/>
      <c r="AC155" s="21"/>
      <c r="AD155" s="21"/>
    </row>
    <row r="156" spans="26:30" x14ac:dyDescent="0.25">
      <c r="Z156" s="21"/>
      <c r="AA156" s="21">
        <f>Tabla35681321293971727[[#This Row],[COMISIONES]]*0.21</f>
        <v>0</v>
      </c>
      <c r="AB156" s="21"/>
      <c r="AC156" s="21"/>
      <c r="AD156" s="21"/>
    </row>
    <row r="157" spans="26:30" x14ac:dyDescent="0.25">
      <c r="Z157" s="21"/>
      <c r="AA157" s="21">
        <f>Tabla35681321293971727[[#This Row],[COMISIONES]]*0.21</f>
        <v>0</v>
      </c>
      <c r="AB157" s="21"/>
      <c r="AC157" s="21"/>
      <c r="AD157" s="21"/>
    </row>
    <row r="158" spans="26:30" x14ac:dyDescent="0.25">
      <c r="Z158" s="21"/>
      <c r="AA158" s="21">
        <f>Tabla35681321293971727[[#This Row],[COMISIONES]]*0.21</f>
        <v>0</v>
      </c>
      <c r="AB158" s="21"/>
      <c r="AC158" s="21"/>
      <c r="AD158" s="21"/>
    </row>
    <row r="159" spans="26:30" x14ac:dyDescent="0.25">
      <c r="Z159" s="21"/>
      <c r="AA159" s="21">
        <f>Tabla35681321293971727[[#This Row],[COMISIONES]]*0.21</f>
        <v>0</v>
      </c>
      <c r="AB159" s="21"/>
      <c r="AC159" s="21"/>
      <c r="AD159" s="21"/>
    </row>
    <row r="160" spans="26:30" x14ac:dyDescent="0.25">
      <c r="Z160" s="21"/>
      <c r="AA160" s="21">
        <f>Tabla35681321293971727[[#This Row],[COMISIONES]]*0.21</f>
        <v>0</v>
      </c>
      <c r="AB160" s="21"/>
      <c r="AC160" s="21"/>
      <c r="AD160" s="21"/>
    </row>
    <row r="161" spans="26:30" x14ac:dyDescent="0.25">
      <c r="Z161" s="21"/>
      <c r="AA161" s="21">
        <f>Tabla35681321293971727[[#This Row],[COMISIONES]]*0.21</f>
        <v>0</v>
      </c>
      <c r="AB161" s="21"/>
      <c r="AC161" s="21"/>
      <c r="AD161" s="21"/>
    </row>
    <row r="162" spans="26:30" x14ac:dyDescent="0.25">
      <c r="Z162" s="21"/>
      <c r="AA162" s="21">
        <f>Tabla35681321293971727[[#This Row],[COMISIONES]]*0.21</f>
        <v>0</v>
      </c>
      <c r="AB162" s="21"/>
      <c r="AC162" s="21"/>
      <c r="AD162" s="21"/>
    </row>
    <row r="163" spans="26:30" x14ac:dyDescent="0.25">
      <c r="Z163" s="21"/>
      <c r="AA163" s="21">
        <f>Tabla35681321293971727[[#This Row],[COMISIONES]]*0.21</f>
        <v>0</v>
      </c>
      <c r="AB163" s="21"/>
      <c r="AC163" s="21"/>
      <c r="AD163" s="21"/>
    </row>
    <row r="164" spans="26:30" x14ac:dyDescent="0.25">
      <c r="Z164" s="21"/>
      <c r="AA164" s="21">
        <f>Tabla35681321293971727[[#This Row],[COMISIONES]]*0.21</f>
        <v>0</v>
      </c>
      <c r="AB164" s="21"/>
      <c r="AC164" s="21"/>
      <c r="AD164" s="21"/>
    </row>
    <row r="165" spans="26:30" x14ac:dyDescent="0.25">
      <c r="Z165" s="21"/>
      <c r="AA165" s="21">
        <f>Tabla35681321293971727[[#This Row],[COMISIONES]]*0.21</f>
        <v>0</v>
      </c>
      <c r="AB165" s="21"/>
      <c r="AC165" s="21"/>
      <c r="AD165" s="21"/>
    </row>
    <row r="166" spans="26:30" x14ac:dyDescent="0.25">
      <c r="Z166" s="21"/>
      <c r="AA166" s="21">
        <f>Tabla35681321293971727[[#This Row],[COMISIONES]]*0.21</f>
        <v>0</v>
      </c>
      <c r="AB166" s="21"/>
      <c r="AC166" s="21"/>
      <c r="AD166" s="21"/>
    </row>
    <row r="167" spans="26:30" x14ac:dyDescent="0.25">
      <c r="Z167" s="21"/>
      <c r="AA167" s="21">
        <f>Tabla35681321293971727[[#This Row],[COMISIONES]]*0.21</f>
        <v>0</v>
      </c>
      <c r="AB167" s="21"/>
      <c r="AC167" s="21"/>
      <c r="AD167" s="21"/>
    </row>
    <row r="168" spans="26:30" x14ac:dyDescent="0.25">
      <c r="Z168" s="4">
        <f>SUBTOTAL(109,Tabla35681321293971727[COMISIONES])</f>
        <v>743300.52</v>
      </c>
      <c r="AA168" s="4">
        <f>SUBTOTAL(109,Tabla35681321293971727[IVA 21])</f>
        <v>156093.10920000001</v>
      </c>
      <c r="AB168" s="4">
        <f>SUBTOTAL(109,Tabla35681321293971727[IVA 10,5])</f>
        <v>0</v>
      </c>
      <c r="AC168" s="4">
        <f>SUBTOTAL(109,Tabla35681321293971727[Ret IIBB Caba])</f>
        <v>0</v>
      </c>
      <c r="AD168" s="4">
        <f>SUBTOTAL(109,Tabla35681321293971727[PERC IVA])</f>
        <v>0</v>
      </c>
    </row>
  </sheetData>
  <mergeCells count="20">
    <mergeCell ref="B13:F13"/>
    <mergeCell ref="H13:L13"/>
    <mergeCell ref="G2:H2"/>
    <mergeCell ref="J2:K2"/>
    <mergeCell ref="G3:H3"/>
    <mergeCell ref="G4:H4"/>
    <mergeCell ref="G5:H5"/>
    <mergeCell ref="G6:H6"/>
    <mergeCell ref="AF13:AJ13"/>
    <mergeCell ref="AK13:AO13"/>
    <mergeCell ref="T31:X31"/>
    <mergeCell ref="G7:H7"/>
    <mergeCell ref="G8:H8"/>
    <mergeCell ref="G9:H9"/>
    <mergeCell ref="G10:H10"/>
    <mergeCell ref="H53:L53"/>
    <mergeCell ref="T63:X63"/>
    <mergeCell ref="N13:R13"/>
    <mergeCell ref="T13:X13"/>
    <mergeCell ref="Z13:AD13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AF20-E172-467F-987B-61628C8C74F8}">
  <dimension ref="A1:AO169"/>
  <sheetViews>
    <sheetView showGridLines="0" topLeftCell="A10" zoomScale="80" zoomScaleNormal="80" workbookViewId="0">
      <selection activeCell="C27" sqref="C27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2.140625" customWidth="1"/>
    <col min="4" max="4" width="12.140625" bestFit="1" customWidth="1"/>
    <col min="5" max="5" width="11.5703125" customWidth="1"/>
    <col min="6" max="6" width="12.140625" customWidth="1"/>
    <col min="7" max="7" width="2.5703125" style="6" customWidth="1"/>
    <col min="8" max="8" width="12.7109375" customWidth="1"/>
    <col min="9" max="9" width="13.5703125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7" max="27" width="13.28515625" customWidth="1"/>
    <col min="31" max="31" width="2.5703125" style="6" customWidth="1"/>
  </cols>
  <sheetData>
    <row r="1" spans="1:41" ht="6" customHeight="1" x14ac:dyDescent="0.25">
      <c r="G1"/>
      <c r="M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4</v>
      </c>
      <c r="H2" s="38"/>
      <c r="J2" s="39">
        <v>45383</v>
      </c>
      <c r="K2" s="39"/>
      <c r="M2"/>
      <c r="S2"/>
      <c r="Y2"/>
      <c r="AE2"/>
    </row>
    <row r="3" spans="1:41" x14ac:dyDescent="0.25">
      <c r="B3" s="25" t="str">
        <f>+B14</f>
        <v>Liquidacion amex Credito</v>
      </c>
      <c r="C3" s="14">
        <f>Tabla131624322122233[[#Totals],[COMISIONES]]</f>
        <v>4611.55</v>
      </c>
      <c r="D3" s="14">
        <f>Tabla131624322122233[[#Totals],[IVA 21]]</f>
        <v>968.42550000000006</v>
      </c>
      <c r="E3" s="14">
        <f>Tabla131624322122233[[#Totals],[IVA 10,5]]</f>
        <v>0</v>
      </c>
      <c r="F3" s="14">
        <f>Tabla131624322122233[[#Totals],[Ret IIBB Caba]]</f>
        <v>8045.26</v>
      </c>
      <c r="G3" s="35">
        <f>Tabla131624322122233[[#Totals],[PERC IVA]]</f>
        <v>98.18</v>
      </c>
      <c r="H3" s="36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>
        <f>Tabla391725353132334[[#Totals],[COMISIONES]]</f>
        <v>2007.09</v>
      </c>
      <c r="D4" s="14">
        <f>Tabla391725353132334[[#Totals],[IVA 21]]</f>
        <v>421.48889999999994</v>
      </c>
      <c r="E4" s="14">
        <f>Tabla391725353132334[[#Totals],[IVA 10,5]]</f>
        <v>0</v>
      </c>
      <c r="F4" s="14">
        <f>Tabla391725353132334[[#Totals],[Ret IIBB Caba]]</f>
        <v>4643.3900000000003</v>
      </c>
      <c r="G4" s="35">
        <f>Tabla391725353132334[[#Totals],[PERC IVA]]</f>
        <v>60.21</v>
      </c>
      <c r="H4" s="36"/>
      <c r="J4" s="2"/>
      <c r="K4" s="3"/>
      <c r="M4"/>
      <c r="S4"/>
      <c r="Y4"/>
      <c r="AE4"/>
    </row>
    <row r="5" spans="1:41" x14ac:dyDescent="0.25">
      <c r="B5" s="25" t="str">
        <f>+N14</f>
        <v>FRANCES extracto (27/03)</v>
      </c>
      <c r="C5" s="14">
        <f>Tabla35101826364142444[[#Totals],[COMISIONES]]</f>
        <v>74867.92</v>
      </c>
      <c r="D5" s="45">
        <f>Tabla35101826364142444[[#Totals],[IVA 21]]</f>
        <v>15501.990000000002</v>
      </c>
      <c r="E5" s="45">
        <f>Tabla35101826364142444[[#Totals],[IVA 10,5]]</f>
        <v>110.1366</v>
      </c>
      <c r="F5" s="14">
        <f>Tabla35101826364142444[[#Totals],[Ret IIBB Caba]]</f>
        <v>0</v>
      </c>
      <c r="G5" s="35">
        <f>Tabla35101826364142444[[#Totals],[PERC IVA]]</f>
        <v>2034.15</v>
      </c>
      <c r="H5" s="36"/>
      <c r="M5"/>
      <c r="S5"/>
      <c r="Y5"/>
      <c r="AE5"/>
    </row>
    <row r="6" spans="1:41" x14ac:dyDescent="0.25">
      <c r="B6" s="25" t="str">
        <f>+T14</f>
        <v>GALICIA EXTRACTO (31/03)</v>
      </c>
      <c r="C6" s="14">
        <f>Tabla356111927375152545[[#Totals],[COMISIONES]]</f>
        <v>23669</v>
      </c>
      <c r="D6" s="45">
        <f>Tabla356111927375152545[[#Totals],[IVA 21]]</f>
        <v>4970.49</v>
      </c>
      <c r="E6" s="14">
        <f>Tabla356111927375152545[[#Totals],[IVA 10,5]]</f>
        <v>0</v>
      </c>
      <c r="F6" s="14">
        <f>Tabla356111927375152545[[#Totals],[Ret IIBB Caba]]</f>
        <v>1417.5</v>
      </c>
      <c r="G6" s="35">
        <f>Tabla356111927375152545[[#Totals],[PERC IVA]]</f>
        <v>708.75</v>
      </c>
      <c r="H6" s="36"/>
      <c r="M6"/>
      <c r="S6"/>
      <c r="Y6"/>
      <c r="AE6"/>
    </row>
    <row r="7" spans="1:41" x14ac:dyDescent="0.25">
      <c r="B7" s="25" t="str">
        <f>+Z14</f>
        <v>BBVA MASTERCARD CRED(27/03)</v>
      </c>
      <c r="C7" s="14">
        <f>Tabla3568132129397172747[[#Totals],[COMISIONES]]</f>
        <v>606255.9</v>
      </c>
      <c r="D7" s="14">
        <f>Tabla3568132129397172747[[#Totals],[IVA 21]]</f>
        <v>73043.880000000019</v>
      </c>
      <c r="E7" s="14">
        <f>Tabla3568132129397172747[[#Totals],[IVA 10,5]]</f>
        <v>27134.929499999998</v>
      </c>
      <c r="F7" s="14">
        <f>Tabla3568132129397172747[[#Totals],[Ret IIBB Caba]]</f>
        <v>0</v>
      </c>
      <c r="G7" s="35">
        <f>Tabla3568132129397172747[[#Totals],[PERC IVA]]</f>
        <v>11704.402000000002</v>
      </c>
      <c r="H7" s="36"/>
      <c r="M7"/>
      <c r="S7"/>
      <c r="Y7"/>
      <c r="AE7"/>
    </row>
    <row r="8" spans="1:41" x14ac:dyDescent="0.25">
      <c r="B8" s="25" t="str">
        <f>+T32</f>
        <v>RESUM BCO BBVA VISA 31/09(Nº RESUMEN 000017206766)</v>
      </c>
      <c r="C8" s="14">
        <f>Tabla6122028386162646[[#Totals],[COMISIONES]]</f>
        <v>3600</v>
      </c>
      <c r="D8" s="14">
        <f>Tabla6122028386162646[[#Totals],[IVA 21]]</f>
        <v>756</v>
      </c>
      <c r="E8" s="14">
        <f>Tabla6122028386162646[[#Totals],[IVA 10,5]]</f>
        <v>0</v>
      </c>
      <c r="F8" s="14">
        <f>Tabla6122028386162646[[#Totals],[Ret IIBB Caba]]</f>
        <v>0</v>
      </c>
      <c r="G8" s="35">
        <f>Tabla6122028386162646[[#Totals],[PERC IVA]]</f>
        <v>108</v>
      </c>
      <c r="H8" s="36"/>
      <c r="M8"/>
      <c r="S8"/>
      <c r="Y8"/>
      <c r="AE8"/>
    </row>
    <row r="9" spans="1:41" x14ac:dyDescent="0.25">
      <c r="B9" s="28" t="str">
        <f>+AF14</f>
        <v>BBVA - LIQ DEBITO (08/03)</v>
      </c>
      <c r="C9" s="14">
        <f>+Tabla356813142230408182848[[#Totals],[COMISIONES]]</f>
        <v>1111.9000000000001</v>
      </c>
      <c r="D9" s="14">
        <f>+Tabla356813142230408182848[[#Totals],[IVA 21]]</f>
        <v>233.499</v>
      </c>
      <c r="E9" s="14">
        <f>+Tabla356813142230408182848[[#Totals],[IVA 10,5]]</f>
        <v>0</v>
      </c>
      <c r="F9" s="14">
        <f>+Tabla356813142230408182848[[#Totals],[Ret IIBB Caba]]</f>
        <v>6204.42</v>
      </c>
      <c r="G9" s="35">
        <f>+Tabla356813142230408182848[[#Totals],[PERC IVA]]</f>
        <v>0</v>
      </c>
      <c r="H9" s="36"/>
      <c r="M9"/>
      <c r="S9"/>
      <c r="Y9"/>
      <c r="AE9"/>
    </row>
    <row r="10" spans="1:41" x14ac:dyDescent="0.25">
      <c r="B10" s="28" t="s">
        <v>33</v>
      </c>
      <c r="C10" s="14">
        <f>Tabla39152331419192949[[#Totals],[COMISIONES]]</f>
        <v>143495</v>
      </c>
      <c r="D10" s="14">
        <f>Tabla39152331419192949[[#Totals],[IVA 21]]</f>
        <v>30133.949999999997</v>
      </c>
      <c r="E10" s="14">
        <f>Tabla39152331419192949[[#Totals],[IVA 10,5]]</f>
        <v>0</v>
      </c>
      <c r="F10" s="14">
        <f>Tabla39152331419192949[[#Totals],[Ret IIBB Caba]]</f>
        <v>0</v>
      </c>
      <c r="G10" s="35">
        <f>Tabla39152331419192949[[#Totals],[PERC IVA]]</f>
        <v>4304.8500000000004</v>
      </c>
      <c r="H10" s="43"/>
      <c r="M10"/>
      <c r="S10"/>
      <c r="Y10"/>
      <c r="AE10"/>
    </row>
    <row r="11" spans="1:41" x14ac:dyDescent="0.25">
      <c r="B11" s="28" t="str">
        <f>+AK14</f>
        <v>GALICIA CREDITO visa (30/09)</v>
      </c>
      <c r="C11" s="14">
        <f>+Tabla356111927344311213151[[#Totals],[COMISIONES]]</f>
        <v>1500</v>
      </c>
      <c r="D11" s="14">
        <f>+Tabla356111927344311213151[[#Totals],[IVA 21]]</f>
        <v>315</v>
      </c>
      <c r="E11" s="14">
        <f>+Tabla356111927344311213151[[#Totals],[IVA 10,5]]</f>
        <v>0</v>
      </c>
      <c r="F11" s="14"/>
      <c r="G11" s="35"/>
      <c r="H11" s="36"/>
      <c r="M11"/>
      <c r="S11"/>
      <c r="Y11"/>
      <c r="AE11"/>
    </row>
    <row r="12" spans="1:41" x14ac:dyDescent="0.25">
      <c r="A12" s="26"/>
      <c r="B12" s="26"/>
      <c r="C12" s="27">
        <f>SUM(C3:C11)</f>
        <v>861118.36</v>
      </c>
      <c r="D12" s="27">
        <f t="shared" ref="D12:F12" si="0">SUM(D3:D11)</f>
        <v>126344.72340000002</v>
      </c>
      <c r="E12" s="27">
        <f t="shared" si="0"/>
        <v>27245.0661</v>
      </c>
      <c r="F12" s="27">
        <f t="shared" si="0"/>
        <v>20310.57</v>
      </c>
      <c r="G12" s="44">
        <f>SUM(G3:H11)</f>
        <v>19018.542000000001</v>
      </c>
      <c r="H12" s="44"/>
      <c r="M12"/>
      <c r="S12"/>
      <c r="Y12"/>
      <c r="AE12"/>
    </row>
    <row r="13" spans="1:41" x14ac:dyDescent="0.25">
      <c r="A13" s="26"/>
      <c r="B13" s="26"/>
      <c r="G13"/>
      <c r="J13" t="s">
        <v>25</v>
      </c>
      <c r="M13"/>
      <c r="S13"/>
      <c r="V13" t="s">
        <v>25</v>
      </c>
      <c r="Y13"/>
      <c r="AE13"/>
    </row>
    <row r="14" spans="1:41" ht="16.5" customHeight="1" x14ac:dyDescent="0.3">
      <c r="B14" s="41" t="s">
        <v>7</v>
      </c>
      <c r="C14" s="41"/>
      <c r="D14" s="41"/>
      <c r="E14" s="41"/>
      <c r="F14" s="41"/>
      <c r="H14" s="41" t="s">
        <v>26</v>
      </c>
      <c r="I14" s="41"/>
      <c r="J14" s="41"/>
      <c r="K14" s="41"/>
      <c r="L14" s="41"/>
      <c r="N14" s="41" t="s">
        <v>30</v>
      </c>
      <c r="O14" s="41"/>
      <c r="P14" s="41"/>
      <c r="Q14" s="41"/>
      <c r="R14" s="41"/>
      <c r="T14" s="41" t="s">
        <v>24</v>
      </c>
      <c r="U14" s="41"/>
      <c r="V14" s="41"/>
      <c r="W14" s="41"/>
      <c r="X14" s="41"/>
      <c r="Z14" s="41" t="s">
        <v>28</v>
      </c>
      <c r="AA14" s="41"/>
      <c r="AB14" s="41"/>
      <c r="AC14" s="41"/>
      <c r="AD14" s="41"/>
      <c r="AF14" s="41" t="s">
        <v>27</v>
      </c>
      <c r="AG14" s="41"/>
      <c r="AH14" s="41"/>
      <c r="AI14" s="41"/>
      <c r="AJ14" s="41"/>
      <c r="AK14" s="41" t="s">
        <v>32</v>
      </c>
      <c r="AL14" s="41"/>
      <c r="AM14" s="41"/>
      <c r="AN14" s="41"/>
      <c r="AO14" s="41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>
        <v>1339.05</v>
      </c>
      <c r="C16" s="2">
        <f>Tabla131624322122233[[#This Row],[COMISIONES]]*0.21</f>
        <v>281.20049999999998</v>
      </c>
      <c r="D16" s="3"/>
      <c r="E16" s="3">
        <v>2337.37</v>
      </c>
      <c r="F16" s="1"/>
      <c r="G16" s="8"/>
      <c r="H16" s="3">
        <v>2007.09</v>
      </c>
      <c r="I16" s="11">
        <f>Tabla391725353132334[[#This Row],[COMISIONES]]*0.21</f>
        <v>421.48889999999994</v>
      </c>
      <c r="J16" s="11"/>
      <c r="K16" s="11">
        <v>4643.3900000000003</v>
      </c>
      <c r="L16" s="3">
        <v>60.21</v>
      </c>
      <c r="M16" s="8"/>
      <c r="N16">
        <v>10</v>
      </c>
      <c r="O16" s="11">
        <f>Tabla35101826364142444[[#This Row],[COMISIONES]]*0.21</f>
        <v>2.1</v>
      </c>
      <c r="P16" s="11"/>
      <c r="Q16" s="1"/>
      <c r="S16" s="8"/>
      <c r="T16" s="11">
        <v>23625</v>
      </c>
      <c r="U16" s="11">
        <f>Tabla356111927375152545[[#This Row],[COMISIONES]]*0.21</f>
        <v>4961.25</v>
      </c>
      <c r="V16" s="11"/>
      <c r="W16" s="11">
        <v>1417.5</v>
      </c>
      <c r="X16" s="11">
        <v>708.75</v>
      </c>
      <c r="Y16" s="8"/>
      <c r="Z16">
        <v>556.16</v>
      </c>
      <c r="AA16" s="11">
        <f>Tabla3568132129397172747[[#This Row],[COMISIONES]]*0.21</f>
        <v>116.79359999999998</v>
      </c>
      <c r="AC16" s="1"/>
      <c r="AD16">
        <v>93.33</v>
      </c>
      <c r="AE16" s="8"/>
      <c r="AF16">
        <v>652.48</v>
      </c>
      <c r="AG16" s="11">
        <f>Tabla356813142230408182848[[#This Row],[COMISIONES]]*0.21</f>
        <v>137.02080000000001</v>
      </c>
      <c r="AH16" s="11"/>
      <c r="AI16" s="1">
        <v>3640.84</v>
      </c>
      <c r="AJ16" s="11"/>
      <c r="AK16" s="11">
        <v>1500</v>
      </c>
      <c r="AL16" s="11">
        <f>Tabla356111927344311213151[[#This Row],[COMISIONES]]*0.21</f>
        <v>315</v>
      </c>
      <c r="AM16" s="11"/>
      <c r="AN16" s="11"/>
      <c r="AO16" s="11"/>
    </row>
    <row r="17" spans="2:41" x14ac:dyDescent="0.25">
      <c r="B17" s="3">
        <v>3272.5</v>
      </c>
      <c r="C17" s="2">
        <f>Tabla131624322122233[[#This Row],[COMISIONES]]*0.21</f>
        <v>687.22500000000002</v>
      </c>
      <c r="D17" s="3"/>
      <c r="E17" s="3">
        <v>5707.89</v>
      </c>
      <c r="F17" s="3">
        <v>98.18</v>
      </c>
      <c r="G17" s="8"/>
      <c r="H17" s="11"/>
      <c r="I17" s="11">
        <f>Tabla391725353132334[[#This Row],[COMISIONES]]*0.21</f>
        <v>0</v>
      </c>
      <c r="J17" s="11"/>
      <c r="K17" s="11"/>
      <c r="L17" s="11"/>
      <c r="M17" s="8"/>
      <c r="N17" s="11">
        <v>1048.92</v>
      </c>
      <c r="O17" s="11"/>
      <c r="P17" s="11">
        <f>Tabla35101826364142444[[#This Row],[COMISIONES]]*0.105</f>
        <v>110.1366</v>
      </c>
      <c r="Q17" s="1"/>
      <c r="S17" s="8"/>
      <c r="T17" s="11">
        <v>44</v>
      </c>
      <c r="U17" s="11">
        <f>Tabla356111927375152545[[#This Row],[COMISIONES]]*0.21</f>
        <v>9.24</v>
      </c>
      <c r="V17" s="11"/>
      <c r="W17" s="11"/>
      <c r="X17" s="11"/>
      <c r="Y17" s="8"/>
      <c r="Z17">
        <v>1221.03</v>
      </c>
      <c r="AA17" s="11">
        <f>Tabla3568132129397172747[[#This Row],[COMISIONES]]*0.21</f>
        <v>256.41629999999998</v>
      </c>
      <c r="AB17" s="1"/>
      <c r="AC17" s="1"/>
      <c r="AD17">
        <v>17.079999999999998</v>
      </c>
      <c r="AE17" s="8"/>
      <c r="AF17" s="11">
        <v>92.4</v>
      </c>
      <c r="AG17" s="11">
        <f>Tabla356813142230408182848[[#This Row],[COMISIONES]]*0.21</f>
        <v>19.404</v>
      </c>
      <c r="AH17" s="11"/>
      <c r="AI17" s="11">
        <v>515.59</v>
      </c>
      <c r="AJ17" s="11"/>
      <c r="AK17" s="11"/>
      <c r="AL17" s="11">
        <f>Tabla356111927344311213151[[#This Row],[COMISIONES]]*0.21</f>
        <v>0</v>
      </c>
      <c r="AM17" s="11"/>
      <c r="AN17" s="11"/>
      <c r="AO17" s="11"/>
    </row>
    <row r="18" spans="2:41" x14ac:dyDescent="0.25">
      <c r="B18" s="3"/>
      <c r="C18" s="2">
        <f>Tabla131624322122233[[#This Row],[COMISIONES]]*0.21</f>
        <v>0</v>
      </c>
      <c r="D18" s="3"/>
      <c r="E18" s="3"/>
      <c r="F18" s="3"/>
      <c r="H18" s="11"/>
      <c r="I18" s="11">
        <f>Tabla391725353132334[[#This Row],[COMISIONES]]*0.21</f>
        <v>0</v>
      </c>
      <c r="J18" s="11"/>
      <c r="K18" s="11"/>
      <c r="L18" s="11"/>
      <c r="N18" s="1">
        <v>25305</v>
      </c>
      <c r="O18" s="11">
        <f>Tabla35101826364142444[[#This Row],[COMISIONES]]*0.21</f>
        <v>5314.05</v>
      </c>
      <c r="P18" s="11"/>
      <c r="Q18" s="11"/>
      <c r="R18" s="23">
        <v>759.15</v>
      </c>
      <c r="T18" s="11"/>
      <c r="U18" s="11">
        <f>Tabla356111927375152545[[#This Row],[COMISIONES]]*0.21</f>
        <v>0</v>
      </c>
      <c r="V18" s="11"/>
      <c r="W18" s="11"/>
      <c r="X18" s="11"/>
      <c r="Z18">
        <v>569.41</v>
      </c>
      <c r="AA18" s="11">
        <f>Tabla3568132129397172747[[#This Row],[COMISIONES]]*0.21</f>
        <v>119.57609999999998</v>
      </c>
      <c r="AB18" s="1"/>
      <c r="AD18">
        <v>87.96</v>
      </c>
      <c r="AF18" s="11">
        <v>367.02</v>
      </c>
      <c r="AG18" s="11">
        <f>Tabla356813142230408182848[[#This Row],[COMISIONES]]*0.21</f>
        <v>77.07419999999999</v>
      </c>
      <c r="AH18" s="11"/>
      <c r="AI18" s="11">
        <v>2047.99</v>
      </c>
      <c r="AJ18" s="11"/>
      <c r="AK18" s="11"/>
      <c r="AL18" s="11">
        <f>Tabla356111927344311213151[[#This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Tabla131624322122233[[#This Row],[COMISIONES]]*0.21</f>
        <v>0</v>
      </c>
      <c r="D19" s="3"/>
      <c r="E19" s="3"/>
      <c r="F19" s="3"/>
      <c r="G19" s="8"/>
      <c r="H19" s="11"/>
      <c r="I19" s="11">
        <f>Tabla391725353132334[[#This Row],[COMISIONES]]*0.21</f>
        <v>0</v>
      </c>
      <c r="J19" s="11"/>
      <c r="K19" s="11"/>
      <c r="L19" s="11"/>
      <c r="M19" s="8"/>
      <c r="N19" s="1">
        <v>42504</v>
      </c>
      <c r="O19" s="11">
        <f>Tabla35101826364142444[[#This Row],[COMISIONES]]*0.21</f>
        <v>8925.84</v>
      </c>
      <c r="P19" s="11"/>
      <c r="Q19" s="11"/>
      <c r="R19" s="23">
        <v>1275</v>
      </c>
      <c r="S19" s="8"/>
      <c r="T19" s="11"/>
      <c r="U19" s="11">
        <f>Tabla356111927375152545[[#This Row],[COMISIONES]]*0.21</f>
        <v>0</v>
      </c>
      <c r="V19" s="11"/>
      <c r="W19" s="11"/>
      <c r="X19" s="11"/>
      <c r="Y19" s="8"/>
      <c r="Z19">
        <v>6222.09</v>
      </c>
      <c r="AA19" s="11"/>
      <c r="AB19" s="1">
        <f>Tabla3568132129397172747[[#This Row],[COMISIONES]]*0.105</f>
        <v>653.31944999999996</v>
      </c>
      <c r="AC19" s="1"/>
      <c r="AD19">
        <v>60.08</v>
      </c>
      <c r="AE19" s="8"/>
      <c r="AF19" s="11"/>
      <c r="AG19" s="11">
        <f>Tabla356813142230408182848[[#This Row],[COMISIONES]]*0.21</f>
        <v>0</v>
      </c>
      <c r="AH19" s="11"/>
      <c r="AI19" s="11"/>
      <c r="AJ19" s="11"/>
      <c r="AK19" s="11"/>
      <c r="AL19" s="11">
        <f>Tabla356111927344311213151[[#This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Tabla131624322122233[[#This Row],[COMISIONES]]*0.21</f>
        <v>0</v>
      </c>
      <c r="D20" s="3"/>
      <c r="E20" s="3"/>
      <c r="F20" s="3"/>
      <c r="H20" s="11"/>
      <c r="I20" s="11">
        <f>Tabla391725353132334[[#This Row],[COMISIONES]]*0.21</f>
        <v>0</v>
      </c>
      <c r="J20" s="11"/>
      <c r="K20" s="11"/>
      <c r="L20" s="11"/>
      <c r="N20" s="1">
        <v>300</v>
      </c>
      <c r="O20" s="11">
        <f>Tabla35101826364142444[[#This Row],[COMISIONES]]*0.21</f>
        <v>63</v>
      </c>
      <c r="P20" s="11"/>
      <c r="Q20" s="11"/>
      <c r="R20" s="23"/>
      <c r="T20" s="11"/>
      <c r="U20" s="11">
        <f>Tabla356111927375152545[[#This Row],[COMISIONES]]*0.21</f>
        <v>0</v>
      </c>
      <c r="V20" s="11"/>
      <c r="W20" s="11"/>
      <c r="X20" s="11"/>
      <c r="Z20">
        <v>1055.97</v>
      </c>
      <c r="AA20" s="11">
        <f>Tabla3568132129397172747[[#This Row],[COMISIONES]]*0.21</f>
        <v>221.75370000000001</v>
      </c>
      <c r="AB20" s="11"/>
      <c r="AC20" s="1"/>
      <c r="AD20">
        <v>11</v>
      </c>
      <c r="AF20" s="11"/>
      <c r="AG20" s="11">
        <f>Tabla356813142230408182848[[#This Row],[COMISIONES]]*0.21</f>
        <v>0</v>
      </c>
      <c r="AH20" s="11"/>
      <c r="AI20" s="11"/>
      <c r="AJ20" s="11"/>
      <c r="AK20" s="11"/>
      <c r="AL20" s="11">
        <f>Tabla356111927344311213151[[#This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Tabla131624322122233[[#This Row],[COMISIONES]]*0.21</f>
        <v>0</v>
      </c>
      <c r="D21" s="3"/>
      <c r="E21" s="3"/>
      <c r="F21" s="3"/>
      <c r="H21" s="11"/>
      <c r="I21" s="11">
        <f>Tabla391725353132334[[#This Row],[COMISIONES]]*0.21</f>
        <v>0</v>
      </c>
      <c r="J21" s="11"/>
      <c r="K21" s="11"/>
      <c r="L21" s="11"/>
      <c r="N21" s="11">
        <v>300</v>
      </c>
      <c r="O21" s="11">
        <f>Tabla35101826364142444[[#This Row],[COMISIONES]]*0.21</f>
        <v>63</v>
      </c>
      <c r="P21" s="11"/>
      <c r="Q21" s="11"/>
      <c r="R21" s="11"/>
      <c r="T21" s="11"/>
      <c r="U21" s="11">
        <f>Tabla356111927375152545[[#This Row],[COMISIONES]]*0.21</f>
        <v>0</v>
      </c>
      <c r="V21" s="11"/>
      <c r="W21" s="11"/>
      <c r="X21" s="11"/>
      <c r="Z21" s="1">
        <v>2932.11</v>
      </c>
      <c r="AA21" s="11">
        <f>Tabla3568132129397172747[[#This Row],[COMISIONES]]*0.21</f>
        <v>615.74310000000003</v>
      </c>
      <c r="AB21" s="11"/>
      <c r="AC21" s="1"/>
      <c r="AD21">
        <v>124.47</v>
      </c>
      <c r="AF21" s="11"/>
      <c r="AG21" s="11">
        <f>Tabla356813142230408182848[[#This Row],[COMISIONES]]*0.21</f>
        <v>0</v>
      </c>
      <c r="AH21" s="11"/>
      <c r="AI21" s="11"/>
      <c r="AJ21" s="11"/>
      <c r="AK21" s="11"/>
      <c r="AL21" s="11">
        <f>Tabla356111927344311213151[[#This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Tabla131624322122233[[#This Row],[COMISIONES]]*0.21</f>
        <v>0</v>
      </c>
      <c r="D22" s="3"/>
      <c r="E22" s="3"/>
      <c r="F22" s="3"/>
      <c r="H22" s="11"/>
      <c r="I22" s="11">
        <f>Tabla391725353132334[[#This Row],[COMISIONES]]*0.21</f>
        <v>0</v>
      </c>
      <c r="J22" s="11"/>
      <c r="K22" s="11"/>
      <c r="L22" s="11"/>
      <c r="N22" s="11">
        <v>300</v>
      </c>
      <c r="O22" s="11">
        <f>Tabla35101826364142444[[#This Row],[COMISIONES]]*0.21</f>
        <v>63</v>
      </c>
      <c r="P22" s="11"/>
      <c r="Q22" s="11"/>
      <c r="R22" s="11"/>
      <c r="T22" s="11"/>
      <c r="U22" s="11">
        <f>Tabla356111927375152545[[#This Row],[COMISIONES]]*0.21</f>
        <v>0</v>
      </c>
      <c r="V22" s="11"/>
      <c r="W22" s="11"/>
      <c r="X22" s="11"/>
      <c r="Z22">
        <v>366.53</v>
      </c>
      <c r="AA22" s="11">
        <f>Tabla3568132129397172747[[#This Row],[COMISIONES]]*0.21</f>
        <v>76.971299999999985</v>
      </c>
      <c r="AB22" s="11"/>
      <c r="AC22" s="1"/>
      <c r="AD22" s="11">
        <v>302.12</v>
      </c>
      <c r="AF22" s="11"/>
      <c r="AG22" s="11">
        <f>Tabla356813142230408182848[[#This Row],[COMISIONES]]*0.21</f>
        <v>0</v>
      </c>
      <c r="AH22" s="11"/>
      <c r="AI22" s="11"/>
      <c r="AJ22" s="11"/>
      <c r="AK22" s="11"/>
      <c r="AL22" s="11">
        <f>Tabla356111927344311213151[[#This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Tabla131624322122233[[#This Row],[COMISIONES]]*0.21</f>
        <v>0</v>
      </c>
      <c r="D23" s="3"/>
      <c r="E23" s="3"/>
      <c r="F23" s="3"/>
      <c r="H23" s="11"/>
      <c r="I23" s="11">
        <f>Tabla391725353132334[[#This Row],[COMISIONES]]*0.21</f>
        <v>0</v>
      </c>
      <c r="J23" s="11"/>
      <c r="K23" s="11"/>
      <c r="L23" s="11"/>
      <c r="N23" s="11">
        <v>300</v>
      </c>
      <c r="O23" s="11">
        <f>Tabla35101826364142444[[#This Row],[COMISIONES]]*0.21</f>
        <v>63</v>
      </c>
      <c r="P23" s="11"/>
      <c r="Q23" s="11"/>
      <c r="R23" s="11"/>
      <c r="T23" s="11"/>
      <c r="U23" s="11">
        <f>Tabla356111927375152545[[#This Row],[COMISIONES]]*0.21</f>
        <v>0</v>
      </c>
      <c r="V23" s="11"/>
      <c r="W23" s="11"/>
      <c r="X23" s="11"/>
      <c r="Z23" s="1">
        <v>4005.11</v>
      </c>
      <c r="AA23" s="11"/>
      <c r="AB23" s="1">
        <f>Tabla3568132129397172747[[#This Row],[COMISIONES]]*0.105</f>
        <v>420.53654999999998</v>
      </c>
      <c r="AC23" s="1"/>
      <c r="AD23" s="11">
        <v>55.65</v>
      </c>
      <c r="AF23" s="11"/>
      <c r="AG23" s="11">
        <f>Tabla356813142230408182848[[#This Row],[COMISIONES]]*0.21</f>
        <v>0</v>
      </c>
      <c r="AH23" s="11"/>
      <c r="AI23" s="11"/>
      <c r="AJ23" s="11"/>
      <c r="AK23" s="11"/>
      <c r="AL23" s="11">
        <f>Tabla356111927344311213151[[#This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Tabla131624322122233[[#This Row],[COMISIONES]]*0.21</f>
        <v>0</v>
      </c>
      <c r="D24" s="3"/>
      <c r="E24" s="3"/>
      <c r="F24" s="3"/>
      <c r="H24" s="11"/>
      <c r="I24" s="11">
        <f>Tabla391725353132334[[#This Row],[COMISIONES]]*0.21</f>
        <v>0</v>
      </c>
      <c r="J24" s="11"/>
      <c r="K24" s="11"/>
      <c r="L24" s="11"/>
      <c r="N24" s="11">
        <v>300</v>
      </c>
      <c r="O24" s="11">
        <f>Tabla35101826364142444[[#This Row],[COMISIONES]]*0.21</f>
        <v>63</v>
      </c>
      <c r="P24" s="11"/>
      <c r="Q24" s="11"/>
      <c r="R24" s="11"/>
      <c r="T24" s="11"/>
      <c r="U24" s="11">
        <f>Tabla356111927375152545[[#This Row],[COMISIONES]]*0.21</f>
        <v>0</v>
      </c>
      <c r="V24" s="11"/>
      <c r="W24" s="11"/>
      <c r="X24" s="11"/>
      <c r="Z24" s="1">
        <v>247.13</v>
      </c>
      <c r="AA24" s="11">
        <f>Tabla3568132129397172747[[#This Row],[COMISIONES]]*0.21</f>
        <v>51.897299999999994</v>
      </c>
      <c r="AB24" s="11"/>
      <c r="AC24" s="1"/>
      <c r="AD24" s="11">
        <v>307.72000000000003</v>
      </c>
      <c r="AF24" s="11"/>
      <c r="AG24" s="11">
        <f>Tabla356813142230408182848[[#This Row],[COMISIONES]]*0.21</f>
        <v>0</v>
      </c>
      <c r="AH24" s="11"/>
      <c r="AI24" s="11"/>
      <c r="AJ24" s="11"/>
      <c r="AK24" s="11"/>
      <c r="AL24" s="11">
        <f>Tabla356111927344311213151[[#This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Tabla131624322122233[[#This Row],[COMISIONES]]*0.21</f>
        <v>0</v>
      </c>
      <c r="D25" s="3"/>
      <c r="E25" s="3"/>
      <c r="F25" s="3"/>
      <c r="H25" s="11"/>
      <c r="I25" s="11">
        <f>Tabla391725353132334[[#This Row],[COMISIONES]]*0.21</f>
        <v>0</v>
      </c>
      <c r="J25" s="11"/>
      <c r="K25" s="11"/>
      <c r="L25" s="11"/>
      <c r="N25" s="11">
        <v>300</v>
      </c>
      <c r="O25" s="11">
        <f>Tabla35101826364142444[[#This Row],[COMISIONES]]*0.21</f>
        <v>63</v>
      </c>
      <c r="P25" s="11"/>
      <c r="Q25" s="11"/>
      <c r="R25" s="11"/>
      <c r="T25" s="11"/>
      <c r="U25" s="11">
        <f>Tabla356111927375152545[[#This Row],[COMISIONES]]*0.21</f>
        <v>0</v>
      </c>
      <c r="V25" s="11"/>
      <c r="W25" s="11"/>
      <c r="X25" s="11"/>
      <c r="Z25">
        <v>1269.45</v>
      </c>
      <c r="AA25" s="11">
        <f>Tabla3568132129397172747[[#This Row],[COMISIONES]]*0.21</f>
        <v>266.58449999999999</v>
      </c>
      <c r="AB25" s="11"/>
      <c r="AC25" s="1"/>
      <c r="AD25" s="11">
        <v>56.32</v>
      </c>
      <c r="AF25" s="11"/>
      <c r="AG25" s="11">
        <f>Tabla356813142230408182848[[#This Row],[COMISIONES]]*0.21</f>
        <v>0</v>
      </c>
      <c r="AH25" s="11"/>
      <c r="AI25" s="11"/>
      <c r="AJ25" s="11"/>
      <c r="AK25" s="11"/>
      <c r="AL25" s="11">
        <f>Tabla356111927344311213151[[#This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Tabla131624322122233[[#This Row],[COMISIONES]]*0.21</f>
        <v>0</v>
      </c>
      <c r="D26" s="3"/>
      <c r="E26" s="3"/>
      <c r="F26" s="3"/>
      <c r="H26" s="11"/>
      <c r="I26" s="11">
        <f>Tabla391725353132334[[#This Row],[COMISIONES]]*0.21</f>
        <v>0</v>
      </c>
      <c r="J26" s="11"/>
      <c r="K26" s="11"/>
      <c r="L26" s="11"/>
      <c r="N26" s="11">
        <v>300</v>
      </c>
      <c r="O26" s="11">
        <f>Tabla35101826364142444[[#This Row],[COMISIONES]]*0.21</f>
        <v>63</v>
      </c>
      <c r="P26" s="11"/>
      <c r="Q26" s="11"/>
      <c r="R26" s="11"/>
      <c r="T26" s="11"/>
      <c r="U26" s="11">
        <f>Tabla356111927375152545[[#This Row],[COMISIONES]]*0.21</f>
        <v>0</v>
      </c>
      <c r="V26" s="11"/>
      <c r="W26" s="11"/>
      <c r="X26" s="11"/>
      <c r="Z26">
        <v>128.69999999999999</v>
      </c>
      <c r="AA26" s="11">
        <f>Tabla3568132129397172747[[#This Row],[COMISIONES]]*0.21</f>
        <v>27.026999999999997</v>
      </c>
      <c r="AB26" s="11"/>
      <c r="AC26" s="1"/>
      <c r="AD26" s="11">
        <v>269.32</v>
      </c>
      <c r="AF26" s="4">
        <f>SUBTOTAL(109,Tabla356813142230408182848[COMISIONES])</f>
        <v>1111.9000000000001</v>
      </c>
      <c r="AG26" s="4">
        <f>SUBTOTAL(109,Tabla356813142230408182848[IVA 21])</f>
        <v>233.499</v>
      </c>
      <c r="AH26" s="4">
        <f>SUBTOTAL(109,Tabla356813142230408182848[IVA 10,5])</f>
        <v>0</v>
      </c>
      <c r="AI26" s="4">
        <f>SUBTOTAL(109,Tabla356813142230408182848[Ret IIBB Caba])</f>
        <v>6204.42</v>
      </c>
      <c r="AJ26" s="4">
        <f>SUBTOTAL(109,Tabla356813142230408182848[PERC IVA])</f>
        <v>0</v>
      </c>
      <c r="AK26" s="11"/>
      <c r="AL26" s="11">
        <f>Tabla356111927344311213151[[#This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Tabla131624322122233[[#This Row],[COMISIONES]]*0.21</f>
        <v>0</v>
      </c>
      <c r="D27" s="3"/>
      <c r="E27" s="3"/>
      <c r="F27" s="3"/>
      <c r="H27" s="11"/>
      <c r="I27" s="11">
        <f>Tabla391725353132334[[#This Row],[COMISIONES]]*0.21</f>
        <v>0</v>
      </c>
      <c r="J27" s="11"/>
      <c r="K27" s="11"/>
      <c r="L27" s="11"/>
      <c r="N27" s="11">
        <v>300</v>
      </c>
      <c r="O27" s="11">
        <f>Tabla35101826364142444[[#This Row],[COMISIONES]]*0.21</f>
        <v>63</v>
      </c>
      <c r="P27" s="11"/>
      <c r="Q27" s="11"/>
      <c r="R27" s="11"/>
      <c r="T27" s="11"/>
      <c r="U27" s="11">
        <f>Tabla356111927375152545[[#This Row],[COMISIONES]]*0.21</f>
        <v>0</v>
      </c>
      <c r="V27" s="11"/>
      <c r="W27" s="11"/>
      <c r="X27" s="11"/>
      <c r="Z27" s="1">
        <v>4148.92</v>
      </c>
      <c r="AA27" s="11">
        <f>Tabla3568132129397172747[[#This Row],[COMISIONES]]*0.21</f>
        <v>871.27319999999997</v>
      </c>
      <c r="AB27" s="11"/>
      <c r="AC27" s="1"/>
      <c r="AD27">
        <v>49.29</v>
      </c>
      <c r="AK27" s="11"/>
      <c r="AL27" s="11">
        <f>Tabla356111927344311213151[[#This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Tabla131624322122233[[#This Row],[COMISIONES]]*0.21</f>
        <v>0</v>
      </c>
      <c r="D28" s="3"/>
      <c r="E28" s="3"/>
      <c r="F28" s="3"/>
      <c r="H28" s="11"/>
      <c r="I28" s="11">
        <f>Tabla391725353132334[[#This Row],[COMISIONES]]*0.21</f>
        <v>0</v>
      </c>
      <c r="J28" s="11"/>
      <c r="K28" s="11"/>
      <c r="L28" s="11"/>
      <c r="N28" s="11">
        <v>300</v>
      </c>
      <c r="O28" s="11">
        <f>Tabla35101826364142444[[#This Row],[COMISIONES]]*0.21</f>
        <v>63</v>
      </c>
      <c r="P28" s="11"/>
      <c r="Q28" s="11"/>
      <c r="R28" s="11"/>
      <c r="T28" s="11"/>
      <c r="U28" s="11">
        <f>Tabla356111927375152545[[#This Row],[COMISIONES]]*0.21</f>
        <v>0</v>
      </c>
      <c r="V28" s="11"/>
      <c r="W28" s="11"/>
      <c r="X28" s="11"/>
      <c r="Z28">
        <v>1843.2</v>
      </c>
      <c r="AA28" s="11">
        <f>Tabla3568132129397172747[[#This Row],[COMISIONES]]*0.21</f>
        <v>387.072</v>
      </c>
      <c r="AB28" s="1"/>
      <c r="AC28" s="1"/>
      <c r="AD28" s="11">
        <v>285.89</v>
      </c>
      <c r="AK28" s="11"/>
      <c r="AL28" s="11">
        <f>Tabla356111927344311213151[[#This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Tabla131624322122233[[#This Row],[COMISIONES]]*0.21</f>
        <v>0</v>
      </c>
      <c r="D29" s="3"/>
      <c r="E29" s="3"/>
      <c r="F29" s="3"/>
      <c r="H29" s="11"/>
      <c r="I29" s="11">
        <f>Tabla391725353132334[[#This Row],[COMISIONES]]*0.21</f>
        <v>0</v>
      </c>
      <c r="J29" s="11"/>
      <c r="K29" s="11"/>
      <c r="L29" s="11"/>
      <c r="N29" s="11">
        <v>300</v>
      </c>
      <c r="O29" s="11">
        <f>Tabla35101826364142444[[#This Row],[COMISIONES]]*0.21</f>
        <v>63</v>
      </c>
      <c r="P29" s="11"/>
      <c r="Q29" s="11"/>
      <c r="R29" s="11"/>
      <c r="T29" s="18"/>
      <c r="U29" s="18">
        <f>Tabla356111927375152545[[#This Row],[COMISIONES]]*0.21</f>
        <v>0</v>
      </c>
      <c r="V29" s="18"/>
      <c r="W29" s="18"/>
      <c r="X29" s="18"/>
      <c r="Z29">
        <v>20141</v>
      </c>
      <c r="AA29" s="11"/>
      <c r="AB29" s="1">
        <f>Tabla3568132129397172747[[#This Row],[COMISIONES]]*0.105</f>
        <v>2114.8049999999998</v>
      </c>
      <c r="AD29" s="11">
        <v>206.62</v>
      </c>
      <c r="AK29" s="18"/>
      <c r="AL29" s="18">
        <f>Tabla356111927344311213151[[#This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Tabla131624322122233[[#This Row],[COMISIONES]]*0.21</f>
        <v>0</v>
      </c>
      <c r="D30" s="3"/>
      <c r="E30" s="3"/>
      <c r="F30" s="3"/>
      <c r="H30" s="11"/>
      <c r="I30" s="11">
        <f>Tabla391725353132334[[#This Row],[COMISIONES]]*0.21</f>
        <v>0</v>
      </c>
      <c r="J30" s="11"/>
      <c r="K30" s="11"/>
      <c r="L30" s="11"/>
      <c r="N30" s="11">
        <v>300</v>
      </c>
      <c r="O30" s="11">
        <f>Tabla35101826364142444[[#This Row],[COMISIONES]]*0.21</f>
        <v>63</v>
      </c>
      <c r="P30" s="11"/>
      <c r="Q30" s="11"/>
      <c r="R30" s="11"/>
      <c r="T30" s="18"/>
      <c r="U30" s="18">
        <f>Tabla356111927375152545[[#This Row],[COMISIONES]]*0.21</f>
        <v>0</v>
      </c>
      <c r="V30" s="18"/>
      <c r="W30" s="18"/>
      <c r="X30" s="18"/>
      <c r="Z30" s="1">
        <v>1136.93</v>
      </c>
      <c r="AA30" s="11">
        <f>Tabla3568132129397172747[[#This Row],[COMISIONES]]*0.21</f>
        <v>238.75530000000001</v>
      </c>
      <c r="AB30" s="11"/>
      <c r="AC30" s="11"/>
      <c r="AD30" s="11">
        <v>51.22</v>
      </c>
      <c r="AK30" s="18"/>
      <c r="AL30" s="18">
        <f>Tabla356111927344311213151[[#This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Tabla131624322122233[[#This Row],[COMISIONES]]*0.21</f>
        <v>0</v>
      </c>
      <c r="D31" s="3"/>
      <c r="E31" s="1"/>
      <c r="F31" s="3"/>
      <c r="H31" s="11"/>
      <c r="I31" s="11">
        <f>Tabla391725353132334[[#This Row],[COMISIONES]]*0.21</f>
        <v>0</v>
      </c>
      <c r="J31" s="11"/>
      <c r="K31" s="11"/>
      <c r="L31" s="11"/>
      <c r="N31" s="11">
        <v>300</v>
      </c>
      <c r="O31" s="11">
        <f>Tabla35101826364142444[[#This Row],[COMISIONES]]*0.21</f>
        <v>63</v>
      </c>
      <c r="P31" s="11"/>
      <c r="Q31" s="11"/>
      <c r="R31" s="11"/>
      <c r="T31" s="4">
        <f>SUBTOTAL(109,Tabla356111927375152545[COMISIONES])</f>
        <v>23669</v>
      </c>
      <c r="U31" s="4">
        <f>SUBTOTAL(109,Tabla356111927375152545[IVA 21])</f>
        <v>4970.49</v>
      </c>
      <c r="V31" s="4">
        <f>SUBTOTAL(109,Tabla356111927375152545[IVA 10,5])</f>
        <v>0</v>
      </c>
      <c r="W31" s="4">
        <f>SUBTOTAL(109,Tabla356111927375152545[Ret IIBB Caba])</f>
        <v>1417.5</v>
      </c>
      <c r="X31" s="4">
        <f>SUBTOTAL(109,Tabla356111927375152545[PERC IVA])</f>
        <v>708.75</v>
      </c>
      <c r="Z31" s="1">
        <v>1877.39</v>
      </c>
      <c r="AA31" s="11">
        <f>Tabla3568132129397172747[[#This Row],[COMISIONES]]*0.21</f>
        <v>394.25190000000003</v>
      </c>
      <c r="AB31" s="11"/>
      <c r="AC31" s="1"/>
      <c r="AD31">
        <v>85.3</v>
      </c>
      <c r="AK31" s="4">
        <f>SUBTOTAL(109,Tabla356111927344311213151[COMISIONES])</f>
        <v>1500</v>
      </c>
      <c r="AL31" s="4">
        <f>SUBTOTAL(109,Tabla356111927344311213151[IVA 21])</f>
        <v>315</v>
      </c>
      <c r="AM31" s="4">
        <f>SUBTOTAL(109,Tabla356111927344311213151[IVA 10,5])</f>
        <v>0</v>
      </c>
      <c r="AN31" s="4">
        <f>SUBTOTAL(109,Tabla356111927344311213151[Ret IIBB Caba])</f>
        <v>0</v>
      </c>
      <c r="AO31" s="4">
        <f>SUBTOTAL(109,Tabla356111927344311213151[PERC IVA])</f>
        <v>0</v>
      </c>
    </row>
    <row r="32" spans="2:41" ht="18.75" x14ac:dyDescent="0.3">
      <c r="B32" s="3"/>
      <c r="C32" s="2">
        <f>Tabla131624322122233[[#This Row],[COMISIONES]]*0.21</f>
        <v>0</v>
      </c>
      <c r="D32" s="3"/>
      <c r="E32" s="3"/>
      <c r="F32" s="3"/>
      <c r="H32" s="11"/>
      <c r="I32" s="11">
        <f>Tabla391725353132334[[#This Row],[COMISIONES]]*0.21</f>
        <v>0</v>
      </c>
      <c r="J32" s="11"/>
      <c r="K32" s="11"/>
      <c r="L32" s="11"/>
      <c r="N32" s="11">
        <v>300</v>
      </c>
      <c r="O32" s="11">
        <f>Tabla35101826364142444[[#This Row],[COMISIONES]]*0.21</f>
        <v>63</v>
      </c>
      <c r="P32" s="11"/>
      <c r="Q32" s="11"/>
      <c r="R32" s="11"/>
      <c r="T32" s="42" t="s">
        <v>15</v>
      </c>
      <c r="U32" s="42"/>
      <c r="V32" s="42"/>
      <c r="W32" s="42"/>
      <c r="X32" s="42"/>
      <c r="Z32" s="1">
        <v>20514.599999999999</v>
      </c>
      <c r="AA32" s="11"/>
      <c r="AB32" s="1">
        <f>Tabla3568132129397172747[[#This Row],[COMISIONES]]*0.105</f>
        <v>2154.0329999999999</v>
      </c>
      <c r="AC32" s="11"/>
      <c r="AD32" s="11">
        <v>17.600000000000001</v>
      </c>
    </row>
    <row r="33" spans="2:31" x14ac:dyDescent="0.25">
      <c r="B33" s="3"/>
      <c r="C33" s="2">
        <f>Tabla131624322122233[[#This Row],[COMISIONES]]*0.21</f>
        <v>0</v>
      </c>
      <c r="D33" s="3"/>
      <c r="E33" s="3"/>
      <c r="F33" s="3"/>
      <c r="H33" s="11"/>
      <c r="I33" s="11">
        <f>Tabla391725353132334[[#This Row],[COMISIONES]]*0.21</f>
        <v>0</v>
      </c>
      <c r="J33" s="11"/>
      <c r="K33" s="11"/>
      <c r="L33" s="11"/>
      <c r="N33" s="11">
        <v>300</v>
      </c>
      <c r="O33" s="11">
        <f>Tabla35101826364142444[[#This Row],[COMISIONES]]*0.21</f>
        <v>63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1">
        <v>568.98</v>
      </c>
      <c r="AA33" s="11">
        <f>Tabla3568132129397172747[[#This Row],[COMISIONES]]*0.21</f>
        <v>119.4858</v>
      </c>
      <c r="AB33" s="11"/>
      <c r="AC33" s="11"/>
      <c r="AD33" s="11">
        <v>113.68</v>
      </c>
    </row>
    <row r="34" spans="2:31" x14ac:dyDescent="0.25">
      <c r="B34" s="3"/>
      <c r="C34" s="2">
        <f>Tabla131624322122233[[#This Row],[COMISIONES]]*0.21</f>
        <v>0</v>
      </c>
      <c r="D34" s="3"/>
      <c r="E34" s="3"/>
      <c r="F34" s="3"/>
      <c r="H34" s="11"/>
      <c r="I34" s="11">
        <f>Tabla391725353132334[[#This Row],[COMISIONES]]*0.21</f>
        <v>0</v>
      </c>
      <c r="J34" s="11"/>
      <c r="K34" s="11"/>
      <c r="L34" s="11"/>
      <c r="N34" s="11">
        <v>300</v>
      </c>
      <c r="O34" s="11">
        <f>Tabla35101826364142444[[#This Row],[COMISIONES]]*0.21</f>
        <v>63</v>
      </c>
      <c r="P34" s="11"/>
      <c r="Q34" s="11"/>
      <c r="R34" s="11"/>
      <c r="T34" s="11">
        <v>3600</v>
      </c>
      <c r="U34" s="11">
        <f>Tabla6122028386162646[[#This Row],[COMISIONES]]*0.21</f>
        <v>756</v>
      </c>
      <c r="V34" s="11"/>
      <c r="W34" s="11"/>
      <c r="X34" s="11">
        <v>108</v>
      </c>
      <c r="Z34">
        <v>911.12</v>
      </c>
      <c r="AA34" s="11">
        <f>Tabla3568132129397172747[[#This Row],[COMISIONES]]*0.21</f>
        <v>191.33519999999999</v>
      </c>
      <c r="AB34" s="11"/>
      <c r="AC34" s="11"/>
      <c r="AD34" s="11">
        <v>75.010000000000005</v>
      </c>
    </row>
    <row r="35" spans="2:31" x14ac:dyDescent="0.25">
      <c r="B35" s="3"/>
      <c r="C35" s="2">
        <f>Tabla131624322122233[[#This Row],[COMISIONES]]*0.21</f>
        <v>0</v>
      </c>
      <c r="D35" s="3"/>
      <c r="E35" s="3"/>
      <c r="F35" s="3"/>
      <c r="H35" s="11"/>
      <c r="I35" s="11">
        <f>Tabla391725353132334[[#This Row],[COMISIONES]]*0.21</f>
        <v>0</v>
      </c>
      <c r="J35" s="11"/>
      <c r="K35" s="11"/>
      <c r="L35" s="11"/>
      <c r="N35" s="11">
        <v>300</v>
      </c>
      <c r="O35" s="11">
        <f>Tabla35101826364142444[[#This Row],[COMISIONES]]*0.21</f>
        <v>63</v>
      </c>
      <c r="P35" s="11"/>
      <c r="Q35" s="11"/>
      <c r="R35" s="11"/>
      <c r="T35" s="11"/>
      <c r="U35" s="11">
        <f>Tabla6122028386162646[[#This Row],[COMISIONES]]*0.21</f>
        <v>0</v>
      </c>
      <c r="V35" s="11"/>
      <c r="W35" s="11"/>
      <c r="X35" s="11"/>
      <c r="Z35" s="1">
        <v>1643.1</v>
      </c>
      <c r="AA35" s="11">
        <f>Tabla3568132129397172747[[#This Row],[COMISIONES]]*0.21</f>
        <v>345.05099999999999</v>
      </c>
      <c r="AB35" s="11"/>
      <c r="AC35" s="11"/>
      <c r="AD35" s="11">
        <v>264.08</v>
      </c>
    </row>
    <row r="36" spans="2:31" x14ac:dyDescent="0.25">
      <c r="B36" s="3"/>
      <c r="C36" s="2">
        <f>Tabla131624322122233[[#This Row],[COMISIONES]]*0.21</f>
        <v>0</v>
      </c>
      <c r="D36" s="3"/>
      <c r="E36" s="3"/>
      <c r="F36" s="3"/>
      <c r="H36" s="11"/>
      <c r="I36" s="11">
        <f>Tabla391725353132334[[#This Row],[COMISIONES]]*0.21</f>
        <v>0</v>
      </c>
      <c r="J36" s="11"/>
      <c r="K36" s="11"/>
      <c r="L36" s="11"/>
      <c r="N36" s="11">
        <v>300</v>
      </c>
      <c r="O36" s="11">
        <f>Tabla35101826364142444[[#This Row],[COMISIONES]]*0.21</f>
        <v>63</v>
      </c>
      <c r="P36" s="11"/>
      <c r="Q36" s="11"/>
      <c r="R36" s="11"/>
      <c r="T36" s="11"/>
      <c r="U36" s="19">
        <f>Tabla6122028386162646[[#This Row],[COMISIONES]]*0.21</f>
        <v>0</v>
      </c>
      <c r="Z36" s="1">
        <v>17954.47</v>
      </c>
      <c r="AA36" s="11"/>
      <c r="AB36" s="1">
        <f>Tabla3568132129397172747[[#This Row],[COMISIONES]]*0.105</f>
        <v>1885.2193500000001</v>
      </c>
      <c r="AC36" s="11"/>
      <c r="AD36" s="11">
        <v>1686.24</v>
      </c>
    </row>
    <row r="37" spans="2:31" x14ac:dyDescent="0.25">
      <c r="B37" s="3"/>
      <c r="C37" s="2">
        <f>Tabla131624322122233[[#This Row],[COMISIONES]]*0.21</f>
        <v>0</v>
      </c>
      <c r="D37" s="3"/>
      <c r="E37" s="3"/>
      <c r="F37" s="3"/>
      <c r="H37" s="11"/>
      <c r="I37" s="11">
        <f>Tabla391725353132334[[#This Row],[COMISIONES]]*0.21</f>
        <v>0</v>
      </c>
      <c r="J37" s="11"/>
      <c r="K37" s="11"/>
      <c r="L37" s="11"/>
      <c r="N37" s="11">
        <v>300</v>
      </c>
      <c r="O37" s="11">
        <f>Tabla35101826364142444[[#This Row],[COMISIONES]]*0.21</f>
        <v>63</v>
      </c>
      <c r="P37" s="11"/>
      <c r="Q37" s="11"/>
      <c r="R37" s="11"/>
      <c r="T37" s="11"/>
      <c r="U37" s="19">
        <f>Tabla6122028386162646[[#This Row],[COMISIONES]]*0.21</f>
        <v>0</v>
      </c>
      <c r="Z37">
        <v>9530.19</v>
      </c>
      <c r="AA37" s="21">
        <f>Tabla3568132129397172747[[#This Row],[COMISIONES]]*0.21</f>
        <v>2001.3398999999999</v>
      </c>
      <c r="AB37" s="21"/>
      <c r="AC37" s="21"/>
      <c r="AD37" s="22">
        <v>205.44</v>
      </c>
    </row>
    <row r="38" spans="2:31" x14ac:dyDescent="0.25">
      <c r="B38" s="3"/>
      <c r="C38" s="2">
        <f>Tabla131624322122233[[#This Row],[COMISIONES]]*0.21</f>
        <v>0</v>
      </c>
      <c r="D38" s="3"/>
      <c r="E38" s="3"/>
      <c r="F38" s="3"/>
      <c r="H38" s="11"/>
      <c r="I38" s="11">
        <f>Tabla391725353132334[[#This Row],[COMISIONES]]*0.21</f>
        <v>0</v>
      </c>
      <c r="J38" s="11"/>
      <c r="K38" s="11"/>
      <c r="L38" s="11"/>
      <c r="N38" s="11">
        <v>300</v>
      </c>
      <c r="O38" s="11">
        <f>Tabla35101826364142444[[#This Row],[COMISIONES]]*0.21</f>
        <v>63</v>
      </c>
      <c r="P38" s="11"/>
      <c r="Q38" s="11"/>
      <c r="R38" s="11"/>
      <c r="T38" s="11"/>
      <c r="U38" s="19">
        <f>Tabla6122028386162646[[#This Row],[COMISIONES]]*0.21</f>
        <v>0</v>
      </c>
      <c r="Z38">
        <v>1624.86</v>
      </c>
      <c r="AA38" s="21">
        <f>Tabla3568132129397172747[[#This Row],[COMISIONES]]*0.21</f>
        <v>341.22059999999999</v>
      </c>
      <c r="AB38" s="1"/>
      <c r="AC38" s="1"/>
      <c r="AD38">
        <v>234.72</v>
      </c>
    </row>
    <row r="39" spans="2:31" x14ac:dyDescent="0.25">
      <c r="B39" s="3"/>
      <c r="C39" s="2">
        <f>Tabla131624322122233[[#This Row],[COMISIONES]]*0.21</f>
        <v>0</v>
      </c>
      <c r="D39" s="3"/>
      <c r="E39" s="3"/>
      <c r="F39" s="3"/>
      <c r="H39" s="11"/>
      <c r="I39" s="11">
        <f>Tabla391725353132334[[#This Row],[COMISIONES]]*0.21</f>
        <v>0</v>
      </c>
      <c r="J39" s="11"/>
      <c r="K39" s="11"/>
      <c r="L39" s="11"/>
      <c r="N39" s="11">
        <v>300</v>
      </c>
      <c r="O39" s="11">
        <f>Tabla35101826364142444[[#This Row],[COMISIONES]]*0.21</f>
        <v>63</v>
      </c>
      <c r="P39" s="11"/>
      <c r="Q39" s="11"/>
      <c r="R39" s="11"/>
      <c r="T39" s="11"/>
      <c r="U39" s="19">
        <f>Tabla6122028386162646[[#This Row],[COMISIONES]]*0.21</f>
        <v>0</v>
      </c>
      <c r="Z39">
        <v>695.38</v>
      </c>
      <c r="AA39" s="21">
        <f>Tabla3568132129397172747[[#This Row],[COMISIONES]]*0.21</f>
        <v>146.02979999999999</v>
      </c>
      <c r="AB39" s="21"/>
      <c r="AC39" s="21"/>
      <c r="AD39" s="21">
        <v>980.53200000000004</v>
      </c>
    </row>
    <row r="40" spans="2:31" x14ac:dyDescent="0.25">
      <c r="B40" s="3"/>
      <c r="C40" s="2">
        <f>Tabla131624322122233[[#This Row],[COMISIONES]]*0.21</f>
        <v>0</v>
      </c>
      <c r="D40" s="3"/>
      <c r="E40" s="3"/>
      <c r="F40" s="3"/>
      <c r="H40" s="11"/>
      <c r="I40" s="11">
        <f>Tabla391725353132334[[#This Row],[COMISIONES]]*0.21</f>
        <v>0</v>
      </c>
      <c r="J40" s="11"/>
      <c r="K40" s="11"/>
      <c r="L40" s="11"/>
      <c r="N40" s="11"/>
      <c r="O40" s="11">
        <f>Tabla35101826364142444[[#This Row],[COMISIONES]]*0.21</f>
        <v>0</v>
      </c>
      <c r="P40" s="11"/>
      <c r="Q40" s="11"/>
      <c r="R40" s="11"/>
      <c r="T40" s="11"/>
      <c r="U40" s="19">
        <f>Tabla6122028386162646[[#This Row],[COMISIONES]]*0.21</f>
        <v>0</v>
      </c>
      <c r="Z40" s="1">
        <v>121.5</v>
      </c>
      <c r="AA40" s="21">
        <f>Tabla3568132129397172747[[#This Row],[COMISIONES]]*0.21</f>
        <v>25.515000000000001</v>
      </c>
      <c r="AB40" s="21"/>
      <c r="AC40" s="21"/>
      <c r="AD40" s="21">
        <v>204.66</v>
      </c>
    </row>
    <row r="41" spans="2:31" x14ac:dyDescent="0.25">
      <c r="B41" s="3"/>
      <c r="C41" s="2">
        <f>Tabla131624322122233[[#This Row],[COMISIONES]]*0.21</f>
        <v>0</v>
      </c>
      <c r="D41" s="3"/>
      <c r="E41" s="3"/>
      <c r="F41" s="3"/>
      <c r="H41" s="18"/>
      <c r="I41" s="18">
        <f>Tabla391725353132334[[#This Row],[COMISIONES]]*0.21</f>
        <v>0</v>
      </c>
      <c r="J41" s="18"/>
      <c r="K41" s="18"/>
      <c r="L41" s="18"/>
      <c r="N41" s="11"/>
      <c r="O41" s="11">
        <f>Tabla35101826364142444[[#This Row],[COMISIONES]]*0.21</f>
        <v>0</v>
      </c>
      <c r="P41" s="11"/>
      <c r="Q41" s="11"/>
      <c r="R41" s="11"/>
      <c r="T41" s="11"/>
      <c r="U41" s="19">
        <f>Tabla6122028386162646[[#This Row],[COMISIONES]]*0.21</f>
        <v>0</v>
      </c>
      <c r="Z41" s="1">
        <v>1294.6099999999999</v>
      </c>
      <c r="AA41" s="21">
        <f>Tabla3568132129397172747[[#This Row],[COMISIONES]]*0.21</f>
        <v>271.86809999999997</v>
      </c>
      <c r="AB41" s="21"/>
      <c r="AC41" s="21"/>
      <c r="AD41" s="21">
        <v>78.98</v>
      </c>
    </row>
    <row r="42" spans="2:31" x14ac:dyDescent="0.25">
      <c r="B42" s="3"/>
      <c r="C42" s="2">
        <f>Tabla131624322122233[[#This Row],[COMISIONES]]*0.21</f>
        <v>0</v>
      </c>
      <c r="D42" s="3"/>
      <c r="E42" s="3"/>
      <c r="F42" s="3"/>
      <c r="H42" s="18"/>
      <c r="I42" s="18">
        <f>Tabla391725353132334[[#This Row],[COMISIONES]]*0.21</f>
        <v>0</v>
      </c>
      <c r="J42" s="18"/>
      <c r="K42" s="18"/>
      <c r="L42" s="18"/>
      <c r="N42" s="11"/>
      <c r="O42" s="11">
        <f>Tabla35101826364142444[[#This Row],[COMISIONES]]*0.21</f>
        <v>0</v>
      </c>
      <c r="P42" s="11"/>
      <c r="Q42" s="11"/>
      <c r="R42" s="11"/>
      <c r="T42" s="11"/>
      <c r="U42" s="19">
        <f>Tabla6122028386162646[[#This Row],[COMISIONES]]*0.21</f>
        <v>0</v>
      </c>
      <c r="Z42">
        <v>404.33</v>
      </c>
      <c r="AA42" s="21">
        <f>Tabla3568132129397172747[[#This Row],[COMISIONES]]*0.21</f>
        <v>84.909299999999988</v>
      </c>
      <c r="AB42" s="21"/>
      <c r="AC42" s="21"/>
      <c r="AD42" s="21">
        <v>87.32</v>
      </c>
    </row>
    <row r="43" spans="2:31" x14ac:dyDescent="0.25">
      <c r="B43" s="3"/>
      <c r="C43" s="2">
        <f>Tabla131624322122233[[#This Row],[COMISIONES]]*0.21</f>
        <v>0</v>
      </c>
      <c r="D43" s="3"/>
      <c r="E43" s="3"/>
      <c r="F43" s="3"/>
      <c r="G43" s="8"/>
      <c r="H43" s="18"/>
      <c r="I43" s="18">
        <f>Tabla391725353132334[[#This Row],[COMISIONES]]*0.21</f>
        <v>0</v>
      </c>
      <c r="J43" s="18"/>
      <c r="K43" s="18"/>
      <c r="L43" s="18"/>
      <c r="M43" s="8"/>
      <c r="N43" s="11"/>
      <c r="O43" s="11">
        <f>Tabla35101826364142444[[#This Row],[COMISIONES]]*0.21</f>
        <v>0</v>
      </c>
      <c r="P43" s="11"/>
      <c r="Q43" s="11"/>
      <c r="R43" s="11"/>
      <c r="S43" s="8"/>
      <c r="T43" s="11"/>
      <c r="U43" s="19">
        <f>Tabla6122028386162646[[#This Row],[COMISIONES]]*0.21</f>
        <v>0</v>
      </c>
      <c r="Y43" s="8"/>
      <c r="Z43">
        <v>427.63</v>
      </c>
      <c r="AA43" s="21">
        <f>Tabla3568132129397172747[[#This Row],[COMISIONES]]*0.21</f>
        <v>89.802300000000002</v>
      </c>
      <c r="AB43" s="21"/>
      <c r="AC43" s="21"/>
      <c r="AD43" s="21">
        <v>233.61</v>
      </c>
      <c r="AE43" s="8"/>
    </row>
    <row r="44" spans="2:31" x14ac:dyDescent="0.25">
      <c r="B44" s="3"/>
      <c r="C44" s="2">
        <f>Tabla131624322122233[[#This Row],[COMISIONES]]*0.21</f>
        <v>0</v>
      </c>
      <c r="D44" s="3"/>
      <c r="E44" s="3"/>
      <c r="F44" s="3"/>
      <c r="H44" s="18"/>
      <c r="I44" s="18">
        <f>Tabla391725353132334[[#This Row],[COMISIONES]]*0.21</f>
        <v>0</v>
      </c>
      <c r="J44" s="18"/>
      <c r="K44" s="18"/>
      <c r="L44" s="18"/>
      <c r="N44" s="11"/>
      <c r="O44" s="11">
        <f>Tabla35101826364142444[[#This Row],[COMISIONES]]*0.21</f>
        <v>0</v>
      </c>
      <c r="P44" s="11"/>
      <c r="Q44" s="11"/>
      <c r="R44" s="11"/>
      <c r="U44" s="19">
        <f>Tabla6122028386162646[[#This Row],[COMISIONES]]*0.21</f>
        <v>0</v>
      </c>
      <c r="Z44" s="1">
        <v>187.11</v>
      </c>
      <c r="AA44" s="21">
        <f>Tabla3568132129397172747[[#This Row],[COMISIONES]]*0.21</f>
        <v>39.293100000000003</v>
      </c>
      <c r="AB44" s="21"/>
      <c r="AC44" s="21"/>
      <c r="AD44" s="21">
        <v>55.53</v>
      </c>
    </row>
    <row r="45" spans="2:31" x14ac:dyDescent="0.25">
      <c r="B45" s="3"/>
      <c r="C45" s="2">
        <f>Tabla131624322122233[[#This Row],[COMISIONES]]*0.21</f>
        <v>0</v>
      </c>
      <c r="D45" s="3"/>
      <c r="E45" s="3"/>
      <c r="F45" s="3"/>
      <c r="H45" s="18"/>
      <c r="I45" s="18">
        <f>Tabla391725353132334[[#This Row],[COMISIONES]]*0.21</f>
        <v>0</v>
      </c>
      <c r="J45" s="18"/>
      <c r="K45" s="18"/>
      <c r="L45" s="18"/>
      <c r="N45" s="11"/>
      <c r="O45" s="11">
        <f>Tabla35101826364142444[[#This Row],[COMISIONES]]*0.21</f>
        <v>0</v>
      </c>
      <c r="P45" s="11"/>
      <c r="Q45" s="11"/>
      <c r="R45" s="11"/>
      <c r="U45" s="19">
        <f>Tabla6122028386162646[[#This Row],[COMISIONES]]*0.21</f>
        <v>0</v>
      </c>
      <c r="Z45" s="1">
        <v>285.12</v>
      </c>
      <c r="AA45" s="21">
        <f>Tabla3568132129397172747[[#This Row],[COMISIONES]]*0.21</f>
        <v>59.8752</v>
      </c>
      <c r="AB45" s="21"/>
      <c r="AC45" s="21"/>
      <c r="AD45" s="21">
        <v>214.79</v>
      </c>
    </row>
    <row r="46" spans="2:31" x14ac:dyDescent="0.25">
      <c r="B46" s="3"/>
      <c r="C46" s="2">
        <f>Tabla131624322122233[[#This Row],[COMISIONES]]*0.21</f>
        <v>0</v>
      </c>
      <c r="D46" s="3"/>
      <c r="E46" s="3"/>
      <c r="F46" s="3"/>
      <c r="H46" s="18"/>
      <c r="I46" s="18">
        <f>Tabla391725353132334[[#This Row],[COMISIONES]]*0.21</f>
        <v>0</v>
      </c>
      <c r="J46" s="18"/>
      <c r="K46" s="18"/>
      <c r="L46" s="18"/>
      <c r="N46" s="11"/>
      <c r="O46" s="11">
        <f>Tabla35101826364142444[[#This Row],[COMISIONES]]*0.21</f>
        <v>0</v>
      </c>
      <c r="P46" s="11"/>
      <c r="Q46" s="11"/>
      <c r="R46" s="11"/>
      <c r="U46" s="19">
        <f>Tabla6122028386162646[[#This Row],[COMISIONES]]*0.21</f>
        <v>0</v>
      </c>
      <c r="Z46">
        <v>648</v>
      </c>
      <c r="AA46" s="21">
        <f>Tabla3568132129397172747[[#This Row],[COMISIONES]]*0.21</f>
        <v>136.07999999999998</v>
      </c>
      <c r="AB46" s="21"/>
      <c r="AC46" s="21"/>
      <c r="AD46" s="21">
        <v>140.82</v>
      </c>
    </row>
    <row r="47" spans="2:31" x14ac:dyDescent="0.25">
      <c r="B47" s="3"/>
      <c r="C47" s="2">
        <f>Tabla131624322122233[[#This Row],[COMISIONES]]*0.21</f>
        <v>0</v>
      </c>
      <c r="D47" s="3"/>
      <c r="E47" s="3"/>
      <c r="F47" s="3"/>
      <c r="H47" s="18"/>
      <c r="I47" s="18">
        <f>Tabla391725353132334[[#This Row],[COMISIONES]]*0.21</f>
        <v>0</v>
      </c>
      <c r="J47" s="18"/>
      <c r="K47" s="18"/>
      <c r="L47" s="18"/>
      <c r="N47" s="11"/>
      <c r="O47" s="11">
        <f>Tabla35101826364142444[[#This Row],[COMISIONES]]*0.21</f>
        <v>0</v>
      </c>
      <c r="P47" s="11"/>
      <c r="Q47" s="11"/>
      <c r="R47" s="11"/>
      <c r="U47" s="19">
        <f>Tabla6122028386162646[[#This Row],[COMISIONES]]*0.21</f>
        <v>0</v>
      </c>
      <c r="Z47">
        <v>531.9</v>
      </c>
      <c r="AA47" s="21">
        <f>Tabla3568132129397172747[[#This Row],[COMISIONES]]*0.21</f>
        <v>111.699</v>
      </c>
      <c r="AB47" s="21"/>
      <c r="AC47" s="21"/>
      <c r="AD47" s="21">
        <v>25.77</v>
      </c>
    </row>
    <row r="48" spans="2:31" x14ac:dyDescent="0.25">
      <c r="B48" s="3"/>
      <c r="C48" s="2">
        <f>Tabla131624322122233[[#This Row],[COMISIONES]]*0.21</f>
        <v>0</v>
      </c>
      <c r="D48" s="3"/>
      <c r="E48" s="3"/>
      <c r="F48" s="3"/>
      <c r="H48" s="18"/>
      <c r="I48" s="18">
        <f>Tabla391725353132334[[#This Row],[COMISIONES]]*0.21</f>
        <v>0</v>
      </c>
      <c r="J48" s="18"/>
      <c r="K48" s="18"/>
      <c r="L48" s="18"/>
      <c r="N48" s="11"/>
      <c r="O48" s="11">
        <f>Tabla35101826364142444[[#This Row],[COMISIONES]]*0.21</f>
        <v>0</v>
      </c>
      <c r="P48" s="11"/>
      <c r="Q48" s="11"/>
      <c r="R48" s="11"/>
      <c r="U48" s="19">
        <f>Tabla6122028386162646[[#This Row],[COMISIONES]]*0.21</f>
        <v>0</v>
      </c>
      <c r="Z48" s="1">
        <v>1707.28</v>
      </c>
      <c r="AA48" s="21">
        <f>Tabla3568132129397172747[[#This Row],[COMISIONES]]*0.21</f>
        <v>358.52879999999999</v>
      </c>
      <c r="AB48" s="21"/>
      <c r="AC48" s="21"/>
      <c r="AD48" s="21">
        <v>122.09</v>
      </c>
    </row>
    <row r="49" spans="1:41" x14ac:dyDescent="0.25">
      <c r="B49" s="3"/>
      <c r="C49" s="2">
        <f>Tabla131624322122233[[#This Row],[COMISIONES]]*0.21</f>
        <v>0</v>
      </c>
      <c r="D49" s="3"/>
      <c r="E49" s="3"/>
      <c r="F49" s="3"/>
      <c r="H49" s="18"/>
      <c r="I49" s="18">
        <f>Tabla391725353132334[[#This Row],[COMISIONES]]*0.21</f>
        <v>0</v>
      </c>
      <c r="J49" s="18"/>
      <c r="K49" s="18"/>
      <c r="L49" s="18"/>
      <c r="N49" s="11"/>
      <c r="O49" s="11">
        <f>Tabla35101826364142444[[#This Row],[COMISIONES]]*0.21</f>
        <v>0</v>
      </c>
      <c r="P49" s="11"/>
      <c r="Q49" s="11"/>
      <c r="R49" s="11"/>
      <c r="U49" s="19">
        <f>Tabla6122028386162646[[#This Row],[COMISIONES]]*0.21</f>
        <v>0</v>
      </c>
      <c r="Z49">
        <v>13774.8</v>
      </c>
      <c r="AA49" s="21"/>
      <c r="AB49" s="1">
        <f>Tabla3568132129397172747[[#This Row],[COMISIONES]]*0.105</f>
        <v>1446.3539999999998</v>
      </c>
      <c r="AC49" s="21"/>
      <c r="AD49" s="21">
        <v>136.62</v>
      </c>
    </row>
    <row r="50" spans="1:41" s="6" customFormat="1" x14ac:dyDescent="0.25">
      <c r="A50"/>
      <c r="B50" s="3"/>
      <c r="C50" s="2">
        <f>Tabla131624322122233[[#This Row],[COMISIONES]]*0.21</f>
        <v>0</v>
      </c>
      <c r="D50" s="3"/>
      <c r="E50" s="3"/>
      <c r="F50" s="3"/>
      <c r="H50" s="18"/>
      <c r="I50" s="18">
        <f>Tabla391725353132334[[#This Row],[COMISIONES]]*0.21</f>
        <v>0</v>
      </c>
      <c r="J50" s="18"/>
      <c r="K50" s="18"/>
      <c r="L50" s="18"/>
      <c r="N50" s="11"/>
      <c r="O50" s="11">
        <f>Tabla35101826364142444[[#This Row],[COMISIONES]]*0.21</f>
        <v>0</v>
      </c>
      <c r="P50" s="11"/>
      <c r="Q50" s="11"/>
      <c r="R50" s="11"/>
      <c r="T50"/>
      <c r="U50" s="19">
        <f>Tabla6122028386162646[[#This Row],[COMISIONES]]*0.21</f>
        <v>0</v>
      </c>
      <c r="V50"/>
      <c r="W50"/>
      <c r="X50"/>
      <c r="Z50">
        <v>256.5</v>
      </c>
      <c r="AA50" s="21">
        <f>Tabla3568132129397172747[[#This Row],[COMISIONES]]*0.21</f>
        <v>53.864999999999995</v>
      </c>
      <c r="AB50" s="21"/>
      <c r="AC50" s="21"/>
      <c r="AD50" s="21">
        <v>32.47</v>
      </c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Tabla131624322122233[[#This Row],[COMISIONES]]*0.21</f>
        <v>0</v>
      </c>
      <c r="D51" s="2"/>
      <c r="E51" s="2"/>
      <c r="F51"/>
      <c r="H51" s="18"/>
      <c r="I51" s="18">
        <f>Tabla391725353132334[[#This Row],[COMISIONES]]*0.21</f>
        <v>0</v>
      </c>
      <c r="J51" s="18"/>
      <c r="K51" s="18"/>
      <c r="L51" s="18"/>
      <c r="N51" s="11"/>
      <c r="O51" s="11">
        <f>Tabla35101826364142444[[#This Row],[COMISIONES]]*0.21</f>
        <v>0</v>
      </c>
      <c r="P51" s="11"/>
      <c r="Q51" s="11"/>
      <c r="R51" s="11"/>
      <c r="T51"/>
      <c r="U51" s="19">
        <f>Tabla6122028386162646[[#This Row],[COMISIONES]]*0.21</f>
        <v>0</v>
      </c>
      <c r="V51"/>
      <c r="W51"/>
      <c r="X51"/>
      <c r="Z51">
        <v>245.83</v>
      </c>
      <c r="AA51" s="21">
        <f>Tabla3568132129397172747[[#This Row],[COMISIONES]]*0.21</f>
        <v>51.624299999999998</v>
      </c>
      <c r="AB51" s="21"/>
      <c r="AC51" s="21"/>
      <c r="AD51" s="21">
        <v>705.05</v>
      </c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Tabla131624322122233[[#This Row],[COMISIONES]]*0.21</f>
        <v>0</v>
      </c>
      <c r="D52" s="2"/>
      <c r="E52" s="2"/>
      <c r="F52"/>
      <c r="H52" s="18"/>
      <c r="I52" s="18">
        <f>Tabla391725353132334[[#This Row],[COMISIONES]]*0.21</f>
        <v>0</v>
      </c>
      <c r="J52" s="18"/>
      <c r="K52" s="18"/>
      <c r="L52" s="18"/>
      <c r="N52" s="11"/>
      <c r="O52" s="11">
        <f>Tabla35101826364142444[[#This Row],[COMISIONES]]*0.21</f>
        <v>0</v>
      </c>
      <c r="P52" s="11"/>
      <c r="Q52" s="11"/>
      <c r="R52" s="11"/>
      <c r="T52"/>
      <c r="U52" s="19">
        <f>Tabla6122028386162646[[#This Row],[COMISIONES]]*0.21</f>
        <v>0</v>
      </c>
      <c r="V52"/>
      <c r="W52"/>
      <c r="X52"/>
      <c r="Z52" s="1">
        <v>586.6</v>
      </c>
      <c r="AA52" s="21">
        <f>Tabla3568132129397172747[[#This Row],[COMISIONES]]*0.21</f>
        <v>123.18600000000001</v>
      </c>
      <c r="AB52" s="21"/>
      <c r="AC52" s="21"/>
      <c r="AD52" s="21">
        <v>201.08</v>
      </c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Tabla131624322122233[[#This Row],[COMISIONES]]*0.21</f>
        <v>0</v>
      </c>
      <c r="D53" s="2"/>
      <c r="E53" s="2"/>
      <c r="F53"/>
      <c r="H53" s="24">
        <f>SUBTOTAL(109,Tabla391725353132334[COMISIONES])</f>
        <v>2007.09</v>
      </c>
      <c r="I53" s="24">
        <f>SUBTOTAL(109,Tabla391725353132334[IVA 21])</f>
        <v>421.48889999999994</v>
      </c>
      <c r="J53" s="24">
        <f>SUBTOTAL(109,Tabla391725353132334[IVA 10,5])</f>
        <v>0</v>
      </c>
      <c r="K53" s="24">
        <f>SUBTOTAL(109,Tabla391725353132334[Ret IIBB Caba])</f>
        <v>4643.3900000000003</v>
      </c>
      <c r="L53" s="24">
        <f>SUBTOTAL(109,Tabla391725353132334[PERC IVA])</f>
        <v>60.21</v>
      </c>
      <c r="N53" s="11"/>
      <c r="O53" s="11">
        <f>Tabla35101826364142444[[#This Row],[COMISIONES]]*0.21</f>
        <v>0</v>
      </c>
      <c r="P53" s="11"/>
      <c r="Q53" s="11"/>
      <c r="R53" s="11"/>
      <c r="T53"/>
      <c r="U53" s="19">
        <f>Tabla6122028386162646[[#This Row],[COMISIONES]]*0.21</f>
        <v>0</v>
      </c>
      <c r="V53"/>
      <c r="W53"/>
      <c r="X53"/>
      <c r="Z53" s="1">
        <v>5686.92</v>
      </c>
      <c r="AA53" s="21"/>
      <c r="AB53" s="1">
        <f>Tabla3568132129397172747[[#This Row],[COMISIONES]]*0.105</f>
        <v>597.12659999999994</v>
      </c>
      <c r="AC53" s="21"/>
      <c r="AD53" s="21">
        <v>301.68</v>
      </c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Tabla131624322122233[[#This Row],[COMISIONES]]*0.21</f>
        <v>0</v>
      </c>
      <c r="D54" s="2"/>
      <c r="E54" s="2"/>
      <c r="F54"/>
      <c r="H54" s="41" t="s">
        <v>29</v>
      </c>
      <c r="I54" s="41"/>
      <c r="J54" s="41"/>
      <c r="K54" s="41"/>
      <c r="L54" s="41"/>
      <c r="N54" s="11"/>
      <c r="O54" s="11">
        <f>Tabla35101826364142444[[#This Row],[COMISIONES]]*0.21</f>
        <v>0</v>
      </c>
      <c r="P54" s="11"/>
      <c r="Q54" s="11"/>
      <c r="R54" s="11"/>
      <c r="T54"/>
      <c r="U54" s="19">
        <f>Tabla6122028386162646[[#This Row],[COMISIONES]]*0.21</f>
        <v>0</v>
      </c>
      <c r="V54"/>
      <c r="W54"/>
      <c r="X54"/>
      <c r="Z54" s="1">
        <v>575.28</v>
      </c>
      <c r="AA54" s="21">
        <f>Tabla3568132129397172747[[#This Row],[COMISIONES]]*0.21</f>
        <v>120.80879999999999</v>
      </c>
      <c r="AB54" s="21"/>
      <c r="AC54" s="1"/>
      <c r="AD54" s="21">
        <v>1060.3499999999999</v>
      </c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Tabla131624322122233[[#This Row],[COMISIONES]]*0.21</f>
        <v>0</v>
      </c>
      <c r="D55" s="2"/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Tabla35101826364142444[[#This Row],[COMISIONES]]*0.21</f>
        <v>0</v>
      </c>
      <c r="P55" s="11"/>
      <c r="Q55" s="11"/>
      <c r="R55" s="11"/>
      <c r="T55"/>
      <c r="U55" s="19">
        <f>Tabla6122028386162646[[#This Row],[COMISIONES]]*0.21</f>
        <v>0</v>
      </c>
      <c r="V55"/>
      <c r="W55"/>
      <c r="X55"/>
      <c r="Z55">
        <v>3789.14</v>
      </c>
      <c r="AA55" s="21">
        <f>Tabla3568132129397172747[[#This Row],[COMISIONES]]*0.21</f>
        <v>795.71939999999995</v>
      </c>
      <c r="AB55"/>
      <c r="AC55" s="1"/>
      <c r="AD55" s="21">
        <v>224.19</v>
      </c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Tabla131624322122233[[#This Row],[COMISIONES]]*0.21</f>
        <v>0</v>
      </c>
      <c r="D56" s="2"/>
      <c r="E56" s="2"/>
      <c r="F56"/>
      <c r="H56" s="1">
        <v>143495</v>
      </c>
      <c r="I56" s="11">
        <f>Tabla39152331419192949[[#This Row],[COMISIONES]]*0.21</f>
        <v>30133.949999999997</v>
      </c>
      <c r="J56" s="11"/>
      <c r="K56" s="11"/>
      <c r="L56" s="1">
        <v>4304.8500000000004</v>
      </c>
      <c r="N56" s="11"/>
      <c r="O56" s="11">
        <f>Tabla35101826364142444[[#This Row],[COMISIONES]]*0.21</f>
        <v>0</v>
      </c>
      <c r="P56" s="11"/>
      <c r="Q56" s="11"/>
      <c r="R56" s="11"/>
      <c r="T56"/>
      <c r="U56" s="19">
        <f>Tabla6122028386162646[[#This Row],[COMISIONES]]*0.21</f>
        <v>0</v>
      </c>
      <c r="V56"/>
      <c r="W56"/>
      <c r="X56"/>
      <c r="Z56">
        <v>647.19000000000005</v>
      </c>
      <c r="AA56" s="21">
        <f>Tabla3568132129397172747[[#This Row],[COMISIONES]]*0.21</f>
        <v>135.90989999999999</v>
      </c>
      <c r="AB56" s="21"/>
      <c r="AC56"/>
      <c r="AD56" s="21">
        <v>151.1</v>
      </c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Tabla131624322122233[[#This Row],[COMISIONES]]*0.21</f>
        <v>0</v>
      </c>
      <c r="D57" s="2"/>
      <c r="E57" s="2"/>
      <c r="F57"/>
      <c r="H57" s="11"/>
      <c r="I57" s="11">
        <f>Tabla39152331419192949[[#This Row],[COMISIONES]]*0.21</f>
        <v>0</v>
      </c>
      <c r="J57" s="11"/>
      <c r="K57" s="11"/>
      <c r="L57" s="21"/>
      <c r="N57" s="11"/>
      <c r="O57" s="11">
        <f>Tabla35101826364142444[[#This Row],[COMISIONES]]*0.21</f>
        <v>0</v>
      </c>
      <c r="P57" s="11"/>
      <c r="Q57" s="11"/>
      <c r="R57" s="11"/>
      <c r="T57"/>
      <c r="U57" s="19">
        <f>Tabla6122028386162646[[#This Row],[COMISIONES]]*0.21</f>
        <v>0</v>
      </c>
      <c r="V57"/>
      <c r="W57"/>
      <c r="X57"/>
      <c r="Z57">
        <v>1800</v>
      </c>
      <c r="AA57" s="21">
        <f>Tabla3568132129397172747[[#This Row],[COMISIONES]]*0.21</f>
        <v>378</v>
      </c>
      <c r="AB57" s="21"/>
      <c r="AC57" s="21"/>
      <c r="AD57" s="21">
        <v>420.94</v>
      </c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Tabla131624322122233[[#This Row],[COMISIONES]]*0.21</f>
        <v>0</v>
      </c>
      <c r="D58" s="1"/>
      <c r="E58" s="2"/>
      <c r="F58"/>
      <c r="H58" s="11"/>
      <c r="I58" s="11">
        <f>Tabla39152331419192949[[#This Row],[COMISIONES]]*0.21</f>
        <v>0</v>
      </c>
      <c r="J58" s="11"/>
      <c r="K58" s="11"/>
      <c r="L58" s="11"/>
      <c r="N58" s="11"/>
      <c r="O58" s="11">
        <f>Tabla35101826364142444[[#This Row],[COMISIONES]]*0.21</f>
        <v>0</v>
      </c>
      <c r="P58" s="11"/>
      <c r="Q58" s="11"/>
      <c r="R58" s="11"/>
      <c r="T58"/>
      <c r="U58" s="19">
        <f>Tabla6122028386162646[[#This Row],[COMISIONES]]*0.21</f>
        <v>0</v>
      </c>
      <c r="V58"/>
      <c r="W58"/>
      <c r="X58"/>
      <c r="Z58">
        <v>2500.29</v>
      </c>
      <c r="AA58" s="21">
        <f>Tabla3568132129397172747[[#This Row],[COMISIONES]]*0.21</f>
        <v>525.06089999999995</v>
      </c>
      <c r="AB58" s="21"/>
      <c r="AC58" s="21"/>
      <c r="AD58" s="21">
        <v>171.68</v>
      </c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Tabla131624322122233[[#This Row],[COMISIONES]]*0.21</f>
        <v>0</v>
      </c>
      <c r="D59" s="2"/>
      <c r="E59" s="2"/>
      <c r="F59"/>
      <c r="H59" s="11"/>
      <c r="I59" s="11">
        <f>Tabla39152331419192949[[#This Row],[COMISIONES]]*0.21</f>
        <v>0</v>
      </c>
      <c r="J59" s="11"/>
      <c r="K59" s="11"/>
      <c r="L59" s="11"/>
      <c r="N59" s="11"/>
      <c r="O59" s="11">
        <f>Tabla35101826364142444[[#This Row],[COMISIONES]]*0.21</f>
        <v>0</v>
      </c>
      <c r="P59" s="11"/>
      <c r="Q59" s="11"/>
      <c r="R59" s="11"/>
      <c r="T59"/>
      <c r="U59" s="19">
        <f>Tabla6122028386162646[[#This Row],[COMISIONES]]*0.21</f>
        <v>0</v>
      </c>
      <c r="V59"/>
      <c r="W59"/>
      <c r="X59"/>
      <c r="Z59">
        <v>1669.5</v>
      </c>
      <c r="AA59" s="21">
        <f>Tabla3568132129397172747[[#This Row],[COMISIONES]]*0.21</f>
        <v>350.59499999999997</v>
      </c>
      <c r="AB59" s="21"/>
      <c r="AC59" s="21"/>
      <c r="AD59" s="21">
        <v>149.35</v>
      </c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Tabla131624322122233[[#This Row],[COMISIONES]]*0.21</f>
        <v>0</v>
      </c>
      <c r="D60" s="2"/>
      <c r="E60" s="2"/>
      <c r="F60"/>
      <c r="H60" s="11"/>
      <c r="I60" s="11">
        <f>Tabla39152331419192949[[#This Row],[COMISIONES]]*0.21</f>
        <v>0</v>
      </c>
      <c r="J60" s="11"/>
      <c r="K60" s="11"/>
      <c r="L60" s="11"/>
      <c r="N60" s="11"/>
      <c r="O60" s="11">
        <f>Tabla35101826364142444[[#This Row],[COMISIONES]]*0.21</f>
        <v>0</v>
      </c>
      <c r="P60" s="11"/>
      <c r="Q60" s="11"/>
      <c r="R60" s="11"/>
      <c r="T60"/>
      <c r="U60" s="19">
        <f>Tabla6122028386162646[[#This Row],[COMISIONES]]*0.21</f>
        <v>0</v>
      </c>
      <c r="V60"/>
      <c r="W60"/>
      <c r="X60"/>
      <c r="Z60">
        <v>1145.8800000000001</v>
      </c>
      <c r="AA60" s="21">
        <f>Tabla3568132129397172747[[#This Row],[COMISIONES]]*0.21</f>
        <v>240.63480000000001</v>
      </c>
      <c r="AB60" s="21"/>
      <c r="AC60" s="21"/>
      <c r="AD60" s="21">
        <v>74.91</v>
      </c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SUBTOTAL(109,Tabla131624322122233[COMISIONES])</f>
        <v>4611.55</v>
      </c>
      <c r="C61" s="4">
        <f>SUBTOTAL(109,Tabla131624322122233[IVA 21])</f>
        <v>968.42550000000006</v>
      </c>
      <c r="D61" s="4">
        <f>SUBTOTAL(109,Tabla131624322122233[IVA 10,5])</f>
        <v>0</v>
      </c>
      <c r="E61" s="4">
        <f>SUBTOTAL(109,Tabla131624322122233[Ret IIBB Caba])</f>
        <v>8045.26</v>
      </c>
      <c r="F61" s="4">
        <f>SUBTOTAL(109,Tabla131624322122233[PERC IVA])</f>
        <v>98.18</v>
      </c>
      <c r="H61" s="11"/>
      <c r="I61" s="11">
        <f>Tabla39152331419192949[[#This Row],[COMISIONES]]*0.21</f>
        <v>0</v>
      </c>
      <c r="J61" s="11"/>
      <c r="K61" s="11"/>
      <c r="L61" s="11"/>
      <c r="N61" s="11"/>
      <c r="O61" s="11">
        <f>Tabla35101826364142444[[#This Row],[COMISIONES]]*0.21</f>
        <v>0</v>
      </c>
      <c r="P61" s="11"/>
      <c r="Q61" s="11"/>
      <c r="R61" s="11"/>
      <c r="T61"/>
      <c r="U61" s="19">
        <f>Tabla6122028386162646[[#This Row],[COMISIONES]]*0.21</f>
        <v>0</v>
      </c>
      <c r="V61"/>
      <c r="W61"/>
      <c r="X61"/>
      <c r="Z61">
        <v>678.8</v>
      </c>
      <c r="AA61" s="21">
        <f>Tabla3568132129397172747[[#This Row],[COMISIONES]]*0.21</f>
        <v>142.54799999999997</v>
      </c>
      <c r="AB61" s="21"/>
      <c r="AC61" s="21"/>
      <c r="AD61" s="21">
        <v>158.72999999999999</v>
      </c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Tabla39152331419192949[[#This Row],[COMISIONES]]*0.21</f>
        <v>0</v>
      </c>
      <c r="J62" s="11"/>
      <c r="K62" s="11"/>
      <c r="L62" s="11"/>
      <c r="N62" s="11"/>
      <c r="O62" s="11">
        <f>Tabla35101826364142444[[#This Row],[COMISIONES]]*0.21</f>
        <v>0</v>
      </c>
      <c r="P62" s="11"/>
      <c r="Q62" s="11"/>
      <c r="R62" s="11"/>
      <c r="T62" s="17">
        <f>SUBTOTAL(109,Tabla6122028386162646[COMISIONES])</f>
        <v>3600</v>
      </c>
      <c r="U62" s="17">
        <f>SUBTOTAL(109,Tabla6122028386162646[IVA 21])</f>
        <v>756</v>
      </c>
      <c r="V62" s="17">
        <f>SUBTOTAL(109,Tabla6122028386162646[IVA 10,5])</f>
        <v>0</v>
      </c>
      <c r="W62" s="17">
        <f>SUBTOTAL(109,Tabla6122028386162646[Ret IIBB Caba])</f>
        <v>0</v>
      </c>
      <c r="X62" s="17">
        <f>SUBTOTAL(109,Tabla6122028386162646[PERC IVA])</f>
        <v>108</v>
      </c>
      <c r="Z62">
        <v>765.6</v>
      </c>
      <c r="AA62" s="21">
        <f>Tabla3568132129397172747[[#This Row],[COMISIONES]]*0.21</f>
        <v>160.77600000000001</v>
      </c>
      <c r="AB62" s="21"/>
      <c r="AC62" s="21"/>
      <c r="AD62" s="21">
        <v>99.24</v>
      </c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Tabla39152331419192949[[#This Row],[COMISIONES]]*0.21</f>
        <v>0</v>
      </c>
      <c r="J63" s="11"/>
      <c r="K63" s="11"/>
      <c r="L63" s="11"/>
      <c r="N63" s="11"/>
      <c r="O63" s="11">
        <f>Tabla35101826364142444[[#This Row],[COMISIONES]]*0.21</f>
        <v>0</v>
      </c>
      <c r="P63" s="11"/>
      <c r="Q63" s="11"/>
      <c r="R63" s="11"/>
      <c r="T63"/>
      <c r="U63"/>
      <c r="V63"/>
      <c r="W63"/>
      <c r="X63"/>
      <c r="Z63">
        <v>270</v>
      </c>
      <c r="AA63" s="21">
        <f>Tabla3568132129397172747[[#This Row],[COMISIONES]]*0.21</f>
        <v>56.699999999999996</v>
      </c>
      <c r="AB63" s="21"/>
      <c r="AC63" s="21"/>
      <c r="AD63" s="21">
        <v>73.94</v>
      </c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Tabla39152331419192949[[#This Row],[COMISIONES]]*0.21</f>
        <v>0</v>
      </c>
      <c r="J64" s="11"/>
      <c r="K64" s="11"/>
      <c r="L64" s="11"/>
      <c r="N64" s="11"/>
      <c r="O64" s="11">
        <f>Tabla35101826364142444[[#This Row],[COMISIONES]]*0.21</f>
        <v>0</v>
      </c>
      <c r="P64" s="11"/>
      <c r="Q64" s="11"/>
      <c r="R64" s="11"/>
      <c r="T64" s="41" t="s">
        <v>31</v>
      </c>
      <c r="U64" s="41"/>
      <c r="V64" s="41"/>
      <c r="W64" s="41"/>
      <c r="X64" s="41"/>
      <c r="Z64">
        <v>188.8</v>
      </c>
      <c r="AA64" s="21">
        <f>Tabla3568132129397172747[[#This Row],[COMISIONES]]*0.21</f>
        <v>39.648000000000003</v>
      </c>
      <c r="AB64" s="1"/>
      <c r="AC64" s="21"/>
      <c r="AD64">
        <v>161.35</v>
      </c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Tabla39152331419192949[[#This Row],[COMISIONES]]*0.21</f>
        <v>0</v>
      </c>
      <c r="J65" s="11"/>
      <c r="K65" s="11"/>
      <c r="L65" s="11"/>
      <c r="N65" s="11"/>
      <c r="O65" s="11">
        <f>Tabla35101826364142444[[#This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>
        <v>200</v>
      </c>
      <c r="AA65" s="21">
        <f>Tabla3568132129397172747[[#This Row],[COMISIONES]]*0.21</f>
        <v>42</v>
      </c>
      <c r="AB65" s="21"/>
      <c r="AC65" s="21"/>
      <c r="AD65">
        <v>62.87</v>
      </c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Tabla39152331419192949[[#This Row],[COMISIONES]]*0.21</f>
        <v>0</v>
      </c>
      <c r="J66" s="11"/>
      <c r="K66" s="11"/>
      <c r="L66" s="11"/>
      <c r="N66" s="11"/>
      <c r="O66" s="11">
        <f>Tabla35101826364142444[[#This Row],[COMISIONES]]*0.21</f>
        <v>0</v>
      </c>
      <c r="P66" s="11"/>
      <c r="Q66" s="11"/>
      <c r="R66" s="11"/>
      <c r="T66" s="11"/>
      <c r="U66" s="11">
        <f>Tabla6122028334210203050[[#This Row],[COMISIONES]]*0.21</f>
        <v>0</v>
      </c>
      <c r="V66" s="11"/>
      <c r="W66" s="1"/>
      <c r="X66" s="11"/>
      <c r="Z66">
        <v>946.02</v>
      </c>
      <c r="AA66" s="21">
        <f>Tabla3568132129397172747[[#This Row],[COMISIONES]]*0.21</f>
        <v>198.66419999999999</v>
      </c>
      <c r="AB66" s="21"/>
      <c r="AC66" s="21"/>
      <c r="AD66" s="21">
        <v>257.68</v>
      </c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Tabla39152331419192949[[#This Row],[COMISIONES]]*0.21</f>
        <v>0</v>
      </c>
      <c r="J67" s="11"/>
      <c r="K67" s="11"/>
      <c r="L67" s="11"/>
      <c r="N67" s="18"/>
      <c r="O67" s="11">
        <f>Tabla35101826364142444[[#This Row],[COMISIONES]]*0.21</f>
        <v>0</v>
      </c>
      <c r="P67" s="18"/>
      <c r="Q67" s="18"/>
      <c r="R67" s="18"/>
      <c r="T67" s="11"/>
      <c r="U67" s="11">
        <f>Tabla6122028334210203050[[#This Row],[COMISIONES]]*0.21</f>
        <v>0</v>
      </c>
      <c r="V67" s="11"/>
      <c r="W67" s="11"/>
      <c r="X67" s="11"/>
      <c r="Z67">
        <v>197.2</v>
      </c>
      <c r="AA67" s="21">
        <f>Tabla3568132129397172747[[#This Row],[COMISIONES]]*0.21</f>
        <v>41.411999999999999</v>
      </c>
      <c r="AB67" s="21"/>
      <c r="AC67" s="21"/>
      <c r="AD67" s="21">
        <v>87.3</v>
      </c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Tabla39152331419192949[[#This Row],[COMISIONES]]*0.21</f>
        <v>0</v>
      </c>
      <c r="J68" s="11"/>
      <c r="K68" s="11"/>
      <c r="L68" s="11"/>
      <c r="N68" s="18"/>
      <c r="O68" s="11">
        <f>Tabla35101826364142444[[#This Row],[COMISIONES]]*0.21</f>
        <v>0</v>
      </c>
      <c r="P68" s="18"/>
      <c r="Q68" s="18"/>
      <c r="R68" s="18"/>
      <c r="T68" s="11"/>
      <c r="U68" s="19">
        <f>Tabla6122028334210203050[[#This Row],[COMISIONES]]*0.21</f>
        <v>0</v>
      </c>
      <c r="V68"/>
      <c r="W68" s="1"/>
      <c r="X68"/>
      <c r="Z68">
        <v>8802.6</v>
      </c>
      <c r="AA68" s="21">
        <f>Tabla3568132129397172747[[#This Row],[COMISIONES]]*0.21</f>
        <v>1848.546</v>
      </c>
      <c r="AB68" s="21"/>
      <c r="AC68" s="21"/>
      <c r="AD68" s="21">
        <v>65.44</v>
      </c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Tabla39152331419192949[[#This Row],[COMISIONES]]*0.21</f>
        <v>0</v>
      </c>
      <c r="J69" s="11"/>
      <c r="K69" s="11"/>
      <c r="L69" s="11"/>
      <c r="N69" s="18"/>
      <c r="O69" s="11">
        <f>Tabla35101826364142444[[#This Row],[COMISIONES]]*0.21</f>
        <v>0</v>
      </c>
      <c r="P69" s="18"/>
      <c r="Q69" s="18"/>
      <c r="R69" s="18"/>
      <c r="T69" s="11"/>
      <c r="U69" s="19">
        <f>Tabla6122028334210203050[[#This Row],[COMISIONES]]*0.21</f>
        <v>0</v>
      </c>
      <c r="V69"/>
      <c r="W69"/>
      <c r="X69"/>
      <c r="Z69">
        <v>6847.93</v>
      </c>
      <c r="AA69" s="21">
        <f>Tabla3568132129397172747[[#This Row],[COMISIONES]]*0.21</f>
        <v>1438.0653</v>
      </c>
      <c r="AB69" s="21"/>
      <c r="AC69" s="21"/>
      <c r="AD69" s="21">
        <v>72.72</v>
      </c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Tabla39152331419192949[[#This Row],[COMISIONES]]*0.21</f>
        <v>0</v>
      </c>
      <c r="J70" s="11"/>
      <c r="K70" s="11"/>
      <c r="L70" s="11"/>
      <c r="N70" s="18"/>
      <c r="O70" s="11">
        <f>Tabla35101826364142444[[#This Row],[COMISIONES]]*0.21</f>
        <v>0</v>
      </c>
      <c r="P70" s="18"/>
      <c r="Q70" s="18"/>
      <c r="R70" s="18"/>
      <c r="T70" s="11"/>
      <c r="U70" s="19">
        <f>Tabla6122028334210203050[[#This Row],[COMISIONES]]*0.21</f>
        <v>0</v>
      </c>
      <c r="V70"/>
      <c r="W70"/>
      <c r="X70"/>
      <c r="Z70">
        <v>112416.26</v>
      </c>
      <c r="AA70" s="21">
        <f>Tabla3568132129397172747[[#This Row],[COMISIONES]]*0.21</f>
        <v>23607.414599999996</v>
      </c>
      <c r="AB70" s="21"/>
      <c r="AC70" s="21"/>
      <c r="AD70" s="21">
        <v>164.61</v>
      </c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Tabla39152331419192949[[#This Row],[COMISIONES]]*0.21</f>
        <v>0</v>
      </c>
      <c r="J71" s="11"/>
      <c r="K71" s="11"/>
      <c r="L71" s="11"/>
      <c r="N71" s="18"/>
      <c r="O71" s="11">
        <f>Tabla35101826364142444[[#This Row],[COMISIONES]]*0.21</f>
        <v>0</v>
      </c>
      <c r="P71" s="18"/>
      <c r="Q71" s="18"/>
      <c r="R71" s="18"/>
      <c r="T71" s="11"/>
      <c r="U71" s="19">
        <f>Tabla6122028334210203050[[#This Row],[COMISIONES]]*0.21</f>
        <v>0</v>
      </c>
      <c r="V71"/>
      <c r="W71"/>
      <c r="X71"/>
      <c r="Z71">
        <v>7823.97</v>
      </c>
      <c r="AA71" s="21">
        <f>Tabla3568132129397172747[[#This Row],[COMISIONES]]*0.21</f>
        <v>1643.0337</v>
      </c>
      <c r="AB71" s="21"/>
      <c r="AC71" s="21"/>
      <c r="AD71" s="21">
        <v>66.86</v>
      </c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Tabla39152331419192949[[#This Row],[COMISIONES]]*0.21</f>
        <v>0</v>
      </c>
      <c r="J72" s="11"/>
      <c r="K72" s="11"/>
      <c r="L72" s="11"/>
      <c r="N72" s="18"/>
      <c r="O72" s="11">
        <f>Tabla35101826364142444[[#This Row],[COMISIONES]]*0.21</f>
        <v>0</v>
      </c>
      <c r="P72" s="18"/>
      <c r="Q72" s="18"/>
      <c r="R72" s="18"/>
      <c r="T72" s="11"/>
      <c r="U72" s="19">
        <f>Tabla6122028334210203050[[#This Row],[COMISIONES]]*0.21</f>
        <v>0</v>
      </c>
      <c r="V72"/>
      <c r="W72"/>
      <c r="X72"/>
      <c r="Z72" s="1">
        <v>6821.98</v>
      </c>
      <c r="AA72" s="21">
        <f>Tabla3568132129397172747[[#This Row],[COMISIONES]]*0.21</f>
        <v>1432.6157999999998</v>
      </c>
      <c r="AB72" s="21"/>
      <c r="AC72" s="21"/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Tabla39152331419192949[[#This Row],[COMISIONES]]*0.21</f>
        <v>0</v>
      </c>
      <c r="J73" s="11"/>
      <c r="K73" s="11"/>
      <c r="L73" s="11"/>
      <c r="N73" s="18"/>
      <c r="O73" s="11">
        <f>Tabla35101826364142444[[#This Row],[COMISIONES]]*0.21</f>
        <v>0</v>
      </c>
      <c r="P73" s="18"/>
      <c r="Q73" s="18"/>
      <c r="R73" s="18"/>
      <c r="T73" s="11"/>
      <c r="U73" s="19">
        <f>Tabla6122028334210203050[[#This Row],[COMISIONES]]*0.21</f>
        <v>0</v>
      </c>
      <c r="V73"/>
      <c r="W73"/>
      <c r="X73"/>
      <c r="Z73" s="1">
        <v>65368.63</v>
      </c>
      <c r="AA73" s="21"/>
      <c r="AB73" s="1">
        <f>Tabla3568132129397172747[[#This Row],[COMISIONES]]*0.105</f>
        <v>6863.7061499999991</v>
      </c>
      <c r="AC73" s="1"/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Tabla39152331419192949[[#This Row],[COMISIONES]]*0.21</f>
        <v>0</v>
      </c>
      <c r="J74" s="11"/>
      <c r="K74" s="11"/>
      <c r="L74" s="11"/>
      <c r="N74" s="18"/>
      <c r="O74" s="11">
        <f>Tabla35101826364142444[[#This Row],[COMISIONES]]*0.21</f>
        <v>0</v>
      </c>
      <c r="P74" s="18"/>
      <c r="Q74" s="18"/>
      <c r="R74" s="18"/>
      <c r="T74" s="11"/>
      <c r="U74" s="19">
        <f>Tabla6122028334210203050[[#This Row],[COMISIONES]]*0.21</f>
        <v>0</v>
      </c>
      <c r="V74"/>
      <c r="W74"/>
      <c r="X74"/>
      <c r="Z74" s="1">
        <v>923.58</v>
      </c>
      <c r="AA74" s="21">
        <f>Tabla3568132129397172747[[#This Row],[COMISIONES]]*0.21</f>
        <v>193.95179999999999</v>
      </c>
      <c r="AB74"/>
      <c r="AC74"/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Tabla39152331419192949[[#This Row],[COMISIONES]]*0.21</f>
        <v>0</v>
      </c>
      <c r="J75" s="11"/>
      <c r="K75" s="11"/>
      <c r="L75" s="11"/>
      <c r="N75" s="18"/>
      <c r="O75" s="11">
        <f>Tabla35101826364142444[[#This Row],[COMISIONES]]*0.21</f>
        <v>0</v>
      </c>
      <c r="P75" s="18"/>
      <c r="Q75" s="18"/>
      <c r="R75" s="18"/>
      <c r="T75" s="11"/>
      <c r="U75" s="19">
        <f>Tabla6122028334210203050[[#This Row],[COMISIONES]]*0.21</f>
        <v>0</v>
      </c>
      <c r="V75"/>
      <c r="W75"/>
      <c r="X75"/>
      <c r="Z75" s="1">
        <v>2633</v>
      </c>
      <c r="AA75" s="21">
        <f>Tabla3568132129397172747[[#This Row],[COMISIONES]]*0.21</f>
        <v>552.92999999999995</v>
      </c>
      <c r="AB75" s="1"/>
      <c r="AC75" s="21"/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Tabla39152331419192949[[#This Row],[COMISIONES]]*0.21</f>
        <v>0</v>
      </c>
      <c r="J76" s="11"/>
      <c r="K76" s="11"/>
      <c r="L76" s="11"/>
      <c r="N76" s="18"/>
      <c r="O76" s="11">
        <f>Tabla35101826364142444[[#This Row],[COMISIONES]]*0.21</f>
        <v>0</v>
      </c>
      <c r="P76" s="18"/>
      <c r="Q76" s="18"/>
      <c r="R76" s="18"/>
      <c r="T76"/>
      <c r="U76" s="19">
        <f>Tabla6122028334210203050[[#This Row],[COMISIONES]]*0.21</f>
        <v>0</v>
      </c>
      <c r="V76"/>
      <c r="W76"/>
      <c r="X76"/>
      <c r="Z76" s="1">
        <v>2910.9</v>
      </c>
      <c r="AA76" s="21">
        <f>Tabla3568132129397172747[[#This Row],[COMISIONES]]*0.21</f>
        <v>611.28899999999999</v>
      </c>
      <c r="AB76" s="1"/>
      <c r="AC76" s="21"/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Tabla39152331419192949[[#This Row],[COMISIONES]]*0.21</f>
        <v>0</v>
      </c>
      <c r="J77" s="11"/>
      <c r="K77" s="11"/>
      <c r="L77" s="11"/>
      <c r="N77" s="18"/>
      <c r="O77" s="11">
        <f>Tabla35101826364142444[[#This Row],[COMISIONES]]*0.21</f>
        <v>0</v>
      </c>
      <c r="P77" s="18"/>
      <c r="Q77" s="18"/>
      <c r="R77" s="18"/>
      <c r="T77"/>
      <c r="U77" s="19">
        <f>Tabla6122028334210203050[[#This Row],[COMISIONES]]*0.21</f>
        <v>0</v>
      </c>
      <c r="V77"/>
      <c r="W77"/>
      <c r="X77"/>
      <c r="Z77" s="1">
        <v>1850.95</v>
      </c>
      <c r="AA77" s="21">
        <f>Tabla3568132129397172747[[#This Row],[COMISIONES]]*0.21</f>
        <v>388.6995</v>
      </c>
      <c r="AB77" s="1"/>
      <c r="AC77" s="21"/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Tabla39152331419192949[[#This Row],[COMISIONES]]*0.21</f>
        <v>0</v>
      </c>
      <c r="J78" s="11"/>
      <c r="K78" s="11"/>
      <c r="L78" s="11"/>
      <c r="N78" s="18"/>
      <c r="O78" s="11">
        <f>Tabla35101826364142444[[#This Row],[COMISIONES]]*0.21</f>
        <v>0</v>
      </c>
      <c r="P78" s="18"/>
      <c r="Q78" s="18"/>
      <c r="R78" s="18"/>
      <c r="T78"/>
      <c r="U78" s="19">
        <f>Tabla6122028334210203050[[#This Row],[COMISIONES]]*0.21</f>
        <v>0</v>
      </c>
      <c r="V78"/>
      <c r="W78"/>
      <c r="X78"/>
      <c r="Z78" s="1">
        <v>15573.99</v>
      </c>
      <c r="AA78" s="21"/>
      <c r="AB78" s="1">
        <f>Tabla3568132129397172747[[#This Row],[COMISIONES]]*0.105</f>
        <v>1635.2689499999999</v>
      </c>
      <c r="AC78" s="21"/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Tabla39152331419192949[[#This Row],[COMISIONES]]*0.21</f>
        <v>0</v>
      </c>
      <c r="J79" s="11"/>
      <c r="K79" s="11"/>
      <c r="L79" s="11"/>
      <c r="N79" s="18"/>
      <c r="O79" s="11">
        <f>Tabla35101826364142444[[#This Row],[COMISIONES]]*0.21</f>
        <v>0</v>
      </c>
      <c r="P79" s="18"/>
      <c r="Q79" s="18"/>
      <c r="R79" s="18"/>
      <c r="T79"/>
      <c r="U79" s="19">
        <f>Tabla6122028334210203050[[#This Row],[COMISIONES]]*0.21</f>
        <v>0</v>
      </c>
      <c r="V79"/>
      <c r="W79"/>
      <c r="X79"/>
      <c r="Z79" s="1">
        <v>324</v>
      </c>
      <c r="AA79" s="21">
        <f>Tabla3568132129397172747[[#This Row],[COMISIONES]]*0.21</f>
        <v>68.039999999999992</v>
      </c>
      <c r="AB79" s="21"/>
      <c r="AC79" s="21"/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Tabla39152331419192949[[#This Row],[COMISIONES]]*0.21</f>
        <v>0</v>
      </c>
      <c r="J80" s="11"/>
      <c r="K80" s="11"/>
      <c r="L80" s="11"/>
      <c r="N80" s="18"/>
      <c r="O80" s="11">
        <f>Tabla35101826364142444[[#This Row],[COMISIONES]]*0.21</f>
        <v>0</v>
      </c>
      <c r="P80" s="18"/>
      <c r="Q80" s="18"/>
      <c r="R80" s="18"/>
      <c r="T80"/>
      <c r="U80" s="19">
        <f>Tabla6122028334210203050[[#This Row],[COMISIONES]]*0.21</f>
        <v>0</v>
      </c>
      <c r="V80"/>
      <c r="W80"/>
      <c r="X80"/>
      <c r="Z80" s="1">
        <v>7160.22</v>
      </c>
      <c r="AA80" s="21">
        <f>Tabla3568132129397172747[[#This Row],[COMISIONES]]*0.21</f>
        <v>1503.6461999999999</v>
      </c>
      <c r="AB80" s="21"/>
      <c r="AC80" s="21"/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Tabla39152331419192949[[#This Row],[COMISIONES]]*0.21</f>
        <v>0</v>
      </c>
      <c r="J81" s="18"/>
      <c r="K81" s="18"/>
      <c r="L81" s="18"/>
      <c r="N81" s="18"/>
      <c r="O81" s="11">
        <f>Tabla35101826364142444[[#This Row],[COMISIONES]]*0.21</f>
        <v>0</v>
      </c>
      <c r="P81" s="18"/>
      <c r="Q81" s="18"/>
      <c r="R81" s="18"/>
      <c r="T81"/>
      <c r="U81" s="19">
        <f>Tabla6122028334210203050[[#This Row],[COMISIONES]]*0.21</f>
        <v>0</v>
      </c>
      <c r="V81"/>
      <c r="W81"/>
      <c r="X81"/>
      <c r="Z81">
        <v>859.12</v>
      </c>
      <c r="AA81" s="21">
        <f>Tabla3568132129397172747[[#This Row],[COMISIONES]]*0.21</f>
        <v>180.4152</v>
      </c>
      <c r="AB81" s="21"/>
      <c r="AC81" s="21"/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Tabla39152331419192949[[#This Row],[COMISIONES]]*0.21</f>
        <v>0</v>
      </c>
      <c r="J82" s="18"/>
      <c r="K82" s="18"/>
      <c r="L82" s="18"/>
      <c r="N82" s="18"/>
      <c r="O82" s="11">
        <f>Tabla35101826364142444[[#This Row],[COMISIONES]]*0.21</f>
        <v>0</v>
      </c>
      <c r="P82" s="18"/>
      <c r="Q82" s="18"/>
      <c r="R82" s="18"/>
      <c r="T82"/>
      <c r="U82" s="19">
        <f>Tabla6122028334210203050[[#This Row],[COMISIONES]]*0.21</f>
        <v>0</v>
      </c>
      <c r="V82"/>
      <c r="W82"/>
      <c r="X82"/>
      <c r="Z82">
        <v>9387.7800000000007</v>
      </c>
      <c r="AA82" s="21"/>
      <c r="AB82" s="1">
        <f>Tabla3568132129397172747[[#This Row],[COMISIONES]]*0.105</f>
        <v>985.71690000000001</v>
      </c>
      <c r="AC82" s="1"/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Tabla39152331419192949[[#This Row],[COMISIONES]]*0.21</f>
        <v>0</v>
      </c>
      <c r="J83" s="18"/>
      <c r="K83" s="18"/>
      <c r="L83" s="18"/>
      <c r="N83" s="18"/>
      <c r="O83" s="11">
        <f>Tabla35101826364142444[[#This Row],[COMISIONES]]*0.21</f>
        <v>0</v>
      </c>
      <c r="P83" s="18"/>
      <c r="Q83" s="18"/>
      <c r="R83" s="18"/>
      <c r="T83"/>
      <c r="U83" s="19">
        <f>Tabla6122028334210203050[[#This Row],[COMISIONES]]*0.21</f>
        <v>0</v>
      </c>
      <c r="V83"/>
      <c r="W83"/>
      <c r="X83"/>
      <c r="Z83" s="1">
        <v>4069.63</v>
      </c>
      <c r="AA83" s="21">
        <f>Tabla3568132129397172747[[#This Row],[COMISIONES]]*0.21</f>
        <v>854.6223</v>
      </c>
      <c r="AB83" s="21"/>
      <c r="AC83" s="21"/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Tabla39152331419192949[[#This Row],[COMISIONES]]*0.21</f>
        <v>0</v>
      </c>
      <c r="J84" s="18"/>
      <c r="K84" s="18"/>
      <c r="L84" s="18"/>
      <c r="N84" s="18"/>
      <c r="O84" s="11">
        <f>Tabla35101826364142444[[#This Row],[COMISIONES]]*0.21</f>
        <v>0</v>
      </c>
      <c r="P84" s="18"/>
      <c r="Q84" s="18"/>
      <c r="R84" s="18"/>
      <c r="T84"/>
      <c r="U84" s="19">
        <f>Tabla6122028334210203050[[#This Row],[COMISIONES]]*0.21</f>
        <v>0</v>
      </c>
      <c r="V84"/>
      <c r="W84"/>
      <c r="X84"/>
      <c r="Z84" s="1">
        <v>1082.48</v>
      </c>
      <c r="AA84" s="21">
        <f>Tabla3568132129397172747[[#This Row],[COMISIONES]]*0.21</f>
        <v>227.32079999999999</v>
      </c>
      <c r="AB84" s="21"/>
      <c r="AC84" s="1"/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Tabla39152331419192949[[#This Row],[COMISIONES]]*0.21</f>
        <v>0</v>
      </c>
      <c r="J85" s="18"/>
      <c r="K85" s="18"/>
      <c r="L85" s="18"/>
      <c r="N85" s="18"/>
      <c r="O85" s="11">
        <f>Tabla35101826364142444[[#This Row],[COMISIONES]]*0.21</f>
        <v>0</v>
      </c>
      <c r="P85" s="18"/>
      <c r="Q85" s="18"/>
      <c r="R85" s="18"/>
      <c r="T85"/>
      <c r="U85" s="19">
        <f>Tabla6122028334210203050[[#This Row],[COMISIONES]]*0.21</f>
        <v>0</v>
      </c>
      <c r="V85"/>
      <c r="W85"/>
      <c r="X85"/>
      <c r="Z85" s="1">
        <v>9108.07</v>
      </c>
      <c r="AA85" s="21"/>
      <c r="AB85" s="1">
        <f>Tabla3568132129397172747[[#This Row],[COMISIONES]]*0.105</f>
        <v>956.34734999999989</v>
      </c>
      <c r="AC85" s="1"/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Tabla39152331419192949[[#This Row],[COMISIONES]]*0.21</f>
        <v>0</v>
      </c>
      <c r="J86" s="18"/>
      <c r="K86" s="18"/>
      <c r="L86" s="18"/>
      <c r="N86" s="18"/>
      <c r="O86" s="11">
        <f>Tabla35101826364142444[[#This Row],[COMISIONES]]*0.21</f>
        <v>0</v>
      </c>
      <c r="P86" s="18"/>
      <c r="Q86" s="18"/>
      <c r="R86" s="18"/>
      <c r="T86"/>
      <c r="U86" s="19">
        <f>Tabla6122028334210203050[[#This Row],[COMISIONES]]*0.21</f>
        <v>0</v>
      </c>
      <c r="V86"/>
      <c r="W86"/>
      <c r="X86"/>
      <c r="Z86" s="1">
        <v>687.6</v>
      </c>
      <c r="AA86" s="21">
        <f>Tabla3568132129397172747[[#This Row],[COMISIONES]]*0.21</f>
        <v>144.39599999999999</v>
      </c>
      <c r="AB86" s="21"/>
      <c r="AC86" s="1"/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Tabla39152331419192949[[#This Row],[COMISIONES]]*0.21</f>
        <v>0</v>
      </c>
      <c r="J87" s="18"/>
      <c r="K87" s="18"/>
      <c r="L87" s="18"/>
      <c r="N87" s="18"/>
      <c r="O87" s="11">
        <f>Tabla35101826364142444[[#This Row],[COMISIONES]]*0.21</f>
        <v>0</v>
      </c>
      <c r="P87" s="18"/>
      <c r="Q87" s="18"/>
      <c r="R87" s="18"/>
      <c r="T87"/>
      <c r="U87" s="19">
        <f>Tabla6122028334210203050[[#This Row],[COMISIONES]]*0.21</f>
        <v>0</v>
      </c>
      <c r="V87"/>
      <c r="W87"/>
      <c r="X87"/>
      <c r="Z87" s="1">
        <v>23501.42</v>
      </c>
      <c r="AA87" s="21">
        <f>Tabla3568132129397172747[[#This Row],[COMISIONES]]*0.21</f>
        <v>4935.2981999999993</v>
      </c>
      <c r="AB87" s="1"/>
      <c r="AC87" s="1"/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Tabla39152331419192949[[#This Row],[COMISIONES]]*0.21</f>
        <v>0</v>
      </c>
      <c r="J88" s="18"/>
      <c r="K88" s="18"/>
      <c r="L88" s="18"/>
      <c r="N88" s="18"/>
      <c r="O88" s="11">
        <f>Tabla35101826364142444[[#This Row],[COMISIONES]]*0.21</f>
        <v>0</v>
      </c>
      <c r="P88" s="18"/>
      <c r="Q88" s="18"/>
      <c r="R88" s="18"/>
      <c r="T88"/>
      <c r="U88" s="19">
        <f>Tabla6122028334210203050[[#This Row],[COMISIONES]]*0.21</f>
        <v>0</v>
      </c>
      <c r="V88"/>
      <c r="W88"/>
      <c r="X88"/>
      <c r="Z88" s="1">
        <v>82.98</v>
      </c>
      <c r="AA88" s="21">
        <f>Tabla3568132129397172747[[#This Row],[COMISIONES]]*0.21</f>
        <v>17.425799999999999</v>
      </c>
      <c r="AB88" s="21"/>
      <c r="AC88" s="21"/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Tabla39152331419192949[[#This Row],[COMISIONES]]*0.21</f>
        <v>0</v>
      </c>
      <c r="J89" s="18"/>
      <c r="K89" s="18"/>
      <c r="L89" s="18"/>
      <c r="N89" s="18"/>
      <c r="O89" s="11">
        <f>Tabla35101826364142444[[#This Row],[COMISIONES]]*0.21</f>
        <v>0</v>
      </c>
      <c r="P89" s="18"/>
      <c r="Q89" s="18"/>
      <c r="R89" s="18"/>
      <c r="T89"/>
      <c r="U89" s="19">
        <f>Tabla6122028334210203050[[#This Row],[COMISIONES]]*0.21</f>
        <v>0</v>
      </c>
      <c r="V89"/>
      <c r="W89"/>
      <c r="X89"/>
      <c r="Z89" s="1">
        <v>6703.79</v>
      </c>
      <c r="AA89" s="21">
        <f>Tabla3568132129397172747[[#This Row],[COMISIONES]]*0.21</f>
        <v>1407.7958999999998</v>
      </c>
      <c r="AB89"/>
      <c r="AC89"/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Tabla39152331419192949[[#This Row],[COMISIONES]]*0.21</f>
        <v>0</v>
      </c>
      <c r="J90" s="18"/>
      <c r="K90" s="18"/>
      <c r="L90" s="18"/>
      <c r="N90" s="18"/>
      <c r="O90" s="11">
        <f>Tabla35101826364142444[[#This Row],[COMISIONES]]*0.21</f>
        <v>0</v>
      </c>
      <c r="P90" s="18"/>
      <c r="Q90" s="18"/>
      <c r="R90" s="18"/>
      <c r="T90"/>
      <c r="U90" s="19">
        <f>Tabla6122028334210203050[[#This Row],[COMISIONES]]*0.21</f>
        <v>0</v>
      </c>
      <c r="V90"/>
      <c r="W90"/>
      <c r="X90"/>
      <c r="Z90" s="1">
        <v>10056.120000000001</v>
      </c>
      <c r="AA90" s="21">
        <f>Tabla3568132129397172747[[#This Row],[COMISIONES]]*0.21</f>
        <v>2111.7852000000003</v>
      </c>
      <c r="AB90" s="21"/>
      <c r="AC90" s="21"/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Tabla39152331419192949[[#This Row],[COMISIONES]]*0.21</f>
        <v>0</v>
      </c>
      <c r="J91" s="18"/>
      <c r="K91" s="18"/>
      <c r="L91" s="18"/>
      <c r="N91" s="18"/>
      <c r="O91" s="11">
        <f>Tabla35101826364142444[[#This Row],[COMISIONES]]*0.21</f>
        <v>0</v>
      </c>
      <c r="P91" s="18"/>
      <c r="Q91" s="18"/>
      <c r="R91" s="18"/>
      <c r="T91"/>
      <c r="U91" s="19">
        <f>Tabla6122028334210203050[[#This Row],[COMISIONES]]*0.21</f>
        <v>0</v>
      </c>
      <c r="V91"/>
      <c r="W91"/>
      <c r="X91"/>
      <c r="Z91" s="1">
        <v>7473.11</v>
      </c>
      <c r="AA91" s="21">
        <f>Tabla3568132129397172747[[#This Row],[COMISIONES]]*0.21</f>
        <v>1569.3530999999998</v>
      </c>
      <c r="AB91" s="21"/>
      <c r="AC91" s="1"/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Tabla39152331419192949[[#This Row],[COMISIONES]]*0.21</f>
        <v>0</v>
      </c>
      <c r="J92" s="18"/>
      <c r="K92" s="18"/>
      <c r="L92" s="18"/>
      <c r="N92" s="18"/>
      <c r="O92" s="11">
        <f>Tabla35101826364142444[[#This Row],[COMISIONES]]*0.21</f>
        <v>0</v>
      </c>
      <c r="P92" s="18"/>
      <c r="Q92" s="18"/>
      <c r="R92" s="18"/>
      <c r="T92"/>
      <c r="U92" s="19">
        <f>Tabla6122028334210203050[[#This Row],[COMISIONES]]*0.21</f>
        <v>0</v>
      </c>
      <c r="V92"/>
      <c r="W92"/>
      <c r="X92"/>
      <c r="Z92">
        <v>70690.44</v>
      </c>
      <c r="AA92" s="21"/>
      <c r="AB92" s="1">
        <f>Tabla3568132129397172747[[#This Row],[COMISIONES]]*0.105</f>
        <v>7422.4961999999996</v>
      </c>
      <c r="AC92" s="21"/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Tabla39152331419192949[[#This Row],[COMISIONES]]*0.21</f>
        <v>0</v>
      </c>
      <c r="J93" s="21"/>
      <c r="K93" s="21"/>
      <c r="L93" s="21"/>
      <c r="N93" s="18"/>
      <c r="O93" s="11">
        <f>Tabla35101826364142444[[#This Row],[COMISIONES]]*0.21</f>
        <v>0</v>
      </c>
      <c r="P93" s="18"/>
      <c r="Q93" s="18"/>
      <c r="R93" s="18"/>
      <c r="T93"/>
      <c r="U93" s="19">
        <f>Tabla6122028334210203050[[#This Row],[COMISIONES]]*0.21</f>
        <v>0</v>
      </c>
      <c r="V93"/>
      <c r="W93"/>
      <c r="X93"/>
      <c r="Z93">
        <v>5036.8500000000004</v>
      </c>
      <c r="AA93" s="21">
        <f>Tabla3568132129397172747[[#This Row],[COMISIONES]]*0.21</f>
        <v>1057.7384999999999</v>
      </c>
      <c r="AB93" s="21"/>
      <c r="AC93" s="21"/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Tabla39152331419192949[[#This Row],[COMISIONES]]*0.21</f>
        <v>0</v>
      </c>
      <c r="J94" s="21"/>
      <c r="K94" s="21"/>
      <c r="L94" s="21"/>
      <c r="N94" s="18"/>
      <c r="O94" s="11">
        <f>Tabla35101826364142444[[#This Row],[COMISIONES]]*0.21</f>
        <v>0</v>
      </c>
      <c r="P94" s="18"/>
      <c r="Q94" s="18"/>
      <c r="R94" s="18"/>
      <c r="T94" s="17">
        <f>SUBTOTAL(109,Tabla6122028334210203050[COMISIONES])</f>
        <v>0</v>
      </c>
      <c r="U94" s="17">
        <f>SUBTOTAL(109,Tabla6122028334210203050[IVA 21])</f>
        <v>0</v>
      </c>
      <c r="V94" s="17">
        <f>SUBTOTAL(109,Tabla6122028334210203050[IVA 10,5])</f>
        <v>0</v>
      </c>
      <c r="W94" s="17">
        <f>SUBTOTAL(109,Tabla6122028334210203050[Ret IIBB Caba])</f>
        <v>0</v>
      </c>
      <c r="X94" s="17">
        <f>SUBTOTAL(109,Tabla6122028334210203050[PERC IVA])</f>
        <v>0</v>
      </c>
      <c r="Z94" s="1">
        <v>967.68</v>
      </c>
      <c r="AA94" s="21">
        <f>Tabla3568132129397172747[[#This Row],[COMISIONES]]*0.21</f>
        <v>203.21279999999999</v>
      </c>
      <c r="AB94" s="21"/>
      <c r="AC94" s="21"/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Tabla39152331419192949[[#This Row],[COMISIONES]]*0.21</f>
        <v>0</v>
      </c>
      <c r="J95" s="21"/>
      <c r="K95" s="21"/>
      <c r="L95" s="21"/>
      <c r="N95" s="18"/>
      <c r="O95" s="11">
        <f>Tabla35101826364142444[[#This Row],[COMISIONES]]*0.21</f>
        <v>0</v>
      </c>
      <c r="P95" s="18"/>
      <c r="Q95" s="18"/>
      <c r="R95" s="18"/>
      <c r="T95"/>
      <c r="U95"/>
      <c r="V95"/>
      <c r="W95"/>
      <c r="X95"/>
      <c r="Z95" s="1">
        <v>14031.42</v>
      </c>
      <c r="AA95" s="21">
        <f>Tabla3568132129397172747[[#This Row],[COMISIONES]]*0.21</f>
        <v>2946.5981999999999</v>
      </c>
      <c r="AB95" s="21"/>
      <c r="AC95" s="21"/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Tabla39152331419192949[[#This Row],[COMISIONES]]*0.21</f>
        <v>0</v>
      </c>
      <c r="J96" s="21"/>
      <c r="K96" s="21"/>
      <c r="L96" s="21"/>
      <c r="N96" s="18"/>
      <c r="O96" s="11">
        <f>Tabla35101826364142444[[#This Row],[COMISIONES]]*0.21</f>
        <v>0</v>
      </c>
      <c r="P96" s="18"/>
      <c r="Q96" s="18"/>
      <c r="R96" s="18"/>
      <c r="T96"/>
      <c r="U96"/>
      <c r="V96"/>
      <c r="W96"/>
      <c r="X96"/>
      <c r="Z96" s="1">
        <v>5722.43</v>
      </c>
      <c r="AA96" s="21">
        <f>Tabla3568132129397172747[[#This Row],[COMISIONES]]*0.21</f>
        <v>1201.7103</v>
      </c>
      <c r="AB96" s="1"/>
      <c r="AC96" s="1"/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Tabla39152331419192949[[#This Row],[COMISIONES]]*0.21</f>
        <v>0</v>
      </c>
      <c r="J97" s="21"/>
      <c r="K97" s="21"/>
      <c r="L97" s="21"/>
      <c r="N97" s="18"/>
      <c r="O97" s="11">
        <f>Tabla35101826364142444[[#This Row],[COMISIONES]]*0.21</f>
        <v>0</v>
      </c>
      <c r="P97" s="18"/>
      <c r="Q97" s="18"/>
      <c r="R97" s="18"/>
      <c r="T97"/>
      <c r="U97"/>
      <c r="V97"/>
      <c r="W97"/>
      <c r="X97"/>
      <c r="Z97" s="1">
        <v>4978.84</v>
      </c>
      <c r="AA97" s="21">
        <f>Tabla3568132129397172747[[#This Row],[COMISIONES]]*0.21</f>
        <v>1045.5563999999999</v>
      </c>
      <c r="AB97" s="1"/>
      <c r="AC97" s="1"/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Tabla39152331419192949[[#This Row],[COMISIONES]]*0.21</f>
        <v>0</v>
      </c>
      <c r="J98" s="21"/>
      <c r="K98" s="21"/>
      <c r="L98" s="21"/>
      <c r="N98" s="18"/>
      <c r="O98" s="11">
        <f>Tabla35101826364142444[[#This Row],[COMISIONES]]*0.21</f>
        <v>0</v>
      </c>
      <c r="P98" s="18"/>
      <c r="Q98" s="18"/>
      <c r="R98" s="18"/>
      <c r="T98"/>
      <c r="U98"/>
      <c r="V98"/>
      <c r="W98"/>
      <c r="X98"/>
      <c r="Z98" s="1">
        <v>318.60000000000002</v>
      </c>
      <c r="AA98" s="21">
        <f>Tabla3568132129397172747[[#This Row],[COMISIONES]]*0.21</f>
        <v>66.906000000000006</v>
      </c>
      <c r="AB98" s="21"/>
      <c r="AC98" s="21"/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Tabla39152331419192949[[#This Row],[COMISIONES]]*0.21</f>
        <v>0</v>
      </c>
      <c r="J99" s="21"/>
      <c r="K99" s="21"/>
      <c r="L99" s="21"/>
      <c r="N99" s="18"/>
      <c r="O99" s="11">
        <f>Tabla35101826364142444[[#This Row],[COMISIONES]]*0.21</f>
        <v>0</v>
      </c>
      <c r="P99" s="18"/>
      <c r="Q99" s="18"/>
      <c r="R99" s="18"/>
      <c r="T99"/>
      <c r="U99"/>
      <c r="V99"/>
      <c r="W99"/>
      <c r="X99"/>
      <c r="Z99" s="1">
        <v>2496.7800000000002</v>
      </c>
      <c r="AA99" s="21">
        <f>Tabla3568132129397172747[[#This Row],[COMISIONES]]*0.21</f>
        <v>524.32380000000001</v>
      </c>
      <c r="AB99" s="21"/>
      <c r="AC99" s="21"/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Tabla39152331419192949[[#This Row],[COMISIONES]]*0.21</f>
        <v>0</v>
      </c>
      <c r="J100" s="21"/>
      <c r="K100" s="21"/>
      <c r="L100" s="21"/>
      <c r="N100" s="18"/>
      <c r="O100" s="11">
        <f>Tabla35101826364142444[[#This Row],[COMISIONES]]*0.21</f>
        <v>0</v>
      </c>
      <c r="P100" s="18"/>
      <c r="Q100" s="18"/>
      <c r="R100" s="18"/>
      <c r="T100"/>
      <c r="U100"/>
      <c r="V100"/>
      <c r="W100"/>
      <c r="X100"/>
      <c r="Z100" s="1">
        <v>5291.02</v>
      </c>
      <c r="AA100" s="21">
        <f>Tabla3568132129397172747[[#This Row],[COMISIONES]]*0.21</f>
        <v>1111.1142</v>
      </c>
      <c r="AB100" s="21"/>
      <c r="AC100" s="21"/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Tabla39152331419192949[[#This Row],[COMISIONES]]*0.21</f>
        <v>0</v>
      </c>
      <c r="J101" s="21"/>
      <c r="K101" s="21"/>
      <c r="L101" s="21"/>
      <c r="N101" s="18"/>
      <c r="O101" s="11">
        <f>Tabla35101826364142444[[#This Row],[COMISIONES]]*0.21</f>
        <v>0</v>
      </c>
      <c r="P101" s="18"/>
      <c r="Q101" s="18"/>
      <c r="R101" s="18"/>
      <c r="T101"/>
      <c r="U101"/>
      <c r="V101"/>
      <c r="W101"/>
      <c r="X101"/>
      <c r="Z101">
        <v>165.24</v>
      </c>
      <c r="AA101" s="21">
        <f>Tabla3568132129397172747[[#This Row],[COMISIONES]]*0.21</f>
        <v>34.700400000000002</v>
      </c>
      <c r="AB101" s="21"/>
      <c r="AC101" s="21"/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SUBTOTAL(109,Tabla39152331419192949[COMISIONES])</f>
        <v>143495</v>
      </c>
      <c r="I102" s="20">
        <f>SUBTOTAL(109,Tabla39152331419192949[IVA 21])</f>
        <v>30133.949999999997</v>
      </c>
      <c r="J102" s="20">
        <f>SUBTOTAL(109,Tabla39152331419192949[IVA 10,5])</f>
        <v>0</v>
      </c>
      <c r="K102" s="20">
        <f>SUBTOTAL(109,Tabla39152331419192949[Ret IIBB Caba])</f>
        <v>0</v>
      </c>
      <c r="L102" s="20">
        <f>SUBTOTAL(109,Tabla39152331419192949[PERC IVA])</f>
        <v>4304.8500000000004</v>
      </c>
      <c r="N102" s="18"/>
      <c r="O102" s="11">
        <f>Tabla35101826364142444[[#This Row],[COMISIONES]]*0.21</f>
        <v>0</v>
      </c>
      <c r="P102" s="18"/>
      <c r="Q102" s="18"/>
      <c r="R102" s="18"/>
      <c r="T102"/>
      <c r="U102"/>
      <c r="V102"/>
      <c r="W102"/>
      <c r="X102"/>
      <c r="Z102" s="1">
        <v>3307.69</v>
      </c>
      <c r="AA102" s="21">
        <f>Tabla3568132129397172747[[#This Row],[COMISIONES]]*0.21</f>
        <v>694.61490000000003</v>
      </c>
      <c r="AB102" s="21"/>
      <c r="AC102" s="21"/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Tabla35101826364142444[[#This Row],[COMISIONES]]*0.21</f>
        <v>0</v>
      </c>
      <c r="P103" s="18"/>
      <c r="Q103" s="18"/>
      <c r="R103" s="18"/>
      <c r="T103"/>
      <c r="U103"/>
      <c r="V103"/>
      <c r="W103"/>
      <c r="X103"/>
      <c r="Z103">
        <v>2464.8200000000002</v>
      </c>
      <c r="AA103" s="21">
        <f>Tabla3568132129397172747[[#This Row],[COMISIONES]]*0.21</f>
        <v>517.61220000000003</v>
      </c>
      <c r="AB103" s="21"/>
      <c r="AC103" s="21"/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Tabla35101826364142444[[#This Row],[COMISIONES]]*0.21</f>
        <v>0</v>
      </c>
      <c r="P104" s="18"/>
      <c r="Q104" s="18"/>
      <c r="R104" s="18"/>
      <c r="T104"/>
      <c r="U104"/>
      <c r="V104"/>
      <c r="W104"/>
      <c r="X104"/>
      <c r="Z104" s="1">
        <v>1656.34</v>
      </c>
      <c r="AA104" s="21">
        <f>Tabla3568132129397172747[[#This Row],[COMISIONES]]*0.21</f>
        <v>347.83139999999997</v>
      </c>
      <c r="AB104" s="21"/>
      <c r="AC104" s="1"/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Tabla35101826364142444[[#This Row],[COMISIONES]]*0.21</f>
        <v>0</v>
      </c>
      <c r="P105" s="18"/>
      <c r="Q105" s="18"/>
      <c r="R105" s="18"/>
      <c r="T105"/>
      <c r="U105"/>
      <c r="V105"/>
      <c r="W105"/>
      <c r="X105"/>
      <c r="Z105" s="1">
        <v>5378.02</v>
      </c>
      <c r="AA105" s="21">
        <f>Tabla3568132129397172747[[#This Row],[COMISIONES]]*0.21</f>
        <v>1129.3842</v>
      </c>
      <c r="AB105" s="21"/>
      <c r="AC105" s="1"/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Tabla35101826364142444[[#This Row],[COMISIONES]]*0.21</f>
        <v>0</v>
      </c>
      <c r="P106" s="18"/>
      <c r="Q106" s="18"/>
      <c r="R106" s="18"/>
      <c r="T106"/>
      <c r="U106"/>
      <c r="V106"/>
      <c r="W106"/>
      <c r="X106"/>
      <c r="Z106" s="1">
        <v>2095.6</v>
      </c>
      <c r="AA106" s="21">
        <f>Tabla3568132129397172747[[#This Row],[COMISIONES]]*0.21</f>
        <v>440.07599999999996</v>
      </c>
      <c r="AB106" s="21"/>
      <c r="AC106" s="1"/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Tabla35101826364142444[[#This Row],[COMISIONES]]*0.21</f>
        <v>0</v>
      </c>
      <c r="P107" s="18"/>
      <c r="Q107" s="18"/>
      <c r="R107" s="18"/>
      <c r="T107"/>
      <c r="U107"/>
      <c r="V107"/>
      <c r="W107"/>
      <c r="X107"/>
      <c r="Z107" s="1">
        <v>8588.8799999999992</v>
      </c>
      <c r="AA107" s="21">
        <f>Tabla3568132129397172747[[#This Row],[COMISIONES]]*0.21</f>
        <v>1803.6647999999998</v>
      </c>
      <c r="AB107" s="21"/>
      <c r="AC107" s="1"/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Tabla35101826364142444[[#This Row],[COMISIONES]]*0.21</f>
        <v>0</v>
      </c>
      <c r="P108" s="18"/>
      <c r="Q108" s="18"/>
      <c r="R108" s="18"/>
      <c r="T108"/>
      <c r="U108"/>
      <c r="V108"/>
      <c r="W108"/>
      <c r="X108"/>
      <c r="Z108" s="1">
        <v>2909.88</v>
      </c>
      <c r="AA108" s="21">
        <f>Tabla3568132129397172747[[#This Row],[COMISIONES]]*0.21</f>
        <v>611.07479999999998</v>
      </c>
      <c r="AB108" s="21"/>
      <c r="AC108" s="1"/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Tabla35101826364142444[[#This Row],[COMISIONES]]*0.21</f>
        <v>0</v>
      </c>
      <c r="P109" s="18"/>
      <c r="Q109" s="18"/>
      <c r="R109" s="18"/>
      <c r="T109"/>
      <c r="U109"/>
      <c r="V109"/>
      <c r="W109"/>
      <c r="X109"/>
      <c r="Z109" s="1">
        <v>1862.56</v>
      </c>
      <c r="AA109" s="21">
        <f>Tabla3568132129397172747[[#This Row],[COMISIONES]]*0.21</f>
        <v>391.13759999999996</v>
      </c>
      <c r="AB109" s="21"/>
      <c r="AC109" s="1"/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Tabla35101826364142444[[#This Row],[COMISIONES]]*0.21</f>
        <v>0</v>
      </c>
      <c r="P110" s="18"/>
      <c r="Q110" s="18"/>
      <c r="R110" s="18"/>
      <c r="T110"/>
      <c r="U110"/>
      <c r="V110"/>
      <c r="W110"/>
      <c r="X110"/>
      <c r="Z110" s="1">
        <v>2181.8000000000002</v>
      </c>
      <c r="AA110" s="21">
        <f>Tabla3568132129397172747[[#This Row],[COMISIONES]]*0.21</f>
        <v>458.178</v>
      </c>
      <c r="AB110" s="21"/>
      <c r="AC110" s="1"/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Tabla35101826364142444[[#This Row],[COMISIONES]]*0.21</f>
        <v>0</v>
      </c>
      <c r="P111" s="18"/>
      <c r="Q111" s="18"/>
      <c r="R111" s="18"/>
      <c r="T111"/>
      <c r="U111"/>
      <c r="V111"/>
      <c r="W111"/>
      <c r="X111"/>
      <c r="Z111" s="1">
        <v>2490.8000000000002</v>
      </c>
      <c r="AA111" s="21">
        <f>Tabla3568132129397172747[[#This Row],[COMISIONES]]*0.21</f>
        <v>523.06799999999998</v>
      </c>
      <c r="AB111" s="21"/>
      <c r="AC111" s="1"/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Tabla35101826364142444[[#This Row],[COMISIONES]]*0.21</f>
        <v>0</v>
      </c>
      <c r="P112" s="18"/>
      <c r="Q112" s="18"/>
      <c r="R112" s="18"/>
      <c r="T112"/>
      <c r="U112"/>
      <c r="V112"/>
      <c r="W112"/>
      <c r="X112"/>
      <c r="Z112" s="1">
        <v>5487.02</v>
      </c>
      <c r="AA112" s="21">
        <f>Tabla3568132129397172747[[#This Row],[COMISIONES]]*0.21</f>
        <v>1152.2742000000001</v>
      </c>
      <c r="AB112" s="21"/>
      <c r="AC112" s="21"/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Tabla35101826364142444[[#This Row],[COMISIONES]]*0.21</f>
        <v>0</v>
      </c>
      <c r="P113" s="18"/>
      <c r="Q113" s="18"/>
      <c r="R113" s="18"/>
      <c r="T113"/>
      <c r="U113"/>
      <c r="V113"/>
      <c r="W113"/>
      <c r="X113"/>
      <c r="Z113">
        <v>202.26</v>
      </c>
      <c r="AA113" s="21">
        <f>Tabla3568132129397172747[[#This Row],[COMISIONES]]*0.21</f>
        <v>42.474599999999995</v>
      </c>
      <c r="AB113" s="21"/>
      <c r="AC113" s="21"/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Tabla35101826364142444[[#This Row],[COMISIONES]]*0.21</f>
        <v>0</v>
      </c>
      <c r="P114" s="18"/>
      <c r="Q114" s="18"/>
      <c r="R114" s="18"/>
      <c r="T114"/>
      <c r="U114"/>
      <c r="V114"/>
      <c r="W114"/>
      <c r="X114"/>
      <c r="Z114" s="1">
        <v>2228.6999999999998</v>
      </c>
      <c r="AA114" s="21">
        <f>Tabla3568132129397172747[[#This Row],[COMISIONES]]*0.21</f>
        <v>468.02699999999993</v>
      </c>
      <c r="AB114" s="21"/>
      <c r="AC114" s="1"/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Tabla35101826364142444[[#This Row],[COMISIONES]]*0.21</f>
        <v>0</v>
      </c>
      <c r="P115" s="18"/>
      <c r="Q115" s="18"/>
      <c r="R115" s="18"/>
      <c r="T115"/>
      <c r="U115"/>
      <c r="V115"/>
      <c r="W115"/>
      <c r="X115"/>
      <c r="Z115" s="21">
        <v>196.86</v>
      </c>
      <c r="AA115" s="21">
        <f>Tabla3568132129397172747[[#This Row],[COMISIONES]]*0.21</f>
        <v>41.340600000000002</v>
      </c>
      <c r="AB115" s="21"/>
      <c r="AC115" s="1"/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Tabla35101826364142444[[#This Row],[COMISIONES]]*0.21</f>
        <v>0</v>
      </c>
      <c r="P116" s="18"/>
      <c r="Q116" s="18"/>
      <c r="R116" s="18"/>
      <c r="T116"/>
      <c r="U116"/>
      <c r="V116"/>
      <c r="W116"/>
      <c r="X116"/>
      <c r="Z116" s="1">
        <v>339.6</v>
      </c>
      <c r="AA116" s="21">
        <f>Tabla3568132129397172747[[#This Row],[COMISIONES]]*0.21</f>
        <v>71.316000000000003</v>
      </c>
      <c r="AB116" s="21"/>
      <c r="AC116" s="1"/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Tabla35101826364142444[[#This Row],[COMISIONES]]*0.21</f>
        <v>0</v>
      </c>
      <c r="P117" s="18"/>
      <c r="Q117" s="18"/>
      <c r="R117" s="18"/>
      <c r="T117"/>
      <c r="U117"/>
      <c r="V117"/>
      <c r="W117"/>
      <c r="X117"/>
      <c r="Z117" s="1"/>
      <c r="AA117" s="21">
        <f>Tabla3568132129397172747[[#This Row],[COMISIONES]]*0.21</f>
        <v>0</v>
      </c>
      <c r="AB117" s="21"/>
      <c r="AC117" s="1"/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Tabla35101826364142444[[#This Row],[COMISIONES]]*0.21</f>
        <v>0</v>
      </c>
      <c r="P118" s="18"/>
      <c r="Q118" s="18"/>
      <c r="R118" s="18"/>
      <c r="T118"/>
      <c r="U118"/>
      <c r="V118"/>
      <c r="W118"/>
      <c r="X118"/>
      <c r="Z118" s="1"/>
      <c r="AA118" s="21">
        <f>Tabla3568132129397172747[[#This Row],[COMISIONES]]*0.21</f>
        <v>0</v>
      </c>
      <c r="AB118" s="21"/>
      <c r="AC118" s="1"/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Tabla35101826364142444[[#This Row],[COMISIONES]]*0.21</f>
        <v>0</v>
      </c>
      <c r="P119" s="18"/>
      <c r="Q119" s="18"/>
      <c r="R119" s="18"/>
      <c r="T119"/>
      <c r="U119"/>
      <c r="V119"/>
      <c r="W119"/>
      <c r="X119"/>
      <c r="Z119"/>
      <c r="AA119" s="21">
        <f>Tabla3568132129397172747[[#This Row],[COMISIONES]]*0.21</f>
        <v>0</v>
      </c>
      <c r="AB119" s="21"/>
      <c r="AC119" s="21"/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Tabla35101826364142444[[#This Row],[COMISIONES]]*0.21</f>
        <v>0</v>
      </c>
      <c r="P120" s="18"/>
      <c r="Q120" s="18"/>
      <c r="R120" s="18"/>
      <c r="T120"/>
      <c r="U120"/>
      <c r="V120"/>
      <c r="W120"/>
      <c r="X120"/>
      <c r="Z120" s="1"/>
      <c r="AA120" s="21">
        <f>Tabla3568132129397172747[[#This Row],[COMISIONES]]*0.21</f>
        <v>0</v>
      </c>
      <c r="AB120" s="21"/>
      <c r="AC120" s="21"/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Tabla35101826364142444[[#This Row],[COMISIONES]]*0.21</f>
        <v>0</v>
      </c>
      <c r="P121" s="18"/>
      <c r="Q121" s="18"/>
      <c r="R121" s="18"/>
      <c r="T121"/>
      <c r="U121"/>
      <c r="V121"/>
      <c r="W121"/>
      <c r="X121"/>
      <c r="Z121" s="1"/>
      <c r="AA121" s="21">
        <f>Tabla3568132129397172747[[#This Row],[COMISIONES]]*0.21</f>
        <v>0</v>
      </c>
      <c r="AB121" s="21"/>
      <c r="AC121" s="21"/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Tabla35101826364142444[[#This Row],[COMISIONES]]*0.21</f>
        <v>0</v>
      </c>
      <c r="P122" s="18"/>
      <c r="Q122" s="18"/>
      <c r="R122" s="18"/>
      <c r="T122"/>
      <c r="U122"/>
      <c r="V122"/>
      <c r="W122"/>
      <c r="X122"/>
      <c r="Z122" s="1"/>
      <c r="AA122" s="21">
        <f>Tabla3568132129397172747[[#This Row],[COMISIONES]]*0.21</f>
        <v>0</v>
      </c>
      <c r="AB122" s="21"/>
      <c r="AC122" s="21"/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/>
      <c r="U123"/>
      <c r="V123"/>
      <c r="W123"/>
      <c r="X123"/>
      <c r="Z123" s="1"/>
      <c r="AA123" s="21">
        <f>Tabla3568132129397172747[[#This Row],[COMISIONES]]*0.21</f>
        <v>0</v>
      </c>
      <c r="AB123" s="21"/>
      <c r="AC123" s="21"/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/>
      <c r="AA124" s="21">
        <f>Tabla3568132129397172747[[#This Row],[COMISIONES]]*0.21</f>
        <v>0</v>
      </c>
      <c r="AB124" s="21"/>
      <c r="AC124" s="21"/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1"/>
      <c r="AA125" s="21">
        <f>Tabla3568132129397172747[[#This Row],[COMISIONES]]*0.21</f>
        <v>0</v>
      </c>
      <c r="AB125" s="21"/>
      <c r="AC125" s="21"/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1"/>
      <c r="AA126" s="21">
        <f>Tabla3568132129397172747[[#This Row],[COMISIONES]]*0.21</f>
        <v>0</v>
      </c>
      <c r="AB126" s="21"/>
      <c r="AC126" s="21"/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1"/>
      <c r="AA127" s="21">
        <f>Tabla3568132129397172747[[#This Row],[COMISIONES]]*0.21</f>
        <v>0</v>
      </c>
      <c r="AB127" s="21"/>
      <c r="AC127" s="21"/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1"/>
      <c r="AA128" s="21">
        <f>Tabla3568132129397172747[[#This Row],[COMISIONES]]*0.21</f>
        <v>0</v>
      </c>
      <c r="AB128" s="21"/>
      <c r="AC128" s="21"/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Tabla3568132129397172747[[#This Row],[COMISIONES]]*0.21</f>
        <v>0</v>
      </c>
      <c r="AB129" s="21"/>
      <c r="AC129" s="21"/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Tabla3568132129397172747[[#This Row],[COMISIONES]]*0.21</f>
        <v>0</v>
      </c>
      <c r="AB130" s="21"/>
      <c r="AC130" s="21"/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Tabla3568132129397172747[[#This Row],[COMISIONES]]*0.21</f>
        <v>0</v>
      </c>
      <c r="AB131" s="21"/>
      <c r="AC131" s="21"/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Tabla3568132129397172747[[#This Row],[COMISIONES]]*0.21</f>
        <v>0</v>
      </c>
      <c r="AB132" s="21"/>
      <c r="AC132" s="21"/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Tabla3568132129397172747[[#This Row],[COMISIONES]]*0.21</f>
        <v>0</v>
      </c>
      <c r="AB133" s="21"/>
      <c r="AC133" s="21"/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Tabla3568132129397172747[[#This Row],[COMISIONES]]*0.21</f>
        <v>0</v>
      </c>
      <c r="AB134" s="21"/>
      <c r="AC134" s="21"/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24">
        <f>SUBTOTAL(109,Tabla35101826364142444[COMISIONES])</f>
        <v>74867.92</v>
      </c>
      <c r="O135" s="24">
        <f>SUBTOTAL(109,Tabla35101826364142444[IVA 21])</f>
        <v>15501.990000000002</v>
      </c>
      <c r="P135" s="24">
        <f>SUBTOTAL(109,Tabla35101826364142444[IVA 10,5])</f>
        <v>110.1366</v>
      </c>
      <c r="Q135" s="24">
        <f>SUBTOTAL(109,Tabla35101826364142444[Ret IIBB Caba])</f>
        <v>0</v>
      </c>
      <c r="R135" s="24">
        <f>SUBTOTAL(109,Tabla35101826364142444[PERC IVA])</f>
        <v>2034.15</v>
      </c>
      <c r="T135"/>
      <c r="U135"/>
      <c r="V135"/>
      <c r="W135"/>
      <c r="X135"/>
      <c r="Z135" s="21"/>
      <c r="AA135" s="21">
        <f>Tabla3568132129397172747[[#This Row],[COMISIONES]]*0.21</f>
        <v>0</v>
      </c>
      <c r="AB135" s="21"/>
      <c r="AC135" s="21"/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Tabla3568132129397172747[[#This Row],[COMISIONES]]*0.21</f>
        <v>0</v>
      </c>
      <c r="AB136" s="21"/>
      <c r="AC136" s="21"/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Tabla3568132129397172747[[#This Row],[COMISIONES]]*0.21</f>
        <v>0</v>
      </c>
      <c r="AB137" s="21"/>
      <c r="AC137" s="21"/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Tabla3568132129397172747[[#This Row],[COMISIONES]]*0.21</f>
        <v>0</v>
      </c>
      <c r="AB138" s="21"/>
      <c r="AC138" s="21"/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Tabla3568132129397172747[[#This Row],[COMISIONES]]*0.21</f>
        <v>0</v>
      </c>
      <c r="AB139" s="21"/>
      <c r="AC139" s="21"/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Tabla3568132129397172747[[#This Row],[COMISIONES]]*0.21</f>
        <v>0</v>
      </c>
      <c r="AB140" s="21"/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Tabla3568132129397172747[[#This Row],[COMISIONES]]*0.21</f>
        <v>0</v>
      </c>
      <c r="AB141" s="21"/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Tabla3568132129397172747[[#This Row],[COMISIONES]]*0.21</f>
        <v>0</v>
      </c>
      <c r="AB142" s="21"/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Tabla3568132129397172747[[#This Row],[COMISIONES]]*0.21</f>
        <v>0</v>
      </c>
      <c r="AB143" s="21"/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Tabla3568132129397172747[[#This Row],[COMISIONES]]*0.21</f>
        <v>0</v>
      </c>
      <c r="AB144" s="21"/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Tabla3568132129397172747[[#This Row],[COMISIONES]]*0.21</f>
        <v>0</v>
      </c>
      <c r="AB145" s="21"/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Tabla3568132129397172747[[#This Row],[COMISIONES]]*0.21</f>
        <v>0</v>
      </c>
      <c r="AB146" s="21"/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Tabla3568132129397172747[[#This Row],[COMISIONES]]*0.21</f>
        <v>0</v>
      </c>
      <c r="AB147" s="21"/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Tabla3568132129397172747[[#This Row],[COMISIONES]]*0.21</f>
        <v>0</v>
      </c>
      <c r="AB148" s="21"/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Tabla3568132129397172747[[#This Row],[COMISIONES]]*0.21</f>
        <v>0</v>
      </c>
      <c r="AB149" s="21"/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Tabla3568132129397172747[[#This Row],[COMISIONES]]*0.21</f>
        <v>0</v>
      </c>
      <c r="AB150" s="21"/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Tabla3568132129397172747[[#This Row],[COMISIONES]]*0.21</f>
        <v>0</v>
      </c>
      <c r="AB151" s="21"/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Tabla3568132129397172747[[#This Row],[COMISIONES]]*0.21</f>
        <v>0</v>
      </c>
      <c r="AB152" s="21"/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Tabla3568132129397172747[[#This Row],[COMISIONES]]*0.21</f>
        <v>0</v>
      </c>
      <c r="AB153" s="21"/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Tabla3568132129397172747[[#This Row],[COMISIONES]]*0.21</f>
        <v>0</v>
      </c>
      <c r="AB154" s="21"/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Tabla3568132129397172747[[#This Row],[COMISIONES]]*0.21</f>
        <v>0</v>
      </c>
      <c r="AB155" s="21"/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Tabla3568132129397172747[[#This Row],[COMISIONES]]*0.21</f>
        <v>0</v>
      </c>
      <c r="AB156" s="21"/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Tabla3568132129397172747[[#This Row],[COMISIONES]]*0.21</f>
        <v>0</v>
      </c>
      <c r="AB157" s="21"/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Tabla3568132129397172747[[#This Row],[COMISIONES]]*0.21</f>
        <v>0</v>
      </c>
      <c r="AB158" s="21"/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Tabla3568132129397172747[[#This Row],[COMISIONES]]*0.21</f>
        <v>0</v>
      </c>
      <c r="AB159" s="21"/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Tabla3568132129397172747[[#This Row],[COMISIONES]]*0.21</f>
        <v>0</v>
      </c>
      <c r="AB160" s="21"/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Tabla3568132129397172747[[#This Row],[COMISIONES]]*0.21</f>
        <v>0</v>
      </c>
      <c r="AB161" s="21"/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Tabla3568132129397172747[[#This Row],[COMISIONES]]*0.21</f>
        <v>0</v>
      </c>
      <c r="AB162" s="21"/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Tabla3568132129397172747[[#This Row],[COMISIONES]]*0.21</f>
        <v>0</v>
      </c>
      <c r="AB163" s="21"/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Tabla3568132129397172747[[#This Row],[COMISIONES]]*0.21</f>
        <v>0</v>
      </c>
      <c r="AB164" s="21"/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Tabla3568132129397172747[[#This Row],[COMISIONES]]*0.21</f>
        <v>0</v>
      </c>
      <c r="AB165" s="21"/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Tabla3568132129397172747[[#This Row],[COMISIONES]]*0.21</f>
        <v>0</v>
      </c>
      <c r="AB166" s="21"/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Tabla3568132129397172747[[#This Row],[COMISIONES]]*0.21</f>
        <v>0</v>
      </c>
      <c r="AB167" s="21"/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Tabla3568132129397172747[[#This Row],[COMISIONES]]*0.21</f>
        <v>0</v>
      </c>
      <c r="AB168" s="21"/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SUBTOTAL(109,Tabla3568132129397172747[COMISIONES])</f>
        <v>606255.9</v>
      </c>
      <c r="AA169" s="4">
        <f>SUBTOTAL(109,Tabla3568132129397172747[IVA 21])</f>
        <v>73043.880000000019</v>
      </c>
      <c r="AB169" s="4">
        <f>SUBTOTAL(109,Tabla3568132129397172747[IVA 10,5])</f>
        <v>27134.929499999998</v>
      </c>
      <c r="AC169" s="4">
        <f>SUBTOTAL(109,Tabla3568132129397172747[Ret IIBB Caba])</f>
        <v>0</v>
      </c>
      <c r="AD169" s="4">
        <f>SUBTOTAL(109,Tabla3568132129397172747[PERC IVA])</f>
        <v>11704.402000000002</v>
      </c>
      <c r="AF169"/>
      <c r="AG169"/>
      <c r="AH169"/>
      <c r="AI169"/>
      <c r="AJ169"/>
      <c r="AK169"/>
      <c r="AL169"/>
      <c r="AM169"/>
      <c r="AN169"/>
      <c r="AO169"/>
    </row>
  </sheetData>
  <mergeCells count="22">
    <mergeCell ref="H54:L54"/>
    <mergeCell ref="T64:X64"/>
    <mergeCell ref="G10:H10"/>
    <mergeCell ref="G12:H12"/>
    <mergeCell ref="N14:R14"/>
    <mergeCell ref="T14:X14"/>
    <mergeCell ref="Z14:AD14"/>
    <mergeCell ref="AF14:AJ14"/>
    <mergeCell ref="AK14:AO14"/>
    <mergeCell ref="T32:X32"/>
    <mergeCell ref="G7:H7"/>
    <mergeCell ref="G8:H8"/>
    <mergeCell ref="G9:H9"/>
    <mergeCell ref="G11:H11"/>
    <mergeCell ref="B14:F14"/>
    <mergeCell ref="H14:L14"/>
    <mergeCell ref="G2:H2"/>
    <mergeCell ref="J2:K2"/>
    <mergeCell ref="G3:H3"/>
    <mergeCell ref="G4:H4"/>
    <mergeCell ref="G5:H5"/>
    <mergeCell ref="G6:H6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7D93-B03F-476E-82A6-97D5443D7FB6}">
  <dimension ref="A1:AO169"/>
  <sheetViews>
    <sheetView showGridLines="0" tabSelected="1" zoomScale="80" zoomScaleNormal="80" workbookViewId="0">
      <selection activeCell="J26" sqref="J26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2.140625" customWidth="1"/>
    <col min="4" max="4" width="12.140625" bestFit="1" customWidth="1"/>
    <col min="5" max="5" width="11.5703125" customWidth="1"/>
    <col min="6" max="6" width="12.140625" customWidth="1"/>
    <col min="7" max="7" width="2.5703125" style="6" customWidth="1"/>
    <col min="8" max="8" width="12.7109375" customWidth="1"/>
    <col min="9" max="9" width="13.5703125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7" max="27" width="13.28515625" customWidth="1"/>
    <col min="31" max="31" width="2.5703125" style="6" customWidth="1"/>
  </cols>
  <sheetData>
    <row r="1" spans="1:41" ht="6" customHeight="1" x14ac:dyDescent="0.25">
      <c r="G1"/>
      <c r="M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4</v>
      </c>
      <c r="H2" s="38"/>
      <c r="J2" s="39">
        <v>45383</v>
      </c>
      <c r="K2" s="39"/>
      <c r="M2"/>
      <c r="S2"/>
      <c r="Y2"/>
      <c r="AE2"/>
    </row>
    <row r="3" spans="1:41" x14ac:dyDescent="0.25">
      <c r="B3" s="25" t="str">
        <f>+B14</f>
        <v>Liquidacion amex Credito</v>
      </c>
      <c r="C3" s="14">
        <f>Tabla13162432212223382[[#Totals],[COMISIONES]]</f>
        <v>0</v>
      </c>
      <c r="D3" s="14">
        <f>Tabla13162432212223382[[#Totals],[IVA 21]]</f>
        <v>0</v>
      </c>
      <c r="E3" s="14">
        <f>Tabla13162432212223382[[#Totals],[IVA 10,5]]</f>
        <v>0</v>
      </c>
      <c r="F3" s="14">
        <f>Tabla13162432212223382[[#Totals],[Ret IIBB Caba]]</f>
        <v>0</v>
      </c>
      <c r="G3" s="35">
        <f>Tabla13162432212223382[[#Totals],[PERC IVA]]</f>
        <v>0</v>
      </c>
      <c r="H3" s="36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>
        <f>Tabla39172535313233483[[#Totals],[COMISIONES]]</f>
        <v>0</v>
      </c>
      <c r="D4" s="14">
        <f>Tabla39172535313233483[[#Totals],[IVA 21]]</f>
        <v>0</v>
      </c>
      <c r="E4" s="14">
        <f>Tabla39172535313233483[[#Totals],[IVA 10,5]]</f>
        <v>0</v>
      </c>
      <c r="F4" s="14">
        <f>Tabla39172535313233483[[#Totals],[Ret IIBB Caba]]</f>
        <v>0</v>
      </c>
      <c r="G4" s="35">
        <f>Tabla39172535313233483[[#Totals],[PERC IVA]]</f>
        <v>0</v>
      </c>
      <c r="H4" s="36"/>
      <c r="J4" s="2"/>
      <c r="K4" s="3"/>
      <c r="M4"/>
      <c r="S4"/>
      <c r="Y4"/>
      <c r="AE4"/>
    </row>
    <row r="5" spans="1:41" x14ac:dyDescent="0.25">
      <c r="B5" s="25" t="str">
        <f>+N14</f>
        <v>FRANCES extracto (27/03)</v>
      </c>
      <c r="C5" s="14">
        <f>Tabla3510182636414244484[[#Totals],[COMISIONES]]</f>
        <v>0</v>
      </c>
      <c r="D5" s="45">
        <f>Tabla3510182636414244484[[#Totals],[IVA 21]]</f>
        <v>0</v>
      </c>
      <c r="E5" s="45">
        <f>Tabla3510182636414244484[[#Totals],[IVA 10,5]]</f>
        <v>0</v>
      </c>
      <c r="F5" s="14">
        <f>Tabla3510182636414244484[[#Totals],[Ret IIBB Caba]]</f>
        <v>0</v>
      </c>
      <c r="G5" s="35">
        <f>Tabla3510182636414244484[[#Totals],[PERC IVA]]</f>
        <v>0</v>
      </c>
      <c r="H5" s="36"/>
      <c r="M5"/>
      <c r="S5"/>
      <c r="Y5"/>
      <c r="AE5"/>
    </row>
    <row r="6" spans="1:41" x14ac:dyDescent="0.25">
      <c r="B6" s="25" t="str">
        <f>+T14</f>
        <v>GALICIA EXTRACTO (31/03)</v>
      </c>
      <c r="C6" s="14">
        <f>Tabla35611192737515254585[[#Totals],[COMISIONES]]</f>
        <v>0</v>
      </c>
      <c r="D6" s="45">
        <f>Tabla35611192737515254585[[#Totals],[IVA 21]]</f>
        <v>0</v>
      </c>
      <c r="E6" s="14">
        <f>Tabla35611192737515254585[[#Totals],[IVA 10,5]]</f>
        <v>0</v>
      </c>
      <c r="F6" s="14">
        <f>Tabla35611192737515254585[[#Totals],[Ret IIBB Caba]]</f>
        <v>0</v>
      </c>
      <c r="G6" s="35">
        <f>Tabla35611192737515254585[[#Totals],[PERC IVA]]</f>
        <v>0</v>
      </c>
      <c r="H6" s="36"/>
      <c r="M6"/>
      <c r="S6"/>
      <c r="Y6"/>
      <c r="AE6"/>
    </row>
    <row r="7" spans="1:41" x14ac:dyDescent="0.25">
      <c r="B7" s="25" t="str">
        <f>+Z14</f>
        <v>BBVA MASTERCARD CRED(27/03)</v>
      </c>
      <c r="C7" s="14">
        <f>Tabla356813212939717274787[[#Totals],[COMISIONES]]</f>
        <v>1476.6799999999998</v>
      </c>
      <c r="D7" s="14">
        <f>Tabla356813212939717274787[[#Totals],[IVA 21]]</f>
        <v>310.1028</v>
      </c>
      <c r="E7" s="14">
        <f>Tabla356813212939717274787[[#Totals],[IVA 10,5]]</f>
        <v>0</v>
      </c>
      <c r="F7" s="14">
        <f>Tabla356813212939717274787[[#Totals],[Ret IIBB Caba]]</f>
        <v>0</v>
      </c>
      <c r="G7" s="35">
        <f>Tabla356813212939717274787[[#Totals],[PERC IVA]]</f>
        <v>0</v>
      </c>
      <c r="H7" s="36"/>
      <c r="M7"/>
      <c r="S7"/>
      <c r="Y7"/>
      <c r="AE7"/>
    </row>
    <row r="8" spans="1:41" x14ac:dyDescent="0.25">
      <c r="B8" s="25" t="str">
        <f>+T32</f>
        <v>RESUM BCO BBVA VISA 31/09(Nº RESUMEN 000017206766)</v>
      </c>
      <c r="C8" s="14">
        <f>Tabla612202838616264686[[#Totals],[COMISIONES]]</f>
        <v>4703.5400000000009</v>
      </c>
      <c r="D8" s="14">
        <f>Tabla612202838616264686[[#Totals],[IVA 21]]</f>
        <v>902.47920000000011</v>
      </c>
      <c r="E8" s="14">
        <f>Tabla612202838616264686[[#Totals],[IVA 10,5]]</f>
        <v>42.632099999999994</v>
      </c>
      <c r="F8" s="14">
        <f>Tabla612202838616264686[[#Totals],[Ret IIBB Caba]]</f>
        <v>0</v>
      </c>
      <c r="G8" s="35">
        <f>Tabla612202838616264686[[#Totals],[PERC IVA]]</f>
        <v>0</v>
      </c>
      <c r="H8" s="36"/>
      <c r="M8"/>
      <c r="S8"/>
      <c r="Y8"/>
      <c r="AE8"/>
    </row>
    <row r="9" spans="1:41" x14ac:dyDescent="0.25">
      <c r="B9" s="28" t="str">
        <f>+AF14</f>
        <v>BBVA - LIQ DEBITO (08/03)</v>
      </c>
      <c r="C9" s="14">
        <f>+Tabla35681314223040818284888[[#Totals],[COMISIONES]]</f>
        <v>0</v>
      </c>
      <c r="D9" s="14">
        <f>+Tabla35681314223040818284888[[#Totals],[IVA 21]]</f>
        <v>0</v>
      </c>
      <c r="E9" s="14">
        <f>+Tabla35681314223040818284888[[#Totals],[IVA 10,5]]</f>
        <v>0</v>
      </c>
      <c r="F9" s="14">
        <f>+Tabla35681314223040818284888[[#Totals],[Ret IIBB Caba]]</f>
        <v>0</v>
      </c>
      <c r="G9" s="35">
        <f>+Tabla35681314223040818284888[[#Totals],[PERC IVA]]</f>
        <v>0</v>
      </c>
      <c r="H9" s="36"/>
      <c r="M9"/>
      <c r="S9"/>
      <c r="Y9"/>
      <c r="AE9"/>
    </row>
    <row r="10" spans="1:41" x14ac:dyDescent="0.25">
      <c r="B10" s="28" t="s">
        <v>33</v>
      </c>
      <c r="C10" s="14">
        <f>Tabla3915233141919294989[[#Totals],[COMISIONES]]</f>
        <v>143495</v>
      </c>
      <c r="D10" s="14">
        <f>Tabla3915233141919294989[[#Totals],[IVA 21]]</f>
        <v>30133.949999999997</v>
      </c>
      <c r="E10" s="14">
        <f>Tabla3915233141919294989[[#Totals],[IVA 10,5]]</f>
        <v>0</v>
      </c>
      <c r="F10" s="14">
        <f>Tabla3915233141919294989[[#Totals],[Ret IIBB Caba]]</f>
        <v>0</v>
      </c>
      <c r="G10" s="35">
        <f>Tabla3915233141919294989[[#Totals],[PERC IVA]]</f>
        <v>0</v>
      </c>
      <c r="H10" s="43"/>
      <c r="M10"/>
      <c r="S10"/>
      <c r="Y10"/>
      <c r="AE10"/>
    </row>
    <row r="11" spans="1:41" x14ac:dyDescent="0.25">
      <c r="B11" s="28" t="str">
        <f>+AK14</f>
        <v>GALICIA CREDITO visa (30/09)</v>
      </c>
      <c r="C11" s="14">
        <f>+Tabla35611192734431121315191[[#Totals],[COMISIONES]]</f>
        <v>1500</v>
      </c>
      <c r="D11" s="14">
        <f>+Tabla35611192734431121315191[[#Totals],[IVA 21]]</f>
        <v>315</v>
      </c>
      <c r="E11" s="14">
        <f>+Tabla35611192734431121315191[[#Totals],[IVA 10,5]]</f>
        <v>0</v>
      </c>
      <c r="F11" s="14"/>
      <c r="G11" s="35"/>
      <c r="H11" s="36"/>
      <c r="M11"/>
      <c r="S11"/>
      <c r="Y11"/>
      <c r="AE11"/>
    </row>
    <row r="12" spans="1:41" x14ac:dyDescent="0.25">
      <c r="A12" s="26"/>
      <c r="B12" s="26"/>
      <c r="C12" s="27">
        <f>SUM(C3:C11)</f>
        <v>151175.22</v>
      </c>
      <c r="D12" s="27">
        <f t="shared" ref="D12:F12" si="0">SUM(D3:D11)</f>
        <v>31661.531999999996</v>
      </c>
      <c r="E12" s="27">
        <f t="shared" si="0"/>
        <v>42.632099999999994</v>
      </c>
      <c r="F12" s="27">
        <f t="shared" si="0"/>
        <v>0</v>
      </c>
      <c r="G12" s="44">
        <f>SUM(G3:H11)</f>
        <v>0</v>
      </c>
      <c r="H12" s="44"/>
      <c r="M12"/>
      <c r="S12"/>
      <c r="Y12"/>
      <c r="AE12"/>
    </row>
    <row r="13" spans="1:41" x14ac:dyDescent="0.25">
      <c r="A13" s="26"/>
      <c r="B13" s="26"/>
      <c r="G13"/>
      <c r="J13" t="s">
        <v>25</v>
      </c>
      <c r="M13"/>
      <c r="S13"/>
      <c r="V13" t="s">
        <v>25</v>
      </c>
      <c r="Y13"/>
      <c r="AE13"/>
    </row>
    <row r="14" spans="1:41" ht="16.5" customHeight="1" x14ac:dyDescent="0.3">
      <c r="B14" s="41" t="s">
        <v>7</v>
      </c>
      <c r="C14" s="41"/>
      <c r="D14" s="41"/>
      <c r="E14" s="41"/>
      <c r="F14" s="41"/>
      <c r="H14" s="41" t="s">
        <v>26</v>
      </c>
      <c r="I14" s="41"/>
      <c r="J14" s="41"/>
      <c r="K14" s="41"/>
      <c r="L14" s="41"/>
      <c r="N14" s="41" t="s">
        <v>30</v>
      </c>
      <c r="O14" s="41"/>
      <c r="P14" s="41"/>
      <c r="Q14" s="41"/>
      <c r="R14" s="41"/>
      <c r="T14" s="41" t="s">
        <v>24</v>
      </c>
      <c r="U14" s="41"/>
      <c r="V14" s="41"/>
      <c r="W14" s="41"/>
      <c r="X14" s="41"/>
      <c r="Z14" s="41" t="s">
        <v>28</v>
      </c>
      <c r="AA14" s="41"/>
      <c r="AB14" s="41"/>
      <c r="AC14" s="41"/>
      <c r="AD14" s="41"/>
      <c r="AF14" s="41" t="s">
        <v>27</v>
      </c>
      <c r="AG14" s="41"/>
      <c r="AH14" s="41"/>
      <c r="AI14" s="41"/>
      <c r="AJ14" s="41"/>
      <c r="AK14" s="41" t="s">
        <v>32</v>
      </c>
      <c r="AL14" s="41"/>
      <c r="AM14" s="41"/>
      <c r="AN14" s="41"/>
      <c r="AO14" s="41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/>
      <c r="C16" s="2">
        <f>Tabla13162432212223382[[#This Row],[COMISIONES]]*0.21</f>
        <v>0</v>
      </c>
      <c r="D16" s="3"/>
      <c r="E16" s="3"/>
      <c r="F16" s="1"/>
      <c r="G16" s="8"/>
      <c r="H16" s="3"/>
      <c r="I16" s="11">
        <f>Tabla39172535313233483[[#This Row],[COMISIONES]]*0.21</f>
        <v>0</v>
      </c>
      <c r="J16" s="11"/>
      <c r="K16" s="11"/>
      <c r="L16" s="3"/>
      <c r="M16" s="8"/>
      <c r="O16" s="11">
        <f>Tabla3510182636414244484[[#This Row],[COMISIONES]]*0.21</f>
        <v>0</v>
      </c>
      <c r="P16" s="11"/>
      <c r="Q16" s="1"/>
      <c r="S16" s="8"/>
      <c r="T16" s="11"/>
      <c r="U16" s="11">
        <f>Tabla35611192737515254585[[#This Row],[COMISIONES]]*0.21</f>
        <v>0</v>
      </c>
      <c r="V16" s="11"/>
      <c r="W16" s="11"/>
      <c r="X16" s="11"/>
      <c r="Y16" s="8"/>
      <c r="Z16">
        <v>430.7</v>
      </c>
      <c r="AA16" s="11">
        <f>Tabla356813212939717274787[[#This Row],[COMISIONES]]*0.21</f>
        <v>90.446999999999989</v>
      </c>
      <c r="AC16" s="1"/>
      <c r="AE16" s="8"/>
      <c r="AG16" s="11">
        <f>Tabla35681314223040818284888[[#This Row],[COMISIONES]]*0.21</f>
        <v>0</v>
      </c>
      <c r="AH16" s="11"/>
      <c r="AI16" s="1"/>
      <c r="AJ16" s="11"/>
      <c r="AK16" s="11">
        <v>1500</v>
      </c>
      <c r="AL16" s="11">
        <f>Tabla35611192734431121315191[[#This Row],[COMISIONES]]*0.21</f>
        <v>315</v>
      </c>
      <c r="AM16" s="11"/>
      <c r="AN16" s="11"/>
      <c r="AO16" s="11"/>
    </row>
    <row r="17" spans="2:41" x14ac:dyDescent="0.25">
      <c r="B17" s="3"/>
      <c r="C17" s="2">
        <f>Tabla13162432212223382[[#This Row],[COMISIONES]]*0.21</f>
        <v>0</v>
      </c>
      <c r="D17" s="3"/>
      <c r="E17" s="3"/>
      <c r="F17" s="3"/>
      <c r="G17" s="8"/>
      <c r="H17" s="11"/>
      <c r="I17" s="11">
        <f>Tabla39172535313233483[[#This Row],[COMISIONES]]*0.21</f>
        <v>0</v>
      </c>
      <c r="J17" s="11"/>
      <c r="K17" s="11"/>
      <c r="L17" s="11"/>
      <c r="M17" s="8"/>
      <c r="N17" s="11"/>
      <c r="O17" s="11"/>
      <c r="P17" s="11">
        <f>Tabla3510182636414244484[[#This Row],[COMISIONES]]*0.105</f>
        <v>0</v>
      </c>
      <c r="Q17" s="1"/>
      <c r="S17" s="8"/>
      <c r="T17" s="11"/>
      <c r="U17" s="11">
        <f>Tabla35611192737515254585[[#This Row],[COMISIONES]]*0.21</f>
        <v>0</v>
      </c>
      <c r="V17" s="11"/>
      <c r="W17" s="11"/>
      <c r="X17" s="11"/>
      <c r="Y17" s="8"/>
      <c r="Z17">
        <v>784.08</v>
      </c>
      <c r="AA17" s="11">
        <f>Tabla356813212939717274787[[#This Row],[COMISIONES]]*0.21</f>
        <v>164.6568</v>
      </c>
      <c r="AB17" s="1"/>
      <c r="AC17" s="1"/>
      <c r="AE17" s="8"/>
      <c r="AF17" s="11"/>
      <c r="AG17" s="11">
        <f>Tabla35681314223040818284888[[#This Row],[COMISIONES]]*0.21</f>
        <v>0</v>
      </c>
      <c r="AH17" s="11"/>
      <c r="AI17" s="11"/>
      <c r="AJ17" s="11"/>
      <c r="AK17" s="11"/>
      <c r="AL17" s="11">
        <f>Tabla35611192734431121315191[[#This Row],[COMISIONES]]*0.21</f>
        <v>0</v>
      </c>
      <c r="AM17" s="11"/>
      <c r="AN17" s="11"/>
      <c r="AO17" s="11"/>
    </row>
    <row r="18" spans="2:41" x14ac:dyDescent="0.25">
      <c r="B18" s="3"/>
      <c r="C18" s="2">
        <f>Tabla13162432212223382[[#This Row],[COMISIONES]]*0.21</f>
        <v>0</v>
      </c>
      <c r="D18" s="3"/>
      <c r="E18" s="3"/>
      <c r="F18" s="3"/>
      <c r="H18" s="11"/>
      <c r="I18" s="11">
        <f>Tabla39172535313233483[[#This Row],[COMISIONES]]*0.21</f>
        <v>0</v>
      </c>
      <c r="J18" s="11"/>
      <c r="K18" s="11"/>
      <c r="L18" s="11"/>
      <c r="N18" s="1"/>
      <c r="O18" s="11">
        <f>Tabla3510182636414244484[[#This Row],[COMISIONES]]*0.21</f>
        <v>0</v>
      </c>
      <c r="P18" s="11"/>
      <c r="Q18" s="11"/>
      <c r="R18" s="23"/>
      <c r="T18" s="11"/>
      <c r="U18" s="11">
        <f>Tabla35611192737515254585[[#This Row],[COMISIONES]]*0.21</f>
        <v>0</v>
      </c>
      <c r="V18" s="11"/>
      <c r="W18" s="11"/>
      <c r="X18" s="11"/>
      <c r="Z18">
        <v>261.89999999999998</v>
      </c>
      <c r="AA18" s="11">
        <f>Tabla356813212939717274787[[#This Row],[COMISIONES]]*0.21</f>
        <v>54.998999999999995</v>
      </c>
      <c r="AB18" s="1"/>
      <c r="AF18" s="11"/>
      <c r="AG18" s="11">
        <f>Tabla35681314223040818284888[[#This Row],[COMISIONES]]*0.21</f>
        <v>0</v>
      </c>
      <c r="AH18" s="11"/>
      <c r="AI18" s="11"/>
      <c r="AJ18" s="11"/>
      <c r="AK18" s="11"/>
      <c r="AL18" s="11">
        <f>Tabla35611192734431121315191[[#This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Tabla13162432212223382[[#This Row],[COMISIONES]]*0.21</f>
        <v>0</v>
      </c>
      <c r="D19" s="3"/>
      <c r="E19" s="3"/>
      <c r="F19" s="3"/>
      <c r="G19" s="8"/>
      <c r="H19" s="11"/>
      <c r="I19" s="11">
        <f>Tabla39172535313233483[[#This Row],[COMISIONES]]*0.21</f>
        <v>0</v>
      </c>
      <c r="J19" s="11"/>
      <c r="K19" s="11"/>
      <c r="L19" s="11"/>
      <c r="M19" s="8"/>
      <c r="N19" s="1"/>
      <c r="O19" s="11">
        <f>Tabla3510182636414244484[[#This Row],[COMISIONES]]*0.21</f>
        <v>0</v>
      </c>
      <c r="P19" s="11"/>
      <c r="Q19" s="11"/>
      <c r="R19" s="23"/>
      <c r="S19" s="8"/>
      <c r="T19" s="11"/>
      <c r="U19" s="11">
        <f>Tabla35611192737515254585[[#This Row],[COMISIONES]]*0.21</f>
        <v>0</v>
      </c>
      <c r="V19" s="11"/>
      <c r="W19" s="11"/>
      <c r="X19" s="11"/>
      <c r="Y19" s="8"/>
      <c r="AA19" s="11"/>
      <c r="AB19" s="1"/>
      <c r="AC19" s="1"/>
      <c r="AE19" s="8"/>
      <c r="AF19" s="11"/>
      <c r="AG19" s="11">
        <f>Tabla35681314223040818284888[[#This Row],[COMISIONES]]*0.21</f>
        <v>0</v>
      </c>
      <c r="AH19" s="11"/>
      <c r="AI19" s="11"/>
      <c r="AJ19" s="11"/>
      <c r="AK19" s="11"/>
      <c r="AL19" s="11">
        <f>Tabla35611192734431121315191[[#This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Tabla13162432212223382[[#This Row],[COMISIONES]]*0.21</f>
        <v>0</v>
      </c>
      <c r="D20" s="3"/>
      <c r="E20" s="3"/>
      <c r="F20" s="3"/>
      <c r="H20" s="11"/>
      <c r="I20" s="11">
        <f>Tabla39172535313233483[[#This Row],[COMISIONES]]*0.21</f>
        <v>0</v>
      </c>
      <c r="J20" s="11"/>
      <c r="K20" s="11"/>
      <c r="L20" s="11"/>
      <c r="N20" s="1"/>
      <c r="O20" s="11">
        <f>Tabla3510182636414244484[[#This Row],[COMISIONES]]*0.21</f>
        <v>0</v>
      </c>
      <c r="P20" s="11"/>
      <c r="Q20" s="11"/>
      <c r="R20" s="23"/>
      <c r="T20" s="11"/>
      <c r="U20" s="11">
        <f>Tabla35611192737515254585[[#This Row],[COMISIONES]]*0.21</f>
        <v>0</v>
      </c>
      <c r="V20" s="11"/>
      <c r="W20" s="11"/>
      <c r="X20" s="11"/>
      <c r="AA20" s="11">
        <f>Tabla356813212939717274787[[#This Row],[COMISIONES]]*0.21</f>
        <v>0</v>
      </c>
      <c r="AB20" s="11"/>
      <c r="AC20" s="1"/>
      <c r="AF20" s="11"/>
      <c r="AG20" s="11">
        <f>Tabla35681314223040818284888[[#This Row],[COMISIONES]]*0.21</f>
        <v>0</v>
      </c>
      <c r="AH20" s="11"/>
      <c r="AI20" s="11"/>
      <c r="AJ20" s="11"/>
      <c r="AK20" s="11"/>
      <c r="AL20" s="11">
        <f>Tabla35611192734431121315191[[#This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Tabla13162432212223382[[#This Row],[COMISIONES]]*0.21</f>
        <v>0</v>
      </c>
      <c r="D21" s="3"/>
      <c r="E21" s="3"/>
      <c r="F21" s="3"/>
      <c r="H21" s="11"/>
      <c r="I21" s="11">
        <f>Tabla39172535313233483[[#This Row],[COMISIONES]]*0.21</f>
        <v>0</v>
      </c>
      <c r="J21" s="11"/>
      <c r="K21" s="11"/>
      <c r="L21" s="11"/>
      <c r="N21" s="11"/>
      <c r="O21" s="11">
        <f>Tabla3510182636414244484[[#This Row],[COMISIONES]]*0.21</f>
        <v>0</v>
      </c>
      <c r="P21" s="11"/>
      <c r="Q21" s="11"/>
      <c r="R21" s="11"/>
      <c r="T21" s="11"/>
      <c r="U21" s="11">
        <f>Tabla35611192737515254585[[#This Row],[COMISIONES]]*0.21</f>
        <v>0</v>
      </c>
      <c r="V21" s="11"/>
      <c r="W21" s="11"/>
      <c r="X21" s="11"/>
      <c r="Z21" s="1"/>
      <c r="AA21" s="11">
        <f>Tabla356813212939717274787[[#This Row],[COMISIONES]]*0.21</f>
        <v>0</v>
      </c>
      <c r="AB21" s="11"/>
      <c r="AC21" s="1"/>
      <c r="AF21" s="11"/>
      <c r="AG21" s="11">
        <f>Tabla35681314223040818284888[[#This Row],[COMISIONES]]*0.21</f>
        <v>0</v>
      </c>
      <c r="AH21" s="11"/>
      <c r="AI21" s="11"/>
      <c r="AJ21" s="11"/>
      <c r="AK21" s="11"/>
      <c r="AL21" s="11">
        <f>Tabla35611192734431121315191[[#This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Tabla13162432212223382[[#This Row],[COMISIONES]]*0.21</f>
        <v>0</v>
      </c>
      <c r="D22" s="3"/>
      <c r="E22" s="3"/>
      <c r="F22" s="3"/>
      <c r="H22" s="11"/>
      <c r="I22" s="11">
        <f>Tabla39172535313233483[[#This Row],[COMISIONES]]*0.21</f>
        <v>0</v>
      </c>
      <c r="J22" s="11"/>
      <c r="K22" s="11"/>
      <c r="L22" s="11"/>
      <c r="N22" s="11"/>
      <c r="O22" s="11">
        <f>Tabla3510182636414244484[[#This Row],[COMISIONES]]*0.21</f>
        <v>0</v>
      </c>
      <c r="P22" s="11"/>
      <c r="Q22" s="11"/>
      <c r="R22" s="11"/>
      <c r="T22" s="11"/>
      <c r="U22" s="11">
        <f>Tabla35611192737515254585[[#This Row],[COMISIONES]]*0.21</f>
        <v>0</v>
      </c>
      <c r="V22" s="11"/>
      <c r="W22" s="11"/>
      <c r="X22" s="11"/>
      <c r="AA22" s="11">
        <f>Tabla356813212939717274787[[#This Row],[COMISIONES]]*0.21</f>
        <v>0</v>
      </c>
      <c r="AB22" s="11"/>
      <c r="AC22" s="1"/>
      <c r="AD22" s="11"/>
      <c r="AF22" s="11"/>
      <c r="AG22" s="11">
        <f>Tabla35681314223040818284888[[#This Row],[COMISIONES]]*0.21</f>
        <v>0</v>
      </c>
      <c r="AH22" s="11"/>
      <c r="AI22" s="11"/>
      <c r="AJ22" s="11"/>
      <c r="AK22" s="11"/>
      <c r="AL22" s="11">
        <f>Tabla35611192734431121315191[[#This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Tabla13162432212223382[[#This Row],[COMISIONES]]*0.21</f>
        <v>0</v>
      </c>
      <c r="D23" s="3"/>
      <c r="E23" s="3"/>
      <c r="F23" s="3"/>
      <c r="H23" s="11"/>
      <c r="I23" s="11">
        <f>Tabla39172535313233483[[#This Row],[COMISIONES]]*0.21</f>
        <v>0</v>
      </c>
      <c r="J23" s="11"/>
      <c r="K23" s="11"/>
      <c r="L23" s="11"/>
      <c r="N23" s="11"/>
      <c r="O23" s="11">
        <f>Tabla3510182636414244484[[#This Row],[COMISIONES]]*0.21</f>
        <v>0</v>
      </c>
      <c r="P23" s="11"/>
      <c r="Q23" s="11"/>
      <c r="R23" s="11"/>
      <c r="T23" s="11"/>
      <c r="U23" s="11">
        <f>Tabla35611192737515254585[[#This Row],[COMISIONES]]*0.21</f>
        <v>0</v>
      </c>
      <c r="V23" s="11"/>
      <c r="W23" s="11"/>
      <c r="X23" s="11"/>
      <c r="Z23" s="1"/>
      <c r="AA23" s="11"/>
      <c r="AB23" s="1"/>
      <c r="AC23" s="1"/>
      <c r="AD23" s="11"/>
      <c r="AF23" s="11"/>
      <c r="AG23" s="11">
        <f>Tabla35681314223040818284888[[#This Row],[COMISIONES]]*0.21</f>
        <v>0</v>
      </c>
      <c r="AH23" s="11"/>
      <c r="AI23" s="11"/>
      <c r="AJ23" s="11"/>
      <c r="AK23" s="11"/>
      <c r="AL23" s="11">
        <f>Tabla35611192734431121315191[[#This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Tabla13162432212223382[[#This Row],[COMISIONES]]*0.21</f>
        <v>0</v>
      </c>
      <c r="D24" s="3"/>
      <c r="E24" s="3"/>
      <c r="F24" s="3"/>
      <c r="H24" s="11"/>
      <c r="I24" s="11">
        <f>Tabla39172535313233483[[#This Row],[COMISIONES]]*0.21</f>
        <v>0</v>
      </c>
      <c r="J24" s="11"/>
      <c r="K24" s="11"/>
      <c r="L24" s="11"/>
      <c r="N24" s="11"/>
      <c r="O24" s="11">
        <f>Tabla3510182636414244484[[#This Row],[COMISIONES]]*0.21</f>
        <v>0</v>
      </c>
      <c r="P24" s="11"/>
      <c r="Q24" s="11"/>
      <c r="R24" s="11"/>
      <c r="T24" s="11"/>
      <c r="U24" s="11">
        <f>Tabla35611192737515254585[[#This Row],[COMISIONES]]*0.21</f>
        <v>0</v>
      </c>
      <c r="V24" s="11"/>
      <c r="W24" s="11"/>
      <c r="X24" s="11"/>
      <c r="Z24" s="1"/>
      <c r="AA24" s="11">
        <f>Tabla356813212939717274787[[#This Row],[COMISIONES]]*0.21</f>
        <v>0</v>
      </c>
      <c r="AB24" s="11"/>
      <c r="AC24" s="1"/>
      <c r="AD24" s="11"/>
      <c r="AF24" s="11"/>
      <c r="AG24" s="11">
        <f>Tabla35681314223040818284888[[#This Row],[COMISIONES]]*0.21</f>
        <v>0</v>
      </c>
      <c r="AH24" s="11"/>
      <c r="AI24" s="11"/>
      <c r="AJ24" s="11"/>
      <c r="AK24" s="11"/>
      <c r="AL24" s="11">
        <f>Tabla35611192734431121315191[[#This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Tabla13162432212223382[[#This Row],[COMISIONES]]*0.21</f>
        <v>0</v>
      </c>
      <c r="D25" s="3"/>
      <c r="E25" s="3"/>
      <c r="F25" s="3"/>
      <c r="H25" s="11"/>
      <c r="I25" s="11">
        <f>Tabla39172535313233483[[#This Row],[COMISIONES]]*0.21</f>
        <v>0</v>
      </c>
      <c r="J25" s="11"/>
      <c r="K25" s="11"/>
      <c r="L25" s="11"/>
      <c r="N25" s="11"/>
      <c r="O25" s="11">
        <f>Tabla3510182636414244484[[#This Row],[COMISIONES]]*0.21</f>
        <v>0</v>
      </c>
      <c r="P25" s="11"/>
      <c r="Q25" s="11"/>
      <c r="R25" s="11"/>
      <c r="T25" s="11"/>
      <c r="U25" s="11">
        <f>Tabla35611192737515254585[[#This Row],[COMISIONES]]*0.21</f>
        <v>0</v>
      </c>
      <c r="V25" s="11"/>
      <c r="W25" s="11"/>
      <c r="X25" s="11"/>
      <c r="AA25" s="11">
        <f>Tabla356813212939717274787[[#This Row],[COMISIONES]]*0.21</f>
        <v>0</v>
      </c>
      <c r="AB25" s="11"/>
      <c r="AC25" s="1"/>
      <c r="AD25" s="11"/>
      <c r="AF25" s="11"/>
      <c r="AG25" s="11">
        <f>Tabla35681314223040818284888[[#This Row],[COMISIONES]]*0.21</f>
        <v>0</v>
      </c>
      <c r="AH25" s="11"/>
      <c r="AI25" s="11"/>
      <c r="AJ25" s="11"/>
      <c r="AK25" s="11"/>
      <c r="AL25" s="11">
        <f>Tabla35611192734431121315191[[#This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Tabla13162432212223382[[#This Row],[COMISIONES]]*0.21</f>
        <v>0</v>
      </c>
      <c r="D26" s="3"/>
      <c r="E26" s="3"/>
      <c r="F26" s="3"/>
      <c r="H26" s="11"/>
      <c r="I26" s="11">
        <f>Tabla39172535313233483[[#This Row],[COMISIONES]]*0.21</f>
        <v>0</v>
      </c>
      <c r="J26" s="11"/>
      <c r="K26" s="11"/>
      <c r="L26" s="11"/>
      <c r="N26" s="11"/>
      <c r="O26" s="11">
        <f>Tabla3510182636414244484[[#This Row],[COMISIONES]]*0.21</f>
        <v>0</v>
      </c>
      <c r="P26" s="11"/>
      <c r="Q26" s="11"/>
      <c r="R26" s="11"/>
      <c r="T26" s="11"/>
      <c r="U26" s="11">
        <f>Tabla35611192737515254585[[#This Row],[COMISIONES]]*0.21</f>
        <v>0</v>
      </c>
      <c r="V26" s="11"/>
      <c r="W26" s="11"/>
      <c r="X26" s="11"/>
      <c r="AA26" s="11">
        <f>Tabla356813212939717274787[[#This Row],[COMISIONES]]*0.21</f>
        <v>0</v>
      </c>
      <c r="AB26" s="11"/>
      <c r="AC26" s="1"/>
      <c r="AD26" s="11"/>
      <c r="AF26" s="4">
        <f>SUBTOTAL(109,Tabla35681314223040818284888[COMISIONES])</f>
        <v>0</v>
      </c>
      <c r="AG26" s="4">
        <f>SUBTOTAL(109,Tabla35681314223040818284888[IVA 21])</f>
        <v>0</v>
      </c>
      <c r="AH26" s="4">
        <f>SUBTOTAL(109,Tabla35681314223040818284888[IVA 10,5])</f>
        <v>0</v>
      </c>
      <c r="AI26" s="4">
        <f>SUBTOTAL(109,Tabla35681314223040818284888[Ret IIBB Caba])</f>
        <v>0</v>
      </c>
      <c r="AJ26" s="4">
        <f>SUBTOTAL(109,Tabla35681314223040818284888[PERC IVA])</f>
        <v>0</v>
      </c>
      <c r="AK26" s="11"/>
      <c r="AL26" s="11">
        <f>Tabla35611192734431121315191[[#This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Tabla13162432212223382[[#This Row],[COMISIONES]]*0.21</f>
        <v>0</v>
      </c>
      <c r="D27" s="3"/>
      <c r="E27" s="3"/>
      <c r="F27" s="3"/>
      <c r="H27" s="11"/>
      <c r="I27" s="11">
        <f>Tabla39172535313233483[[#This Row],[COMISIONES]]*0.21</f>
        <v>0</v>
      </c>
      <c r="J27" s="11"/>
      <c r="K27" s="11"/>
      <c r="L27" s="11"/>
      <c r="N27" s="11"/>
      <c r="O27" s="11">
        <f>Tabla3510182636414244484[[#This Row],[COMISIONES]]*0.21</f>
        <v>0</v>
      </c>
      <c r="P27" s="11"/>
      <c r="Q27" s="11"/>
      <c r="R27" s="11"/>
      <c r="T27" s="11"/>
      <c r="U27" s="11">
        <f>Tabla35611192737515254585[[#This Row],[COMISIONES]]*0.21</f>
        <v>0</v>
      </c>
      <c r="V27" s="11"/>
      <c r="W27" s="11"/>
      <c r="X27" s="11"/>
      <c r="Z27" s="1"/>
      <c r="AA27" s="11">
        <f>Tabla356813212939717274787[[#This Row],[COMISIONES]]*0.21</f>
        <v>0</v>
      </c>
      <c r="AB27" s="11"/>
      <c r="AC27" s="1"/>
      <c r="AK27" s="11"/>
      <c r="AL27" s="11">
        <f>Tabla35611192734431121315191[[#This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Tabla13162432212223382[[#This Row],[COMISIONES]]*0.21</f>
        <v>0</v>
      </c>
      <c r="D28" s="3"/>
      <c r="E28" s="3"/>
      <c r="F28" s="3"/>
      <c r="H28" s="11"/>
      <c r="I28" s="11">
        <f>Tabla39172535313233483[[#This Row],[COMISIONES]]*0.21</f>
        <v>0</v>
      </c>
      <c r="J28" s="11"/>
      <c r="K28" s="11"/>
      <c r="L28" s="11"/>
      <c r="N28" s="11"/>
      <c r="O28" s="11">
        <f>Tabla3510182636414244484[[#This Row],[COMISIONES]]*0.21</f>
        <v>0</v>
      </c>
      <c r="P28" s="11"/>
      <c r="Q28" s="11"/>
      <c r="R28" s="11"/>
      <c r="T28" s="11"/>
      <c r="U28" s="11">
        <f>Tabla35611192737515254585[[#This Row],[COMISIONES]]*0.21</f>
        <v>0</v>
      </c>
      <c r="V28" s="11"/>
      <c r="W28" s="11"/>
      <c r="X28" s="11"/>
      <c r="AA28" s="11">
        <f>Tabla356813212939717274787[[#This Row],[COMISIONES]]*0.21</f>
        <v>0</v>
      </c>
      <c r="AB28" s="1"/>
      <c r="AC28" s="1"/>
      <c r="AD28" s="11"/>
      <c r="AK28" s="11"/>
      <c r="AL28" s="11">
        <f>Tabla35611192734431121315191[[#This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Tabla13162432212223382[[#This Row],[COMISIONES]]*0.21</f>
        <v>0</v>
      </c>
      <c r="D29" s="3"/>
      <c r="E29" s="3"/>
      <c r="F29" s="3"/>
      <c r="H29" s="11"/>
      <c r="I29" s="11">
        <f>Tabla39172535313233483[[#This Row],[COMISIONES]]*0.21</f>
        <v>0</v>
      </c>
      <c r="J29" s="11"/>
      <c r="K29" s="11"/>
      <c r="L29" s="11"/>
      <c r="N29" s="11"/>
      <c r="O29" s="11">
        <f>Tabla3510182636414244484[[#This Row],[COMISIONES]]*0.21</f>
        <v>0</v>
      </c>
      <c r="P29" s="11"/>
      <c r="Q29" s="11"/>
      <c r="R29" s="11"/>
      <c r="T29" s="18"/>
      <c r="U29" s="18">
        <f>Tabla35611192737515254585[[#This Row],[COMISIONES]]*0.21</f>
        <v>0</v>
      </c>
      <c r="V29" s="18"/>
      <c r="W29" s="18"/>
      <c r="X29" s="18"/>
      <c r="AA29" s="11"/>
      <c r="AB29" s="1"/>
      <c r="AD29" s="11"/>
      <c r="AK29" s="18"/>
      <c r="AL29" s="18">
        <f>Tabla35611192734431121315191[[#This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Tabla13162432212223382[[#This Row],[COMISIONES]]*0.21</f>
        <v>0</v>
      </c>
      <c r="D30" s="3"/>
      <c r="E30" s="3"/>
      <c r="F30" s="3"/>
      <c r="H30" s="11"/>
      <c r="I30" s="11">
        <f>Tabla39172535313233483[[#This Row],[COMISIONES]]*0.21</f>
        <v>0</v>
      </c>
      <c r="J30" s="11"/>
      <c r="K30" s="11"/>
      <c r="L30" s="11"/>
      <c r="N30" s="11"/>
      <c r="O30" s="11">
        <f>Tabla3510182636414244484[[#This Row],[COMISIONES]]*0.21</f>
        <v>0</v>
      </c>
      <c r="P30" s="11"/>
      <c r="Q30" s="11"/>
      <c r="R30" s="11"/>
      <c r="T30" s="18"/>
      <c r="U30" s="18">
        <f>Tabla35611192737515254585[[#This Row],[COMISIONES]]*0.21</f>
        <v>0</v>
      </c>
      <c r="V30" s="18"/>
      <c r="W30" s="18"/>
      <c r="X30" s="18"/>
      <c r="Z30" s="1"/>
      <c r="AA30" s="11">
        <f>Tabla356813212939717274787[[#This Row],[COMISIONES]]*0.21</f>
        <v>0</v>
      </c>
      <c r="AB30" s="11"/>
      <c r="AC30" s="11"/>
      <c r="AD30" s="11"/>
      <c r="AK30" s="18"/>
      <c r="AL30" s="18">
        <f>Tabla35611192734431121315191[[#This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Tabla13162432212223382[[#This Row],[COMISIONES]]*0.21</f>
        <v>0</v>
      </c>
      <c r="D31" s="3"/>
      <c r="E31" s="1"/>
      <c r="F31" s="3"/>
      <c r="H31" s="11"/>
      <c r="I31" s="11">
        <f>Tabla39172535313233483[[#This Row],[COMISIONES]]*0.21</f>
        <v>0</v>
      </c>
      <c r="J31" s="11"/>
      <c r="K31" s="11"/>
      <c r="L31" s="11"/>
      <c r="N31" s="11"/>
      <c r="O31" s="11">
        <f>Tabla3510182636414244484[[#This Row],[COMISIONES]]*0.21</f>
        <v>0</v>
      </c>
      <c r="P31" s="11"/>
      <c r="Q31" s="11"/>
      <c r="R31" s="11"/>
      <c r="T31" s="4">
        <f>SUBTOTAL(109,Tabla35611192737515254585[COMISIONES])</f>
        <v>0</v>
      </c>
      <c r="U31" s="4">
        <f>SUBTOTAL(109,Tabla35611192737515254585[IVA 21])</f>
        <v>0</v>
      </c>
      <c r="V31" s="4">
        <f>SUBTOTAL(109,Tabla35611192737515254585[IVA 10,5])</f>
        <v>0</v>
      </c>
      <c r="W31" s="4">
        <f>SUBTOTAL(109,Tabla35611192737515254585[Ret IIBB Caba])</f>
        <v>0</v>
      </c>
      <c r="X31" s="4">
        <f>SUBTOTAL(109,Tabla35611192737515254585[PERC IVA])</f>
        <v>0</v>
      </c>
      <c r="Z31" s="1"/>
      <c r="AA31" s="11">
        <f>Tabla356813212939717274787[[#This Row],[COMISIONES]]*0.21</f>
        <v>0</v>
      </c>
      <c r="AB31" s="11"/>
      <c r="AC31" s="1"/>
      <c r="AK31" s="4">
        <f>SUBTOTAL(109,Tabla35611192734431121315191[COMISIONES])</f>
        <v>1500</v>
      </c>
      <c r="AL31" s="4">
        <f>SUBTOTAL(109,Tabla35611192734431121315191[IVA 21])</f>
        <v>315</v>
      </c>
      <c r="AM31" s="4">
        <f>SUBTOTAL(109,Tabla35611192734431121315191[IVA 10,5])</f>
        <v>0</v>
      </c>
      <c r="AN31" s="4">
        <f>SUBTOTAL(109,Tabla35611192734431121315191[Ret IIBB Caba])</f>
        <v>0</v>
      </c>
      <c r="AO31" s="4">
        <f>SUBTOTAL(109,Tabla35611192734431121315191[PERC IVA])</f>
        <v>0</v>
      </c>
    </row>
    <row r="32" spans="2:41" ht="18.75" x14ac:dyDescent="0.3">
      <c r="B32" s="3"/>
      <c r="C32" s="2">
        <f>Tabla13162432212223382[[#This Row],[COMISIONES]]*0.21</f>
        <v>0</v>
      </c>
      <c r="D32" s="3"/>
      <c r="E32" s="3"/>
      <c r="F32" s="3"/>
      <c r="H32" s="11"/>
      <c r="I32" s="11">
        <f>Tabla39172535313233483[[#This Row],[COMISIONES]]*0.21</f>
        <v>0</v>
      </c>
      <c r="J32" s="11"/>
      <c r="K32" s="11"/>
      <c r="L32" s="11"/>
      <c r="N32" s="11"/>
      <c r="O32" s="11">
        <f>Tabla3510182636414244484[[#This Row],[COMISIONES]]*0.21</f>
        <v>0</v>
      </c>
      <c r="P32" s="11"/>
      <c r="Q32" s="11"/>
      <c r="R32" s="11"/>
      <c r="T32" s="42" t="s">
        <v>15</v>
      </c>
      <c r="U32" s="42"/>
      <c r="V32" s="42"/>
      <c r="W32" s="42"/>
      <c r="X32" s="42"/>
      <c r="Z32" s="1"/>
      <c r="AA32" s="11"/>
      <c r="AB32" s="1"/>
      <c r="AC32" s="11"/>
      <c r="AD32" s="11"/>
    </row>
    <row r="33" spans="2:31" x14ac:dyDescent="0.25">
      <c r="B33" s="3"/>
      <c r="C33" s="2">
        <f>Tabla13162432212223382[[#This Row],[COMISIONES]]*0.21</f>
        <v>0</v>
      </c>
      <c r="D33" s="3"/>
      <c r="E33" s="3"/>
      <c r="F33" s="3"/>
      <c r="H33" s="11"/>
      <c r="I33" s="11">
        <f>Tabla39172535313233483[[#This Row],[COMISIONES]]*0.21</f>
        <v>0</v>
      </c>
      <c r="J33" s="11"/>
      <c r="K33" s="11"/>
      <c r="L33" s="11"/>
      <c r="N33" s="11"/>
      <c r="O33" s="11">
        <f>Tabla3510182636414244484[[#This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1"/>
      <c r="AA33" s="11">
        <f>Tabla356813212939717274787[[#This Row],[COMISIONES]]*0.21</f>
        <v>0</v>
      </c>
      <c r="AB33" s="11"/>
      <c r="AC33" s="11"/>
      <c r="AD33" s="11"/>
    </row>
    <row r="34" spans="2:31" x14ac:dyDescent="0.25">
      <c r="B34" s="3"/>
      <c r="C34" s="2">
        <f>Tabla13162432212223382[[#This Row],[COMISIONES]]*0.21</f>
        <v>0</v>
      </c>
      <c r="D34" s="3"/>
      <c r="E34" s="3"/>
      <c r="F34" s="3"/>
      <c r="H34" s="11"/>
      <c r="I34" s="11">
        <f>Tabla39172535313233483[[#This Row],[COMISIONES]]*0.21</f>
        <v>0</v>
      </c>
      <c r="J34" s="11"/>
      <c r="K34" s="11"/>
      <c r="L34" s="11"/>
      <c r="N34" s="11"/>
      <c r="O34" s="11">
        <f>Tabla3510182636414244484[[#This Row],[COMISIONES]]*0.21</f>
        <v>0</v>
      </c>
      <c r="P34" s="11"/>
      <c r="Q34" s="11"/>
      <c r="R34" s="11"/>
      <c r="T34" s="11">
        <v>4297.5200000000004</v>
      </c>
      <c r="U34" s="11">
        <f>Tabla612202838616264686[[#This Row],[COMISIONES]]*0.21</f>
        <v>902.47920000000011</v>
      </c>
      <c r="V34" s="11"/>
      <c r="W34" s="11"/>
      <c r="X34" s="11"/>
      <c r="AA34" s="11">
        <f>Tabla356813212939717274787[[#This Row],[COMISIONES]]*0.21</f>
        <v>0</v>
      </c>
      <c r="AB34" s="11"/>
      <c r="AC34" s="11"/>
      <c r="AD34" s="11"/>
    </row>
    <row r="35" spans="2:31" x14ac:dyDescent="0.25">
      <c r="B35" s="3"/>
      <c r="C35" s="2">
        <f>Tabla13162432212223382[[#This Row],[COMISIONES]]*0.21</f>
        <v>0</v>
      </c>
      <c r="D35" s="3"/>
      <c r="E35" s="3"/>
      <c r="F35" s="3"/>
      <c r="H35" s="11"/>
      <c r="I35" s="11">
        <f>Tabla39172535313233483[[#This Row],[COMISIONES]]*0.21</f>
        <v>0</v>
      </c>
      <c r="J35" s="11"/>
      <c r="K35" s="11"/>
      <c r="L35" s="11"/>
      <c r="N35" s="11"/>
      <c r="O35" s="11">
        <f>Tabla3510182636414244484[[#This Row],[COMISIONES]]*0.21</f>
        <v>0</v>
      </c>
      <c r="P35" s="11"/>
      <c r="Q35" s="11"/>
      <c r="R35" s="11"/>
      <c r="T35" s="11">
        <v>406.02</v>
      </c>
      <c r="U35" s="11"/>
      <c r="V35" s="11">
        <f>Tabla612202838616264686[[#This Row],[COMISIONES]]*0.105</f>
        <v>42.632099999999994</v>
      </c>
      <c r="W35" s="11"/>
      <c r="X35" s="11"/>
      <c r="Z35" s="1"/>
      <c r="AA35" s="11">
        <f>Tabla356813212939717274787[[#This Row],[COMISIONES]]*0.21</f>
        <v>0</v>
      </c>
      <c r="AB35" s="11"/>
      <c r="AC35" s="11"/>
      <c r="AD35" s="11"/>
    </row>
    <row r="36" spans="2:31" x14ac:dyDescent="0.25">
      <c r="B36" s="3"/>
      <c r="C36" s="2">
        <f>Tabla13162432212223382[[#This Row],[COMISIONES]]*0.21</f>
        <v>0</v>
      </c>
      <c r="D36" s="3"/>
      <c r="E36" s="3"/>
      <c r="F36" s="3"/>
      <c r="H36" s="11"/>
      <c r="I36" s="11">
        <f>Tabla39172535313233483[[#This Row],[COMISIONES]]*0.21</f>
        <v>0</v>
      </c>
      <c r="J36" s="11"/>
      <c r="K36" s="11"/>
      <c r="L36" s="11"/>
      <c r="N36" s="11"/>
      <c r="O36" s="11">
        <f>Tabla3510182636414244484[[#This Row],[COMISIONES]]*0.21</f>
        <v>0</v>
      </c>
      <c r="P36" s="11"/>
      <c r="Q36" s="11"/>
      <c r="R36" s="11"/>
      <c r="T36" s="11"/>
      <c r="U36" s="19">
        <f>Tabla612202838616264686[[#This Row],[COMISIONES]]*0.21</f>
        <v>0</v>
      </c>
      <c r="Z36" s="1"/>
      <c r="AA36" s="11"/>
      <c r="AB36" s="1"/>
      <c r="AC36" s="11"/>
      <c r="AD36" s="11"/>
    </row>
    <row r="37" spans="2:31" x14ac:dyDescent="0.25">
      <c r="B37" s="3"/>
      <c r="C37" s="2">
        <f>Tabla13162432212223382[[#This Row],[COMISIONES]]*0.21</f>
        <v>0</v>
      </c>
      <c r="D37" s="3"/>
      <c r="E37" s="3"/>
      <c r="F37" s="3"/>
      <c r="H37" s="11"/>
      <c r="I37" s="11">
        <f>Tabla39172535313233483[[#This Row],[COMISIONES]]*0.21</f>
        <v>0</v>
      </c>
      <c r="J37" s="11"/>
      <c r="K37" s="11"/>
      <c r="L37" s="11"/>
      <c r="N37" s="11"/>
      <c r="O37" s="11">
        <f>Tabla3510182636414244484[[#This Row],[COMISIONES]]*0.21</f>
        <v>0</v>
      </c>
      <c r="P37" s="11"/>
      <c r="Q37" s="11"/>
      <c r="R37" s="11"/>
      <c r="T37" s="11"/>
      <c r="U37" s="19">
        <f>Tabla612202838616264686[[#This Row],[COMISIONES]]*0.21</f>
        <v>0</v>
      </c>
      <c r="AA37" s="21">
        <f>Tabla356813212939717274787[[#This Row],[COMISIONES]]*0.21</f>
        <v>0</v>
      </c>
      <c r="AB37" s="21"/>
      <c r="AC37" s="21"/>
      <c r="AD37" s="22"/>
    </row>
    <row r="38" spans="2:31" x14ac:dyDescent="0.25">
      <c r="B38" s="3"/>
      <c r="C38" s="2">
        <f>Tabla13162432212223382[[#This Row],[COMISIONES]]*0.21</f>
        <v>0</v>
      </c>
      <c r="D38" s="3"/>
      <c r="E38" s="3"/>
      <c r="F38" s="3"/>
      <c r="H38" s="11"/>
      <c r="I38" s="11">
        <f>Tabla39172535313233483[[#This Row],[COMISIONES]]*0.21</f>
        <v>0</v>
      </c>
      <c r="J38" s="11"/>
      <c r="K38" s="11"/>
      <c r="L38" s="11"/>
      <c r="N38" s="11"/>
      <c r="O38" s="11">
        <f>Tabla3510182636414244484[[#This Row],[COMISIONES]]*0.21</f>
        <v>0</v>
      </c>
      <c r="P38" s="11"/>
      <c r="Q38" s="11"/>
      <c r="R38" s="11"/>
      <c r="T38" s="11"/>
      <c r="U38" s="19">
        <f>Tabla612202838616264686[[#This Row],[COMISIONES]]*0.21</f>
        <v>0</v>
      </c>
      <c r="AA38" s="21">
        <f>Tabla356813212939717274787[[#This Row],[COMISIONES]]*0.21</f>
        <v>0</v>
      </c>
      <c r="AB38" s="1"/>
      <c r="AC38" s="1"/>
    </row>
    <row r="39" spans="2:31" x14ac:dyDescent="0.25">
      <c r="B39" s="3"/>
      <c r="C39" s="2">
        <f>Tabla13162432212223382[[#This Row],[COMISIONES]]*0.21</f>
        <v>0</v>
      </c>
      <c r="D39" s="3"/>
      <c r="E39" s="3"/>
      <c r="F39" s="3"/>
      <c r="H39" s="11"/>
      <c r="I39" s="11">
        <f>Tabla39172535313233483[[#This Row],[COMISIONES]]*0.21</f>
        <v>0</v>
      </c>
      <c r="J39" s="11"/>
      <c r="K39" s="11"/>
      <c r="L39" s="11"/>
      <c r="N39" s="11"/>
      <c r="O39" s="11">
        <f>Tabla3510182636414244484[[#This Row],[COMISIONES]]*0.21</f>
        <v>0</v>
      </c>
      <c r="P39" s="11"/>
      <c r="Q39" s="11"/>
      <c r="R39" s="11"/>
      <c r="T39" s="11"/>
      <c r="U39" s="19">
        <f>Tabla612202838616264686[[#This Row],[COMISIONES]]*0.21</f>
        <v>0</v>
      </c>
      <c r="AA39" s="21">
        <f>Tabla356813212939717274787[[#This Row],[COMISIONES]]*0.21</f>
        <v>0</v>
      </c>
      <c r="AB39" s="21"/>
      <c r="AC39" s="21"/>
      <c r="AD39" s="21"/>
    </row>
    <row r="40" spans="2:31" x14ac:dyDescent="0.25">
      <c r="B40" s="3"/>
      <c r="C40" s="2">
        <f>Tabla13162432212223382[[#This Row],[COMISIONES]]*0.21</f>
        <v>0</v>
      </c>
      <c r="D40" s="3"/>
      <c r="E40" s="3"/>
      <c r="F40" s="3"/>
      <c r="H40" s="11"/>
      <c r="I40" s="11">
        <f>Tabla39172535313233483[[#This Row],[COMISIONES]]*0.21</f>
        <v>0</v>
      </c>
      <c r="J40" s="11"/>
      <c r="K40" s="11"/>
      <c r="L40" s="11"/>
      <c r="N40" s="11"/>
      <c r="O40" s="11">
        <f>Tabla3510182636414244484[[#This Row],[COMISIONES]]*0.21</f>
        <v>0</v>
      </c>
      <c r="P40" s="11"/>
      <c r="Q40" s="11"/>
      <c r="R40" s="11"/>
      <c r="T40" s="11"/>
      <c r="U40" s="19">
        <f>Tabla612202838616264686[[#This Row],[COMISIONES]]*0.21</f>
        <v>0</v>
      </c>
      <c r="Z40" s="1"/>
      <c r="AA40" s="21">
        <f>Tabla356813212939717274787[[#This Row],[COMISIONES]]*0.21</f>
        <v>0</v>
      </c>
      <c r="AB40" s="21"/>
      <c r="AC40" s="21"/>
      <c r="AD40" s="21"/>
    </row>
    <row r="41" spans="2:31" x14ac:dyDescent="0.25">
      <c r="B41" s="3"/>
      <c r="C41" s="2">
        <f>Tabla13162432212223382[[#This Row],[COMISIONES]]*0.21</f>
        <v>0</v>
      </c>
      <c r="D41" s="3"/>
      <c r="E41" s="3"/>
      <c r="F41" s="3"/>
      <c r="H41" s="18"/>
      <c r="I41" s="18">
        <f>Tabla39172535313233483[[#This Row],[COMISIONES]]*0.21</f>
        <v>0</v>
      </c>
      <c r="J41" s="18"/>
      <c r="K41" s="18"/>
      <c r="L41" s="18"/>
      <c r="N41" s="11"/>
      <c r="O41" s="11">
        <f>Tabla3510182636414244484[[#This Row],[COMISIONES]]*0.21</f>
        <v>0</v>
      </c>
      <c r="P41" s="11"/>
      <c r="Q41" s="11"/>
      <c r="R41" s="11"/>
      <c r="T41" s="11"/>
      <c r="U41" s="19">
        <f>Tabla612202838616264686[[#This Row],[COMISIONES]]*0.21</f>
        <v>0</v>
      </c>
      <c r="Z41" s="1"/>
      <c r="AA41" s="21">
        <f>Tabla356813212939717274787[[#This Row],[COMISIONES]]*0.21</f>
        <v>0</v>
      </c>
      <c r="AB41" s="21"/>
      <c r="AC41" s="21"/>
      <c r="AD41" s="21"/>
    </row>
    <row r="42" spans="2:31" x14ac:dyDescent="0.25">
      <c r="B42" s="3"/>
      <c r="C42" s="2">
        <f>Tabla13162432212223382[[#This Row],[COMISIONES]]*0.21</f>
        <v>0</v>
      </c>
      <c r="D42" s="3"/>
      <c r="E42" s="3"/>
      <c r="F42" s="3"/>
      <c r="H42" s="18"/>
      <c r="I42" s="18">
        <f>Tabla39172535313233483[[#This Row],[COMISIONES]]*0.21</f>
        <v>0</v>
      </c>
      <c r="J42" s="18"/>
      <c r="K42" s="18"/>
      <c r="L42" s="18"/>
      <c r="N42" s="11"/>
      <c r="O42" s="11">
        <f>Tabla3510182636414244484[[#This Row],[COMISIONES]]*0.21</f>
        <v>0</v>
      </c>
      <c r="P42" s="11"/>
      <c r="Q42" s="11"/>
      <c r="R42" s="11"/>
      <c r="T42" s="11"/>
      <c r="U42" s="19">
        <f>Tabla612202838616264686[[#This Row],[COMISIONES]]*0.21</f>
        <v>0</v>
      </c>
      <c r="AA42" s="21">
        <f>Tabla356813212939717274787[[#This Row],[COMISIONES]]*0.21</f>
        <v>0</v>
      </c>
      <c r="AB42" s="21"/>
      <c r="AC42" s="21"/>
      <c r="AD42" s="21"/>
    </row>
    <row r="43" spans="2:31" x14ac:dyDescent="0.25">
      <c r="B43" s="3"/>
      <c r="C43" s="2">
        <f>Tabla13162432212223382[[#This Row],[COMISIONES]]*0.21</f>
        <v>0</v>
      </c>
      <c r="D43" s="3"/>
      <c r="E43" s="3"/>
      <c r="F43" s="3"/>
      <c r="G43" s="8"/>
      <c r="H43" s="18"/>
      <c r="I43" s="18">
        <f>Tabla39172535313233483[[#This Row],[COMISIONES]]*0.21</f>
        <v>0</v>
      </c>
      <c r="J43" s="18"/>
      <c r="K43" s="18"/>
      <c r="L43" s="18"/>
      <c r="M43" s="8"/>
      <c r="N43" s="11"/>
      <c r="O43" s="11">
        <f>Tabla3510182636414244484[[#This Row],[COMISIONES]]*0.21</f>
        <v>0</v>
      </c>
      <c r="P43" s="11"/>
      <c r="Q43" s="11"/>
      <c r="R43" s="11"/>
      <c r="S43" s="8"/>
      <c r="T43" s="11"/>
      <c r="U43" s="19">
        <f>Tabla612202838616264686[[#This Row],[COMISIONES]]*0.21</f>
        <v>0</v>
      </c>
      <c r="Y43" s="8"/>
      <c r="AA43" s="21">
        <f>Tabla356813212939717274787[[#This Row],[COMISIONES]]*0.21</f>
        <v>0</v>
      </c>
      <c r="AB43" s="21"/>
      <c r="AC43" s="21"/>
      <c r="AD43" s="21"/>
      <c r="AE43" s="8"/>
    </row>
    <row r="44" spans="2:31" x14ac:dyDescent="0.25">
      <c r="B44" s="3"/>
      <c r="C44" s="2">
        <f>Tabla13162432212223382[[#This Row],[COMISIONES]]*0.21</f>
        <v>0</v>
      </c>
      <c r="D44" s="3"/>
      <c r="E44" s="3"/>
      <c r="F44" s="3"/>
      <c r="H44" s="18"/>
      <c r="I44" s="18">
        <f>Tabla39172535313233483[[#This Row],[COMISIONES]]*0.21</f>
        <v>0</v>
      </c>
      <c r="J44" s="18"/>
      <c r="K44" s="18"/>
      <c r="L44" s="18"/>
      <c r="N44" s="11"/>
      <c r="O44" s="11">
        <f>Tabla3510182636414244484[[#This Row],[COMISIONES]]*0.21</f>
        <v>0</v>
      </c>
      <c r="P44" s="11"/>
      <c r="Q44" s="11"/>
      <c r="R44" s="11"/>
      <c r="U44" s="19">
        <f>Tabla612202838616264686[[#This Row],[COMISIONES]]*0.21</f>
        <v>0</v>
      </c>
      <c r="Z44" s="1"/>
      <c r="AA44" s="21">
        <f>Tabla356813212939717274787[[#This Row],[COMISIONES]]*0.21</f>
        <v>0</v>
      </c>
      <c r="AB44" s="21"/>
      <c r="AC44" s="21"/>
      <c r="AD44" s="21"/>
    </row>
    <row r="45" spans="2:31" x14ac:dyDescent="0.25">
      <c r="B45" s="3"/>
      <c r="C45" s="2">
        <f>Tabla13162432212223382[[#This Row],[COMISIONES]]*0.21</f>
        <v>0</v>
      </c>
      <c r="D45" s="3"/>
      <c r="E45" s="3"/>
      <c r="F45" s="3"/>
      <c r="H45" s="18"/>
      <c r="I45" s="18">
        <f>Tabla39172535313233483[[#This Row],[COMISIONES]]*0.21</f>
        <v>0</v>
      </c>
      <c r="J45" s="18"/>
      <c r="K45" s="18"/>
      <c r="L45" s="18"/>
      <c r="N45" s="11"/>
      <c r="O45" s="11">
        <f>Tabla3510182636414244484[[#This Row],[COMISIONES]]*0.21</f>
        <v>0</v>
      </c>
      <c r="P45" s="11"/>
      <c r="Q45" s="11"/>
      <c r="R45" s="11"/>
      <c r="U45" s="19">
        <f>Tabla612202838616264686[[#This Row],[COMISIONES]]*0.21</f>
        <v>0</v>
      </c>
      <c r="Z45" s="1"/>
      <c r="AA45" s="21">
        <f>Tabla356813212939717274787[[#This Row],[COMISIONES]]*0.21</f>
        <v>0</v>
      </c>
      <c r="AB45" s="21"/>
      <c r="AC45" s="21"/>
      <c r="AD45" s="21"/>
    </row>
    <row r="46" spans="2:31" x14ac:dyDescent="0.25">
      <c r="B46" s="3"/>
      <c r="C46" s="2">
        <f>Tabla13162432212223382[[#This Row],[COMISIONES]]*0.21</f>
        <v>0</v>
      </c>
      <c r="D46" s="3"/>
      <c r="E46" s="3"/>
      <c r="F46" s="3"/>
      <c r="H46" s="18"/>
      <c r="I46" s="18">
        <f>Tabla39172535313233483[[#This Row],[COMISIONES]]*0.21</f>
        <v>0</v>
      </c>
      <c r="J46" s="18"/>
      <c r="K46" s="18"/>
      <c r="L46" s="18"/>
      <c r="N46" s="11"/>
      <c r="O46" s="11">
        <f>Tabla3510182636414244484[[#This Row],[COMISIONES]]*0.21</f>
        <v>0</v>
      </c>
      <c r="P46" s="11"/>
      <c r="Q46" s="11"/>
      <c r="R46" s="11"/>
      <c r="U46" s="19">
        <f>Tabla612202838616264686[[#This Row],[COMISIONES]]*0.21</f>
        <v>0</v>
      </c>
      <c r="AA46" s="21">
        <f>Tabla356813212939717274787[[#This Row],[COMISIONES]]*0.21</f>
        <v>0</v>
      </c>
      <c r="AB46" s="21"/>
      <c r="AC46" s="21"/>
      <c r="AD46" s="21"/>
    </row>
    <row r="47" spans="2:31" x14ac:dyDescent="0.25">
      <c r="B47" s="3"/>
      <c r="C47" s="2">
        <f>Tabla13162432212223382[[#This Row],[COMISIONES]]*0.21</f>
        <v>0</v>
      </c>
      <c r="D47" s="3"/>
      <c r="E47" s="3"/>
      <c r="F47" s="3"/>
      <c r="H47" s="18"/>
      <c r="I47" s="18">
        <f>Tabla39172535313233483[[#This Row],[COMISIONES]]*0.21</f>
        <v>0</v>
      </c>
      <c r="J47" s="18"/>
      <c r="K47" s="18"/>
      <c r="L47" s="18"/>
      <c r="N47" s="11"/>
      <c r="O47" s="11">
        <f>Tabla3510182636414244484[[#This Row],[COMISIONES]]*0.21</f>
        <v>0</v>
      </c>
      <c r="P47" s="11"/>
      <c r="Q47" s="11"/>
      <c r="R47" s="11"/>
      <c r="U47" s="19">
        <f>Tabla612202838616264686[[#This Row],[COMISIONES]]*0.21</f>
        <v>0</v>
      </c>
      <c r="AA47" s="21">
        <f>Tabla356813212939717274787[[#This Row],[COMISIONES]]*0.21</f>
        <v>0</v>
      </c>
      <c r="AB47" s="21"/>
      <c r="AC47" s="21"/>
      <c r="AD47" s="21"/>
    </row>
    <row r="48" spans="2:31" x14ac:dyDescent="0.25">
      <c r="B48" s="3"/>
      <c r="C48" s="2">
        <f>Tabla13162432212223382[[#This Row],[COMISIONES]]*0.21</f>
        <v>0</v>
      </c>
      <c r="D48" s="3"/>
      <c r="E48" s="3"/>
      <c r="F48" s="3"/>
      <c r="H48" s="18"/>
      <c r="I48" s="18">
        <f>Tabla39172535313233483[[#This Row],[COMISIONES]]*0.21</f>
        <v>0</v>
      </c>
      <c r="J48" s="18"/>
      <c r="K48" s="18"/>
      <c r="L48" s="18"/>
      <c r="N48" s="11"/>
      <c r="O48" s="11">
        <f>Tabla3510182636414244484[[#This Row],[COMISIONES]]*0.21</f>
        <v>0</v>
      </c>
      <c r="P48" s="11"/>
      <c r="Q48" s="11"/>
      <c r="R48" s="11"/>
      <c r="U48" s="19">
        <f>Tabla612202838616264686[[#This Row],[COMISIONES]]*0.21</f>
        <v>0</v>
      </c>
      <c r="Z48" s="1"/>
      <c r="AA48" s="21">
        <f>Tabla356813212939717274787[[#This Row],[COMISIONES]]*0.21</f>
        <v>0</v>
      </c>
      <c r="AB48" s="21"/>
      <c r="AC48" s="21"/>
      <c r="AD48" s="21"/>
    </row>
    <row r="49" spans="1:41" x14ac:dyDescent="0.25">
      <c r="B49" s="3"/>
      <c r="C49" s="2">
        <f>Tabla13162432212223382[[#This Row],[COMISIONES]]*0.21</f>
        <v>0</v>
      </c>
      <c r="D49" s="3"/>
      <c r="E49" s="3"/>
      <c r="F49" s="3"/>
      <c r="H49" s="18"/>
      <c r="I49" s="18">
        <f>Tabla39172535313233483[[#This Row],[COMISIONES]]*0.21</f>
        <v>0</v>
      </c>
      <c r="J49" s="18"/>
      <c r="K49" s="18"/>
      <c r="L49" s="18"/>
      <c r="N49" s="11"/>
      <c r="O49" s="11">
        <f>Tabla3510182636414244484[[#This Row],[COMISIONES]]*0.21</f>
        <v>0</v>
      </c>
      <c r="P49" s="11"/>
      <c r="Q49" s="11"/>
      <c r="R49" s="11"/>
      <c r="U49" s="19">
        <f>Tabla612202838616264686[[#This Row],[COMISIONES]]*0.21</f>
        <v>0</v>
      </c>
      <c r="AA49" s="21"/>
      <c r="AB49" s="1"/>
      <c r="AC49" s="21"/>
      <c r="AD49" s="21"/>
    </row>
    <row r="50" spans="1:41" s="6" customFormat="1" x14ac:dyDescent="0.25">
      <c r="A50"/>
      <c r="B50" s="3"/>
      <c r="C50" s="2">
        <f>Tabla13162432212223382[[#This Row],[COMISIONES]]*0.21</f>
        <v>0</v>
      </c>
      <c r="D50" s="3"/>
      <c r="E50" s="3"/>
      <c r="F50" s="3"/>
      <c r="H50" s="18"/>
      <c r="I50" s="18">
        <f>Tabla39172535313233483[[#This Row],[COMISIONES]]*0.21</f>
        <v>0</v>
      </c>
      <c r="J50" s="18"/>
      <c r="K50" s="18"/>
      <c r="L50" s="18"/>
      <c r="N50" s="11"/>
      <c r="O50" s="11">
        <f>Tabla3510182636414244484[[#This Row],[COMISIONES]]*0.21</f>
        <v>0</v>
      </c>
      <c r="P50" s="11"/>
      <c r="Q50" s="11"/>
      <c r="R50" s="11"/>
      <c r="T50"/>
      <c r="U50" s="19">
        <f>Tabla612202838616264686[[#This Row],[COMISIONES]]*0.21</f>
        <v>0</v>
      </c>
      <c r="V50"/>
      <c r="W50"/>
      <c r="X50"/>
      <c r="Z50"/>
      <c r="AA50" s="21">
        <f>Tabla356813212939717274787[[#This Row],[COMISIONES]]*0.21</f>
        <v>0</v>
      </c>
      <c r="AB50" s="21"/>
      <c r="AC50" s="21"/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Tabla13162432212223382[[#This Row],[COMISIONES]]*0.21</f>
        <v>0</v>
      </c>
      <c r="D51" s="2"/>
      <c r="E51" s="2"/>
      <c r="F51"/>
      <c r="H51" s="18"/>
      <c r="I51" s="18">
        <f>Tabla39172535313233483[[#This Row],[COMISIONES]]*0.21</f>
        <v>0</v>
      </c>
      <c r="J51" s="18"/>
      <c r="K51" s="18"/>
      <c r="L51" s="18"/>
      <c r="N51" s="11"/>
      <c r="O51" s="11">
        <f>Tabla3510182636414244484[[#This Row],[COMISIONES]]*0.21</f>
        <v>0</v>
      </c>
      <c r="P51" s="11"/>
      <c r="Q51" s="11"/>
      <c r="R51" s="11"/>
      <c r="T51"/>
      <c r="U51" s="19">
        <f>Tabla612202838616264686[[#This Row],[COMISIONES]]*0.21</f>
        <v>0</v>
      </c>
      <c r="V51"/>
      <c r="W51"/>
      <c r="X51"/>
      <c r="Z51"/>
      <c r="AA51" s="21">
        <f>Tabla356813212939717274787[[#This Row],[COMISIONES]]*0.21</f>
        <v>0</v>
      </c>
      <c r="AB51" s="21"/>
      <c r="AC51" s="21"/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Tabla13162432212223382[[#This Row],[COMISIONES]]*0.21</f>
        <v>0</v>
      </c>
      <c r="D52" s="2"/>
      <c r="E52" s="2"/>
      <c r="F52"/>
      <c r="H52" s="18"/>
      <c r="I52" s="18">
        <f>Tabla39172535313233483[[#This Row],[COMISIONES]]*0.21</f>
        <v>0</v>
      </c>
      <c r="J52" s="18"/>
      <c r="K52" s="18"/>
      <c r="L52" s="18"/>
      <c r="N52" s="11"/>
      <c r="O52" s="11">
        <f>Tabla3510182636414244484[[#This Row],[COMISIONES]]*0.21</f>
        <v>0</v>
      </c>
      <c r="P52" s="11"/>
      <c r="Q52" s="11"/>
      <c r="R52" s="11"/>
      <c r="T52"/>
      <c r="U52" s="19">
        <f>Tabla612202838616264686[[#This Row],[COMISIONES]]*0.21</f>
        <v>0</v>
      </c>
      <c r="V52"/>
      <c r="W52"/>
      <c r="X52"/>
      <c r="Z52" s="1"/>
      <c r="AA52" s="21">
        <f>Tabla356813212939717274787[[#This Row],[COMISIONES]]*0.21</f>
        <v>0</v>
      </c>
      <c r="AB52" s="21"/>
      <c r="AC52" s="21"/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Tabla13162432212223382[[#This Row],[COMISIONES]]*0.21</f>
        <v>0</v>
      </c>
      <c r="D53" s="2"/>
      <c r="E53" s="2"/>
      <c r="F53"/>
      <c r="H53" s="24">
        <f>SUBTOTAL(109,Tabla39172535313233483[COMISIONES])</f>
        <v>0</v>
      </c>
      <c r="I53" s="24">
        <f>SUBTOTAL(109,Tabla39172535313233483[IVA 21])</f>
        <v>0</v>
      </c>
      <c r="J53" s="24">
        <f>SUBTOTAL(109,Tabla39172535313233483[IVA 10,5])</f>
        <v>0</v>
      </c>
      <c r="K53" s="24">
        <f>SUBTOTAL(109,Tabla39172535313233483[Ret IIBB Caba])</f>
        <v>0</v>
      </c>
      <c r="L53" s="24">
        <f>SUBTOTAL(109,Tabla39172535313233483[PERC IVA])</f>
        <v>0</v>
      </c>
      <c r="N53" s="11"/>
      <c r="O53" s="11">
        <f>Tabla3510182636414244484[[#This Row],[COMISIONES]]*0.21</f>
        <v>0</v>
      </c>
      <c r="P53" s="11"/>
      <c r="Q53" s="11"/>
      <c r="R53" s="11"/>
      <c r="T53"/>
      <c r="U53" s="19">
        <f>Tabla612202838616264686[[#This Row],[COMISIONES]]*0.21</f>
        <v>0</v>
      </c>
      <c r="V53"/>
      <c r="W53"/>
      <c r="X53"/>
      <c r="Z53" s="1"/>
      <c r="AA53" s="21"/>
      <c r="AB53" s="1"/>
      <c r="AC53" s="21"/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Tabla13162432212223382[[#This Row],[COMISIONES]]*0.21</f>
        <v>0</v>
      </c>
      <c r="D54" s="2"/>
      <c r="E54" s="2"/>
      <c r="F54"/>
      <c r="H54" s="41" t="s">
        <v>29</v>
      </c>
      <c r="I54" s="41"/>
      <c r="J54" s="41"/>
      <c r="K54" s="41"/>
      <c r="L54" s="41"/>
      <c r="N54" s="11"/>
      <c r="O54" s="11">
        <f>Tabla3510182636414244484[[#This Row],[COMISIONES]]*0.21</f>
        <v>0</v>
      </c>
      <c r="P54" s="11"/>
      <c r="Q54" s="11"/>
      <c r="R54" s="11"/>
      <c r="T54"/>
      <c r="U54" s="19">
        <f>Tabla612202838616264686[[#This Row],[COMISIONES]]*0.21</f>
        <v>0</v>
      </c>
      <c r="V54"/>
      <c r="W54"/>
      <c r="X54"/>
      <c r="Z54" s="1"/>
      <c r="AA54" s="21">
        <f>Tabla356813212939717274787[[#This Row],[COMISIONES]]*0.21</f>
        <v>0</v>
      </c>
      <c r="AB54" s="21"/>
      <c r="AC54" s="1"/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Tabla13162432212223382[[#This Row],[COMISIONES]]*0.21</f>
        <v>0</v>
      </c>
      <c r="D55" s="2"/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Tabla3510182636414244484[[#This Row],[COMISIONES]]*0.21</f>
        <v>0</v>
      </c>
      <c r="P55" s="11"/>
      <c r="Q55" s="11"/>
      <c r="R55" s="11"/>
      <c r="T55"/>
      <c r="U55" s="19">
        <f>Tabla612202838616264686[[#This Row],[COMISIONES]]*0.21</f>
        <v>0</v>
      </c>
      <c r="V55"/>
      <c r="W55"/>
      <c r="X55"/>
      <c r="Z55"/>
      <c r="AA55" s="21">
        <f>Tabla356813212939717274787[[#This Row],[COMISIONES]]*0.21</f>
        <v>0</v>
      </c>
      <c r="AB55"/>
      <c r="AC55" s="1"/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Tabla13162432212223382[[#This Row],[COMISIONES]]*0.21</f>
        <v>0</v>
      </c>
      <c r="D56" s="2"/>
      <c r="E56" s="2"/>
      <c r="F56"/>
      <c r="H56" s="1">
        <v>143495</v>
      </c>
      <c r="I56" s="11">
        <f>Tabla3915233141919294989[[#This Row],[COMISIONES]]*0.21</f>
        <v>30133.949999999997</v>
      </c>
      <c r="J56" s="11"/>
      <c r="K56" s="11"/>
      <c r="L56" s="1"/>
      <c r="N56" s="11"/>
      <c r="O56" s="11">
        <f>Tabla3510182636414244484[[#This Row],[COMISIONES]]*0.21</f>
        <v>0</v>
      </c>
      <c r="P56" s="11"/>
      <c r="Q56" s="11"/>
      <c r="R56" s="11"/>
      <c r="T56"/>
      <c r="U56" s="19">
        <f>Tabla612202838616264686[[#This Row],[COMISIONES]]*0.21</f>
        <v>0</v>
      </c>
      <c r="V56"/>
      <c r="W56"/>
      <c r="X56"/>
      <c r="Z56"/>
      <c r="AA56" s="21">
        <f>Tabla356813212939717274787[[#This Row],[COMISIONES]]*0.21</f>
        <v>0</v>
      </c>
      <c r="AB56" s="21"/>
      <c r="AC56"/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Tabla13162432212223382[[#This Row],[COMISIONES]]*0.21</f>
        <v>0</v>
      </c>
      <c r="D57" s="2"/>
      <c r="E57" s="2"/>
      <c r="F57"/>
      <c r="H57" s="11"/>
      <c r="I57" s="11">
        <f>Tabla3915233141919294989[[#This Row],[COMISIONES]]*0.21</f>
        <v>0</v>
      </c>
      <c r="J57" s="11"/>
      <c r="K57" s="11"/>
      <c r="L57" s="21"/>
      <c r="N57" s="11"/>
      <c r="O57" s="11">
        <f>Tabla3510182636414244484[[#This Row],[COMISIONES]]*0.21</f>
        <v>0</v>
      </c>
      <c r="P57" s="11"/>
      <c r="Q57" s="11"/>
      <c r="R57" s="11"/>
      <c r="T57"/>
      <c r="U57" s="19">
        <f>Tabla612202838616264686[[#This Row],[COMISIONES]]*0.21</f>
        <v>0</v>
      </c>
      <c r="V57"/>
      <c r="W57"/>
      <c r="X57"/>
      <c r="Z57"/>
      <c r="AA57" s="21">
        <f>Tabla356813212939717274787[[#This Row],[COMISIONES]]*0.21</f>
        <v>0</v>
      </c>
      <c r="AB57" s="21"/>
      <c r="AC57" s="21"/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Tabla13162432212223382[[#This Row],[COMISIONES]]*0.21</f>
        <v>0</v>
      </c>
      <c r="D58" s="1"/>
      <c r="E58" s="2"/>
      <c r="F58"/>
      <c r="H58" s="11"/>
      <c r="I58" s="11">
        <f>Tabla3915233141919294989[[#This Row],[COMISIONES]]*0.21</f>
        <v>0</v>
      </c>
      <c r="J58" s="11"/>
      <c r="K58" s="11"/>
      <c r="L58" s="11"/>
      <c r="N58" s="11"/>
      <c r="O58" s="11">
        <f>Tabla3510182636414244484[[#This Row],[COMISIONES]]*0.21</f>
        <v>0</v>
      </c>
      <c r="P58" s="11"/>
      <c r="Q58" s="11"/>
      <c r="R58" s="11"/>
      <c r="T58"/>
      <c r="U58" s="19">
        <f>Tabla612202838616264686[[#This Row],[COMISIONES]]*0.21</f>
        <v>0</v>
      </c>
      <c r="V58"/>
      <c r="W58"/>
      <c r="X58"/>
      <c r="Z58"/>
      <c r="AA58" s="21">
        <f>Tabla356813212939717274787[[#This Row],[COMISIONES]]*0.21</f>
        <v>0</v>
      </c>
      <c r="AB58" s="21"/>
      <c r="AC58" s="21"/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Tabla13162432212223382[[#This Row],[COMISIONES]]*0.21</f>
        <v>0</v>
      </c>
      <c r="D59" s="2"/>
      <c r="E59" s="2"/>
      <c r="F59"/>
      <c r="H59" s="11"/>
      <c r="I59" s="11">
        <f>Tabla3915233141919294989[[#This Row],[COMISIONES]]*0.21</f>
        <v>0</v>
      </c>
      <c r="J59" s="11"/>
      <c r="K59" s="11"/>
      <c r="L59" s="11"/>
      <c r="N59" s="11"/>
      <c r="O59" s="11">
        <f>Tabla3510182636414244484[[#This Row],[COMISIONES]]*0.21</f>
        <v>0</v>
      </c>
      <c r="P59" s="11"/>
      <c r="Q59" s="11"/>
      <c r="R59" s="11"/>
      <c r="T59"/>
      <c r="U59" s="19">
        <f>Tabla612202838616264686[[#This Row],[COMISIONES]]*0.21</f>
        <v>0</v>
      </c>
      <c r="V59"/>
      <c r="W59"/>
      <c r="X59"/>
      <c r="Z59"/>
      <c r="AA59" s="21">
        <f>Tabla356813212939717274787[[#This Row],[COMISIONES]]*0.21</f>
        <v>0</v>
      </c>
      <c r="AB59" s="21"/>
      <c r="AC59" s="21"/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Tabla13162432212223382[[#This Row],[COMISIONES]]*0.21</f>
        <v>0</v>
      </c>
      <c r="D60" s="2"/>
      <c r="E60" s="2"/>
      <c r="F60"/>
      <c r="H60" s="11"/>
      <c r="I60" s="11">
        <f>Tabla3915233141919294989[[#This Row],[COMISIONES]]*0.21</f>
        <v>0</v>
      </c>
      <c r="J60" s="11"/>
      <c r="K60" s="11"/>
      <c r="L60" s="11"/>
      <c r="N60" s="11"/>
      <c r="O60" s="11">
        <f>Tabla3510182636414244484[[#This Row],[COMISIONES]]*0.21</f>
        <v>0</v>
      </c>
      <c r="P60" s="11"/>
      <c r="Q60" s="11"/>
      <c r="R60" s="11"/>
      <c r="T60"/>
      <c r="U60" s="19">
        <f>Tabla612202838616264686[[#This Row],[COMISIONES]]*0.21</f>
        <v>0</v>
      </c>
      <c r="V60"/>
      <c r="W60"/>
      <c r="X60"/>
      <c r="Z60"/>
      <c r="AA60" s="21">
        <f>Tabla356813212939717274787[[#This Row],[COMISIONES]]*0.21</f>
        <v>0</v>
      </c>
      <c r="AB60" s="21"/>
      <c r="AC60" s="21"/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SUBTOTAL(109,Tabla13162432212223382[COMISIONES])</f>
        <v>0</v>
      </c>
      <c r="C61" s="4">
        <f>SUBTOTAL(109,Tabla13162432212223382[IVA 21])</f>
        <v>0</v>
      </c>
      <c r="D61" s="4">
        <f>SUBTOTAL(109,Tabla13162432212223382[IVA 10,5])</f>
        <v>0</v>
      </c>
      <c r="E61" s="4">
        <f>SUBTOTAL(109,Tabla13162432212223382[Ret IIBB Caba])</f>
        <v>0</v>
      </c>
      <c r="F61" s="4">
        <f>SUBTOTAL(109,Tabla13162432212223382[PERC IVA])</f>
        <v>0</v>
      </c>
      <c r="H61" s="11"/>
      <c r="I61" s="11">
        <f>Tabla3915233141919294989[[#This Row],[COMISIONES]]*0.21</f>
        <v>0</v>
      </c>
      <c r="J61" s="11"/>
      <c r="K61" s="11"/>
      <c r="L61" s="11"/>
      <c r="N61" s="11"/>
      <c r="O61" s="11">
        <f>Tabla3510182636414244484[[#This Row],[COMISIONES]]*0.21</f>
        <v>0</v>
      </c>
      <c r="P61" s="11"/>
      <c r="Q61" s="11"/>
      <c r="R61" s="11"/>
      <c r="T61"/>
      <c r="U61" s="19">
        <f>Tabla612202838616264686[[#This Row],[COMISIONES]]*0.21</f>
        <v>0</v>
      </c>
      <c r="V61"/>
      <c r="W61"/>
      <c r="X61"/>
      <c r="Z61"/>
      <c r="AA61" s="21">
        <f>Tabla356813212939717274787[[#This Row],[COMISIONES]]*0.21</f>
        <v>0</v>
      </c>
      <c r="AB61" s="21"/>
      <c r="AC61" s="21"/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Tabla3915233141919294989[[#This Row],[COMISIONES]]*0.21</f>
        <v>0</v>
      </c>
      <c r="J62" s="11"/>
      <c r="K62" s="11"/>
      <c r="L62" s="11"/>
      <c r="N62" s="11"/>
      <c r="O62" s="11">
        <f>Tabla3510182636414244484[[#This Row],[COMISIONES]]*0.21</f>
        <v>0</v>
      </c>
      <c r="P62" s="11"/>
      <c r="Q62" s="11"/>
      <c r="R62" s="11"/>
      <c r="T62" s="17">
        <f>SUBTOTAL(109,Tabla612202838616264686[COMISIONES])</f>
        <v>4703.5400000000009</v>
      </c>
      <c r="U62" s="17">
        <f>SUBTOTAL(109,Tabla612202838616264686[IVA 21])</f>
        <v>902.47920000000011</v>
      </c>
      <c r="V62" s="17">
        <f>SUBTOTAL(109,Tabla612202838616264686[IVA 10,5])</f>
        <v>42.632099999999994</v>
      </c>
      <c r="W62" s="17">
        <f>SUBTOTAL(109,Tabla612202838616264686[Ret IIBB Caba])</f>
        <v>0</v>
      </c>
      <c r="X62" s="17">
        <f>SUBTOTAL(109,Tabla612202838616264686[PERC IVA])</f>
        <v>0</v>
      </c>
      <c r="Z62"/>
      <c r="AA62" s="21">
        <f>Tabla356813212939717274787[[#This Row],[COMISIONES]]*0.21</f>
        <v>0</v>
      </c>
      <c r="AB62" s="21"/>
      <c r="AC62" s="21"/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Tabla3915233141919294989[[#This Row],[COMISIONES]]*0.21</f>
        <v>0</v>
      </c>
      <c r="J63" s="11"/>
      <c r="K63" s="11"/>
      <c r="L63" s="11"/>
      <c r="N63" s="11"/>
      <c r="O63" s="11">
        <f>Tabla3510182636414244484[[#This Row],[COMISIONES]]*0.21</f>
        <v>0</v>
      </c>
      <c r="P63" s="11"/>
      <c r="Q63" s="11"/>
      <c r="R63" s="11"/>
      <c r="T63"/>
      <c r="U63"/>
      <c r="V63"/>
      <c r="W63"/>
      <c r="X63"/>
      <c r="Z63"/>
      <c r="AA63" s="21">
        <f>Tabla356813212939717274787[[#This Row],[COMISIONES]]*0.21</f>
        <v>0</v>
      </c>
      <c r="AB63" s="21"/>
      <c r="AC63" s="21"/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Tabla3915233141919294989[[#This Row],[COMISIONES]]*0.21</f>
        <v>0</v>
      </c>
      <c r="J64" s="11"/>
      <c r="K64" s="11"/>
      <c r="L64" s="11"/>
      <c r="N64" s="11"/>
      <c r="O64" s="11">
        <f>Tabla3510182636414244484[[#This Row],[COMISIONES]]*0.21</f>
        <v>0</v>
      </c>
      <c r="P64" s="11"/>
      <c r="Q64" s="11"/>
      <c r="R64" s="11"/>
      <c r="T64" s="41" t="s">
        <v>31</v>
      </c>
      <c r="U64" s="41"/>
      <c r="V64" s="41"/>
      <c r="W64" s="41"/>
      <c r="X64" s="41"/>
      <c r="Z64"/>
      <c r="AA64" s="21">
        <f>Tabla356813212939717274787[[#This Row],[COMISIONES]]*0.21</f>
        <v>0</v>
      </c>
      <c r="AB64" s="1"/>
      <c r="AC64" s="21"/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Tabla3915233141919294989[[#This Row],[COMISIONES]]*0.21</f>
        <v>0</v>
      </c>
      <c r="J65" s="11"/>
      <c r="K65" s="11"/>
      <c r="L65" s="11"/>
      <c r="N65" s="11"/>
      <c r="O65" s="11">
        <f>Tabla3510182636414244484[[#This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/>
      <c r="AA65" s="21">
        <f>Tabla356813212939717274787[[#This Row],[COMISIONES]]*0.21</f>
        <v>0</v>
      </c>
      <c r="AB65" s="21"/>
      <c r="AC65" s="21"/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Tabla3915233141919294989[[#This Row],[COMISIONES]]*0.21</f>
        <v>0</v>
      </c>
      <c r="J66" s="11"/>
      <c r="K66" s="11"/>
      <c r="L66" s="11"/>
      <c r="N66" s="11"/>
      <c r="O66" s="11">
        <f>Tabla3510182636414244484[[#This Row],[COMISIONES]]*0.21</f>
        <v>0</v>
      </c>
      <c r="P66" s="11"/>
      <c r="Q66" s="11"/>
      <c r="R66" s="11"/>
      <c r="T66" s="11"/>
      <c r="U66" s="11">
        <f>Tabla612202833421020305090[[#This Row],[COMISIONES]]*0.21</f>
        <v>0</v>
      </c>
      <c r="V66" s="11"/>
      <c r="W66" s="1"/>
      <c r="X66" s="11"/>
      <c r="Z66"/>
      <c r="AA66" s="21">
        <f>Tabla356813212939717274787[[#This Row],[COMISIONES]]*0.21</f>
        <v>0</v>
      </c>
      <c r="AB66" s="21"/>
      <c r="AC66" s="21"/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Tabla3915233141919294989[[#This Row],[COMISIONES]]*0.21</f>
        <v>0</v>
      </c>
      <c r="J67" s="11"/>
      <c r="K67" s="11"/>
      <c r="L67" s="11"/>
      <c r="N67" s="18"/>
      <c r="O67" s="11">
        <f>Tabla3510182636414244484[[#This Row],[COMISIONES]]*0.21</f>
        <v>0</v>
      </c>
      <c r="P67" s="18"/>
      <c r="Q67" s="18"/>
      <c r="R67" s="18"/>
      <c r="T67" s="11"/>
      <c r="U67" s="11">
        <f>Tabla612202833421020305090[[#This Row],[COMISIONES]]*0.21</f>
        <v>0</v>
      </c>
      <c r="V67" s="11"/>
      <c r="W67" s="11"/>
      <c r="X67" s="11"/>
      <c r="Z67"/>
      <c r="AA67" s="21">
        <f>Tabla356813212939717274787[[#This Row],[COMISIONES]]*0.21</f>
        <v>0</v>
      </c>
      <c r="AB67" s="21"/>
      <c r="AC67" s="21"/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Tabla3915233141919294989[[#This Row],[COMISIONES]]*0.21</f>
        <v>0</v>
      </c>
      <c r="J68" s="11"/>
      <c r="K68" s="11"/>
      <c r="L68" s="11"/>
      <c r="N68" s="18"/>
      <c r="O68" s="11">
        <f>Tabla3510182636414244484[[#This Row],[COMISIONES]]*0.21</f>
        <v>0</v>
      </c>
      <c r="P68" s="18"/>
      <c r="Q68" s="18"/>
      <c r="R68" s="18"/>
      <c r="T68" s="11"/>
      <c r="U68" s="19">
        <f>Tabla612202833421020305090[[#This Row],[COMISIONES]]*0.21</f>
        <v>0</v>
      </c>
      <c r="V68"/>
      <c r="W68" s="1"/>
      <c r="X68"/>
      <c r="Z68"/>
      <c r="AA68" s="21">
        <f>Tabla356813212939717274787[[#This Row],[COMISIONES]]*0.21</f>
        <v>0</v>
      </c>
      <c r="AB68" s="21"/>
      <c r="AC68" s="21"/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Tabla3915233141919294989[[#This Row],[COMISIONES]]*0.21</f>
        <v>0</v>
      </c>
      <c r="J69" s="11"/>
      <c r="K69" s="11"/>
      <c r="L69" s="11"/>
      <c r="N69" s="18"/>
      <c r="O69" s="11">
        <f>Tabla3510182636414244484[[#This Row],[COMISIONES]]*0.21</f>
        <v>0</v>
      </c>
      <c r="P69" s="18"/>
      <c r="Q69" s="18"/>
      <c r="R69" s="18"/>
      <c r="T69" s="11"/>
      <c r="U69" s="19">
        <f>Tabla612202833421020305090[[#This Row],[COMISIONES]]*0.21</f>
        <v>0</v>
      </c>
      <c r="V69"/>
      <c r="W69"/>
      <c r="X69"/>
      <c r="Z69"/>
      <c r="AA69" s="21">
        <f>Tabla356813212939717274787[[#This Row],[COMISIONES]]*0.21</f>
        <v>0</v>
      </c>
      <c r="AB69" s="21"/>
      <c r="AC69" s="21"/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Tabla3915233141919294989[[#This Row],[COMISIONES]]*0.21</f>
        <v>0</v>
      </c>
      <c r="J70" s="11"/>
      <c r="K70" s="11"/>
      <c r="L70" s="11"/>
      <c r="N70" s="18"/>
      <c r="O70" s="11">
        <f>Tabla3510182636414244484[[#This Row],[COMISIONES]]*0.21</f>
        <v>0</v>
      </c>
      <c r="P70" s="18"/>
      <c r="Q70" s="18"/>
      <c r="R70" s="18"/>
      <c r="T70" s="11"/>
      <c r="U70" s="19">
        <f>Tabla612202833421020305090[[#This Row],[COMISIONES]]*0.21</f>
        <v>0</v>
      </c>
      <c r="V70"/>
      <c r="W70"/>
      <c r="X70"/>
      <c r="Z70"/>
      <c r="AA70" s="21">
        <f>Tabla356813212939717274787[[#This Row],[COMISIONES]]*0.21</f>
        <v>0</v>
      </c>
      <c r="AB70" s="21"/>
      <c r="AC70" s="21"/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Tabla3915233141919294989[[#This Row],[COMISIONES]]*0.21</f>
        <v>0</v>
      </c>
      <c r="J71" s="11"/>
      <c r="K71" s="11"/>
      <c r="L71" s="11"/>
      <c r="N71" s="18"/>
      <c r="O71" s="11">
        <f>Tabla3510182636414244484[[#This Row],[COMISIONES]]*0.21</f>
        <v>0</v>
      </c>
      <c r="P71" s="18"/>
      <c r="Q71" s="18"/>
      <c r="R71" s="18"/>
      <c r="T71" s="11"/>
      <c r="U71" s="19">
        <f>Tabla612202833421020305090[[#This Row],[COMISIONES]]*0.21</f>
        <v>0</v>
      </c>
      <c r="V71"/>
      <c r="W71"/>
      <c r="X71"/>
      <c r="Z71"/>
      <c r="AA71" s="21">
        <f>Tabla356813212939717274787[[#This Row],[COMISIONES]]*0.21</f>
        <v>0</v>
      </c>
      <c r="AB71" s="21"/>
      <c r="AC71" s="21"/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Tabla3915233141919294989[[#This Row],[COMISIONES]]*0.21</f>
        <v>0</v>
      </c>
      <c r="J72" s="11"/>
      <c r="K72" s="11"/>
      <c r="L72" s="11"/>
      <c r="N72" s="18"/>
      <c r="O72" s="11">
        <f>Tabla3510182636414244484[[#This Row],[COMISIONES]]*0.21</f>
        <v>0</v>
      </c>
      <c r="P72" s="18"/>
      <c r="Q72" s="18"/>
      <c r="R72" s="18"/>
      <c r="T72" s="11"/>
      <c r="U72" s="19">
        <f>Tabla612202833421020305090[[#This Row],[COMISIONES]]*0.21</f>
        <v>0</v>
      </c>
      <c r="V72"/>
      <c r="W72"/>
      <c r="X72"/>
      <c r="Z72" s="1"/>
      <c r="AA72" s="21">
        <f>Tabla356813212939717274787[[#This Row],[COMISIONES]]*0.21</f>
        <v>0</v>
      </c>
      <c r="AB72" s="21"/>
      <c r="AC72" s="21"/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Tabla3915233141919294989[[#This Row],[COMISIONES]]*0.21</f>
        <v>0</v>
      </c>
      <c r="J73" s="11"/>
      <c r="K73" s="11"/>
      <c r="L73" s="11"/>
      <c r="N73" s="18"/>
      <c r="O73" s="11">
        <f>Tabla3510182636414244484[[#This Row],[COMISIONES]]*0.21</f>
        <v>0</v>
      </c>
      <c r="P73" s="18"/>
      <c r="Q73" s="18"/>
      <c r="R73" s="18"/>
      <c r="T73" s="11"/>
      <c r="U73" s="19">
        <f>Tabla612202833421020305090[[#This Row],[COMISIONES]]*0.21</f>
        <v>0</v>
      </c>
      <c r="V73"/>
      <c r="W73"/>
      <c r="X73"/>
      <c r="Z73" s="1"/>
      <c r="AA73" s="21"/>
      <c r="AB73" s="1"/>
      <c r="AC73" s="1"/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Tabla3915233141919294989[[#This Row],[COMISIONES]]*0.21</f>
        <v>0</v>
      </c>
      <c r="J74" s="11"/>
      <c r="K74" s="11"/>
      <c r="L74" s="11"/>
      <c r="N74" s="18"/>
      <c r="O74" s="11">
        <f>Tabla3510182636414244484[[#This Row],[COMISIONES]]*0.21</f>
        <v>0</v>
      </c>
      <c r="P74" s="18"/>
      <c r="Q74" s="18"/>
      <c r="R74" s="18"/>
      <c r="T74" s="11"/>
      <c r="U74" s="19">
        <f>Tabla612202833421020305090[[#This Row],[COMISIONES]]*0.21</f>
        <v>0</v>
      </c>
      <c r="V74"/>
      <c r="W74"/>
      <c r="X74"/>
      <c r="Z74" s="1"/>
      <c r="AA74" s="21">
        <f>Tabla356813212939717274787[[#This Row],[COMISIONES]]*0.21</f>
        <v>0</v>
      </c>
      <c r="AB74"/>
      <c r="AC74"/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Tabla3915233141919294989[[#This Row],[COMISIONES]]*0.21</f>
        <v>0</v>
      </c>
      <c r="J75" s="11"/>
      <c r="K75" s="11"/>
      <c r="L75" s="11"/>
      <c r="N75" s="18"/>
      <c r="O75" s="11">
        <f>Tabla3510182636414244484[[#This Row],[COMISIONES]]*0.21</f>
        <v>0</v>
      </c>
      <c r="P75" s="18"/>
      <c r="Q75" s="18"/>
      <c r="R75" s="18"/>
      <c r="T75" s="11"/>
      <c r="U75" s="19">
        <f>Tabla612202833421020305090[[#This Row],[COMISIONES]]*0.21</f>
        <v>0</v>
      </c>
      <c r="V75"/>
      <c r="W75"/>
      <c r="X75"/>
      <c r="Z75" s="1"/>
      <c r="AA75" s="21">
        <f>Tabla356813212939717274787[[#This Row],[COMISIONES]]*0.21</f>
        <v>0</v>
      </c>
      <c r="AB75" s="1"/>
      <c r="AC75" s="21"/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Tabla3915233141919294989[[#This Row],[COMISIONES]]*0.21</f>
        <v>0</v>
      </c>
      <c r="J76" s="11"/>
      <c r="K76" s="11"/>
      <c r="L76" s="11"/>
      <c r="N76" s="18"/>
      <c r="O76" s="11">
        <f>Tabla3510182636414244484[[#This Row],[COMISIONES]]*0.21</f>
        <v>0</v>
      </c>
      <c r="P76" s="18"/>
      <c r="Q76" s="18"/>
      <c r="R76" s="18"/>
      <c r="T76"/>
      <c r="U76" s="19">
        <f>Tabla612202833421020305090[[#This Row],[COMISIONES]]*0.21</f>
        <v>0</v>
      </c>
      <c r="V76"/>
      <c r="W76"/>
      <c r="X76"/>
      <c r="Z76" s="1"/>
      <c r="AA76" s="21">
        <f>Tabla356813212939717274787[[#This Row],[COMISIONES]]*0.21</f>
        <v>0</v>
      </c>
      <c r="AB76" s="1"/>
      <c r="AC76" s="21"/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Tabla3915233141919294989[[#This Row],[COMISIONES]]*0.21</f>
        <v>0</v>
      </c>
      <c r="J77" s="11"/>
      <c r="K77" s="11"/>
      <c r="L77" s="11"/>
      <c r="N77" s="18"/>
      <c r="O77" s="11">
        <f>Tabla3510182636414244484[[#This Row],[COMISIONES]]*0.21</f>
        <v>0</v>
      </c>
      <c r="P77" s="18"/>
      <c r="Q77" s="18"/>
      <c r="R77" s="18"/>
      <c r="T77"/>
      <c r="U77" s="19">
        <f>Tabla612202833421020305090[[#This Row],[COMISIONES]]*0.21</f>
        <v>0</v>
      </c>
      <c r="V77"/>
      <c r="W77"/>
      <c r="X77"/>
      <c r="Z77" s="1"/>
      <c r="AA77" s="21">
        <f>Tabla356813212939717274787[[#This Row],[COMISIONES]]*0.21</f>
        <v>0</v>
      </c>
      <c r="AB77" s="1"/>
      <c r="AC77" s="21"/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Tabla3915233141919294989[[#This Row],[COMISIONES]]*0.21</f>
        <v>0</v>
      </c>
      <c r="J78" s="11"/>
      <c r="K78" s="11"/>
      <c r="L78" s="11"/>
      <c r="N78" s="18"/>
      <c r="O78" s="11">
        <f>Tabla3510182636414244484[[#This Row],[COMISIONES]]*0.21</f>
        <v>0</v>
      </c>
      <c r="P78" s="18"/>
      <c r="Q78" s="18"/>
      <c r="R78" s="18"/>
      <c r="T78"/>
      <c r="U78" s="19">
        <f>Tabla612202833421020305090[[#This Row],[COMISIONES]]*0.21</f>
        <v>0</v>
      </c>
      <c r="V78"/>
      <c r="W78"/>
      <c r="X78"/>
      <c r="Z78" s="1"/>
      <c r="AA78" s="21"/>
      <c r="AB78" s="1"/>
      <c r="AC78" s="21"/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Tabla3915233141919294989[[#This Row],[COMISIONES]]*0.21</f>
        <v>0</v>
      </c>
      <c r="J79" s="11"/>
      <c r="K79" s="11"/>
      <c r="L79" s="11"/>
      <c r="N79" s="18"/>
      <c r="O79" s="11">
        <f>Tabla3510182636414244484[[#This Row],[COMISIONES]]*0.21</f>
        <v>0</v>
      </c>
      <c r="P79" s="18"/>
      <c r="Q79" s="18"/>
      <c r="R79" s="18"/>
      <c r="T79"/>
      <c r="U79" s="19">
        <f>Tabla612202833421020305090[[#This Row],[COMISIONES]]*0.21</f>
        <v>0</v>
      </c>
      <c r="V79"/>
      <c r="W79"/>
      <c r="X79"/>
      <c r="Z79" s="1"/>
      <c r="AA79" s="21">
        <f>Tabla356813212939717274787[[#This Row],[COMISIONES]]*0.21</f>
        <v>0</v>
      </c>
      <c r="AB79" s="21"/>
      <c r="AC79" s="21"/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Tabla3915233141919294989[[#This Row],[COMISIONES]]*0.21</f>
        <v>0</v>
      </c>
      <c r="J80" s="11"/>
      <c r="K80" s="11"/>
      <c r="L80" s="11"/>
      <c r="N80" s="18"/>
      <c r="O80" s="11">
        <f>Tabla3510182636414244484[[#This Row],[COMISIONES]]*0.21</f>
        <v>0</v>
      </c>
      <c r="P80" s="18"/>
      <c r="Q80" s="18"/>
      <c r="R80" s="18"/>
      <c r="T80"/>
      <c r="U80" s="19">
        <f>Tabla612202833421020305090[[#This Row],[COMISIONES]]*0.21</f>
        <v>0</v>
      </c>
      <c r="V80"/>
      <c r="W80"/>
      <c r="X80"/>
      <c r="Z80" s="1"/>
      <c r="AA80" s="21">
        <f>Tabla356813212939717274787[[#This Row],[COMISIONES]]*0.21</f>
        <v>0</v>
      </c>
      <c r="AB80" s="21"/>
      <c r="AC80" s="21"/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Tabla3915233141919294989[[#This Row],[COMISIONES]]*0.21</f>
        <v>0</v>
      </c>
      <c r="J81" s="18"/>
      <c r="K81" s="18"/>
      <c r="L81" s="18"/>
      <c r="N81" s="18"/>
      <c r="O81" s="11">
        <f>Tabla3510182636414244484[[#This Row],[COMISIONES]]*0.21</f>
        <v>0</v>
      </c>
      <c r="P81" s="18"/>
      <c r="Q81" s="18"/>
      <c r="R81" s="18"/>
      <c r="T81"/>
      <c r="U81" s="19">
        <f>Tabla612202833421020305090[[#This Row],[COMISIONES]]*0.21</f>
        <v>0</v>
      </c>
      <c r="V81"/>
      <c r="W81"/>
      <c r="X81"/>
      <c r="Z81"/>
      <c r="AA81" s="21">
        <f>Tabla356813212939717274787[[#This Row],[COMISIONES]]*0.21</f>
        <v>0</v>
      </c>
      <c r="AB81" s="21"/>
      <c r="AC81" s="21"/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Tabla3915233141919294989[[#This Row],[COMISIONES]]*0.21</f>
        <v>0</v>
      </c>
      <c r="J82" s="18"/>
      <c r="K82" s="18"/>
      <c r="L82" s="18"/>
      <c r="N82" s="18"/>
      <c r="O82" s="11">
        <f>Tabla3510182636414244484[[#This Row],[COMISIONES]]*0.21</f>
        <v>0</v>
      </c>
      <c r="P82" s="18"/>
      <c r="Q82" s="18"/>
      <c r="R82" s="18"/>
      <c r="T82"/>
      <c r="U82" s="19">
        <f>Tabla612202833421020305090[[#This Row],[COMISIONES]]*0.21</f>
        <v>0</v>
      </c>
      <c r="V82"/>
      <c r="W82"/>
      <c r="X82"/>
      <c r="Z82"/>
      <c r="AA82" s="21"/>
      <c r="AB82" s="1"/>
      <c r="AC82" s="1"/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Tabla3915233141919294989[[#This Row],[COMISIONES]]*0.21</f>
        <v>0</v>
      </c>
      <c r="J83" s="18"/>
      <c r="K83" s="18"/>
      <c r="L83" s="18"/>
      <c r="N83" s="18"/>
      <c r="O83" s="11">
        <f>Tabla3510182636414244484[[#This Row],[COMISIONES]]*0.21</f>
        <v>0</v>
      </c>
      <c r="P83" s="18"/>
      <c r="Q83" s="18"/>
      <c r="R83" s="18"/>
      <c r="T83"/>
      <c r="U83" s="19">
        <f>Tabla612202833421020305090[[#This Row],[COMISIONES]]*0.21</f>
        <v>0</v>
      </c>
      <c r="V83"/>
      <c r="W83"/>
      <c r="X83"/>
      <c r="Z83" s="1"/>
      <c r="AA83" s="21">
        <f>Tabla356813212939717274787[[#This Row],[COMISIONES]]*0.21</f>
        <v>0</v>
      </c>
      <c r="AB83" s="21"/>
      <c r="AC83" s="21"/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Tabla3915233141919294989[[#This Row],[COMISIONES]]*0.21</f>
        <v>0</v>
      </c>
      <c r="J84" s="18"/>
      <c r="K84" s="18"/>
      <c r="L84" s="18"/>
      <c r="N84" s="18"/>
      <c r="O84" s="11">
        <f>Tabla3510182636414244484[[#This Row],[COMISIONES]]*0.21</f>
        <v>0</v>
      </c>
      <c r="P84" s="18"/>
      <c r="Q84" s="18"/>
      <c r="R84" s="18"/>
      <c r="T84"/>
      <c r="U84" s="19">
        <f>Tabla612202833421020305090[[#This Row],[COMISIONES]]*0.21</f>
        <v>0</v>
      </c>
      <c r="V84"/>
      <c r="W84"/>
      <c r="X84"/>
      <c r="Z84" s="1"/>
      <c r="AA84" s="21">
        <f>Tabla356813212939717274787[[#This Row],[COMISIONES]]*0.21</f>
        <v>0</v>
      </c>
      <c r="AB84" s="21"/>
      <c r="AC84" s="1"/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Tabla3915233141919294989[[#This Row],[COMISIONES]]*0.21</f>
        <v>0</v>
      </c>
      <c r="J85" s="18"/>
      <c r="K85" s="18"/>
      <c r="L85" s="18"/>
      <c r="N85" s="18"/>
      <c r="O85" s="11">
        <f>Tabla3510182636414244484[[#This Row],[COMISIONES]]*0.21</f>
        <v>0</v>
      </c>
      <c r="P85" s="18"/>
      <c r="Q85" s="18"/>
      <c r="R85" s="18"/>
      <c r="T85"/>
      <c r="U85" s="19">
        <f>Tabla612202833421020305090[[#This Row],[COMISIONES]]*0.21</f>
        <v>0</v>
      </c>
      <c r="V85"/>
      <c r="W85"/>
      <c r="X85"/>
      <c r="Z85" s="1"/>
      <c r="AA85" s="21"/>
      <c r="AB85" s="1"/>
      <c r="AC85" s="1"/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Tabla3915233141919294989[[#This Row],[COMISIONES]]*0.21</f>
        <v>0</v>
      </c>
      <c r="J86" s="18"/>
      <c r="K86" s="18"/>
      <c r="L86" s="18"/>
      <c r="N86" s="18"/>
      <c r="O86" s="11">
        <f>Tabla3510182636414244484[[#This Row],[COMISIONES]]*0.21</f>
        <v>0</v>
      </c>
      <c r="P86" s="18"/>
      <c r="Q86" s="18"/>
      <c r="R86" s="18"/>
      <c r="T86"/>
      <c r="U86" s="19">
        <f>Tabla612202833421020305090[[#This Row],[COMISIONES]]*0.21</f>
        <v>0</v>
      </c>
      <c r="V86"/>
      <c r="W86"/>
      <c r="X86"/>
      <c r="Z86" s="1"/>
      <c r="AA86" s="21">
        <f>Tabla356813212939717274787[[#This Row],[COMISIONES]]*0.21</f>
        <v>0</v>
      </c>
      <c r="AB86" s="21"/>
      <c r="AC86" s="1"/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Tabla3915233141919294989[[#This Row],[COMISIONES]]*0.21</f>
        <v>0</v>
      </c>
      <c r="J87" s="18"/>
      <c r="K87" s="18"/>
      <c r="L87" s="18"/>
      <c r="N87" s="18"/>
      <c r="O87" s="11">
        <f>Tabla3510182636414244484[[#This Row],[COMISIONES]]*0.21</f>
        <v>0</v>
      </c>
      <c r="P87" s="18"/>
      <c r="Q87" s="18"/>
      <c r="R87" s="18"/>
      <c r="T87"/>
      <c r="U87" s="19">
        <f>Tabla612202833421020305090[[#This Row],[COMISIONES]]*0.21</f>
        <v>0</v>
      </c>
      <c r="V87"/>
      <c r="W87"/>
      <c r="X87"/>
      <c r="Z87" s="1"/>
      <c r="AA87" s="21">
        <f>Tabla356813212939717274787[[#This Row],[COMISIONES]]*0.21</f>
        <v>0</v>
      </c>
      <c r="AB87" s="1"/>
      <c r="AC87" s="1"/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Tabla3915233141919294989[[#This Row],[COMISIONES]]*0.21</f>
        <v>0</v>
      </c>
      <c r="J88" s="18"/>
      <c r="K88" s="18"/>
      <c r="L88" s="18"/>
      <c r="N88" s="18"/>
      <c r="O88" s="11">
        <f>Tabla3510182636414244484[[#This Row],[COMISIONES]]*0.21</f>
        <v>0</v>
      </c>
      <c r="P88" s="18"/>
      <c r="Q88" s="18"/>
      <c r="R88" s="18"/>
      <c r="T88"/>
      <c r="U88" s="19">
        <f>Tabla612202833421020305090[[#This Row],[COMISIONES]]*0.21</f>
        <v>0</v>
      </c>
      <c r="V88"/>
      <c r="W88"/>
      <c r="X88"/>
      <c r="Z88" s="1"/>
      <c r="AA88" s="21">
        <f>Tabla356813212939717274787[[#This Row],[COMISIONES]]*0.21</f>
        <v>0</v>
      </c>
      <c r="AB88" s="21"/>
      <c r="AC88" s="21"/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Tabla3915233141919294989[[#This Row],[COMISIONES]]*0.21</f>
        <v>0</v>
      </c>
      <c r="J89" s="18"/>
      <c r="K89" s="18"/>
      <c r="L89" s="18"/>
      <c r="N89" s="18"/>
      <c r="O89" s="11">
        <f>Tabla3510182636414244484[[#This Row],[COMISIONES]]*0.21</f>
        <v>0</v>
      </c>
      <c r="P89" s="18"/>
      <c r="Q89" s="18"/>
      <c r="R89" s="18"/>
      <c r="T89"/>
      <c r="U89" s="19">
        <f>Tabla612202833421020305090[[#This Row],[COMISIONES]]*0.21</f>
        <v>0</v>
      </c>
      <c r="V89"/>
      <c r="W89"/>
      <c r="X89"/>
      <c r="Z89" s="1"/>
      <c r="AA89" s="21">
        <f>Tabla356813212939717274787[[#This Row],[COMISIONES]]*0.21</f>
        <v>0</v>
      </c>
      <c r="AB89"/>
      <c r="AC89"/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Tabla3915233141919294989[[#This Row],[COMISIONES]]*0.21</f>
        <v>0</v>
      </c>
      <c r="J90" s="18"/>
      <c r="K90" s="18"/>
      <c r="L90" s="18"/>
      <c r="N90" s="18"/>
      <c r="O90" s="11">
        <f>Tabla3510182636414244484[[#This Row],[COMISIONES]]*0.21</f>
        <v>0</v>
      </c>
      <c r="P90" s="18"/>
      <c r="Q90" s="18"/>
      <c r="R90" s="18"/>
      <c r="T90"/>
      <c r="U90" s="19">
        <f>Tabla612202833421020305090[[#This Row],[COMISIONES]]*0.21</f>
        <v>0</v>
      </c>
      <c r="V90"/>
      <c r="W90"/>
      <c r="X90"/>
      <c r="Z90" s="1"/>
      <c r="AA90" s="21">
        <f>Tabla356813212939717274787[[#This Row],[COMISIONES]]*0.21</f>
        <v>0</v>
      </c>
      <c r="AB90" s="21"/>
      <c r="AC90" s="21"/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Tabla3915233141919294989[[#This Row],[COMISIONES]]*0.21</f>
        <v>0</v>
      </c>
      <c r="J91" s="18"/>
      <c r="K91" s="18"/>
      <c r="L91" s="18"/>
      <c r="N91" s="18"/>
      <c r="O91" s="11">
        <f>Tabla3510182636414244484[[#This Row],[COMISIONES]]*0.21</f>
        <v>0</v>
      </c>
      <c r="P91" s="18"/>
      <c r="Q91" s="18"/>
      <c r="R91" s="18"/>
      <c r="T91"/>
      <c r="U91" s="19">
        <f>Tabla612202833421020305090[[#This Row],[COMISIONES]]*0.21</f>
        <v>0</v>
      </c>
      <c r="V91"/>
      <c r="W91"/>
      <c r="X91"/>
      <c r="Z91" s="1"/>
      <c r="AA91" s="21">
        <f>Tabla356813212939717274787[[#This Row],[COMISIONES]]*0.21</f>
        <v>0</v>
      </c>
      <c r="AB91" s="21"/>
      <c r="AC91" s="1"/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Tabla3915233141919294989[[#This Row],[COMISIONES]]*0.21</f>
        <v>0</v>
      </c>
      <c r="J92" s="18"/>
      <c r="K92" s="18"/>
      <c r="L92" s="18"/>
      <c r="N92" s="18"/>
      <c r="O92" s="11">
        <f>Tabla3510182636414244484[[#This Row],[COMISIONES]]*0.21</f>
        <v>0</v>
      </c>
      <c r="P92" s="18"/>
      <c r="Q92" s="18"/>
      <c r="R92" s="18"/>
      <c r="T92"/>
      <c r="U92" s="19">
        <f>Tabla612202833421020305090[[#This Row],[COMISIONES]]*0.21</f>
        <v>0</v>
      </c>
      <c r="V92"/>
      <c r="W92"/>
      <c r="X92"/>
      <c r="Z92"/>
      <c r="AA92" s="21"/>
      <c r="AB92" s="1"/>
      <c r="AC92" s="21"/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Tabla3915233141919294989[[#This Row],[COMISIONES]]*0.21</f>
        <v>0</v>
      </c>
      <c r="J93" s="21"/>
      <c r="K93" s="21"/>
      <c r="L93" s="21"/>
      <c r="N93" s="18"/>
      <c r="O93" s="11">
        <f>Tabla3510182636414244484[[#This Row],[COMISIONES]]*0.21</f>
        <v>0</v>
      </c>
      <c r="P93" s="18"/>
      <c r="Q93" s="18"/>
      <c r="R93" s="18"/>
      <c r="T93"/>
      <c r="U93" s="19">
        <f>Tabla612202833421020305090[[#This Row],[COMISIONES]]*0.21</f>
        <v>0</v>
      </c>
      <c r="V93"/>
      <c r="W93"/>
      <c r="X93"/>
      <c r="Z93"/>
      <c r="AA93" s="21">
        <f>Tabla356813212939717274787[[#This Row],[COMISIONES]]*0.21</f>
        <v>0</v>
      </c>
      <c r="AB93" s="21"/>
      <c r="AC93" s="21"/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Tabla3915233141919294989[[#This Row],[COMISIONES]]*0.21</f>
        <v>0</v>
      </c>
      <c r="J94" s="21"/>
      <c r="K94" s="21"/>
      <c r="L94" s="21"/>
      <c r="N94" s="18"/>
      <c r="O94" s="11">
        <f>Tabla3510182636414244484[[#This Row],[COMISIONES]]*0.21</f>
        <v>0</v>
      </c>
      <c r="P94" s="18"/>
      <c r="Q94" s="18"/>
      <c r="R94" s="18"/>
      <c r="T94" s="17">
        <f>SUBTOTAL(109,Tabla612202833421020305090[COMISIONES])</f>
        <v>0</v>
      </c>
      <c r="U94" s="17">
        <f>SUBTOTAL(109,Tabla612202833421020305090[IVA 21])</f>
        <v>0</v>
      </c>
      <c r="V94" s="17">
        <f>SUBTOTAL(109,Tabla612202833421020305090[IVA 10,5])</f>
        <v>0</v>
      </c>
      <c r="W94" s="17">
        <f>SUBTOTAL(109,Tabla612202833421020305090[Ret IIBB Caba])</f>
        <v>0</v>
      </c>
      <c r="X94" s="17">
        <f>SUBTOTAL(109,Tabla612202833421020305090[PERC IVA])</f>
        <v>0</v>
      </c>
      <c r="Z94" s="1"/>
      <c r="AA94" s="21">
        <f>Tabla356813212939717274787[[#This Row],[COMISIONES]]*0.21</f>
        <v>0</v>
      </c>
      <c r="AB94" s="21"/>
      <c r="AC94" s="21"/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Tabla3915233141919294989[[#This Row],[COMISIONES]]*0.21</f>
        <v>0</v>
      </c>
      <c r="J95" s="21"/>
      <c r="K95" s="21"/>
      <c r="L95" s="21"/>
      <c r="N95" s="18"/>
      <c r="O95" s="11">
        <f>Tabla3510182636414244484[[#This Row],[COMISIONES]]*0.21</f>
        <v>0</v>
      </c>
      <c r="P95" s="18"/>
      <c r="Q95" s="18"/>
      <c r="R95" s="18"/>
      <c r="T95"/>
      <c r="U95"/>
      <c r="V95"/>
      <c r="W95"/>
      <c r="X95"/>
      <c r="Z95" s="1"/>
      <c r="AA95" s="21">
        <f>Tabla356813212939717274787[[#This Row],[COMISIONES]]*0.21</f>
        <v>0</v>
      </c>
      <c r="AB95" s="21"/>
      <c r="AC95" s="21"/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Tabla3915233141919294989[[#This Row],[COMISIONES]]*0.21</f>
        <v>0</v>
      </c>
      <c r="J96" s="21"/>
      <c r="K96" s="21"/>
      <c r="L96" s="21"/>
      <c r="N96" s="18"/>
      <c r="O96" s="11">
        <f>Tabla3510182636414244484[[#This Row],[COMISIONES]]*0.21</f>
        <v>0</v>
      </c>
      <c r="P96" s="18"/>
      <c r="Q96" s="18"/>
      <c r="R96" s="18"/>
      <c r="T96"/>
      <c r="U96"/>
      <c r="V96"/>
      <c r="W96"/>
      <c r="X96"/>
      <c r="Z96" s="1"/>
      <c r="AA96" s="21">
        <f>Tabla356813212939717274787[[#This Row],[COMISIONES]]*0.21</f>
        <v>0</v>
      </c>
      <c r="AB96" s="1"/>
      <c r="AC96" s="1"/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Tabla3915233141919294989[[#This Row],[COMISIONES]]*0.21</f>
        <v>0</v>
      </c>
      <c r="J97" s="21"/>
      <c r="K97" s="21"/>
      <c r="L97" s="21"/>
      <c r="N97" s="18"/>
      <c r="O97" s="11">
        <f>Tabla3510182636414244484[[#This Row],[COMISIONES]]*0.21</f>
        <v>0</v>
      </c>
      <c r="P97" s="18"/>
      <c r="Q97" s="18"/>
      <c r="R97" s="18"/>
      <c r="T97"/>
      <c r="U97"/>
      <c r="V97"/>
      <c r="W97"/>
      <c r="X97"/>
      <c r="Z97" s="1"/>
      <c r="AA97" s="21">
        <f>Tabla356813212939717274787[[#This Row],[COMISIONES]]*0.21</f>
        <v>0</v>
      </c>
      <c r="AB97" s="1"/>
      <c r="AC97" s="1"/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Tabla3915233141919294989[[#This Row],[COMISIONES]]*0.21</f>
        <v>0</v>
      </c>
      <c r="J98" s="21"/>
      <c r="K98" s="21"/>
      <c r="L98" s="21"/>
      <c r="N98" s="18"/>
      <c r="O98" s="11">
        <f>Tabla3510182636414244484[[#This Row],[COMISIONES]]*0.21</f>
        <v>0</v>
      </c>
      <c r="P98" s="18"/>
      <c r="Q98" s="18"/>
      <c r="R98" s="18"/>
      <c r="T98"/>
      <c r="U98"/>
      <c r="V98"/>
      <c r="W98"/>
      <c r="X98"/>
      <c r="Z98" s="1"/>
      <c r="AA98" s="21">
        <f>Tabla356813212939717274787[[#This Row],[COMISIONES]]*0.21</f>
        <v>0</v>
      </c>
      <c r="AB98" s="21"/>
      <c r="AC98" s="21"/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Tabla3915233141919294989[[#This Row],[COMISIONES]]*0.21</f>
        <v>0</v>
      </c>
      <c r="J99" s="21"/>
      <c r="K99" s="21"/>
      <c r="L99" s="21"/>
      <c r="N99" s="18"/>
      <c r="O99" s="11">
        <f>Tabla3510182636414244484[[#This Row],[COMISIONES]]*0.21</f>
        <v>0</v>
      </c>
      <c r="P99" s="18"/>
      <c r="Q99" s="18"/>
      <c r="R99" s="18"/>
      <c r="T99"/>
      <c r="U99"/>
      <c r="V99"/>
      <c r="W99"/>
      <c r="X99"/>
      <c r="Z99" s="1"/>
      <c r="AA99" s="21">
        <f>Tabla356813212939717274787[[#This Row],[COMISIONES]]*0.21</f>
        <v>0</v>
      </c>
      <c r="AB99" s="21"/>
      <c r="AC99" s="21"/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Tabla3915233141919294989[[#This Row],[COMISIONES]]*0.21</f>
        <v>0</v>
      </c>
      <c r="J100" s="21"/>
      <c r="K100" s="21"/>
      <c r="L100" s="21"/>
      <c r="N100" s="18"/>
      <c r="O100" s="11">
        <f>Tabla3510182636414244484[[#This Row],[COMISIONES]]*0.21</f>
        <v>0</v>
      </c>
      <c r="P100" s="18"/>
      <c r="Q100" s="18"/>
      <c r="R100" s="18"/>
      <c r="T100"/>
      <c r="U100"/>
      <c r="V100"/>
      <c r="W100"/>
      <c r="X100"/>
      <c r="Z100" s="1"/>
      <c r="AA100" s="21">
        <f>Tabla356813212939717274787[[#This Row],[COMISIONES]]*0.21</f>
        <v>0</v>
      </c>
      <c r="AB100" s="21"/>
      <c r="AC100" s="21"/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Tabla3915233141919294989[[#This Row],[COMISIONES]]*0.21</f>
        <v>0</v>
      </c>
      <c r="J101" s="21"/>
      <c r="K101" s="21"/>
      <c r="L101" s="21"/>
      <c r="N101" s="18"/>
      <c r="O101" s="11">
        <f>Tabla3510182636414244484[[#This Row],[COMISIONES]]*0.21</f>
        <v>0</v>
      </c>
      <c r="P101" s="18"/>
      <c r="Q101" s="18"/>
      <c r="R101" s="18"/>
      <c r="T101"/>
      <c r="U101"/>
      <c r="V101"/>
      <c r="W101"/>
      <c r="X101"/>
      <c r="Z101"/>
      <c r="AA101" s="21">
        <f>Tabla356813212939717274787[[#This Row],[COMISIONES]]*0.21</f>
        <v>0</v>
      </c>
      <c r="AB101" s="21"/>
      <c r="AC101" s="21"/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SUBTOTAL(109,Tabla3915233141919294989[COMISIONES])</f>
        <v>143495</v>
      </c>
      <c r="I102" s="20">
        <f>SUBTOTAL(109,Tabla3915233141919294989[IVA 21])</f>
        <v>30133.949999999997</v>
      </c>
      <c r="J102" s="20">
        <f>SUBTOTAL(109,Tabla3915233141919294989[IVA 10,5])</f>
        <v>0</v>
      </c>
      <c r="K102" s="20">
        <f>SUBTOTAL(109,Tabla3915233141919294989[Ret IIBB Caba])</f>
        <v>0</v>
      </c>
      <c r="L102" s="20">
        <f>SUBTOTAL(109,Tabla3915233141919294989[PERC IVA])</f>
        <v>0</v>
      </c>
      <c r="N102" s="18"/>
      <c r="O102" s="11">
        <f>Tabla3510182636414244484[[#This Row],[COMISIONES]]*0.21</f>
        <v>0</v>
      </c>
      <c r="P102" s="18"/>
      <c r="Q102" s="18"/>
      <c r="R102" s="18"/>
      <c r="T102"/>
      <c r="U102"/>
      <c r="V102"/>
      <c r="W102"/>
      <c r="X102"/>
      <c r="Z102" s="1"/>
      <c r="AA102" s="21">
        <f>Tabla356813212939717274787[[#This Row],[COMISIONES]]*0.21</f>
        <v>0</v>
      </c>
      <c r="AB102" s="21"/>
      <c r="AC102" s="21"/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Tabla3510182636414244484[[#This Row],[COMISIONES]]*0.21</f>
        <v>0</v>
      </c>
      <c r="P103" s="18"/>
      <c r="Q103" s="18"/>
      <c r="R103" s="18"/>
      <c r="T103"/>
      <c r="U103"/>
      <c r="V103"/>
      <c r="W103"/>
      <c r="X103"/>
      <c r="Z103"/>
      <c r="AA103" s="21">
        <f>Tabla356813212939717274787[[#This Row],[COMISIONES]]*0.21</f>
        <v>0</v>
      </c>
      <c r="AB103" s="21"/>
      <c r="AC103" s="21"/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Tabla3510182636414244484[[#This Row],[COMISIONES]]*0.21</f>
        <v>0</v>
      </c>
      <c r="P104" s="18"/>
      <c r="Q104" s="18"/>
      <c r="R104" s="18"/>
      <c r="T104"/>
      <c r="U104"/>
      <c r="V104"/>
      <c r="W104"/>
      <c r="X104"/>
      <c r="Z104" s="1"/>
      <c r="AA104" s="21">
        <f>Tabla356813212939717274787[[#This Row],[COMISIONES]]*0.21</f>
        <v>0</v>
      </c>
      <c r="AB104" s="21"/>
      <c r="AC104" s="1"/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Tabla3510182636414244484[[#This Row],[COMISIONES]]*0.21</f>
        <v>0</v>
      </c>
      <c r="P105" s="18"/>
      <c r="Q105" s="18"/>
      <c r="R105" s="18"/>
      <c r="T105"/>
      <c r="U105"/>
      <c r="V105"/>
      <c r="W105"/>
      <c r="X105"/>
      <c r="Z105" s="1"/>
      <c r="AA105" s="21">
        <f>Tabla356813212939717274787[[#This Row],[COMISIONES]]*0.21</f>
        <v>0</v>
      </c>
      <c r="AB105" s="21"/>
      <c r="AC105" s="1"/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Tabla3510182636414244484[[#This Row],[COMISIONES]]*0.21</f>
        <v>0</v>
      </c>
      <c r="P106" s="18"/>
      <c r="Q106" s="18"/>
      <c r="R106" s="18"/>
      <c r="T106"/>
      <c r="U106"/>
      <c r="V106"/>
      <c r="W106"/>
      <c r="X106"/>
      <c r="Z106" s="1"/>
      <c r="AA106" s="21">
        <f>Tabla356813212939717274787[[#This Row],[COMISIONES]]*0.21</f>
        <v>0</v>
      </c>
      <c r="AB106" s="21"/>
      <c r="AC106" s="1"/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Tabla3510182636414244484[[#This Row],[COMISIONES]]*0.21</f>
        <v>0</v>
      </c>
      <c r="P107" s="18"/>
      <c r="Q107" s="18"/>
      <c r="R107" s="18"/>
      <c r="T107"/>
      <c r="U107"/>
      <c r="V107"/>
      <c r="W107"/>
      <c r="X107"/>
      <c r="Z107" s="1"/>
      <c r="AA107" s="21">
        <f>Tabla356813212939717274787[[#This Row],[COMISIONES]]*0.21</f>
        <v>0</v>
      </c>
      <c r="AB107" s="21"/>
      <c r="AC107" s="1"/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Tabla3510182636414244484[[#This Row],[COMISIONES]]*0.21</f>
        <v>0</v>
      </c>
      <c r="P108" s="18"/>
      <c r="Q108" s="18"/>
      <c r="R108" s="18"/>
      <c r="T108"/>
      <c r="U108"/>
      <c r="V108"/>
      <c r="W108"/>
      <c r="X108"/>
      <c r="Z108" s="1"/>
      <c r="AA108" s="21">
        <f>Tabla356813212939717274787[[#This Row],[COMISIONES]]*0.21</f>
        <v>0</v>
      </c>
      <c r="AB108" s="21"/>
      <c r="AC108" s="1"/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Tabla3510182636414244484[[#This Row],[COMISIONES]]*0.21</f>
        <v>0</v>
      </c>
      <c r="P109" s="18"/>
      <c r="Q109" s="18"/>
      <c r="R109" s="18"/>
      <c r="T109"/>
      <c r="U109"/>
      <c r="V109"/>
      <c r="W109"/>
      <c r="X109"/>
      <c r="Z109" s="1"/>
      <c r="AA109" s="21">
        <f>Tabla356813212939717274787[[#This Row],[COMISIONES]]*0.21</f>
        <v>0</v>
      </c>
      <c r="AB109" s="21"/>
      <c r="AC109" s="1"/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Tabla3510182636414244484[[#This Row],[COMISIONES]]*0.21</f>
        <v>0</v>
      </c>
      <c r="P110" s="18"/>
      <c r="Q110" s="18"/>
      <c r="R110" s="18"/>
      <c r="T110"/>
      <c r="U110"/>
      <c r="V110"/>
      <c r="W110"/>
      <c r="X110"/>
      <c r="Z110" s="1"/>
      <c r="AA110" s="21">
        <f>Tabla356813212939717274787[[#This Row],[COMISIONES]]*0.21</f>
        <v>0</v>
      </c>
      <c r="AB110" s="21"/>
      <c r="AC110" s="1"/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Tabla3510182636414244484[[#This Row],[COMISIONES]]*0.21</f>
        <v>0</v>
      </c>
      <c r="P111" s="18"/>
      <c r="Q111" s="18"/>
      <c r="R111" s="18"/>
      <c r="T111"/>
      <c r="U111"/>
      <c r="V111"/>
      <c r="W111"/>
      <c r="X111"/>
      <c r="Z111" s="1"/>
      <c r="AA111" s="21">
        <f>Tabla356813212939717274787[[#This Row],[COMISIONES]]*0.21</f>
        <v>0</v>
      </c>
      <c r="AB111" s="21"/>
      <c r="AC111" s="1"/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Tabla3510182636414244484[[#This Row],[COMISIONES]]*0.21</f>
        <v>0</v>
      </c>
      <c r="P112" s="18"/>
      <c r="Q112" s="18"/>
      <c r="R112" s="18"/>
      <c r="T112"/>
      <c r="U112"/>
      <c r="V112"/>
      <c r="W112"/>
      <c r="X112"/>
      <c r="Z112" s="1"/>
      <c r="AA112" s="21">
        <f>Tabla356813212939717274787[[#This Row],[COMISIONES]]*0.21</f>
        <v>0</v>
      </c>
      <c r="AB112" s="21"/>
      <c r="AC112" s="21"/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Tabla3510182636414244484[[#This Row],[COMISIONES]]*0.21</f>
        <v>0</v>
      </c>
      <c r="P113" s="18"/>
      <c r="Q113" s="18"/>
      <c r="R113" s="18"/>
      <c r="T113"/>
      <c r="U113"/>
      <c r="V113"/>
      <c r="W113"/>
      <c r="X113"/>
      <c r="Z113"/>
      <c r="AA113" s="21">
        <f>Tabla356813212939717274787[[#This Row],[COMISIONES]]*0.21</f>
        <v>0</v>
      </c>
      <c r="AB113" s="21"/>
      <c r="AC113" s="21"/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Tabla3510182636414244484[[#This Row],[COMISIONES]]*0.21</f>
        <v>0</v>
      </c>
      <c r="P114" s="18"/>
      <c r="Q114" s="18"/>
      <c r="R114" s="18"/>
      <c r="T114"/>
      <c r="U114"/>
      <c r="V114"/>
      <c r="W114"/>
      <c r="X114"/>
      <c r="Z114" s="1"/>
      <c r="AA114" s="21">
        <f>Tabla356813212939717274787[[#This Row],[COMISIONES]]*0.21</f>
        <v>0</v>
      </c>
      <c r="AB114" s="21"/>
      <c r="AC114" s="1"/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Tabla3510182636414244484[[#This Row],[COMISIONES]]*0.21</f>
        <v>0</v>
      </c>
      <c r="P115" s="18"/>
      <c r="Q115" s="18"/>
      <c r="R115" s="18"/>
      <c r="T115"/>
      <c r="U115"/>
      <c r="V115"/>
      <c r="W115"/>
      <c r="X115"/>
      <c r="Z115" s="21"/>
      <c r="AA115" s="21">
        <f>Tabla356813212939717274787[[#This Row],[COMISIONES]]*0.21</f>
        <v>0</v>
      </c>
      <c r="AB115" s="21"/>
      <c r="AC115" s="1"/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Tabla3510182636414244484[[#This Row],[COMISIONES]]*0.21</f>
        <v>0</v>
      </c>
      <c r="P116" s="18"/>
      <c r="Q116" s="18"/>
      <c r="R116" s="18"/>
      <c r="T116"/>
      <c r="U116"/>
      <c r="V116"/>
      <c r="W116"/>
      <c r="X116"/>
      <c r="Z116" s="1"/>
      <c r="AA116" s="21">
        <f>Tabla356813212939717274787[[#This Row],[COMISIONES]]*0.21</f>
        <v>0</v>
      </c>
      <c r="AB116" s="21"/>
      <c r="AC116" s="1"/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Tabla3510182636414244484[[#This Row],[COMISIONES]]*0.21</f>
        <v>0</v>
      </c>
      <c r="P117" s="18"/>
      <c r="Q117" s="18"/>
      <c r="R117" s="18"/>
      <c r="T117"/>
      <c r="U117"/>
      <c r="V117"/>
      <c r="W117"/>
      <c r="X117"/>
      <c r="Z117" s="1"/>
      <c r="AA117" s="21">
        <f>Tabla356813212939717274787[[#This Row],[COMISIONES]]*0.21</f>
        <v>0</v>
      </c>
      <c r="AB117" s="21"/>
      <c r="AC117" s="1"/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Tabla3510182636414244484[[#This Row],[COMISIONES]]*0.21</f>
        <v>0</v>
      </c>
      <c r="P118" s="18"/>
      <c r="Q118" s="18"/>
      <c r="R118" s="18"/>
      <c r="T118"/>
      <c r="U118"/>
      <c r="V118"/>
      <c r="W118"/>
      <c r="X118"/>
      <c r="Z118" s="1"/>
      <c r="AA118" s="21">
        <f>Tabla356813212939717274787[[#This Row],[COMISIONES]]*0.21</f>
        <v>0</v>
      </c>
      <c r="AB118" s="21"/>
      <c r="AC118" s="1"/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Tabla3510182636414244484[[#This Row],[COMISIONES]]*0.21</f>
        <v>0</v>
      </c>
      <c r="P119" s="18"/>
      <c r="Q119" s="18"/>
      <c r="R119" s="18"/>
      <c r="T119"/>
      <c r="U119"/>
      <c r="V119"/>
      <c r="W119"/>
      <c r="X119"/>
      <c r="Z119"/>
      <c r="AA119" s="21">
        <f>Tabla356813212939717274787[[#This Row],[COMISIONES]]*0.21</f>
        <v>0</v>
      </c>
      <c r="AB119" s="21"/>
      <c r="AC119" s="21"/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Tabla3510182636414244484[[#This Row],[COMISIONES]]*0.21</f>
        <v>0</v>
      </c>
      <c r="P120" s="18"/>
      <c r="Q120" s="18"/>
      <c r="R120" s="18"/>
      <c r="T120"/>
      <c r="U120"/>
      <c r="V120"/>
      <c r="W120"/>
      <c r="X120"/>
      <c r="Z120" s="1"/>
      <c r="AA120" s="21">
        <f>Tabla356813212939717274787[[#This Row],[COMISIONES]]*0.21</f>
        <v>0</v>
      </c>
      <c r="AB120" s="21"/>
      <c r="AC120" s="21"/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Tabla3510182636414244484[[#This Row],[COMISIONES]]*0.21</f>
        <v>0</v>
      </c>
      <c r="P121" s="18"/>
      <c r="Q121" s="18"/>
      <c r="R121" s="18"/>
      <c r="T121"/>
      <c r="U121"/>
      <c r="V121"/>
      <c r="W121"/>
      <c r="X121"/>
      <c r="Z121" s="1"/>
      <c r="AA121" s="21">
        <f>Tabla356813212939717274787[[#This Row],[COMISIONES]]*0.21</f>
        <v>0</v>
      </c>
      <c r="AB121" s="21"/>
      <c r="AC121" s="21"/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Tabla3510182636414244484[[#This Row],[COMISIONES]]*0.21</f>
        <v>0</v>
      </c>
      <c r="P122" s="18"/>
      <c r="Q122" s="18"/>
      <c r="R122" s="18"/>
      <c r="T122"/>
      <c r="U122"/>
      <c r="V122"/>
      <c r="W122"/>
      <c r="X122"/>
      <c r="Z122" s="1"/>
      <c r="AA122" s="21">
        <f>Tabla356813212939717274787[[#This Row],[COMISIONES]]*0.21</f>
        <v>0</v>
      </c>
      <c r="AB122" s="21"/>
      <c r="AC122" s="21"/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/>
      <c r="U123"/>
      <c r="V123"/>
      <c r="W123"/>
      <c r="X123"/>
      <c r="Z123" s="1"/>
      <c r="AA123" s="21">
        <f>Tabla356813212939717274787[[#This Row],[COMISIONES]]*0.21</f>
        <v>0</v>
      </c>
      <c r="AB123" s="21"/>
      <c r="AC123" s="21"/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/>
      <c r="AA124" s="21">
        <f>Tabla356813212939717274787[[#This Row],[COMISIONES]]*0.21</f>
        <v>0</v>
      </c>
      <c r="AB124" s="21"/>
      <c r="AC124" s="21"/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1"/>
      <c r="AA125" s="21">
        <f>Tabla356813212939717274787[[#This Row],[COMISIONES]]*0.21</f>
        <v>0</v>
      </c>
      <c r="AB125" s="21"/>
      <c r="AC125" s="21"/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1"/>
      <c r="AA126" s="21">
        <f>Tabla356813212939717274787[[#This Row],[COMISIONES]]*0.21</f>
        <v>0</v>
      </c>
      <c r="AB126" s="21"/>
      <c r="AC126" s="21"/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1"/>
      <c r="AA127" s="21">
        <f>Tabla356813212939717274787[[#This Row],[COMISIONES]]*0.21</f>
        <v>0</v>
      </c>
      <c r="AB127" s="21"/>
      <c r="AC127" s="21"/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1"/>
      <c r="AA128" s="21">
        <f>Tabla356813212939717274787[[#This Row],[COMISIONES]]*0.21</f>
        <v>0</v>
      </c>
      <c r="AB128" s="21"/>
      <c r="AC128" s="21"/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Tabla356813212939717274787[[#This Row],[COMISIONES]]*0.21</f>
        <v>0</v>
      </c>
      <c r="AB129" s="21"/>
      <c r="AC129" s="21"/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Tabla356813212939717274787[[#This Row],[COMISIONES]]*0.21</f>
        <v>0</v>
      </c>
      <c r="AB130" s="21"/>
      <c r="AC130" s="21"/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Tabla356813212939717274787[[#This Row],[COMISIONES]]*0.21</f>
        <v>0</v>
      </c>
      <c r="AB131" s="21"/>
      <c r="AC131" s="21"/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Tabla356813212939717274787[[#This Row],[COMISIONES]]*0.21</f>
        <v>0</v>
      </c>
      <c r="AB132" s="21"/>
      <c r="AC132" s="21"/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Tabla356813212939717274787[[#This Row],[COMISIONES]]*0.21</f>
        <v>0</v>
      </c>
      <c r="AB133" s="21"/>
      <c r="AC133" s="21"/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Tabla3510182636414244484[[#This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Tabla356813212939717274787[[#This Row],[COMISIONES]]*0.21</f>
        <v>0</v>
      </c>
      <c r="AB134" s="21"/>
      <c r="AC134" s="21"/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24">
        <f>SUBTOTAL(109,Tabla3510182636414244484[COMISIONES])</f>
        <v>0</v>
      </c>
      <c r="O135" s="24">
        <f>SUBTOTAL(109,Tabla3510182636414244484[IVA 21])</f>
        <v>0</v>
      </c>
      <c r="P135" s="24">
        <f>SUBTOTAL(109,Tabla3510182636414244484[IVA 10,5])</f>
        <v>0</v>
      </c>
      <c r="Q135" s="24">
        <f>SUBTOTAL(109,Tabla3510182636414244484[Ret IIBB Caba])</f>
        <v>0</v>
      </c>
      <c r="R135" s="24">
        <f>SUBTOTAL(109,Tabla3510182636414244484[PERC IVA])</f>
        <v>0</v>
      </c>
      <c r="T135"/>
      <c r="U135"/>
      <c r="V135"/>
      <c r="W135"/>
      <c r="X135"/>
      <c r="Z135" s="21"/>
      <c r="AA135" s="21">
        <f>Tabla356813212939717274787[[#This Row],[COMISIONES]]*0.21</f>
        <v>0</v>
      </c>
      <c r="AB135" s="21"/>
      <c r="AC135" s="21"/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Tabla356813212939717274787[[#This Row],[COMISIONES]]*0.21</f>
        <v>0</v>
      </c>
      <c r="AB136" s="21"/>
      <c r="AC136" s="21"/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Tabla356813212939717274787[[#This Row],[COMISIONES]]*0.21</f>
        <v>0</v>
      </c>
      <c r="AB137" s="21"/>
      <c r="AC137" s="21"/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Tabla356813212939717274787[[#This Row],[COMISIONES]]*0.21</f>
        <v>0</v>
      </c>
      <c r="AB138" s="21"/>
      <c r="AC138" s="21"/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Tabla356813212939717274787[[#This Row],[COMISIONES]]*0.21</f>
        <v>0</v>
      </c>
      <c r="AB139" s="21"/>
      <c r="AC139" s="21"/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Tabla356813212939717274787[[#This Row],[COMISIONES]]*0.21</f>
        <v>0</v>
      </c>
      <c r="AB140" s="21"/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Tabla356813212939717274787[[#This Row],[COMISIONES]]*0.21</f>
        <v>0</v>
      </c>
      <c r="AB141" s="21"/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Tabla356813212939717274787[[#This Row],[COMISIONES]]*0.21</f>
        <v>0</v>
      </c>
      <c r="AB142" s="21"/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Tabla356813212939717274787[[#This Row],[COMISIONES]]*0.21</f>
        <v>0</v>
      </c>
      <c r="AB143" s="21"/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Tabla356813212939717274787[[#This Row],[COMISIONES]]*0.21</f>
        <v>0</v>
      </c>
      <c r="AB144" s="21"/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Tabla356813212939717274787[[#This Row],[COMISIONES]]*0.21</f>
        <v>0</v>
      </c>
      <c r="AB145" s="21"/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Tabla356813212939717274787[[#This Row],[COMISIONES]]*0.21</f>
        <v>0</v>
      </c>
      <c r="AB146" s="21"/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Tabla356813212939717274787[[#This Row],[COMISIONES]]*0.21</f>
        <v>0</v>
      </c>
      <c r="AB147" s="21"/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Tabla356813212939717274787[[#This Row],[COMISIONES]]*0.21</f>
        <v>0</v>
      </c>
      <c r="AB148" s="21"/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Tabla356813212939717274787[[#This Row],[COMISIONES]]*0.21</f>
        <v>0</v>
      </c>
      <c r="AB149" s="21"/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Tabla356813212939717274787[[#This Row],[COMISIONES]]*0.21</f>
        <v>0</v>
      </c>
      <c r="AB150" s="21"/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Tabla356813212939717274787[[#This Row],[COMISIONES]]*0.21</f>
        <v>0</v>
      </c>
      <c r="AB151" s="21"/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Tabla356813212939717274787[[#This Row],[COMISIONES]]*0.21</f>
        <v>0</v>
      </c>
      <c r="AB152" s="21"/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Tabla356813212939717274787[[#This Row],[COMISIONES]]*0.21</f>
        <v>0</v>
      </c>
      <c r="AB153" s="21"/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Tabla356813212939717274787[[#This Row],[COMISIONES]]*0.21</f>
        <v>0</v>
      </c>
      <c r="AB154" s="21"/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Tabla356813212939717274787[[#This Row],[COMISIONES]]*0.21</f>
        <v>0</v>
      </c>
      <c r="AB155" s="21"/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Tabla356813212939717274787[[#This Row],[COMISIONES]]*0.21</f>
        <v>0</v>
      </c>
      <c r="AB156" s="21"/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Tabla356813212939717274787[[#This Row],[COMISIONES]]*0.21</f>
        <v>0</v>
      </c>
      <c r="AB157" s="21"/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Tabla356813212939717274787[[#This Row],[COMISIONES]]*0.21</f>
        <v>0</v>
      </c>
      <c r="AB158" s="21"/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Tabla356813212939717274787[[#This Row],[COMISIONES]]*0.21</f>
        <v>0</v>
      </c>
      <c r="AB159" s="21"/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Tabla356813212939717274787[[#This Row],[COMISIONES]]*0.21</f>
        <v>0</v>
      </c>
      <c r="AB160" s="21"/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Tabla356813212939717274787[[#This Row],[COMISIONES]]*0.21</f>
        <v>0</v>
      </c>
      <c r="AB161" s="21"/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Tabla356813212939717274787[[#This Row],[COMISIONES]]*0.21</f>
        <v>0</v>
      </c>
      <c r="AB162" s="21"/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Tabla356813212939717274787[[#This Row],[COMISIONES]]*0.21</f>
        <v>0</v>
      </c>
      <c r="AB163" s="21"/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Tabla356813212939717274787[[#This Row],[COMISIONES]]*0.21</f>
        <v>0</v>
      </c>
      <c r="AB164" s="21"/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Tabla356813212939717274787[[#This Row],[COMISIONES]]*0.21</f>
        <v>0</v>
      </c>
      <c r="AB165" s="21"/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Tabla356813212939717274787[[#This Row],[COMISIONES]]*0.21</f>
        <v>0</v>
      </c>
      <c r="AB166" s="21"/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Tabla356813212939717274787[[#This Row],[COMISIONES]]*0.21</f>
        <v>0</v>
      </c>
      <c r="AB167" s="21"/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Tabla356813212939717274787[[#This Row],[COMISIONES]]*0.21</f>
        <v>0</v>
      </c>
      <c r="AB168" s="21"/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SUBTOTAL(109,Tabla356813212939717274787[COMISIONES])</f>
        <v>1476.6799999999998</v>
      </c>
      <c r="AA169" s="4">
        <f>SUBTOTAL(109,Tabla356813212939717274787[IVA 21])</f>
        <v>310.1028</v>
      </c>
      <c r="AB169" s="4">
        <f>SUBTOTAL(109,Tabla356813212939717274787[IVA 10,5])</f>
        <v>0</v>
      </c>
      <c r="AC169" s="4">
        <f>SUBTOTAL(109,Tabla356813212939717274787[Ret IIBB Caba])</f>
        <v>0</v>
      </c>
      <c r="AD169" s="4">
        <f>SUBTOTAL(109,Tabla356813212939717274787[PERC IVA])</f>
        <v>0</v>
      </c>
      <c r="AF169"/>
      <c r="AG169"/>
      <c r="AH169"/>
      <c r="AI169"/>
      <c r="AJ169"/>
      <c r="AK169"/>
      <c r="AL169"/>
      <c r="AM169"/>
      <c r="AN169"/>
      <c r="AO169"/>
    </row>
  </sheetData>
  <mergeCells count="22">
    <mergeCell ref="AK14:AO14"/>
    <mergeCell ref="T32:X32"/>
    <mergeCell ref="H54:L54"/>
    <mergeCell ref="T64:X64"/>
    <mergeCell ref="B14:F14"/>
    <mergeCell ref="H14:L14"/>
    <mergeCell ref="N14:R14"/>
    <mergeCell ref="T14:X14"/>
    <mergeCell ref="Z14:AD14"/>
    <mergeCell ref="AF14:AJ14"/>
    <mergeCell ref="G7:H7"/>
    <mergeCell ref="G8:H8"/>
    <mergeCell ref="G9:H9"/>
    <mergeCell ref="G10:H10"/>
    <mergeCell ref="G11:H11"/>
    <mergeCell ref="G12:H12"/>
    <mergeCell ref="G2:H2"/>
    <mergeCell ref="J2:K2"/>
    <mergeCell ref="G3:H3"/>
    <mergeCell ref="G4:H4"/>
    <mergeCell ref="G5:H5"/>
    <mergeCell ref="G6:H6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BB14-A49D-4EAB-8500-1662CA744717}">
  <dimension ref="A1:AO169"/>
  <sheetViews>
    <sheetView showGridLines="0" zoomScale="80" zoomScaleNormal="80" workbookViewId="0">
      <selection activeCell="AK17" sqref="AK17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2.140625" customWidth="1"/>
    <col min="4" max="4" width="12.140625" bestFit="1" customWidth="1"/>
    <col min="5" max="5" width="11.5703125" customWidth="1"/>
    <col min="6" max="6" width="12.140625" customWidth="1"/>
    <col min="7" max="7" width="2.5703125" style="6" customWidth="1"/>
    <col min="8" max="8" width="12.7109375" customWidth="1"/>
    <col min="9" max="9" width="13.5703125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7" max="27" width="13.28515625" customWidth="1"/>
    <col min="31" max="31" width="2.5703125" style="6" customWidth="1"/>
  </cols>
  <sheetData>
    <row r="1" spans="1:41" ht="6" customHeight="1" x14ac:dyDescent="0.25">
      <c r="G1"/>
      <c r="M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4</v>
      </c>
      <c r="H2" s="38"/>
      <c r="J2" s="39">
        <v>45383</v>
      </c>
      <c r="K2" s="39"/>
      <c r="M2"/>
      <c r="S2"/>
      <c r="Y2"/>
      <c r="AE2"/>
    </row>
    <row r="3" spans="1:41" x14ac:dyDescent="0.25">
      <c r="B3" s="25" t="str">
        <f>+B14</f>
        <v>Liquidacion amex Credito</v>
      </c>
      <c r="C3" s="14">
        <f>Tabla1316243221222338292[[#Totals],[COMISIONES]]</f>
        <v>2226.5</v>
      </c>
      <c r="D3" s="14">
        <f>Tabla1316243221222338292[[#Totals],[IVA 21]]</f>
        <v>467.565</v>
      </c>
      <c r="E3" s="14">
        <f>Tabla1316243221222338292[[#Totals],[IVA 10,5]]</f>
        <v>0</v>
      </c>
      <c r="F3" s="14">
        <f>Tabla1316243221222338292[[#Totals],[Ret IIBB Caba]]</f>
        <v>0</v>
      </c>
      <c r="G3" s="35">
        <f>Tabla1316243221222338292[[#Totals],[PERC IVA]]</f>
        <v>0</v>
      </c>
      <c r="H3" s="36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>
        <f>Tabla3917253531323348393[[#Totals],[COMISIONES]]</f>
        <v>0</v>
      </c>
      <c r="D4" s="14">
        <f>Tabla3917253531323348393[[#Totals],[IVA 21]]</f>
        <v>0</v>
      </c>
      <c r="E4" s="14">
        <f>Tabla3917253531323348393[[#Totals],[IVA 10,5]]</f>
        <v>0</v>
      </c>
      <c r="F4" s="14">
        <f>Tabla3917253531323348393[[#Totals],[Ret IIBB Caba]]</f>
        <v>0</v>
      </c>
      <c r="G4" s="35">
        <f>Tabla3917253531323348393[[#Totals],[PERC IVA]]</f>
        <v>0</v>
      </c>
      <c r="H4" s="36"/>
      <c r="J4" s="2"/>
      <c r="K4" s="3"/>
      <c r="M4"/>
      <c r="S4"/>
      <c r="Y4"/>
      <c r="AE4"/>
    </row>
    <row r="5" spans="1:41" x14ac:dyDescent="0.25">
      <c r="B5" s="25" t="str">
        <f>+N14</f>
        <v>FRANCES extracto (27/03)</v>
      </c>
      <c r="C5" s="14">
        <f>Tabla351018263641424448494[[#Totals],[COMISIONES]]</f>
        <v>0</v>
      </c>
      <c r="D5" s="45">
        <f>Tabla351018263641424448494[[#Totals],[IVA 21]]</f>
        <v>0</v>
      </c>
      <c r="E5" s="45">
        <f>Tabla351018263641424448494[[#Totals],[IVA 10,5]]</f>
        <v>0</v>
      </c>
      <c r="F5" s="14">
        <f>Tabla351018263641424448494[[#Totals],[Ret IIBB Caba]]</f>
        <v>0</v>
      </c>
      <c r="G5" s="35">
        <f>Tabla351018263641424448494[[#Totals],[PERC IVA]]</f>
        <v>0</v>
      </c>
      <c r="H5" s="36"/>
      <c r="M5"/>
      <c r="S5"/>
      <c r="Y5"/>
      <c r="AE5"/>
    </row>
    <row r="6" spans="1:41" x14ac:dyDescent="0.25">
      <c r="B6" s="25" t="str">
        <f>+T14</f>
        <v>GALICIA EXTRACTO (31/03)</v>
      </c>
      <c r="C6" s="14">
        <f>Tabla3561119273751525458595[[#Totals],[COMISIONES]]</f>
        <v>0</v>
      </c>
      <c r="D6" s="45">
        <f>Tabla3561119273751525458595[[#Totals],[IVA 21]]</f>
        <v>0</v>
      </c>
      <c r="E6" s="14">
        <f>Tabla3561119273751525458595[[#Totals],[IVA 10,5]]</f>
        <v>0</v>
      </c>
      <c r="F6" s="14">
        <f>Tabla3561119273751525458595[[#Totals],[Ret IIBB Caba]]</f>
        <v>0</v>
      </c>
      <c r="G6" s="35">
        <f>Tabla3561119273751525458595[[#Totals],[PERC IVA]]</f>
        <v>0</v>
      </c>
      <c r="H6" s="36"/>
      <c r="M6"/>
      <c r="S6"/>
      <c r="Y6"/>
      <c r="AE6"/>
    </row>
    <row r="7" spans="1:41" x14ac:dyDescent="0.25">
      <c r="B7" s="25" t="str">
        <f>+Z14</f>
        <v>BBVA MASTERCARD CRED(27/03)</v>
      </c>
      <c r="C7" s="14">
        <f>Tabla35681321293971727478797[[#Totals],[COMISIONES]]</f>
        <v>0</v>
      </c>
      <c r="D7" s="14">
        <f>Tabla35681321293971727478797[[#Totals],[IVA 21]]</f>
        <v>0</v>
      </c>
      <c r="E7" s="14">
        <f>Tabla35681321293971727478797[[#Totals],[IVA 10,5]]</f>
        <v>0</v>
      </c>
      <c r="F7" s="14">
        <f>Tabla35681321293971727478797[[#Totals],[Ret IIBB Caba]]</f>
        <v>0</v>
      </c>
      <c r="G7" s="35">
        <f>Tabla35681321293971727478797[[#Totals],[PERC IVA]]</f>
        <v>0</v>
      </c>
      <c r="H7" s="36"/>
      <c r="M7"/>
      <c r="S7"/>
      <c r="Y7"/>
      <c r="AE7"/>
    </row>
    <row r="8" spans="1:41" x14ac:dyDescent="0.25">
      <c r="B8" s="25" t="str">
        <f>+T32</f>
        <v>RESUM BCO BBVA VISA 31/09(Nº RESUMEN 000017206766)</v>
      </c>
      <c r="C8" s="14">
        <f>Tabla61220283861626468696[[#Totals],[COMISIONES]]</f>
        <v>4297.5200000000004</v>
      </c>
      <c r="D8" s="14">
        <f>Tabla61220283861626468696[[#Totals],[IVA 21]]</f>
        <v>902.47920000000011</v>
      </c>
      <c r="E8" s="14">
        <f>Tabla61220283861626468696[[#Totals],[IVA 10,5]]</f>
        <v>0</v>
      </c>
      <c r="F8" s="14">
        <f>Tabla61220283861626468696[[#Totals],[Ret IIBB Caba]]</f>
        <v>0</v>
      </c>
      <c r="G8" s="35">
        <f>Tabla61220283861626468696[[#Totals],[PERC IVA]]</f>
        <v>0</v>
      </c>
      <c r="H8" s="36"/>
      <c r="M8"/>
      <c r="S8"/>
      <c r="Y8"/>
      <c r="AE8"/>
    </row>
    <row r="9" spans="1:41" x14ac:dyDescent="0.25">
      <c r="B9" s="28" t="str">
        <f>+AF14</f>
        <v>BBVA - LIQ DEBITO (08/03)</v>
      </c>
      <c r="C9" s="14">
        <f>+Tabla3568131422304081828488898[[#Totals],[COMISIONES]]</f>
        <v>0</v>
      </c>
      <c r="D9" s="14">
        <f>+Tabla3568131422304081828488898[[#Totals],[IVA 21]]</f>
        <v>0</v>
      </c>
      <c r="E9" s="14">
        <f>+Tabla3568131422304081828488898[[#Totals],[IVA 10,5]]</f>
        <v>0</v>
      </c>
      <c r="F9" s="14">
        <f>+Tabla3568131422304081828488898[[#Totals],[Ret IIBB Caba]]</f>
        <v>0</v>
      </c>
      <c r="G9" s="35">
        <f>+Tabla3568131422304081828488898[[#Totals],[PERC IVA]]</f>
        <v>0</v>
      </c>
      <c r="H9" s="36"/>
      <c r="M9"/>
      <c r="S9"/>
      <c r="Y9"/>
      <c r="AE9"/>
    </row>
    <row r="10" spans="1:41" x14ac:dyDescent="0.25">
      <c r="B10" s="28" t="s">
        <v>33</v>
      </c>
      <c r="C10" s="14">
        <f>Tabla391523314191929498999[[#Totals],[COMISIONES]]</f>
        <v>155995</v>
      </c>
      <c r="D10" s="14">
        <f>Tabla391523314191929498999[[#Totals],[IVA 21]]</f>
        <v>32758.949999999997</v>
      </c>
      <c r="E10" s="14">
        <f>Tabla391523314191929498999[[#Totals],[IVA 10,5]]</f>
        <v>0</v>
      </c>
      <c r="F10" s="14">
        <f>Tabla391523314191929498999[[#Totals],[Ret IIBB Caba]]</f>
        <v>0</v>
      </c>
      <c r="G10" s="35">
        <f>Tabla391523314191929498999[[#Totals],[PERC IVA]]</f>
        <v>0</v>
      </c>
      <c r="H10" s="43"/>
      <c r="M10"/>
      <c r="S10"/>
      <c r="Y10"/>
      <c r="AE10"/>
    </row>
    <row r="11" spans="1:41" x14ac:dyDescent="0.25">
      <c r="B11" s="28" t="str">
        <f>+AK14</f>
        <v>GALICIA CREDITO visa (30/09)</v>
      </c>
      <c r="C11" s="14">
        <f>+Tabla35611192734431121315191101[[#Totals],[COMISIONES]]</f>
        <v>1500</v>
      </c>
      <c r="D11" s="14">
        <f>+Tabla35611192734431121315191101[[#Totals],[IVA 21]]</f>
        <v>315</v>
      </c>
      <c r="E11" s="14">
        <f>+Tabla35611192734431121315191101[[#Totals],[IVA 10,5]]</f>
        <v>0</v>
      </c>
      <c r="F11" s="14"/>
      <c r="G11" s="35"/>
      <c r="H11" s="36"/>
      <c r="M11"/>
      <c r="S11"/>
      <c r="Y11"/>
      <c r="AE11"/>
    </row>
    <row r="12" spans="1:41" x14ac:dyDescent="0.25">
      <c r="A12" s="26"/>
      <c r="B12" s="26"/>
      <c r="C12" s="27">
        <f>SUM(C3:C11)</f>
        <v>164019.01999999999</v>
      </c>
      <c r="D12" s="27">
        <f t="shared" ref="D12:F12" si="0">SUM(D3:D11)</f>
        <v>34443.994199999994</v>
      </c>
      <c r="E12" s="27">
        <f t="shared" si="0"/>
        <v>0</v>
      </c>
      <c r="F12" s="27">
        <f t="shared" si="0"/>
        <v>0</v>
      </c>
      <c r="G12" s="44">
        <f>SUM(G3:H11)</f>
        <v>0</v>
      </c>
      <c r="H12" s="44"/>
      <c r="M12"/>
      <c r="S12"/>
      <c r="Y12"/>
      <c r="AE12"/>
    </row>
    <row r="13" spans="1:41" x14ac:dyDescent="0.25">
      <c r="A13" s="26"/>
      <c r="B13" s="26"/>
      <c r="G13"/>
      <c r="J13" t="s">
        <v>25</v>
      </c>
      <c r="M13"/>
      <c r="S13"/>
      <c r="V13" t="s">
        <v>25</v>
      </c>
      <c r="Y13"/>
      <c r="AE13"/>
    </row>
    <row r="14" spans="1:41" ht="16.5" customHeight="1" x14ac:dyDescent="0.3">
      <c r="B14" s="41" t="s">
        <v>7</v>
      </c>
      <c r="C14" s="41"/>
      <c r="D14" s="41"/>
      <c r="E14" s="41"/>
      <c r="F14" s="41"/>
      <c r="H14" s="41" t="s">
        <v>26</v>
      </c>
      <c r="I14" s="41"/>
      <c r="J14" s="41"/>
      <c r="K14" s="41"/>
      <c r="L14" s="41"/>
      <c r="N14" s="41" t="s">
        <v>30</v>
      </c>
      <c r="O14" s="41"/>
      <c r="P14" s="41"/>
      <c r="Q14" s="41"/>
      <c r="R14" s="41"/>
      <c r="T14" s="41" t="s">
        <v>24</v>
      </c>
      <c r="U14" s="41"/>
      <c r="V14" s="41"/>
      <c r="W14" s="41"/>
      <c r="X14" s="41"/>
      <c r="Z14" s="41" t="s">
        <v>28</v>
      </c>
      <c r="AA14" s="41"/>
      <c r="AB14" s="41"/>
      <c r="AC14" s="41"/>
      <c r="AD14" s="41"/>
      <c r="AF14" s="41" t="s">
        <v>27</v>
      </c>
      <c r="AG14" s="41"/>
      <c r="AH14" s="41"/>
      <c r="AI14" s="41"/>
      <c r="AJ14" s="41"/>
      <c r="AK14" s="41" t="s">
        <v>32</v>
      </c>
      <c r="AL14" s="41"/>
      <c r="AM14" s="41"/>
      <c r="AN14" s="41"/>
      <c r="AO14" s="41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>
        <v>2226.5</v>
      </c>
      <c r="C16" s="2">
        <f>Tabla1316243221222338292[[#This Row],[COMISIONES]]*0.21</f>
        <v>467.565</v>
      </c>
      <c r="D16" s="3"/>
      <c r="E16" s="3"/>
      <c r="F16" s="1"/>
      <c r="G16" s="8"/>
      <c r="H16" s="3"/>
      <c r="I16" s="11">
        <f>Tabla3917253531323348393[[#This Row],[COMISIONES]]*0.21</f>
        <v>0</v>
      </c>
      <c r="J16" s="11"/>
      <c r="K16" s="11"/>
      <c r="L16" s="3"/>
      <c r="M16" s="8"/>
      <c r="O16" s="11">
        <f>Tabla351018263641424448494[[#This Row],[COMISIONES]]*0.21</f>
        <v>0</v>
      </c>
      <c r="P16" s="11"/>
      <c r="Q16" s="1"/>
      <c r="S16" s="8"/>
      <c r="T16" s="11"/>
      <c r="U16" s="11">
        <f>Tabla3561119273751525458595[[#This Row],[COMISIONES]]*0.21</f>
        <v>0</v>
      </c>
      <c r="V16" s="11"/>
      <c r="W16" s="11"/>
      <c r="X16" s="11"/>
      <c r="Y16" s="8"/>
      <c r="AA16" s="11">
        <f>Tabla35681321293971727478797[[#This Row],[COMISIONES]]*0.21</f>
        <v>0</v>
      </c>
      <c r="AC16" s="1"/>
      <c r="AE16" s="8"/>
      <c r="AG16" s="11">
        <f>Tabla3568131422304081828488898[[#This Row],[COMISIONES]]*0.21</f>
        <v>0</v>
      </c>
      <c r="AH16" s="11"/>
      <c r="AI16" s="1"/>
      <c r="AJ16" s="11"/>
      <c r="AK16" s="11">
        <v>1500</v>
      </c>
      <c r="AL16" s="11">
        <f>Tabla35611192734431121315191101[[#This Row],[COMISIONES]]*0.21</f>
        <v>315</v>
      </c>
      <c r="AM16" s="11"/>
      <c r="AN16" s="11"/>
      <c r="AO16" s="11"/>
    </row>
    <row r="17" spans="2:41" x14ac:dyDescent="0.25">
      <c r="B17" s="3"/>
      <c r="C17" s="2">
        <f>Tabla1316243221222338292[[#This Row],[COMISIONES]]*0.21</f>
        <v>0</v>
      </c>
      <c r="D17" s="3"/>
      <c r="E17" s="3"/>
      <c r="F17" s="3"/>
      <c r="G17" s="8"/>
      <c r="H17" s="11"/>
      <c r="I17" s="11">
        <f>Tabla3917253531323348393[[#This Row],[COMISIONES]]*0.21</f>
        <v>0</v>
      </c>
      <c r="J17" s="11"/>
      <c r="K17" s="11"/>
      <c r="L17" s="11"/>
      <c r="M17" s="8"/>
      <c r="N17" s="11"/>
      <c r="O17" s="11"/>
      <c r="P17" s="11">
        <f>Tabla351018263641424448494[[#This Row],[COMISIONES]]*0.105</f>
        <v>0</v>
      </c>
      <c r="Q17" s="1"/>
      <c r="S17" s="8"/>
      <c r="T17" s="11"/>
      <c r="U17" s="11">
        <f>Tabla3561119273751525458595[[#This Row],[COMISIONES]]*0.21</f>
        <v>0</v>
      </c>
      <c r="V17" s="11"/>
      <c r="W17" s="11"/>
      <c r="X17" s="11"/>
      <c r="Y17" s="8"/>
      <c r="AA17" s="11">
        <f>Tabla35681321293971727478797[[#This Row],[COMISIONES]]*0.21</f>
        <v>0</v>
      </c>
      <c r="AB17" s="1"/>
      <c r="AC17" s="1"/>
      <c r="AE17" s="8"/>
      <c r="AF17" s="11"/>
      <c r="AG17" s="11">
        <f>Tabla3568131422304081828488898[[#This Row],[COMISIONES]]*0.21</f>
        <v>0</v>
      </c>
      <c r="AH17" s="11"/>
      <c r="AI17" s="11"/>
      <c r="AJ17" s="11"/>
      <c r="AK17" s="11"/>
      <c r="AL17" s="11">
        <f>Tabla35611192734431121315191101[[#This Row],[COMISIONES]]*0.21</f>
        <v>0</v>
      </c>
      <c r="AM17" s="11"/>
      <c r="AN17" s="11"/>
      <c r="AO17" s="11"/>
    </row>
    <row r="18" spans="2:41" x14ac:dyDescent="0.25">
      <c r="B18" s="3"/>
      <c r="C18" s="2">
        <f>Tabla1316243221222338292[[#This Row],[COMISIONES]]*0.21</f>
        <v>0</v>
      </c>
      <c r="D18" s="3"/>
      <c r="E18" s="3"/>
      <c r="F18" s="3"/>
      <c r="H18" s="11"/>
      <c r="I18" s="11">
        <f>Tabla3917253531323348393[[#This Row],[COMISIONES]]*0.21</f>
        <v>0</v>
      </c>
      <c r="J18" s="11"/>
      <c r="K18" s="11"/>
      <c r="L18" s="11"/>
      <c r="N18" s="1"/>
      <c r="O18" s="11">
        <f>Tabla351018263641424448494[[#This Row],[COMISIONES]]*0.21</f>
        <v>0</v>
      </c>
      <c r="P18" s="11"/>
      <c r="Q18" s="11"/>
      <c r="R18" s="23"/>
      <c r="T18" s="11"/>
      <c r="U18" s="11">
        <f>Tabla3561119273751525458595[[#This Row],[COMISIONES]]*0.21</f>
        <v>0</v>
      </c>
      <c r="V18" s="11"/>
      <c r="W18" s="11"/>
      <c r="X18" s="11"/>
      <c r="AA18" s="11">
        <f>Tabla35681321293971727478797[[#This Row],[COMISIONES]]*0.21</f>
        <v>0</v>
      </c>
      <c r="AB18" s="1"/>
      <c r="AF18" s="11"/>
      <c r="AG18" s="11">
        <f>Tabla3568131422304081828488898[[#This Row],[COMISIONES]]*0.21</f>
        <v>0</v>
      </c>
      <c r="AH18" s="11"/>
      <c r="AI18" s="11"/>
      <c r="AJ18" s="11"/>
      <c r="AK18" s="11"/>
      <c r="AL18" s="11">
        <f>Tabla35611192734431121315191101[[#This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Tabla1316243221222338292[[#This Row],[COMISIONES]]*0.21</f>
        <v>0</v>
      </c>
      <c r="D19" s="3"/>
      <c r="E19" s="3"/>
      <c r="F19" s="3"/>
      <c r="G19" s="8"/>
      <c r="H19" s="11"/>
      <c r="I19" s="11">
        <f>Tabla3917253531323348393[[#This Row],[COMISIONES]]*0.21</f>
        <v>0</v>
      </c>
      <c r="J19" s="11"/>
      <c r="K19" s="11"/>
      <c r="L19" s="11"/>
      <c r="M19" s="8"/>
      <c r="N19" s="1"/>
      <c r="O19" s="11">
        <f>Tabla351018263641424448494[[#This Row],[COMISIONES]]*0.21</f>
        <v>0</v>
      </c>
      <c r="P19" s="11"/>
      <c r="Q19" s="11"/>
      <c r="R19" s="23"/>
      <c r="S19" s="8"/>
      <c r="T19" s="11"/>
      <c r="U19" s="11">
        <f>Tabla3561119273751525458595[[#This Row],[COMISIONES]]*0.21</f>
        <v>0</v>
      </c>
      <c r="V19" s="11"/>
      <c r="W19" s="11"/>
      <c r="X19" s="11"/>
      <c r="Y19" s="8"/>
      <c r="AA19" s="11"/>
      <c r="AB19" s="1"/>
      <c r="AC19" s="1"/>
      <c r="AE19" s="8"/>
      <c r="AF19" s="11"/>
      <c r="AG19" s="11">
        <f>Tabla3568131422304081828488898[[#This Row],[COMISIONES]]*0.21</f>
        <v>0</v>
      </c>
      <c r="AH19" s="11"/>
      <c r="AI19" s="11"/>
      <c r="AJ19" s="11"/>
      <c r="AK19" s="11"/>
      <c r="AL19" s="11">
        <f>Tabla35611192734431121315191101[[#This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Tabla1316243221222338292[[#This Row],[COMISIONES]]*0.21</f>
        <v>0</v>
      </c>
      <c r="D20" s="3"/>
      <c r="E20" s="3"/>
      <c r="F20" s="3"/>
      <c r="H20" s="11"/>
      <c r="I20" s="11">
        <f>Tabla3917253531323348393[[#This Row],[COMISIONES]]*0.21</f>
        <v>0</v>
      </c>
      <c r="J20" s="11"/>
      <c r="K20" s="11"/>
      <c r="L20" s="11"/>
      <c r="N20" s="1"/>
      <c r="O20" s="11">
        <f>Tabla351018263641424448494[[#This Row],[COMISIONES]]*0.21</f>
        <v>0</v>
      </c>
      <c r="P20" s="11"/>
      <c r="Q20" s="11"/>
      <c r="R20" s="23"/>
      <c r="T20" s="11"/>
      <c r="U20" s="11">
        <f>Tabla3561119273751525458595[[#This Row],[COMISIONES]]*0.21</f>
        <v>0</v>
      </c>
      <c r="V20" s="11"/>
      <c r="W20" s="11"/>
      <c r="X20" s="11"/>
      <c r="AA20" s="11">
        <f>Tabla35681321293971727478797[[#This Row],[COMISIONES]]*0.21</f>
        <v>0</v>
      </c>
      <c r="AB20" s="11"/>
      <c r="AC20" s="1"/>
      <c r="AF20" s="11"/>
      <c r="AG20" s="11">
        <f>Tabla3568131422304081828488898[[#This Row],[COMISIONES]]*0.21</f>
        <v>0</v>
      </c>
      <c r="AH20" s="11"/>
      <c r="AI20" s="11"/>
      <c r="AJ20" s="11"/>
      <c r="AK20" s="11"/>
      <c r="AL20" s="11">
        <f>Tabla35611192734431121315191101[[#This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Tabla1316243221222338292[[#This Row],[COMISIONES]]*0.21</f>
        <v>0</v>
      </c>
      <c r="D21" s="3"/>
      <c r="E21" s="3"/>
      <c r="F21" s="3"/>
      <c r="H21" s="11"/>
      <c r="I21" s="11">
        <f>Tabla3917253531323348393[[#This Row],[COMISIONES]]*0.21</f>
        <v>0</v>
      </c>
      <c r="J21" s="11"/>
      <c r="K21" s="11"/>
      <c r="L21" s="11"/>
      <c r="N21" s="11"/>
      <c r="O21" s="11">
        <f>Tabla351018263641424448494[[#This Row],[COMISIONES]]*0.21</f>
        <v>0</v>
      </c>
      <c r="P21" s="11"/>
      <c r="Q21" s="11"/>
      <c r="R21" s="11"/>
      <c r="T21" s="11"/>
      <c r="U21" s="11">
        <f>Tabla3561119273751525458595[[#This Row],[COMISIONES]]*0.21</f>
        <v>0</v>
      </c>
      <c r="V21" s="11"/>
      <c r="W21" s="11"/>
      <c r="X21" s="11"/>
      <c r="Z21" s="1"/>
      <c r="AA21" s="11">
        <f>Tabla35681321293971727478797[[#This Row],[COMISIONES]]*0.21</f>
        <v>0</v>
      </c>
      <c r="AB21" s="11"/>
      <c r="AC21" s="1"/>
      <c r="AF21" s="11"/>
      <c r="AG21" s="11">
        <f>Tabla3568131422304081828488898[[#This Row],[COMISIONES]]*0.21</f>
        <v>0</v>
      </c>
      <c r="AH21" s="11"/>
      <c r="AI21" s="11"/>
      <c r="AJ21" s="11"/>
      <c r="AK21" s="11"/>
      <c r="AL21" s="11">
        <f>Tabla35611192734431121315191101[[#This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Tabla1316243221222338292[[#This Row],[COMISIONES]]*0.21</f>
        <v>0</v>
      </c>
      <c r="D22" s="3"/>
      <c r="E22" s="3"/>
      <c r="F22" s="3"/>
      <c r="H22" s="11"/>
      <c r="I22" s="11">
        <f>Tabla3917253531323348393[[#This Row],[COMISIONES]]*0.21</f>
        <v>0</v>
      </c>
      <c r="J22" s="11"/>
      <c r="K22" s="11"/>
      <c r="L22" s="11"/>
      <c r="N22" s="11"/>
      <c r="O22" s="11">
        <f>Tabla351018263641424448494[[#This Row],[COMISIONES]]*0.21</f>
        <v>0</v>
      </c>
      <c r="P22" s="11"/>
      <c r="Q22" s="11"/>
      <c r="R22" s="11"/>
      <c r="T22" s="11"/>
      <c r="U22" s="11">
        <f>Tabla3561119273751525458595[[#This Row],[COMISIONES]]*0.21</f>
        <v>0</v>
      </c>
      <c r="V22" s="11"/>
      <c r="W22" s="11"/>
      <c r="X22" s="11"/>
      <c r="AA22" s="11">
        <f>Tabla35681321293971727478797[[#This Row],[COMISIONES]]*0.21</f>
        <v>0</v>
      </c>
      <c r="AB22" s="11"/>
      <c r="AC22" s="1"/>
      <c r="AD22" s="11"/>
      <c r="AF22" s="11"/>
      <c r="AG22" s="11">
        <f>Tabla3568131422304081828488898[[#This Row],[COMISIONES]]*0.21</f>
        <v>0</v>
      </c>
      <c r="AH22" s="11"/>
      <c r="AI22" s="11"/>
      <c r="AJ22" s="11"/>
      <c r="AK22" s="11"/>
      <c r="AL22" s="11">
        <f>Tabla35611192734431121315191101[[#This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Tabla1316243221222338292[[#This Row],[COMISIONES]]*0.21</f>
        <v>0</v>
      </c>
      <c r="D23" s="3"/>
      <c r="E23" s="3"/>
      <c r="F23" s="3"/>
      <c r="H23" s="11"/>
      <c r="I23" s="11">
        <f>Tabla3917253531323348393[[#This Row],[COMISIONES]]*0.21</f>
        <v>0</v>
      </c>
      <c r="J23" s="11"/>
      <c r="K23" s="11"/>
      <c r="L23" s="11"/>
      <c r="N23" s="11"/>
      <c r="O23" s="11">
        <f>Tabla351018263641424448494[[#This Row],[COMISIONES]]*0.21</f>
        <v>0</v>
      </c>
      <c r="P23" s="11"/>
      <c r="Q23" s="11"/>
      <c r="R23" s="11"/>
      <c r="T23" s="11"/>
      <c r="U23" s="11">
        <f>Tabla3561119273751525458595[[#This Row],[COMISIONES]]*0.21</f>
        <v>0</v>
      </c>
      <c r="V23" s="11"/>
      <c r="W23" s="11"/>
      <c r="X23" s="11"/>
      <c r="Z23" s="1"/>
      <c r="AA23" s="11"/>
      <c r="AB23" s="1"/>
      <c r="AC23" s="1"/>
      <c r="AD23" s="11"/>
      <c r="AF23" s="11"/>
      <c r="AG23" s="11">
        <f>Tabla3568131422304081828488898[[#This Row],[COMISIONES]]*0.21</f>
        <v>0</v>
      </c>
      <c r="AH23" s="11"/>
      <c r="AI23" s="11"/>
      <c r="AJ23" s="11"/>
      <c r="AK23" s="11"/>
      <c r="AL23" s="11">
        <f>Tabla35611192734431121315191101[[#This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Tabla1316243221222338292[[#This Row],[COMISIONES]]*0.21</f>
        <v>0</v>
      </c>
      <c r="D24" s="3"/>
      <c r="E24" s="3"/>
      <c r="F24" s="3"/>
      <c r="H24" s="11"/>
      <c r="I24" s="11">
        <f>Tabla3917253531323348393[[#This Row],[COMISIONES]]*0.21</f>
        <v>0</v>
      </c>
      <c r="J24" s="11"/>
      <c r="K24" s="11"/>
      <c r="L24" s="11"/>
      <c r="N24" s="11"/>
      <c r="O24" s="11">
        <f>Tabla351018263641424448494[[#This Row],[COMISIONES]]*0.21</f>
        <v>0</v>
      </c>
      <c r="P24" s="11"/>
      <c r="Q24" s="11"/>
      <c r="R24" s="11"/>
      <c r="T24" s="11"/>
      <c r="U24" s="11">
        <f>Tabla3561119273751525458595[[#This Row],[COMISIONES]]*0.21</f>
        <v>0</v>
      </c>
      <c r="V24" s="11"/>
      <c r="W24" s="11"/>
      <c r="X24" s="11"/>
      <c r="Z24" s="1"/>
      <c r="AA24" s="11">
        <f>Tabla35681321293971727478797[[#This Row],[COMISIONES]]*0.21</f>
        <v>0</v>
      </c>
      <c r="AB24" s="11"/>
      <c r="AC24" s="1"/>
      <c r="AD24" s="11"/>
      <c r="AF24" s="11"/>
      <c r="AG24" s="11">
        <f>Tabla3568131422304081828488898[[#This Row],[COMISIONES]]*0.21</f>
        <v>0</v>
      </c>
      <c r="AH24" s="11"/>
      <c r="AI24" s="11"/>
      <c r="AJ24" s="11"/>
      <c r="AK24" s="11"/>
      <c r="AL24" s="11">
        <f>Tabla35611192734431121315191101[[#This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Tabla1316243221222338292[[#This Row],[COMISIONES]]*0.21</f>
        <v>0</v>
      </c>
      <c r="D25" s="3"/>
      <c r="E25" s="3"/>
      <c r="F25" s="3"/>
      <c r="H25" s="11"/>
      <c r="I25" s="11">
        <f>Tabla3917253531323348393[[#This Row],[COMISIONES]]*0.21</f>
        <v>0</v>
      </c>
      <c r="J25" s="11"/>
      <c r="K25" s="11"/>
      <c r="L25" s="11"/>
      <c r="N25" s="11"/>
      <c r="O25" s="11">
        <f>Tabla351018263641424448494[[#This Row],[COMISIONES]]*0.21</f>
        <v>0</v>
      </c>
      <c r="P25" s="11"/>
      <c r="Q25" s="11"/>
      <c r="R25" s="11"/>
      <c r="T25" s="11"/>
      <c r="U25" s="11">
        <f>Tabla3561119273751525458595[[#This Row],[COMISIONES]]*0.21</f>
        <v>0</v>
      </c>
      <c r="V25" s="11"/>
      <c r="W25" s="11"/>
      <c r="X25" s="11"/>
      <c r="AA25" s="11">
        <f>Tabla35681321293971727478797[[#This Row],[COMISIONES]]*0.21</f>
        <v>0</v>
      </c>
      <c r="AB25" s="11"/>
      <c r="AC25" s="1"/>
      <c r="AD25" s="11"/>
      <c r="AF25" s="11"/>
      <c r="AG25" s="11">
        <f>Tabla3568131422304081828488898[[#This Row],[COMISIONES]]*0.21</f>
        <v>0</v>
      </c>
      <c r="AH25" s="11"/>
      <c r="AI25" s="11"/>
      <c r="AJ25" s="11"/>
      <c r="AK25" s="11"/>
      <c r="AL25" s="11">
        <f>Tabla35611192734431121315191101[[#This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Tabla1316243221222338292[[#This Row],[COMISIONES]]*0.21</f>
        <v>0</v>
      </c>
      <c r="D26" s="3"/>
      <c r="E26" s="3"/>
      <c r="F26" s="3"/>
      <c r="H26" s="11"/>
      <c r="I26" s="11">
        <f>Tabla3917253531323348393[[#This Row],[COMISIONES]]*0.21</f>
        <v>0</v>
      </c>
      <c r="J26" s="11"/>
      <c r="K26" s="11"/>
      <c r="L26" s="11"/>
      <c r="N26" s="11"/>
      <c r="O26" s="11">
        <f>Tabla351018263641424448494[[#This Row],[COMISIONES]]*0.21</f>
        <v>0</v>
      </c>
      <c r="P26" s="11"/>
      <c r="Q26" s="11"/>
      <c r="R26" s="11"/>
      <c r="T26" s="11"/>
      <c r="U26" s="11">
        <f>Tabla3561119273751525458595[[#This Row],[COMISIONES]]*0.21</f>
        <v>0</v>
      </c>
      <c r="V26" s="11"/>
      <c r="W26" s="11"/>
      <c r="X26" s="11"/>
      <c r="AA26" s="11">
        <f>Tabla35681321293971727478797[[#This Row],[COMISIONES]]*0.21</f>
        <v>0</v>
      </c>
      <c r="AB26" s="11"/>
      <c r="AC26" s="1"/>
      <c r="AD26" s="11"/>
      <c r="AF26" s="4">
        <f>SUBTOTAL(109,Tabla3568131422304081828488898[COMISIONES])</f>
        <v>0</v>
      </c>
      <c r="AG26" s="4">
        <f>SUBTOTAL(109,Tabla3568131422304081828488898[IVA 21])</f>
        <v>0</v>
      </c>
      <c r="AH26" s="4">
        <f>SUBTOTAL(109,Tabla3568131422304081828488898[IVA 10,5])</f>
        <v>0</v>
      </c>
      <c r="AI26" s="4">
        <f>SUBTOTAL(109,Tabla3568131422304081828488898[Ret IIBB Caba])</f>
        <v>0</v>
      </c>
      <c r="AJ26" s="4">
        <f>SUBTOTAL(109,Tabla3568131422304081828488898[PERC IVA])</f>
        <v>0</v>
      </c>
      <c r="AK26" s="11"/>
      <c r="AL26" s="11">
        <f>Tabla35611192734431121315191101[[#This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Tabla1316243221222338292[[#This Row],[COMISIONES]]*0.21</f>
        <v>0</v>
      </c>
      <c r="D27" s="3"/>
      <c r="E27" s="3"/>
      <c r="F27" s="3"/>
      <c r="H27" s="11"/>
      <c r="I27" s="11">
        <f>Tabla3917253531323348393[[#This Row],[COMISIONES]]*0.21</f>
        <v>0</v>
      </c>
      <c r="J27" s="11"/>
      <c r="K27" s="11"/>
      <c r="L27" s="11"/>
      <c r="N27" s="11"/>
      <c r="O27" s="11">
        <f>Tabla351018263641424448494[[#This Row],[COMISIONES]]*0.21</f>
        <v>0</v>
      </c>
      <c r="P27" s="11"/>
      <c r="Q27" s="11"/>
      <c r="R27" s="11"/>
      <c r="T27" s="11"/>
      <c r="U27" s="11">
        <f>Tabla3561119273751525458595[[#This Row],[COMISIONES]]*0.21</f>
        <v>0</v>
      </c>
      <c r="V27" s="11"/>
      <c r="W27" s="11"/>
      <c r="X27" s="11"/>
      <c r="Z27" s="1"/>
      <c r="AA27" s="11">
        <f>Tabla35681321293971727478797[[#This Row],[COMISIONES]]*0.21</f>
        <v>0</v>
      </c>
      <c r="AB27" s="11"/>
      <c r="AC27" s="1"/>
      <c r="AK27" s="11"/>
      <c r="AL27" s="11">
        <f>Tabla35611192734431121315191101[[#This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Tabla1316243221222338292[[#This Row],[COMISIONES]]*0.21</f>
        <v>0</v>
      </c>
      <c r="D28" s="3"/>
      <c r="E28" s="3"/>
      <c r="F28" s="3"/>
      <c r="H28" s="11"/>
      <c r="I28" s="11">
        <f>Tabla3917253531323348393[[#This Row],[COMISIONES]]*0.21</f>
        <v>0</v>
      </c>
      <c r="J28" s="11"/>
      <c r="K28" s="11"/>
      <c r="L28" s="11"/>
      <c r="N28" s="11"/>
      <c r="O28" s="11">
        <f>Tabla351018263641424448494[[#This Row],[COMISIONES]]*0.21</f>
        <v>0</v>
      </c>
      <c r="P28" s="11"/>
      <c r="Q28" s="11"/>
      <c r="R28" s="11"/>
      <c r="T28" s="11"/>
      <c r="U28" s="11">
        <f>Tabla3561119273751525458595[[#This Row],[COMISIONES]]*0.21</f>
        <v>0</v>
      </c>
      <c r="V28" s="11"/>
      <c r="W28" s="11"/>
      <c r="X28" s="11"/>
      <c r="AA28" s="11">
        <f>Tabla35681321293971727478797[[#This Row],[COMISIONES]]*0.21</f>
        <v>0</v>
      </c>
      <c r="AB28" s="1"/>
      <c r="AC28" s="1"/>
      <c r="AD28" s="11"/>
      <c r="AK28" s="11"/>
      <c r="AL28" s="11">
        <f>Tabla35611192734431121315191101[[#This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Tabla1316243221222338292[[#This Row],[COMISIONES]]*0.21</f>
        <v>0</v>
      </c>
      <c r="D29" s="3"/>
      <c r="E29" s="3"/>
      <c r="F29" s="3"/>
      <c r="H29" s="11"/>
      <c r="I29" s="11">
        <f>Tabla3917253531323348393[[#This Row],[COMISIONES]]*0.21</f>
        <v>0</v>
      </c>
      <c r="J29" s="11"/>
      <c r="K29" s="11"/>
      <c r="L29" s="11"/>
      <c r="N29" s="11"/>
      <c r="O29" s="11">
        <f>Tabla351018263641424448494[[#This Row],[COMISIONES]]*0.21</f>
        <v>0</v>
      </c>
      <c r="P29" s="11"/>
      <c r="Q29" s="11"/>
      <c r="R29" s="11"/>
      <c r="T29" s="18"/>
      <c r="U29" s="18">
        <f>Tabla3561119273751525458595[[#This Row],[COMISIONES]]*0.21</f>
        <v>0</v>
      </c>
      <c r="V29" s="18"/>
      <c r="W29" s="18"/>
      <c r="X29" s="18"/>
      <c r="AA29" s="11"/>
      <c r="AB29" s="1"/>
      <c r="AD29" s="11"/>
      <c r="AK29" s="18"/>
      <c r="AL29" s="18">
        <f>Tabla35611192734431121315191101[[#This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Tabla1316243221222338292[[#This Row],[COMISIONES]]*0.21</f>
        <v>0</v>
      </c>
      <c r="D30" s="3"/>
      <c r="E30" s="3"/>
      <c r="F30" s="3"/>
      <c r="H30" s="11"/>
      <c r="I30" s="11">
        <f>Tabla3917253531323348393[[#This Row],[COMISIONES]]*0.21</f>
        <v>0</v>
      </c>
      <c r="J30" s="11"/>
      <c r="K30" s="11"/>
      <c r="L30" s="11"/>
      <c r="N30" s="11"/>
      <c r="O30" s="11">
        <f>Tabla351018263641424448494[[#This Row],[COMISIONES]]*0.21</f>
        <v>0</v>
      </c>
      <c r="P30" s="11"/>
      <c r="Q30" s="11"/>
      <c r="R30" s="11"/>
      <c r="T30" s="18"/>
      <c r="U30" s="18">
        <f>Tabla3561119273751525458595[[#This Row],[COMISIONES]]*0.21</f>
        <v>0</v>
      </c>
      <c r="V30" s="18"/>
      <c r="W30" s="18"/>
      <c r="X30" s="18"/>
      <c r="Z30" s="1"/>
      <c r="AA30" s="11">
        <f>Tabla35681321293971727478797[[#This Row],[COMISIONES]]*0.21</f>
        <v>0</v>
      </c>
      <c r="AB30" s="11"/>
      <c r="AC30" s="11"/>
      <c r="AD30" s="11"/>
      <c r="AK30" s="18"/>
      <c r="AL30" s="18">
        <f>Tabla35611192734431121315191101[[#This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Tabla1316243221222338292[[#This Row],[COMISIONES]]*0.21</f>
        <v>0</v>
      </c>
      <c r="D31" s="3"/>
      <c r="E31" s="1"/>
      <c r="F31" s="3"/>
      <c r="H31" s="11"/>
      <c r="I31" s="11">
        <f>Tabla3917253531323348393[[#This Row],[COMISIONES]]*0.21</f>
        <v>0</v>
      </c>
      <c r="J31" s="11"/>
      <c r="K31" s="11"/>
      <c r="L31" s="11"/>
      <c r="N31" s="11"/>
      <c r="O31" s="11">
        <f>Tabla351018263641424448494[[#This Row],[COMISIONES]]*0.21</f>
        <v>0</v>
      </c>
      <c r="P31" s="11"/>
      <c r="Q31" s="11"/>
      <c r="R31" s="11"/>
      <c r="T31" s="4">
        <f>SUBTOTAL(109,Tabla3561119273751525458595[COMISIONES])</f>
        <v>0</v>
      </c>
      <c r="U31" s="4">
        <f>SUBTOTAL(109,Tabla3561119273751525458595[IVA 21])</f>
        <v>0</v>
      </c>
      <c r="V31" s="4">
        <f>SUBTOTAL(109,Tabla3561119273751525458595[IVA 10,5])</f>
        <v>0</v>
      </c>
      <c r="W31" s="4">
        <f>SUBTOTAL(109,Tabla3561119273751525458595[Ret IIBB Caba])</f>
        <v>0</v>
      </c>
      <c r="X31" s="4">
        <f>SUBTOTAL(109,Tabla3561119273751525458595[PERC IVA])</f>
        <v>0</v>
      </c>
      <c r="Z31" s="1"/>
      <c r="AA31" s="11">
        <f>Tabla35681321293971727478797[[#This Row],[COMISIONES]]*0.21</f>
        <v>0</v>
      </c>
      <c r="AB31" s="11"/>
      <c r="AC31" s="1"/>
      <c r="AK31" s="4">
        <f>SUBTOTAL(109,Tabla35611192734431121315191101[COMISIONES])</f>
        <v>1500</v>
      </c>
      <c r="AL31" s="4">
        <f>SUBTOTAL(109,Tabla35611192734431121315191101[IVA 21])</f>
        <v>315</v>
      </c>
      <c r="AM31" s="4">
        <f>SUBTOTAL(109,Tabla35611192734431121315191101[IVA 10,5])</f>
        <v>0</v>
      </c>
      <c r="AN31" s="4">
        <f>SUBTOTAL(109,Tabla35611192734431121315191101[Ret IIBB Caba])</f>
        <v>0</v>
      </c>
      <c r="AO31" s="4">
        <f>SUBTOTAL(109,Tabla35611192734431121315191101[PERC IVA])</f>
        <v>0</v>
      </c>
    </row>
    <row r="32" spans="2:41" ht="18.75" x14ac:dyDescent="0.3">
      <c r="B32" s="3"/>
      <c r="C32" s="2">
        <f>Tabla1316243221222338292[[#This Row],[COMISIONES]]*0.21</f>
        <v>0</v>
      </c>
      <c r="D32" s="3"/>
      <c r="E32" s="3"/>
      <c r="F32" s="3"/>
      <c r="H32" s="11"/>
      <c r="I32" s="11">
        <f>Tabla3917253531323348393[[#This Row],[COMISIONES]]*0.21</f>
        <v>0</v>
      </c>
      <c r="J32" s="11"/>
      <c r="K32" s="11"/>
      <c r="L32" s="11"/>
      <c r="N32" s="11"/>
      <c r="O32" s="11">
        <f>Tabla351018263641424448494[[#This Row],[COMISIONES]]*0.21</f>
        <v>0</v>
      </c>
      <c r="P32" s="11"/>
      <c r="Q32" s="11"/>
      <c r="R32" s="11"/>
      <c r="T32" s="42" t="s">
        <v>15</v>
      </c>
      <c r="U32" s="42"/>
      <c r="V32" s="42"/>
      <c r="W32" s="42"/>
      <c r="X32" s="42"/>
      <c r="Z32" s="1"/>
      <c r="AA32" s="11"/>
      <c r="AB32" s="1"/>
      <c r="AC32" s="11"/>
      <c r="AD32" s="11"/>
    </row>
    <row r="33" spans="2:31" x14ac:dyDescent="0.25">
      <c r="B33" s="3"/>
      <c r="C33" s="2">
        <f>Tabla1316243221222338292[[#This Row],[COMISIONES]]*0.21</f>
        <v>0</v>
      </c>
      <c r="D33" s="3"/>
      <c r="E33" s="3"/>
      <c r="F33" s="3"/>
      <c r="H33" s="11"/>
      <c r="I33" s="11">
        <f>Tabla3917253531323348393[[#This Row],[COMISIONES]]*0.21</f>
        <v>0</v>
      </c>
      <c r="J33" s="11"/>
      <c r="K33" s="11"/>
      <c r="L33" s="11"/>
      <c r="N33" s="11"/>
      <c r="O33" s="11">
        <f>Tabla351018263641424448494[[#This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1"/>
      <c r="AA33" s="11">
        <f>Tabla35681321293971727478797[[#This Row],[COMISIONES]]*0.21</f>
        <v>0</v>
      </c>
      <c r="AB33" s="11"/>
      <c r="AC33" s="11"/>
      <c r="AD33" s="11"/>
    </row>
    <row r="34" spans="2:31" x14ac:dyDescent="0.25">
      <c r="B34" s="3"/>
      <c r="C34" s="2">
        <f>Tabla1316243221222338292[[#This Row],[COMISIONES]]*0.21</f>
        <v>0</v>
      </c>
      <c r="D34" s="3"/>
      <c r="E34" s="3"/>
      <c r="F34" s="3"/>
      <c r="H34" s="11"/>
      <c r="I34" s="11">
        <f>Tabla3917253531323348393[[#This Row],[COMISIONES]]*0.21</f>
        <v>0</v>
      </c>
      <c r="J34" s="11"/>
      <c r="K34" s="11"/>
      <c r="L34" s="11"/>
      <c r="N34" s="11"/>
      <c r="O34" s="11">
        <f>Tabla351018263641424448494[[#This Row],[COMISIONES]]*0.21</f>
        <v>0</v>
      </c>
      <c r="P34" s="11"/>
      <c r="Q34" s="11"/>
      <c r="R34" s="11"/>
      <c r="T34" s="11">
        <v>4297.5200000000004</v>
      </c>
      <c r="U34" s="11">
        <f>Tabla61220283861626468696[[#This Row],[COMISIONES]]*0.21</f>
        <v>902.47920000000011</v>
      </c>
      <c r="V34" s="11"/>
      <c r="W34" s="11"/>
      <c r="X34" s="11"/>
      <c r="AA34" s="11">
        <f>Tabla35681321293971727478797[[#This Row],[COMISIONES]]*0.21</f>
        <v>0</v>
      </c>
      <c r="AB34" s="11"/>
      <c r="AC34" s="11"/>
      <c r="AD34" s="11"/>
    </row>
    <row r="35" spans="2:31" x14ac:dyDescent="0.25">
      <c r="B35" s="3"/>
      <c r="C35" s="2">
        <f>Tabla1316243221222338292[[#This Row],[COMISIONES]]*0.21</f>
        <v>0</v>
      </c>
      <c r="D35" s="3"/>
      <c r="E35" s="3"/>
      <c r="F35" s="3"/>
      <c r="H35" s="11"/>
      <c r="I35" s="11">
        <f>Tabla3917253531323348393[[#This Row],[COMISIONES]]*0.21</f>
        <v>0</v>
      </c>
      <c r="J35" s="11"/>
      <c r="K35" s="11"/>
      <c r="L35" s="11"/>
      <c r="N35" s="11"/>
      <c r="O35" s="11">
        <f>Tabla351018263641424448494[[#This Row],[COMISIONES]]*0.21</f>
        <v>0</v>
      </c>
      <c r="P35" s="11"/>
      <c r="Q35" s="11"/>
      <c r="R35" s="11"/>
      <c r="T35" s="11"/>
      <c r="U35" s="11"/>
      <c r="V35" s="11">
        <f>Tabla61220283861626468696[[#This Row],[COMISIONES]]*0.105</f>
        <v>0</v>
      </c>
      <c r="W35" s="11"/>
      <c r="X35" s="11"/>
      <c r="Z35" s="1"/>
      <c r="AA35" s="11">
        <f>Tabla35681321293971727478797[[#This Row],[COMISIONES]]*0.21</f>
        <v>0</v>
      </c>
      <c r="AB35" s="11"/>
      <c r="AC35" s="11"/>
      <c r="AD35" s="11"/>
    </row>
    <row r="36" spans="2:31" x14ac:dyDescent="0.25">
      <c r="B36" s="3"/>
      <c r="C36" s="2">
        <f>Tabla1316243221222338292[[#This Row],[COMISIONES]]*0.21</f>
        <v>0</v>
      </c>
      <c r="D36" s="3"/>
      <c r="E36" s="3"/>
      <c r="F36" s="3"/>
      <c r="H36" s="11"/>
      <c r="I36" s="11">
        <f>Tabla3917253531323348393[[#This Row],[COMISIONES]]*0.21</f>
        <v>0</v>
      </c>
      <c r="J36" s="11"/>
      <c r="K36" s="11"/>
      <c r="L36" s="11"/>
      <c r="N36" s="11"/>
      <c r="O36" s="11">
        <f>Tabla351018263641424448494[[#This Row],[COMISIONES]]*0.21</f>
        <v>0</v>
      </c>
      <c r="P36" s="11"/>
      <c r="Q36" s="11"/>
      <c r="R36" s="11"/>
      <c r="T36" s="11"/>
      <c r="U36" s="19">
        <f>Tabla61220283861626468696[[#This Row],[COMISIONES]]*0.21</f>
        <v>0</v>
      </c>
      <c r="Z36" s="1"/>
      <c r="AA36" s="11"/>
      <c r="AB36" s="1"/>
      <c r="AC36" s="11"/>
      <c r="AD36" s="11"/>
    </row>
    <row r="37" spans="2:31" x14ac:dyDescent="0.25">
      <c r="B37" s="3"/>
      <c r="C37" s="2">
        <f>Tabla1316243221222338292[[#This Row],[COMISIONES]]*0.21</f>
        <v>0</v>
      </c>
      <c r="D37" s="3"/>
      <c r="E37" s="3"/>
      <c r="F37" s="3"/>
      <c r="H37" s="11"/>
      <c r="I37" s="11">
        <f>Tabla3917253531323348393[[#This Row],[COMISIONES]]*0.21</f>
        <v>0</v>
      </c>
      <c r="J37" s="11"/>
      <c r="K37" s="11"/>
      <c r="L37" s="11"/>
      <c r="N37" s="11"/>
      <c r="O37" s="11">
        <f>Tabla351018263641424448494[[#This Row],[COMISIONES]]*0.21</f>
        <v>0</v>
      </c>
      <c r="P37" s="11"/>
      <c r="Q37" s="11"/>
      <c r="R37" s="11"/>
      <c r="T37" s="11"/>
      <c r="U37" s="19">
        <f>Tabla61220283861626468696[[#This Row],[COMISIONES]]*0.21</f>
        <v>0</v>
      </c>
      <c r="AA37" s="21">
        <f>Tabla35681321293971727478797[[#This Row],[COMISIONES]]*0.21</f>
        <v>0</v>
      </c>
      <c r="AB37" s="21"/>
      <c r="AC37" s="21"/>
      <c r="AD37" s="22"/>
    </row>
    <row r="38" spans="2:31" x14ac:dyDescent="0.25">
      <c r="B38" s="3"/>
      <c r="C38" s="2">
        <f>Tabla1316243221222338292[[#This Row],[COMISIONES]]*0.21</f>
        <v>0</v>
      </c>
      <c r="D38" s="3"/>
      <c r="E38" s="3"/>
      <c r="F38" s="3"/>
      <c r="H38" s="11"/>
      <c r="I38" s="11">
        <f>Tabla3917253531323348393[[#This Row],[COMISIONES]]*0.21</f>
        <v>0</v>
      </c>
      <c r="J38" s="11"/>
      <c r="K38" s="11"/>
      <c r="L38" s="11"/>
      <c r="N38" s="11"/>
      <c r="O38" s="11">
        <f>Tabla351018263641424448494[[#This Row],[COMISIONES]]*0.21</f>
        <v>0</v>
      </c>
      <c r="P38" s="11"/>
      <c r="Q38" s="11"/>
      <c r="R38" s="11"/>
      <c r="T38" s="11"/>
      <c r="U38" s="19">
        <f>Tabla61220283861626468696[[#This Row],[COMISIONES]]*0.21</f>
        <v>0</v>
      </c>
      <c r="AA38" s="21">
        <f>Tabla35681321293971727478797[[#This Row],[COMISIONES]]*0.21</f>
        <v>0</v>
      </c>
      <c r="AB38" s="1"/>
      <c r="AC38" s="1"/>
    </row>
    <row r="39" spans="2:31" x14ac:dyDescent="0.25">
      <c r="B39" s="3"/>
      <c r="C39" s="2">
        <f>Tabla1316243221222338292[[#This Row],[COMISIONES]]*0.21</f>
        <v>0</v>
      </c>
      <c r="D39" s="3"/>
      <c r="E39" s="3"/>
      <c r="F39" s="3"/>
      <c r="H39" s="11"/>
      <c r="I39" s="11">
        <f>Tabla3917253531323348393[[#This Row],[COMISIONES]]*0.21</f>
        <v>0</v>
      </c>
      <c r="J39" s="11"/>
      <c r="K39" s="11"/>
      <c r="L39" s="11"/>
      <c r="N39" s="11"/>
      <c r="O39" s="11">
        <f>Tabla351018263641424448494[[#This Row],[COMISIONES]]*0.21</f>
        <v>0</v>
      </c>
      <c r="P39" s="11"/>
      <c r="Q39" s="11"/>
      <c r="R39" s="11"/>
      <c r="T39" s="11"/>
      <c r="U39" s="19">
        <f>Tabla61220283861626468696[[#This Row],[COMISIONES]]*0.21</f>
        <v>0</v>
      </c>
      <c r="AA39" s="21">
        <f>Tabla35681321293971727478797[[#This Row],[COMISIONES]]*0.21</f>
        <v>0</v>
      </c>
      <c r="AB39" s="21"/>
      <c r="AC39" s="21"/>
      <c r="AD39" s="21"/>
    </row>
    <row r="40" spans="2:31" x14ac:dyDescent="0.25">
      <c r="B40" s="3"/>
      <c r="C40" s="2">
        <f>Tabla1316243221222338292[[#This Row],[COMISIONES]]*0.21</f>
        <v>0</v>
      </c>
      <c r="D40" s="3"/>
      <c r="E40" s="3"/>
      <c r="F40" s="3"/>
      <c r="H40" s="11"/>
      <c r="I40" s="11">
        <f>Tabla3917253531323348393[[#This Row],[COMISIONES]]*0.21</f>
        <v>0</v>
      </c>
      <c r="J40" s="11"/>
      <c r="K40" s="11"/>
      <c r="L40" s="11"/>
      <c r="N40" s="11"/>
      <c r="O40" s="11">
        <f>Tabla351018263641424448494[[#This Row],[COMISIONES]]*0.21</f>
        <v>0</v>
      </c>
      <c r="P40" s="11"/>
      <c r="Q40" s="11"/>
      <c r="R40" s="11"/>
      <c r="T40" s="11"/>
      <c r="U40" s="19">
        <f>Tabla61220283861626468696[[#This Row],[COMISIONES]]*0.21</f>
        <v>0</v>
      </c>
      <c r="Z40" s="1"/>
      <c r="AA40" s="21">
        <f>Tabla35681321293971727478797[[#This Row],[COMISIONES]]*0.21</f>
        <v>0</v>
      </c>
      <c r="AB40" s="21"/>
      <c r="AC40" s="21"/>
      <c r="AD40" s="21"/>
    </row>
    <row r="41" spans="2:31" x14ac:dyDescent="0.25">
      <c r="B41" s="3"/>
      <c r="C41" s="2">
        <f>Tabla1316243221222338292[[#This Row],[COMISIONES]]*0.21</f>
        <v>0</v>
      </c>
      <c r="D41" s="3"/>
      <c r="E41" s="3"/>
      <c r="F41" s="3"/>
      <c r="H41" s="18"/>
      <c r="I41" s="18">
        <f>Tabla3917253531323348393[[#This Row],[COMISIONES]]*0.21</f>
        <v>0</v>
      </c>
      <c r="J41" s="18"/>
      <c r="K41" s="18"/>
      <c r="L41" s="18"/>
      <c r="N41" s="11"/>
      <c r="O41" s="11">
        <f>Tabla351018263641424448494[[#This Row],[COMISIONES]]*0.21</f>
        <v>0</v>
      </c>
      <c r="P41" s="11"/>
      <c r="Q41" s="11"/>
      <c r="R41" s="11"/>
      <c r="T41" s="11"/>
      <c r="U41" s="19">
        <f>Tabla61220283861626468696[[#This Row],[COMISIONES]]*0.21</f>
        <v>0</v>
      </c>
      <c r="Z41" s="1"/>
      <c r="AA41" s="21">
        <f>Tabla35681321293971727478797[[#This Row],[COMISIONES]]*0.21</f>
        <v>0</v>
      </c>
      <c r="AB41" s="21"/>
      <c r="AC41" s="21"/>
      <c r="AD41" s="21"/>
    </row>
    <row r="42" spans="2:31" x14ac:dyDescent="0.25">
      <c r="B42" s="3"/>
      <c r="C42" s="2">
        <f>Tabla1316243221222338292[[#This Row],[COMISIONES]]*0.21</f>
        <v>0</v>
      </c>
      <c r="D42" s="3"/>
      <c r="E42" s="3"/>
      <c r="F42" s="3"/>
      <c r="H42" s="18"/>
      <c r="I42" s="18">
        <f>Tabla3917253531323348393[[#This Row],[COMISIONES]]*0.21</f>
        <v>0</v>
      </c>
      <c r="J42" s="18"/>
      <c r="K42" s="18"/>
      <c r="L42" s="18"/>
      <c r="N42" s="11"/>
      <c r="O42" s="11">
        <f>Tabla351018263641424448494[[#This Row],[COMISIONES]]*0.21</f>
        <v>0</v>
      </c>
      <c r="P42" s="11"/>
      <c r="Q42" s="11"/>
      <c r="R42" s="11"/>
      <c r="T42" s="11"/>
      <c r="U42" s="19">
        <f>Tabla61220283861626468696[[#This Row],[COMISIONES]]*0.21</f>
        <v>0</v>
      </c>
      <c r="AA42" s="21">
        <f>Tabla35681321293971727478797[[#This Row],[COMISIONES]]*0.21</f>
        <v>0</v>
      </c>
      <c r="AB42" s="21"/>
      <c r="AC42" s="21"/>
      <c r="AD42" s="21"/>
    </row>
    <row r="43" spans="2:31" x14ac:dyDescent="0.25">
      <c r="B43" s="3"/>
      <c r="C43" s="2">
        <f>Tabla1316243221222338292[[#This Row],[COMISIONES]]*0.21</f>
        <v>0</v>
      </c>
      <c r="D43" s="3"/>
      <c r="E43" s="3"/>
      <c r="F43" s="3"/>
      <c r="G43" s="8"/>
      <c r="H43" s="18"/>
      <c r="I43" s="18">
        <f>Tabla3917253531323348393[[#This Row],[COMISIONES]]*0.21</f>
        <v>0</v>
      </c>
      <c r="J43" s="18"/>
      <c r="K43" s="18"/>
      <c r="L43" s="18"/>
      <c r="M43" s="8"/>
      <c r="N43" s="11"/>
      <c r="O43" s="11">
        <f>Tabla351018263641424448494[[#This Row],[COMISIONES]]*0.21</f>
        <v>0</v>
      </c>
      <c r="P43" s="11"/>
      <c r="Q43" s="11"/>
      <c r="R43" s="11"/>
      <c r="S43" s="8"/>
      <c r="T43" s="11"/>
      <c r="U43" s="19">
        <f>Tabla61220283861626468696[[#This Row],[COMISIONES]]*0.21</f>
        <v>0</v>
      </c>
      <c r="Y43" s="8"/>
      <c r="AA43" s="21">
        <f>Tabla35681321293971727478797[[#This Row],[COMISIONES]]*0.21</f>
        <v>0</v>
      </c>
      <c r="AB43" s="21"/>
      <c r="AC43" s="21"/>
      <c r="AD43" s="21"/>
      <c r="AE43" s="8"/>
    </row>
    <row r="44" spans="2:31" x14ac:dyDescent="0.25">
      <c r="B44" s="3"/>
      <c r="C44" s="2">
        <f>Tabla1316243221222338292[[#This Row],[COMISIONES]]*0.21</f>
        <v>0</v>
      </c>
      <c r="D44" s="3"/>
      <c r="E44" s="3"/>
      <c r="F44" s="3"/>
      <c r="H44" s="18"/>
      <c r="I44" s="18">
        <f>Tabla3917253531323348393[[#This Row],[COMISIONES]]*0.21</f>
        <v>0</v>
      </c>
      <c r="J44" s="18"/>
      <c r="K44" s="18"/>
      <c r="L44" s="18"/>
      <c r="N44" s="11"/>
      <c r="O44" s="11">
        <f>Tabla351018263641424448494[[#This Row],[COMISIONES]]*0.21</f>
        <v>0</v>
      </c>
      <c r="P44" s="11"/>
      <c r="Q44" s="11"/>
      <c r="R44" s="11"/>
      <c r="U44" s="19">
        <f>Tabla61220283861626468696[[#This Row],[COMISIONES]]*0.21</f>
        <v>0</v>
      </c>
      <c r="Z44" s="1"/>
      <c r="AA44" s="21">
        <f>Tabla35681321293971727478797[[#This Row],[COMISIONES]]*0.21</f>
        <v>0</v>
      </c>
      <c r="AB44" s="21"/>
      <c r="AC44" s="21"/>
      <c r="AD44" s="21"/>
    </row>
    <row r="45" spans="2:31" x14ac:dyDescent="0.25">
      <c r="B45" s="3"/>
      <c r="C45" s="2">
        <f>Tabla1316243221222338292[[#This Row],[COMISIONES]]*0.21</f>
        <v>0</v>
      </c>
      <c r="D45" s="3"/>
      <c r="E45" s="3"/>
      <c r="F45" s="3"/>
      <c r="H45" s="18"/>
      <c r="I45" s="18">
        <f>Tabla3917253531323348393[[#This Row],[COMISIONES]]*0.21</f>
        <v>0</v>
      </c>
      <c r="J45" s="18"/>
      <c r="K45" s="18"/>
      <c r="L45" s="18"/>
      <c r="N45" s="11"/>
      <c r="O45" s="11">
        <f>Tabla351018263641424448494[[#This Row],[COMISIONES]]*0.21</f>
        <v>0</v>
      </c>
      <c r="P45" s="11"/>
      <c r="Q45" s="11"/>
      <c r="R45" s="11"/>
      <c r="U45" s="19">
        <f>Tabla61220283861626468696[[#This Row],[COMISIONES]]*0.21</f>
        <v>0</v>
      </c>
      <c r="Z45" s="1"/>
      <c r="AA45" s="21">
        <f>Tabla35681321293971727478797[[#This Row],[COMISIONES]]*0.21</f>
        <v>0</v>
      </c>
      <c r="AB45" s="21"/>
      <c r="AC45" s="21"/>
      <c r="AD45" s="21"/>
    </row>
    <row r="46" spans="2:31" x14ac:dyDescent="0.25">
      <c r="B46" s="3"/>
      <c r="C46" s="2">
        <f>Tabla1316243221222338292[[#This Row],[COMISIONES]]*0.21</f>
        <v>0</v>
      </c>
      <c r="D46" s="3"/>
      <c r="E46" s="3"/>
      <c r="F46" s="3"/>
      <c r="H46" s="18"/>
      <c r="I46" s="18">
        <f>Tabla3917253531323348393[[#This Row],[COMISIONES]]*0.21</f>
        <v>0</v>
      </c>
      <c r="J46" s="18"/>
      <c r="K46" s="18"/>
      <c r="L46" s="18"/>
      <c r="N46" s="11"/>
      <c r="O46" s="11">
        <f>Tabla351018263641424448494[[#This Row],[COMISIONES]]*0.21</f>
        <v>0</v>
      </c>
      <c r="P46" s="11"/>
      <c r="Q46" s="11"/>
      <c r="R46" s="11"/>
      <c r="U46" s="19">
        <f>Tabla61220283861626468696[[#This Row],[COMISIONES]]*0.21</f>
        <v>0</v>
      </c>
      <c r="AA46" s="21">
        <f>Tabla35681321293971727478797[[#This Row],[COMISIONES]]*0.21</f>
        <v>0</v>
      </c>
      <c r="AB46" s="21"/>
      <c r="AC46" s="21"/>
      <c r="AD46" s="21"/>
    </row>
    <row r="47" spans="2:31" x14ac:dyDescent="0.25">
      <c r="B47" s="3"/>
      <c r="C47" s="2">
        <f>Tabla1316243221222338292[[#This Row],[COMISIONES]]*0.21</f>
        <v>0</v>
      </c>
      <c r="D47" s="3"/>
      <c r="E47" s="3"/>
      <c r="F47" s="3"/>
      <c r="H47" s="18"/>
      <c r="I47" s="18">
        <f>Tabla3917253531323348393[[#This Row],[COMISIONES]]*0.21</f>
        <v>0</v>
      </c>
      <c r="J47" s="18"/>
      <c r="K47" s="18"/>
      <c r="L47" s="18"/>
      <c r="N47" s="11"/>
      <c r="O47" s="11">
        <f>Tabla351018263641424448494[[#This Row],[COMISIONES]]*0.21</f>
        <v>0</v>
      </c>
      <c r="P47" s="11"/>
      <c r="Q47" s="11"/>
      <c r="R47" s="11"/>
      <c r="U47" s="19">
        <f>Tabla61220283861626468696[[#This Row],[COMISIONES]]*0.21</f>
        <v>0</v>
      </c>
      <c r="AA47" s="21">
        <f>Tabla35681321293971727478797[[#This Row],[COMISIONES]]*0.21</f>
        <v>0</v>
      </c>
      <c r="AB47" s="21"/>
      <c r="AC47" s="21"/>
      <c r="AD47" s="21"/>
    </row>
    <row r="48" spans="2:31" x14ac:dyDescent="0.25">
      <c r="B48" s="3"/>
      <c r="C48" s="2">
        <f>Tabla1316243221222338292[[#This Row],[COMISIONES]]*0.21</f>
        <v>0</v>
      </c>
      <c r="D48" s="3"/>
      <c r="E48" s="3"/>
      <c r="F48" s="3"/>
      <c r="H48" s="18"/>
      <c r="I48" s="18">
        <f>Tabla3917253531323348393[[#This Row],[COMISIONES]]*0.21</f>
        <v>0</v>
      </c>
      <c r="J48" s="18"/>
      <c r="K48" s="18"/>
      <c r="L48" s="18"/>
      <c r="N48" s="11"/>
      <c r="O48" s="11">
        <f>Tabla351018263641424448494[[#This Row],[COMISIONES]]*0.21</f>
        <v>0</v>
      </c>
      <c r="P48" s="11"/>
      <c r="Q48" s="11"/>
      <c r="R48" s="11"/>
      <c r="U48" s="19">
        <f>Tabla61220283861626468696[[#This Row],[COMISIONES]]*0.21</f>
        <v>0</v>
      </c>
      <c r="Z48" s="1"/>
      <c r="AA48" s="21">
        <f>Tabla35681321293971727478797[[#This Row],[COMISIONES]]*0.21</f>
        <v>0</v>
      </c>
      <c r="AB48" s="21"/>
      <c r="AC48" s="21"/>
      <c r="AD48" s="21"/>
    </row>
    <row r="49" spans="1:41" x14ac:dyDescent="0.25">
      <c r="B49" s="3"/>
      <c r="C49" s="2">
        <f>Tabla1316243221222338292[[#This Row],[COMISIONES]]*0.21</f>
        <v>0</v>
      </c>
      <c r="D49" s="3"/>
      <c r="E49" s="3"/>
      <c r="F49" s="3"/>
      <c r="H49" s="18"/>
      <c r="I49" s="18">
        <f>Tabla3917253531323348393[[#This Row],[COMISIONES]]*0.21</f>
        <v>0</v>
      </c>
      <c r="J49" s="18"/>
      <c r="K49" s="18"/>
      <c r="L49" s="18"/>
      <c r="N49" s="11"/>
      <c r="O49" s="11">
        <f>Tabla351018263641424448494[[#This Row],[COMISIONES]]*0.21</f>
        <v>0</v>
      </c>
      <c r="P49" s="11"/>
      <c r="Q49" s="11"/>
      <c r="R49" s="11"/>
      <c r="U49" s="19">
        <f>Tabla61220283861626468696[[#This Row],[COMISIONES]]*0.21</f>
        <v>0</v>
      </c>
      <c r="AA49" s="21"/>
      <c r="AB49" s="1"/>
      <c r="AC49" s="21"/>
      <c r="AD49" s="21"/>
    </row>
    <row r="50" spans="1:41" s="6" customFormat="1" x14ac:dyDescent="0.25">
      <c r="A50"/>
      <c r="B50" s="3"/>
      <c r="C50" s="2">
        <f>Tabla1316243221222338292[[#This Row],[COMISIONES]]*0.21</f>
        <v>0</v>
      </c>
      <c r="D50" s="3"/>
      <c r="E50" s="3"/>
      <c r="F50" s="3"/>
      <c r="H50" s="18"/>
      <c r="I50" s="18">
        <f>Tabla3917253531323348393[[#This Row],[COMISIONES]]*0.21</f>
        <v>0</v>
      </c>
      <c r="J50" s="18"/>
      <c r="K50" s="18"/>
      <c r="L50" s="18"/>
      <c r="N50" s="11"/>
      <c r="O50" s="11">
        <f>Tabla351018263641424448494[[#This Row],[COMISIONES]]*0.21</f>
        <v>0</v>
      </c>
      <c r="P50" s="11"/>
      <c r="Q50" s="11"/>
      <c r="R50" s="11"/>
      <c r="T50"/>
      <c r="U50" s="19">
        <f>Tabla61220283861626468696[[#This Row],[COMISIONES]]*0.21</f>
        <v>0</v>
      </c>
      <c r="V50"/>
      <c r="W50"/>
      <c r="X50"/>
      <c r="Z50"/>
      <c r="AA50" s="21">
        <f>Tabla35681321293971727478797[[#This Row],[COMISIONES]]*0.21</f>
        <v>0</v>
      </c>
      <c r="AB50" s="21"/>
      <c r="AC50" s="21"/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Tabla1316243221222338292[[#This Row],[COMISIONES]]*0.21</f>
        <v>0</v>
      </c>
      <c r="D51" s="2"/>
      <c r="E51" s="2"/>
      <c r="F51"/>
      <c r="H51" s="18"/>
      <c r="I51" s="18">
        <f>Tabla3917253531323348393[[#This Row],[COMISIONES]]*0.21</f>
        <v>0</v>
      </c>
      <c r="J51" s="18"/>
      <c r="K51" s="18"/>
      <c r="L51" s="18"/>
      <c r="N51" s="11"/>
      <c r="O51" s="11">
        <f>Tabla351018263641424448494[[#This Row],[COMISIONES]]*0.21</f>
        <v>0</v>
      </c>
      <c r="P51" s="11"/>
      <c r="Q51" s="11"/>
      <c r="R51" s="11"/>
      <c r="T51"/>
      <c r="U51" s="19">
        <f>Tabla61220283861626468696[[#This Row],[COMISIONES]]*0.21</f>
        <v>0</v>
      </c>
      <c r="V51"/>
      <c r="W51"/>
      <c r="X51"/>
      <c r="Z51"/>
      <c r="AA51" s="21">
        <f>Tabla35681321293971727478797[[#This Row],[COMISIONES]]*0.21</f>
        <v>0</v>
      </c>
      <c r="AB51" s="21"/>
      <c r="AC51" s="21"/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Tabla1316243221222338292[[#This Row],[COMISIONES]]*0.21</f>
        <v>0</v>
      </c>
      <c r="D52" s="2"/>
      <c r="E52" s="2"/>
      <c r="F52"/>
      <c r="H52" s="18"/>
      <c r="I52" s="18">
        <f>Tabla3917253531323348393[[#This Row],[COMISIONES]]*0.21</f>
        <v>0</v>
      </c>
      <c r="J52" s="18"/>
      <c r="K52" s="18"/>
      <c r="L52" s="18"/>
      <c r="N52" s="11"/>
      <c r="O52" s="11">
        <f>Tabla351018263641424448494[[#This Row],[COMISIONES]]*0.21</f>
        <v>0</v>
      </c>
      <c r="P52" s="11"/>
      <c r="Q52" s="11"/>
      <c r="R52" s="11"/>
      <c r="T52"/>
      <c r="U52" s="19">
        <f>Tabla61220283861626468696[[#This Row],[COMISIONES]]*0.21</f>
        <v>0</v>
      </c>
      <c r="V52"/>
      <c r="W52"/>
      <c r="X52"/>
      <c r="Z52" s="1"/>
      <c r="AA52" s="21">
        <f>Tabla35681321293971727478797[[#This Row],[COMISIONES]]*0.21</f>
        <v>0</v>
      </c>
      <c r="AB52" s="21"/>
      <c r="AC52" s="21"/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Tabla1316243221222338292[[#This Row],[COMISIONES]]*0.21</f>
        <v>0</v>
      </c>
      <c r="D53" s="2"/>
      <c r="E53" s="2"/>
      <c r="F53"/>
      <c r="H53" s="24">
        <f>SUBTOTAL(109,Tabla3917253531323348393[COMISIONES])</f>
        <v>0</v>
      </c>
      <c r="I53" s="24">
        <f>SUBTOTAL(109,Tabla3917253531323348393[IVA 21])</f>
        <v>0</v>
      </c>
      <c r="J53" s="24">
        <f>SUBTOTAL(109,Tabla3917253531323348393[IVA 10,5])</f>
        <v>0</v>
      </c>
      <c r="K53" s="24">
        <f>SUBTOTAL(109,Tabla3917253531323348393[Ret IIBB Caba])</f>
        <v>0</v>
      </c>
      <c r="L53" s="24">
        <f>SUBTOTAL(109,Tabla3917253531323348393[PERC IVA])</f>
        <v>0</v>
      </c>
      <c r="N53" s="11"/>
      <c r="O53" s="11">
        <f>Tabla351018263641424448494[[#This Row],[COMISIONES]]*0.21</f>
        <v>0</v>
      </c>
      <c r="P53" s="11"/>
      <c r="Q53" s="11"/>
      <c r="R53" s="11"/>
      <c r="T53"/>
      <c r="U53" s="19">
        <f>Tabla61220283861626468696[[#This Row],[COMISIONES]]*0.21</f>
        <v>0</v>
      </c>
      <c r="V53"/>
      <c r="W53"/>
      <c r="X53"/>
      <c r="Z53" s="1"/>
      <c r="AA53" s="21"/>
      <c r="AB53" s="1"/>
      <c r="AC53" s="21"/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Tabla1316243221222338292[[#This Row],[COMISIONES]]*0.21</f>
        <v>0</v>
      </c>
      <c r="D54" s="2"/>
      <c r="E54" s="2"/>
      <c r="F54"/>
      <c r="H54" s="41" t="s">
        <v>29</v>
      </c>
      <c r="I54" s="41"/>
      <c r="J54" s="41"/>
      <c r="K54" s="41"/>
      <c r="L54" s="41"/>
      <c r="N54" s="11"/>
      <c r="O54" s="11">
        <f>Tabla351018263641424448494[[#This Row],[COMISIONES]]*0.21</f>
        <v>0</v>
      </c>
      <c r="P54" s="11"/>
      <c r="Q54" s="11"/>
      <c r="R54" s="11"/>
      <c r="T54"/>
      <c r="U54" s="19">
        <f>Tabla61220283861626468696[[#This Row],[COMISIONES]]*0.21</f>
        <v>0</v>
      </c>
      <c r="V54"/>
      <c r="W54"/>
      <c r="X54"/>
      <c r="Z54" s="1"/>
      <c r="AA54" s="21">
        <f>Tabla35681321293971727478797[[#This Row],[COMISIONES]]*0.21</f>
        <v>0</v>
      </c>
      <c r="AB54" s="21"/>
      <c r="AC54" s="1"/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Tabla1316243221222338292[[#This Row],[COMISIONES]]*0.21</f>
        <v>0</v>
      </c>
      <c r="D55" s="2"/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Tabla351018263641424448494[[#This Row],[COMISIONES]]*0.21</f>
        <v>0</v>
      </c>
      <c r="P55" s="11"/>
      <c r="Q55" s="11"/>
      <c r="R55" s="11"/>
      <c r="T55"/>
      <c r="U55" s="19">
        <f>Tabla61220283861626468696[[#This Row],[COMISIONES]]*0.21</f>
        <v>0</v>
      </c>
      <c r="V55"/>
      <c r="W55"/>
      <c r="X55"/>
      <c r="Z55"/>
      <c r="AA55" s="21">
        <f>Tabla35681321293971727478797[[#This Row],[COMISIONES]]*0.21</f>
        <v>0</v>
      </c>
      <c r="AB55"/>
      <c r="AC55" s="1"/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Tabla1316243221222338292[[#This Row],[COMISIONES]]*0.21</f>
        <v>0</v>
      </c>
      <c r="D56" s="2"/>
      <c r="E56" s="2"/>
      <c r="F56"/>
      <c r="H56" s="1">
        <v>155995</v>
      </c>
      <c r="I56" s="11">
        <f>Tabla391523314191929498999[[#This Row],[COMISIONES]]*0.21</f>
        <v>32758.949999999997</v>
      </c>
      <c r="J56" s="11"/>
      <c r="K56" s="11"/>
      <c r="L56" s="1"/>
      <c r="N56" s="11"/>
      <c r="O56" s="11">
        <f>Tabla351018263641424448494[[#This Row],[COMISIONES]]*0.21</f>
        <v>0</v>
      </c>
      <c r="P56" s="11"/>
      <c r="Q56" s="11"/>
      <c r="R56" s="11"/>
      <c r="T56"/>
      <c r="U56" s="19">
        <f>Tabla61220283861626468696[[#This Row],[COMISIONES]]*0.21</f>
        <v>0</v>
      </c>
      <c r="V56"/>
      <c r="W56"/>
      <c r="X56"/>
      <c r="Z56"/>
      <c r="AA56" s="21">
        <f>Tabla35681321293971727478797[[#This Row],[COMISIONES]]*0.21</f>
        <v>0</v>
      </c>
      <c r="AB56" s="21"/>
      <c r="AC56"/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Tabla1316243221222338292[[#This Row],[COMISIONES]]*0.21</f>
        <v>0</v>
      </c>
      <c r="D57" s="2"/>
      <c r="E57" s="2"/>
      <c r="F57"/>
      <c r="H57" s="11"/>
      <c r="I57" s="11">
        <f>Tabla391523314191929498999[[#This Row],[COMISIONES]]*0.21</f>
        <v>0</v>
      </c>
      <c r="J57" s="11"/>
      <c r="K57" s="11"/>
      <c r="L57" s="21"/>
      <c r="N57" s="11"/>
      <c r="O57" s="11">
        <f>Tabla351018263641424448494[[#This Row],[COMISIONES]]*0.21</f>
        <v>0</v>
      </c>
      <c r="P57" s="11"/>
      <c r="Q57" s="11"/>
      <c r="R57" s="11"/>
      <c r="T57"/>
      <c r="U57" s="19">
        <f>Tabla61220283861626468696[[#This Row],[COMISIONES]]*0.21</f>
        <v>0</v>
      </c>
      <c r="V57"/>
      <c r="W57"/>
      <c r="X57"/>
      <c r="Z57"/>
      <c r="AA57" s="21">
        <f>Tabla35681321293971727478797[[#This Row],[COMISIONES]]*0.21</f>
        <v>0</v>
      </c>
      <c r="AB57" s="21"/>
      <c r="AC57" s="21"/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Tabla1316243221222338292[[#This Row],[COMISIONES]]*0.21</f>
        <v>0</v>
      </c>
      <c r="D58" s="1"/>
      <c r="E58" s="2"/>
      <c r="F58"/>
      <c r="H58" s="11"/>
      <c r="I58" s="11">
        <f>Tabla391523314191929498999[[#This Row],[COMISIONES]]*0.21</f>
        <v>0</v>
      </c>
      <c r="J58" s="11"/>
      <c r="K58" s="11"/>
      <c r="L58" s="11"/>
      <c r="N58" s="11"/>
      <c r="O58" s="11">
        <f>Tabla351018263641424448494[[#This Row],[COMISIONES]]*0.21</f>
        <v>0</v>
      </c>
      <c r="P58" s="11"/>
      <c r="Q58" s="11"/>
      <c r="R58" s="11"/>
      <c r="T58"/>
      <c r="U58" s="19">
        <f>Tabla61220283861626468696[[#This Row],[COMISIONES]]*0.21</f>
        <v>0</v>
      </c>
      <c r="V58"/>
      <c r="W58"/>
      <c r="X58"/>
      <c r="Z58"/>
      <c r="AA58" s="21">
        <f>Tabla35681321293971727478797[[#This Row],[COMISIONES]]*0.21</f>
        <v>0</v>
      </c>
      <c r="AB58" s="21"/>
      <c r="AC58" s="21"/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Tabla1316243221222338292[[#This Row],[COMISIONES]]*0.21</f>
        <v>0</v>
      </c>
      <c r="D59" s="2"/>
      <c r="E59" s="2"/>
      <c r="F59"/>
      <c r="H59" s="11"/>
      <c r="I59" s="11">
        <f>Tabla391523314191929498999[[#This Row],[COMISIONES]]*0.21</f>
        <v>0</v>
      </c>
      <c r="J59" s="11"/>
      <c r="K59" s="11"/>
      <c r="L59" s="11"/>
      <c r="N59" s="11"/>
      <c r="O59" s="11">
        <f>Tabla351018263641424448494[[#This Row],[COMISIONES]]*0.21</f>
        <v>0</v>
      </c>
      <c r="P59" s="11"/>
      <c r="Q59" s="11"/>
      <c r="R59" s="11"/>
      <c r="T59"/>
      <c r="U59" s="19">
        <f>Tabla61220283861626468696[[#This Row],[COMISIONES]]*0.21</f>
        <v>0</v>
      </c>
      <c r="V59"/>
      <c r="W59"/>
      <c r="X59"/>
      <c r="Z59"/>
      <c r="AA59" s="21">
        <f>Tabla35681321293971727478797[[#This Row],[COMISIONES]]*0.21</f>
        <v>0</v>
      </c>
      <c r="AB59" s="21"/>
      <c r="AC59" s="21"/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Tabla1316243221222338292[[#This Row],[COMISIONES]]*0.21</f>
        <v>0</v>
      </c>
      <c r="D60" s="2"/>
      <c r="E60" s="2"/>
      <c r="F60"/>
      <c r="H60" s="11"/>
      <c r="I60" s="11">
        <f>Tabla391523314191929498999[[#This Row],[COMISIONES]]*0.21</f>
        <v>0</v>
      </c>
      <c r="J60" s="11"/>
      <c r="K60" s="11"/>
      <c r="L60" s="11"/>
      <c r="N60" s="11"/>
      <c r="O60" s="11">
        <f>Tabla351018263641424448494[[#This Row],[COMISIONES]]*0.21</f>
        <v>0</v>
      </c>
      <c r="P60" s="11"/>
      <c r="Q60" s="11"/>
      <c r="R60" s="11"/>
      <c r="T60"/>
      <c r="U60" s="19">
        <f>Tabla61220283861626468696[[#This Row],[COMISIONES]]*0.21</f>
        <v>0</v>
      </c>
      <c r="V60"/>
      <c r="W60"/>
      <c r="X60"/>
      <c r="Z60"/>
      <c r="AA60" s="21">
        <f>Tabla35681321293971727478797[[#This Row],[COMISIONES]]*0.21</f>
        <v>0</v>
      </c>
      <c r="AB60" s="21"/>
      <c r="AC60" s="21"/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SUBTOTAL(109,Tabla1316243221222338292[COMISIONES])</f>
        <v>2226.5</v>
      </c>
      <c r="C61" s="4">
        <f>SUBTOTAL(109,Tabla1316243221222338292[IVA 21])</f>
        <v>467.565</v>
      </c>
      <c r="D61" s="4">
        <f>SUBTOTAL(109,Tabla1316243221222338292[IVA 10,5])</f>
        <v>0</v>
      </c>
      <c r="E61" s="4">
        <f>SUBTOTAL(109,Tabla1316243221222338292[Ret IIBB Caba])</f>
        <v>0</v>
      </c>
      <c r="F61" s="4">
        <f>SUBTOTAL(109,Tabla1316243221222338292[PERC IVA])</f>
        <v>0</v>
      </c>
      <c r="H61" s="11"/>
      <c r="I61" s="11">
        <f>Tabla391523314191929498999[[#This Row],[COMISIONES]]*0.21</f>
        <v>0</v>
      </c>
      <c r="J61" s="11"/>
      <c r="K61" s="11"/>
      <c r="L61" s="11"/>
      <c r="N61" s="11"/>
      <c r="O61" s="11">
        <f>Tabla351018263641424448494[[#This Row],[COMISIONES]]*0.21</f>
        <v>0</v>
      </c>
      <c r="P61" s="11"/>
      <c r="Q61" s="11"/>
      <c r="R61" s="11"/>
      <c r="T61"/>
      <c r="U61" s="19">
        <f>Tabla61220283861626468696[[#This Row],[COMISIONES]]*0.21</f>
        <v>0</v>
      </c>
      <c r="V61"/>
      <c r="W61"/>
      <c r="X61"/>
      <c r="Z61"/>
      <c r="AA61" s="21">
        <f>Tabla35681321293971727478797[[#This Row],[COMISIONES]]*0.21</f>
        <v>0</v>
      </c>
      <c r="AB61" s="21"/>
      <c r="AC61" s="21"/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Tabla391523314191929498999[[#This Row],[COMISIONES]]*0.21</f>
        <v>0</v>
      </c>
      <c r="J62" s="11"/>
      <c r="K62" s="11"/>
      <c r="L62" s="11"/>
      <c r="N62" s="11"/>
      <c r="O62" s="11">
        <f>Tabla351018263641424448494[[#This Row],[COMISIONES]]*0.21</f>
        <v>0</v>
      </c>
      <c r="P62" s="11"/>
      <c r="Q62" s="11"/>
      <c r="R62" s="11"/>
      <c r="T62" s="17">
        <f>SUBTOTAL(109,Tabla61220283861626468696[COMISIONES])</f>
        <v>4297.5200000000004</v>
      </c>
      <c r="U62" s="17">
        <f>SUBTOTAL(109,Tabla61220283861626468696[IVA 21])</f>
        <v>902.47920000000011</v>
      </c>
      <c r="V62" s="17">
        <f>SUBTOTAL(109,Tabla61220283861626468696[IVA 10,5])</f>
        <v>0</v>
      </c>
      <c r="W62" s="17">
        <f>SUBTOTAL(109,Tabla61220283861626468696[Ret IIBB Caba])</f>
        <v>0</v>
      </c>
      <c r="X62" s="17">
        <f>SUBTOTAL(109,Tabla61220283861626468696[PERC IVA])</f>
        <v>0</v>
      </c>
      <c r="Z62"/>
      <c r="AA62" s="21">
        <f>Tabla35681321293971727478797[[#This Row],[COMISIONES]]*0.21</f>
        <v>0</v>
      </c>
      <c r="AB62" s="21"/>
      <c r="AC62" s="21"/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Tabla391523314191929498999[[#This Row],[COMISIONES]]*0.21</f>
        <v>0</v>
      </c>
      <c r="J63" s="11"/>
      <c r="K63" s="11"/>
      <c r="L63" s="11"/>
      <c r="N63" s="11"/>
      <c r="O63" s="11">
        <f>Tabla351018263641424448494[[#This Row],[COMISIONES]]*0.21</f>
        <v>0</v>
      </c>
      <c r="P63" s="11"/>
      <c r="Q63" s="11"/>
      <c r="R63" s="11"/>
      <c r="T63"/>
      <c r="U63"/>
      <c r="V63"/>
      <c r="W63"/>
      <c r="X63"/>
      <c r="Z63"/>
      <c r="AA63" s="21">
        <f>Tabla35681321293971727478797[[#This Row],[COMISIONES]]*0.21</f>
        <v>0</v>
      </c>
      <c r="AB63" s="21"/>
      <c r="AC63" s="21"/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Tabla391523314191929498999[[#This Row],[COMISIONES]]*0.21</f>
        <v>0</v>
      </c>
      <c r="J64" s="11"/>
      <c r="K64" s="11"/>
      <c r="L64" s="11"/>
      <c r="N64" s="11"/>
      <c r="O64" s="11">
        <f>Tabla351018263641424448494[[#This Row],[COMISIONES]]*0.21</f>
        <v>0</v>
      </c>
      <c r="P64" s="11"/>
      <c r="Q64" s="11"/>
      <c r="R64" s="11"/>
      <c r="T64" s="41" t="s">
        <v>31</v>
      </c>
      <c r="U64" s="41"/>
      <c r="V64" s="41"/>
      <c r="W64" s="41"/>
      <c r="X64" s="41"/>
      <c r="Z64"/>
      <c r="AA64" s="21">
        <f>Tabla35681321293971727478797[[#This Row],[COMISIONES]]*0.21</f>
        <v>0</v>
      </c>
      <c r="AB64" s="1"/>
      <c r="AC64" s="21"/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Tabla391523314191929498999[[#This Row],[COMISIONES]]*0.21</f>
        <v>0</v>
      </c>
      <c r="J65" s="11"/>
      <c r="K65" s="11"/>
      <c r="L65" s="11"/>
      <c r="N65" s="11"/>
      <c r="O65" s="11">
        <f>Tabla351018263641424448494[[#This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/>
      <c r="AA65" s="21">
        <f>Tabla35681321293971727478797[[#This Row],[COMISIONES]]*0.21</f>
        <v>0</v>
      </c>
      <c r="AB65" s="21"/>
      <c r="AC65" s="21"/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Tabla391523314191929498999[[#This Row],[COMISIONES]]*0.21</f>
        <v>0</v>
      </c>
      <c r="J66" s="11"/>
      <c r="K66" s="11"/>
      <c r="L66" s="11"/>
      <c r="N66" s="11"/>
      <c r="O66" s="11">
        <f>Tabla351018263641424448494[[#This Row],[COMISIONES]]*0.21</f>
        <v>0</v>
      </c>
      <c r="P66" s="11"/>
      <c r="Q66" s="11"/>
      <c r="R66" s="11"/>
      <c r="T66" s="11"/>
      <c r="U66" s="11">
        <f>Tabla612202833421020305090100[[#This Row],[COMISIONES]]*0.21</f>
        <v>0</v>
      </c>
      <c r="V66" s="11"/>
      <c r="W66" s="1"/>
      <c r="X66" s="11"/>
      <c r="Z66"/>
      <c r="AA66" s="21">
        <f>Tabla35681321293971727478797[[#This Row],[COMISIONES]]*0.21</f>
        <v>0</v>
      </c>
      <c r="AB66" s="21"/>
      <c r="AC66" s="21"/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Tabla391523314191929498999[[#This Row],[COMISIONES]]*0.21</f>
        <v>0</v>
      </c>
      <c r="J67" s="11"/>
      <c r="K67" s="11"/>
      <c r="L67" s="11"/>
      <c r="N67" s="18"/>
      <c r="O67" s="11">
        <f>Tabla351018263641424448494[[#This Row],[COMISIONES]]*0.21</f>
        <v>0</v>
      </c>
      <c r="P67" s="18"/>
      <c r="Q67" s="18"/>
      <c r="R67" s="18"/>
      <c r="T67" s="11"/>
      <c r="U67" s="11">
        <f>Tabla612202833421020305090100[[#This Row],[COMISIONES]]*0.21</f>
        <v>0</v>
      </c>
      <c r="V67" s="11"/>
      <c r="W67" s="11"/>
      <c r="X67" s="11"/>
      <c r="Z67"/>
      <c r="AA67" s="21">
        <f>Tabla35681321293971727478797[[#This Row],[COMISIONES]]*0.21</f>
        <v>0</v>
      </c>
      <c r="AB67" s="21"/>
      <c r="AC67" s="21"/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Tabla391523314191929498999[[#This Row],[COMISIONES]]*0.21</f>
        <v>0</v>
      </c>
      <c r="J68" s="11"/>
      <c r="K68" s="11"/>
      <c r="L68" s="11"/>
      <c r="N68" s="18"/>
      <c r="O68" s="11">
        <f>Tabla351018263641424448494[[#This Row],[COMISIONES]]*0.21</f>
        <v>0</v>
      </c>
      <c r="P68" s="18"/>
      <c r="Q68" s="18"/>
      <c r="R68" s="18"/>
      <c r="T68" s="11"/>
      <c r="U68" s="19">
        <f>Tabla612202833421020305090100[[#This Row],[COMISIONES]]*0.21</f>
        <v>0</v>
      </c>
      <c r="V68"/>
      <c r="W68" s="1"/>
      <c r="X68"/>
      <c r="Z68"/>
      <c r="AA68" s="21">
        <f>Tabla35681321293971727478797[[#This Row],[COMISIONES]]*0.21</f>
        <v>0</v>
      </c>
      <c r="AB68" s="21"/>
      <c r="AC68" s="21"/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Tabla391523314191929498999[[#This Row],[COMISIONES]]*0.21</f>
        <v>0</v>
      </c>
      <c r="J69" s="11"/>
      <c r="K69" s="11"/>
      <c r="L69" s="11"/>
      <c r="N69" s="18"/>
      <c r="O69" s="11">
        <f>Tabla351018263641424448494[[#This Row],[COMISIONES]]*0.21</f>
        <v>0</v>
      </c>
      <c r="P69" s="18"/>
      <c r="Q69" s="18"/>
      <c r="R69" s="18"/>
      <c r="T69" s="11"/>
      <c r="U69" s="19">
        <f>Tabla612202833421020305090100[[#This Row],[COMISIONES]]*0.21</f>
        <v>0</v>
      </c>
      <c r="V69"/>
      <c r="W69"/>
      <c r="X69"/>
      <c r="Z69"/>
      <c r="AA69" s="21">
        <f>Tabla35681321293971727478797[[#This Row],[COMISIONES]]*0.21</f>
        <v>0</v>
      </c>
      <c r="AB69" s="21"/>
      <c r="AC69" s="21"/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Tabla391523314191929498999[[#This Row],[COMISIONES]]*0.21</f>
        <v>0</v>
      </c>
      <c r="J70" s="11"/>
      <c r="K70" s="11"/>
      <c r="L70" s="11"/>
      <c r="N70" s="18"/>
      <c r="O70" s="11">
        <f>Tabla351018263641424448494[[#This Row],[COMISIONES]]*0.21</f>
        <v>0</v>
      </c>
      <c r="P70" s="18"/>
      <c r="Q70" s="18"/>
      <c r="R70" s="18"/>
      <c r="T70" s="11"/>
      <c r="U70" s="19">
        <f>Tabla612202833421020305090100[[#This Row],[COMISIONES]]*0.21</f>
        <v>0</v>
      </c>
      <c r="V70"/>
      <c r="W70"/>
      <c r="X70"/>
      <c r="Z70"/>
      <c r="AA70" s="21">
        <f>Tabla35681321293971727478797[[#This Row],[COMISIONES]]*0.21</f>
        <v>0</v>
      </c>
      <c r="AB70" s="21"/>
      <c r="AC70" s="21"/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Tabla391523314191929498999[[#This Row],[COMISIONES]]*0.21</f>
        <v>0</v>
      </c>
      <c r="J71" s="11"/>
      <c r="K71" s="11"/>
      <c r="L71" s="11"/>
      <c r="N71" s="18"/>
      <c r="O71" s="11">
        <f>Tabla351018263641424448494[[#This Row],[COMISIONES]]*0.21</f>
        <v>0</v>
      </c>
      <c r="P71" s="18"/>
      <c r="Q71" s="18"/>
      <c r="R71" s="18"/>
      <c r="T71" s="11"/>
      <c r="U71" s="19">
        <f>Tabla612202833421020305090100[[#This Row],[COMISIONES]]*0.21</f>
        <v>0</v>
      </c>
      <c r="V71"/>
      <c r="W71"/>
      <c r="X71"/>
      <c r="Z71"/>
      <c r="AA71" s="21">
        <f>Tabla35681321293971727478797[[#This Row],[COMISIONES]]*0.21</f>
        <v>0</v>
      </c>
      <c r="AB71" s="21"/>
      <c r="AC71" s="21"/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Tabla391523314191929498999[[#This Row],[COMISIONES]]*0.21</f>
        <v>0</v>
      </c>
      <c r="J72" s="11"/>
      <c r="K72" s="11"/>
      <c r="L72" s="11"/>
      <c r="N72" s="18"/>
      <c r="O72" s="11">
        <f>Tabla351018263641424448494[[#This Row],[COMISIONES]]*0.21</f>
        <v>0</v>
      </c>
      <c r="P72" s="18"/>
      <c r="Q72" s="18"/>
      <c r="R72" s="18"/>
      <c r="T72" s="11"/>
      <c r="U72" s="19">
        <f>Tabla612202833421020305090100[[#This Row],[COMISIONES]]*0.21</f>
        <v>0</v>
      </c>
      <c r="V72"/>
      <c r="W72"/>
      <c r="X72"/>
      <c r="Z72" s="1"/>
      <c r="AA72" s="21">
        <f>Tabla35681321293971727478797[[#This Row],[COMISIONES]]*0.21</f>
        <v>0</v>
      </c>
      <c r="AB72" s="21"/>
      <c r="AC72" s="21"/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Tabla391523314191929498999[[#This Row],[COMISIONES]]*0.21</f>
        <v>0</v>
      </c>
      <c r="J73" s="11"/>
      <c r="K73" s="11"/>
      <c r="L73" s="11"/>
      <c r="N73" s="18"/>
      <c r="O73" s="11">
        <f>Tabla351018263641424448494[[#This Row],[COMISIONES]]*0.21</f>
        <v>0</v>
      </c>
      <c r="P73" s="18"/>
      <c r="Q73" s="18"/>
      <c r="R73" s="18"/>
      <c r="T73" s="11"/>
      <c r="U73" s="19">
        <f>Tabla612202833421020305090100[[#This Row],[COMISIONES]]*0.21</f>
        <v>0</v>
      </c>
      <c r="V73"/>
      <c r="W73"/>
      <c r="X73"/>
      <c r="Z73" s="1"/>
      <c r="AA73" s="21"/>
      <c r="AB73" s="1"/>
      <c r="AC73" s="1"/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Tabla391523314191929498999[[#This Row],[COMISIONES]]*0.21</f>
        <v>0</v>
      </c>
      <c r="J74" s="11"/>
      <c r="K74" s="11"/>
      <c r="L74" s="11"/>
      <c r="N74" s="18"/>
      <c r="O74" s="11">
        <f>Tabla351018263641424448494[[#This Row],[COMISIONES]]*0.21</f>
        <v>0</v>
      </c>
      <c r="P74" s="18"/>
      <c r="Q74" s="18"/>
      <c r="R74" s="18"/>
      <c r="T74" s="11"/>
      <c r="U74" s="19">
        <f>Tabla612202833421020305090100[[#This Row],[COMISIONES]]*0.21</f>
        <v>0</v>
      </c>
      <c r="V74"/>
      <c r="W74"/>
      <c r="X74"/>
      <c r="Z74" s="1"/>
      <c r="AA74" s="21">
        <f>Tabla35681321293971727478797[[#This Row],[COMISIONES]]*0.21</f>
        <v>0</v>
      </c>
      <c r="AB74"/>
      <c r="AC74"/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Tabla391523314191929498999[[#This Row],[COMISIONES]]*0.21</f>
        <v>0</v>
      </c>
      <c r="J75" s="11"/>
      <c r="K75" s="11"/>
      <c r="L75" s="11"/>
      <c r="N75" s="18"/>
      <c r="O75" s="11">
        <f>Tabla351018263641424448494[[#This Row],[COMISIONES]]*0.21</f>
        <v>0</v>
      </c>
      <c r="P75" s="18"/>
      <c r="Q75" s="18"/>
      <c r="R75" s="18"/>
      <c r="T75" s="11"/>
      <c r="U75" s="19">
        <f>Tabla612202833421020305090100[[#This Row],[COMISIONES]]*0.21</f>
        <v>0</v>
      </c>
      <c r="V75"/>
      <c r="W75"/>
      <c r="X75"/>
      <c r="Z75" s="1"/>
      <c r="AA75" s="21">
        <f>Tabla35681321293971727478797[[#This Row],[COMISIONES]]*0.21</f>
        <v>0</v>
      </c>
      <c r="AB75" s="1"/>
      <c r="AC75" s="21"/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Tabla391523314191929498999[[#This Row],[COMISIONES]]*0.21</f>
        <v>0</v>
      </c>
      <c r="J76" s="11"/>
      <c r="K76" s="11"/>
      <c r="L76" s="11"/>
      <c r="N76" s="18"/>
      <c r="O76" s="11">
        <f>Tabla351018263641424448494[[#This Row],[COMISIONES]]*0.21</f>
        <v>0</v>
      </c>
      <c r="P76" s="18"/>
      <c r="Q76" s="18"/>
      <c r="R76" s="18"/>
      <c r="T76"/>
      <c r="U76" s="19">
        <f>Tabla612202833421020305090100[[#This Row],[COMISIONES]]*0.21</f>
        <v>0</v>
      </c>
      <c r="V76"/>
      <c r="W76"/>
      <c r="X76"/>
      <c r="Z76" s="1"/>
      <c r="AA76" s="21">
        <f>Tabla35681321293971727478797[[#This Row],[COMISIONES]]*0.21</f>
        <v>0</v>
      </c>
      <c r="AB76" s="1"/>
      <c r="AC76" s="21"/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Tabla391523314191929498999[[#This Row],[COMISIONES]]*0.21</f>
        <v>0</v>
      </c>
      <c r="J77" s="11"/>
      <c r="K77" s="11"/>
      <c r="L77" s="11"/>
      <c r="N77" s="18"/>
      <c r="O77" s="11">
        <f>Tabla351018263641424448494[[#This Row],[COMISIONES]]*0.21</f>
        <v>0</v>
      </c>
      <c r="P77" s="18"/>
      <c r="Q77" s="18"/>
      <c r="R77" s="18"/>
      <c r="T77"/>
      <c r="U77" s="19">
        <f>Tabla612202833421020305090100[[#This Row],[COMISIONES]]*0.21</f>
        <v>0</v>
      </c>
      <c r="V77"/>
      <c r="W77"/>
      <c r="X77"/>
      <c r="Z77" s="1"/>
      <c r="AA77" s="21">
        <f>Tabla35681321293971727478797[[#This Row],[COMISIONES]]*0.21</f>
        <v>0</v>
      </c>
      <c r="AB77" s="1"/>
      <c r="AC77" s="21"/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Tabla391523314191929498999[[#This Row],[COMISIONES]]*0.21</f>
        <v>0</v>
      </c>
      <c r="J78" s="11"/>
      <c r="K78" s="11"/>
      <c r="L78" s="11"/>
      <c r="N78" s="18"/>
      <c r="O78" s="11">
        <f>Tabla351018263641424448494[[#This Row],[COMISIONES]]*0.21</f>
        <v>0</v>
      </c>
      <c r="P78" s="18"/>
      <c r="Q78" s="18"/>
      <c r="R78" s="18"/>
      <c r="T78"/>
      <c r="U78" s="19">
        <f>Tabla612202833421020305090100[[#This Row],[COMISIONES]]*0.21</f>
        <v>0</v>
      </c>
      <c r="V78"/>
      <c r="W78"/>
      <c r="X78"/>
      <c r="Z78" s="1"/>
      <c r="AA78" s="21"/>
      <c r="AB78" s="1"/>
      <c r="AC78" s="21"/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Tabla391523314191929498999[[#This Row],[COMISIONES]]*0.21</f>
        <v>0</v>
      </c>
      <c r="J79" s="11"/>
      <c r="K79" s="11"/>
      <c r="L79" s="11"/>
      <c r="N79" s="18"/>
      <c r="O79" s="11">
        <f>Tabla351018263641424448494[[#This Row],[COMISIONES]]*0.21</f>
        <v>0</v>
      </c>
      <c r="P79" s="18"/>
      <c r="Q79" s="18"/>
      <c r="R79" s="18"/>
      <c r="T79"/>
      <c r="U79" s="19">
        <f>Tabla612202833421020305090100[[#This Row],[COMISIONES]]*0.21</f>
        <v>0</v>
      </c>
      <c r="V79"/>
      <c r="W79"/>
      <c r="X79"/>
      <c r="Z79" s="1"/>
      <c r="AA79" s="21">
        <f>Tabla35681321293971727478797[[#This Row],[COMISIONES]]*0.21</f>
        <v>0</v>
      </c>
      <c r="AB79" s="21"/>
      <c r="AC79" s="21"/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Tabla391523314191929498999[[#This Row],[COMISIONES]]*0.21</f>
        <v>0</v>
      </c>
      <c r="J80" s="11"/>
      <c r="K80" s="11"/>
      <c r="L80" s="11"/>
      <c r="N80" s="18"/>
      <c r="O80" s="11">
        <f>Tabla351018263641424448494[[#This Row],[COMISIONES]]*0.21</f>
        <v>0</v>
      </c>
      <c r="P80" s="18"/>
      <c r="Q80" s="18"/>
      <c r="R80" s="18"/>
      <c r="T80"/>
      <c r="U80" s="19">
        <f>Tabla612202833421020305090100[[#This Row],[COMISIONES]]*0.21</f>
        <v>0</v>
      </c>
      <c r="V80"/>
      <c r="W80"/>
      <c r="X80"/>
      <c r="Z80" s="1"/>
      <c r="AA80" s="21">
        <f>Tabla35681321293971727478797[[#This Row],[COMISIONES]]*0.21</f>
        <v>0</v>
      </c>
      <c r="AB80" s="21"/>
      <c r="AC80" s="21"/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Tabla391523314191929498999[[#This Row],[COMISIONES]]*0.21</f>
        <v>0</v>
      </c>
      <c r="J81" s="18"/>
      <c r="K81" s="18"/>
      <c r="L81" s="18"/>
      <c r="N81" s="18"/>
      <c r="O81" s="11">
        <f>Tabla351018263641424448494[[#This Row],[COMISIONES]]*0.21</f>
        <v>0</v>
      </c>
      <c r="P81" s="18"/>
      <c r="Q81" s="18"/>
      <c r="R81" s="18"/>
      <c r="T81"/>
      <c r="U81" s="19">
        <f>Tabla612202833421020305090100[[#This Row],[COMISIONES]]*0.21</f>
        <v>0</v>
      </c>
      <c r="V81"/>
      <c r="W81"/>
      <c r="X81"/>
      <c r="Z81"/>
      <c r="AA81" s="21">
        <f>Tabla35681321293971727478797[[#This Row],[COMISIONES]]*0.21</f>
        <v>0</v>
      </c>
      <c r="AB81" s="21"/>
      <c r="AC81" s="21"/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Tabla391523314191929498999[[#This Row],[COMISIONES]]*0.21</f>
        <v>0</v>
      </c>
      <c r="J82" s="18"/>
      <c r="K82" s="18"/>
      <c r="L82" s="18"/>
      <c r="N82" s="18"/>
      <c r="O82" s="11">
        <f>Tabla351018263641424448494[[#This Row],[COMISIONES]]*0.21</f>
        <v>0</v>
      </c>
      <c r="P82" s="18"/>
      <c r="Q82" s="18"/>
      <c r="R82" s="18"/>
      <c r="T82"/>
      <c r="U82" s="19">
        <f>Tabla612202833421020305090100[[#This Row],[COMISIONES]]*0.21</f>
        <v>0</v>
      </c>
      <c r="V82"/>
      <c r="W82"/>
      <c r="X82"/>
      <c r="Z82"/>
      <c r="AA82" s="21"/>
      <c r="AB82" s="1"/>
      <c r="AC82" s="1"/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Tabla391523314191929498999[[#This Row],[COMISIONES]]*0.21</f>
        <v>0</v>
      </c>
      <c r="J83" s="18"/>
      <c r="K83" s="18"/>
      <c r="L83" s="18"/>
      <c r="N83" s="18"/>
      <c r="O83" s="11">
        <f>Tabla351018263641424448494[[#This Row],[COMISIONES]]*0.21</f>
        <v>0</v>
      </c>
      <c r="P83" s="18"/>
      <c r="Q83" s="18"/>
      <c r="R83" s="18"/>
      <c r="T83"/>
      <c r="U83" s="19">
        <f>Tabla612202833421020305090100[[#This Row],[COMISIONES]]*0.21</f>
        <v>0</v>
      </c>
      <c r="V83"/>
      <c r="W83"/>
      <c r="X83"/>
      <c r="Z83" s="1"/>
      <c r="AA83" s="21">
        <f>Tabla35681321293971727478797[[#This Row],[COMISIONES]]*0.21</f>
        <v>0</v>
      </c>
      <c r="AB83" s="21"/>
      <c r="AC83" s="21"/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Tabla391523314191929498999[[#This Row],[COMISIONES]]*0.21</f>
        <v>0</v>
      </c>
      <c r="J84" s="18"/>
      <c r="K84" s="18"/>
      <c r="L84" s="18"/>
      <c r="N84" s="18"/>
      <c r="O84" s="11">
        <f>Tabla351018263641424448494[[#This Row],[COMISIONES]]*0.21</f>
        <v>0</v>
      </c>
      <c r="P84" s="18"/>
      <c r="Q84" s="18"/>
      <c r="R84" s="18"/>
      <c r="T84"/>
      <c r="U84" s="19">
        <f>Tabla612202833421020305090100[[#This Row],[COMISIONES]]*0.21</f>
        <v>0</v>
      </c>
      <c r="V84"/>
      <c r="W84"/>
      <c r="X84"/>
      <c r="Z84" s="1"/>
      <c r="AA84" s="21">
        <f>Tabla35681321293971727478797[[#This Row],[COMISIONES]]*0.21</f>
        <v>0</v>
      </c>
      <c r="AB84" s="21"/>
      <c r="AC84" s="1"/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Tabla391523314191929498999[[#This Row],[COMISIONES]]*0.21</f>
        <v>0</v>
      </c>
      <c r="J85" s="18"/>
      <c r="K85" s="18"/>
      <c r="L85" s="18"/>
      <c r="N85" s="18"/>
      <c r="O85" s="11">
        <f>Tabla351018263641424448494[[#This Row],[COMISIONES]]*0.21</f>
        <v>0</v>
      </c>
      <c r="P85" s="18"/>
      <c r="Q85" s="18"/>
      <c r="R85" s="18"/>
      <c r="T85"/>
      <c r="U85" s="19">
        <f>Tabla612202833421020305090100[[#This Row],[COMISIONES]]*0.21</f>
        <v>0</v>
      </c>
      <c r="V85"/>
      <c r="W85"/>
      <c r="X85"/>
      <c r="Z85" s="1"/>
      <c r="AA85" s="21"/>
      <c r="AB85" s="1"/>
      <c r="AC85" s="1"/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Tabla391523314191929498999[[#This Row],[COMISIONES]]*0.21</f>
        <v>0</v>
      </c>
      <c r="J86" s="18"/>
      <c r="K86" s="18"/>
      <c r="L86" s="18"/>
      <c r="N86" s="18"/>
      <c r="O86" s="11">
        <f>Tabla351018263641424448494[[#This Row],[COMISIONES]]*0.21</f>
        <v>0</v>
      </c>
      <c r="P86" s="18"/>
      <c r="Q86" s="18"/>
      <c r="R86" s="18"/>
      <c r="T86"/>
      <c r="U86" s="19">
        <f>Tabla612202833421020305090100[[#This Row],[COMISIONES]]*0.21</f>
        <v>0</v>
      </c>
      <c r="V86"/>
      <c r="W86"/>
      <c r="X86"/>
      <c r="Z86" s="1"/>
      <c r="AA86" s="21">
        <f>Tabla35681321293971727478797[[#This Row],[COMISIONES]]*0.21</f>
        <v>0</v>
      </c>
      <c r="AB86" s="21"/>
      <c r="AC86" s="1"/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Tabla391523314191929498999[[#This Row],[COMISIONES]]*0.21</f>
        <v>0</v>
      </c>
      <c r="J87" s="18"/>
      <c r="K87" s="18"/>
      <c r="L87" s="18"/>
      <c r="N87" s="18"/>
      <c r="O87" s="11">
        <f>Tabla351018263641424448494[[#This Row],[COMISIONES]]*0.21</f>
        <v>0</v>
      </c>
      <c r="P87" s="18"/>
      <c r="Q87" s="18"/>
      <c r="R87" s="18"/>
      <c r="T87"/>
      <c r="U87" s="19">
        <f>Tabla612202833421020305090100[[#This Row],[COMISIONES]]*0.21</f>
        <v>0</v>
      </c>
      <c r="V87"/>
      <c r="W87"/>
      <c r="X87"/>
      <c r="Z87" s="1"/>
      <c r="AA87" s="21">
        <f>Tabla35681321293971727478797[[#This Row],[COMISIONES]]*0.21</f>
        <v>0</v>
      </c>
      <c r="AB87" s="1"/>
      <c r="AC87" s="1"/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Tabla391523314191929498999[[#This Row],[COMISIONES]]*0.21</f>
        <v>0</v>
      </c>
      <c r="J88" s="18"/>
      <c r="K88" s="18"/>
      <c r="L88" s="18"/>
      <c r="N88" s="18"/>
      <c r="O88" s="11">
        <f>Tabla351018263641424448494[[#This Row],[COMISIONES]]*0.21</f>
        <v>0</v>
      </c>
      <c r="P88" s="18"/>
      <c r="Q88" s="18"/>
      <c r="R88" s="18"/>
      <c r="T88"/>
      <c r="U88" s="19">
        <f>Tabla612202833421020305090100[[#This Row],[COMISIONES]]*0.21</f>
        <v>0</v>
      </c>
      <c r="V88"/>
      <c r="W88"/>
      <c r="X88"/>
      <c r="Z88" s="1"/>
      <c r="AA88" s="21">
        <f>Tabla35681321293971727478797[[#This Row],[COMISIONES]]*0.21</f>
        <v>0</v>
      </c>
      <c r="AB88" s="21"/>
      <c r="AC88" s="21"/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Tabla391523314191929498999[[#This Row],[COMISIONES]]*0.21</f>
        <v>0</v>
      </c>
      <c r="J89" s="18"/>
      <c r="K89" s="18"/>
      <c r="L89" s="18"/>
      <c r="N89" s="18"/>
      <c r="O89" s="11">
        <f>Tabla351018263641424448494[[#This Row],[COMISIONES]]*0.21</f>
        <v>0</v>
      </c>
      <c r="P89" s="18"/>
      <c r="Q89" s="18"/>
      <c r="R89" s="18"/>
      <c r="T89"/>
      <c r="U89" s="19">
        <f>Tabla612202833421020305090100[[#This Row],[COMISIONES]]*0.21</f>
        <v>0</v>
      </c>
      <c r="V89"/>
      <c r="W89"/>
      <c r="X89"/>
      <c r="Z89" s="1"/>
      <c r="AA89" s="21">
        <f>Tabla35681321293971727478797[[#This Row],[COMISIONES]]*0.21</f>
        <v>0</v>
      </c>
      <c r="AB89"/>
      <c r="AC89"/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Tabla391523314191929498999[[#This Row],[COMISIONES]]*0.21</f>
        <v>0</v>
      </c>
      <c r="J90" s="18"/>
      <c r="K90" s="18"/>
      <c r="L90" s="18"/>
      <c r="N90" s="18"/>
      <c r="O90" s="11">
        <f>Tabla351018263641424448494[[#This Row],[COMISIONES]]*0.21</f>
        <v>0</v>
      </c>
      <c r="P90" s="18"/>
      <c r="Q90" s="18"/>
      <c r="R90" s="18"/>
      <c r="T90"/>
      <c r="U90" s="19">
        <f>Tabla612202833421020305090100[[#This Row],[COMISIONES]]*0.21</f>
        <v>0</v>
      </c>
      <c r="V90"/>
      <c r="W90"/>
      <c r="X90"/>
      <c r="Z90" s="1"/>
      <c r="AA90" s="21">
        <f>Tabla35681321293971727478797[[#This Row],[COMISIONES]]*0.21</f>
        <v>0</v>
      </c>
      <c r="AB90" s="21"/>
      <c r="AC90" s="21"/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Tabla391523314191929498999[[#This Row],[COMISIONES]]*0.21</f>
        <v>0</v>
      </c>
      <c r="J91" s="18"/>
      <c r="K91" s="18"/>
      <c r="L91" s="18"/>
      <c r="N91" s="18"/>
      <c r="O91" s="11">
        <f>Tabla351018263641424448494[[#This Row],[COMISIONES]]*0.21</f>
        <v>0</v>
      </c>
      <c r="P91" s="18"/>
      <c r="Q91" s="18"/>
      <c r="R91" s="18"/>
      <c r="T91"/>
      <c r="U91" s="19">
        <f>Tabla612202833421020305090100[[#This Row],[COMISIONES]]*0.21</f>
        <v>0</v>
      </c>
      <c r="V91"/>
      <c r="W91"/>
      <c r="X91"/>
      <c r="Z91" s="1"/>
      <c r="AA91" s="21">
        <f>Tabla35681321293971727478797[[#This Row],[COMISIONES]]*0.21</f>
        <v>0</v>
      </c>
      <c r="AB91" s="21"/>
      <c r="AC91" s="1"/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Tabla391523314191929498999[[#This Row],[COMISIONES]]*0.21</f>
        <v>0</v>
      </c>
      <c r="J92" s="18"/>
      <c r="K92" s="18"/>
      <c r="L92" s="18"/>
      <c r="N92" s="18"/>
      <c r="O92" s="11">
        <f>Tabla351018263641424448494[[#This Row],[COMISIONES]]*0.21</f>
        <v>0</v>
      </c>
      <c r="P92" s="18"/>
      <c r="Q92" s="18"/>
      <c r="R92" s="18"/>
      <c r="T92"/>
      <c r="U92" s="19">
        <f>Tabla612202833421020305090100[[#This Row],[COMISIONES]]*0.21</f>
        <v>0</v>
      </c>
      <c r="V92"/>
      <c r="W92"/>
      <c r="X92"/>
      <c r="Z92"/>
      <c r="AA92" s="21"/>
      <c r="AB92" s="1"/>
      <c r="AC92" s="21"/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Tabla391523314191929498999[[#This Row],[COMISIONES]]*0.21</f>
        <v>0</v>
      </c>
      <c r="J93" s="21"/>
      <c r="K93" s="21"/>
      <c r="L93" s="21"/>
      <c r="N93" s="18"/>
      <c r="O93" s="11">
        <f>Tabla351018263641424448494[[#This Row],[COMISIONES]]*0.21</f>
        <v>0</v>
      </c>
      <c r="P93" s="18"/>
      <c r="Q93" s="18"/>
      <c r="R93" s="18"/>
      <c r="T93"/>
      <c r="U93" s="19">
        <f>Tabla612202833421020305090100[[#This Row],[COMISIONES]]*0.21</f>
        <v>0</v>
      </c>
      <c r="V93"/>
      <c r="W93"/>
      <c r="X93"/>
      <c r="Z93"/>
      <c r="AA93" s="21">
        <f>Tabla35681321293971727478797[[#This Row],[COMISIONES]]*0.21</f>
        <v>0</v>
      </c>
      <c r="AB93" s="21"/>
      <c r="AC93" s="21"/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Tabla391523314191929498999[[#This Row],[COMISIONES]]*0.21</f>
        <v>0</v>
      </c>
      <c r="J94" s="21"/>
      <c r="K94" s="21"/>
      <c r="L94" s="21"/>
      <c r="N94" s="18"/>
      <c r="O94" s="11">
        <f>Tabla351018263641424448494[[#This Row],[COMISIONES]]*0.21</f>
        <v>0</v>
      </c>
      <c r="P94" s="18"/>
      <c r="Q94" s="18"/>
      <c r="R94" s="18"/>
      <c r="T94" s="17">
        <f>SUBTOTAL(109,Tabla612202833421020305090100[COMISIONES])</f>
        <v>0</v>
      </c>
      <c r="U94" s="17">
        <f>SUBTOTAL(109,Tabla612202833421020305090100[IVA 21])</f>
        <v>0</v>
      </c>
      <c r="V94" s="17">
        <f>SUBTOTAL(109,Tabla612202833421020305090100[IVA 10,5])</f>
        <v>0</v>
      </c>
      <c r="W94" s="17">
        <f>SUBTOTAL(109,Tabla612202833421020305090100[Ret IIBB Caba])</f>
        <v>0</v>
      </c>
      <c r="X94" s="17">
        <f>SUBTOTAL(109,Tabla612202833421020305090100[PERC IVA])</f>
        <v>0</v>
      </c>
      <c r="Z94" s="1"/>
      <c r="AA94" s="21">
        <f>Tabla35681321293971727478797[[#This Row],[COMISIONES]]*0.21</f>
        <v>0</v>
      </c>
      <c r="AB94" s="21"/>
      <c r="AC94" s="21"/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Tabla391523314191929498999[[#This Row],[COMISIONES]]*0.21</f>
        <v>0</v>
      </c>
      <c r="J95" s="21"/>
      <c r="K95" s="21"/>
      <c r="L95" s="21"/>
      <c r="N95" s="18"/>
      <c r="O95" s="11">
        <f>Tabla351018263641424448494[[#This Row],[COMISIONES]]*0.21</f>
        <v>0</v>
      </c>
      <c r="P95" s="18"/>
      <c r="Q95" s="18"/>
      <c r="R95" s="18"/>
      <c r="T95"/>
      <c r="U95"/>
      <c r="V95"/>
      <c r="W95"/>
      <c r="X95"/>
      <c r="Z95" s="1"/>
      <c r="AA95" s="21">
        <f>Tabla35681321293971727478797[[#This Row],[COMISIONES]]*0.21</f>
        <v>0</v>
      </c>
      <c r="AB95" s="21"/>
      <c r="AC95" s="21"/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Tabla391523314191929498999[[#This Row],[COMISIONES]]*0.21</f>
        <v>0</v>
      </c>
      <c r="J96" s="21"/>
      <c r="K96" s="21"/>
      <c r="L96" s="21"/>
      <c r="N96" s="18"/>
      <c r="O96" s="11">
        <f>Tabla351018263641424448494[[#This Row],[COMISIONES]]*0.21</f>
        <v>0</v>
      </c>
      <c r="P96" s="18"/>
      <c r="Q96" s="18"/>
      <c r="R96" s="18"/>
      <c r="T96"/>
      <c r="U96"/>
      <c r="V96"/>
      <c r="W96"/>
      <c r="X96"/>
      <c r="Z96" s="1"/>
      <c r="AA96" s="21">
        <f>Tabla35681321293971727478797[[#This Row],[COMISIONES]]*0.21</f>
        <v>0</v>
      </c>
      <c r="AB96" s="1"/>
      <c r="AC96" s="1"/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Tabla391523314191929498999[[#This Row],[COMISIONES]]*0.21</f>
        <v>0</v>
      </c>
      <c r="J97" s="21"/>
      <c r="K97" s="21"/>
      <c r="L97" s="21"/>
      <c r="N97" s="18"/>
      <c r="O97" s="11">
        <f>Tabla351018263641424448494[[#This Row],[COMISIONES]]*0.21</f>
        <v>0</v>
      </c>
      <c r="P97" s="18"/>
      <c r="Q97" s="18"/>
      <c r="R97" s="18"/>
      <c r="T97"/>
      <c r="U97"/>
      <c r="V97"/>
      <c r="W97"/>
      <c r="X97"/>
      <c r="Z97" s="1"/>
      <c r="AA97" s="21">
        <f>Tabla35681321293971727478797[[#This Row],[COMISIONES]]*0.21</f>
        <v>0</v>
      </c>
      <c r="AB97" s="1"/>
      <c r="AC97" s="1"/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Tabla391523314191929498999[[#This Row],[COMISIONES]]*0.21</f>
        <v>0</v>
      </c>
      <c r="J98" s="21"/>
      <c r="K98" s="21"/>
      <c r="L98" s="21"/>
      <c r="N98" s="18"/>
      <c r="O98" s="11">
        <f>Tabla351018263641424448494[[#This Row],[COMISIONES]]*0.21</f>
        <v>0</v>
      </c>
      <c r="P98" s="18"/>
      <c r="Q98" s="18"/>
      <c r="R98" s="18"/>
      <c r="T98"/>
      <c r="U98"/>
      <c r="V98"/>
      <c r="W98"/>
      <c r="X98"/>
      <c r="Z98" s="1"/>
      <c r="AA98" s="21">
        <f>Tabla35681321293971727478797[[#This Row],[COMISIONES]]*0.21</f>
        <v>0</v>
      </c>
      <c r="AB98" s="21"/>
      <c r="AC98" s="21"/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Tabla391523314191929498999[[#This Row],[COMISIONES]]*0.21</f>
        <v>0</v>
      </c>
      <c r="J99" s="21"/>
      <c r="K99" s="21"/>
      <c r="L99" s="21"/>
      <c r="N99" s="18"/>
      <c r="O99" s="11">
        <f>Tabla351018263641424448494[[#This Row],[COMISIONES]]*0.21</f>
        <v>0</v>
      </c>
      <c r="P99" s="18"/>
      <c r="Q99" s="18"/>
      <c r="R99" s="18"/>
      <c r="T99"/>
      <c r="U99"/>
      <c r="V99"/>
      <c r="W99"/>
      <c r="X99"/>
      <c r="Z99" s="1"/>
      <c r="AA99" s="21">
        <f>Tabla35681321293971727478797[[#This Row],[COMISIONES]]*0.21</f>
        <v>0</v>
      </c>
      <c r="AB99" s="21"/>
      <c r="AC99" s="21"/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Tabla391523314191929498999[[#This Row],[COMISIONES]]*0.21</f>
        <v>0</v>
      </c>
      <c r="J100" s="21"/>
      <c r="K100" s="21"/>
      <c r="L100" s="21"/>
      <c r="N100" s="18"/>
      <c r="O100" s="11">
        <f>Tabla351018263641424448494[[#This Row],[COMISIONES]]*0.21</f>
        <v>0</v>
      </c>
      <c r="P100" s="18"/>
      <c r="Q100" s="18"/>
      <c r="R100" s="18"/>
      <c r="T100"/>
      <c r="U100"/>
      <c r="V100"/>
      <c r="W100"/>
      <c r="X100"/>
      <c r="Z100" s="1"/>
      <c r="AA100" s="21">
        <f>Tabla35681321293971727478797[[#This Row],[COMISIONES]]*0.21</f>
        <v>0</v>
      </c>
      <c r="AB100" s="21"/>
      <c r="AC100" s="21"/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Tabla391523314191929498999[[#This Row],[COMISIONES]]*0.21</f>
        <v>0</v>
      </c>
      <c r="J101" s="21"/>
      <c r="K101" s="21"/>
      <c r="L101" s="21"/>
      <c r="N101" s="18"/>
      <c r="O101" s="11">
        <f>Tabla351018263641424448494[[#This Row],[COMISIONES]]*0.21</f>
        <v>0</v>
      </c>
      <c r="P101" s="18"/>
      <c r="Q101" s="18"/>
      <c r="R101" s="18"/>
      <c r="T101"/>
      <c r="U101"/>
      <c r="V101"/>
      <c r="W101"/>
      <c r="X101"/>
      <c r="Z101"/>
      <c r="AA101" s="21">
        <f>Tabla35681321293971727478797[[#This Row],[COMISIONES]]*0.21</f>
        <v>0</v>
      </c>
      <c r="AB101" s="21"/>
      <c r="AC101" s="21"/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SUBTOTAL(109,Tabla391523314191929498999[COMISIONES])</f>
        <v>155995</v>
      </c>
      <c r="I102" s="20">
        <f>SUBTOTAL(109,Tabla391523314191929498999[IVA 21])</f>
        <v>32758.949999999997</v>
      </c>
      <c r="J102" s="20">
        <f>SUBTOTAL(109,Tabla391523314191929498999[IVA 10,5])</f>
        <v>0</v>
      </c>
      <c r="K102" s="20">
        <f>SUBTOTAL(109,Tabla391523314191929498999[Ret IIBB Caba])</f>
        <v>0</v>
      </c>
      <c r="L102" s="20">
        <f>SUBTOTAL(109,Tabla391523314191929498999[PERC IVA])</f>
        <v>0</v>
      </c>
      <c r="N102" s="18"/>
      <c r="O102" s="11">
        <f>Tabla351018263641424448494[[#This Row],[COMISIONES]]*0.21</f>
        <v>0</v>
      </c>
      <c r="P102" s="18"/>
      <c r="Q102" s="18"/>
      <c r="R102" s="18"/>
      <c r="T102"/>
      <c r="U102"/>
      <c r="V102"/>
      <c r="W102"/>
      <c r="X102"/>
      <c r="Z102" s="1"/>
      <c r="AA102" s="21">
        <f>Tabla35681321293971727478797[[#This Row],[COMISIONES]]*0.21</f>
        <v>0</v>
      </c>
      <c r="AB102" s="21"/>
      <c r="AC102" s="21"/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Tabla351018263641424448494[[#This Row],[COMISIONES]]*0.21</f>
        <v>0</v>
      </c>
      <c r="P103" s="18"/>
      <c r="Q103" s="18"/>
      <c r="R103" s="18"/>
      <c r="T103"/>
      <c r="U103"/>
      <c r="V103"/>
      <c r="W103"/>
      <c r="X103"/>
      <c r="Z103"/>
      <c r="AA103" s="21">
        <f>Tabla35681321293971727478797[[#This Row],[COMISIONES]]*0.21</f>
        <v>0</v>
      </c>
      <c r="AB103" s="21"/>
      <c r="AC103" s="21"/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Tabla351018263641424448494[[#This Row],[COMISIONES]]*0.21</f>
        <v>0</v>
      </c>
      <c r="P104" s="18"/>
      <c r="Q104" s="18"/>
      <c r="R104" s="18"/>
      <c r="T104"/>
      <c r="U104"/>
      <c r="V104"/>
      <c r="W104"/>
      <c r="X104"/>
      <c r="Z104" s="1"/>
      <c r="AA104" s="21">
        <f>Tabla35681321293971727478797[[#This Row],[COMISIONES]]*0.21</f>
        <v>0</v>
      </c>
      <c r="AB104" s="21"/>
      <c r="AC104" s="1"/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Tabla351018263641424448494[[#This Row],[COMISIONES]]*0.21</f>
        <v>0</v>
      </c>
      <c r="P105" s="18"/>
      <c r="Q105" s="18"/>
      <c r="R105" s="18"/>
      <c r="T105"/>
      <c r="U105"/>
      <c r="V105"/>
      <c r="W105"/>
      <c r="X105"/>
      <c r="Z105" s="1"/>
      <c r="AA105" s="21">
        <f>Tabla35681321293971727478797[[#This Row],[COMISIONES]]*0.21</f>
        <v>0</v>
      </c>
      <c r="AB105" s="21"/>
      <c r="AC105" s="1"/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Tabla351018263641424448494[[#This Row],[COMISIONES]]*0.21</f>
        <v>0</v>
      </c>
      <c r="P106" s="18"/>
      <c r="Q106" s="18"/>
      <c r="R106" s="18"/>
      <c r="T106"/>
      <c r="U106"/>
      <c r="V106"/>
      <c r="W106"/>
      <c r="X106"/>
      <c r="Z106" s="1"/>
      <c r="AA106" s="21">
        <f>Tabla35681321293971727478797[[#This Row],[COMISIONES]]*0.21</f>
        <v>0</v>
      </c>
      <c r="AB106" s="21"/>
      <c r="AC106" s="1"/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Tabla351018263641424448494[[#This Row],[COMISIONES]]*0.21</f>
        <v>0</v>
      </c>
      <c r="P107" s="18"/>
      <c r="Q107" s="18"/>
      <c r="R107" s="18"/>
      <c r="T107"/>
      <c r="U107"/>
      <c r="V107"/>
      <c r="W107"/>
      <c r="X107"/>
      <c r="Z107" s="1"/>
      <c r="AA107" s="21">
        <f>Tabla35681321293971727478797[[#This Row],[COMISIONES]]*0.21</f>
        <v>0</v>
      </c>
      <c r="AB107" s="21"/>
      <c r="AC107" s="1"/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Tabla351018263641424448494[[#This Row],[COMISIONES]]*0.21</f>
        <v>0</v>
      </c>
      <c r="P108" s="18"/>
      <c r="Q108" s="18"/>
      <c r="R108" s="18"/>
      <c r="T108"/>
      <c r="U108"/>
      <c r="V108"/>
      <c r="W108"/>
      <c r="X108"/>
      <c r="Z108" s="1"/>
      <c r="AA108" s="21">
        <f>Tabla35681321293971727478797[[#This Row],[COMISIONES]]*0.21</f>
        <v>0</v>
      </c>
      <c r="AB108" s="21"/>
      <c r="AC108" s="1"/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Tabla351018263641424448494[[#This Row],[COMISIONES]]*0.21</f>
        <v>0</v>
      </c>
      <c r="P109" s="18"/>
      <c r="Q109" s="18"/>
      <c r="R109" s="18"/>
      <c r="T109"/>
      <c r="U109"/>
      <c r="V109"/>
      <c r="W109"/>
      <c r="X109"/>
      <c r="Z109" s="1"/>
      <c r="AA109" s="21">
        <f>Tabla35681321293971727478797[[#This Row],[COMISIONES]]*0.21</f>
        <v>0</v>
      </c>
      <c r="AB109" s="21"/>
      <c r="AC109" s="1"/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Tabla351018263641424448494[[#This Row],[COMISIONES]]*0.21</f>
        <v>0</v>
      </c>
      <c r="P110" s="18"/>
      <c r="Q110" s="18"/>
      <c r="R110" s="18"/>
      <c r="T110"/>
      <c r="U110"/>
      <c r="V110"/>
      <c r="W110"/>
      <c r="X110"/>
      <c r="Z110" s="1"/>
      <c r="AA110" s="21">
        <f>Tabla35681321293971727478797[[#This Row],[COMISIONES]]*0.21</f>
        <v>0</v>
      </c>
      <c r="AB110" s="21"/>
      <c r="AC110" s="1"/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Tabla351018263641424448494[[#This Row],[COMISIONES]]*0.21</f>
        <v>0</v>
      </c>
      <c r="P111" s="18"/>
      <c r="Q111" s="18"/>
      <c r="R111" s="18"/>
      <c r="T111"/>
      <c r="U111"/>
      <c r="V111"/>
      <c r="W111"/>
      <c r="X111"/>
      <c r="Z111" s="1"/>
      <c r="AA111" s="21">
        <f>Tabla35681321293971727478797[[#This Row],[COMISIONES]]*0.21</f>
        <v>0</v>
      </c>
      <c r="AB111" s="21"/>
      <c r="AC111" s="1"/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Tabla351018263641424448494[[#This Row],[COMISIONES]]*0.21</f>
        <v>0</v>
      </c>
      <c r="P112" s="18"/>
      <c r="Q112" s="18"/>
      <c r="R112" s="18"/>
      <c r="T112"/>
      <c r="U112"/>
      <c r="V112"/>
      <c r="W112"/>
      <c r="X112"/>
      <c r="Z112" s="1"/>
      <c r="AA112" s="21">
        <f>Tabla35681321293971727478797[[#This Row],[COMISIONES]]*0.21</f>
        <v>0</v>
      </c>
      <c r="AB112" s="21"/>
      <c r="AC112" s="21"/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Tabla351018263641424448494[[#This Row],[COMISIONES]]*0.21</f>
        <v>0</v>
      </c>
      <c r="P113" s="18"/>
      <c r="Q113" s="18"/>
      <c r="R113" s="18"/>
      <c r="T113"/>
      <c r="U113"/>
      <c r="V113"/>
      <c r="W113"/>
      <c r="X113"/>
      <c r="Z113"/>
      <c r="AA113" s="21">
        <f>Tabla35681321293971727478797[[#This Row],[COMISIONES]]*0.21</f>
        <v>0</v>
      </c>
      <c r="AB113" s="21"/>
      <c r="AC113" s="21"/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Tabla351018263641424448494[[#This Row],[COMISIONES]]*0.21</f>
        <v>0</v>
      </c>
      <c r="P114" s="18"/>
      <c r="Q114" s="18"/>
      <c r="R114" s="18"/>
      <c r="T114"/>
      <c r="U114"/>
      <c r="V114"/>
      <c r="W114"/>
      <c r="X114"/>
      <c r="Z114" s="1"/>
      <c r="AA114" s="21">
        <f>Tabla35681321293971727478797[[#This Row],[COMISIONES]]*0.21</f>
        <v>0</v>
      </c>
      <c r="AB114" s="21"/>
      <c r="AC114" s="1"/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Tabla351018263641424448494[[#This Row],[COMISIONES]]*0.21</f>
        <v>0</v>
      </c>
      <c r="P115" s="18"/>
      <c r="Q115" s="18"/>
      <c r="R115" s="18"/>
      <c r="T115"/>
      <c r="U115"/>
      <c r="V115"/>
      <c r="W115"/>
      <c r="X115"/>
      <c r="Z115" s="21"/>
      <c r="AA115" s="21">
        <f>Tabla35681321293971727478797[[#This Row],[COMISIONES]]*0.21</f>
        <v>0</v>
      </c>
      <c r="AB115" s="21"/>
      <c r="AC115" s="1"/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Tabla351018263641424448494[[#This Row],[COMISIONES]]*0.21</f>
        <v>0</v>
      </c>
      <c r="P116" s="18"/>
      <c r="Q116" s="18"/>
      <c r="R116" s="18"/>
      <c r="T116"/>
      <c r="U116"/>
      <c r="V116"/>
      <c r="W116"/>
      <c r="X116"/>
      <c r="Z116" s="1"/>
      <c r="AA116" s="21">
        <f>Tabla35681321293971727478797[[#This Row],[COMISIONES]]*0.21</f>
        <v>0</v>
      </c>
      <c r="AB116" s="21"/>
      <c r="AC116" s="1"/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Tabla351018263641424448494[[#This Row],[COMISIONES]]*0.21</f>
        <v>0</v>
      </c>
      <c r="P117" s="18"/>
      <c r="Q117" s="18"/>
      <c r="R117" s="18"/>
      <c r="T117"/>
      <c r="U117"/>
      <c r="V117"/>
      <c r="W117"/>
      <c r="X117"/>
      <c r="Z117" s="1"/>
      <c r="AA117" s="21">
        <f>Tabla35681321293971727478797[[#This Row],[COMISIONES]]*0.21</f>
        <v>0</v>
      </c>
      <c r="AB117" s="21"/>
      <c r="AC117" s="1"/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Tabla351018263641424448494[[#This Row],[COMISIONES]]*0.21</f>
        <v>0</v>
      </c>
      <c r="P118" s="18"/>
      <c r="Q118" s="18"/>
      <c r="R118" s="18"/>
      <c r="T118"/>
      <c r="U118"/>
      <c r="V118"/>
      <c r="W118"/>
      <c r="X118"/>
      <c r="Z118" s="1"/>
      <c r="AA118" s="21">
        <f>Tabla35681321293971727478797[[#This Row],[COMISIONES]]*0.21</f>
        <v>0</v>
      </c>
      <c r="AB118" s="21"/>
      <c r="AC118" s="1"/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Tabla351018263641424448494[[#This Row],[COMISIONES]]*0.21</f>
        <v>0</v>
      </c>
      <c r="P119" s="18"/>
      <c r="Q119" s="18"/>
      <c r="R119" s="18"/>
      <c r="T119"/>
      <c r="U119"/>
      <c r="V119"/>
      <c r="W119"/>
      <c r="X119"/>
      <c r="Z119"/>
      <c r="AA119" s="21">
        <f>Tabla35681321293971727478797[[#This Row],[COMISIONES]]*0.21</f>
        <v>0</v>
      </c>
      <c r="AB119" s="21"/>
      <c r="AC119" s="21"/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Tabla351018263641424448494[[#This Row],[COMISIONES]]*0.21</f>
        <v>0</v>
      </c>
      <c r="P120" s="18"/>
      <c r="Q120" s="18"/>
      <c r="R120" s="18"/>
      <c r="T120"/>
      <c r="U120"/>
      <c r="V120"/>
      <c r="W120"/>
      <c r="X120"/>
      <c r="Z120" s="1"/>
      <c r="AA120" s="21">
        <f>Tabla35681321293971727478797[[#This Row],[COMISIONES]]*0.21</f>
        <v>0</v>
      </c>
      <c r="AB120" s="21"/>
      <c r="AC120" s="21"/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Tabla351018263641424448494[[#This Row],[COMISIONES]]*0.21</f>
        <v>0</v>
      </c>
      <c r="P121" s="18"/>
      <c r="Q121" s="18"/>
      <c r="R121" s="18"/>
      <c r="T121"/>
      <c r="U121"/>
      <c r="V121"/>
      <c r="W121"/>
      <c r="X121"/>
      <c r="Z121" s="1"/>
      <c r="AA121" s="21">
        <f>Tabla35681321293971727478797[[#This Row],[COMISIONES]]*0.21</f>
        <v>0</v>
      </c>
      <c r="AB121" s="21"/>
      <c r="AC121" s="21"/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Tabla351018263641424448494[[#This Row],[COMISIONES]]*0.21</f>
        <v>0</v>
      </c>
      <c r="P122" s="18"/>
      <c r="Q122" s="18"/>
      <c r="R122" s="18"/>
      <c r="T122"/>
      <c r="U122"/>
      <c r="V122"/>
      <c r="W122"/>
      <c r="X122"/>
      <c r="Z122" s="1"/>
      <c r="AA122" s="21">
        <f>Tabla35681321293971727478797[[#This Row],[COMISIONES]]*0.21</f>
        <v>0</v>
      </c>
      <c r="AB122" s="21"/>
      <c r="AC122" s="21"/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/>
      <c r="U123"/>
      <c r="V123"/>
      <c r="W123"/>
      <c r="X123"/>
      <c r="Z123" s="1"/>
      <c r="AA123" s="21">
        <f>Tabla35681321293971727478797[[#This Row],[COMISIONES]]*0.21</f>
        <v>0</v>
      </c>
      <c r="AB123" s="21"/>
      <c r="AC123" s="21"/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/>
      <c r="AA124" s="21">
        <f>Tabla35681321293971727478797[[#This Row],[COMISIONES]]*0.21</f>
        <v>0</v>
      </c>
      <c r="AB124" s="21"/>
      <c r="AC124" s="21"/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1"/>
      <c r="AA125" s="21">
        <f>Tabla35681321293971727478797[[#This Row],[COMISIONES]]*0.21</f>
        <v>0</v>
      </c>
      <c r="AB125" s="21"/>
      <c r="AC125" s="21"/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1"/>
      <c r="AA126" s="21">
        <f>Tabla35681321293971727478797[[#This Row],[COMISIONES]]*0.21</f>
        <v>0</v>
      </c>
      <c r="AB126" s="21"/>
      <c r="AC126" s="21"/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1"/>
      <c r="AA127" s="21">
        <f>Tabla35681321293971727478797[[#This Row],[COMISIONES]]*0.21</f>
        <v>0</v>
      </c>
      <c r="AB127" s="21"/>
      <c r="AC127" s="21"/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1"/>
      <c r="AA128" s="21">
        <f>Tabla35681321293971727478797[[#This Row],[COMISIONES]]*0.21</f>
        <v>0</v>
      </c>
      <c r="AB128" s="21"/>
      <c r="AC128" s="21"/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Tabla35681321293971727478797[[#This Row],[COMISIONES]]*0.21</f>
        <v>0</v>
      </c>
      <c r="AB129" s="21"/>
      <c r="AC129" s="21"/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Tabla35681321293971727478797[[#This Row],[COMISIONES]]*0.21</f>
        <v>0</v>
      </c>
      <c r="AB130" s="21"/>
      <c r="AC130" s="21"/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Tabla35681321293971727478797[[#This Row],[COMISIONES]]*0.21</f>
        <v>0</v>
      </c>
      <c r="AB131" s="21"/>
      <c r="AC131" s="21"/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Tabla35681321293971727478797[[#This Row],[COMISIONES]]*0.21</f>
        <v>0</v>
      </c>
      <c r="AB132" s="21"/>
      <c r="AC132" s="21"/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Tabla35681321293971727478797[[#This Row],[COMISIONES]]*0.21</f>
        <v>0</v>
      </c>
      <c r="AB133" s="21"/>
      <c r="AC133" s="21"/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Tabla351018263641424448494[[#This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Tabla35681321293971727478797[[#This Row],[COMISIONES]]*0.21</f>
        <v>0</v>
      </c>
      <c r="AB134" s="21"/>
      <c r="AC134" s="21"/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24">
        <f>SUBTOTAL(109,Tabla351018263641424448494[COMISIONES])</f>
        <v>0</v>
      </c>
      <c r="O135" s="24">
        <f>SUBTOTAL(109,Tabla351018263641424448494[IVA 21])</f>
        <v>0</v>
      </c>
      <c r="P135" s="24">
        <f>SUBTOTAL(109,Tabla351018263641424448494[IVA 10,5])</f>
        <v>0</v>
      </c>
      <c r="Q135" s="24">
        <f>SUBTOTAL(109,Tabla351018263641424448494[Ret IIBB Caba])</f>
        <v>0</v>
      </c>
      <c r="R135" s="24">
        <f>SUBTOTAL(109,Tabla351018263641424448494[PERC IVA])</f>
        <v>0</v>
      </c>
      <c r="T135"/>
      <c r="U135"/>
      <c r="V135"/>
      <c r="W135"/>
      <c r="X135"/>
      <c r="Z135" s="21"/>
      <c r="AA135" s="21">
        <f>Tabla35681321293971727478797[[#This Row],[COMISIONES]]*0.21</f>
        <v>0</v>
      </c>
      <c r="AB135" s="21"/>
      <c r="AC135" s="21"/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Tabla35681321293971727478797[[#This Row],[COMISIONES]]*0.21</f>
        <v>0</v>
      </c>
      <c r="AB136" s="21"/>
      <c r="AC136" s="21"/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Tabla35681321293971727478797[[#This Row],[COMISIONES]]*0.21</f>
        <v>0</v>
      </c>
      <c r="AB137" s="21"/>
      <c r="AC137" s="21"/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Tabla35681321293971727478797[[#This Row],[COMISIONES]]*0.21</f>
        <v>0</v>
      </c>
      <c r="AB138" s="21"/>
      <c r="AC138" s="21"/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Tabla35681321293971727478797[[#This Row],[COMISIONES]]*0.21</f>
        <v>0</v>
      </c>
      <c r="AB139" s="21"/>
      <c r="AC139" s="21"/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Tabla35681321293971727478797[[#This Row],[COMISIONES]]*0.21</f>
        <v>0</v>
      </c>
      <c r="AB140" s="21"/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Tabla35681321293971727478797[[#This Row],[COMISIONES]]*0.21</f>
        <v>0</v>
      </c>
      <c r="AB141" s="21"/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Tabla35681321293971727478797[[#This Row],[COMISIONES]]*0.21</f>
        <v>0</v>
      </c>
      <c r="AB142" s="21"/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Tabla35681321293971727478797[[#This Row],[COMISIONES]]*0.21</f>
        <v>0</v>
      </c>
      <c r="AB143" s="21"/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Tabla35681321293971727478797[[#This Row],[COMISIONES]]*0.21</f>
        <v>0</v>
      </c>
      <c r="AB144" s="21"/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Tabla35681321293971727478797[[#This Row],[COMISIONES]]*0.21</f>
        <v>0</v>
      </c>
      <c r="AB145" s="21"/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Tabla35681321293971727478797[[#This Row],[COMISIONES]]*0.21</f>
        <v>0</v>
      </c>
      <c r="AB146" s="21"/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Tabla35681321293971727478797[[#This Row],[COMISIONES]]*0.21</f>
        <v>0</v>
      </c>
      <c r="AB147" s="21"/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Tabla35681321293971727478797[[#This Row],[COMISIONES]]*0.21</f>
        <v>0</v>
      </c>
      <c r="AB148" s="21"/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Tabla35681321293971727478797[[#This Row],[COMISIONES]]*0.21</f>
        <v>0</v>
      </c>
      <c r="AB149" s="21"/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Tabla35681321293971727478797[[#This Row],[COMISIONES]]*0.21</f>
        <v>0</v>
      </c>
      <c r="AB150" s="21"/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Tabla35681321293971727478797[[#This Row],[COMISIONES]]*0.21</f>
        <v>0</v>
      </c>
      <c r="AB151" s="21"/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Tabla35681321293971727478797[[#This Row],[COMISIONES]]*0.21</f>
        <v>0</v>
      </c>
      <c r="AB152" s="21"/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Tabla35681321293971727478797[[#This Row],[COMISIONES]]*0.21</f>
        <v>0</v>
      </c>
      <c r="AB153" s="21"/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Tabla35681321293971727478797[[#This Row],[COMISIONES]]*0.21</f>
        <v>0</v>
      </c>
      <c r="AB154" s="21"/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Tabla35681321293971727478797[[#This Row],[COMISIONES]]*0.21</f>
        <v>0</v>
      </c>
      <c r="AB155" s="21"/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Tabla35681321293971727478797[[#This Row],[COMISIONES]]*0.21</f>
        <v>0</v>
      </c>
      <c r="AB156" s="21"/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Tabla35681321293971727478797[[#This Row],[COMISIONES]]*0.21</f>
        <v>0</v>
      </c>
      <c r="AB157" s="21"/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Tabla35681321293971727478797[[#This Row],[COMISIONES]]*0.21</f>
        <v>0</v>
      </c>
      <c r="AB158" s="21"/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Tabla35681321293971727478797[[#This Row],[COMISIONES]]*0.21</f>
        <v>0</v>
      </c>
      <c r="AB159" s="21"/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Tabla35681321293971727478797[[#This Row],[COMISIONES]]*0.21</f>
        <v>0</v>
      </c>
      <c r="AB160" s="21"/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Tabla35681321293971727478797[[#This Row],[COMISIONES]]*0.21</f>
        <v>0</v>
      </c>
      <c r="AB161" s="21"/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Tabla35681321293971727478797[[#This Row],[COMISIONES]]*0.21</f>
        <v>0</v>
      </c>
      <c r="AB162" s="21"/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Tabla35681321293971727478797[[#This Row],[COMISIONES]]*0.21</f>
        <v>0</v>
      </c>
      <c r="AB163" s="21"/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Tabla35681321293971727478797[[#This Row],[COMISIONES]]*0.21</f>
        <v>0</v>
      </c>
      <c r="AB164" s="21"/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Tabla35681321293971727478797[[#This Row],[COMISIONES]]*0.21</f>
        <v>0</v>
      </c>
      <c r="AB165" s="21"/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Tabla35681321293971727478797[[#This Row],[COMISIONES]]*0.21</f>
        <v>0</v>
      </c>
      <c r="AB166" s="21"/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Tabla35681321293971727478797[[#This Row],[COMISIONES]]*0.21</f>
        <v>0</v>
      </c>
      <c r="AB167" s="21"/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Tabla35681321293971727478797[[#This Row],[COMISIONES]]*0.21</f>
        <v>0</v>
      </c>
      <c r="AB168" s="21"/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SUBTOTAL(109,Tabla35681321293971727478797[COMISIONES])</f>
        <v>0</v>
      </c>
      <c r="AA169" s="4">
        <f>SUBTOTAL(109,Tabla35681321293971727478797[IVA 21])</f>
        <v>0</v>
      </c>
      <c r="AB169" s="4">
        <f>SUBTOTAL(109,Tabla35681321293971727478797[IVA 10,5])</f>
        <v>0</v>
      </c>
      <c r="AC169" s="4">
        <f>SUBTOTAL(109,Tabla35681321293971727478797[Ret IIBB Caba])</f>
        <v>0</v>
      </c>
      <c r="AD169" s="4">
        <f>SUBTOTAL(109,Tabla35681321293971727478797[PERC IVA])</f>
        <v>0</v>
      </c>
      <c r="AF169"/>
      <c r="AG169"/>
      <c r="AH169"/>
      <c r="AI169"/>
      <c r="AJ169"/>
      <c r="AK169"/>
      <c r="AL169"/>
      <c r="AM169"/>
      <c r="AN169"/>
      <c r="AO169"/>
    </row>
  </sheetData>
  <mergeCells count="22">
    <mergeCell ref="AK14:AO14"/>
    <mergeCell ref="T32:X32"/>
    <mergeCell ref="H54:L54"/>
    <mergeCell ref="T64:X64"/>
    <mergeCell ref="B14:F14"/>
    <mergeCell ref="H14:L14"/>
    <mergeCell ref="N14:R14"/>
    <mergeCell ref="T14:X14"/>
    <mergeCell ref="Z14:AD14"/>
    <mergeCell ref="AF14:AJ14"/>
    <mergeCell ref="G7:H7"/>
    <mergeCell ref="G8:H8"/>
    <mergeCell ref="G9:H9"/>
    <mergeCell ref="G10:H10"/>
    <mergeCell ref="G11:H11"/>
    <mergeCell ref="G12:H12"/>
    <mergeCell ref="G2:H2"/>
    <mergeCell ref="J2:K2"/>
    <mergeCell ref="G3:H3"/>
    <mergeCell ref="G4:H4"/>
    <mergeCell ref="G5:H5"/>
    <mergeCell ref="G6:H6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0349-4E16-4418-9F90-1375DEA96A08}">
  <dimension ref="A1:AO169"/>
  <sheetViews>
    <sheetView showGridLines="0" zoomScale="80" zoomScaleNormal="80" workbookViewId="0">
      <selection activeCell="H57" sqref="H57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2.140625" customWidth="1"/>
    <col min="4" max="4" width="12.140625" bestFit="1" customWidth="1"/>
    <col min="5" max="5" width="11.5703125" customWidth="1"/>
    <col min="6" max="6" width="12.140625" customWidth="1"/>
    <col min="7" max="7" width="2.5703125" style="6" customWidth="1"/>
    <col min="8" max="8" width="12.7109375" customWidth="1"/>
    <col min="9" max="9" width="13.5703125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7" max="27" width="13.28515625" customWidth="1"/>
    <col min="31" max="31" width="2.5703125" style="6" customWidth="1"/>
  </cols>
  <sheetData>
    <row r="1" spans="1:41" ht="6" customHeight="1" x14ac:dyDescent="0.25">
      <c r="G1"/>
      <c r="M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4</v>
      </c>
      <c r="H2" s="38"/>
      <c r="J2" s="39">
        <v>45383</v>
      </c>
      <c r="K2" s="39"/>
      <c r="M2"/>
      <c r="S2"/>
      <c r="Y2"/>
      <c r="AE2"/>
    </row>
    <row r="3" spans="1:41" x14ac:dyDescent="0.25">
      <c r="B3" s="25" t="str">
        <f>+B14</f>
        <v>Liquidacion amex Credito</v>
      </c>
      <c r="C3" s="14">
        <f>Tabla1316243221222338292102[[#Totals],[COMISIONES]]</f>
        <v>0</v>
      </c>
      <c r="D3" s="14">
        <f>Tabla1316243221222338292102[[#Totals],[IVA 21]]</f>
        <v>0</v>
      </c>
      <c r="E3" s="14">
        <f>Tabla1316243221222338292102[[#Totals],[IVA 10,5]]</f>
        <v>0</v>
      </c>
      <c r="F3" s="14">
        <f>Tabla1316243221222338292102[[#Totals],[Ret IIBB Caba]]</f>
        <v>0</v>
      </c>
      <c r="G3" s="35">
        <f>Tabla1316243221222338292102[[#Totals],[PERC IVA]]</f>
        <v>0</v>
      </c>
      <c r="H3" s="36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>
        <f>Tabla3917253531323348393103[[#Totals],[COMISIONES]]</f>
        <v>300</v>
      </c>
      <c r="D4" s="14">
        <f>Tabla3917253531323348393103[[#Totals],[IVA 21]]</f>
        <v>63</v>
      </c>
      <c r="E4" s="14">
        <f>Tabla3917253531323348393103[[#Totals],[IVA 10,5]]</f>
        <v>0</v>
      </c>
      <c r="F4" s="14">
        <f>Tabla3917253531323348393103[[#Totals],[Ret IIBB Caba]]</f>
        <v>0</v>
      </c>
      <c r="G4" s="35">
        <f>Tabla3917253531323348393103[[#Totals],[PERC IVA]]</f>
        <v>0</v>
      </c>
      <c r="H4" s="36"/>
      <c r="J4" s="2"/>
      <c r="K4" s="3"/>
      <c r="M4"/>
      <c r="S4"/>
      <c r="Y4"/>
      <c r="AE4"/>
    </row>
    <row r="5" spans="1:41" x14ac:dyDescent="0.25">
      <c r="B5" s="25" t="str">
        <f>+N14</f>
        <v>FRANCES extracto (27/03)</v>
      </c>
      <c r="C5" s="14">
        <f>Tabla351018263641424448494104[[#Totals],[COMISIONES]]</f>
        <v>0</v>
      </c>
      <c r="D5" s="45">
        <f>Tabla351018263641424448494104[[#Totals],[IVA 21]]</f>
        <v>0</v>
      </c>
      <c r="E5" s="45">
        <f>Tabla351018263641424448494104[[#Totals],[IVA 10,5]]</f>
        <v>0</v>
      </c>
      <c r="F5" s="14">
        <f>Tabla351018263641424448494104[[#Totals],[Ret IIBB Caba]]</f>
        <v>0</v>
      </c>
      <c r="G5" s="35">
        <f>Tabla351018263641424448494104[[#Totals],[PERC IVA]]</f>
        <v>0</v>
      </c>
      <c r="H5" s="36"/>
      <c r="M5"/>
      <c r="S5"/>
      <c r="Y5"/>
      <c r="AE5"/>
    </row>
    <row r="6" spans="1:41" x14ac:dyDescent="0.25">
      <c r="B6" s="25" t="str">
        <f>+T14</f>
        <v>GALICIA EXTRACTO (31/03)</v>
      </c>
      <c r="C6" s="14">
        <f>Tabla3561119273751525458595105[[#Totals],[COMISIONES]]</f>
        <v>0</v>
      </c>
      <c r="D6" s="45">
        <f>Tabla3561119273751525458595105[[#Totals],[IVA 21]]</f>
        <v>0</v>
      </c>
      <c r="E6" s="14">
        <f>Tabla3561119273751525458595105[[#Totals],[IVA 10,5]]</f>
        <v>0</v>
      </c>
      <c r="F6" s="14">
        <f>Tabla3561119273751525458595105[[#Totals],[Ret IIBB Caba]]</f>
        <v>0</v>
      </c>
      <c r="G6" s="35">
        <f>Tabla3561119273751525458595105[[#Totals],[PERC IVA]]</f>
        <v>0</v>
      </c>
      <c r="H6" s="36"/>
      <c r="M6"/>
      <c r="S6"/>
      <c r="Y6"/>
      <c r="AE6"/>
    </row>
    <row r="7" spans="1:41" x14ac:dyDescent="0.25">
      <c r="B7" s="25" t="str">
        <f>+Z14</f>
        <v>BBVA MASTERCARD CRED(27/03)</v>
      </c>
      <c r="C7" s="14">
        <f>Tabla35681321293971727478797107[[#Totals],[COMISIONES]]</f>
        <v>0</v>
      </c>
      <c r="D7" s="14">
        <f>Tabla35681321293971727478797107[[#Totals],[IVA 21]]</f>
        <v>0</v>
      </c>
      <c r="E7" s="14">
        <f>Tabla35681321293971727478797107[[#Totals],[IVA 10,5]]</f>
        <v>0</v>
      </c>
      <c r="F7" s="14">
        <f>Tabla35681321293971727478797107[[#Totals],[Ret IIBB Caba]]</f>
        <v>0</v>
      </c>
      <c r="G7" s="35">
        <f>Tabla35681321293971727478797107[[#Totals],[PERC IVA]]</f>
        <v>0</v>
      </c>
      <c r="H7" s="36"/>
      <c r="M7"/>
      <c r="S7"/>
      <c r="Y7"/>
      <c r="AE7"/>
    </row>
    <row r="8" spans="1:41" x14ac:dyDescent="0.25">
      <c r="B8" s="25" t="str">
        <f>+T32</f>
        <v>RESUM BCO BBVA VISA 31/09(Nº RESUMEN 000017206766)</v>
      </c>
      <c r="C8" s="14">
        <f>Tabla61220283861626468696106[[#Totals],[COMISIONES]]</f>
        <v>4297.5200000000004</v>
      </c>
      <c r="D8" s="14">
        <f>Tabla61220283861626468696106[[#Totals],[IVA 21]]</f>
        <v>902.47920000000011</v>
      </c>
      <c r="E8" s="14">
        <f>Tabla61220283861626468696106[[#Totals],[IVA 10,5]]</f>
        <v>0</v>
      </c>
      <c r="F8" s="14">
        <f>Tabla61220283861626468696106[[#Totals],[Ret IIBB Caba]]</f>
        <v>0</v>
      </c>
      <c r="G8" s="35">
        <f>Tabla61220283861626468696106[[#Totals],[PERC IVA]]</f>
        <v>0</v>
      </c>
      <c r="H8" s="36"/>
      <c r="M8"/>
      <c r="S8"/>
      <c r="Y8"/>
      <c r="AE8"/>
    </row>
    <row r="9" spans="1:41" x14ac:dyDescent="0.25">
      <c r="B9" s="28" t="str">
        <f>+AF14</f>
        <v>BBVA - LIQ DEBITO (08/03)</v>
      </c>
      <c r="C9" s="14">
        <f>+Tabla3568131422304081828488898108[[#Totals],[COMISIONES]]</f>
        <v>0</v>
      </c>
      <c r="D9" s="14">
        <f>+Tabla3568131422304081828488898108[[#Totals],[IVA 21]]</f>
        <v>0</v>
      </c>
      <c r="E9" s="14">
        <f>+Tabla3568131422304081828488898108[[#Totals],[IVA 10,5]]</f>
        <v>0</v>
      </c>
      <c r="F9" s="14">
        <f>+Tabla3568131422304081828488898108[[#Totals],[Ret IIBB Caba]]</f>
        <v>0</v>
      </c>
      <c r="G9" s="35">
        <f>+Tabla3568131422304081828488898108[[#Totals],[PERC IVA]]</f>
        <v>0</v>
      </c>
      <c r="H9" s="36"/>
      <c r="M9"/>
      <c r="S9"/>
      <c r="Y9"/>
      <c r="AE9"/>
    </row>
    <row r="10" spans="1:41" x14ac:dyDescent="0.25">
      <c r="B10" s="28" t="s">
        <v>33</v>
      </c>
      <c r="C10" s="14">
        <f>Tabla391523314191929498999109[[#Totals],[COMISIONES]]</f>
        <v>0</v>
      </c>
      <c r="D10" s="14">
        <f>Tabla391523314191929498999109[[#Totals],[IVA 21]]</f>
        <v>0</v>
      </c>
      <c r="E10" s="14">
        <f>Tabla391523314191929498999109[[#Totals],[IVA 10,5]]</f>
        <v>0</v>
      </c>
      <c r="F10" s="14">
        <f>Tabla391523314191929498999109[[#Totals],[Ret IIBB Caba]]</f>
        <v>0</v>
      </c>
      <c r="G10" s="35">
        <f>Tabla391523314191929498999109[[#Totals],[PERC IVA]]</f>
        <v>0</v>
      </c>
      <c r="H10" s="43"/>
      <c r="M10"/>
      <c r="S10"/>
      <c r="Y10"/>
      <c r="AE10"/>
    </row>
    <row r="11" spans="1:41" x14ac:dyDescent="0.25">
      <c r="B11" s="28" t="str">
        <f>+AK14</f>
        <v>GALICIA CREDITO visa (30/09)</v>
      </c>
      <c r="C11" s="14">
        <f>+Tabla35611192734431121315191101111[[#Totals],[COMISIONES]]</f>
        <v>9269</v>
      </c>
      <c r="D11" s="14">
        <f>+Tabla35611192734431121315191101111[[#Totals],[IVA 21]]</f>
        <v>1946.49</v>
      </c>
      <c r="E11" s="14">
        <f>+Tabla35611192734431121315191101111[[#Totals],[IVA 10,5]]</f>
        <v>0</v>
      </c>
      <c r="F11" s="14"/>
      <c r="G11" s="35"/>
      <c r="H11" s="36"/>
      <c r="M11"/>
      <c r="S11"/>
      <c r="Y11"/>
      <c r="AE11"/>
    </row>
    <row r="12" spans="1:41" x14ac:dyDescent="0.25">
      <c r="A12" s="26"/>
      <c r="B12" s="26"/>
      <c r="C12" s="27">
        <f>SUM(C3:C11)</f>
        <v>13866.52</v>
      </c>
      <c r="D12" s="27">
        <f t="shared" ref="D12:F12" si="0">SUM(D3:D11)</f>
        <v>2911.9692</v>
      </c>
      <c r="E12" s="27">
        <f t="shared" si="0"/>
        <v>0</v>
      </c>
      <c r="F12" s="27">
        <f t="shared" si="0"/>
        <v>0</v>
      </c>
      <c r="G12" s="44">
        <f>SUM(G3:H11)</f>
        <v>0</v>
      </c>
      <c r="H12" s="44"/>
      <c r="M12"/>
      <c r="S12"/>
      <c r="Y12"/>
      <c r="AE12"/>
    </row>
    <row r="13" spans="1:41" x14ac:dyDescent="0.25">
      <c r="A13" s="26"/>
      <c r="B13" s="26"/>
      <c r="G13"/>
      <c r="J13" t="s">
        <v>25</v>
      </c>
      <c r="M13"/>
      <c r="S13"/>
      <c r="V13" t="s">
        <v>25</v>
      </c>
      <c r="Y13"/>
      <c r="AE13"/>
    </row>
    <row r="14" spans="1:41" ht="16.5" customHeight="1" x14ac:dyDescent="0.3">
      <c r="B14" s="41" t="s">
        <v>7</v>
      </c>
      <c r="C14" s="41"/>
      <c r="D14" s="41"/>
      <c r="E14" s="41"/>
      <c r="F14" s="41"/>
      <c r="H14" s="41" t="s">
        <v>26</v>
      </c>
      <c r="I14" s="41"/>
      <c r="J14" s="41"/>
      <c r="K14" s="41"/>
      <c r="L14" s="41"/>
      <c r="N14" s="41" t="s">
        <v>30</v>
      </c>
      <c r="O14" s="41"/>
      <c r="P14" s="41"/>
      <c r="Q14" s="41"/>
      <c r="R14" s="41"/>
      <c r="T14" s="41" t="s">
        <v>24</v>
      </c>
      <c r="U14" s="41"/>
      <c r="V14" s="41"/>
      <c r="W14" s="41"/>
      <c r="X14" s="41"/>
      <c r="Z14" s="41" t="s">
        <v>28</v>
      </c>
      <c r="AA14" s="41"/>
      <c r="AB14" s="41"/>
      <c r="AC14" s="41"/>
      <c r="AD14" s="41"/>
      <c r="AF14" s="41" t="s">
        <v>27</v>
      </c>
      <c r="AG14" s="41"/>
      <c r="AH14" s="41"/>
      <c r="AI14" s="41"/>
      <c r="AJ14" s="41"/>
      <c r="AK14" s="41" t="s">
        <v>32</v>
      </c>
      <c r="AL14" s="41"/>
      <c r="AM14" s="41"/>
      <c r="AN14" s="41"/>
      <c r="AO14" s="41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/>
      <c r="C16" s="2">
        <f>Tabla1316243221222338292102[[#This Row],[COMISIONES]]*0.21</f>
        <v>0</v>
      </c>
      <c r="D16" s="3"/>
      <c r="E16" s="3"/>
      <c r="F16" s="1"/>
      <c r="G16" s="8"/>
      <c r="H16" s="3">
        <v>300</v>
      </c>
      <c r="I16" s="11">
        <f>Tabla3917253531323348393103[[#This Row],[COMISIONES]]*0.21</f>
        <v>63</v>
      </c>
      <c r="J16" s="11"/>
      <c r="K16" s="11"/>
      <c r="L16" s="3"/>
      <c r="M16" s="8"/>
      <c r="O16" s="11">
        <f>Tabla351018263641424448494104[[#This Row],[COMISIONES]]*0.21</f>
        <v>0</v>
      </c>
      <c r="P16" s="11"/>
      <c r="Q16" s="1"/>
      <c r="S16" s="8"/>
      <c r="T16" s="11"/>
      <c r="U16" s="11">
        <f>Tabla3561119273751525458595105[[#This Row],[COMISIONES]]*0.21</f>
        <v>0</v>
      </c>
      <c r="V16" s="11"/>
      <c r="W16" s="11"/>
      <c r="X16" s="11"/>
      <c r="Y16" s="8"/>
      <c r="AA16" s="11">
        <f>Tabla35681321293971727478797107[[#This Row],[COMISIONES]]*0.21</f>
        <v>0</v>
      </c>
      <c r="AC16" s="1"/>
      <c r="AE16" s="8"/>
      <c r="AG16" s="11">
        <f>Tabla3568131422304081828488898108[[#This Row],[COMISIONES]]*0.21</f>
        <v>0</v>
      </c>
      <c r="AH16" s="11"/>
      <c r="AI16" s="1"/>
      <c r="AJ16" s="11"/>
      <c r="AK16" s="11">
        <v>9269</v>
      </c>
      <c r="AL16" s="11">
        <f>Tabla35611192734431121315191101111[[#This Row],[COMISIONES]]*0.21</f>
        <v>1946.49</v>
      </c>
      <c r="AM16" s="11"/>
      <c r="AN16" s="11"/>
      <c r="AO16" s="11"/>
    </row>
    <row r="17" spans="2:41" x14ac:dyDescent="0.25">
      <c r="B17" s="3"/>
      <c r="C17" s="2">
        <f>Tabla1316243221222338292102[[#This Row],[COMISIONES]]*0.21</f>
        <v>0</v>
      </c>
      <c r="D17" s="3"/>
      <c r="E17" s="3"/>
      <c r="F17" s="3"/>
      <c r="G17" s="8"/>
      <c r="H17" s="11"/>
      <c r="I17" s="11">
        <f>Tabla3917253531323348393103[[#This Row],[COMISIONES]]*0.21</f>
        <v>0</v>
      </c>
      <c r="J17" s="11"/>
      <c r="K17" s="11"/>
      <c r="L17" s="11"/>
      <c r="M17" s="8"/>
      <c r="N17" s="11"/>
      <c r="O17" s="11"/>
      <c r="P17" s="11">
        <f>Tabla351018263641424448494104[[#This Row],[COMISIONES]]*0.105</f>
        <v>0</v>
      </c>
      <c r="Q17" s="1"/>
      <c r="S17" s="8"/>
      <c r="T17" s="11"/>
      <c r="U17" s="11">
        <f>Tabla3561119273751525458595105[[#This Row],[COMISIONES]]*0.21</f>
        <v>0</v>
      </c>
      <c r="V17" s="11"/>
      <c r="W17" s="11"/>
      <c r="X17" s="11"/>
      <c r="Y17" s="8"/>
      <c r="AA17" s="11">
        <f>Tabla35681321293971727478797107[[#This Row],[COMISIONES]]*0.21</f>
        <v>0</v>
      </c>
      <c r="AB17" s="1"/>
      <c r="AC17" s="1"/>
      <c r="AE17" s="8"/>
      <c r="AF17" s="11"/>
      <c r="AG17" s="11">
        <f>Tabla3568131422304081828488898108[[#This Row],[COMISIONES]]*0.21</f>
        <v>0</v>
      </c>
      <c r="AH17" s="11"/>
      <c r="AI17" s="11"/>
      <c r="AJ17" s="11"/>
      <c r="AK17" s="11"/>
      <c r="AL17" s="11">
        <f>Tabla35611192734431121315191101111[[#This Row],[COMISIONES]]*0.21</f>
        <v>0</v>
      </c>
      <c r="AM17" s="11"/>
      <c r="AN17" s="11"/>
      <c r="AO17" s="11"/>
    </row>
    <row r="18" spans="2:41" x14ac:dyDescent="0.25">
      <c r="B18" s="3"/>
      <c r="C18" s="2">
        <f>Tabla1316243221222338292102[[#This Row],[COMISIONES]]*0.21</f>
        <v>0</v>
      </c>
      <c r="D18" s="3"/>
      <c r="E18" s="3"/>
      <c r="F18" s="3"/>
      <c r="H18" s="11"/>
      <c r="I18" s="11">
        <f>Tabla3917253531323348393103[[#This Row],[COMISIONES]]*0.21</f>
        <v>0</v>
      </c>
      <c r="J18" s="11"/>
      <c r="K18" s="11"/>
      <c r="L18" s="11"/>
      <c r="N18" s="1"/>
      <c r="O18" s="11">
        <f>Tabla351018263641424448494104[[#This Row],[COMISIONES]]*0.21</f>
        <v>0</v>
      </c>
      <c r="P18" s="11"/>
      <c r="Q18" s="11"/>
      <c r="R18" s="23"/>
      <c r="T18" s="11"/>
      <c r="U18" s="11">
        <f>Tabla3561119273751525458595105[[#This Row],[COMISIONES]]*0.21</f>
        <v>0</v>
      </c>
      <c r="V18" s="11"/>
      <c r="W18" s="11"/>
      <c r="X18" s="11"/>
      <c r="AA18" s="11">
        <f>Tabla35681321293971727478797107[[#This Row],[COMISIONES]]*0.21</f>
        <v>0</v>
      </c>
      <c r="AB18" s="1"/>
      <c r="AF18" s="11"/>
      <c r="AG18" s="11">
        <f>Tabla3568131422304081828488898108[[#This Row],[COMISIONES]]*0.21</f>
        <v>0</v>
      </c>
      <c r="AH18" s="11"/>
      <c r="AI18" s="11"/>
      <c r="AJ18" s="11"/>
      <c r="AK18" s="11"/>
      <c r="AL18" s="11">
        <f>Tabla35611192734431121315191101111[[#This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Tabla1316243221222338292102[[#This Row],[COMISIONES]]*0.21</f>
        <v>0</v>
      </c>
      <c r="D19" s="3"/>
      <c r="E19" s="3"/>
      <c r="F19" s="3"/>
      <c r="G19" s="8"/>
      <c r="H19" s="11"/>
      <c r="I19" s="11">
        <f>Tabla3917253531323348393103[[#This Row],[COMISIONES]]*0.21</f>
        <v>0</v>
      </c>
      <c r="J19" s="11"/>
      <c r="K19" s="11"/>
      <c r="L19" s="11"/>
      <c r="M19" s="8"/>
      <c r="N19" s="1"/>
      <c r="O19" s="11">
        <f>Tabla351018263641424448494104[[#This Row],[COMISIONES]]*0.21</f>
        <v>0</v>
      </c>
      <c r="P19" s="11"/>
      <c r="Q19" s="11"/>
      <c r="R19" s="23"/>
      <c r="S19" s="8"/>
      <c r="T19" s="11"/>
      <c r="U19" s="11">
        <f>Tabla3561119273751525458595105[[#This Row],[COMISIONES]]*0.21</f>
        <v>0</v>
      </c>
      <c r="V19" s="11"/>
      <c r="W19" s="11"/>
      <c r="X19" s="11"/>
      <c r="Y19" s="8"/>
      <c r="AA19" s="11"/>
      <c r="AB19" s="1"/>
      <c r="AC19" s="1"/>
      <c r="AE19" s="8"/>
      <c r="AF19" s="11"/>
      <c r="AG19" s="11">
        <f>Tabla3568131422304081828488898108[[#This Row],[COMISIONES]]*0.21</f>
        <v>0</v>
      </c>
      <c r="AH19" s="11"/>
      <c r="AI19" s="11"/>
      <c r="AJ19" s="11"/>
      <c r="AK19" s="11"/>
      <c r="AL19" s="11">
        <f>Tabla35611192734431121315191101111[[#This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Tabla1316243221222338292102[[#This Row],[COMISIONES]]*0.21</f>
        <v>0</v>
      </c>
      <c r="D20" s="3"/>
      <c r="E20" s="3"/>
      <c r="F20" s="3"/>
      <c r="H20" s="11"/>
      <c r="I20" s="11">
        <f>Tabla3917253531323348393103[[#This Row],[COMISIONES]]*0.21</f>
        <v>0</v>
      </c>
      <c r="J20" s="11"/>
      <c r="K20" s="11"/>
      <c r="L20" s="11"/>
      <c r="N20" s="1"/>
      <c r="O20" s="11">
        <f>Tabla351018263641424448494104[[#This Row],[COMISIONES]]*0.21</f>
        <v>0</v>
      </c>
      <c r="P20" s="11"/>
      <c r="Q20" s="11"/>
      <c r="R20" s="23"/>
      <c r="T20" s="11"/>
      <c r="U20" s="11">
        <f>Tabla3561119273751525458595105[[#This Row],[COMISIONES]]*0.21</f>
        <v>0</v>
      </c>
      <c r="V20" s="11"/>
      <c r="W20" s="11"/>
      <c r="X20" s="11"/>
      <c r="AA20" s="11">
        <f>Tabla35681321293971727478797107[[#This Row],[COMISIONES]]*0.21</f>
        <v>0</v>
      </c>
      <c r="AB20" s="11"/>
      <c r="AC20" s="1"/>
      <c r="AF20" s="11"/>
      <c r="AG20" s="11">
        <f>Tabla3568131422304081828488898108[[#This Row],[COMISIONES]]*0.21</f>
        <v>0</v>
      </c>
      <c r="AH20" s="11"/>
      <c r="AI20" s="11"/>
      <c r="AJ20" s="11"/>
      <c r="AK20" s="11"/>
      <c r="AL20" s="11">
        <f>Tabla35611192734431121315191101111[[#This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Tabla1316243221222338292102[[#This Row],[COMISIONES]]*0.21</f>
        <v>0</v>
      </c>
      <c r="D21" s="3"/>
      <c r="E21" s="3"/>
      <c r="F21" s="3"/>
      <c r="H21" s="11"/>
      <c r="I21" s="11">
        <f>Tabla3917253531323348393103[[#This Row],[COMISIONES]]*0.21</f>
        <v>0</v>
      </c>
      <c r="J21" s="11"/>
      <c r="K21" s="11"/>
      <c r="L21" s="11"/>
      <c r="N21" s="11"/>
      <c r="O21" s="11">
        <f>Tabla351018263641424448494104[[#This Row],[COMISIONES]]*0.21</f>
        <v>0</v>
      </c>
      <c r="P21" s="11"/>
      <c r="Q21" s="11"/>
      <c r="R21" s="11"/>
      <c r="T21" s="11"/>
      <c r="U21" s="11">
        <f>Tabla3561119273751525458595105[[#This Row],[COMISIONES]]*0.21</f>
        <v>0</v>
      </c>
      <c r="V21" s="11"/>
      <c r="W21" s="11"/>
      <c r="X21" s="11"/>
      <c r="Z21" s="1"/>
      <c r="AA21" s="11">
        <f>Tabla35681321293971727478797107[[#This Row],[COMISIONES]]*0.21</f>
        <v>0</v>
      </c>
      <c r="AB21" s="11"/>
      <c r="AC21" s="1"/>
      <c r="AF21" s="11"/>
      <c r="AG21" s="11">
        <f>Tabla3568131422304081828488898108[[#This Row],[COMISIONES]]*0.21</f>
        <v>0</v>
      </c>
      <c r="AH21" s="11"/>
      <c r="AI21" s="11"/>
      <c r="AJ21" s="11"/>
      <c r="AK21" s="11"/>
      <c r="AL21" s="11">
        <f>Tabla35611192734431121315191101111[[#This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Tabla1316243221222338292102[[#This Row],[COMISIONES]]*0.21</f>
        <v>0</v>
      </c>
      <c r="D22" s="3"/>
      <c r="E22" s="3"/>
      <c r="F22" s="3"/>
      <c r="H22" s="11"/>
      <c r="I22" s="11">
        <f>Tabla3917253531323348393103[[#This Row],[COMISIONES]]*0.21</f>
        <v>0</v>
      </c>
      <c r="J22" s="11"/>
      <c r="K22" s="11"/>
      <c r="L22" s="11"/>
      <c r="N22" s="11"/>
      <c r="O22" s="11">
        <f>Tabla351018263641424448494104[[#This Row],[COMISIONES]]*0.21</f>
        <v>0</v>
      </c>
      <c r="P22" s="11"/>
      <c r="Q22" s="11"/>
      <c r="R22" s="11"/>
      <c r="T22" s="11"/>
      <c r="U22" s="11">
        <f>Tabla3561119273751525458595105[[#This Row],[COMISIONES]]*0.21</f>
        <v>0</v>
      </c>
      <c r="V22" s="11"/>
      <c r="W22" s="11"/>
      <c r="X22" s="11"/>
      <c r="AA22" s="11">
        <f>Tabla35681321293971727478797107[[#This Row],[COMISIONES]]*0.21</f>
        <v>0</v>
      </c>
      <c r="AB22" s="11"/>
      <c r="AC22" s="1"/>
      <c r="AD22" s="11"/>
      <c r="AF22" s="11"/>
      <c r="AG22" s="11">
        <f>Tabla3568131422304081828488898108[[#This Row],[COMISIONES]]*0.21</f>
        <v>0</v>
      </c>
      <c r="AH22" s="11"/>
      <c r="AI22" s="11"/>
      <c r="AJ22" s="11"/>
      <c r="AK22" s="11"/>
      <c r="AL22" s="11">
        <f>Tabla35611192734431121315191101111[[#This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Tabla1316243221222338292102[[#This Row],[COMISIONES]]*0.21</f>
        <v>0</v>
      </c>
      <c r="D23" s="3"/>
      <c r="E23" s="3"/>
      <c r="F23" s="3"/>
      <c r="H23" s="11"/>
      <c r="I23" s="11">
        <f>Tabla3917253531323348393103[[#This Row],[COMISIONES]]*0.21</f>
        <v>0</v>
      </c>
      <c r="J23" s="11"/>
      <c r="K23" s="11"/>
      <c r="L23" s="11"/>
      <c r="N23" s="11"/>
      <c r="O23" s="11">
        <f>Tabla351018263641424448494104[[#This Row],[COMISIONES]]*0.21</f>
        <v>0</v>
      </c>
      <c r="P23" s="11"/>
      <c r="Q23" s="11"/>
      <c r="R23" s="11"/>
      <c r="T23" s="11"/>
      <c r="U23" s="11">
        <f>Tabla3561119273751525458595105[[#This Row],[COMISIONES]]*0.21</f>
        <v>0</v>
      </c>
      <c r="V23" s="11"/>
      <c r="W23" s="11"/>
      <c r="X23" s="11"/>
      <c r="Z23" s="1"/>
      <c r="AA23" s="11"/>
      <c r="AB23" s="1"/>
      <c r="AC23" s="1"/>
      <c r="AD23" s="11"/>
      <c r="AF23" s="11"/>
      <c r="AG23" s="11">
        <f>Tabla3568131422304081828488898108[[#This Row],[COMISIONES]]*0.21</f>
        <v>0</v>
      </c>
      <c r="AH23" s="11"/>
      <c r="AI23" s="11"/>
      <c r="AJ23" s="11"/>
      <c r="AK23" s="11"/>
      <c r="AL23" s="11">
        <f>Tabla35611192734431121315191101111[[#This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Tabla1316243221222338292102[[#This Row],[COMISIONES]]*0.21</f>
        <v>0</v>
      </c>
      <c r="D24" s="3"/>
      <c r="E24" s="3"/>
      <c r="F24" s="3"/>
      <c r="H24" s="11"/>
      <c r="I24" s="11">
        <f>Tabla3917253531323348393103[[#This Row],[COMISIONES]]*0.21</f>
        <v>0</v>
      </c>
      <c r="J24" s="11"/>
      <c r="K24" s="11"/>
      <c r="L24" s="11"/>
      <c r="N24" s="11"/>
      <c r="O24" s="11">
        <f>Tabla351018263641424448494104[[#This Row],[COMISIONES]]*0.21</f>
        <v>0</v>
      </c>
      <c r="P24" s="11"/>
      <c r="Q24" s="11"/>
      <c r="R24" s="11"/>
      <c r="T24" s="11"/>
      <c r="U24" s="11">
        <f>Tabla3561119273751525458595105[[#This Row],[COMISIONES]]*0.21</f>
        <v>0</v>
      </c>
      <c r="V24" s="11"/>
      <c r="W24" s="11"/>
      <c r="X24" s="11"/>
      <c r="Z24" s="1"/>
      <c r="AA24" s="11">
        <f>Tabla35681321293971727478797107[[#This Row],[COMISIONES]]*0.21</f>
        <v>0</v>
      </c>
      <c r="AB24" s="11"/>
      <c r="AC24" s="1"/>
      <c r="AD24" s="11"/>
      <c r="AF24" s="11"/>
      <c r="AG24" s="11">
        <f>Tabla3568131422304081828488898108[[#This Row],[COMISIONES]]*0.21</f>
        <v>0</v>
      </c>
      <c r="AH24" s="11"/>
      <c r="AI24" s="11"/>
      <c r="AJ24" s="11"/>
      <c r="AK24" s="11"/>
      <c r="AL24" s="11">
        <f>Tabla35611192734431121315191101111[[#This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Tabla1316243221222338292102[[#This Row],[COMISIONES]]*0.21</f>
        <v>0</v>
      </c>
      <c r="D25" s="3"/>
      <c r="E25" s="3"/>
      <c r="F25" s="3"/>
      <c r="H25" s="11"/>
      <c r="I25" s="11">
        <f>Tabla3917253531323348393103[[#This Row],[COMISIONES]]*0.21</f>
        <v>0</v>
      </c>
      <c r="J25" s="11"/>
      <c r="K25" s="11"/>
      <c r="L25" s="11"/>
      <c r="N25" s="11"/>
      <c r="O25" s="11">
        <f>Tabla351018263641424448494104[[#This Row],[COMISIONES]]*0.21</f>
        <v>0</v>
      </c>
      <c r="P25" s="11"/>
      <c r="Q25" s="11"/>
      <c r="R25" s="11"/>
      <c r="T25" s="11"/>
      <c r="U25" s="11">
        <f>Tabla3561119273751525458595105[[#This Row],[COMISIONES]]*0.21</f>
        <v>0</v>
      </c>
      <c r="V25" s="11"/>
      <c r="W25" s="11"/>
      <c r="X25" s="11"/>
      <c r="AA25" s="11">
        <f>Tabla35681321293971727478797107[[#This Row],[COMISIONES]]*0.21</f>
        <v>0</v>
      </c>
      <c r="AB25" s="11"/>
      <c r="AC25" s="1"/>
      <c r="AD25" s="11"/>
      <c r="AF25" s="11"/>
      <c r="AG25" s="11">
        <f>Tabla3568131422304081828488898108[[#This Row],[COMISIONES]]*0.21</f>
        <v>0</v>
      </c>
      <c r="AH25" s="11"/>
      <c r="AI25" s="11"/>
      <c r="AJ25" s="11"/>
      <c r="AK25" s="11"/>
      <c r="AL25" s="11">
        <f>Tabla35611192734431121315191101111[[#This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Tabla1316243221222338292102[[#This Row],[COMISIONES]]*0.21</f>
        <v>0</v>
      </c>
      <c r="D26" s="3"/>
      <c r="E26" s="3"/>
      <c r="F26" s="3"/>
      <c r="H26" s="11"/>
      <c r="I26" s="11">
        <f>Tabla3917253531323348393103[[#This Row],[COMISIONES]]*0.21</f>
        <v>0</v>
      </c>
      <c r="J26" s="11"/>
      <c r="K26" s="11"/>
      <c r="L26" s="11"/>
      <c r="N26" s="11"/>
      <c r="O26" s="11">
        <f>Tabla351018263641424448494104[[#This Row],[COMISIONES]]*0.21</f>
        <v>0</v>
      </c>
      <c r="P26" s="11"/>
      <c r="Q26" s="11"/>
      <c r="R26" s="11"/>
      <c r="T26" s="11"/>
      <c r="U26" s="11">
        <f>Tabla3561119273751525458595105[[#This Row],[COMISIONES]]*0.21</f>
        <v>0</v>
      </c>
      <c r="V26" s="11"/>
      <c r="W26" s="11"/>
      <c r="X26" s="11"/>
      <c r="AA26" s="11">
        <f>Tabla35681321293971727478797107[[#This Row],[COMISIONES]]*0.21</f>
        <v>0</v>
      </c>
      <c r="AB26" s="11"/>
      <c r="AC26" s="1"/>
      <c r="AD26" s="11"/>
      <c r="AF26" s="4">
        <f>SUBTOTAL(109,Tabla3568131422304081828488898108[COMISIONES])</f>
        <v>0</v>
      </c>
      <c r="AG26" s="4">
        <f>SUBTOTAL(109,Tabla3568131422304081828488898108[IVA 21])</f>
        <v>0</v>
      </c>
      <c r="AH26" s="4">
        <f>SUBTOTAL(109,Tabla3568131422304081828488898108[IVA 10,5])</f>
        <v>0</v>
      </c>
      <c r="AI26" s="4">
        <f>SUBTOTAL(109,Tabla3568131422304081828488898108[Ret IIBB Caba])</f>
        <v>0</v>
      </c>
      <c r="AJ26" s="4">
        <f>SUBTOTAL(109,Tabla3568131422304081828488898108[PERC IVA])</f>
        <v>0</v>
      </c>
      <c r="AK26" s="11"/>
      <c r="AL26" s="11">
        <f>Tabla35611192734431121315191101111[[#This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Tabla1316243221222338292102[[#This Row],[COMISIONES]]*0.21</f>
        <v>0</v>
      </c>
      <c r="D27" s="3"/>
      <c r="E27" s="3"/>
      <c r="F27" s="3"/>
      <c r="H27" s="11"/>
      <c r="I27" s="11">
        <f>Tabla3917253531323348393103[[#This Row],[COMISIONES]]*0.21</f>
        <v>0</v>
      </c>
      <c r="J27" s="11"/>
      <c r="K27" s="11"/>
      <c r="L27" s="11"/>
      <c r="N27" s="11"/>
      <c r="O27" s="11">
        <f>Tabla351018263641424448494104[[#This Row],[COMISIONES]]*0.21</f>
        <v>0</v>
      </c>
      <c r="P27" s="11"/>
      <c r="Q27" s="11"/>
      <c r="R27" s="11"/>
      <c r="T27" s="11"/>
      <c r="U27" s="11">
        <f>Tabla3561119273751525458595105[[#This Row],[COMISIONES]]*0.21</f>
        <v>0</v>
      </c>
      <c r="V27" s="11"/>
      <c r="W27" s="11"/>
      <c r="X27" s="11"/>
      <c r="Z27" s="1"/>
      <c r="AA27" s="11">
        <f>Tabla35681321293971727478797107[[#This Row],[COMISIONES]]*0.21</f>
        <v>0</v>
      </c>
      <c r="AB27" s="11"/>
      <c r="AC27" s="1"/>
      <c r="AK27" s="11"/>
      <c r="AL27" s="11">
        <f>Tabla35611192734431121315191101111[[#This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Tabla1316243221222338292102[[#This Row],[COMISIONES]]*0.21</f>
        <v>0</v>
      </c>
      <c r="D28" s="3"/>
      <c r="E28" s="3"/>
      <c r="F28" s="3"/>
      <c r="H28" s="11"/>
      <c r="I28" s="11">
        <f>Tabla3917253531323348393103[[#This Row],[COMISIONES]]*0.21</f>
        <v>0</v>
      </c>
      <c r="J28" s="11"/>
      <c r="K28" s="11"/>
      <c r="L28" s="11"/>
      <c r="N28" s="11"/>
      <c r="O28" s="11">
        <f>Tabla351018263641424448494104[[#This Row],[COMISIONES]]*0.21</f>
        <v>0</v>
      </c>
      <c r="P28" s="11"/>
      <c r="Q28" s="11"/>
      <c r="R28" s="11"/>
      <c r="T28" s="11"/>
      <c r="U28" s="11">
        <f>Tabla3561119273751525458595105[[#This Row],[COMISIONES]]*0.21</f>
        <v>0</v>
      </c>
      <c r="V28" s="11"/>
      <c r="W28" s="11"/>
      <c r="X28" s="11"/>
      <c r="AA28" s="11">
        <f>Tabla35681321293971727478797107[[#This Row],[COMISIONES]]*0.21</f>
        <v>0</v>
      </c>
      <c r="AB28" s="1"/>
      <c r="AC28" s="1"/>
      <c r="AD28" s="11"/>
      <c r="AK28" s="11"/>
      <c r="AL28" s="11">
        <f>Tabla35611192734431121315191101111[[#This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Tabla1316243221222338292102[[#This Row],[COMISIONES]]*0.21</f>
        <v>0</v>
      </c>
      <c r="D29" s="3"/>
      <c r="E29" s="3"/>
      <c r="F29" s="3"/>
      <c r="H29" s="11"/>
      <c r="I29" s="11">
        <f>Tabla3917253531323348393103[[#This Row],[COMISIONES]]*0.21</f>
        <v>0</v>
      </c>
      <c r="J29" s="11"/>
      <c r="K29" s="11"/>
      <c r="L29" s="11"/>
      <c r="N29" s="11"/>
      <c r="O29" s="11">
        <f>Tabla351018263641424448494104[[#This Row],[COMISIONES]]*0.21</f>
        <v>0</v>
      </c>
      <c r="P29" s="11"/>
      <c r="Q29" s="11"/>
      <c r="R29" s="11"/>
      <c r="T29" s="18"/>
      <c r="U29" s="18">
        <f>Tabla3561119273751525458595105[[#This Row],[COMISIONES]]*0.21</f>
        <v>0</v>
      </c>
      <c r="V29" s="18"/>
      <c r="W29" s="18"/>
      <c r="X29" s="18"/>
      <c r="AA29" s="11"/>
      <c r="AB29" s="1"/>
      <c r="AD29" s="11"/>
      <c r="AK29" s="18"/>
      <c r="AL29" s="18">
        <f>Tabla35611192734431121315191101111[[#This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Tabla1316243221222338292102[[#This Row],[COMISIONES]]*0.21</f>
        <v>0</v>
      </c>
      <c r="D30" s="3"/>
      <c r="E30" s="3"/>
      <c r="F30" s="3"/>
      <c r="H30" s="11"/>
      <c r="I30" s="11">
        <f>Tabla3917253531323348393103[[#This Row],[COMISIONES]]*0.21</f>
        <v>0</v>
      </c>
      <c r="J30" s="11"/>
      <c r="K30" s="11"/>
      <c r="L30" s="11"/>
      <c r="N30" s="11"/>
      <c r="O30" s="11">
        <f>Tabla351018263641424448494104[[#This Row],[COMISIONES]]*0.21</f>
        <v>0</v>
      </c>
      <c r="P30" s="11"/>
      <c r="Q30" s="11"/>
      <c r="R30" s="11"/>
      <c r="T30" s="18"/>
      <c r="U30" s="18">
        <f>Tabla3561119273751525458595105[[#This Row],[COMISIONES]]*0.21</f>
        <v>0</v>
      </c>
      <c r="V30" s="18"/>
      <c r="W30" s="18"/>
      <c r="X30" s="18"/>
      <c r="Z30" s="1"/>
      <c r="AA30" s="11">
        <f>Tabla35681321293971727478797107[[#This Row],[COMISIONES]]*0.21</f>
        <v>0</v>
      </c>
      <c r="AB30" s="11"/>
      <c r="AC30" s="11"/>
      <c r="AD30" s="11"/>
      <c r="AK30" s="18"/>
      <c r="AL30" s="18">
        <f>Tabla35611192734431121315191101111[[#This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Tabla1316243221222338292102[[#This Row],[COMISIONES]]*0.21</f>
        <v>0</v>
      </c>
      <c r="D31" s="3"/>
      <c r="E31" s="1"/>
      <c r="F31" s="3"/>
      <c r="H31" s="11"/>
      <c r="I31" s="11">
        <f>Tabla3917253531323348393103[[#This Row],[COMISIONES]]*0.21</f>
        <v>0</v>
      </c>
      <c r="J31" s="11"/>
      <c r="K31" s="11"/>
      <c r="L31" s="11"/>
      <c r="N31" s="11"/>
      <c r="O31" s="11">
        <f>Tabla351018263641424448494104[[#This Row],[COMISIONES]]*0.21</f>
        <v>0</v>
      </c>
      <c r="P31" s="11"/>
      <c r="Q31" s="11"/>
      <c r="R31" s="11"/>
      <c r="T31" s="4">
        <f>SUBTOTAL(109,Tabla3561119273751525458595105[COMISIONES])</f>
        <v>0</v>
      </c>
      <c r="U31" s="4">
        <f>SUBTOTAL(109,Tabla3561119273751525458595105[IVA 21])</f>
        <v>0</v>
      </c>
      <c r="V31" s="4">
        <f>SUBTOTAL(109,Tabla3561119273751525458595105[IVA 10,5])</f>
        <v>0</v>
      </c>
      <c r="W31" s="4">
        <f>SUBTOTAL(109,Tabla3561119273751525458595105[Ret IIBB Caba])</f>
        <v>0</v>
      </c>
      <c r="X31" s="4">
        <f>SUBTOTAL(109,Tabla3561119273751525458595105[PERC IVA])</f>
        <v>0</v>
      </c>
      <c r="Z31" s="1"/>
      <c r="AA31" s="11">
        <f>Tabla35681321293971727478797107[[#This Row],[COMISIONES]]*0.21</f>
        <v>0</v>
      </c>
      <c r="AB31" s="11"/>
      <c r="AC31" s="1"/>
      <c r="AK31" s="4">
        <f>SUBTOTAL(109,Tabla35611192734431121315191101111[COMISIONES])</f>
        <v>9269</v>
      </c>
      <c r="AL31" s="4">
        <f>SUBTOTAL(109,Tabla35611192734431121315191101111[IVA 21])</f>
        <v>1946.49</v>
      </c>
      <c r="AM31" s="4">
        <f>SUBTOTAL(109,Tabla35611192734431121315191101111[IVA 10,5])</f>
        <v>0</v>
      </c>
      <c r="AN31" s="4">
        <f>SUBTOTAL(109,Tabla35611192734431121315191101111[Ret IIBB Caba])</f>
        <v>0</v>
      </c>
      <c r="AO31" s="4">
        <f>SUBTOTAL(109,Tabla35611192734431121315191101111[PERC IVA])</f>
        <v>0</v>
      </c>
    </row>
    <row r="32" spans="2:41" ht="18.75" x14ac:dyDescent="0.3">
      <c r="B32" s="3"/>
      <c r="C32" s="2">
        <f>Tabla1316243221222338292102[[#This Row],[COMISIONES]]*0.21</f>
        <v>0</v>
      </c>
      <c r="D32" s="3"/>
      <c r="E32" s="3"/>
      <c r="F32" s="3"/>
      <c r="H32" s="11"/>
      <c r="I32" s="11">
        <f>Tabla3917253531323348393103[[#This Row],[COMISIONES]]*0.21</f>
        <v>0</v>
      </c>
      <c r="J32" s="11"/>
      <c r="K32" s="11"/>
      <c r="L32" s="11"/>
      <c r="N32" s="11"/>
      <c r="O32" s="11">
        <f>Tabla351018263641424448494104[[#This Row],[COMISIONES]]*0.21</f>
        <v>0</v>
      </c>
      <c r="P32" s="11"/>
      <c r="Q32" s="11"/>
      <c r="R32" s="11"/>
      <c r="T32" s="42" t="s">
        <v>15</v>
      </c>
      <c r="U32" s="42"/>
      <c r="V32" s="42"/>
      <c r="W32" s="42"/>
      <c r="X32" s="42"/>
      <c r="Z32" s="1"/>
      <c r="AA32" s="11"/>
      <c r="AB32" s="1"/>
      <c r="AC32" s="11"/>
      <c r="AD32" s="11"/>
    </row>
    <row r="33" spans="2:31" x14ac:dyDescent="0.25">
      <c r="B33" s="3"/>
      <c r="C33" s="2">
        <f>Tabla1316243221222338292102[[#This Row],[COMISIONES]]*0.21</f>
        <v>0</v>
      </c>
      <c r="D33" s="3"/>
      <c r="E33" s="3"/>
      <c r="F33" s="3"/>
      <c r="H33" s="11"/>
      <c r="I33" s="11">
        <f>Tabla3917253531323348393103[[#This Row],[COMISIONES]]*0.21</f>
        <v>0</v>
      </c>
      <c r="J33" s="11"/>
      <c r="K33" s="11"/>
      <c r="L33" s="11"/>
      <c r="N33" s="11"/>
      <c r="O33" s="11">
        <f>Tabla351018263641424448494104[[#This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1"/>
      <c r="AA33" s="11">
        <f>Tabla35681321293971727478797107[[#This Row],[COMISIONES]]*0.21</f>
        <v>0</v>
      </c>
      <c r="AB33" s="11"/>
      <c r="AC33" s="11"/>
      <c r="AD33" s="11"/>
    </row>
    <row r="34" spans="2:31" x14ac:dyDescent="0.25">
      <c r="B34" s="3"/>
      <c r="C34" s="2">
        <f>Tabla1316243221222338292102[[#This Row],[COMISIONES]]*0.21</f>
        <v>0</v>
      </c>
      <c r="D34" s="3"/>
      <c r="E34" s="3"/>
      <c r="F34" s="3"/>
      <c r="H34" s="11"/>
      <c r="I34" s="11">
        <f>Tabla3917253531323348393103[[#This Row],[COMISIONES]]*0.21</f>
        <v>0</v>
      </c>
      <c r="J34" s="11"/>
      <c r="K34" s="11"/>
      <c r="L34" s="11"/>
      <c r="N34" s="11"/>
      <c r="O34" s="11">
        <f>Tabla351018263641424448494104[[#This Row],[COMISIONES]]*0.21</f>
        <v>0</v>
      </c>
      <c r="P34" s="11"/>
      <c r="Q34" s="11"/>
      <c r="R34" s="11"/>
      <c r="T34" s="11">
        <v>4297.5200000000004</v>
      </c>
      <c r="U34" s="11">
        <f>Tabla61220283861626468696106[[#This Row],[COMISIONES]]*0.21</f>
        <v>902.47920000000011</v>
      </c>
      <c r="V34" s="11"/>
      <c r="W34" s="11"/>
      <c r="X34" s="11"/>
      <c r="AA34" s="11">
        <f>Tabla35681321293971727478797107[[#This Row],[COMISIONES]]*0.21</f>
        <v>0</v>
      </c>
      <c r="AB34" s="11"/>
      <c r="AC34" s="11"/>
      <c r="AD34" s="11"/>
    </row>
    <row r="35" spans="2:31" x14ac:dyDescent="0.25">
      <c r="B35" s="3"/>
      <c r="C35" s="2">
        <f>Tabla1316243221222338292102[[#This Row],[COMISIONES]]*0.21</f>
        <v>0</v>
      </c>
      <c r="D35" s="3"/>
      <c r="E35" s="3"/>
      <c r="F35" s="3"/>
      <c r="H35" s="11"/>
      <c r="I35" s="11">
        <f>Tabla3917253531323348393103[[#This Row],[COMISIONES]]*0.21</f>
        <v>0</v>
      </c>
      <c r="J35" s="11"/>
      <c r="K35" s="11"/>
      <c r="L35" s="11"/>
      <c r="N35" s="11"/>
      <c r="O35" s="11">
        <f>Tabla351018263641424448494104[[#This Row],[COMISIONES]]*0.21</f>
        <v>0</v>
      </c>
      <c r="P35" s="11"/>
      <c r="Q35" s="11"/>
      <c r="R35" s="11"/>
      <c r="T35" s="11"/>
      <c r="U35" s="11"/>
      <c r="V35" s="11">
        <f>Tabla61220283861626468696106[[#This Row],[COMISIONES]]*0.105</f>
        <v>0</v>
      </c>
      <c r="W35" s="11"/>
      <c r="X35" s="11"/>
      <c r="Z35" s="1"/>
      <c r="AA35" s="11">
        <f>Tabla35681321293971727478797107[[#This Row],[COMISIONES]]*0.21</f>
        <v>0</v>
      </c>
      <c r="AB35" s="11"/>
      <c r="AC35" s="11"/>
      <c r="AD35" s="11"/>
    </row>
    <row r="36" spans="2:31" x14ac:dyDescent="0.25">
      <c r="B36" s="3"/>
      <c r="C36" s="2">
        <f>Tabla1316243221222338292102[[#This Row],[COMISIONES]]*0.21</f>
        <v>0</v>
      </c>
      <c r="D36" s="3"/>
      <c r="E36" s="3"/>
      <c r="F36" s="3"/>
      <c r="H36" s="11"/>
      <c r="I36" s="11">
        <f>Tabla3917253531323348393103[[#This Row],[COMISIONES]]*0.21</f>
        <v>0</v>
      </c>
      <c r="J36" s="11"/>
      <c r="K36" s="11"/>
      <c r="L36" s="11"/>
      <c r="N36" s="11"/>
      <c r="O36" s="11">
        <f>Tabla351018263641424448494104[[#This Row],[COMISIONES]]*0.21</f>
        <v>0</v>
      </c>
      <c r="P36" s="11"/>
      <c r="Q36" s="11"/>
      <c r="R36" s="11"/>
      <c r="T36" s="11"/>
      <c r="U36" s="19">
        <f>Tabla61220283861626468696106[[#This Row],[COMISIONES]]*0.21</f>
        <v>0</v>
      </c>
      <c r="Z36" s="1"/>
      <c r="AA36" s="11"/>
      <c r="AB36" s="1"/>
      <c r="AC36" s="11"/>
      <c r="AD36" s="11"/>
    </row>
    <row r="37" spans="2:31" x14ac:dyDescent="0.25">
      <c r="B37" s="3"/>
      <c r="C37" s="2">
        <f>Tabla1316243221222338292102[[#This Row],[COMISIONES]]*0.21</f>
        <v>0</v>
      </c>
      <c r="D37" s="3"/>
      <c r="E37" s="3"/>
      <c r="F37" s="3"/>
      <c r="H37" s="11"/>
      <c r="I37" s="11">
        <f>Tabla3917253531323348393103[[#This Row],[COMISIONES]]*0.21</f>
        <v>0</v>
      </c>
      <c r="J37" s="11"/>
      <c r="K37" s="11"/>
      <c r="L37" s="11"/>
      <c r="N37" s="11"/>
      <c r="O37" s="11">
        <f>Tabla351018263641424448494104[[#This Row],[COMISIONES]]*0.21</f>
        <v>0</v>
      </c>
      <c r="P37" s="11"/>
      <c r="Q37" s="11"/>
      <c r="R37" s="11"/>
      <c r="T37" s="11"/>
      <c r="U37" s="19">
        <f>Tabla61220283861626468696106[[#This Row],[COMISIONES]]*0.21</f>
        <v>0</v>
      </c>
      <c r="AA37" s="21">
        <f>Tabla35681321293971727478797107[[#This Row],[COMISIONES]]*0.21</f>
        <v>0</v>
      </c>
      <c r="AB37" s="21"/>
      <c r="AC37" s="21"/>
      <c r="AD37" s="22"/>
    </row>
    <row r="38" spans="2:31" x14ac:dyDescent="0.25">
      <c r="B38" s="3"/>
      <c r="C38" s="2">
        <f>Tabla1316243221222338292102[[#This Row],[COMISIONES]]*0.21</f>
        <v>0</v>
      </c>
      <c r="D38" s="3"/>
      <c r="E38" s="3"/>
      <c r="F38" s="3"/>
      <c r="H38" s="11"/>
      <c r="I38" s="11">
        <f>Tabla3917253531323348393103[[#This Row],[COMISIONES]]*0.21</f>
        <v>0</v>
      </c>
      <c r="J38" s="11"/>
      <c r="K38" s="11"/>
      <c r="L38" s="11"/>
      <c r="N38" s="11"/>
      <c r="O38" s="11">
        <f>Tabla351018263641424448494104[[#This Row],[COMISIONES]]*0.21</f>
        <v>0</v>
      </c>
      <c r="P38" s="11"/>
      <c r="Q38" s="11"/>
      <c r="R38" s="11"/>
      <c r="T38" s="11"/>
      <c r="U38" s="19">
        <f>Tabla61220283861626468696106[[#This Row],[COMISIONES]]*0.21</f>
        <v>0</v>
      </c>
      <c r="AA38" s="21">
        <f>Tabla35681321293971727478797107[[#This Row],[COMISIONES]]*0.21</f>
        <v>0</v>
      </c>
      <c r="AB38" s="1"/>
      <c r="AC38" s="1"/>
    </row>
    <row r="39" spans="2:31" x14ac:dyDescent="0.25">
      <c r="B39" s="3"/>
      <c r="C39" s="2">
        <f>Tabla1316243221222338292102[[#This Row],[COMISIONES]]*0.21</f>
        <v>0</v>
      </c>
      <c r="D39" s="3"/>
      <c r="E39" s="3"/>
      <c r="F39" s="3"/>
      <c r="H39" s="11"/>
      <c r="I39" s="11">
        <f>Tabla3917253531323348393103[[#This Row],[COMISIONES]]*0.21</f>
        <v>0</v>
      </c>
      <c r="J39" s="11"/>
      <c r="K39" s="11"/>
      <c r="L39" s="11"/>
      <c r="N39" s="11"/>
      <c r="O39" s="11">
        <f>Tabla351018263641424448494104[[#This Row],[COMISIONES]]*0.21</f>
        <v>0</v>
      </c>
      <c r="P39" s="11"/>
      <c r="Q39" s="11"/>
      <c r="R39" s="11"/>
      <c r="T39" s="11"/>
      <c r="U39" s="19">
        <f>Tabla61220283861626468696106[[#This Row],[COMISIONES]]*0.21</f>
        <v>0</v>
      </c>
      <c r="AA39" s="21">
        <f>Tabla35681321293971727478797107[[#This Row],[COMISIONES]]*0.21</f>
        <v>0</v>
      </c>
      <c r="AB39" s="21"/>
      <c r="AC39" s="21"/>
      <c r="AD39" s="21"/>
    </row>
    <row r="40" spans="2:31" x14ac:dyDescent="0.25">
      <c r="B40" s="3"/>
      <c r="C40" s="2">
        <f>Tabla1316243221222338292102[[#This Row],[COMISIONES]]*0.21</f>
        <v>0</v>
      </c>
      <c r="D40" s="3"/>
      <c r="E40" s="3"/>
      <c r="F40" s="3"/>
      <c r="H40" s="11"/>
      <c r="I40" s="11">
        <f>Tabla3917253531323348393103[[#This Row],[COMISIONES]]*0.21</f>
        <v>0</v>
      </c>
      <c r="J40" s="11"/>
      <c r="K40" s="11"/>
      <c r="L40" s="11"/>
      <c r="N40" s="11"/>
      <c r="O40" s="11">
        <f>Tabla351018263641424448494104[[#This Row],[COMISIONES]]*0.21</f>
        <v>0</v>
      </c>
      <c r="P40" s="11"/>
      <c r="Q40" s="11"/>
      <c r="R40" s="11"/>
      <c r="T40" s="11"/>
      <c r="U40" s="19">
        <f>Tabla61220283861626468696106[[#This Row],[COMISIONES]]*0.21</f>
        <v>0</v>
      </c>
      <c r="Z40" s="1"/>
      <c r="AA40" s="21">
        <f>Tabla35681321293971727478797107[[#This Row],[COMISIONES]]*0.21</f>
        <v>0</v>
      </c>
      <c r="AB40" s="21"/>
      <c r="AC40" s="21"/>
      <c r="AD40" s="21"/>
    </row>
    <row r="41" spans="2:31" x14ac:dyDescent="0.25">
      <c r="B41" s="3"/>
      <c r="C41" s="2">
        <f>Tabla1316243221222338292102[[#This Row],[COMISIONES]]*0.21</f>
        <v>0</v>
      </c>
      <c r="D41" s="3"/>
      <c r="E41" s="3"/>
      <c r="F41" s="3"/>
      <c r="H41" s="18"/>
      <c r="I41" s="18">
        <f>Tabla3917253531323348393103[[#This Row],[COMISIONES]]*0.21</f>
        <v>0</v>
      </c>
      <c r="J41" s="18"/>
      <c r="K41" s="18"/>
      <c r="L41" s="18"/>
      <c r="N41" s="11"/>
      <c r="O41" s="11">
        <f>Tabla351018263641424448494104[[#This Row],[COMISIONES]]*0.21</f>
        <v>0</v>
      </c>
      <c r="P41" s="11"/>
      <c r="Q41" s="11"/>
      <c r="R41" s="11"/>
      <c r="T41" s="11"/>
      <c r="U41" s="19">
        <f>Tabla61220283861626468696106[[#This Row],[COMISIONES]]*0.21</f>
        <v>0</v>
      </c>
      <c r="Z41" s="1"/>
      <c r="AA41" s="21">
        <f>Tabla35681321293971727478797107[[#This Row],[COMISIONES]]*0.21</f>
        <v>0</v>
      </c>
      <c r="AB41" s="21"/>
      <c r="AC41" s="21"/>
      <c r="AD41" s="21"/>
    </row>
    <row r="42" spans="2:31" x14ac:dyDescent="0.25">
      <c r="B42" s="3"/>
      <c r="C42" s="2">
        <f>Tabla1316243221222338292102[[#This Row],[COMISIONES]]*0.21</f>
        <v>0</v>
      </c>
      <c r="D42" s="3"/>
      <c r="E42" s="3"/>
      <c r="F42" s="3"/>
      <c r="H42" s="18"/>
      <c r="I42" s="18">
        <f>Tabla3917253531323348393103[[#This Row],[COMISIONES]]*0.21</f>
        <v>0</v>
      </c>
      <c r="J42" s="18"/>
      <c r="K42" s="18"/>
      <c r="L42" s="18"/>
      <c r="N42" s="11"/>
      <c r="O42" s="11">
        <f>Tabla351018263641424448494104[[#This Row],[COMISIONES]]*0.21</f>
        <v>0</v>
      </c>
      <c r="P42" s="11"/>
      <c r="Q42" s="11"/>
      <c r="R42" s="11"/>
      <c r="T42" s="11"/>
      <c r="U42" s="19">
        <f>Tabla61220283861626468696106[[#This Row],[COMISIONES]]*0.21</f>
        <v>0</v>
      </c>
      <c r="AA42" s="21">
        <f>Tabla35681321293971727478797107[[#This Row],[COMISIONES]]*0.21</f>
        <v>0</v>
      </c>
      <c r="AB42" s="21"/>
      <c r="AC42" s="21"/>
      <c r="AD42" s="21"/>
    </row>
    <row r="43" spans="2:31" x14ac:dyDescent="0.25">
      <c r="B43" s="3"/>
      <c r="C43" s="2">
        <f>Tabla1316243221222338292102[[#This Row],[COMISIONES]]*0.21</f>
        <v>0</v>
      </c>
      <c r="D43" s="3"/>
      <c r="E43" s="3"/>
      <c r="F43" s="3"/>
      <c r="G43" s="8"/>
      <c r="H43" s="18"/>
      <c r="I43" s="18">
        <f>Tabla3917253531323348393103[[#This Row],[COMISIONES]]*0.21</f>
        <v>0</v>
      </c>
      <c r="J43" s="18"/>
      <c r="K43" s="18"/>
      <c r="L43" s="18"/>
      <c r="M43" s="8"/>
      <c r="N43" s="11"/>
      <c r="O43" s="11">
        <f>Tabla351018263641424448494104[[#This Row],[COMISIONES]]*0.21</f>
        <v>0</v>
      </c>
      <c r="P43" s="11"/>
      <c r="Q43" s="11"/>
      <c r="R43" s="11"/>
      <c r="S43" s="8"/>
      <c r="T43" s="11"/>
      <c r="U43" s="19">
        <f>Tabla61220283861626468696106[[#This Row],[COMISIONES]]*0.21</f>
        <v>0</v>
      </c>
      <c r="Y43" s="8"/>
      <c r="AA43" s="21">
        <f>Tabla35681321293971727478797107[[#This Row],[COMISIONES]]*0.21</f>
        <v>0</v>
      </c>
      <c r="AB43" s="21"/>
      <c r="AC43" s="21"/>
      <c r="AD43" s="21"/>
      <c r="AE43" s="8"/>
    </row>
    <row r="44" spans="2:31" x14ac:dyDescent="0.25">
      <c r="B44" s="3"/>
      <c r="C44" s="2">
        <f>Tabla1316243221222338292102[[#This Row],[COMISIONES]]*0.21</f>
        <v>0</v>
      </c>
      <c r="D44" s="3"/>
      <c r="E44" s="3"/>
      <c r="F44" s="3"/>
      <c r="H44" s="18"/>
      <c r="I44" s="18">
        <f>Tabla3917253531323348393103[[#This Row],[COMISIONES]]*0.21</f>
        <v>0</v>
      </c>
      <c r="J44" s="18"/>
      <c r="K44" s="18"/>
      <c r="L44" s="18"/>
      <c r="N44" s="11"/>
      <c r="O44" s="11">
        <f>Tabla351018263641424448494104[[#This Row],[COMISIONES]]*0.21</f>
        <v>0</v>
      </c>
      <c r="P44" s="11"/>
      <c r="Q44" s="11"/>
      <c r="R44" s="11"/>
      <c r="U44" s="19">
        <f>Tabla61220283861626468696106[[#This Row],[COMISIONES]]*0.21</f>
        <v>0</v>
      </c>
      <c r="Z44" s="1"/>
      <c r="AA44" s="21">
        <f>Tabla35681321293971727478797107[[#This Row],[COMISIONES]]*0.21</f>
        <v>0</v>
      </c>
      <c r="AB44" s="21"/>
      <c r="AC44" s="21"/>
      <c r="AD44" s="21"/>
    </row>
    <row r="45" spans="2:31" x14ac:dyDescent="0.25">
      <c r="B45" s="3"/>
      <c r="C45" s="2">
        <f>Tabla1316243221222338292102[[#This Row],[COMISIONES]]*0.21</f>
        <v>0</v>
      </c>
      <c r="D45" s="3"/>
      <c r="E45" s="3"/>
      <c r="F45" s="3"/>
      <c r="H45" s="18"/>
      <c r="I45" s="18">
        <f>Tabla3917253531323348393103[[#This Row],[COMISIONES]]*0.21</f>
        <v>0</v>
      </c>
      <c r="J45" s="18"/>
      <c r="K45" s="18"/>
      <c r="L45" s="18"/>
      <c r="N45" s="11"/>
      <c r="O45" s="11">
        <f>Tabla351018263641424448494104[[#This Row],[COMISIONES]]*0.21</f>
        <v>0</v>
      </c>
      <c r="P45" s="11"/>
      <c r="Q45" s="11"/>
      <c r="R45" s="11"/>
      <c r="U45" s="19">
        <f>Tabla61220283861626468696106[[#This Row],[COMISIONES]]*0.21</f>
        <v>0</v>
      </c>
      <c r="Z45" s="1"/>
      <c r="AA45" s="21">
        <f>Tabla35681321293971727478797107[[#This Row],[COMISIONES]]*0.21</f>
        <v>0</v>
      </c>
      <c r="AB45" s="21"/>
      <c r="AC45" s="21"/>
      <c r="AD45" s="21"/>
    </row>
    <row r="46" spans="2:31" x14ac:dyDescent="0.25">
      <c r="B46" s="3"/>
      <c r="C46" s="2">
        <f>Tabla1316243221222338292102[[#This Row],[COMISIONES]]*0.21</f>
        <v>0</v>
      </c>
      <c r="D46" s="3"/>
      <c r="E46" s="3"/>
      <c r="F46" s="3"/>
      <c r="H46" s="18"/>
      <c r="I46" s="18">
        <f>Tabla3917253531323348393103[[#This Row],[COMISIONES]]*0.21</f>
        <v>0</v>
      </c>
      <c r="J46" s="18"/>
      <c r="K46" s="18"/>
      <c r="L46" s="18"/>
      <c r="N46" s="11"/>
      <c r="O46" s="11">
        <f>Tabla351018263641424448494104[[#This Row],[COMISIONES]]*0.21</f>
        <v>0</v>
      </c>
      <c r="P46" s="11"/>
      <c r="Q46" s="11"/>
      <c r="R46" s="11"/>
      <c r="U46" s="19">
        <f>Tabla61220283861626468696106[[#This Row],[COMISIONES]]*0.21</f>
        <v>0</v>
      </c>
      <c r="AA46" s="21">
        <f>Tabla35681321293971727478797107[[#This Row],[COMISIONES]]*0.21</f>
        <v>0</v>
      </c>
      <c r="AB46" s="21"/>
      <c r="AC46" s="21"/>
      <c r="AD46" s="21"/>
    </row>
    <row r="47" spans="2:31" x14ac:dyDescent="0.25">
      <c r="B47" s="3"/>
      <c r="C47" s="2">
        <f>Tabla1316243221222338292102[[#This Row],[COMISIONES]]*0.21</f>
        <v>0</v>
      </c>
      <c r="D47" s="3"/>
      <c r="E47" s="3"/>
      <c r="F47" s="3"/>
      <c r="H47" s="18"/>
      <c r="I47" s="18">
        <f>Tabla3917253531323348393103[[#This Row],[COMISIONES]]*0.21</f>
        <v>0</v>
      </c>
      <c r="J47" s="18"/>
      <c r="K47" s="18"/>
      <c r="L47" s="18"/>
      <c r="N47" s="11"/>
      <c r="O47" s="11">
        <f>Tabla351018263641424448494104[[#This Row],[COMISIONES]]*0.21</f>
        <v>0</v>
      </c>
      <c r="P47" s="11"/>
      <c r="Q47" s="11"/>
      <c r="R47" s="11"/>
      <c r="U47" s="19">
        <f>Tabla61220283861626468696106[[#This Row],[COMISIONES]]*0.21</f>
        <v>0</v>
      </c>
      <c r="AA47" s="21">
        <f>Tabla35681321293971727478797107[[#This Row],[COMISIONES]]*0.21</f>
        <v>0</v>
      </c>
      <c r="AB47" s="21"/>
      <c r="AC47" s="21"/>
      <c r="AD47" s="21"/>
    </row>
    <row r="48" spans="2:31" x14ac:dyDescent="0.25">
      <c r="B48" s="3"/>
      <c r="C48" s="2">
        <f>Tabla1316243221222338292102[[#This Row],[COMISIONES]]*0.21</f>
        <v>0</v>
      </c>
      <c r="D48" s="3"/>
      <c r="E48" s="3"/>
      <c r="F48" s="3"/>
      <c r="H48" s="18"/>
      <c r="I48" s="18">
        <f>Tabla3917253531323348393103[[#This Row],[COMISIONES]]*0.21</f>
        <v>0</v>
      </c>
      <c r="J48" s="18"/>
      <c r="K48" s="18"/>
      <c r="L48" s="18"/>
      <c r="N48" s="11"/>
      <c r="O48" s="11">
        <f>Tabla351018263641424448494104[[#This Row],[COMISIONES]]*0.21</f>
        <v>0</v>
      </c>
      <c r="P48" s="11"/>
      <c r="Q48" s="11"/>
      <c r="R48" s="11"/>
      <c r="U48" s="19">
        <f>Tabla61220283861626468696106[[#This Row],[COMISIONES]]*0.21</f>
        <v>0</v>
      </c>
      <c r="Z48" s="1"/>
      <c r="AA48" s="21">
        <f>Tabla35681321293971727478797107[[#This Row],[COMISIONES]]*0.21</f>
        <v>0</v>
      </c>
      <c r="AB48" s="21"/>
      <c r="AC48" s="21"/>
      <c r="AD48" s="21"/>
    </row>
    <row r="49" spans="1:41" x14ac:dyDescent="0.25">
      <c r="B49" s="3"/>
      <c r="C49" s="2">
        <f>Tabla1316243221222338292102[[#This Row],[COMISIONES]]*0.21</f>
        <v>0</v>
      </c>
      <c r="D49" s="3"/>
      <c r="E49" s="3"/>
      <c r="F49" s="3"/>
      <c r="H49" s="18"/>
      <c r="I49" s="18">
        <f>Tabla3917253531323348393103[[#This Row],[COMISIONES]]*0.21</f>
        <v>0</v>
      </c>
      <c r="J49" s="18"/>
      <c r="K49" s="18"/>
      <c r="L49" s="18"/>
      <c r="N49" s="11"/>
      <c r="O49" s="11">
        <f>Tabla351018263641424448494104[[#This Row],[COMISIONES]]*0.21</f>
        <v>0</v>
      </c>
      <c r="P49" s="11"/>
      <c r="Q49" s="11"/>
      <c r="R49" s="11"/>
      <c r="U49" s="19">
        <f>Tabla61220283861626468696106[[#This Row],[COMISIONES]]*0.21</f>
        <v>0</v>
      </c>
      <c r="AA49" s="21"/>
      <c r="AB49" s="1"/>
      <c r="AC49" s="21"/>
      <c r="AD49" s="21"/>
    </row>
    <row r="50" spans="1:41" s="6" customFormat="1" x14ac:dyDescent="0.25">
      <c r="A50"/>
      <c r="B50" s="3"/>
      <c r="C50" s="2">
        <f>Tabla1316243221222338292102[[#This Row],[COMISIONES]]*0.21</f>
        <v>0</v>
      </c>
      <c r="D50" s="3"/>
      <c r="E50" s="3"/>
      <c r="F50" s="3"/>
      <c r="H50" s="18"/>
      <c r="I50" s="18">
        <f>Tabla3917253531323348393103[[#This Row],[COMISIONES]]*0.21</f>
        <v>0</v>
      </c>
      <c r="J50" s="18"/>
      <c r="K50" s="18"/>
      <c r="L50" s="18"/>
      <c r="N50" s="11"/>
      <c r="O50" s="11">
        <f>Tabla351018263641424448494104[[#This Row],[COMISIONES]]*0.21</f>
        <v>0</v>
      </c>
      <c r="P50" s="11"/>
      <c r="Q50" s="11"/>
      <c r="R50" s="11"/>
      <c r="T50"/>
      <c r="U50" s="19">
        <f>Tabla61220283861626468696106[[#This Row],[COMISIONES]]*0.21</f>
        <v>0</v>
      </c>
      <c r="V50"/>
      <c r="W50"/>
      <c r="X50"/>
      <c r="Z50"/>
      <c r="AA50" s="21">
        <f>Tabla35681321293971727478797107[[#This Row],[COMISIONES]]*0.21</f>
        <v>0</v>
      </c>
      <c r="AB50" s="21"/>
      <c r="AC50" s="21"/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Tabla1316243221222338292102[[#This Row],[COMISIONES]]*0.21</f>
        <v>0</v>
      </c>
      <c r="D51" s="2"/>
      <c r="E51" s="2"/>
      <c r="F51"/>
      <c r="H51" s="18"/>
      <c r="I51" s="18">
        <f>Tabla3917253531323348393103[[#This Row],[COMISIONES]]*0.21</f>
        <v>0</v>
      </c>
      <c r="J51" s="18"/>
      <c r="K51" s="18"/>
      <c r="L51" s="18"/>
      <c r="N51" s="11"/>
      <c r="O51" s="11">
        <f>Tabla351018263641424448494104[[#This Row],[COMISIONES]]*0.21</f>
        <v>0</v>
      </c>
      <c r="P51" s="11"/>
      <c r="Q51" s="11"/>
      <c r="R51" s="11"/>
      <c r="T51"/>
      <c r="U51" s="19">
        <f>Tabla61220283861626468696106[[#This Row],[COMISIONES]]*0.21</f>
        <v>0</v>
      </c>
      <c r="V51"/>
      <c r="W51"/>
      <c r="X51"/>
      <c r="Z51"/>
      <c r="AA51" s="21">
        <f>Tabla35681321293971727478797107[[#This Row],[COMISIONES]]*0.21</f>
        <v>0</v>
      </c>
      <c r="AB51" s="21"/>
      <c r="AC51" s="21"/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Tabla1316243221222338292102[[#This Row],[COMISIONES]]*0.21</f>
        <v>0</v>
      </c>
      <c r="D52" s="2"/>
      <c r="E52" s="2"/>
      <c r="F52"/>
      <c r="H52" s="18"/>
      <c r="I52" s="18">
        <f>Tabla3917253531323348393103[[#This Row],[COMISIONES]]*0.21</f>
        <v>0</v>
      </c>
      <c r="J52" s="18"/>
      <c r="K52" s="18"/>
      <c r="L52" s="18"/>
      <c r="N52" s="11"/>
      <c r="O52" s="11">
        <f>Tabla351018263641424448494104[[#This Row],[COMISIONES]]*0.21</f>
        <v>0</v>
      </c>
      <c r="P52" s="11"/>
      <c r="Q52" s="11"/>
      <c r="R52" s="11"/>
      <c r="T52"/>
      <c r="U52" s="19">
        <f>Tabla61220283861626468696106[[#This Row],[COMISIONES]]*0.21</f>
        <v>0</v>
      </c>
      <c r="V52"/>
      <c r="W52"/>
      <c r="X52"/>
      <c r="Z52" s="1"/>
      <c r="AA52" s="21">
        <f>Tabla35681321293971727478797107[[#This Row],[COMISIONES]]*0.21</f>
        <v>0</v>
      </c>
      <c r="AB52" s="21"/>
      <c r="AC52" s="21"/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Tabla1316243221222338292102[[#This Row],[COMISIONES]]*0.21</f>
        <v>0</v>
      </c>
      <c r="D53" s="2"/>
      <c r="E53" s="2"/>
      <c r="F53"/>
      <c r="H53" s="24">
        <f>SUBTOTAL(109,Tabla3917253531323348393103[COMISIONES])</f>
        <v>300</v>
      </c>
      <c r="I53" s="24">
        <f>SUBTOTAL(109,Tabla3917253531323348393103[IVA 21])</f>
        <v>63</v>
      </c>
      <c r="J53" s="24">
        <f>SUBTOTAL(109,Tabla3917253531323348393103[IVA 10,5])</f>
        <v>0</v>
      </c>
      <c r="K53" s="24">
        <f>SUBTOTAL(109,Tabla3917253531323348393103[Ret IIBB Caba])</f>
        <v>0</v>
      </c>
      <c r="L53" s="24">
        <f>SUBTOTAL(109,Tabla3917253531323348393103[PERC IVA])</f>
        <v>0</v>
      </c>
      <c r="N53" s="11"/>
      <c r="O53" s="11">
        <f>Tabla351018263641424448494104[[#This Row],[COMISIONES]]*0.21</f>
        <v>0</v>
      </c>
      <c r="P53" s="11"/>
      <c r="Q53" s="11"/>
      <c r="R53" s="11"/>
      <c r="T53"/>
      <c r="U53" s="19">
        <f>Tabla61220283861626468696106[[#This Row],[COMISIONES]]*0.21</f>
        <v>0</v>
      </c>
      <c r="V53"/>
      <c r="W53"/>
      <c r="X53"/>
      <c r="Z53" s="1"/>
      <c r="AA53" s="21"/>
      <c r="AB53" s="1"/>
      <c r="AC53" s="21"/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Tabla1316243221222338292102[[#This Row],[COMISIONES]]*0.21</f>
        <v>0</v>
      </c>
      <c r="D54" s="2"/>
      <c r="E54" s="2"/>
      <c r="F54"/>
      <c r="H54" s="41" t="s">
        <v>29</v>
      </c>
      <c r="I54" s="41"/>
      <c r="J54" s="41"/>
      <c r="K54" s="41"/>
      <c r="L54" s="41"/>
      <c r="N54" s="11"/>
      <c r="O54" s="11">
        <f>Tabla351018263641424448494104[[#This Row],[COMISIONES]]*0.21</f>
        <v>0</v>
      </c>
      <c r="P54" s="11"/>
      <c r="Q54" s="11"/>
      <c r="R54" s="11"/>
      <c r="T54"/>
      <c r="U54" s="19">
        <f>Tabla61220283861626468696106[[#This Row],[COMISIONES]]*0.21</f>
        <v>0</v>
      </c>
      <c r="V54"/>
      <c r="W54"/>
      <c r="X54"/>
      <c r="Z54" s="1"/>
      <c r="AA54" s="21">
        <f>Tabla35681321293971727478797107[[#This Row],[COMISIONES]]*0.21</f>
        <v>0</v>
      </c>
      <c r="AB54" s="21"/>
      <c r="AC54" s="1"/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Tabla1316243221222338292102[[#This Row],[COMISIONES]]*0.21</f>
        <v>0</v>
      </c>
      <c r="D55" s="2"/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Tabla351018263641424448494104[[#This Row],[COMISIONES]]*0.21</f>
        <v>0</v>
      </c>
      <c r="P55" s="11"/>
      <c r="Q55" s="11"/>
      <c r="R55" s="11"/>
      <c r="T55"/>
      <c r="U55" s="19">
        <f>Tabla61220283861626468696106[[#This Row],[COMISIONES]]*0.21</f>
        <v>0</v>
      </c>
      <c r="V55"/>
      <c r="W55"/>
      <c r="X55"/>
      <c r="Z55"/>
      <c r="AA55" s="21">
        <f>Tabla35681321293971727478797107[[#This Row],[COMISIONES]]*0.21</f>
        <v>0</v>
      </c>
      <c r="AB55"/>
      <c r="AC55" s="1"/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Tabla1316243221222338292102[[#This Row],[COMISIONES]]*0.21</f>
        <v>0</v>
      </c>
      <c r="D56" s="2"/>
      <c r="E56" s="2"/>
      <c r="F56"/>
      <c r="H56" s="1"/>
      <c r="I56" s="11">
        <f>Tabla391523314191929498999109[[#This Row],[COMISIONES]]*0.21</f>
        <v>0</v>
      </c>
      <c r="J56" s="11"/>
      <c r="K56" s="11"/>
      <c r="L56" s="1"/>
      <c r="N56" s="11"/>
      <c r="O56" s="11">
        <f>Tabla351018263641424448494104[[#This Row],[COMISIONES]]*0.21</f>
        <v>0</v>
      </c>
      <c r="P56" s="11"/>
      <c r="Q56" s="11"/>
      <c r="R56" s="11"/>
      <c r="T56"/>
      <c r="U56" s="19">
        <f>Tabla61220283861626468696106[[#This Row],[COMISIONES]]*0.21</f>
        <v>0</v>
      </c>
      <c r="V56"/>
      <c r="W56"/>
      <c r="X56"/>
      <c r="Z56"/>
      <c r="AA56" s="21">
        <f>Tabla35681321293971727478797107[[#This Row],[COMISIONES]]*0.21</f>
        <v>0</v>
      </c>
      <c r="AB56" s="21"/>
      <c r="AC56"/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Tabla1316243221222338292102[[#This Row],[COMISIONES]]*0.21</f>
        <v>0</v>
      </c>
      <c r="D57" s="2"/>
      <c r="E57" s="2"/>
      <c r="F57"/>
      <c r="H57" s="11"/>
      <c r="I57" s="11">
        <f>Tabla391523314191929498999109[[#This Row],[COMISIONES]]*0.21</f>
        <v>0</v>
      </c>
      <c r="J57" s="11"/>
      <c r="K57" s="11"/>
      <c r="L57" s="21"/>
      <c r="N57" s="11"/>
      <c r="O57" s="11">
        <f>Tabla351018263641424448494104[[#This Row],[COMISIONES]]*0.21</f>
        <v>0</v>
      </c>
      <c r="P57" s="11"/>
      <c r="Q57" s="11"/>
      <c r="R57" s="11"/>
      <c r="T57"/>
      <c r="U57" s="19">
        <f>Tabla61220283861626468696106[[#This Row],[COMISIONES]]*0.21</f>
        <v>0</v>
      </c>
      <c r="V57"/>
      <c r="W57"/>
      <c r="X57"/>
      <c r="Z57"/>
      <c r="AA57" s="21">
        <f>Tabla35681321293971727478797107[[#This Row],[COMISIONES]]*0.21</f>
        <v>0</v>
      </c>
      <c r="AB57" s="21"/>
      <c r="AC57" s="21"/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Tabla1316243221222338292102[[#This Row],[COMISIONES]]*0.21</f>
        <v>0</v>
      </c>
      <c r="D58" s="1"/>
      <c r="E58" s="2"/>
      <c r="F58"/>
      <c r="H58" s="11"/>
      <c r="I58" s="11">
        <f>Tabla391523314191929498999109[[#This Row],[COMISIONES]]*0.21</f>
        <v>0</v>
      </c>
      <c r="J58" s="11"/>
      <c r="K58" s="11"/>
      <c r="L58" s="11"/>
      <c r="N58" s="11"/>
      <c r="O58" s="11">
        <f>Tabla351018263641424448494104[[#This Row],[COMISIONES]]*0.21</f>
        <v>0</v>
      </c>
      <c r="P58" s="11"/>
      <c r="Q58" s="11"/>
      <c r="R58" s="11"/>
      <c r="T58"/>
      <c r="U58" s="19">
        <f>Tabla61220283861626468696106[[#This Row],[COMISIONES]]*0.21</f>
        <v>0</v>
      </c>
      <c r="V58"/>
      <c r="W58"/>
      <c r="X58"/>
      <c r="Z58"/>
      <c r="AA58" s="21">
        <f>Tabla35681321293971727478797107[[#This Row],[COMISIONES]]*0.21</f>
        <v>0</v>
      </c>
      <c r="AB58" s="21"/>
      <c r="AC58" s="21"/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Tabla1316243221222338292102[[#This Row],[COMISIONES]]*0.21</f>
        <v>0</v>
      </c>
      <c r="D59" s="2"/>
      <c r="E59" s="2"/>
      <c r="F59"/>
      <c r="H59" s="11"/>
      <c r="I59" s="11">
        <f>Tabla391523314191929498999109[[#This Row],[COMISIONES]]*0.21</f>
        <v>0</v>
      </c>
      <c r="J59" s="11"/>
      <c r="K59" s="11"/>
      <c r="L59" s="11"/>
      <c r="N59" s="11"/>
      <c r="O59" s="11">
        <f>Tabla351018263641424448494104[[#This Row],[COMISIONES]]*0.21</f>
        <v>0</v>
      </c>
      <c r="P59" s="11"/>
      <c r="Q59" s="11"/>
      <c r="R59" s="11"/>
      <c r="T59"/>
      <c r="U59" s="19">
        <f>Tabla61220283861626468696106[[#This Row],[COMISIONES]]*0.21</f>
        <v>0</v>
      </c>
      <c r="V59"/>
      <c r="W59"/>
      <c r="X59"/>
      <c r="Z59"/>
      <c r="AA59" s="21">
        <f>Tabla35681321293971727478797107[[#This Row],[COMISIONES]]*0.21</f>
        <v>0</v>
      </c>
      <c r="AB59" s="21"/>
      <c r="AC59" s="21"/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Tabla1316243221222338292102[[#This Row],[COMISIONES]]*0.21</f>
        <v>0</v>
      </c>
      <c r="D60" s="2"/>
      <c r="E60" s="2"/>
      <c r="F60"/>
      <c r="H60" s="11"/>
      <c r="I60" s="11">
        <f>Tabla391523314191929498999109[[#This Row],[COMISIONES]]*0.21</f>
        <v>0</v>
      </c>
      <c r="J60" s="11"/>
      <c r="K60" s="11"/>
      <c r="L60" s="11"/>
      <c r="N60" s="11"/>
      <c r="O60" s="11">
        <f>Tabla351018263641424448494104[[#This Row],[COMISIONES]]*0.21</f>
        <v>0</v>
      </c>
      <c r="P60" s="11"/>
      <c r="Q60" s="11"/>
      <c r="R60" s="11"/>
      <c r="T60"/>
      <c r="U60" s="19">
        <f>Tabla61220283861626468696106[[#This Row],[COMISIONES]]*0.21</f>
        <v>0</v>
      </c>
      <c r="V60"/>
      <c r="W60"/>
      <c r="X60"/>
      <c r="Z60"/>
      <c r="AA60" s="21">
        <f>Tabla35681321293971727478797107[[#This Row],[COMISIONES]]*0.21</f>
        <v>0</v>
      </c>
      <c r="AB60" s="21"/>
      <c r="AC60" s="21"/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SUBTOTAL(109,Tabla1316243221222338292102[COMISIONES])</f>
        <v>0</v>
      </c>
      <c r="C61" s="4">
        <f>SUBTOTAL(109,Tabla1316243221222338292102[IVA 21])</f>
        <v>0</v>
      </c>
      <c r="D61" s="4">
        <f>SUBTOTAL(109,Tabla1316243221222338292102[IVA 10,5])</f>
        <v>0</v>
      </c>
      <c r="E61" s="4">
        <f>SUBTOTAL(109,Tabla1316243221222338292102[Ret IIBB Caba])</f>
        <v>0</v>
      </c>
      <c r="F61" s="4">
        <f>SUBTOTAL(109,Tabla1316243221222338292102[PERC IVA])</f>
        <v>0</v>
      </c>
      <c r="H61" s="11"/>
      <c r="I61" s="11">
        <f>Tabla391523314191929498999109[[#This Row],[COMISIONES]]*0.21</f>
        <v>0</v>
      </c>
      <c r="J61" s="11"/>
      <c r="K61" s="11"/>
      <c r="L61" s="11"/>
      <c r="N61" s="11"/>
      <c r="O61" s="11">
        <f>Tabla351018263641424448494104[[#This Row],[COMISIONES]]*0.21</f>
        <v>0</v>
      </c>
      <c r="P61" s="11"/>
      <c r="Q61" s="11"/>
      <c r="R61" s="11"/>
      <c r="T61"/>
      <c r="U61" s="19">
        <f>Tabla61220283861626468696106[[#This Row],[COMISIONES]]*0.21</f>
        <v>0</v>
      </c>
      <c r="V61"/>
      <c r="W61"/>
      <c r="X61"/>
      <c r="Z61"/>
      <c r="AA61" s="21">
        <f>Tabla35681321293971727478797107[[#This Row],[COMISIONES]]*0.21</f>
        <v>0</v>
      </c>
      <c r="AB61" s="21"/>
      <c r="AC61" s="21"/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Tabla391523314191929498999109[[#This Row],[COMISIONES]]*0.21</f>
        <v>0</v>
      </c>
      <c r="J62" s="11"/>
      <c r="K62" s="11"/>
      <c r="L62" s="11"/>
      <c r="N62" s="11"/>
      <c r="O62" s="11">
        <f>Tabla351018263641424448494104[[#This Row],[COMISIONES]]*0.21</f>
        <v>0</v>
      </c>
      <c r="P62" s="11"/>
      <c r="Q62" s="11"/>
      <c r="R62" s="11"/>
      <c r="T62" s="17">
        <f>SUBTOTAL(109,Tabla61220283861626468696106[COMISIONES])</f>
        <v>4297.5200000000004</v>
      </c>
      <c r="U62" s="17">
        <f>SUBTOTAL(109,Tabla61220283861626468696106[IVA 21])</f>
        <v>902.47920000000011</v>
      </c>
      <c r="V62" s="17">
        <f>SUBTOTAL(109,Tabla61220283861626468696106[IVA 10,5])</f>
        <v>0</v>
      </c>
      <c r="W62" s="17">
        <f>SUBTOTAL(109,Tabla61220283861626468696106[Ret IIBB Caba])</f>
        <v>0</v>
      </c>
      <c r="X62" s="17">
        <f>SUBTOTAL(109,Tabla61220283861626468696106[PERC IVA])</f>
        <v>0</v>
      </c>
      <c r="Z62"/>
      <c r="AA62" s="21">
        <f>Tabla35681321293971727478797107[[#This Row],[COMISIONES]]*0.21</f>
        <v>0</v>
      </c>
      <c r="AB62" s="21"/>
      <c r="AC62" s="21"/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Tabla391523314191929498999109[[#This Row],[COMISIONES]]*0.21</f>
        <v>0</v>
      </c>
      <c r="J63" s="11"/>
      <c r="K63" s="11"/>
      <c r="L63" s="11"/>
      <c r="N63" s="11"/>
      <c r="O63" s="11">
        <f>Tabla351018263641424448494104[[#This Row],[COMISIONES]]*0.21</f>
        <v>0</v>
      </c>
      <c r="P63" s="11"/>
      <c r="Q63" s="11"/>
      <c r="R63" s="11"/>
      <c r="T63"/>
      <c r="U63"/>
      <c r="V63"/>
      <c r="W63"/>
      <c r="X63"/>
      <c r="Z63"/>
      <c r="AA63" s="21">
        <f>Tabla35681321293971727478797107[[#This Row],[COMISIONES]]*0.21</f>
        <v>0</v>
      </c>
      <c r="AB63" s="21"/>
      <c r="AC63" s="21"/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Tabla391523314191929498999109[[#This Row],[COMISIONES]]*0.21</f>
        <v>0</v>
      </c>
      <c r="J64" s="11"/>
      <c r="K64" s="11"/>
      <c r="L64" s="11"/>
      <c r="N64" s="11"/>
      <c r="O64" s="11">
        <f>Tabla351018263641424448494104[[#This Row],[COMISIONES]]*0.21</f>
        <v>0</v>
      </c>
      <c r="P64" s="11"/>
      <c r="Q64" s="11"/>
      <c r="R64" s="11"/>
      <c r="T64" s="41" t="s">
        <v>31</v>
      </c>
      <c r="U64" s="41"/>
      <c r="V64" s="41"/>
      <c r="W64" s="41"/>
      <c r="X64" s="41"/>
      <c r="Z64"/>
      <c r="AA64" s="21">
        <f>Tabla35681321293971727478797107[[#This Row],[COMISIONES]]*0.21</f>
        <v>0</v>
      </c>
      <c r="AB64" s="1"/>
      <c r="AC64" s="21"/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Tabla391523314191929498999109[[#This Row],[COMISIONES]]*0.21</f>
        <v>0</v>
      </c>
      <c r="J65" s="11"/>
      <c r="K65" s="11"/>
      <c r="L65" s="11"/>
      <c r="N65" s="11"/>
      <c r="O65" s="11">
        <f>Tabla351018263641424448494104[[#This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/>
      <c r="AA65" s="21">
        <f>Tabla35681321293971727478797107[[#This Row],[COMISIONES]]*0.21</f>
        <v>0</v>
      </c>
      <c r="AB65" s="21"/>
      <c r="AC65" s="21"/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Tabla391523314191929498999109[[#This Row],[COMISIONES]]*0.21</f>
        <v>0</v>
      </c>
      <c r="J66" s="11"/>
      <c r="K66" s="11"/>
      <c r="L66" s="11"/>
      <c r="N66" s="11"/>
      <c r="O66" s="11">
        <f>Tabla351018263641424448494104[[#This Row],[COMISIONES]]*0.21</f>
        <v>0</v>
      </c>
      <c r="P66" s="11"/>
      <c r="Q66" s="11"/>
      <c r="R66" s="11"/>
      <c r="T66" s="11"/>
      <c r="U66" s="11">
        <f>Tabla612202833421020305090100110[[#This Row],[COMISIONES]]*0.21</f>
        <v>0</v>
      </c>
      <c r="V66" s="11"/>
      <c r="W66" s="1"/>
      <c r="X66" s="11"/>
      <c r="Z66"/>
      <c r="AA66" s="21">
        <f>Tabla35681321293971727478797107[[#This Row],[COMISIONES]]*0.21</f>
        <v>0</v>
      </c>
      <c r="AB66" s="21"/>
      <c r="AC66" s="21"/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Tabla391523314191929498999109[[#This Row],[COMISIONES]]*0.21</f>
        <v>0</v>
      </c>
      <c r="J67" s="11"/>
      <c r="K67" s="11"/>
      <c r="L67" s="11"/>
      <c r="N67" s="18"/>
      <c r="O67" s="11">
        <f>Tabla351018263641424448494104[[#This Row],[COMISIONES]]*0.21</f>
        <v>0</v>
      </c>
      <c r="P67" s="18"/>
      <c r="Q67" s="18"/>
      <c r="R67" s="18"/>
      <c r="T67" s="11"/>
      <c r="U67" s="11">
        <f>Tabla612202833421020305090100110[[#This Row],[COMISIONES]]*0.21</f>
        <v>0</v>
      </c>
      <c r="V67" s="11"/>
      <c r="W67" s="11"/>
      <c r="X67" s="11"/>
      <c r="Z67"/>
      <c r="AA67" s="21">
        <f>Tabla35681321293971727478797107[[#This Row],[COMISIONES]]*0.21</f>
        <v>0</v>
      </c>
      <c r="AB67" s="21"/>
      <c r="AC67" s="21"/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Tabla391523314191929498999109[[#This Row],[COMISIONES]]*0.21</f>
        <v>0</v>
      </c>
      <c r="J68" s="11"/>
      <c r="K68" s="11"/>
      <c r="L68" s="11"/>
      <c r="N68" s="18"/>
      <c r="O68" s="11">
        <f>Tabla351018263641424448494104[[#This Row],[COMISIONES]]*0.21</f>
        <v>0</v>
      </c>
      <c r="P68" s="18"/>
      <c r="Q68" s="18"/>
      <c r="R68" s="18"/>
      <c r="T68" s="11"/>
      <c r="U68" s="19">
        <f>Tabla612202833421020305090100110[[#This Row],[COMISIONES]]*0.21</f>
        <v>0</v>
      </c>
      <c r="V68"/>
      <c r="W68" s="1"/>
      <c r="X68"/>
      <c r="Z68"/>
      <c r="AA68" s="21">
        <f>Tabla35681321293971727478797107[[#This Row],[COMISIONES]]*0.21</f>
        <v>0</v>
      </c>
      <c r="AB68" s="21"/>
      <c r="AC68" s="21"/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Tabla391523314191929498999109[[#This Row],[COMISIONES]]*0.21</f>
        <v>0</v>
      </c>
      <c r="J69" s="11"/>
      <c r="K69" s="11"/>
      <c r="L69" s="11"/>
      <c r="N69" s="18"/>
      <c r="O69" s="11">
        <f>Tabla351018263641424448494104[[#This Row],[COMISIONES]]*0.21</f>
        <v>0</v>
      </c>
      <c r="P69" s="18"/>
      <c r="Q69" s="18"/>
      <c r="R69" s="18"/>
      <c r="T69" s="11"/>
      <c r="U69" s="19">
        <f>Tabla612202833421020305090100110[[#This Row],[COMISIONES]]*0.21</f>
        <v>0</v>
      </c>
      <c r="V69"/>
      <c r="W69"/>
      <c r="X69"/>
      <c r="Z69"/>
      <c r="AA69" s="21">
        <f>Tabla35681321293971727478797107[[#This Row],[COMISIONES]]*0.21</f>
        <v>0</v>
      </c>
      <c r="AB69" s="21"/>
      <c r="AC69" s="21"/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Tabla391523314191929498999109[[#This Row],[COMISIONES]]*0.21</f>
        <v>0</v>
      </c>
      <c r="J70" s="11"/>
      <c r="K70" s="11"/>
      <c r="L70" s="11"/>
      <c r="N70" s="18"/>
      <c r="O70" s="11">
        <f>Tabla351018263641424448494104[[#This Row],[COMISIONES]]*0.21</f>
        <v>0</v>
      </c>
      <c r="P70" s="18"/>
      <c r="Q70" s="18"/>
      <c r="R70" s="18"/>
      <c r="T70" s="11"/>
      <c r="U70" s="19">
        <f>Tabla612202833421020305090100110[[#This Row],[COMISIONES]]*0.21</f>
        <v>0</v>
      </c>
      <c r="V70"/>
      <c r="W70"/>
      <c r="X70"/>
      <c r="Z70"/>
      <c r="AA70" s="21">
        <f>Tabla35681321293971727478797107[[#This Row],[COMISIONES]]*0.21</f>
        <v>0</v>
      </c>
      <c r="AB70" s="21"/>
      <c r="AC70" s="21"/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Tabla391523314191929498999109[[#This Row],[COMISIONES]]*0.21</f>
        <v>0</v>
      </c>
      <c r="J71" s="11"/>
      <c r="K71" s="11"/>
      <c r="L71" s="11"/>
      <c r="N71" s="18"/>
      <c r="O71" s="11">
        <f>Tabla351018263641424448494104[[#This Row],[COMISIONES]]*0.21</f>
        <v>0</v>
      </c>
      <c r="P71" s="18"/>
      <c r="Q71" s="18"/>
      <c r="R71" s="18"/>
      <c r="T71" s="11"/>
      <c r="U71" s="19">
        <f>Tabla612202833421020305090100110[[#This Row],[COMISIONES]]*0.21</f>
        <v>0</v>
      </c>
      <c r="V71"/>
      <c r="W71"/>
      <c r="X71"/>
      <c r="Z71"/>
      <c r="AA71" s="21">
        <f>Tabla35681321293971727478797107[[#This Row],[COMISIONES]]*0.21</f>
        <v>0</v>
      </c>
      <c r="AB71" s="21"/>
      <c r="AC71" s="21"/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Tabla391523314191929498999109[[#This Row],[COMISIONES]]*0.21</f>
        <v>0</v>
      </c>
      <c r="J72" s="11"/>
      <c r="K72" s="11"/>
      <c r="L72" s="11"/>
      <c r="N72" s="18"/>
      <c r="O72" s="11">
        <f>Tabla351018263641424448494104[[#This Row],[COMISIONES]]*0.21</f>
        <v>0</v>
      </c>
      <c r="P72" s="18"/>
      <c r="Q72" s="18"/>
      <c r="R72" s="18"/>
      <c r="T72" s="11"/>
      <c r="U72" s="19">
        <f>Tabla612202833421020305090100110[[#This Row],[COMISIONES]]*0.21</f>
        <v>0</v>
      </c>
      <c r="V72"/>
      <c r="W72"/>
      <c r="X72"/>
      <c r="Z72" s="1"/>
      <c r="AA72" s="21">
        <f>Tabla35681321293971727478797107[[#This Row],[COMISIONES]]*0.21</f>
        <v>0</v>
      </c>
      <c r="AB72" s="21"/>
      <c r="AC72" s="21"/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Tabla391523314191929498999109[[#This Row],[COMISIONES]]*0.21</f>
        <v>0</v>
      </c>
      <c r="J73" s="11"/>
      <c r="K73" s="11"/>
      <c r="L73" s="11"/>
      <c r="N73" s="18"/>
      <c r="O73" s="11">
        <f>Tabla351018263641424448494104[[#This Row],[COMISIONES]]*0.21</f>
        <v>0</v>
      </c>
      <c r="P73" s="18"/>
      <c r="Q73" s="18"/>
      <c r="R73" s="18"/>
      <c r="T73" s="11"/>
      <c r="U73" s="19">
        <f>Tabla612202833421020305090100110[[#This Row],[COMISIONES]]*0.21</f>
        <v>0</v>
      </c>
      <c r="V73"/>
      <c r="W73"/>
      <c r="X73"/>
      <c r="Z73" s="1"/>
      <c r="AA73" s="21"/>
      <c r="AB73" s="1"/>
      <c r="AC73" s="1"/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Tabla391523314191929498999109[[#This Row],[COMISIONES]]*0.21</f>
        <v>0</v>
      </c>
      <c r="J74" s="11"/>
      <c r="K74" s="11"/>
      <c r="L74" s="11"/>
      <c r="N74" s="18"/>
      <c r="O74" s="11">
        <f>Tabla351018263641424448494104[[#This Row],[COMISIONES]]*0.21</f>
        <v>0</v>
      </c>
      <c r="P74" s="18"/>
      <c r="Q74" s="18"/>
      <c r="R74" s="18"/>
      <c r="T74" s="11"/>
      <c r="U74" s="19">
        <f>Tabla612202833421020305090100110[[#This Row],[COMISIONES]]*0.21</f>
        <v>0</v>
      </c>
      <c r="V74"/>
      <c r="W74"/>
      <c r="X74"/>
      <c r="Z74" s="1"/>
      <c r="AA74" s="21">
        <f>Tabla35681321293971727478797107[[#This Row],[COMISIONES]]*0.21</f>
        <v>0</v>
      </c>
      <c r="AB74"/>
      <c r="AC74"/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Tabla391523314191929498999109[[#This Row],[COMISIONES]]*0.21</f>
        <v>0</v>
      </c>
      <c r="J75" s="11"/>
      <c r="K75" s="11"/>
      <c r="L75" s="11"/>
      <c r="N75" s="18"/>
      <c r="O75" s="11">
        <f>Tabla351018263641424448494104[[#This Row],[COMISIONES]]*0.21</f>
        <v>0</v>
      </c>
      <c r="P75" s="18"/>
      <c r="Q75" s="18"/>
      <c r="R75" s="18"/>
      <c r="T75" s="11"/>
      <c r="U75" s="19">
        <f>Tabla612202833421020305090100110[[#This Row],[COMISIONES]]*0.21</f>
        <v>0</v>
      </c>
      <c r="V75"/>
      <c r="W75"/>
      <c r="X75"/>
      <c r="Z75" s="1"/>
      <c r="AA75" s="21">
        <f>Tabla35681321293971727478797107[[#This Row],[COMISIONES]]*0.21</f>
        <v>0</v>
      </c>
      <c r="AB75" s="1"/>
      <c r="AC75" s="21"/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Tabla391523314191929498999109[[#This Row],[COMISIONES]]*0.21</f>
        <v>0</v>
      </c>
      <c r="J76" s="11"/>
      <c r="K76" s="11"/>
      <c r="L76" s="11"/>
      <c r="N76" s="18"/>
      <c r="O76" s="11">
        <f>Tabla351018263641424448494104[[#This Row],[COMISIONES]]*0.21</f>
        <v>0</v>
      </c>
      <c r="P76" s="18"/>
      <c r="Q76" s="18"/>
      <c r="R76" s="18"/>
      <c r="T76"/>
      <c r="U76" s="19">
        <f>Tabla612202833421020305090100110[[#This Row],[COMISIONES]]*0.21</f>
        <v>0</v>
      </c>
      <c r="V76"/>
      <c r="W76"/>
      <c r="X76"/>
      <c r="Z76" s="1"/>
      <c r="AA76" s="21">
        <f>Tabla35681321293971727478797107[[#This Row],[COMISIONES]]*0.21</f>
        <v>0</v>
      </c>
      <c r="AB76" s="1"/>
      <c r="AC76" s="21"/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Tabla391523314191929498999109[[#This Row],[COMISIONES]]*0.21</f>
        <v>0</v>
      </c>
      <c r="J77" s="11"/>
      <c r="K77" s="11"/>
      <c r="L77" s="11"/>
      <c r="N77" s="18"/>
      <c r="O77" s="11">
        <f>Tabla351018263641424448494104[[#This Row],[COMISIONES]]*0.21</f>
        <v>0</v>
      </c>
      <c r="P77" s="18"/>
      <c r="Q77" s="18"/>
      <c r="R77" s="18"/>
      <c r="T77"/>
      <c r="U77" s="19">
        <f>Tabla612202833421020305090100110[[#This Row],[COMISIONES]]*0.21</f>
        <v>0</v>
      </c>
      <c r="V77"/>
      <c r="W77"/>
      <c r="X77"/>
      <c r="Z77" s="1"/>
      <c r="AA77" s="21">
        <f>Tabla35681321293971727478797107[[#This Row],[COMISIONES]]*0.21</f>
        <v>0</v>
      </c>
      <c r="AB77" s="1"/>
      <c r="AC77" s="21"/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Tabla391523314191929498999109[[#This Row],[COMISIONES]]*0.21</f>
        <v>0</v>
      </c>
      <c r="J78" s="11"/>
      <c r="K78" s="11"/>
      <c r="L78" s="11"/>
      <c r="N78" s="18"/>
      <c r="O78" s="11">
        <f>Tabla351018263641424448494104[[#This Row],[COMISIONES]]*0.21</f>
        <v>0</v>
      </c>
      <c r="P78" s="18"/>
      <c r="Q78" s="18"/>
      <c r="R78" s="18"/>
      <c r="T78"/>
      <c r="U78" s="19">
        <f>Tabla612202833421020305090100110[[#This Row],[COMISIONES]]*0.21</f>
        <v>0</v>
      </c>
      <c r="V78"/>
      <c r="W78"/>
      <c r="X78"/>
      <c r="Z78" s="1"/>
      <c r="AA78" s="21"/>
      <c r="AB78" s="1"/>
      <c r="AC78" s="21"/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Tabla391523314191929498999109[[#This Row],[COMISIONES]]*0.21</f>
        <v>0</v>
      </c>
      <c r="J79" s="11"/>
      <c r="K79" s="11"/>
      <c r="L79" s="11"/>
      <c r="N79" s="18"/>
      <c r="O79" s="11">
        <f>Tabla351018263641424448494104[[#This Row],[COMISIONES]]*0.21</f>
        <v>0</v>
      </c>
      <c r="P79" s="18"/>
      <c r="Q79" s="18"/>
      <c r="R79" s="18"/>
      <c r="T79"/>
      <c r="U79" s="19">
        <f>Tabla612202833421020305090100110[[#This Row],[COMISIONES]]*0.21</f>
        <v>0</v>
      </c>
      <c r="V79"/>
      <c r="W79"/>
      <c r="X79"/>
      <c r="Z79" s="1"/>
      <c r="AA79" s="21">
        <f>Tabla35681321293971727478797107[[#This Row],[COMISIONES]]*0.21</f>
        <v>0</v>
      </c>
      <c r="AB79" s="21"/>
      <c r="AC79" s="21"/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Tabla391523314191929498999109[[#This Row],[COMISIONES]]*0.21</f>
        <v>0</v>
      </c>
      <c r="J80" s="11"/>
      <c r="K80" s="11"/>
      <c r="L80" s="11"/>
      <c r="N80" s="18"/>
      <c r="O80" s="11">
        <f>Tabla351018263641424448494104[[#This Row],[COMISIONES]]*0.21</f>
        <v>0</v>
      </c>
      <c r="P80" s="18"/>
      <c r="Q80" s="18"/>
      <c r="R80" s="18"/>
      <c r="T80"/>
      <c r="U80" s="19">
        <f>Tabla612202833421020305090100110[[#This Row],[COMISIONES]]*0.21</f>
        <v>0</v>
      </c>
      <c r="V80"/>
      <c r="W80"/>
      <c r="X80"/>
      <c r="Z80" s="1"/>
      <c r="AA80" s="21">
        <f>Tabla35681321293971727478797107[[#This Row],[COMISIONES]]*0.21</f>
        <v>0</v>
      </c>
      <c r="AB80" s="21"/>
      <c r="AC80" s="21"/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Tabla391523314191929498999109[[#This Row],[COMISIONES]]*0.21</f>
        <v>0</v>
      </c>
      <c r="J81" s="18"/>
      <c r="K81" s="18"/>
      <c r="L81" s="18"/>
      <c r="N81" s="18"/>
      <c r="O81" s="11">
        <f>Tabla351018263641424448494104[[#This Row],[COMISIONES]]*0.21</f>
        <v>0</v>
      </c>
      <c r="P81" s="18"/>
      <c r="Q81" s="18"/>
      <c r="R81" s="18"/>
      <c r="T81"/>
      <c r="U81" s="19">
        <f>Tabla612202833421020305090100110[[#This Row],[COMISIONES]]*0.21</f>
        <v>0</v>
      </c>
      <c r="V81"/>
      <c r="W81"/>
      <c r="X81"/>
      <c r="Z81"/>
      <c r="AA81" s="21">
        <f>Tabla35681321293971727478797107[[#This Row],[COMISIONES]]*0.21</f>
        <v>0</v>
      </c>
      <c r="AB81" s="21"/>
      <c r="AC81" s="21"/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Tabla391523314191929498999109[[#This Row],[COMISIONES]]*0.21</f>
        <v>0</v>
      </c>
      <c r="J82" s="18"/>
      <c r="K82" s="18"/>
      <c r="L82" s="18"/>
      <c r="N82" s="18"/>
      <c r="O82" s="11">
        <f>Tabla351018263641424448494104[[#This Row],[COMISIONES]]*0.21</f>
        <v>0</v>
      </c>
      <c r="P82" s="18"/>
      <c r="Q82" s="18"/>
      <c r="R82" s="18"/>
      <c r="T82"/>
      <c r="U82" s="19">
        <f>Tabla612202833421020305090100110[[#This Row],[COMISIONES]]*0.21</f>
        <v>0</v>
      </c>
      <c r="V82"/>
      <c r="W82"/>
      <c r="X82"/>
      <c r="Z82"/>
      <c r="AA82" s="21"/>
      <c r="AB82" s="1"/>
      <c r="AC82" s="1"/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Tabla391523314191929498999109[[#This Row],[COMISIONES]]*0.21</f>
        <v>0</v>
      </c>
      <c r="J83" s="18"/>
      <c r="K83" s="18"/>
      <c r="L83" s="18"/>
      <c r="N83" s="18"/>
      <c r="O83" s="11">
        <f>Tabla351018263641424448494104[[#This Row],[COMISIONES]]*0.21</f>
        <v>0</v>
      </c>
      <c r="P83" s="18"/>
      <c r="Q83" s="18"/>
      <c r="R83" s="18"/>
      <c r="T83"/>
      <c r="U83" s="19">
        <f>Tabla612202833421020305090100110[[#This Row],[COMISIONES]]*0.21</f>
        <v>0</v>
      </c>
      <c r="V83"/>
      <c r="W83"/>
      <c r="X83"/>
      <c r="Z83" s="1"/>
      <c r="AA83" s="21">
        <f>Tabla35681321293971727478797107[[#This Row],[COMISIONES]]*0.21</f>
        <v>0</v>
      </c>
      <c r="AB83" s="21"/>
      <c r="AC83" s="21"/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Tabla391523314191929498999109[[#This Row],[COMISIONES]]*0.21</f>
        <v>0</v>
      </c>
      <c r="J84" s="18"/>
      <c r="K84" s="18"/>
      <c r="L84" s="18"/>
      <c r="N84" s="18"/>
      <c r="O84" s="11">
        <f>Tabla351018263641424448494104[[#This Row],[COMISIONES]]*0.21</f>
        <v>0</v>
      </c>
      <c r="P84" s="18"/>
      <c r="Q84" s="18"/>
      <c r="R84" s="18"/>
      <c r="T84"/>
      <c r="U84" s="19">
        <f>Tabla612202833421020305090100110[[#This Row],[COMISIONES]]*0.21</f>
        <v>0</v>
      </c>
      <c r="V84"/>
      <c r="W84"/>
      <c r="X84"/>
      <c r="Z84" s="1"/>
      <c r="AA84" s="21">
        <f>Tabla35681321293971727478797107[[#This Row],[COMISIONES]]*0.21</f>
        <v>0</v>
      </c>
      <c r="AB84" s="21"/>
      <c r="AC84" s="1"/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Tabla391523314191929498999109[[#This Row],[COMISIONES]]*0.21</f>
        <v>0</v>
      </c>
      <c r="J85" s="18"/>
      <c r="K85" s="18"/>
      <c r="L85" s="18"/>
      <c r="N85" s="18"/>
      <c r="O85" s="11">
        <f>Tabla351018263641424448494104[[#This Row],[COMISIONES]]*0.21</f>
        <v>0</v>
      </c>
      <c r="P85" s="18"/>
      <c r="Q85" s="18"/>
      <c r="R85" s="18"/>
      <c r="T85"/>
      <c r="U85" s="19">
        <f>Tabla612202833421020305090100110[[#This Row],[COMISIONES]]*0.21</f>
        <v>0</v>
      </c>
      <c r="V85"/>
      <c r="W85"/>
      <c r="X85"/>
      <c r="Z85" s="1"/>
      <c r="AA85" s="21"/>
      <c r="AB85" s="1"/>
      <c r="AC85" s="1"/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Tabla391523314191929498999109[[#This Row],[COMISIONES]]*0.21</f>
        <v>0</v>
      </c>
      <c r="J86" s="18"/>
      <c r="K86" s="18"/>
      <c r="L86" s="18"/>
      <c r="N86" s="18"/>
      <c r="O86" s="11">
        <f>Tabla351018263641424448494104[[#This Row],[COMISIONES]]*0.21</f>
        <v>0</v>
      </c>
      <c r="P86" s="18"/>
      <c r="Q86" s="18"/>
      <c r="R86" s="18"/>
      <c r="T86"/>
      <c r="U86" s="19">
        <f>Tabla612202833421020305090100110[[#This Row],[COMISIONES]]*0.21</f>
        <v>0</v>
      </c>
      <c r="V86"/>
      <c r="W86"/>
      <c r="X86"/>
      <c r="Z86" s="1"/>
      <c r="AA86" s="21">
        <f>Tabla35681321293971727478797107[[#This Row],[COMISIONES]]*0.21</f>
        <v>0</v>
      </c>
      <c r="AB86" s="21"/>
      <c r="AC86" s="1"/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Tabla391523314191929498999109[[#This Row],[COMISIONES]]*0.21</f>
        <v>0</v>
      </c>
      <c r="J87" s="18"/>
      <c r="K87" s="18"/>
      <c r="L87" s="18"/>
      <c r="N87" s="18"/>
      <c r="O87" s="11">
        <f>Tabla351018263641424448494104[[#This Row],[COMISIONES]]*0.21</f>
        <v>0</v>
      </c>
      <c r="P87" s="18"/>
      <c r="Q87" s="18"/>
      <c r="R87" s="18"/>
      <c r="T87"/>
      <c r="U87" s="19">
        <f>Tabla612202833421020305090100110[[#This Row],[COMISIONES]]*0.21</f>
        <v>0</v>
      </c>
      <c r="V87"/>
      <c r="W87"/>
      <c r="X87"/>
      <c r="Z87" s="1"/>
      <c r="AA87" s="21">
        <f>Tabla35681321293971727478797107[[#This Row],[COMISIONES]]*0.21</f>
        <v>0</v>
      </c>
      <c r="AB87" s="1"/>
      <c r="AC87" s="1"/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Tabla391523314191929498999109[[#This Row],[COMISIONES]]*0.21</f>
        <v>0</v>
      </c>
      <c r="J88" s="18"/>
      <c r="K88" s="18"/>
      <c r="L88" s="18"/>
      <c r="N88" s="18"/>
      <c r="O88" s="11">
        <f>Tabla351018263641424448494104[[#This Row],[COMISIONES]]*0.21</f>
        <v>0</v>
      </c>
      <c r="P88" s="18"/>
      <c r="Q88" s="18"/>
      <c r="R88" s="18"/>
      <c r="T88"/>
      <c r="U88" s="19">
        <f>Tabla612202833421020305090100110[[#This Row],[COMISIONES]]*0.21</f>
        <v>0</v>
      </c>
      <c r="V88"/>
      <c r="W88"/>
      <c r="X88"/>
      <c r="Z88" s="1"/>
      <c r="AA88" s="21">
        <f>Tabla35681321293971727478797107[[#This Row],[COMISIONES]]*0.21</f>
        <v>0</v>
      </c>
      <c r="AB88" s="21"/>
      <c r="AC88" s="21"/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Tabla391523314191929498999109[[#This Row],[COMISIONES]]*0.21</f>
        <v>0</v>
      </c>
      <c r="J89" s="18"/>
      <c r="K89" s="18"/>
      <c r="L89" s="18"/>
      <c r="N89" s="18"/>
      <c r="O89" s="11">
        <f>Tabla351018263641424448494104[[#This Row],[COMISIONES]]*0.21</f>
        <v>0</v>
      </c>
      <c r="P89" s="18"/>
      <c r="Q89" s="18"/>
      <c r="R89" s="18"/>
      <c r="T89"/>
      <c r="U89" s="19">
        <f>Tabla612202833421020305090100110[[#This Row],[COMISIONES]]*0.21</f>
        <v>0</v>
      </c>
      <c r="V89"/>
      <c r="W89"/>
      <c r="X89"/>
      <c r="Z89" s="1"/>
      <c r="AA89" s="21">
        <f>Tabla35681321293971727478797107[[#This Row],[COMISIONES]]*0.21</f>
        <v>0</v>
      </c>
      <c r="AB89"/>
      <c r="AC89"/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Tabla391523314191929498999109[[#This Row],[COMISIONES]]*0.21</f>
        <v>0</v>
      </c>
      <c r="J90" s="18"/>
      <c r="K90" s="18"/>
      <c r="L90" s="18"/>
      <c r="N90" s="18"/>
      <c r="O90" s="11">
        <f>Tabla351018263641424448494104[[#This Row],[COMISIONES]]*0.21</f>
        <v>0</v>
      </c>
      <c r="P90" s="18"/>
      <c r="Q90" s="18"/>
      <c r="R90" s="18"/>
      <c r="T90"/>
      <c r="U90" s="19">
        <f>Tabla612202833421020305090100110[[#This Row],[COMISIONES]]*0.21</f>
        <v>0</v>
      </c>
      <c r="V90"/>
      <c r="W90"/>
      <c r="X90"/>
      <c r="Z90" s="1"/>
      <c r="AA90" s="21">
        <f>Tabla35681321293971727478797107[[#This Row],[COMISIONES]]*0.21</f>
        <v>0</v>
      </c>
      <c r="AB90" s="21"/>
      <c r="AC90" s="21"/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Tabla391523314191929498999109[[#This Row],[COMISIONES]]*0.21</f>
        <v>0</v>
      </c>
      <c r="J91" s="18"/>
      <c r="K91" s="18"/>
      <c r="L91" s="18"/>
      <c r="N91" s="18"/>
      <c r="O91" s="11">
        <f>Tabla351018263641424448494104[[#This Row],[COMISIONES]]*0.21</f>
        <v>0</v>
      </c>
      <c r="P91" s="18"/>
      <c r="Q91" s="18"/>
      <c r="R91" s="18"/>
      <c r="T91"/>
      <c r="U91" s="19">
        <f>Tabla612202833421020305090100110[[#This Row],[COMISIONES]]*0.21</f>
        <v>0</v>
      </c>
      <c r="V91"/>
      <c r="W91"/>
      <c r="X91"/>
      <c r="Z91" s="1"/>
      <c r="AA91" s="21">
        <f>Tabla35681321293971727478797107[[#This Row],[COMISIONES]]*0.21</f>
        <v>0</v>
      </c>
      <c r="AB91" s="21"/>
      <c r="AC91" s="1"/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Tabla391523314191929498999109[[#This Row],[COMISIONES]]*0.21</f>
        <v>0</v>
      </c>
      <c r="J92" s="18"/>
      <c r="K92" s="18"/>
      <c r="L92" s="18"/>
      <c r="N92" s="18"/>
      <c r="O92" s="11">
        <f>Tabla351018263641424448494104[[#This Row],[COMISIONES]]*0.21</f>
        <v>0</v>
      </c>
      <c r="P92" s="18"/>
      <c r="Q92" s="18"/>
      <c r="R92" s="18"/>
      <c r="T92"/>
      <c r="U92" s="19">
        <f>Tabla612202833421020305090100110[[#This Row],[COMISIONES]]*0.21</f>
        <v>0</v>
      </c>
      <c r="V92"/>
      <c r="W92"/>
      <c r="X92"/>
      <c r="Z92"/>
      <c r="AA92" s="21"/>
      <c r="AB92" s="1"/>
      <c r="AC92" s="21"/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Tabla391523314191929498999109[[#This Row],[COMISIONES]]*0.21</f>
        <v>0</v>
      </c>
      <c r="J93" s="21"/>
      <c r="K93" s="21"/>
      <c r="L93" s="21"/>
      <c r="N93" s="18"/>
      <c r="O93" s="11">
        <f>Tabla351018263641424448494104[[#This Row],[COMISIONES]]*0.21</f>
        <v>0</v>
      </c>
      <c r="P93" s="18"/>
      <c r="Q93" s="18"/>
      <c r="R93" s="18"/>
      <c r="T93"/>
      <c r="U93" s="19">
        <f>Tabla612202833421020305090100110[[#This Row],[COMISIONES]]*0.21</f>
        <v>0</v>
      </c>
      <c r="V93"/>
      <c r="W93"/>
      <c r="X93"/>
      <c r="Z93"/>
      <c r="AA93" s="21">
        <f>Tabla35681321293971727478797107[[#This Row],[COMISIONES]]*0.21</f>
        <v>0</v>
      </c>
      <c r="AB93" s="21"/>
      <c r="AC93" s="21"/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Tabla391523314191929498999109[[#This Row],[COMISIONES]]*0.21</f>
        <v>0</v>
      </c>
      <c r="J94" s="21"/>
      <c r="K94" s="21"/>
      <c r="L94" s="21"/>
      <c r="N94" s="18"/>
      <c r="O94" s="11">
        <f>Tabla351018263641424448494104[[#This Row],[COMISIONES]]*0.21</f>
        <v>0</v>
      </c>
      <c r="P94" s="18"/>
      <c r="Q94" s="18"/>
      <c r="R94" s="18"/>
      <c r="T94" s="17">
        <f>SUBTOTAL(109,Tabla612202833421020305090100110[COMISIONES])</f>
        <v>0</v>
      </c>
      <c r="U94" s="17">
        <f>SUBTOTAL(109,Tabla612202833421020305090100110[IVA 21])</f>
        <v>0</v>
      </c>
      <c r="V94" s="17">
        <f>SUBTOTAL(109,Tabla612202833421020305090100110[IVA 10,5])</f>
        <v>0</v>
      </c>
      <c r="W94" s="17">
        <f>SUBTOTAL(109,Tabla612202833421020305090100110[Ret IIBB Caba])</f>
        <v>0</v>
      </c>
      <c r="X94" s="17">
        <f>SUBTOTAL(109,Tabla612202833421020305090100110[PERC IVA])</f>
        <v>0</v>
      </c>
      <c r="Z94" s="1"/>
      <c r="AA94" s="21">
        <f>Tabla35681321293971727478797107[[#This Row],[COMISIONES]]*0.21</f>
        <v>0</v>
      </c>
      <c r="AB94" s="21"/>
      <c r="AC94" s="21"/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Tabla391523314191929498999109[[#This Row],[COMISIONES]]*0.21</f>
        <v>0</v>
      </c>
      <c r="J95" s="21"/>
      <c r="K95" s="21"/>
      <c r="L95" s="21"/>
      <c r="N95" s="18"/>
      <c r="O95" s="11">
        <f>Tabla351018263641424448494104[[#This Row],[COMISIONES]]*0.21</f>
        <v>0</v>
      </c>
      <c r="P95" s="18"/>
      <c r="Q95" s="18"/>
      <c r="R95" s="18"/>
      <c r="T95"/>
      <c r="U95"/>
      <c r="V95"/>
      <c r="W95"/>
      <c r="X95"/>
      <c r="Z95" s="1"/>
      <c r="AA95" s="21">
        <f>Tabla35681321293971727478797107[[#This Row],[COMISIONES]]*0.21</f>
        <v>0</v>
      </c>
      <c r="AB95" s="21"/>
      <c r="AC95" s="21"/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Tabla391523314191929498999109[[#This Row],[COMISIONES]]*0.21</f>
        <v>0</v>
      </c>
      <c r="J96" s="21"/>
      <c r="K96" s="21"/>
      <c r="L96" s="21"/>
      <c r="N96" s="18"/>
      <c r="O96" s="11">
        <f>Tabla351018263641424448494104[[#This Row],[COMISIONES]]*0.21</f>
        <v>0</v>
      </c>
      <c r="P96" s="18"/>
      <c r="Q96" s="18"/>
      <c r="R96" s="18"/>
      <c r="T96"/>
      <c r="U96"/>
      <c r="V96"/>
      <c r="W96"/>
      <c r="X96"/>
      <c r="Z96" s="1"/>
      <c r="AA96" s="21">
        <f>Tabla35681321293971727478797107[[#This Row],[COMISIONES]]*0.21</f>
        <v>0</v>
      </c>
      <c r="AB96" s="1"/>
      <c r="AC96" s="1"/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Tabla391523314191929498999109[[#This Row],[COMISIONES]]*0.21</f>
        <v>0</v>
      </c>
      <c r="J97" s="21"/>
      <c r="K97" s="21"/>
      <c r="L97" s="21"/>
      <c r="N97" s="18"/>
      <c r="O97" s="11">
        <f>Tabla351018263641424448494104[[#This Row],[COMISIONES]]*0.21</f>
        <v>0</v>
      </c>
      <c r="P97" s="18"/>
      <c r="Q97" s="18"/>
      <c r="R97" s="18"/>
      <c r="T97"/>
      <c r="U97"/>
      <c r="V97"/>
      <c r="W97"/>
      <c r="X97"/>
      <c r="Z97" s="1"/>
      <c r="AA97" s="21">
        <f>Tabla35681321293971727478797107[[#This Row],[COMISIONES]]*0.21</f>
        <v>0</v>
      </c>
      <c r="AB97" s="1"/>
      <c r="AC97" s="1"/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Tabla391523314191929498999109[[#This Row],[COMISIONES]]*0.21</f>
        <v>0</v>
      </c>
      <c r="J98" s="21"/>
      <c r="K98" s="21"/>
      <c r="L98" s="21"/>
      <c r="N98" s="18"/>
      <c r="O98" s="11">
        <f>Tabla351018263641424448494104[[#This Row],[COMISIONES]]*0.21</f>
        <v>0</v>
      </c>
      <c r="P98" s="18"/>
      <c r="Q98" s="18"/>
      <c r="R98" s="18"/>
      <c r="T98"/>
      <c r="U98"/>
      <c r="V98"/>
      <c r="W98"/>
      <c r="X98"/>
      <c r="Z98" s="1"/>
      <c r="AA98" s="21">
        <f>Tabla35681321293971727478797107[[#This Row],[COMISIONES]]*0.21</f>
        <v>0</v>
      </c>
      <c r="AB98" s="21"/>
      <c r="AC98" s="21"/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Tabla391523314191929498999109[[#This Row],[COMISIONES]]*0.21</f>
        <v>0</v>
      </c>
      <c r="J99" s="21"/>
      <c r="K99" s="21"/>
      <c r="L99" s="21"/>
      <c r="N99" s="18"/>
      <c r="O99" s="11">
        <f>Tabla351018263641424448494104[[#This Row],[COMISIONES]]*0.21</f>
        <v>0</v>
      </c>
      <c r="P99" s="18"/>
      <c r="Q99" s="18"/>
      <c r="R99" s="18"/>
      <c r="T99"/>
      <c r="U99"/>
      <c r="V99"/>
      <c r="W99"/>
      <c r="X99"/>
      <c r="Z99" s="1"/>
      <c r="AA99" s="21">
        <f>Tabla35681321293971727478797107[[#This Row],[COMISIONES]]*0.21</f>
        <v>0</v>
      </c>
      <c r="AB99" s="21"/>
      <c r="AC99" s="21"/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Tabla391523314191929498999109[[#This Row],[COMISIONES]]*0.21</f>
        <v>0</v>
      </c>
      <c r="J100" s="21"/>
      <c r="K100" s="21"/>
      <c r="L100" s="21"/>
      <c r="N100" s="18"/>
      <c r="O100" s="11">
        <f>Tabla351018263641424448494104[[#This Row],[COMISIONES]]*0.21</f>
        <v>0</v>
      </c>
      <c r="P100" s="18"/>
      <c r="Q100" s="18"/>
      <c r="R100" s="18"/>
      <c r="T100"/>
      <c r="U100"/>
      <c r="V100"/>
      <c r="W100"/>
      <c r="X100"/>
      <c r="Z100" s="1"/>
      <c r="AA100" s="21">
        <f>Tabla35681321293971727478797107[[#This Row],[COMISIONES]]*0.21</f>
        <v>0</v>
      </c>
      <c r="AB100" s="21"/>
      <c r="AC100" s="21"/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Tabla391523314191929498999109[[#This Row],[COMISIONES]]*0.21</f>
        <v>0</v>
      </c>
      <c r="J101" s="21"/>
      <c r="K101" s="21"/>
      <c r="L101" s="21"/>
      <c r="N101" s="18"/>
      <c r="O101" s="11">
        <f>Tabla351018263641424448494104[[#This Row],[COMISIONES]]*0.21</f>
        <v>0</v>
      </c>
      <c r="P101" s="18"/>
      <c r="Q101" s="18"/>
      <c r="R101" s="18"/>
      <c r="T101"/>
      <c r="U101"/>
      <c r="V101"/>
      <c r="W101"/>
      <c r="X101"/>
      <c r="Z101"/>
      <c r="AA101" s="21">
        <f>Tabla35681321293971727478797107[[#This Row],[COMISIONES]]*0.21</f>
        <v>0</v>
      </c>
      <c r="AB101" s="21"/>
      <c r="AC101" s="21"/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SUBTOTAL(109,Tabla391523314191929498999109[COMISIONES])</f>
        <v>0</v>
      </c>
      <c r="I102" s="20">
        <f>SUBTOTAL(109,Tabla391523314191929498999109[IVA 21])</f>
        <v>0</v>
      </c>
      <c r="J102" s="20">
        <f>SUBTOTAL(109,Tabla391523314191929498999109[IVA 10,5])</f>
        <v>0</v>
      </c>
      <c r="K102" s="20">
        <f>SUBTOTAL(109,Tabla391523314191929498999109[Ret IIBB Caba])</f>
        <v>0</v>
      </c>
      <c r="L102" s="20">
        <f>SUBTOTAL(109,Tabla391523314191929498999109[PERC IVA])</f>
        <v>0</v>
      </c>
      <c r="N102" s="18"/>
      <c r="O102" s="11">
        <f>Tabla351018263641424448494104[[#This Row],[COMISIONES]]*0.21</f>
        <v>0</v>
      </c>
      <c r="P102" s="18"/>
      <c r="Q102" s="18"/>
      <c r="R102" s="18"/>
      <c r="T102"/>
      <c r="U102"/>
      <c r="V102"/>
      <c r="W102"/>
      <c r="X102"/>
      <c r="Z102" s="1"/>
      <c r="AA102" s="21">
        <f>Tabla35681321293971727478797107[[#This Row],[COMISIONES]]*0.21</f>
        <v>0</v>
      </c>
      <c r="AB102" s="21"/>
      <c r="AC102" s="21"/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Tabla351018263641424448494104[[#This Row],[COMISIONES]]*0.21</f>
        <v>0</v>
      </c>
      <c r="P103" s="18"/>
      <c r="Q103" s="18"/>
      <c r="R103" s="18"/>
      <c r="T103"/>
      <c r="U103"/>
      <c r="V103"/>
      <c r="W103"/>
      <c r="X103"/>
      <c r="Z103"/>
      <c r="AA103" s="21">
        <f>Tabla35681321293971727478797107[[#This Row],[COMISIONES]]*0.21</f>
        <v>0</v>
      </c>
      <c r="AB103" s="21"/>
      <c r="AC103" s="21"/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Tabla351018263641424448494104[[#This Row],[COMISIONES]]*0.21</f>
        <v>0</v>
      </c>
      <c r="P104" s="18"/>
      <c r="Q104" s="18"/>
      <c r="R104" s="18"/>
      <c r="T104"/>
      <c r="U104"/>
      <c r="V104"/>
      <c r="W104"/>
      <c r="X104"/>
      <c r="Z104" s="1"/>
      <c r="AA104" s="21">
        <f>Tabla35681321293971727478797107[[#This Row],[COMISIONES]]*0.21</f>
        <v>0</v>
      </c>
      <c r="AB104" s="21"/>
      <c r="AC104" s="1"/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Tabla351018263641424448494104[[#This Row],[COMISIONES]]*0.21</f>
        <v>0</v>
      </c>
      <c r="P105" s="18"/>
      <c r="Q105" s="18"/>
      <c r="R105" s="18"/>
      <c r="T105"/>
      <c r="U105"/>
      <c r="V105"/>
      <c r="W105"/>
      <c r="X105"/>
      <c r="Z105" s="1"/>
      <c r="AA105" s="21">
        <f>Tabla35681321293971727478797107[[#This Row],[COMISIONES]]*0.21</f>
        <v>0</v>
      </c>
      <c r="AB105" s="21"/>
      <c r="AC105" s="1"/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Tabla351018263641424448494104[[#This Row],[COMISIONES]]*0.21</f>
        <v>0</v>
      </c>
      <c r="P106" s="18"/>
      <c r="Q106" s="18"/>
      <c r="R106" s="18"/>
      <c r="T106"/>
      <c r="U106"/>
      <c r="V106"/>
      <c r="W106"/>
      <c r="X106"/>
      <c r="Z106" s="1"/>
      <c r="AA106" s="21">
        <f>Tabla35681321293971727478797107[[#This Row],[COMISIONES]]*0.21</f>
        <v>0</v>
      </c>
      <c r="AB106" s="21"/>
      <c r="AC106" s="1"/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Tabla351018263641424448494104[[#This Row],[COMISIONES]]*0.21</f>
        <v>0</v>
      </c>
      <c r="P107" s="18"/>
      <c r="Q107" s="18"/>
      <c r="R107" s="18"/>
      <c r="T107"/>
      <c r="U107"/>
      <c r="V107"/>
      <c r="W107"/>
      <c r="X107"/>
      <c r="Z107" s="1"/>
      <c r="AA107" s="21">
        <f>Tabla35681321293971727478797107[[#This Row],[COMISIONES]]*0.21</f>
        <v>0</v>
      </c>
      <c r="AB107" s="21"/>
      <c r="AC107" s="1"/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Tabla351018263641424448494104[[#This Row],[COMISIONES]]*0.21</f>
        <v>0</v>
      </c>
      <c r="P108" s="18"/>
      <c r="Q108" s="18"/>
      <c r="R108" s="18"/>
      <c r="T108"/>
      <c r="U108"/>
      <c r="V108"/>
      <c r="W108"/>
      <c r="X108"/>
      <c r="Z108" s="1"/>
      <c r="AA108" s="21">
        <f>Tabla35681321293971727478797107[[#This Row],[COMISIONES]]*0.21</f>
        <v>0</v>
      </c>
      <c r="AB108" s="21"/>
      <c r="AC108" s="1"/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Tabla351018263641424448494104[[#This Row],[COMISIONES]]*0.21</f>
        <v>0</v>
      </c>
      <c r="P109" s="18"/>
      <c r="Q109" s="18"/>
      <c r="R109" s="18"/>
      <c r="T109"/>
      <c r="U109"/>
      <c r="V109"/>
      <c r="W109"/>
      <c r="X109"/>
      <c r="Z109" s="1"/>
      <c r="AA109" s="21">
        <f>Tabla35681321293971727478797107[[#This Row],[COMISIONES]]*0.21</f>
        <v>0</v>
      </c>
      <c r="AB109" s="21"/>
      <c r="AC109" s="1"/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Tabla351018263641424448494104[[#This Row],[COMISIONES]]*0.21</f>
        <v>0</v>
      </c>
      <c r="P110" s="18"/>
      <c r="Q110" s="18"/>
      <c r="R110" s="18"/>
      <c r="T110"/>
      <c r="U110"/>
      <c r="V110"/>
      <c r="W110"/>
      <c r="X110"/>
      <c r="Z110" s="1"/>
      <c r="AA110" s="21">
        <f>Tabla35681321293971727478797107[[#This Row],[COMISIONES]]*0.21</f>
        <v>0</v>
      </c>
      <c r="AB110" s="21"/>
      <c r="AC110" s="1"/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Tabla351018263641424448494104[[#This Row],[COMISIONES]]*0.21</f>
        <v>0</v>
      </c>
      <c r="P111" s="18"/>
      <c r="Q111" s="18"/>
      <c r="R111" s="18"/>
      <c r="T111"/>
      <c r="U111"/>
      <c r="V111"/>
      <c r="W111"/>
      <c r="X111"/>
      <c r="Z111" s="1"/>
      <c r="AA111" s="21">
        <f>Tabla35681321293971727478797107[[#This Row],[COMISIONES]]*0.21</f>
        <v>0</v>
      </c>
      <c r="AB111" s="21"/>
      <c r="AC111" s="1"/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Tabla351018263641424448494104[[#This Row],[COMISIONES]]*0.21</f>
        <v>0</v>
      </c>
      <c r="P112" s="18"/>
      <c r="Q112" s="18"/>
      <c r="R112" s="18"/>
      <c r="T112"/>
      <c r="U112"/>
      <c r="V112"/>
      <c r="W112"/>
      <c r="X112"/>
      <c r="Z112" s="1"/>
      <c r="AA112" s="21">
        <f>Tabla35681321293971727478797107[[#This Row],[COMISIONES]]*0.21</f>
        <v>0</v>
      </c>
      <c r="AB112" s="21"/>
      <c r="AC112" s="21"/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Tabla351018263641424448494104[[#This Row],[COMISIONES]]*0.21</f>
        <v>0</v>
      </c>
      <c r="P113" s="18"/>
      <c r="Q113" s="18"/>
      <c r="R113" s="18"/>
      <c r="T113"/>
      <c r="U113"/>
      <c r="V113"/>
      <c r="W113"/>
      <c r="X113"/>
      <c r="Z113"/>
      <c r="AA113" s="21">
        <f>Tabla35681321293971727478797107[[#This Row],[COMISIONES]]*0.21</f>
        <v>0</v>
      </c>
      <c r="AB113" s="21"/>
      <c r="AC113" s="21"/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Tabla351018263641424448494104[[#This Row],[COMISIONES]]*0.21</f>
        <v>0</v>
      </c>
      <c r="P114" s="18"/>
      <c r="Q114" s="18"/>
      <c r="R114" s="18"/>
      <c r="T114"/>
      <c r="U114"/>
      <c r="V114"/>
      <c r="W114"/>
      <c r="X114"/>
      <c r="Z114" s="1"/>
      <c r="AA114" s="21">
        <f>Tabla35681321293971727478797107[[#This Row],[COMISIONES]]*0.21</f>
        <v>0</v>
      </c>
      <c r="AB114" s="21"/>
      <c r="AC114" s="1"/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Tabla351018263641424448494104[[#This Row],[COMISIONES]]*0.21</f>
        <v>0</v>
      </c>
      <c r="P115" s="18"/>
      <c r="Q115" s="18"/>
      <c r="R115" s="18"/>
      <c r="T115"/>
      <c r="U115"/>
      <c r="V115"/>
      <c r="W115"/>
      <c r="X115"/>
      <c r="Z115" s="21"/>
      <c r="AA115" s="21">
        <f>Tabla35681321293971727478797107[[#This Row],[COMISIONES]]*0.21</f>
        <v>0</v>
      </c>
      <c r="AB115" s="21"/>
      <c r="AC115" s="1"/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Tabla351018263641424448494104[[#This Row],[COMISIONES]]*0.21</f>
        <v>0</v>
      </c>
      <c r="P116" s="18"/>
      <c r="Q116" s="18"/>
      <c r="R116" s="18"/>
      <c r="T116"/>
      <c r="U116"/>
      <c r="V116"/>
      <c r="W116"/>
      <c r="X116"/>
      <c r="Z116" s="1"/>
      <c r="AA116" s="21">
        <f>Tabla35681321293971727478797107[[#This Row],[COMISIONES]]*0.21</f>
        <v>0</v>
      </c>
      <c r="AB116" s="21"/>
      <c r="AC116" s="1"/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Tabla351018263641424448494104[[#This Row],[COMISIONES]]*0.21</f>
        <v>0</v>
      </c>
      <c r="P117" s="18"/>
      <c r="Q117" s="18"/>
      <c r="R117" s="18"/>
      <c r="T117"/>
      <c r="U117"/>
      <c r="V117"/>
      <c r="W117"/>
      <c r="X117"/>
      <c r="Z117" s="1"/>
      <c r="AA117" s="21">
        <f>Tabla35681321293971727478797107[[#This Row],[COMISIONES]]*0.21</f>
        <v>0</v>
      </c>
      <c r="AB117" s="21"/>
      <c r="AC117" s="1"/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Tabla351018263641424448494104[[#This Row],[COMISIONES]]*0.21</f>
        <v>0</v>
      </c>
      <c r="P118" s="18"/>
      <c r="Q118" s="18"/>
      <c r="R118" s="18"/>
      <c r="T118"/>
      <c r="U118"/>
      <c r="V118"/>
      <c r="W118"/>
      <c r="X118"/>
      <c r="Z118" s="1"/>
      <c r="AA118" s="21">
        <f>Tabla35681321293971727478797107[[#This Row],[COMISIONES]]*0.21</f>
        <v>0</v>
      </c>
      <c r="AB118" s="21"/>
      <c r="AC118" s="1"/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Tabla351018263641424448494104[[#This Row],[COMISIONES]]*0.21</f>
        <v>0</v>
      </c>
      <c r="P119" s="18"/>
      <c r="Q119" s="18"/>
      <c r="R119" s="18"/>
      <c r="T119"/>
      <c r="U119"/>
      <c r="V119"/>
      <c r="W119"/>
      <c r="X119"/>
      <c r="Z119"/>
      <c r="AA119" s="21">
        <f>Tabla35681321293971727478797107[[#This Row],[COMISIONES]]*0.21</f>
        <v>0</v>
      </c>
      <c r="AB119" s="21"/>
      <c r="AC119" s="21"/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Tabla351018263641424448494104[[#This Row],[COMISIONES]]*0.21</f>
        <v>0</v>
      </c>
      <c r="P120" s="18"/>
      <c r="Q120" s="18"/>
      <c r="R120" s="18"/>
      <c r="T120"/>
      <c r="U120"/>
      <c r="V120"/>
      <c r="W120"/>
      <c r="X120"/>
      <c r="Z120" s="1"/>
      <c r="AA120" s="21">
        <f>Tabla35681321293971727478797107[[#This Row],[COMISIONES]]*0.21</f>
        <v>0</v>
      </c>
      <c r="AB120" s="21"/>
      <c r="AC120" s="21"/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Tabla351018263641424448494104[[#This Row],[COMISIONES]]*0.21</f>
        <v>0</v>
      </c>
      <c r="P121" s="18"/>
      <c r="Q121" s="18"/>
      <c r="R121" s="18"/>
      <c r="T121"/>
      <c r="U121"/>
      <c r="V121"/>
      <c r="W121"/>
      <c r="X121"/>
      <c r="Z121" s="1"/>
      <c r="AA121" s="21">
        <f>Tabla35681321293971727478797107[[#This Row],[COMISIONES]]*0.21</f>
        <v>0</v>
      </c>
      <c r="AB121" s="21"/>
      <c r="AC121" s="21"/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Tabla351018263641424448494104[[#This Row],[COMISIONES]]*0.21</f>
        <v>0</v>
      </c>
      <c r="P122" s="18"/>
      <c r="Q122" s="18"/>
      <c r="R122" s="18"/>
      <c r="T122"/>
      <c r="U122"/>
      <c r="V122"/>
      <c r="W122"/>
      <c r="X122"/>
      <c r="Z122" s="1"/>
      <c r="AA122" s="21">
        <f>Tabla35681321293971727478797107[[#This Row],[COMISIONES]]*0.21</f>
        <v>0</v>
      </c>
      <c r="AB122" s="21"/>
      <c r="AC122" s="21"/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/>
      <c r="U123"/>
      <c r="V123"/>
      <c r="W123"/>
      <c r="X123"/>
      <c r="Z123" s="1"/>
      <c r="AA123" s="21">
        <f>Tabla35681321293971727478797107[[#This Row],[COMISIONES]]*0.21</f>
        <v>0</v>
      </c>
      <c r="AB123" s="21"/>
      <c r="AC123" s="21"/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/>
      <c r="AA124" s="21">
        <f>Tabla35681321293971727478797107[[#This Row],[COMISIONES]]*0.21</f>
        <v>0</v>
      </c>
      <c r="AB124" s="21"/>
      <c r="AC124" s="21"/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1"/>
      <c r="AA125" s="21">
        <f>Tabla35681321293971727478797107[[#This Row],[COMISIONES]]*0.21</f>
        <v>0</v>
      </c>
      <c r="AB125" s="21"/>
      <c r="AC125" s="21"/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1"/>
      <c r="AA126" s="21">
        <f>Tabla35681321293971727478797107[[#This Row],[COMISIONES]]*0.21</f>
        <v>0</v>
      </c>
      <c r="AB126" s="21"/>
      <c r="AC126" s="21"/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1"/>
      <c r="AA127" s="21">
        <f>Tabla35681321293971727478797107[[#This Row],[COMISIONES]]*0.21</f>
        <v>0</v>
      </c>
      <c r="AB127" s="21"/>
      <c r="AC127" s="21"/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1"/>
      <c r="AA128" s="21">
        <f>Tabla35681321293971727478797107[[#This Row],[COMISIONES]]*0.21</f>
        <v>0</v>
      </c>
      <c r="AB128" s="21"/>
      <c r="AC128" s="21"/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Tabla35681321293971727478797107[[#This Row],[COMISIONES]]*0.21</f>
        <v>0</v>
      </c>
      <c r="AB129" s="21"/>
      <c r="AC129" s="21"/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Tabla35681321293971727478797107[[#This Row],[COMISIONES]]*0.21</f>
        <v>0</v>
      </c>
      <c r="AB130" s="21"/>
      <c r="AC130" s="21"/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Tabla35681321293971727478797107[[#This Row],[COMISIONES]]*0.21</f>
        <v>0</v>
      </c>
      <c r="AB131" s="21"/>
      <c r="AC131" s="21"/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Tabla35681321293971727478797107[[#This Row],[COMISIONES]]*0.21</f>
        <v>0</v>
      </c>
      <c r="AB132" s="21"/>
      <c r="AC132" s="21"/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Tabla35681321293971727478797107[[#This Row],[COMISIONES]]*0.21</f>
        <v>0</v>
      </c>
      <c r="AB133" s="21"/>
      <c r="AC133" s="21"/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Tabla351018263641424448494104[[#This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Tabla35681321293971727478797107[[#This Row],[COMISIONES]]*0.21</f>
        <v>0</v>
      </c>
      <c r="AB134" s="21"/>
      <c r="AC134" s="21"/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24">
        <f>SUBTOTAL(109,Tabla351018263641424448494104[COMISIONES])</f>
        <v>0</v>
      </c>
      <c r="O135" s="24">
        <f>SUBTOTAL(109,Tabla351018263641424448494104[IVA 21])</f>
        <v>0</v>
      </c>
      <c r="P135" s="24">
        <f>SUBTOTAL(109,Tabla351018263641424448494104[IVA 10,5])</f>
        <v>0</v>
      </c>
      <c r="Q135" s="24">
        <f>SUBTOTAL(109,Tabla351018263641424448494104[Ret IIBB Caba])</f>
        <v>0</v>
      </c>
      <c r="R135" s="24">
        <f>SUBTOTAL(109,Tabla351018263641424448494104[PERC IVA])</f>
        <v>0</v>
      </c>
      <c r="T135"/>
      <c r="U135"/>
      <c r="V135"/>
      <c r="W135"/>
      <c r="X135"/>
      <c r="Z135" s="21"/>
      <c r="AA135" s="21">
        <f>Tabla35681321293971727478797107[[#This Row],[COMISIONES]]*0.21</f>
        <v>0</v>
      </c>
      <c r="AB135" s="21"/>
      <c r="AC135" s="21"/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Tabla35681321293971727478797107[[#This Row],[COMISIONES]]*0.21</f>
        <v>0</v>
      </c>
      <c r="AB136" s="21"/>
      <c r="AC136" s="21"/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Tabla35681321293971727478797107[[#This Row],[COMISIONES]]*0.21</f>
        <v>0</v>
      </c>
      <c r="AB137" s="21"/>
      <c r="AC137" s="21"/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Tabla35681321293971727478797107[[#This Row],[COMISIONES]]*0.21</f>
        <v>0</v>
      </c>
      <c r="AB138" s="21"/>
      <c r="AC138" s="21"/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Tabla35681321293971727478797107[[#This Row],[COMISIONES]]*0.21</f>
        <v>0</v>
      </c>
      <c r="AB139" s="21"/>
      <c r="AC139" s="21"/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Tabla35681321293971727478797107[[#This Row],[COMISIONES]]*0.21</f>
        <v>0</v>
      </c>
      <c r="AB140" s="21"/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Tabla35681321293971727478797107[[#This Row],[COMISIONES]]*0.21</f>
        <v>0</v>
      </c>
      <c r="AB141" s="21"/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Tabla35681321293971727478797107[[#This Row],[COMISIONES]]*0.21</f>
        <v>0</v>
      </c>
      <c r="AB142" s="21"/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Tabla35681321293971727478797107[[#This Row],[COMISIONES]]*0.21</f>
        <v>0</v>
      </c>
      <c r="AB143" s="21"/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Tabla35681321293971727478797107[[#This Row],[COMISIONES]]*0.21</f>
        <v>0</v>
      </c>
      <c r="AB144" s="21"/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Tabla35681321293971727478797107[[#This Row],[COMISIONES]]*0.21</f>
        <v>0</v>
      </c>
      <c r="AB145" s="21"/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Tabla35681321293971727478797107[[#This Row],[COMISIONES]]*0.21</f>
        <v>0</v>
      </c>
      <c r="AB146" s="21"/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Tabla35681321293971727478797107[[#This Row],[COMISIONES]]*0.21</f>
        <v>0</v>
      </c>
      <c r="AB147" s="21"/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Tabla35681321293971727478797107[[#This Row],[COMISIONES]]*0.21</f>
        <v>0</v>
      </c>
      <c r="AB148" s="21"/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Tabla35681321293971727478797107[[#This Row],[COMISIONES]]*0.21</f>
        <v>0</v>
      </c>
      <c r="AB149" s="21"/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Tabla35681321293971727478797107[[#This Row],[COMISIONES]]*0.21</f>
        <v>0</v>
      </c>
      <c r="AB150" s="21"/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Tabla35681321293971727478797107[[#This Row],[COMISIONES]]*0.21</f>
        <v>0</v>
      </c>
      <c r="AB151" s="21"/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Tabla35681321293971727478797107[[#This Row],[COMISIONES]]*0.21</f>
        <v>0</v>
      </c>
      <c r="AB152" s="21"/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Tabla35681321293971727478797107[[#This Row],[COMISIONES]]*0.21</f>
        <v>0</v>
      </c>
      <c r="AB153" s="21"/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Tabla35681321293971727478797107[[#This Row],[COMISIONES]]*0.21</f>
        <v>0</v>
      </c>
      <c r="AB154" s="21"/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Tabla35681321293971727478797107[[#This Row],[COMISIONES]]*0.21</f>
        <v>0</v>
      </c>
      <c r="AB155" s="21"/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Tabla35681321293971727478797107[[#This Row],[COMISIONES]]*0.21</f>
        <v>0</v>
      </c>
      <c r="AB156" s="21"/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Tabla35681321293971727478797107[[#This Row],[COMISIONES]]*0.21</f>
        <v>0</v>
      </c>
      <c r="AB157" s="21"/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Tabla35681321293971727478797107[[#This Row],[COMISIONES]]*0.21</f>
        <v>0</v>
      </c>
      <c r="AB158" s="21"/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Tabla35681321293971727478797107[[#This Row],[COMISIONES]]*0.21</f>
        <v>0</v>
      </c>
      <c r="AB159" s="21"/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Tabla35681321293971727478797107[[#This Row],[COMISIONES]]*0.21</f>
        <v>0</v>
      </c>
      <c r="AB160" s="21"/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Tabla35681321293971727478797107[[#This Row],[COMISIONES]]*0.21</f>
        <v>0</v>
      </c>
      <c r="AB161" s="21"/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Tabla35681321293971727478797107[[#This Row],[COMISIONES]]*0.21</f>
        <v>0</v>
      </c>
      <c r="AB162" s="21"/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Tabla35681321293971727478797107[[#This Row],[COMISIONES]]*0.21</f>
        <v>0</v>
      </c>
      <c r="AB163" s="21"/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Tabla35681321293971727478797107[[#This Row],[COMISIONES]]*0.21</f>
        <v>0</v>
      </c>
      <c r="AB164" s="21"/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Tabla35681321293971727478797107[[#This Row],[COMISIONES]]*0.21</f>
        <v>0</v>
      </c>
      <c r="AB165" s="21"/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Tabla35681321293971727478797107[[#This Row],[COMISIONES]]*0.21</f>
        <v>0</v>
      </c>
      <c r="AB166" s="21"/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Tabla35681321293971727478797107[[#This Row],[COMISIONES]]*0.21</f>
        <v>0</v>
      </c>
      <c r="AB167" s="21"/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Tabla35681321293971727478797107[[#This Row],[COMISIONES]]*0.21</f>
        <v>0</v>
      </c>
      <c r="AB168" s="21"/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SUBTOTAL(109,Tabla35681321293971727478797107[COMISIONES])</f>
        <v>0</v>
      </c>
      <c r="AA169" s="4">
        <f>SUBTOTAL(109,Tabla35681321293971727478797107[IVA 21])</f>
        <v>0</v>
      </c>
      <c r="AB169" s="4">
        <f>SUBTOTAL(109,Tabla35681321293971727478797107[IVA 10,5])</f>
        <v>0</v>
      </c>
      <c r="AC169" s="4">
        <f>SUBTOTAL(109,Tabla35681321293971727478797107[Ret IIBB Caba])</f>
        <v>0</v>
      </c>
      <c r="AD169" s="4">
        <f>SUBTOTAL(109,Tabla35681321293971727478797107[PERC IVA])</f>
        <v>0</v>
      </c>
      <c r="AF169"/>
      <c r="AG169"/>
      <c r="AH169"/>
      <c r="AI169"/>
      <c r="AJ169"/>
      <c r="AK169"/>
      <c r="AL169"/>
      <c r="AM169"/>
      <c r="AN169"/>
      <c r="AO169"/>
    </row>
  </sheetData>
  <mergeCells count="22">
    <mergeCell ref="AK14:AO14"/>
    <mergeCell ref="T32:X32"/>
    <mergeCell ref="H54:L54"/>
    <mergeCell ref="T64:X64"/>
    <mergeCell ref="B14:F14"/>
    <mergeCell ref="H14:L14"/>
    <mergeCell ref="N14:R14"/>
    <mergeCell ref="T14:X14"/>
    <mergeCell ref="Z14:AD14"/>
    <mergeCell ref="AF14:AJ14"/>
    <mergeCell ref="G7:H7"/>
    <mergeCell ref="G8:H8"/>
    <mergeCell ref="G9:H9"/>
    <mergeCell ref="G10:H10"/>
    <mergeCell ref="G11:H11"/>
    <mergeCell ref="G12:H12"/>
    <mergeCell ref="G2:H2"/>
    <mergeCell ref="J2:K2"/>
    <mergeCell ref="G3:H3"/>
    <mergeCell ref="G4:H4"/>
    <mergeCell ref="G5:H5"/>
    <mergeCell ref="G6:H6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3E07-E267-4BFF-8065-BF26AB92F8BB}">
  <dimension ref="A1:AO169"/>
  <sheetViews>
    <sheetView showGridLines="0" zoomScale="80" zoomScaleNormal="80" workbookViewId="0">
      <selection activeCell="D7" sqref="D7:D11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2.140625" customWidth="1"/>
    <col min="7" max="7" width="2.5703125" style="6" customWidth="1"/>
    <col min="8" max="8" width="12.7109375" customWidth="1"/>
    <col min="9" max="9" width="13.5703125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6" max="26" width="15.42578125" bestFit="1" customWidth="1"/>
    <col min="27" max="27" width="13.28515625" customWidth="1"/>
    <col min="31" max="31" width="2.5703125" style="6" customWidth="1"/>
  </cols>
  <sheetData>
    <row r="1" spans="1:41" x14ac:dyDescent="0.25">
      <c r="G1"/>
      <c r="M1"/>
      <c r="S1"/>
      <c r="Y1"/>
      <c r="AE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4</v>
      </c>
      <c r="H2" s="38"/>
      <c r="J2" s="39">
        <v>45536</v>
      </c>
      <c r="K2" s="39"/>
      <c r="M2"/>
      <c r="S2"/>
      <c r="Y2"/>
      <c r="AE2"/>
    </row>
    <row r="3" spans="1:41" x14ac:dyDescent="0.25">
      <c r="B3" s="25" t="str">
        <f>+B14</f>
        <v>Liquidacion amex Credito</v>
      </c>
      <c r="C3" s="14"/>
      <c r="D3" s="14"/>
      <c r="E3" s="14"/>
      <c r="F3" s="14"/>
      <c r="G3" s="35"/>
      <c r="H3" s="36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/>
      <c r="D4" s="14"/>
      <c r="E4" s="14"/>
      <c r="F4" s="14"/>
      <c r="G4" s="35"/>
      <c r="H4" s="36"/>
      <c r="J4" s="2"/>
      <c r="K4" s="3"/>
      <c r="M4"/>
      <c r="S4"/>
      <c r="Y4"/>
      <c r="AE4"/>
    </row>
    <row r="5" spans="1:41" x14ac:dyDescent="0.25">
      <c r="B5" s="25" t="str">
        <f>+N14</f>
        <v>FRANCES extracto (27/03)</v>
      </c>
      <c r="C5" s="14">
        <v>237010</v>
      </c>
      <c r="D5" s="14">
        <v>49772.1</v>
      </c>
      <c r="E5" s="14"/>
      <c r="F5" s="14">
        <v>13860</v>
      </c>
      <c r="G5" s="35">
        <v>6963.28</v>
      </c>
      <c r="H5" s="36"/>
      <c r="M5"/>
      <c r="S5"/>
      <c r="Y5"/>
      <c r="AE5"/>
    </row>
    <row r="6" spans="1:41" x14ac:dyDescent="0.25">
      <c r="B6" s="25" t="str">
        <f>+T14</f>
        <v>GALICIA EXTRACTO (31/03)</v>
      </c>
      <c r="C6" s="14">
        <v>28350</v>
      </c>
      <c r="D6" s="14">
        <v>5953.5</v>
      </c>
      <c r="E6" s="14"/>
      <c r="F6" s="14"/>
      <c r="G6" s="35">
        <v>850</v>
      </c>
      <c r="H6" s="36"/>
      <c r="M6"/>
      <c r="S6"/>
      <c r="Y6"/>
      <c r="AE6"/>
    </row>
    <row r="7" spans="1:41" x14ac:dyDescent="0.25">
      <c r="B7" s="25" t="str">
        <f>+Z14</f>
        <v>SANTANDER</v>
      </c>
      <c r="C7" s="31">
        <v>1145597.0604761899</v>
      </c>
      <c r="D7" s="14">
        <v>156801.65310000003</v>
      </c>
      <c r="E7" s="14">
        <v>41886.884800000007</v>
      </c>
      <c r="F7" s="14"/>
      <c r="G7" s="35"/>
      <c r="H7" s="36"/>
      <c r="M7"/>
      <c r="S7"/>
      <c r="Y7"/>
      <c r="AE7"/>
    </row>
    <row r="8" spans="1:41" x14ac:dyDescent="0.25">
      <c r="B8" s="25" t="str">
        <f>+T32</f>
        <v>RESUM BCO BBVA VISA 31/09(Nº RESUMEN 000017206766)</v>
      </c>
      <c r="C8" s="14">
        <v>169995</v>
      </c>
      <c r="D8" s="14">
        <v>35698.949999999997</v>
      </c>
      <c r="E8" s="14"/>
      <c r="F8" s="14"/>
      <c r="G8" s="35"/>
      <c r="H8" s="36"/>
      <c r="M8"/>
      <c r="S8"/>
      <c r="Y8"/>
      <c r="AE8"/>
    </row>
    <row r="9" spans="1:41" x14ac:dyDescent="0.25">
      <c r="B9" s="28" t="str">
        <f>+AF14</f>
        <v>GALICIA - CREDITO</v>
      </c>
      <c r="C9" s="14">
        <v>1500</v>
      </c>
      <c r="D9" s="14">
        <v>315</v>
      </c>
      <c r="E9" s="14"/>
      <c r="F9" s="14"/>
      <c r="G9" s="35"/>
      <c r="H9" s="36"/>
      <c r="M9"/>
      <c r="S9"/>
      <c r="Y9"/>
      <c r="AE9"/>
    </row>
    <row r="10" spans="1:41" x14ac:dyDescent="0.25">
      <c r="B10" s="28" t="s">
        <v>33</v>
      </c>
      <c r="C10" s="14"/>
      <c r="D10" s="14"/>
      <c r="E10" s="14"/>
      <c r="F10" s="14"/>
      <c r="G10" s="35"/>
      <c r="H10" s="43"/>
      <c r="M10"/>
      <c r="S10"/>
      <c r="Y10"/>
      <c r="AE10"/>
    </row>
    <row r="11" spans="1:41" x14ac:dyDescent="0.25">
      <c r="B11" s="28" t="str">
        <f>+AK14</f>
        <v xml:space="preserve">BBVA CREDITO </v>
      </c>
      <c r="C11" s="14">
        <v>4735.54</v>
      </c>
      <c r="D11" s="14">
        <v>994.46339999999998</v>
      </c>
      <c r="E11" s="14"/>
      <c r="F11" s="14">
        <v>6459.08</v>
      </c>
      <c r="G11" s="35"/>
      <c r="H11" s="36"/>
      <c r="M11"/>
      <c r="S11"/>
      <c r="Y11"/>
      <c r="AE11"/>
    </row>
    <row r="12" spans="1:41" x14ac:dyDescent="0.25">
      <c r="A12" s="26"/>
      <c r="B12" s="26"/>
      <c r="C12" s="27">
        <f>SUM(C3:C11)</f>
        <v>1587187.60047619</v>
      </c>
      <c r="D12" s="27">
        <f t="shared" ref="D12:F12" si="0">SUM(D3:D11)</f>
        <v>249535.66650000005</v>
      </c>
      <c r="E12" s="27">
        <f t="shared" si="0"/>
        <v>41886.884800000007</v>
      </c>
      <c r="F12" s="27">
        <f t="shared" si="0"/>
        <v>20319.080000000002</v>
      </c>
      <c r="G12" s="44">
        <f>SUM(G3:H11)</f>
        <v>7813.28</v>
      </c>
      <c r="H12" s="44"/>
      <c r="M12"/>
      <c r="S12"/>
      <c r="Y12"/>
      <c r="AE12"/>
    </row>
    <row r="13" spans="1:41" x14ac:dyDescent="0.25">
      <c r="A13" s="26"/>
      <c r="B13" s="26"/>
      <c r="G13"/>
      <c r="J13" t="s">
        <v>25</v>
      </c>
      <c r="M13"/>
      <c r="S13"/>
      <c r="V13" t="s">
        <v>25</v>
      </c>
      <c r="Y13"/>
      <c r="AE13"/>
    </row>
    <row r="14" spans="1:41" ht="16.5" customHeight="1" x14ac:dyDescent="0.3">
      <c r="B14" s="41" t="s">
        <v>7</v>
      </c>
      <c r="C14" s="41"/>
      <c r="D14" s="41"/>
      <c r="E14" s="41"/>
      <c r="F14" s="41"/>
      <c r="H14" s="41" t="s">
        <v>26</v>
      </c>
      <c r="I14" s="41"/>
      <c r="J14" s="41"/>
      <c r="K14" s="41"/>
      <c r="L14" s="41"/>
      <c r="N14" s="41" t="s">
        <v>30</v>
      </c>
      <c r="O14" s="41"/>
      <c r="P14" s="41"/>
      <c r="Q14" s="41"/>
      <c r="R14" s="41"/>
      <c r="T14" s="41" t="s">
        <v>24</v>
      </c>
      <c r="U14" s="41"/>
      <c r="V14" s="41"/>
      <c r="W14" s="41"/>
      <c r="X14" s="41"/>
      <c r="Z14" s="41" t="s">
        <v>34</v>
      </c>
      <c r="AA14" s="41"/>
      <c r="AB14" s="41"/>
      <c r="AC14" s="41"/>
      <c r="AD14" s="41"/>
      <c r="AF14" s="41" t="s">
        <v>36</v>
      </c>
      <c r="AG14" s="41"/>
      <c r="AH14" s="41"/>
      <c r="AI14" s="41"/>
      <c r="AJ14" s="41"/>
      <c r="AK14" s="41" t="s">
        <v>35</v>
      </c>
      <c r="AL14" s="41"/>
      <c r="AM14" s="41"/>
      <c r="AN14" s="41"/>
      <c r="AO14" s="41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/>
      <c r="C16" s="2">
        <f>Tabla13162432212223352[[#This Row],[COMISIONES]]*0.21</f>
        <v>0</v>
      </c>
      <c r="D16" s="3"/>
      <c r="E16" s="3"/>
      <c r="F16" s="1"/>
      <c r="G16" s="8"/>
      <c r="H16" s="3"/>
      <c r="I16" s="11">
        <f>Tabla39172535313233453[[#This Row],[COMISIONES]]*0.21</f>
        <v>0</v>
      </c>
      <c r="J16" s="11"/>
      <c r="K16" s="11"/>
      <c r="L16" s="3"/>
      <c r="M16" s="8"/>
      <c r="O16" s="11">
        <f>Tabla3510182636414244454[[#This Row],[COMISIONES]]*0.21</f>
        <v>0</v>
      </c>
      <c r="P16" s="11"/>
      <c r="Q16" s="1"/>
      <c r="S16" s="8"/>
      <c r="T16" s="11">
        <v>28350</v>
      </c>
      <c r="U16" s="11">
        <f>Tabla35611192737515254555[[#This Row],[COMISIONES]]*0.21</f>
        <v>5953.5</v>
      </c>
      <c r="V16" s="11"/>
      <c r="W16" s="11"/>
      <c r="X16" s="11">
        <v>850.5</v>
      </c>
      <c r="Y16" s="8"/>
      <c r="Z16" s="3">
        <v>43.76</v>
      </c>
      <c r="AA16" s="11"/>
      <c r="AB16" s="3">
        <f>Tabla356813212939717274757[[#This Row],[COMISIONES]]*0.105</f>
        <v>4.5947999999999993</v>
      </c>
      <c r="AC16" s="1"/>
      <c r="AE16" s="8"/>
      <c r="AF16">
        <v>1500</v>
      </c>
      <c r="AG16" s="11">
        <f>Tabla35681314223040818284858[[#This Row],[COMISIONES]]*0.21</f>
        <v>315</v>
      </c>
      <c r="AH16" s="11"/>
      <c r="AI16" s="1"/>
      <c r="AJ16" s="11"/>
      <c r="AK16" s="11">
        <v>4735.54</v>
      </c>
      <c r="AL16" s="11">
        <f>Tabla35611192734431121315161[[#This Row],[COMISIONES]]*0.21</f>
        <v>994.46339999999998</v>
      </c>
      <c r="AM16" s="11"/>
      <c r="AN16" s="11">
        <v>5240.6000000000004</v>
      </c>
      <c r="AO16" s="11"/>
    </row>
    <row r="17" spans="2:41" x14ac:dyDescent="0.25">
      <c r="B17" s="3"/>
      <c r="C17" s="2">
        <f>Tabla13162432212223352[[#This Row],[COMISIONES]]*0.21</f>
        <v>0</v>
      </c>
      <c r="D17" s="3"/>
      <c r="E17" s="3"/>
      <c r="F17" s="3"/>
      <c r="G17" s="8"/>
      <c r="H17" s="11"/>
      <c r="I17" s="11">
        <f>Tabla39172535313233453[[#This Row],[COMISIONES]]*0.21</f>
        <v>0</v>
      </c>
      <c r="J17" s="11"/>
      <c r="K17" s="11"/>
      <c r="L17" s="11"/>
      <c r="M17" s="8"/>
      <c r="N17" s="11"/>
      <c r="O17" s="11"/>
      <c r="P17" s="11">
        <f>Tabla3510182636414244454[[#This Row],[COMISIONES]]*0.105</f>
        <v>0</v>
      </c>
      <c r="Q17" s="1"/>
      <c r="S17" s="8"/>
      <c r="T17" s="11"/>
      <c r="U17" s="11">
        <f>Tabla35611192737515254555[[#This Row],[COMISIONES]]*0.21</f>
        <v>0</v>
      </c>
      <c r="V17" s="11"/>
      <c r="W17" s="11"/>
      <c r="X17" s="11"/>
      <c r="Y17" s="8"/>
      <c r="Z17" s="3">
        <v>7488.28</v>
      </c>
      <c r="AA17" s="11">
        <f>Tabla356813212939717274757[[#This Row],[COMISIONES]]*0.21</f>
        <v>1572.5387999999998</v>
      </c>
      <c r="AB17" s="3"/>
      <c r="AC17" s="1"/>
      <c r="AE17" s="8"/>
      <c r="AF17" s="11"/>
      <c r="AG17" s="11">
        <f>Tabla35681314223040818284858[[#This Row],[COMISIONES]]*0.21</f>
        <v>0</v>
      </c>
      <c r="AH17" s="11"/>
      <c r="AI17" s="11"/>
      <c r="AJ17" s="11"/>
      <c r="AK17" s="11"/>
      <c r="AL17" s="11">
        <f>Tabla35611192734431121315161[[#This Row],[COMISIONES]]*0.21</f>
        <v>0</v>
      </c>
      <c r="AM17" s="11"/>
      <c r="AN17" s="11">
        <v>1218.48</v>
      </c>
      <c r="AO17" s="11"/>
    </row>
    <row r="18" spans="2:41" x14ac:dyDescent="0.25">
      <c r="B18" s="3"/>
      <c r="C18" s="2">
        <f>Tabla13162432212223352[[#This Row],[COMISIONES]]*0.21</f>
        <v>0</v>
      </c>
      <c r="D18" s="3"/>
      <c r="E18" s="3"/>
      <c r="F18" s="3"/>
      <c r="H18" s="11"/>
      <c r="I18" s="11">
        <f>Tabla39172535313233453[[#This Row],[COMISIONES]]*0.21</f>
        <v>0</v>
      </c>
      <c r="J18" s="11"/>
      <c r="K18" s="11"/>
      <c r="L18" s="11"/>
      <c r="N18" s="1"/>
      <c r="O18" s="11">
        <f>Tabla3510182636414244454[[#This Row],[COMISIONES]]*0.21</f>
        <v>0</v>
      </c>
      <c r="P18" s="11"/>
      <c r="Q18" s="11"/>
      <c r="R18" s="23"/>
      <c r="T18" s="11"/>
      <c r="U18" s="11">
        <f>Tabla35611192737515254555[[#This Row],[COMISIONES]]*0.21</f>
        <v>0</v>
      </c>
      <c r="V18" s="11"/>
      <c r="W18" s="11"/>
      <c r="X18" s="11"/>
      <c r="Z18" s="3">
        <v>18237.37</v>
      </c>
      <c r="AA18" s="11">
        <f>Tabla356813212939717274757[[#This Row],[COMISIONES]]*0.21</f>
        <v>3829.8476999999998</v>
      </c>
      <c r="AB18" s="3"/>
      <c r="AF18" s="11"/>
      <c r="AG18" s="11">
        <f>Tabla35681314223040818284858[[#This Row],[COMISIONES]]*0.21</f>
        <v>0</v>
      </c>
      <c r="AH18" s="11"/>
      <c r="AI18" s="11"/>
      <c r="AJ18" s="11"/>
      <c r="AK18" s="11"/>
      <c r="AL18" s="11">
        <f>Tabla35611192734431121315161[[#This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Tabla13162432212223352[[#This Row],[COMISIONES]]*0.21</f>
        <v>0</v>
      </c>
      <c r="D19" s="3"/>
      <c r="E19" s="3"/>
      <c r="F19" s="3"/>
      <c r="G19" s="8"/>
      <c r="H19" s="11"/>
      <c r="I19" s="11">
        <f>Tabla39172535313233453[[#This Row],[COMISIONES]]*0.21</f>
        <v>0</v>
      </c>
      <c r="J19" s="11"/>
      <c r="K19" s="11"/>
      <c r="L19" s="11"/>
      <c r="M19" s="8"/>
      <c r="N19" s="1"/>
      <c r="O19" s="11">
        <f>Tabla3510182636414244454[[#This Row],[COMISIONES]]*0.21</f>
        <v>0</v>
      </c>
      <c r="P19" s="11"/>
      <c r="Q19" s="11"/>
      <c r="R19" s="23"/>
      <c r="S19" s="8"/>
      <c r="T19" s="11"/>
      <c r="U19" s="11">
        <f>Tabla35611192737515254555[[#This Row],[COMISIONES]]*0.21</f>
        <v>0</v>
      </c>
      <c r="V19" s="11"/>
      <c r="W19" s="11"/>
      <c r="X19" s="11"/>
      <c r="Y19" s="8"/>
      <c r="Z19" s="3">
        <v>28591.27</v>
      </c>
      <c r="AA19" s="11"/>
      <c r="AB19" s="3">
        <f>Tabla356813212939717274757[[#This Row],[COMISIONES]]*0.105</f>
        <v>3002.0833499999999</v>
      </c>
      <c r="AC19" s="1"/>
      <c r="AE19" s="8"/>
      <c r="AF19" s="11"/>
      <c r="AG19" s="11">
        <f>Tabla35681314223040818284858[[#This Row],[COMISIONES]]*0.21</f>
        <v>0</v>
      </c>
      <c r="AH19" s="11"/>
      <c r="AI19" s="11"/>
      <c r="AJ19" s="11"/>
      <c r="AK19" s="11"/>
      <c r="AL19" s="11">
        <f>Tabla35611192734431121315161[[#This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Tabla13162432212223352[[#This Row],[COMISIONES]]*0.21</f>
        <v>0</v>
      </c>
      <c r="D20" s="3"/>
      <c r="E20" s="3"/>
      <c r="F20" s="3"/>
      <c r="H20" s="11"/>
      <c r="I20" s="11">
        <f>Tabla39172535313233453[[#This Row],[COMISIONES]]*0.21</f>
        <v>0</v>
      </c>
      <c r="J20" s="11"/>
      <c r="K20" s="11"/>
      <c r="L20" s="11"/>
      <c r="N20" s="1"/>
      <c r="O20" s="11">
        <f>Tabla3510182636414244454[[#This Row],[COMISIONES]]*0.21</f>
        <v>0</v>
      </c>
      <c r="P20" s="11"/>
      <c r="Q20" s="11"/>
      <c r="R20" s="23"/>
      <c r="T20" s="11"/>
      <c r="U20" s="11">
        <f>Tabla35611192737515254555[[#This Row],[COMISIONES]]*0.21</f>
        <v>0</v>
      </c>
      <c r="V20" s="11"/>
      <c r="W20" s="11"/>
      <c r="X20" s="11"/>
      <c r="Z20" s="3">
        <v>7554.2</v>
      </c>
      <c r="AA20" s="11">
        <f>Tabla356813212939717274757[[#This Row],[COMISIONES]]*0.21</f>
        <v>1586.3819999999998</v>
      </c>
      <c r="AB20" s="11"/>
      <c r="AC20" s="1"/>
      <c r="AF20" s="11"/>
      <c r="AG20" s="11">
        <f>Tabla35681314223040818284858[[#This Row],[COMISIONES]]*0.21</f>
        <v>0</v>
      </c>
      <c r="AH20" s="11"/>
      <c r="AI20" s="11"/>
      <c r="AJ20" s="11"/>
      <c r="AK20" s="11"/>
      <c r="AL20" s="11">
        <f>Tabla35611192734431121315161[[#This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Tabla13162432212223352[[#This Row],[COMISIONES]]*0.21</f>
        <v>0</v>
      </c>
      <c r="D21" s="3"/>
      <c r="E21" s="3"/>
      <c r="F21" s="3"/>
      <c r="H21" s="11"/>
      <c r="I21" s="11">
        <f>Tabla39172535313233453[[#This Row],[COMISIONES]]*0.21</f>
        <v>0</v>
      </c>
      <c r="J21" s="11"/>
      <c r="K21" s="11"/>
      <c r="L21" s="11"/>
      <c r="N21" s="11"/>
      <c r="O21" s="11">
        <f>Tabla3510182636414244454[[#This Row],[COMISIONES]]*0.21</f>
        <v>0</v>
      </c>
      <c r="P21" s="11"/>
      <c r="Q21" s="11"/>
      <c r="R21" s="11"/>
      <c r="T21" s="11"/>
      <c r="U21" s="11">
        <f>Tabla35611192737515254555[[#This Row],[COMISIONES]]*0.21</f>
        <v>0</v>
      </c>
      <c r="V21" s="11"/>
      <c r="W21" s="11"/>
      <c r="X21" s="11"/>
      <c r="Z21" s="3">
        <v>18122.68</v>
      </c>
      <c r="AA21" s="11">
        <f>Tabla356813212939717274757[[#This Row],[COMISIONES]]*0.21</f>
        <v>3805.7628</v>
      </c>
      <c r="AB21" s="11"/>
      <c r="AC21" s="1"/>
      <c r="AF21" s="11"/>
      <c r="AG21" s="11">
        <f>Tabla35681314223040818284858[[#This Row],[COMISIONES]]*0.21</f>
        <v>0</v>
      </c>
      <c r="AH21" s="11"/>
      <c r="AI21" s="11"/>
      <c r="AJ21" s="11"/>
      <c r="AK21" s="11"/>
      <c r="AL21" s="11">
        <f>Tabla35611192734431121315161[[#This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Tabla13162432212223352[[#This Row],[COMISIONES]]*0.21</f>
        <v>0</v>
      </c>
      <c r="D22" s="3"/>
      <c r="E22" s="3"/>
      <c r="F22" s="3"/>
      <c r="H22" s="11"/>
      <c r="I22" s="11">
        <f>Tabla39172535313233453[[#This Row],[COMISIONES]]*0.21</f>
        <v>0</v>
      </c>
      <c r="J22" s="11"/>
      <c r="K22" s="11"/>
      <c r="L22" s="11"/>
      <c r="N22" s="11"/>
      <c r="O22" s="11">
        <f>Tabla3510182636414244454[[#This Row],[COMISIONES]]*0.21</f>
        <v>0</v>
      </c>
      <c r="P22" s="11"/>
      <c r="Q22" s="11"/>
      <c r="R22" s="11"/>
      <c r="T22" s="11"/>
      <c r="U22" s="11">
        <f>Tabla35611192737515254555[[#This Row],[COMISIONES]]*0.21</f>
        <v>0</v>
      </c>
      <c r="V22" s="11"/>
      <c r="W22" s="11"/>
      <c r="X22" s="11"/>
      <c r="Z22" s="3">
        <f>Tabla356813212939717274757[[#This Row],[IVA 10,5]]*100/10.5</f>
        <v>19935.142857142859</v>
      </c>
      <c r="AA22" s="11"/>
      <c r="AB22" s="29">
        <v>2093.19</v>
      </c>
      <c r="AC22" s="1"/>
      <c r="AD22" s="11"/>
      <c r="AF22" s="11"/>
      <c r="AG22" s="11">
        <f>Tabla35681314223040818284858[[#This Row],[COMISIONES]]*0.21</f>
        <v>0</v>
      </c>
      <c r="AH22" s="11"/>
      <c r="AI22" s="11"/>
      <c r="AJ22" s="11"/>
      <c r="AK22" s="11"/>
      <c r="AL22" s="11">
        <f>Tabla35611192734431121315161[[#This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Tabla13162432212223352[[#This Row],[COMISIONES]]*0.21</f>
        <v>0</v>
      </c>
      <c r="D23" s="3"/>
      <c r="E23" s="3"/>
      <c r="F23" s="3"/>
      <c r="H23" s="11"/>
      <c r="I23" s="11">
        <f>Tabla39172535313233453[[#This Row],[COMISIONES]]*0.21</f>
        <v>0</v>
      </c>
      <c r="J23" s="11"/>
      <c r="K23" s="11"/>
      <c r="L23" s="11"/>
      <c r="N23" s="11"/>
      <c r="O23" s="11">
        <f>Tabla3510182636414244454[[#This Row],[COMISIONES]]*0.21</f>
        <v>0</v>
      </c>
      <c r="P23" s="11"/>
      <c r="Q23" s="11"/>
      <c r="R23" s="11"/>
      <c r="T23" s="11"/>
      <c r="U23" s="11">
        <f>Tabla35611192737515254555[[#This Row],[COMISIONES]]*0.21</f>
        <v>0</v>
      </c>
      <c r="V23" s="11"/>
      <c r="W23" s="11"/>
      <c r="X23" s="11"/>
      <c r="Z23" s="3">
        <v>11282.45</v>
      </c>
      <c r="AA23" s="11">
        <f>Tabla356813212939717274757[[#This Row],[COMISIONES]]*0.21</f>
        <v>2369.3145</v>
      </c>
      <c r="AB23" s="3"/>
      <c r="AC23" s="1"/>
      <c r="AD23" s="11"/>
      <c r="AF23" s="11"/>
      <c r="AG23" s="11">
        <f>Tabla35681314223040818284858[[#This Row],[COMISIONES]]*0.21</f>
        <v>0</v>
      </c>
      <c r="AH23" s="11"/>
      <c r="AI23" s="11"/>
      <c r="AJ23" s="11"/>
      <c r="AK23" s="11"/>
      <c r="AL23" s="11">
        <f>Tabla35611192734431121315161[[#This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Tabla13162432212223352[[#This Row],[COMISIONES]]*0.21</f>
        <v>0</v>
      </c>
      <c r="D24" s="3"/>
      <c r="E24" s="3"/>
      <c r="F24" s="3"/>
      <c r="H24" s="11"/>
      <c r="I24" s="11">
        <f>Tabla39172535313233453[[#This Row],[COMISIONES]]*0.21</f>
        <v>0</v>
      </c>
      <c r="J24" s="11"/>
      <c r="K24" s="11"/>
      <c r="L24" s="11"/>
      <c r="N24" s="11"/>
      <c r="O24" s="11">
        <f>Tabla3510182636414244454[[#This Row],[COMISIONES]]*0.21</f>
        <v>0</v>
      </c>
      <c r="P24" s="11"/>
      <c r="Q24" s="11"/>
      <c r="R24" s="11"/>
      <c r="T24" s="11"/>
      <c r="U24" s="11">
        <f>Tabla35611192737515254555[[#This Row],[COMISIONES]]*0.21</f>
        <v>0</v>
      </c>
      <c r="V24" s="11"/>
      <c r="W24" s="11"/>
      <c r="X24" s="11"/>
      <c r="Z24" s="3">
        <v>93505.57</v>
      </c>
      <c r="AA24" s="11">
        <f>Tabla356813212939717274757[[#This Row],[COMISIONES]]*0.21</f>
        <v>19636.169700000002</v>
      </c>
      <c r="AB24" s="11"/>
      <c r="AC24" s="1"/>
      <c r="AD24" s="11"/>
      <c r="AF24" s="11"/>
      <c r="AG24" s="11">
        <f>Tabla35681314223040818284858[[#This Row],[COMISIONES]]*0.21</f>
        <v>0</v>
      </c>
      <c r="AH24" s="11"/>
      <c r="AI24" s="11"/>
      <c r="AJ24" s="11"/>
      <c r="AK24" s="11"/>
      <c r="AL24" s="11">
        <f>Tabla35611192734431121315161[[#This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Tabla13162432212223352[[#This Row],[COMISIONES]]*0.21</f>
        <v>0</v>
      </c>
      <c r="D25" s="3"/>
      <c r="E25" s="3"/>
      <c r="F25" s="3"/>
      <c r="H25" s="11"/>
      <c r="I25" s="11">
        <f>Tabla39172535313233453[[#This Row],[COMISIONES]]*0.21</f>
        <v>0</v>
      </c>
      <c r="J25" s="11"/>
      <c r="K25" s="11"/>
      <c r="L25" s="11"/>
      <c r="N25" s="11"/>
      <c r="O25" s="11">
        <f>Tabla3510182636414244454[[#This Row],[COMISIONES]]*0.21</f>
        <v>0</v>
      </c>
      <c r="P25" s="11"/>
      <c r="Q25" s="11"/>
      <c r="R25" s="11"/>
      <c r="T25" s="11"/>
      <c r="U25" s="11">
        <f>Tabla35611192737515254555[[#This Row],[COMISIONES]]*0.21</f>
        <v>0</v>
      </c>
      <c r="V25" s="11"/>
      <c r="W25" s="11"/>
      <c r="X25" s="11"/>
      <c r="Z25" s="3">
        <v>137247.65</v>
      </c>
      <c r="AA25" s="11"/>
      <c r="AB25" s="11">
        <f>Tabla356813212939717274757[[#This Row],[COMISIONES]]*0.105</f>
        <v>14411.00325</v>
      </c>
      <c r="AC25" s="1"/>
      <c r="AD25" s="11"/>
      <c r="AF25" s="11"/>
      <c r="AG25" s="11">
        <f>Tabla35681314223040818284858[[#This Row],[COMISIONES]]*0.21</f>
        <v>0</v>
      </c>
      <c r="AH25" s="11"/>
      <c r="AI25" s="11"/>
      <c r="AJ25" s="11"/>
      <c r="AK25" s="11"/>
      <c r="AL25" s="11">
        <f>Tabla35611192734431121315161[[#This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Tabla13162432212223352[[#This Row],[COMISIONES]]*0.21</f>
        <v>0</v>
      </c>
      <c r="D26" s="3"/>
      <c r="E26" s="3"/>
      <c r="F26" s="3"/>
      <c r="H26" s="11"/>
      <c r="I26" s="11">
        <f>Tabla39172535313233453[[#This Row],[COMISIONES]]*0.21</f>
        <v>0</v>
      </c>
      <c r="J26" s="11"/>
      <c r="K26" s="11"/>
      <c r="L26" s="11"/>
      <c r="N26" s="11"/>
      <c r="O26" s="11">
        <f>Tabla3510182636414244454[[#This Row],[COMISIONES]]*0.21</f>
        <v>0</v>
      </c>
      <c r="P26" s="11"/>
      <c r="Q26" s="11"/>
      <c r="R26" s="11"/>
      <c r="T26" s="11"/>
      <c r="U26" s="11">
        <f>Tabla35611192737515254555[[#This Row],[COMISIONES]]*0.21</f>
        <v>0</v>
      </c>
      <c r="V26" s="11"/>
      <c r="W26" s="11"/>
      <c r="X26" s="11"/>
      <c r="Z26" s="3">
        <v>7288.1</v>
      </c>
      <c r="AA26" s="11">
        <f>Tabla356813212939717274757[[#This Row],[COMISIONES]]*0.21</f>
        <v>1530.501</v>
      </c>
      <c r="AB26" s="11"/>
      <c r="AC26" s="1"/>
      <c r="AD26" s="11"/>
      <c r="AF26" s="4">
        <f>SUBTOTAL(109,Tabla35681314223040818284858[COMISIONES])</f>
        <v>1500</v>
      </c>
      <c r="AG26" s="4">
        <f>SUBTOTAL(109,Tabla35681314223040818284858[IVA 21])</f>
        <v>315</v>
      </c>
      <c r="AH26" s="4">
        <f>SUBTOTAL(109,Tabla35681314223040818284858[IVA 10,5])</f>
        <v>0</v>
      </c>
      <c r="AI26" s="4">
        <f>SUBTOTAL(109,Tabla35681314223040818284858[Ret IIBB Caba])</f>
        <v>0</v>
      </c>
      <c r="AJ26" s="4">
        <f>SUBTOTAL(109,Tabla35681314223040818284858[PERC IVA])</f>
        <v>0</v>
      </c>
      <c r="AK26" s="11"/>
      <c r="AL26" s="11">
        <f>Tabla35611192734431121315161[[#This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Tabla13162432212223352[[#This Row],[COMISIONES]]*0.21</f>
        <v>0</v>
      </c>
      <c r="D27" s="3"/>
      <c r="E27" s="3"/>
      <c r="F27" s="3"/>
      <c r="H27" s="11"/>
      <c r="I27" s="11">
        <f>Tabla39172535313233453[[#This Row],[COMISIONES]]*0.21</f>
        <v>0</v>
      </c>
      <c r="J27" s="11"/>
      <c r="K27" s="11"/>
      <c r="L27" s="11"/>
      <c r="N27" s="11"/>
      <c r="O27" s="11">
        <f>Tabla3510182636414244454[[#This Row],[COMISIONES]]*0.21</f>
        <v>0</v>
      </c>
      <c r="P27" s="11"/>
      <c r="Q27" s="11"/>
      <c r="R27" s="11"/>
      <c r="T27" s="11"/>
      <c r="U27" s="11">
        <f>Tabla35611192737515254555[[#This Row],[COMISIONES]]*0.21</f>
        <v>0</v>
      </c>
      <c r="V27" s="11"/>
      <c r="W27" s="11"/>
      <c r="X27" s="11"/>
      <c r="Z27" s="3">
        <v>29646.57</v>
      </c>
      <c r="AA27" s="11">
        <f>Tabla356813212939717274757[[#This Row],[COMISIONES]]*0.21</f>
        <v>6225.7797</v>
      </c>
      <c r="AB27" s="11"/>
      <c r="AC27" s="1"/>
      <c r="AK27" s="11"/>
      <c r="AL27" s="11">
        <f>Tabla35611192734431121315161[[#This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Tabla13162432212223352[[#This Row],[COMISIONES]]*0.21</f>
        <v>0</v>
      </c>
      <c r="D28" s="3"/>
      <c r="E28" s="3"/>
      <c r="F28" s="3"/>
      <c r="H28" s="11"/>
      <c r="I28" s="11">
        <f>Tabla39172535313233453[[#This Row],[COMISIONES]]*0.21</f>
        <v>0</v>
      </c>
      <c r="J28" s="11"/>
      <c r="K28" s="11"/>
      <c r="L28" s="11"/>
      <c r="N28" s="11"/>
      <c r="O28" s="11">
        <f>Tabla3510182636414244454[[#This Row],[COMISIONES]]*0.21</f>
        <v>0</v>
      </c>
      <c r="P28" s="11"/>
      <c r="Q28" s="11"/>
      <c r="R28" s="11"/>
      <c r="T28" s="11"/>
      <c r="U28" s="11">
        <f>Tabla35611192737515254555[[#This Row],[COMISIONES]]*0.21</f>
        <v>0</v>
      </c>
      <c r="V28" s="11"/>
      <c r="W28" s="11"/>
      <c r="X28" s="11"/>
      <c r="Z28">
        <v>8156.54</v>
      </c>
      <c r="AA28" s="11"/>
      <c r="AB28" s="1">
        <f>Tabla356813212939717274757[[#This Row],[COMISIONES]]*0.105</f>
        <v>856.43669999999997</v>
      </c>
      <c r="AC28" s="1"/>
      <c r="AD28" s="11"/>
      <c r="AK28" s="11"/>
      <c r="AL28" s="11">
        <f>Tabla35611192734431121315161[[#This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Tabla13162432212223352[[#This Row],[COMISIONES]]*0.21</f>
        <v>0</v>
      </c>
      <c r="D29" s="3"/>
      <c r="E29" s="3"/>
      <c r="F29" s="3"/>
      <c r="H29" s="11"/>
      <c r="I29" s="11">
        <f>Tabla39172535313233453[[#This Row],[COMISIONES]]*0.21</f>
        <v>0</v>
      </c>
      <c r="J29" s="11"/>
      <c r="K29" s="11"/>
      <c r="L29" s="11"/>
      <c r="N29" s="11"/>
      <c r="O29" s="11">
        <f>Tabla3510182636414244454[[#This Row],[COMISIONES]]*0.21</f>
        <v>0</v>
      </c>
      <c r="P29" s="11"/>
      <c r="Q29" s="11"/>
      <c r="R29" s="11"/>
      <c r="T29" s="18"/>
      <c r="U29" s="18">
        <f>Tabla35611192737515254555[[#This Row],[COMISIONES]]*0.21</f>
        <v>0</v>
      </c>
      <c r="V29" s="18"/>
      <c r="W29" s="18"/>
      <c r="X29" s="18"/>
      <c r="Z29">
        <v>7296.27</v>
      </c>
      <c r="AA29" s="11">
        <f>Tabla356813212939717274757[[#This Row],[COMISIONES]]*0.21</f>
        <v>1532.2166999999999</v>
      </c>
      <c r="AB29" s="1"/>
      <c r="AD29" s="11"/>
      <c r="AK29" s="18"/>
      <c r="AL29" s="18">
        <f>Tabla35611192734431121315161[[#This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Tabla13162432212223352[[#This Row],[COMISIONES]]*0.21</f>
        <v>0</v>
      </c>
      <c r="D30" s="3"/>
      <c r="E30" s="3"/>
      <c r="F30" s="3"/>
      <c r="H30" s="11"/>
      <c r="I30" s="11">
        <f>Tabla39172535313233453[[#This Row],[COMISIONES]]*0.21</f>
        <v>0</v>
      </c>
      <c r="J30" s="11"/>
      <c r="K30" s="11"/>
      <c r="L30" s="11"/>
      <c r="N30" s="11"/>
      <c r="O30" s="11">
        <f>Tabla3510182636414244454[[#This Row],[COMISIONES]]*0.21</f>
        <v>0</v>
      </c>
      <c r="P30" s="11"/>
      <c r="Q30" s="11"/>
      <c r="R30" s="11"/>
      <c r="T30" s="18"/>
      <c r="U30" s="18">
        <f>Tabla35611192737515254555[[#This Row],[COMISIONES]]*0.21</f>
        <v>0</v>
      </c>
      <c r="V30" s="18"/>
      <c r="W30" s="18"/>
      <c r="X30" s="18"/>
      <c r="Z30" s="1">
        <v>7818.4</v>
      </c>
      <c r="AA30" s="11">
        <f>Tabla356813212939717274757[[#This Row],[COMISIONES]]*0.21</f>
        <v>1641.8639999999998</v>
      </c>
      <c r="AB30" s="11"/>
      <c r="AC30" s="11"/>
      <c r="AD30" s="11"/>
      <c r="AK30" s="18"/>
      <c r="AL30" s="18">
        <f>Tabla35611192734431121315161[[#This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Tabla13162432212223352[[#This Row],[COMISIONES]]*0.21</f>
        <v>0</v>
      </c>
      <c r="D31" s="3"/>
      <c r="E31" s="1"/>
      <c r="F31" s="3"/>
      <c r="H31" s="11"/>
      <c r="I31" s="11">
        <f>Tabla39172535313233453[[#This Row],[COMISIONES]]*0.21</f>
        <v>0</v>
      </c>
      <c r="J31" s="11"/>
      <c r="K31" s="11"/>
      <c r="L31" s="11"/>
      <c r="N31" s="11"/>
      <c r="O31" s="11">
        <f>Tabla3510182636414244454[[#This Row],[COMISIONES]]*0.21</f>
        <v>0</v>
      </c>
      <c r="P31" s="11"/>
      <c r="Q31" s="11"/>
      <c r="R31" s="11"/>
      <c r="T31" s="4">
        <f>SUBTOTAL(109,Tabla35611192737515254555[COMISIONES])</f>
        <v>28350</v>
      </c>
      <c r="U31" s="4">
        <f>SUBTOTAL(109,Tabla35611192737515254555[IVA 21])</f>
        <v>5953.5</v>
      </c>
      <c r="V31" s="4">
        <f>SUBTOTAL(109,Tabla35611192737515254555[IVA 10,5])</f>
        <v>0</v>
      </c>
      <c r="W31" s="4">
        <f>SUBTOTAL(109,Tabla35611192737515254555[Ret IIBB Caba])</f>
        <v>0</v>
      </c>
      <c r="X31" s="4">
        <f>SUBTOTAL(109,Tabla35611192737515254555[PERC IVA])</f>
        <v>850.5</v>
      </c>
      <c r="Z31" s="1">
        <v>5769.3</v>
      </c>
      <c r="AA31" s="11">
        <f>Tabla356813212939717274757[[#This Row],[COMISIONES]]*0.21</f>
        <v>1211.5529999999999</v>
      </c>
      <c r="AB31" s="11"/>
      <c r="AC31" s="1"/>
      <c r="AK31" s="4">
        <f>SUBTOTAL(109,Tabla35611192734431121315161[COMISIONES])</f>
        <v>4735.54</v>
      </c>
      <c r="AL31" s="4">
        <f>SUBTOTAL(109,Tabla35611192734431121315161[IVA 21])</f>
        <v>994.46339999999998</v>
      </c>
      <c r="AM31" s="4">
        <f>SUBTOTAL(109,Tabla35611192734431121315161[IVA 10,5])</f>
        <v>0</v>
      </c>
      <c r="AN31" s="4">
        <f>SUBTOTAL(109,Tabla35611192734431121315161[Ret IIBB Caba])</f>
        <v>6459.08</v>
      </c>
      <c r="AO31" s="4">
        <f>SUBTOTAL(109,Tabla35611192734431121315161[PERC IVA])</f>
        <v>0</v>
      </c>
    </row>
    <row r="32" spans="2:41" ht="18.75" x14ac:dyDescent="0.3">
      <c r="B32" s="3"/>
      <c r="C32" s="2">
        <f>Tabla13162432212223352[[#This Row],[COMISIONES]]*0.21</f>
        <v>0</v>
      </c>
      <c r="D32" s="3"/>
      <c r="E32" s="3"/>
      <c r="F32" s="3"/>
      <c r="H32" s="11"/>
      <c r="I32" s="11">
        <f>Tabla39172535313233453[[#This Row],[COMISIONES]]*0.21</f>
        <v>0</v>
      </c>
      <c r="J32" s="11"/>
      <c r="K32" s="11"/>
      <c r="L32" s="11"/>
      <c r="N32" s="11"/>
      <c r="O32" s="11">
        <f>Tabla3510182636414244454[[#This Row],[COMISIONES]]*0.21</f>
        <v>0</v>
      </c>
      <c r="P32" s="11"/>
      <c r="Q32" s="11"/>
      <c r="R32" s="11"/>
      <c r="T32" s="42" t="s">
        <v>15</v>
      </c>
      <c r="U32" s="42"/>
      <c r="V32" s="42"/>
      <c r="W32" s="42"/>
      <c r="X32" s="42"/>
      <c r="Z32" s="1">
        <v>61242.400000000001</v>
      </c>
      <c r="AA32" s="11">
        <f>Tabla356813212939717274757[[#This Row],[COMISIONES]]*0.21</f>
        <v>12860.904</v>
      </c>
      <c r="AB32" s="1"/>
      <c r="AC32" s="11"/>
      <c r="AD32" s="11"/>
    </row>
    <row r="33" spans="2:31" x14ac:dyDescent="0.25">
      <c r="B33" s="3"/>
      <c r="C33" s="2">
        <f>Tabla13162432212223352[[#This Row],[COMISIONES]]*0.21</f>
        <v>0</v>
      </c>
      <c r="D33" s="3"/>
      <c r="E33" s="3"/>
      <c r="F33" s="3"/>
      <c r="H33" s="11"/>
      <c r="I33" s="11">
        <f>Tabla39172535313233453[[#This Row],[COMISIONES]]*0.21</f>
        <v>0</v>
      </c>
      <c r="J33" s="11"/>
      <c r="K33" s="11"/>
      <c r="L33" s="11"/>
      <c r="N33" s="11"/>
      <c r="O33" s="11">
        <f>Tabla3510182636414244454[[#This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1">
        <f>Tabla356813212939717274757[[#This Row],[IVA 10,5]]*100/10.5</f>
        <v>19770.952380952378</v>
      </c>
      <c r="AA33" s="11"/>
      <c r="AB33" s="29">
        <v>2075.9499999999998</v>
      </c>
      <c r="AC33" s="11"/>
      <c r="AD33" s="11"/>
    </row>
    <row r="34" spans="2:31" x14ac:dyDescent="0.25">
      <c r="B34" s="3"/>
      <c r="C34" s="2">
        <f>Tabla13162432212223352[[#This Row],[COMISIONES]]*0.21</f>
        <v>0</v>
      </c>
      <c r="D34" s="3"/>
      <c r="E34" s="3"/>
      <c r="F34" s="3"/>
      <c r="H34" s="11"/>
      <c r="I34" s="11">
        <f>Tabla39172535313233453[[#This Row],[COMISIONES]]*0.21</f>
        <v>0</v>
      </c>
      <c r="J34" s="11"/>
      <c r="K34" s="11"/>
      <c r="L34" s="11"/>
      <c r="N34" s="11"/>
      <c r="O34" s="11">
        <f>Tabla3510182636414244454[[#This Row],[COMISIONES]]*0.21</f>
        <v>0</v>
      </c>
      <c r="P34" s="11"/>
      <c r="Q34" s="11"/>
      <c r="R34" s="11"/>
      <c r="T34" s="11">
        <v>10</v>
      </c>
      <c r="U34" s="11">
        <f>Tabla612202838616264656[[#This Row],[COMISIONES]]*0.21</f>
        <v>2.1</v>
      </c>
      <c r="V34" s="11"/>
      <c r="W34" s="11">
        <v>2100</v>
      </c>
      <c r="X34" s="11">
        <v>33.28</v>
      </c>
      <c r="Z34">
        <v>10104.86</v>
      </c>
      <c r="AA34" s="11">
        <f>Tabla356813212939717274757[[#This Row],[COMISIONES]]*0.21</f>
        <v>2122.0205999999998</v>
      </c>
      <c r="AB34" s="11"/>
      <c r="AC34" s="11"/>
      <c r="AD34" s="11"/>
    </row>
    <row r="35" spans="2:31" x14ac:dyDescent="0.25">
      <c r="B35" s="3"/>
      <c r="C35" s="2">
        <f>Tabla13162432212223352[[#This Row],[COMISIONES]]*0.21</f>
        <v>0</v>
      </c>
      <c r="D35" s="3"/>
      <c r="E35" s="3"/>
      <c r="F35" s="3"/>
      <c r="H35" s="11"/>
      <c r="I35" s="11">
        <f>Tabla39172535313233453[[#This Row],[COMISIONES]]*0.21</f>
        <v>0</v>
      </c>
      <c r="J35" s="11"/>
      <c r="K35" s="11"/>
      <c r="L35" s="11"/>
      <c r="N35" s="11"/>
      <c r="O35" s="11">
        <f>Tabla3510182636414244454[[#This Row],[COMISIONES]]*0.21</f>
        <v>0</v>
      </c>
      <c r="P35" s="11"/>
      <c r="Q35" s="11"/>
      <c r="R35" s="11"/>
      <c r="T35" s="11">
        <v>35000</v>
      </c>
      <c r="U35" s="11">
        <f>Tabla612202838616264656[[#This Row],[COMISIONES]]*0.21</f>
        <v>7350</v>
      </c>
      <c r="V35" s="11"/>
      <c r="W35" s="11">
        <v>2160</v>
      </c>
      <c r="X35" s="11">
        <v>1050</v>
      </c>
      <c r="Z35" s="1">
        <v>27089.83</v>
      </c>
      <c r="AA35" s="11">
        <f>Tabla356813212939717274757[[#This Row],[COMISIONES]]*0.21</f>
        <v>5688.8643000000002</v>
      </c>
      <c r="AB35" s="11"/>
      <c r="AC35" s="11"/>
      <c r="AD35" s="11"/>
    </row>
    <row r="36" spans="2:31" x14ac:dyDescent="0.25">
      <c r="B36" s="3"/>
      <c r="C36" s="2">
        <f>Tabla13162432212223352[[#This Row],[COMISIONES]]*0.21</f>
        <v>0</v>
      </c>
      <c r="D36" s="3"/>
      <c r="E36" s="3"/>
      <c r="F36" s="3"/>
      <c r="H36" s="11"/>
      <c r="I36" s="11">
        <f>Tabla39172535313233453[[#This Row],[COMISIONES]]*0.21</f>
        <v>0</v>
      </c>
      <c r="J36" s="11"/>
      <c r="K36" s="11"/>
      <c r="L36" s="11"/>
      <c r="N36" s="11"/>
      <c r="O36" s="11">
        <f>Tabla3510182636414244454[[#This Row],[COMISIONES]]*0.21</f>
        <v>0</v>
      </c>
      <c r="P36" s="11"/>
      <c r="Q36" s="11"/>
      <c r="R36" s="11"/>
      <c r="T36" s="11">
        <v>36000</v>
      </c>
      <c r="U36" s="19">
        <f>Tabla612202838616264656[[#This Row],[COMISIONES]]*0.21</f>
        <v>7560</v>
      </c>
      <c r="W36">
        <v>3600</v>
      </c>
      <c r="X36">
        <v>1080</v>
      </c>
      <c r="Z36" s="1">
        <v>32859.019999999997</v>
      </c>
      <c r="AA36" s="11"/>
      <c r="AB36" s="1">
        <f>Tabla356813212939717274757[[#This Row],[COMISIONES]]*0.105</f>
        <v>3450.1970999999994</v>
      </c>
      <c r="AC36" s="11"/>
      <c r="AD36" s="11"/>
    </row>
    <row r="37" spans="2:31" x14ac:dyDescent="0.25">
      <c r="B37" s="3"/>
      <c r="C37" s="2">
        <f>Tabla13162432212223352[[#This Row],[COMISIONES]]*0.21</f>
        <v>0</v>
      </c>
      <c r="D37" s="3"/>
      <c r="E37" s="3"/>
      <c r="F37" s="3"/>
      <c r="H37" s="11"/>
      <c r="I37" s="11">
        <f>Tabla39172535313233453[[#This Row],[COMISIONES]]*0.21</f>
        <v>0</v>
      </c>
      <c r="J37" s="11"/>
      <c r="K37" s="11"/>
      <c r="L37" s="11"/>
      <c r="N37" s="11"/>
      <c r="O37" s="11">
        <f>Tabla3510182636414244454[[#This Row],[COMISIONES]]*0.21</f>
        <v>0</v>
      </c>
      <c r="P37" s="11"/>
      <c r="Q37" s="11"/>
      <c r="R37" s="11"/>
      <c r="T37" s="11">
        <v>60000</v>
      </c>
      <c r="U37" s="19">
        <f>Tabla612202838616264656[[#This Row],[COMISIONES]]*0.21</f>
        <v>12600</v>
      </c>
      <c r="W37">
        <v>6000</v>
      </c>
      <c r="X37">
        <v>1800</v>
      </c>
      <c r="Z37">
        <v>6745.25</v>
      </c>
      <c r="AA37" s="21">
        <f>Tabla356813212939717274757[[#This Row],[COMISIONES]]*0.21</f>
        <v>1416.5025000000001</v>
      </c>
      <c r="AB37" s="21"/>
      <c r="AC37" s="21"/>
      <c r="AD37" s="22"/>
    </row>
    <row r="38" spans="2:31" x14ac:dyDescent="0.25">
      <c r="B38" s="3"/>
      <c r="C38" s="2">
        <f>Tabla13162432212223352[[#This Row],[COMISIONES]]*0.21</f>
        <v>0</v>
      </c>
      <c r="D38" s="3"/>
      <c r="E38" s="3"/>
      <c r="F38" s="3"/>
      <c r="H38" s="11"/>
      <c r="I38" s="11">
        <f>Tabla39172535313233453[[#This Row],[COMISIONES]]*0.21</f>
        <v>0</v>
      </c>
      <c r="J38" s="11"/>
      <c r="K38" s="11"/>
      <c r="L38" s="11"/>
      <c r="N38" s="11"/>
      <c r="O38" s="11">
        <f>Tabla3510182636414244454[[#This Row],[COMISIONES]]*0.21</f>
        <v>0</v>
      </c>
      <c r="P38" s="11"/>
      <c r="Q38" s="11"/>
      <c r="R38" s="11"/>
      <c r="T38" s="11">
        <v>300</v>
      </c>
      <c r="U38" s="19">
        <f>Tabla612202838616264656[[#This Row],[COMISIONES]]*0.21</f>
        <v>63</v>
      </c>
      <c r="X38">
        <v>3000</v>
      </c>
      <c r="Z38">
        <v>6179.6</v>
      </c>
      <c r="AA38" s="21">
        <f>Tabla356813212939717274757[[#This Row],[COMISIONES]]*0.21</f>
        <v>1297.7160000000001</v>
      </c>
      <c r="AB38" s="1"/>
      <c r="AC38" s="1"/>
    </row>
    <row r="39" spans="2:31" x14ac:dyDescent="0.25">
      <c r="B39" s="3"/>
      <c r="C39" s="2">
        <f>Tabla13162432212223352[[#This Row],[COMISIONES]]*0.21</f>
        <v>0</v>
      </c>
      <c r="D39" s="3"/>
      <c r="E39" s="3"/>
      <c r="F39" s="3"/>
      <c r="H39" s="11"/>
      <c r="I39" s="11">
        <f>Tabla39172535313233453[[#This Row],[COMISIONES]]*0.21</f>
        <v>0</v>
      </c>
      <c r="J39" s="11"/>
      <c r="K39" s="11"/>
      <c r="L39" s="11"/>
      <c r="N39" s="11"/>
      <c r="O39" s="11">
        <f>Tabla3510182636414244454[[#This Row],[COMISIONES]]*0.21</f>
        <v>0</v>
      </c>
      <c r="P39" s="11"/>
      <c r="Q39" s="11"/>
      <c r="R39" s="11"/>
      <c r="T39" s="11">
        <v>300</v>
      </c>
      <c r="U39" s="19">
        <f>Tabla612202838616264656[[#This Row],[COMISIONES]]*0.21</f>
        <v>63</v>
      </c>
      <c r="Z39">
        <v>9507</v>
      </c>
      <c r="AA39" s="21">
        <f>Tabla356813212939717274757[[#This Row],[COMISIONES]]*0.21</f>
        <v>1996.47</v>
      </c>
      <c r="AB39" s="21"/>
      <c r="AC39" s="21"/>
      <c r="AD39" s="21"/>
    </row>
    <row r="40" spans="2:31" x14ac:dyDescent="0.25">
      <c r="B40" s="3"/>
      <c r="C40" s="2">
        <f>Tabla13162432212223352[[#This Row],[COMISIONES]]*0.21</f>
        <v>0</v>
      </c>
      <c r="D40" s="3"/>
      <c r="E40" s="3"/>
      <c r="F40" s="3"/>
      <c r="H40" s="11"/>
      <c r="I40" s="11">
        <f>Tabla39172535313233453[[#This Row],[COMISIONES]]*0.21</f>
        <v>0</v>
      </c>
      <c r="J40" s="11"/>
      <c r="K40" s="11"/>
      <c r="L40" s="11"/>
      <c r="N40" s="11"/>
      <c r="O40" s="11">
        <f>Tabla3510182636414244454[[#This Row],[COMISIONES]]*0.21</f>
        <v>0</v>
      </c>
      <c r="P40" s="11"/>
      <c r="Q40" s="11"/>
      <c r="R40" s="11"/>
      <c r="T40" s="11">
        <v>300</v>
      </c>
      <c r="U40" s="19">
        <f>Tabla612202838616264656[[#This Row],[COMISIONES]]*0.21</f>
        <v>63</v>
      </c>
      <c r="Z40" s="1">
        <v>21558.66</v>
      </c>
      <c r="AA40" s="21">
        <f>Tabla356813212939717274757[[#This Row],[COMISIONES]]*0.21</f>
        <v>4527.3185999999996</v>
      </c>
      <c r="AB40" s="21"/>
      <c r="AC40" s="21"/>
      <c r="AD40" s="21"/>
    </row>
    <row r="41" spans="2:31" x14ac:dyDescent="0.25">
      <c r="B41" s="3"/>
      <c r="C41" s="2">
        <f>Tabla13162432212223352[[#This Row],[COMISIONES]]*0.21</f>
        <v>0</v>
      </c>
      <c r="D41" s="3"/>
      <c r="E41" s="3"/>
      <c r="F41" s="3"/>
      <c r="H41" s="18"/>
      <c r="I41" s="18">
        <f>Tabla39172535313233453[[#This Row],[COMISIONES]]*0.21</f>
        <v>0</v>
      </c>
      <c r="J41" s="18"/>
      <c r="K41" s="18"/>
      <c r="L41" s="18"/>
      <c r="N41" s="11"/>
      <c r="O41" s="11">
        <f>Tabla3510182636414244454[[#This Row],[COMISIONES]]*0.21</f>
        <v>0</v>
      </c>
      <c r="P41" s="11"/>
      <c r="Q41" s="11"/>
      <c r="R41" s="11"/>
      <c r="T41" s="11">
        <v>300</v>
      </c>
      <c r="U41" s="19">
        <f>Tabla612202838616264656[[#This Row],[COMISIONES]]*0.21</f>
        <v>63</v>
      </c>
      <c r="Z41" s="1">
        <v>18488.689999999999</v>
      </c>
      <c r="AA41" s="21"/>
      <c r="AB41" s="21">
        <f>Tabla356813212939717274757[[#This Row],[COMISIONES]]*0.105</f>
        <v>1941.3124499999999</v>
      </c>
      <c r="AC41" s="21"/>
      <c r="AD41" s="21"/>
    </row>
    <row r="42" spans="2:31" x14ac:dyDescent="0.25">
      <c r="B42" s="3"/>
      <c r="C42" s="2">
        <f>Tabla13162432212223352[[#This Row],[COMISIONES]]*0.21</f>
        <v>0</v>
      </c>
      <c r="D42" s="3"/>
      <c r="E42" s="3"/>
      <c r="F42" s="3"/>
      <c r="H42" s="18"/>
      <c r="I42" s="18">
        <f>Tabla39172535313233453[[#This Row],[COMISIONES]]*0.21</f>
        <v>0</v>
      </c>
      <c r="J42" s="18"/>
      <c r="K42" s="18"/>
      <c r="L42" s="18"/>
      <c r="N42" s="11"/>
      <c r="O42" s="11">
        <f>Tabla3510182636414244454[[#This Row],[COMISIONES]]*0.21</f>
        <v>0</v>
      </c>
      <c r="P42" s="11"/>
      <c r="Q42" s="11"/>
      <c r="R42" s="11"/>
      <c r="T42" s="11">
        <v>300</v>
      </c>
      <c r="U42" s="19">
        <f>Tabla612202838616264656[[#This Row],[COMISIONES]]*0.21</f>
        <v>63</v>
      </c>
      <c r="Z42">
        <v>4295.6000000000004</v>
      </c>
      <c r="AA42" s="21">
        <f>Tabla356813212939717274757[[#This Row],[COMISIONES]]*0.21</f>
        <v>902.07600000000002</v>
      </c>
      <c r="AB42" s="21"/>
      <c r="AC42" s="21"/>
      <c r="AD42" s="21"/>
    </row>
    <row r="43" spans="2:31" x14ac:dyDescent="0.25">
      <c r="B43" s="3"/>
      <c r="C43" s="2">
        <f>Tabla13162432212223352[[#This Row],[COMISIONES]]*0.21</f>
        <v>0</v>
      </c>
      <c r="D43" s="3"/>
      <c r="E43" s="3"/>
      <c r="F43" s="3"/>
      <c r="G43" s="8"/>
      <c r="H43" s="18"/>
      <c r="I43" s="18">
        <f>Tabla39172535313233453[[#This Row],[COMISIONES]]*0.21</f>
        <v>0</v>
      </c>
      <c r="J43" s="18"/>
      <c r="K43" s="18"/>
      <c r="L43" s="18"/>
      <c r="M43" s="8"/>
      <c r="N43" s="11"/>
      <c r="O43" s="11">
        <f>Tabla3510182636414244454[[#This Row],[COMISIONES]]*0.21</f>
        <v>0</v>
      </c>
      <c r="P43" s="11"/>
      <c r="Q43" s="11"/>
      <c r="R43" s="11"/>
      <c r="S43" s="8"/>
      <c r="T43" s="11">
        <v>300</v>
      </c>
      <c r="U43" s="19">
        <f>Tabla612202838616264656[[#This Row],[COMISIONES]]*0.21</f>
        <v>63</v>
      </c>
      <c r="Y43" s="8"/>
      <c r="Z43">
        <v>18546.2</v>
      </c>
      <c r="AA43" s="21">
        <f>Tabla356813212939717274757[[#This Row],[COMISIONES]]*0.21</f>
        <v>3894.7020000000002</v>
      </c>
      <c r="AB43" s="21"/>
      <c r="AC43" s="21"/>
      <c r="AD43" s="21"/>
      <c r="AE43" s="8"/>
    </row>
    <row r="44" spans="2:31" x14ac:dyDescent="0.25">
      <c r="B44" s="3"/>
      <c r="C44" s="2">
        <f>Tabla13162432212223352[[#This Row],[COMISIONES]]*0.21</f>
        <v>0</v>
      </c>
      <c r="D44" s="3"/>
      <c r="E44" s="3"/>
      <c r="F44" s="3"/>
      <c r="H44" s="18"/>
      <c r="I44" s="18">
        <f>Tabla39172535313233453[[#This Row],[COMISIONES]]*0.21</f>
        <v>0</v>
      </c>
      <c r="J44" s="18"/>
      <c r="K44" s="18"/>
      <c r="L44" s="18"/>
      <c r="N44" s="11"/>
      <c r="O44" s="11">
        <f>Tabla3510182636414244454[[#This Row],[COMISIONES]]*0.21</f>
        <v>0</v>
      </c>
      <c r="P44" s="11"/>
      <c r="Q44" s="11"/>
      <c r="R44" s="11"/>
      <c r="T44">
        <v>300</v>
      </c>
      <c r="U44" s="19">
        <f>Tabla612202838616264656[[#This Row],[COMISIONES]]*0.21</f>
        <v>63</v>
      </c>
      <c r="Z44" s="1">
        <v>5333.85</v>
      </c>
      <c r="AA44" s="21">
        <f>Tabla356813212939717274757[[#This Row],[COMISIONES]]*0.21</f>
        <v>1120.1085</v>
      </c>
      <c r="AB44" s="21"/>
      <c r="AC44" s="21"/>
      <c r="AD44" s="21"/>
    </row>
    <row r="45" spans="2:31" x14ac:dyDescent="0.25">
      <c r="B45" s="3"/>
      <c r="C45" s="2">
        <f>Tabla13162432212223352[[#This Row],[COMISIONES]]*0.21</f>
        <v>0</v>
      </c>
      <c r="D45" s="3"/>
      <c r="E45" s="3"/>
      <c r="F45" s="3"/>
      <c r="H45" s="18"/>
      <c r="I45" s="18">
        <f>Tabla39172535313233453[[#This Row],[COMISIONES]]*0.21</f>
        <v>0</v>
      </c>
      <c r="J45" s="18"/>
      <c r="K45" s="18"/>
      <c r="L45" s="18"/>
      <c r="N45" s="11"/>
      <c r="O45" s="11">
        <f>Tabla3510182636414244454[[#This Row],[COMISIONES]]*0.21</f>
        <v>0</v>
      </c>
      <c r="P45" s="11"/>
      <c r="Q45" s="11"/>
      <c r="R45" s="11"/>
      <c r="T45">
        <v>300</v>
      </c>
      <c r="U45" s="19">
        <f>Tabla612202838616264656[[#This Row],[COMISIONES]]*0.21</f>
        <v>63</v>
      </c>
      <c r="Z45" s="1">
        <v>34974.089999999997</v>
      </c>
      <c r="AA45" s="21">
        <f>Tabla356813212939717274757[[#This Row],[COMISIONES]]*0.21</f>
        <v>7344.5588999999991</v>
      </c>
      <c r="AB45" s="21"/>
      <c r="AC45" s="21"/>
      <c r="AD45" s="21"/>
    </row>
    <row r="46" spans="2:31" x14ac:dyDescent="0.25">
      <c r="B46" s="3"/>
      <c r="C46" s="2">
        <f>Tabla13162432212223352[[#This Row],[COMISIONES]]*0.21</f>
        <v>0</v>
      </c>
      <c r="D46" s="3"/>
      <c r="E46" s="3"/>
      <c r="F46" s="3"/>
      <c r="H46" s="18"/>
      <c r="I46" s="18">
        <f>Tabla39172535313233453[[#This Row],[COMISIONES]]*0.21</f>
        <v>0</v>
      </c>
      <c r="J46" s="18"/>
      <c r="K46" s="18"/>
      <c r="L46" s="18"/>
      <c r="N46" s="11"/>
      <c r="O46" s="11">
        <f>Tabla3510182636414244454[[#This Row],[COMISIONES]]*0.21</f>
        <v>0</v>
      </c>
      <c r="P46" s="11"/>
      <c r="Q46" s="11"/>
      <c r="R46" s="11"/>
      <c r="T46">
        <v>1050</v>
      </c>
      <c r="U46" s="19">
        <f>Tabla612202838616264656[[#This Row],[COMISIONES]]*0.21</f>
        <v>220.5</v>
      </c>
      <c r="Z46">
        <v>25416.07</v>
      </c>
      <c r="AA46" s="21"/>
      <c r="AB46" s="21">
        <f>Tabla356813212939717274757[[#This Row],[COMISIONES]]*0.105</f>
        <v>2668.6873499999997</v>
      </c>
      <c r="AC46" s="21"/>
      <c r="AD46" s="21"/>
    </row>
    <row r="47" spans="2:31" x14ac:dyDescent="0.25">
      <c r="B47" s="3"/>
      <c r="C47" s="2">
        <f>Tabla13162432212223352[[#This Row],[COMISIONES]]*0.21</f>
        <v>0</v>
      </c>
      <c r="D47" s="3"/>
      <c r="E47" s="3"/>
      <c r="F47" s="3"/>
      <c r="H47" s="18"/>
      <c r="I47" s="18">
        <f>Tabla39172535313233453[[#This Row],[COMISIONES]]*0.21</f>
        <v>0</v>
      </c>
      <c r="J47" s="18"/>
      <c r="K47" s="18"/>
      <c r="L47" s="18"/>
      <c r="N47" s="11"/>
      <c r="O47" s="11">
        <f>Tabla3510182636414244454[[#This Row],[COMISIONES]]*0.21</f>
        <v>0</v>
      </c>
      <c r="P47" s="11"/>
      <c r="Q47" s="11"/>
      <c r="R47" s="11"/>
      <c r="T47">
        <v>100000</v>
      </c>
      <c r="U47" s="19">
        <f>Tabla612202838616264656[[#This Row],[COMISIONES]]*0.21</f>
        <v>21000</v>
      </c>
      <c r="Z47">
        <v>7615.6</v>
      </c>
      <c r="AA47" s="21">
        <f>Tabla356813212939717274757[[#This Row],[COMISIONES]]*0.21</f>
        <v>1599.2760000000001</v>
      </c>
      <c r="AB47" s="21"/>
      <c r="AC47" s="21"/>
      <c r="AD47" s="21"/>
    </row>
    <row r="48" spans="2:31" x14ac:dyDescent="0.25">
      <c r="B48" s="3"/>
      <c r="C48" s="2">
        <f>Tabla13162432212223352[[#This Row],[COMISIONES]]*0.21</f>
        <v>0</v>
      </c>
      <c r="D48" s="3"/>
      <c r="E48" s="3"/>
      <c r="F48" s="3"/>
      <c r="H48" s="18"/>
      <c r="I48" s="18">
        <f>Tabla39172535313233453[[#This Row],[COMISIONES]]*0.21</f>
        <v>0</v>
      </c>
      <c r="J48" s="18"/>
      <c r="K48" s="18"/>
      <c r="L48" s="18"/>
      <c r="N48" s="11"/>
      <c r="O48" s="11">
        <f>Tabla3510182636414244454[[#This Row],[COMISIONES]]*0.21</f>
        <v>0</v>
      </c>
      <c r="P48" s="11"/>
      <c r="Q48" s="11"/>
      <c r="R48" s="11"/>
      <c r="T48">
        <v>300</v>
      </c>
      <c r="U48" s="19">
        <f>Tabla612202838616264656[[#This Row],[COMISIONES]]*0.21</f>
        <v>63</v>
      </c>
      <c r="Z48" s="1"/>
      <c r="AA48" s="21">
        <f>Tabla356813212939717274757[[#This Row],[COMISIONES]]*0.21</f>
        <v>0</v>
      </c>
      <c r="AB48" s="21"/>
      <c r="AC48" s="21"/>
      <c r="AD48" s="21"/>
    </row>
    <row r="49" spans="1:41" x14ac:dyDescent="0.25">
      <c r="B49" s="3"/>
      <c r="C49" s="2">
        <f>Tabla13162432212223352[[#This Row],[COMISIONES]]*0.21</f>
        <v>0</v>
      </c>
      <c r="D49" s="3"/>
      <c r="E49" s="3"/>
      <c r="F49" s="3"/>
      <c r="H49" s="18"/>
      <c r="I49" s="18">
        <f>Tabla39172535313233453[[#This Row],[COMISIONES]]*0.21</f>
        <v>0</v>
      </c>
      <c r="J49" s="18"/>
      <c r="K49" s="18"/>
      <c r="L49" s="18"/>
      <c r="N49" s="11"/>
      <c r="O49" s="11">
        <f>Tabla3510182636414244454[[#This Row],[COMISIONES]]*0.21</f>
        <v>0</v>
      </c>
      <c r="P49" s="11"/>
      <c r="Q49" s="11"/>
      <c r="R49" s="11"/>
      <c r="T49">
        <v>300</v>
      </c>
      <c r="U49" s="19">
        <f>Tabla612202838616264656[[#This Row],[COMISIONES]]*0.21</f>
        <v>63</v>
      </c>
      <c r="AA49" s="21"/>
      <c r="AB49" s="1">
        <f>Tabla356813212939717274757[[#This Row],[COMISIONES]]*0.105</f>
        <v>0</v>
      </c>
      <c r="AC49" s="21"/>
      <c r="AD49" s="21"/>
    </row>
    <row r="50" spans="1:41" s="6" customFormat="1" x14ac:dyDescent="0.25">
      <c r="A50"/>
      <c r="B50" s="3"/>
      <c r="C50" s="2">
        <f>Tabla13162432212223352[[#This Row],[COMISIONES]]*0.21</f>
        <v>0</v>
      </c>
      <c r="D50" s="3"/>
      <c r="E50" s="3"/>
      <c r="F50" s="3"/>
      <c r="H50" s="18"/>
      <c r="I50" s="18">
        <f>Tabla39172535313233453[[#This Row],[COMISIONES]]*0.21</f>
        <v>0</v>
      </c>
      <c r="J50" s="18"/>
      <c r="K50" s="18"/>
      <c r="L50" s="18"/>
      <c r="N50" s="11"/>
      <c r="O50" s="11">
        <f>Tabla3510182636414244454[[#This Row],[COMISIONES]]*0.21</f>
        <v>0</v>
      </c>
      <c r="P50" s="11"/>
      <c r="Q50" s="11"/>
      <c r="R50" s="11"/>
      <c r="T50">
        <v>300</v>
      </c>
      <c r="U50" s="19">
        <f>Tabla612202838616264656[[#This Row],[COMISIONES]]*0.21</f>
        <v>63</v>
      </c>
      <c r="V50"/>
      <c r="W50"/>
      <c r="X50"/>
      <c r="Z50">
        <v>6557</v>
      </c>
      <c r="AA50" s="21">
        <f>Tabla356813212939717274757[[#This Row],[COMISIONES]]*0.21</f>
        <v>1376.97</v>
      </c>
      <c r="AB50" s="21"/>
      <c r="AC50" s="21"/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Tabla13162432212223352[[#This Row],[COMISIONES]]*0.21</f>
        <v>0</v>
      </c>
      <c r="D51" s="2"/>
      <c r="E51" s="2"/>
      <c r="F51"/>
      <c r="H51" s="18"/>
      <c r="I51" s="18">
        <f>Tabla39172535313233453[[#This Row],[COMISIONES]]*0.21</f>
        <v>0</v>
      </c>
      <c r="J51" s="18"/>
      <c r="K51" s="18"/>
      <c r="L51" s="18"/>
      <c r="N51" s="11"/>
      <c r="O51" s="11">
        <f>Tabla3510182636414244454[[#This Row],[COMISIONES]]*0.21</f>
        <v>0</v>
      </c>
      <c r="P51" s="11"/>
      <c r="Q51" s="11"/>
      <c r="R51" s="11"/>
      <c r="T51">
        <v>300</v>
      </c>
      <c r="U51" s="19">
        <f>Tabla612202838616264656[[#This Row],[COMISIONES]]*0.21</f>
        <v>63</v>
      </c>
      <c r="V51"/>
      <c r="W51"/>
      <c r="X51"/>
      <c r="Z51">
        <v>24906.12</v>
      </c>
      <c r="AA51" s="21">
        <f>Tabla356813212939717274757[[#This Row],[COMISIONES]]*0.21</f>
        <v>5230.2851999999993</v>
      </c>
      <c r="AB51" s="21"/>
      <c r="AC51" s="21"/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Tabla13162432212223352[[#This Row],[COMISIONES]]*0.21</f>
        <v>0</v>
      </c>
      <c r="D52" s="2"/>
      <c r="E52" s="2"/>
      <c r="F52"/>
      <c r="H52" s="18"/>
      <c r="I52" s="18">
        <f>Tabla39172535313233453[[#This Row],[COMISIONES]]*0.21</f>
        <v>0</v>
      </c>
      <c r="J52" s="18"/>
      <c r="K52" s="18"/>
      <c r="L52" s="18"/>
      <c r="N52" s="11"/>
      <c r="O52" s="11">
        <f>Tabla3510182636414244454[[#This Row],[COMISIONES]]*0.21</f>
        <v>0</v>
      </c>
      <c r="P52" s="11"/>
      <c r="Q52" s="11"/>
      <c r="R52" s="11"/>
      <c r="T52">
        <v>300</v>
      </c>
      <c r="U52" s="19">
        <f>Tabla612202838616264656[[#This Row],[COMISIONES]]*0.21</f>
        <v>63</v>
      </c>
      <c r="V52"/>
      <c r="W52"/>
      <c r="X52"/>
      <c r="Z52" s="1">
        <f>Tabla356813212939717274757[[#This Row],[IVA 10,5]]*100/10.5</f>
        <v>9454.0952380952385</v>
      </c>
      <c r="AA52" s="21"/>
      <c r="AB52" s="30">
        <v>992.68</v>
      </c>
      <c r="AC52" s="21"/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Tabla13162432212223352[[#This Row],[COMISIONES]]*0.21</f>
        <v>0</v>
      </c>
      <c r="D53" s="2"/>
      <c r="E53" s="2"/>
      <c r="F53"/>
      <c r="H53" s="24">
        <f>SUBTOTAL(109,Tabla39172535313233453[COMISIONES])</f>
        <v>0</v>
      </c>
      <c r="I53" s="24">
        <f>SUBTOTAL(109,Tabla39172535313233453[IVA 21])</f>
        <v>0</v>
      </c>
      <c r="J53" s="24">
        <f>SUBTOTAL(109,Tabla39172535313233453[IVA 10,5])</f>
        <v>0</v>
      </c>
      <c r="K53" s="24">
        <f>SUBTOTAL(109,Tabla39172535313233453[Ret IIBB Caba])</f>
        <v>0</v>
      </c>
      <c r="L53" s="24">
        <f>SUBTOTAL(109,Tabla39172535313233453[PERC IVA])</f>
        <v>0</v>
      </c>
      <c r="N53" s="11"/>
      <c r="O53" s="11">
        <f>Tabla3510182636414244454[[#This Row],[COMISIONES]]*0.21</f>
        <v>0</v>
      </c>
      <c r="P53" s="11"/>
      <c r="Q53" s="11"/>
      <c r="R53" s="11"/>
      <c r="T53">
        <v>1050</v>
      </c>
      <c r="U53" s="19">
        <f>Tabla612202838616264656[[#This Row],[COMISIONES]]*0.21</f>
        <v>220.5</v>
      </c>
      <c r="V53"/>
      <c r="W53"/>
      <c r="X53"/>
      <c r="Z53" s="1">
        <v>8318.35</v>
      </c>
      <c r="AA53" s="21">
        <f>Tabla356813212939717274757[[#This Row],[COMISIONES]]*0.21</f>
        <v>1746.8534999999999</v>
      </c>
      <c r="AB53" s="1"/>
      <c r="AC53" s="21"/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Tabla13162432212223352[[#This Row],[COMISIONES]]*0.21</f>
        <v>0</v>
      </c>
      <c r="D54" s="2"/>
      <c r="E54" s="2"/>
      <c r="F54"/>
      <c r="H54" s="41" t="s">
        <v>29</v>
      </c>
      <c r="I54" s="41"/>
      <c r="J54" s="41"/>
      <c r="K54" s="41"/>
      <c r="L54" s="41"/>
      <c r="N54" s="11"/>
      <c r="O54" s="11">
        <f>Tabla3510182636414244454[[#This Row],[COMISIONES]]*0.21</f>
        <v>0</v>
      </c>
      <c r="P54" s="11"/>
      <c r="Q54" s="11"/>
      <c r="R54" s="11"/>
      <c r="T54"/>
      <c r="U54" s="19">
        <f>Tabla612202838616264656[[#This Row],[COMISIONES]]*0.21</f>
        <v>0</v>
      </c>
      <c r="V54"/>
      <c r="W54"/>
      <c r="X54"/>
      <c r="Z54" s="1">
        <v>19793.060000000001</v>
      </c>
      <c r="AA54" s="21">
        <f>Tabla356813212939717274757[[#This Row],[COMISIONES]]*0.21</f>
        <v>4156.5425999999998</v>
      </c>
      <c r="AB54" s="21"/>
      <c r="AC54" s="1"/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Tabla13162432212223352[[#This Row],[COMISIONES]]*0.21</f>
        <v>0</v>
      </c>
      <c r="D55" s="2"/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Tabla3510182636414244454[[#This Row],[COMISIONES]]*0.21</f>
        <v>0</v>
      </c>
      <c r="P55" s="11"/>
      <c r="Q55" s="11"/>
      <c r="R55" s="11"/>
      <c r="T55"/>
      <c r="U55" s="19">
        <f>Tabla612202838616264656[[#This Row],[COMISIONES]]*0.21</f>
        <v>0</v>
      </c>
      <c r="V55"/>
      <c r="W55"/>
      <c r="X55"/>
      <c r="Z55">
        <v>3490.52</v>
      </c>
      <c r="AA55" s="21"/>
      <c r="AB55" s="3">
        <f>Tabla356813212939717274757[[#This Row],[COMISIONES]]*0.105</f>
        <v>366.50459999999998</v>
      </c>
      <c r="AC55" s="1"/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Tabla13162432212223352[[#This Row],[COMISIONES]]*0.21</f>
        <v>0</v>
      </c>
      <c r="D56" s="2"/>
      <c r="E56" s="2"/>
      <c r="F56"/>
      <c r="H56" s="1"/>
      <c r="I56" s="11">
        <f>Tabla3915233141919294959[[#This Row],[COMISIONES]]*0.21</f>
        <v>0</v>
      </c>
      <c r="J56" s="11"/>
      <c r="K56" s="11"/>
      <c r="L56" s="1"/>
      <c r="N56" s="11"/>
      <c r="O56" s="11">
        <f>Tabla3510182636414244454[[#This Row],[COMISIONES]]*0.21</f>
        <v>0</v>
      </c>
      <c r="P56" s="11"/>
      <c r="Q56" s="11"/>
      <c r="R56" s="11"/>
      <c r="T56"/>
      <c r="U56" s="19">
        <f>Tabla612202838616264656[[#This Row],[COMISIONES]]*0.21</f>
        <v>0</v>
      </c>
      <c r="V56"/>
      <c r="W56"/>
      <c r="X56"/>
      <c r="Z56">
        <v>20381.12</v>
      </c>
      <c r="AA56" s="21">
        <f>Tabla356813212939717274757[[#This Row],[COMISIONES]]*0.21</f>
        <v>4280.0351999999993</v>
      </c>
      <c r="AB56" s="21"/>
      <c r="AC56"/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Tabla13162432212223352[[#This Row],[COMISIONES]]*0.21</f>
        <v>0</v>
      </c>
      <c r="D57" s="2"/>
      <c r="E57" s="2"/>
      <c r="F57"/>
      <c r="H57" s="11"/>
      <c r="I57" s="11">
        <f>Tabla3915233141919294959[[#This Row],[COMISIONES]]*0.21</f>
        <v>0</v>
      </c>
      <c r="J57" s="11"/>
      <c r="K57" s="11"/>
      <c r="L57" s="21"/>
      <c r="N57" s="11"/>
      <c r="O57" s="11">
        <f>Tabla3510182636414244454[[#This Row],[COMISIONES]]*0.21</f>
        <v>0</v>
      </c>
      <c r="P57" s="11"/>
      <c r="Q57" s="11"/>
      <c r="R57" s="11"/>
      <c r="T57"/>
      <c r="U57" s="19">
        <f>Tabla612202838616264656[[#This Row],[COMISIONES]]*0.21</f>
        <v>0</v>
      </c>
      <c r="V57"/>
      <c r="W57"/>
      <c r="X57"/>
      <c r="Z57">
        <v>5029.16</v>
      </c>
      <c r="AA57" s="21"/>
      <c r="AB57" s="21">
        <f>Tabla356813212939717274757[[#This Row],[COMISIONES]]*0.105</f>
        <v>528.06179999999995</v>
      </c>
      <c r="AC57" s="21"/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Tabla13162432212223352[[#This Row],[COMISIONES]]*0.21</f>
        <v>0</v>
      </c>
      <c r="D58" s="1"/>
      <c r="E58" s="2"/>
      <c r="F58"/>
      <c r="H58" s="11"/>
      <c r="I58" s="11">
        <f>Tabla3915233141919294959[[#This Row],[COMISIONES]]*0.21</f>
        <v>0</v>
      </c>
      <c r="J58" s="11"/>
      <c r="K58" s="11"/>
      <c r="L58" s="11"/>
      <c r="N58" s="11"/>
      <c r="O58" s="11">
        <f>Tabla3510182636414244454[[#This Row],[COMISIONES]]*0.21</f>
        <v>0</v>
      </c>
      <c r="P58" s="11"/>
      <c r="Q58" s="11"/>
      <c r="R58" s="11"/>
      <c r="T58"/>
      <c r="U58" s="19">
        <f>Tabla612202838616264656[[#This Row],[COMISIONES]]*0.21</f>
        <v>0</v>
      </c>
      <c r="V58"/>
      <c r="W58"/>
      <c r="X58"/>
      <c r="Z58">
        <v>1156.7</v>
      </c>
      <c r="AA58" s="21">
        <f>Tabla356813212939717274757[[#This Row],[COMISIONES]]*0.21</f>
        <v>242.90700000000001</v>
      </c>
      <c r="AB58" s="21"/>
      <c r="AC58" s="21"/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Tabla13162432212223352[[#This Row],[COMISIONES]]*0.21</f>
        <v>0</v>
      </c>
      <c r="D59" s="2"/>
      <c r="E59" s="2"/>
      <c r="F59"/>
      <c r="H59" s="11"/>
      <c r="I59" s="11">
        <f>Tabla3915233141919294959[[#This Row],[COMISIONES]]*0.21</f>
        <v>0</v>
      </c>
      <c r="J59" s="11"/>
      <c r="K59" s="11"/>
      <c r="L59" s="11"/>
      <c r="N59" s="11"/>
      <c r="O59" s="11">
        <f>Tabla3510182636414244454[[#This Row],[COMISIONES]]*0.21</f>
        <v>0</v>
      </c>
      <c r="P59" s="11"/>
      <c r="Q59" s="11"/>
      <c r="R59" s="11"/>
      <c r="T59"/>
      <c r="U59" s="19">
        <f>Tabla612202838616264656[[#This Row],[COMISIONES]]*0.21</f>
        <v>0</v>
      </c>
      <c r="V59"/>
      <c r="W59"/>
      <c r="X59"/>
      <c r="Z59">
        <v>16504.09</v>
      </c>
      <c r="AA59" s="21">
        <f>Tabla356813212939717274757[[#This Row],[COMISIONES]]*0.21</f>
        <v>3465.8588999999997</v>
      </c>
      <c r="AB59" s="21"/>
      <c r="AC59" s="21"/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Tabla13162432212223352[[#This Row],[COMISIONES]]*0.21</f>
        <v>0</v>
      </c>
      <c r="D60" s="2"/>
      <c r="E60" s="2"/>
      <c r="F60"/>
      <c r="H60" s="11"/>
      <c r="I60" s="11">
        <f>Tabla3915233141919294959[[#This Row],[COMISIONES]]*0.21</f>
        <v>0</v>
      </c>
      <c r="J60" s="11"/>
      <c r="K60" s="11"/>
      <c r="L60" s="11"/>
      <c r="N60" s="11"/>
      <c r="O60" s="11">
        <f>Tabla3510182636414244454[[#This Row],[COMISIONES]]*0.21</f>
        <v>0</v>
      </c>
      <c r="P60" s="11"/>
      <c r="Q60" s="11"/>
      <c r="R60" s="11"/>
      <c r="T60"/>
      <c r="U60" s="19">
        <f>Tabla612202838616264656[[#This Row],[COMISIONES]]*0.21</f>
        <v>0</v>
      </c>
      <c r="V60"/>
      <c r="W60"/>
      <c r="X60"/>
      <c r="Z60">
        <v>41009.730000000003</v>
      </c>
      <c r="AA60" s="21"/>
      <c r="AB60" s="21">
        <f>Tabla356813212939717274757[[#This Row],[COMISIONES]]*0.105</f>
        <v>4306.0216500000006</v>
      </c>
      <c r="AC60" s="21"/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SUBTOTAL(109,Tabla13162432212223352[COMISIONES])</f>
        <v>0</v>
      </c>
      <c r="C61" s="4">
        <f>SUBTOTAL(109,Tabla13162432212223352[IVA 21])</f>
        <v>0</v>
      </c>
      <c r="D61" s="4">
        <f>SUBTOTAL(109,Tabla13162432212223352[IVA 10,5])</f>
        <v>0</v>
      </c>
      <c r="E61" s="4">
        <f>SUBTOTAL(109,Tabla13162432212223352[Ret IIBB Caba])</f>
        <v>0</v>
      </c>
      <c r="F61" s="4">
        <f>SUBTOTAL(109,Tabla13162432212223352[PERC IVA])</f>
        <v>0</v>
      </c>
      <c r="H61" s="11"/>
      <c r="I61" s="11">
        <f>Tabla3915233141919294959[[#This Row],[COMISIONES]]*0.21</f>
        <v>0</v>
      </c>
      <c r="J61" s="11"/>
      <c r="K61" s="11"/>
      <c r="L61" s="11"/>
      <c r="N61" s="11"/>
      <c r="O61" s="11">
        <f>Tabla3510182636414244454[[#This Row],[COMISIONES]]*0.21</f>
        <v>0</v>
      </c>
      <c r="P61" s="11"/>
      <c r="Q61" s="11"/>
      <c r="R61" s="11"/>
      <c r="T61"/>
      <c r="U61" s="19">
        <f>Tabla612202838616264656[[#This Row],[COMISIONES]]*0.21</f>
        <v>0</v>
      </c>
      <c r="V61"/>
      <c r="W61"/>
      <c r="X61"/>
      <c r="Z61">
        <v>13507.35</v>
      </c>
      <c r="AA61" s="21">
        <f>Tabla356813212939717274757[[#This Row],[COMISIONES]]*0.21</f>
        <v>2836.5434999999998</v>
      </c>
      <c r="AB61" s="21"/>
      <c r="AC61" s="21"/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Tabla3915233141919294959[[#This Row],[COMISIONES]]*0.21</f>
        <v>0</v>
      </c>
      <c r="J62" s="11"/>
      <c r="K62" s="11"/>
      <c r="L62" s="11"/>
      <c r="N62" s="11"/>
      <c r="O62" s="11">
        <f>Tabla3510182636414244454[[#This Row],[COMISIONES]]*0.21</f>
        <v>0</v>
      </c>
      <c r="P62" s="11"/>
      <c r="Q62" s="11"/>
      <c r="R62" s="11"/>
      <c r="T62" s="17">
        <f>SUBTOTAL(109,Tabla612202838616264656[COMISIONES])</f>
        <v>237010</v>
      </c>
      <c r="U62" s="17">
        <f>SUBTOTAL(109,Tabla612202838616264656[IVA 21])</f>
        <v>49772.1</v>
      </c>
      <c r="V62" s="17">
        <f>SUBTOTAL(109,Tabla612202838616264656[IVA 10,5])</f>
        <v>0</v>
      </c>
      <c r="W62" s="17">
        <f>SUBTOTAL(109,Tabla612202838616264656[Ret IIBB Caba])</f>
        <v>13860</v>
      </c>
      <c r="X62" s="17">
        <f>SUBTOTAL(109,Tabla612202838616264656[PERC IVA])</f>
        <v>6963.28</v>
      </c>
      <c r="Z62">
        <v>68072.55</v>
      </c>
      <c r="AA62" s="21">
        <f>Tabla356813212939717274757[[#This Row],[COMISIONES]]*0.21</f>
        <v>14295.235500000001</v>
      </c>
      <c r="AB62" s="21"/>
      <c r="AC62" s="21"/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Tabla3915233141919294959[[#This Row],[COMISIONES]]*0.21</f>
        <v>0</v>
      </c>
      <c r="J63" s="11"/>
      <c r="K63" s="11"/>
      <c r="L63" s="11"/>
      <c r="N63" s="11"/>
      <c r="O63" s="11">
        <f>Tabla3510182636414244454[[#This Row],[COMISIONES]]*0.21</f>
        <v>0</v>
      </c>
      <c r="P63" s="11"/>
      <c r="Q63" s="11"/>
      <c r="R63" s="11"/>
      <c r="T63"/>
      <c r="U63"/>
      <c r="V63"/>
      <c r="W63"/>
      <c r="X63"/>
      <c r="Z63">
        <v>11229.25</v>
      </c>
      <c r="AA63" s="21">
        <f>Tabla356813212939717274757[[#This Row],[COMISIONES]]*0.21</f>
        <v>2358.1424999999999</v>
      </c>
      <c r="AB63" s="21"/>
      <c r="AC63" s="21"/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Tabla3915233141919294959[[#This Row],[COMISIONES]]*0.21</f>
        <v>0</v>
      </c>
      <c r="J64" s="11"/>
      <c r="K64" s="11"/>
      <c r="L64" s="11"/>
      <c r="N64" s="11"/>
      <c r="O64" s="11">
        <f>Tabla3510182636414244454[[#This Row],[COMISIONES]]*0.21</f>
        <v>0</v>
      </c>
      <c r="P64" s="11"/>
      <c r="Q64" s="11"/>
      <c r="R64" s="11"/>
      <c r="T64" s="41" t="s">
        <v>31</v>
      </c>
      <c r="U64" s="41"/>
      <c r="V64" s="41"/>
      <c r="W64" s="41"/>
      <c r="X64" s="41"/>
      <c r="Z64">
        <v>8863.7000000000007</v>
      </c>
      <c r="AA64" s="21">
        <f>Tabla356813212939717274757[[#This Row],[COMISIONES]]*0.21</f>
        <v>1861.3770000000002</v>
      </c>
      <c r="AB64" s="1"/>
      <c r="AC64" s="21"/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Tabla3915233141919294959[[#This Row],[COMISIONES]]*0.21</f>
        <v>0</v>
      </c>
      <c r="J65" s="11"/>
      <c r="K65" s="11"/>
      <c r="L65" s="11"/>
      <c r="N65" s="11"/>
      <c r="O65" s="11">
        <f>Tabla3510182636414244454[[#This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>
        <v>9135.15</v>
      </c>
      <c r="AA65" s="21">
        <f>Tabla356813212939717274757[[#This Row],[COMISIONES]]*0.21</f>
        <v>1918.3815</v>
      </c>
      <c r="AB65" s="21"/>
      <c r="AC65" s="21"/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Tabla3915233141919294959[[#This Row],[COMISIONES]]*0.21</f>
        <v>0</v>
      </c>
      <c r="J66" s="11"/>
      <c r="K66" s="11"/>
      <c r="L66" s="11"/>
      <c r="N66" s="11"/>
      <c r="O66" s="11">
        <f>Tabla3510182636414244454[[#This Row],[COMISIONES]]*0.21</f>
        <v>0</v>
      </c>
      <c r="P66" s="11"/>
      <c r="Q66" s="11"/>
      <c r="R66" s="11"/>
      <c r="T66" s="11">
        <v>169995</v>
      </c>
      <c r="U66" s="11">
        <f>Tabla612202833421020305060[[#This Row],[COMISIONES]]*0.21</f>
        <v>35698.949999999997</v>
      </c>
      <c r="V66" s="11"/>
      <c r="W66" s="1"/>
      <c r="X66" s="11"/>
      <c r="Z66">
        <v>6581.75</v>
      </c>
      <c r="AA66" s="21">
        <f>Tabla356813212939717274757[[#This Row],[COMISIONES]]*0.21</f>
        <v>1382.1675</v>
      </c>
      <c r="AB66" s="21"/>
      <c r="AC66" s="21"/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Tabla3915233141919294959[[#This Row],[COMISIONES]]*0.21</f>
        <v>0</v>
      </c>
      <c r="J67" s="11"/>
      <c r="K67" s="11"/>
      <c r="L67" s="11"/>
      <c r="N67" s="18"/>
      <c r="O67" s="11">
        <f>Tabla3510182636414244454[[#This Row],[COMISIONES]]*0.21</f>
        <v>0</v>
      </c>
      <c r="P67" s="18"/>
      <c r="Q67" s="18"/>
      <c r="R67" s="18"/>
      <c r="T67" s="11"/>
      <c r="U67" s="11">
        <f>Tabla612202833421020305060[[#This Row],[COMISIONES]]*0.21</f>
        <v>0</v>
      </c>
      <c r="V67" s="11"/>
      <c r="W67" s="11"/>
      <c r="X67" s="11"/>
      <c r="Z67">
        <v>15507.73</v>
      </c>
      <c r="AA67" s="21"/>
      <c r="AB67" s="21">
        <f>Tabla356813212939717274757[[#This Row],[COMISIONES]]*0.105</f>
        <v>1628.3116499999999</v>
      </c>
      <c r="AC67" s="21"/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Tabla3915233141919294959[[#This Row],[COMISIONES]]*0.21</f>
        <v>0</v>
      </c>
      <c r="J68" s="11"/>
      <c r="K68" s="11"/>
      <c r="L68" s="11"/>
      <c r="N68" s="18"/>
      <c r="O68" s="11">
        <f>Tabla3510182636414244454[[#This Row],[COMISIONES]]*0.21</f>
        <v>0</v>
      </c>
      <c r="P68" s="18"/>
      <c r="Q68" s="18"/>
      <c r="R68" s="18"/>
      <c r="T68" s="11"/>
      <c r="U68" s="19">
        <f>Tabla612202833421020305060[[#This Row],[COMISIONES]]*0.21</f>
        <v>0</v>
      </c>
      <c r="V68"/>
      <c r="W68" s="1"/>
      <c r="X68"/>
      <c r="Z68">
        <v>7845.7</v>
      </c>
      <c r="AA68" s="21">
        <f>Tabla356813212939717274757[[#This Row],[COMISIONES]]*0.21</f>
        <v>1647.597</v>
      </c>
      <c r="AB68" s="21"/>
      <c r="AC68" s="21"/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Tabla3915233141919294959[[#This Row],[COMISIONES]]*0.21</f>
        <v>0</v>
      </c>
      <c r="J69" s="11"/>
      <c r="K69" s="11"/>
      <c r="L69" s="11"/>
      <c r="N69" s="18"/>
      <c r="O69" s="11">
        <f>Tabla3510182636414244454[[#This Row],[COMISIONES]]*0.21</f>
        <v>0</v>
      </c>
      <c r="P69" s="18"/>
      <c r="Q69" s="18"/>
      <c r="R69" s="18"/>
      <c r="T69" s="11"/>
      <c r="U69" s="19">
        <f>Tabla612202833421020305060[[#This Row],[COMISIONES]]*0.21</f>
        <v>0</v>
      </c>
      <c r="V69"/>
      <c r="W69"/>
      <c r="X69"/>
      <c r="Z69">
        <v>21052.7</v>
      </c>
      <c r="AA69" s="21">
        <f>Tabla356813212939717274757[[#This Row],[COMISIONES]]*0.21</f>
        <v>4421.067</v>
      </c>
      <c r="AB69" s="21"/>
      <c r="AC69" s="21"/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Tabla3915233141919294959[[#This Row],[COMISIONES]]*0.21</f>
        <v>0</v>
      </c>
      <c r="J70" s="11"/>
      <c r="K70" s="11"/>
      <c r="L70" s="11"/>
      <c r="N70" s="18"/>
      <c r="O70" s="11">
        <f>Tabla3510182636414244454[[#This Row],[COMISIONES]]*0.21</f>
        <v>0</v>
      </c>
      <c r="P70" s="18"/>
      <c r="Q70" s="18"/>
      <c r="R70" s="18"/>
      <c r="T70" s="11"/>
      <c r="U70" s="19">
        <f>Tabla612202833421020305060[[#This Row],[COMISIONES]]*0.21</f>
        <v>0</v>
      </c>
      <c r="V70"/>
      <c r="W70"/>
      <c r="X70"/>
      <c r="Z70">
        <v>4871.07</v>
      </c>
      <c r="AA70" s="21"/>
      <c r="AB70" s="21">
        <f>Tabla356813212939717274757[[#This Row],[COMISIONES]]*0.105</f>
        <v>511.46234999999996</v>
      </c>
      <c r="AC70" s="21"/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Tabla3915233141919294959[[#This Row],[COMISIONES]]*0.21</f>
        <v>0</v>
      </c>
      <c r="J71" s="11"/>
      <c r="K71" s="11"/>
      <c r="L71" s="11"/>
      <c r="N71" s="18"/>
      <c r="O71" s="11">
        <f>Tabla3510182636414244454[[#This Row],[COMISIONES]]*0.21</f>
        <v>0</v>
      </c>
      <c r="P71" s="18"/>
      <c r="Q71" s="18"/>
      <c r="R71" s="18"/>
      <c r="T71" s="11"/>
      <c r="U71" s="19">
        <f>Tabla612202833421020305060[[#This Row],[COMISIONES]]*0.21</f>
        <v>0</v>
      </c>
      <c r="V71"/>
      <c r="W71"/>
      <c r="X71"/>
      <c r="Z71">
        <v>8668.65</v>
      </c>
      <c r="AA71" s="21">
        <f>Tabla356813212939717274757[[#This Row],[COMISIONES]]*0.21</f>
        <v>1820.4164999999998</v>
      </c>
      <c r="AB71" s="21"/>
      <c r="AC71" s="21"/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Tabla3915233141919294959[[#This Row],[COMISIONES]]*0.21</f>
        <v>0</v>
      </c>
      <c r="J72" s="11"/>
      <c r="K72" s="11"/>
      <c r="L72" s="11"/>
      <c r="N72" s="18"/>
      <c r="O72" s="11">
        <f>Tabla3510182636414244454[[#This Row],[COMISIONES]]*0.21</f>
        <v>0</v>
      </c>
      <c r="P72" s="18"/>
      <c r="Q72" s="18"/>
      <c r="R72" s="18"/>
      <c r="T72" s="11"/>
      <c r="U72" s="19">
        <f>Tabla612202833421020305060[[#This Row],[COMISIONES]]*0.21</f>
        <v>0</v>
      </c>
      <c r="V72"/>
      <c r="W72"/>
      <c r="X72"/>
      <c r="Z72" s="1">
        <v>9963.9</v>
      </c>
      <c r="AA72" s="21">
        <f>Tabla356813212939717274757[[#This Row],[COMISIONES]]*0.21</f>
        <v>2092.4189999999999</v>
      </c>
      <c r="AB72" s="21"/>
      <c r="AC72" s="21"/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Tabla3915233141919294959[[#This Row],[COMISIONES]]*0.21</f>
        <v>0</v>
      </c>
      <c r="J73" s="11"/>
      <c r="K73" s="11"/>
      <c r="L73" s="11"/>
      <c r="N73" s="18"/>
      <c r="O73" s="11">
        <f>Tabla3510182636414244454[[#This Row],[COMISIONES]]*0.21</f>
        <v>0</v>
      </c>
      <c r="P73" s="18"/>
      <c r="Q73" s="18"/>
      <c r="R73" s="18"/>
      <c r="T73" s="11"/>
      <c r="U73" s="19">
        <f>Tabla612202833421020305060[[#This Row],[COMISIONES]]*0.21</f>
        <v>0</v>
      </c>
      <c r="V73"/>
      <c r="W73"/>
      <c r="X73"/>
      <c r="Z73" s="1">
        <v>11436.55</v>
      </c>
      <c r="AA73" s="21"/>
      <c r="AB73" s="1">
        <f>Tabla356813212939717274757[[#This Row],[COMISIONES]]*0.105</f>
        <v>1200.8377499999999</v>
      </c>
      <c r="AC73" s="1"/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Tabla3915233141919294959[[#This Row],[COMISIONES]]*0.21</f>
        <v>0</v>
      </c>
      <c r="J74" s="11"/>
      <c r="K74" s="11"/>
      <c r="L74" s="11"/>
      <c r="N74" s="18"/>
      <c r="O74" s="11">
        <f>Tabla3510182636414244454[[#This Row],[COMISIONES]]*0.21</f>
        <v>0</v>
      </c>
      <c r="P74" s="18"/>
      <c r="Q74" s="18"/>
      <c r="R74" s="18"/>
      <c r="T74" s="11"/>
      <c r="U74" s="19">
        <f>Tabla612202833421020305060[[#This Row],[COMISIONES]]*0.21</f>
        <v>0</v>
      </c>
      <c r="V74"/>
      <c r="W74"/>
      <c r="X74"/>
      <c r="Z74" s="1">
        <v>7691.73</v>
      </c>
      <c r="AA74" s="21">
        <f>Tabla356813212939717274757[[#This Row],[COMISIONES]]*0.21</f>
        <v>1615.2632999999998</v>
      </c>
      <c r="AB74"/>
      <c r="AC74"/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Tabla3915233141919294959[[#This Row],[COMISIONES]]*0.21</f>
        <v>0</v>
      </c>
      <c r="J75" s="11"/>
      <c r="K75" s="11"/>
      <c r="L75" s="11"/>
      <c r="N75" s="18"/>
      <c r="O75" s="11">
        <f>Tabla3510182636414244454[[#This Row],[COMISIONES]]*0.21</f>
        <v>0</v>
      </c>
      <c r="P75" s="18"/>
      <c r="Q75" s="18"/>
      <c r="R75" s="18"/>
      <c r="T75" s="11"/>
      <c r="U75" s="19">
        <f>Tabla612202833421020305060[[#This Row],[COMISIONES]]*0.21</f>
        <v>0</v>
      </c>
      <c r="V75"/>
      <c r="W75"/>
      <c r="X75"/>
      <c r="Z75" s="1">
        <v>35573.11</v>
      </c>
      <c r="AA75" s="21">
        <f>Tabla356813212939717274757[[#This Row],[COMISIONES]]*0.21</f>
        <v>7470.3531000000003</v>
      </c>
      <c r="AB75" s="1"/>
      <c r="AC75" s="21"/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Tabla3915233141919294959[[#This Row],[COMISIONES]]*0.21</f>
        <v>0</v>
      </c>
      <c r="J76" s="11"/>
      <c r="K76" s="11"/>
      <c r="L76" s="11"/>
      <c r="N76" s="18"/>
      <c r="O76" s="11">
        <f>Tabla3510182636414244454[[#This Row],[COMISIONES]]*0.21</f>
        <v>0</v>
      </c>
      <c r="P76" s="18"/>
      <c r="Q76" s="18"/>
      <c r="R76" s="18"/>
      <c r="T76"/>
      <c r="U76" s="19">
        <f>Tabla612202833421020305060[[#This Row],[COMISIONES]]*0.21</f>
        <v>0</v>
      </c>
      <c r="V76"/>
      <c r="W76"/>
      <c r="X76"/>
      <c r="Z76" s="1">
        <v>31285</v>
      </c>
      <c r="AA76" s="21">
        <v>2870.79</v>
      </c>
      <c r="AB76" s="1">
        <v>1849.55</v>
      </c>
      <c r="AC76" s="21"/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Tabla3915233141919294959[[#This Row],[COMISIONES]]*0.21</f>
        <v>0</v>
      </c>
      <c r="J77" s="11"/>
      <c r="K77" s="11"/>
      <c r="L77" s="11"/>
      <c r="N77" s="18"/>
      <c r="O77" s="11">
        <f>Tabla3510182636414244454[[#This Row],[COMISIONES]]*0.21</f>
        <v>0</v>
      </c>
      <c r="P77" s="18"/>
      <c r="Q77" s="18"/>
      <c r="R77" s="18"/>
      <c r="T77"/>
      <c r="U77" s="19">
        <f>Tabla612202833421020305060[[#This Row],[COMISIONES]]*0.21</f>
        <v>0</v>
      </c>
      <c r="V77"/>
      <c r="W77"/>
      <c r="X77"/>
      <c r="Z77" s="1"/>
      <c r="AA77" s="21">
        <f>Tabla356813212939717274757[[#This Row],[COMISIONES]]*0.21</f>
        <v>0</v>
      </c>
      <c r="AB77" s="1"/>
      <c r="AC77" s="21"/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Tabla3915233141919294959[[#This Row],[COMISIONES]]*0.21</f>
        <v>0</v>
      </c>
      <c r="J78" s="11"/>
      <c r="K78" s="11"/>
      <c r="L78" s="11"/>
      <c r="N78" s="18"/>
      <c r="O78" s="11">
        <f>Tabla3510182636414244454[[#This Row],[COMISIONES]]*0.21</f>
        <v>0</v>
      </c>
      <c r="P78" s="18"/>
      <c r="Q78" s="18"/>
      <c r="R78" s="18"/>
      <c r="T78"/>
      <c r="U78" s="19">
        <f>Tabla612202833421020305060[[#This Row],[COMISIONES]]*0.21</f>
        <v>0</v>
      </c>
      <c r="V78"/>
      <c r="W78"/>
      <c r="X78"/>
      <c r="Z78" s="1"/>
      <c r="AA78" s="21"/>
      <c r="AB78" s="1">
        <f>Tabla356813212939717274757[[#This Row],[COMISIONES]]*0.105</f>
        <v>0</v>
      </c>
      <c r="AC78" s="21"/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Tabla3915233141919294959[[#This Row],[COMISIONES]]*0.21</f>
        <v>0</v>
      </c>
      <c r="J79" s="11"/>
      <c r="K79" s="11"/>
      <c r="L79" s="11"/>
      <c r="N79" s="18"/>
      <c r="O79" s="11">
        <f>Tabla3510182636414244454[[#This Row],[COMISIONES]]*0.21</f>
        <v>0</v>
      </c>
      <c r="P79" s="18"/>
      <c r="Q79" s="18"/>
      <c r="R79" s="18"/>
      <c r="T79"/>
      <c r="U79" s="19">
        <f>Tabla612202833421020305060[[#This Row],[COMISIONES]]*0.21</f>
        <v>0</v>
      </c>
      <c r="V79"/>
      <c r="W79"/>
      <c r="X79"/>
      <c r="Z79" s="1"/>
      <c r="AA79" s="21">
        <f>Tabla356813212939717274757[[#This Row],[COMISIONES]]*0.21</f>
        <v>0</v>
      </c>
      <c r="AB79" s="21"/>
      <c r="AC79" s="21"/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Tabla3915233141919294959[[#This Row],[COMISIONES]]*0.21</f>
        <v>0</v>
      </c>
      <c r="J80" s="11"/>
      <c r="K80" s="11"/>
      <c r="L80" s="11"/>
      <c r="N80" s="18"/>
      <c r="O80" s="11">
        <f>Tabla3510182636414244454[[#This Row],[COMISIONES]]*0.21</f>
        <v>0</v>
      </c>
      <c r="P80" s="18"/>
      <c r="Q80" s="18"/>
      <c r="R80" s="18"/>
      <c r="T80"/>
      <c r="U80" s="19">
        <f>Tabla612202833421020305060[[#This Row],[COMISIONES]]*0.21</f>
        <v>0</v>
      </c>
      <c r="V80"/>
      <c r="W80"/>
      <c r="X80"/>
      <c r="Z80" s="1"/>
      <c r="AA80" s="21">
        <f>Tabla356813212939717274757[[#This Row],[COMISIONES]]*0.21</f>
        <v>0</v>
      </c>
      <c r="AB80" s="21"/>
      <c r="AC80" s="21"/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Tabla3915233141919294959[[#This Row],[COMISIONES]]*0.21</f>
        <v>0</v>
      </c>
      <c r="J81" s="18"/>
      <c r="K81" s="18"/>
      <c r="L81" s="18"/>
      <c r="N81" s="18"/>
      <c r="O81" s="11">
        <f>Tabla3510182636414244454[[#This Row],[COMISIONES]]*0.21</f>
        <v>0</v>
      </c>
      <c r="P81" s="18"/>
      <c r="Q81" s="18"/>
      <c r="R81" s="18"/>
      <c r="T81"/>
      <c r="U81" s="19">
        <f>Tabla612202833421020305060[[#This Row],[COMISIONES]]*0.21</f>
        <v>0</v>
      </c>
      <c r="V81"/>
      <c r="W81"/>
      <c r="X81"/>
      <c r="Z81"/>
      <c r="AA81" s="21">
        <f>Tabla356813212939717274757[[#This Row],[COMISIONES]]*0.21</f>
        <v>0</v>
      </c>
      <c r="AB81" s="21"/>
      <c r="AC81" s="21"/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Tabla3915233141919294959[[#This Row],[COMISIONES]]*0.21</f>
        <v>0</v>
      </c>
      <c r="J82" s="18"/>
      <c r="K82" s="18"/>
      <c r="L82" s="18"/>
      <c r="N82" s="18"/>
      <c r="O82" s="11">
        <f>Tabla3510182636414244454[[#This Row],[COMISIONES]]*0.21</f>
        <v>0</v>
      </c>
      <c r="P82" s="18"/>
      <c r="Q82" s="18"/>
      <c r="R82" s="18"/>
      <c r="T82"/>
      <c r="U82" s="19">
        <f>Tabla612202833421020305060[[#This Row],[COMISIONES]]*0.21</f>
        <v>0</v>
      </c>
      <c r="V82"/>
      <c r="W82"/>
      <c r="X82"/>
      <c r="Z82"/>
      <c r="AA82" s="21"/>
      <c r="AB82" s="1">
        <f>Tabla356813212939717274757[[#This Row],[COMISIONES]]*0.105</f>
        <v>0</v>
      </c>
      <c r="AC82" s="1"/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Tabla3915233141919294959[[#This Row],[COMISIONES]]*0.21</f>
        <v>0</v>
      </c>
      <c r="J83" s="18"/>
      <c r="K83" s="18"/>
      <c r="L83" s="18"/>
      <c r="N83" s="18"/>
      <c r="O83" s="11">
        <f>Tabla3510182636414244454[[#This Row],[COMISIONES]]*0.21</f>
        <v>0</v>
      </c>
      <c r="P83" s="18"/>
      <c r="Q83" s="18"/>
      <c r="R83" s="18"/>
      <c r="T83"/>
      <c r="U83" s="19">
        <f>Tabla612202833421020305060[[#This Row],[COMISIONES]]*0.21</f>
        <v>0</v>
      </c>
      <c r="V83"/>
      <c r="W83"/>
      <c r="X83"/>
      <c r="Z83" s="1"/>
      <c r="AA83" s="21">
        <f>Tabla356813212939717274757[[#This Row],[COMISIONES]]*0.21</f>
        <v>0</v>
      </c>
      <c r="AB83" s="21"/>
      <c r="AC83" s="21"/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Tabla3915233141919294959[[#This Row],[COMISIONES]]*0.21</f>
        <v>0</v>
      </c>
      <c r="J84" s="18"/>
      <c r="K84" s="18"/>
      <c r="L84" s="18"/>
      <c r="N84" s="18"/>
      <c r="O84" s="11">
        <f>Tabla3510182636414244454[[#This Row],[COMISIONES]]*0.21</f>
        <v>0</v>
      </c>
      <c r="P84" s="18"/>
      <c r="Q84" s="18"/>
      <c r="R84" s="18"/>
      <c r="T84"/>
      <c r="U84" s="19">
        <f>Tabla612202833421020305060[[#This Row],[COMISIONES]]*0.21</f>
        <v>0</v>
      </c>
      <c r="V84"/>
      <c r="W84"/>
      <c r="X84"/>
      <c r="Z84" s="1"/>
      <c r="AA84" s="21">
        <f>Tabla356813212939717274757[[#This Row],[COMISIONES]]*0.21</f>
        <v>0</v>
      </c>
      <c r="AB84" s="21"/>
      <c r="AC84" s="1"/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Tabla3915233141919294959[[#This Row],[COMISIONES]]*0.21</f>
        <v>0</v>
      </c>
      <c r="J85" s="18"/>
      <c r="K85" s="18"/>
      <c r="L85" s="18"/>
      <c r="N85" s="18"/>
      <c r="O85" s="11">
        <f>Tabla3510182636414244454[[#This Row],[COMISIONES]]*0.21</f>
        <v>0</v>
      </c>
      <c r="P85" s="18"/>
      <c r="Q85" s="18"/>
      <c r="R85" s="18"/>
      <c r="T85"/>
      <c r="U85" s="19">
        <f>Tabla612202833421020305060[[#This Row],[COMISIONES]]*0.21</f>
        <v>0</v>
      </c>
      <c r="V85"/>
      <c r="W85"/>
      <c r="X85"/>
      <c r="Z85" s="1"/>
      <c r="AA85" s="21"/>
      <c r="AB85" s="1">
        <f>Tabla356813212939717274757[[#This Row],[COMISIONES]]*0.105</f>
        <v>0</v>
      </c>
      <c r="AC85" s="1"/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Tabla3915233141919294959[[#This Row],[COMISIONES]]*0.21</f>
        <v>0</v>
      </c>
      <c r="J86" s="18"/>
      <c r="K86" s="18"/>
      <c r="L86" s="18"/>
      <c r="N86" s="18"/>
      <c r="O86" s="11">
        <f>Tabla3510182636414244454[[#This Row],[COMISIONES]]*0.21</f>
        <v>0</v>
      </c>
      <c r="P86" s="18"/>
      <c r="Q86" s="18"/>
      <c r="R86" s="18"/>
      <c r="T86"/>
      <c r="U86" s="19">
        <f>Tabla612202833421020305060[[#This Row],[COMISIONES]]*0.21</f>
        <v>0</v>
      </c>
      <c r="V86"/>
      <c r="W86"/>
      <c r="X86"/>
      <c r="Z86" s="1"/>
      <c r="AA86" s="21">
        <f>Tabla356813212939717274757[[#This Row],[COMISIONES]]*0.21</f>
        <v>0</v>
      </c>
      <c r="AB86" s="21"/>
      <c r="AC86" s="1"/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Tabla3915233141919294959[[#This Row],[COMISIONES]]*0.21</f>
        <v>0</v>
      </c>
      <c r="J87" s="18"/>
      <c r="K87" s="18"/>
      <c r="L87" s="18"/>
      <c r="N87" s="18"/>
      <c r="O87" s="11">
        <f>Tabla3510182636414244454[[#This Row],[COMISIONES]]*0.21</f>
        <v>0</v>
      </c>
      <c r="P87" s="18"/>
      <c r="Q87" s="18"/>
      <c r="R87" s="18"/>
      <c r="T87"/>
      <c r="U87" s="19">
        <f>Tabla612202833421020305060[[#This Row],[COMISIONES]]*0.21</f>
        <v>0</v>
      </c>
      <c r="V87"/>
      <c r="W87"/>
      <c r="X87"/>
      <c r="Z87" s="1"/>
      <c r="AA87" s="21">
        <f>Tabla356813212939717274757[[#This Row],[COMISIONES]]*0.21</f>
        <v>0</v>
      </c>
      <c r="AB87" s="1"/>
      <c r="AC87" s="1"/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Tabla3915233141919294959[[#This Row],[COMISIONES]]*0.21</f>
        <v>0</v>
      </c>
      <c r="J88" s="18"/>
      <c r="K88" s="18"/>
      <c r="L88" s="18"/>
      <c r="N88" s="18"/>
      <c r="O88" s="11">
        <f>Tabla3510182636414244454[[#This Row],[COMISIONES]]*0.21</f>
        <v>0</v>
      </c>
      <c r="P88" s="18"/>
      <c r="Q88" s="18"/>
      <c r="R88" s="18"/>
      <c r="T88"/>
      <c r="U88" s="19">
        <f>Tabla612202833421020305060[[#This Row],[COMISIONES]]*0.21</f>
        <v>0</v>
      </c>
      <c r="V88"/>
      <c r="W88"/>
      <c r="X88"/>
      <c r="Z88" s="1"/>
      <c r="AA88" s="21">
        <f>Tabla356813212939717274757[[#This Row],[COMISIONES]]*0.21</f>
        <v>0</v>
      </c>
      <c r="AB88" s="21"/>
      <c r="AC88" s="21"/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Tabla3915233141919294959[[#This Row],[COMISIONES]]*0.21</f>
        <v>0</v>
      </c>
      <c r="J89" s="18"/>
      <c r="K89" s="18"/>
      <c r="L89" s="18"/>
      <c r="N89" s="18"/>
      <c r="O89" s="11">
        <f>Tabla3510182636414244454[[#This Row],[COMISIONES]]*0.21</f>
        <v>0</v>
      </c>
      <c r="P89" s="18"/>
      <c r="Q89" s="18"/>
      <c r="R89" s="18"/>
      <c r="T89"/>
      <c r="U89" s="19">
        <f>Tabla612202833421020305060[[#This Row],[COMISIONES]]*0.21</f>
        <v>0</v>
      </c>
      <c r="V89"/>
      <c r="W89"/>
      <c r="X89"/>
      <c r="Z89" s="1"/>
      <c r="AA89" s="21">
        <f>Tabla356813212939717274757[[#This Row],[COMISIONES]]*0.21</f>
        <v>0</v>
      </c>
      <c r="AB89"/>
      <c r="AC89"/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Tabla3915233141919294959[[#This Row],[COMISIONES]]*0.21</f>
        <v>0</v>
      </c>
      <c r="J90" s="18"/>
      <c r="K90" s="18"/>
      <c r="L90" s="18"/>
      <c r="N90" s="18"/>
      <c r="O90" s="11">
        <f>Tabla3510182636414244454[[#This Row],[COMISIONES]]*0.21</f>
        <v>0</v>
      </c>
      <c r="P90" s="18"/>
      <c r="Q90" s="18"/>
      <c r="R90" s="18"/>
      <c r="T90"/>
      <c r="U90" s="19">
        <f>Tabla612202833421020305060[[#This Row],[COMISIONES]]*0.21</f>
        <v>0</v>
      </c>
      <c r="V90"/>
      <c r="W90"/>
      <c r="X90"/>
      <c r="Z90" s="1"/>
      <c r="AA90" s="21">
        <f>Tabla356813212939717274757[[#This Row],[COMISIONES]]*0.21</f>
        <v>0</v>
      </c>
      <c r="AB90" s="21"/>
      <c r="AC90" s="21"/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Tabla3915233141919294959[[#This Row],[COMISIONES]]*0.21</f>
        <v>0</v>
      </c>
      <c r="J91" s="18"/>
      <c r="K91" s="18"/>
      <c r="L91" s="18"/>
      <c r="N91" s="18"/>
      <c r="O91" s="11">
        <f>Tabla3510182636414244454[[#This Row],[COMISIONES]]*0.21</f>
        <v>0</v>
      </c>
      <c r="P91" s="18"/>
      <c r="Q91" s="18"/>
      <c r="R91" s="18"/>
      <c r="T91"/>
      <c r="U91" s="19">
        <f>Tabla612202833421020305060[[#This Row],[COMISIONES]]*0.21</f>
        <v>0</v>
      </c>
      <c r="V91"/>
      <c r="W91"/>
      <c r="X91"/>
      <c r="Z91" s="1"/>
      <c r="AA91" s="21">
        <f>Tabla356813212939717274757[[#This Row],[COMISIONES]]*0.21</f>
        <v>0</v>
      </c>
      <c r="AB91" s="21"/>
      <c r="AC91" s="1"/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Tabla3915233141919294959[[#This Row],[COMISIONES]]*0.21</f>
        <v>0</v>
      </c>
      <c r="J92" s="18"/>
      <c r="K92" s="18"/>
      <c r="L92" s="18"/>
      <c r="N92" s="18"/>
      <c r="O92" s="11">
        <f>Tabla3510182636414244454[[#This Row],[COMISIONES]]*0.21</f>
        <v>0</v>
      </c>
      <c r="P92" s="18"/>
      <c r="Q92" s="18"/>
      <c r="R92" s="18"/>
      <c r="T92"/>
      <c r="U92" s="19">
        <f>Tabla612202833421020305060[[#This Row],[COMISIONES]]*0.21</f>
        <v>0</v>
      </c>
      <c r="V92"/>
      <c r="W92"/>
      <c r="X92"/>
      <c r="Z92"/>
      <c r="AA92" s="21"/>
      <c r="AB92" s="1">
        <f>Tabla356813212939717274757[[#This Row],[COMISIONES]]*0.105</f>
        <v>0</v>
      </c>
      <c r="AC92" s="21"/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Tabla3915233141919294959[[#This Row],[COMISIONES]]*0.21</f>
        <v>0</v>
      </c>
      <c r="J93" s="21"/>
      <c r="K93" s="21"/>
      <c r="L93" s="21"/>
      <c r="N93" s="18"/>
      <c r="O93" s="11">
        <f>Tabla3510182636414244454[[#This Row],[COMISIONES]]*0.21</f>
        <v>0</v>
      </c>
      <c r="P93" s="18"/>
      <c r="Q93" s="18"/>
      <c r="R93" s="18"/>
      <c r="T93"/>
      <c r="U93" s="19">
        <f>Tabla612202833421020305060[[#This Row],[COMISIONES]]*0.21</f>
        <v>0</v>
      </c>
      <c r="V93"/>
      <c r="W93"/>
      <c r="X93"/>
      <c r="Z93"/>
      <c r="AA93" s="21">
        <f>Tabla356813212939717274757[[#This Row],[COMISIONES]]*0.21</f>
        <v>0</v>
      </c>
      <c r="AB93" s="21"/>
      <c r="AC93" s="21"/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Tabla3915233141919294959[[#This Row],[COMISIONES]]*0.21</f>
        <v>0</v>
      </c>
      <c r="J94" s="21"/>
      <c r="K94" s="21"/>
      <c r="L94" s="21"/>
      <c r="N94" s="18"/>
      <c r="O94" s="11">
        <f>Tabla3510182636414244454[[#This Row],[COMISIONES]]*0.21</f>
        <v>0</v>
      </c>
      <c r="P94" s="18"/>
      <c r="Q94" s="18"/>
      <c r="R94" s="18"/>
      <c r="T94" s="17">
        <f>SUBTOTAL(109,Tabla612202833421020305060[COMISIONES])</f>
        <v>169995</v>
      </c>
      <c r="U94" s="17">
        <f>SUBTOTAL(109,Tabla612202833421020305060[IVA 21])</f>
        <v>35698.949999999997</v>
      </c>
      <c r="V94" s="17">
        <f>SUBTOTAL(109,Tabla612202833421020305060[IVA 10,5])</f>
        <v>0</v>
      </c>
      <c r="W94" s="17">
        <f>SUBTOTAL(109,Tabla612202833421020305060[Ret IIBB Caba])</f>
        <v>0</v>
      </c>
      <c r="X94" s="17">
        <f>SUBTOTAL(109,Tabla612202833421020305060[PERC IVA])</f>
        <v>0</v>
      </c>
      <c r="Z94" s="1"/>
      <c r="AA94" s="21">
        <f>Tabla356813212939717274757[[#This Row],[COMISIONES]]*0.21</f>
        <v>0</v>
      </c>
      <c r="AB94" s="21"/>
      <c r="AC94" s="21"/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Tabla3915233141919294959[[#This Row],[COMISIONES]]*0.21</f>
        <v>0</v>
      </c>
      <c r="J95" s="21"/>
      <c r="K95" s="21"/>
      <c r="L95" s="21"/>
      <c r="N95" s="18"/>
      <c r="O95" s="11">
        <f>Tabla3510182636414244454[[#This Row],[COMISIONES]]*0.21</f>
        <v>0</v>
      </c>
      <c r="P95" s="18"/>
      <c r="Q95" s="18"/>
      <c r="R95" s="18"/>
      <c r="T95"/>
      <c r="U95"/>
      <c r="V95"/>
      <c r="W95"/>
      <c r="X95"/>
      <c r="Z95" s="1"/>
      <c r="AA95" s="21">
        <f>Tabla356813212939717274757[[#This Row],[COMISIONES]]*0.21</f>
        <v>0</v>
      </c>
      <c r="AB95" s="21"/>
      <c r="AC95" s="21"/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Tabla3915233141919294959[[#This Row],[COMISIONES]]*0.21</f>
        <v>0</v>
      </c>
      <c r="J96" s="21"/>
      <c r="K96" s="21"/>
      <c r="L96" s="21"/>
      <c r="N96" s="18"/>
      <c r="O96" s="11">
        <f>Tabla3510182636414244454[[#This Row],[COMISIONES]]*0.21</f>
        <v>0</v>
      </c>
      <c r="P96" s="18"/>
      <c r="Q96" s="18"/>
      <c r="R96" s="18"/>
      <c r="T96"/>
      <c r="U96"/>
      <c r="V96"/>
      <c r="W96"/>
      <c r="X96"/>
      <c r="Z96" s="1"/>
      <c r="AA96" s="21">
        <f>Tabla356813212939717274757[[#This Row],[COMISIONES]]*0.21</f>
        <v>0</v>
      </c>
      <c r="AB96" s="1"/>
      <c r="AC96" s="1"/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Tabla3915233141919294959[[#This Row],[COMISIONES]]*0.21</f>
        <v>0</v>
      </c>
      <c r="J97" s="21"/>
      <c r="K97" s="21"/>
      <c r="L97" s="21"/>
      <c r="N97" s="18"/>
      <c r="O97" s="11">
        <f>Tabla3510182636414244454[[#This Row],[COMISIONES]]*0.21</f>
        <v>0</v>
      </c>
      <c r="P97" s="18"/>
      <c r="Q97" s="18"/>
      <c r="R97" s="18"/>
      <c r="T97"/>
      <c r="U97"/>
      <c r="V97"/>
      <c r="W97"/>
      <c r="X97"/>
      <c r="Z97" s="1"/>
      <c r="AA97" s="21">
        <f>Tabla356813212939717274757[[#This Row],[COMISIONES]]*0.21</f>
        <v>0</v>
      </c>
      <c r="AB97" s="1"/>
      <c r="AC97" s="1"/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Tabla3915233141919294959[[#This Row],[COMISIONES]]*0.21</f>
        <v>0</v>
      </c>
      <c r="J98" s="21"/>
      <c r="K98" s="21"/>
      <c r="L98" s="21"/>
      <c r="N98" s="18"/>
      <c r="O98" s="11">
        <f>Tabla3510182636414244454[[#This Row],[COMISIONES]]*0.21</f>
        <v>0</v>
      </c>
      <c r="P98" s="18"/>
      <c r="Q98" s="18"/>
      <c r="R98" s="18"/>
      <c r="T98"/>
      <c r="U98"/>
      <c r="V98"/>
      <c r="W98"/>
      <c r="X98"/>
      <c r="Z98" s="1"/>
      <c r="AA98" s="21">
        <f>Tabla356813212939717274757[[#This Row],[COMISIONES]]*0.21</f>
        <v>0</v>
      </c>
      <c r="AB98" s="21"/>
      <c r="AC98" s="21"/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Tabla3915233141919294959[[#This Row],[COMISIONES]]*0.21</f>
        <v>0</v>
      </c>
      <c r="J99" s="21"/>
      <c r="K99" s="21"/>
      <c r="L99" s="21"/>
      <c r="N99" s="18"/>
      <c r="O99" s="11">
        <f>Tabla3510182636414244454[[#This Row],[COMISIONES]]*0.21</f>
        <v>0</v>
      </c>
      <c r="P99" s="18"/>
      <c r="Q99" s="18"/>
      <c r="R99" s="18"/>
      <c r="T99"/>
      <c r="U99"/>
      <c r="V99"/>
      <c r="W99"/>
      <c r="X99"/>
      <c r="Z99" s="1"/>
      <c r="AA99" s="21">
        <f>Tabla356813212939717274757[[#This Row],[COMISIONES]]*0.21</f>
        <v>0</v>
      </c>
      <c r="AB99" s="21"/>
      <c r="AC99" s="21"/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Tabla3915233141919294959[[#This Row],[COMISIONES]]*0.21</f>
        <v>0</v>
      </c>
      <c r="J100" s="21"/>
      <c r="K100" s="21"/>
      <c r="L100" s="21"/>
      <c r="N100" s="18"/>
      <c r="O100" s="11">
        <f>Tabla3510182636414244454[[#This Row],[COMISIONES]]*0.21</f>
        <v>0</v>
      </c>
      <c r="P100" s="18"/>
      <c r="Q100" s="18"/>
      <c r="R100" s="18"/>
      <c r="T100"/>
      <c r="U100"/>
      <c r="V100"/>
      <c r="W100"/>
      <c r="X100"/>
      <c r="Z100" s="1"/>
      <c r="AA100" s="21">
        <f>Tabla356813212939717274757[[#This Row],[COMISIONES]]*0.21</f>
        <v>0</v>
      </c>
      <c r="AB100" s="21"/>
      <c r="AC100" s="21"/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Tabla3915233141919294959[[#This Row],[COMISIONES]]*0.21</f>
        <v>0</v>
      </c>
      <c r="J101" s="21"/>
      <c r="K101" s="21"/>
      <c r="L101" s="21"/>
      <c r="N101" s="18"/>
      <c r="O101" s="11">
        <f>Tabla3510182636414244454[[#This Row],[COMISIONES]]*0.21</f>
        <v>0</v>
      </c>
      <c r="P101" s="18"/>
      <c r="Q101" s="18"/>
      <c r="R101" s="18"/>
      <c r="T101"/>
      <c r="U101"/>
      <c r="V101"/>
      <c r="W101"/>
      <c r="X101"/>
      <c r="Z101"/>
      <c r="AA101" s="21">
        <f>Tabla356813212939717274757[[#This Row],[COMISIONES]]*0.21</f>
        <v>0</v>
      </c>
      <c r="AB101" s="21"/>
      <c r="AC101" s="21"/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SUBTOTAL(109,Tabla3915233141919294959[COMISIONES])</f>
        <v>0</v>
      </c>
      <c r="I102" s="20">
        <f>SUBTOTAL(109,Tabla3915233141919294959[IVA 21])</f>
        <v>0</v>
      </c>
      <c r="J102" s="20">
        <f>SUBTOTAL(109,Tabla3915233141919294959[IVA 10,5])</f>
        <v>0</v>
      </c>
      <c r="K102" s="20">
        <f>SUBTOTAL(109,Tabla3915233141919294959[Ret IIBB Caba])</f>
        <v>0</v>
      </c>
      <c r="L102" s="20">
        <f>SUBTOTAL(109,Tabla3915233141919294959[PERC IVA])</f>
        <v>0</v>
      </c>
      <c r="N102" s="18"/>
      <c r="O102" s="11">
        <f>Tabla3510182636414244454[[#This Row],[COMISIONES]]*0.21</f>
        <v>0</v>
      </c>
      <c r="P102" s="18"/>
      <c r="Q102" s="18"/>
      <c r="R102" s="18"/>
      <c r="T102"/>
      <c r="U102"/>
      <c r="V102"/>
      <c r="W102"/>
      <c r="X102"/>
      <c r="Z102" s="1"/>
      <c r="AA102" s="21">
        <f>Tabla356813212939717274757[[#This Row],[COMISIONES]]*0.21</f>
        <v>0</v>
      </c>
      <c r="AB102" s="21"/>
      <c r="AC102" s="21"/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Tabla3510182636414244454[[#This Row],[COMISIONES]]*0.21</f>
        <v>0</v>
      </c>
      <c r="P103" s="18"/>
      <c r="Q103" s="18"/>
      <c r="R103" s="18"/>
      <c r="T103"/>
      <c r="U103"/>
      <c r="V103"/>
      <c r="W103"/>
      <c r="X103"/>
      <c r="Z103"/>
      <c r="AA103" s="21">
        <f>Tabla356813212939717274757[[#This Row],[COMISIONES]]*0.21</f>
        <v>0</v>
      </c>
      <c r="AB103" s="21"/>
      <c r="AC103" s="21"/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Tabla3510182636414244454[[#This Row],[COMISIONES]]*0.21</f>
        <v>0</v>
      </c>
      <c r="P104" s="18"/>
      <c r="Q104" s="18"/>
      <c r="R104" s="18"/>
      <c r="T104"/>
      <c r="U104"/>
      <c r="V104"/>
      <c r="W104"/>
      <c r="X104"/>
      <c r="Z104" s="1"/>
      <c r="AA104" s="21">
        <f>Tabla356813212939717274757[[#This Row],[COMISIONES]]*0.21</f>
        <v>0</v>
      </c>
      <c r="AB104" s="21"/>
      <c r="AC104" s="1"/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Tabla3510182636414244454[[#This Row],[COMISIONES]]*0.21</f>
        <v>0</v>
      </c>
      <c r="P105" s="18"/>
      <c r="Q105" s="18"/>
      <c r="R105" s="18"/>
      <c r="T105"/>
      <c r="U105"/>
      <c r="V105"/>
      <c r="W105"/>
      <c r="X105"/>
      <c r="Z105" s="1"/>
      <c r="AA105" s="21">
        <f>Tabla356813212939717274757[[#This Row],[COMISIONES]]*0.21</f>
        <v>0</v>
      </c>
      <c r="AB105" s="21"/>
      <c r="AC105" s="1"/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Tabla3510182636414244454[[#This Row],[COMISIONES]]*0.21</f>
        <v>0</v>
      </c>
      <c r="P106" s="18"/>
      <c r="Q106" s="18"/>
      <c r="R106" s="18"/>
      <c r="T106"/>
      <c r="U106"/>
      <c r="V106"/>
      <c r="W106"/>
      <c r="X106"/>
      <c r="Z106" s="1"/>
      <c r="AA106" s="21">
        <f>Tabla356813212939717274757[[#This Row],[COMISIONES]]*0.21</f>
        <v>0</v>
      </c>
      <c r="AB106" s="21"/>
      <c r="AC106" s="1"/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Tabla3510182636414244454[[#This Row],[COMISIONES]]*0.21</f>
        <v>0</v>
      </c>
      <c r="P107" s="18"/>
      <c r="Q107" s="18"/>
      <c r="R107" s="18"/>
      <c r="T107"/>
      <c r="U107"/>
      <c r="V107"/>
      <c r="W107"/>
      <c r="X107"/>
      <c r="Z107" s="1"/>
      <c r="AA107" s="21">
        <f>Tabla356813212939717274757[[#This Row],[COMISIONES]]*0.21</f>
        <v>0</v>
      </c>
      <c r="AB107" s="21"/>
      <c r="AC107" s="1"/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Tabla3510182636414244454[[#This Row],[COMISIONES]]*0.21</f>
        <v>0</v>
      </c>
      <c r="P108" s="18"/>
      <c r="Q108" s="18"/>
      <c r="R108" s="18"/>
      <c r="T108"/>
      <c r="U108"/>
      <c r="V108"/>
      <c r="W108"/>
      <c r="X108"/>
      <c r="Z108" s="1"/>
      <c r="AA108" s="21">
        <f>Tabla356813212939717274757[[#This Row],[COMISIONES]]*0.21</f>
        <v>0</v>
      </c>
      <c r="AB108" s="21"/>
      <c r="AC108" s="1"/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Tabla3510182636414244454[[#This Row],[COMISIONES]]*0.21</f>
        <v>0</v>
      </c>
      <c r="P109" s="18"/>
      <c r="Q109" s="18"/>
      <c r="R109" s="18"/>
      <c r="T109"/>
      <c r="U109"/>
      <c r="V109"/>
      <c r="W109"/>
      <c r="X109"/>
      <c r="Z109" s="1"/>
      <c r="AA109" s="21">
        <f>Tabla356813212939717274757[[#This Row],[COMISIONES]]*0.21</f>
        <v>0</v>
      </c>
      <c r="AB109" s="21"/>
      <c r="AC109" s="1"/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Tabla3510182636414244454[[#This Row],[COMISIONES]]*0.21</f>
        <v>0</v>
      </c>
      <c r="P110" s="18"/>
      <c r="Q110" s="18"/>
      <c r="R110" s="18"/>
      <c r="T110"/>
      <c r="U110"/>
      <c r="V110"/>
      <c r="W110"/>
      <c r="X110"/>
      <c r="Z110" s="1"/>
      <c r="AA110" s="21">
        <f>Tabla356813212939717274757[[#This Row],[COMISIONES]]*0.21</f>
        <v>0</v>
      </c>
      <c r="AB110" s="21"/>
      <c r="AC110" s="1"/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Tabla3510182636414244454[[#This Row],[COMISIONES]]*0.21</f>
        <v>0</v>
      </c>
      <c r="P111" s="18"/>
      <c r="Q111" s="18"/>
      <c r="R111" s="18"/>
      <c r="T111"/>
      <c r="U111"/>
      <c r="V111"/>
      <c r="W111"/>
      <c r="X111"/>
      <c r="Z111" s="1"/>
      <c r="AA111" s="21">
        <f>Tabla356813212939717274757[[#This Row],[COMISIONES]]*0.21</f>
        <v>0</v>
      </c>
      <c r="AB111" s="21"/>
      <c r="AC111" s="1"/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Tabla3510182636414244454[[#This Row],[COMISIONES]]*0.21</f>
        <v>0</v>
      </c>
      <c r="P112" s="18"/>
      <c r="Q112" s="18"/>
      <c r="R112" s="18"/>
      <c r="T112"/>
      <c r="U112"/>
      <c r="V112"/>
      <c r="W112"/>
      <c r="X112"/>
      <c r="Z112" s="1"/>
      <c r="AA112" s="21">
        <f>Tabla356813212939717274757[[#This Row],[COMISIONES]]*0.21</f>
        <v>0</v>
      </c>
      <c r="AB112" s="21"/>
      <c r="AC112" s="21"/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Tabla3510182636414244454[[#This Row],[COMISIONES]]*0.21</f>
        <v>0</v>
      </c>
      <c r="P113" s="18"/>
      <c r="Q113" s="18"/>
      <c r="R113" s="18"/>
      <c r="T113"/>
      <c r="U113"/>
      <c r="V113"/>
      <c r="W113"/>
      <c r="X113"/>
      <c r="Z113"/>
      <c r="AA113" s="21">
        <f>Tabla356813212939717274757[[#This Row],[COMISIONES]]*0.21</f>
        <v>0</v>
      </c>
      <c r="AB113" s="21"/>
      <c r="AC113" s="21"/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Tabla3510182636414244454[[#This Row],[COMISIONES]]*0.21</f>
        <v>0</v>
      </c>
      <c r="P114" s="18"/>
      <c r="Q114" s="18"/>
      <c r="R114" s="18"/>
      <c r="T114"/>
      <c r="U114"/>
      <c r="V114"/>
      <c r="W114"/>
      <c r="X114"/>
      <c r="Z114" s="1"/>
      <c r="AA114" s="21">
        <f>Tabla356813212939717274757[[#This Row],[COMISIONES]]*0.21</f>
        <v>0</v>
      </c>
      <c r="AB114" s="21"/>
      <c r="AC114" s="1"/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Tabla3510182636414244454[[#This Row],[COMISIONES]]*0.21</f>
        <v>0</v>
      </c>
      <c r="P115" s="18"/>
      <c r="Q115" s="18"/>
      <c r="R115" s="18"/>
      <c r="T115"/>
      <c r="U115"/>
      <c r="V115"/>
      <c r="W115"/>
      <c r="X115"/>
      <c r="Z115" s="21"/>
      <c r="AA115" s="21">
        <f>Tabla356813212939717274757[[#This Row],[COMISIONES]]*0.21</f>
        <v>0</v>
      </c>
      <c r="AB115" s="21"/>
      <c r="AC115" s="1"/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Tabla3510182636414244454[[#This Row],[COMISIONES]]*0.21</f>
        <v>0</v>
      </c>
      <c r="P116" s="18"/>
      <c r="Q116" s="18"/>
      <c r="R116" s="18"/>
      <c r="T116"/>
      <c r="U116"/>
      <c r="V116"/>
      <c r="W116"/>
      <c r="X116"/>
      <c r="Z116" s="1"/>
      <c r="AA116" s="21">
        <f>Tabla356813212939717274757[[#This Row],[COMISIONES]]*0.21</f>
        <v>0</v>
      </c>
      <c r="AB116" s="21"/>
      <c r="AC116" s="1"/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Tabla3510182636414244454[[#This Row],[COMISIONES]]*0.21</f>
        <v>0</v>
      </c>
      <c r="P117" s="18"/>
      <c r="Q117" s="18"/>
      <c r="R117" s="18"/>
      <c r="T117"/>
      <c r="U117"/>
      <c r="V117"/>
      <c r="W117"/>
      <c r="X117"/>
      <c r="Z117" s="1"/>
      <c r="AA117" s="21">
        <f>Tabla356813212939717274757[[#This Row],[COMISIONES]]*0.21</f>
        <v>0</v>
      </c>
      <c r="AB117" s="21"/>
      <c r="AC117" s="1"/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Tabla3510182636414244454[[#This Row],[COMISIONES]]*0.21</f>
        <v>0</v>
      </c>
      <c r="P118" s="18"/>
      <c r="Q118" s="18"/>
      <c r="R118" s="18"/>
      <c r="T118"/>
      <c r="U118"/>
      <c r="V118"/>
      <c r="W118"/>
      <c r="X118"/>
      <c r="Z118" s="1"/>
      <c r="AA118" s="21">
        <f>Tabla356813212939717274757[[#This Row],[COMISIONES]]*0.21</f>
        <v>0</v>
      </c>
      <c r="AB118" s="21"/>
      <c r="AC118" s="1"/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Tabla3510182636414244454[[#This Row],[COMISIONES]]*0.21</f>
        <v>0</v>
      </c>
      <c r="P119" s="18"/>
      <c r="Q119" s="18"/>
      <c r="R119" s="18"/>
      <c r="T119"/>
      <c r="U119"/>
      <c r="V119"/>
      <c r="W119"/>
      <c r="X119"/>
      <c r="Z119"/>
      <c r="AA119" s="21">
        <f>Tabla356813212939717274757[[#This Row],[COMISIONES]]*0.21</f>
        <v>0</v>
      </c>
      <c r="AB119" s="21"/>
      <c r="AC119" s="21"/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Tabla3510182636414244454[[#This Row],[COMISIONES]]*0.21</f>
        <v>0</v>
      </c>
      <c r="P120" s="18"/>
      <c r="Q120" s="18"/>
      <c r="R120" s="18"/>
      <c r="T120"/>
      <c r="U120"/>
      <c r="V120"/>
      <c r="W120"/>
      <c r="X120"/>
      <c r="Z120" s="1"/>
      <c r="AA120" s="21">
        <f>Tabla356813212939717274757[[#This Row],[COMISIONES]]*0.21</f>
        <v>0</v>
      </c>
      <c r="AB120" s="21"/>
      <c r="AC120" s="21"/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Tabla3510182636414244454[[#This Row],[COMISIONES]]*0.21</f>
        <v>0</v>
      </c>
      <c r="P121" s="18"/>
      <c r="Q121" s="18"/>
      <c r="R121" s="18"/>
      <c r="T121"/>
      <c r="U121"/>
      <c r="V121"/>
      <c r="W121"/>
      <c r="X121"/>
      <c r="Z121" s="1"/>
      <c r="AA121" s="21">
        <f>Tabla356813212939717274757[[#This Row],[COMISIONES]]*0.21</f>
        <v>0</v>
      </c>
      <c r="AB121" s="21"/>
      <c r="AC121" s="21"/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Tabla3510182636414244454[[#This Row],[COMISIONES]]*0.21</f>
        <v>0</v>
      </c>
      <c r="P122" s="18"/>
      <c r="Q122" s="18"/>
      <c r="R122" s="18"/>
      <c r="T122"/>
      <c r="U122"/>
      <c r="V122"/>
      <c r="W122"/>
      <c r="X122"/>
      <c r="Z122" s="1"/>
      <c r="AA122" s="21">
        <f>Tabla356813212939717274757[[#This Row],[COMISIONES]]*0.21</f>
        <v>0</v>
      </c>
      <c r="AB122" s="21"/>
      <c r="AC122" s="21"/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/>
      <c r="U123"/>
      <c r="V123"/>
      <c r="W123"/>
      <c r="X123"/>
      <c r="Z123" s="1"/>
      <c r="AA123" s="21">
        <f>Tabla356813212939717274757[[#This Row],[COMISIONES]]*0.21</f>
        <v>0</v>
      </c>
      <c r="AB123" s="21"/>
      <c r="AC123" s="21"/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/>
      <c r="AA124" s="21">
        <f>Tabla356813212939717274757[[#This Row],[COMISIONES]]*0.21</f>
        <v>0</v>
      </c>
      <c r="AB124" s="21"/>
      <c r="AC124" s="21"/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1"/>
      <c r="AA125" s="21">
        <f>Tabla356813212939717274757[[#This Row],[COMISIONES]]*0.21</f>
        <v>0</v>
      </c>
      <c r="AB125" s="21"/>
      <c r="AC125" s="21"/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1"/>
      <c r="AA126" s="21">
        <f>Tabla356813212939717274757[[#This Row],[COMISIONES]]*0.21</f>
        <v>0</v>
      </c>
      <c r="AB126" s="21"/>
      <c r="AC126" s="21"/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1"/>
      <c r="AA127" s="21">
        <f>Tabla356813212939717274757[[#This Row],[COMISIONES]]*0.21</f>
        <v>0</v>
      </c>
      <c r="AB127" s="21"/>
      <c r="AC127" s="21"/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1"/>
      <c r="AA128" s="21">
        <f>Tabla356813212939717274757[[#This Row],[COMISIONES]]*0.21</f>
        <v>0</v>
      </c>
      <c r="AB128" s="21"/>
      <c r="AC128" s="21"/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Tabla356813212939717274757[[#This Row],[COMISIONES]]*0.21</f>
        <v>0</v>
      </c>
      <c r="AB129" s="21"/>
      <c r="AC129" s="21"/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Tabla356813212939717274757[[#This Row],[COMISIONES]]*0.21</f>
        <v>0</v>
      </c>
      <c r="AB130" s="21"/>
      <c r="AC130" s="21"/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Tabla356813212939717274757[[#This Row],[COMISIONES]]*0.21</f>
        <v>0</v>
      </c>
      <c r="AB131" s="21"/>
      <c r="AC131" s="21"/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Tabla356813212939717274757[[#This Row],[COMISIONES]]*0.21</f>
        <v>0</v>
      </c>
      <c r="AB132" s="21"/>
      <c r="AC132" s="21"/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Tabla356813212939717274757[[#This Row],[COMISIONES]]*0.21</f>
        <v>0</v>
      </c>
      <c r="AB133" s="21"/>
      <c r="AC133" s="21"/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Tabla3510182636414244454[[#This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Tabla356813212939717274757[[#This Row],[COMISIONES]]*0.21</f>
        <v>0</v>
      </c>
      <c r="AB134" s="21"/>
      <c r="AC134" s="21"/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24">
        <f>SUBTOTAL(109,Tabla3510182636414244454[COMISIONES])</f>
        <v>0</v>
      </c>
      <c r="O135" s="24">
        <f>SUBTOTAL(109,Tabla3510182636414244454[IVA 21])</f>
        <v>0</v>
      </c>
      <c r="P135" s="24">
        <f>SUBTOTAL(109,Tabla3510182636414244454[IVA 10,5])</f>
        <v>0</v>
      </c>
      <c r="Q135" s="24">
        <f>SUBTOTAL(109,Tabla3510182636414244454[Ret IIBB Caba])</f>
        <v>0</v>
      </c>
      <c r="R135" s="24">
        <f>SUBTOTAL(109,Tabla3510182636414244454[PERC IVA])</f>
        <v>0</v>
      </c>
      <c r="T135"/>
      <c r="U135"/>
      <c r="V135"/>
      <c r="W135"/>
      <c r="X135"/>
      <c r="Z135" s="21"/>
      <c r="AA135" s="21">
        <f>Tabla356813212939717274757[[#This Row],[COMISIONES]]*0.21</f>
        <v>0</v>
      </c>
      <c r="AB135" s="21"/>
      <c r="AC135" s="21"/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Tabla356813212939717274757[[#This Row],[COMISIONES]]*0.21</f>
        <v>0</v>
      </c>
      <c r="AB136" s="21"/>
      <c r="AC136" s="21"/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Tabla356813212939717274757[[#This Row],[COMISIONES]]*0.21</f>
        <v>0</v>
      </c>
      <c r="AB137" s="21"/>
      <c r="AC137" s="21"/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Tabla356813212939717274757[[#This Row],[COMISIONES]]*0.21</f>
        <v>0</v>
      </c>
      <c r="AB138" s="21"/>
      <c r="AC138" s="21"/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Tabla356813212939717274757[[#This Row],[COMISIONES]]*0.21</f>
        <v>0</v>
      </c>
      <c r="AB139" s="21"/>
      <c r="AC139" s="21"/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Tabla356813212939717274757[[#This Row],[COMISIONES]]*0.21</f>
        <v>0</v>
      </c>
      <c r="AB140" s="21"/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Tabla356813212939717274757[[#This Row],[COMISIONES]]*0.21</f>
        <v>0</v>
      </c>
      <c r="AB141" s="21"/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Tabla356813212939717274757[[#This Row],[COMISIONES]]*0.21</f>
        <v>0</v>
      </c>
      <c r="AB142" s="21"/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Tabla356813212939717274757[[#This Row],[COMISIONES]]*0.21</f>
        <v>0</v>
      </c>
      <c r="AB143" s="21"/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Tabla356813212939717274757[[#This Row],[COMISIONES]]*0.21</f>
        <v>0</v>
      </c>
      <c r="AB144" s="21"/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Tabla356813212939717274757[[#This Row],[COMISIONES]]*0.21</f>
        <v>0</v>
      </c>
      <c r="AB145" s="21"/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Tabla356813212939717274757[[#This Row],[COMISIONES]]*0.21</f>
        <v>0</v>
      </c>
      <c r="AB146" s="21"/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Tabla356813212939717274757[[#This Row],[COMISIONES]]*0.21</f>
        <v>0</v>
      </c>
      <c r="AB147" s="21"/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Tabla356813212939717274757[[#This Row],[COMISIONES]]*0.21</f>
        <v>0</v>
      </c>
      <c r="AB148" s="21"/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Tabla356813212939717274757[[#This Row],[COMISIONES]]*0.21</f>
        <v>0</v>
      </c>
      <c r="AB149" s="21"/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Tabla356813212939717274757[[#This Row],[COMISIONES]]*0.21</f>
        <v>0</v>
      </c>
      <c r="AB150" s="21"/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Tabla356813212939717274757[[#This Row],[COMISIONES]]*0.21</f>
        <v>0</v>
      </c>
      <c r="AB151" s="21"/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Tabla356813212939717274757[[#This Row],[COMISIONES]]*0.21</f>
        <v>0</v>
      </c>
      <c r="AB152" s="21"/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Tabla356813212939717274757[[#This Row],[COMISIONES]]*0.21</f>
        <v>0</v>
      </c>
      <c r="AB153" s="21"/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Tabla356813212939717274757[[#This Row],[COMISIONES]]*0.21</f>
        <v>0</v>
      </c>
      <c r="AB154" s="21"/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Tabla356813212939717274757[[#This Row],[COMISIONES]]*0.21</f>
        <v>0</v>
      </c>
      <c r="AB155" s="21"/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Tabla356813212939717274757[[#This Row],[COMISIONES]]*0.21</f>
        <v>0</v>
      </c>
      <c r="AB156" s="21"/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Tabla356813212939717274757[[#This Row],[COMISIONES]]*0.21</f>
        <v>0</v>
      </c>
      <c r="AB157" s="21"/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Tabla356813212939717274757[[#This Row],[COMISIONES]]*0.21</f>
        <v>0</v>
      </c>
      <c r="AB158" s="21"/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Tabla356813212939717274757[[#This Row],[COMISIONES]]*0.21</f>
        <v>0</v>
      </c>
      <c r="AB159" s="21"/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Tabla356813212939717274757[[#This Row],[COMISIONES]]*0.21</f>
        <v>0</v>
      </c>
      <c r="AB160" s="21"/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Tabla356813212939717274757[[#This Row],[COMISIONES]]*0.21</f>
        <v>0</v>
      </c>
      <c r="AB161" s="21"/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Tabla356813212939717274757[[#This Row],[COMISIONES]]*0.21</f>
        <v>0</v>
      </c>
      <c r="AB162" s="21"/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Tabla356813212939717274757[[#This Row],[COMISIONES]]*0.21</f>
        <v>0</v>
      </c>
      <c r="AB163" s="21"/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Tabla356813212939717274757[[#This Row],[COMISIONES]]*0.21</f>
        <v>0</v>
      </c>
      <c r="AB164" s="21"/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Tabla356813212939717274757[[#This Row],[COMISIONES]]*0.21</f>
        <v>0</v>
      </c>
      <c r="AB165" s="21"/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Tabla356813212939717274757[[#This Row],[COMISIONES]]*0.21</f>
        <v>0</v>
      </c>
      <c r="AB166" s="21"/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Tabla356813212939717274757[[#This Row],[COMISIONES]]*0.21</f>
        <v>0</v>
      </c>
      <c r="AB167" s="21"/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Tabla356813212939717274757[[#This Row],[COMISIONES]]*0.21</f>
        <v>0</v>
      </c>
      <c r="AB168" s="21"/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SUBTOTAL(109,Tabla356813212939717274757[COMISIONES])</f>
        <v>1145597.0604761899</v>
      </c>
      <c r="AA169" s="4">
        <f>SUBTOTAL(109,Tabla356813212939717274757[IVA 21])</f>
        <v>156801.65310000003</v>
      </c>
      <c r="AB169" s="4">
        <f>SUBTOTAL(109,Tabla356813212939717274757[IVA 10,5])</f>
        <v>41886.884800000007</v>
      </c>
      <c r="AC169" s="4">
        <f>SUBTOTAL(109,Tabla356813212939717274757[Ret IIBB Caba])</f>
        <v>0</v>
      </c>
      <c r="AD169" s="4">
        <f>SUBTOTAL(109,Tabla356813212939717274757[PERC IVA])</f>
        <v>0</v>
      </c>
      <c r="AF169"/>
      <c r="AG169"/>
      <c r="AH169"/>
      <c r="AI169"/>
      <c r="AJ169"/>
      <c r="AK169"/>
      <c r="AL169"/>
      <c r="AM169"/>
      <c r="AN169"/>
      <c r="AO169"/>
    </row>
  </sheetData>
  <mergeCells count="22">
    <mergeCell ref="AK14:AO14"/>
    <mergeCell ref="T32:X32"/>
    <mergeCell ref="H54:L54"/>
    <mergeCell ref="T64:X64"/>
    <mergeCell ref="B14:F14"/>
    <mergeCell ref="H14:L14"/>
    <mergeCell ref="N14:R14"/>
    <mergeCell ref="T14:X14"/>
    <mergeCell ref="Z14:AD14"/>
    <mergeCell ref="AF14:AJ14"/>
    <mergeCell ref="G12:H12"/>
    <mergeCell ref="G2:H2"/>
    <mergeCell ref="J2:K2"/>
    <mergeCell ref="G3:H3"/>
    <mergeCell ref="G4:H4"/>
    <mergeCell ref="G5:H5"/>
    <mergeCell ref="G6:H6"/>
    <mergeCell ref="G7:H7"/>
    <mergeCell ref="G8:H8"/>
    <mergeCell ref="G9:H9"/>
    <mergeCell ref="G10:H10"/>
    <mergeCell ref="G11:H11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7903-378D-4D60-8E27-CF8A0877EEEB}">
  <dimension ref="A1:AO169"/>
  <sheetViews>
    <sheetView showGridLines="0" zoomScale="90" zoomScaleNormal="90" workbookViewId="0">
      <selection activeCell="D7" activeCellId="1" sqref="D4 D7:D10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2.140625" customWidth="1"/>
    <col min="7" max="7" width="2.5703125" style="6" customWidth="1"/>
    <col min="8" max="8" width="12.7109375" customWidth="1"/>
    <col min="9" max="9" width="13.5703125" customWidth="1"/>
    <col min="10" max="10" width="12.28515625" bestFit="1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6" max="26" width="15.42578125" bestFit="1" customWidth="1"/>
    <col min="27" max="27" width="13.28515625" customWidth="1"/>
    <col min="31" max="31" width="2.5703125" style="6" customWidth="1"/>
  </cols>
  <sheetData>
    <row r="1" spans="1:41" x14ac:dyDescent="0.25">
      <c r="G1"/>
      <c r="M1"/>
      <c r="S1"/>
      <c r="Y1"/>
      <c r="AE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4</v>
      </c>
      <c r="H2" s="38"/>
      <c r="J2" s="39">
        <v>45536</v>
      </c>
      <c r="K2" s="39"/>
      <c r="M2"/>
      <c r="S2"/>
      <c r="Y2"/>
      <c r="AE2"/>
    </row>
    <row r="3" spans="1:41" x14ac:dyDescent="0.25">
      <c r="B3" s="25" t="str">
        <f>+B14</f>
        <v>Extracto Santander</v>
      </c>
      <c r="C3" s="14"/>
      <c r="D3" s="14"/>
      <c r="E3" s="14"/>
      <c r="F3" s="14"/>
      <c r="G3" s="35"/>
      <c r="H3" s="36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>
        <v>176</v>
      </c>
      <c r="D4" s="14">
        <v>36.96</v>
      </c>
      <c r="E4" s="14"/>
      <c r="F4" s="14"/>
      <c r="G4" s="35"/>
      <c r="H4" s="36"/>
      <c r="J4" s="2"/>
      <c r="K4" s="3"/>
      <c r="M4"/>
      <c r="S4"/>
      <c r="Y4"/>
      <c r="AE4"/>
    </row>
    <row r="5" spans="1:41" x14ac:dyDescent="0.25">
      <c r="B5" s="25" t="str">
        <f>+N14</f>
        <v>BBVA VISA</v>
      </c>
      <c r="C5" s="14">
        <v>221610</v>
      </c>
      <c r="D5" s="14">
        <v>46538.1</v>
      </c>
      <c r="E5" s="14"/>
      <c r="F5" s="14">
        <v>13044</v>
      </c>
      <c r="G5" s="35">
        <v>6522</v>
      </c>
      <c r="H5" s="36"/>
      <c r="M5"/>
      <c r="S5"/>
      <c r="Y5"/>
      <c r="AE5"/>
    </row>
    <row r="6" spans="1:41" x14ac:dyDescent="0.25">
      <c r="B6" s="25" t="str">
        <f>+T14</f>
        <v>GALICIA EXTRACTO (31/03)</v>
      </c>
      <c r="C6" s="14">
        <v>38000</v>
      </c>
      <c r="D6" s="14">
        <v>7980</v>
      </c>
      <c r="E6" s="14"/>
      <c r="F6" s="14">
        <v>2280</v>
      </c>
      <c r="G6" s="35">
        <v>1140</v>
      </c>
      <c r="H6" s="36"/>
      <c r="M6"/>
      <c r="S6"/>
      <c r="Y6"/>
      <c r="AE6"/>
    </row>
    <row r="7" spans="1:41" x14ac:dyDescent="0.25">
      <c r="B7" s="25" t="str">
        <f>+Z14</f>
        <v>SANTANDER</v>
      </c>
      <c r="C7" s="31">
        <v>1524162.7400000005</v>
      </c>
      <c r="D7" s="14">
        <v>187739.69760000007</v>
      </c>
      <c r="E7" s="14">
        <v>66146.656594999993</v>
      </c>
      <c r="F7" s="14"/>
      <c r="G7" s="35"/>
      <c r="H7" s="36"/>
      <c r="M7"/>
      <c r="S7"/>
      <c r="Y7"/>
      <c r="AE7"/>
    </row>
    <row r="8" spans="1:41" x14ac:dyDescent="0.25">
      <c r="B8" s="25" t="s">
        <v>40</v>
      </c>
      <c r="C8" s="14">
        <v>169995</v>
      </c>
      <c r="D8" s="14">
        <v>35698.949999999997</v>
      </c>
      <c r="E8" s="14"/>
      <c r="F8" s="14">
        <v>6099.86</v>
      </c>
      <c r="G8" s="35"/>
      <c r="H8" s="36"/>
      <c r="M8"/>
      <c r="S8"/>
      <c r="Y8"/>
      <c r="AE8"/>
    </row>
    <row r="9" spans="1:41" x14ac:dyDescent="0.25">
      <c r="B9" s="28" t="s">
        <v>43</v>
      </c>
      <c r="C9" s="14">
        <v>1500</v>
      </c>
      <c r="D9" s="14">
        <v>315</v>
      </c>
      <c r="E9" s="14"/>
      <c r="F9" s="14">
        <v>395.6</v>
      </c>
      <c r="G9" s="35"/>
      <c r="H9" s="36"/>
      <c r="M9"/>
      <c r="S9"/>
      <c r="Y9"/>
      <c r="AE9"/>
    </row>
    <row r="10" spans="1:41" x14ac:dyDescent="0.25">
      <c r="B10" s="28" t="s">
        <v>42</v>
      </c>
      <c r="C10" s="14">
        <v>34693.54</v>
      </c>
      <c r="D10" s="14">
        <v>7285.6433999999999</v>
      </c>
      <c r="E10" s="14"/>
      <c r="F10" s="14">
        <v>8327.2199999999993</v>
      </c>
      <c r="G10" s="35">
        <v>1040.81</v>
      </c>
      <c r="H10" s="43"/>
      <c r="J10" s="3">
        <f>E7*100/10.5</f>
        <v>629968.15804761893</v>
      </c>
      <c r="M10"/>
      <c r="S10"/>
      <c r="Y10"/>
      <c r="AE10"/>
    </row>
    <row r="11" spans="1:41" x14ac:dyDescent="0.25">
      <c r="B11" s="28" t="s">
        <v>37</v>
      </c>
      <c r="C11" s="14">
        <v>25.63</v>
      </c>
      <c r="D11" s="14"/>
      <c r="E11" s="14">
        <v>2.69</v>
      </c>
      <c r="F11" s="14"/>
      <c r="G11" s="35"/>
      <c r="H11" s="36"/>
      <c r="M11"/>
      <c r="S11"/>
      <c r="Y11"/>
      <c r="AE11"/>
    </row>
    <row r="12" spans="1:41" x14ac:dyDescent="0.25">
      <c r="A12" s="26"/>
      <c r="B12" s="26"/>
      <c r="C12" s="27">
        <f>SUM(C3:C11)</f>
        <v>1990162.9100000004</v>
      </c>
      <c r="D12" s="27">
        <f t="shared" ref="D12:F12" si="0">SUM(D3:D11)</f>
        <v>285594.35100000008</v>
      </c>
      <c r="E12" s="27">
        <f t="shared" si="0"/>
        <v>66149.346594999995</v>
      </c>
      <c r="F12" s="27">
        <f t="shared" si="0"/>
        <v>30146.68</v>
      </c>
      <c r="G12" s="44">
        <f>SUM(G3:H11)</f>
        <v>8702.81</v>
      </c>
      <c r="H12" s="44"/>
      <c r="M12"/>
      <c r="S12"/>
      <c r="Y12"/>
      <c r="AE12"/>
    </row>
    <row r="13" spans="1:41" x14ac:dyDescent="0.25">
      <c r="A13" s="26"/>
      <c r="B13" s="26"/>
      <c r="G13"/>
      <c r="J13" t="s">
        <v>25</v>
      </c>
      <c r="M13"/>
      <c r="S13"/>
      <c r="V13" t="s">
        <v>25</v>
      </c>
      <c r="Y13"/>
      <c r="AE13"/>
    </row>
    <row r="14" spans="1:41" ht="16.5" customHeight="1" x14ac:dyDescent="0.3">
      <c r="B14" s="41" t="s">
        <v>38</v>
      </c>
      <c r="C14" s="41"/>
      <c r="D14" s="41"/>
      <c r="E14" s="41"/>
      <c r="F14" s="41"/>
      <c r="H14" s="41" t="s">
        <v>26</v>
      </c>
      <c r="I14" s="41"/>
      <c r="J14" s="41"/>
      <c r="K14" s="41"/>
      <c r="L14" s="41"/>
      <c r="N14" s="41" t="s">
        <v>39</v>
      </c>
      <c r="O14" s="41"/>
      <c r="P14" s="41"/>
      <c r="Q14" s="41"/>
      <c r="R14" s="41"/>
      <c r="T14" s="41" t="s">
        <v>24</v>
      </c>
      <c r="U14" s="41"/>
      <c r="V14" s="41"/>
      <c r="W14" s="41"/>
      <c r="X14" s="41"/>
      <c r="Z14" s="41" t="s">
        <v>34</v>
      </c>
      <c r="AA14" s="41"/>
      <c r="AB14" s="41"/>
      <c r="AC14" s="41"/>
      <c r="AD14" s="41"/>
      <c r="AF14" s="41" t="s">
        <v>36</v>
      </c>
      <c r="AG14" s="41"/>
      <c r="AH14" s="41"/>
      <c r="AI14" s="41"/>
      <c r="AJ14" s="41"/>
      <c r="AK14" s="41" t="s">
        <v>35</v>
      </c>
      <c r="AL14" s="41"/>
      <c r="AM14" s="41"/>
      <c r="AN14" s="41"/>
      <c r="AO14" s="41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>
        <v>25.63</v>
      </c>
      <c r="C16" s="2"/>
      <c r="D16" s="3">
        <f>Tabla1316243221222335262[[#This Row],[COMISIONES]]*0.105</f>
        <v>2.6911499999999999</v>
      </c>
      <c r="E16" s="3"/>
      <c r="F16" s="1"/>
      <c r="G16" s="8"/>
      <c r="H16" s="3">
        <v>88</v>
      </c>
      <c r="I16" s="11">
        <f>Tabla3917253531323345363[[#This Row],[COMISIONES]]*0.21</f>
        <v>18.48</v>
      </c>
      <c r="J16" s="11"/>
      <c r="K16" s="11"/>
      <c r="L16" s="3"/>
      <c r="M16" s="8"/>
      <c r="N16" s="3">
        <v>169995</v>
      </c>
      <c r="O16" s="11">
        <f>Tabla351018263641424445464[[#This Row],[COMISIONES]]*0.21</f>
        <v>35698.949999999997</v>
      </c>
      <c r="P16" s="11"/>
      <c r="Q16" s="1">
        <v>6099.86</v>
      </c>
      <c r="S16" s="8"/>
      <c r="T16" s="11">
        <v>38000</v>
      </c>
      <c r="U16" s="11">
        <f>Tabla3561119273751525455565[[#This Row],[COMISIONES]]*0.21</f>
        <v>7980</v>
      </c>
      <c r="V16" s="11"/>
      <c r="W16" s="11">
        <v>2280</v>
      </c>
      <c r="X16" s="11">
        <v>1140</v>
      </c>
      <c r="Y16" s="8"/>
      <c r="Z16" s="3">
        <v>156201.23000000001</v>
      </c>
      <c r="AA16" s="11">
        <f>Tabla35681321293971727475767[[#This Row],[COMISIONES]]*0.21</f>
        <v>32802.258300000001</v>
      </c>
      <c r="AB16" s="3"/>
      <c r="AC16" s="1"/>
      <c r="AE16" s="8"/>
      <c r="AG16" s="11">
        <f>Tabla3568131422304081828485868[[#This Row],[COMISIONES]]*0.21</f>
        <v>0</v>
      </c>
      <c r="AH16" s="11"/>
      <c r="AI16" s="1"/>
      <c r="AJ16" s="11"/>
      <c r="AK16" s="11"/>
      <c r="AL16" s="11">
        <f>Tabla3561119273443112131516171[[#This Row],[COMISIONES]]*0.21</f>
        <v>0</v>
      </c>
      <c r="AM16" s="11"/>
      <c r="AN16" s="11"/>
      <c r="AO16" s="11"/>
    </row>
    <row r="17" spans="2:41" x14ac:dyDescent="0.25">
      <c r="B17" s="3"/>
      <c r="C17" s="2">
        <f>Tabla1316243221222335262[[#This Row],[COMISIONES]]*0.21</f>
        <v>0</v>
      </c>
      <c r="D17" s="3">
        <f>Tabla1316243221222335262[[#This Row],[COMISIONES]]*0.105</f>
        <v>0</v>
      </c>
      <c r="E17" s="3"/>
      <c r="F17" s="3"/>
      <c r="G17" s="8"/>
      <c r="H17" s="11">
        <v>88</v>
      </c>
      <c r="I17" s="11">
        <f>Tabla3917253531323345363[[#This Row],[COMISIONES]]*0.21</f>
        <v>18.48</v>
      </c>
      <c r="J17" s="11"/>
      <c r="K17" s="11"/>
      <c r="L17" s="11"/>
      <c r="M17" s="8"/>
      <c r="N17" s="11"/>
      <c r="O17" s="11"/>
      <c r="P17" s="11">
        <f>Tabla351018263641424445464[[#This Row],[COMISIONES]]*0.105</f>
        <v>0</v>
      </c>
      <c r="Q17" s="1"/>
      <c r="S17" s="8"/>
      <c r="T17" s="11"/>
      <c r="U17" s="11">
        <f>Tabla3561119273751525455565[[#This Row],[COMISIONES]]*0.21</f>
        <v>0</v>
      </c>
      <c r="V17" s="11"/>
      <c r="W17" s="11"/>
      <c r="X17" s="11"/>
      <c r="Y17" s="8"/>
      <c r="Z17" s="3">
        <v>57767.3</v>
      </c>
      <c r="AA17" s="11"/>
      <c r="AB17" s="3">
        <f>Tabla35681321293971727475767[[#This Row],[COMISIONES]]*0.105</f>
        <v>6065.5664999999999</v>
      </c>
      <c r="AC17" s="1"/>
      <c r="AE17" s="8"/>
      <c r="AF17" s="11"/>
      <c r="AG17" s="11">
        <f>Tabla3568131422304081828485868[[#This Row],[COMISIONES]]*0.21</f>
        <v>0</v>
      </c>
      <c r="AH17" s="11"/>
      <c r="AI17" s="11"/>
      <c r="AJ17" s="11"/>
      <c r="AK17" s="11"/>
      <c r="AL17" s="11">
        <f>Tabla3561119273443112131516171[[#This Row],[COMISIONES]]*0.21</f>
        <v>0</v>
      </c>
      <c r="AM17" s="11"/>
      <c r="AN17" s="11"/>
      <c r="AO17" s="11"/>
    </row>
    <row r="18" spans="2:41" x14ac:dyDescent="0.25">
      <c r="B18" s="3"/>
      <c r="C18" s="2">
        <f>Tabla1316243221222335262[[#This Row],[COMISIONES]]*0.21</f>
        <v>0</v>
      </c>
      <c r="D18" s="3">
        <f>Tabla1316243221222335262[[#This Row],[COMISIONES]]*0.105</f>
        <v>0</v>
      </c>
      <c r="E18" s="3"/>
      <c r="F18" s="3"/>
      <c r="H18" s="11"/>
      <c r="I18" s="11">
        <f>Tabla3917253531323345363[[#This Row],[COMISIONES]]*0.21</f>
        <v>0</v>
      </c>
      <c r="J18" s="11"/>
      <c r="K18" s="11"/>
      <c r="L18" s="11"/>
      <c r="N18" s="1"/>
      <c r="O18" s="11">
        <f>Tabla351018263641424445464[[#This Row],[COMISIONES]]*0.21</f>
        <v>0</v>
      </c>
      <c r="P18" s="11"/>
      <c r="Q18" s="11"/>
      <c r="R18" s="23"/>
      <c r="T18" s="11"/>
      <c r="U18" s="11">
        <f>Tabla3561119273751525455565[[#This Row],[COMISIONES]]*0.21</f>
        <v>0</v>
      </c>
      <c r="V18" s="11"/>
      <c r="W18" s="11"/>
      <c r="X18" s="11"/>
      <c r="Z18" s="3">
        <v>15162.05</v>
      </c>
      <c r="AA18" s="11">
        <f>Tabla35681321293971727475767[[#This Row],[COMISIONES]]*0.21</f>
        <v>3184.0304999999998</v>
      </c>
      <c r="AB18" s="3"/>
      <c r="AF18" s="11"/>
      <c r="AG18" s="11">
        <f>Tabla3568131422304081828485868[[#This Row],[COMISIONES]]*0.21</f>
        <v>0</v>
      </c>
      <c r="AH18" s="11"/>
      <c r="AI18" s="11"/>
      <c r="AJ18" s="11"/>
      <c r="AK18" s="11"/>
      <c r="AL18" s="11">
        <f>Tabla3561119273443112131516171[[#This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Tabla1316243221222335262[[#This Row],[COMISIONES]]*0.21</f>
        <v>0</v>
      </c>
      <c r="D19" s="3">
        <f>Tabla1316243221222335262[[#This Row],[COMISIONES]]*0.105</f>
        <v>0</v>
      </c>
      <c r="E19" s="3"/>
      <c r="F19" s="3"/>
      <c r="G19" s="8"/>
      <c r="H19" s="11"/>
      <c r="I19" s="11">
        <f>Tabla3917253531323345363[[#This Row],[COMISIONES]]*0.21</f>
        <v>0</v>
      </c>
      <c r="J19" s="11"/>
      <c r="K19" s="11"/>
      <c r="L19" s="11"/>
      <c r="M19" s="8"/>
      <c r="N19" s="1"/>
      <c r="O19" s="11">
        <f>Tabla351018263641424445464[[#This Row],[COMISIONES]]*0.21</f>
        <v>0</v>
      </c>
      <c r="P19" s="11"/>
      <c r="Q19" s="11"/>
      <c r="R19" s="23"/>
      <c r="S19" s="8"/>
      <c r="T19" s="11"/>
      <c r="U19" s="11">
        <f>Tabla3561119273751525455565[[#This Row],[COMISIONES]]*0.21</f>
        <v>0</v>
      </c>
      <c r="V19" s="11"/>
      <c r="W19" s="11"/>
      <c r="X19" s="11"/>
      <c r="Y19" s="8"/>
      <c r="Z19" s="3">
        <v>41474.519999999997</v>
      </c>
      <c r="AA19" s="11">
        <f>Tabla35681321293971727475767[[#This Row],[COMISIONES]]*0.21</f>
        <v>8709.6491999999998</v>
      </c>
      <c r="AB19" s="3"/>
      <c r="AC19" s="1"/>
      <c r="AE19" s="8"/>
      <c r="AF19" s="11"/>
      <c r="AG19" s="11">
        <f>Tabla3568131422304081828485868[[#This Row],[COMISIONES]]*0.21</f>
        <v>0</v>
      </c>
      <c r="AH19" s="11"/>
      <c r="AI19" s="11"/>
      <c r="AJ19" s="11"/>
      <c r="AK19" s="11"/>
      <c r="AL19" s="11">
        <f>Tabla3561119273443112131516171[[#This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Tabla1316243221222335262[[#This Row],[COMISIONES]]*0.21</f>
        <v>0</v>
      </c>
      <c r="D20" s="3">
        <f>Tabla1316243221222335262[[#This Row],[COMISIONES]]*0.105</f>
        <v>0</v>
      </c>
      <c r="E20" s="3"/>
      <c r="F20" s="3"/>
      <c r="H20" s="11"/>
      <c r="I20" s="11">
        <f>Tabla3917253531323345363[[#This Row],[COMISIONES]]*0.21</f>
        <v>0</v>
      </c>
      <c r="J20" s="11"/>
      <c r="K20" s="11"/>
      <c r="L20" s="11"/>
      <c r="N20" s="1"/>
      <c r="O20" s="11">
        <f>Tabla351018263641424445464[[#This Row],[COMISIONES]]*0.21</f>
        <v>0</v>
      </c>
      <c r="P20" s="11"/>
      <c r="Q20" s="11"/>
      <c r="R20" s="23"/>
      <c r="T20" s="11"/>
      <c r="U20" s="11">
        <f>Tabla3561119273751525455565[[#This Row],[COMISIONES]]*0.21</f>
        <v>0</v>
      </c>
      <c r="V20" s="11"/>
      <c r="W20" s="11"/>
      <c r="X20" s="11"/>
      <c r="Z20" s="3">
        <v>51994.64</v>
      </c>
      <c r="AA20" s="11"/>
      <c r="AB20" s="11">
        <f>Tabla35681321293971727475767[[#This Row],[COMISIONES]]*0.105</f>
        <v>5459.4371999999994</v>
      </c>
      <c r="AC20" s="1"/>
      <c r="AF20" s="11"/>
      <c r="AG20" s="11">
        <f>Tabla3568131422304081828485868[[#This Row],[COMISIONES]]*0.21</f>
        <v>0</v>
      </c>
      <c r="AH20" s="11"/>
      <c r="AI20" s="11"/>
      <c r="AJ20" s="11"/>
      <c r="AK20" s="11"/>
      <c r="AL20" s="11">
        <f>Tabla3561119273443112131516171[[#This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Tabla1316243221222335262[[#This Row],[COMISIONES]]*0.21</f>
        <v>0</v>
      </c>
      <c r="D21" s="3">
        <f>Tabla1316243221222335262[[#This Row],[COMISIONES]]*0.105</f>
        <v>0</v>
      </c>
      <c r="E21" s="3"/>
      <c r="F21" s="3"/>
      <c r="H21" s="11"/>
      <c r="I21" s="11">
        <f>Tabla3917253531323345363[[#This Row],[COMISIONES]]*0.21</f>
        <v>0</v>
      </c>
      <c r="J21" s="11"/>
      <c r="K21" s="11"/>
      <c r="L21" s="11"/>
      <c r="N21" s="11"/>
      <c r="O21" s="11">
        <f>Tabla351018263641424445464[[#This Row],[COMISIONES]]*0.21</f>
        <v>0</v>
      </c>
      <c r="P21" s="11"/>
      <c r="Q21" s="11"/>
      <c r="R21" s="11"/>
      <c r="T21" s="11"/>
      <c r="U21" s="11">
        <f>Tabla3561119273751525455565[[#This Row],[COMISIONES]]*0.21</f>
        <v>0</v>
      </c>
      <c r="V21" s="11"/>
      <c r="W21" s="11"/>
      <c r="X21" s="11"/>
      <c r="Z21" s="3">
        <v>5985.2</v>
      </c>
      <c r="AA21" s="11">
        <f>Tabla35681321293971727475767[[#This Row],[COMISIONES]]*0.21</f>
        <v>1256.8919999999998</v>
      </c>
      <c r="AB21" s="11"/>
      <c r="AC21" s="1"/>
      <c r="AF21" s="11"/>
      <c r="AG21" s="11">
        <f>Tabla3568131422304081828485868[[#This Row],[COMISIONES]]*0.21</f>
        <v>0</v>
      </c>
      <c r="AH21" s="11"/>
      <c r="AI21" s="11"/>
      <c r="AJ21" s="11"/>
      <c r="AK21" s="11"/>
      <c r="AL21" s="11">
        <f>Tabla3561119273443112131516171[[#This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Tabla1316243221222335262[[#This Row],[COMISIONES]]*0.21</f>
        <v>0</v>
      </c>
      <c r="D22" s="3">
        <f>Tabla1316243221222335262[[#This Row],[COMISIONES]]*0.105</f>
        <v>0</v>
      </c>
      <c r="E22" s="3"/>
      <c r="F22" s="3"/>
      <c r="H22" s="11"/>
      <c r="I22" s="11">
        <f>Tabla3917253531323345363[[#This Row],[COMISIONES]]*0.21</f>
        <v>0</v>
      </c>
      <c r="J22" s="11"/>
      <c r="K22" s="11"/>
      <c r="L22" s="11"/>
      <c r="N22" s="11"/>
      <c r="O22" s="11">
        <f>Tabla351018263641424445464[[#This Row],[COMISIONES]]*0.21</f>
        <v>0</v>
      </c>
      <c r="P22" s="11"/>
      <c r="Q22" s="11"/>
      <c r="R22" s="11"/>
      <c r="T22" s="11"/>
      <c r="U22" s="11">
        <f>Tabla3561119273751525455565[[#This Row],[COMISIONES]]*0.21</f>
        <v>0</v>
      </c>
      <c r="V22" s="11"/>
      <c r="W22" s="11"/>
      <c r="X22" s="11"/>
      <c r="Z22" s="3">
        <v>20086.09</v>
      </c>
      <c r="AA22" s="11">
        <f>Tabla35681321293971727475767[[#This Row],[COMISIONES]]*0.21</f>
        <v>4218.0788999999995</v>
      </c>
      <c r="AB22" s="29"/>
      <c r="AC22" s="1"/>
      <c r="AD22" s="11"/>
      <c r="AF22" s="11"/>
      <c r="AG22" s="11">
        <f>Tabla3568131422304081828485868[[#This Row],[COMISIONES]]*0.21</f>
        <v>0</v>
      </c>
      <c r="AH22" s="11"/>
      <c r="AI22" s="11"/>
      <c r="AJ22" s="11"/>
      <c r="AK22" s="11"/>
      <c r="AL22" s="11">
        <f>Tabla3561119273443112131516171[[#This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Tabla1316243221222335262[[#This Row],[COMISIONES]]*0.21</f>
        <v>0</v>
      </c>
      <c r="D23" s="3">
        <f>Tabla1316243221222335262[[#This Row],[COMISIONES]]*0.105</f>
        <v>0</v>
      </c>
      <c r="E23" s="3"/>
      <c r="F23" s="3"/>
      <c r="H23" s="11"/>
      <c r="I23" s="11">
        <f>Tabla3917253531323345363[[#This Row],[COMISIONES]]*0.21</f>
        <v>0</v>
      </c>
      <c r="J23" s="11"/>
      <c r="K23" s="11"/>
      <c r="L23" s="11"/>
      <c r="N23" s="11"/>
      <c r="O23" s="11">
        <f>Tabla351018263641424445464[[#This Row],[COMISIONES]]*0.21</f>
        <v>0</v>
      </c>
      <c r="P23" s="11"/>
      <c r="Q23" s="11"/>
      <c r="R23" s="11"/>
      <c r="T23" s="11"/>
      <c r="U23" s="11">
        <f>Tabla3561119273751525455565[[#This Row],[COMISIONES]]*0.21</f>
        <v>0</v>
      </c>
      <c r="V23" s="11"/>
      <c r="W23" s="11"/>
      <c r="X23" s="11"/>
      <c r="Z23" s="3">
        <v>8927.4</v>
      </c>
      <c r="AA23" s="11">
        <f>Tabla35681321293971727475767[[#This Row],[COMISIONES]]*0.21</f>
        <v>1874.7539999999999</v>
      </c>
      <c r="AB23" s="3"/>
      <c r="AC23" s="1"/>
      <c r="AD23" s="11"/>
      <c r="AF23" s="11"/>
      <c r="AG23" s="11">
        <f>Tabla3568131422304081828485868[[#This Row],[COMISIONES]]*0.21</f>
        <v>0</v>
      </c>
      <c r="AH23" s="11"/>
      <c r="AI23" s="11"/>
      <c r="AJ23" s="11"/>
      <c r="AK23" s="11"/>
      <c r="AL23" s="11">
        <f>Tabla3561119273443112131516171[[#This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Tabla1316243221222335262[[#This Row],[COMISIONES]]*0.21</f>
        <v>0</v>
      </c>
      <c r="D24" s="3">
        <f>Tabla1316243221222335262[[#This Row],[COMISIONES]]*0.105</f>
        <v>0</v>
      </c>
      <c r="E24" s="3"/>
      <c r="F24" s="3"/>
      <c r="H24" s="11"/>
      <c r="I24" s="11">
        <f>Tabla3917253531323345363[[#This Row],[COMISIONES]]*0.21</f>
        <v>0</v>
      </c>
      <c r="J24" s="11"/>
      <c r="K24" s="11"/>
      <c r="L24" s="11"/>
      <c r="N24" s="11"/>
      <c r="O24" s="11">
        <f>Tabla351018263641424445464[[#This Row],[COMISIONES]]*0.21</f>
        <v>0</v>
      </c>
      <c r="P24" s="11"/>
      <c r="Q24" s="11"/>
      <c r="R24" s="11"/>
      <c r="T24" s="11"/>
      <c r="U24" s="11">
        <f>Tabla3561119273751525455565[[#This Row],[COMISIONES]]*0.21</f>
        <v>0</v>
      </c>
      <c r="V24" s="11"/>
      <c r="W24" s="11"/>
      <c r="X24" s="11"/>
      <c r="Z24" s="3">
        <v>20864.310000000001</v>
      </c>
      <c r="AA24" s="11">
        <f>Tabla35681321293971727475767[[#This Row],[COMISIONES]]*0.21</f>
        <v>4381.5051000000003</v>
      </c>
      <c r="AB24" s="11"/>
      <c r="AC24" s="1"/>
      <c r="AD24" s="11"/>
      <c r="AF24" s="11"/>
      <c r="AG24" s="11">
        <f>Tabla3568131422304081828485868[[#This Row],[COMISIONES]]*0.21</f>
        <v>0</v>
      </c>
      <c r="AH24" s="11"/>
      <c r="AI24" s="11"/>
      <c r="AJ24" s="11"/>
      <c r="AK24" s="11"/>
      <c r="AL24" s="11">
        <f>Tabla3561119273443112131516171[[#This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Tabla1316243221222335262[[#This Row],[COMISIONES]]*0.21</f>
        <v>0</v>
      </c>
      <c r="D25" s="3">
        <f>Tabla1316243221222335262[[#This Row],[COMISIONES]]*0.105</f>
        <v>0</v>
      </c>
      <c r="E25" s="3"/>
      <c r="F25" s="3"/>
      <c r="H25" s="11"/>
      <c r="I25" s="11">
        <f>Tabla3917253531323345363[[#This Row],[COMISIONES]]*0.21</f>
        <v>0</v>
      </c>
      <c r="J25" s="11"/>
      <c r="K25" s="11"/>
      <c r="L25" s="11"/>
      <c r="N25" s="11"/>
      <c r="O25" s="11">
        <f>Tabla351018263641424445464[[#This Row],[COMISIONES]]*0.21</f>
        <v>0</v>
      </c>
      <c r="P25" s="11"/>
      <c r="Q25" s="11"/>
      <c r="R25" s="11"/>
      <c r="T25" s="11"/>
      <c r="U25" s="11">
        <f>Tabla3561119273751525455565[[#This Row],[COMISIONES]]*0.21</f>
        <v>0</v>
      </c>
      <c r="V25" s="11"/>
      <c r="W25" s="11"/>
      <c r="X25" s="11"/>
      <c r="Z25" s="3">
        <v>49380.66</v>
      </c>
      <c r="AA25" s="11"/>
      <c r="AB25" s="11">
        <f>Tabla35681321293971727475767[[#This Row],[COMISIONES]]*0.105</f>
        <v>5184.9692999999997</v>
      </c>
      <c r="AC25" s="1"/>
      <c r="AD25" s="11"/>
      <c r="AF25" s="11"/>
      <c r="AG25" s="11">
        <f>Tabla3568131422304081828485868[[#This Row],[COMISIONES]]*0.21</f>
        <v>0</v>
      </c>
      <c r="AH25" s="11"/>
      <c r="AI25" s="11"/>
      <c r="AJ25" s="11"/>
      <c r="AK25" s="11"/>
      <c r="AL25" s="11">
        <f>Tabla3561119273443112131516171[[#This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Tabla1316243221222335262[[#This Row],[COMISIONES]]*0.21</f>
        <v>0</v>
      </c>
      <c r="D26" s="3">
        <f>Tabla1316243221222335262[[#This Row],[COMISIONES]]*0.105</f>
        <v>0</v>
      </c>
      <c r="E26" s="3"/>
      <c r="F26" s="3"/>
      <c r="H26" s="11"/>
      <c r="I26" s="11">
        <f>Tabla3917253531323345363[[#This Row],[COMISIONES]]*0.21</f>
        <v>0</v>
      </c>
      <c r="J26" s="11"/>
      <c r="K26" s="11"/>
      <c r="L26" s="11"/>
      <c r="N26" s="11"/>
      <c r="O26" s="11">
        <f>Tabla351018263641424445464[[#This Row],[COMISIONES]]*0.21</f>
        <v>0</v>
      </c>
      <c r="P26" s="11"/>
      <c r="Q26" s="11"/>
      <c r="R26" s="11"/>
      <c r="T26" s="11"/>
      <c r="U26" s="11">
        <f>Tabla3561119273751525455565[[#This Row],[COMISIONES]]*0.21</f>
        <v>0</v>
      </c>
      <c r="V26" s="11"/>
      <c r="W26" s="11"/>
      <c r="X26" s="11"/>
      <c r="Z26" s="3">
        <v>9695.5499999999993</v>
      </c>
      <c r="AA26" s="11">
        <f>Tabla35681321293971727475767[[#This Row],[COMISIONES]]*0.21</f>
        <v>2036.0654999999997</v>
      </c>
      <c r="AB26" s="11"/>
      <c r="AC26" s="1"/>
      <c r="AD26" s="11"/>
      <c r="AF26" s="4">
        <f>SUBTOTAL(109,Tabla3568131422304081828485868[COMISIONES])</f>
        <v>0</v>
      </c>
      <c r="AG26" s="4">
        <f>SUBTOTAL(109,Tabla3568131422304081828485868[IVA 21])</f>
        <v>0</v>
      </c>
      <c r="AH26" s="4">
        <f>SUBTOTAL(109,Tabla3568131422304081828485868[IVA 10,5])</f>
        <v>0</v>
      </c>
      <c r="AI26" s="4">
        <f>SUBTOTAL(109,Tabla3568131422304081828485868[Ret IIBB Caba])</f>
        <v>0</v>
      </c>
      <c r="AJ26" s="4">
        <f>SUBTOTAL(109,Tabla3568131422304081828485868[PERC IVA])</f>
        <v>0</v>
      </c>
      <c r="AK26" s="11"/>
      <c r="AL26" s="11">
        <f>Tabla3561119273443112131516171[[#This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Tabla1316243221222335262[[#This Row],[COMISIONES]]*0.21</f>
        <v>0</v>
      </c>
      <c r="D27" s="3">
        <f>Tabla1316243221222335262[[#This Row],[COMISIONES]]*0.105</f>
        <v>0</v>
      </c>
      <c r="E27" s="3"/>
      <c r="F27" s="3"/>
      <c r="H27" s="11"/>
      <c r="I27" s="11">
        <f>Tabla3917253531323345363[[#This Row],[COMISIONES]]*0.21</f>
        <v>0</v>
      </c>
      <c r="J27" s="11"/>
      <c r="K27" s="11"/>
      <c r="L27" s="11"/>
      <c r="N27" s="11"/>
      <c r="O27" s="11">
        <f>Tabla351018263641424445464[[#This Row],[COMISIONES]]*0.21</f>
        <v>0</v>
      </c>
      <c r="P27" s="11"/>
      <c r="Q27" s="11"/>
      <c r="R27" s="11"/>
      <c r="T27" s="11"/>
      <c r="U27" s="11">
        <f>Tabla3561119273751525455565[[#This Row],[COMISIONES]]*0.21</f>
        <v>0</v>
      </c>
      <c r="V27" s="11"/>
      <c r="W27" s="11"/>
      <c r="X27" s="11"/>
      <c r="Z27" s="3">
        <v>44551.97</v>
      </c>
      <c r="AA27" s="11">
        <f>Tabla35681321293971727475767[[#This Row],[COMISIONES]]*0.21</f>
        <v>9355.9136999999992</v>
      </c>
      <c r="AB27" s="11"/>
      <c r="AC27" s="1"/>
      <c r="AK27" s="11"/>
      <c r="AL27" s="11">
        <f>Tabla3561119273443112131516171[[#This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Tabla1316243221222335262[[#This Row],[COMISIONES]]*0.21</f>
        <v>0</v>
      </c>
      <c r="D28" s="3">
        <f>Tabla1316243221222335262[[#This Row],[COMISIONES]]*0.105</f>
        <v>0</v>
      </c>
      <c r="E28" s="3"/>
      <c r="F28" s="3"/>
      <c r="H28" s="11"/>
      <c r="I28" s="11">
        <f>Tabla3917253531323345363[[#This Row],[COMISIONES]]*0.21</f>
        <v>0</v>
      </c>
      <c r="J28" s="11"/>
      <c r="K28" s="11"/>
      <c r="L28" s="11"/>
      <c r="N28" s="11"/>
      <c r="O28" s="11">
        <f>Tabla351018263641424445464[[#This Row],[COMISIONES]]*0.21</f>
        <v>0</v>
      </c>
      <c r="P28" s="11"/>
      <c r="Q28" s="11"/>
      <c r="R28" s="11"/>
      <c r="T28" s="11"/>
      <c r="U28" s="11">
        <f>Tabla3561119273751525455565[[#This Row],[COMISIONES]]*0.21</f>
        <v>0</v>
      </c>
      <c r="V28" s="11"/>
      <c r="W28" s="11"/>
      <c r="X28" s="11"/>
      <c r="Z28">
        <v>54769.84</v>
      </c>
      <c r="AA28" s="11"/>
      <c r="AB28" s="1">
        <f>Tabla35681321293971727475767[[#This Row],[COMISIONES]]*0.105</f>
        <v>5750.8331999999991</v>
      </c>
      <c r="AC28" s="1"/>
      <c r="AD28" s="11"/>
      <c r="AK28" s="11"/>
      <c r="AL28" s="11">
        <f>Tabla3561119273443112131516171[[#This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Tabla1316243221222335262[[#This Row],[COMISIONES]]*0.21</f>
        <v>0</v>
      </c>
      <c r="D29" s="3">
        <f>Tabla1316243221222335262[[#This Row],[COMISIONES]]*0.105</f>
        <v>0</v>
      </c>
      <c r="E29" s="3"/>
      <c r="F29" s="3"/>
      <c r="H29" s="11"/>
      <c r="I29" s="11">
        <f>Tabla3917253531323345363[[#This Row],[COMISIONES]]*0.21</f>
        <v>0</v>
      </c>
      <c r="J29" s="11"/>
      <c r="K29" s="11"/>
      <c r="L29" s="11"/>
      <c r="N29" s="11"/>
      <c r="O29" s="11">
        <f>Tabla351018263641424445464[[#This Row],[COMISIONES]]*0.21</f>
        <v>0</v>
      </c>
      <c r="P29" s="11"/>
      <c r="Q29" s="11"/>
      <c r="R29" s="11"/>
      <c r="T29" s="18"/>
      <c r="U29" s="18">
        <f>Tabla3561119273751525455565[[#This Row],[COMISIONES]]*0.21</f>
        <v>0</v>
      </c>
      <c r="V29" s="18"/>
      <c r="W29" s="18"/>
      <c r="X29" s="18"/>
      <c r="Z29">
        <v>4916.8</v>
      </c>
      <c r="AA29" s="11">
        <f>Tabla35681321293971727475767[[#This Row],[COMISIONES]]*0.21</f>
        <v>1032.528</v>
      </c>
      <c r="AB29" s="1"/>
      <c r="AD29" s="11"/>
      <c r="AK29" s="18"/>
      <c r="AL29" s="18">
        <f>Tabla3561119273443112131516171[[#This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Tabla1316243221222335262[[#This Row],[COMISIONES]]*0.21</f>
        <v>0</v>
      </c>
      <c r="D30" s="3">
        <f>Tabla1316243221222335262[[#This Row],[COMISIONES]]*0.105</f>
        <v>0</v>
      </c>
      <c r="E30" s="3"/>
      <c r="F30" s="3"/>
      <c r="H30" s="11"/>
      <c r="I30" s="11">
        <f>Tabla3917253531323345363[[#This Row],[COMISIONES]]*0.21</f>
        <v>0</v>
      </c>
      <c r="J30" s="11"/>
      <c r="K30" s="11"/>
      <c r="L30" s="11"/>
      <c r="N30" s="11"/>
      <c r="O30" s="11">
        <f>Tabla351018263641424445464[[#This Row],[COMISIONES]]*0.21</f>
        <v>0</v>
      </c>
      <c r="P30" s="11"/>
      <c r="Q30" s="11"/>
      <c r="R30" s="11"/>
      <c r="T30" s="18"/>
      <c r="U30" s="18">
        <f>Tabla3561119273751525455565[[#This Row],[COMISIONES]]*0.21</f>
        <v>0</v>
      </c>
      <c r="V30" s="18"/>
      <c r="W30" s="18"/>
      <c r="X30" s="18"/>
      <c r="Z30" s="1">
        <v>27234.78</v>
      </c>
      <c r="AA30" s="11">
        <f>Tabla35681321293971727475767[[#This Row],[COMISIONES]]*0.21</f>
        <v>5719.3037999999997</v>
      </c>
      <c r="AB30" s="11"/>
      <c r="AC30" s="11"/>
      <c r="AD30" s="11"/>
      <c r="AK30" s="18"/>
      <c r="AL30" s="18">
        <f>Tabla3561119273443112131516171[[#This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Tabla1316243221222335262[[#This Row],[COMISIONES]]*0.21</f>
        <v>0</v>
      </c>
      <c r="D31" s="3">
        <f>Tabla1316243221222335262[[#This Row],[COMISIONES]]*0.105</f>
        <v>0</v>
      </c>
      <c r="E31" s="1"/>
      <c r="F31" s="3"/>
      <c r="H31" s="11"/>
      <c r="I31" s="11">
        <f>Tabla3917253531323345363[[#This Row],[COMISIONES]]*0.21</f>
        <v>0</v>
      </c>
      <c r="J31" s="11"/>
      <c r="K31" s="11"/>
      <c r="L31" s="11"/>
      <c r="N31" s="11"/>
      <c r="O31" s="11">
        <f>Tabla351018263641424445464[[#This Row],[COMISIONES]]*0.21</f>
        <v>0</v>
      </c>
      <c r="P31" s="11"/>
      <c r="Q31" s="11"/>
      <c r="R31" s="11"/>
      <c r="T31" s="4">
        <f>SUBTOTAL(109,Tabla3561119273751525455565[COMISIONES])</f>
        <v>38000</v>
      </c>
      <c r="U31" s="4">
        <f>SUBTOTAL(109,Tabla3561119273751525455565[IVA 21])</f>
        <v>7980</v>
      </c>
      <c r="V31" s="4">
        <f>SUBTOTAL(109,Tabla3561119273751525455565[IVA 10,5])</f>
        <v>0</v>
      </c>
      <c r="W31" s="4">
        <f>SUBTOTAL(109,Tabla3561119273751525455565[Ret IIBB Caba])</f>
        <v>2280</v>
      </c>
      <c r="X31" s="4">
        <f>SUBTOTAL(109,Tabla3561119273751525455565[PERC IVA])</f>
        <v>1140</v>
      </c>
      <c r="Z31" s="1">
        <v>87586.41</v>
      </c>
      <c r="AA31" s="11"/>
      <c r="AB31" s="11">
        <f>Tabla35681321293971727475767[[#This Row],[COMISIONES]]*0.105</f>
        <v>9196.5730500000009</v>
      </c>
      <c r="AC31" s="1"/>
      <c r="AK31" s="4">
        <f>SUBTOTAL(109,Tabla3561119273443112131516171[COMISIONES])</f>
        <v>0</v>
      </c>
      <c r="AL31" s="4">
        <f>SUBTOTAL(109,Tabla3561119273443112131516171[IVA 21])</f>
        <v>0</v>
      </c>
      <c r="AM31" s="4">
        <f>SUBTOTAL(109,Tabla3561119273443112131516171[IVA 10,5])</f>
        <v>0</v>
      </c>
      <c r="AN31" s="4">
        <f>SUBTOTAL(109,Tabla3561119273443112131516171[Ret IIBB Caba])</f>
        <v>0</v>
      </c>
      <c r="AO31" s="4">
        <f>SUBTOTAL(109,Tabla3561119273443112131516171[PERC IVA])</f>
        <v>0</v>
      </c>
    </row>
    <row r="32" spans="2:41" ht="18.75" x14ac:dyDescent="0.3">
      <c r="B32" s="3"/>
      <c r="C32" s="2">
        <f>Tabla1316243221222335262[[#This Row],[COMISIONES]]*0.21</f>
        <v>0</v>
      </c>
      <c r="D32" s="3">
        <f>Tabla1316243221222335262[[#This Row],[COMISIONES]]*0.105</f>
        <v>0</v>
      </c>
      <c r="E32" s="3"/>
      <c r="F32" s="3"/>
      <c r="H32" s="11"/>
      <c r="I32" s="11">
        <f>Tabla3917253531323345363[[#This Row],[COMISIONES]]*0.21</f>
        <v>0</v>
      </c>
      <c r="J32" s="11"/>
      <c r="K32" s="11"/>
      <c r="L32" s="11"/>
      <c r="N32" s="11"/>
      <c r="O32" s="11">
        <f>Tabla351018263641424445464[[#This Row],[COMISIONES]]*0.21</f>
        <v>0</v>
      </c>
      <c r="P32" s="11"/>
      <c r="Q32" s="11"/>
      <c r="R32" s="11"/>
      <c r="T32" s="41" t="s">
        <v>30</v>
      </c>
      <c r="U32" s="41"/>
      <c r="V32" s="41"/>
      <c r="W32" s="41"/>
      <c r="X32" s="41"/>
      <c r="Z32" s="1">
        <v>15945</v>
      </c>
      <c r="AA32" s="11">
        <f>Tabla35681321293971727475767[[#This Row],[COMISIONES]]*0.21</f>
        <v>3348.45</v>
      </c>
      <c r="AB32" s="1"/>
      <c r="AC32" s="11"/>
      <c r="AD32" s="11"/>
    </row>
    <row r="33" spans="2:31" x14ac:dyDescent="0.25">
      <c r="B33" s="3"/>
      <c r="C33" s="2">
        <f>Tabla1316243221222335262[[#This Row],[COMISIONES]]*0.21</f>
        <v>0</v>
      </c>
      <c r="D33" s="3">
        <f>Tabla1316243221222335262[[#This Row],[COMISIONES]]*0.105</f>
        <v>0</v>
      </c>
      <c r="E33" s="3"/>
      <c r="F33" s="3"/>
      <c r="H33" s="11"/>
      <c r="I33" s="11">
        <f>Tabla3917253531323345363[[#This Row],[COMISIONES]]*0.21</f>
        <v>0</v>
      </c>
      <c r="J33" s="11"/>
      <c r="K33" s="11"/>
      <c r="L33" s="11"/>
      <c r="N33" s="11"/>
      <c r="O33" s="11">
        <f>Tabla351018263641424445464[[#This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1">
        <v>25511.19</v>
      </c>
      <c r="AA33" s="11">
        <f>Tabla35681321293971727475767[[#This Row],[COMISIONES]]*0.21</f>
        <v>5357.3498999999993</v>
      </c>
      <c r="AB33" s="29"/>
      <c r="AC33" s="11"/>
      <c r="AD33" s="11"/>
    </row>
    <row r="34" spans="2:31" x14ac:dyDescent="0.25">
      <c r="B34" s="3"/>
      <c r="C34" s="2">
        <f>Tabla1316243221222335262[[#This Row],[COMISIONES]]*0.21</f>
        <v>0</v>
      </c>
      <c r="D34" s="3">
        <f>Tabla1316243221222335262[[#This Row],[COMISIONES]]*0.105</f>
        <v>0</v>
      </c>
      <c r="E34" s="3"/>
      <c r="F34" s="3"/>
      <c r="H34" s="11"/>
      <c r="I34" s="11">
        <f>Tabla3917253531323345363[[#This Row],[COMISIONES]]*0.21</f>
        <v>0</v>
      </c>
      <c r="J34" s="11"/>
      <c r="K34" s="11"/>
      <c r="L34" s="11"/>
      <c r="N34" s="11"/>
      <c r="O34" s="11">
        <f>Tabla351018263641424445464[[#This Row],[COMISIONES]]*0.21</f>
        <v>0</v>
      </c>
      <c r="P34" s="11"/>
      <c r="Q34" s="11"/>
      <c r="R34" s="11"/>
      <c r="T34" s="11">
        <v>10</v>
      </c>
      <c r="U34" s="11">
        <f>Tabla61220283861626465666[[#This Row],[COMISIONES]]*0.21</f>
        <v>2.1</v>
      </c>
      <c r="V34" s="11"/>
      <c r="W34" s="11">
        <v>2100</v>
      </c>
      <c r="X34" s="11">
        <v>1050</v>
      </c>
      <c r="Z34">
        <v>13681.02</v>
      </c>
      <c r="AA34" s="11"/>
      <c r="AB34" s="11">
        <f>Tabla35681321293971727475767[[#This Row],[COMISIONES]]*0.105</f>
        <v>1436.5071</v>
      </c>
      <c r="AC34" s="11"/>
      <c r="AD34" s="11"/>
    </row>
    <row r="35" spans="2:31" x14ac:dyDescent="0.25">
      <c r="B35" s="3"/>
      <c r="C35" s="2">
        <f>Tabla1316243221222335262[[#This Row],[COMISIONES]]*0.21</f>
        <v>0</v>
      </c>
      <c r="D35" s="3">
        <f>Tabla1316243221222335262[[#This Row],[COMISIONES]]*0.105</f>
        <v>0</v>
      </c>
      <c r="E35" s="3"/>
      <c r="F35" s="3"/>
      <c r="H35" s="11"/>
      <c r="I35" s="11">
        <f>Tabla3917253531323345363[[#This Row],[COMISIONES]]*0.21</f>
        <v>0</v>
      </c>
      <c r="J35" s="11"/>
      <c r="K35" s="11"/>
      <c r="L35" s="11"/>
      <c r="N35" s="11"/>
      <c r="O35" s="11">
        <f>Tabla351018263641424445464[[#This Row],[COMISIONES]]*0.21</f>
        <v>0</v>
      </c>
      <c r="P35" s="11"/>
      <c r="Q35" s="11"/>
      <c r="R35" s="11"/>
      <c r="T35" s="11">
        <v>35000</v>
      </c>
      <c r="U35" s="11">
        <f>Tabla61220283861626465666[[#This Row],[COMISIONES]]*0.21</f>
        <v>7350</v>
      </c>
      <c r="V35" s="11"/>
      <c r="W35" s="11">
        <v>3744</v>
      </c>
      <c r="X35" s="11">
        <v>1872</v>
      </c>
      <c r="Z35" s="1">
        <v>5446.95</v>
      </c>
      <c r="AA35" s="11">
        <f>Tabla35681321293971727475767[[#This Row],[COMISIONES]]*0.21</f>
        <v>1143.8595</v>
      </c>
      <c r="AB35" s="11"/>
      <c r="AC35" s="11"/>
      <c r="AD35" s="11"/>
    </row>
    <row r="36" spans="2:31" x14ac:dyDescent="0.25">
      <c r="B36" s="3"/>
      <c r="C36" s="2">
        <f>Tabla1316243221222335262[[#This Row],[COMISIONES]]*0.21</f>
        <v>0</v>
      </c>
      <c r="D36" s="3">
        <f>Tabla1316243221222335262[[#This Row],[COMISIONES]]*0.105</f>
        <v>0</v>
      </c>
      <c r="E36" s="3"/>
      <c r="F36" s="3"/>
      <c r="H36" s="11"/>
      <c r="I36" s="11">
        <f>Tabla3917253531323345363[[#This Row],[COMISIONES]]*0.21</f>
        <v>0</v>
      </c>
      <c r="J36" s="11"/>
      <c r="K36" s="11"/>
      <c r="L36" s="11"/>
      <c r="N36" s="11"/>
      <c r="O36" s="11">
        <f>Tabla351018263641424445464[[#This Row],[COMISIONES]]*0.21</f>
        <v>0</v>
      </c>
      <c r="P36" s="11"/>
      <c r="Q36" s="11"/>
      <c r="R36" s="11"/>
      <c r="T36" s="11">
        <v>62400</v>
      </c>
      <c r="U36" s="19">
        <f>Tabla61220283861626465666[[#This Row],[COMISIONES]]*0.21</f>
        <v>13104</v>
      </c>
      <c r="W36">
        <v>7200</v>
      </c>
      <c r="X36">
        <v>3600</v>
      </c>
      <c r="Z36" s="1">
        <v>25779.58</v>
      </c>
      <c r="AA36" s="11">
        <f>Tabla35681321293971727475767[[#This Row],[COMISIONES]]*0.21</f>
        <v>5413.7118</v>
      </c>
      <c r="AB36" s="1"/>
      <c r="AC36" s="11"/>
      <c r="AD36" s="11"/>
    </row>
    <row r="37" spans="2:31" x14ac:dyDescent="0.25">
      <c r="B37" s="3"/>
      <c r="C37" s="2">
        <f>Tabla1316243221222335262[[#This Row],[COMISIONES]]*0.21</f>
        <v>0</v>
      </c>
      <c r="D37" s="3">
        <f>Tabla1316243221222335262[[#This Row],[COMISIONES]]*0.105</f>
        <v>0</v>
      </c>
      <c r="E37" s="3"/>
      <c r="F37" s="3"/>
      <c r="H37" s="11"/>
      <c r="I37" s="11">
        <f>Tabla3917253531323345363[[#This Row],[COMISIONES]]*0.21</f>
        <v>0</v>
      </c>
      <c r="J37" s="11"/>
      <c r="K37" s="11"/>
      <c r="L37" s="11"/>
      <c r="N37" s="11"/>
      <c r="O37" s="11">
        <f>Tabla351018263641424445464[[#This Row],[COMISIONES]]*0.21</f>
        <v>0</v>
      </c>
      <c r="P37" s="11"/>
      <c r="Q37" s="11"/>
      <c r="R37" s="11"/>
      <c r="T37" s="11">
        <v>300</v>
      </c>
      <c r="U37" s="19">
        <f>Tabla61220283861626465666[[#This Row],[COMISIONES]]*0.21</f>
        <v>63</v>
      </c>
      <c r="Z37">
        <v>5998.06</v>
      </c>
      <c r="AA37" s="21"/>
      <c r="AB37" s="21">
        <f>Tabla35681321293971727475767[[#This Row],[COMISIONES]]*0.105</f>
        <v>629.79629999999997</v>
      </c>
      <c r="AC37" s="21"/>
      <c r="AD37" s="22"/>
    </row>
    <row r="38" spans="2:31" x14ac:dyDescent="0.25">
      <c r="B38" s="3"/>
      <c r="C38" s="2">
        <f>Tabla1316243221222335262[[#This Row],[COMISIONES]]*0.21</f>
        <v>0</v>
      </c>
      <c r="D38" s="3">
        <f>Tabla1316243221222335262[[#This Row],[COMISIONES]]*0.105</f>
        <v>0</v>
      </c>
      <c r="E38" s="3"/>
      <c r="F38" s="3"/>
      <c r="H38" s="11"/>
      <c r="I38" s="11">
        <f>Tabla3917253531323345363[[#This Row],[COMISIONES]]*0.21</f>
        <v>0</v>
      </c>
      <c r="J38" s="11"/>
      <c r="K38" s="11"/>
      <c r="L38" s="11"/>
      <c r="N38" s="11"/>
      <c r="O38" s="11">
        <f>Tabla351018263641424445464[[#This Row],[COMISIONES]]*0.21</f>
        <v>0</v>
      </c>
      <c r="P38" s="11"/>
      <c r="Q38" s="11"/>
      <c r="R38" s="11"/>
      <c r="T38" s="11">
        <v>300</v>
      </c>
      <c r="U38" s="19">
        <f>Tabla61220283861626465666[[#This Row],[COMISIONES]]*0.21</f>
        <v>63</v>
      </c>
      <c r="Z38">
        <v>5278.15</v>
      </c>
      <c r="AA38" s="21">
        <f>Tabla35681321293971727475767[[#This Row],[COMISIONES]]*0.21</f>
        <v>1108.4114999999999</v>
      </c>
      <c r="AB38" s="1"/>
      <c r="AC38" s="1"/>
    </row>
    <row r="39" spans="2:31" x14ac:dyDescent="0.25">
      <c r="B39" s="3"/>
      <c r="C39" s="2">
        <f>Tabla1316243221222335262[[#This Row],[COMISIONES]]*0.21</f>
        <v>0</v>
      </c>
      <c r="D39" s="3">
        <f>Tabla1316243221222335262[[#This Row],[COMISIONES]]*0.105</f>
        <v>0</v>
      </c>
      <c r="E39" s="3"/>
      <c r="F39" s="3"/>
      <c r="H39" s="11"/>
      <c r="I39" s="11">
        <f>Tabla3917253531323345363[[#This Row],[COMISIONES]]*0.21</f>
        <v>0</v>
      </c>
      <c r="J39" s="11"/>
      <c r="K39" s="11"/>
      <c r="L39" s="11"/>
      <c r="N39" s="11"/>
      <c r="O39" s="11">
        <f>Tabla351018263641424445464[[#This Row],[COMISIONES]]*0.21</f>
        <v>0</v>
      </c>
      <c r="P39" s="11"/>
      <c r="Q39" s="11"/>
      <c r="R39" s="11"/>
      <c r="T39" s="11">
        <v>300</v>
      </c>
      <c r="U39" s="19">
        <f>Tabla61220283861626465666[[#This Row],[COMISIONES]]*0.21</f>
        <v>63</v>
      </c>
      <c r="Z39">
        <v>21320.9</v>
      </c>
      <c r="AA39" s="21">
        <f>Tabla35681321293971727475767[[#This Row],[COMISIONES]]*0.21</f>
        <v>4477.3890000000001</v>
      </c>
      <c r="AB39" s="21"/>
      <c r="AC39" s="21"/>
      <c r="AD39" s="21"/>
    </row>
    <row r="40" spans="2:31" x14ac:dyDescent="0.25">
      <c r="B40" s="3"/>
      <c r="C40" s="2">
        <f>Tabla1316243221222335262[[#This Row],[COMISIONES]]*0.21</f>
        <v>0</v>
      </c>
      <c r="D40" s="3">
        <f>Tabla1316243221222335262[[#This Row],[COMISIONES]]*0.105</f>
        <v>0</v>
      </c>
      <c r="E40" s="3"/>
      <c r="F40" s="3"/>
      <c r="H40" s="11"/>
      <c r="I40" s="11">
        <f>Tabla3917253531323345363[[#This Row],[COMISIONES]]*0.21</f>
        <v>0</v>
      </c>
      <c r="J40" s="11"/>
      <c r="K40" s="11"/>
      <c r="L40" s="11"/>
      <c r="N40" s="11"/>
      <c r="O40" s="11">
        <f>Tabla351018263641424445464[[#This Row],[COMISIONES]]*0.21</f>
        <v>0</v>
      </c>
      <c r="P40" s="11"/>
      <c r="Q40" s="11"/>
      <c r="R40" s="11"/>
      <c r="T40" s="11">
        <v>300</v>
      </c>
      <c r="U40" s="19">
        <f>Tabla61220283861626465666[[#This Row],[COMISIONES]]*0.21</f>
        <v>63</v>
      </c>
      <c r="Z40" s="1">
        <v>39579.660000000003</v>
      </c>
      <c r="AA40" s="21"/>
      <c r="AB40" s="21">
        <f>Tabla35681321293971727475767[[#This Row],[COMISIONES]]*0.105</f>
        <v>4155.8643000000002</v>
      </c>
      <c r="AC40" s="21"/>
      <c r="AD40" s="21"/>
    </row>
    <row r="41" spans="2:31" x14ac:dyDescent="0.25">
      <c r="B41" s="3"/>
      <c r="C41" s="2">
        <f>Tabla1316243221222335262[[#This Row],[COMISIONES]]*0.21</f>
        <v>0</v>
      </c>
      <c r="D41" s="3">
        <f>Tabla1316243221222335262[[#This Row],[COMISIONES]]*0.105</f>
        <v>0</v>
      </c>
      <c r="E41" s="3"/>
      <c r="F41" s="3"/>
      <c r="H41" s="18"/>
      <c r="I41" s="18">
        <f>Tabla3917253531323345363[[#This Row],[COMISIONES]]*0.21</f>
        <v>0</v>
      </c>
      <c r="J41" s="18"/>
      <c r="K41" s="18"/>
      <c r="L41" s="18"/>
      <c r="N41" s="11"/>
      <c r="O41" s="11">
        <f>Tabla351018263641424445464[[#This Row],[COMISIONES]]*0.21</f>
        <v>0</v>
      </c>
      <c r="P41" s="11"/>
      <c r="Q41" s="11"/>
      <c r="R41" s="11"/>
      <c r="T41" s="11">
        <v>300</v>
      </c>
      <c r="U41" s="19">
        <f>Tabla61220283861626465666[[#This Row],[COMISIONES]]*0.21</f>
        <v>63</v>
      </c>
      <c r="Z41" s="1">
        <v>6603</v>
      </c>
      <c r="AA41" s="21">
        <f>Tabla35681321293971727475767[[#This Row],[COMISIONES]]*0.21</f>
        <v>1386.6299999999999</v>
      </c>
      <c r="AB41" s="21"/>
      <c r="AC41" s="21"/>
      <c r="AD41" s="21"/>
    </row>
    <row r="42" spans="2:31" x14ac:dyDescent="0.25">
      <c r="B42" s="3"/>
      <c r="C42" s="2">
        <f>Tabla1316243221222335262[[#This Row],[COMISIONES]]*0.21</f>
        <v>0</v>
      </c>
      <c r="D42" s="3">
        <f>Tabla1316243221222335262[[#This Row],[COMISIONES]]*0.105</f>
        <v>0</v>
      </c>
      <c r="E42" s="3"/>
      <c r="F42" s="3"/>
      <c r="H42" s="18"/>
      <c r="I42" s="18">
        <f>Tabla3917253531323345363[[#This Row],[COMISIONES]]*0.21</f>
        <v>0</v>
      </c>
      <c r="J42" s="18"/>
      <c r="K42" s="18"/>
      <c r="L42" s="18"/>
      <c r="N42" s="11"/>
      <c r="O42" s="11">
        <f>Tabla351018263641424445464[[#This Row],[COMISIONES]]*0.21</f>
        <v>0</v>
      </c>
      <c r="P42" s="11"/>
      <c r="Q42" s="11"/>
      <c r="R42" s="11"/>
      <c r="T42" s="11">
        <v>300</v>
      </c>
      <c r="U42" s="19">
        <f>Tabla61220283861626465666[[#This Row],[COMISIONES]]*0.21</f>
        <v>63</v>
      </c>
      <c r="Z42">
        <v>34814.58</v>
      </c>
      <c r="AA42" s="21">
        <f>Tabla35681321293971727475767[[#This Row],[COMISIONES]]*0.21</f>
        <v>7311.0618000000004</v>
      </c>
      <c r="AB42" s="21"/>
      <c r="AC42" s="21"/>
      <c r="AD42" s="21"/>
    </row>
    <row r="43" spans="2:31" x14ac:dyDescent="0.25">
      <c r="B43" s="3"/>
      <c r="C43" s="2">
        <f>Tabla1316243221222335262[[#This Row],[COMISIONES]]*0.21</f>
        <v>0</v>
      </c>
      <c r="D43" s="3">
        <f>Tabla1316243221222335262[[#This Row],[COMISIONES]]*0.105</f>
        <v>0</v>
      </c>
      <c r="E43" s="3"/>
      <c r="F43" s="3"/>
      <c r="G43" s="8"/>
      <c r="H43" s="18"/>
      <c r="I43" s="18">
        <f>Tabla3917253531323345363[[#This Row],[COMISIONES]]*0.21</f>
        <v>0</v>
      </c>
      <c r="J43" s="18"/>
      <c r="K43" s="18"/>
      <c r="L43" s="18"/>
      <c r="M43" s="8"/>
      <c r="N43" s="11"/>
      <c r="O43" s="11">
        <f>Tabla351018263641424445464[[#This Row],[COMISIONES]]*0.21</f>
        <v>0</v>
      </c>
      <c r="P43" s="11"/>
      <c r="Q43" s="11"/>
      <c r="R43" s="11"/>
      <c r="S43" s="8"/>
      <c r="T43" s="11">
        <v>300</v>
      </c>
      <c r="U43" s="19">
        <f>Tabla61220283861626465666[[#This Row],[COMISIONES]]*0.21</f>
        <v>63</v>
      </c>
      <c r="Y43" s="8"/>
      <c r="Z43">
        <v>17327.37</v>
      </c>
      <c r="AA43" s="21"/>
      <c r="AB43" s="21">
        <f>Tabla35681321293971727475767[[#This Row],[COMISIONES]]*0.105</f>
        <v>1819.3738499999997</v>
      </c>
      <c r="AC43" s="21"/>
      <c r="AD43" s="21"/>
      <c r="AE43" s="8"/>
    </row>
    <row r="44" spans="2:31" x14ac:dyDescent="0.25">
      <c r="B44" s="3"/>
      <c r="C44" s="2">
        <f>Tabla1316243221222335262[[#This Row],[COMISIONES]]*0.21</f>
        <v>0</v>
      </c>
      <c r="D44" s="3">
        <f>Tabla1316243221222335262[[#This Row],[COMISIONES]]*0.105</f>
        <v>0</v>
      </c>
      <c r="E44" s="3"/>
      <c r="F44" s="3"/>
      <c r="H44" s="18"/>
      <c r="I44" s="18">
        <f>Tabla3917253531323345363[[#This Row],[COMISIONES]]*0.21</f>
        <v>0</v>
      </c>
      <c r="J44" s="18"/>
      <c r="K44" s="18"/>
      <c r="L44" s="18"/>
      <c r="N44" s="11"/>
      <c r="O44" s="11">
        <f>Tabla351018263641424445464[[#This Row],[COMISIONES]]*0.21</f>
        <v>0</v>
      </c>
      <c r="P44" s="11"/>
      <c r="Q44" s="11"/>
      <c r="R44" s="11"/>
      <c r="T44">
        <v>300</v>
      </c>
      <c r="U44" s="19">
        <f>Tabla61220283861626465666[[#This Row],[COMISIONES]]*0.21</f>
        <v>63</v>
      </c>
      <c r="Z44" s="1">
        <v>9212.4</v>
      </c>
      <c r="AA44" s="21">
        <f>Tabla35681321293971727475767[[#This Row],[COMISIONES]]*0.21</f>
        <v>1934.6039999999998</v>
      </c>
      <c r="AB44" s="21"/>
      <c r="AC44" s="21"/>
      <c r="AD44" s="21"/>
    </row>
    <row r="45" spans="2:31" x14ac:dyDescent="0.25">
      <c r="B45" s="3"/>
      <c r="C45" s="2">
        <f>Tabla1316243221222335262[[#This Row],[COMISIONES]]*0.21</f>
        <v>0</v>
      </c>
      <c r="D45" s="3">
        <f>Tabla1316243221222335262[[#This Row],[COMISIONES]]*0.105</f>
        <v>0</v>
      </c>
      <c r="E45" s="3"/>
      <c r="F45" s="3"/>
      <c r="H45" s="18"/>
      <c r="I45" s="18">
        <f>Tabla3917253531323345363[[#This Row],[COMISIONES]]*0.21</f>
        <v>0</v>
      </c>
      <c r="J45" s="18"/>
      <c r="K45" s="18"/>
      <c r="L45" s="18"/>
      <c r="N45" s="11"/>
      <c r="O45" s="11">
        <f>Tabla351018263641424445464[[#This Row],[COMISIONES]]*0.21</f>
        <v>0</v>
      </c>
      <c r="P45" s="11"/>
      <c r="Q45" s="11"/>
      <c r="R45" s="11"/>
      <c r="T45">
        <v>300</v>
      </c>
      <c r="U45" s="19">
        <f>Tabla61220283861626465666[[#This Row],[COMISIONES]]*0.21</f>
        <v>63</v>
      </c>
      <c r="Z45" s="1">
        <v>9834.6</v>
      </c>
      <c r="AA45" s="21">
        <f>Tabla35681321293971727475767[[#This Row],[COMISIONES]]*0.21</f>
        <v>2065.2660000000001</v>
      </c>
      <c r="AB45" s="21"/>
      <c r="AC45" s="21"/>
      <c r="AD45" s="21"/>
    </row>
    <row r="46" spans="2:31" x14ac:dyDescent="0.25">
      <c r="B46" s="3"/>
      <c r="C46" s="2">
        <f>Tabla1316243221222335262[[#This Row],[COMISIONES]]*0.21</f>
        <v>0</v>
      </c>
      <c r="D46" s="3">
        <f>Tabla1316243221222335262[[#This Row],[COMISIONES]]*0.105</f>
        <v>0</v>
      </c>
      <c r="E46" s="3"/>
      <c r="F46" s="3"/>
      <c r="H46" s="18"/>
      <c r="I46" s="18">
        <f>Tabla3917253531323345363[[#This Row],[COMISIONES]]*0.21</f>
        <v>0</v>
      </c>
      <c r="J46" s="18"/>
      <c r="K46" s="18"/>
      <c r="L46" s="18"/>
      <c r="N46" s="11"/>
      <c r="O46" s="11">
        <f>Tabla351018263641424445464[[#This Row],[COMISIONES]]*0.21</f>
        <v>0</v>
      </c>
      <c r="P46" s="11"/>
      <c r="Q46" s="11"/>
      <c r="R46" s="11"/>
      <c r="T46">
        <v>300</v>
      </c>
      <c r="U46" s="19">
        <f>Tabla61220283861626465666[[#This Row],[COMISIONES]]*0.21</f>
        <v>63</v>
      </c>
      <c r="Z46">
        <v>5839.75</v>
      </c>
      <c r="AA46" s="21">
        <f>Tabla35681321293971727475767[[#This Row],[COMISIONES]]*0.21</f>
        <v>1226.3474999999999</v>
      </c>
      <c r="AB46" s="21"/>
      <c r="AC46" s="21"/>
      <c r="AD46" s="21"/>
    </row>
    <row r="47" spans="2:31" x14ac:dyDescent="0.25">
      <c r="B47" s="3"/>
      <c r="C47" s="2">
        <f>Tabla1316243221222335262[[#This Row],[COMISIONES]]*0.21</f>
        <v>0</v>
      </c>
      <c r="D47" s="3">
        <f>Tabla1316243221222335262[[#This Row],[COMISIONES]]*0.105</f>
        <v>0</v>
      </c>
      <c r="E47" s="3"/>
      <c r="F47" s="3"/>
      <c r="H47" s="18"/>
      <c r="I47" s="18">
        <f>Tabla3917253531323345363[[#This Row],[COMISIONES]]*0.21</f>
        <v>0</v>
      </c>
      <c r="J47" s="18"/>
      <c r="K47" s="18"/>
      <c r="L47" s="18"/>
      <c r="N47" s="11"/>
      <c r="O47" s="11">
        <f>Tabla351018263641424445464[[#This Row],[COMISIONES]]*0.21</f>
        <v>0</v>
      </c>
      <c r="P47" s="11"/>
      <c r="Q47" s="11"/>
      <c r="R47" s="11"/>
      <c r="T47">
        <v>300</v>
      </c>
      <c r="U47" s="19">
        <f>Tabla61220283861626465666[[#This Row],[COMISIONES]]*0.21</f>
        <v>63</v>
      </c>
      <c r="Z47">
        <v>23071.43</v>
      </c>
      <c r="AA47" s="21">
        <f>Tabla35681321293971727475767[[#This Row],[COMISIONES]]*0.21</f>
        <v>4845.0002999999997</v>
      </c>
      <c r="AB47" s="21"/>
      <c r="AC47" s="21"/>
      <c r="AD47" s="21"/>
    </row>
    <row r="48" spans="2:31" x14ac:dyDescent="0.25">
      <c r="B48" s="3"/>
      <c r="C48" s="2">
        <f>Tabla1316243221222335262[[#This Row],[COMISIONES]]*0.21</f>
        <v>0</v>
      </c>
      <c r="D48" s="3">
        <f>Tabla1316243221222335262[[#This Row],[COMISIONES]]*0.105</f>
        <v>0</v>
      </c>
      <c r="E48" s="3"/>
      <c r="F48" s="3"/>
      <c r="H48" s="18"/>
      <c r="I48" s="18">
        <f>Tabla3917253531323345363[[#This Row],[COMISIONES]]*0.21</f>
        <v>0</v>
      </c>
      <c r="J48" s="18"/>
      <c r="K48" s="18"/>
      <c r="L48" s="18"/>
      <c r="N48" s="11"/>
      <c r="O48" s="11">
        <f>Tabla351018263641424445464[[#This Row],[COMISIONES]]*0.21</f>
        <v>0</v>
      </c>
      <c r="P48" s="11"/>
      <c r="Q48" s="11"/>
      <c r="R48" s="11"/>
      <c r="T48">
        <v>300</v>
      </c>
      <c r="U48" s="19">
        <f>Tabla61220283861626465666[[#This Row],[COMISIONES]]*0.21</f>
        <v>63</v>
      </c>
      <c r="Z48" s="1">
        <v>13617.72</v>
      </c>
      <c r="AA48" s="21"/>
      <c r="AB48" s="21">
        <f>Tabla35681321293971727475767[[#This Row],[COMISIONES]]*0.105</f>
        <v>1429.8606</v>
      </c>
      <c r="AC48" s="21"/>
      <c r="AD48" s="21"/>
    </row>
    <row r="49" spans="1:41" x14ac:dyDescent="0.25">
      <c r="B49" s="3"/>
      <c r="C49" s="2">
        <f>Tabla1316243221222335262[[#This Row],[COMISIONES]]*0.21</f>
        <v>0</v>
      </c>
      <c r="D49" s="3">
        <f>Tabla1316243221222335262[[#This Row],[COMISIONES]]*0.105</f>
        <v>0</v>
      </c>
      <c r="E49" s="3"/>
      <c r="F49" s="3"/>
      <c r="H49" s="18"/>
      <c r="I49" s="18">
        <f>Tabla3917253531323345363[[#This Row],[COMISIONES]]*0.21</f>
        <v>0</v>
      </c>
      <c r="J49" s="18"/>
      <c r="K49" s="18"/>
      <c r="L49" s="18"/>
      <c r="N49" s="11"/>
      <c r="O49" s="11">
        <f>Tabla351018263641424445464[[#This Row],[COMISIONES]]*0.21</f>
        <v>0</v>
      </c>
      <c r="P49" s="11"/>
      <c r="Q49" s="11"/>
      <c r="R49" s="11"/>
      <c r="T49">
        <v>120000</v>
      </c>
      <c r="U49" s="19">
        <f>Tabla61220283861626465666[[#This Row],[COMISIONES]]*0.21</f>
        <v>25200</v>
      </c>
      <c r="Z49">
        <v>8496.25</v>
      </c>
      <c r="AA49" s="21">
        <f>Tabla35681321293971727475767[[#This Row],[COMISIONES]]*0.21</f>
        <v>1784.2124999999999</v>
      </c>
      <c r="AB49" s="1"/>
      <c r="AC49" s="21"/>
      <c r="AD49" s="21"/>
    </row>
    <row r="50" spans="1:41" s="6" customFormat="1" x14ac:dyDescent="0.25">
      <c r="A50"/>
      <c r="B50" s="3"/>
      <c r="C50" s="2">
        <f>Tabla1316243221222335262[[#This Row],[COMISIONES]]*0.21</f>
        <v>0</v>
      </c>
      <c r="D50" s="3">
        <f>Tabla1316243221222335262[[#This Row],[COMISIONES]]*0.105</f>
        <v>0</v>
      </c>
      <c r="E50" s="3"/>
      <c r="F50" s="3"/>
      <c r="H50" s="18"/>
      <c r="I50" s="18">
        <f>Tabla3917253531323345363[[#This Row],[COMISIONES]]*0.21</f>
        <v>0</v>
      </c>
      <c r="J50" s="18"/>
      <c r="K50" s="18"/>
      <c r="L50" s="18"/>
      <c r="N50" s="11"/>
      <c r="O50" s="11">
        <f>Tabla351018263641424445464[[#This Row],[COMISIONES]]*0.21</f>
        <v>0</v>
      </c>
      <c r="P50" s="11"/>
      <c r="Q50" s="11"/>
      <c r="R50" s="11"/>
      <c r="T50">
        <v>300</v>
      </c>
      <c r="U50" s="19">
        <f>Tabla61220283861626465666[[#This Row],[COMISIONES]]*0.21</f>
        <v>63</v>
      </c>
      <c r="V50"/>
      <c r="W50"/>
      <c r="X50"/>
      <c r="Z50">
        <v>22951.57</v>
      </c>
      <c r="AA50" s="21">
        <f>Tabla35681321293971727475767[[#This Row],[COMISIONES]]*0.21</f>
        <v>4819.8296999999993</v>
      </c>
      <c r="AB50" s="21"/>
      <c r="AC50" s="21"/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Tabla1316243221222335262[[#This Row],[COMISIONES]]*0.21</f>
        <v>0</v>
      </c>
      <c r="D51" s="2">
        <f>Tabla1316243221222335262[[#This Row],[COMISIONES]]*0.105</f>
        <v>0</v>
      </c>
      <c r="E51" s="2"/>
      <c r="F51"/>
      <c r="H51" s="18"/>
      <c r="I51" s="18">
        <f>Tabla3917253531323345363[[#This Row],[COMISIONES]]*0.21</f>
        <v>0</v>
      </c>
      <c r="J51" s="18"/>
      <c r="K51" s="18"/>
      <c r="L51" s="18"/>
      <c r="N51" s="11"/>
      <c r="O51" s="11">
        <f>Tabla351018263641424445464[[#This Row],[COMISIONES]]*0.21</f>
        <v>0</v>
      </c>
      <c r="P51" s="11"/>
      <c r="Q51" s="11"/>
      <c r="R51" s="11"/>
      <c r="T51">
        <v>300</v>
      </c>
      <c r="U51" s="19">
        <f>Tabla61220283861626465666[[#This Row],[COMISIONES]]*0.21</f>
        <v>63</v>
      </c>
      <c r="V51"/>
      <c r="W51"/>
      <c r="X51"/>
      <c r="Z51">
        <v>4921.75</v>
      </c>
      <c r="AA51" s="21">
        <f>Tabla35681321293971727475767[[#This Row],[COMISIONES]]*0.21</f>
        <v>1033.5674999999999</v>
      </c>
      <c r="AB51" s="21"/>
      <c r="AC51" s="21"/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Tabla1316243221222335262[[#This Row],[COMISIONES]]*0.21</f>
        <v>0</v>
      </c>
      <c r="D52" s="2">
        <f>Tabla1316243221222335262[[#This Row],[COMISIONES]]*0.105</f>
        <v>0</v>
      </c>
      <c r="E52" s="2"/>
      <c r="F52"/>
      <c r="H52" s="18"/>
      <c r="I52" s="18">
        <f>Tabla3917253531323345363[[#This Row],[COMISIONES]]*0.21</f>
        <v>0</v>
      </c>
      <c r="J52" s="18"/>
      <c r="K52" s="18"/>
      <c r="L52" s="18"/>
      <c r="N52" s="11"/>
      <c r="O52" s="11">
        <f>Tabla351018263641424445464[[#This Row],[COMISIONES]]*0.21</f>
        <v>0</v>
      </c>
      <c r="P52" s="11"/>
      <c r="Q52" s="11"/>
      <c r="R52" s="11"/>
      <c r="T52"/>
      <c r="U52" s="19">
        <f>Tabla61220283861626465666[[#This Row],[COMISIONES]]*0.21</f>
        <v>0</v>
      </c>
      <c r="V52"/>
      <c r="W52"/>
      <c r="X52"/>
      <c r="Z52" s="1">
        <v>31611.38</v>
      </c>
      <c r="AA52" s="21">
        <f>Tabla35681321293971727475767[[#This Row],[COMISIONES]]*0.21</f>
        <v>6638.3897999999999</v>
      </c>
      <c r="AB52" s="30"/>
      <c r="AC52" s="21"/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Tabla1316243221222335262[[#This Row],[COMISIONES]]*0.21</f>
        <v>0</v>
      </c>
      <c r="D53" s="2">
        <f>Tabla1316243221222335262[[#This Row],[COMISIONES]]*0.105</f>
        <v>0</v>
      </c>
      <c r="E53" s="2"/>
      <c r="F53"/>
      <c r="H53" s="24">
        <f>SUBTOTAL(109,Tabla3917253531323345363[COMISIONES])</f>
        <v>176</v>
      </c>
      <c r="I53" s="24">
        <f>SUBTOTAL(109,Tabla3917253531323345363[IVA 21])</f>
        <v>36.96</v>
      </c>
      <c r="J53" s="24">
        <f>SUBTOTAL(109,Tabla3917253531323345363[IVA 10,5])</f>
        <v>0</v>
      </c>
      <c r="K53" s="24">
        <f>SUBTOTAL(109,Tabla3917253531323345363[Ret IIBB Caba])</f>
        <v>0</v>
      </c>
      <c r="L53" s="24">
        <f>SUBTOTAL(109,Tabla3917253531323345363[PERC IVA])</f>
        <v>0</v>
      </c>
      <c r="N53" s="11"/>
      <c r="O53" s="11">
        <f>Tabla351018263641424445464[[#This Row],[COMISIONES]]*0.21</f>
        <v>0</v>
      </c>
      <c r="P53" s="11"/>
      <c r="Q53" s="11"/>
      <c r="R53" s="11"/>
      <c r="T53"/>
      <c r="U53" s="19">
        <f>Tabla61220283861626465666[[#This Row],[COMISIONES]]*0.21</f>
        <v>0</v>
      </c>
      <c r="V53"/>
      <c r="W53"/>
      <c r="X53"/>
      <c r="Z53" s="1">
        <v>12757.87</v>
      </c>
      <c r="AA53" s="21"/>
      <c r="AB53" s="1">
        <f>Tabla35681321293971727475767[[#This Row],[COMISIONES]]*0.105</f>
        <v>1339.57635</v>
      </c>
      <c r="AC53" s="21"/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Tabla1316243221222335262[[#This Row],[COMISIONES]]*0.21</f>
        <v>0</v>
      </c>
      <c r="D54" s="2">
        <f>Tabla1316243221222335262[[#This Row],[COMISIONES]]*0.105</f>
        <v>0</v>
      </c>
      <c r="E54" s="2"/>
      <c r="F54"/>
      <c r="H54" s="41" t="s">
        <v>41</v>
      </c>
      <c r="I54" s="41"/>
      <c r="J54" s="41"/>
      <c r="K54" s="41"/>
      <c r="L54" s="41"/>
      <c r="N54" s="11"/>
      <c r="O54" s="11">
        <f>Tabla351018263641424445464[[#This Row],[COMISIONES]]*0.21</f>
        <v>0</v>
      </c>
      <c r="P54" s="11"/>
      <c r="Q54" s="11"/>
      <c r="R54" s="11"/>
      <c r="T54"/>
      <c r="U54" s="19">
        <f>Tabla61220283861626465666[[#This Row],[COMISIONES]]*0.21</f>
        <v>0</v>
      </c>
      <c r="V54"/>
      <c r="W54"/>
      <c r="X54"/>
      <c r="Z54" s="1">
        <v>4928.25</v>
      </c>
      <c r="AA54" s="21">
        <f>Tabla35681321293971727475767[[#This Row],[COMISIONES]]*0.21</f>
        <v>1034.9324999999999</v>
      </c>
      <c r="AB54" s="21"/>
      <c r="AC54" s="1"/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Tabla1316243221222335262[[#This Row],[COMISIONES]]*0.21</f>
        <v>0</v>
      </c>
      <c r="D55" s="2">
        <f>Tabla1316243221222335262[[#This Row],[COMISIONES]]*0.105</f>
        <v>0</v>
      </c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Tabla351018263641424445464[[#This Row],[COMISIONES]]*0.21</f>
        <v>0</v>
      </c>
      <c r="P55" s="11"/>
      <c r="Q55" s="11"/>
      <c r="R55" s="11"/>
      <c r="T55"/>
      <c r="U55" s="19">
        <f>Tabla61220283861626465666[[#This Row],[COMISIONES]]*0.21</f>
        <v>0</v>
      </c>
      <c r="V55"/>
      <c r="W55"/>
      <c r="X55"/>
      <c r="Z55">
        <v>58687.23</v>
      </c>
      <c r="AA55" s="21">
        <f>Tabla35681321293971727475767[[#This Row],[COMISIONES]]*0.21</f>
        <v>12324.318300000001</v>
      </c>
      <c r="AB55" s="3"/>
      <c r="AC55" s="1"/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Tabla1316243221222335262[[#This Row],[COMISIONES]]*0.21</f>
        <v>0</v>
      </c>
      <c r="D56" s="2">
        <f>Tabla1316243221222335262[[#This Row],[COMISIONES]]*0.105</f>
        <v>0</v>
      </c>
      <c r="E56" s="2"/>
      <c r="F56"/>
      <c r="H56" s="1">
        <v>34693.54</v>
      </c>
      <c r="I56" s="11">
        <f>Tabla391523314191929495969[[#This Row],[COMISIONES]]*0.21</f>
        <v>7285.6433999999999</v>
      </c>
      <c r="J56" s="11"/>
      <c r="K56" s="11">
        <v>8030.42</v>
      </c>
      <c r="L56" s="1">
        <v>1040.81</v>
      </c>
      <c r="N56" s="11"/>
      <c r="O56" s="11">
        <f>Tabla351018263641424445464[[#This Row],[COMISIONES]]*0.21</f>
        <v>0</v>
      </c>
      <c r="P56" s="11"/>
      <c r="Q56" s="11"/>
      <c r="R56" s="11"/>
      <c r="T56"/>
      <c r="U56" s="19">
        <f>Tabla61220283861626465666[[#This Row],[COMISIONES]]*0.21</f>
        <v>0</v>
      </c>
      <c r="V56"/>
      <c r="W56"/>
      <c r="X56"/>
      <c r="Z56">
        <v>43115.74</v>
      </c>
      <c r="AA56" s="21"/>
      <c r="AB56" s="21">
        <f>Tabla35681321293971727475767[[#This Row],[COMISIONES]]*0.105</f>
        <v>4527.1526999999996</v>
      </c>
      <c r="AC56"/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Tabla1316243221222335262[[#This Row],[COMISIONES]]*0.21</f>
        <v>0</v>
      </c>
      <c r="D57" s="2">
        <f>Tabla1316243221222335262[[#This Row],[COMISIONES]]*0.105</f>
        <v>0</v>
      </c>
      <c r="E57" s="2"/>
      <c r="F57"/>
      <c r="H57" s="11"/>
      <c r="I57" s="11">
        <f>Tabla391523314191929495969[[#This Row],[COMISIONES]]*0.21</f>
        <v>0</v>
      </c>
      <c r="J57" s="11"/>
      <c r="K57" s="11">
        <v>296.8</v>
      </c>
      <c r="L57" s="21"/>
      <c r="N57" s="11"/>
      <c r="O57" s="11">
        <f>Tabla351018263641424445464[[#This Row],[COMISIONES]]*0.21</f>
        <v>0</v>
      </c>
      <c r="P57" s="11"/>
      <c r="Q57" s="11"/>
      <c r="R57" s="11"/>
      <c r="T57"/>
      <c r="U57" s="19">
        <f>Tabla61220283861626465666[[#This Row],[COMISIONES]]*0.21</f>
        <v>0</v>
      </c>
      <c r="V57"/>
      <c r="W57"/>
      <c r="X57"/>
      <c r="Z57">
        <v>7753.6</v>
      </c>
      <c r="AA57" s="21">
        <f>Tabla35681321293971727475767[[#This Row],[COMISIONES]]*0.21</f>
        <v>1628.2560000000001</v>
      </c>
      <c r="AB57" s="21"/>
      <c r="AC57" s="21"/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Tabla1316243221222335262[[#This Row],[COMISIONES]]*0.21</f>
        <v>0</v>
      </c>
      <c r="D58" s="1">
        <f>Tabla1316243221222335262[[#This Row],[COMISIONES]]*0.105</f>
        <v>0</v>
      </c>
      <c r="E58" s="2"/>
      <c r="F58"/>
      <c r="H58" s="11"/>
      <c r="I58" s="11">
        <f>Tabla391523314191929495969[[#This Row],[COMISIONES]]*0.21</f>
        <v>0</v>
      </c>
      <c r="J58" s="11"/>
      <c r="K58" s="11"/>
      <c r="L58" s="11"/>
      <c r="N58" s="11"/>
      <c r="O58" s="11">
        <f>Tabla351018263641424445464[[#This Row],[COMISIONES]]*0.21</f>
        <v>0</v>
      </c>
      <c r="P58" s="11"/>
      <c r="Q58" s="11"/>
      <c r="R58" s="11"/>
      <c r="T58"/>
      <c r="U58" s="19">
        <f>Tabla61220283861626465666[[#This Row],[COMISIONES]]*0.21</f>
        <v>0</v>
      </c>
      <c r="V58"/>
      <c r="W58"/>
      <c r="X58"/>
      <c r="Z58">
        <v>18526.28</v>
      </c>
      <c r="AA58" s="21">
        <f>Tabla35681321293971727475767[[#This Row],[COMISIONES]]*0.21</f>
        <v>3890.5187999999998</v>
      </c>
      <c r="AB58" s="21"/>
      <c r="AC58" s="21"/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Tabla1316243221222335262[[#This Row],[COMISIONES]]*0.21</f>
        <v>0</v>
      </c>
      <c r="D59" s="2">
        <f>Tabla1316243221222335262[[#This Row],[COMISIONES]]*0.105</f>
        <v>0</v>
      </c>
      <c r="E59" s="2"/>
      <c r="F59"/>
      <c r="H59" s="11"/>
      <c r="I59" s="11">
        <f>Tabla391523314191929495969[[#This Row],[COMISIONES]]*0.21</f>
        <v>0</v>
      </c>
      <c r="J59" s="11"/>
      <c r="K59" s="11"/>
      <c r="L59" s="11"/>
      <c r="N59" s="11"/>
      <c r="O59" s="11">
        <f>Tabla351018263641424445464[[#This Row],[COMISIONES]]*0.21</f>
        <v>0</v>
      </c>
      <c r="P59" s="11"/>
      <c r="Q59" s="11"/>
      <c r="R59" s="11"/>
      <c r="T59"/>
      <c r="U59" s="19">
        <f>Tabla61220283861626465666[[#This Row],[COMISIONES]]*0.21</f>
        <v>0</v>
      </c>
      <c r="V59"/>
      <c r="W59"/>
      <c r="X59"/>
      <c r="Z59">
        <v>18883.060000000001</v>
      </c>
      <c r="AA59" s="21"/>
      <c r="AB59" s="21">
        <f>Tabla35681321293971727475767[[#This Row],[COMISIONES]]*0.105</f>
        <v>1982.7213000000002</v>
      </c>
      <c r="AC59" s="21"/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Tabla1316243221222335262[[#This Row],[COMISIONES]]*0.21</f>
        <v>0</v>
      </c>
      <c r="D60" s="2">
        <f>Tabla1316243221222335262[[#This Row],[COMISIONES]]*0.105</f>
        <v>0</v>
      </c>
      <c r="E60" s="2"/>
      <c r="F60"/>
      <c r="H60" s="11"/>
      <c r="I60" s="11">
        <f>Tabla391523314191929495969[[#This Row],[COMISIONES]]*0.21</f>
        <v>0</v>
      </c>
      <c r="J60" s="11"/>
      <c r="K60" s="11"/>
      <c r="L60" s="11"/>
      <c r="N60" s="11"/>
      <c r="O60" s="11">
        <f>Tabla351018263641424445464[[#This Row],[COMISIONES]]*0.21</f>
        <v>0</v>
      </c>
      <c r="P60" s="11"/>
      <c r="Q60" s="11"/>
      <c r="R60" s="11"/>
      <c r="T60"/>
      <c r="U60" s="19">
        <f>Tabla61220283861626465666[[#This Row],[COMISIONES]]*0.21</f>
        <v>0</v>
      </c>
      <c r="V60"/>
      <c r="W60"/>
      <c r="X60"/>
      <c r="Z60">
        <v>3133.5</v>
      </c>
      <c r="AA60" s="21">
        <f>Tabla35681321293971727475767[[#This Row],[COMISIONES]]*0.21</f>
        <v>658.03499999999997</v>
      </c>
      <c r="AB60" s="21"/>
      <c r="AC60" s="21"/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SUBTOTAL(109,Tabla1316243221222335262[COMISIONES])</f>
        <v>25.63</v>
      </c>
      <c r="C61" s="4">
        <f>SUBTOTAL(109,Tabla1316243221222335262[IVA 21])</f>
        <v>0</v>
      </c>
      <c r="D61" s="4">
        <f>SUBTOTAL(109,Tabla1316243221222335262[IVA 10,5])</f>
        <v>2.6911499999999999</v>
      </c>
      <c r="E61" s="4">
        <f>SUBTOTAL(109,Tabla1316243221222335262[Ret IIBB Caba])</f>
        <v>0</v>
      </c>
      <c r="F61" s="4">
        <f>SUBTOTAL(109,Tabla1316243221222335262[PERC IVA])</f>
        <v>0</v>
      </c>
      <c r="H61" s="11"/>
      <c r="I61" s="11">
        <f>Tabla391523314191929495969[[#This Row],[COMISIONES]]*0.21</f>
        <v>0</v>
      </c>
      <c r="J61" s="11"/>
      <c r="K61" s="11"/>
      <c r="L61" s="11"/>
      <c r="N61" s="11"/>
      <c r="O61" s="11">
        <f>Tabla351018263641424445464[[#This Row],[COMISIONES]]*0.21</f>
        <v>0</v>
      </c>
      <c r="P61" s="11"/>
      <c r="Q61" s="11"/>
      <c r="R61" s="11"/>
      <c r="T61"/>
      <c r="U61" s="19">
        <f>Tabla61220283861626465666[[#This Row],[COMISIONES]]*0.21</f>
        <v>0</v>
      </c>
      <c r="V61"/>
      <c r="W61"/>
      <c r="X61"/>
      <c r="Z61">
        <v>11869.56</v>
      </c>
      <c r="AA61" s="21">
        <f>Tabla35681321293971727475767[[#This Row],[COMISIONES]]*0.21</f>
        <v>2492.6075999999998</v>
      </c>
      <c r="AB61" s="21"/>
      <c r="AC61" s="21"/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Tabla391523314191929495969[[#This Row],[COMISIONES]]*0.21</f>
        <v>0</v>
      </c>
      <c r="J62" s="11"/>
      <c r="K62" s="11"/>
      <c r="L62" s="11"/>
      <c r="N62" s="11"/>
      <c r="O62" s="11">
        <f>Tabla351018263641424445464[[#This Row],[COMISIONES]]*0.21</f>
        <v>0</v>
      </c>
      <c r="P62" s="11"/>
      <c r="Q62" s="11"/>
      <c r="R62" s="11"/>
      <c r="T62" s="17">
        <f>SUBTOTAL(109,Tabla61220283861626465666[COMISIONES])</f>
        <v>221610</v>
      </c>
      <c r="U62" s="17">
        <f>SUBTOTAL(109,Tabla61220283861626465666[IVA 21])</f>
        <v>46538.1</v>
      </c>
      <c r="V62" s="17">
        <f>SUBTOTAL(109,Tabla61220283861626465666[IVA 10,5])</f>
        <v>0</v>
      </c>
      <c r="W62" s="17">
        <f>SUBTOTAL(109,Tabla61220283861626465666[Ret IIBB Caba])</f>
        <v>13044</v>
      </c>
      <c r="X62" s="17">
        <f>SUBTOTAL(109,Tabla61220283861626465666[PERC IVA])</f>
        <v>6522</v>
      </c>
      <c r="Z62">
        <v>2849.3</v>
      </c>
      <c r="AA62" s="21">
        <f>Tabla35681321293971727475767[[#This Row],[COMISIONES]]*0.21</f>
        <v>598.35300000000007</v>
      </c>
      <c r="AB62" s="21"/>
      <c r="AC62" s="21"/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Tabla391523314191929495969[[#This Row],[COMISIONES]]*0.21</f>
        <v>0</v>
      </c>
      <c r="J63" s="11"/>
      <c r="K63" s="11"/>
      <c r="L63" s="11"/>
      <c r="N63" s="11"/>
      <c r="O63" s="11">
        <f>Tabla351018263641424445464[[#This Row],[COMISIONES]]*0.21</f>
        <v>0</v>
      </c>
      <c r="P63" s="11"/>
      <c r="Q63" s="11"/>
      <c r="R63" s="11"/>
      <c r="T63"/>
      <c r="U63"/>
      <c r="V63"/>
      <c r="W63"/>
      <c r="X63"/>
      <c r="Z63">
        <v>9362.65</v>
      </c>
      <c r="AA63" s="21">
        <f>Tabla35681321293971727475767[[#This Row],[COMISIONES]]*0.21</f>
        <v>1966.1564999999998</v>
      </c>
      <c r="AB63" s="21"/>
      <c r="AC63" s="21"/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Tabla391523314191929495969[[#This Row],[COMISIONES]]*0.21</f>
        <v>0</v>
      </c>
      <c r="J64" s="11"/>
      <c r="K64" s="11"/>
      <c r="L64" s="11"/>
      <c r="N64" s="11"/>
      <c r="O64" s="11">
        <f>Tabla351018263641424445464[[#This Row],[COMISIONES]]*0.21</f>
        <v>0</v>
      </c>
      <c r="P64" s="11"/>
      <c r="Q64" s="11"/>
      <c r="R64" s="11"/>
      <c r="T64" s="41" t="s">
        <v>43</v>
      </c>
      <c r="U64" s="41"/>
      <c r="V64" s="41"/>
      <c r="W64" s="41"/>
      <c r="X64" s="41"/>
      <c r="Z64">
        <v>6976.03</v>
      </c>
      <c r="AA64" s="21"/>
      <c r="AB64" s="1">
        <f>Tabla35681321293971727475767[[#This Row],[COMISIONES]]*0.105</f>
        <v>732.48314999999991</v>
      </c>
      <c r="AC64" s="21"/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Tabla391523314191929495969[[#This Row],[COMISIONES]]*0.21</f>
        <v>0</v>
      </c>
      <c r="J65" s="11"/>
      <c r="K65" s="11"/>
      <c r="L65" s="11"/>
      <c r="N65" s="11"/>
      <c r="O65" s="11">
        <f>Tabla351018263641424445464[[#This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>
        <v>1934.3</v>
      </c>
      <c r="AA65" s="21">
        <f>Tabla35681321293971727475767[[#This Row],[COMISIONES]]*0.21</f>
        <v>406.20299999999997</v>
      </c>
      <c r="AB65" s="21"/>
      <c r="AC65" s="21"/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Tabla391523314191929495969[[#This Row],[COMISIONES]]*0.21</f>
        <v>0</v>
      </c>
      <c r="J66" s="11"/>
      <c r="K66" s="11"/>
      <c r="L66" s="11"/>
      <c r="N66" s="11"/>
      <c r="O66" s="11">
        <f>Tabla351018263641424445464[[#This Row],[COMISIONES]]*0.21</f>
        <v>0</v>
      </c>
      <c r="P66" s="11"/>
      <c r="Q66" s="11"/>
      <c r="R66" s="11"/>
      <c r="T66" s="11">
        <v>1500</v>
      </c>
      <c r="U66" s="11">
        <f>Tabla61220283342102030506070[[#This Row],[COMISIONES]]*0.21</f>
        <v>315</v>
      </c>
      <c r="V66" s="11"/>
      <c r="W66" s="1">
        <v>197.8</v>
      </c>
      <c r="X66" s="11"/>
      <c r="Z66">
        <v>1237.2</v>
      </c>
      <c r="AA66" s="21">
        <f>Tabla35681321293971727475767[[#This Row],[COMISIONES]]*0.21</f>
        <v>259.81200000000001</v>
      </c>
      <c r="AB66" s="21"/>
      <c r="AC66" s="21"/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Tabla391523314191929495969[[#This Row],[COMISIONES]]*0.21</f>
        <v>0</v>
      </c>
      <c r="J67" s="11"/>
      <c r="K67" s="11"/>
      <c r="L67" s="11"/>
      <c r="N67" s="18"/>
      <c r="O67" s="11">
        <f>Tabla351018263641424445464[[#This Row],[COMISIONES]]*0.21</f>
        <v>0</v>
      </c>
      <c r="P67" s="18"/>
      <c r="Q67" s="18"/>
      <c r="R67" s="18"/>
      <c r="T67" s="11"/>
      <c r="U67" s="11">
        <f>Tabla61220283342102030506070[[#This Row],[COMISIONES]]*0.21</f>
        <v>0</v>
      </c>
      <c r="V67" s="11"/>
      <c r="W67" s="11">
        <v>197.8</v>
      </c>
      <c r="X67" s="11"/>
      <c r="Z67">
        <v>588.48</v>
      </c>
      <c r="AA67" s="21">
        <f>Tabla35681321293971727475767[[#This Row],[COMISIONES]]*0.21</f>
        <v>123.5808</v>
      </c>
      <c r="AB67" s="21"/>
      <c r="AC67" s="21"/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Tabla391523314191929495969[[#This Row],[COMISIONES]]*0.21</f>
        <v>0</v>
      </c>
      <c r="J68" s="11"/>
      <c r="K68" s="11"/>
      <c r="L68" s="11"/>
      <c r="N68" s="18"/>
      <c r="O68" s="11">
        <f>Tabla351018263641424445464[[#This Row],[COMISIONES]]*0.21</f>
        <v>0</v>
      </c>
      <c r="P68" s="18"/>
      <c r="Q68" s="18"/>
      <c r="R68" s="18"/>
      <c r="T68" s="11"/>
      <c r="U68" s="19">
        <f>Tabla61220283342102030506070[[#This Row],[COMISIONES]]*0.21</f>
        <v>0</v>
      </c>
      <c r="V68"/>
      <c r="W68" s="1"/>
      <c r="X68"/>
      <c r="Z68">
        <v>54923.42</v>
      </c>
      <c r="AA68" s="21">
        <f>Tabla35681321293971727475767[[#This Row],[COMISIONES]]*0.21</f>
        <v>11533.9182</v>
      </c>
      <c r="AB68" s="21"/>
      <c r="AC68" s="21"/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Tabla391523314191929495969[[#This Row],[COMISIONES]]*0.21</f>
        <v>0</v>
      </c>
      <c r="J69" s="11"/>
      <c r="K69" s="11"/>
      <c r="L69" s="11"/>
      <c r="N69" s="18"/>
      <c r="O69" s="11">
        <f>Tabla351018263641424445464[[#This Row],[COMISIONES]]*0.21</f>
        <v>0</v>
      </c>
      <c r="P69" s="18"/>
      <c r="Q69" s="18"/>
      <c r="R69" s="18"/>
      <c r="T69" s="11"/>
      <c r="U69" s="19">
        <f>Tabla61220283342102030506070[[#This Row],[COMISIONES]]*0.21</f>
        <v>0</v>
      </c>
      <c r="V69"/>
      <c r="W69"/>
      <c r="X69"/>
      <c r="Z69">
        <v>6983.2</v>
      </c>
      <c r="AA69" s="21">
        <f>Tabla35681321293971727475767[[#This Row],[COMISIONES]]*0.21</f>
        <v>1466.472</v>
      </c>
      <c r="AB69" s="21"/>
      <c r="AC69" s="21"/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Tabla391523314191929495969[[#This Row],[COMISIONES]]*0.21</f>
        <v>0</v>
      </c>
      <c r="J70" s="11"/>
      <c r="K70" s="11"/>
      <c r="L70" s="11"/>
      <c r="N70" s="18"/>
      <c r="O70" s="11">
        <f>Tabla351018263641424445464[[#This Row],[COMISIONES]]*0.21</f>
        <v>0</v>
      </c>
      <c r="P70" s="18"/>
      <c r="Q70" s="18"/>
      <c r="R70" s="18"/>
      <c r="T70" s="11"/>
      <c r="U70" s="19">
        <f>Tabla61220283342102030506070[[#This Row],[COMISIONES]]*0.21</f>
        <v>0</v>
      </c>
      <c r="V70"/>
      <c r="W70"/>
      <c r="X70"/>
      <c r="Z70">
        <v>313.04000000000002</v>
      </c>
      <c r="AA70" s="21">
        <f>Tabla35681321293971727475767[[#This Row],[COMISIONES]]*0.21</f>
        <v>65.738399999999999</v>
      </c>
      <c r="AB70" s="21"/>
      <c r="AC70" s="21"/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Tabla391523314191929495969[[#This Row],[COMISIONES]]*0.21</f>
        <v>0</v>
      </c>
      <c r="J71" s="11"/>
      <c r="K71" s="11"/>
      <c r="L71" s="11"/>
      <c r="N71" s="18"/>
      <c r="O71" s="11">
        <f>Tabla351018263641424445464[[#This Row],[COMISIONES]]*0.21</f>
        <v>0</v>
      </c>
      <c r="P71" s="18"/>
      <c r="Q71" s="18"/>
      <c r="R71" s="18"/>
      <c r="T71" s="11"/>
      <c r="U71" s="19">
        <f>Tabla61220283342102030506070[[#This Row],[COMISIONES]]*0.21</f>
        <v>0</v>
      </c>
      <c r="V71"/>
      <c r="W71"/>
      <c r="X71"/>
      <c r="Z71">
        <v>22353.37</v>
      </c>
      <c r="AA71" s="21">
        <f>Tabla35681321293971727475767[[#This Row],[COMISIONES]]*0.21</f>
        <v>4694.2076999999999</v>
      </c>
      <c r="AB71" s="21"/>
      <c r="AC71" s="21"/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Tabla391523314191929495969[[#This Row],[COMISIONES]]*0.21</f>
        <v>0</v>
      </c>
      <c r="J72" s="11"/>
      <c r="K72" s="11"/>
      <c r="L72" s="11"/>
      <c r="N72" s="18"/>
      <c r="O72" s="11">
        <f>Tabla351018263641424445464[[#This Row],[COMISIONES]]*0.21</f>
        <v>0</v>
      </c>
      <c r="P72" s="18"/>
      <c r="Q72" s="18"/>
      <c r="R72" s="18"/>
      <c r="T72" s="11"/>
      <c r="U72" s="19">
        <f>Tabla61220283342102030506070[[#This Row],[COMISIONES]]*0.21</f>
        <v>0</v>
      </c>
      <c r="V72"/>
      <c r="W72"/>
      <c r="X72"/>
      <c r="Z72" s="1">
        <v>65607.66</v>
      </c>
      <c r="AA72" s="21"/>
      <c r="AB72" s="21">
        <v>6888.8</v>
      </c>
      <c r="AC72" s="21"/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Tabla391523314191929495969[[#This Row],[COMISIONES]]*0.21</f>
        <v>0</v>
      </c>
      <c r="J73" s="11"/>
      <c r="K73" s="11"/>
      <c r="L73" s="11"/>
      <c r="N73" s="18"/>
      <c r="O73" s="11">
        <f>Tabla351018263641424445464[[#This Row],[COMISIONES]]*0.21</f>
        <v>0</v>
      </c>
      <c r="P73" s="18"/>
      <c r="Q73" s="18"/>
      <c r="R73" s="18"/>
      <c r="T73" s="11"/>
      <c r="U73" s="19">
        <f>Tabla61220283342102030506070[[#This Row],[COMISIONES]]*0.21</f>
        <v>0</v>
      </c>
      <c r="V73"/>
      <c r="W73"/>
      <c r="X73"/>
      <c r="Z73" s="1">
        <v>12876.1</v>
      </c>
      <c r="AA73" s="21">
        <f>Tabla35681321293971727475767[[#This Row],[COMISIONES]]*0.21</f>
        <v>2703.9809999999998</v>
      </c>
      <c r="AB73" s="1"/>
      <c r="AC73" s="1"/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Tabla391523314191929495969[[#This Row],[COMISIONES]]*0.21</f>
        <v>0</v>
      </c>
      <c r="J74" s="11"/>
      <c r="K74" s="11"/>
      <c r="L74" s="11"/>
      <c r="N74" s="18"/>
      <c r="O74" s="11">
        <f>Tabla351018263641424445464[[#This Row],[COMISIONES]]*0.21</f>
        <v>0</v>
      </c>
      <c r="P74" s="18"/>
      <c r="Q74" s="18"/>
      <c r="R74" s="18"/>
      <c r="T74" s="11"/>
      <c r="U74" s="19">
        <f>Tabla61220283342102030506070[[#This Row],[COMISIONES]]*0.21</f>
        <v>0</v>
      </c>
      <c r="V74"/>
      <c r="W74"/>
      <c r="X74"/>
      <c r="Z74" s="1">
        <v>3081.49</v>
      </c>
      <c r="AA74" s="21">
        <f>Tabla35681321293971727475767[[#This Row],[COMISIONES]]*0.21</f>
        <v>647.11289999999997</v>
      </c>
      <c r="AB74"/>
      <c r="AC74"/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Tabla391523314191929495969[[#This Row],[COMISIONES]]*0.21</f>
        <v>0</v>
      </c>
      <c r="J75" s="11"/>
      <c r="K75" s="11"/>
      <c r="L75" s="11"/>
      <c r="N75" s="18"/>
      <c r="O75" s="11">
        <f>Tabla351018263641424445464[[#This Row],[COMISIONES]]*0.21</f>
        <v>0</v>
      </c>
      <c r="P75" s="18"/>
      <c r="Q75" s="18"/>
      <c r="R75" s="18"/>
      <c r="T75" s="11"/>
      <c r="U75" s="19">
        <f>Tabla61220283342102030506070[[#This Row],[COMISIONES]]*0.21</f>
        <v>0</v>
      </c>
      <c r="V75"/>
      <c r="W75"/>
      <c r="X75"/>
      <c r="Z75" s="1">
        <v>23346.73</v>
      </c>
      <c r="AA75" s="21">
        <f>Tabla35681321293971727475767[[#This Row],[COMISIONES]]*0.21</f>
        <v>4902.8132999999998</v>
      </c>
      <c r="AB75" s="1"/>
      <c r="AC75" s="21"/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Tabla391523314191929495969[[#This Row],[COMISIONES]]*0.21</f>
        <v>0</v>
      </c>
      <c r="J76" s="11"/>
      <c r="K76" s="11"/>
      <c r="L76" s="11"/>
      <c r="N76" s="18"/>
      <c r="O76" s="11">
        <f>Tabla351018263641424445464[[#This Row],[COMISIONES]]*0.21</f>
        <v>0</v>
      </c>
      <c r="P76" s="18"/>
      <c r="Q76" s="18"/>
      <c r="R76" s="18"/>
      <c r="T76"/>
      <c r="U76" s="19">
        <f>Tabla61220283342102030506070[[#This Row],[COMISIONES]]*0.21</f>
        <v>0</v>
      </c>
      <c r="V76"/>
      <c r="W76"/>
      <c r="X76"/>
      <c r="Z76" s="1">
        <v>86548.25</v>
      </c>
      <c r="AA76" s="21"/>
      <c r="AB76" s="1">
        <f>Tabla35681321293971727475767[[#This Row],[COMISIONES]]*0.105</f>
        <v>9087.5662499999999</v>
      </c>
      <c r="AC76" s="21"/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Tabla391523314191929495969[[#This Row],[COMISIONES]]*0.21</f>
        <v>0</v>
      </c>
      <c r="J77" s="11"/>
      <c r="K77" s="11"/>
      <c r="L77" s="11"/>
      <c r="N77" s="18"/>
      <c r="O77" s="11">
        <f>Tabla351018263641424445464[[#This Row],[COMISIONES]]*0.21</f>
        <v>0</v>
      </c>
      <c r="P77" s="18"/>
      <c r="Q77" s="18"/>
      <c r="R77" s="18"/>
      <c r="T77"/>
      <c r="U77" s="19">
        <f>Tabla61220283342102030506070[[#This Row],[COMISIONES]]*0.21</f>
        <v>0</v>
      </c>
      <c r="V77"/>
      <c r="W77"/>
      <c r="X77"/>
      <c r="Z77" s="1">
        <v>12477.35</v>
      </c>
      <c r="AA77" s="21">
        <f>Tabla35681321293971727475767[[#This Row],[COMISIONES]]*0.21</f>
        <v>2620.2435</v>
      </c>
      <c r="AB77" s="1"/>
      <c r="AC77" s="21"/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Tabla391523314191929495969[[#This Row],[COMISIONES]]*0.21</f>
        <v>0</v>
      </c>
      <c r="J78" s="11"/>
      <c r="K78" s="11"/>
      <c r="L78" s="11"/>
      <c r="N78" s="18"/>
      <c r="O78" s="11">
        <f>Tabla351018263641424445464[[#This Row],[COMISIONES]]*0.21</f>
        <v>0</v>
      </c>
      <c r="P78" s="18"/>
      <c r="Q78" s="18"/>
      <c r="R78" s="18"/>
      <c r="T78"/>
      <c r="U78" s="19">
        <f>Tabla61220283342102030506070[[#This Row],[COMISIONES]]*0.21</f>
        <v>0</v>
      </c>
      <c r="V78"/>
      <c r="W78"/>
      <c r="X78"/>
      <c r="Z78" s="1">
        <v>206</v>
      </c>
      <c r="AA78" s="21">
        <f>Tabla35681321293971727475767[[#This Row],[COMISIONES]]*0.21</f>
        <v>43.26</v>
      </c>
      <c r="AB78" s="1"/>
      <c r="AC78" s="21"/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Tabla391523314191929495969[[#This Row],[COMISIONES]]*0.21</f>
        <v>0</v>
      </c>
      <c r="J79" s="11"/>
      <c r="K79" s="11"/>
      <c r="L79" s="11"/>
      <c r="N79" s="18"/>
      <c r="O79" s="11">
        <f>Tabla351018263641424445464[[#This Row],[COMISIONES]]*0.21</f>
        <v>0</v>
      </c>
      <c r="P79" s="18"/>
      <c r="Q79" s="18"/>
      <c r="R79" s="18"/>
      <c r="T79"/>
      <c r="U79" s="19">
        <f>Tabla61220283342102030506070[[#This Row],[COMISIONES]]*0.21</f>
        <v>0</v>
      </c>
      <c r="V79"/>
      <c r="W79"/>
      <c r="X79"/>
      <c r="Z79" s="1">
        <v>14029.03</v>
      </c>
      <c r="AA79" s="21">
        <f>Tabla35681321293971727475767[[#This Row],[COMISIONES]]*0.21</f>
        <v>2946.0963000000002</v>
      </c>
      <c r="AB79" s="21"/>
      <c r="AC79" s="21"/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Tabla391523314191929495969[[#This Row],[COMISIONES]]*0.21</f>
        <v>0</v>
      </c>
      <c r="J80" s="11"/>
      <c r="K80" s="11"/>
      <c r="L80" s="11"/>
      <c r="N80" s="18"/>
      <c r="O80" s="11">
        <f>Tabla351018263641424445464[[#This Row],[COMISIONES]]*0.21</f>
        <v>0</v>
      </c>
      <c r="P80" s="18"/>
      <c r="Q80" s="18"/>
      <c r="R80" s="18"/>
      <c r="T80"/>
      <c r="U80" s="19">
        <f>Tabla61220283342102030506070[[#This Row],[COMISIONES]]*0.21</f>
        <v>0</v>
      </c>
      <c r="V80"/>
      <c r="W80"/>
      <c r="X80"/>
      <c r="Z80" s="1">
        <v>4572.8900000000003</v>
      </c>
      <c r="AA80" s="21"/>
      <c r="AB80" s="21">
        <f>Tabla35681321293971727475767[[#This Row],[COMISIONES]]*0.1005</f>
        <v>459.57544500000006</v>
      </c>
      <c r="AC80" s="21"/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Tabla391523314191929495969[[#This Row],[COMISIONES]]*0.21</f>
        <v>0</v>
      </c>
      <c r="J81" s="18"/>
      <c r="K81" s="18"/>
      <c r="L81" s="18"/>
      <c r="N81" s="18"/>
      <c r="O81" s="11">
        <f>Tabla351018263641424445464[[#This Row],[COMISIONES]]*0.21</f>
        <v>0</v>
      </c>
      <c r="P81" s="18"/>
      <c r="Q81" s="18"/>
      <c r="R81" s="18"/>
      <c r="T81"/>
      <c r="U81" s="19">
        <f>Tabla61220283342102030506070[[#This Row],[COMISIONES]]*0.21</f>
        <v>0</v>
      </c>
      <c r="V81"/>
      <c r="W81"/>
      <c r="X81"/>
      <c r="Z81">
        <v>10800.1</v>
      </c>
      <c r="AA81" s="21">
        <f>Tabla35681321293971727475767[[#This Row],[COMISIONES]]*0.21</f>
        <v>2268.0210000000002</v>
      </c>
      <c r="AB81" s="21"/>
      <c r="AC81" s="21"/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Tabla391523314191929495969[[#This Row],[COMISIONES]]*0.21</f>
        <v>0</v>
      </c>
      <c r="J82" s="18"/>
      <c r="K82" s="18"/>
      <c r="L82" s="18"/>
      <c r="N82" s="18"/>
      <c r="O82" s="11">
        <f>Tabla351018263641424445464[[#This Row],[COMISIONES]]*0.21</f>
        <v>0</v>
      </c>
      <c r="P82" s="18"/>
      <c r="Q82" s="18"/>
      <c r="R82" s="18"/>
      <c r="T82"/>
      <c r="U82" s="19">
        <f>Tabla61220283342102030506070[[#This Row],[COMISIONES]]*0.21</f>
        <v>0</v>
      </c>
      <c r="V82"/>
      <c r="W82"/>
      <c r="X82"/>
      <c r="Z82"/>
      <c r="AA82" s="21"/>
      <c r="AB82" s="1">
        <f>Tabla35681321293971727475767[[#This Row],[COMISIONES]]*0.105</f>
        <v>0</v>
      </c>
      <c r="AC82" s="1"/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Tabla391523314191929495969[[#This Row],[COMISIONES]]*0.21</f>
        <v>0</v>
      </c>
      <c r="J83" s="18"/>
      <c r="K83" s="18"/>
      <c r="L83" s="18"/>
      <c r="N83" s="18"/>
      <c r="O83" s="11">
        <f>Tabla351018263641424445464[[#This Row],[COMISIONES]]*0.21</f>
        <v>0</v>
      </c>
      <c r="P83" s="18"/>
      <c r="Q83" s="18"/>
      <c r="R83" s="18"/>
      <c r="T83"/>
      <c r="U83" s="19">
        <f>Tabla61220283342102030506070[[#This Row],[COMISIONES]]*0.21</f>
        <v>0</v>
      </c>
      <c r="V83"/>
      <c r="W83"/>
      <c r="X83"/>
      <c r="Z83" s="1"/>
      <c r="AA83" s="21">
        <f>Tabla35681321293971727475767[[#This Row],[COMISIONES]]*0.21</f>
        <v>0</v>
      </c>
      <c r="AB83" s="21"/>
      <c r="AC83" s="21"/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Tabla391523314191929495969[[#This Row],[COMISIONES]]*0.21</f>
        <v>0</v>
      </c>
      <c r="J84" s="18"/>
      <c r="K84" s="18"/>
      <c r="L84" s="18"/>
      <c r="N84" s="18"/>
      <c r="O84" s="11">
        <f>Tabla351018263641424445464[[#This Row],[COMISIONES]]*0.21</f>
        <v>0</v>
      </c>
      <c r="P84" s="18"/>
      <c r="Q84" s="18"/>
      <c r="R84" s="18"/>
      <c r="T84"/>
      <c r="U84" s="19">
        <f>Tabla61220283342102030506070[[#This Row],[COMISIONES]]*0.21</f>
        <v>0</v>
      </c>
      <c r="V84"/>
      <c r="W84"/>
      <c r="X84"/>
      <c r="Z84" s="1"/>
      <c r="AA84" s="21">
        <f>Tabla35681321293971727475767[[#This Row],[COMISIONES]]*0.21</f>
        <v>0</v>
      </c>
      <c r="AB84" s="21"/>
      <c r="AC84" s="1"/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Tabla391523314191929495969[[#This Row],[COMISIONES]]*0.21</f>
        <v>0</v>
      </c>
      <c r="J85" s="18"/>
      <c r="K85" s="18"/>
      <c r="L85" s="18"/>
      <c r="N85" s="18"/>
      <c r="O85" s="11">
        <f>Tabla351018263641424445464[[#This Row],[COMISIONES]]*0.21</f>
        <v>0</v>
      </c>
      <c r="P85" s="18"/>
      <c r="Q85" s="18"/>
      <c r="R85" s="18"/>
      <c r="T85"/>
      <c r="U85" s="19">
        <f>Tabla61220283342102030506070[[#This Row],[COMISIONES]]*0.21</f>
        <v>0</v>
      </c>
      <c r="V85"/>
      <c r="W85"/>
      <c r="X85"/>
      <c r="Z85" s="1"/>
      <c r="AA85" s="21"/>
      <c r="AB85" s="1">
        <f>Tabla35681321293971727475767[[#This Row],[COMISIONES]]*0.105</f>
        <v>0</v>
      </c>
      <c r="AC85" s="1"/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Tabla391523314191929495969[[#This Row],[COMISIONES]]*0.21</f>
        <v>0</v>
      </c>
      <c r="J86" s="18"/>
      <c r="K86" s="18"/>
      <c r="L86" s="18"/>
      <c r="N86" s="18"/>
      <c r="O86" s="11">
        <f>Tabla351018263641424445464[[#This Row],[COMISIONES]]*0.21</f>
        <v>0</v>
      </c>
      <c r="P86" s="18"/>
      <c r="Q86" s="18"/>
      <c r="R86" s="18"/>
      <c r="T86"/>
      <c r="U86" s="19">
        <f>Tabla61220283342102030506070[[#This Row],[COMISIONES]]*0.21</f>
        <v>0</v>
      </c>
      <c r="V86"/>
      <c r="W86"/>
      <c r="X86"/>
      <c r="Z86" s="1"/>
      <c r="AA86" s="21">
        <f>Tabla35681321293971727475767[[#This Row],[COMISIONES]]*0.21</f>
        <v>0</v>
      </c>
      <c r="AB86" s="21"/>
      <c r="AC86" s="1"/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Tabla391523314191929495969[[#This Row],[COMISIONES]]*0.21</f>
        <v>0</v>
      </c>
      <c r="J87" s="18"/>
      <c r="K87" s="18"/>
      <c r="L87" s="18"/>
      <c r="N87" s="18"/>
      <c r="O87" s="11">
        <f>Tabla351018263641424445464[[#This Row],[COMISIONES]]*0.21</f>
        <v>0</v>
      </c>
      <c r="P87" s="18"/>
      <c r="Q87" s="18"/>
      <c r="R87" s="18"/>
      <c r="T87"/>
      <c r="U87" s="19">
        <f>Tabla61220283342102030506070[[#This Row],[COMISIONES]]*0.21</f>
        <v>0</v>
      </c>
      <c r="V87"/>
      <c r="W87"/>
      <c r="X87"/>
      <c r="Z87" s="1"/>
      <c r="AA87" s="21">
        <f>Tabla35681321293971727475767[[#This Row],[COMISIONES]]*0.21</f>
        <v>0</v>
      </c>
      <c r="AB87" s="1"/>
      <c r="AC87" s="1"/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Tabla391523314191929495969[[#This Row],[COMISIONES]]*0.21</f>
        <v>0</v>
      </c>
      <c r="J88" s="18"/>
      <c r="K88" s="18"/>
      <c r="L88" s="18"/>
      <c r="N88" s="18"/>
      <c r="O88" s="11">
        <f>Tabla351018263641424445464[[#This Row],[COMISIONES]]*0.21</f>
        <v>0</v>
      </c>
      <c r="P88" s="18"/>
      <c r="Q88" s="18"/>
      <c r="R88" s="18"/>
      <c r="T88"/>
      <c r="U88" s="19">
        <f>Tabla61220283342102030506070[[#This Row],[COMISIONES]]*0.21</f>
        <v>0</v>
      </c>
      <c r="V88"/>
      <c r="W88"/>
      <c r="X88"/>
      <c r="Z88" s="1"/>
      <c r="AA88" s="21">
        <f>Tabla35681321293971727475767[[#This Row],[COMISIONES]]*0.21</f>
        <v>0</v>
      </c>
      <c r="AB88" s="21"/>
      <c r="AC88" s="21"/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Tabla391523314191929495969[[#This Row],[COMISIONES]]*0.21</f>
        <v>0</v>
      </c>
      <c r="J89" s="18"/>
      <c r="K89" s="18"/>
      <c r="L89" s="18"/>
      <c r="N89" s="18"/>
      <c r="O89" s="11">
        <f>Tabla351018263641424445464[[#This Row],[COMISIONES]]*0.21</f>
        <v>0</v>
      </c>
      <c r="P89" s="18"/>
      <c r="Q89" s="18"/>
      <c r="R89" s="18"/>
      <c r="T89"/>
      <c r="U89" s="19">
        <f>Tabla61220283342102030506070[[#This Row],[COMISIONES]]*0.21</f>
        <v>0</v>
      </c>
      <c r="V89"/>
      <c r="W89"/>
      <c r="X89"/>
      <c r="Z89" s="1"/>
      <c r="AA89" s="21">
        <f>Tabla35681321293971727475767[[#This Row],[COMISIONES]]*0.21</f>
        <v>0</v>
      </c>
      <c r="AB89"/>
      <c r="AC89"/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Tabla391523314191929495969[[#This Row],[COMISIONES]]*0.21</f>
        <v>0</v>
      </c>
      <c r="J90" s="18"/>
      <c r="K90" s="18"/>
      <c r="L90" s="18"/>
      <c r="N90" s="18"/>
      <c r="O90" s="11">
        <f>Tabla351018263641424445464[[#This Row],[COMISIONES]]*0.21</f>
        <v>0</v>
      </c>
      <c r="P90" s="18"/>
      <c r="Q90" s="18"/>
      <c r="R90" s="18"/>
      <c r="T90"/>
      <c r="U90" s="19">
        <f>Tabla61220283342102030506070[[#This Row],[COMISIONES]]*0.21</f>
        <v>0</v>
      </c>
      <c r="V90"/>
      <c r="W90"/>
      <c r="X90"/>
      <c r="Z90" s="1"/>
      <c r="AA90" s="21">
        <f>Tabla35681321293971727475767[[#This Row],[COMISIONES]]*0.21</f>
        <v>0</v>
      </c>
      <c r="AB90" s="21"/>
      <c r="AC90" s="21"/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Tabla391523314191929495969[[#This Row],[COMISIONES]]*0.21</f>
        <v>0</v>
      </c>
      <c r="J91" s="18"/>
      <c r="K91" s="18"/>
      <c r="L91" s="18"/>
      <c r="N91" s="18"/>
      <c r="O91" s="11">
        <f>Tabla351018263641424445464[[#This Row],[COMISIONES]]*0.21</f>
        <v>0</v>
      </c>
      <c r="P91" s="18"/>
      <c r="Q91" s="18"/>
      <c r="R91" s="18"/>
      <c r="T91"/>
      <c r="U91" s="19">
        <f>Tabla61220283342102030506070[[#This Row],[COMISIONES]]*0.21</f>
        <v>0</v>
      </c>
      <c r="V91"/>
      <c r="W91"/>
      <c r="X91"/>
      <c r="Z91" s="1"/>
      <c r="AA91" s="21">
        <f>Tabla35681321293971727475767[[#This Row],[COMISIONES]]*0.21</f>
        <v>0</v>
      </c>
      <c r="AB91" s="21"/>
      <c r="AC91" s="1"/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Tabla391523314191929495969[[#This Row],[COMISIONES]]*0.21</f>
        <v>0</v>
      </c>
      <c r="J92" s="18"/>
      <c r="K92" s="18"/>
      <c r="L92" s="18"/>
      <c r="N92" s="18"/>
      <c r="O92" s="11">
        <f>Tabla351018263641424445464[[#This Row],[COMISIONES]]*0.21</f>
        <v>0</v>
      </c>
      <c r="P92" s="18"/>
      <c r="Q92" s="18"/>
      <c r="R92" s="18"/>
      <c r="T92"/>
      <c r="U92" s="19">
        <f>Tabla61220283342102030506070[[#This Row],[COMISIONES]]*0.21</f>
        <v>0</v>
      </c>
      <c r="V92"/>
      <c r="W92"/>
      <c r="X92"/>
      <c r="Z92"/>
      <c r="AA92" s="21"/>
      <c r="AB92" s="1">
        <f>Tabla35681321293971727475767[[#This Row],[COMISIONES]]*0.105</f>
        <v>0</v>
      </c>
      <c r="AC92" s="21"/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Tabla391523314191929495969[[#This Row],[COMISIONES]]*0.21</f>
        <v>0</v>
      </c>
      <c r="J93" s="21"/>
      <c r="K93" s="21"/>
      <c r="L93" s="21"/>
      <c r="N93" s="18"/>
      <c r="O93" s="11">
        <f>Tabla351018263641424445464[[#This Row],[COMISIONES]]*0.21</f>
        <v>0</v>
      </c>
      <c r="P93" s="18"/>
      <c r="Q93" s="18"/>
      <c r="R93" s="18"/>
      <c r="T93"/>
      <c r="U93" s="19">
        <f>Tabla61220283342102030506070[[#This Row],[COMISIONES]]*0.21</f>
        <v>0</v>
      </c>
      <c r="V93"/>
      <c r="W93"/>
      <c r="X93"/>
      <c r="Z93"/>
      <c r="AA93" s="21">
        <f>Tabla35681321293971727475767[[#This Row],[COMISIONES]]*0.21</f>
        <v>0</v>
      </c>
      <c r="AB93" s="21"/>
      <c r="AC93" s="21"/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Tabla391523314191929495969[[#This Row],[COMISIONES]]*0.21</f>
        <v>0</v>
      </c>
      <c r="J94" s="21"/>
      <c r="K94" s="21"/>
      <c r="L94" s="21"/>
      <c r="N94" s="18"/>
      <c r="O94" s="11">
        <f>Tabla351018263641424445464[[#This Row],[COMISIONES]]*0.21</f>
        <v>0</v>
      </c>
      <c r="P94" s="18"/>
      <c r="Q94" s="18"/>
      <c r="R94" s="18"/>
      <c r="T94" s="17">
        <f>SUBTOTAL(109,Tabla61220283342102030506070[COMISIONES])</f>
        <v>1500</v>
      </c>
      <c r="U94" s="17">
        <f>SUBTOTAL(109,Tabla61220283342102030506070[IVA 21])</f>
        <v>315</v>
      </c>
      <c r="V94" s="17">
        <f>SUBTOTAL(109,Tabla61220283342102030506070[IVA 10,5])</f>
        <v>0</v>
      </c>
      <c r="W94" s="17">
        <f>SUBTOTAL(109,Tabla61220283342102030506070[Ret IIBB Caba])</f>
        <v>395.6</v>
      </c>
      <c r="X94" s="17">
        <f>SUBTOTAL(109,Tabla61220283342102030506070[PERC IVA])</f>
        <v>0</v>
      </c>
      <c r="Z94" s="1"/>
      <c r="AA94" s="21">
        <f>Tabla35681321293971727475767[[#This Row],[COMISIONES]]*0.21</f>
        <v>0</v>
      </c>
      <c r="AB94" s="21"/>
      <c r="AC94" s="21"/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Tabla391523314191929495969[[#This Row],[COMISIONES]]*0.21</f>
        <v>0</v>
      </c>
      <c r="J95" s="21"/>
      <c r="K95" s="21"/>
      <c r="L95" s="21"/>
      <c r="N95" s="18"/>
      <c r="O95" s="11">
        <f>Tabla351018263641424445464[[#This Row],[COMISIONES]]*0.21</f>
        <v>0</v>
      </c>
      <c r="P95" s="18"/>
      <c r="Q95" s="18"/>
      <c r="R95" s="18"/>
      <c r="T95"/>
      <c r="U95"/>
      <c r="V95"/>
      <c r="W95"/>
      <c r="X95"/>
      <c r="Z95" s="1"/>
      <c r="AA95" s="21">
        <f>Tabla35681321293971727475767[[#This Row],[COMISIONES]]*0.21</f>
        <v>0</v>
      </c>
      <c r="AB95" s="21"/>
      <c r="AC95" s="21"/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Tabla391523314191929495969[[#This Row],[COMISIONES]]*0.21</f>
        <v>0</v>
      </c>
      <c r="J96" s="21"/>
      <c r="K96" s="21"/>
      <c r="L96" s="21"/>
      <c r="N96" s="18"/>
      <c r="O96" s="11">
        <f>Tabla351018263641424445464[[#This Row],[COMISIONES]]*0.21</f>
        <v>0</v>
      </c>
      <c r="P96" s="18"/>
      <c r="Q96" s="18"/>
      <c r="R96" s="18"/>
      <c r="T96"/>
      <c r="U96"/>
      <c r="V96"/>
      <c r="W96"/>
      <c r="X96"/>
      <c r="Z96" s="1"/>
      <c r="AA96" s="21">
        <f>Tabla35681321293971727475767[[#This Row],[COMISIONES]]*0.21</f>
        <v>0</v>
      </c>
      <c r="AB96" s="1"/>
      <c r="AC96" s="1"/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Tabla391523314191929495969[[#This Row],[COMISIONES]]*0.21</f>
        <v>0</v>
      </c>
      <c r="J97" s="21"/>
      <c r="K97" s="21"/>
      <c r="L97" s="21"/>
      <c r="N97" s="18"/>
      <c r="O97" s="11">
        <f>Tabla351018263641424445464[[#This Row],[COMISIONES]]*0.21</f>
        <v>0</v>
      </c>
      <c r="P97" s="18"/>
      <c r="Q97" s="18"/>
      <c r="R97" s="18"/>
      <c r="T97"/>
      <c r="U97"/>
      <c r="V97"/>
      <c r="W97"/>
      <c r="X97"/>
      <c r="Z97" s="1"/>
      <c r="AA97" s="21">
        <f>Tabla35681321293971727475767[[#This Row],[COMISIONES]]*0.21</f>
        <v>0</v>
      </c>
      <c r="AB97" s="1"/>
      <c r="AC97" s="1"/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Tabla391523314191929495969[[#This Row],[COMISIONES]]*0.21</f>
        <v>0</v>
      </c>
      <c r="J98" s="21"/>
      <c r="K98" s="21"/>
      <c r="L98" s="21"/>
      <c r="N98" s="18"/>
      <c r="O98" s="11">
        <f>Tabla351018263641424445464[[#This Row],[COMISIONES]]*0.21</f>
        <v>0</v>
      </c>
      <c r="P98" s="18"/>
      <c r="Q98" s="18"/>
      <c r="R98" s="18"/>
      <c r="T98"/>
      <c r="U98"/>
      <c r="V98"/>
      <c r="W98"/>
      <c r="X98"/>
      <c r="Z98" s="1"/>
      <c r="AA98" s="21">
        <f>Tabla35681321293971727475767[[#This Row],[COMISIONES]]*0.21</f>
        <v>0</v>
      </c>
      <c r="AB98" s="21"/>
      <c r="AC98" s="21"/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Tabla391523314191929495969[[#This Row],[COMISIONES]]*0.21</f>
        <v>0</v>
      </c>
      <c r="J99" s="21"/>
      <c r="K99" s="21"/>
      <c r="L99" s="21"/>
      <c r="N99" s="18"/>
      <c r="O99" s="11">
        <f>Tabla351018263641424445464[[#This Row],[COMISIONES]]*0.21</f>
        <v>0</v>
      </c>
      <c r="P99" s="18"/>
      <c r="Q99" s="18"/>
      <c r="R99" s="18"/>
      <c r="T99"/>
      <c r="U99"/>
      <c r="V99"/>
      <c r="W99"/>
      <c r="X99"/>
      <c r="Z99" s="1"/>
      <c r="AA99" s="21">
        <f>Tabla35681321293971727475767[[#This Row],[COMISIONES]]*0.21</f>
        <v>0</v>
      </c>
      <c r="AB99" s="21"/>
      <c r="AC99" s="21"/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Tabla391523314191929495969[[#This Row],[COMISIONES]]*0.21</f>
        <v>0</v>
      </c>
      <c r="J100" s="21"/>
      <c r="K100" s="21"/>
      <c r="L100" s="21"/>
      <c r="N100" s="18"/>
      <c r="O100" s="11">
        <f>Tabla351018263641424445464[[#This Row],[COMISIONES]]*0.21</f>
        <v>0</v>
      </c>
      <c r="P100" s="18"/>
      <c r="Q100" s="18"/>
      <c r="R100" s="18"/>
      <c r="T100"/>
      <c r="U100"/>
      <c r="V100"/>
      <c r="W100"/>
      <c r="X100"/>
      <c r="Z100" s="1"/>
      <c r="AA100" s="21">
        <f>Tabla35681321293971727475767[[#This Row],[COMISIONES]]*0.21</f>
        <v>0</v>
      </c>
      <c r="AB100" s="21"/>
      <c r="AC100" s="21"/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Tabla391523314191929495969[[#This Row],[COMISIONES]]*0.21</f>
        <v>0</v>
      </c>
      <c r="J101" s="21"/>
      <c r="K101" s="21"/>
      <c r="L101" s="21"/>
      <c r="N101" s="18"/>
      <c r="O101" s="11">
        <f>Tabla351018263641424445464[[#This Row],[COMISIONES]]*0.21</f>
        <v>0</v>
      </c>
      <c r="P101" s="18"/>
      <c r="Q101" s="18"/>
      <c r="R101" s="18"/>
      <c r="T101"/>
      <c r="U101"/>
      <c r="V101"/>
      <c r="W101"/>
      <c r="X101"/>
      <c r="Z101"/>
      <c r="AA101" s="21">
        <f>Tabla35681321293971727475767[[#This Row],[COMISIONES]]*0.21</f>
        <v>0</v>
      </c>
      <c r="AB101" s="21"/>
      <c r="AC101" s="21"/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SUBTOTAL(109,Tabla391523314191929495969[COMISIONES])</f>
        <v>34693.54</v>
      </c>
      <c r="I102" s="20">
        <f>SUBTOTAL(109,Tabla391523314191929495969[IVA 21])</f>
        <v>7285.6433999999999</v>
      </c>
      <c r="J102" s="20">
        <f>SUBTOTAL(109,Tabla391523314191929495969[IVA 10,5])</f>
        <v>0</v>
      </c>
      <c r="K102" s="20">
        <f>SUBTOTAL(109,Tabla391523314191929495969[Ret IIBB Caba])</f>
        <v>8327.2199999999993</v>
      </c>
      <c r="L102" s="20">
        <f>SUBTOTAL(109,Tabla391523314191929495969[PERC IVA])</f>
        <v>1040.81</v>
      </c>
      <c r="N102" s="18"/>
      <c r="O102" s="11">
        <f>Tabla351018263641424445464[[#This Row],[COMISIONES]]*0.21</f>
        <v>0</v>
      </c>
      <c r="P102" s="18"/>
      <c r="Q102" s="18"/>
      <c r="R102" s="18"/>
      <c r="T102"/>
      <c r="U102"/>
      <c r="V102"/>
      <c r="W102"/>
      <c r="X102"/>
      <c r="Z102" s="1"/>
      <c r="AA102" s="21">
        <f>Tabla35681321293971727475767[[#This Row],[COMISIONES]]*0.21</f>
        <v>0</v>
      </c>
      <c r="AB102" s="21"/>
      <c r="AC102" s="21"/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Tabla351018263641424445464[[#This Row],[COMISIONES]]*0.21</f>
        <v>0</v>
      </c>
      <c r="P103" s="18"/>
      <c r="Q103" s="18"/>
      <c r="R103" s="18"/>
      <c r="T103"/>
      <c r="U103"/>
      <c r="V103"/>
      <c r="W103"/>
      <c r="X103"/>
      <c r="Z103"/>
      <c r="AA103" s="21">
        <f>Tabla35681321293971727475767[[#This Row],[COMISIONES]]*0.21</f>
        <v>0</v>
      </c>
      <c r="AB103" s="21"/>
      <c r="AC103" s="21"/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Tabla351018263641424445464[[#This Row],[COMISIONES]]*0.21</f>
        <v>0</v>
      </c>
      <c r="P104" s="18"/>
      <c r="Q104" s="18"/>
      <c r="R104" s="18"/>
      <c r="T104"/>
      <c r="U104"/>
      <c r="V104"/>
      <c r="W104"/>
      <c r="X104"/>
      <c r="Z104" s="1"/>
      <c r="AA104" s="21">
        <f>Tabla35681321293971727475767[[#This Row],[COMISIONES]]*0.21</f>
        <v>0</v>
      </c>
      <c r="AB104" s="21"/>
      <c r="AC104" s="1"/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Tabla351018263641424445464[[#This Row],[COMISIONES]]*0.21</f>
        <v>0</v>
      </c>
      <c r="P105" s="18"/>
      <c r="Q105" s="18"/>
      <c r="R105" s="18"/>
      <c r="T105"/>
      <c r="U105"/>
      <c r="V105"/>
      <c r="W105"/>
      <c r="X105"/>
      <c r="Z105" s="1"/>
      <c r="AA105" s="21">
        <f>Tabla35681321293971727475767[[#This Row],[COMISIONES]]*0.21</f>
        <v>0</v>
      </c>
      <c r="AB105" s="21"/>
      <c r="AC105" s="1"/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Tabla351018263641424445464[[#This Row],[COMISIONES]]*0.21</f>
        <v>0</v>
      </c>
      <c r="P106" s="18"/>
      <c r="Q106" s="18"/>
      <c r="R106" s="18"/>
      <c r="T106"/>
      <c r="U106"/>
      <c r="V106"/>
      <c r="W106"/>
      <c r="X106"/>
      <c r="Z106" s="1"/>
      <c r="AA106" s="21">
        <f>Tabla35681321293971727475767[[#This Row],[COMISIONES]]*0.21</f>
        <v>0</v>
      </c>
      <c r="AB106" s="21"/>
      <c r="AC106" s="1"/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Tabla351018263641424445464[[#This Row],[COMISIONES]]*0.21</f>
        <v>0</v>
      </c>
      <c r="P107" s="18"/>
      <c r="Q107" s="18"/>
      <c r="R107" s="18"/>
      <c r="T107"/>
      <c r="U107"/>
      <c r="V107"/>
      <c r="W107"/>
      <c r="X107"/>
      <c r="Z107" s="1"/>
      <c r="AA107" s="21">
        <f>Tabla35681321293971727475767[[#This Row],[COMISIONES]]*0.21</f>
        <v>0</v>
      </c>
      <c r="AB107" s="21"/>
      <c r="AC107" s="1"/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Tabla351018263641424445464[[#This Row],[COMISIONES]]*0.21</f>
        <v>0</v>
      </c>
      <c r="P108" s="18"/>
      <c r="Q108" s="18"/>
      <c r="R108" s="18"/>
      <c r="T108"/>
      <c r="U108"/>
      <c r="V108"/>
      <c r="W108"/>
      <c r="X108"/>
      <c r="Z108" s="1"/>
      <c r="AA108" s="21">
        <f>Tabla35681321293971727475767[[#This Row],[COMISIONES]]*0.21</f>
        <v>0</v>
      </c>
      <c r="AB108" s="21"/>
      <c r="AC108" s="1"/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Tabla351018263641424445464[[#This Row],[COMISIONES]]*0.21</f>
        <v>0</v>
      </c>
      <c r="P109" s="18"/>
      <c r="Q109" s="18"/>
      <c r="R109" s="18"/>
      <c r="T109"/>
      <c r="U109"/>
      <c r="V109"/>
      <c r="W109"/>
      <c r="X109"/>
      <c r="Z109" s="1"/>
      <c r="AA109" s="21">
        <f>Tabla35681321293971727475767[[#This Row],[COMISIONES]]*0.21</f>
        <v>0</v>
      </c>
      <c r="AB109" s="21"/>
      <c r="AC109" s="1"/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Tabla351018263641424445464[[#This Row],[COMISIONES]]*0.21</f>
        <v>0</v>
      </c>
      <c r="P110" s="18"/>
      <c r="Q110" s="18"/>
      <c r="R110" s="18"/>
      <c r="T110"/>
      <c r="U110"/>
      <c r="V110"/>
      <c r="W110"/>
      <c r="X110"/>
      <c r="Z110" s="1"/>
      <c r="AA110" s="21">
        <f>Tabla35681321293971727475767[[#This Row],[COMISIONES]]*0.21</f>
        <v>0</v>
      </c>
      <c r="AB110" s="21"/>
      <c r="AC110" s="1"/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Tabla351018263641424445464[[#This Row],[COMISIONES]]*0.21</f>
        <v>0</v>
      </c>
      <c r="P111" s="18"/>
      <c r="Q111" s="18"/>
      <c r="R111" s="18"/>
      <c r="T111"/>
      <c r="U111"/>
      <c r="V111"/>
      <c r="W111"/>
      <c r="X111"/>
      <c r="Z111" s="1"/>
      <c r="AA111" s="21">
        <f>Tabla35681321293971727475767[[#This Row],[COMISIONES]]*0.21</f>
        <v>0</v>
      </c>
      <c r="AB111" s="21"/>
      <c r="AC111" s="1"/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Tabla351018263641424445464[[#This Row],[COMISIONES]]*0.21</f>
        <v>0</v>
      </c>
      <c r="P112" s="18"/>
      <c r="Q112" s="18"/>
      <c r="R112" s="18"/>
      <c r="T112"/>
      <c r="U112"/>
      <c r="V112"/>
      <c r="W112"/>
      <c r="X112"/>
      <c r="Z112" s="1"/>
      <c r="AA112" s="21">
        <f>Tabla35681321293971727475767[[#This Row],[COMISIONES]]*0.21</f>
        <v>0</v>
      </c>
      <c r="AB112" s="21"/>
      <c r="AC112" s="21"/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Tabla351018263641424445464[[#This Row],[COMISIONES]]*0.21</f>
        <v>0</v>
      </c>
      <c r="P113" s="18"/>
      <c r="Q113" s="18"/>
      <c r="R113" s="18"/>
      <c r="T113"/>
      <c r="U113"/>
      <c r="V113"/>
      <c r="W113"/>
      <c r="X113"/>
      <c r="Z113"/>
      <c r="AA113" s="21">
        <f>Tabla35681321293971727475767[[#This Row],[COMISIONES]]*0.21</f>
        <v>0</v>
      </c>
      <c r="AB113" s="21"/>
      <c r="AC113" s="21"/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Tabla351018263641424445464[[#This Row],[COMISIONES]]*0.21</f>
        <v>0</v>
      </c>
      <c r="P114" s="18"/>
      <c r="Q114" s="18"/>
      <c r="R114" s="18"/>
      <c r="T114"/>
      <c r="U114"/>
      <c r="V114"/>
      <c r="W114"/>
      <c r="X114"/>
      <c r="Z114" s="1"/>
      <c r="AA114" s="21">
        <f>Tabla35681321293971727475767[[#This Row],[COMISIONES]]*0.21</f>
        <v>0</v>
      </c>
      <c r="AB114" s="21"/>
      <c r="AC114" s="1"/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Tabla351018263641424445464[[#This Row],[COMISIONES]]*0.21</f>
        <v>0</v>
      </c>
      <c r="P115" s="18"/>
      <c r="Q115" s="18"/>
      <c r="R115" s="18"/>
      <c r="T115"/>
      <c r="U115"/>
      <c r="V115"/>
      <c r="W115"/>
      <c r="X115"/>
      <c r="Z115" s="21"/>
      <c r="AA115" s="21">
        <f>Tabla35681321293971727475767[[#This Row],[COMISIONES]]*0.21</f>
        <v>0</v>
      </c>
      <c r="AB115" s="21"/>
      <c r="AC115" s="1"/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Tabla351018263641424445464[[#This Row],[COMISIONES]]*0.21</f>
        <v>0</v>
      </c>
      <c r="P116" s="18"/>
      <c r="Q116" s="18"/>
      <c r="R116" s="18"/>
      <c r="T116"/>
      <c r="U116"/>
      <c r="V116"/>
      <c r="W116"/>
      <c r="X116"/>
      <c r="Z116" s="1"/>
      <c r="AA116" s="21">
        <f>Tabla35681321293971727475767[[#This Row],[COMISIONES]]*0.21</f>
        <v>0</v>
      </c>
      <c r="AB116" s="21"/>
      <c r="AC116" s="1"/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Tabla351018263641424445464[[#This Row],[COMISIONES]]*0.21</f>
        <v>0</v>
      </c>
      <c r="P117" s="18"/>
      <c r="Q117" s="18"/>
      <c r="R117" s="18"/>
      <c r="T117"/>
      <c r="U117"/>
      <c r="V117"/>
      <c r="W117"/>
      <c r="X117"/>
      <c r="Z117" s="1"/>
      <c r="AA117" s="21">
        <f>Tabla35681321293971727475767[[#This Row],[COMISIONES]]*0.21</f>
        <v>0</v>
      </c>
      <c r="AB117" s="21"/>
      <c r="AC117" s="1"/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Tabla351018263641424445464[[#This Row],[COMISIONES]]*0.21</f>
        <v>0</v>
      </c>
      <c r="P118" s="18"/>
      <c r="Q118" s="18"/>
      <c r="R118" s="18"/>
      <c r="T118"/>
      <c r="U118"/>
      <c r="V118"/>
      <c r="W118"/>
      <c r="X118"/>
      <c r="Z118" s="1"/>
      <c r="AA118" s="21">
        <f>Tabla35681321293971727475767[[#This Row],[COMISIONES]]*0.21</f>
        <v>0</v>
      </c>
      <c r="AB118" s="21"/>
      <c r="AC118" s="1"/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Tabla351018263641424445464[[#This Row],[COMISIONES]]*0.21</f>
        <v>0</v>
      </c>
      <c r="P119" s="18"/>
      <c r="Q119" s="18"/>
      <c r="R119" s="18"/>
      <c r="T119"/>
      <c r="U119"/>
      <c r="V119"/>
      <c r="W119"/>
      <c r="X119"/>
      <c r="Z119"/>
      <c r="AA119" s="21">
        <f>Tabla35681321293971727475767[[#This Row],[COMISIONES]]*0.21</f>
        <v>0</v>
      </c>
      <c r="AB119" s="21"/>
      <c r="AC119" s="21"/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Tabla351018263641424445464[[#This Row],[COMISIONES]]*0.21</f>
        <v>0</v>
      </c>
      <c r="P120" s="18"/>
      <c r="Q120" s="18"/>
      <c r="R120" s="18"/>
      <c r="T120"/>
      <c r="U120"/>
      <c r="V120"/>
      <c r="W120"/>
      <c r="X120"/>
      <c r="Z120" s="1"/>
      <c r="AA120" s="21">
        <f>Tabla35681321293971727475767[[#This Row],[COMISIONES]]*0.21</f>
        <v>0</v>
      </c>
      <c r="AB120" s="21"/>
      <c r="AC120" s="21"/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Tabla351018263641424445464[[#This Row],[COMISIONES]]*0.21</f>
        <v>0</v>
      </c>
      <c r="P121" s="18"/>
      <c r="Q121" s="18"/>
      <c r="R121" s="18"/>
      <c r="T121"/>
      <c r="U121"/>
      <c r="V121"/>
      <c r="W121"/>
      <c r="X121"/>
      <c r="Z121" s="1"/>
      <c r="AA121" s="21">
        <f>Tabla35681321293971727475767[[#This Row],[COMISIONES]]*0.21</f>
        <v>0</v>
      </c>
      <c r="AB121" s="21"/>
      <c r="AC121" s="21"/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Tabla351018263641424445464[[#This Row],[COMISIONES]]*0.21</f>
        <v>0</v>
      </c>
      <c r="P122" s="18"/>
      <c r="Q122" s="18"/>
      <c r="R122" s="18"/>
      <c r="T122"/>
      <c r="U122"/>
      <c r="V122"/>
      <c r="W122"/>
      <c r="X122"/>
      <c r="Z122" s="1"/>
      <c r="AA122" s="21">
        <f>Tabla35681321293971727475767[[#This Row],[COMISIONES]]*0.21</f>
        <v>0</v>
      </c>
      <c r="AB122" s="21"/>
      <c r="AC122" s="21"/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/>
      <c r="U123"/>
      <c r="V123"/>
      <c r="W123"/>
      <c r="X123"/>
      <c r="Z123" s="1"/>
      <c r="AA123" s="21">
        <f>Tabla35681321293971727475767[[#This Row],[COMISIONES]]*0.21</f>
        <v>0</v>
      </c>
      <c r="AB123" s="21"/>
      <c r="AC123" s="21"/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/>
      <c r="AA124" s="21">
        <f>Tabla35681321293971727475767[[#This Row],[COMISIONES]]*0.21</f>
        <v>0</v>
      </c>
      <c r="AB124" s="21"/>
      <c r="AC124" s="21"/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1"/>
      <c r="AA125" s="21">
        <f>Tabla35681321293971727475767[[#This Row],[COMISIONES]]*0.21</f>
        <v>0</v>
      </c>
      <c r="AB125" s="21"/>
      <c r="AC125" s="21"/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1"/>
      <c r="AA126" s="21">
        <f>Tabla35681321293971727475767[[#This Row],[COMISIONES]]*0.21</f>
        <v>0</v>
      </c>
      <c r="AB126" s="21"/>
      <c r="AC126" s="21"/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1"/>
      <c r="AA127" s="21">
        <f>Tabla35681321293971727475767[[#This Row],[COMISIONES]]*0.21</f>
        <v>0</v>
      </c>
      <c r="AB127" s="21"/>
      <c r="AC127" s="21"/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1"/>
      <c r="AA128" s="21">
        <f>Tabla35681321293971727475767[[#This Row],[COMISIONES]]*0.21</f>
        <v>0</v>
      </c>
      <c r="AB128" s="21"/>
      <c r="AC128" s="21"/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Tabla35681321293971727475767[[#This Row],[COMISIONES]]*0.21</f>
        <v>0</v>
      </c>
      <c r="AB129" s="21"/>
      <c r="AC129" s="21"/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Tabla35681321293971727475767[[#This Row],[COMISIONES]]*0.21</f>
        <v>0</v>
      </c>
      <c r="AB130" s="21"/>
      <c r="AC130" s="21"/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Tabla35681321293971727475767[[#This Row],[COMISIONES]]*0.21</f>
        <v>0</v>
      </c>
      <c r="AB131" s="21"/>
      <c r="AC131" s="21"/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Tabla35681321293971727475767[[#This Row],[COMISIONES]]*0.21</f>
        <v>0</v>
      </c>
      <c r="AB132" s="21"/>
      <c r="AC132" s="21"/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Tabla35681321293971727475767[[#This Row],[COMISIONES]]*0.21</f>
        <v>0</v>
      </c>
      <c r="AB133" s="21"/>
      <c r="AC133" s="21"/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Tabla351018263641424445464[[#This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Tabla35681321293971727475767[[#This Row],[COMISIONES]]*0.21</f>
        <v>0</v>
      </c>
      <c r="AB134" s="21"/>
      <c r="AC134" s="21"/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24">
        <f>SUBTOTAL(109,Tabla351018263641424445464[COMISIONES])</f>
        <v>169995</v>
      </c>
      <c r="O135" s="24">
        <f>SUBTOTAL(109,Tabla351018263641424445464[IVA 21])</f>
        <v>35698.949999999997</v>
      </c>
      <c r="P135" s="24">
        <f>SUBTOTAL(109,Tabla351018263641424445464[IVA 10,5])</f>
        <v>0</v>
      </c>
      <c r="Q135" s="24">
        <f>SUBTOTAL(109,Tabla351018263641424445464[Ret IIBB Caba])</f>
        <v>6099.86</v>
      </c>
      <c r="R135" s="24">
        <f>SUBTOTAL(109,Tabla351018263641424445464[PERC IVA])</f>
        <v>0</v>
      </c>
      <c r="T135"/>
      <c r="U135"/>
      <c r="V135"/>
      <c r="W135"/>
      <c r="X135"/>
      <c r="Z135" s="21"/>
      <c r="AA135" s="21">
        <f>Tabla35681321293971727475767[[#This Row],[COMISIONES]]*0.21</f>
        <v>0</v>
      </c>
      <c r="AB135" s="21"/>
      <c r="AC135" s="21"/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Tabla35681321293971727475767[[#This Row],[COMISIONES]]*0.21</f>
        <v>0</v>
      </c>
      <c r="AB136" s="21"/>
      <c r="AC136" s="21"/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Tabla35681321293971727475767[[#This Row],[COMISIONES]]*0.21</f>
        <v>0</v>
      </c>
      <c r="AB137" s="21"/>
      <c r="AC137" s="21"/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Tabla35681321293971727475767[[#This Row],[COMISIONES]]*0.21</f>
        <v>0</v>
      </c>
      <c r="AB138" s="21"/>
      <c r="AC138" s="21"/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Tabla35681321293971727475767[[#This Row],[COMISIONES]]*0.21</f>
        <v>0</v>
      </c>
      <c r="AB139" s="21"/>
      <c r="AC139" s="21"/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Tabla35681321293971727475767[[#This Row],[COMISIONES]]*0.21</f>
        <v>0</v>
      </c>
      <c r="AB140" s="21"/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Tabla35681321293971727475767[[#This Row],[COMISIONES]]*0.21</f>
        <v>0</v>
      </c>
      <c r="AB141" s="21"/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Tabla35681321293971727475767[[#This Row],[COMISIONES]]*0.21</f>
        <v>0</v>
      </c>
      <c r="AB142" s="21"/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Tabla35681321293971727475767[[#This Row],[COMISIONES]]*0.21</f>
        <v>0</v>
      </c>
      <c r="AB143" s="21"/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Tabla35681321293971727475767[[#This Row],[COMISIONES]]*0.21</f>
        <v>0</v>
      </c>
      <c r="AB144" s="21"/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Tabla35681321293971727475767[[#This Row],[COMISIONES]]*0.21</f>
        <v>0</v>
      </c>
      <c r="AB145" s="21"/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Tabla35681321293971727475767[[#This Row],[COMISIONES]]*0.21</f>
        <v>0</v>
      </c>
      <c r="AB146" s="21"/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Tabla35681321293971727475767[[#This Row],[COMISIONES]]*0.21</f>
        <v>0</v>
      </c>
      <c r="AB147" s="21"/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Tabla35681321293971727475767[[#This Row],[COMISIONES]]*0.21</f>
        <v>0</v>
      </c>
      <c r="AB148" s="21"/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Tabla35681321293971727475767[[#This Row],[COMISIONES]]*0.21</f>
        <v>0</v>
      </c>
      <c r="AB149" s="21"/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Tabla35681321293971727475767[[#This Row],[COMISIONES]]*0.21</f>
        <v>0</v>
      </c>
      <c r="AB150" s="21"/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Tabla35681321293971727475767[[#This Row],[COMISIONES]]*0.21</f>
        <v>0</v>
      </c>
      <c r="AB151" s="21"/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Tabla35681321293971727475767[[#This Row],[COMISIONES]]*0.21</f>
        <v>0</v>
      </c>
      <c r="AB152" s="21"/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Tabla35681321293971727475767[[#This Row],[COMISIONES]]*0.21</f>
        <v>0</v>
      </c>
      <c r="AB153" s="21"/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Tabla35681321293971727475767[[#This Row],[COMISIONES]]*0.21</f>
        <v>0</v>
      </c>
      <c r="AB154" s="21"/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Tabla35681321293971727475767[[#This Row],[COMISIONES]]*0.21</f>
        <v>0</v>
      </c>
      <c r="AB155" s="21"/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Tabla35681321293971727475767[[#This Row],[COMISIONES]]*0.21</f>
        <v>0</v>
      </c>
      <c r="AB156" s="21"/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Tabla35681321293971727475767[[#This Row],[COMISIONES]]*0.21</f>
        <v>0</v>
      </c>
      <c r="AB157" s="21"/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Tabla35681321293971727475767[[#This Row],[COMISIONES]]*0.21</f>
        <v>0</v>
      </c>
      <c r="AB158" s="21"/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Tabla35681321293971727475767[[#This Row],[COMISIONES]]*0.21</f>
        <v>0</v>
      </c>
      <c r="AB159" s="21"/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Tabla35681321293971727475767[[#This Row],[COMISIONES]]*0.21</f>
        <v>0</v>
      </c>
      <c r="AB160" s="21"/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Tabla35681321293971727475767[[#This Row],[COMISIONES]]*0.21</f>
        <v>0</v>
      </c>
      <c r="AB161" s="21"/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Tabla35681321293971727475767[[#This Row],[COMISIONES]]*0.21</f>
        <v>0</v>
      </c>
      <c r="AB162" s="21"/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Tabla35681321293971727475767[[#This Row],[COMISIONES]]*0.21</f>
        <v>0</v>
      </c>
      <c r="AB163" s="21"/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Tabla35681321293971727475767[[#This Row],[COMISIONES]]*0.21</f>
        <v>0</v>
      </c>
      <c r="AB164" s="21"/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Tabla35681321293971727475767[[#This Row],[COMISIONES]]*0.21</f>
        <v>0</v>
      </c>
      <c r="AB165" s="21"/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Tabla35681321293971727475767[[#This Row],[COMISIONES]]*0.21</f>
        <v>0</v>
      </c>
      <c r="AB166" s="21"/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Tabla35681321293971727475767[[#This Row],[COMISIONES]]*0.21</f>
        <v>0</v>
      </c>
      <c r="AB167" s="21"/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Tabla35681321293971727475767[[#This Row],[COMISIONES]]*0.21</f>
        <v>0</v>
      </c>
      <c r="AB168" s="21"/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SUBTOTAL(109,Tabla35681321293971727475767[COMISIONES])</f>
        <v>1524162.7400000005</v>
      </c>
      <c r="AA169" s="4">
        <f>SUBTOTAL(109,Tabla35681321293971727475767[IVA 21])</f>
        <v>187739.69760000007</v>
      </c>
      <c r="AB169" s="4">
        <f>SUBTOTAL(109,Tabla35681321293971727475767[IVA 10,5])</f>
        <v>66146.656594999993</v>
      </c>
      <c r="AC169" s="4">
        <f>SUBTOTAL(109,Tabla35681321293971727475767[Ret IIBB Caba])</f>
        <v>0</v>
      </c>
      <c r="AD169" s="4">
        <f>SUBTOTAL(109,Tabla35681321293971727475767[PERC IVA])</f>
        <v>0</v>
      </c>
      <c r="AF169"/>
      <c r="AG169"/>
      <c r="AH169"/>
      <c r="AI169"/>
      <c r="AJ169"/>
      <c r="AK169"/>
      <c r="AL169"/>
      <c r="AM169"/>
      <c r="AN169"/>
      <c r="AO169"/>
    </row>
  </sheetData>
  <mergeCells count="22">
    <mergeCell ref="G12:H12"/>
    <mergeCell ref="G2:H2"/>
    <mergeCell ref="J2:K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AK14:AO14"/>
    <mergeCell ref="T32:X32"/>
    <mergeCell ref="H54:L54"/>
    <mergeCell ref="T64:X64"/>
    <mergeCell ref="B14:F14"/>
    <mergeCell ref="H14:L14"/>
    <mergeCell ref="N14:R14"/>
    <mergeCell ref="T14:X14"/>
    <mergeCell ref="Z14:AD14"/>
    <mergeCell ref="AF14:AJ14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F296-DE97-47F6-856C-F048FA110A88}">
  <dimension ref="A1:AO169"/>
  <sheetViews>
    <sheetView showGridLines="0" zoomScale="80" zoomScaleNormal="80" workbookViewId="0">
      <selection activeCell="Z79" sqref="Z79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2.140625" customWidth="1"/>
    <col min="4" max="4" width="12.140625" bestFit="1" customWidth="1"/>
    <col min="5" max="5" width="11.5703125" customWidth="1"/>
    <col min="6" max="6" width="12.140625" customWidth="1"/>
    <col min="7" max="7" width="2.5703125" style="6" customWidth="1"/>
    <col min="8" max="8" width="12.7109375" customWidth="1"/>
    <col min="9" max="9" width="13.5703125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7" max="27" width="13.28515625" customWidth="1"/>
    <col min="31" max="31" width="2.5703125" style="6" customWidth="1"/>
  </cols>
  <sheetData>
    <row r="1" spans="1:41" ht="6" customHeight="1" x14ac:dyDescent="0.25">
      <c r="G1"/>
      <c r="M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4</v>
      </c>
      <c r="H2" s="38"/>
      <c r="J2" s="39">
        <v>45383</v>
      </c>
      <c r="K2" s="39"/>
      <c r="M2"/>
      <c r="S2"/>
      <c r="Y2"/>
      <c r="AE2"/>
    </row>
    <row r="3" spans="1:41" x14ac:dyDescent="0.25">
      <c r="B3" s="25" t="str">
        <f>+B14</f>
        <v>Liquidacion amex Credito</v>
      </c>
      <c r="C3" s="14">
        <f>Tabla1316243221222338292102112[[#Totals],[COMISIONES]]</f>
        <v>0</v>
      </c>
      <c r="D3" s="14">
        <f>Tabla1316243221222338292102112[[#Totals],[IVA 21]]</f>
        <v>0</v>
      </c>
      <c r="E3" s="14">
        <f>Tabla1316243221222338292102112[[#Totals],[IVA 10,5]]</f>
        <v>0</v>
      </c>
      <c r="F3" s="14">
        <f>Tabla1316243221222338292102112[[#Totals],[Ret IIBB Caba]]</f>
        <v>0</v>
      </c>
      <c r="G3" s="35">
        <f>Tabla1316243221222338292102112[[#Totals],[PERC IVA]]</f>
        <v>0</v>
      </c>
      <c r="H3" s="36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>
        <f>Tabla3917253531323348393103113[[#Totals],[COMISIONES]]</f>
        <v>0</v>
      </c>
      <c r="D4" s="14">
        <f>Tabla3917253531323348393103113[[#Totals],[IVA 21]]</f>
        <v>0</v>
      </c>
      <c r="E4" s="14">
        <f>Tabla3917253531323348393103113[[#Totals],[IVA 10,5]]</f>
        <v>0</v>
      </c>
      <c r="F4" s="14">
        <f>Tabla3917253531323348393103113[[#Totals],[Ret IIBB Caba]]</f>
        <v>0</v>
      </c>
      <c r="G4" s="35">
        <f>Tabla3917253531323348393103113[[#Totals],[PERC IVA]]</f>
        <v>0</v>
      </c>
      <c r="H4" s="36"/>
      <c r="J4" s="2"/>
      <c r="K4" s="3"/>
      <c r="M4"/>
      <c r="S4"/>
      <c r="Y4"/>
      <c r="AE4"/>
    </row>
    <row r="5" spans="1:41" x14ac:dyDescent="0.25">
      <c r="B5" s="25" t="str">
        <f>+N14</f>
        <v>FRANCES extracto (27/03)</v>
      </c>
      <c r="C5" s="14">
        <f>Tabla351018263641424448494104114[[#Totals],[COMISIONES]]</f>
        <v>0</v>
      </c>
      <c r="D5" s="45">
        <f>Tabla351018263641424448494104114[[#Totals],[IVA 21]]</f>
        <v>0</v>
      </c>
      <c r="E5" s="45">
        <f>Tabla351018263641424448494104114[[#Totals],[IVA 10,5]]</f>
        <v>0</v>
      </c>
      <c r="F5" s="14">
        <f>Tabla351018263641424448494104114[[#Totals],[Ret IIBB Caba]]</f>
        <v>0</v>
      </c>
      <c r="G5" s="35">
        <f>Tabla351018263641424448494104114[[#Totals],[PERC IVA]]</f>
        <v>0</v>
      </c>
      <c r="H5" s="36"/>
      <c r="M5"/>
      <c r="S5"/>
      <c r="Y5"/>
      <c r="AE5"/>
    </row>
    <row r="6" spans="1:41" x14ac:dyDescent="0.25">
      <c r="B6" s="25" t="str">
        <f>+T14</f>
        <v>GALICIA EXTRACTO (31/03)</v>
      </c>
      <c r="C6" s="14">
        <f>Tabla3561119273751525458595105115[[#Totals],[COMISIONES]]</f>
        <v>0</v>
      </c>
      <c r="D6" s="45">
        <f>Tabla3561119273751525458595105115[[#Totals],[IVA 21]]</f>
        <v>0</v>
      </c>
      <c r="E6" s="14">
        <f>Tabla3561119273751525458595105115[[#Totals],[IVA 10,5]]</f>
        <v>0</v>
      </c>
      <c r="F6" s="14">
        <f>Tabla3561119273751525458595105115[[#Totals],[Ret IIBB Caba]]</f>
        <v>0</v>
      </c>
      <c r="G6" s="35">
        <f>Tabla3561119273751525458595105115[[#Totals],[PERC IVA]]</f>
        <v>0</v>
      </c>
      <c r="H6" s="36"/>
      <c r="M6"/>
      <c r="S6"/>
      <c r="Y6"/>
      <c r="AE6"/>
    </row>
    <row r="7" spans="1:41" x14ac:dyDescent="0.25">
      <c r="B7" s="25" t="str">
        <f>+Z14</f>
        <v>LIQ SANTANDER</v>
      </c>
      <c r="C7" s="14">
        <f>Tabla35681321293971727478797107117[[#Totals],[COMISIONES]]</f>
        <v>1110026.6900000002</v>
      </c>
      <c r="D7" s="14">
        <f>Tabla35681321293971727478797107117[[#Totals],[IVA 21]]</f>
        <v>233105.60490000001</v>
      </c>
      <c r="E7" s="14">
        <f>Tabla35681321293971727478797107117[[#Totals],[IVA 10,5]]</f>
        <v>0</v>
      </c>
      <c r="F7" s="14">
        <f>Tabla35681321293971727478797107117[[#Totals],[Ret IIBB Caba]]</f>
        <v>0</v>
      </c>
      <c r="G7" s="35">
        <f>Tabla35681321293971727478797107117[[#Totals],[PERC IVA]]</f>
        <v>0</v>
      </c>
      <c r="H7" s="36"/>
      <c r="M7"/>
      <c r="S7"/>
      <c r="Y7"/>
      <c r="AE7"/>
    </row>
    <row r="8" spans="1:41" x14ac:dyDescent="0.25">
      <c r="B8" s="25" t="str">
        <f>+T32</f>
        <v>RESUM BCO BBVA VISA 31/09(Nº RESUMEN 000017206766)</v>
      </c>
      <c r="C8" s="14">
        <f>Tabla61220283861626468696106116[[#Totals],[COMISIONES]]</f>
        <v>0</v>
      </c>
      <c r="D8" s="14">
        <f>Tabla61220283861626468696106116[[#Totals],[IVA 21]]</f>
        <v>0</v>
      </c>
      <c r="E8" s="14">
        <f>Tabla61220283861626468696106116[[#Totals],[IVA 10,5]]</f>
        <v>0</v>
      </c>
      <c r="F8" s="14">
        <f>Tabla61220283861626468696106116[[#Totals],[Ret IIBB Caba]]</f>
        <v>0</v>
      </c>
      <c r="G8" s="35">
        <f>Tabla61220283861626468696106116[[#Totals],[PERC IVA]]</f>
        <v>0</v>
      </c>
      <c r="H8" s="36"/>
      <c r="M8"/>
      <c r="S8"/>
      <c r="Y8"/>
      <c r="AE8"/>
    </row>
    <row r="9" spans="1:41" x14ac:dyDescent="0.25">
      <c r="B9" s="28" t="str">
        <f>+AF14</f>
        <v>BBVA - LIQ DEBITO (08/03)</v>
      </c>
      <c r="C9" s="14">
        <f>+Tabla3568131422304081828488898108118[[#Totals],[COMISIONES]]</f>
        <v>0</v>
      </c>
      <c r="D9" s="14">
        <f>+Tabla3568131422304081828488898108118[[#Totals],[IVA 21]]</f>
        <v>0</v>
      </c>
      <c r="E9" s="14">
        <f>+Tabla3568131422304081828488898108118[[#Totals],[IVA 10,5]]</f>
        <v>0</v>
      </c>
      <c r="F9" s="14">
        <f>+Tabla3568131422304081828488898108118[[#Totals],[Ret IIBB Caba]]</f>
        <v>0</v>
      </c>
      <c r="G9" s="35">
        <f>+Tabla3568131422304081828488898108118[[#Totals],[PERC IVA]]</f>
        <v>0</v>
      </c>
      <c r="H9" s="36"/>
      <c r="M9"/>
      <c r="S9"/>
      <c r="Y9"/>
      <c r="AE9"/>
    </row>
    <row r="10" spans="1:41" x14ac:dyDescent="0.25">
      <c r="B10" s="28" t="s">
        <v>33</v>
      </c>
      <c r="C10" s="14">
        <f>Tabla391523314191929498999109119[[#Totals],[COMISIONES]]</f>
        <v>5619.83</v>
      </c>
      <c r="D10" s="14">
        <f>Tabla391523314191929498999109119[[#Totals],[IVA 21]]</f>
        <v>1180.1642999999999</v>
      </c>
      <c r="E10" s="14">
        <f>Tabla391523314191929498999109119[[#Totals],[IVA 10,5]]</f>
        <v>0</v>
      </c>
      <c r="F10" s="14">
        <f>Tabla391523314191929498999109119[[#Totals],[Ret IIBB Caba]]</f>
        <v>0</v>
      </c>
      <c r="G10" s="35">
        <f>Tabla391523314191929498999109119[[#Totals],[PERC IVA]]</f>
        <v>0</v>
      </c>
      <c r="H10" s="43"/>
      <c r="M10"/>
      <c r="S10"/>
      <c r="Y10"/>
      <c r="AE10"/>
    </row>
    <row r="11" spans="1:41" x14ac:dyDescent="0.25">
      <c r="B11" s="28" t="str">
        <f>+AK14</f>
        <v>GALICIA CREDITO visa (30/09)</v>
      </c>
      <c r="C11" s="14">
        <f>+Tabla35611192734431121315191101111121[[#Totals],[COMISIONES]]</f>
        <v>1500</v>
      </c>
      <c r="D11" s="14">
        <f>+Tabla35611192734431121315191101111121[[#Totals],[IVA 21]]</f>
        <v>315</v>
      </c>
      <c r="E11" s="14">
        <f>+Tabla35611192734431121315191101111121[[#Totals],[IVA 10,5]]</f>
        <v>0</v>
      </c>
      <c r="F11" s="14"/>
      <c r="G11" s="35"/>
      <c r="H11" s="36"/>
      <c r="M11"/>
      <c r="S11"/>
      <c r="Y11"/>
      <c r="AE11"/>
    </row>
    <row r="12" spans="1:41" x14ac:dyDescent="0.25">
      <c r="A12" s="26"/>
      <c r="B12" s="26"/>
      <c r="C12" s="27">
        <f>SUM(C3:C11)</f>
        <v>1117146.5200000003</v>
      </c>
      <c r="D12" s="27">
        <f t="shared" ref="D12:F12" si="0">SUM(D3:D11)</f>
        <v>234600.76920000001</v>
      </c>
      <c r="E12" s="27">
        <f t="shared" si="0"/>
        <v>0</v>
      </c>
      <c r="F12" s="27">
        <f t="shared" si="0"/>
        <v>0</v>
      </c>
      <c r="G12" s="44">
        <f>SUM(G3:H11)</f>
        <v>0</v>
      </c>
      <c r="H12" s="44"/>
      <c r="M12"/>
      <c r="S12"/>
      <c r="Y12"/>
      <c r="AE12"/>
    </row>
    <row r="13" spans="1:41" x14ac:dyDescent="0.25">
      <c r="A13" s="26"/>
      <c r="B13" s="26"/>
      <c r="G13"/>
      <c r="J13" t="s">
        <v>25</v>
      </c>
      <c r="M13"/>
      <c r="S13"/>
      <c r="V13" t="s">
        <v>25</v>
      </c>
      <c r="Y13"/>
      <c r="AE13"/>
    </row>
    <row r="14" spans="1:41" ht="16.5" customHeight="1" x14ac:dyDescent="0.3">
      <c r="B14" s="41" t="s">
        <v>7</v>
      </c>
      <c r="C14" s="41"/>
      <c r="D14" s="41"/>
      <c r="E14" s="41"/>
      <c r="F14" s="41"/>
      <c r="H14" s="41" t="s">
        <v>26</v>
      </c>
      <c r="I14" s="41"/>
      <c r="J14" s="41"/>
      <c r="K14" s="41"/>
      <c r="L14" s="41"/>
      <c r="N14" s="41" t="s">
        <v>30</v>
      </c>
      <c r="O14" s="41"/>
      <c r="P14" s="41"/>
      <c r="Q14" s="41"/>
      <c r="R14" s="41"/>
      <c r="T14" s="41" t="s">
        <v>24</v>
      </c>
      <c r="U14" s="41"/>
      <c r="V14" s="41"/>
      <c r="W14" s="41"/>
      <c r="X14" s="41"/>
      <c r="Z14" s="41" t="s">
        <v>46</v>
      </c>
      <c r="AA14" s="41"/>
      <c r="AB14" s="41"/>
      <c r="AC14" s="41"/>
      <c r="AD14" s="41"/>
      <c r="AF14" s="41" t="s">
        <v>27</v>
      </c>
      <c r="AG14" s="41"/>
      <c r="AH14" s="41"/>
      <c r="AI14" s="41"/>
      <c r="AJ14" s="41"/>
      <c r="AK14" s="41" t="s">
        <v>32</v>
      </c>
      <c r="AL14" s="41"/>
      <c r="AM14" s="41"/>
      <c r="AN14" s="41"/>
      <c r="AO14" s="41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/>
      <c r="C16" s="2">
        <f>Tabla1316243221222338292102112[[#This Row],[COMISIONES]]*0.21</f>
        <v>0</v>
      </c>
      <c r="D16" s="3"/>
      <c r="E16" s="3"/>
      <c r="F16" s="1"/>
      <c r="G16" s="8"/>
      <c r="H16" s="3"/>
      <c r="I16" s="11">
        <f>Tabla3917253531323348393103113[[#This Row],[COMISIONES]]*0.21</f>
        <v>0</v>
      </c>
      <c r="J16" s="11"/>
      <c r="K16" s="11"/>
      <c r="L16" s="3"/>
      <c r="M16" s="8"/>
      <c r="O16" s="11">
        <f>Tabla351018263641424448494104114[[#This Row],[COMISIONES]]*0.21</f>
        <v>0</v>
      </c>
      <c r="P16" s="11"/>
      <c r="Q16" s="1"/>
      <c r="S16" s="8"/>
      <c r="T16" s="11"/>
      <c r="U16" s="11">
        <f>Tabla3561119273751525458595105115[[#This Row],[COMISIONES]]*0.21</f>
        <v>0</v>
      </c>
      <c r="V16" s="11"/>
      <c r="W16" s="11"/>
      <c r="X16" s="11"/>
      <c r="Y16" s="8"/>
      <c r="Z16">
        <v>12313.6</v>
      </c>
      <c r="AA16" s="11">
        <f>Tabla35681321293971727478797107117[[#This Row],[COMISIONES]]*0.21</f>
        <v>2585.8559999999998</v>
      </c>
      <c r="AC16" s="1"/>
      <c r="AE16" s="8"/>
      <c r="AG16" s="11">
        <f>Tabla3568131422304081828488898108118[[#This Row],[COMISIONES]]*0.21</f>
        <v>0</v>
      </c>
      <c r="AH16" s="11"/>
      <c r="AI16" s="1"/>
      <c r="AJ16" s="11"/>
      <c r="AK16" s="11">
        <v>1500</v>
      </c>
      <c r="AL16" s="11">
        <f>Tabla35611192734431121315191101111121[[#This Row],[COMISIONES]]*0.21</f>
        <v>315</v>
      </c>
      <c r="AM16" s="11"/>
      <c r="AN16" s="11"/>
      <c r="AO16" s="11"/>
    </row>
    <row r="17" spans="2:41" x14ac:dyDescent="0.25">
      <c r="B17" s="3"/>
      <c r="C17" s="2">
        <f>Tabla1316243221222338292102112[[#This Row],[COMISIONES]]*0.21</f>
        <v>0</v>
      </c>
      <c r="D17" s="3"/>
      <c r="E17" s="3"/>
      <c r="F17" s="3"/>
      <c r="G17" s="8"/>
      <c r="H17" s="11"/>
      <c r="I17" s="11">
        <f>Tabla3917253531323348393103113[[#This Row],[COMISIONES]]*0.21</f>
        <v>0</v>
      </c>
      <c r="J17" s="11"/>
      <c r="K17" s="11"/>
      <c r="L17" s="11"/>
      <c r="M17" s="8"/>
      <c r="N17" s="11"/>
      <c r="O17" s="11"/>
      <c r="P17" s="11">
        <f>Tabla351018263641424448494104114[[#This Row],[COMISIONES]]*0.105</f>
        <v>0</v>
      </c>
      <c r="Q17" s="1"/>
      <c r="S17" s="8"/>
      <c r="T17" s="11"/>
      <c r="U17" s="11">
        <f>Tabla3561119273751525458595105115[[#This Row],[COMISIONES]]*0.21</f>
        <v>0</v>
      </c>
      <c r="V17" s="11"/>
      <c r="W17" s="11"/>
      <c r="X17" s="11"/>
      <c r="Y17" s="8"/>
      <c r="Z17">
        <v>16495.3</v>
      </c>
      <c r="AA17" s="11">
        <f>Tabla35681321293971727478797107117[[#This Row],[COMISIONES]]*0.21</f>
        <v>3464.0129999999999</v>
      </c>
      <c r="AB17" s="1"/>
      <c r="AC17" s="1"/>
      <c r="AE17" s="8"/>
      <c r="AF17" s="11"/>
      <c r="AG17" s="11">
        <f>Tabla3568131422304081828488898108118[[#This Row],[COMISIONES]]*0.21</f>
        <v>0</v>
      </c>
      <c r="AH17" s="11"/>
      <c r="AI17" s="11"/>
      <c r="AJ17" s="11"/>
      <c r="AK17" s="11"/>
      <c r="AL17" s="11">
        <f>Tabla35611192734431121315191101111121[[#This Row],[COMISIONES]]*0.21</f>
        <v>0</v>
      </c>
      <c r="AM17" s="11"/>
      <c r="AN17" s="11"/>
      <c r="AO17" s="11"/>
    </row>
    <row r="18" spans="2:41" x14ac:dyDescent="0.25">
      <c r="B18" s="3"/>
      <c r="C18" s="2">
        <f>Tabla1316243221222338292102112[[#This Row],[COMISIONES]]*0.21</f>
        <v>0</v>
      </c>
      <c r="D18" s="3"/>
      <c r="E18" s="3"/>
      <c r="F18" s="3"/>
      <c r="H18" s="11"/>
      <c r="I18" s="11">
        <f>Tabla3917253531323348393103113[[#This Row],[COMISIONES]]*0.21</f>
        <v>0</v>
      </c>
      <c r="J18" s="11"/>
      <c r="K18" s="11"/>
      <c r="L18" s="11"/>
      <c r="N18" s="1"/>
      <c r="O18" s="11">
        <f>Tabla351018263641424448494104114[[#This Row],[COMISIONES]]*0.21</f>
        <v>0</v>
      </c>
      <c r="P18" s="11"/>
      <c r="Q18" s="11"/>
      <c r="R18" s="23"/>
      <c r="T18" s="11"/>
      <c r="U18" s="11">
        <f>Tabla3561119273751525458595105115[[#This Row],[COMISIONES]]*0.21</f>
        <v>0</v>
      </c>
      <c r="V18" s="11"/>
      <c r="W18" s="11"/>
      <c r="X18" s="11"/>
      <c r="Z18">
        <v>1481.25</v>
      </c>
      <c r="AA18" s="11">
        <f>Tabla35681321293971727478797107117[[#This Row],[COMISIONES]]*0.21</f>
        <v>311.0625</v>
      </c>
      <c r="AB18" s="1"/>
      <c r="AF18" s="11"/>
      <c r="AG18" s="11">
        <f>Tabla3568131422304081828488898108118[[#This Row],[COMISIONES]]*0.21</f>
        <v>0</v>
      </c>
      <c r="AH18" s="11"/>
      <c r="AI18" s="11"/>
      <c r="AJ18" s="11"/>
      <c r="AK18" s="11"/>
      <c r="AL18" s="11">
        <f>Tabla35611192734431121315191101111121[[#This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Tabla1316243221222338292102112[[#This Row],[COMISIONES]]*0.21</f>
        <v>0</v>
      </c>
      <c r="D19" s="3"/>
      <c r="E19" s="3"/>
      <c r="F19" s="3"/>
      <c r="G19" s="8"/>
      <c r="H19" s="11"/>
      <c r="I19" s="11">
        <f>Tabla3917253531323348393103113[[#This Row],[COMISIONES]]*0.21</f>
        <v>0</v>
      </c>
      <c r="J19" s="11"/>
      <c r="K19" s="11"/>
      <c r="L19" s="11"/>
      <c r="M19" s="8"/>
      <c r="N19" s="1"/>
      <c r="O19" s="11">
        <f>Tabla351018263641424448494104114[[#This Row],[COMISIONES]]*0.21</f>
        <v>0</v>
      </c>
      <c r="P19" s="11"/>
      <c r="Q19" s="11"/>
      <c r="R19" s="23"/>
      <c r="S19" s="8"/>
      <c r="T19" s="11"/>
      <c r="U19" s="11">
        <f>Tabla3561119273751525458595105115[[#This Row],[COMISIONES]]*0.21</f>
        <v>0</v>
      </c>
      <c r="V19" s="11"/>
      <c r="W19" s="11"/>
      <c r="X19" s="11"/>
      <c r="Y19" s="8"/>
      <c r="Z19">
        <v>168.56</v>
      </c>
      <c r="AA19" s="11">
        <f>Tabla35681321293971727478797107117[[#This Row],[COMISIONES]]*0.21</f>
        <v>35.397599999999997</v>
      </c>
      <c r="AB19" s="1"/>
      <c r="AC19" s="1"/>
      <c r="AE19" s="8"/>
      <c r="AF19" s="11"/>
      <c r="AG19" s="11">
        <f>Tabla3568131422304081828488898108118[[#This Row],[COMISIONES]]*0.21</f>
        <v>0</v>
      </c>
      <c r="AH19" s="11"/>
      <c r="AI19" s="11"/>
      <c r="AJ19" s="11"/>
      <c r="AK19" s="11"/>
      <c r="AL19" s="11">
        <f>Tabla35611192734431121315191101111121[[#This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Tabla1316243221222338292102112[[#This Row],[COMISIONES]]*0.21</f>
        <v>0</v>
      </c>
      <c r="D20" s="3"/>
      <c r="E20" s="3"/>
      <c r="F20" s="3"/>
      <c r="H20" s="11"/>
      <c r="I20" s="11">
        <f>Tabla3917253531323348393103113[[#This Row],[COMISIONES]]*0.21</f>
        <v>0</v>
      </c>
      <c r="J20" s="11"/>
      <c r="K20" s="11"/>
      <c r="L20" s="11"/>
      <c r="N20" s="1"/>
      <c r="O20" s="11">
        <f>Tabla351018263641424448494104114[[#This Row],[COMISIONES]]*0.21</f>
        <v>0</v>
      </c>
      <c r="P20" s="11"/>
      <c r="Q20" s="11"/>
      <c r="R20" s="23"/>
      <c r="T20" s="11"/>
      <c r="U20" s="11">
        <f>Tabla3561119273751525458595105115[[#This Row],[COMISIONES]]*0.21</f>
        <v>0</v>
      </c>
      <c r="V20" s="11"/>
      <c r="W20" s="11"/>
      <c r="X20" s="11"/>
      <c r="Z20">
        <v>66672.97</v>
      </c>
      <c r="AA20" s="11">
        <f>Tabla35681321293971727478797107117[[#This Row],[COMISIONES]]*0.21</f>
        <v>14001.323699999999</v>
      </c>
      <c r="AB20" s="11"/>
      <c r="AC20" s="1"/>
      <c r="AF20" s="11"/>
      <c r="AG20" s="11">
        <f>Tabla3568131422304081828488898108118[[#This Row],[COMISIONES]]*0.21</f>
        <v>0</v>
      </c>
      <c r="AH20" s="11"/>
      <c r="AI20" s="11"/>
      <c r="AJ20" s="11"/>
      <c r="AK20" s="11"/>
      <c r="AL20" s="11">
        <f>Tabla35611192734431121315191101111121[[#This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Tabla1316243221222338292102112[[#This Row],[COMISIONES]]*0.21</f>
        <v>0</v>
      </c>
      <c r="D21" s="3"/>
      <c r="E21" s="3"/>
      <c r="F21" s="3"/>
      <c r="H21" s="11"/>
      <c r="I21" s="11">
        <f>Tabla3917253531323348393103113[[#This Row],[COMISIONES]]*0.21</f>
        <v>0</v>
      </c>
      <c r="J21" s="11"/>
      <c r="K21" s="11"/>
      <c r="L21" s="11"/>
      <c r="N21" s="11"/>
      <c r="O21" s="11">
        <f>Tabla351018263641424448494104114[[#This Row],[COMISIONES]]*0.21</f>
        <v>0</v>
      </c>
      <c r="P21" s="11"/>
      <c r="Q21" s="11"/>
      <c r="R21" s="11"/>
      <c r="T21" s="11"/>
      <c r="U21" s="11">
        <f>Tabla3561119273751525458595105115[[#This Row],[COMISIONES]]*0.21</f>
        <v>0</v>
      </c>
      <c r="V21" s="11"/>
      <c r="W21" s="11"/>
      <c r="X21" s="11"/>
      <c r="Z21" s="1">
        <v>8249.4500000000007</v>
      </c>
      <c r="AA21" s="11">
        <f>Tabla35681321293971727478797107117[[#This Row],[COMISIONES]]*0.21</f>
        <v>1732.3845000000001</v>
      </c>
      <c r="AB21" s="11"/>
      <c r="AC21" s="1"/>
      <c r="AF21" s="11"/>
      <c r="AG21" s="11">
        <f>Tabla3568131422304081828488898108118[[#This Row],[COMISIONES]]*0.21</f>
        <v>0</v>
      </c>
      <c r="AH21" s="11"/>
      <c r="AI21" s="11"/>
      <c r="AJ21" s="11"/>
      <c r="AK21" s="11"/>
      <c r="AL21" s="11">
        <f>Tabla35611192734431121315191101111121[[#This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Tabla1316243221222338292102112[[#This Row],[COMISIONES]]*0.21</f>
        <v>0</v>
      </c>
      <c r="D22" s="3"/>
      <c r="E22" s="3"/>
      <c r="F22" s="3"/>
      <c r="H22" s="11"/>
      <c r="I22" s="11">
        <f>Tabla3917253531323348393103113[[#This Row],[COMISIONES]]*0.21</f>
        <v>0</v>
      </c>
      <c r="J22" s="11"/>
      <c r="K22" s="11"/>
      <c r="L22" s="11"/>
      <c r="N22" s="11"/>
      <c r="O22" s="11">
        <f>Tabla351018263641424448494104114[[#This Row],[COMISIONES]]*0.21</f>
        <v>0</v>
      </c>
      <c r="P22" s="11"/>
      <c r="Q22" s="11"/>
      <c r="R22" s="11"/>
      <c r="T22" s="11"/>
      <c r="U22" s="11">
        <f>Tabla3561119273751525458595105115[[#This Row],[COMISIONES]]*0.21</f>
        <v>0</v>
      </c>
      <c r="V22" s="11"/>
      <c r="W22" s="11"/>
      <c r="X22" s="11"/>
      <c r="Z22">
        <v>845.52</v>
      </c>
      <c r="AA22" s="11">
        <f>Tabla35681321293971727478797107117[[#This Row],[COMISIONES]]*0.21</f>
        <v>177.55919999999998</v>
      </c>
      <c r="AB22" s="11"/>
      <c r="AC22" s="1"/>
      <c r="AD22" s="11"/>
      <c r="AF22" s="11"/>
      <c r="AG22" s="11">
        <f>Tabla3568131422304081828488898108118[[#This Row],[COMISIONES]]*0.21</f>
        <v>0</v>
      </c>
      <c r="AH22" s="11"/>
      <c r="AI22" s="11"/>
      <c r="AJ22" s="11"/>
      <c r="AK22" s="11"/>
      <c r="AL22" s="11">
        <f>Tabla35611192734431121315191101111121[[#This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Tabla1316243221222338292102112[[#This Row],[COMISIONES]]*0.21</f>
        <v>0</v>
      </c>
      <c r="D23" s="3"/>
      <c r="E23" s="3"/>
      <c r="F23" s="3"/>
      <c r="H23" s="11"/>
      <c r="I23" s="11">
        <f>Tabla3917253531323348393103113[[#This Row],[COMISIONES]]*0.21</f>
        <v>0</v>
      </c>
      <c r="J23" s="11"/>
      <c r="K23" s="11"/>
      <c r="L23" s="11"/>
      <c r="N23" s="11"/>
      <c r="O23" s="11">
        <f>Tabla351018263641424448494104114[[#This Row],[COMISIONES]]*0.21</f>
        <v>0</v>
      </c>
      <c r="P23" s="11"/>
      <c r="Q23" s="11"/>
      <c r="R23" s="11"/>
      <c r="T23" s="11"/>
      <c r="U23" s="11">
        <f>Tabla3561119273751525458595105115[[#This Row],[COMISIONES]]*0.21</f>
        <v>0</v>
      </c>
      <c r="V23" s="11"/>
      <c r="W23" s="11"/>
      <c r="X23" s="11"/>
      <c r="Z23" s="1">
        <v>12938.8</v>
      </c>
      <c r="AA23" s="11">
        <f>Tabla35681321293971727478797107117[[#This Row],[COMISIONES]]*0.21</f>
        <v>2717.1479999999997</v>
      </c>
      <c r="AB23" s="1"/>
      <c r="AC23" s="1"/>
      <c r="AD23" s="11"/>
      <c r="AF23" s="11"/>
      <c r="AG23" s="11">
        <f>Tabla3568131422304081828488898108118[[#This Row],[COMISIONES]]*0.21</f>
        <v>0</v>
      </c>
      <c r="AH23" s="11"/>
      <c r="AI23" s="11"/>
      <c r="AJ23" s="11"/>
      <c r="AK23" s="11"/>
      <c r="AL23" s="11">
        <f>Tabla35611192734431121315191101111121[[#This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Tabla1316243221222338292102112[[#This Row],[COMISIONES]]*0.21</f>
        <v>0</v>
      </c>
      <c r="D24" s="3"/>
      <c r="E24" s="3"/>
      <c r="F24" s="3"/>
      <c r="H24" s="11"/>
      <c r="I24" s="11">
        <f>Tabla3917253531323348393103113[[#This Row],[COMISIONES]]*0.21</f>
        <v>0</v>
      </c>
      <c r="J24" s="11"/>
      <c r="K24" s="11"/>
      <c r="L24" s="11"/>
      <c r="N24" s="11"/>
      <c r="O24" s="11">
        <f>Tabla351018263641424448494104114[[#This Row],[COMISIONES]]*0.21</f>
        <v>0</v>
      </c>
      <c r="P24" s="11"/>
      <c r="Q24" s="11"/>
      <c r="R24" s="11"/>
      <c r="T24" s="11"/>
      <c r="U24" s="11">
        <f>Tabla3561119273751525458595105115[[#This Row],[COMISIONES]]*0.21</f>
        <v>0</v>
      </c>
      <c r="V24" s="11"/>
      <c r="W24" s="11"/>
      <c r="X24" s="11"/>
      <c r="Z24" s="1">
        <v>12158.95</v>
      </c>
      <c r="AA24" s="11">
        <f>Tabla35681321293971727478797107117[[#This Row],[COMISIONES]]*0.21</f>
        <v>2553.3795</v>
      </c>
      <c r="AB24" s="11"/>
      <c r="AC24" s="1"/>
      <c r="AD24" s="11"/>
      <c r="AF24" s="11"/>
      <c r="AG24" s="11">
        <f>Tabla3568131422304081828488898108118[[#This Row],[COMISIONES]]*0.21</f>
        <v>0</v>
      </c>
      <c r="AH24" s="11"/>
      <c r="AI24" s="11"/>
      <c r="AJ24" s="11"/>
      <c r="AK24" s="11"/>
      <c r="AL24" s="11">
        <f>Tabla35611192734431121315191101111121[[#This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Tabla1316243221222338292102112[[#This Row],[COMISIONES]]*0.21</f>
        <v>0</v>
      </c>
      <c r="D25" s="3"/>
      <c r="E25" s="3"/>
      <c r="F25" s="3"/>
      <c r="H25" s="11"/>
      <c r="I25" s="11">
        <f>Tabla3917253531323348393103113[[#This Row],[COMISIONES]]*0.21</f>
        <v>0</v>
      </c>
      <c r="J25" s="11"/>
      <c r="K25" s="11"/>
      <c r="L25" s="11"/>
      <c r="N25" s="11"/>
      <c r="O25" s="11">
        <f>Tabla351018263641424448494104114[[#This Row],[COMISIONES]]*0.21</f>
        <v>0</v>
      </c>
      <c r="P25" s="11"/>
      <c r="Q25" s="11"/>
      <c r="R25" s="11"/>
      <c r="T25" s="11"/>
      <c r="U25" s="11">
        <f>Tabla3561119273751525458595105115[[#This Row],[COMISIONES]]*0.21</f>
        <v>0</v>
      </c>
      <c r="V25" s="11"/>
      <c r="W25" s="11"/>
      <c r="X25" s="11"/>
      <c r="Z25">
        <v>4054</v>
      </c>
      <c r="AA25" s="11">
        <f>Tabla35681321293971727478797107117[[#This Row],[COMISIONES]]*0.21</f>
        <v>851.33999999999992</v>
      </c>
      <c r="AB25" s="11"/>
      <c r="AC25" s="1"/>
      <c r="AD25" s="11"/>
      <c r="AF25" s="11"/>
      <c r="AG25" s="11">
        <f>Tabla3568131422304081828488898108118[[#This Row],[COMISIONES]]*0.21</f>
        <v>0</v>
      </c>
      <c r="AH25" s="11"/>
      <c r="AI25" s="11"/>
      <c r="AJ25" s="11"/>
      <c r="AK25" s="11"/>
      <c r="AL25" s="11">
        <f>Tabla35611192734431121315191101111121[[#This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Tabla1316243221222338292102112[[#This Row],[COMISIONES]]*0.21</f>
        <v>0</v>
      </c>
      <c r="D26" s="3"/>
      <c r="E26" s="3"/>
      <c r="F26" s="3"/>
      <c r="H26" s="11"/>
      <c r="I26" s="11">
        <f>Tabla3917253531323348393103113[[#This Row],[COMISIONES]]*0.21</f>
        <v>0</v>
      </c>
      <c r="J26" s="11"/>
      <c r="K26" s="11"/>
      <c r="L26" s="11"/>
      <c r="N26" s="11"/>
      <c r="O26" s="11">
        <f>Tabla351018263641424448494104114[[#This Row],[COMISIONES]]*0.21</f>
        <v>0</v>
      </c>
      <c r="P26" s="11"/>
      <c r="Q26" s="11"/>
      <c r="R26" s="11"/>
      <c r="T26" s="11"/>
      <c r="U26" s="11">
        <f>Tabla3561119273751525458595105115[[#This Row],[COMISIONES]]*0.21</f>
        <v>0</v>
      </c>
      <c r="V26" s="11"/>
      <c r="W26" s="11"/>
      <c r="X26" s="11"/>
      <c r="Z26">
        <v>33342.910000000003</v>
      </c>
      <c r="AA26" s="11">
        <f>Tabla35681321293971727478797107117[[#This Row],[COMISIONES]]*0.21</f>
        <v>7002.0111000000006</v>
      </c>
      <c r="AB26" s="11"/>
      <c r="AC26" s="1"/>
      <c r="AD26" s="11"/>
      <c r="AF26" s="4">
        <f>SUBTOTAL(109,Tabla3568131422304081828488898108118[COMISIONES])</f>
        <v>0</v>
      </c>
      <c r="AG26" s="4">
        <f>SUBTOTAL(109,Tabla3568131422304081828488898108118[IVA 21])</f>
        <v>0</v>
      </c>
      <c r="AH26" s="4">
        <f>SUBTOTAL(109,Tabla3568131422304081828488898108118[IVA 10,5])</f>
        <v>0</v>
      </c>
      <c r="AI26" s="4">
        <f>SUBTOTAL(109,Tabla3568131422304081828488898108118[Ret IIBB Caba])</f>
        <v>0</v>
      </c>
      <c r="AJ26" s="4">
        <f>SUBTOTAL(109,Tabla3568131422304081828488898108118[PERC IVA])</f>
        <v>0</v>
      </c>
      <c r="AK26" s="11"/>
      <c r="AL26" s="11">
        <f>Tabla35611192734431121315191101111121[[#This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Tabla1316243221222338292102112[[#This Row],[COMISIONES]]*0.21</f>
        <v>0</v>
      </c>
      <c r="D27" s="3"/>
      <c r="E27" s="3"/>
      <c r="F27" s="3"/>
      <c r="H27" s="11"/>
      <c r="I27" s="11">
        <f>Tabla3917253531323348393103113[[#This Row],[COMISIONES]]*0.21</f>
        <v>0</v>
      </c>
      <c r="J27" s="11"/>
      <c r="K27" s="11"/>
      <c r="L27" s="11"/>
      <c r="N27" s="11"/>
      <c r="O27" s="11">
        <f>Tabla351018263641424448494104114[[#This Row],[COMISIONES]]*0.21</f>
        <v>0</v>
      </c>
      <c r="P27" s="11"/>
      <c r="Q27" s="11"/>
      <c r="R27" s="11"/>
      <c r="T27" s="11"/>
      <c r="U27" s="11">
        <f>Tabla3561119273751525458595105115[[#This Row],[COMISIONES]]*0.21</f>
        <v>0</v>
      </c>
      <c r="V27" s="11"/>
      <c r="W27" s="11"/>
      <c r="X27" s="11"/>
      <c r="Z27" s="1">
        <v>55.2</v>
      </c>
      <c r="AA27" s="11">
        <f>Tabla35681321293971727478797107117[[#This Row],[COMISIONES]]*0.21</f>
        <v>11.592000000000001</v>
      </c>
      <c r="AB27" s="11"/>
      <c r="AC27" s="1"/>
      <c r="AK27" s="11"/>
      <c r="AL27" s="11">
        <f>Tabla35611192734431121315191101111121[[#This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Tabla1316243221222338292102112[[#This Row],[COMISIONES]]*0.21</f>
        <v>0</v>
      </c>
      <c r="D28" s="3"/>
      <c r="E28" s="3"/>
      <c r="F28" s="3"/>
      <c r="H28" s="11"/>
      <c r="I28" s="11">
        <f>Tabla3917253531323348393103113[[#This Row],[COMISIONES]]*0.21</f>
        <v>0</v>
      </c>
      <c r="J28" s="11"/>
      <c r="K28" s="11"/>
      <c r="L28" s="11"/>
      <c r="N28" s="11"/>
      <c r="O28" s="11">
        <f>Tabla351018263641424448494104114[[#This Row],[COMISIONES]]*0.21</f>
        <v>0</v>
      </c>
      <c r="P28" s="11"/>
      <c r="Q28" s="11"/>
      <c r="R28" s="11"/>
      <c r="T28" s="11"/>
      <c r="U28" s="11">
        <f>Tabla3561119273751525458595105115[[#This Row],[COMISIONES]]*0.21</f>
        <v>0</v>
      </c>
      <c r="V28" s="11"/>
      <c r="W28" s="11"/>
      <c r="X28" s="11"/>
      <c r="Z28">
        <v>12986.95</v>
      </c>
      <c r="AA28" s="11">
        <f>Tabla35681321293971727478797107117[[#This Row],[COMISIONES]]*0.21</f>
        <v>2727.2595000000001</v>
      </c>
      <c r="AB28" s="1"/>
      <c r="AC28" s="1"/>
      <c r="AD28" s="11"/>
      <c r="AK28" s="11"/>
      <c r="AL28" s="11">
        <f>Tabla35611192734431121315191101111121[[#This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Tabla1316243221222338292102112[[#This Row],[COMISIONES]]*0.21</f>
        <v>0</v>
      </c>
      <c r="D29" s="3"/>
      <c r="E29" s="3"/>
      <c r="F29" s="3"/>
      <c r="H29" s="11"/>
      <c r="I29" s="11">
        <f>Tabla3917253531323348393103113[[#This Row],[COMISIONES]]*0.21</f>
        <v>0</v>
      </c>
      <c r="J29" s="11"/>
      <c r="K29" s="11"/>
      <c r="L29" s="11"/>
      <c r="N29" s="11"/>
      <c r="O29" s="11">
        <f>Tabla351018263641424448494104114[[#This Row],[COMISIONES]]*0.21</f>
        <v>0</v>
      </c>
      <c r="P29" s="11"/>
      <c r="Q29" s="11"/>
      <c r="R29" s="11"/>
      <c r="T29" s="18"/>
      <c r="U29" s="18">
        <f>Tabla3561119273751525458595105115[[#This Row],[COMISIONES]]*0.21</f>
        <v>0</v>
      </c>
      <c r="V29" s="18"/>
      <c r="W29" s="18"/>
      <c r="X29" s="18"/>
      <c r="Z29">
        <v>1182.4000000000001</v>
      </c>
      <c r="AA29" s="11">
        <f>Tabla35681321293971727478797107117[[#This Row],[COMISIONES]]*0.21</f>
        <v>248.304</v>
      </c>
      <c r="AB29" s="1"/>
      <c r="AD29" s="11"/>
      <c r="AK29" s="18"/>
      <c r="AL29" s="18">
        <f>Tabla35611192734431121315191101111121[[#This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Tabla1316243221222338292102112[[#This Row],[COMISIONES]]*0.21</f>
        <v>0</v>
      </c>
      <c r="D30" s="3"/>
      <c r="E30" s="3"/>
      <c r="F30" s="3"/>
      <c r="H30" s="11"/>
      <c r="I30" s="11">
        <f>Tabla3917253531323348393103113[[#This Row],[COMISIONES]]*0.21</f>
        <v>0</v>
      </c>
      <c r="J30" s="11"/>
      <c r="K30" s="11"/>
      <c r="L30" s="11"/>
      <c r="N30" s="11"/>
      <c r="O30" s="11">
        <f>Tabla351018263641424448494104114[[#This Row],[COMISIONES]]*0.21</f>
        <v>0</v>
      </c>
      <c r="P30" s="11"/>
      <c r="Q30" s="11"/>
      <c r="R30" s="11"/>
      <c r="T30" s="18"/>
      <c r="U30" s="18">
        <f>Tabla3561119273751525458595105115[[#This Row],[COMISIONES]]*0.21</f>
        <v>0</v>
      </c>
      <c r="V30" s="18"/>
      <c r="W30" s="18"/>
      <c r="X30" s="18"/>
      <c r="Z30" s="1">
        <v>43063.47</v>
      </c>
      <c r="AA30" s="11">
        <f>Tabla35681321293971727478797107117[[#This Row],[COMISIONES]]*0.21</f>
        <v>9043.3287</v>
      </c>
      <c r="AB30" s="11"/>
      <c r="AC30" s="11"/>
      <c r="AD30" s="11"/>
      <c r="AK30" s="18"/>
      <c r="AL30" s="18">
        <f>Tabla35611192734431121315191101111121[[#This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Tabla1316243221222338292102112[[#This Row],[COMISIONES]]*0.21</f>
        <v>0</v>
      </c>
      <c r="D31" s="3"/>
      <c r="E31" s="1"/>
      <c r="F31" s="3"/>
      <c r="H31" s="11"/>
      <c r="I31" s="11">
        <f>Tabla3917253531323348393103113[[#This Row],[COMISIONES]]*0.21</f>
        <v>0</v>
      </c>
      <c r="J31" s="11"/>
      <c r="K31" s="11"/>
      <c r="L31" s="11"/>
      <c r="N31" s="11"/>
      <c r="O31" s="11">
        <f>Tabla351018263641424448494104114[[#This Row],[COMISIONES]]*0.21</f>
        <v>0</v>
      </c>
      <c r="P31" s="11"/>
      <c r="Q31" s="11"/>
      <c r="R31" s="11"/>
      <c r="T31" s="4">
        <f>SUBTOTAL(109,Tabla3561119273751525458595105115[COMISIONES])</f>
        <v>0</v>
      </c>
      <c r="U31" s="4">
        <f>SUBTOTAL(109,Tabla3561119273751525458595105115[IVA 21])</f>
        <v>0</v>
      </c>
      <c r="V31" s="4">
        <f>SUBTOTAL(109,Tabla3561119273751525458595105115[IVA 10,5])</f>
        <v>0</v>
      </c>
      <c r="W31" s="4">
        <f>SUBTOTAL(109,Tabla3561119273751525458595105115[Ret IIBB Caba])</f>
        <v>0</v>
      </c>
      <c r="X31" s="4">
        <f>SUBTOTAL(109,Tabla3561119273751525458595105115[PERC IVA])</f>
        <v>0</v>
      </c>
      <c r="Z31" s="1">
        <v>21333.95</v>
      </c>
      <c r="AA31" s="11">
        <f>Tabla35681321293971727478797107117[[#This Row],[COMISIONES]]*0.21</f>
        <v>4480.1295</v>
      </c>
      <c r="AB31" s="11"/>
      <c r="AC31" s="1"/>
      <c r="AK31" s="4">
        <f>SUBTOTAL(109,Tabla35611192734431121315191101111121[COMISIONES])</f>
        <v>1500</v>
      </c>
      <c r="AL31" s="4">
        <f>SUBTOTAL(109,Tabla35611192734431121315191101111121[IVA 21])</f>
        <v>315</v>
      </c>
      <c r="AM31" s="4">
        <f>SUBTOTAL(109,Tabla35611192734431121315191101111121[IVA 10,5])</f>
        <v>0</v>
      </c>
      <c r="AN31" s="4">
        <f>SUBTOTAL(109,Tabla35611192734431121315191101111121[Ret IIBB Caba])</f>
        <v>0</v>
      </c>
      <c r="AO31" s="4">
        <f>SUBTOTAL(109,Tabla35611192734431121315191101111121[PERC IVA])</f>
        <v>0</v>
      </c>
    </row>
    <row r="32" spans="2:41" ht="18.75" x14ac:dyDescent="0.3">
      <c r="B32" s="3"/>
      <c r="C32" s="2">
        <f>Tabla1316243221222338292102112[[#This Row],[COMISIONES]]*0.21</f>
        <v>0</v>
      </c>
      <c r="D32" s="3"/>
      <c r="E32" s="3"/>
      <c r="F32" s="3"/>
      <c r="H32" s="11"/>
      <c r="I32" s="11">
        <f>Tabla3917253531323348393103113[[#This Row],[COMISIONES]]*0.21</f>
        <v>0</v>
      </c>
      <c r="J32" s="11"/>
      <c r="K32" s="11"/>
      <c r="L32" s="11"/>
      <c r="N32" s="11"/>
      <c r="O32" s="11">
        <f>Tabla351018263641424448494104114[[#This Row],[COMISIONES]]*0.21</f>
        <v>0</v>
      </c>
      <c r="P32" s="11"/>
      <c r="Q32" s="11"/>
      <c r="R32" s="11"/>
      <c r="T32" s="42" t="s">
        <v>15</v>
      </c>
      <c r="U32" s="42"/>
      <c r="V32" s="42"/>
      <c r="W32" s="42"/>
      <c r="X32" s="42"/>
      <c r="Z32" s="1">
        <v>1173.04</v>
      </c>
      <c r="AA32" s="11">
        <f>Tabla35681321293971727478797107117[[#This Row],[COMISIONES]]*0.21</f>
        <v>246.33839999999998</v>
      </c>
      <c r="AB32" s="1"/>
      <c r="AC32" s="11"/>
      <c r="AD32" s="11"/>
    </row>
    <row r="33" spans="2:31" x14ac:dyDescent="0.25">
      <c r="B33" s="3"/>
      <c r="C33" s="2">
        <f>Tabla1316243221222338292102112[[#This Row],[COMISIONES]]*0.21</f>
        <v>0</v>
      </c>
      <c r="D33" s="3"/>
      <c r="E33" s="3"/>
      <c r="F33" s="3"/>
      <c r="H33" s="11"/>
      <c r="I33" s="11">
        <f>Tabla3917253531323348393103113[[#This Row],[COMISIONES]]*0.21</f>
        <v>0</v>
      </c>
      <c r="J33" s="11"/>
      <c r="K33" s="11"/>
      <c r="L33" s="11"/>
      <c r="N33" s="11"/>
      <c r="O33" s="11">
        <f>Tabla351018263641424448494104114[[#This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1">
        <v>148</v>
      </c>
      <c r="AA33" s="11">
        <f>Tabla35681321293971727478797107117[[#This Row],[COMISIONES]]*0.21</f>
        <v>31.08</v>
      </c>
      <c r="AB33" s="11"/>
      <c r="AC33" s="11"/>
      <c r="AD33" s="11"/>
    </row>
    <row r="34" spans="2:31" x14ac:dyDescent="0.25">
      <c r="B34" s="3"/>
      <c r="C34" s="2">
        <f>Tabla1316243221222338292102112[[#This Row],[COMISIONES]]*0.21</f>
        <v>0</v>
      </c>
      <c r="D34" s="3"/>
      <c r="E34" s="3"/>
      <c r="F34" s="3"/>
      <c r="H34" s="11"/>
      <c r="I34" s="11">
        <f>Tabla3917253531323348393103113[[#This Row],[COMISIONES]]*0.21</f>
        <v>0</v>
      </c>
      <c r="J34" s="11"/>
      <c r="K34" s="11"/>
      <c r="L34" s="11"/>
      <c r="N34" s="11"/>
      <c r="O34" s="11">
        <f>Tabla351018263641424448494104114[[#This Row],[COMISIONES]]*0.21</f>
        <v>0</v>
      </c>
      <c r="P34" s="11"/>
      <c r="Q34" s="11"/>
      <c r="R34" s="11"/>
      <c r="T34" s="11"/>
      <c r="U34" s="11">
        <f>Tabla61220283861626468696106116[[#This Row],[COMISIONES]]*0.21</f>
        <v>0</v>
      </c>
      <c r="V34" s="11"/>
      <c r="W34" s="11"/>
      <c r="X34" s="11"/>
      <c r="Z34">
        <v>510.32</v>
      </c>
      <c r="AA34" s="11">
        <f>Tabla35681321293971727478797107117[[#This Row],[COMISIONES]]*0.21</f>
        <v>107.16719999999999</v>
      </c>
      <c r="AB34" s="11"/>
      <c r="AC34" s="11"/>
      <c r="AD34" s="11"/>
    </row>
    <row r="35" spans="2:31" x14ac:dyDescent="0.25">
      <c r="B35" s="3"/>
      <c r="C35" s="2">
        <f>Tabla1316243221222338292102112[[#This Row],[COMISIONES]]*0.21</f>
        <v>0</v>
      </c>
      <c r="D35" s="3"/>
      <c r="E35" s="3"/>
      <c r="F35" s="3"/>
      <c r="H35" s="11"/>
      <c r="I35" s="11">
        <f>Tabla3917253531323348393103113[[#This Row],[COMISIONES]]*0.21</f>
        <v>0</v>
      </c>
      <c r="J35" s="11"/>
      <c r="K35" s="11"/>
      <c r="L35" s="11"/>
      <c r="N35" s="11"/>
      <c r="O35" s="11">
        <f>Tabla351018263641424448494104114[[#This Row],[COMISIONES]]*0.21</f>
        <v>0</v>
      </c>
      <c r="P35" s="11"/>
      <c r="Q35" s="11"/>
      <c r="R35" s="11"/>
      <c r="T35" s="11"/>
      <c r="U35" s="11"/>
      <c r="V35" s="11">
        <f>Tabla61220283861626468696106116[[#This Row],[COMISIONES]]*0.105</f>
        <v>0</v>
      </c>
      <c r="W35" s="11"/>
      <c r="X35" s="11"/>
      <c r="Z35" s="1">
        <v>44963.66</v>
      </c>
      <c r="AA35" s="11">
        <f>Tabla35681321293971727478797107117[[#This Row],[COMISIONES]]*0.21</f>
        <v>9442.3685999999998</v>
      </c>
      <c r="AB35" s="46"/>
      <c r="AC35" s="11"/>
      <c r="AD35" s="11"/>
    </row>
    <row r="36" spans="2:31" x14ac:dyDescent="0.25">
      <c r="B36" s="3"/>
      <c r="C36" s="2">
        <f>Tabla1316243221222338292102112[[#This Row],[COMISIONES]]*0.21</f>
        <v>0</v>
      </c>
      <c r="D36" s="3"/>
      <c r="E36" s="3"/>
      <c r="F36" s="3"/>
      <c r="H36" s="11"/>
      <c r="I36" s="11">
        <f>Tabla3917253531323348393103113[[#This Row],[COMISIONES]]*0.21</f>
        <v>0</v>
      </c>
      <c r="J36" s="11"/>
      <c r="K36" s="11"/>
      <c r="L36" s="11"/>
      <c r="N36" s="11"/>
      <c r="O36" s="11">
        <f>Tabla351018263641424448494104114[[#This Row],[COMISIONES]]*0.21</f>
        <v>0</v>
      </c>
      <c r="P36" s="11"/>
      <c r="Q36" s="11"/>
      <c r="R36" s="11"/>
      <c r="T36" s="11"/>
      <c r="U36" s="19">
        <f>Tabla61220283861626468696106116[[#This Row],[COMISIONES]]*0.21</f>
        <v>0</v>
      </c>
      <c r="Z36" s="1">
        <v>3402.5</v>
      </c>
      <c r="AA36" s="11">
        <f>Tabla35681321293971727478797107117[[#This Row],[COMISIONES]]*0.21</f>
        <v>714.52499999999998</v>
      </c>
      <c r="AB36" s="1"/>
      <c r="AC36" s="11"/>
      <c r="AD36" s="11"/>
    </row>
    <row r="37" spans="2:31" x14ac:dyDescent="0.25">
      <c r="B37" s="3"/>
      <c r="C37" s="2">
        <f>Tabla1316243221222338292102112[[#This Row],[COMISIONES]]*0.21</f>
        <v>0</v>
      </c>
      <c r="D37" s="3"/>
      <c r="E37" s="3"/>
      <c r="F37" s="3"/>
      <c r="H37" s="11"/>
      <c r="I37" s="11">
        <f>Tabla3917253531323348393103113[[#This Row],[COMISIONES]]*0.21</f>
        <v>0</v>
      </c>
      <c r="J37" s="11"/>
      <c r="K37" s="11"/>
      <c r="L37" s="11"/>
      <c r="N37" s="11"/>
      <c r="O37" s="11">
        <f>Tabla351018263641424448494104114[[#This Row],[COMISIONES]]*0.21</f>
        <v>0</v>
      </c>
      <c r="P37" s="11"/>
      <c r="Q37" s="11"/>
      <c r="R37" s="11"/>
      <c r="T37" s="11"/>
      <c r="U37" s="19">
        <f>Tabla61220283861626468696106116[[#This Row],[COMISIONES]]*0.21</f>
        <v>0</v>
      </c>
      <c r="Z37">
        <v>1532.32</v>
      </c>
      <c r="AA37" s="11">
        <f>Tabla35681321293971727478797107117[[#This Row],[COMISIONES]]*0.21</f>
        <v>321.78719999999998</v>
      </c>
      <c r="AB37" s="21"/>
      <c r="AC37" s="21"/>
      <c r="AD37" s="22"/>
    </row>
    <row r="38" spans="2:31" x14ac:dyDescent="0.25">
      <c r="B38" s="3"/>
      <c r="C38" s="2">
        <f>Tabla1316243221222338292102112[[#This Row],[COMISIONES]]*0.21</f>
        <v>0</v>
      </c>
      <c r="D38" s="3"/>
      <c r="E38" s="3"/>
      <c r="F38" s="3"/>
      <c r="H38" s="11"/>
      <c r="I38" s="11">
        <f>Tabla3917253531323348393103113[[#This Row],[COMISIONES]]*0.21</f>
        <v>0</v>
      </c>
      <c r="J38" s="11"/>
      <c r="K38" s="11"/>
      <c r="L38" s="11"/>
      <c r="N38" s="11"/>
      <c r="O38" s="11">
        <f>Tabla351018263641424448494104114[[#This Row],[COMISIONES]]*0.21</f>
        <v>0</v>
      </c>
      <c r="P38" s="11"/>
      <c r="Q38" s="11"/>
      <c r="R38" s="11"/>
      <c r="T38" s="11"/>
      <c r="U38" s="19">
        <f>Tabla61220283861626468696106116[[#This Row],[COMISIONES]]*0.21</f>
        <v>0</v>
      </c>
      <c r="Z38">
        <v>44645.39</v>
      </c>
      <c r="AA38" s="11">
        <f>Tabla35681321293971727478797107117[[#This Row],[COMISIONES]]*0.21</f>
        <v>9375.5319</v>
      </c>
      <c r="AB38" s="1"/>
      <c r="AC38" s="1"/>
    </row>
    <row r="39" spans="2:31" x14ac:dyDescent="0.25">
      <c r="B39" s="3"/>
      <c r="C39" s="2">
        <f>Tabla1316243221222338292102112[[#This Row],[COMISIONES]]*0.21</f>
        <v>0</v>
      </c>
      <c r="D39" s="3"/>
      <c r="E39" s="3"/>
      <c r="F39" s="3"/>
      <c r="H39" s="11"/>
      <c r="I39" s="11">
        <f>Tabla3917253531323348393103113[[#This Row],[COMISIONES]]*0.21</f>
        <v>0</v>
      </c>
      <c r="J39" s="11"/>
      <c r="K39" s="11"/>
      <c r="L39" s="11"/>
      <c r="N39" s="11"/>
      <c r="O39" s="11">
        <f>Tabla351018263641424448494104114[[#This Row],[COMISIONES]]*0.21</f>
        <v>0</v>
      </c>
      <c r="P39" s="11"/>
      <c r="Q39" s="11"/>
      <c r="R39" s="11"/>
      <c r="T39" s="11"/>
      <c r="U39" s="19">
        <f>Tabla61220283861626468696106116[[#This Row],[COMISIONES]]*0.21</f>
        <v>0</v>
      </c>
      <c r="Z39">
        <v>61906.65</v>
      </c>
      <c r="AA39" s="11">
        <f>Tabla35681321293971727478797107117[[#This Row],[COMISIONES]]*0.21</f>
        <v>13000.396499999999</v>
      </c>
      <c r="AB39" s="21"/>
      <c r="AC39" s="21"/>
      <c r="AD39" s="21"/>
    </row>
    <row r="40" spans="2:31" x14ac:dyDescent="0.25">
      <c r="B40" s="3"/>
      <c r="C40" s="2">
        <f>Tabla1316243221222338292102112[[#This Row],[COMISIONES]]*0.21</f>
        <v>0</v>
      </c>
      <c r="D40" s="3"/>
      <c r="E40" s="3"/>
      <c r="F40" s="3"/>
      <c r="H40" s="11"/>
      <c r="I40" s="11">
        <f>Tabla3917253531323348393103113[[#This Row],[COMISIONES]]*0.21</f>
        <v>0</v>
      </c>
      <c r="J40" s="11"/>
      <c r="K40" s="11"/>
      <c r="L40" s="11"/>
      <c r="N40" s="11"/>
      <c r="O40" s="11">
        <f>Tabla351018263641424448494104114[[#This Row],[COMISIONES]]*0.21</f>
        <v>0</v>
      </c>
      <c r="P40" s="11"/>
      <c r="Q40" s="11"/>
      <c r="R40" s="11"/>
      <c r="T40" s="11"/>
      <c r="U40" s="19">
        <f>Tabla61220283861626468696106116[[#This Row],[COMISIONES]]*0.21</f>
        <v>0</v>
      </c>
      <c r="Z40" s="1">
        <v>957.6</v>
      </c>
      <c r="AA40" s="11">
        <f>Tabla35681321293971727478797107117[[#This Row],[COMISIONES]]*0.21</f>
        <v>201.096</v>
      </c>
      <c r="AB40" s="21"/>
      <c r="AC40" s="21"/>
      <c r="AD40" s="21"/>
    </row>
    <row r="41" spans="2:31" x14ac:dyDescent="0.25">
      <c r="B41" s="3"/>
      <c r="C41" s="2">
        <f>Tabla1316243221222338292102112[[#This Row],[COMISIONES]]*0.21</f>
        <v>0</v>
      </c>
      <c r="D41" s="3"/>
      <c r="E41" s="3"/>
      <c r="F41" s="3"/>
      <c r="H41" s="18"/>
      <c r="I41" s="18">
        <f>Tabla3917253531323348393103113[[#This Row],[COMISIONES]]*0.21</f>
        <v>0</v>
      </c>
      <c r="J41" s="18"/>
      <c r="K41" s="18"/>
      <c r="L41" s="18"/>
      <c r="N41" s="11"/>
      <c r="O41" s="11">
        <f>Tabla351018263641424448494104114[[#This Row],[COMISIONES]]*0.21</f>
        <v>0</v>
      </c>
      <c r="P41" s="11"/>
      <c r="Q41" s="11"/>
      <c r="R41" s="11"/>
      <c r="T41" s="11"/>
      <c r="U41" s="19">
        <f>Tabla61220283861626468696106116[[#This Row],[COMISIONES]]*0.21</f>
        <v>0</v>
      </c>
      <c r="Z41" s="1">
        <v>35556.879999999997</v>
      </c>
      <c r="AA41" s="11">
        <f>Tabla35681321293971727478797107117[[#This Row],[COMISIONES]]*0.21</f>
        <v>7466.9447999999993</v>
      </c>
      <c r="AB41" s="21"/>
      <c r="AC41" s="21"/>
      <c r="AD41" s="21"/>
    </row>
    <row r="42" spans="2:31" x14ac:dyDescent="0.25">
      <c r="B42" s="3"/>
      <c r="C42" s="2">
        <f>Tabla1316243221222338292102112[[#This Row],[COMISIONES]]*0.21</f>
        <v>0</v>
      </c>
      <c r="D42" s="3"/>
      <c r="E42" s="3"/>
      <c r="F42" s="3"/>
      <c r="H42" s="18"/>
      <c r="I42" s="18">
        <f>Tabla3917253531323348393103113[[#This Row],[COMISIONES]]*0.21</f>
        <v>0</v>
      </c>
      <c r="J42" s="18"/>
      <c r="K42" s="18"/>
      <c r="L42" s="18"/>
      <c r="N42" s="11"/>
      <c r="O42" s="11">
        <f>Tabla351018263641424448494104114[[#This Row],[COMISIONES]]*0.21</f>
        <v>0</v>
      </c>
      <c r="P42" s="11"/>
      <c r="Q42" s="11"/>
      <c r="R42" s="11"/>
      <c r="T42" s="11"/>
      <c r="U42" s="19">
        <f>Tabla61220283861626468696106116[[#This Row],[COMISIONES]]*0.21</f>
        <v>0</v>
      </c>
      <c r="Z42">
        <v>4152.8500000000004</v>
      </c>
      <c r="AA42" s="11">
        <f>Tabla35681321293971727478797107117[[#This Row],[COMISIONES]]*0.21</f>
        <v>872.09850000000006</v>
      </c>
      <c r="AB42" s="21"/>
      <c r="AC42" s="21"/>
      <c r="AD42" s="21"/>
    </row>
    <row r="43" spans="2:31" x14ac:dyDescent="0.25">
      <c r="B43" s="3"/>
      <c r="C43" s="2">
        <f>Tabla1316243221222338292102112[[#This Row],[COMISIONES]]*0.21</f>
        <v>0</v>
      </c>
      <c r="D43" s="3"/>
      <c r="E43" s="3"/>
      <c r="F43" s="3"/>
      <c r="G43" s="8"/>
      <c r="H43" s="18"/>
      <c r="I43" s="18">
        <f>Tabla3917253531323348393103113[[#This Row],[COMISIONES]]*0.21</f>
        <v>0</v>
      </c>
      <c r="J43" s="18"/>
      <c r="K43" s="18"/>
      <c r="L43" s="18"/>
      <c r="M43" s="8"/>
      <c r="N43" s="11"/>
      <c r="O43" s="11">
        <f>Tabla351018263641424448494104114[[#This Row],[COMISIONES]]*0.21</f>
        <v>0</v>
      </c>
      <c r="P43" s="11"/>
      <c r="Q43" s="11"/>
      <c r="R43" s="11"/>
      <c r="S43" s="8"/>
      <c r="T43" s="11"/>
      <c r="U43" s="19">
        <f>Tabla61220283861626468696106116[[#This Row],[COMISIONES]]*0.21</f>
        <v>0</v>
      </c>
      <c r="Y43" s="8"/>
      <c r="Z43">
        <v>2075.56</v>
      </c>
      <c r="AA43" s="11">
        <f>Tabla35681321293971727478797107117[[#This Row],[COMISIONES]]*0.21</f>
        <v>435.86759999999998</v>
      </c>
      <c r="AB43" s="21"/>
      <c r="AC43" s="21"/>
      <c r="AD43" s="21"/>
      <c r="AE43" s="8"/>
    </row>
    <row r="44" spans="2:31" x14ac:dyDescent="0.25">
      <c r="B44" s="3"/>
      <c r="C44" s="2">
        <f>Tabla1316243221222338292102112[[#This Row],[COMISIONES]]*0.21</f>
        <v>0</v>
      </c>
      <c r="D44" s="3"/>
      <c r="E44" s="3"/>
      <c r="F44" s="3"/>
      <c r="H44" s="18"/>
      <c r="I44" s="18">
        <f>Tabla3917253531323348393103113[[#This Row],[COMISIONES]]*0.21</f>
        <v>0</v>
      </c>
      <c r="J44" s="18"/>
      <c r="K44" s="18"/>
      <c r="L44" s="18"/>
      <c r="N44" s="11"/>
      <c r="O44" s="11">
        <f>Tabla351018263641424448494104114[[#This Row],[COMISIONES]]*0.21</f>
        <v>0</v>
      </c>
      <c r="P44" s="11"/>
      <c r="Q44" s="11"/>
      <c r="R44" s="11"/>
      <c r="U44" s="19">
        <f>Tabla61220283861626468696106116[[#This Row],[COMISIONES]]*0.21</f>
        <v>0</v>
      </c>
      <c r="Z44" s="1">
        <v>17946.55</v>
      </c>
      <c r="AA44" s="21">
        <f>Tabla35681321293971727478797107117[[#This Row],[COMISIONES]]*0.21</f>
        <v>3768.7754999999997</v>
      </c>
      <c r="AB44" s="21"/>
      <c r="AC44" s="21"/>
      <c r="AD44" s="21"/>
    </row>
    <row r="45" spans="2:31" x14ac:dyDescent="0.25">
      <c r="B45" s="3"/>
      <c r="C45" s="2">
        <f>Tabla1316243221222338292102112[[#This Row],[COMISIONES]]*0.21</f>
        <v>0</v>
      </c>
      <c r="D45" s="3"/>
      <c r="E45" s="3"/>
      <c r="F45" s="3"/>
      <c r="H45" s="18"/>
      <c r="I45" s="18">
        <f>Tabla3917253531323348393103113[[#This Row],[COMISIONES]]*0.21</f>
        <v>0</v>
      </c>
      <c r="J45" s="18"/>
      <c r="K45" s="18"/>
      <c r="L45" s="18"/>
      <c r="N45" s="11"/>
      <c r="O45" s="11">
        <f>Tabla351018263641424448494104114[[#This Row],[COMISIONES]]*0.21</f>
        <v>0</v>
      </c>
      <c r="P45" s="11"/>
      <c r="Q45" s="11"/>
      <c r="R45" s="11"/>
      <c r="U45" s="19">
        <f>Tabla61220283861626468696106116[[#This Row],[COMISIONES]]*0.21</f>
        <v>0</v>
      </c>
      <c r="Z45" s="1">
        <v>5880.04</v>
      </c>
      <c r="AA45" s="21">
        <f>Tabla35681321293971727478797107117[[#This Row],[COMISIONES]]*0.21</f>
        <v>1234.8083999999999</v>
      </c>
      <c r="AB45" s="21"/>
      <c r="AC45" s="21"/>
      <c r="AD45" s="21"/>
    </row>
    <row r="46" spans="2:31" x14ac:dyDescent="0.25">
      <c r="B46" s="3"/>
      <c r="C46" s="2">
        <f>Tabla1316243221222338292102112[[#This Row],[COMISIONES]]*0.21</f>
        <v>0</v>
      </c>
      <c r="D46" s="3"/>
      <c r="E46" s="3"/>
      <c r="F46" s="3"/>
      <c r="H46" s="18"/>
      <c r="I46" s="18">
        <f>Tabla3917253531323348393103113[[#This Row],[COMISIONES]]*0.21</f>
        <v>0</v>
      </c>
      <c r="J46" s="18"/>
      <c r="K46" s="18"/>
      <c r="L46" s="18"/>
      <c r="N46" s="11"/>
      <c r="O46" s="11">
        <f>Tabla351018263641424448494104114[[#This Row],[COMISIONES]]*0.21</f>
        <v>0</v>
      </c>
      <c r="P46" s="11"/>
      <c r="Q46" s="11"/>
      <c r="R46" s="11"/>
      <c r="U46" s="19">
        <f>Tabla61220283861626468696106116[[#This Row],[COMISIONES]]*0.21</f>
        <v>0</v>
      </c>
      <c r="Z46">
        <v>947.56</v>
      </c>
      <c r="AA46" s="21">
        <f>Tabla35681321293971727478797107117[[#This Row],[COMISIONES]]*0.21</f>
        <v>198.98759999999999</v>
      </c>
      <c r="AB46" s="21"/>
      <c r="AC46" s="21"/>
      <c r="AD46" s="21"/>
    </row>
    <row r="47" spans="2:31" x14ac:dyDescent="0.25">
      <c r="B47" s="3"/>
      <c r="C47" s="2">
        <f>Tabla1316243221222338292102112[[#This Row],[COMISIONES]]*0.21</f>
        <v>0</v>
      </c>
      <c r="D47" s="3"/>
      <c r="E47" s="3"/>
      <c r="F47" s="3"/>
      <c r="H47" s="18"/>
      <c r="I47" s="18">
        <f>Tabla3917253531323348393103113[[#This Row],[COMISIONES]]*0.21</f>
        <v>0</v>
      </c>
      <c r="J47" s="18"/>
      <c r="K47" s="18"/>
      <c r="L47" s="18"/>
      <c r="N47" s="11"/>
      <c r="O47" s="11">
        <f>Tabla351018263641424448494104114[[#This Row],[COMISIONES]]*0.21</f>
        <v>0</v>
      </c>
      <c r="P47" s="11"/>
      <c r="Q47" s="11"/>
      <c r="R47" s="11"/>
      <c r="U47" s="19">
        <f>Tabla61220283861626468696106116[[#This Row],[COMISIONES]]*0.21</f>
        <v>0</v>
      </c>
      <c r="Z47">
        <v>39440.44</v>
      </c>
      <c r="AA47" s="21">
        <f>Tabla35681321293971727478797107117[[#This Row],[COMISIONES]]*0.21</f>
        <v>8282.492400000001</v>
      </c>
      <c r="AB47" s="21"/>
      <c r="AC47" s="21"/>
      <c r="AD47" s="21"/>
    </row>
    <row r="48" spans="2:31" x14ac:dyDescent="0.25">
      <c r="B48" s="3"/>
      <c r="C48" s="2">
        <f>Tabla1316243221222338292102112[[#This Row],[COMISIONES]]*0.21</f>
        <v>0</v>
      </c>
      <c r="D48" s="3"/>
      <c r="E48" s="3"/>
      <c r="F48" s="3"/>
      <c r="H48" s="18"/>
      <c r="I48" s="18">
        <f>Tabla3917253531323348393103113[[#This Row],[COMISIONES]]*0.21</f>
        <v>0</v>
      </c>
      <c r="J48" s="18"/>
      <c r="K48" s="18"/>
      <c r="L48" s="18"/>
      <c r="N48" s="11"/>
      <c r="O48" s="11">
        <f>Tabla351018263641424448494104114[[#This Row],[COMISIONES]]*0.21</f>
        <v>0</v>
      </c>
      <c r="P48" s="11"/>
      <c r="Q48" s="11"/>
      <c r="R48" s="11"/>
      <c r="U48" s="19">
        <f>Tabla61220283861626468696106116[[#This Row],[COMISIONES]]*0.21</f>
        <v>0</v>
      </c>
      <c r="Z48" s="1">
        <v>8499.7000000000007</v>
      </c>
      <c r="AA48" s="21">
        <f>Tabla35681321293971727478797107117[[#This Row],[COMISIONES]]*0.21</f>
        <v>1784.9370000000001</v>
      </c>
      <c r="AB48" s="21"/>
      <c r="AC48" s="21"/>
      <c r="AD48" s="21"/>
    </row>
    <row r="49" spans="1:41" x14ac:dyDescent="0.25">
      <c r="B49" s="3"/>
      <c r="C49" s="2">
        <f>Tabla1316243221222338292102112[[#This Row],[COMISIONES]]*0.21</f>
        <v>0</v>
      </c>
      <c r="D49" s="3"/>
      <c r="E49" s="3"/>
      <c r="F49" s="3"/>
      <c r="H49" s="18"/>
      <c r="I49" s="18">
        <f>Tabla3917253531323348393103113[[#This Row],[COMISIONES]]*0.21</f>
        <v>0</v>
      </c>
      <c r="J49" s="18"/>
      <c r="K49" s="18"/>
      <c r="L49" s="18"/>
      <c r="N49" s="11"/>
      <c r="O49" s="11">
        <f>Tabla351018263641424448494104114[[#This Row],[COMISIONES]]*0.21</f>
        <v>0</v>
      </c>
      <c r="P49" s="11"/>
      <c r="Q49" s="11"/>
      <c r="R49" s="11"/>
      <c r="U49" s="19">
        <f>Tabla61220283861626468696106116[[#This Row],[COMISIONES]]*0.21</f>
        <v>0</v>
      </c>
      <c r="Z49">
        <v>579.6</v>
      </c>
      <c r="AA49" s="21">
        <f>Tabla35681321293971727478797107117[[#This Row],[COMISIONES]]*0.21</f>
        <v>121.71599999999999</v>
      </c>
      <c r="AB49" s="1"/>
      <c r="AC49" s="21"/>
      <c r="AD49" s="21"/>
    </row>
    <row r="50" spans="1:41" s="6" customFormat="1" x14ac:dyDescent="0.25">
      <c r="A50"/>
      <c r="B50" s="3"/>
      <c r="C50" s="2">
        <f>Tabla1316243221222338292102112[[#This Row],[COMISIONES]]*0.21</f>
        <v>0</v>
      </c>
      <c r="D50" s="3"/>
      <c r="E50" s="3"/>
      <c r="F50" s="3"/>
      <c r="H50" s="18"/>
      <c r="I50" s="18">
        <f>Tabla3917253531323348393103113[[#This Row],[COMISIONES]]*0.21</f>
        <v>0</v>
      </c>
      <c r="J50" s="18"/>
      <c r="K50" s="18"/>
      <c r="L50" s="18"/>
      <c r="N50" s="11"/>
      <c r="O50" s="11">
        <f>Tabla351018263641424448494104114[[#This Row],[COMISIONES]]*0.21</f>
        <v>0</v>
      </c>
      <c r="P50" s="11"/>
      <c r="Q50" s="11"/>
      <c r="R50" s="11"/>
      <c r="T50"/>
      <c r="U50" s="19">
        <f>Tabla61220283861626468696106116[[#This Row],[COMISIONES]]*0.21</f>
        <v>0</v>
      </c>
      <c r="V50"/>
      <c r="W50"/>
      <c r="X50"/>
      <c r="Z50">
        <v>655.92</v>
      </c>
      <c r="AA50" s="21">
        <f>Tabla35681321293971727478797107117[[#This Row],[COMISIONES]]*0.21</f>
        <v>137.74319999999997</v>
      </c>
      <c r="AB50" s="21"/>
      <c r="AC50" s="21"/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Tabla1316243221222338292102112[[#This Row],[COMISIONES]]*0.21</f>
        <v>0</v>
      </c>
      <c r="D51" s="2"/>
      <c r="E51" s="2"/>
      <c r="F51"/>
      <c r="H51" s="18"/>
      <c r="I51" s="18">
        <f>Tabla3917253531323348393103113[[#This Row],[COMISIONES]]*0.21</f>
        <v>0</v>
      </c>
      <c r="J51" s="18"/>
      <c r="K51" s="18"/>
      <c r="L51" s="18"/>
      <c r="N51" s="11"/>
      <c r="O51" s="11">
        <f>Tabla351018263641424448494104114[[#This Row],[COMISIONES]]*0.21</f>
        <v>0</v>
      </c>
      <c r="P51" s="11"/>
      <c r="Q51" s="11"/>
      <c r="R51" s="11"/>
      <c r="T51"/>
      <c r="U51" s="19">
        <f>Tabla61220283861626468696106116[[#This Row],[COMISIONES]]*0.21</f>
        <v>0</v>
      </c>
      <c r="V51"/>
      <c r="W51"/>
      <c r="X51"/>
      <c r="Z51">
        <v>73641.31</v>
      </c>
      <c r="AA51" s="21">
        <f>Tabla35681321293971727478797107117[[#This Row],[COMISIONES]]*0.21</f>
        <v>15464.675099999999</v>
      </c>
      <c r="AB51" s="21"/>
      <c r="AC51" s="21"/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Tabla1316243221222338292102112[[#This Row],[COMISIONES]]*0.21</f>
        <v>0</v>
      </c>
      <c r="D52" s="2"/>
      <c r="E52" s="2"/>
      <c r="F52"/>
      <c r="H52" s="18"/>
      <c r="I52" s="18">
        <f>Tabla3917253531323348393103113[[#This Row],[COMISIONES]]*0.21</f>
        <v>0</v>
      </c>
      <c r="J52" s="18"/>
      <c r="K52" s="18"/>
      <c r="L52" s="18"/>
      <c r="N52" s="11"/>
      <c r="O52" s="11">
        <f>Tabla351018263641424448494104114[[#This Row],[COMISIONES]]*0.21</f>
        <v>0</v>
      </c>
      <c r="P52" s="11"/>
      <c r="Q52" s="11"/>
      <c r="R52" s="11"/>
      <c r="T52"/>
      <c r="U52" s="19">
        <f>Tabla61220283861626468696106116[[#This Row],[COMISIONES]]*0.21</f>
        <v>0</v>
      </c>
      <c r="V52"/>
      <c r="W52"/>
      <c r="X52"/>
      <c r="Z52" s="1">
        <v>6851.35</v>
      </c>
      <c r="AA52" s="21">
        <f>Tabla35681321293971727478797107117[[#This Row],[COMISIONES]]*0.21</f>
        <v>1438.7835</v>
      </c>
      <c r="AB52" s="21"/>
      <c r="AC52" s="21"/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Tabla1316243221222338292102112[[#This Row],[COMISIONES]]*0.21</f>
        <v>0</v>
      </c>
      <c r="D53" s="2"/>
      <c r="E53" s="2"/>
      <c r="F53"/>
      <c r="H53" s="24">
        <f>SUBTOTAL(109,Tabla3917253531323348393103113[COMISIONES])</f>
        <v>0</v>
      </c>
      <c r="I53" s="24">
        <f>SUBTOTAL(109,Tabla3917253531323348393103113[IVA 21])</f>
        <v>0</v>
      </c>
      <c r="J53" s="24">
        <f>SUBTOTAL(109,Tabla3917253531323348393103113[IVA 10,5])</f>
        <v>0</v>
      </c>
      <c r="K53" s="24">
        <f>SUBTOTAL(109,Tabla3917253531323348393103113[Ret IIBB Caba])</f>
        <v>0</v>
      </c>
      <c r="L53" s="24">
        <f>SUBTOTAL(109,Tabla3917253531323348393103113[PERC IVA])</f>
        <v>0</v>
      </c>
      <c r="N53" s="11"/>
      <c r="O53" s="11">
        <f>Tabla351018263641424448494104114[[#This Row],[COMISIONES]]*0.21</f>
        <v>0</v>
      </c>
      <c r="P53" s="11"/>
      <c r="Q53" s="11"/>
      <c r="R53" s="11"/>
      <c r="T53"/>
      <c r="U53" s="19">
        <f>Tabla61220283861626468696106116[[#This Row],[COMISIONES]]*0.21</f>
        <v>0</v>
      </c>
      <c r="V53"/>
      <c r="W53"/>
      <c r="X53"/>
      <c r="Z53" s="1">
        <v>4054.47</v>
      </c>
      <c r="AA53" s="21">
        <f>Tabla35681321293971727478797107117[[#This Row],[COMISIONES]]*0.21</f>
        <v>851.43869999999993</v>
      </c>
      <c r="AB53" s="1"/>
      <c r="AC53" s="21"/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Tabla1316243221222338292102112[[#This Row],[COMISIONES]]*0.21</f>
        <v>0</v>
      </c>
      <c r="D54" s="2"/>
      <c r="E54" s="2"/>
      <c r="F54"/>
      <c r="H54" s="41" t="s">
        <v>29</v>
      </c>
      <c r="I54" s="41"/>
      <c r="J54" s="41"/>
      <c r="K54" s="41"/>
      <c r="L54" s="41"/>
      <c r="N54" s="11"/>
      <c r="O54" s="11">
        <f>Tabla351018263641424448494104114[[#This Row],[COMISIONES]]*0.21</f>
        <v>0</v>
      </c>
      <c r="P54" s="11"/>
      <c r="Q54" s="11"/>
      <c r="R54" s="11"/>
      <c r="T54"/>
      <c r="U54" s="19">
        <f>Tabla61220283861626468696106116[[#This Row],[COMISIONES]]*0.21</f>
        <v>0</v>
      </c>
      <c r="V54"/>
      <c r="W54"/>
      <c r="X54"/>
      <c r="Z54" s="1">
        <v>77282.98</v>
      </c>
      <c r="AA54" s="21">
        <f>Tabla35681321293971727478797107117[[#This Row],[COMISIONES]]*0.21</f>
        <v>16229.425799999999</v>
      </c>
      <c r="AB54" s="21"/>
      <c r="AC54" s="1"/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Tabla1316243221222338292102112[[#This Row],[COMISIONES]]*0.21</f>
        <v>0</v>
      </c>
      <c r="D55" s="2"/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Tabla351018263641424448494104114[[#This Row],[COMISIONES]]*0.21</f>
        <v>0</v>
      </c>
      <c r="P55" s="11"/>
      <c r="Q55" s="11"/>
      <c r="R55" s="11"/>
      <c r="T55"/>
      <c r="U55" s="19">
        <f>Tabla61220283861626468696106116[[#This Row],[COMISIONES]]*0.21</f>
        <v>0</v>
      </c>
      <c r="V55"/>
      <c r="W55"/>
      <c r="X55"/>
      <c r="Z55">
        <v>6488.3</v>
      </c>
      <c r="AA55" s="21">
        <f>Tabla35681321293971727478797107117[[#This Row],[COMISIONES]]*0.21</f>
        <v>1362.5429999999999</v>
      </c>
      <c r="AB55"/>
      <c r="AC55" s="1"/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Tabla1316243221222338292102112[[#This Row],[COMISIONES]]*0.21</f>
        <v>0</v>
      </c>
      <c r="D56" s="2"/>
      <c r="E56" s="2"/>
      <c r="F56"/>
      <c r="H56" s="1">
        <v>5619.83</v>
      </c>
      <c r="I56" s="11">
        <f>Tabla391523314191929498999109119[[#This Row],[COMISIONES]]*0.21</f>
        <v>1180.1642999999999</v>
      </c>
      <c r="J56" s="11"/>
      <c r="K56" s="11"/>
      <c r="L56" s="1"/>
      <c r="N56" s="11"/>
      <c r="O56" s="11">
        <f>Tabla351018263641424448494104114[[#This Row],[COMISIONES]]*0.21</f>
        <v>0</v>
      </c>
      <c r="P56" s="11"/>
      <c r="Q56" s="11"/>
      <c r="R56" s="11"/>
      <c r="T56"/>
      <c r="U56" s="19">
        <f>Tabla61220283861626468696106116[[#This Row],[COMISIONES]]*0.21</f>
        <v>0</v>
      </c>
      <c r="V56"/>
      <c r="W56"/>
      <c r="X56"/>
      <c r="Z56">
        <v>826.96</v>
      </c>
      <c r="AA56" s="21">
        <f>Tabla35681321293971727478797107117[[#This Row],[COMISIONES]]*0.21</f>
        <v>173.66159999999999</v>
      </c>
      <c r="AB56" s="21"/>
      <c r="AC56"/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Tabla1316243221222338292102112[[#This Row],[COMISIONES]]*0.21</f>
        <v>0</v>
      </c>
      <c r="D57" s="2"/>
      <c r="E57" s="2"/>
      <c r="F57"/>
      <c r="H57" s="11"/>
      <c r="I57" s="11">
        <f>Tabla391523314191929498999109119[[#This Row],[COMISIONES]]*0.21</f>
        <v>0</v>
      </c>
      <c r="J57" s="11"/>
      <c r="K57" s="11"/>
      <c r="L57" s="21"/>
      <c r="N57" s="11"/>
      <c r="O57" s="11">
        <f>Tabla351018263641424448494104114[[#This Row],[COMISIONES]]*0.21</f>
        <v>0</v>
      </c>
      <c r="P57" s="11"/>
      <c r="Q57" s="11"/>
      <c r="R57" s="11"/>
      <c r="T57"/>
      <c r="U57" s="19">
        <f>Tabla61220283861626468696106116[[#This Row],[COMISIONES]]*0.21</f>
        <v>0</v>
      </c>
      <c r="V57"/>
      <c r="W57"/>
      <c r="X57"/>
      <c r="Z57">
        <v>884.9</v>
      </c>
      <c r="AA57" s="21">
        <f>Tabla35681321293971727478797107117[[#This Row],[COMISIONES]]*0.21</f>
        <v>185.82899999999998</v>
      </c>
      <c r="AB57" s="21"/>
      <c r="AC57" s="21"/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Tabla1316243221222338292102112[[#This Row],[COMISIONES]]*0.21</f>
        <v>0</v>
      </c>
      <c r="D58" s="1"/>
      <c r="E58" s="2"/>
      <c r="F58"/>
      <c r="H58" s="11"/>
      <c r="I58" s="11">
        <f>Tabla391523314191929498999109119[[#This Row],[COMISIONES]]*0.21</f>
        <v>0</v>
      </c>
      <c r="J58" s="11"/>
      <c r="K58" s="11"/>
      <c r="L58" s="11"/>
      <c r="N58" s="11"/>
      <c r="O58" s="11">
        <f>Tabla351018263641424448494104114[[#This Row],[COMISIONES]]*0.21</f>
        <v>0</v>
      </c>
      <c r="P58" s="11"/>
      <c r="Q58" s="11"/>
      <c r="R58" s="11"/>
      <c r="T58"/>
      <c r="U58" s="19">
        <f>Tabla61220283861626468696106116[[#This Row],[COMISIONES]]*0.21</f>
        <v>0</v>
      </c>
      <c r="V58"/>
      <c r="W58"/>
      <c r="X58"/>
      <c r="Z58">
        <v>5486.67</v>
      </c>
      <c r="AA58" s="21">
        <f>Tabla35681321293971727478797107117[[#This Row],[COMISIONES]]*0.21</f>
        <v>1152.2006999999999</v>
      </c>
      <c r="AB58" s="21"/>
      <c r="AC58" s="21"/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Tabla1316243221222338292102112[[#This Row],[COMISIONES]]*0.21</f>
        <v>0</v>
      </c>
      <c r="D59" s="2"/>
      <c r="E59" s="2"/>
      <c r="F59"/>
      <c r="H59" s="11"/>
      <c r="I59" s="11">
        <f>Tabla391523314191929498999109119[[#This Row],[COMISIONES]]*0.21</f>
        <v>0</v>
      </c>
      <c r="J59" s="11"/>
      <c r="K59" s="11"/>
      <c r="L59" s="11"/>
      <c r="N59" s="11"/>
      <c r="O59" s="11">
        <f>Tabla351018263641424448494104114[[#This Row],[COMISIONES]]*0.21</f>
        <v>0</v>
      </c>
      <c r="P59" s="11"/>
      <c r="Q59" s="11"/>
      <c r="R59" s="11"/>
      <c r="T59"/>
      <c r="U59" s="19">
        <f>Tabla61220283861626468696106116[[#This Row],[COMISIONES]]*0.21</f>
        <v>0</v>
      </c>
      <c r="V59"/>
      <c r="W59"/>
      <c r="X59"/>
      <c r="Z59">
        <v>267.48</v>
      </c>
      <c r="AA59" s="21">
        <f>Tabla35681321293971727478797107117[[#This Row],[COMISIONES]]*0.21</f>
        <v>56.1708</v>
      </c>
      <c r="AB59" s="21"/>
      <c r="AC59" s="21"/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Tabla1316243221222338292102112[[#This Row],[COMISIONES]]*0.21</f>
        <v>0</v>
      </c>
      <c r="D60" s="2"/>
      <c r="E60" s="2"/>
      <c r="F60"/>
      <c r="H60" s="11"/>
      <c r="I60" s="11">
        <f>Tabla391523314191929498999109119[[#This Row],[COMISIONES]]*0.21</f>
        <v>0</v>
      </c>
      <c r="J60" s="11"/>
      <c r="K60" s="11"/>
      <c r="L60" s="11"/>
      <c r="N60" s="11"/>
      <c r="O60" s="11">
        <f>Tabla351018263641424448494104114[[#This Row],[COMISIONES]]*0.21</f>
        <v>0</v>
      </c>
      <c r="P60" s="11"/>
      <c r="Q60" s="11"/>
      <c r="R60" s="11"/>
      <c r="T60"/>
      <c r="U60" s="19">
        <f>Tabla61220283861626468696106116[[#This Row],[COMISIONES]]*0.21</f>
        <v>0</v>
      </c>
      <c r="V60"/>
      <c r="W60"/>
      <c r="X60"/>
      <c r="Z60">
        <v>208709.93</v>
      </c>
      <c r="AA60" s="21">
        <f>Tabla35681321293971727478797107117[[#This Row],[COMISIONES]]*0.21</f>
        <v>43829.085299999999</v>
      </c>
      <c r="AB60" s="21"/>
      <c r="AC60" s="21"/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SUBTOTAL(109,Tabla1316243221222338292102112[COMISIONES])</f>
        <v>0</v>
      </c>
      <c r="C61" s="4">
        <f>SUBTOTAL(109,Tabla1316243221222338292102112[IVA 21])</f>
        <v>0</v>
      </c>
      <c r="D61" s="4">
        <f>SUBTOTAL(109,Tabla1316243221222338292102112[IVA 10,5])</f>
        <v>0</v>
      </c>
      <c r="E61" s="4">
        <f>SUBTOTAL(109,Tabla1316243221222338292102112[Ret IIBB Caba])</f>
        <v>0</v>
      </c>
      <c r="F61" s="4">
        <f>SUBTOTAL(109,Tabla1316243221222338292102112[PERC IVA])</f>
        <v>0</v>
      </c>
      <c r="H61" s="11"/>
      <c r="I61" s="11">
        <f>Tabla391523314191929498999109119[[#This Row],[COMISIONES]]*0.21</f>
        <v>0</v>
      </c>
      <c r="J61" s="11"/>
      <c r="K61" s="11"/>
      <c r="L61" s="11"/>
      <c r="N61" s="11"/>
      <c r="O61" s="11">
        <f>Tabla351018263641424448494104114[[#This Row],[COMISIONES]]*0.21</f>
        <v>0</v>
      </c>
      <c r="P61" s="11"/>
      <c r="Q61" s="11"/>
      <c r="R61" s="11"/>
      <c r="T61"/>
      <c r="U61" s="19">
        <f>Tabla61220283861626468696106116[[#This Row],[COMISIONES]]*0.21</f>
        <v>0</v>
      </c>
      <c r="V61"/>
      <c r="W61"/>
      <c r="X61"/>
      <c r="Z61">
        <v>3639.15</v>
      </c>
      <c r="AA61" s="21">
        <f>Tabla35681321293971727478797107117[[#This Row],[COMISIONES]]*0.21</f>
        <v>764.22149999999999</v>
      </c>
      <c r="AB61" s="21"/>
      <c r="AC61" s="21"/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Tabla391523314191929498999109119[[#This Row],[COMISIONES]]*0.21</f>
        <v>0</v>
      </c>
      <c r="J62" s="11"/>
      <c r="K62" s="11"/>
      <c r="L62" s="11"/>
      <c r="N62" s="11"/>
      <c r="O62" s="11">
        <f>Tabla351018263641424448494104114[[#This Row],[COMISIONES]]*0.21</f>
        <v>0</v>
      </c>
      <c r="P62" s="11"/>
      <c r="Q62" s="11"/>
      <c r="R62" s="11"/>
      <c r="T62" s="17">
        <f>SUBTOTAL(109,Tabla61220283861626468696106116[COMISIONES])</f>
        <v>0</v>
      </c>
      <c r="U62" s="17">
        <f>SUBTOTAL(109,Tabla61220283861626468696106116[IVA 21])</f>
        <v>0</v>
      </c>
      <c r="V62" s="17">
        <f>SUBTOTAL(109,Tabla61220283861626468696106116[IVA 10,5])</f>
        <v>0</v>
      </c>
      <c r="W62" s="17">
        <f>SUBTOTAL(109,Tabla61220283861626468696106116[Ret IIBB Caba])</f>
        <v>0</v>
      </c>
      <c r="X62" s="17">
        <f>SUBTOTAL(109,Tabla61220283861626468696106116[PERC IVA])</f>
        <v>0</v>
      </c>
      <c r="Z62">
        <v>295.8</v>
      </c>
      <c r="AA62" s="21">
        <f>Tabla35681321293971727478797107117[[#This Row],[COMISIONES]]*0.21</f>
        <v>62.118000000000002</v>
      </c>
      <c r="AB62" s="21"/>
      <c r="AC62" s="21"/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Tabla391523314191929498999109119[[#This Row],[COMISIONES]]*0.21</f>
        <v>0</v>
      </c>
      <c r="J63" s="11"/>
      <c r="K63" s="11"/>
      <c r="L63" s="11"/>
      <c r="N63" s="11"/>
      <c r="O63" s="11">
        <f>Tabla351018263641424448494104114[[#This Row],[COMISIONES]]*0.21</f>
        <v>0</v>
      </c>
      <c r="P63" s="11"/>
      <c r="Q63" s="11"/>
      <c r="R63" s="11"/>
      <c r="T63"/>
      <c r="U63"/>
      <c r="V63"/>
      <c r="W63"/>
      <c r="X63"/>
      <c r="Z63">
        <v>1418</v>
      </c>
      <c r="AA63" s="21">
        <f>Tabla35681321293971727478797107117[[#This Row],[COMISIONES]]*0.21</f>
        <v>297.77999999999997</v>
      </c>
      <c r="AB63" s="21"/>
      <c r="AC63" s="21"/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Tabla391523314191929498999109119[[#This Row],[COMISIONES]]*0.21</f>
        <v>0</v>
      </c>
      <c r="J64" s="11"/>
      <c r="K64" s="11"/>
      <c r="L64" s="11"/>
      <c r="N64" s="11"/>
      <c r="O64" s="11">
        <f>Tabla351018263641424448494104114[[#This Row],[COMISIONES]]*0.21</f>
        <v>0</v>
      </c>
      <c r="P64" s="11"/>
      <c r="Q64" s="11"/>
      <c r="R64" s="11"/>
      <c r="T64" s="41" t="s">
        <v>31</v>
      </c>
      <c r="U64" s="41"/>
      <c r="V64" s="41"/>
      <c r="W64" s="41"/>
      <c r="X64" s="41"/>
      <c r="Z64">
        <v>51675.519999999997</v>
      </c>
      <c r="AA64" s="21">
        <f>Tabla35681321293971727478797107117[[#This Row],[COMISIONES]]*0.21</f>
        <v>10851.859199999999</v>
      </c>
      <c r="AB64" s="1"/>
      <c r="AC64" s="21"/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Tabla391523314191929498999109119[[#This Row],[COMISIONES]]*0.21</f>
        <v>0</v>
      </c>
      <c r="J65" s="11"/>
      <c r="K65" s="11"/>
      <c r="L65" s="11"/>
      <c r="N65" s="11"/>
      <c r="O65" s="11">
        <f>Tabla351018263641424448494104114[[#This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>
        <v>9354.4500000000007</v>
      </c>
      <c r="AA65" s="21">
        <f>Tabla35681321293971727478797107117[[#This Row],[COMISIONES]]*0.21</f>
        <v>1964.4345000000001</v>
      </c>
      <c r="AB65" s="21"/>
      <c r="AC65" s="21"/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Tabla391523314191929498999109119[[#This Row],[COMISIONES]]*0.21</f>
        <v>0</v>
      </c>
      <c r="J66" s="11"/>
      <c r="K66" s="11"/>
      <c r="L66" s="11"/>
      <c r="N66" s="11"/>
      <c r="O66" s="11">
        <f>Tabla351018263641424448494104114[[#This Row],[COMISIONES]]*0.21</f>
        <v>0</v>
      </c>
      <c r="P66" s="11"/>
      <c r="Q66" s="11"/>
      <c r="R66" s="11"/>
      <c r="T66" s="11"/>
      <c r="U66" s="11">
        <f>Tabla612202833421020305090100110120[[#This Row],[COMISIONES]]*0.21</f>
        <v>0</v>
      </c>
      <c r="V66" s="11"/>
      <c r="W66" s="1"/>
      <c r="X66" s="11"/>
      <c r="Z66">
        <v>1206.56</v>
      </c>
      <c r="AA66" s="21">
        <f>Tabla35681321293971727478797107117[[#This Row],[COMISIONES]]*0.21</f>
        <v>253.37759999999997</v>
      </c>
      <c r="AB66" s="21"/>
      <c r="AC66" s="21"/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Tabla391523314191929498999109119[[#This Row],[COMISIONES]]*0.21</f>
        <v>0</v>
      </c>
      <c r="J67" s="11"/>
      <c r="K67" s="11"/>
      <c r="L67" s="11"/>
      <c r="N67" s="18"/>
      <c r="O67" s="11">
        <f>Tabla351018263641424448494104114[[#This Row],[COMISIONES]]*0.21</f>
        <v>0</v>
      </c>
      <c r="P67" s="18"/>
      <c r="Q67" s="18"/>
      <c r="R67" s="18"/>
      <c r="T67" s="11"/>
      <c r="U67" s="11">
        <f>Tabla612202833421020305090100110120[[#This Row],[COMISIONES]]*0.21</f>
        <v>0</v>
      </c>
      <c r="V67" s="11"/>
      <c r="W67" s="11"/>
      <c r="X67" s="11"/>
      <c r="Z67">
        <v>26101.9</v>
      </c>
      <c r="AA67" s="21">
        <f>Tabla35681321293971727478797107117[[#This Row],[COMISIONES]]*0.21</f>
        <v>5481.3990000000003</v>
      </c>
      <c r="AB67" s="21"/>
      <c r="AC67" s="21"/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Tabla391523314191929498999109119[[#This Row],[COMISIONES]]*0.21</f>
        <v>0</v>
      </c>
      <c r="J68" s="11"/>
      <c r="K68" s="11"/>
      <c r="L68" s="11"/>
      <c r="N68" s="18"/>
      <c r="O68" s="11">
        <f>Tabla351018263641424448494104114[[#This Row],[COMISIONES]]*0.21</f>
        <v>0</v>
      </c>
      <c r="P68" s="18"/>
      <c r="Q68" s="18"/>
      <c r="R68" s="18"/>
      <c r="T68" s="11"/>
      <c r="U68" s="19">
        <f>Tabla612202833421020305090100110120[[#This Row],[COMISIONES]]*0.21</f>
        <v>0</v>
      </c>
      <c r="V68"/>
      <c r="W68" s="1"/>
      <c r="X68"/>
      <c r="Z68">
        <v>15006.05</v>
      </c>
      <c r="AA68" s="21">
        <f>Tabla35681321293971727478797107117[[#This Row],[COMISIONES]]*0.21</f>
        <v>3151.2704999999996</v>
      </c>
      <c r="AB68" s="21"/>
      <c r="AC68" s="21"/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Tabla391523314191929498999109119[[#This Row],[COMISIONES]]*0.21</f>
        <v>0</v>
      </c>
      <c r="J69" s="11"/>
      <c r="K69" s="11"/>
      <c r="L69" s="11"/>
      <c r="N69" s="18"/>
      <c r="O69" s="11">
        <f>Tabla351018263641424448494104114[[#This Row],[COMISIONES]]*0.21</f>
        <v>0</v>
      </c>
      <c r="P69" s="18"/>
      <c r="Q69" s="18"/>
      <c r="R69" s="18"/>
      <c r="T69" s="11"/>
      <c r="U69" s="19">
        <f>Tabla612202833421020305090100110120[[#This Row],[COMISIONES]]*0.21</f>
        <v>0</v>
      </c>
      <c r="V69"/>
      <c r="W69"/>
      <c r="X69"/>
      <c r="Z69">
        <v>1630.24</v>
      </c>
      <c r="AA69" s="21">
        <f>Tabla35681321293971727478797107117[[#This Row],[COMISIONES]]*0.21</f>
        <v>342.35039999999998</v>
      </c>
      <c r="AB69" s="21"/>
      <c r="AC69" s="21"/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Tabla391523314191929498999109119[[#This Row],[COMISIONES]]*0.21</f>
        <v>0</v>
      </c>
      <c r="J70" s="11"/>
      <c r="K70" s="11"/>
      <c r="L70" s="11"/>
      <c r="N70" s="18"/>
      <c r="O70" s="11">
        <f>Tabla351018263641424448494104114[[#This Row],[COMISIONES]]*0.21</f>
        <v>0</v>
      </c>
      <c r="P70" s="18"/>
      <c r="Q70" s="18"/>
      <c r="R70" s="18"/>
      <c r="T70" s="11"/>
      <c r="U70" s="19">
        <f>Tabla612202833421020305090100110120[[#This Row],[COMISIONES]]*0.21</f>
        <v>0</v>
      </c>
      <c r="V70"/>
      <c r="W70"/>
      <c r="X70"/>
      <c r="Z70">
        <v>39283.42</v>
      </c>
      <c r="AA70" s="21">
        <f>Tabla35681321293971727478797107117[[#This Row],[COMISIONES]]*0.21</f>
        <v>8249.5181999999986</v>
      </c>
      <c r="AB70" s="21"/>
      <c r="AC70" s="21"/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Tabla391523314191929498999109119[[#This Row],[COMISIONES]]*0.21</f>
        <v>0</v>
      </c>
      <c r="J71" s="11"/>
      <c r="K71" s="11"/>
      <c r="L71" s="11"/>
      <c r="N71" s="18"/>
      <c r="O71" s="11">
        <f>Tabla351018263641424448494104114[[#This Row],[COMISIONES]]*0.21</f>
        <v>0</v>
      </c>
      <c r="P71" s="18"/>
      <c r="Q71" s="18"/>
      <c r="R71" s="18"/>
      <c r="T71" s="11"/>
      <c r="U71" s="19">
        <f>Tabla612202833421020305090100110120[[#This Row],[COMISIONES]]*0.21</f>
        <v>0</v>
      </c>
      <c r="V71"/>
      <c r="W71"/>
      <c r="X71"/>
      <c r="Z71">
        <v>5623.47</v>
      </c>
      <c r="AA71" s="21">
        <f>Tabla35681321293971727478797107117[[#This Row],[COMISIONES]]*0.21</f>
        <v>1180.9286999999999</v>
      </c>
      <c r="AB71" s="21"/>
      <c r="AC71" s="21"/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Tabla391523314191929498999109119[[#This Row],[COMISIONES]]*0.21</f>
        <v>0</v>
      </c>
      <c r="J72" s="11"/>
      <c r="K72" s="11"/>
      <c r="L72" s="11"/>
      <c r="N72" s="18"/>
      <c r="O72" s="11">
        <f>Tabla351018263641424448494104114[[#This Row],[COMISIONES]]*0.21</f>
        <v>0</v>
      </c>
      <c r="P72" s="18"/>
      <c r="Q72" s="18"/>
      <c r="R72" s="18"/>
      <c r="T72" s="11"/>
      <c r="U72" s="19">
        <f>Tabla612202833421020305090100110120[[#This Row],[COMISIONES]]*0.21</f>
        <v>0</v>
      </c>
      <c r="V72"/>
      <c r="W72"/>
      <c r="X72"/>
      <c r="Z72" s="1">
        <v>126.4</v>
      </c>
      <c r="AA72" s="21">
        <f>Tabla35681321293971727478797107117[[#This Row],[COMISIONES]]*0.21</f>
        <v>26.544</v>
      </c>
      <c r="AB72" s="21"/>
      <c r="AC72" s="21"/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Tabla391523314191929498999109119[[#This Row],[COMISIONES]]*0.21</f>
        <v>0</v>
      </c>
      <c r="J73" s="11"/>
      <c r="K73" s="11"/>
      <c r="L73" s="11"/>
      <c r="N73" s="18"/>
      <c r="O73" s="11">
        <f>Tabla351018263641424448494104114[[#This Row],[COMISIONES]]*0.21</f>
        <v>0</v>
      </c>
      <c r="P73" s="18"/>
      <c r="Q73" s="18"/>
      <c r="R73" s="18"/>
      <c r="T73" s="11"/>
      <c r="U73" s="19">
        <f>Tabla612202833421020305090100110120[[#This Row],[COMISIONES]]*0.21</f>
        <v>0</v>
      </c>
      <c r="V73"/>
      <c r="W73"/>
      <c r="X73"/>
      <c r="Z73" s="1">
        <v>11121.47</v>
      </c>
      <c r="AA73" s="21">
        <f>Tabla35681321293971727478797107117[[#This Row],[COMISIONES]]*0.21</f>
        <v>2335.5086999999999</v>
      </c>
      <c r="AB73" s="1"/>
      <c r="AC73" s="1"/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Tabla391523314191929498999109119[[#This Row],[COMISIONES]]*0.21</f>
        <v>0</v>
      </c>
      <c r="J74" s="11"/>
      <c r="K74" s="11"/>
      <c r="L74" s="11"/>
      <c r="N74" s="18"/>
      <c r="O74" s="11">
        <f>Tabla351018263641424448494104114[[#This Row],[COMISIONES]]*0.21</f>
        <v>0</v>
      </c>
      <c r="P74" s="18"/>
      <c r="Q74" s="18"/>
      <c r="R74" s="18"/>
      <c r="T74" s="11"/>
      <c r="U74" s="19">
        <f>Tabla612202833421020305090100110120[[#This Row],[COMISIONES]]*0.21</f>
        <v>0</v>
      </c>
      <c r="V74"/>
      <c r="W74"/>
      <c r="X74"/>
      <c r="Z74" s="1">
        <v>8497.6</v>
      </c>
      <c r="AA74" s="21">
        <f>Tabla35681321293971727478797107117[[#This Row],[COMISIONES]]*0.21</f>
        <v>1784.4960000000001</v>
      </c>
      <c r="AB74"/>
      <c r="AC74"/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Tabla391523314191929498999109119[[#This Row],[COMISIONES]]*0.21</f>
        <v>0</v>
      </c>
      <c r="J75" s="11"/>
      <c r="K75" s="11"/>
      <c r="L75" s="11"/>
      <c r="N75" s="18"/>
      <c r="O75" s="11">
        <f>Tabla351018263641424448494104114[[#This Row],[COMISIONES]]*0.21</f>
        <v>0</v>
      </c>
      <c r="P75" s="18"/>
      <c r="Q75" s="18"/>
      <c r="R75" s="18"/>
      <c r="T75" s="11"/>
      <c r="U75" s="19">
        <f>Tabla612202833421020305090100110120[[#This Row],[COMISIONES]]*0.21</f>
        <v>0</v>
      </c>
      <c r="V75"/>
      <c r="W75"/>
      <c r="X75"/>
      <c r="Z75" s="1">
        <v>1626.84</v>
      </c>
      <c r="AA75" s="21">
        <f>Tabla35681321293971727478797107117[[#This Row],[COMISIONES]]*0.21</f>
        <v>341.63639999999998</v>
      </c>
      <c r="AB75" s="1"/>
      <c r="AC75" s="21"/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Tabla391523314191929498999109119[[#This Row],[COMISIONES]]*0.21</f>
        <v>0</v>
      </c>
      <c r="J76" s="11"/>
      <c r="K76" s="11"/>
      <c r="L76" s="11"/>
      <c r="N76" s="18"/>
      <c r="O76" s="11">
        <f>Tabla351018263641424448494104114[[#This Row],[COMISIONES]]*0.21</f>
        <v>0</v>
      </c>
      <c r="P76" s="18"/>
      <c r="Q76" s="18"/>
      <c r="R76" s="18"/>
      <c r="T76"/>
      <c r="U76" s="19">
        <f>Tabla612202833421020305090100110120[[#This Row],[COMISIONES]]*0.21</f>
        <v>0</v>
      </c>
      <c r="V76"/>
      <c r="W76"/>
      <c r="X76"/>
      <c r="Z76" s="1">
        <v>23197.59</v>
      </c>
      <c r="AA76" s="21">
        <f>Tabla35681321293971727478797107117[[#This Row],[COMISIONES]]*0.21</f>
        <v>4871.4938999999995</v>
      </c>
      <c r="AB76" s="1"/>
      <c r="AC76" s="21"/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Tabla391523314191929498999109119[[#This Row],[COMISIONES]]*0.21</f>
        <v>0</v>
      </c>
      <c r="J77" s="11"/>
      <c r="K77" s="11"/>
      <c r="L77" s="11"/>
      <c r="N77" s="18"/>
      <c r="O77" s="11">
        <f>Tabla351018263641424448494104114[[#This Row],[COMISIONES]]*0.21</f>
        <v>0</v>
      </c>
      <c r="P77" s="18"/>
      <c r="Q77" s="18"/>
      <c r="R77" s="18"/>
      <c r="T77"/>
      <c r="U77" s="19">
        <f>Tabla612202833421020305090100110120[[#This Row],[COMISIONES]]*0.21</f>
        <v>0</v>
      </c>
      <c r="V77"/>
      <c r="W77"/>
      <c r="X77"/>
      <c r="Z77" s="1">
        <v>2782.3</v>
      </c>
      <c r="AA77" s="21">
        <f>Tabla35681321293971727478797107117[[#This Row],[COMISIONES]]*0.21</f>
        <v>584.28300000000002</v>
      </c>
      <c r="AB77" s="1"/>
      <c r="AC77" s="21"/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Tabla391523314191929498999109119[[#This Row],[COMISIONES]]*0.21</f>
        <v>0</v>
      </c>
      <c r="J78" s="11"/>
      <c r="K78" s="11"/>
      <c r="L78" s="11"/>
      <c r="N78" s="18"/>
      <c r="O78" s="11">
        <f>Tabla351018263641424448494104114[[#This Row],[COMISIONES]]*0.21</f>
        <v>0</v>
      </c>
      <c r="P78" s="18"/>
      <c r="Q78" s="18"/>
      <c r="R78" s="18"/>
      <c r="T78"/>
      <c r="U78" s="19">
        <f>Tabla612202833421020305090100110120[[#This Row],[COMISIONES]]*0.21</f>
        <v>0</v>
      </c>
      <c r="V78"/>
      <c r="W78"/>
      <c r="X78"/>
      <c r="Z78" s="1">
        <v>627.72</v>
      </c>
      <c r="AA78" s="21">
        <f>Tabla35681321293971727478797107117[[#This Row],[COMISIONES]]*0.21</f>
        <v>131.8212</v>
      </c>
      <c r="AB78" s="1"/>
      <c r="AC78" s="21"/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Tabla391523314191929498999109119[[#This Row],[COMISIONES]]*0.21</f>
        <v>0</v>
      </c>
      <c r="J79" s="11"/>
      <c r="K79" s="11"/>
      <c r="L79" s="11"/>
      <c r="N79" s="18"/>
      <c r="O79" s="11">
        <f>Tabla351018263641424448494104114[[#This Row],[COMISIONES]]*0.21</f>
        <v>0</v>
      </c>
      <c r="P79" s="18"/>
      <c r="Q79" s="18"/>
      <c r="R79" s="18"/>
      <c r="T79"/>
      <c r="U79" s="19">
        <f>Tabla612202833421020305090100110120[[#This Row],[COMISIONES]]*0.21</f>
        <v>0</v>
      </c>
      <c r="V79"/>
      <c r="W79"/>
      <c r="X79"/>
      <c r="Z79" s="1"/>
      <c r="AA79" s="21">
        <f>Tabla35681321293971727478797107117[[#This Row],[COMISIONES]]*0.21</f>
        <v>0</v>
      </c>
      <c r="AB79" s="21"/>
      <c r="AC79" s="21"/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Tabla391523314191929498999109119[[#This Row],[COMISIONES]]*0.21</f>
        <v>0</v>
      </c>
      <c r="J80" s="11"/>
      <c r="K80" s="11"/>
      <c r="L80" s="11"/>
      <c r="N80" s="18"/>
      <c r="O80" s="11">
        <f>Tabla351018263641424448494104114[[#This Row],[COMISIONES]]*0.21</f>
        <v>0</v>
      </c>
      <c r="P80" s="18"/>
      <c r="Q80" s="18"/>
      <c r="R80" s="18"/>
      <c r="T80"/>
      <c r="U80" s="19">
        <f>Tabla612202833421020305090100110120[[#This Row],[COMISIONES]]*0.21</f>
        <v>0</v>
      </c>
      <c r="V80"/>
      <c r="W80"/>
      <c r="X80"/>
      <c r="Z80" s="1"/>
      <c r="AA80" s="21">
        <f>Tabla35681321293971727478797107117[[#This Row],[COMISIONES]]*0.21</f>
        <v>0</v>
      </c>
      <c r="AB80" s="21"/>
      <c r="AC80" s="21"/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Tabla391523314191929498999109119[[#This Row],[COMISIONES]]*0.21</f>
        <v>0</v>
      </c>
      <c r="J81" s="18"/>
      <c r="K81" s="18"/>
      <c r="L81" s="18"/>
      <c r="N81" s="18"/>
      <c r="O81" s="11">
        <f>Tabla351018263641424448494104114[[#This Row],[COMISIONES]]*0.21</f>
        <v>0</v>
      </c>
      <c r="P81" s="18"/>
      <c r="Q81" s="18"/>
      <c r="R81" s="18"/>
      <c r="T81"/>
      <c r="U81" s="19">
        <f>Tabla612202833421020305090100110120[[#This Row],[COMISIONES]]*0.21</f>
        <v>0</v>
      </c>
      <c r="V81"/>
      <c r="W81"/>
      <c r="X81"/>
      <c r="Z81"/>
      <c r="AA81" s="21">
        <f>Tabla35681321293971727478797107117[[#This Row],[COMISIONES]]*0.21</f>
        <v>0</v>
      </c>
      <c r="AB81" s="21"/>
      <c r="AC81" s="21"/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Tabla391523314191929498999109119[[#This Row],[COMISIONES]]*0.21</f>
        <v>0</v>
      </c>
      <c r="J82" s="18"/>
      <c r="K82" s="18"/>
      <c r="L82" s="18"/>
      <c r="N82" s="18"/>
      <c r="O82" s="11">
        <f>Tabla351018263641424448494104114[[#This Row],[COMISIONES]]*0.21</f>
        <v>0</v>
      </c>
      <c r="P82" s="18"/>
      <c r="Q82" s="18"/>
      <c r="R82" s="18"/>
      <c r="T82"/>
      <c r="U82" s="19">
        <f>Tabla612202833421020305090100110120[[#This Row],[COMISIONES]]*0.21</f>
        <v>0</v>
      </c>
      <c r="V82"/>
      <c r="W82"/>
      <c r="X82"/>
      <c r="Z82"/>
      <c r="AA82" s="21">
        <f>Tabla35681321293971727478797107117[[#This Row],[COMISIONES]]*0.21</f>
        <v>0</v>
      </c>
      <c r="AB82" s="1"/>
      <c r="AC82" s="1"/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Tabla391523314191929498999109119[[#This Row],[COMISIONES]]*0.21</f>
        <v>0</v>
      </c>
      <c r="J83" s="18"/>
      <c r="K83" s="18"/>
      <c r="L83" s="18"/>
      <c r="N83" s="18"/>
      <c r="O83" s="11">
        <f>Tabla351018263641424448494104114[[#This Row],[COMISIONES]]*0.21</f>
        <v>0</v>
      </c>
      <c r="P83" s="18"/>
      <c r="Q83" s="18"/>
      <c r="R83" s="18"/>
      <c r="T83"/>
      <c r="U83" s="19">
        <f>Tabla612202833421020305090100110120[[#This Row],[COMISIONES]]*0.21</f>
        <v>0</v>
      </c>
      <c r="V83"/>
      <c r="W83"/>
      <c r="X83"/>
      <c r="Z83" s="1"/>
      <c r="AA83" s="21">
        <f>Tabla35681321293971727478797107117[[#This Row],[COMISIONES]]*0.21</f>
        <v>0</v>
      </c>
      <c r="AB83" s="21"/>
      <c r="AC83" s="21"/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Tabla391523314191929498999109119[[#This Row],[COMISIONES]]*0.21</f>
        <v>0</v>
      </c>
      <c r="J84" s="18"/>
      <c r="K84" s="18"/>
      <c r="L84" s="18"/>
      <c r="N84" s="18"/>
      <c r="O84" s="11">
        <f>Tabla351018263641424448494104114[[#This Row],[COMISIONES]]*0.21</f>
        <v>0</v>
      </c>
      <c r="P84" s="18"/>
      <c r="Q84" s="18"/>
      <c r="R84" s="18"/>
      <c r="T84"/>
      <c r="U84" s="19">
        <f>Tabla612202833421020305090100110120[[#This Row],[COMISIONES]]*0.21</f>
        <v>0</v>
      </c>
      <c r="V84"/>
      <c r="W84"/>
      <c r="X84"/>
      <c r="Z84" s="1"/>
      <c r="AA84" s="21">
        <f>Tabla35681321293971727478797107117[[#This Row],[COMISIONES]]*0.21</f>
        <v>0</v>
      </c>
      <c r="AB84" s="21"/>
      <c r="AC84" s="1"/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Tabla391523314191929498999109119[[#This Row],[COMISIONES]]*0.21</f>
        <v>0</v>
      </c>
      <c r="J85" s="18"/>
      <c r="K85" s="18"/>
      <c r="L85" s="18"/>
      <c r="N85" s="18"/>
      <c r="O85" s="11">
        <f>Tabla351018263641424448494104114[[#This Row],[COMISIONES]]*0.21</f>
        <v>0</v>
      </c>
      <c r="P85" s="18"/>
      <c r="Q85" s="18"/>
      <c r="R85" s="18"/>
      <c r="T85"/>
      <c r="U85" s="19">
        <f>Tabla612202833421020305090100110120[[#This Row],[COMISIONES]]*0.21</f>
        <v>0</v>
      </c>
      <c r="V85"/>
      <c r="W85"/>
      <c r="X85"/>
      <c r="Z85" s="1"/>
      <c r="AA85" s="21">
        <f>Tabla35681321293971727478797107117[[#This Row],[COMISIONES]]*0.21</f>
        <v>0</v>
      </c>
      <c r="AB85" s="1"/>
      <c r="AC85" s="1"/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Tabla391523314191929498999109119[[#This Row],[COMISIONES]]*0.21</f>
        <v>0</v>
      </c>
      <c r="J86" s="18"/>
      <c r="K86" s="18"/>
      <c r="L86" s="18"/>
      <c r="N86" s="18"/>
      <c r="O86" s="11">
        <f>Tabla351018263641424448494104114[[#This Row],[COMISIONES]]*0.21</f>
        <v>0</v>
      </c>
      <c r="P86" s="18"/>
      <c r="Q86" s="18"/>
      <c r="R86" s="18"/>
      <c r="T86"/>
      <c r="U86" s="19">
        <f>Tabla612202833421020305090100110120[[#This Row],[COMISIONES]]*0.21</f>
        <v>0</v>
      </c>
      <c r="V86"/>
      <c r="W86"/>
      <c r="X86"/>
      <c r="Z86" s="1"/>
      <c r="AA86" s="21">
        <f>Tabla35681321293971727478797107117[[#This Row],[COMISIONES]]*0.21</f>
        <v>0</v>
      </c>
      <c r="AB86" s="21"/>
      <c r="AC86" s="1"/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Tabla391523314191929498999109119[[#This Row],[COMISIONES]]*0.21</f>
        <v>0</v>
      </c>
      <c r="J87" s="18"/>
      <c r="K87" s="18"/>
      <c r="L87" s="18"/>
      <c r="N87" s="18"/>
      <c r="O87" s="11">
        <f>Tabla351018263641424448494104114[[#This Row],[COMISIONES]]*0.21</f>
        <v>0</v>
      </c>
      <c r="P87" s="18"/>
      <c r="Q87" s="18"/>
      <c r="R87" s="18"/>
      <c r="T87"/>
      <c r="U87" s="19">
        <f>Tabla612202833421020305090100110120[[#This Row],[COMISIONES]]*0.21</f>
        <v>0</v>
      </c>
      <c r="V87"/>
      <c r="W87"/>
      <c r="X87"/>
      <c r="Z87" s="1"/>
      <c r="AA87" s="21">
        <f>Tabla35681321293971727478797107117[[#This Row],[COMISIONES]]*0.21</f>
        <v>0</v>
      </c>
      <c r="AB87" s="1"/>
      <c r="AC87" s="1"/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Tabla391523314191929498999109119[[#This Row],[COMISIONES]]*0.21</f>
        <v>0</v>
      </c>
      <c r="J88" s="18"/>
      <c r="K88" s="18"/>
      <c r="L88" s="18"/>
      <c r="N88" s="18"/>
      <c r="O88" s="11">
        <f>Tabla351018263641424448494104114[[#This Row],[COMISIONES]]*0.21</f>
        <v>0</v>
      </c>
      <c r="P88" s="18"/>
      <c r="Q88" s="18"/>
      <c r="R88" s="18"/>
      <c r="T88"/>
      <c r="U88" s="19">
        <f>Tabla612202833421020305090100110120[[#This Row],[COMISIONES]]*0.21</f>
        <v>0</v>
      </c>
      <c r="V88"/>
      <c r="W88"/>
      <c r="X88"/>
      <c r="Z88" s="1"/>
      <c r="AA88" s="21">
        <f>Tabla35681321293971727478797107117[[#This Row],[COMISIONES]]*0.21</f>
        <v>0</v>
      </c>
      <c r="AB88" s="21"/>
      <c r="AC88" s="21"/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Tabla391523314191929498999109119[[#This Row],[COMISIONES]]*0.21</f>
        <v>0</v>
      </c>
      <c r="J89" s="18"/>
      <c r="K89" s="18"/>
      <c r="L89" s="18"/>
      <c r="N89" s="18"/>
      <c r="O89" s="11">
        <f>Tabla351018263641424448494104114[[#This Row],[COMISIONES]]*0.21</f>
        <v>0</v>
      </c>
      <c r="P89" s="18"/>
      <c r="Q89" s="18"/>
      <c r="R89" s="18"/>
      <c r="T89"/>
      <c r="U89" s="19">
        <f>Tabla612202833421020305090100110120[[#This Row],[COMISIONES]]*0.21</f>
        <v>0</v>
      </c>
      <c r="V89"/>
      <c r="W89"/>
      <c r="X89"/>
      <c r="Z89" s="1"/>
      <c r="AA89" s="21">
        <f>Tabla35681321293971727478797107117[[#This Row],[COMISIONES]]*0.21</f>
        <v>0</v>
      </c>
      <c r="AB89"/>
      <c r="AC89"/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Tabla391523314191929498999109119[[#This Row],[COMISIONES]]*0.21</f>
        <v>0</v>
      </c>
      <c r="J90" s="18"/>
      <c r="K90" s="18"/>
      <c r="L90" s="18"/>
      <c r="N90" s="18"/>
      <c r="O90" s="11">
        <f>Tabla351018263641424448494104114[[#This Row],[COMISIONES]]*0.21</f>
        <v>0</v>
      </c>
      <c r="P90" s="18"/>
      <c r="Q90" s="18"/>
      <c r="R90" s="18"/>
      <c r="T90"/>
      <c r="U90" s="19">
        <f>Tabla612202833421020305090100110120[[#This Row],[COMISIONES]]*0.21</f>
        <v>0</v>
      </c>
      <c r="V90"/>
      <c r="W90"/>
      <c r="X90"/>
      <c r="Z90" s="1"/>
      <c r="AA90" s="21">
        <f>Tabla35681321293971727478797107117[[#This Row],[COMISIONES]]*0.21</f>
        <v>0</v>
      </c>
      <c r="AB90" s="21"/>
      <c r="AC90" s="21"/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Tabla391523314191929498999109119[[#This Row],[COMISIONES]]*0.21</f>
        <v>0</v>
      </c>
      <c r="J91" s="18"/>
      <c r="K91" s="18"/>
      <c r="L91" s="18"/>
      <c r="N91" s="18"/>
      <c r="O91" s="11">
        <f>Tabla351018263641424448494104114[[#This Row],[COMISIONES]]*0.21</f>
        <v>0</v>
      </c>
      <c r="P91" s="18"/>
      <c r="Q91" s="18"/>
      <c r="R91" s="18"/>
      <c r="T91"/>
      <c r="U91" s="19">
        <f>Tabla612202833421020305090100110120[[#This Row],[COMISIONES]]*0.21</f>
        <v>0</v>
      </c>
      <c r="V91"/>
      <c r="W91"/>
      <c r="X91"/>
      <c r="Z91" s="1"/>
      <c r="AA91" s="21">
        <f>Tabla35681321293971727478797107117[[#This Row],[COMISIONES]]*0.21</f>
        <v>0</v>
      </c>
      <c r="AB91" s="21"/>
      <c r="AC91" s="1"/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Tabla391523314191929498999109119[[#This Row],[COMISIONES]]*0.21</f>
        <v>0</v>
      </c>
      <c r="J92" s="18"/>
      <c r="K92" s="18"/>
      <c r="L92" s="18"/>
      <c r="N92" s="18"/>
      <c r="O92" s="11">
        <f>Tabla351018263641424448494104114[[#This Row],[COMISIONES]]*0.21</f>
        <v>0</v>
      </c>
      <c r="P92" s="18"/>
      <c r="Q92" s="18"/>
      <c r="R92" s="18"/>
      <c r="T92"/>
      <c r="U92" s="19">
        <f>Tabla612202833421020305090100110120[[#This Row],[COMISIONES]]*0.21</f>
        <v>0</v>
      </c>
      <c r="V92"/>
      <c r="W92"/>
      <c r="X92"/>
      <c r="Z92"/>
      <c r="AA92" s="21">
        <f>Tabla35681321293971727478797107117[[#This Row],[COMISIONES]]*0.21</f>
        <v>0</v>
      </c>
      <c r="AB92" s="1"/>
      <c r="AC92" s="21"/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Tabla391523314191929498999109119[[#This Row],[COMISIONES]]*0.21</f>
        <v>0</v>
      </c>
      <c r="J93" s="21"/>
      <c r="K93" s="21"/>
      <c r="L93" s="21"/>
      <c r="N93" s="18"/>
      <c r="O93" s="11">
        <f>Tabla351018263641424448494104114[[#This Row],[COMISIONES]]*0.21</f>
        <v>0</v>
      </c>
      <c r="P93" s="18"/>
      <c r="Q93" s="18"/>
      <c r="R93" s="18"/>
      <c r="T93"/>
      <c r="U93" s="19">
        <f>Tabla612202833421020305090100110120[[#This Row],[COMISIONES]]*0.21</f>
        <v>0</v>
      </c>
      <c r="V93"/>
      <c r="W93"/>
      <c r="X93"/>
      <c r="Z93"/>
      <c r="AA93" s="21">
        <f>Tabla35681321293971727478797107117[[#This Row],[COMISIONES]]*0.21</f>
        <v>0</v>
      </c>
      <c r="AB93" s="21"/>
      <c r="AC93" s="21"/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Tabla391523314191929498999109119[[#This Row],[COMISIONES]]*0.21</f>
        <v>0</v>
      </c>
      <c r="J94" s="21"/>
      <c r="K94" s="21"/>
      <c r="L94" s="21"/>
      <c r="N94" s="18"/>
      <c r="O94" s="11">
        <f>Tabla351018263641424448494104114[[#This Row],[COMISIONES]]*0.21</f>
        <v>0</v>
      </c>
      <c r="P94" s="18"/>
      <c r="Q94" s="18"/>
      <c r="R94" s="18"/>
      <c r="T94" s="17">
        <f>SUBTOTAL(109,Tabla612202833421020305090100110120[COMISIONES])</f>
        <v>0</v>
      </c>
      <c r="U94" s="17">
        <f>SUBTOTAL(109,Tabla612202833421020305090100110120[IVA 21])</f>
        <v>0</v>
      </c>
      <c r="V94" s="17">
        <f>SUBTOTAL(109,Tabla612202833421020305090100110120[IVA 10,5])</f>
        <v>0</v>
      </c>
      <c r="W94" s="17">
        <f>SUBTOTAL(109,Tabla612202833421020305090100110120[Ret IIBB Caba])</f>
        <v>0</v>
      </c>
      <c r="X94" s="17">
        <f>SUBTOTAL(109,Tabla612202833421020305090100110120[PERC IVA])</f>
        <v>0</v>
      </c>
      <c r="Z94" s="1"/>
      <c r="AA94" s="21">
        <f>Tabla35681321293971727478797107117[[#This Row],[COMISIONES]]*0.21</f>
        <v>0</v>
      </c>
      <c r="AB94" s="21"/>
      <c r="AC94" s="21"/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Tabla391523314191929498999109119[[#This Row],[COMISIONES]]*0.21</f>
        <v>0</v>
      </c>
      <c r="J95" s="21"/>
      <c r="K95" s="21"/>
      <c r="L95" s="21"/>
      <c r="N95" s="18"/>
      <c r="O95" s="11">
        <f>Tabla351018263641424448494104114[[#This Row],[COMISIONES]]*0.21</f>
        <v>0</v>
      </c>
      <c r="P95" s="18"/>
      <c r="Q95" s="18"/>
      <c r="R95" s="18"/>
      <c r="T95"/>
      <c r="U95"/>
      <c r="V95"/>
      <c r="W95"/>
      <c r="X95"/>
      <c r="Z95" s="1"/>
      <c r="AA95" s="21">
        <f>Tabla35681321293971727478797107117[[#This Row],[COMISIONES]]*0.21</f>
        <v>0</v>
      </c>
      <c r="AB95" s="21"/>
      <c r="AC95" s="21"/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Tabla391523314191929498999109119[[#This Row],[COMISIONES]]*0.21</f>
        <v>0</v>
      </c>
      <c r="J96" s="21"/>
      <c r="K96" s="21"/>
      <c r="L96" s="21"/>
      <c r="N96" s="18"/>
      <c r="O96" s="11">
        <f>Tabla351018263641424448494104114[[#This Row],[COMISIONES]]*0.21</f>
        <v>0</v>
      </c>
      <c r="P96" s="18"/>
      <c r="Q96" s="18"/>
      <c r="R96" s="18"/>
      <c r="T96"/>
      <c r="U96"/>
      <c r="V96"/>
      <c r="W96"/>
      <c r="X96"/>
      <c r="Z96" s="1"/>
      <c r="AA96" s="21">
        <f>Tabla35681321293971727478797107117[[#This Row],[COMISIONES]]*0.21</f>
        <v>0</v>
      </c>
      <c r="AB96" s="1"/>
      <c r="AC96" s="1"/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Tabla391523314191929498999109119[[#This Row],[COMISIONES]]*0.21</f>
        <v>0</v>
      </c>
      <c r="J97" s="21"/>
      <c r="K97" s="21"/>
      <c r="L97" s="21"/>
      <c r="N97" s="18"/>
      <c r="O97" s="11">
        <f>Tabla351018263641424448494104114[[#This Row],[COMISIONES]]*0.21</f>
        <v>0</v>
      </c>
      <c r="P97" s="18"/>
      <c r="Q97" s="18"/>
      <c r="R97" s="18"/>
      <c r="T97"/>
      <c r="U97"/>
      <c r="V97"/>
      <c r="W97"/>
      <c r="X97"/>
      <c r="Z97" s="1"/>
      <c r="AA97" s="21">
        <f>Tabla35681321293971727478797107117[[#This Row],[COMISIONES]]*0.21</f>
        <v>0</v>
      </c>
      <c r="AB97" s="1"/>
      <c r="AC97" s="1"/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Tabla391523314191929498999109119[[#This Row],[COMISIONES]]*0.21</f>
        <v>0</v>
      </c>
      <c r="J98" s="21"/>
      <c r="K98" s="21"/>
      <c r="L98" s="21"/>
      <c r="N98" s="18"/>
      <c r="O98" s="11">
        <f>Tabla351018263641424448494104114[[#This Row],[COMISIONES]]*0.21</f>
        <v>0</v>
      </c>
      <c r="P98" s="18"/>
      <c r="Q98" s="18"/>
      <c r="R98" s="18"/>
      <c r="T98"/>
      <c r="U98"/>
      <c r="V98"/>
      <c r="W98"/>
      <c r="X98"/>
      <c r="Z98" s="1"/>
      <c r="AA98" s="21">
        <f>Tabla35681321293971727478797107117[[#This Row],[COMISIONES]]*0.21</f>
        <v>0</v>
      </c>
      <c r="AB98" s="21"/>
      <c r="AC98" s="21"/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Tabla391523314191929498999109119[[#This Row],[COMISIONES]]*0.21</f>
        <v>0</v>
      </c>
      <c r="J99" s="21"/>
      <c r="K99" s="21"/>
      <c r="L99" s="21"/>
      <c r="N99" s="18"/>
      <c r="O99" s="11">
        <f>Tabla351018263641424448494104114[[#This Row],[COMISIONES]]*0.21</f>
        <v>0</v>
      </c>
      <c r="P99" s="18"/>
      <c r="Q99" s="18"/>
      <c r="R99" s="18"/>
      <c r="T99"/>
      <c r="U99"/>
      <c r="V99"/>
      <c r="W99"/>
      <c r="X99"/>
      <c r="Z99" s="1"/>
      <c r="AA99" s="21">
        <f>Tabla35681321293971727478797107117[[#This Row],[COMISIONES]]*0.21</f>
        <v>0</v>
      </c>
      <c r="AB99" s="21"/>
      <c r="AC99" s="21"/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Tabla391523314191929498999109119[[#This Row],[COMISIONES]]*0.21</f>
        <v>0</v>
      </c>
      <c r="J100" s="21"/>
      <c r="K100" s="21"/>
      <c r="L100" s="21"/>
      <c r="N100" s="18"/>
      <c r="O100" s="11">
        <f>Tabla351018263641424448494104114[[#This Row],[COMISIONES]]*0.21</f>
        <v>0</v>
      </c>
      <c r="P100" s="18"/>
      <c r="Q100" s="18"/>
      <c r="R100" s="18"/>
      <c r="T100"/>
      <c r="U100"/>
      <c r="V100"/>
      <c r="W100"/>
      <c r="X100"/>
      <c r="Z100" s="1"/>
      <c r="AA100" s="21">
        <f>Tabla35681321293971727478797107117[[#This Row],[COMISIONES]]*0.21</f>
        <v>0</v>
      </c>
      <c r="AB100" s="21"/>
      <c r="AC100" s="21"/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Tabla391523314191929498999109119[[#This Row],[COMISIONES]]*0.21</f>
        <v>0</v>
      </c>
      <c r="J101" s="21"/>
      <c r="K101" s="21"/>
      <c r="L101" s="21"/>
      <c r="N101" s="18"/>
      <c r="O101" s="11">
        <f>Tabla351018263641424448494104114[[#This Row],[COMISIONES]]*0.21</f>
        <v>0</v>
      </c>
      <c r="P101" s="18"/>
      <c r="Q101" s="18"/>
      <c r="R101" s="18"/>
      <c r="T101"/>
      <c r="U101"/>
      <c r="V101"/>
      <c r="W101"/>
      <c r="X101"/>
      <c r="Z101"/>
      <c r="AA101" s="21">
        <f>Tabla35681321293971727478797107117[[#This Row],[COMISIONES]]*0.21</f>
        <v>0</v>
      </c>
      <c r="AB101" s="21"/>
      <c r="AC101" s="21"/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SUBTOTAL(109,Tabla391523314191929498999109119[COMISIONES])</f>
        <v>5619.83</v>
      </c>
      <c r="I102" s="20">
        <f>SUBTOTAL(109,Tabla391523314191929498999109119[IVA 21])</f>
        <v>1180.1642999999999</v>
      </c>
      <c r="J102" s="20">
        <f>SUBTOTAL(109,Tabla391523314191929498999109119[IVA 10,5])</f>
        <v>0</v>
      </c>
      <c r="K102" s="20">
        <f>SUBTOTAL(109,Tabla391523314191929498999109119[Ret IIBB Caba])</f>
        <v>0</v>
      </c>
      <c r="L102" s="20">
        <f>SUBTOTAL(109,Tabla391523314191929498999109119[PERC IVA])</f>
        <v>0</v>
      </c>
      <c r="N102" s="18"/>
      <c r="O102" s="11">
        <f>Tabla351018263641424448494104114[[#This Row],[COMISIONES]]*0.21</f>
        <v>0</v>
      </c>
      <c r="P102" s="18"/>
      <c r="Q102" s="18"/>
      <c r="R102" s="18"/>
      <c r="T102"/>
      <c r="U102"/>
      <c r="V102"/>
      <c r="W102"/>
      <c r="X102"/>
      <c r="Z102" s="1"/>
      <c r="AA102" s="21">
        <f>Tabla35681321293971727478797107117[[#This Row],[COMISIONES]]*0.21</f>
        <v>0</v>
      </c>
      <c r="AB102" s="21"/>
      <c r="AC102" s="21"/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Tabla351018263641424448494104114[[#This Row],[COMISIONES]]*0.21</f>
        <v>0</v>
      </c>
      <c r="P103" s="18"/>
      <c r="Q103" s="18"/>
      <c r="R103" s="18"/>
      <c r="T103"/>
      <c r="U103"/>
      <c r="V103"/>
      <c r="W103"/>
      <c r="X103"/>
      <c r="Z103"/>
      <c r="AA103" s="21">
        <f>Tabla35681321293971727478797107117[[#This Row],[COMISIONES]]*0.21</f>
        <v>0</v>
      </c>
      <c r="AB103" s="21"/>
      <c r="AC103" s="21"/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Tabla351018263641424448494104114[[#This Row],[COMISIONES]]*0.21</f>
        <v>0</v>
      </c>
      <c r="P104" s="18"/>
      <c r="Q104" s="18"/>
      <c r="R104" s="18"/>
      <c r="T104"/>
      <c r="U104"/>
      <c r="V104"/>
      <c r="W104"/>
      <c r="X104"/>
      <c r="Z104" s="1"/>
      <c r="AA104" s="21">
        <f>Tabla35681321293971727478797107117[[#This Row],[COMISIONES]]*0.21</f>
        <v>0</v>
      </c>
      <c r="AB104" s="21"/>
      <c r="AC104" s="1"/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Tabla351018263641424448494104114[[#This Row],[COMISIONES]]*0.21</f>
        <v>0</v>
      </c>
      <c r="P105" s="18"/>
      <c r="Q105" s="18"/>
      <c r="R105" s="18"/>
      <c r="T105"/>
      <c r="U105"/>
      <c r="V105"/>
      <c r="W105"/>
      <c r="X105"/>
      <c r="Z105" s="1"/>
      <c r="AA105" s="21">
        <f>Tabla35681321293971727478797107117[[#This Row],[COMISIONES]]*0.21</f>
        <v>0</v>
      </c>
      <c r="AB105" s="21"/>
      <c r="AC105" s="1"/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Tabla351018263641424448494104114[[#This Row],[COMISIONES]]*0.21</f>
        <v>0</v>
      </c>
      <c r="P106" s="18"/>
      <c r="Q106" s="18"/>
      <c r="R106" s="18"/>
      <c r="T106"/>
      <c r="U106"/>
      <c r="V106"/>
      <c r="W106"/>
      <c r="X106"/>
      <c r="Z106" s="1"/>
      <c r="AA106" s="21">
        <f>Tabla35681321293971727478797107117[[#This Row],[COMISIONES]]*0.21</f>
        <v>0</v>
      </c>
      <c r="AB106" s="21"/>
      <c r="AC106" s="1"/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Tabla351018263641424448494104114[[#This Row],[COMISIONES]]*0.21</f>
        <v>0</v>
      </c>
      <c r="P107" s="18"/>
      <c r="Q107" s="18"/>
      <c r="R107" s="18"/>
      <c r="T107"/>
      <c r="U107"/>
      <c r="V107"/>
      <c r="W107"/>
      <c r="X107"/>
      <c r="Z107" s="1"/>
      <c r="AA107" s="21">
        <f>Tabla35681321293971727478797107117[[#This Row],[COMISIONES]]*0.21</f>
        <v>0</v>
      </c>
      <c r="AB107" s="21"/>
      <c r="AC107" s="1"/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Tabla351018263641424448494104114[[#This Row],[COMISIONES]]*0.21</f>
        <v>0</v>
      </c>
      <c r="P108" s="18"/>
      <c r="Q108" s="18"/>
      <c r="R108" s="18"/>
      <c r="T108"/>
      <c r="U108"/>
      <c r="V108"/>
      <c r="W108"/>
      <c r="X108"/>
      <c r="Z108" s="1"/>
      <c r="AA108" s="21">
        <f>Tabla35681321293971727478797107117[[#This Row],[COMISIONES]]*0.21</f>
        <v>0</v>
      </c>
      <c r="AB108" s="21"/>
      <c r="AC108" s="1"/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Tabla351018263641424448494104114[[#This Row],[COMISIONES]]*0.21</f>
        <v>0</v>
      </c>
      <c r="P109" s="18"/>
      <c r="Q109" s="18"/>
      <c r="R109" s="18"/>
      <c r="T109"/>
      <c r="U109"/>
      <c r="V109"/>
      <c r="W109"/>
      <c r="X109"/>
      <c r="Z109" s="1"/>
      <c r="AA109" s="21">
        <f>Tabla35681321293971727478797107117[[#This Row],[COMISIONES]]*0.21</f>
        <v>0</v>
      </c>
      <c r="AB109" s="21"/>
      <c r="AC109" s="1"/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Tabla351018263641424448494104114[[#This Row],[COMISIONES]]*0.21</f>
        <v>0</v>
      </c>
      <c r="P110" s="18"/>
      <c r="Q110" s="18"/>
      <c r="R110" s="18"/>
      <c r="T110"/>
      <c r="U110"/>
      <c r="V110"/>
      <c r="W110"/>
      <c r="X110"/>
      <c r="Z110" s="1"/>
      <c r="AA110" s="21">
        <f>Tabla35681321293971727478797107117[[#This Row],[COMISIONES]]*0.21</f>
        <v>0</v>
      </c>
      <c r="AB110" s="21"/>
      <c r="AC110" s="1"/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Tabla351018263641424448494104114[[#This Row],[COMISIONES]]*0.21</f>
        <v>0</v>
      </c>
      <c r="P111" s="18"/>
      <c r="Q111" s="18"/>
      <c r="R111" s="18"/>
      <c r="T111"/>
      <c r="U111"/>
      <c r="V111"/>
      <c r="W111"/>
      <c r="X111"/>
      <c r="Z111" s="1"/>
      <c r="AA111" s="21">
        <f>Tabla35681321293971727478797107117[[#This Row],[COMISIONES]]*0.21</f>
        <v>0</v>
      </c>
      <c r="AB111" s="21"/>
      <c r="AC111" s="1"/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Tabla351018263641424448494104114[[#This Row],[COMISIONES]]*0.21</f>
        <v>0</v>
      </c>
      <c r="P112" s="18"/>
      <c r="Q112" s="18"/>
      <c r="R112" s="18"/>
      <c r="T112"/>
      <c r="U112"/>
      <c r="V112"/>
      <c r="W112"/>
      <c r="X112"/>
      <c r="Z112" s="1"/>
      <c r="AA112" s="21">
        <f>Tabla35681321293971727478797107117[[#This Row],[COMISIONES]]*0.21</f>
        <v>0</v>
      </c>
      <c r="AB112" s="21"/>
      <c r="AC112" s="21"/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Tabla351018263641424448494104114[[#This Row],[COMISIONES]]*0.21</f>
        <v>0</v>
      </c>
      <c r="P113" s="18"/>
      <c r="Q113" s="18"/>
      <c r="R113" s="18"/>
      <c r="T113"/>
      <c r="U113"/>
      <c r="V113"/>
      <c r="W113"/>
      <c r="X113"/>
      <c r="Z113"/>
      <c r="AA113" s="21">
        <f>Tabla35681321293971727478797107117[[#This Row],[COMISIONES]]*0.21</f>
        <v>0</v>
      </c>
      <c r="AB113" s="21"/>
      <c r="AC113" s="21"/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Tabla351018263641424448494104114[[#This Row],[COMISIONES]]*0.21</f>
        <v>0</v>
      </c>
      <c r="P114" s="18"/>
      <c r="Q114" s="18"/>
      <c r="R114" s="18"/>
      <c r="T114"/>
      <c r="U114"/>
      <c r="V114"/>
      <c r="W114"/>
      <c r="X114"/>
      <c r="Z114" s="1"/>
      <c r="AA114" s="21">
        <f>Tabla35681321293971727478797107117[[#This Row],[COMISIONES]]*0.21</f>
        <v>0</v>
      </c>
      <c r="AB114" s="21"/>
      <c r="AC114" s="1"/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Tabla351018263641424448494104114[[#This Row],[COMISIONES]]*0.21</f>
        <v>0</v>
      </c>
      <c r="P115" s="18"/>
      <c r="Q115" s="18"/>
      <c r="R115" s="18"/>
      <c r="T115"/>
      <c r="U115"/>
      <c r="V115"/>
      <c r="W115"/>
      <c r="X115"/>
      <c r="Z115" s="21"/>
      <c r="AA115" s="21">
        <f>Tabla35681321293971727478797107117[[#This Row],[COMISIONES]]*0.21</f>
        <v>0</v>
      </c>
      <c r="AB115" s="21"/>
      <c r="AC115" s="1"/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Tabla351018263641424448494104114[[#This Row],[COMISIONES]]*0.21</f>
        <v>0</v>
      </c>
      <c r="P116" s="18"/>
      <c r="Q116" s="18"/>
      <c r="R116" s="18"/>
      <c r="T116"/>
      <c r="U116"/>
      <c r="V116"/>
      <c r="W116"/>
      <c r="X116"/>
      <c r="Z116" s="1"/>
      <c r="AA116" s="21">
        <f>Tabla35681321293971727478797107117[[#This Row],[COMISIONES]]*0.21</f>
        <v>0</v>
      </c>
      <c r="AB116" s="21"/>
      <c r="AC116" s="1"/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Tabla351018263641424448494104114[[#This Row],[COMISIONES]]*0.21</f>
        <v>0</v>
      </c>
      <c r="P117" s="18"/>
      <c r="Q117" s="18"/>
      <c r="R117" s="18"/>
      <c r="T117"/>
      <c r="U117"/>
      <c r="V117"/>
      <c r="W117"/>
      <c r="X117"/>
      <c r="Z117" s="1"/>
      <c r="AA117" s="21">
        <f>Tabla35681321293971727478797107117[[#This Row],[COMISIONES]]*0.21</f>
        <v>0</v>
      </c>
      <c r="AB117" s="21"/>
      <c r="AC117" s="1"/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Tabla351018263641424448494104114[[#This Row],[COMISIONES]]*0.21</f>
        <v>0</v>
      </c>
      <c r="P118" s="18"/>
      <c r="Q118" s="18"/>
      <c r="R118" s="18"/>
      <c r="T118"/>
      <c r="U118"/>
      <c r="V118"/>
      <c r="W118"/>
      <c r="X118"/>
      <c r="Z118" s="1"/>
      <c r="AA118" s="21">
        <f>Tabla35681321293971727478797107117[[#This Row],[COMISIONES]]*0.21</f>
        <v>0</v>
      </c>
      <c r="AB118" s="21"/>
      <c r="AC118" s="1"/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Tabla351018263641424448494104114[[#This Row],[COMISIONES]]*0.21</f>
        <v>0</v>
      </c>
      <c r="P119" s="18"/>
      <c r="Q119" s="18"/>
      <c r="R119" s="18"/>
      <c r="T119"/>
      <c r="U119"/>
      <c r="V119"/>
      <c r="W119"/>
      <c r="X119"/>
      <c r="Z119"/>
      <c r="AA119" s="21">
        <f>Tabla35681321293971727478797107117[[#This Row],[COMISIONES]]*0.21</f>
        <v>0</v>
      </c>
      <c r="AB119" s="21"/>
      <c r="AC119" s="21"/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Tabla351018263641424448494104114[[#This Row],[COMISIONES]]*0.21</f>
        <v>0</v>
      </c>
      <c r="P120" s="18"/>
      <c r="Q120" s="18"/>
      <c r="R120" s="18"/>
      <c r="T120"/>
      <c r="U120"/>
      <c r="V120"/>
      <c r="W120"/>
      <c r="X120"/>
      <c r="Z120" s="1"/>
      <c r="AA120" s="21">
        <f>Tabla35681321293971727478797107117[[#This Row],[COMISIONES]]*0.21</f>
        <v>0</v>
      </c>
      <c r="AB120" s="21"/>
      <c r="AC120" s="21"/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Tabla351018263641424448494104114[[#This Row],[COMISIONES]]*0.21</f>
        <v>0</v>
      </c>
      <c r="P121" s="18"/>
      <c r="Q121" s="18"/>
      <c r="R121" s="18"/>
      <c r="T121"/>
      <c r="U121"/>
      <c r="V121"/>
      <c r="W121"/>
      <c r="X121"/>
      <c r="Z121" s="1"/>
      <c r="AA121" s="21">
        <f>Tabla35681321293971727478797107117[[#This Row],[COMISIONES]]*0.21</f>
        <v>0</v>
      </c>
      <c r="AB121" s="21"/>
      <c r="AC121" s="21"/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Tabla351018263641424448494104114[[#This Row],[COMISIONES]]*0.21</f>
        <v>0</v>
      </c>
      <c r="P122" s="18"/>
      <c r="Q122" s="18"/>
      <c r="R122" s="18"/>
      <c r="T122"/>
      <c r="U122"/>
      <c r="V122"/>
      <c r="W122"/>
      <c r="X122"/>
      <c r="Z122" s="1"/>
      <c r="AA122" s="21">
        <f>Tabla35681321293971727478797107117[[#This Row],[COMISIONES]]*0.21</f>
        <v>0</v>
      </c>
      <c r="AB122" s="21"/>
      <c r="AC122" s="21"/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/>
      <c r="U123"/>
      <c r="V123"/>
      <c r="W123"/>
      <c r="X123"/>
      <c r="Z123" s="1"/>
      <c r="AA123" s="21">
        <f>Tabla35681321293971727478797107117[[#This Row],[COMISIONES]]*0.21</f>
        <v>0</v>
      </c>
      <c r="AB123" s="21"/>
      <c r="AC123" s="21"/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/>
      <c r="AA124" s="21">
        <f>Tabla35681321293971727478797107117[[#This Row],[COMISIONES]]*0.21</f>
        <v>0</v>
      </c>
      <c r="AB124" s="21"/>
      <c r="AC124" s="21"/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1"/>
      <c r="AA125" s="21">
        <f>Tabla35681321293971727478797107117[[#This Row],[COMISIONES]]*0.21</f>
        <v>0</v>
      </c>
      <c r="AB125" s="21"/>
      <c r="AC125" s="21"/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1"/>
      <c r="AA126" s="21">
        <f>Tabla35681321293971727478797107117[[#This Row],[COMISIONES]]*0.21</f>
        <v>0</v>
      </c>
      <c r="AB126" s="21"/>
      <c r="AC126" s="21"/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1"/>
      <c r="AA127" s="21">
        <f>Tabla35681321293971727478797107117[[#This Row],[COMISIONES]]*0.21</f>
        <v>0</v>
      </c>
      <c r="AB127" s="21"/>
      <c r="AC127" s="21"/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1"/>
      <c r="AA128" s="21">
        <f>Tabla35681321293971727478797107117[[#This Row],[COMISIONES]]*0.21</f>
        <v>0</v>
      </c>
      <c r="AB128" s="21"/>
      <c r="AC128" s="21"/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Tabla35681321293971727478797107117[[#This Row],[COMISIONES]]*0.21</f>
        <v>0</v>
      </c>
      <c r="AB129" s="21"/>
      <c r="AC129" s="21"/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Tabla35681321293971727478797107117[[#This Row],[COMISIONES]]*0.21</f>
        <v>0</v>
      </c>
      <c r="AB130" s="21"/>
      <c r="AC130" s="21"/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Tabla35681321293971727478797107117[[#This Row],[COMISIONES]]*0.21</f>
        <v>0</v>
      </c>
      <c r="AB131" s="21"/>
      <c r="AC131" s="21"/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Tabla35681321293971727478797107117[[#This Row],[COMISIONES]]*0.21</f>
        <v>0</v>
      </c>
      <c r="AB132" s="21"/>
      <c r="AC132" s="21"/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Tabla35681321293971727478797107117[[#This Row],[COMISIONES]]*0.21</f>
        <v>0</v>
      </c>
      <c r="AB133" s="21"/>
      <c r="AC133" s="21"/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Tabla351018263641424448494104114[[#This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Tabla35681321293971727478797107117[[#This Row],[COMISIONES]]*0.21</f>
        <v>0</v>
      </c>
      <c r="AB134" s="21"/>
      <c r="AC134" s="21"/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24">
        <f>SUBTOTAL(109,Tabla351018263641424448494104114[COMISIONES])</f>
        <v>0</v>
      </c>
      <c r="O135" s="24">
        <f>SUBTOTAL(109,Tabla351018263641424448494104114[IVA 21])</f>
        <v>0</v>
      </c>
      <c r="P135" s="24">
        <f>SUBTOTAL(109,Tabla351018263641424448494104114[IVA 10,5])</f>
        <v>0</v>
      </c>
      <c r="Q135" s="24">
        <f>SUBTOTAL(109,Tabla351018263641424448494104114[Ret IIBB Caba])</f>
        <v>0</v>
      </c>
      <c r="R135" s="24">
        <f>SUBTOTAL(109,Tabla351018263641424448494104114[PERC IVA])</f>
        <v>0</v>
      </c>
      <c r="T135"/>
      <c r="U135"/>
      <c r="V135"/>
      <c r="W135"/>
      <c r="X135"/>
      <c r="Z135" s="21"/>
      <c r="AA135" s="21">
        <f>Tabla35681321293971727478797107117[[#This Row],[COMISIONES]]*0.21</f>
        <v>0</v>
      </c>
      <c r="AB135" s="21"/>
      <c r="AC135" s="21"/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Tabla35681321293971727478797107117[[#This Row],[COMISIONES]]*0.21</f>
        <v>0</v>
      </c>
      <c r="AB136" s="21"/>
      <c r="AC136" s="21"/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Tabla35681321293971727478797107117[[#This Row],[COMISIONES]]*0.21</f>
        <v>0</v>
      </c>
      <c r="AB137" s="21"/>
      <c r="AC137" s="21"/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Tabla35681321293971727478797107117[[#This Row],[COMISIONES]]*0.21</f>
        <v>0</v>
      </c>
      <c r="AB138" s="21"/>
      <c r="AC138" s="21"/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Tabla35681321293971727478797107117[[#This Row],[COMISIONES]]*0.21</f>
        <v>0</v>
      </c>
      <c r="AB139" s="21"/>
      <c r="AC139" s="21"/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Tabla35681321293971727478797107117[[#This Row],[COMISIONES]]*0.21</f>
        <v>0</v>
      </c>
      <c r="AB140" s="21"/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Tabla35681321293971727478797107117[[#This Row],[COMISIONES]]*0.21</f>
        <v>0</v>
      </c>
      <c r="AB141" s="21"/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Tabla35681321293971727478797107117[[#This Row],[COMISIONES]]*0.21</f>
        <v>0</v>
      </c>
      <c r="AB142" s="21"/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Tabla35681321293971727478797107117[[#This Row],[COMISIONES]]*0.21</f>
        <v>0</v>
      </c>
      <c r="AB143" s="21"/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Tabla35681321293971727478797107117[[#This Row],[COMISIONES]]*0.21</f>
        <v>0</v>
      </c>
      <c r="AB144" s="21"/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Tabla35681321293971727478797107117[[#This Row],[COMISIONES]]*0.21</f>
        <v>0</v>
      </c>
      <c r="AB145" s="21"/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Tabla35681321293971727478797107117[[#This Row],[COMISIONES]]*0.21</f>
        <v>0</v>
      </c>
      <c r="AB146" s="21"/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Tabla35681321293971727478797107117[[#This Row],[COMISIONES]]*0.21</f>
        <v>0</v>
      </c>
      <c r="AB147" s="21"/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Tabla35681321293971727478797107117[[#This Row],[COMISIONES]]*0.21</f>
        <v>0</v>
      </c>
      <c r="AB148" s="21"/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Tabla35681321293971727478797107117[[#This Row],[COMISIONES]]*0.21</f>
        <v>0</v>
      </c>
      <c r="AB149" s="21"/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Tabla35681321293971727478797107117[[#This Row],[COMISIONES]]*0.21</f>
        <v>0</v>
      </c>
      <c r="AB150" s="21"/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Tabla35681321293971727478797107117[[#This Row],[COMISIONES]]*0.21</f>
        <v>0</v>
      </c>
      <c r="AB151" s="21"/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Tabla35681321293971727478797107117[[#This Row],[COMISIONES]]*0.21</f>
        <v>0</v>
      </c>
      <c r="AB152" s="21"/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Tabla35681321293971727478797107117[[#This Row],[COMISIONES]]*0.21</f>
        <v>0</v>
      </c>
      <c r="AB153" s="21"/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Tabla35681321293971727478797107117[[#This Row],[COMISIONES]]*0.21</f>
        <v>0</v>
      </c>
      <c r="AB154" s="21"/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Tabla35681321293971727478797107117[[#This Row],[COMISIONES]]*0.21</f>
        <v>0</v>
      </c>
      <c r="AB155" s="21"/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Tabla35681321293971727478797107117[[#This Row],[COMISIONES]]*0.21</f>
        <v>0</v>
      </c>
      <c r="AB156" s="21"/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Tabla35681321293971727478797107117[[#This Row],[COMISIONES]]*0.21</f>
        <v>0</v>
      </c>
      <c r="AB157" s="21"/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Tabla35681321293971727478797107117[[#This Row],[COMISIONES]]*0.21</f>
        <v>0</v>
      </c>
      <c r="AB158" s="21"/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Tabla35681321293971727478797107117[[#This Row],[COMISIONES]]*0.21</f>
        <v>0</v>
      </c>
      <c r="AB159" s="21"/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Tabla35681321293971727478797107117[[#This Row],[COMISIONES]]*0.21</f>
        <v>0</v>
      </c>
      <c r="AB160" s="21"/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Tabla35681321293971727478797107117[[#This Row],[COMISIONES]]*0.21</f>
        <v>0</v>
      </c>
      <c r="AB161" s="21"/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Tabla35681321293971727478797107117[[#This Row],[COMISIONES]]*0.21</f>
        <v>0</v>
      </c>
      <c r="AB162" s="21"/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Tabla35681321293971727478797107117[[#This Row],[COMISIONES]]*0.21</f>
        <v>0</v>
      </c>
      <c r="AB163" s="21"/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Tabla35681321293971727478797107117[[#This Row],[COMISIONES]]*0.21</f>
        <v>0</v>
      </c>
      <c r="AB164" s="21"/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Tabla35681321293971727478797107117[[#This Row],[COMISIONES]]*0.21</f>
        <v>0</v>
      </c>
      <c r="AB165" s="21"/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Tabla35681321293971727478797107117[[#This Row],[COMISIONES]]*0.21</f>
        <v>0</v>
      </c>
      <c r="AB166" s="21"/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Tabla35681321293971727478797107117[[#This Row],[COMISIONES]]*0.21</f>
        <v>0</v>
      </c>
      <c r="AB167" s="21"/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Tabla35681321293971727478797107117[[#This Row],[COMISIONES]]*0.21</f>
        <v>0</v>
      </c>
      <c r="AB168" s="21"/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SUBTOTAL(109,Tabla35681321293971727478797107117[COMISIONES])</f>
        <v>1110026.6900000002</v>
      </c>
      <c r="AA169" s="4">
        <f>SUBTOTAL(109,Tabla35681321293971727478797107117[IVA 21])</f>
        <v>233105.60490000001</v>
      </c>
      <c r="AB169" s="4">
        <f>SUBTOTAL(109,Tabla35681321293971727478797107117[IVA 10,5])</f>
        <v>0</v>
      </c>
      <c r="AC169" s="4">
        <f>SUBTOTAL(109,Tabla35681321293971727478797107117[Ret IIBB Caba])</f>
        <v>0</v>
      </c>
      <c r="AD169" s="4">
        <f>SUBTOTAL(109,Tabla35681321293971727478797107117[PERC IVA])</f>
        <v>0</v>
      </c>
      <c r="AF169"/>
      <c r="AG169"/>
      <c r="AH169"/>
      <c r="AI169"/>
      <c r="AJ169"/>
      <c r="AK169"/>
      <c r="AL169"/>
      <c r="AM169"/>
      <c r="AN169"/>
      <c r="AO169"/>
    </row>
  </sheetData>
  <mergeCells count="22">
    <mergeCell ref="AK14:AO14"/>
    <mergeCell ref="T32:X32"/>
    <mergeCell ref="H54:L54"/>
    <mergeCell ref="T64:X64"/>
    <mergeCell ref="B14:F14"/>
    <mergeCell ref="H14:L14"/>
    <mergeCell ref="N14:R14"/>
    <mergeCell ref="T14:X14"/>
    <mergeCell ref="Z14:AD14"/>
    <mergeCell ref="AF14:AJ14"/>
    <mergeCell ref="G7:H7"/>
    <mergeCell ref="G8:H8"/>
    <mergeCell ref="G9:H9"/>
    <mergeCell ref="G10:H10"/>
    <mergeCell ref="G11:H11"/>
    <mergeCell ref="G12:H12"/>
    <mergeCell ref="G2:H2"/>
    <mergeCell ref="J2:K2"/>
    <mergeCell ref="G3:H3"/>
    <mergeCell ref="G4:H4"/>
    <mergeCell ref="G5:H5"/>
    <mergeCell ref="G6:H6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E9AB-C991-42B3-AC2F-B70581A2B199}">
  <dimension ref="A1:AO169"/>
  <sheetViews>
    <sheetView showGridLines="0" zoomScale="80" zoomScaleNormal="80" workbookViewId="0">
      <selection activeCell="B7" sqref="B7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2.140625" customWidth="1"/>
    <col min="7" max="7" width="2.42578125" style="6" customWidth="1"/>
    <col min="8" max="8" width="12.7109375" customWidth="1"/>
    <col min="9" max="9" width="13.5703125" customWidth="1"/>
    <col min="10" max="10" width="12.28515625" bestFit="1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6" max="26" width="15.42578125" bestFit="1" customWidth="1"/>
    <col min="27" max="27" width="13.28515625" customWidth="1"/>
    <col min="31" max="31" width="2.5703125" style="6" customWidth="1"/>
  </cols>
  <sheetData>
    <row r="1" spans="1:41" x14ac:dyDescent="0.25">
      <c r="G1"/>
      <c r="M1"/>
      <c r="S1"/>
      <c r="Y1"/>
      <c r="AE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4</v>
      </c>
      <c r="H2" s="38"/>
      <c r="J2" s="39">
        <v>45536</v>
      </c>
      <c r="K2" s="39"/>
      <c r="M2"/>
      <c r="S2"/>
      <c r="Y2"/>
      <c r="AE2"/>
    </row>
    <row r="3" spans="1:41" x14ac:dyDescent="0.25">
      <c r="B3" s="25" t="str">
        <f>+B14</f>
        <v>Extracto Santander</v>
      </c>
      <c r="C3" s="14">
        <v>4740.63</v>
      </c>
      <c r="D3" s="14"/>
      <c r="E3" s="14">
        <v>497.76614999999998</v>
      </c>
      <c r="F3" s="14">
        <v>284.44</v>
      </c>
      <c r="G3" s="32"/>
      <c r="H3" s="33">
        <v>71.11</v>
      </c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/>
      <c r="D4" s="14"/>
      <c r="E4" s="14"/>
      <c r="F4" s="14"/>
      <c r="G4" s="32"/>
      <c r="H4" s="33"/>
      <c r="J4" s="2"/>
      <c r="K4" s="3"/>
      <c r="M4"/>
      <c r="S4"/>
      <c r="Y4"/>
      <c r="AE4"/>
    </row>
    <row r="5" spans="1:41" x14ac:dyDescent="0.25">
      <c r="B5" s="25" t="str">
        <f>+N14</f>
        <v>BBVA VISA</v>
      </c>
      <c r="C5" s="14">
        <v>5619.83</v>
      </c>
      <c r="D5" s="14">
        <v>1180.1642999999999</v>
      </c>
      <c r="E5" s="14"/>
      <c r="F5" s="14">
        <v>446.31</v>
      </c>
      <c r="G5" s="32"/>
      <c r="H5" s="33">
        <v>168.59</v>
      </c>
      <c r="M5"/>
      <c r="S5"/>
      <c r="Y5"/>
      <c r="AE5"/>
    </row>
    <row r="6" spans="1:41" x14ac:dyDescent="0.25">
      <c r="B6" s="25" t="str">
        <f>+T14</f>
        <v>GALICIA EXTRACTO (31/03)</v>
      </c>
      <c r="C6" s="14">
        <v>38000</v>
      </c>
      <c r="D6" s="14">
        <v>7980</v>
      </c>
      <c r="E6" s="14"/>
      <c r="F6" s="14">
        <v>2280</v>
      </c>
      <c r="G6" s="32"/>
      <c r="H6" s="34">
        <v>1140</v>
      </c>
      <c r="M6"/>
      <c r="S6"/>
      <c r="Y6"/>
      <c r="AE6"/>
    </row>
    <row r="7" spans="1:41" x14ac:dyDescent="0.25">
      <c r="B7" s="25" t="str">
        <f>+Z14</f>
        <v>SANTANDER</v>
      </c>
      <c r="C7" s="31">
        <v>1335101.3600000003</v>
      </c>
      <c r="D7" s="14">
        <v>182657.89999999997</v>
      </c>
      <c r="E7" s="14">
        <v>48856.690649999997</v>
      </c>
      <c r="F7" s="14"/>
      <c r="G7" s="32"/>
      <c r="H7" s="33"/>
      <c r="M7"/>
      <c r="S7"/>
      <c r="Y7"/>
      <c r="AE7"/>
    </row>
    <row r="8" spans="1:41" x14ac:dyDescent="0.25">
      <c r="B8" s="25" t="s">
        <v>44</v>
      </c>
      <c r="C8" s="14">
        <v>277304.49</v>
      </c>
      <c r="D8" s="14">
        <v>47348.7</v>
      </c>
      <c r="E8" s="14">
        <v>5442.6214499999996</v>
      </c>
      <c r="F8" s="14">
        <v>11492.06</v>
      </c>
      <c r="G8" s="35">
        <v>7424.31</v>
      </c>
      <c r="H8" s="43"/>
      <c r="M8"/>
      <c r="S8"/>
      <c r="Y8"/>
      <c r="AE8"/>
    </row>
    <row r="9" spans="1:41" x14ac:dyDescent="0.25">
      <c r="B9" s="28" t="s">
        <v>43</v>
      </c>
      <c r="C9" s="14">
        <v>1500</v>
      </c>
      <c r="D9" s="14">
        <v>315</v>
      </c>
      <c r="E9" s="14"/>
      <c r="F9" s="14">
        <v>205.49</v>
      </c>
      <c r="G9" s="32"/>
      <c r="H9" s="33"/>
      <c r="M9"/>
      <c r="S9"/>
      <c r="Y9"/>
      <c r="AE9"/>
    </row>
    <row r="10" spans="1:41" x14ac:dyDescent="0.25">
      <c r="B10" s="28" t="s">
        <v>45</v>
      </c>
      <c r="C10" s="14"/>
      <c r="D10" s="14"/>
      <c r="E10" s="14"/>
      <c r="F10" s="14"/>
      <c r="G10" s="32"/>
      <c r="H10" s="33"/>
      <c r="J10" s="3">
        <f>E7*100/10.5</f>
        <v>465301.81571428565</v>
      </c>
      <c r="M10"/>
      <c r="S10"/>
      <c r="Y10"/>
      <c r="AE10"/>
    </row>
    <row r="11" spans="1:41" x14ac:dyDescent="0.25">
      <c r="B11" s="28" t="s">
        <v>37</v>
      </c>
      <c r="C11" s="14"/>
      <c r="D11" s="14"/>
      <c r="E11" s="14"/>
      <c r="F11" s="14"/>
      <c r="G11" s="32"/>
      <c r="H11" s="33"/>
      <c r="M11"/>
      <c r="S11"/>
      <c r="Y11"/>
      <c r="AE11"/>
    </row>
    <row r="12" spans="1:41" x14ac:dyDescent="0.25">
      <c r="A12" s="26"/>
      <c r="B12" s="26"/>
      <c r="C12" s="27">
        <f>SUM(C3:C11)</f>
        <v>1662266.3100000003</v>
      </c>
      <c r="D12" s="27">
        <f t="shared" ref="D12:F12" si="0">SUM(D3:D11)</f>
        <v>239481.76429999998</v>
      </c>
      <c r="E12" s="27">
        <f t="shared" si="0"/>
        <v>54797.078249999999</v>
      </c>
      <c r="F12" s="27">
        <f t="shared" si="0"/>
        <v>14708.3</v>
      </c>
      <c r="G12" s="44">
        <f>SUM(G3:H11)</f>
        <v>8804.01</v>
      </c>
      <c r="H12" s="44"/>
      <c r="M12"/>
      <c r="S12"/>
      <c r="Y12"/>
      <c r="AE12"/>
    </row>
    <row r="13" spans="1:41" x14ac:dyDescent="0.25">
      <c r="A13" s="26"/>
      <c r="B13" s="26"/>
      <c r="G13"/>
      <c r="J13" t="s">
        <v>25</v>
      </c>
      <c r="M13"/>
      <c r="S13"/>
      <c r="V13" t="s">
        <v>25</v>
      </c>
      <c r="Y13"/>
      <c r="AE13"/>
    </row>
    <row r="14" spans="1:41" ht="16.5" customHeight="1" x14ac:dyDescent="0.3">
      <c r="B14" s="41" t="s">
        <v>38</v>
      </c>
      <c r="C14" s="41"/>
      <c r="D14" s="41"/>
      <c r="E14" s="41"/>
      <c r="F14" s="41"/>
      <c r="H14" s="41" t="s">
        <v>26</v>
      </c>
      <c r="I14" s="41"/>
      <c r="J14" s="41"/>
      <c r="K14" s="41"/>
      <c r="L14" s="41"/>
      <c r="N14" s="41" t="s">
        <v>39</v>
      </c>
      <c r="O14" s="41"/>
      <c r="P14" s="41"/>
      <c r="Q14" s="41"/>
      <c r="R14" s="41"/>
      <c r="T14" s="41" t="s">
        <v>24</v>
      </c>
      <c r="U14" s="41"/>
      <c r="V14" s="41"/>
      <c r="W14" s="41"/>
      <c r="X14" s="41"/>
      <c r="Z14" s="41" t="s">
        <v>34</v>
      </c>
      <c r="AA14" s="41"/>
      <c r="AB14" s="41"/>
      <c r="AC14" s="41"/>
      <c r="AD14" s="41"/>
      <c r="AF14" s="41"/>
      <c r="AG14" s="41"/>
      <c r="AH14" s="41"/>
      <c r="AI14" s="41"/>
      <c r="AJ14" s="41"/>
      <c r="AK14" s="41" t="s">
        <v>35</v>
      </c>
      <c r="AL14" s="41"/>
      <c r="AM14" s="41"/>
      <c r="AN14" s="41"/>
      <c r="AO14" s="41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>
        <v>4740.63</v>
      </c>
      <c r="C16" s="2"/>
      <c r="D16" s="3">
        <f>Tabla131624322122233526272[[#This Row],[COMISIONES]]*0.105</f>
        <v>497.76614999999998</v>
      </c>
      <c r="E16" s="3">
        <v>284.44</v>
      </c>
      <c r="F16" s="1">
        <v>71.11</v>
      </c>
      <c r="G16" s="8"/>
      <c r="H16" s="3"/>
      <c r="I16" s="11">
        <f>Tabla391725353132334536373[[#This Row],[COMISIONES]]*0.21</f>
        <v>0</v>
      </c>
      <c r="J16" s="11"/>
      <c r="K16" s="11"/>
      <c r="L16" s="3"/>
      <c r="M16" s="8"/>
      <c r="N16" s="3">
        <v>5619.83</v>
      </c>
      <c r="O16" s="11">
        <f>Tabla35101826364142444546474[[#This Row],[COMISIONES]]*0.21</f>
        <v>1180.1642999999999</v>
      </c>
      <c r="P16" s="11"/>
      <c r="Q16" s="1">
        <v>396.33</v>
      </c>
      <c r="R16">
        <v>168.59</v>
      </c>
      <c r="S16" s="8"/>
      <c r="T16" s="11">
        <v>38000</v>
      </c>
      <c r="U16" s="11">
        <f>Tabla356111927375152545556575[[#This Row],[COMISIONES]]*0.21</f>
        <v>7980</v>
      </c>
      <c r="V16" s="11"/>
      <c r="W16" s="11">
        <v>2280</v>
      </c>
      <c r="X16" s="11">
        <v>1140</v>
      </c>
      <c r="Y16" s="8"/>
      <c r="Z16" s="3">
        <v>2581.12</v>
      </c>
      <c r="AA16" s="11">
        <f>Tabla3568132129397172747576777[[#This Row],[COMISIONES]]*0.21</f>
        <v>542.03519999999992</v>
      </c>
      <c r="AB16" s="3"/>
      <c r="AC16" s="1"/>
      <c r="AE16" s="8"/>
      <c r="AG16" s="11">
        <f>Tabla356813142230408182848586878[[#This Row],[COMISIONES]]*0.21</f>
        <v>0</v>
      </c>
      <c r="AH16" s="11"/>
      <c r="AI16" s="1"/>
      <c r="AJ16" s="11"/>
      <c r="AK16" s="11">
        <v>5619.83</v>
      </c>
      <c r="AL16" s="11">
        <f>Tabla356111927344311213151617181[[#This Row],[COMISIONES]]*0.21</f>
        <v>1180.1642999999999</v>
      </c>
      <c r="AM16" s="11"/>
      <c r="AN16" s="11">
        <v>442.87</v>
      </c>
      <c r="AO16" s="11">
        <v>168.59</v>
      </c>
    </row>
    <row r="17" spans="2:41" x14ac:dyDescent="0.25">
      <c r="B17" s="3"/>
      <c r="C17" s="2">
        <f>Tabla131624322122233526272[[#This Row],[COMISIONES]]*0.21</f>
        <v>0</v>
      </c>
      <c r="D17" s="3">
        <f>Tabla131624322122233526272[[#This Row],[COMISIONES]]*0.105</f>
        <v>0</v>
      </c>
      <c r="E17" s="3"/>
      <c r="F17" s="3"/>
      <c r="G17" s="8"/>
      <c r="H17" s="11"/>
      <c r="I17" s="11">
        <f>Tabla391725353132334536373[[#This Row],[COMISIONES]]*0.21</f>
        <v>0</v>
      </c>
      <c r="J17" s="11"/>
      <c r="K17" s="11"/>
      <c r="L17" s="11"/>
      <c r="M17" s="8"/>
      <c r="N17" s="11"/>
      <c r="O17" s="11"/>
      <c r="P17" s="11">
        <f>Tabla35101826364142444546474[[#This Row],[COMISIONES]]*0.105</f>
        <v>0</v>
      </c>
      <c r="Q17" s="1">
        <v>49.98</v>
      </c>
      <c r="S17" s="8"/>
      <c r="T17" s="11"/>
      <c r="U17" s="11">
        <f>Tabla356111927375152545556575[[#This Row],[COMISIONES]]*0.21</f>
        <v>0</v>
      </c>
      <c r="V17" s="11"/>
      <c r="W17" s="11"/>
      <c r="X17" s="11"/>
      <c r="Y17" s="8"/>
      <c r="Z17" s="3">
        <v>36202.839999999997</v>
      </c>
      <c r="AA17" s="11">
        <f>Tabla3568132129397172747576777[[#This Row],[COMISIONES]]*0.21</f>
        <v>7602.5963999999985</v>
      </c>
      <c r="AB17" s="3"/>
      <c r="AC17" s="1"/>
      <c r="AE17" s="8"/>
      <c r="AF17" s="11"/>
      <c r="AG17" s="11">
        <f>Tabla356813142230408182848586878[[#This Row],[COMISIONES]]*0.21</f>
        <v>0</v>
      </c>
      <c r="AH17" s="11"/>
      <c r="AI17" s="11"/>
      <c r="AJ17" s="11"/>
      <c r="AK17" s="11"/>
      <c r="AL17" s="11">
        <f>Tabla356111927344311213151617181[[#This Row],[COMISIONES]]*0.21</f>
        <v>0</v>
      </c>
      <c r="AM17" s="11"/>
      <c r="AN17" s="11">
        <v>586.6</v>
      </c>
      <c r="AO17" s="11"/>
    </row>
    <row r="18" spans="2:41" x14ac:dyDescent="0.25">
      <c r="B18" s="3"/>
      <c r="C18" s="2">
        <f>Tabla131624322122233526272[[#This Row],[COMISIONES]]*0.21</f>
        <v>0</v>
      </c>
      <c r="D18" s="3">
        <f>Tabla131624322122233526272[[#This Row],[COMISIONES]]*0.105</f>
        <v>0</v>
      </c>
      <c r="E18" s="3"/>
      <c r="F18" s="3"/>
      <c r="H18" s="11"/>
      <c r="I18" s="11">
        <f>Tabla391725353132334536373[[#This Row],[COMISIONES]]*0.21</f>
        <v>0</v>
      </c>
      <c r="J18" s="11"/>
      <c r="K18" s="11"/>
      <c r="L18" s="11"/>
      <c r="N18" s="1"/>
      <c r="O18" s="11">
        <f>Tabla35101826364142444546474[[#This Row],[COMISIONES]]*0.21</f>
        <v>0</v>
      </c>
      <c r="P18" s="11"/>
      <c r="Q18" s="11"/>
      <c r="R18" s="23"/>
      <c r="T18" s="11"/>
      <c r="U18" s="11">
        <f>Tabla356111927375152545556575[[#This Row],[COMISIONES]]*0.21</f>
        <v>0</v>
      </c>
      <c r="V18" s="11"/>
      <c r="W18" s="11"/>
      <c r="X18" s="11"/>
      <c r="Z18" s="3">
        <v>3777.59</v>
      </c>
      <c r="AA18" s="11"/>
      <c r="AB18" s="3">
        <f>Tabla3568132129397172747576777[[#This Row],[COMISIONES]]*0.105</f>
        <v>396.64695</v>
      </c>
      <c r="AF18" s="11"/>
      <c r="AG18" s="11">
        <f>Tabla356813142230408182848586878[[#This Row],[COMISIONES]]*0.21</f>
        <v>0</v>
      </c>
      <c r="AH18" s="11"/>
      <c r="AI18" s="11"/>
      <c r="AJ18" s="11"/>
      <c r="AK18" s="11"/>
      <c r="AL18" s="11">
        <f>Tabla356111927344311213151617181[[#This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Tabla131624322122233526272[[#This Row],[COMISIONES]]*0.21</f>
        <v>0</v>
      </c>
      <c r="D19" s="3">
        <f>Tabla131624322122233526272[[#This Row],[COMISIONES]]*0.105</f>
        <v>0</v>
      </c>
      <c r="E19" s="3"/>
      <c r="F19" s="3"/>
      <c r="G19" s="8"/>
      <c r="H19" s="11"/>
      <c r="I19" s="11">
        <f>Tabla391725353132334536373[[#This Row],[COMISIONES]]*0.21</f>
        <v>0</v>
      </c>
      <c r="J19" s="11"/>
      <c r="K19" s="11"/>
      <c r="L19" s="11"/>
      <c r="M19" s="8"/>
      <c r="N19" s="1"/>
      <c r="O19" s="11">
        <f>Tabla35101826364142444546474[[#This Row],[COMISIONES]]*0.21</f>
        <v>0</v>
      </c>
      <c r="P19" s="11"/>
      <c r="Q19" s="11"/>
      <c r="R19" s="23"/>
      <c r="S19" s="8"/>
      <c r="T19" s="11"/>
      <c r="U19" s="11">
        <f>Tabla356111927375152545556575[[#This Row],[COMISIONES]]*0.21</f>
        <v>0</v>
      </c>
      <c r="V19" s="11"/>
      <c r="W19" s="11"/>
      <c r="X19" s="11"/>
      <c r="Y19" s="8"/>
      <c r="Z19" s="3">
        <v>8942.9500000000007</v>
      </c>
      <c r="AA19" s="11">
        <f>Tabla3568132129397172747576777[[#This Row],[COMISIONES]]*0.21</f>
        <v>1878.0195000000001</v>
      </c>
      <c r="AB19" s="3"/>
      <c r="AC19" s="1"/>
      <c r="AE19" s="8"/>
      <c r="AF19" s="11"/>
      <c r="AG19" s="11">
        <f>Tabla356813142230408182848586878[[#This Row],[COMISIONES]]*0.21</f>
        <v>0</v>
      </c>
      <c r="AH19" s="11"/>
      <c r="AI19" s="11"/>
      <c r="AJ19" s="11"/>
      <c r="AK19" s="11"/>
      <c r="AL19" s="11">
        <f>Tabla356111927344311213151617181[[#This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Tabla131624322122233526272[[#This Row],[COMISIONES]]*0.21</f>
        <v>0</v>
      </c>
      <c r="D20" s="3">
        <f>Tabla131624322122233526272[[#This Row],[COMISIONES]]*0.105</f>
        <v>0</v>
      </c>
      <c r="E20" s="3"/>
      <c r="F20" s="3"/>
      <c r="H20" s="11"/>
      <c r="I20" s="11">
        <f>Tabla391725353132334536373[[#This Row],[COMISIONES]]*0.21</f>
        <v>0</v>
      </c>
      <c r="J20" s="11"/>
      <c r="K20" s="11"/>
      <c r="L20" s="11"/>
      <c r="N20" s="1"/>
      <c r="O20" s="11">
        <f>Tabla35101826364142444546474[[#This Row],[COMISIONES]]*0.21</f>
        <v>0</v>
      </c>
      <c r="P20" s="11"/>
      <c r="Q20" s="11"/>
      <c r="R20" s="23"/>
      <c r="T20" s="11"/>
      <c r="U20" s="11">
        <f>Tabla356111927375152545556575[[#This Row],[COMISIONES]]*0.21</f>
        <v>0</v>
      </c>
      <c r="V20" s="11"/>
      <c r="W20" s="11"/>
      <c r="X20" s="11"/>
      <c r="Z20" s="3">
        <v>1033</v>
      </c>
      <c r="AA20" s="11">
        <f>Tabla3568132129397172747576777[[#This Row],[COMISIONES]]*0.21</f>
        <v>216.92999999999998</v>
      </c>
      <c r="AB20" s="11"/>
      <c r="AC20" s="1"/>
      <c r="AF20" s="11"/>
      <c r="AG20" s="11">
        <f>Tabla356813142230408182848586878[[#This Row],[COMISIONES]]*0.21</f>
        <v>0</v>
      </c>
      <c r="AH20" s="11"/>
      <c r="AI20" s="11"/>
      <c r="AJ20" s="11"/>
      <c r="AK20" s="11"/>
      <c r="AL20" s="11">
        <f>Tabla356111927344311213151617181[[#This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Tabla131624322122233526272[[#This Row],[COMISIONES]]*0.21</f>
        <v>0</v>
      </c>
      <c r="D21" s="3">
        <f>Tabla131624322122233526272[[#This Row],[COMISIONES]]*0.105</f>
        <v>0</v>
      </c>
      <c r="E21" s="3"/>
      <c r="F21" s="3"/>
      <c r="H21" s="11"/>
      <c r="I21" s="11">
        <f>Tabla391725353132334536373[[#This Row],[COMISIONES]]*0.21</f>
        <v>0</v>
      </c>
      <c r="J21" s="11"/>
      <c r="K21" s="11"/>
      <c r="L21" s="11"/>
      <c r="N21" s="11"/>
      <c r="O21" s="11">
        <f>Tabla35101826364142444546474[[#This Row],[COMISIONES]]*0.21</f>
        <v>0</v>
      </c>
      <c r="P21" s="11"/>
      <c r="Q21" s="11"/>
      <c r="R21" s="11"/>
      <c r="T21" s="11"/>
      <c r="U21" s="11">
        <f>Tabla356111927375152545556575[[#This Row],[COMISIONES]]*0.21</f>
        <v>0</v>
      </c>
      <c r="V21" s="11"/>
      <c r="W21" s="11"/>
      <c r="X21" s="11"/>
      <c r="Z21" s="3">
        <v>10603.09</v>
      </c>
      <c r="AA21" s="11">
        <f>Tabla3568132129397172747576777[[#This Row],[COMISIONES]]*0.21</f>
        <v>2226.6489000000001</v>
      </c>
      <c r="AB21" s="11"/>
      <c r="AC21" s="1"/>
      <c r="AF21" s="11"/>
      <c r="AG21" s="11">
        <f>Tabla356813142230408182848586878[[#This Row],[COMISIONES]]*0.21</f>
        <v>0</v>
      </c>
      <c r="AH21" s="11"/>
      <c r="AI21" s="11"/>
      <c r="AJ21" s="11"/>
      <c r="AK21" s="11"/>
      <c r="AL21" s="11">
        <f>Tabla356111927344311213151617181[[#This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Tabla131624322122233526272[[#This Row],[COMISIONES]]*0.21</f>
        <v>0</v>
      </c>
      <c r="D22" s="3">
        <f>Tabla131624322122233526272[[#This Row],[COMISIONES]]*0.105</f>
        <v>0</v>
      </c>
      <c r="E22" s="3"/>
      <c r="F22" s="3"/>
      <c r="H22" s="11"/>
      <c r="I22" s="11">
        <f>Tabla391725353132334536373[[#This Row],[COMISIONES]]*0.21</f>
        <v>0</v>
      </c>
      <c r="J22" s="11"/>
      <c r="K22" s="11"/>
      <c r="L22" s="11"/>
      <c r="N22" s="11"/>
      <c r="O22" s="11">
        <f>Tabla35101826364142444546474[[#This Row],[COMISIONES]]*0.21</f>
        <v>0</v>
      </c>
      <c r="P22" s="11"/>
      <c r="Q22" s="11"/>
      <c r="R22" s="11"/>
      <c r="T22" s="11"/>
      <c r="U22" s="11">
        <f>Tabla356111927375152545556575[[#This Row],[COMISIONES]]*0.21</f>
        <v>0</v>
      </c>
      <c r="V22" s="11"/>
      <c r="W22" s="11"/>
      <c r="X22" s="11"/>
      <c r="Z22" s="3">
        <v>23568.04</v>
      </c>
      <c r="AA22" s="11"/>
      <c r="AB22" s="29">
        <f>Tabla3568132129397172747576777[[#This Row],[COMISIONES]]*0.105</f>
        <v>2474.6442000000002</v>
      </c>
      <c r="AC22" s="1"/>
      <c r="AD22" s="11"/>
      <c r="AF22" s="11"/>
      <c r="AG22" s="11">
        <f>Tabla356813142230408182848586878[[#This Row],[COMISIONES]]*0.21</f>
        <v>0</v>
      </c>
      <c r="AH22" s="11"/>
      <c r="AI22" s="11"/>
      <c r="AJ22" s="11"/>
      <c r="AK22" s="11"/>
      <c r="AL22" s="11">
        <f>Tabla356111927344311213151617181[[#This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Tabla131624322122233526272[[#This Row],[COMISIONES]]*0.21</f>
        <v>0</v>
      </c>
      <c r="D23" s="3">
        <f>Tabla131624322122233526272[[#This Row],[COMISIONES]]*0.105</f>
        <v>0</v>
      </c>
      <c r="E23" s="3"/>
      <c r="F23" s="3"/>
      <c r="H23" s="11"/>
      <c r="I23" s="11">
        <f>Tabla391725353132334536373[[#This Row],[COMISIONES]]*0.21</f>
        <v>0</v>
      </c>
      <c r="J23" s="11"/>
      <c r="K23" s="11"/>
      <c r="L23" s="11"/>
      <c r="N23" s="11"/>
      <c r="O23" s="11">
        <f>Tabla35101826364142444546474[[#This Row],[COMISIONES]]*0.21</f>
        <v>0</v>
      </c>
      <c r="P23" s="11"/>
      <c r="Q23" s="11"/>
      <c r="R23" s="11"/>
      <c r="T23" s="11"/>
      <c r="U23" s="11">
        <f>Tabla356111927375152545556575[[#This Row],[COMISIONES]]*0.21</f>
        <v>0</v>
      </c>
      <c r="V23" s="11"/>
      <c r="W23" s="11"/>
      <c r="X23" s="11"/>
      <c r="Z23" s="3">
        <v>10248.86</v>
      </c>
      <c r="AA23" s="11">
        <f>Tabla3568132129397172747576777[[#This Row],[COMISIONES]]*0.21</f>
        <v>2152.2606000000001</v>
      </c>
      <c r="AB23" s="3"/>
      <c r="AC23" s="1"/>
      <c r="AD23" s="11"/>
      <c r="AF23" s="11"/>
      <c r="AG23" s="11">
        <f>Tabla356813142230408182848586878[[#This Row],[COMISIONES]]*0.21</f>
        <v>0</v>
      </c>
      <c r="AH23" s="11"/>
      <c r="AI23" s="11"/>
      <c r="AJ23" s="11"/>
      <c r="AK23" s="11"/>
      <c r="AL23" s="11">
        <f>Tabla356111927344311213151617181[[#This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Tabla131624322122233526272[[#This Row],[COMISIONES]]*0.21</f>
        <v>0</v>
      </c>
      <c r="D24" s="3">
        <f>Tabla131624322122233526272[[#This Row],[COMISIONES]]*0.105</f>
        <v>0</v>
      </c>
      <c r="E24" s="3"/>
      <c r="F24" s="3"/>
      <c r="H24" s="11"/>
      <c r="I24" s="11">
        <f>Tabla391725353132334536373[[#This Row],[COMISIONES]]*0.21</f>
        <v>0</v>
      </c>
      <c r="J24" s="11"/>
      <c r="K24" s="11"/>
      <c r="L24" s="11"/>
      <c r="N24" s="11"/>
      <c r="O24" s="11">
        <f>Tabla35101826364142444546474[[#This Row],[COMISIONES]]*0.21</f>
        <v>0</v>
      </c>
      <c r="P24" s="11"/>
      <c r="Q24" s="11"/>
      <c r="R24" s="11"/>
      <c r="T24" s="11"/>
      <c r="U24" s="11">
        <f>Tabla356111927375152545556575[[#This Row],[COMISIONES]]*0.21</f>
        <v>0</v>
      </c>
      <c r="V24" s="11"/>
      <c r="W24" s="11"/>
      <c r="X24" s="11"/>
      <c r="Z24" s="3">
        <v>2631.24</v>
      </c>
      <c r="AA24" s="11">
        <f>Tabla3568132129397172747576777[[#This Row],[COMISIONES]]*0.21</f>
        <v>552.56039999999996</v>
      </c>
      <c r="AB24" s="11"/>
      <c r="AC24" s="1"/>
      <c r="AD24" s="11"/>
      <c r="AF24" s="11"/>
      <c r="AG24" s="11">
        <f>Tabla356813142230408182848586878[[#This Row],[COMISIONES]]*0.21</f>
        <v>0</v>
      </c>
      <c r="AH24" s="11"/>
      <c r="AI24" s="11"/>
      <c r="AJ24" s="11"/>
      <c r="AK24" s="11"/>
      <c r="AL24" s="11">
        <f>Tabla356111927344311213151617181[[#This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Tabla131624322122233526272[[#This Row],[COMISIONES]]*0.21</f>
        <v>0</v>
      </c>
      <c r="D25" s="3">
        <f>Tabla131624322122233526272[[#This Row],[COMISIONES]]*0.105</f>
        <v>0</v>
      </c>
      <c r="E25" s="3"/>
      <c r="F25" s="3"/>
      <c r="H25" s="11"/>
      <c r="I25" s="11">
        <f>Tabla391725353132334536373[[#This Row],[COMISIONES]]*0.21</f>
        <v>0</v>
      </c>
      <c r="J25" s="11"/>
      <c r="K25" s="11"/>
      <c r="L25" s="11"/>
      <c r="N25" s="11"/>
      <c r="O25" s="11">
        <f>Tabla35101826364142444546474[[#This Row],[COMISIONES]]*0.21</f>
        <v>0</v>
      </c>
      <c r="P25" s="11"/>
      <c r="Q25" s="11"/>
      <c r="R25" s="11"/>
      <c r="T25" s="11"/>
      <c r="U25" s="11">
        <f>Tabla356111927375152545556575[[#This Row],[COMISIONES]]*0.21</f>
        <v>0</v>
      </c>
      <c r="V25" s="11"/>
      <c r="W25" s="11"/>
      <c r="X25" s="11"/>
      <c r="Z25" s="3">
        <v>22708.21</v>
      </c>
      <c r="AA25" s="11">
        <f>Tabla3568132129397172747576777[[#This Row],[COMISIONES]]*0.21</f>
        <v>4768.7240999999995</v>
      </c>
      <c r="AB25" s="11"/>
      <c r="AC25" s="1"/>
      <c r="AD25" s="11"/>
      <c r="AF25" s="11"/>
      <c r="AG25" s="11">
        <f>Tabla356813142230408182848586878[[#This Row],[COMISIONES]]*0.21</f>
        <v>0</v>
      </c>
      <c r="AH25" s="11"/>
      <c r="AI25" s="11"/>
      <c r="AJ25" s="11"/>
      <c r="AK25" s="11"/>
      <c r="AL25" s="11">
        <f>Tabla356111927344311213151617181[[#This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Tabla131624322122233526272[[#This Row],[COMISIONES]]*0.21</f>
        <v>0</v>
      </c>
      <c r="D26" s="3">
        <f>Tabla131624322122233526272[[#This Row],[COMISIONES]]*0.105</f>
        <v>0</v>
      </c>
      <c r="E26" s="3"/>
      <c r="F26" s="3"/>
      <c r="H26" s="11"/>
      <c r="I26" s="11">
        <f>Tabla391725353132334536373[[#This Row],[COMISIONES]]*0.21</f>
        <v>0</v>
      </c>
      <c r="J26" s="11"/>
      <c r="K26" s="11"/>
      <c r="L26" s="11"/>
      <c r="N26" s="11"/>
      <c r="O26" s="11">
        <f>Tabla35101826364142444546474[[#This Row],[COMISIONES]]*0.21</f>
        <v>0</v>
      </c>
      <c r="P26" s="11"/>
      <c r="Q26" s="11"/>
      <c r="R26" s="11"/>
      <c r="T26" s="11"/>
      <c r="U26" s="11">
        <f>Tabla356111927375152545556575[[#This Row],[COMISIONES]]*0.21</f>
        <v>0</v>
      </c>
      <c r="V26" s="11"/>
      <c r="W26" s="11"/>
      <c r="X26" s="11"/>
      <c r="Z26" s="3">
        <v>57657.53</v>
      </c>
      <c r="AA26" s="11"/>
      <c r="AB26" s="11">
        <f>Tabla3568132129397172747576777[[#This Row],[COMISIONES]]*0.105</f>
        <v>6054.0406499999999</v>
      </c>
      <c r="AC26" s="1"/>
      <c r="AD26" s="11"/>
      <c r="AF26" s="4">
        <f>SUBTOTAL(109,Tabla356813142230408182848586878[COMISIONES])</f>
        <v>0</v>
      </c>
      <c r="AG26" s="4">
        <f>SUBTOTAL(109,Tabla356813142230408182848586878[IVA 21])</f>
        <v>0</v>
      </c>
      <c r="AH26" s="4">
        <f>SUBTOTAL(109,Tabla356813142230408182848586878[IVA 10,5])</f>
        <v>0</v>
      </c>
      <c r="AI26" s="4">
        <f>SUBTOTAL(109,Tabla356813142230408182848586878[Ret IIBB Caba])</f>
        <v>0</v>
      </c>
      <c r="AJ26" s="4">
        <f>SUBTOTAL(109,Tabla356813142230408182848586878[PERC IVA])</f>
        <v>0</v>
      </c>
      <c r="AK26" s="11"/>
      <c r="AL26" s="11">
        <f>Tabla356111927344311213151617181[[#This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Tabla131624322122233526272[[#This Row],[COMISIONES]]*0.21</f>
        <v>0</v>
      </c>
      <c r="D27" s="3">
        <f>Tabla131624322122233526272[[#This Row],[COMISIONES]]*0.105</f>
        <v>0</v>
      </c>
      <c r="E27" s="3"/>
      <c r="F27" s="3"/>
      <c r="H27" s="11"/>
      <c r="I27" s="11">
        <f>Tabla391725353132334536373[[#This Row],[COMISIONES]]*0.21</f>
        <v>0</v>
      </c>
      <c r="J27" s="11"/>
      <c r="K27" s="11"/>
      <c r="L27" s="11"/>
      <c r="N27" s="11"/>
      <c r="O27" s="11">
        <f>Tabla35101826364142444546474[[#This Row],[COMISIONES]]*0.21</f>
        <v>0</v>
      </c>
      <c r="P27" s="11"/>
      <c r="Q27" s="11"/>
      <c r="R27" s="11"/>
      <c r="T27" s="11"/>
      <c r="U27" s="11">
        <f>Tabla356111927375152545556575[[#This Row],[COMISIONES]]*0.21</f>
        <v>0</v>
      </c>
      <c r="V27" s="11"/>
      <c r="W27" s="11"/>
      <c r="X27" s="11"/>
      <c r="Z27" s="3">
        <v>10918.41</v>
      </c>
      <c r="AA27" s="11">
        <f>Tabla3568132129397172747576777[[#This Row],[COMISIONES]]*0.21</f>
        <v>2292.8660999999997</v>
      </c>
      <c r="AB27" s="11"/>
      <c r="AC27" s="1"/>
      <c r="AK27" s="11"/>
      <c r="AL27" s="11">
        <f>Tabla356111927344311213151617181[[#This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Tabla131624322122233526272[[#This Row],[COMISIONES]]*0.21</f>
        <v>0</v>
      </c>
      <c r="D28" s="3">
        <f>Tabla131624322122233526272[[#This Row],[COMISIONES]]*0.105</f>
        <v>0</v>
      </c>
      <c r="E28" s="3"/>
      <c r="F28" s="3"/>
      <c r="H28" s="11"/>
      <c r="I28" s="11">
        <f>Tabla391725353132334536373[[#This Row],[COMISIONES]]*0.21</f>
        <v>0</v>
      </c>
      <c r="J28" s="11"/>
      <c r="K28" s="11"/>
      <c r="L28" s="11"/>
      <c r="N28" s="11"/>
      <c r="O28" s="11">
        <f>Tabla35101826364142444546474[[#This Row],[COMISIONES]]*0.21</f>
        <v>0</v>
      </c>
      <c r="P28" s="11"/>
      <c r="Q28" s="11"/>
      <c r="R28" s="11"/>
      <c r="T28" s="11"/>
      <c r="U28" s="11">
        <f>Tabla356111927375152545556575[[#This Row],[COMISIONES]]*0.21</f>
        <v>0</v>
      </c>
      <c r="V28" s="11"/>
      <c r="W28" s="11"/>
      <c r="X28" s="11"/>
      <c r="Z28" s="3">
        <v>920.45</v>
      </c>
      <c r="AA28" s="11">
        <f>Tabla3568132129397172747576777[[#This Row],[COMISIONES]]*0.21</f>
        <v>193.2945</v>
      </c>
      <c r="AB28" s="1"/>
      <c r="AC28" s="1"/>
      <c r="AD28" s="11"/>
      <c r="AK28" s="11"/>
      <c r="AL28" s="11">
        <f>Tabla356111927344311213151617181[[#This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Tabla131624322122233526272[[#This Row],[COMISIONES]]*0.21</f>
        <v>0</v>
      </c>
      <c r="D29" s="3">
        <f>Tabla131624322122233526272[[#This Row],[COMISIONES]]*0.105</f>
        <v>0</v>
      </c>
      <c r="E29" s="3"/>
      <c r="F29" s="3"/>
      <c r="H29" s="11"/>
      <c r="I29" s="11">
        <f>Tabla391725353132334536373[[#This Row],[COMISIONES]]*0.21</f>
        <v>0</v>
      </c>
      <c r="J29" s="11"/>
      <c r="K29" s="11"/>
      <c r="L29" s="11"/>
      <c r="N29" s="11"/>
      <c r="O29" s="11">
        <f>Tabla35101826364142444546474[[#This Row],[COMISIONES]]*0.21</f>
        <v>0</v>
      </c>
      <c r="P29" s="11"/>
      <c r="Q29" s="11"/>
      <c r="R29" s="11"/>
      <c r="T29" s="18"/>
      <c r="U29" s="18">
        <f>Tabla356111927375152545556575[[#This Row],[COMISIONES]]*0.21</f>
        <v>0</v>
      </c>
      <c r="V29" s="18"/>
      <c r="W29" s="18"/>
      <c r="X29" s="18"/>
      <c r="Z29" s="3">
        <v>28816.78</v>
      </c>
      <c r="AA29" s="11">
        <f>Tabla3568132129397172747576777[[#This Row],[COMISIONES]]*0.21</f>
        <v>6051.5237999999999</v>
      </c>
      <c r="AB29" s="1"/>
      <c r="AD29" s="11"/>
      <c r="AK29" s="18"/>
      <c r="AL29" s="18">
        <f>Tabla356111927344311213151617181[[#This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Tabla131624322122233526272[[#This Row],[COMISIONES]]*0.21</f>
        <v>0</v>
      </c>
      <c r="D30" s="3">
        <f>Tabla131624322122233526272[[#This Row],[COMISIONES]]*0.105</f>
        <v>0</v>
      </c>
      <c r="E30" s="3"/>
      <c r="F30" s="3"/>
      <c r="H30" s="11"/>
      <c r="I30" s="11">
        <f>Tabla391725353132334536373[[#This Row],[COMISIONES]]*0.21</f>
        <v>0</v>
      </c>
      <c r="J30" s="11"/>
      <c r="K30" s="11"/>
      <c r="L30" s="11"/>
      <c r="N30" s="11"/>
      <c r="O30" s="11">
        <f>Tabla35101826364142444546474[[#This Row],[COMISIONES]]*0.21</f>
        <v>0</v>
      </c>
      <c r="P30" s="11"/>
      <c r="Q30" s="11"/>
      <c r="R30" s="11"/>
      <c r="T30" s="18"/>
      <c r="U30" s="18">
        <f>Tabla356111927375152545556575[[#This Row],[COMISIONES]]*0.21</f>
        <v>0</v>
      </c>
      <c r="V30" s="18"/>
      <c r="W30" s="18"/>
      <c r="X30" s="18"/>
      <c r="Z30" s="3">
        <v>105567.81</v>
      </c>
      <c r="AA30" s="11"/>
      <c r="AB30" s="11">
        <f>Tabla3568132129397172747576777[[#This Row],[COMISIONES]]*0.105</f>
        <v>11084.62005</v>
      </c>
      <c r="AC30" s="11"/>
      <c r="AD30" s="11"/>
      <c r="AK30" s="18"/>
      <c r="AL30" s="18">
        <f>Tabla356111927344311213151617181[[#This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Tabla131624322122233526272[[#This Row],[COMISIONES]]*0.21</f>
        <v>0</v>
      </c>
      <c r="D31" s="3">
        <f>Tabla131624322122233526272[[#This Row],[COMISIONES]]*0.105</f>
        <v>0</v>
      </c>
      <c r="E31" s="1"/>
      <c r="F31" s="3"/>
      <c r="H31" s="11"/>
      <c r="I31" s="11">
        <f>Tabla391725353132334536373[[#This Row],[COMISIONES]]*0.21</f>
        <v>0</v>
      </c>
      <c r="J31" s="11"/>
      <c r="K31" s="11"/>
      <c r="L31" s="11"/>
      <c r="N31" s="11"/>
      <c r="O31" s="11">
        <f>Tabla35101826364142444546474[[#This Row],[COMISIONES]]*0.21</f>
        <v>0</v>
      </c>
      <c r="P31" s="11"/>
      <c r="Q31" s="11"/>
      <c r="R31" s="11"/>
      <c r="T31" s="4">
        <f>SUBTOTAL(109,Tabla356111927375152545556575[COMISIONES])</f>
        <v>38000</v>
      </c>
      <c r="U31" s="4">
        <f>SUBTOTAL(109,Tabla356111927375152545556575[IVA 21])</f>
        <v>7980</v>
      </c>
      <c r="V31" s="4">
        <f>SUBTOTAL(109,Tabla356111927375152545556575[IVA 10,5])</f>
        <v>0</v>
      </c>
      <c r="W31" s="4">
        <f>SUBTOTAL(109,Tabla356111927375152545556575[Ret IIBB Caba])</f>
        <v>2280</v>
      </c>
      <c r="X31" s="4">
        <f>SUBTOTAL(109,Tabla356111927375152545556575[PERC IVA])</f>
        <v>1140</v>
      </c>
      <c r="Z31" s="3">
        <v>10626.85</v>
      </c>
      <c r="AA31" s="11">
        <f>Tabla3568132129397172747576777[[#This Row],[COMISIONES]]*0.21</f>
        <v>2231.6385</v>
      </c>
      <c r="AB31" s="11"/>
      <c r="AC31" s="1"/>
      <c r="AK31" s="4">
        <f>SUBTOTAL(109,Tabla356111927344311213151617181[COMISIONES])</f>
        <v>5619.83</v>
      </c>
      <c r="AL31" s="4">
        <f>SUBTOTAL(109,Tabla356111927344311213151617181[IVA 21])</f>
        <v>1180.1642999999999</v>
      </c>
      <c r="AM31" s="4">
        <f>SUBTOTAL(109,Tabla356111927344311213151617181[IVA 10,5])</f>
        <v>0</v>
      </c>
      <c r="AN31" s="4">
        <f>SUBTOTAL(109,Tabla356111927344311213151617181[Ret IIBB Caba])</f>
        <v>1029.47</v>
      </c>
      <c r="AO31" s="4">
        <f>SUBTOTAL(109,Tabla356111927344311213151617181[PERC IVA])</f>
        <v>168.59</v>
      </c>
    </row>
    <row r="32" spans="2:41" ht="18.75" x14ac:dyDescent="0.3">
      <c r="B32" s="3"/>
      <c r="C32" s="2">
        <f>Tabla131624322122233526272[[#This Row],[COMISIONES]]*0.21</f>
        <v>0</v>
      </c>
      <c r="D32" s="3">
        <f>Tabla131624322122233526272[[#This Row],[COMISIONES]]*0.105</f>
        <v>0</v>
      </c>
      <c r="E32" s="3"/>
      <c r="F32" s="3"/>
      <c r="H32" s="11"/>
      <c r="I32" s="11">
        <f>Tabla391725353132334536373[[#This Row],[COMISIONES]]*0.21</f>
        <v>0</v>
      </c>
      <c r="J32" s="11"/>
      <c r="K32" s="11"/>
      <c r="L32" s="11"/>
      <c r="N32" s="11"/>
      <c r="O32" s="11">
        <f>Tabla35101826364142444546474[[#This Row],[COMISIONES]]*0.21</f>
        <v>0</v>
      </c>
      <c r="P32" s="11"/>
      <c r="Q32" s="11"/>
      <c r="R32" s="11"/>
      <c r="T32" s="41" t="s">
        <v>30</v>
      </c>
      <c r="U32" s="41"/>
      <c r="V32" s="41"/>
      <c r="W32" s="41"/>
      <c r="X32" s="41"/>
      <c r="Z32" s="3">
        <v>2833.24</v>
      </c>
      <c r="AA32" s="11">
        <f>Tabla3568132129397172747576777[[#This Row],[COMISIONES]]*0.21</f>
        <v>594.98039999999992</v>
      </c>
      <c r="AB32" s="1"/>
      <c r="AC32" s="11"/>
      <c r="AD32" s="11"/>
    </row>
    <row r="33" spans="2:31" x14ac:dyDescent="0.25">
      <c r="B33" s="3"/>
      <c r="C33" s="2">
        <f>Tabla131624322122233526272[[#This Row],[COMISIONES]]*0.21</f>
        <v>0</v>
      </c>
      <c r="D33" s="3">
        <f>Tabla131624322122233526272[[#This Row],[COMISIONES]]*0.105</f>
        <v>0</v>
      </c>
      <c r="E33" s="3"/>
      <c r="F33" s="3"/>
      <c r="H33" s="11"/>
      <c r="I33" s="11">
        <f>Tabla391725353132334536373[[#This Row],[COMISIONES]]*0.21</f>
        <v>0</v>
      </c>
      <c r="J33" s="11"/>
      <c r="K33" s="11"/>
      <c r="L33" s="11"/>
      <c r="N33" s="11"/>
      <c r="O33" s="11">
        <f>Tabla35101826364142444546474[[#This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3">
        <v>67447.210000000006</v>
      </c>
      <c r="AA33" s="11">
        <f>Tabla3568132129397172747576777[[#This Row],[COMISIONES]]*0.21</f>
        <v>14163.9141</v>
      </c>
      <c r="AB33" s="29"/>
      <c r="AC33" s="11"/>
      <c r="AD33" s="11"/>
    </row>
    <row r="34" spans="2:31" x14ac:dyDescent="0.25">
      <c r="B34" s="3"/>
      <c r="C34" s="2">
        <f>Tabla131624322122233526272[[#This Row],[COMISIONES]]*0.21</f>
        <v>0</v>
      </c>
      <c r="D34" s="3">
        <f>Tabla131624322122233526272[[#This Row],[COMISIONES]]*0.105</f>
        <v>0</v>
      </c>
      <c r="E34" s="3"/>
      <c r="F34" s="3"/>
      <c r="H34" s="11"/>
      <c r="I34" s="11">
        <f>Tabla391725353132334536373[[#This Row],[COMISIONES]]*0.21</f>
        <v>0</v>
      </c>
      <c r="J34" s="11"/>
      <c r="K34" s="11"/>
      <c r="L34" s="11"/>
      <c r="N34" s="11"/>
      <c r="O34" s="11">
        <f>Tabla35101826364142444546474[[#This Row],[COMISIONES]]*0.21</f>
        <v>0</v>
      </c>
      <c r="P34" s="11"/>
      <c r="Q34" s="11"/>
      <c r="R34" s="11"/>
      <c r="T34" s="11">
        <v>10</v>
      </c>
      <c r="U34" s="11">
        <f>Tabla6122028386162646566676[[#This Row],[COMISIONES]]*0.21</f>
        <v>2.1</v>
      </c>
      <c r="V34" s="11"/>
      <c r="W34" s="11">
        <v>3110.06</v>
      </c>
      <c r="X34" s="11">
        <v>777.51</v>
      </c>
      <c r="Z34" s="3">
        <v>28407.599999999999</v>
      </c>
      <c r="AA34" s="11"/>
      <c r="AB34" s="11">
        <f>Tabla3568132129397172747576777[[#This Row],[COMISIONES]]*0.105</f>
        <v>2982.7979999999998</v>
      </c>
      <c r="AC34" s="11"/>
      <c r="AD34" s="11"/>
    </row>
    <row r="35" spans="2:31" x14ac:dyDescent="0.25">
      <c r="B35" s="3"/>
      <c r="C35" s="2">
        <f>Tabla131624322122233526272[[#This Row],[COMISIONES]]*0.21</f>
        <v>0</v>
      </c>
      <c r="D35" s="3">
        <f>Tabla131624322122233526272[[#This Row],[COMISIONES]]*0.105</f>
        <v>0</v>
      </c>
      <c r="E35" s="3"/>
      <c r="F35" s="3"/>
      <c r="H35" s="11"/>
      <c r="I35" s="11">
        <f>Tabla391725353132334536373[[#This Row],[COMISIONES]]*0.21</f>
        <v>0</v>
      </c>
      <c r="J35" s="11"/>
      <c r="K35" s="11"/>
      <c r="L35" s="11"/>
      <c r="N35" s="11"/>
      <c r="O35" s="11">
        <f>Tabla35101826364142444546474[[#This Row],[COMISIONES]]*0.21</f>
        <v>0</v>
      </c>
      <c r="P35" s="11"/>
      <c r="Q35" s="11"/>
      <c r="R35" s="11"/>
      <c r="T35" s="11">
        <v>51834.49</v>
      </c>
      <c r="U35" s="11"/>
      <c r="V35" s="11">
        <f>Tabla6122028386162646566676[[#This Row],[COMISIONES]]*0.105</f>
        <v>5442.6214499999996</v>
      </c>
      <c r="W35" s="11">
        <v>3138</v>
      </c>
      <c r="X35" s="11">
        <v>1569</v>
      </c>
      <c r="Z35" s="3">
        <v>6280.03</v>
      </c>
      <c r="AA35" s="11">
        <f>Tabla3568132129397172747576777[[#This Row],[COMISIONES]]*0.21</f>
        <v>1318.8063</v>
      </c>
      <c r="AB35" s="11"/>
      <c r="AC35" s="11"/>
      <c r="AD35" s="11"/>
    </row>
    <row r="36" spans="2:31" x14ac:dyDescent="0.25">
      <c r="B36" s="3"/>
      <c r="C36" s="2">
        <f>Tabla131624322122233526272[[#This Row],[COMISIONES]]*0.21</f>
        <v>0</v>
      </c>
      <c r="D36" s="3">
        <f>Tabla131624322122233526272[[#This Row],[COMISIONES]]*0.105</f>
        <v>0</v>
      </c>
      <c r="E36" s="3"/>
      <c r="F36" s="3"/>
      <c r="H36" s="11"/>
      <c r="I36" s="11">
        <f>Tabla391725353132334536373[[#This Row],[COMISIONES]]*0.21</f>
        <v>0</v>
      </c>
      <c r="J36" s="11"/>
      <c r="K36" s="11"/>
      <c r="L36" s="11"/>
      <c r="N36" s="11"/>
      <c r="O36" s="11">
        <f>Tabla35101826364142444546474[[#This Row],[COMISIONES]]*0.21</f>
        <v>0</v>
      </c>
      <c r="P36" s="11"/>
      <c r="Q36" s="11"/>
      <c r="R36" s="11"/>
      <c r="T36" s="11">
        <v>52300</v>
      </c>
      <c r="U36" s="19">
        <f>Tabla6122028386162646566676[[#This Row],[COMISIONES]]*0.21</f>
        <v>10983</v>
      </c>
      <c r="W36">
        <v>5244</v>
      </c>
      <c r="X36">
        <v>2622</v>
      </c>
      <c r="Z36" s="3">
        <v>976.32</v>
      </c>
      <c r="AA36" s="11">
        <f>Tabla3568132129397172747576777[[#This Row],[COMISIONES]]*0.21</f>
        <v>205.02719999999999</v>
      </c>
      <c r="AB36" s="1"/>
      <c r="AC36" s="11"/>
      <c r="AD36" s="11"/>
    </row>
    <row r="37" spans="2:31" x14ac:dyDescent="0.25">
      <c r="B37" s="3"/>
      <c r="C37" s="2">
        <f>Tabla131624322122233526272[[#This Row],[COMISIONES]]*0.21</f>
        <v>0</v>
      </c>
      <c r="D37" s="3">
        <f>Tabla131624322122233526272[[#This Row],[COMISIONES]]*0.105</f>
        <v>0</v>
      </c>
      <c r="E37" s="3"/>
      <c r="F37" s="3"/>
      <c r="H37" s="11"/>
      <c r="I37" s="11">
        <f>Tabla391725353132334536373[[#This Row],[COMISIONES]]*0.21</f>
        <v>0</v>
      </c>
      <c r="J37" s="11"/>
      <c r="K37" s="11"/>
      <c r="L37" s="11"/>
      <c r="N37" s="11"/>
      <c r="O37" s="11">
        <f>Tabla35101826364142444546474[[#This Row],[COMISIONES]]*0.21</f>
        <v>0</v>
      </c>
      <c r="P37" s="11"/>
      <c r="Q37" s="11"/>
      <c r="R37" s="11"/>
      <c r="T37" s="11">
        <v>87400</v>
      </c>
      <c r="U37" s="19">
        <f>Tabla6122028386162646566676[[#This Row],[COMISIONES]]*0.21</f>
        <v>18354</v>
      </c>
      <c r="X37">
        <v>613.5</v>
      </c>
      <c r="Z37" s="3">
        <v>63591.09</v>
      </c>
      <c r="AA37" s="21">
        <f>Tabla3568132129397172747576777[[#This Row],[COMISIONES]]*0.21</f>
        <v>13354.128899999998</v>
      </c>
      <c r="AB37" s="21"/>
      <c r="AC37" s="21"/>
      <c r="AD37" s="22"/>
    </row>
    <row r="38" spans="2:31" x14ac:dyDescent="0.25">
      <c r="B38" s="3"/>
      <c r="C38" s="2">
        <f>Tabla131624322122233526272[[#This Row],[COMISIONES]]*0.21</f>
        <v>0</v>
      </c>
      <c r="D38" s="3">
        <f>Tabla131624322122233526272[[#This Row],[COMISIONES]]*0.105</f>
        <v>0</v>
      </c>
      <c r="E38" s="3"/>
      <c r="F38" s="3"/>
      <c r="H38" s="11"/>
      <c r="I38" s="11">
        <f>Tabla391725353132334536373[[#This Row],[COMISIONES]]*0.21</f>
        <v>0</v>
      </c>
      <c r="J38" s="11"/>
      <c r="K38" s="11"/>
      <c r="L38" s="11"/>
      <c r="N38" s="11"/>
      <c r="O38" s="11">
        <f>Tabla35101826364142444546474[[#This Row],[COMISIONES]]*0.21</f>
        <v>0</v>
      </c>
      <c r="P38" s="11"/>
      <c r="Q38" s="11"/>
      <c r="R38" s="11"/>
      <c r="T38" s="11">
        <v>300</v>
      </c>
      <c r="U38" s="19">
        <f>Tabla6122028386162646566676[[#This Row],[COMISIONES]]*0.21</f>
        <v>63</v>
      </c>
      <c r="X38">
        <v>1842.3</v>
      </c>
      <c r="Z38" s="3">
        <v>11508.92</v>
      </c>
      <c r="AA38" s="21"/>
      <c r="AB38" s="1">
        <f>Tabla3568132129397172747576777[[#This Row],[COMISIONES]]*0.105</f>
        <v>1208.4366</v>
      </c>
      <c r="AC38" s="1"/>
    </row>
    <row r="39" spans="2:31" x14ac:dyDescent="0.25">
      <c r="B39" s="3"/>
      <c r="C39" s="2">
        <f>Tabla131624322122233526272[[#This Row],[COMISIONES]]*0.21</f>
        <v>0</v>
      </c>
      <c r="D39" s="3">
        <f>Tabla131624322122233526272[[#This Row],[COMISIONES]]*0.105</f>
        <v>0</v>
      </c>
      <c r="E39" s="3"/>
      <c r="F39" s="3"/>
      <c r="H39" s="11"/>
      <c r="I39" s="11">
        <f>Tabla391725353132334536373[[#This Row],[COMISIONES]]*0.21</f>
        <v>0</v>
      </c>
      <c r="J39" s="11"/>
      <c r="K39" s="11"/>
      <c r="L39" s="11"/>
      <c r="N39" s="11"/>
      <c r="O39" s="11">
        <f>Tabla35101826364142444546474[[#This Row],[COMISIONES]]*0.21</f>
        <v>0</v>
      </c>
      <c r="P39" s="11"/>
      <c r="Q39" s="11"/>
      <c r="R39" s="11"/>
      <c r="T39" s="11">
        <v>300</v>
      </c>
      <c r="U39" s="19">
        <f>Tabla6122028386162646566676[[#This Row],[COMISIONES]]*0.21</f>
        <v>63</v>
      </c>
      <c r="Z39" s="3">
        <v>3625.1</v>
      </c>
      <c r="AA39" s="21">
        <f>Tabla3568132129397172747576777[[#This Row],[COMISIONES]]*0.21</f>
        <v>761.27099999999996</v>
      </c>
      <c r="AB39" s="21"/>
      <c r="AC39" s="21"/>
      <c r="AD39" s="21"/>
    </row>
    <row r="40" spans="2:31" x14ac:dyDescent="0.25">
      <c r="B40" s="3"/>
      <c r="C40" s="2">
        <f>Tabla131624322122233526272[[#This Row],[COMISIONES]]*0.21</f>
        <v>0</v>
      </c>
      <c r="D40" s="3">
        <f>Tabla131624322122233526272[[#This Row],[COMISIONES]]*0.105</f>
        <v>0</v>
      </c>
      <c r="E40" s="3"/>
      <c r="F40" s="3"/>
      <c r="H40" s="11"/>
      <c r="I40" s="11">
        <f>Tabla391725353132334536373[[#This Row],[COMISIONES]]*0.21</f>
        <v>0</v>
      </c>
      <c r="J40" s="11"/>
      <c r="K40" s="11"/>
      <c r="L40" s="11"/>
      <c r="N40" s="11"/>
      <c r="O40" s="11">
        <f>Tabla35101826364142444546474[[#This Row],[COMISIONES]]*0.21</f>
        <v>0</v>
      </c>
      <c r="P40" s="11"/>
      <c r="Q40" s="11"/>
      <c r="R40" s="11"/>
      <c r="T40" s="11">
        <v>300</v>
      </c>
      <c r="U40" s="19">
        <f>Tabla6122028386162646566676[[#This Row],[COMISIONES]]*0.21</f>
        <v>63</v>
      </c>
      <c r="Z40" s="3">
        <v>1959.04</v>
      </c>
      <c r="AA40" s="21">
        <f>Tabla3568132129397172747576777[[#This Row],[COMISIONES]]*0.21</f>
        <v>411.39839999999998</v>
      </c>
      <c r="AB40" s="21"/>
      <c r="AC40" s="21"/>
      <c r="AD40" s="21"/>
    </row>
    <row r="41" spans="2:31" x14ac:dyDescent="0.25">
      <c r="B41" s="3"/>
      <c r="C41" s="2">
        <f>Tabla131624322122233526272[[#This Row],[COMISIONES]]*0.21</f>
        <v>0</v>
      </c>
      <c r="D41" s="3">
        <f>Tabla131624322122233526272[[#This Row],[COMISIONES]]*0.105</f>
        <v>0</v>
      </c>
      <c r="E41" s="3"/>
      <c r="F41" s="3"/>
      <c r="H41" s="18"/>
      <c r="I41" s="18">
        <f>Tabla391725353132334536373[[#This Row],[COMISIONES]]*0.21</f>
        <v>0</v>
      </c>
      <c r="J41" s="18"/>
      <c r="K41" s="18"/>
      <c r="L41" s="18"/>
      <c r="N41" s="11"/>
      <c r="O41" s="11">
        <f>Tabla35101826364142444546474[[#This Row],[COMISIONES]]*0.21</f>
        <v>0</v>
      </c>
      <c r="P41" s="11"/>
      <c r="Q41" s="11"/>
      <c r="R41" s="11"/>
      <c r="T41" s="11">
        <v>300</v>
      </c>
      <c r="U41" s="19">
        <f>Tabla6122028386162646566676[[#This Row],[COMISIONES]]*0.21</f>
        <v>63</v>
      </c>
      <c r="Z41" s="3">
        <v>13472.26</v>
      </c>
      <c r="AA41" s="21">
        <f>Tabla3568132129397172747576777[[#This Row],[COMISIONES]]*0.21</f>
        <v>2829.1745999999998</v>
      </c>
      <c r="AB41" s="21"/>
      <c r="AC41" s="21"/>
      <c r="AD41" s="21"/>
    </row>
    <row r="42" spans="2:31" x14ac:dyDescent="0.25">
      <c r="B42" s="3"/>
      <c r="C42" s="2">
        <f>Tabla131624322122233526272[[#This Row],[COMISIONES]]*0.21</f>
        <v>0</v>
      </c>
      <c r="D42" s="3">
        <f>Tabla131624322122233526272[[#This Row],[COMISIONES]]*0.105</f>
        <v>0</v>
      </c>
      <c r="E42" s="3"/>
      <c r="F42" s="3"/>
      <c r="H42" s="18"/>
      <c r="I42" s="18">
        <f>Tabla391725353132334536373[[#This Row],[COMISIONES]]*0.21</f>
        <v>0</v>
      </c>
      <c r="J42" s="18"/>
      <c r="K42" s="18"/>
      <c r="L42" s="18"/>
      <c r="N42" s="11"/>
      <c r="O42" s="11">
        <f>Tabla35101826364142444546474[[#This Row],[COMISIONES]]*0.21</f>
        <v>0</v>
      </c>
      <c r="P42" s="11"/>
      <c r="Q42" s="11"/>
      <c r="R42" s="11"/>
      <c r="T42" s="11">
        <v>300</v>
      </c>
      <c r="U42" s="19">
        <f>Tabla6122028386162646566676[[#This Row],[COMISIONES]]*0.21</f>
        <v>63</v>
      </c>
      <c r="Z42" s="3">
        <v>29340.71</v>
      </c>
      <c r="AA42" s="21"/>
      <c r="AB42" s="21">
        <f>Tabla3568132129397172747576777[[#This Row],[COMISIONES]]*0.105</f>
        <v>3080.7745499999996</v>
      </c>
      <c r="AC42" s="21"/>
      <c r="AD42" s="21"/>
    </row>
    <row r="43" spans="2:31" x14ac:dyDescent="0.25">
      <c r="B43" s="3"/>
      <c r="C43" s="2">
        <f>Tabla131624322122233526272[[#This Row],[COMISIONES]]*0.21</f>
        <v>0</v>
      </c>
      <c r="D43" s="3">
        <f>Tabla131624322122233526272[[#This Row],[COMISIONES]]*0.105</f>
        <v>0</v>
      </c>
      <c r="E43" s="3"/>
      <c r="F43" s="3"/>
      <c r="G43" s="8"/>
      <c r="H43" s="18"/>
      <c r="I43" s="18">
        <f>Tabla391725353132334536373[[#This Row],[COMISIONES]]*0.21</f>
        <v>0</v>
      </c>
      <c r="J43" s="18"/>
      <c r="K43" s="18"/>
      <c r="L43" s="18"/>
      <c r="M43" s="8"/>
      <c r="N43" s="11"/>
      <c r="O43" s="11">
        <f>Tabla35101826364142444546474[[#This Row],[COMISIONES]]*0.21</f>
        <v>0</v>
      </c>
      <c r="P43" s="11"/>
      <c r="Q43" s="11"/>
      <c r="R43" s="11"/>
      <c r="S43" s="8"/>
      <c r="T43" s="11">
        <v>300</v>
      </c>
      <c r="U43" s="19">
        <f>Tabla6122028386162646566676[[#This Row],[COMISIONES]]*0.21</f>
        <v>63</v>
      </c>
      <c r="Y43" s="8"/>
      <c r="Z43" s="3">
        <v>16993.45</v>
      </c>
      <c r="AA43" s="21">
        <f>Tabla3568132129397172747576777[[#This Row],[COMISIONES]]*0.21</f>
        <v>3568.6244999999999</v>
      </c>
      <c r="AB43" s="21"/>
      <c r="AC43" s="21"/>
      <c r="AD43" s="21"/>
      <c r="AE43" s="8"/>
    </row>
    <row r="44" spans="2:31" x14ac:dyDescent="0.25">
      <c r="B44" s="3"/>
      <c r="C44" s="2">
        <f>Tabla131624322122233526272[[#This Row],[COMISIONES]]*0.21</f>
        <v>0</v>
      </c>
      <c r="D44" s="3">
        <f>Tabla131624322122233526272[[#This Row],[COMISIONES]]*0.105</f>
        <v>0</v>
      </c>
      <c r="E44" s="3"/>
      <c r="F44" s="3"/>
      <c r="H44" s="18"/>
      <c r="I44" s="18">
        <f>Tabla391725353132334536373[[#This Row],[COMISIONES]]*0.21</f>
        <v>0</v>
      </c>
      <c r="J44" s="18"/>
      <c r="K44" s="18"/>
      <c r="L44" s="18"/>
      <c r="N44" s="11"/>
      <c r="O44" s="11">
        <f>Tabla35101826364142444546474[[#This Row],[COMISIONES]]*0.21</f>
        <v>0</v>
      </c>
      <c r="P44" s="11"/>
      <c r="Q44" s="11"/>
      <c r="R44" s="11"/>
      <c r="T44">
        <v>300</v>
      </c>
      <c r="U44" s="19">
        <f>Tabla6122028386162646566676[[#This Row],[COMISIONES]]*0.21</f>
        <v>63</v>
      </c>
      <c r="Z44" s="3">
        <v>1511.18</v>
      </c>
      <c r="AA44" s="21">
        <f>Tabla3568132129397172747576777[[#This Row],[COMISIONES]]*0.21</f>
        <v>317.34780000000001</v>
      </c>
      <c r="AB44" s="21"/>
      <c r="AC44" s="21"/>
      <c r="AD44" s="21"/>
    </row>
    <row r="45" spans="2:31" x14ac:dyDescent="0.25">
      <c r="B45" s="3"/>
      <c r="C45" s="2">
        <f>Tabla131624322122233526272[[#This Row],[COMISIONES]]*0.21</f>
        <v>0</v>
      </c>
      <c r="D45" s="3">
        <f>Tabla131624322122233526272[[#This Row],[COMISIONES]]*0.105</f>
        <v>0</v>
      </c>
      <c r="E45" s="3"/>
      <c r="F45" s="3"/>
      <c r="H45" s="18"/>
      <c r="I45" s="18">
        <f>Tabla391725353132334536373[[#This Row],[COMISIONES]]*0.21</f>
        <v>0</v>
      </c>
      <c r="J45" s="18"/>
      <c r="K45" s="18"/>
      <c r="L45" s="18"/>
      <c r="N45" s="11"/>
      <c r="O45" s="11">
        <f>Tabla35101826364142444546474[[#This Row],[COMISIONES]]*0.21</f>
        <v>0</v>
      </c>
      <c r="P45" s="11"/>
      <c r="Q45" s="11"/>
      <c r="R45" s="11"/>
      <c r="T45">
        <v>300</v>
      </c>
      <c r="U45" s="19">
        <f>Tabla6122028386162646566676[[#This Row],[COMISIONES]]*0.21</f>
        <v>63</v>
      </c>
      <c r="Z45" s="3">
        <v>29319.29</v>
      </c>
      <c r="AA45" s="21">
        <f>Tabla3568132129397172747576777[[#This Row],[COMISIONES]]*0.21</f>
        <v>6157.0509000000002</v>
      </c>
      <c r="AB45" s="21"/>
      <c r="AC45" s="21"/>
      <c r="AD45" s="21"/>
    </row>
    <row r="46" spans="2:31" x14ac:dyDescent="0.25">
      <c r="B46" s="3"/>
      <c r="C46" s="2">
        <f>Tabla131624322122233526272[[#This Row],[COMISIONES]]*0.21</f>
        <v>0</v>
      </c>
      <c r="D46" s="3">
        <f>Tabla131624322122233526272[[#This Row],[COMISIONES]]*0.105</f>
        <v>0</v>
      </c>
      <c r="E46" s="3"/>
      <c r="F46" s="3"/>
      <c r="H46" s="18"/>
      <c r="I46" s="18">
        <f>Tabla391725353132334536373[[#This Row],[COMISIONES]]*0.21</f>
        <v>0</v>
      </c>
      <c r="J46" s="18"/>
      <c r="K46" s="18"/>
      <c r="L46" s="18"/>
      <c r="N46" s="11"/>
      <c r="O46" s="11">
        <f>Tabla35101826364142444546474[[#This Row],[COMISIONES]]*0.21</f>
        <v>0</v>
      </c>
      <c r="P46" s="11"/>
      <c r="Q46" s="11"/>
      <c r="R46" s="11"/>
      <c r="T46">
        <v>300</v>
      </c>
      <c r="U46" s="19">
        <f>Tabla6122028386162646566676[[#This Row],[COMISIONES]]*0.21</f>
        <v>63</v>
      </c>
      <c r="Z46" s="3">
        <v>79962.59</v>
      </c>
      <c r="AA46" s="21"/>
      <c r="AB46" s="21">
        <f>Tabla3568132129397172747576777[[#This Row],[COMISIONES]]*0.105</f>
        <v>8396.0719499999996</v>
      </c>
      <c r="AC46" s="21"/>
      <c r="AD46" s="21"/>
    </row>
    <row r="47" spans="2:31" x14ac:dyDescent="0.25">
      <c r="B47" s="3"/>
      <c r="C47" s="2">
        <f>Tabla131624322122233526272[[#This Row],[COMISIONES]]*0.21</f>
        <v>0</v>
      </c>
      <c r="D47" s="3">
        <f>Tabla131624322122233526272[[#This Row],[COMISIONES]]*0.105</f>
        <v>0</v>
      </c>
      <c r="E47" s="3"/>
      <c r="F47" s="3"/>
      <c r="H47" s="18"/>
      <c r="I47" s="18">
        <f>Tabla391725353132334536373[[#This Row],[COMISIONES]]*0.21</f>
        <v>0</v>
      </c>
      <c r="J47" s="18"/>
      <c r="K47" s="18"/>
      <c r="L47" s="18"/>
      <c r="N47" s="11"/>
      <c r="O47" s="11">
        <f>Tabla35101826364142444546474[[#This Row],[COMISIONES]]*0.21</f>
        <v>0</v>
      </c>
      <c r="P47" s="11"/>
      <c r="Q47" s="11"/>
      <c r="R47" s="11"/>
      <c r="T47">
        <v>300</v>
      </c>
      <c r="U47" s="19">
        <f>Tabla6122028386162646566676[[#This Row],[COMISIONES]]*0.21</f>
        <v>63</v>
      </c>
      <c r="Z47" s="3">
        <v>5513.95</v>
      </c>
      <c r="AA47" s="21">
        <f>Tabla3568132129397172747576777[[#This Row],[COMISIONES]]*0.21</f>
        <v>1157.9295</v>
      </c>
      <c r="AB47" s="21"/>
      <c r="AC47" s="21"/>
      <c r="AD47" s="21"/>
    </row>
    <row r="48" spans="2:31" x14ac:dyDescent="0.25">
      <c r="B48" s="3"/>
      <c r="C48" s="2">
        <f>Tabla131624322122233526272[[#This Row],[COMISIONES]]*0.21</f>
        <v>0</v>
      </c>
      <c r="D48" s="3">
        <f>Tabla131624322122233526272[[#This Row],[COMISIONES]]*0.105</f>
        <v>0</v>
      </c>
      <c r="E48" s="3"/>
      <c r="F48" s="3"/>
      <c r="H48" s="18"/>
      <c r="I48" s="18">
        <f>Tabla391725353132334536373[[#This Row],[COMISIONES]]*0.21</f>
        <v>0</v>
      </c>
      <c r="J48" s="18"/>
      <c r="K48" s="18"/>
      <c r="L48" s="18"/>
      <c r="N48" s="11"/>
      <c r="O48" s="11">
        <f>Tabla35101826364142444546474[[#This Row],[COMISIONES]]*0.21</f>
        <v>0</v>
      </c>
      <c r="P48" s="11"/>
      <c r="Q48" s="11"/>
      <c r="R48" s="11"/>
      <c r="T48">
        <v>20450</v>
      </c>
      <c r="U48" s="19">
        <f>Tabla6122028386162646566676[[#This Row],[COMISIONES]]*0.21</f>
        <v>4294.5</v>
      </c>
      <c r="Z48" s="3">
        <v>1677.92</v>
      </c>
      <c r="AA48" s="21">
        <f>Tabla3568132129397172747576777[[#This Row],[COMISIONES]]*0.21</f>
        <v>352.36320000000001</v>
      </c>
      <c r="AB48" s="21"/>
      <c r="AC48" s="21"/>
      <c r="AD48" s="21"/>
    </row>
    <row r="49" spans="1:41" x14ac:dyDescent="0.25">
      <c r="B49" s="3"/>
      <c r="C49" s="2">
        <f>Tabla131624322122233526272[[#This Row],[COMISIONES]]*0.21</f>
        <v>0</v>
      </c>
      <c r="D49" s="3">
        <f>Tabla131624322122233526272[[#This Row],[COMISIONES]]*0.105</f>
        <v>0</v>
      </c>
      <c r="E49" s="3"/>
      <c r="F49" s="3"/>
      <c r="H49" s="18"/>
      <c r="I49" s="18">
        <f>Tabla391725353132334536373[[#This Row],[COMISIONES]]*0.21</f>
        <v>0</v>
      </c>
      <c r="J49" s="18"/>
      <c r="K49" s="18"/>
      <c r="L49" s="18"/>
      <c r="N49" s="11"/>
      <c r="O49" s="11">
        <f>Tabla35101826364142444546474[[#This Row],[COMISIONES]]*0.21</f>
        <v>0</v>
      </c>
      <c r="P49" s="11"/>
      <c r="Q49" s="11"/>
      <c r="R49" s="11"/>
      <c r="T49">
        <v>300</v>
      </c>
      <c r="U49" s="19">
        <f>Tabla6122028386162646566676[[#This Row],[COMISIONES]]*0.21</f>
        <v>63</v>
      </c>
      <c r="Z49" s="3">
        <v>39342.85</v>
      </c>
      <c r="AA49" s="21">
        <f>Tabla3568132129397172747576777[[#This Row],[COMISIONES]]*0.21</f>
        <v>8261.9984999999997</v>
      </c>
      <c r="AB49" s="1"/>
      <c r="AC49" s="21"/>
      <c r="AD49" s="21"/>
    </row>
    <row r="50" spans="1:41" s="6" customFormat="1" x14ac:dyDescent="0.25">
      <c r="A50"/>
      <c r="B50" s="3"/>
      <c r="C50" s="2">
        <f>Tabla131624322122233526272[[#This Row],[COMISIONES]]*0.21</f>
        <v>0</v>
      </c>
      <c r="D50" s="3">
        <f>Tabla131624322122233526272[[#This Row],[COMISIONES]]*0.105</f>
        <v>0</v>
      </c>
      <c r="E50" s="3"/>
      <c r="F50" s="3"/>
      <c r="H50" s="18"/>
      <c r="I50" s="18">
        <f>Tabla391725353132334536373[[#This Row],[COMISIONES]]*0.21</f>
        <v>0</v>
      </c>
      <c r="J50" s="18"/>
      <c r="K50" s="18"/>
      <c r="L50" s="18"/>
      <c r="N50" s="11"/>
      <c r="O50" s="11">
        <f>Tabla35101826364142444546474[[#This Row],[COMISIONES]]*0.21</f>
        <v>0</v>
      </c>
      <c r="P50" s="11"/>
      <c r="Q50" s="11"/>
      <c r="R50" s="11"/>
      <c r="T50">
        <v>61410</v>
      </c>
      <c r="U50" s="19">
        <f>Tabla6122028386162646566676[[#This Row],[COMISIONES]]*0.21</f>
        <v>12896.1</v>
      </c>
      <c r="V50"/>
      <c r="W50"/>
      <c r="X50"/>
      <c r="Z50" s="3">
        <v>8699.69</v>
      </c>
      <c r="AA50" s="21"/>
      <c r="AB50" s="21">
        <f>Tabla3568132129397172747576777[[#This Row],[COMISIONES]]*0.105</f>
        <v>913.46744999999999</v>
      </c>
      <c r="AC50" s="21"/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Tabla131624322122233526272[[#This Row],[COMISIONES]]*0.21</f>
        <v>0</v>
      </c>
      <c r="D51" s="2">
        <f>Tabla131624322122233526272[[#This Row],[COMISIONES]]*0.105</f>
        <v>0</v>
      </c>
      <c r="E51" s="2"/>
      <c r="F51"/>
      <c r="H51" s="18"/>
      <c r="I51" s="18">
        <f>Tabla391725353132334536373[[#This Row],[COMISIONES]]*0.21</f>
        <v>0</v>
      </c>
      <c r="J51" s="18"/>
      <c r="K51" s="18"/>
      <c r="L51" s="18"/>
      <c r="N51" s="11"/>
      <c r="O51" s="11">
        <f>Tabla35101826364142444546474[[#This Row],[COMISIONES]]*0.21</f>
        <v>0</v>
      </c>
      <c r="P51" s="11"/>
      <c r="Q51" s="11"/>
      <c r="R51" s="11"/>
      <c r="T51">
        <v>300</v>
      </c>
      <c r="U51" s="19">
        <f>Tabla6122028386162646566676[[#This Row],[COMISIONES]]*0.21</f>
        <v>63</v>
      </c>
      <c r="V51"/>
      <c r="W51"/>
      <c r="X51"/>
      <c r="Z51" s="3">
        <v>7883.55</v>
      </c>
      <c r="AA51" s="21">
        <f>Tabla3568132129397172747576777[[#This Row],[COMISIONES]]*0.21</f>
        <v>1655.5454999999999</v>
      </c>
      <c r="AB51" s="21"/>
      <c r="AC51" s="21"/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Tabla131624322122233526272[[#This Row],[COMISIONES]]*0.21</f>
        <v>0</v>
      </c>
      <c r="D52" s="2">
        <f>Tabla131624322122233526272[[#This Row],[COMISIONES]]*0.105</f>
        <v>0</v>
      </c>
      <c r="E52" s="2"/>
      <c r="F52"/>
      <c r="H52" s="18"/>
      <c r="I52" s="18">
        <f>Tabla391725353132334536373[[#This Row],[COMISIONES]]*0.21</f>
        <v>0</v>
      </c>
      <c r="J52" s="18"/>
      <c r="K52" s="18"/>
      <c r="L52" s="18"/>
      <c r="N52" s="11"/>
      <c r="O52" s="11">
        <f>Tabla35101826364142444546474[[#This Row],[COMISIONES]]*0.21</f>
        <v>0</v>
      </c>
      <c r="P52" s="11"/>
      <c r="Q52" s="11"/>
      <c r="R52" s="11"/>
      <c r="T52">
        <v>300</v>
      </c>
      <c r="U52" s="19">
        <f>Tabla6122028386162646566676[[#This Row],[COMISIONES]]*0.21</f>
        <v>63</v>
      </c>
      <c r="V52"/>
      <c r="W52"/>
      <c r="X52"/>
      <c r="Z52" s="3">
        <v>120</v>
      </c>
      <c r="AA52" s="21">
        <f>Tabla3568132129397172747576777[[#This Row],[COMISIONES]]*0.21</f>
        <v>25.2</v>
      </c>
      <c r="AB52" s="30"/>
      <c r="AC52" s="21"/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Tabla131624322122233526272[[#This Row],[COMISIONES]]*0.21</f>
        <v>0</v>
      </c>
      <c r="D53" s="2">
        <f>Tabla131624322122233526272[[#This Row],[COMISIONES]]*0.105</f>
        <v>0</v>
      </c>
      <c r="E53" s="2"/>
      <c r="F53"/>
      <c r="H53" s="24">
        <f>SUBTOTAL(109,Tabla391725353132334536373[COMISIONES])</f>
        <v>0</v>
      </c>
      <c r="I53" s="24">
        <f>SUBTOTAL(109,Tabla391725353132334536373[IVA 21])</f>
        <v>0</v>
      </c>
      <c r="J53" s="24">
        <f>SUBTOTAL(109,Tabla391725353132334536373[IVA 10,5])</f>
        <v>0</v>
      </c>
      <c r="K53" s="24">
        <f>SUBTOTAL(109,Tabla391725353132334536373[Ret IIBB Caba])</f>
        <v>0</v>
      </c>
      <c r="L53" s="24">
        <f>SUBTOTAL(109,Tabla391725353132334536373[PERC IVA])</f>
        <v>0</v>
      </c>
      <c r="N53" s="11"/>
      <c r="O53" s="11">
        <f>Tabla35101826364142444546474[[#This Row],[COMISIONES]]*0.21</f>
        <v>0</v>
      </c>
      <c r="P53" s="11"/>
      <c r="Q53" s="11"/>
      <c r="R53" s="11"/>
      <c r="T53"/>
      <c r="U53" s="19">
        <f>Tabla6122028386162646566676[[#This Row],[COMISIONES]]*0.21</f>
        <v>0</v>
      </c>
      <c r="V53"/>
      <c r="W53"/>
      <c r="X53"/>
      <c r="Z53" s="3">
        <v>14904.2</v>
      </c>
      <c r="AA53" s="21">
        <f>Tabla3568132129397172747576777[[#This Row],[COMISIONES]]*0.21</f>
        <v>3129.8820000000001</v>
      </c>
      <c r="AB53" s="1"/>
      <c r="AC53" s="21"/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Tabla131624322122233526272[[#This Row],[COMISIONES]]*0.21</f>
        <v>0</v>
      </c>
      <c r="D54" s="2">
        <f>Tabla131624322122233526272[[#This Row],[COMISIONES]]*0.105</f>
        <v>0</v>
      </c>
      <c r="E54" s="2"/>
      <c r="F54"/>
      <c r="H54" s="41" t="s">
        <v>41</v>
      </c>
      <c r="I54" s="41"/>
      <c r="J54" s="41"/>
      <c r="K54" s="41"/>
      <c r="L54" s="41"/>
      <c r="N54" s="11"/>
      <c r="O54" s="11">
        <f>Tabla35101826364142444546474[[#This Row],[COMISIONES]]*0.21</f>
        <v>0</v>
      </c>
      <c r="P54" s="11"/>
      <c r="Q54" s="11"/>
      <c r="R54" s="11"/>
      <c r="T54"/>
      <c r="U54" s="19">
        <f>Tabla6122028386162646566676[[#This Row],[COMISIONES]]*0.21</f>
        <v>0</v>
      </c>
      <c r="V54"/>
      <c r="W54"/>
      <c r="X54"/>
      <c r="Z54" s="3">
        <v>2592.6999999999998</v>
      </c>
      <c r="AA54" s="21">
        <f>Tabla3568132129397172747576777[[#This Row],[COMISIONES]]*0.21</f>
        <v>544.46699999999998</v>
      </c>
      <c r="AB54" s="21"/>
      <c r="AC54" s="1"/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Tabla131624322122233526272[[#This Row],[COMISIONES]]*0.21</f>
        <v>0</v>
      </c>
      <c r="D55" s="2">
        <f>Tabla131624322122233526272[[#This Row],[COMISIONES]]*0.105</f>
        <v>0</v>
      </c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Tabla35101826364142444546474[[#This Row],[COMISIONES]]*0.21</f>
        <v>0</v>
      </c>
      <c r="P55" s="11"/>
      <c r="Q55" s="11"/>
      <c r="R55" s="11"/>
      <c r="T55"/>
      <c r="U55" s="19">
        <f>Tabla6122028386162646566676[[#This Row],[COMISIONES]]*0.21</f>
        <v>0</v>
      </c>
      <c r="V55"/>
      <c r="W55"/>
      <c r="X55"/>
      <c r="Z55" s="3">
        <v>1116</v>
      </c>
      <c r="AA55" s="21">
        <f>Tabla3568132129397172747576777[[#This Row],[COMISIONES]]*0.21</f>
        <v>234.35999999999999</v>
      </c>
      <c r="AB55" s="3"/>
      <c r="AC55" s="1"/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Tabla131624322122233526272[[#This Row],[COMISIONES]]*0.21</f>
        <v>0</v>
      </c>
      <c r="D56" s="2">
        <f>Tabla131624322122233526272[[#This Row],[COMISIONES]]*0.105</f>
        <v>0</v>
      </c>
      <c r="E56" s="2"/>
      <c r="F56"/>
      <c r="H56" s="1"/>
      <c r="I56" s="11">
        <f>Tabla39152331419192949596979[[#This Row],[COMISIONES]]*0.21</f>
        <v>0</v>
      </c>
      <c r="J56" s="11"/>
      <c r="K56" s="11"/>
      <c r="L56" s="1"/>
      <c r="N56" s="11"/>
      <c r="O56" s="11">
        <f>Tabla35101826364142444546474[[#This Row],[COMISIONES]]*0.21</f>
        <v>0</v>
      </c>
      <c r="P56" s="11"/>
      <c r="Q56" s="11"/>
      <c r="R56" s="11"/>
      <c r="T56"/>
      <c r="U56" s="19">
        <f>Tabla6122028386162646566676[[#This Row],[COMISIONES]]*0.21</f>
        <v>0</v>
      </c>
      <c r="V56"/>
      <c r="W56"/>
      <c r="X56"/>
      <c r="Z56" s="3">
        <v>1088.06</v>
      </c>
      <c r="AA56" s="21">
        <f>Tabla3568132129397172747576777[[#This Row],[COMISIONES]]*0.21</f>
        <v>228.49259999999998</v>
      </c>
      <c r="AB56" s="21"/>
      <c r="AC56"/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Tabla131624322122233526272[[#This Row],[COMISIONES]]*0.21</f>
        <v>0</v>
      </c>
      <c r="D57" s="2">
        <f>Tabla131624322122233526272[[#This Row],[COMISIONES]]*0.105</f>
        <v>0</v>
      </c>
      <c r="E57" s="2"/>
      <c r="F57"/>
      <c r="H57" s="11"/>
      <c r="I57" s="11">
        <f>Tabla39152331419192949596979[[#This Row],[COMISIONES]]*0.21</f>
        <v>0</v>
      </c>
      <c r="J57" s="11"/>
      <c r="K57" s="11"/>
      <c r="L57" s="21"/>
      <c r="N57" s="11"/>
      <c r="O57" s="11">
        <f>Tabla35101826364142444546474[[#This Row],[COMISIONES]]*0.21</f>
        <v>0</v>
      </c>
      <c r="P57" s="11"/>
      <c r="Q57" s="11"/>
      <c r="R57" s="11"/>
      <c r="T57"/>
      <c r="U57" s="19">
        <f>Tabla6122028386162646566676[[#This Row],[COMISIONES]]*0.21</f>
        <v>0</v>
      </c>
      <c r="V57"/>
      <c r="W57"/>
      <c r="X57"/>
      <c r="Z57" s="3">
        <v>43139.45</v>
      </c>
      <c r="AA57" s="21">
        <f>Tabla3568132129397172747576777[[#This Row],[COMISIONES]]*0.21</f>
        <v>9059.2844999999998</v>
      </c>
      <c r="AB57" s="21"/>
      <c r="AC57" s="21"/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Tabla131624322122233526272[[#This Row],[COMISIONES]]*0.21</f>
        <v>0</v>
      </c>
      <c r="D58" s="1">
        <f>Tabla131624322122233526272[[#This Row],[COMISIONES]]*0.105</f>
        <v>0</v>
      </c>
      <c r="E58" s="2"/>
      <c r="F58"/>
      <c r="H58" s="11"/>
      <c r="I58" s="11">
        <f>Tabla39152331419192949596979[[#This Row],[COMISIONES]]*0.21</f>
        <v>0</v>
      </c>
      <c r="J58" s="11"/>
      <c r="K58" s="11"/>
      <c r="L58" s="11"/>
      <c r="N58" s="11"/>
      <c r="O58" s="11">
        <f>Tabla35101826364142444546474[[#This Row],[COMISIONES]]*0.21</f>
        <v>0</v>
      </c>
      <c r="P58" s="11"/>
      <c r="Q58" s="11"/>
      <c r="R58" s="11"/>
      <c r="T58"/>
      <c r="U58" s="19">
        <f>Tabla6122028386162646566676[[#This Row],[COMISIONES]]*0.21</f>
        <v>0</v>
      </c>
      <c r="V58"/>
      <c r="W58"/>
      <c r="X58"/>
      <c r="Z58" s="3">
        <v>3670.35</v>
      </c>
      <c r="AA58" s="21">
        <f>Tabla3568132129397172747576777[[#This Row],[COMISIONES]]*0.21</f>
        <v>770.7734999999999</v>
      </c>
      <c r="AB58" s="21"/>
      <c r="AC58" s="21"/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Tabla131624322122233526272[[#This Row],[COMISIONES]]*0.21</f>
        <v>0</v>
      </c>
      <c r="D59" s="2">
        <f>Tabla131624322122233526272[[#This Row],[COMISIONES]]*0.105</f>
        <v>0</v>
      </c>
      <c r="E59" s="2"/>
      <c r="F59"/>
      <c r="H59" s="11"/>
      <c r="I59" s="11">
        <f>Tabla39152331419192949596979[[#This Row],[COMISIONES]]*0.21</f>
        <v>0</v>
      </c>
      <c r="J59" s="11"/>
      <c r="K59" s="11"/>
      <c r="L59" s="11"/>
      <c r="N59" s="11"/>
      <c r="O59" s="11">
        <f>Tabla35101826364142444546474[[#This Row],[COMISIONES]]*0.21</f>
        <v>0</v>
      </c>
      <c r="P59" s="11"/>
      <c r="Q59" s="11"/>
      <c r="R59" s="11"/>
      <c r="T59"/>
      <c r="U59" s="19">
        <f>Tabla6122028386162646566676[[#This Row],[COMISIONES]]*0.21</f>
        <v>0</v>
      </c>
      <c r="V59"/>
      <c r="W59"/>
      <c r="X59"/>
      <c r="Z59" s="3">
        <v>3982.28</v>
      </c>
      <c r="AA59" s="21">
        <f>Tabla3568132129397172747576777[[#This Row],[COMISIONES]]*0.21</f>
        <v>836.27880000000005</v>
      </c>
      <c r="AB59" s="21"/>
      <c r="AC59" s="21"/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Tabla131624322122233526272[[#This Row],[COMISIONES]]*0.21</f>
        <v>0</v>
      </c>
      <c r="D60" s="2">
        <f>Tabla131624322122233526272[[#This Row],[COMISIONES]]*0.105</f>
        <v>0</v>
      </c>
      <c r="E60" s="2"/>
      <c r="F60"/>
      <c r="H60" s="11"/>
      <c r="I60" s="11">
        <f>Tabla39152331419192949596979[[#This Row],[COMISIONES]]*0.21</f>
        <v>0</v>
      </c>
      <c r="J60" s="11"/>
      <c r="K60" s="11"/>
      <c r="L60" s="11"/>
      <c r="N60" s="11"/>
      <c r="O60" s="11">
        <f>Tabla35101826364142444546474[[#This Row],[COMISIONES]]*0.21</f>
        <v>0</v>
      </c>
      <c r="P60" s="11"/>
      <c r="Q60" s="11"/>
      <c r="R60" s="11"/>
      <c r="T60"/>
      <c r="U60" s="19">
        <f>Tabla6122028386162646566676[[#This Row],[COMISIONES]]*0.21</f>
        <v>0</v>
      </c>
      <c r="V60"/>
      <c r="W60"/>
      <c r="X60"/>
      <c r="Z60" s="3">
        <v>17969.25</v>
      </c>
      <c r="AA60" s="21">
        <f>Tabla3568132129397172747576777[[#This Row],[COMISIONES]]*0.21</f>
        <v>3773.5425</v>
      </c>
      <c r="AB60" s="21"/>
      <c r="AC60" s="21"/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SUBTOTAL(109,Tabla131624322122233526272[COMISIONES])</f>
        <v>4740.63</v>
      </c>
      <c r="C61" s="4">
        <f>SUBTOTAL(109,Tabla131624322122233526272[IVA 21])</f>
        <v>0</v>
      </c>
      <c r="D61" s="4">
        <f>SUBTOTAL(109,Tabla131624322122233526272[IVA 10,5])</f>
        <v>497.76614999999998</v>
      </c>
      <c r="E61" s="4">
        <f>SUBTOTAL(109,Tabla131624322122233526272[Ret IIBB Caba])</f>
        <v>284.44</v>
      </c>
      <c r="F61" s="4">
        <f>SUBTOTAL(109,Tabla131624322122233526272[PERC IVA])</f>
        <v>71.11</v>
      </c>
      <c r="H61" s="11"/>
      <c r="I61" s="11">
        <f>Tabla39152331419192949596979[[#This Row],[COMISIONES]]*0.21</f>
        <v>0</v>
      </c>
      <c r="J61" s="11"/>
      <c r="K61" s="11"/>
      <c r="L61" s="11"/>
      <c r="N61" s="11"/>
      <c r="O61" s="11">
        <f>Tabla35101826364142444546474[[#This Row],[COMISIONES]]*0.21</f>
        <v>0</v>
      </c>
      <c r="P61" s="11"/>
      <c r="Q61" s="11"/>
      <c r="R61" s="11"/>
      <c r="T61"/>
      <c r="U61" s="19">
        <f>Tabla6122028386162646566676[[#This Row],[COMISIONES]]*0.21</f>
        <v>0</v>
      </c>
      <c r="V61"/>
      <c r="W61"/>
      <c r="X61"/>
      <c r="Z61" s="3">
        <v>23556.76</v>
      </c>
      <c r="AA61" s="21">
        <f>Tabla3568132129397172747576777[[#This Row],[COMISIONES]]*0.21</f>
        <v>4946.9195999999993</v>
      </c>
      <c r="AB61" s="21"/>
      <c r="AC61" s="21"/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Tabla39152331419192949596979[[#This Row],[COMISIONES]]*0.21</f>
        <v>0</v>
      </c>
      <c r="J62" s="11"/>
      <c r="K62" s="11"/>
      <c r="L62" s="11"/>
      <c r="N62" s="11"/>
      <c r="O62" s="11">
        <f>Tabla35101826364142444546474[[#This Row],[COMISIONES]]*0.21</f>
        <v>0</v>
      </c>
      <c r="P62" s="11"/>
      <c r="Q62" s="11"/>
      <c r="R62" s="11"/>
      <c r="T62" s="17">
        <f>SUBTOTAL(109,Tabla6122028386162646566676[COMISIONES])</f>
        <v>277304.49</v>
      </c>
      <c r="U62" s="17">
        <f>SUBTOTAL(109,Tabla6122028386162646566676[IVA 21])</f>
        <v>47348.7</v>
      </c>
      <c r="V62" s="17">
        <f>SUBTOTAL(109,Tabla6122028386162646566676[IVA 10,5])</f>
        <v>5442.6214499999996</v>
      </c>
      <c r="W62" s="17">
        <f>SUBTOTAL(109,Tabla6122028386162646566676[Ret IIBB Caba])</f>
        <v>11492.06</v>
      </c>
      <c r="X62" s="17">
        <f>SUBTOTAL(109,Tabla6122028386162646566676[PERC IVA])</f>
        <v>7424.31</v>
      </c>
      <c r="Z62" s="3">
        <v>9378.0499999999993</v>
      </c>
      <c r="AA62" s="21">
        <f>Tabla3568132129397172747576777[[#This Row],[COMISIONES]]*0.21</f>
        <v>1969.3904999999997</v>
      </c>
      <c r="AB62" s="21"/>
      <c r="AC62" s="21"/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Tabla39152331419192949596979[[#This Row],[COMISIONES]]*0.21</f>
        <v>0</v>
      </c>
      <c r="J63" s="11"/>
      <c r="K63" s="11"/>
      <c r="L63" s="11"/>
      <c r="N63" s="11"/>
      <c r="O63" s="11">
        <f>Tabla35101826364142444546474[[#This Row],[COMISIONES]]*0.21</f>
        <v>0</v>
      </c>
      <c r="P63" s="11"/>
      <c r="Q63" s="11"/>
      <c r="R63" s="11"/>
      <c r="T63"/>
      <c r="U63"/>
      <c r="V63"/>
      <c r="W63"/>
      <c r="X63"/>
      <c r="Z63" s="3">
        <v>766.88</v>
      </c>
      <c r="AA63" s="21">
        <f>Tabla3568132129397172747576777[[#This Row],[COMISIONES]]*0.21</f>
        <v>161.04479999999998</v>
      </c>
      <c r="AB63" s="21"/>
      <c r="AC63" s="21"/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Tabla39152331419192949596979[[#This Row],[COMISIONES]]*0.21</f>
        <v>0</v>
      </c>
      <c r="J64" s="11"/>
      <c r="K64" s="11"/>
      <c r="L64" s="11"/>
      <c r="N64" s="11"/>
      <c r="O64" s="11">
        <f>Tabla35101826364142444546474[[#This Row],[COMISIONES]]*0.21</f>
        <v>0</v>
      </c>
      <c r="P64" s="11"/>
      <c r="Q64" s="11"/>
      <c r="R64" s="11"/>
      <c r="T64" s="41" t="s">
        <v>43</v>
      </c>
      <c r="U64" s="41"/>
      <c r="V64" s="41"/>
      <c r="W64" s="41"/>
      <c r="X64" s="41"/>
      <c r="Z64" s="3">
        <v>12589.8</v>
      </c>
      <c r="AA64" s="21">
        <f>Tabla3568132129397172747576777[[#This Row],[COMISIONES]]*0.21</f>
        <v>2643.8579999999997</v>
      </c>
      <c r="AB64" s="1"/>
      <c r="AC64" s="21"/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Tabla39152331419192949596979[[#This Row],[COMISIONES]]*0.21</f>
        <v>0</v>
      </c>
      <c r="J65" s="11"/>
      <c r="K65" s="11"/>
      <c r="L65" s="11"/>
      <c r="N65" s="11"/>
      <c r="O65" s="11">
        <f>Tabla35101826364142444546474[[#This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 s="3">
        <v>7053.55</v>
      </c>
      <c r="AA65" s="21">
        <f>Tabla3568132129397172747576777[[#This Row],[COMISIONES]]*0.21</f>
        <v>1481.2455</v>
      </c>
      <c r="AB65" s="21"/>
      <c r="AC65" s="21"/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Tabla39152331419192949596979[[#This Row],[COMISIONES]]*0.21</f>
        <v>0</v>
      </c>
      <c r="J66" s="11"/>
      <c r="K66" s="11"/>
      <c r="L66" s="11"/>
      <c r="N66" s="11"/>
      <c r="O66" s="11">
        <f>Tabla35101826364142444546474[[#This Row],[COMISIONES]]*0.21</f>
        <v>0</v>
      </c>
      <c r="P66" s="11"/>
      <c r="Q66" s="11"/>
      <c r="R66" s="11"/>
      <c r="T66" s="11"/>
      <c r="U66" s="11">
        <f>Tabla6122028334210203050607080[[#This Row],[COMISIONES]]*0.21</f>
        <v>0</v>
      </c>
      <c r="V66" s="11"/>
      <c r="W66" s="1"/>
      <c r="X66" s="11"/>
      <c r="Z66" s="3">
        <v>2209.92</v>
      </c>
      <c r="AA66" s="21">
        <f>Tabla3568132129397172747576777[[#This Row],[COMISIONES]]*0.21</f>
        <v>464.08319999999998</v>
      </c>
      <c r="AB66" s="21"/>
      <c r="AC66" s="21"/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Tabla39152331419192949596979[[#This Row],[COMISIONES]]*0.21</f>
        <v>0</v>
      </c>
      <c r="J67" s="11"/>
      <c r="K67" s="11"/>
      <c r="L67" s="11"/>
      <c r="N67" s="18"/>
      <c r="O67" s="11">
        <f>Tabla35101826364142444546474[[#This Row],[COMISIONES]]*0.21</f>
        <v>0</v>
      </c>
      <c r="P67" s="18"/>
      <c r="Q67" s="18"/>
      <c r="R67" s="18"/>
      <c r="T67" s="11"/>
      <c r="U67" s="11">
        <f>Tabla6122028334210203050607080[[#This Row],[COMISIONES]]*0.21</f>
        <v>0</v>
      </c>
      <c r="V67" s="11"/>
      <c r="W67" s="11"/>
      <c r="X67" s="11"/>
      <c r="Z67" s="3">
        <v>25798.18</v>
      </c>
      <c r="AA67" s="21">
        <f>Tabla3568132129397172747576777[[#This Row],[COMISIONES]]*0.21</f>
        <v>5417.6178</v>
      </c>
      <c r="AB67" s="21"/>
      <c r="AC67" s="21"/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Tabla39152331419192949596979[[#This Row],[COMISIONES]]*0.21</f>
        <v>0</v>
      </c>
      <c r="J68" s="11"/>
      <c r="K68" s="11"/>
      <c r="L68" s="11"/>
      <c r="N68" s="18"/>
      <c r="O68" s="11">
        <f>Tabla35101826364142444546474[[#This Row],[COMISIONES]]*0.21</f>
        <v>0</v>
      </c>
      <c r="P68" s="18"/>
      <c r="Q68" s="18"/>
      <c r="R68" s="18"/>
      <c r="T68" s="11"/>
      <c r="U68" s="19">
        <f>Tabla6122028334210203050607080[[#This Row],[COMISIONES]]*0.21</f>
        <v>0</v>
      </c>
      <c r="V68"/>
      <c r="W68" s="1"/>
      <c r="X68"/>
      <c r="Z68" s="3">
        <v>13319.83</v>
      </c>
      <c r="AA68" s="21">
        <v>2170.46</v>
      </c>
      <c r="AB68" s="21">
        <v>313.35000000000002</v>
      </c>
      <c r="AC68" s="21"/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Tabla39152331419192949596979[[#This Row],[COMISIONES]]*0.21</f>
        <v>0</v>
      </c>
      <c r="J69" s="11"/>
      <c r="K69" s="11"/>
      <c r="L69" s="11"/>
      <c r="N69" s="18"/>
      <c r="O69" s="11">
        <f>Tabla35101826364142444546474[[#This Row],[COMISIONES]]*0.21</f>
        <v>0</v>
      </c>
      <c r="P69" s="18"/>
      <c r="Q69" s="18"/>
      <c r="R69" s="18"/>
      <c r="T69" s="11"/>
      <c r="U69" s="19">
        <f>Tabla6122028334210203050607080[[#This Row],[COMISIONES]]*0.21</f>
        <v>0</v>
      </c>
      <c r="V69"/>
      <c r="W69"/>
      <c r="X69"/>
      <c r="Z69" s="3">
        <v>6215.6</v>
      </c>
      <c r="AA69" s="21">
        <f>Tabla3568132129397172747576777[[#This Row],[COMISIONES]]*0.21</f>
        <v>1305.2760000000001</v>
      </c>
      <c r="AB69" s="21"/>
      <c r="AC69" s="21"/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Tabla39152331419192949596979[[#This Row],[COMISIONES]]*0.21</f>
        <v>0</v>
      </c>
      <c r="J70" s="11"/>
      <c r="K70" s="11"/>
      <c r="L70" s="11"/>
      <c r="N70" s="18"/>
      <c r="O70" s="11">
        <f>Tabla35101826364142444546474[[#This Row],[COMISIONES]]*0.21</f>
        <v>0</v>
      </c>
      <c r="P70" s="18"/>
      <c r="Q70" s="18"/>
      <c r="R70" s="18"/>
      <c r="T70" s="11"/>
      <c r="U70" s="19">
        <f>Tabla6122028334210203050607080[[#This Row],[COMISIONES]]*0.21</f>
        <v>0</v>
      </c>
      <c r="V70"/>
      <c r="W70"/>
      <c r="X70"/>
      <c r="Z70" s="3">
        <v>1481.44</v>
      </c>
      <c r="AA70" s="21">
        <f>Tabla3568132129397172747576777[[#This Row],[COMISIONES]]*0.21</f>
        <v>311.10239999999999</v>
      </c>
      <c r="AB70" s="21"/>
      <c r="AC70" s="21"/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Tabla39152331419192949596979[[#This Row],[COMISIONES]]*0.21</f>
        <v>0</v>
      </c>
      <c r="J71" s="11"/>
      <c r="K71" s="11"/>
      <c r="L71" s="11"/>
      <c r="N71" s="18"/>
      <c r="O71" s="11">
        <f>Tabla35101826364142444546474[[#This Row],[COMISIONES]]*0.21</f>
        <v>0</v>
      </c>
      <c r="P71" s="18"/>
      <c r="Q71" s="18"/>
      <c r="R71" s="18"/>
      <c r="T71" s="11"/>
      <c r="U71" s="19">
        <f>Tabla6122028334210203050607080[[#This Row],[COMISIONES]]*0.21</f>
        <v>0</v>
      </c>
      <c r="V71"/>
      <c r="W71"/>
      <c r="X71"/>
      <c r="Z71" s="3">
        <v>21305.22</v>
      </c>
      <c r="AA71" s="21">
        <f>Tabla3568132129397172747576777[[#This Row],[COMISIONES]]*0.21</f>
        <v>4474.0962</v>
      </c>
      <c r="AB71" s="21"/>
      <c r="AC71" s="21"/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Tabla39152331419192949596979[[#This Row],[COMISIONES]]*0.21</f>
        <v>0</v>
      </c>
      <c r="J72" s="11"/>
      <c r="K72" s="11"/>
      <c r="L72" s="11"/>
      <c r="N72" s="18"/>
      <c r="O72" s="11">
        <f>Tabla35101826364142444546474[[#This Row],[COMISIONES]]*0.21</f>
        <v>0</v>
      </c>
      <c r="P72" s="18"/>
      <c r="Q72" s="18"/>
      <c r="R72" s="18"/>
      <c r="T72" s="11"/>
      <c r="U72" s="19">
        <f>Tabla6122028334210203050607080[[#This Row],[COMISIONES]]*0.21</f>
        <v>0</v>
      </c>
      <c r="V72"/>
      <c r="W72"/>
      <c r="X72"/>
      <c r="Z72" s="3">
        <v>39102.78</v>
      </c>
      <c r="AA72" s="21"/>
      <c r="AB72" s="21">
        <f>Tabla3568132129397172747576777[[#This Row],[COMISIONES]]*0.105</f>
        <v>4105.7919000000002</v>
      </c>
      <c r="AC72" s="21"/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Tabla39152331419192949596979[[#This Row],[COMISIONES]]*0.21</f>
        <v>0</v>
      </c>
      <c r="J73" s="11"/>
      <c r="K73" s="11"/>
      <c r="L73" s="11"/>
      <c r="N73" s="18"/>
      <c r="O73" s="11">
        <f>Tabla35101826364142444546474[[#This Row],[COMISIONES]]*0.21</f>
        <v>0</v>
      </c>
      <c r="P73" s="18"/>
      <c r="Q73" s="18"/>
      <c r="R73" s="18"/>
      <c r="T73" s="11"/>
      <c r="U73" s="19">
        <f>Tabla6122028334210203050607080[[#This Row],[COMISIONES]]*0.21</f>
        <v>0</v>
      </c>
      <c r="V73"/>
      <c r="W73"/>
      <c r="X73"/>
      <c r="Z73" s="3">
        <v>3647.9</v>
      </c>
      <c r="AA73" s="21">
        <f>Tabla3568132129397172747576777[[#This Row],[COMISIONES]]*0.21</f>
        <v>766.05899999999997</v>
      </c>
      <c r="AB73" s="1"/>
      <c r="AC73" s="1"/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Tabla39152331419192949596979[[#This Row],[COMISIONES]]*0.21</f>
        <v>0</v>
      </c>
      <c r="J74" s="11"/>
      <c r="K74" s="11"/>
      <c r="L74" s="11"/>
      <c r="N74" s="18"/>
      <c r="O74" s="11">
        <f>Tabla35101826364142444546474[[#This Row],[COMISIONES]]*0.21</f>
        <v>0</v>
      </c>
      <c r="P74" s="18"/>
      <c r="Q74" s="18"/>
      <c r="R74" s="18"/>
      <c r="T74" s="11"/>
      <c r="U74" s="19">
        <f>Tabla6122028334210203050607080[[#This Row],[COMISIONES]]*0.21</f>
        <v>0</v>
      </c>
      <c r="V74"/>
      <c r="W74"/>
      <c r="X74"/>
      <c r="Z74" s="3">
        <v>1199.04</v>
      </c>
      <c r="AA74" s="21">
        <f>Tabla3568132129397172747576777[[#This Row],[COMISIONES]]*0.21</f>
        <v>251.79839999999999</v>
      </c>
      <c r="AB74" s="19"/>
      <c r="AC74"/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Tabla39152331419192949596979[[#This Row],[COMISIONES]]*0.21</f>
        <v>0</v>
      </c>
      <c r="J75" s="11"/>
      <c r="K75" s="11"/>
      <c r="L75" s="11"/>
      <c r="N75" s="18"/>
      <c r="O75" s="11">
        <f>Tabla35101826364142444546474[[#This Row],[COMISIONES]]*0.21</f>
        <v>0</v>
      </c>
      <c r="P75" s="18"/>
      <c r="Q75" s="18"/>
      <c r="R75" s="18"/>
      <c r="T75" s="11"/>
      <c r="U75" s="19">
        <f>Tabla6122028334210203050607080[[#This Row],[COMISIONES]]*0.21</f>
        <v>0</v>
      </c>
      <c r="V75"/>
      <c r="W75"/>
      <c r="X75"/>
      <c r="Z75" s="3">
        <v>3636</v>
      </c>
      <c r="AA75" s="21">
        <f>Tabla3568132129397172747576777[[#This Row],[COMISIONES]]*0.21</f>
        <v>763.56</v>
      </c>
      <c r="AB75" s="1"/>
      <c r="AC75" s="21"/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Tabla39152331419192949596979[[#This Row],[COMISIONES]]*0.21</f>
        <v>0</v>
      </c>
      <c r="J76" s="11"/>
      <c r="K76" s="11"/>
      <c r="L76" s="11"/>
      <c r="N76" s="18"/>
      <c r="O76" s="11">
        <f>Tabla35101826364142444546474[[#This Row],[COMISIONES]]*0.21</f>
        <v>0</v>
      </c>
      <c r="P76" s="18"/>
      <c r="Q76" s="18"/>
      <c r="R76" s="18"/>
      <c r="T76"/>
      <c r="U76" s="19">
        <f>Tabla6122028334210203050607080[[#This Row],[COMISIONES]]*0.21</f>
        <v>0</v>
      </c>
      <c r="V76"/>
      <c r="W76"/>
      <c r="X76"/>
      <c r="Z76" s="3">
        <v>18789.37</v>
      </c>
      <c r="AA76" s="21">
        <f>Tabla3568132129397172747576777[[#This Row],[COMISIONES]]*0.21</f>
        <v>3945.7676999999994</v>
      </c>
      <c r="AB76" s="1"/>
      <c r="AC76" s="21"/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Tabla39152331419192949596979[[#This Row],[COMISIONES]]*0.21</f>
        <v>0</v>
      </c>
      <c r="J77" s="11"/>
      <c r="K77" s="11"/>
      <c r="L77" s="11"/>
      <c r="N77" s="18"/>
      <c r="O77" s="11">
        <f>Tabla35101826364142444546474[[#This Row],[COMISIONES]]*0.21</f>
        <v>0</v>
      </c>
      <c r="P77" s="18"/>
      <c r="Q77" s="18"/>
      <c r="R77" s="18"/>
      <c r="T77"/>
      <c r="U77" s="19">
        <f>Tabla6122028334210203050607080[[#This Row],[COMISIONES]]*0.21</f>
        <v>0</v>
      </c>
      <c r="V77"/>
      <c r="W77"/>
      <c r="X77"/>
      <c r="Z77" s="3">
        <v>13460.74</v>
      </c>
      <c r="AA77" s="21">
        <f>Tabla3568132129397172747576777[[#This Row],[COMISIONES]]*0.21</f>
        <v>2826.7554</v>
      </c>
      <c r="AB77" s="1"/>
      <c r="AC77" s="21"/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Tabla39152331419192949596979[[#This Row],[COMISIONES]]*0.21</f>
        <v>0</v>
      </c>
      <c r="J78" s="11"/>
      <c r="K78" s="11"/>
      <c r="L78" s="11"/>
      <c r="N78" s="18"/>
      <c r="O78" s="11">
        <f>Tabla35101826364142444546474[[#This Row],[COMISIONES]]*0.21</f>
        <v>0</v>
      </c>
      <c r="P78" s="18"/>
      <c r="Q78" s="18"/>
      <c r="R78" s="18"/>
      <c r="T78"/>
      <c r="U78" s="19">
        <f>Tabla6122028334210203050607080[[#This Row],[COMISIONES]]*0.21</f>
        <v>0</v>
      </c>
      <c r="V78"/>
      <c r="W78"/>
      <c r="X78"/>
      <c r="Z78" s="3">
        <v>1129.5999999999999</v>
      </c>
      <c r="AA78" s="21">
        <f>Tabla3568132129397172747576777[[#This Row],[COMISIONES]]*0.21</f>
        <v>237.21599999999998</v>
      </c>
      <c r="AB78" s="1"/>
      <c r="AC78" s="21"/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Tabla39152331419192949596979[[#This Row],[COMISIONES]]*0.21</f>
        <v>0</v>
      </c>
      <c r="J79" s="11"/>
      <c r="K79" s="11"/>
      <c r="L79" s="11"/>
      <c r="N79" s="18"/>
      <c r="O79" s="11">
        <f>Tabla35101826364142444546474[[#This Row],[COMISIONES]]*0.21</f>
        <v>0</v>
      </c>
      <c r="P79" s="18"/>
      <c r="Q79" s="18"/>
      <c r="R79" s="18"/>
      <c r="T79"/>
      <c r="U79" s="19">
        <f>Tabla6122028334210203050607080[[#This Row],[COMISIONES]]*0.21</f>
        <v>0</v>
      </c>
      <c r="V79"/>
      <c r="W79"/>
      <c r="X79"/>
      <c r="Z79" s="3">
        <v>79492.929999999993</v>
      </c>
      <c r="AA79" s="21">
        <f>Tabla3568132129397172747576777[[#This Row],[COMISIONES]]*0.21</f>
        <v>16693.515299999999</v>
      </c>
      <c r="AB79" s="21"/>
      <c r="AC79" s="21"/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Tabla39152331419192949596979[[#This Row],[COMISIONES]]*0.21</f>
        <v>0</v>
      </c>
      <c r="J80" s="11"/>
      <c r="K80" s="11"/>
      <c r="L80" s="11"/>
      <c r="N80" s="18"/>
      <c r="O80" s="11">
        <f>Tabla35101826364142444546474[[#This Row],[COMISIONES]]*0.21</f>
        <v>0</v>
      </c>
      <c r="P80" s="18"/>
      <c r="Q80" s="18"/>
      <c r="R80" s="18"/>
      <c r="T80"/>
      <c r="U80" s="19">
        <f>Tabla6122028334210203050607080[[#This Row],[COMISIONES]]*0.21</f>
        <v>0</v>
      </c>
      <c r="V80"/>
      <c r="W80"/>
      <c r="X80"/>
      <c r="Z80" s="3">
        <v>24681.93</v>
      </c>
      <c r="AA80" s="21"/>
      <c r="AB80" s="21">
        <f>Tabla3568132129397172747576777[[#This Row],[COMISIONES]]*0.105</f>
        <v>2591.6026499999998</v>
      </c>
      <c r="AC80" s="21"/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Tabla39152331419192949596979[[#This Row],[COMISIONES]]*0.21</f>
        <v>0</v>
      </c>
      <c r="J81" s="18"/>
      <c r="K81" s="18"/>
      <c r="L81" s="18"/>
      <c r="N81" s="18"/>
      <c r="O81" s="11">
        <f>Tabla35101826364142444546474[[#This Row],[COMISIONES]]*0.21</f>
        <v>0</v>
      </c>
      <c r="P81" s="18"/>
      <c r="Q81" s="18"/>
      <c r="R81" s="18"/>
      <c r="T81"/>
      <c r="U81" s="19">
        <f>Tabla6122028334210203050607080[[#This Row],[COMISIONES]]*0.21</f>
        <v>0</v>
      </c>
      <c r="V81"/>
      <c r="W81"/>
      <c r="X81"/>
      <c r="Z81" s="3">
        <v>1991.6</v>
      </c>
      <c r="AA81" s="21">
        <f>Tabla3568132129397172747576777[[#This Row],[COMISIONES]]*0.21</f>
        <v>418.23599999999999</v>
      </c>
      <c r="AB81" s="21"/>
      <c r="AC81" s="21"/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Tabla39152331419192949596979[[#This Row],[COMISIONES]]*0.21</f>
        <v>0</v>
      </c>
      <c r="J82" s="18"/>
      <c r="K82" s="18"/>
      <c r="L82" s="18"/>
      <c r="N82" s="18"/>
      <c r="O82" s="11">
        <f>Tabla35101826364142444546474[[#This Row],[COMISIONES]]*0.21</f>
        <v>0</v>
      </c>
      <c r="P82" s="18"/>
      <c r="Q82" s="18"/>
      <c r="R82" s="18"/>
      <c r="T82"/>
      <c r="U82" s="19">
        <f>Tabla6122028334210203050607080[[#This Row],[COMISIONES]]*0.21</f>
        <v>0</v>
      </c>
      <c r="V82"/>
      <c r="W82"/>
      <c r="X82"/>
      <c r="Z82" s="3">
        <v>28151.55</v>
      </c>
      <c r="AA82" s="21">
        <f>Tabla3568132129397172747576777[[#This Row],[COMISIONES]]*0.21</f>
        <v>5911.8254999999999</v>
      </c>
      <c r="AB82" s="1"/>
      <c r="AC82" s="1"/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Tabla39152331419192949596979[[#This Row],[COMISIONES]]*0.21</f>
        <v>0</v>
      </c>
      <c r="J83" s="18"/>
      <c r="K83" s="18"/>
      <c r="L83" s="18"/>
      <c r="N83" s="18"/>
      <c r="O83" s="11">
        <f>Tabla35101826364142444546474[[#This Row],[COMISIONES]]*0.21</f>
        <v>0</v>
      </c>
      <c r="P83" s="18"/>
      <c r="Q83" s="18"/>
      <c r="R83" s="18"/>
      <c r="T83"/>
      <c r="U83" s="19">
        <f>Tabla6122028334210203050607080[[#This Row],[COMISIONES]]*0.21</f>
        <v>0</v>
      </c>
      <c r="V83"/>
      <c r="W83"/>
      <c r="X83"/>
      <c r="Z83" s="3">
        <v>124</v>
      </c>
      <c r="AA83" s="21">
        <f>Tabla3568132129397172747576777[[#This Row],[COMISIONES]]*0.21</f>
        <v>26.04</v>
      </c>
      <c r="AB83" s="21"/>
      <c r="AC83" s="21"/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Tabla39152331419192949596979[[#This Row],[COMISIONES]]*0.21</f>
        <v>0</v>
      </c>
      <c r="J84" s="18"/>
      <c r="K84" s="18"/>
      <c r="L84" s="18"/>
      <c r="N84" s="18"/>
      <c r="O84" s="11">
        <f>Tabla35101826364142444546474[[#This Row],[COMISIONES]]*0.21</f>
        <v>0</v>
      </c>
      <c r="P84" s="18"/>
      <c r="Q84" s="18"/>
      <c r="R84" s="18"/>
      <c r="T84"/>
      <c r="U84" s="19">
        <f>Tabla6122028334210203050607080[[#This Row],[COMISIONES]]*0.21</f>
        <v>0</v>
      </c>
      <c r="V84"/>
      <c r="W84"/>
      <c r="X84"/>
      <c r="Z84" s="3">
        <v>25424.35</v>
      </c>
      <c r="AA84" s="21">
        <f>Tabla3568132129397172747576777[[#This Row],[COMISIONES]]*0.21</f>
        <v>5339.1134999999995</v>
      </c>
      <c r="AB84" s="21"/>
      <c r="AC84" s="1"/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Tabla39152331419192949596979[[#This Row],[COMISIONES]]*0.21</f>
        <v>0</v>
      </c>
      <c r="J85" s="18"/>
      <c r="K85" s="18"/>
      <c r="L85" s="18"/>
      <c r="N85" s="18"/>
      <c r="O85" s="11">
        <f>Tabla35101826364142444546474[[#This Row],[COMISIONES]]*0.21</f>
        <v>0</v>
      </c>
      <c r="P85" s="18"/>
      <c r="Q85" s="18"/>
      <c r="R85" s="18"/>
      <c r="T85"/>
      <c r="U85" s="19">
        <f>Tabla6122028334210203050607080[[#This Row],[COMISIONES]]*0.21</f>
        <v>0</v>
      </c>
      <c r="V85"/>
      <c r="W85"/>
      <c r="X85"/>
      <c r="Z85" s="3">
        <v>37107.07</v>
      </c>
      <c r="AA85" s="21"/>
      <c r="AB85" s="1">
        <f>Tabla3568132129397172747576777[[#This Row],[COMISIONES]]*0.105</f>
        <v>3896.24235</v>
      </c>
      <c r="AC85" s="1"/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Tabla39152331419192949596979[[#This Row],[COMISIONES]]*0.21</f>
        <v>0</v>
      </c>
      <c r="J86" s="18"/>
      <c r="K86" s="18"/>
      <c r="L86" s="18"/>
      <c r="N86" s="18"/>
      <c r="O86" s="11">
        <f>Tabla35101826364142444546474[[#This Row],[COMISIONES]]*0.21</f>
        <v>0</v>
      </c>
      <c r="P86" s="18"/>
      <c r="Q86" s="18"/>
      <c r="R86" s="18"/>
      <c r="T86"/>
      <c r="U86" s="19">
        <f>Tabla6122028334210203050607080[[#This Row],[COMISIONES]]*0.21</f>
        <v>0</v>
      </c>
      <c r="V86"/>
      <c r="W86"/>
      <c r="X86"/>
      <c r="Z86" s="3">
        <v>9708.7000000000007</v>
      </c>
      <c r="AA86" s="21">
        <f>Tabla3568132129397172747576777[[#This Row],[COMISIONES]]*0.21</f>
        <v>2038.827</v>
      </c>
      <c r="AB86" s="21"/>
      <c r="AC86" s="1"/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Tabla39152331419192949596979[[#This Row],[COMISIONES]]*0.21</f>
        <v>0</v>
      </c>
      <c r="J87" s="18"/>
      <c r="K87" s="18"/>
      <c r="L87" s="18"/>
      <c r="N87" s="18"/>
      <c r="O87" s="11">
        <f>Tabla35101826364142444546474[[#This Row],[COMISIONES]]*0.21</f>
        <v>0</v>
      </c>
      <c r="P87" s="18"/>
      <c r="Q87" s="18"/>
      <c r="R87" s="18"/>
      <c r="T87"/>
      <c r="U87" s="19">
        <f>Tabla6122028334210203050607080[[#This Row],[COMISIONES]]*0.21</f>
        <v>0</v>
      </c>
      <c r="V87"/>
      <c r="W87"/>
      <c r="X87"/>
      <c r="Z87" s="3">
        <v>1283.8399999999999</v>
      </c>
      <c r="AA87" s="21">
        <f>Tabla3568132129397172747576777[[#This Row],[COMISIONES]]*0.21</f>
        <v>269.60639999999995</v>
      </c>
      <c r="AB87" s="1"/>
      <c r="AC87" s="1"/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Tabla39152331419192949596979[[#This Row],[COMISIONES]]*0.21</f>
        <v>0</v>
      </c>
      <c r="J88" s="18"/>
      <c r="K88" s="18"/>
      <c r="L88" s="18"/>
      <c r="N88" s="18"/>
      <c r="O88" s="11">
        <f>Tabla35101826364142444546474[[#This Row],[COMISIONES]]*0.21</f>
        <v>0</v>
      </c>
      <c r="P88" s="18"/>
      <c r="Q88" s="18"/>
      <c r="R88" s="18"/>
      <c r="T88"/>
      <c r="U88" s="19">
        <f>Tabla6122028334210203050607080[[#This Row],[COMISIONES]]*0.21</f>
        <v>0</v>
      </c>
      <c r="V88"/>
      <c r="W88"/>
      <c r="X88"/>
      <c r="Z88" s="3">
        <v>635.67999999999995</v>
      </c>
      <c r="AA88" s="21">
        <f>Tabla3568132129397172747576777[[#This Row],[COMISIONES]]*0.21</f>
        <v>133.49279999999999</v>
      </c>
      <c r="AB88" s="21"/>
      <c r="AC88" s="21"/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Tabla39152331419192949596979[[#This Row],[COMISIONES]]*0.21</f>
        <v>0</v>
      </c>
      <c r="J89" s="18"/>
      <c r="K89" s="18"/>
      <c r="L89" s="18"/>
      <c r="N89" s="18"/>
      <c r="O89" s="11">
        <f>Tabla35101826364142444546474[[#This Row],[COMISIONES]]*0.21</f>
        <v>0</v>
      </c>
      <c r="P89" s="18"/>
      <c r="Q89" s="18"/>
      <c r="R89" s="18"/>
      <c r="T89"/>
      <c r="U89" s="19">
        <f>Tabla6122028334210203050607080[[#This Row],[COMISIONES]]*0.21</f>
        <v>0</v>
      </c>
      <c r="V89"/>
      <c r="W89"/>
      <c r="X89"/>
      <c r="Z89" s="3">
        <v>53694.13</v>
      </c>
      <c r="AA89" s="21">
        <f>Tabla3568132129397172747576777[[#This Row],[COMISIONES]]*0.21</f>
        <v>11275.7673</v>
      </c>
      <c r="AB89" s="19"/>
      <c r="AC89"/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Tabla39152331419192949596979[[#This Row],[COMISIONES]]*0.21</f>
        <v>0</v>
      </c>
      <c r="J90" s="18"/>
      <c r="K90" s="18"/>
      <c r="L90" s="18"/>
      <c r="N90" s="18"/>
      <c r="O90" s="11">
        <f>Tabla35101826364142444546474[[#This Row],[COMISIONES]]*0.21</f>
        <v>0</v>
      </c>
      <c r="P90" s="18"/>
      <c r="Q90" s="18"/>
      <c r="R90" s="18"/>
      <c r="T90"/>
      <c r="U90" s="19">
        <f>Tabla6122028334210203050607080[[#This Row],[COMISIONES]]*0.21</f>
        <v>0</v>
      </c>
      <c r="V90"/>
      <c r="W90"/>
      <c r="X90"/>
      <c r="Z90" s="3">
        <v>12935.27</v>
      </c>
      <c r="AA90" s="21"/>
      <c r="AB90" s="21">
        <f>Tabla3568132129397172747576777[[#This Row],[COMISIONES]]*0.105</f>
        <v>1358.20335</v>
      </c>
      <c r="AC90" s="21"/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Tabla39152331419192949596979[[#This Row],[COMISIONES]]*0.21</f>
        <v>0</v>
      </c>
      <c r="J91" s="18"/>
      <c r="K91" s="18"/>
      <c r="L91" s="18"/>
      <c r="N91" s="18"/>
      <c r="O91" s="11">
        <f>Tabla35101826364142444546474[[#This Row],[COMISIONES]]*0.21</f>
        <v>0</v>
      </c>
      <c r="P91" s="18"/>
      <c r="Q91" s="18"/>
      <c r="R91" s="18"/>
      <c r="T91"/>
      <c r="U91" s="19">
        <f>Tabla6122028334210203050607080[[#This Row],[COMISIONES]]*0.21</f>
        <v>0</v>
      </c>
      <c r="V91"/>
      <c r="W91"/>
      <c r="X91"/>
      <c r="Z91" s="3">
        <v>9496.6</v>
      </c>
      <c r="AA91" s="21">
        <f>Tabla3568132129397172747576777[[#This Row],[COMISIONES]]*0.21</f>
        <v>1994.2860000000001</v>
      </c>
      <c r="AB91" s="21"/>
      <c r="AC91" s="1"/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Tabla39152331419192949596979[[#This Row],[COMISIONES]]*0.21</f>
        <v>0</v>
      </c>
      <c r="J92" s="18"/>
      <c r="K92" s="18"/>
      <c r="L92" s="18"/>
      <c r="N92" s="18"/>
      <c r="O92" s="11">
        <f>Tabla35101826364142444546474[[#This Row],[COMISIONES]]*0.21</f>
        <v>0</v>
      </c>
      <c r="P92" s="18"/>
      <c r="Q92" s="18"/>
      <c r="R92" s="18"/>
      <c r="T92"/>
      <c r="U92" s="19">
        <f>Tabla6122028334210203050607080[[#This Row],[COMISIONES]]*0.21</f>
        <v>0</v>
      </c>
      <c r="V92"/>
      <c r="W92"/>
      <c r="X92"/>
      <c r="Z92" s="3"/>
      <c r="AA92" s="21">
        <f>Tabla3568132129397172747576777[[#This Row],[COMISIONES]]*0.21</f>
        <v>0</v>
      </c>
      <c r="AB92" s="1">
        <f>Tabla3568132129397172747576777[[#This Row],[COMISIONES]]*0.105</f>
        <v>0</v>
      </c>
      <c r="AC92" s="21"/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Tabla39152331419192949596979[[#This Row],[COMISIONES]]*0.21</f>
        <v>0</v>
      </c>
      <c r="J93" s="21"/>
      <c r="K93" s="21"/>
      <c r="L93" s="21"/>
      <c r="N93" s="18"/>
      <c r="O93" s="11">
        <f>Tabla35101826364142444546474[[#This Row],[COMISIONES]]*0.21</f>
        <v>0</v>
      </c>
      <c r="P93" s="18"/>
      <c r="Q93" s="18"/>
      <c r="R93" s="18"/>
      <c r="T93"/>
      <c r="U93" s="19">
        <f>Tabla6122028334210203050607080[[#This Row],[COMISIONES]]*0.21</f>
        <v>0</v>
      </c>
      <c r="V93"/>
      <c r="W93"/>
      <c r="X93"/>
      <c r="Z93" s="3"/>
      <c r="AA93" s="21"/>
      <c r="AB93" s="21">
        <f>Tabla3568132129397172747576777[[#This Row],[COMISIONES]]*0.105</f>
        <v>0</v>
      </c>
      <c r="AC93" s="21"/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Tabla39152331419192949596979[[#This Row],[COMISIONES]]*0.21</f>
        <v>0</v>
      </c>
      <c r="J94" s="21"/>
      <c r="K94" s="21"/>
      <c r="L94" s="21"/>
      <c r="N94" s="18"/>
      <c r="O94" s="11">
        <f>Tabla35101826364142444546474[[#This Row],[COMISIONES]]*0.21</f>
        <v>0</v>
      </c>
      <c r="P94" s="18"/>
      <c r="Q94" s="18"/>
      <c r="R94" s="18"/>
      <c r="T94" s="17">
        <f>SUBTOTAL(109,Tabla6122028334210203050607080[COMISIONES])</f>
        <v>0</v>
      </c>
      <c r="U94" s="17">
        <f>SUBTOTAL(109,Tabla6122028334210203050607080[IVA 21])</f>
        <v>0</v>
      </c>
      <c r="V94" s="17">
        <f>SUBTOTAL(109,Tabla6122028334210203050607080[IVA 10,5])</f>
        <v>0</v>
      </c>
      <c r="W94" s="17">
        <f>SUBTOTAL(109,Tabla6122028334210203050607080[Ret IIBB Caba])</f>
        <v>0</v>
      </c>
      <c r="X94" s="17">
        <f>SUBTOTAL(109,Tabla6122028334210203050607080[PERC IVA])</f>
        <v>0</v>
      </c>
      <c r="Z94" s="3"/>
      <c r="AA94" s="21">
        <f>Tabla3568132129397172747576777[[#This Row],[COMISIONES]]*0.21</f>
        <v>0</v>
      </c>
      <c r="AB94" s="21">
        <f>Tabla3568132129397172747576777[[#This Row],[COMISIONES]]*0.105</f>
        <v>0</v>
      </c>
      <c r="AC94" s="21"/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Tabla39152331419192949596979[[#This Row],[COMISIONES]]*0.21</f>
        <v>0</v>
      </c>
      <c r="J95" s="21"/>
      <c r="K95" s="21"/>
      <c r="L95" s="21"/>
      <c r="N95" s="18"/>
      <c r="O95" s="11">
        <f>Tabla35101826364142444546474[[#This Row],[COMISIONES]]*0.21</f>
        <v>0</v>
      </c>
      <c r="P95" s="18"/>
      <c r="Q95" s="18"/>
      <c r="R95" s="18"/>
      <c r="T95"/>
      <c r="U95"/>
      <c r="V95"/>
      <c r="W95"/>
      <c r="X95"/>
      <c r="Z95" s="3"/>
      <c r="AA95" s="21">
        <f>Tabla3568132129397172747576777[[#This Row],[COMISIONES]]*0.21</f>
        <v>0</v>
      </c>
      <c r="AB95" s="21">
        <f>Tabla3568132129397172747576777[[#This Row],[COMISIONES]]*0.105</f>
        <v>0</v>
      </c>
      <c r="AC95" s="21"/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Tabla39152331419192949596979[[#This Row],[COMISIONES]]*0.21</f>
        <v>0</v>
      </c>
      <c r="J96" s="21"/>
      <c r="K96" s="21"/>
      <c r="L96" s="21"/>
      <c r="N96" s="18"/>
      <c r="O96" s="11">
        <f>Tabla35101826364142444546474[[#This Row],[COMISIONES]]*0.21</f>
        <v>0</v>
      </c>
      <c r="P96" s="18"/>
      <c r="Q96" s="18"/>
      <c r="R96" s="18"/>
      <c r="T96"/>
      <c r="U96"/>
      <c r="V96"/>
      <c r="W96"/>
      <c r="X96"/>
      <c r="Z96" s="3"/>
      <c r="AA96" s="21">
        <f>Tabla3568132129397172747576777[[#This Row],[COMISIONES]]*0.21</f>
        <v>0</v>
      </c>
      <c r="AB96" s="1">
        <f>Tabla3568132129397172747576777[[#This Row],[COMISIONES]]*0.105</f>
        <v>0</v>
      </c>
      <c r="AC96" s="1"/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Tabla39152331419192949596979[[#This Row],[COMISIONES]]*0.21</f>
        <v>0</v>
      </c>
      <c r="J97" s="21"/>
      <c r="K97" s="21"/>
      <c r="L97" s="21"/>
      <c r="N97" s="18"/>
      <c r="O97" s="11">
        <f>Tabla35101826364142444546474[[#This Row],[COMISIONES]]*0.21</f>
        <v>0</v>
      </c>
      <c r="P97" s="18"/>
      <c r="Q97" s="18"/>
      <c r="R97" s="18"/>
      <c r="T97"/>
      <c r="U97"/>
      <c r="V97"/>
      <c r="W97"/>
      <c r="X97"/>
      <c r="Z97" s="3"/>
      <c r="AA97" s="21">
        <f>Tabla3568132129397172747576777[[#This Row],[COMISIONES]]*0.21</f>
        <v>0</v>
      </c>
      <c r="AB97" s="1">
        <f>Tabla3568132129397172747576777[[#This Row],[COMISIONES]]*0.105</f>
        <v>0</v>
      </c>
      <c r="AC97" s="1"/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Tabla39152331419192949596979[[#This Row],[COMISIONES]]*0.21</f>
        <v>0</v>
      </c>
      <c r="J98" s="21"/>
      <c r="K98" s="21"/>
      <c r="L98" s="21"/>
      <c r="N98" s="18"/>
      <c r="O98" s="11">
        <f>Tabla35101826364142444546474[[#This Row],[COMISIONES]]*0.21</f>
        <v>0</v>
      </c>
      <c r="P98" s="18"/>
      <c r="Q98" s="18"/>
      <c r="R98" s="18"/>
      <c r="T98"/>
      <c r="U98"/>
      <c r="V98"/>
      <c r="W98"/>
      <c r="X98"/>
      <c r="Z98" s="3"/>
      <c r="AA98" s="21">
        <f>Tabla3568132129397172747576777[[#This Row],[COMISIONES]]*0.21</f>
        <v>0</v>
      </c>
      <c r="AB98" s="21">
        <f>Tabla3568132129397172747576777[[#This Row],[COMISIONES]]*0.105</f>
        <v>0</v>
      </c>
      <c r="AC98" s="21"/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Tabla39152331419192949596979[[#This Row],[COMISIONES]]*0.21</f>
        <v>0</v>
      </c>
      <c r="J99" s="21"/>
      <c r="K99" s="21"/>
      <c r="L99" s="21"/>
      <c r="N99" s="18"/>
      <c r="O99" s="11">
        <f>Tabla35101826364142444546474[[#This Row],[COMISIONES]]*0.21</f>
        <v>0</v>
      </c>
      <c r="P99" s="18"/>
      <c r="Q99" s="18"/>
      <c r="R99" s="18"/>
      <c r="T99"/>
      <c r="U99"/>
      <c r="V99"/>
      <c r="W99"/>
      <c r="X99"/>
      <c r="Z99" s="3"/>
      <c r="AA99" s="21">
        <f>Tabla3568132129397172747576777[[#This Row],[COMISIONES]]*0.21</f>
        <v>0</v>
      </c>
      <c r="AB99" s="21">
        <f>Tabla3568132129397172747576777[[#This Row],[COMISIONES]]*0.105</f>
        <v>0</v>
      </c>
      <c r="AC99" s="21"/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Tabla39152331419192949596979[[#This Row],[COMISIONES]]*0.21</f>
        <v>0</v>
      </c>
      <c r="J100" s="21"/>
      <c r="K100" s="21"/>
      <c r="L100" s="21"/>
      <c r="N100" s="18"/>
      <c r="O100" s="11">
        <f>Tabla35101826364142444546474[[#This Row],[COMISIONES]]*0.21</f>
        <v>0</v>
      </c>
      <c r="P100" s="18"/>
      <c r="Q100" s="18"/>
      <c r="R100" s="18"/>
      <c r="T100"/>
      <c r="U100"/>
      <c r="V100"/>
      <c r="W100"/>
      <c r="X100"/>
      <c r="Z100" s="3"/>
      <c r="AA100" s="21">
        <f>Tabla3568132129397172747576777[[#This Row],[COMISIONES]]*0.21</f>
        <v>0</v>
      </c>
      <c r="AB100" s="21">
        <f>Tabla3568132129397172747576777[[#This Row],[COMISIONES]]*0.105</f>
        <v>0</v>
      </c>
      <c r="AC100" s="21"/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Tabla39152331419192949596979[[#This Row],[COMISIONES]]*0.21</f>
        <v>0</v>
      </c>
      <c r="J101" s="21"/>
      <c r="K101" s="21"/>
      <c r="L101" s="21"/>
      <c r="N101" s="18"/>
      <c r="O101" s="11">
        <f>Tabla35101826364142444546474[[#This Row],[COMISIONES]]*0.21</f>
        <v>0</v>
      </c>
      <c r="P101" s="18"/>
      <c r="Q101" s="18"/>
      <c r="R101" s="18"/>
      <c r="T101"/>
      <c r="U101"/>
      <c r="V101"/>
      <c r="W101"/>
      <c r="X101"/>
      <c r="Z101" s="3"/>
      <c r="AA101" s="21">
        <f>Tabla3568132129397172747576777[[#This Row],[COMISIONES]]*0.21</f>
        <v>0</v>
      </c>
      <c r="AB101" s="21">
        <f>Tabla3568132129397172747576777[[#This Row],[COMISIONES]]*0.105</f>
        <v>0</v>
      </c>
      <c r="AC101" s="21"/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SUBTOTAL(109,Tabla39152331419192949596979[COMISIONES])</f>
        <v>0</v>
      </c>
      <c r="I102" s="20">
        <f>SUBTOTAL(109,Tabla39152331419192949596979[IVA 21])</f>
        <v>0</v>
      </c>
      <c r="J102" s="20">
        <f>SUBTOTAL(109,Tabla39152331419192949596979[IVA 10,5])</f>
        <v>0</v>
      </c>
      <c r="K102" s="20">
        <f>SUBTOTAL(109,Tabla39152331419192949596979[Ret IIBB Caba])</f>
        <v>0</v>
      </c>
      <c r="L102" s="20">
        <f>SUBTOTAL(109,Tabla39152331419192949596979[PERC IVA])</f>
        <v>0</v>
      </c>
      <c r="N102" s="18"/>
      <c r="O102" s="11">
        <f>Tabla35101826364142444546474[[#This Row],[COMISIONES]]*0.21</f>
        <v>0</v>
      </c>
      <c r="P102" s="18"/>
      <c r="Q102" s="18"/>
      <c r="R102" s="18"/>
      <c r="T102"/>
      <c r="U102"/>
      <c r="V102"/>
      <c r="W102"/>
      <c r="X102"/>
      <c r="Z102" s="3"/>
      <c r="AA102" s="21">
        <f>Tabla3568132129397172747576777[[#This Row],[COMISIONES]]*0.21</f>
        <v>0</v>
      </c>
      <c r="AB102" s="21">
        <f>Tabla3568132129397172747576777[[#This Row],[COMISIONES]]*0.105</f>
        <v>0</v>
      </c>
      <c r="AC102" s="21"/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Tabla35101826364142444546474[[#This Row],[COMISIONES]]*0.21</f>
        <v>0</v>
      </c>
      <c r="P103" s="18"/>
      <c r="Q103" s="18"/>
      <c r="R103" s="18"/>
      <c r="T103"/>
      <c r="U103"/>
      <c r="V103"/>
      <c r="W103"/>
      <c r="X103"/>
      <c r="Z103" s="3"/>
      <c r="AA103" s="21">
        <f>Tabla3568132129397172747576777[[#This Row],[COMISIONES]]*0.21</f>
        <v>0</v>
      </c>
      <c r="AB103" s="21">
        <f>Tabla3568132129397172747576777[[#This Row],[COMISIONES]]*0.105</f>
        <v>0</v>
      </c>
      <c r="AC103" s="21"/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Tabla35101826364142444546474[[#This Row],[COMISIONES]]*0.21</f>
        <v>0</v>
      </c>
      <c r="P104" s="18"/>
      <c r="Q104" s="18"/>
      <c r="R104" s="18"/>
      <c r="T104"/>
      <c r="U104"/>
      <c r="V104"/>
      <c r="W104"/>
      <c r="X104"/>
      <c r="Z104" s="3"/>
      <c r="AA104" s="21">
        <f>Tabla3568132129397172747576777[[#This Row],[COMISIONES]]*0.21</f>
        <v>0</v>
      </c>
      <c r="AB104" s="21">
        <f>Tabla3568132129397172747576777[[#This Row],[COMISIONES]]*0.105</f>
        <v>0</v>
      </c>
      <c r="AC104" s="1"/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Tabla35101826364142444546474[[#This Row],[COMISIONES]]*0.21</f>
        <v>0</v>
      </c>
      <c r="P105" s="18"/>
      <c r="Q105" s="18"/>
      <c r="R105" s="18"/>
      <c r="T105"/>
      <c r="U105"/>
      <c r="V105"/>
      <c r="W105"/>
      <c r="X105"/>
      <c r="Z105" s="3"/>
      <c r="AA105" s="21">
        <f>Tabla3568132129397172747576777[[#This Row],[COMISIONES]]*0.21</f>
        <v>0</v>
      </c>
      <c r="AB105" s="21">
        <f>Tabla3568132129397172747576777[[#This Row],[COMISIONES]]*0.105</f>
        <v>0</v>
      </c>
      <c r="AC105" s="1"/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Tabla35101826364142444546474[[#This Row],[COMISIONES]]*0.21</f>
        <v>0</v>
      </c>
      <c r="P106" s="18"/>
      <c r="Q106" s="18"/>
      <c r="R106" s="18"/>
      <c r="T106"/>
      <c r="U106"/>
      <c r="V106"/>
      <c r="W106"/>
      <c r="X106"/>
      <c r="Z106" s="3"/>
      <c r="AA106" s="21">
        <f>Tabla3568132129397172747576777[[#This Row],[COMISIONES]]*0.21</f>
        <v>0</v>
      </c>
      <c r="AB106" s="21">
        <f>Tabla3568132129397172747576777[[#This Row],[COMISIONES]]*0.105</f>
        <v>0</v>
      </c>
      <c r="AC106" s="1"/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Tabla35101826364142444546474[[#This Row],[COMISIONES]]*0.21</f>
        <v>0</v>
      </c>
      <c r="P107" s="18"/>
      <c r="Q107" s="18"/>
      <c r="R107" s="18"/>
      <c r="T107"/>
      <c r="U107"/>
      <c r="V107"/>
      <c r="W107"/>
      <c r="X107"/>
      <c r="Z107" s="3"/>
      <c r="AA107" s="21">
        <f>Tabla3568132129397172747576777[[#This Row],[COMISIONES]]*0.21</f>
        <v>0</v>
      </c>
      <c r="AB107" s="21">
        <f>Tabla3568132129397172747576777[[#This Row],[COMISIONES]]*0.105</f>
        <v>0</v>
      </c>
      <c r="AC107" s="1"/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Tabla35101826364142444546474[[#This Row],[COMISIONES]]*0.21</f>
        <v>0</v>
      </c>
      <c r="P108" s="18"/>
      <c r="Q108" s="18"/>
      <c r="R108" s="18"/>
      <c r="T108"/>
      <c r="U108"/>
      <c r="V108"/>
      <c r="W108"/>
      <c r="X108"/>
      <c r="Z108" s="3"/>
      <c r="AA108" s="21">
        <f>Tabla3568132129397172747576777[[#This Row],[COMISIONES]]*0.21</f>
        <v>0</v>
      </c>
      <c r="AB108" s="21">
        <f>Tabla3568132129397172747576777[[#This Row],[COMISIONES]]*0.105</f>
        <v>0</v>
      </c>
      <c r="AC108" s="1"/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Tabla35101826364142444546474[[#This Row],[COMISIONES]]*0.21</f>
        <v>0</v>
      </c>
      <c r="P109" s="18"/>
      <c r="Q109" s="18"/>
      <c r="R109" s="18"/>
      <c r="T109"/>
      <c r="U109"/>
      <c r="V109"/>
      <c r="W109"/>
      <c r="X109"/>
      <c r="Z109" s="3"/>
      <c r="AA109" s="21">
        <f>Tabla3568132129397172747576777[[#This Row],[COMISIONES]]*0.21</f>
        <v>0</v>
      </c>
      <c r="AB109" s="21">
        <f>Tabla3568132129397172747576777[[#This Row],[COMISIONES]]*0.105</f>
        <v>0</v>
      </c>
      <c r="AC109" s="1"/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Tabla35101826364142444546474[[#This Row],[COMISIONES]]*0.21</f>
        <v>0</v>
      </c>
      <c r="P110" s="18"/>
      <c r="Q110" s="18"/>
      <c r="R110" s="18"/>
      <c r="T110"/>
      <c r="U110"/>
      <c r="V110"/>
      <c r="W110"/>
      <c r="X110"/>
      <c r="Z110" s="3"/>
      <c r="AA110" s="21">
        <f>Tabla3568132129397172747576777[[#This Row],[COMISIONES]]*0.21</f>
        <v>0</v>
      </c>
      <c r="AB110" s="21">
        <f>Tabla3568132129397172747576777[[#This Row],[COMISIONES]]*0.105</f>
        <v>0</v>
      </c>
      <c r="AC110" s="1"/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Tabla35101826364142444546474[[#This Row],[COMISIONES]]*0.21</f>
        <v>0</v>
      </c>
      <c r="P111" s="18"/>
      <c r="Q111" s="18"/>
      <c r="R111" s="18"/>
      <c r="T111"/>
      <c r="U111"/>
      <c r="V111"/>
      <c r="W111"/>
      <c r="X111"/>
      <c r="Z111" s="3"/>
      <c r="AA111" s="21">
        <f>Tabla3568132129397172747576777[[#This Row],[COMISIONES]]*0.21</f>
        <v>0</v>
      </c>
      <c r="AB111" s="21">
        <f>Tabla3568132129397172747576777[[#This Row],[COMISIONES]]*0.105</f>
        <v>0</v>
      </c>
      <c r="AC111" s="1"/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Tabla35101826364142444546474[[#This Row],[COMISIONES]]*0.21</f>
        <v>0</v>
      </c>
      <c r="P112" s="18"/>
      <c r="Q112" s="18"/>
      <c r="R112" s="18"/>
      <c r="T112"/>
      <c r="U112"/>
      <c r="V112"/>
      <c r="W112"/>
      <c r="X112"/>
      <c r="Z112" s="3"/>
      <c r="AA112" s="21">
        <f>Tabla3568132129397172747576777[[#This Row],[COMISIONES]]*0.21</f>
        <v>0</v>
      </c>
      <c r="AB112" s="21">
        <f>Tabla3568132129397172747576777[[#This Row],[COMISIONES]]*0.105</f>
        <v>0</v>
      </c>
      <c r="AC112" s="21"/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Tabla35101826364142444546474[[#This Row],[COMISIONES]]*0.21</f>
        <v>0</v>
      </c>
      <c r="P113" s="18"/>
      <c r="Q113" s="18"/>
      <c r="R113" s="18"/>
      <c r="T113"/>
      <c r="U113"/>
      <c r="V113"/>
      <c r="W113"/>
      <c r="X113"/>
      <c r="Z113" s="3"/>
      <c r="AA113" s="21">
        <f>Tabla3568132129397172747576777[[#This Row],[COMISIONES]]*0.21</f>
        <v>0</v>
      </c>
      <c r="AB113" s="21">
        <f>Tabla3568132129397172747576777[[#This Row],[COMISIONES]]*0.105</f>
        <v>0</v>
      </c>
      <c r="AC113" s="21"/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Tabla35101826364142444546474[[#This Row],[COMISIONES]]*0.21</f>
        <v>0</v>
      </c>
      <c r="P114" s="18"/>
      <c r="Q114" s="18"/>
      <c r="R114" s="18"/>
      <c r="T114"/>
      <c r="U114"/>
      <c r="V114"/>
      <c r="W114"/>
      <c r="X114"/>
      <c r="Z114" s="3"/>
      <c r="AA114" s="21">
        <f>Tabla3568132129397172747576777[[#This Row],[COMISIONES]]*0.21</f>
        <v>0</v>
      </c>
      <c r="AB114" s="21">
        <f>Tabla3568132129397172747576777[[#This Row],[COMISIONES]]*0.105</f>
        <v>0</v>
      </c>
      <c r="AC114" s="1"/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Tabla35101826364142444546474[[#This Row],[COMISIONES]]*0.21</f>
        <v>0</v>
      </c>
      <c r="P115" s="18"/>
      <c r="Q115" s="18"/>
      <c r="R115" s="18"/>
      <c r="T115"/>
      <c r="U115"/>
      <c r="V115"/>
      <c r="W115"/>
      <c r="X115"/>
      <c r="Z115" s="21"/>
      <c r="AA115" s="21">
        <f>Tabla3568132129397172747576777[[#This Row],[COMISIONES]]*0.21</f>
        <v>0</v>
      </c>
      <c r="AB115" s="21">
        <f>Tabla3568132129397172747576777[[#This Row],[COMISIONES]]*0.105</f>
        <v>0</v>
      </c>
      <c r="AC115" s="1"/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Tabla35101826364142444546474[[#This Row],[COMISIONES]]*0.21</f>
        <v>0</v>
      </c>
      <c r="P116" s="18"/>
      <c r="Q116" s="18"/>
      <c r="R116" s="18"/>
      <c r="T116"/>
      <c r="U116"/>
      <c r="V116"/>
      <c r="W116"/>
      <c r="X116"/>
      <c r="Z116" s="3"/>
      <c r="AA116" s="21">
        <f>Tabla3568132129397172747576777[[#This Row],[COMISIONES]]*0.21</f>
        <v>0</v>
      </c>
      <c r="AB116" s="21">
        <f>Tabla3568132129397172747576777[[#This Row],[COMISIONES]]*0.105</f>
        <v>0</v>
      </c>
      <c r="AC116" s="1"/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Tabla35101826364142444546474[[#This Row],[COMISIONES]]*0.21</f>
        <v>0</v>
      </c>
      <c r="P117" s="18"/>
      <c r="Q117" s="18"/>
      <c r="R117" s="18"/>
      <c r="T117"/>
      <c r="U117"/>
      <c r="V117"/>
      <c r="W117"/>
      <c r="X117"/>
      <c r="Z117" s="3"/>
      <c r="AA117" s="21">
        <f>Tabla3568132129397172747576777[[#This Row],[COMISIONES]]*0.21</f>
        <v>0</v>
      </c>
      <c r="AB117" s="21">
        <f>Tabla3568132129397172747576777[[#This Row],[COMISIONES]]*0.105</f>
        <v>0</v>
      </c>
      <c r="AC117" s="1"/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Tabla35101826364142444546474[[#This Row],[COMISIONES]]*0.21</f>
        <v>0</v>
      </c>
      <c r="P118" s="18"/>
      <c r="Q118" s="18"/>
      <c r="R118" s="18"/>
      <c r="T118"/>
      <c r="U118"/>
      <c r="V118"/>
      <c r="W118"/>
      <c r="X118"/>
      <c r="Z118" s="3"/>
      <c r="AA118" s="21">
        <f>Tabla3568132129397172747576777[[#This Row],[COMISIONES]]*0.21</f>
        <v>0</v>
      </c>
      <c r="AB118" s="21">
        <f>Tabla3568132129397172747576777[[#This Row],[COMISIONES]]*0.105</f>
        <v>0</v>
      </c>
      <c r="AC118" s="1"/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Tabla35101826364142444546474[[#This Row],[COMISIONES]]*0.21</f>
        <v>0</v>
      </c>
      <c r="P119" s="18"/>
      <c r="Q119" s="18"/>
      <c r="R119" s="18"/>
      <c r="T119"/>
      <c r="U119"/>
      <c r="V119"/>
      <c r="W119"/>
      <c r="X119"/>
      <c r="Z119" s="3"/>
      <c r="AA119" s="21">
        <f>Tabla3568132129397172747576777[[#This Row],[COMISIONES]]*0.21</f>
        <v>0</v>
      </c>
      <c r="AB119" s="21">
        <f>Tabla3568132129397172747576777[[#This Row],[COMISIONES]]*0.105</f>
        <v>0</v>
      </c>
      <c r="AC119" s="21"/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Tabla35101826364142444546474[[#This Row],[COMISIONES]]*0.21</f>
        <v>0</v>
      </c>
      <c r="P120" s="18"/>
      <c r="Q120" s="18"/>
      <c r="R120" s="18"/>
      <c r="T120"/>
      <c r="U120"/>
      <c r="V120"/>
      <c r="W120"/>
      <c r="X120"/>
      <c r="Z120" s="3"/>
      <c r="AA120" s="21">
        <f>Tabla3568132129397172747576777[[#This Row],[COMISIONES]]*0.21</f>
        <v>0</v>
      </c>
      <c r="AB120" s="21">
        <f>Tabla3568132129397172747576777[[#This Row],[COMISIONES]]*0.105</f>
        <v>0</v>
      </c>
      <c r="AC120" s="21"/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Tabla35101826364142444546474[[#This Row],[COMISIONES]]*0.21</f>
        <v>0</v>
      </c>
      <c r="P121" s="18"/>
      <c r="Q121" s="18"/>
      <c r="R121" s="18"/>
      <c r="T121"/>
      <c r="U121"/>
      <c r="V121"/>
      <c r="W121"/>
      <c r="X121"/>
      <c r="Z121" s="3"/>
      <c r="AA121" s="21">
        <f>Tabla3568132129397172747576777[[#This Row],[COMISIONES]]*0.21</f>
        <v>0</v>
      </c>
      <c r="AB121" s="21">
        <f>Tabla3568132129397172747576777[[#This Row],[COMISIONES]]*0.105</f>
        <v>0</v>
      </c>
      <c r="AC121" s="21"/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Tabla35101826364142444546474[[#This Row],[COMISIONES]]*0.21</f>
        <v>0</v>
      </c>
      <c r="P122" s="18"/>
      <c r="Q122" s="18"/>
      <c r="R122" s="18"/>
      <c r="T122"/>
      <c r="U122"/>
      <c r="V122"/>
      <c r="W122"/>
      <c r="X122"/>
      <c r="Z122" s="3"/>
      <c r="AA122" s="21">
        <f>Tabla3568132129397172747576777[[#This Row],[COMISIONES]]*0.21</f>
        <v>0</v>
      </c>
      <c r="AB122" s="21">
        <f>Tabla3568132129397172747576777[[#This Row],[COMISIONES]]*0.105</f>
        <v>0</v>
      </c>
      <c r="AC122" s="21"/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/>
      <c r="U123"/>
      <c r="V123"/>
      <c r="W123"/>
      <c r="X123"/>
      <c r="Z123" s="3"/>
      <c r="AA123" s="21">
        <f>Tabla3568132129397172747576777[[#This Row],[COMISIONES]]*0.21</f>
        <v>0</v>
      </c>
      <c r="AB123" s="21">
        <f>Tabla3568132129397172747576777[[#This Row],[COMISIONES]]*0.105</f>
        <v>0</v>
      </c>
      <c r="AC123" s="21"/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 s="3"/>
      <c r="AA124" s="21">
        <f>Tabla3568132129397172747576777[[#This Row],[COMISIONES]]*0.21</f>
        <v>0</v>
      </c>
      <c r="AB124" s="21">
        <f>Tabla3568132129397172747576777[[#This Row],[COMISIONES]]*0.105</f>
        <v>0</v>
      </c>
      <c r="AC124" s="21"/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3"/>
      <c r="AA125" s="21">
        <f>Tabla3568132129397172747576777[[#This Row],[COMISIONES]]*0.21</f>
        <v>0</v>
      </c>
      <c r="AB125" s="21">
        <f>Tabla3568132129397172747576777[[#This Row],[COMISIONES]]*0.105</f>
        <v>0</v>
      </c>
      <c r="AC125" s="21"/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3"/>
      <c r="AA126" s="21">
        <f>Tabla3568132129397172747576777[[#This Row],[COMISIONES]]*0.21</f>
        <v>0</v>
      </c>
      <c r="AB126" s="21">
        <f>Tabla3568132129397172747576777[[#This Row],[COMISIONES]]*0.105</f>
        <v>0</v>
      </c>
      <c r="AC126" s="21"/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3"/>
      <c r="AA127" s="21">
        <f>Tabla3568132129397172747576777[[#This Row],[COMISIONES]]*0.21</f>
        <v>0</v>
      </c>
      <c r="AB127" s="21">
        <f>Tabla3568132129397172747576777[[#This Row],[COMISIONES]]*0.105</f>
        <v>0</v>
      </c>
      <c r="AC127" s="21"/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3"/>
      <c r="AA128" s="21">
        <f>Tabla3568132129397172747576777[[#This Row],[COMISIONES]]*0.21</f>
        <v>0</v>
      </c>
      <c r="AB128" s="21">
        <f>Tabla3568132129397172747576777[[#This Row],[COMISIONES]]*0.105</f>
        <v>0</v>
      </c>
      <c r="AC128" s="21"/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Tabla3568132129397172747576777[[#This Row],[COMISIONES]]*0.21</f>
        <v>0</v>
      </c>
      <c r="AB129" s="21">
        <f>Tabla3568132129397172747576777[[#This Row],[COMISIONES]]*0.105</f>
        <v>0</v>
      </c>
      <c r="AC129" s="21"/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Tabla3568132129397172747576777[[#This Row],[COMISIONES]]*0.21</f>
        <v>0</v>
      </c>
      <c r="AB130" s="21">
        <f>Tabla3568132129397172747576777[[#This Row],[COMISIONES]]*0.105</f>
        <v>0</v>
      </c>
      <c r="AC130" s="21"/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Tabla3568132129397172747576777[[#This Row],[COMISIONES]]*0.21</f>
        <v>0</v>
      </c>
      <c r="AB131" s="21">
        <f>Tabla3568132129397172747576777[[#This Row],[COMISIONES]]*0.105</f>
        <v>0</v>
      </c>
      <c r="AC131" s="21"/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Tabla3568132129397172747576777[[#This Row],[COMISIONES]]*0.21</f>
        <v>0</v>
      </c>
      <c r="AB132" s="21">
        <f>Tabla3568132129397172747576777[[#This Row],[COMISIONES]]*0.105</f>
        <v>0</v>
      </c>
      <c r="AC132" s="21"/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Tabla3568132129397172747576777[[#This Row],[COMISIONES]]*0.21</f>
        <v>0</v>
      </c>
      <c r="AB133" s="21">
        <f>Tabla3568132129397172747576777[[#This Row],[COMISIONES]]*0.105</f>
        <v>0</v>
      </c>
      <c r="AC133" s="21"/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Tabla35101826364142444546474[[#This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Tabla3568132129397172747576777[[#This Row],[COMISIONES]]*0.21</f>
        <v>0</v>
      </c>
      <c r="AB134" s="21">
        <f>Tabla3568132129397172747576777[[#This Row],[COMISIONES]]*0.105</f>
        <v>0</v>
      </c>
      <c r="AC134" s="21"/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24">
        <f>SUBTOTAL(109,Tabla35101826364142444546474[COMISIONES])</f>
        <v>5619.83</v>
      </c>
      <c r="O135" s="24">
        <f>SUBTOTAL(109,Tabla35101826364142444546474[IVA 21])</f>
        <v>1180.1642999999999</v>
      </c>
      <c r="P135" s="24">
        <f>SUBTOTAL(109,Tabla35101826364142444546474[IVA 10,5])</f>
        <v>0</v>
      </c>
      <c r="Q135" s="24">
        <f>SUBTOTAL(109,Tabla35101826364142444546474[Ret IIBB Caba])</f>
        <v>446.31</v>
      </c>
      <c r="R135" s="24">
        <f>SUBTOTAL(109,Tabla35101826364142444546474[PERC IVA])</f>
        <v>168.59</v>
      </c>
      <c r="T135"/>
      <c r="U135"/>
      <c r="V135"/>
      <c r="W135"/>
      <c r="X135"/>
      <c r="Z135" s="21"/>
      <c r="AA135" s="21">
        <f>Tabla3568132129397172747576777[[#This Row],[COMISIONES]]*0.21</f>
        <v>0</v>
      </c>
      <c r="AB135" s="21">
        <f>Tabla3568132129397172747576777[[#This Row],[COMISIONES]]*0.105</f>
        <v>0</v>
      </c>
      <c r="AC135" s="21"/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Tabla3568132129397172747576777[[#This Row],[COMISIONES]]*0.21</f>
        <v>0</v>
      </c>
      <c r="AB136" s="21">
        <f>Tabla3568132129397172747576777[[#This Row],[COMISIONES]]*0.105</f>
        <v>0</v>
      </c>
      <c r="AC136" s="21"/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Tabla3568132129397172747576777[[#This Row],[COMISIONES]]*0.21</f>
        <v>0</v>
      </c>
      <c r="AB137" s="21">
        <f>Tabla3568132129397172747576777[[#This Row],[COMISIONES]]*0.105</f>
        <v>0</v>
      </c>
      <c r="AC137" s="21"/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Tabla3568132129397172747576777[[#This Row],[COMISIONES]]*0.21</f>
        <v>0</v>
      </c>
      <c r="AB138" s="21">
        <f>Tabla3568132129397172747576777[[#This Row],[COMISIONES]]*0.105</f>
        <v>0</v>
      </c>
      <c r="AC138" s="21"/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Tabla3568132129397172747576777[[#This Row],[COMISIONES]]*0.21</f>
        <v>0</v>
      </c>
      <c r="AB139" s="21">
        <f>Tabla3568132129397172747576777[[#This Row],[COMISIONES]]*0.105</f>
        <v>0</v>
      </c>
      <c r="AC139" s="21"/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Tabla3568132129397172747576777[[#This Row],[COMISIONES]]*0.21</f>
        <v>0</v>
      </c>
      <c r="AB140" s="21">
        <f>Tabla3568132129397172747576777[[#This Row],[COMISIONES]]*0.105</f>
        <v>0</v>
      </c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Tabla3568132129397172747576777[[#This Row],[COMISIONES]]*0.21</f>
        <v>0</v>
      </c>
      <c r="AB141" s="21">
        <f>Tabla3568132129397172747576777[[#This Row],[COMISIONES]]*0.105</f>
        <v>0</v>
      </c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Tabla3568132129397172747576777[[#This Row],[COMISIONES]]*0.21</f>
        <v>0</v>
      </c>
      <c r="AB142" s="21">
        <f>Tabla3568132129397172747576777[[#This Row],[COMISIONES]]*0.105</f>
        <v>0</v>
      </c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Tabla3568132129397172747576777[[#This Row],[COMISIONES]]*0.21</f>
        <v>0</v>
      </c>
      <c r="AB143" s="21">
        <f>Tabla3568132129397172747576777[[#This Row],[COMISIONES]]*0.105</f>
        <v>0</v>
      </c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Tabla3568132129397172747576777[[#This Row],[COMISIONES]]*0.21</f>
        <v>0</v>
      </c>
      <c r="AB144" s="21">
        <f>Tabla3568132129397172747576777[[#This Row],[COMISIONES]]*0.105</f>
        <v>0</v>
      </c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Tabla3568132129397172747576777[[#This Row],[COMISIONES]]*0.21</f>
        <v>0</v>
      </c>
      <c r="AB145" s="21">
        <f>Tabla3568132129397172747576777[[#This Row],[COMISIONES]]*0.105</f>
        <v>0</v>
      </c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Tabla3568132129397172747576777[[#This Row],[COMISIONES]]*0.21</f>
        <v>0</v>
      </c>
      <c r="AB146" s="21">
        <f>Tabla3568132129397172747576777[[#This Row],[COMISIONES]]*0.105</f>
        <v>0</v>
      </c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Tabla3568132129397172747576777[[#This Row],[COMISIONES]]*0.21</f>
        <v>0</v>
      </c>
      <c r="AB147" s="21">
        <f>Tabla3568132129397172747576777[[#This Row],[COMISIONES]]*0.105</f>
        <v>0</v>
      </c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Tabla3568132129397172747576777[[#This Row],[COMISIONES]]*0.21</f>
        <v>0</v>
      </c>
      <c r="AB148" s="21">
        <f>Tabla3568132129397172747576777[[#This Row],[COMISIONES]]*0.105</f>
        <v>0</v>
      </c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Tabla3568132129397172747576777[[#This Row],[COMISIONES]]*0.21</f>
        <v>0</v>
      </c>
      <c r="AB149" s="21">
        <f>Tabla3568132129397172747576777[[#This Row],[COMISIONES]]*0.105</f>
        <v>0</v>
      </c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Tabla3568132129397172747576777[[#This Row],[COMISIONES]]*0.21</f>
        <v>0</v>
      </c>
      <c r="AB150" s="21">
        <f>Tabla3568132129397172747576777[[#This Row],[COMISIONES]]*0.105</f>
        <v>0</v>
      </c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Tabla3568132129397172747576777[[#This Row],[COMISIONES]]*0.21</f>
        <v>0</v>
      </c>
      <c r="AB151" s="21">
        <f>Tabla3568132129397172747576777[[#This Row],[COMISIONES]]*0.105</f>
        <v>0</v>
      </c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Tabla3568132129397172747576777[[#This Row],[COMISIONES]]*0.21</f>
        <v>0</v>
      </c>
      <c r="AB152" s="21">
        <f>Tabla3568132129397172747576777[[#This Row],[COMISIONES]]*0.105</f>
        <v>0</v>
      </c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Tabla3568132129397172747576777[[#This Row],[COMISIONES]]*0.21</f>
        <v>0</v>
      </c>
      <c r="AB153" s="21">
        <f>Tabla3568132129397172747576777[[#This Row],[COMISIONES]]*0.105</f>
        <v>0</v>
      </c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Tabla3568132129397172747576777[[#This Row],[COMISIONES]]*0.21</f>
        <v>0</v>
      </c>
      <c r="AB154" s="21">
        <f>Tabla3568132129397172747576777[[#This Row],[COMISIONES]]*0.105</f>
        <v>0</v>
      </c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Tabla3568132129397172747576777[[#This Row],[COMISIONES]]*0.21</f>
        <v>0</v>
      </c>
      <c r="AB155" s="21">
        <f>Tabla3568132129397172747576777[[#This Row],[COMISIONES]]*0.105</f>
        <v>0</v>
      </c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Tabla3568132129397172747576777[[#This Row],[COMISIONES]]*0.21</f>
        <v>0</v>
      </c>
      <c r="AB156" s="21">
        <f>Tabla3568132129397172747576777[[#This Row],[COMISIONES]]*0.105</f>
        <v>0</v>
      </c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Tabla3568132129397172747576777[[#This Row],[COMISIONES]]*0.21</f>
        <v>0</v>
      </c>
      <c r="AB157" s="21">
        <f>Tabla3568132129397172747576777[[#This Row],[COMISIONES]]*0.105</f>
        <v>0</v>
      </c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Tabla3568132129397172747576777[[#This Row],[COMISIONES]]*0.21</f>
        <v>0</v>
      </c>
      <c r="AB158" s="21">
        <f>Tabla3568132129397172747576777[[#This Row],[COMISIONES]]*0.105</f>
        <v>0</v>
      </c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Tabla3568132129397172747576777[[#This Row],[COMISIONES]]*0.21</f>
        <v>0</v>
      </c>
      <c r="AB159" s="21">
        <f>Tabla3568132129397172747576777[[#This Row],[COMISIONES]]*0.105</f>
        <v>0</v>
      </c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Tabla3568132129397172747576777[[#This Row],[COMISIONES]]*0.21</f>
        <v>0</v>
      </c>
      <c r="AB160" s="21">
        <f>Tabla3568132129397172747576777[[#This Row],[COMISIONES]]*0.105</f>
        <v>0</v>
      </c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Tabla3568132129397172747576777[[#This Row],[COMISIONES]]*0.21</f>
        <v>0</v>
      </c>
      <c r="AB161" s="21">
        <f>Tabla3568132129397172747576777[[#This Row],[COMISIONES]]*0.105</f>
        <v>0</v>
      </c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Tabla3568132129397172747576777[[#This Row],[COMISIONES]]*0.21</f>
        <v>0</v>
      </c>
      <c r="AB162" s="21">
        <f>Tabla3568132129397172747576777[[#This Row],[COMISIONES]]*0.105</f>
        <v>0</v>
      </c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Tabla3568132129397172747576777[[#This Row],[COMISIONES]]*0.21</f>
        <v>0</v>
      </c>
      <c r="AB163" s="21">
        <f>Tabla3568132129397172747576777[[#This Row],[COMISIONES]]*0.105</f>
        <v>0</v>
      </c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Tabla3568132129397172747576777[[#This Row],[COMISIONES]]*0.21</f>
        <v>0</v>
      </c>
      <c r="AB164" s="21">
        <f>Tabla3568132129397172747576777[[#This Row],[COMISIONES]]*0.105</f>
        <v>0</v>
      </c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Tabla3568132129397172747576777[[#This Row],[COMISIONES]]*0.21</f>
        <v>0</v>
      </c>
      <c r="AB165" s="21">
        <f>Tabla3568132129397172747576777[[#This Row],[COMISIONES]]*0.105</f>
        <v>0</v>
      </c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Tabla3568132129397172747576777[[#This Row],[COMISIONES]]*0.21</f>
        <v>0</v>
      </c>
      <c r="AB166" s="21">
        <f>Tabla3568132129397172747576777[[#This Row],[COMISIONES]]*0.105</f>
        <v>0</v>
      </c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Tabla3568132129397172747576777[[#This Row],[COMISIONES]]*0.21</f>
        <v>0</v>
      </c>
      <c r="AB167" s="21">
        <f>Tabla3568132129397172747576777[[#This Row],[COMISIONES]]*0.105</f>
        <v>0</v>
      </c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Tabla3568132129397172747576777[[#This Row],[COMISIONES]]*0.21</f>
        <v>0</v>
      </c>
      <c r="AB168" s="21">
        <f>Tabla3568132129397172747576777[[#This Row],[COMISIONES]]*0.105</f>
        <v>0</v>
      </c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SUBTOTAL(109,Tabla3568132129397172747576777[COMISIONES])</f>
        <v>1335101.3600000003</v>
      </c>
      <c r="AA169" s="4">
        <f>SUBTOTAL(109,Tabla3568132129397172747576777[IVA 21])</f>
        <v>182657.89999999997</v>
      </c>
      <c r="AB169" s="4">
        <f>SUBTOTAL(109,Tabla3568132129397172747576777[IVA 10,5])</f>
        <v>48856.690649999997</v>
      </c>
      <c r="AC169" s="4">
        <f>SUBTOTAL(109,Tabla3568132129397172747576777[Ret IIBB Caba])</f>
        <v>0</v>
      </c>
      <c r="AD169" s="4">
        <f>SUBTOTAL(109,Tabla3568132129397172747576777[PERC IVA])</f>
        <v>0</v>
      </c>
      <c r="AF169"/>
      <c r="AG169"/>
      <c r="AH169"/>
      <c r="AI169"/>
      <c r="AJ169"/>
      <c r="AK169"/>
      <c r="AL169"/>
      <c r="AM169"/>
      <c r="AN169"/>
      <c r="AO169"/>
    </row>
  </sheetData>
  <mergeCells count="14">
    <mergeCell ref="T32:X32"/>
    <mergeCell ref="H54:L54"/>
    <mergeCell ref="T64:X64"/>
    <mergeCell ref="B14:F14"/>
    <mergeCell ref="H14:L14"/>
    <mergeCell ref="N14:R14"/>
    <mergeCell ref="T14:X14"/>
    <mergeCell ref="G12:H12"/>
    <mergeCell ref="G2:H2"/>
    <mergeCell ref="J2:K2"/>
    <mergeCell ref="G8:H8"/>
    <mergeCell ref="AK14:AO14"/>
    <mergeCell ref="Z14:AD14"/>
    <mergeCell ref="AF14:AJ14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01-2024</vt:lpstr>
      <vt:lpstr>02-2024 </vt:lpstr>
      <vt:lpstr>03-2024</vt:lpstr>
      <vt:lpstr>04-2024</vt:lpstr>
      <vt:lpstr>05-2024</vt:lpstr>
      <vt:lpstr>06-2024</vt:lpstr>
      <vt:lpstr>07-2024</vt:lpstr>
      <vt:lpstr>08-2024</vt:lpstr>
      <vt:lpstr>09-2024</vt:lpstr>
      <vt:lpstr>10-2024</vt:lpstr>
      <vt:lpstr>11-2024</vt:lpstr>
      <vt:lpstr>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xxx3</dc:creator>
  <cp:lastModifiedBy>Gaspar Gullo</cp:lastModifiedBy>
  <dcterms:created xsi:type="dcterms:W3CDTF">2019-12-17T14:01:30Z</dcterms:created>
  <dcterms:modified xsi:type="dcterms:W3CDTF">2025-05-05T19:39:03Z</dcterms:modified>
</cp:coreProperties>
</file>