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6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7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3\"/>
    </mc:Choice>
  </mc:AlternateContent>
  <xr:revisionPtr revIDLastSave="0" documentId="13_ncr:1_{0682AAF9-37A4-4DEC-9794-6B6E2DAE9728}" xr6:coauthVersionLast="47" xr6:coauthVersionMax="47" xr10:uidLastSave="{00000000-0000-0000-0000-000000000000}"/>
  <bookViews>
    <workbookView xWindow="11832" yWindow="4716" windowWidth="11100" windowHeight="7596" activeTab="1" xr2:uid="{00000000-000D-0000-FFFF-FFFF00000000}"/>
  </bookViews>
  <sheets>
    <sheet name="01-2023" sheetId="10" r:id="rId1"/>
    <sheet name="02-2023" sheetId="11" r:id="rId2"/>
    <sheet name="03-2023" sheetId="4" r:id="rId3"/>
    <sheet name="06-2023" sheetId="5" r:id="rId4"/>
    <sheet name="07-2023" sheetId="6" r:id="rId5"/>
    <sheet name="08-2023 " sheetId="8" r:id="rId6"/>
    <sheet name="09-2023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1" l="1"/>
  <c r="R132" i="11"/>
  <c r="G5" i="11" s="1"/>
  <c r="U31" i="11"/>
  <c r="Q132" i="11"/>
  <c r="P132" i="11"/>
  <c r="E5" i="11" s="1"/>
  <c r="N132" i="11"/>
  <c r="C5" i="11" s="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L91" i="11"/>
  <c r="G9" i="11" s="1"/>
  <c r="K91" i="11"/>
  <c r="F9" i="11" s="1"/>
  <c r="J91" i="11"/>
  <c r="E9" i="11" s="1"/>
  <c r="H91" i="11"/>
  <c r="C9" i="11" s="1"/>
  <c r="O90" i="11"/>
  <c r="I90" i="11"/>
  <c r="O89" i="11"/>
  <c r="I89" i="11"/>
  <c r="O88" i="11"/>
  <c r="I88" i="11"/>
  <c r="O87" i="11"/>
  <c r="I87" i="11"/>
  <c r="O86" i="11"/>
  <c r="I86" i="11"/>
  <c r="O85" i="11"/>
  <c r="I85" i="11"/>
  <c r="O84" i="11"/>
  <c r="I84" i="11"/>
  <c r="O83" i="11"/>
  <c r="I83" i="11"/>
  <c r="O82" i="11"/>
  <c r="I82" i="11"/>
  <c r="O81" i="11"/>
  <c r="I81" i="11"/>
  <c r="O80" i="11"/>
  <c r="I80" i="11"/>
  <c r="O79" i="11"/>
  <c r="I79" i="11"/>
  <c r="O78" i="11"/>
  <c r="I78" i="11"/>
  <c r="O77" i="11"/>
  <c r="I77" i="11"/>
  <c r="O76" i="11"/>
  <c r="I76" i="11"/>
  <c r="O75" i="11"/>
  <c r="I75" i="11"/>
  <c r="O74" i="11"/>
  <c r="I74" i="11"/>
  <c r="O73" i="11"/>
  <c r="I73" i="11"/>
  <c r="O72" i="11"/>
  <c r="I72" i="11"/>
  <c r="O71" i="11"/>
  <c r="I71" i="11"/>
  <c r="O70" i="11"/>
  <c r="I70" i="11"/>
  <c r="O69" i="11"/>
  <c r="I69" i="11"/>
  <c r="O68" i="11"/>
  <c r="I68" i="11"/>
  <c r="O67" i="11"/>
  <c r="I67" i="11"/>
  <c r="O66" i="11"/>
  <c r="I66" i="11"/>
  <c r="O65" i="11"/>
  <c r="I65" i="11"/>
  <c r="O64" i="11"/>
  <c r="I64" i="11"/>
  <c r="O63" i="11"/>
  <c r="I63" i="11"/>
  <c r="O62" i="11"/>
  <c r="I62" i="11"/>
  <c r="O61" i="11"/>
  <c r="I61" i="11"/>
  <c r="O60" i="11"/>
  <c r="I60" i="11"/>
  <c r="X59" i="11"/>
  <c r="G8" i="11" s="1"/>
  <c r="W59" i="11"/>
  <c r="F8" i="11" s="1"/>
  <c r="T59" i="11"/>
  <c r="C8" i="11" s="1"/>
  <c r="O59" i="11"/>
  <c r="I59" i="11"/>
  <c r="U58" i="11"/>
  <c r="O58" i="11"/>
  <c r="I58" i="11"/>
  <c r="F58" i="11"/>
  <c r="E58" i="11"/>
  <c r="D58" i="11"/>
  <c r="B58" i="11"/>
  <c r="C3" i="11" s="1"/>
  <c r="U57" i="11"/>
  <c r="O57" i="11"/>
  <c r="I57" i="11"/>
  <c r="C57" i="11"/>
  <c r="U56" i="11"/>
  <c r="O56" i="11"/>
  <c r="I56" i="11"/>
  <c r="C56" i="11"/>
  <c r="U55" i="11"/>
  <c r="O55" i="11"/>
  <c r="J55" i="11"/>
  <c r="C55" i="11"/>
  <c r="U54" i="11"/>
  <c r="O54" i="11"/>
  <c r="I54" i="11"/>
  <c r="I91" i="11" s="1"/>
  <c r="D9" i="11" s="1"/>
  <c r="C54" i="11"/>
  <c r="U53" i="11"/>
  <c r="O53" i="11"/>
  <c r="C53" i="11"/>
  <c r="U52" i="11"/>
  <c r="O52" i="11"/>
  <c r="C52" i="11"/>
  <c r="U51" i="11"/>
  <c r="O51" i="11"/>
  <c r="C51" i="11"/>
  <c r="U50" i="11"/>
  <c r="O50" i="11"/>
  <c r="L50" i="11"/>
  <c r="G4" i="11" s="1"/>
  <c r="J50" i="11"/>
  <c r="H50" i="11"/>
  <c r="C4" i="11" s="1"/>
  <c r="C50" i="11"/>
  <c r="U49" i="11"/>
  <c r="O49" i="11"/>
  <c r="I49" i="11"/>
  <c r="C49" i="11"/>
  <c r="U48" i="11"/>
  <c r="O48" i="11"/>
  <c r="I48" i="11"/>
  <c r="C48" i="11"/>
  <c r="U47" i="11"/>
  <c r="O47" i="11"/>
  <c r="I47" i="11"/>
  <c r="C47" i="11"/>
  <c r="U46" i="11"/>
  <c r="O46" i="11"/>
  <c r="I46" i="11"/>
  <c r="C46" i="11"/>
  <c r="U45" i="11"/>
  <c r="O45" i="11"/>
  <c r="I45" i="11"/>
  <c r="C45" i="11"/>
  <c r="U44" i="11"/>
  <c r="O44" i="11"/>
  <c r="I44" i="11"/>
  <c r="C44" i="11"/>
  <c r="U43" i="11"/>
  <c r="O43" i="11"/>
  <c r="I43" i="11"/>
  <c r="C43" i="11"/>
  <c r="U42" i="11"/>
  <c r="O42" i="11"/>
  <c r="I42" i="11"/>
  <c r="C42" i="11"/>
  <c r="U41" i="11"/>
  <c r="O41" i="11"/>
  <c r="I41" i="11"/>
  <c r="C41" i="11"/>
  <c r="U40" i="11"/>
  <c r="O40" i="11"/>
  <c r="I40" i="11"/>
  <c r="C40" i="11"/>
  <c r="U39" i="11"/>
  <c r="O39" i="11"/>
  <c r="I39" i="11"/>
  <c r="C39" i="11"/>
  <c r="U38" i="11"/>
  <c r="O38" i="11"/>
  <c r="I38" i="11"/>
  <c r="C38" i="11"/>
  <c r="U37" i="11"/>
  <c r="O37" i="11"/>
  <c r="I37" i="11"/>
  <c r="C37" i="11"/>
  <c r="U36" i="11"/>
  <c r="O36" i="11"/>
  <c r="I36" i="11"/>
  <c r="C36" i="11"/>
  <c r="U35" i="11"/>
  <c r="O35" i="11"/>
  <c r="I35" i="11"/>
  <c r="C35" i="11"/>
  <c r="AD34" i="11"/>
  <c r="AC34" i="11"/>
  <c r="F7" i="11" s="1"/>
  <c r="AB34" i="11"/>
  <c r="E7" i="11" s="1"/>
  <c r="Z34" i="11"/>
  <c r="C7" i="11" s="1"/>
  <c r="U34" i="11"/>
  <c r="O34" i="11"/>
  <c r="I34" i="11"/>
  <c r="C34" i="11"/>
  <c r="AA33" i="11"/>
  <c r="U33" i="11"/>
  <c r="O33" i="11"/>
  <c r="I33" i="11"/>
  <c r="C33" i="11"/>
  <c r="AA32" i="11"/>
  <c r="U32" i="11"/>
  <c r="O32" i="11"/>
  <c r="I32" i="11"/>
  <c r="C32" i="11"/>
  <c r="AA31" i="11"/>
  <c r="V59" i="11"/>
  <c r="E8" i="11" s="1"/>
  <c r="O31" i="11"/>
  <c r="I31" i="11"/>
  <c r="C31" i="11"/>
  <c r="AA30" i="11"/>
  <c r="O30" i="11"/>
  <c r="I30" i="11"/>
  <c r="C30" i="11"/>
  <c r="AA29" i="11"/>
  <c r="O29" i="11"/>
  <c r="I29" i="11"/>
  <c r="C29" i="11"/>
  <c r="AA28" i="11"/>
  <c r="X28" i="11"/>
  <c r="W28" i="11"/>
  <c r="F6" i="11" s="1"/>
  <c r="V28" i="11"/>
  <c r="T28" i="11"/>
  <c r="O28" i="11"/>
  <c r="I28" i="11"/>
  <c r="C28" i="11"/>
  <c r="AA27" i="11"/>
  <c r="U27" i="11"/>
  <c r="O27" i="11"/>
  <c r="I27" i="11"/>
  <c r="C27" i="11"/>
  <c r="AA26" i="11"/>
  <c r="U26" i="11"/>
  <c r="O26" i="11"/>
  <c r="I26" i="11"/>
  <c r="C26" i="11"/>
  <c r="AA25" i="11"/>
  <c r="U25" i="11"/>
  <c r="O25" i="11"/>
  <c r="I25" i="11"/>
  <c r="C25" i="11"/>
  <c r="AA24" i="11"/>
  <c r="U24" i="11"/>
  <c r="O24" i="11"/>
  <c r="I24" i="11"/>
  <c r="C24" i="11"/>
  <c r="AA23" i="11"/>
  <c r="U23" i="11"/>
  <c r="O23" i="11"/>
  <c r="I23" i="11"/>
  <c r="C23" i="11"/>
  <c r="AA22" i="11"/>
  <c r="U22" i="11"/>
  <c r="O22" i="11"/>
  <c r="I22" i="11"/>
  <c r="C22" i="11"/>
  <c r="AA21" i="11"/>
  <c r="U21" i="11"/>
  <c r="O21" i="11"/>
  <c r="I21" i="11"/>
  <c r="C21" i="11"/>
  <c r="AA20" i="11"/>
  <c r="U20" i="11"/>
  <c r="O20" i="11"/>
  <c r="I20" i="11"/>
  <c r="C20" i="11"/>
  <c r="AA19" i="11"/>
  <c r="U19" i="11"/>
  <c r="O19" i="11"/>
  <c r="I19" i="11"/>
  <c r="C19" i="11"/>
  <c r="AA18" i="11"/>
  <c r="U18" i="11"/>
  <c r="O18" i="11"/>
  <c r="I18" i="11"/>
  <c r="C18" i="11"/>
  <c r="AA17" i="11"/>
  <c r="U17" i="11"/>
  <c r="O17" i="11"/>
  <c r="I17" i="11"/>
  <c r="C17" i="11"/>
  <c r="AA16" i="11"/>
  <c r="U16" i="11"/>
  <c r="I16" i="11"/>
  <c r="C16" i="11"/>
  <c r="AA15" i="11"/>
  <c r="U15" i="11"/>
  <c r="O15" i="11"/>
  <c r="I15" i="11"/>
  <c r="C15" i="11"/>
  <c r="AA14" i="11"/>
  <c r="U14" i="11"/>
  <c r="O14" i="11"/>
  <c r="I14" i="11"/>
  <c r="C14" i="11"/>
  <c r="AA13" i="11"/>
  <c r="U13" i="11"/>
  <c r="U28" i="11" s="1"/>
  <c r="D6" i="11" s="1"/>
  <c r="O13" i="11"/>
  <c r="K50" i="11"/>
  <c r="F4" i="11" s="1"/>
  <c r="I13" i="11"/>
  <c r="I50" i="11" s="1"/>
  <c r="D4" i="11" s="1"/>
  <c r="C13" i="11"/>
  <c r="C58" i="11" s="1"/>
  <c r="D3" i="11" s="1"/>
  <c r="G7" i="11"/>
  <c r="G6" i="11"/>
  <c r="E6" i="11"/>
  <c r="C6" i="11"/>
  <c r="F5" i="11"/>
  <c r="E4" i="11"/>
  <c r="G3" i="11"/>
  <c r="F3" i="11"/>
  <c r="E3" i="11"/>
  <c r="K13" i="10"/>
  <c r="J55" i="10"/>
  <c r="H91" i="10"/>
  <c r="C9" i="10" s="1"/>
  <c r="L91" i="10"/>
  <c r="G9" i="10" s="1"/>
  <c r="K91" i="10"/>
  <c r="F9" i="10" s="1"/>
  <c r="J91" i="10"/>
  <c r="E9" i="10" s="1"/>
  <c r="I91" i="10"/>
  <c r="D9" i="10" s="1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4" i="10"/>
  <c r="O132" i="11" l="1"/>
  <c r="D5" i="11" s="1"/>
  <c r="AA34" i="11"/>
  <c r="D7" i="11" s="1"/>
  <c r="U59" i="11"/>
  <c r="D8" i="11" s="1"/>
  <c r="V31" i="10"/>
  <c r="V59" i="10"/>
  <c r="E8" i="10" s="1"/>
  <c r="R132" i="10"/>
  <c r="Q132" i="10"/>
  <c r="F5" i="10" s="1"/>
  <c r="P132" i="10"/>
  <c r="N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X59" i="10"/>
  <c r="G8" i="10" s="1"/>
  <c r="W59" i="10"/>
  <c r="F8" i="10" s="1"/>
  <c r="T59" i="10"/>
  <c r="C8" i="10" s="1"/>
  <c r="O59" i="10"/>
  <c r="U58" i="10"/>
  <c r="O58" i="10"/>
  <c r="F58" i="10"/>
  <c r="G3" i="10" s="1"/>
  <c r="E58" i="10"/>
  <c r="F3" i="10" s="1"/>
  <c r="D58" i="10"/>
  <c r="B58" i="10"/>
  <c r="C3" i="10" s="1"/>
  <c r="U57" i="10"/>
  <c r="O57" i="10"/>
  <c r="C57" i="10"/>
  <c r="U56" i="10"/>
  <c r="O56" i="10"/>
  <c r="C56" i="10"/>
  <c r="U55" i="10"/>
  <c r="O55" i="10"/>
  <c r="C55" i="10"/>
  <c r="U54" i="10"/>
  <c r="O54" i="10"/>
  <c r="C54" i="10"/>
  <c r="U53" i="10"/>
  <c r="O53" i="10"/>
  <c r="C53" i="10"/>
  <c r="U52" i="10"/>
  <c r="O52" i="10"/>
  <c r="C52" i="10"/>
  <c r="U51" i="10"/>
  <c r="O51" i="10"/>
  <c r="C51" i="10"/>
  <c r="U50" i="10"/>
  <c r="O50" i="10"/>
  <c r="L50" i="10"/>
  <c r="G4" i="10" s="1"/>
  <c r="K50" i="10"/>
  <c r="F4" i="10" s="1"/>
  <c r="J50" i="10"/>
  <c r="H50" i="10"/>
  <c r="C4" i="10" s="1"/>
  <c r="C50" i="10"/>
  <c r="U49" i="10"/>
  <c r="O49" i="10"/>
  <c r="I49" i="10"/>
  <c r="C49" i="10"/>
  <c r="U48" i="10"/>
  <c r="O48" i="10"/>
  <c r="I48" i="10"/>
  <c r="C48" i="10"/>
  <c r="U47" i="10"/>
  <c r="O47" i="10"/>
  <c r="I47" i="10"/>
  <c r="C47" i="10"/>
  <c r="U46" i="10"/>
  <c r="O46" i="10"/>
  <c r="I46" i="10"/>
  <c r="C46" i="10"/>
  <c r="U45" i="10"/>
  <c r="O45" i="10"/>
  <c r="I45" i="10"/>
  <c r="C45" i="10"/>
  <c r="U44" i="10"/>
  <c r="O44" i="10"/>
  <c r="I44" i="10"/>
  <c r="C44" i="10"/>
  <c r="U43" i="10"/>
  <c r="O43" i="10"/>
  <c r="I43" i="10"/>
  <c r="C43" i="10"/>
  <c r="U42" i="10"/>
  <c r="O42" i="10"/>
  <c r="I42" i="10"/>
  <c r="C42" i="10"/>
  <c r="U41" i="10"/>
  <c r="O41" i="10"/>
  <c r="I41" i="10"/>
  <c r="C41" i="10"/>
  <c r="U40" i="10"/>
  <c r="O40" i="10"/>
  <c r="I40" i="10"/>
  <c r="C40" i="10"/>
  <c r="U39" i="10"/>
  <c r="O39" i="10"/>
  <c r="I39" i="10"/>
  <c r="C39" i="10"/>
  <c r="U38" i="10"/>
  <c r="O38" i="10"/>
  <c r="I38" i="10"/>
  <c r="C38" i="10"/>
  <c r="U37" i="10"/>
  <c r="O37" i="10"/>
  <c r="I37" i="10"/>
  <c r="C37" i="10"/>
  <c r="U36" i="10"/>
  <c r="O36" i="10"/>
  <c r="I36" i="10"/>
  <c r="C36" i="10"/>
  <c r="U35" i="10"/>
  <c r="O35" i="10"/>
  <c r="I35" i="10"/>
  <c r="C35" i="10"/>
  <c r="AD34" i="10"/>
  <c r="AC34" i="10"/>
  <c r="F7" i="10" s="1"/>
  <c r="AB34" i="10"/>
  <c r="Z34" i="10"/>
  <c r="U34" i="10"/>
  <c r="O34" i="10"/>
  <c r="I34" i="10"/>
  <c r="C34" i="10"/>
  <c r="AA33" i="10"/>
  <c r="U33" i="10"/>
  <c r="O33" i="10"/>
  <c r="I33" i="10"/>
  <c r="C33" i="10"/>
  <c r="AA32" i="10"/>
  <c r="U32" i="10"/>
  <c r="O32" i="10"/>
  <c r="I32" i="10"/>
  <c r="C32" i="10"/>
  <c r="AA31" i="10"/>
  <c r="O31" i="10"/>
  <c r="I31" i="10"/>
  <c r="C31" i="10"/>
  <c r="AA30" i="10"/>
  <c r="O30" i="10"/>
  <c r="I30" i="10"/>
  <c r="C30" i="10"/>
  <c r="AA29" i="10"/>
  <c r="O29" i="10"/>
  <c r="I29" i="10"/>
  <c r="C29" i="10"/>
  <c r="AA28" i="10"/>
  <c r="X28" i="10"/>
  <c r="G6" i="10" s="1"/>
  <c r="W28" i="10"/>
  <c r="F6" i="10" s="1"/>
  <c r="V28" i="10"/>
  <c r="E6" i="10" s="1"/>
  <c r="T28" i="10"/>
  <c r="C6" i="10" s="1"/>
  <c r="O28" i="10"/>
  <c r="I28" i="10"/>
  <c r="C28" i="10"/>
  <c r="AA27" i="10"/>
  <c r="U27" i="10"/>
  <c r="O27" i="10"/>
  <c r="I27" i="10"/>
  <c r="C27" i="10"/>
  <c r="AA26" i="10"/>
  <c r="U26" i="10"/>
  <c r="O26" i="10"/>
  <c r="I26" i="10"/>
  <c r="C26" i="10"/>
  <c r="AA25" i="10"/>
  <c r="U25" i="10"/>
  <c r="O25" i="10"/>
  <c r="I25" i="10"/>
  <c r="C25" i="10"/>
  <c r="AA24" i="10"/>
  <c r="U24" i="10"/>
  <c r="O24" i="10"/>
  <c r="I24" i="10"/>
  <c r="C24" i="10"/>
  <c r="AA23" i="10"/>
  <c r="U23" i="10"/>
  <c r="O23" i="10"/>
  <c r="I23" i="10"/>
  <c r="C23" i="10"/>
  <c r="AA22" i="10"/>
  <c r="U22" i="10"/>
  <c r="O22" i="10"/>
  <c r="I22" i="10"/>
  <c r="C22" i="10"/>
  <c r="AA21" i="10"/>
  <c r="U21" i="10"/>
  <c r="O21" i="10"/>
  <c r="I21" i="10"/>
  <c r="C21" i="10"/>
  <c r="AA20" i="10"/>
  <c r="U20" i="10"/>
  <c r="O20" i="10"/>
  <c r="I20" i="10"/>
  <c r="C20" i="10"/>
  <c r="AA19" i="10"/>
  <c r="U19" i="10"/>
  <c r="O19" i="10"/>
  <c r="I19" i="10"/>
  <c r="C19" i="10"/>
  <c r="AA18" i="10"/>
  <c r="U18" i="10"/>
  <c r="O18" i="10"/>
  <c r="I18" i="10"/>
  <c r="C18" i="10"/>
  <c r="AA17" i="10"/>
  <c r="U17" i="10"/>
  <c r="O17" i="10"/>
  <c r="I17" i="10"/>
  <c r="C17" i="10"/>
  <c r="AA16" i="10"/>
  <c r="U16" i="10"/>
  <c r="O16" i="10"/>
  <c r="I16" i="10"/>
  <c r="C16" i="10"/>
  <c r="AA15" i="10"/>
  <c r="U15" i="10"/>
  <c r="O15" i="10"/>
  <c r="I15" i="10"/>
  <c r="C15" i="10"/>
  <c r="AA14" i="10"/>
  <c r="U14" i="10"/>
  <c r="O14" i="10"/>
  <c r="I14" i="10"/>
  <c r="C14" i="10"/>
  <c r="AA13" i="10"/>
  <c r="U13" i="10"/>
  <c r="O13" i="10"/>
  <c r="O132" i="10" s="1"/>
  <c r="D5" i="10" s="1"/>
  <c r="I13" i="10"/>
  <c r="C13" i="10"/>
  <c r="G7" i="10"/>
  <c r="E7" i="10"/>
  <c r="C7" i="10"/>
  <c r="G5" i="10"/>
  <c r="E5" i="10"/>
  <c r="C5" i="10"/>
  <c r="E4" i="10"/>
  <c r="E3" i="10"/>
  <c r="C23" i="9"/>
  <c r="E11" i="9"/>
  <c r="H11" i="9"/>
  <c r="B10" i="9"/>
  <c r="B9" i="9"/>
  <c r="B8" i="9"/>
  <c r="B7" i="9"/>
  <c r="B6" i="9"/>
  <c r="B5" i="9"/>
  <c r="B4" i="9"/>
  <c r="B3" i="9"/>
  <c r="I55" i="9"/>
  <c r="AD123" i="9"/>
  <c r="AD121" i="9"/>
  <c r="AD118" i="9"/>
  <c r="AD116" i="9"/>
  <c r="AD114" i="9"/>
  <c r="AD111" i="9"/>
  <c r="AD108" i="9"/>
  <c r="AD106" i="9"/>
  <c r="AD103" i="9"/>
  <c r="AD101" i="9"/>
  <c r="AD99" i="9"/>
  <c r="AD97" i="9"/>
  <c r="AD95" i="9"/>
  <c r="AD93" i="9"/>
  <c r="AD89" i="9"/>
  <c r="AD87" i="9"/>
  <c r="AD85" i="9"/>
  <c r="AD83" i="9"/>
  <c r="AD79" i="9"/>
  <c r="AA79" i="9"/>
  <c r="AD57" i="9"/>
  <c r="C58" i="10" l="1"/>
  <c r="D3" i="10" s="1"/>
  <c r="AA34" i="10"/>
  <c r="D7" i="10" s="1"/>
  <c r="I50" i="10"/>
  <c r="D4" i="10" s="1"/>
  <c r="U28" i="10"/>
  <c r="D6" i="10" s="1"/>
  <c r="U59" i="10"/>
  <c r="D8" i="10" s="1"/>
  <c r="AD55" i="9"/>
  <c r="AD52" i="9"/>
  <c r="AD47" i="9"/>
  <c r="AD43" i="9"/>
  <c r="AD41" i="9"/>
  <c r="AD39" i="9"/>
  <c r="AD37" i="9"/>
  <c r="AD31" i="9"/>
  <c r="AD29" i="9"/>
  <c r="AD23" i="9"/>
  <c r="AD21" i="9"/>
  <c r="AD17" i="9"/>
  <c r="N134" i="9"/>
  <c r="C5" i="9" s="1"/>
  <c r="O83" i="9"/>
  <c r="O87" i="9"/>
  <c r="O89" i="9"/>
  <c r="O91" i="9"/>
  <c r="O93" i="9"/>
  <c r="O95" i="9"/>
  <c r="O97" i="9"/>
  <c r="O99" i="9"/>
  <c r="O133" i="9"/>
  <c r="O16" i="9"/>
  <c r="AC168" i="9"/>
  <c r="F7" i="9" s="1"/>
  <c r="AB168" i="9"/>
  <c r="E7" i="9" s="1"/>
  <c r="Z168" i="9"/>
  <c r="C7" i="9" s="1"/>
  <c r="AA167" i="9"/>
  <c r="AA166" i="9"/>
  <c r="AA165" i="9"/>
  <c r="AA164" i="9"/>
  <c r="AA163" i="9"/>
  <c r="AA162" i="9"/>
  <c r="AA161" i="9"/>
  <c r="AA160" i="9"/>
  <c r="AA159" i="9"/>
  <c r="AA158" i="9"/>
  <c r="AA157" i="9"/>
  <c r="AA156" i="9"/>
  <c r="AA155" i="9"/>
  <c r="AA154" i="9"/>
  <c r="AA153" i="9"/>
  <c r="AA152" i="9"/>
  <c r="AJ25" i="9"/>
  <c r="G9" i="9" s="1"/>
  <c r="AI25" i="9"/>
  <c r="F9" i="9" s="1"/>
  <c r="AH25" i="9"/>
  <c r="E9" i="9" s="1"/>
  <c r="AF25" i="9"/>
  <c r="C9" i="9" s="1"/>
  <c r="AA151" i="9"/>
  <c r="AA150" i="9"/>
  <c r="AA149" i="9"/>
  <c r="AA148" i="9"/>
  <c r="AA147" i="9"/>
  <c r="AA146" i="9"/>
  <c r="AA145" i="9"/>
  <c r="AA144" i="9"/>
  <c r="AA143" i="9"/>
  <c r="AA142" i="9"/>
  <c r="AA141" i="9"/>
  <c r="AA140" i="9"/>
  <c r="AA139" i="9"/>
  <c r="AA138" i="9"/>
  <c r="AA137" i="9"/>
  <c r="AA136" i="9"/>
  <c r="AA135" i="9"/>
  <c r="AA134" i="9"/>
  <c r="R134" i="9"/>
  <c r="G5" i="9" s="1"/>
  <c r="Q134" i="9"/>
  <c r="F5" i="9" s="1"/>
  <c r="P134" i="9"/>
  <c r="E5" i="9" s="1"/>
  <c r="AA133" i="9"/>
  <c r="AA132" i="9"/>
  <c r="AA131" i="9"/>
  <c r="AA130" i="9"/>
  <c r="AA129" i="9"/>
  <c r="AA128" i="9"/>
  <c r="AA127" i="9"/>
  <c r="AA126" i="9"/>
  <c r="AA125" i="9"/>
  <c r="AA124" i="9"/>
  <c r="AA123" i="9"/>
  <c r="AA122" i="9"/>
  <c r="AA121" i="9"/>
  <c r="O121" i="9"/>
  <c r="AA120" i="9"/>
  <c r="O120" i="9"/>
  <c r="AA119" i="9"/>
  <c r="O119" i="9"/>
  <c r="AA118" i="9"/>
  <c r="O118" i="9"/>
  <c r="AA117" i="9"/>
  <c r="O117" i="9"/>
  <c r="AA116" i="9"/>
  <c r="O116" i="9"/>
  <c r="AA115" i="9"/>
  <c r="O115" i="9"/>
  <c r="AA114" i="9"/>
  <c r="O114" i="9"/>
  <c r="AA113" i="9"/>
  <c r="O113" i="9"/>
  <c r="AA112" i="9"/>
  <c r="O112" i="9"/>
  <c r="AA111" i="9"/>
  <c r="O111" i="9"/>
  <c r="AA110" i="9"/>
  <c r="O110" i="9"/>
  <c r="AA109" i="9"/>
  <c r="O109" i="9"/>
  <c r="AA108" i="9"/>
  <c r="O108" i="9"/>
  <c r="AA107" i="9"/>
  <c r="O107" i="9"/>
  <c r="AA106" i="9"/>
  <c r="O106" i="9"/>
  <c r="AA105" i="9"/>
  <c r="O105" i="9"/>
  <c r="AA104" i="9"/>
  <c r="O104" i="9"/>
  <c r="AA103" i="9"/>
  <c r="O103" i="9"/>
  <c r="AA102" i="9"/>
  <c r="O102" i="9"/>
  <c r="AA101" i="9"/>
  <c r="O101" i="9"/>
  <c r="L101" i="9"/>
  <c r="K101" i="9"/>
  <c r="J101" i="9"/>
  <c r="H101" i="9"/>
  <c r="AA100" i="9"/>
  <c r="O100" i="9"/>
  <c r="I100" i="9"/>
  <c r="AA99" i="9"/>
  <c r="I99" i="9"/>
  <c r="AA98" i="9"/>
  <c r="O98" i="9"/>
  <c r="I98" i="9"/>
  <c r="AA97" i="9"/>
  <c r="I97" i="9"/>
  <c r="AA96" i="9"/>
  <c r="O96" i="9"/>
  <c r="I96" i="9"/>
  <c r="AA95" i="9"/>
  <c r="I95" i="9"/>
  <c r="AA94" i="9"/>
  <c r="O94" i="9"/>
  <c r="I94" i="9"/>
  <c r="AA93" i="9"/>
  <c r="X93" i="9"/>
  <c r="W93" i="9"/>
  <c r="V93" i="9"/>
  <c r="T93" i="9"/>
  <c r="I93" i="9"/>
  <c r="AA92" i="9"/>
  <c r="U92" i="9"/>
  <c r="O92" i="9"/>
  <c r="I92" i="9"/>
  <c r="AA91" i="9"/>
  <c r="U91" i="9"/>
  <c r="I91" i="9"/>
  <c r="AA90" i="9"/>
  <c r="U90" i="9"/>
  <c r="O90" i="9"/>
  <c r="I90" i="9"/>
  <c r="AA89" i="9"/>
  <c r="U89" i="9"/>
  <c r="I89" i="9"/>
  <c r="AA88" i="9"/>
  <c r="U88" i="9"/>
  <c r="O88" i="9"/>
  <c r="I88" i="9"/>
  <c r="AA87" i="9"/>
  <c r="U87" i="9"/>
  <c r="I87" i="9"/>
  <c r="AA86" i="9"/>
  <c r="U86" i="9"/>
  <c r="O86" i="9"/>
  <c r="I86" i="9"/>
  <c r="AA85" i="9"/>
  <c r="U85" i="9"/>
  <c r="O85" i="9"/>
  <c r="I85" i="9"/>
  <c r="AA84" i="9"/>
  <c r="U84" i="9"/>
  <c r="O84" i="9"/>
  <c r="I84" i="9"/>
  <c r="AA83" i="9"/>
  <c r="U83" i="9"/>
  <c r="I83" i="9"/>
  <c r="AA82" i="9"/>
  <c r="U82" i="9"/>
  <c r="O82" i="9"/>
  <c r="I82" i="9"/>
  <c r="AA81" i="9"/>
  <c r="U81" i="9"/>
  <c r="O81" i="9"/>
  <c r="I81" i="9"/>
  <c r="AA80" i="9"/>
  <c r="U80" i="9"/>
  <c r="O80" i="9"/>
  <c r="I80" i="9"/>
  <c r="U79" i="9"/>
  <c r="O79" i="9"/>
  <c r="I79" i="9"/>
  <c r="AA78" i="9"/>
  <c r="U78" i="9"/>
  <c r="O78" i="9"/>
  <c r="I78" i="9"/>
  <c r="AA77" i="9"/>
  <c r="U77" i="9"/>
  <c r="O77" i="9"/>
  <c r="I77" i="9"/>
  <c r="AA76" i="9"/>
  <c r="U76" i="9"/>
  <c r="O76" i="9"/>
  <c r="I76" i="9"/>
  <c r="AA75" i="9"/>
  <c r="U75" i="9"/>
  <c r="O75" i="9"/>
  <c r="I75" i="9"/>
  <c r="AA74" i="9"/>
  <c r="U74" i="9"/>
  <c r="O74" i="9"/>
  <c r="I74" i="9"/>
  <c r="AA73" i="9"/>
  <c r="U73" i="9"/>
  <c r="O73" i="9"/>
  <c r="I73" i="9"/>
  <c r="AA72" i="9"/>
  <c r="U72" i="9"/>
  <c r="O72" i="9"/>
  <c r="I72" i="9"/>
  <c r="AA71" i="9"/>
  <c r="U71" i="9"/>
  <c r="O71" i="9"/>
  <c r="I71" i="9"/>
  <c r="AA70" i="9"/>
  <c r="U70" i="9"/>
  <c r="O70" i="9"/>
  <c r="I70" i="9"/>
  <c r="AA69" i="9"/>
  <c r="U69" i="9"/>
  <c r="O69" i="9"/>
  <c r="I69" i="9"/>
  <c r="AA68" i="9"/>
  <c r="U68" i="9"/>
  <c r="O68" i="9"/>
  <c r="I68" i="9"/>
  <c r="AA67" i="9"/>
  <c r="U67" i="9"/>
  <c r="O67" i="9"/>
  <c r="I67" i="9"/>
  <c r="AA66" i="9"/>
  <c r="U66" i="9"/>
  <c r="O66" i="9"/>
  <c r="I66" i="9"/>
  <c r="AA65" i="9"/>
  <c r="U65" i="9"/>
  <c r="O65" i="9"/>
  <c r="I65" i="9"/>
  <c r="AA64" i="9"/>
  <c r="O64" i="9"/>
  <c r="I64" i="9"/>
  <c r="AA63" i="9"/>
  <c r="O63" i="9"/>
  <c r="I63" i="9"/>
  <c r="AA62" i="9"/>
  <c r="O62" i="9"/>
  <c r="I62" i="9"/>
  <c r="AA61" i="9"/>
  <c r="X61" i="9"/>
  <c r="G8" i="9" s="1"/>
  <c r="W61" i="9"/>
  <c r="F8" i="9" s="1"/>
  <c r="V61" i="9"/>
  <c r="E8" i="9" s="1"/>
  <c r="T61" i="9"/>
  <c r="C8" i="9" s="1"/>
  <c r="O61" i="9"/>
  <c r="I61" i="9"/>
  <c r="AA60" i="9"/>
  <c r="U60" i="9"/>
  <c r="O60" i="9"/>
  <c r="I60" i="9"/>
  <c r="F60" i="9"/>
  <c r="G3" i="9" s="1"/>
  <c r="E60" i="9"/>
  <c r="F3" i="9" s="1"/>
  <c r="F11" i="9" s="1"/>
  <c r="D60" i="9"/>
  <c r="E3" i="9" s="1"/>
  <c r="B60" i="9"/>
  <c r="C3" i="9" s="1"/>
  <c r="C11" i="9" s="1"/>
  <c r="AA59" i="9"/>
  <c r="U59" i="9"/>
  <c r="O59" i="9"/>
  <c r="I59" i="9"/>
  <c r="C59" i="9"/>
  <c r="AA58" i="9"/>
  <c r="U58" i="9"/>
  <c r="O58" i="9"/>
  <c r="I58" i="9"/>
  <c r="C58" i="9"/>
  <c r="AA57" i="9"/>
  <c r="U57" i="9"/>
  <c r="O57" i="9"/>
  <c r="I57" i="9"/>
  <c r="C57" i="9"/>
  <c r="AA56" i="9"/>
  <c r="U56" i="9"/>
  <c r="O56" i="9"/>
  <c r="I56" i="9"/>
  <c r="C56" i="9"/>
  <c r="AA55" i="9"/>
  <c r="U55" i="9"/>
  <c r="O55" i="9"/>
  <c r="C55" i="9"/>
  <c r="AA54" i="9"/>
  <c r="U54" i="9"/>
  <c r="O54" i="9"/>
  <c r="C54" i="9"/>
  <c r="AA53" i="9"/>
  <c r="U53" i="9"/>
  <c r="O53" i="9"/>
  <c r="C53" i="9"/>
  <c r="AA52" i="9"/>
  <c r="U52" i="9"/>
  <c r="O52" i="9"/>
  <c r="L52" i="9"/>
  <c r="G4" i="9" s="1"/>
  <c r="K52" i="9"/>
  <c r="F4" i="9" s="1"/>
  <c r="J52" i="9"/>
  <c r="E4" i="9" s="1"/>
  <c r="H52" i="9"/>
  <c r="C4" i="9" s="1"/>
  <c r="C52" i="9"/>
  <c r="AA51" i="9"/>
  <c r="U51" i="9"/>
  <c r="O51" i="9"/>
  <c r="I51" i="9"/>
  <c r="C51" i="9"/>
  <c r="AA50" i="9"/>
  <c r="U50" i="9"/>
  <c r="O50" i="9"/>
  <c r="I50" i="9"/>
  <c r="C50" i="9"/>
  <c r="AA49" i="9"/>
  <c r="U49" i="9"/>
  <c r="O49" i="9"/>
  <c r="I49" i="9"/>
  <c r="C49" i="9"/>
  <c r="AA48" i="9"/>
  <c r="U48" i="9"/>
  <c r="O48" i="9"/>
  <c r="I48" i="9"/>
  <c r="C48" i="9"/>
  <c r="AA47" i="9"/>
  <c r="U47" i="9"/>
  <c r="O47" i="9"/>
  <c r="I47" i="9"/>
  <c r="C47" i="9"/>
  <c r="AA46" i="9"/>
  <c r="U46" i="9"/>
  <c r="O46" i="9"/>
  <c r="I46" i="9"/>
  <c r="C46" i="9"/>
  <c r="AA45" i="9"/>
  <c r="U45" i="9"/>
  <c r="O45" i="9"/>
  <c r="I45" i="9"/>
  <c r="C45" i="9"/>
  <c r="AA44" i="9"/>
  <c r="U44" i="9"/>
  <c r="O44" i="9"/>
  <c r="I44" i="9"/>
  <c r="C44" i="9"/>
  <c r="AA43" i="9"/>
  <c r="U43" i="9"/>
  <c r="O43" i="9"/>
  <c r="I43" i="9"/>
  <c r="C43" i="9"/>
  <c r="AA42" i="9"/>
  <c r="U42" i="9"/>
  <c r="O42" i="9"/>
  <c r="I42" i="9"/>
  <c r="C42" i="9"/>
  <c r="AA41" i="9"/>
  <c r="U41" i="9"/>
  <c r="O41" i="9"/>
  <c r="I41" i="9"/>
  <c r="C41" i="9"/>
  <c r="AA40" i="9"/>
  <c r="U40" i="9"/>
  <c r="O40" i="9"/>
  <c r="I40" i="9"/>
  <c r="C40" i="9"/>
  <c r="AA39" i="9"/>
  <c r="U39" i="9"/>
  <c r="O39" i="9"/>
  <c r="I39" i="9"/>
  <c r="C39" i="9"/>
  <c r="AA38" i="9"/>
  <c r="U38" i="9"/>
  <c r="O38" i="9"/>
  <c r="I38" i="9"/>
  <c r="C38" i="9"/>
  <c r="AA37" i="9"/>
  <c r="U37" i="9"/>
  <c r="O37" i="9"/>
  <c r="I37" i="9"/>
  <c r="C37" i="9"/>
  <c r="AA36" i="9"/>
  <c r="U36" i="9"/>
  <c r="O36" i="9"/>
  <c r="I36" i="9"/>
  <c r="C36" i="9"/>
  <c r="AA35" i="9"/>
  <c r="U35" i="9"/>
  <c r="O35" i="9"/>
  <c r="I35" i="9"/>
  <c r="C35" i="9"/>
  <c r="AA34" i="9"/>
  <c r="U34" i="9"/>
  <c r="O34" i="9"/>
  <c r="I34" i="9"/>
  <c r="C34" i="9"/>
  <c r="AA33" i="9"/>
  <c r="U33" i="9"/>
  <c r="O33" i="9"/>
  <c r="I33" i="9"/>
  <c r="C33" i="9"/>
  <c r="AA32" i="9"/>
  <c r="O32" i="9"/>
  <c r="I32" i="9"/>
  <c r="C32" i="9"/>
  <c r="AA31" i="9"/>
  <c r="O31" i="9"/>
  <c r="I31" i="9"/>
  <c r="C31" i="9"/>
  <c r="AO30" i="9"/>
  <c r="AN30" i="9"/>
  <c r="AM30" i="9"/>
  <c r="E10" i="9" s="1"/>
  <c r="AK30" i="9"/>
  <c r="C10" i="9" s="1"/>
  <c r="AA30" i="9"/>
  <c r="X30" i="9"/>
  <c r="G6" i="9" s="1"/>
  <c r="W30" i="9"/>
  <c r="F6" i="9" s="1"/>
  <c r="V30" i="9"/>
  <c r="E6" i="9" s="1"/>
  <c r="T30" i="9"/>
  <c r="C6" i="9" s="1"/>
  <c r="O30" i="9"/>
  <c r="I30" i="9"/>
  <c r="C30" i="9"/>
  <c r="AL29" i="9"/>
  <c r="AA29" i="9"/>
  <c r="U29" i="9"/>
  <c r="O29" i="9"/>
  <c r="I29" i="9"/>
  <c r="C29" i="9"/>
  <c r="AL28" i="9"/>
  <c r="AA28" i="9"/>
  <c r="U28" i="9"/>
  <c r="O28" i="9"/>
  <c r="I28" i="9"/>
  <c r="C28" i="9"/>
  <c r="AL27" i="9"/>
  <c r="AA27" i="9"/>
  <c r="U27" i="9"/>
  <c r="O27" i="9"/>
  <c r="I27" i="9"/>
  <c r="C27" i="9"/>
  <c r="AL26" i="9"/>
  <c r="AA26" i="9"/>
  <c r="U26" i="9"/>
  <c r="O26" i="9"/>
  <c r="I26" i="9"/>
  <c r="C26" i="9"/>
  <c r="AL25" i="9"/>
  <c r="AA25" i="9"/>
  <c r="U25" i="9"/>
  <c r="O25" i="9"/>
  <c r="I25" i="9"/>
  <c r="C25" i="9"/>
  <c r="AL24" i="9"/>
  <c r="AG24" i="9"/>
  <c r="AA24" i="9"/>
  <c r="U24" i="9"/>
  <c r="O24" i="9"/>
  <c r="I24" i="9"/>
  <c r="C24" i="9"/>
  <c r="AL23" i="9"/>
  <c r="AG23" i="9"/>
  <c r="AA23" i="9"/>
  <c r="U23" i="9"/>
  <c r="O23" i="9"/>
  <c r="I23" i="9"/>
  <c r="AL22" i="9"/>
  <c r="AG22" i="9"/>
  <c r="AA22" i="9"/>
  <c r="U22" i="9"/>
  <c r="O22" i="9"/>
  <c r="I22" i="9"/>
  <c r="C22" i="9"/>
  <c r="AL21" i="9"/>
  <c r="AG21" i="9"/>
  <c r="AA21" i="9"/>
  <c r="U21" i="9"/>
  <c r="O21" i="9"/>
  <c r="I21" i="9"/>
  <c r="C21" i="9"/>
  <c r="AL20" i="9"/>
  <c r="AG20" i="9"/>
  <c r="AA20" i="9"/>
  <c r="U20" i="9"/>
  <c r="O20" i="9"/>
  <c r="I20" i="9"/>
  <c r="C20" i="9"/>
  <c r="AL19" i="9"/>
  <c r="AG19" i="9"/>
  <c r="AA19" i="9"/>
  <c r="U19" i="9"/>
  <c r="O19" i="9"/>
  <c r="I19" i="9"/>
  <c r="C19" i="9"/>
  <c r="AL18" i="9"/>
  <c r="AG18" i="9"/>
  <c r="AA18" i="9"/>
  <c r="U18" i="9"/>
  <c r="O18" i="9"/>
  <c r="I18" i="9"/>
  <c r="C18" i="9"/>
  <c r="AL17" i="9"/>
  <c r="AG17" i="9"/>
  <c r="AA17" i="9"/>
  <c r="U17" i="9"/>
  <c r="O17" i="9"/>
  <c r="I17" i="9"/>
  <c r="C17" i="9"/>
  <c r="AL16" i="9"/>
  <c r="AG16" i="9"/>
  <c r="AA16" i="9"/>
  <c r="U16" i="9"/>
  <c r="I16" i="9"/>
  <c r="C16" i="9"/>
  <c r="AL15" i="9"/>
  <c r="AG15" i="9"/>
  <c r="AA15" i="9"/>
  <c r="U15" i="9"/>
  <c r="O15" i="9"/>
  <c r="I15" i="9"/>
  <c r="C15" i="9"/>
  <c r="AD168" i="9" l="1"/>
  <c r="G7" i="9" s="1"/>
  <c r="I101" i="9"/>
  <c r="AL30" i="9"/>
  <c r="D10" i="9" s="1"/>
  <c r="U93" i="9"/>
  <c r="U61" i="9"/>
  <c r="D8" i="9" s="1"/>
  <c r="AG25" i="9"/>
  <c r="D9" i="9" s="1"/>
  <c r="AA168" i="9"/>
  <c r="D7" i="9" s="1"/>
  <c r="U30" i="9"/>
  <c r="D6" i="9" s="1"/>
  <c r="O134" i="9"/>
  <c r="D5" i="9" s="1"/>
  <c r="I52" i="9"/>
  <c r="D4" i="9" s="1"/>
  <c r="C60" i="9"/>
  <c r="D3" i="9" s="1"/>
  <c r="D11" i="9" s="1"/>
  <c r="AC165" i="8" l="1"/>
  <c r="AN27" i="8" l="1"/>
  <c r="AM27" i="8"/>
  <c r="AL27" i="8"/>
  <c r="AJ27" i="8"/>
  <c r="AK26" i="8"/>
  <c r="AK25" i="8"/>
  <c r="AK24" i="8"/>
  <c r="AK23" i="8"/>
  <c r="AK22" i="8"/>
  <c r="AK21" i="8"/>
  <c r="AK20" i="8"/>
  <c r="AK19" i="8"/>
  <c r="AK18" i="8"/>
  <c r="AK17" i="8"/>
  <c r="AK16" i="8"/>
  <c r="AK15" i="8"/>
  <c r="AK14" i="8"/>
  <c r="AK13" i="8"/>
  <c r="AK12" i="8"/>
  <c r="X90" i="8"/>
  <c r="W90" i="8"/>
  <c r="V90" i="8"/>
  <c r="T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90" i="8" l="1"/>
  <c r="AK27" i="8"/>
  <c r="AD165" i="8" l="1"/>
  <c r="G7" i="8" s="1"/>
  <c r="F7" i="8"/>
  <c r="AB165" i="8"/>
  <c r="E7" i="8" s="1"/>
  <c r="Z165" i="8"/>
  <c r="C7" i="8" s="1"/>
  <c r="AA164" i="8"/>
  <c r="AA163" i="8"/>
  <c r="AA162" i="8"/>
  <c r="AA161" i="8"/>
  <c r="AA160" i="8"/>
  <c r="AA159" i="8"/>
  <c r="AA158" i="8"/>
  <c r="AA157" i="8"/>
  <c r="AA156" i="8"/>
  <c r="AA155" i="8"/>
  <c r="AA154" i="8"/>
  <c r="AA153" i="8"/>
  <c r="AA152" i="8"/>
  <c r="AA151" i="8"/>
  <c r="AA150" i="8"/>
  <c r="AA149" i="8"/>
  <c r="AI148" i="8"/>
  <c r="AH148" i="8"/>
  <c r="AG148" i="8"/>
  <c r="AE148" i="8"/>
  <c r="AA148" i="8"/>
  <c r="AF147" i="8"/>
  <c r="AA147" i="8"/>
  <c r="AF146" i="8"/>
  <c r="AA146" i="8"/>
  <c r="AF145" i="8"/>
  <c r="AA145" i="8"/>
  <c r="AF144" i="8"/>
  <c r="AA144" i="8"/>
  <c r="AF143" i="8"/>
  <c r="AA143" i="8"/>
  <c r="AF142" i="8"/>
  <c r="AA142" i="8"/>
  <c r="AF141" i="8"/>
  <c r="AA141" i="8"/>
  <c r="AF140" i="8"/>
  <c r="AA140" i="8"/>
  <c r="AF139" i="8"/>
  <c r="AA139" i="8"/>
  <c r="AF138" i="8"/>
  <c r="AA138" i="8"/>
  <c r="AF137" i="8"/>
  <c r="AA137" i="8"/>
  <c r="AF136" i="8"/>
  <c r="AA136" i="8"/>
  <c r="AF135" i="8"/>
  <c r="AA135" i="8"/>
  <c r="AF134" i="8"/>
  <c r="AA134" i="8"/>
  <c r="AF133" i="8"/>
  <c r="AA133" i="8"/>
  <c r="AF132" i="8"/>
  <c r="AA132" i="8"/>
  <c r="AF131" i="8"/>
  <c r="AA131" i="8"/>
  <c r="R131" i="8"/>
  <c r="G5" i="8" s="1"/>
  <c r="Q131" i="8"/>
  <c r="F5" i="8" s="1"/>
  <c r="P131" i="8"/>
  <c r="E5" i="8" s="1"/>
  <c r="N131" i="8"/>
  <c r="C5" i="8" s="1"/>
  <c r="AF130" i="8"/>
  <c r="AA130" i="8"/>
  <c r="O130" i="8"/>
  <c r="AF129" i="8"/>
  <c r="AA129" i="8"/>
  <c r="AF128" i="8"/>
  <c r="AA128" i="8"/>
  <c r="AF127" i="8"/>
  <c r="AA127" i="8"/>
  <c r="AF126" i="8"/>
  <c r="AA126" i="8"/>
  <c r="AF125" i="8"/>
  <c r="AA125" i="8"/>
  <c r="AF124" i="8"/>
  <c r="AA124" i="8"/>
  <c r="AF123" i="8"/>
  <c r="AA123" i="8"/>
  <c r="AF122" i="8"/>
  <c r="AA122" i="8"/>
  <c r="AF121" i="8"/>
  <c r="AA121" i="8"/>
  <c r="AF120" i="8"/>
  <c r="AA120" i="8"/>
  <c r="AF119" i="8"/>
  <c r="AA119" i="8"/>
  <c r="AF118" i="8"/>
  <c r="AA118" i="8"/>
  <c r="O118" i="8"/>
  <c r="AF117" i="8"/>
  <c r="AA117" i="8"/>
  <c r="O117" i="8"/>
  <c r="AF116" i="8"/>
  <c r="AA116" i="8"/>
  <c r="O116" i="8"/>
  <c r="AF115" i="8"/>
  <c r="AA115" i="8"/>
  <c r="O115" i="8"/>
  <c r="AF114" i="8"/>
  <c r="AA114" i="8"/>
  <c r="O114" i="8"/>
  <c r="AF113" i="8"/>
  <c r="AA113" i="8"/>
  <c r="O113" i="8"/>
  <c r="AF112" i="8"/>
  <c r="AA112" i="8"/>
  <c r="O112" i="8"/>
  <c r="AF111" i="8"/>
  <c r="AA111" i="8"/>
  <c r="O111" i="8"/>
  <c r="AF110" i="8"/>
  <c r="AA110" i="8"/>
  <c r="O110" i="8"/>
  <c r="AF109" i="8"/>
  <c r="AA109" i="8"/>
  <c r="O109" i="8"/>
  <c r="AF108" i="8"/>
  <c r="AA108" i="8"/>
  <c r="O108" i="8"/>
  <c r="AF107" i="8"/>
  <c r="AA107" i="8"/>
  <c r="O107" i="8"/>
  <c r="AF106" i="8"/>
  <c r="AA106" i="8"/>
  <c r="O106" i="8"/>
  <c r="AF105" i="8"/>
  <c r="AA105" i="8"/>
  <c r="O105" i="8"/>
  <c r="AF104" i="8"/>
  <c r="AA104" i="8"/>
  <c r="O104" i="8"/>
  <c r="AF103" i="8"/>
  <c r="AA103" i="8"/>
  <c r="O103" i="8"/>
  <c r="AF102" i="8"/>
  <c r="AA102" i="8"/>
  <c r="O102" i="8"/>
  <c r="AF101" i="8"/>
  <c r="AA101" i="8"/>
  <c r="O101" i="8"/>
  <c r="AF100" i="8"/>
  <c r="AA100" i="8"/>
  <c r="O100" i="8"/>
  <c r="AF99" i="8"/>
  <c r="AA99" i="8"/>
  <c r="O99" i="8"/>
  <c r="AF98" i="8"/>
  <c r="AA98" i="8"/>
  <c r="O98" i="8"/>
  <c r="L98" i="8"/>
  <c r="K98" i="8"/>
  <c r="J98" i="8"/>
  <c r="H98" i="8"/>
  <c r="AF97" i="8"/>
  <c r="AA97" i="8"/>
  <c r="O97" i="8"/>
  <c r="I97" i="8"/>
  <c r="AF96" i="8"/>
  <c r="AA96" i="8"/>
  <c r="O96" i="8"/>
  <c r="I96" i="8"/>
  <c r="AF95" i="8"/>
  <c r="AA95" i="8"/>
  <c r="O95" i="8"/>
  <c r="I95" i="8"/>
  <c r="AF94" i="8"/>
  <c r="AA94" i="8"/>
  <c r="O94" i="8"/>
  <c r="I94" i="8"/>
  <c r="AF93" i="8"/>
  <c r="AA93" i="8"/>
  <c r="O93" i="8"/>
  <c r="I93" i="8"/>
  <c r="AF92" i="8"/>
  <c r="AA92" i="8"/>
  <c r="O92" i="8"/>
  <c r="I92" i="8"/>
  <c r="AF91" i="8"/>
  <c r="AA91" i="8"/>
  <c r="O91" i="8"/>
  <c r="I91" i="8"/>
  <c r="AF90" i="8"/>
  <c r="AA90" i="8"/>
  <c r="O90" i="8"/>
  <c r="I90" i="8"/>
  <c r="AF89" i="8"/>
  <c r="AA89" i="8"/>
  <c r="O89" i="8"/>
  <c r="I89" i="8"/>
  <c r="AF88" i="8"/>
  <c r="AA88" i="8"/>
  <c r="O88" i="8"/>
  <c r="I88" i="8"/>
  <c r="AF87" i="8"/>
  <c r="AA87" i="8"/>
  <c r="O87" i="8"/>
  <c r="I87" i="8"/>
  <c r="AF86" i="8"/>
  <c r="AA86" i="8"/>
  <c r="O86" i="8"/>
  <c r="I86" i="8"/>
  <c r="AF85" i="8"/>
  <c r="AA85" i="8"/>
  <c r="O85" i="8"/>
  <c r="I85" i="8"/>
  <c r="AF84" i="8"/>
  <c r="AA84" i="8"/>
  <c r="O84" i="8"/>
  <c r="I84" i="8"/>
  <c r="AF83" i="8"/>
  <c r="AA83" i="8"/>
  <c r="O83" i="8"/>
  <c r="I83" i="8"/>
  <c r="AF82" i="8"/>
  <c r="AA82" i="8"/>
  <c r="O82" i="8"/>
  <c r="I82" i="8"/>
  <c r="AF81" i="8"/>
  <c r="AA81" i="8"/>
  <c r="O81" i="8"/>
  <c r="I81" i="8"/>
  <c r="AF80" i="8"/>
  <c r="AA80" i="8"/>
  <c r="O80" i="8"/>
  <c r="I80" i="8"/>
  <c r="AF79" i="8"/>
  <c r="AA79" i="8"/>
  <c r="O79" i="8"/>
  <c r="I79" i="8"/>
  <c r="AF78" i="8"/>
  <c r="AA78" i="8"/>
  <c r="O78" i="8"/>
  <c r="I78" i="8"/>
  <c r="AF77" i="8"/>
  <c r="AA77" i="8"/>
  <c r="O77" i="8"/>
  <c r="I77" i="8"/>
  <c r="AF76" i="8"/>
  <c r="AA76" i="8"/>
  <c r="O76" i="8"/>
  <c r="I76" i="8"/>
  <c r="AF75" i="8"/>
  <c r="AA75" i="8"/>
  <c r="O75" i="8"/>
  <c r="I75" i="8"/>
  <c r="AF74" i="8"/>
  <c r="AA74" i="8"/>
  <c r="O74" i="8"/>
  <c r="I74" i="8"/>
  <c r="AF73" i="8"/>
  <c r="AA73" i="8"/>
  <c r="O73" i="8"/>
  <c r="I73" i="8"/>
  <c r="AF72" i="8"/>
  <c r="AA72" i="8"/>
  <c r="O72" i="8"/>
  <c r="I72" i="8"/>
  <c r="AF71" i="8"/>
  <c r="AA71" i="8"/>
  <c r="O71" i="8"/>
  <c r="I71" i="8"/>
  <c r="AF70" i="8"/>
  <c r="AA70" i="8"/>
  <c r="O70" i="8"/>
  <c r="I70" i="8"/>
  <c r="AF69" i="8"/>
  <c r="AA69" i="8"/>
  <c r="O69" i="8"/>
  <c r="I69" i="8"/>
  <c r="AF68" i="8"/>
  <c r="AA68" i="8"/>
  <c r="O68" i="8"/>
  <c r="I68" i="8"/>
  <c r="AF67" i="8"/>
  <c r="AA67" i="8"/>
  <c r="O67" i="8"/>
  <c r="I67" i="8"/>
  <c r="AF66" i="8"/>
  <c r="AA66" i="8"/>
  <c r="O66" i="8"/>
  <c r="I66" i="8"/>
  <c r="AF65" i="8"/>
  <c r="AA65" i="8"/>
  <c r="O65" i="8"/>
  <c r="I65" i="8"/>
  <c r="AF64" i="8"/>
  <c r="AA64" i="8"/>
  <c r="O64" i="8"/>
  <c r="I64" i="8"/>
  <c r="AF63" i="8"/>
  <c r="AA63" i="8"/>
  <c r="O63" i="8"/>
  <c r="I63" i="8"/>
  <c r="AF62" i="8"/>
  <c r="AA62" i="8"/>
  <c r="O62" i="8"/>
  <c r="I62" i="8"/>
  <c r="AF61" i="8"/>
  <c r="AA61" i="8"/>
  <c r="O61" i="8"/>
  <c r="I61" i="8"/>
  <c r="AF60" i="8"/>
  <c r="AA60" i="8"/>
  <c r="O60" i="8"/>
  <c r="I60" i="8"/>
  <c r="AF59" i="8"/>
  <c r="AA59" i="8"/>
  <c r="O59" i="8"/>
  <c r="I59" i="8"/>
  <c r="AF58" i="8"/>
  <c r="AA58" i="8"/>
  <c r="X58" i="8"/>
  <c r="G8" i="8" s="1"/>
  <c r="W58" i="8"/>
  <c r="F8" i="8" s="1"/>
  <c r="V58" i="8"/>
  <c r="E8" i="8" s="1"/>
  <c r="T58" i="8"/>
  <c r="O58" i="8"/>
  <c r="I58" i="8"/>
  <c r="AF57" i="8"/>
  <c r="AA57" i="8"/>
  <c r="U57" i="8"/>
  <c r="O57" i="8"/>
  <c r="I57" i="8"/>
  <c r="F57" i="8"/>
  <c r="G3" i="8" s="1"/>
  <c r="E57" i="8"/>
  <c r="D57" i="8"/>
  <c r="B57" i="8"/>
  <c r="AF56" i="8"/>
  <c r="AA56" i="8"/>
  <c r="U56" i="8"/>
  <c r="O56" i="8"/>
  <c r="I56" i="8"/>
  <c r="C56" i="8"/>
  <c r="AF55" i="8"/>
  <c r="AA55" i="8"/>
  <c r="U55" i="8"/>
  <c r="O55" i="8"/>
  <c r="I55" i="8"/>
  <c r="C55" i="8"/>
  <c r="AF54" i="8"/>
  <c r="AA54" i="8"/>
  <c r="U54" i="8"/>
  <c r="O54" i="8"/>
  <c r="I54" i="8"/>
  <c r="C54" i="8"/>
  <c r="AF53" i="8"/>
  <c r="AA53" i="8"/>
  <c r="U53" i="8"/>
  <c r="O53" i="8"/>
  <c r="I53" i="8"/>
  <c r="C53" i="8"/>
  <c r="AF52" i="8"/>
  <c r="AA52" i="8"/>
  <c r="U52" i="8"/>
  <c r="O52" i="8"/>
  <c r="I52" i="8"/>
  <c r="C52" i="8"/>
  <c r="AF51" i="8"/>
  <c r="AA51" i="8"/>
  <c r="U51" i="8"/>
  <c r="O51" i="8"/>
  <c r="C51" i="8"/>
  <c r="AF50" i="8"/>
  <c r="AA50" i="8"/>
  <c r="U50" i="8"/>
  <c r="O50" i="8"/>
  <c r="C50" i="8"/>
  <c r="AF49" i="8"/>
  <c r="AA49" i="8"/>
  <c r="U49" i="8"/>
  <c r="O49" i="8"/>
  <c r="L49" i="8"/>
  <c r="K49" i="8"/>
  <c r="J49" i="8"/>
  <c r="E4" i="8" s="1"/>
  <c r="H49" i="8"/>
  <c r="C4" i="8" s="1"/>
  <c r="C49" i="8"/>
  <c r="AF48" i="8"/>
  <c r="AA48" i="8"/>
  <c r="U48" i="8"/>
  <c r="O48" i="8"/>
  <c r="I48" i="8"/>
  <c r="C48" i="8"/>
  <c r="AF47" i="8"/>
  <c r="AA47" i="8"/>
  <c r="U47" i="8"/>
  <c r="O47" i="8"/>
  <c r="I47" i="8"/>
  <c r="C47" i="8"/>
  <c r="AF46" i="8"/>
  <c r="AA46" i="8"/>
  <c r="U46" i="8"/>
  <c r="O46" i="8"/>
  <c r="I46" i="8"/>
  <c r="C46" i="8"/>
  <c r="AF45" i="8"/>
  <c r="AA45" i="8"/>
  <c r="U45" i="8"/>
  <c r="O45" i="8"/>
  <c r="I45" i="8"/>
  <c r="C45" i="8"/>
  <c r="AF44" i="8"/>
  <c r="AA44" i="8"/>
  <c r="U44" i="8"/>
  <c r="O44" i="8"/>
  <c r="I44" i="8"/>
  <c r="C44" i="8"/>
  <c r="AF43" i="8"/>
  <c r="AA43" i="8"/>
  <c r="U43" i="8"/>
  <c r="O43" i="8"/>
  <c r="I43" i="8"/>
  <c r="C43" i="8"/>
  <c r="AF42" i="8"/>
  <c r="AA42" i="8"/>
  <c r="U42" i="8"/>
  <c r="O42" i="8"/>
  <c r="I42" i="8"/>
  <c r="C42" i="8"/>
  <c r="AF41" i="8"/>
  <c r="AA41" i="8"/>
  <c r="U41" i="8"/>
  <c r="O41" i="8"/>
  <c r="I41" i="8"/>
  <c r="C41" i="8"/>
  <c r="AF40" i="8"/>
  <c r="AA40" i="8"/>
  <c r="U40" i="8"/>
  <c r="O40" i="8"/>
  <c r="I40" i="8"/>
  <c r="C40" i="8"/>
  <c r="AF39" i="8"/>
  <c r="AA39" i="8"/>
  <c r="U39" i="8"/>
  <c r="O39" i="8"/>
  <c r="I39" i="8"/>
  <c r="C39" i="8"/>
  <c r="AF38" i="8"/>
  <c r="AA38" i="8"/>
  <c r="U38" i="8"/>
  <c r="O38" i="8"/>
  <c r="I38" i="8"/>
  <c r="C38" i="8"/>
  <c r="AF37" i="8"/>
  <c r="AA37" i="8"/>
  <c r="U37" i="8"/>
  <c r="O37" i="8"/>
  <c r="I37" i="8"/>
  <c r="C37" i="8"/>
  <c r="AF36" i="8"/>
  <c r="AA36" i="8"/>
  <c r="U36" i="8"/>
  <c r="O36" i="8"/>
  <c r="I36" i="8"/>
  <c r="C36" i="8"/>
  <c r="AF35" i="8"/>
  <c r="AA35" i="8"/>
  <c r="U35" i="8"/>
  <c r="O35" i="8"/>
  <c r="I35" i="8"/>
  <c r="C35" i="8"/>
  <c r="AF34" i="8"/>
  <c r="AA34" i="8"/>
  <c r="U34" i="8"/>
  <c r="O34" i="8"/>
  <c r="I34" i="8"/>
  <c r="C34" i="8"/>
  <c r="AF33" i="8"/>
  <c r="AA33" i="8"/>
  <c r="U33" i="8"/>
  <c r="O33" i="8"/>
  <c r="I33" i="8"/>
  <c r="C33" i="8"/>
  <c r="AF32" i="8"/>
  <c r="AA32" i="8"/>
  <c r="U32" i="8"/>
  <c r="O32" i="8"/>
  <c r="I32" i="8"/>
  <c r="C32" i="8"/>
  <c r="AF31" i="8"/>
  <c r="AA31" i="8"/>
  <c r="U31" i="8"/>
  <c r="O31" i="8"/>
  <c r="I31" i="8"/>
  <c r="C31" i="8"/>
  <c r="AF30" i="8"/>
  <c r="AA30" i="8"/>
  <c r="U30" i="8"/>
  <c r="O30" i="8"/>
  <c r="I30" i="8"/>
  <c r="C30" i="8"/>
  <c r="AF29" i="8"/>
  <c r="AA29" i="8"/>
  <c r="O29" i="8"/>
  <c r="I29" i="8"/>
  <c r="C29" i="8"/>
  <c r="AF28" i="8"/>
  <c r="AA28" i="8"/>
  <c r="O28" i="8"/>
  <c r="I28" i="8"/>
  <c r="C28" i="8"/>
  <c r="AF27" i="8"/>
  <c r="AA27" i="8"/>
  <c r="X27" i="8"/>
  <c r="G6" i="8" s="1"/>
  <c r="W27" i="8"/>
  <c r="V27" i="8"/>
  <c r="E6" i="8" s="1"/>
  <c r="T27" i="8"/>
  <c r="C6" i="8" s="1"/>
  <c r="O27" i="8"/>
  <c r="I27" i="8"/>
  <c r="C27" i="8"/>
  <c r="AF26" i="8"/>
  <c r="AA26" i="8"/>
  <c r="U26" i="8"/>
  <c r="O26" i="8"/>
  <c r="I26" i="8"/>
  <c r="C26" i="8"/>
  <c r="AF25" i="8"/>
  <c r="AA25" i="8"/>
  <c r="U25" i="8"/>
  <c r="O25" i="8"/>
  <c r="I25" i="8"/>
  <c r="C25" i="8"/>
  <c r="AF24" i="8"/>
  <c r="AA24" i="8"/>
  <c r="U24" i="8"/>
  <c r="O24" i="8"/>
  <c r="I24" i="8"/>
  <c r="C24" i="8"/>
  <c r="AF23" i="8"/>
  <c r="AA23" i="8"/>
  <c r="U23" i="8"/>
  <c r="O23" i="8"/>
  <c r="I23" i="8"/>
  <c r="C23" i="8"/>
  <c r="AF22" i="8"/>
  <c r="AA22" i="8"/>
  <c r="U22" i="8"/>
  <c r="O22" i="8"/>
  <c r="I22" i="8"/>
  <c r="C22" i="8"/>
  <c r="AF21" i="8"/>
  <c r="AA21" i="8"/>
  <c r="U21" i="8"/>
  <c r="O21" i="8"/>
  <c r="I21" i="8"/>
  <c r="C21" i="8"/>
  <c r="AF20" i="8"/>
  <c r="AA20" i="8"/>
  <c r="U20" i="8"/>
  <c r="O20" i="8"/>
  <c r="I20" i="8"/>
  <c r="C20" i="8"/>
  <c r="AF19" i="8"/>
  <c r="AA19" i="8"/>
  <c r="U19" i="8"/>
  <c r="O19" i="8"/>
  <c r="I19" i="8"/>
  <c r="C19" i="8"/>
  <c r="AF18" i="8"/>
  <c r="AA18" i="8"/>
  <c r="U18" i="8"/>
  <c r="O18" i="8"/>
  <c r="I18" i="8"/>
  <c r="C18" i="8"/>
  <c r="AF17" i="8"/>
  <c r="AA17" i="8"/>
  <c r="U17" i="8"/>
  <c r="O17" i="8"/>
  <c r="I17" i="8"/>
  <c r="C17" i="8"/>
  <c r="AF16" i="8"/>
  <c r="AA16" i="8"/>
  <c r="U16" i="8"/>
  <c r="O16" i="8"/>
  <c r="I16" i="8"/>
  <c r="C16" i="8"/>
  <c r="AF15" i="8"/>
  <c r="AA15" i="8"/>
  <c r="U15" i="8"/>
  <c r="O15" i="8"/>
  <c r="I15" i="8"/>
  <c r="C15" i="8"/>
  <c r="AF14" i="8"/>
  <c r="AA14" i="8"/>
  <c r="U14" i="8"/>
  <c r="O14" i="8"/>
  <c r="I14" i="8"/>
  <c r="C14" i="8"/>
  <c r="AF13" i="8"/>
  <c r="AA13" i="8"/>
  <c r="U13" i="8"/>
  <c r="O13" i="8"/>
  <c r="I13" i="8"/>
  <c r="C13" i="8"/>
  <c r="AF12" i="8"/>
  <c r="AA12" i="8"/>
  <c r="U12" i="8"/>
  <c r="O12" i="8"/>
  <c r="I12" i="8"/>
  <c r="C12" i="8"/>
  <c r="C8" i="8"/>
  <c r="F6" i="8"/>
  <c r="G4" i="8"/>
  <c r="F4" i="8"/>
  <c r="F3" i="8"/>
  <c r="E3" i="8"/>
  <c r="C3" i="8"/>
  <c r="AE148" i="6"/>
  <c r="AF147" i="6"/>
  <c r="AF146" i="6"/>
  <c r="AF145" i="6"/>
  <c r="AF144" i="6"/>
  <c r="AF143" i="6"/>
  <c r="AF142" i="6"/>
  <c r="AF141" i="6"/>
  <c r="AF140" i="6"/>
  <c r="AF139" i="6"/>
  <c r="AF138" i="6"/>
  <c r="AF137" i="6"/>
  <c r="AF136" i="6"/>
  <c r="AF135" i="6"/>
  <c r="AF134" i="6"/>
  <c r="AF133" i="6"/>
  <c r="AF132" i="6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F117" i="6"/>
  <c r="AF116" i="6"/>
  <c r="AF115" i="6"/>
  <c r="AF114" i="6"/>
  <c r="AF113" i="6"/>
  <c r="AF112" i="6"/>
  <c r="AF111" i="6"/>
  <c r="AF110" i="6"/>
  <c r="AF109" i="6"/>
  <c r="AF108" i="6"/>
  <c r="AF107" i="6"/>
  <c r="AF106" i="6"/>
  <c r="AF105" i="6"/>
  <c r="AF104" i="6"/>
  <c r="AF103" i="6"/>
  <c r="AF102" i="6"/>
  <c r="AF101" i="6"/>
  <c r="AF100" i="6"/>
  <c r="AF99" i="6"/>
  <c r="AF98" i="6"/>
  <c r="AF97" i="6"/>
  <c r="AF96" i="6"/>
  <c r="AF95" i="6"/>
  <c r="AF94" i="6"/>
  <c r="AF93" i="6"/>
  <c r="AF92" i="6"/>
  <c r="AF91" i="6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12" i="6"/>
  <c r="AD165" i="6"/>
  <c r="G7" i="6" s="1"/>
  <c r="AC165" i="6"/>
  <c r="F7" i="6" s="1"/>
  <c r="AB165" i="6"/>
  <c r="Z165" i="6"/>
  <c r="C7" i="6" s="1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R131" i="6"/>
  <c r="G5" i="6" s="1"/>
  <c r="Q131" i="6"/>
  <c r="F5" i="6" s="1"/>
  <c r="P131" i="6"/>
  <c r="E5" i="6" s="1"/>
  <c r="N131" i="6"/>
  <c r="C5" i="6" s="1"/>
  <c r="AA130" i="6"/>
  <c r="O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L98" i="6"/>
  <c r="K98" i="6"/>
  <c r="J98" i="6"/>
  <c r="H98" i="6"/>
  <c r="AA97" i="6"/>
  <c r="I97" i="6"/>
  <c r="AA96" i="6"/>
  <c r="I96" i="6"/>
  <c r="AA95" i="6"/>
  <c r="I95" i="6"/>
  <c r="AA94" i="6"/>
  <c r="I94" i="6"/>
  <c r="AA93" i="6"/>
  <c r="I93" i="6"/>
  <c r="AA92" i="6"/>
  <c r="I92" i="6"/>
  <c r="AA91" i="6"/>
  <c r="I91" i="6"/>
  <c r="AA90" i="6"/>
  <c r="I90" i="6"/>
  <c r="AA89" i="6"/>
  <c r="I89" i="6"/>
  <c r="AA88" i="6"/>
  <c r="I88" i="6"/>
  <c r="AA87" i="6"/>
  <c r="I87" i="6"/>
  <c r="AA86" i="6"/>
  <c r="I86" i="6"/>
  <c r="AA85" i="6"/>
  <c r="I85" i="6"/>
  <c r="AA84" i="6"/>
  <c r="I84" i="6"/>
  <c r="AA83" i="6"/>
  <c r="I83" i="6"/>
  <c r="AA82" i="6"/>
  <c r="I82" i="6"/>
  <c r="AA81" i="6"/>
  <c r="I81" i="6"/>
  <c r="AA80" i="6"/>
  <c r="I80" i="6"/>
  <c r="AA79" i="6"/>
  <c r="I79" i="6"/>
  <c r="AA78" i="6"/>
  <c r="I78" i="6"/>
  <c r="AA77" i="6"/>
  <c r="I77" i="6"/>
  <c r="AA76" i="6"/>
  <c r="I76" i="6"/>
  <c r="AA75" i="6"/>
  <c r="I75" i="6"/>
  <c r="AA74" i="6"/>
  <c r="I74" i="6"/>
  <c r="AA73" i="6"/>
  <c r="I73" i="6"/>
  <c r="AA72" i="6"/>
  <c r="I72" i="6"/>
  <c r="AA71" i="6"/>
  <c r="I71" i="6"/>
  <c r="AA70" i="6"/>
  <c r="I70" i="6"/>
  <c r="AA69" i="6"/>
  <c r="I69" i="6"/>
  <c r="AA68" i="6"/>
  <c r="I68" i="6"/>
  <c r="AA67" i="6"/>
  <c r="I67" i="6"/>
  <c r="AA66" i="6"/>
  <c r="I66" i="6"/>
  <c r="AA65" i="6"/>
  <c r="I65" i="6"/>
  <c r="AA64" i="6"/>
  <c r="I64" i="6"/>
  <c r="AA63" i="6"/>
  <c r="I63" i="6"/>
  <c r="AA62" i="6"/>
  <c r="I62" i="6"/>
  <c r="AA61" i="6"/>
  <c r="I61" i="6"/>
  <c r="AA60" i="6"/>
  <c r="I60" i="6"/>
  <c r="AA59" i="6"/>
  <c r="I59" i="6"/>
  <c r="AA58" i="6"/>
  <c r="X58" i="6"/>
  <c r="G8" i="6" s="1"/>
  <c r="W58" i="6"/>
  <c r="F8" i="6" s="1"/>
  <c r="V58" i="6"/>
  <c r="T58" i="6"/>
  <c r="C8" i="6" s="1"/>
  <c r="I58" i="6"/>
  <c r="AA57" i="6"/>
  <c r="U57" i="6"/>
  <c r="I57" i="6"/>
  <c r="F57" i="6"/>
  <c r="G3" i="6" s="1"/>
  <c r="E57" i="6"/>
  <c r="F3" i="6" s="1"/>
  <c r="D57" i="6"/>
  <c r="B57" i="6"/>
  <c r="C3" i="6" s="1"/>
  <c r="AA56" i="6"/>
  <c r="U56" i="6"/>
  <c r="I56" i="6"/>
  <c r="C56" i="6"/>
  <c r="AA55" i="6"/>
  <c r="U55" i="6"/>
  <c r="I55" i="6"/>
  <c r="C55" i="6"/>
  <c r="AA54" i="6"/>
  <c r="U54" i="6"/>
  <c r="I54" i="6"/>
  <c r="C54" i="6"/>
  <c r="AA53" i="6"/>
  <c r="U53" i="6"/>
  <c r="I53" i="6"/>
  <c r="C53" i="6"/>
  <c r="AA52" i="6"/>
  <c r="U52" i="6"/>
  <c r="I52" i="6"/>
  <c r="C52" i="6"/>
  <c r="AA51" i="6"/>
  <c r="U51" i="6"/>
  <c r="C51" i="6"/>
  <c r="AA50" i="6"/>
  <c r="U50" i="6"/>
  <c r="C50" i="6"/>
  <c r="AA49" i="6"/>
  <c r="U49" i="6"/>
  <c r="L49" i="6"/>
  <c r="K49" i="6"/>
  <c r="F4" i="6" s="1"/>
  <c r="J49" i="6"/>
  <c r="E4" i="6" s="1"/>
  <c r="H49" i="6"/>
  <c r="C4" i="6" s="1"/>
  <c r="C49" i="6"/>
  <c r="AA48" i="6"/>
  <c r="U48" i="6"/>
  <c r="I48" i="6"/>
  <c r="C48" i="6"/>
  <c r="AA47" i="6"/>
  <c r="U47" i="6"/>
  <c r="I47" i="6"/>
  <c r="C47" i="6"/>
  <c r="AA46" i="6"/>
  <c r="U46" i="6"/>
  <c r="I46" i="6"/>
  <c r="C46" i="6"/>
  <c r="AA45" i="6"/>
  <c r="U45" i="6"/>
  <c r="I45" i="6"/>
  <c r="C45" i="6"/>
  <c r="AA44" i="6"/>
  <c r="U44" i="6"/>
  <c r="I44" i="6"/>
  <c r="C44" i="6"/>
  <c r="AA43" i="6"/>
  <c r="U43" i="6"/>
  <c r="I43" i="6"/>
  <c r="C43" i="6"/>
  <c r="AA42" i="6"/>
  <c r="U42" i="6"/>
  <c r="I42" i="6"/>
  <c r="C42" i="6"/>
  <c r="AA41" i="6"/>
  <c r="U41" i="6"/>
  <c r="I41" i="6"/>
  <c r="C41" i="6"/>
  <c r="AA40" i="6"/>
  <c r="U40" i="6"/>
  <c r="I40" i="6"/>
  <c r="C40" i="6"/>
  <c r="AA39" i="6"/>
  <c r="U39" i="6"/>
  <c r="I39" i="6"/>
  <c r="C39" i="6"/>
  <c r="AA38" i="6"/>
  <c r="U38" i="6"/>
  <c r="I38" i="6"/>
  <c r="C38" i="6"/>
  <c r="AA37" i="6"/>
  <c r="U37" i="6"/>
  <c r="I37" i="6"/>
  <c r="C37" i="6"/>
  <c r="AA36" i="6"/>
  <c r="U36" i="6"/>
  <c r="I36" i="6"/>
  <c r="C36" i="6"/>
  <c r="AA35" i="6"/>
  <c r="U35" i="6"/>
  <c r="I35" i="6"/>
  <c r="C35" i="6"/>
  <c r="AA34" i="6"/>
  <c r="U34" i="6"/>
  <c r="I34" i="6"/>
  <c r="C34" i="6"/>
  <c r="AI148" i="6"/>
  <c r="AH148" i="6"/>
  <c r="AG148" i="6"/>
  <c r="AA33" i="6"/>
  <c r="U33" i="6"/>
  <c r="I33" i="6"/>
  <c r="C33" i="6"/>
  <c r="AF32" i="6"/>
  <c r="AA32" i="6"/>
  <c r="U32" i="6"/>
  <c r="I32" i="6"/>
  <c r="C32" i="6"/>
  <c r="AF31" i="6"/>
  <c r="AA31" i="6"/>
  <c r="U31" i="6"/>
  <c r="I31" i="6"/>
  <c r="C31" i="6"/>
  <c r="AF30" i="6"/>
  <c r="AA30" i="6"/>
  <c r="U30" i="6"/>
  <c r="I30" i="6"/>
  <c r="C30" i="6"/>
  <c r="AF29" i="6"/>
  <c r="AA29" i="6"/>
  <c r="I29" i="6"/>
  <c r="C29" i="6"/>
  <c r="AF28" i="6"/>
  <c r="AA28" i="6"/>
  <c r="I28" i="6"/>
  <c r="C28" i="6"/>
  <c r="AF27" i="6"/>
  <c r="AA27" i="6"/>
  <c r="X27" i="6"/>
  <c r="G6" i="6" s="1"/>
  <c r="W27" i="6"/>
  <c r="F6" i="6" s="1"/>
  <c r="V27" i="6"/>
  <c r="E6" i="6" s="1"/>
  <c r="T27" i="6"/>
  <c r="C6" i="6" s="1"/>
  <c r="I27" i="6"/>
  <c r="C27" i="6"/>
  <c r="AF26" i="6"/>
  <c r="AA26" i="6"/>
  <c r="U26" i="6"/>
  <c r="I26" i="6"/>
  <c r="C26" i="6"/>
  <c r="AF25" i="6"/>
  <c r="AA25" i="6"/>
  <c r="U25" i="6"/>
  <c r="I25" i="6"/>
  <c r="C25" i="6"/>
  <c r="AF24" i="6"/>
  <c r="AA24" i="6"/>
  <c r="U24" i="6"/>
  <c r="I24" i="6"/>
  <c r="C24" i="6"/>
  <c r="AF23" i="6"/>
  <c r="AA23" i="6"/>
  <c r="U23" i="6"/>
  <c r="I23" i="6"/>
  <c r="C23" i="6"/>
  <c r="AF22" i="6"/>
  <c r="AA22" i="6"/>
  <c r="U22" i="6"/>
  <c r="I22" i="6"/>
  <c r="C22" i="6"/>
  <c r="AF21" i="6"/>
  <c r="AA21" i="6"/>
  <c r="U21" i="6"/>
  <c r="I21" i="6"/>
  <c r="C21" i="6"/>
  <c r="AF20" i="6"/>
  <c r="AA20" i="6"/>
  <c r="U20" i="6"/>
  <c r="I20" i="6"/>
  <c r="C20" i="6"/>
  <c r="AF19" i="6"/>
  <c r="AA19" i="6"/>
  <c r="U19" i="6"/>
  <c r="I19" i="6"/>
  <c r="C19" i="6"/>
  <c r="AF18" i="6"/>
  <c r="AA18" i="6"/>
  <c r="U18" i="6"/>
  <c r="I18" i="6"/>
  <c r="C18" i="6"/>
  <c r="AF17" i="6"/>
  <c r="AA17" i="6"/>
  <c r="U17" i="6"/>
  <c r="I17" i="6"/>
  <c r="C17" i="6"/>
  <c r="AF16" i="6"/>
  <c r="AA16" i="6"/>
  <c r="U16" i="6"/>
  <c r="I16" i="6"/>
  <c r="C16" i="6"/>
  <c r="AF15" i="6"/>
  <c r="AA15" i="6"/>
  <c r="U15" i="6"/>
  <c r="I15" i="6"/>
  <c r="C15" i="6"/>
  <c r="AF14" i="6"/>
  <c r="AA14" i="6"/>
  <c r="U14" i="6"/>
  <c r="I14" i="6"/>
  <c r="C14" i="6"/>
  <c r="AF13" i="6"/>
  <c r="AA13" i="6"/>
  <c r="U13" i="6"/>
  <c r="I13" i="6"/>
  <c r="C13" i="6"/>
  <c r="AF12" i="6"/>
  <c r="AA12" i="6"/>
  <c r="U12" i="6"/>
  <c r="I12" i="6"/>
  <c r="C12" i="6"/>
  <c r="E8" i="6"/>
  <c r="E7" i="6"/>
  <c r="G4" i="6"/>
  <c r="E3" i="6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I97" i="5"/>
  <c r="I96" i="5"/>
  <c r="I95" i="5"/>
  <c r="I94" i="5"/>
  <c r="I93" i="5"/>
  <c r="I92" i="5"/>
  <c r="I91" i="5"/>
  <c r="I90" i="5"/>
  <c r="I89" i="5"/>
  <c r="L98" i="5"/>
  <c r="K98" i="5"/>
  <c r="J98" i="5"/>
  <c r="H98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I33" i="5"/>
  <c r="AH33" i="5"/>
  <c r="AG33" i="5"/>
  <c r="AE33" i="5"/>
  <c r="U58" i="8" l="1"/>
  <c r="D8" i="8" s="1"/>
  <c r="AF33" i="5"/>
  <c r="AF148" i="8"/>
  <c r="U27" i="8"/>
  <c r="D6" i="8" s="1"/>
  <c r="I98" i="8"/>
  <c r="AA165" i="8"/>
  <c r="D7" i="8" s="1"/>
  <c r="I49" i="8"/>
  <c r="D4" i="8" s="1"/>
  <c r="O131" i="8"/>
  <c r="D5" i="8" s="1"/>
  <c r="C57" i="8"/>
  <c r="D3" i="8" s="1"/>
  <c r="I98" i="6"/>
  <c r="I49" i="6"/>
  <c r="D4" i="6" s="1"/>
  <c r="O131" i="6"/>
  <c r="D5" i="6" s="1"/>
  <c r="C57" i="6"/>
  <c r="D3" i="6" s="1"/>
  <c r="AF148" i="6"/>
  <c r="AA165" i="6"/>
  <c r="D7" i="6" s="1"/>
  <c r="U58" i="6"/>
  <c r="D8" i="6" s="1"/>
  <c r="U27" i="6"/>
  <c r="D6" i="6" s="1"/>
  <c r="I98" i="5"/>
  <c r="I12" i="5"/>
  <c r="U12" i="5"/>
  <c r="U13" i="5"/>
  <c r="U14" i="5"/>
  <c r="U15" i="5"/>
  <c r="R131" i="5"/>
  <c r="G5" i="5" s="1"/>
  <c r="Q131" i="5"/>
  <c r="F5" i="5" s="1"/>
  <c r="P131" i="5"/>
  <c r="E5" i="5" s="1"/>
  <c r="N131" i="5"/>
  <c r="C5" i="5" s="1"/>
  <c r="O130" i="5"/>
  <c r="O131" i="5" s="1"/>
  <c r="D5" i="5" s="1"/>
  <c r="X58" i="5"/>
  <c r="G8" i="5" s="1"/>
  <c r="W58" i="5"/>
  <c r="F8" i="5" s="1"/>
  <c r="V58" i="5"/>
  <c r="E8" i="5" s="1"/>
  <c r="T58" i="5"/>
  <c r="C8" i="5" s="1"/>
  <c r="U57" i="5"/>
  <c r="F57" i="5"/>
  <c r="G3" i="5" s="1"/>
  <c r="E57" i="5"/>
  <c r="F3" i="5" s="1"/>
  <c r="D57" i="5"/>
  <c r="E3" i="5" s="1"/>
  <c r="B57" i="5"/>
  <c r="C3" i="5" s="1"/>
  <c r="U56" i="5"/>
  <c r="U55" i="5"/>
  <c r="U54" i="5"/>
  <c r="U53" i="5"/>
  <c r="U52" i="5"/>
  <c r="U51" i="5"/>
  <c r="U50" i="5"/>
  <c r="U49" i="5"/>
  <c r="L49" i="5"/>
  <c r="G4" i="5" s="1"/>
  <c r="K49" i="5"/>
  <c r="F4" i="5" s="1"/>
  <c r="J49" i="5"/>
  <c r="E4" i="5" s="1"/>
  <c r="H49" i="5"/>
  <c r="C4" i="5" s="1"/>
  <c r="U48" i="5"/>
  <c r="I48" i="5"/>
  <c r="U47" i="5"/>
  <c r="I47" i="5"/>
  <c r="U46" i="5"/>
  <c r="I46" i="5"/>
  <c r="U45" i="5"/>
  <c r="I45" i="5"/>
  <c r="U44" i="5"/>
  <c r="I44" i="5"/>
  <c r="U43" i="5"/>
  <c r="I43" i="5"/>
  <c r="U42" i="5"/>
  <c r="I42" i="5"/>
  <c r="U41" i="5"/>
  <c r="I41" i="5"/>
  <c r="U40" i="5"/>
  <c r="I40" i="5"/>
  <c r="U39" i="5"/>
  <c r="I39" i="5"/>
  <c r="U38" i="5"/>
  <c r="I38" i="5"/>
  <c r="U37" i="5"/>
  <c r="I37" i="5"/>
  <c r="U36" i="5"/>
  <c r="I36" i="5"/>
  <c r="U35" i="5"/>
  <c r="I35" i="5"/>
  <c r="U34" i="5"/>
  <c r="I34" i="5"/>
  <c r="AD167" i="5"/>
  <c r="G7" i="5" s="1"/>
  <c r="AC167" i="5"/>
  <c r="F7" i="5" s="1"/>
  <c r="AB167" i="5"/>
  <c r="E7" i="5" s="1"/>
  <c r="Z167" i="5"/>
  <c r="C7" i="5" s="1"/>
  <c r="U33" i="5"/>
  <c r="I33" i="5"/>
  <c r="AA32" i="5"/>
  <c r="U32" i="5"/>
  <c r="I32" i="5"/>
  <c r="AA31" i="5"/>
  <c r="U31" i="5"/>
  <c r="I31" i="5"/>
  <c r="AA30" i="5"/>
  <c r="U30" i="5"/>
  <c r="I30" i="5"/>
  <c r="AA29" i="5"/>
  <c r="I29" i="5"/>
  <c r="AA28" i="5"/>
  <c r="I28" i="5"/>
  <c r="AA27" i="5"/>
  <c r="X27" i="5"/>
  <c r="G6" i="5" s="1"/>
  <c r="W27" i="5"/>
  <c r="F6" i="5" s="1"/>
  <c r="V27" i="5"/>
  <c r="E6" i="5" s="1"/>
  <c r="T27" i="5"/>
  <c r="C6" i="5" s="1"/>
  <c r="I27" i="5"/>
  <c r="AA26" i="5"/>
  <c r="U26" i="5"/>
  <c r="I26" i="5"/>
  <c r="AA25" i="5"/>
  <c r="U25" i="5"/>
  <c r="I25" i="5"/>
  <c r="AA24" i="5"/>
  <c r="U24" i="5"/>
  <c r="I24" i="5"/>
  <c r="AA23" i="5"/>
  <c r="U23" i="5"/>
  <c r="I23" i="5"/>
  <c r="AA22" i="5"/>
  <c r="U22" i="5"/>
  <c r="I22" i="5"/>
  <c r="AA21" i="5"/>
  <c r="U21" i="5"/>
  <c r="I21" i="5"/>
  <c r="AA20" i="5"/>
  <c r="U20" i="5"/>
  <c r="I20" i="5"/>
  <c r="AA19" i="5"/>
  <c r="U19" i="5"/>
  <c r="I19" i="5"/>
  <c r="AA18" i="5"/>
  <c r="U18" i="5"/>
  <c r="I18" i="5"/>
  <c r="AA17" i="5"/>
  <c r="U17" i="5"/>
  <c r="I17" i="5"/>
  <c r="AA16" i="5"/>
  <c r="U16" i="5"/>
  <c r="I16" i="5"/>
  <c r="AA15" i="5"/>
  <c r="I15" i="5"/>
  <c r="AA14" i="5"/>
  <c r="I14" i="5"/>
  <c r="AA13" i="5"/>
  <c r="I13" i="5"/>
  <c r="AA12" i="5"/>
  <c r="C57" i="5"/>
  <c r="D3" i="5" s="1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U13" i="4"/>
  <c r="U26" i="4"/>
  <c r="U25" i="4"/>
  <c r="U27" i="5" l="1"/>
  <c r="D6" i="5" s="1"/>
  <c r="I49" i="5"/>
  <c r="D4" i="5" s="1"/>
  <c r="U58" i="5"/>
  <c r="D8" i="5" s="1"/>
  <c r="AA167" i="5"/>
  <c r="D7" i="5" s="1"/>
  <c r="U12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 l="1"/>
  <c r="C48" i="4"/>
  <c r="C49" i="4"/>
  <c r="C50" i="4"/>
  <c r="C51" i="4"/>
  <c r="C52" i="4"/>
  <c r="C53" i="4"/>
  <c r="C54" i="4"/>
  <c r="C55" i="4"/>
  <c r="C56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14" i="4"/>
  <c r="U15" i="4"/>
  <c r="U16" i="4"/>
  <c r="U17" i="4"/>
  <c r="U18" i="4"/>
  <c r="U19" i="4"/>
  <c r="U20" i="4"/>
  <c r="U21" i="4"/>
  <c r="U22" i="4"/>
  <c r="U23" i="4"/>
  <c r="U24" i="4"/>
  <c r="AD33" i="4" l="1"/>
  <c r="G7" i="4" s="1"/>
  <c r="AC33" i="4"/>
  <c r="F7" i="4" s="1"/>
  <c r="AB33" i="4"/>
  <c r="E7" i="4" s="1"/>
  <c r="AA33" i="4"/>
  <c r="D7" i="4" s="1"/>
  <c r="Z33" i="4"/>
  <c r="C7" i="4" s="1"/>
  <c r="U58" i="4"/>
  <c r="D8" i="4" s="1"/>
  <c r="V58" i="4"/>
  <c r="E8" i="4" s="1"/>
  <c r="W58" i="4"/>
  <c r="F8" i="4" s="1"/>
  <c r="X58" i="4"/>
  <c r="G8" i="4" s="1"/>
  <c r="T58" i="4"/>
  <c r="C8" i="4" s="1"/>
  <c r="X27" i="4"/>
  <c r="G6" i="4" s="1"/>
  <c r="W27" i="4"/>
  <c r="F6" i="4" s="1"/>
  <c r="V27" i="4"/>
  <c r="E6" i="4" s="1"/>
  <c r="U27" i="4"/>
  <c r="D6" i="4" s="1"/>
  <c r="T27" i="4"/>
  <c r="C6" i="4" s="1"/>
  <c r="I49" i="4"/>
  <c r="D4" i="4" s="1"/>
  <c r="R131" i="4"/>
  <c r="G5" i="4" s="1"/>
  <c r="Q131" i="4"/>
  <c r="F5" i="4" s="1"/>
  <c r="P131" i="4"/>
  <c r="E5" i="4" s="1"/>
  <c r="O131" i="4"/>
  <c r="D5" i="4" s="1"/>
  <c r="N131" i="4"/>
  <c r="C5" i="4" s="1"/>
  <c r="J49" i="4" l="1"/>
  <c r="E4" i="4" s="1"/>
  <c r="K49" i="4"/>
  <c r="F4" i="4" s="1"/>
  <c r="L49" i="4"/>
  <c r="G4" i="4" s="1"/>
  <c r="H49" i="4"/>
  <c r="C4" i="4" s="1"/>
  <c r="C57" i="4"/>
  <c r="D3" i="4" s="1"/>
  <c r="D57" i="4"/>
  <c r="E3" i="4" s="1"/>
  <c r="E57" i="4"/>
  <c r="F3" i="4" s="1"/>
  <c r="F57" i="4"/>
  <c r="G3" i="4" s="1"/>
  <c r="B57" i="4"/>
  <c r="C3" i="4" s="1"/>
</calcChain>
</file>

<file path=xl/sharedStrings.xml><?xml version="1.0" encoding="utf-8"?>
<sst xmlns="http://schemas.openxmlformats.org/spreadsheetml/2006/main" count="416" uniqueCount="48">
  <si>
    <t>IVA 21</t>
  </si>
  <si>
    <t>IVA 10,5</t>
  </si>
  <si>
    <t>COMISIONES</t>
  </si>
  <si>
    <t>Ret IIBB Caba</t>
  </si>
  <si>
    <t>PERC IVA</t>
  </si>
  <si>
    <t>Liquidacion Mastercard Credito</t>
  </si>
  <si>
    <t>Liq. VISA Cred.</t>
  </si>
  <si>
    <t>Liq. VISA Deb.</t>
  </si>
  <si>
    <t>Liq. MASTERCARD Cred.</t>
  </si>
  <si>
    <t>Liq. AMEX Cred.</t>
  </si>
  <si>
    <t>Liq. MAESTRO Cred.</t>
  </si>
  <si>
    <t>Extracto Bancario.</t>
  </si>
  <si>
    <r>
      <rPr>
        <b/>
        <u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 </t>
    </r>
  </si>
  <si>
    <t>Extracto Bancario FRANCES</t>
  </si>
  <si>
    <t>Liquidacion VISA Debito (FRANCES)</t>
  </si>
  <si>
    <t>Liquidacion MAESTRO Debito (FRANCES)</t>
  </si>
  <si>
    <t>Liquidacion VISA Credito (GALICIA)</t>
  </si>
  <si>
    <t xml:space="preserve">EXTRACTO GALICIA  </t>
  </si>
  <si>
    <t>EXTRACTO GALICIA</t>
  </si>
  <si>
    <t>Liquidacion VISA credito (FRANCES)</t>
  </si>
  <si>
    <t>Liquidacion VISA  (FRANCES)</t>
  </si>
  <si>
    <t>MAESTRO FRANCES CREDITO</t>
  </si>
  <si>
    <t>Liquidacion amex Credito</t>
  </si>
  <si>
    <t>CABAL</t>
  </si>
  <si>
    <t>FRANCES RESUMEN</t>
  </si>
  <si>
    <t>GALICIA EXTRACTO</t>
  </si>
  <si>
    <t>GALICIA VISA</t>
  </si>
  <si>
    <t>BBVA - LIQ MASTERCARD</t>
  </si>
  <si>
    <t>Extracto Bancario FRANCESB VISA</t>
  </si>
  <si>
    <t>FRANCES RESUMEN (31/08)</t>
  </si>
  <si>
    <t>BBVA - LIQ DEBITO (31/08)</t>
  </si>
  <si>
    <t>BBVA MASTERCARD CRED(31/08)</t>
  </si>
  <si>
    <t>RESUM BCO BBVA VISA 31/08(Nº RESUMEN 000016707730)</t>
  </si>
  <si>
    <t>RESUM BCO BBVA VISA 31/08 CREDITO</t>
  </si>
  <si>
    <t>GALICIA CREDITO (31/08)</t>
  </si>
  <si>
    <t>GALICIA EXTRACTO (31/08)</t>
  </si>
  <si>
    <t>FRANCES RESUMEN (31/09)</t>
  </si>
  <si>
    <t>GALICIA EXTRACTO (31/09)</t>
  </si>
  <si>
    <t>BBVA MASTERCARD CRED(31/09)</t>
  </si>
  <si>
    <t>BBVA - LIQ DEBITO (31/09)</t>
  </si>
  <si>
    <t>GALICIA CREDITO (31/09)</t>
  </si>
  <si>
    <t>RESUM BCO BBVA VISA 31/09(Nº RESUMEN 000017206766)</t>
  </si>
  <si>
    <t>Perc IIBB Caba</t>
  </si>
  <si>
    <t>Extracto BBVA</t>
  </si>
  <si>
    <t>Extracto Galicia</t>
  </si>
  <si>
    <t>Liq. VISA Cred Galicia</t>
  </si>
  <si>
    <t>Liq. VISA Cred BBVA</t>
  </si>
  <si>
    <t>Liquidacion VISA Credito (FRANCES)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</si>
</sst>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C0A]m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7">
    <xf numFmtId="0" fontId="0" fillId="0" borderId="0" xfId="0"/>
    <xf numFmtId="4" fontId="0" fillId="0" borderId="0" xfId="0" applyNumberFormat="1"/>
    <xf numFmtId="39" fontId="0" fillId="0" borderId="0" xfId="0" applyNumberFormat="1"/>
    <xf numFmtId="43" fontId="0" fillId="0" borderId="0" xfId="1" applyFont="1"/>
    <xf numFmtId="39" fontId="3" fillId="3" borderId="0" xfId="0" applyNumberFormat="1" applyFont="1" applyFill="1"/>
    <xf numFmtId="0" fontId="0" fillId="0" borderId="0" xfId="0" applyAlignment="1">
      <alignment horizontal="center"/>
    </xf>
    <xf numFmtId="0" fontId="0" fillId="5" borderId="0" xfId="0" applyFill="1"/>
    <xf numFmtId="39" fontId="0" fillId="5" borderId="0" xfId="0" applyNumberFormat="1" applyFill="1" applyAlignment="1">
      <alignment horizontal="center"/>
    </xf>
    <xf numFmtId="39" fontId="0" fillId="5" borderId="0" xfId="0" applyNumberForma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3" fontId="0" fillId="0" borderId="1" xfId="1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39" fontId="0" fillId="0" borderId="2" xfId="0" applyNumberFormat="1" applyBorder="1"/>
    <xf numFmtId="0" fontId="6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1" fillId="5" borderId="2" xfId="0" applyFont="1" applyFill="1" applyBorder="1"/>
    <xf numFmtId="39" fontId="8" fillId="3" borderId="0" xfId="0" applyNumberFormat="1" applyFont="1" applyFill="1"/>
    <xf numFmtId="43" fontId="9" fillId="0" borderId="1" xfId="1" applyFont="1" applyBorder="1"/>
    <xf numFmtId="43" fontId="0" fillId="0" borderId="0" xfId="0" applyNumberFormat="1"/>
    <xf numFmtId="39" fontId="10" fillId="3" borderId="0" xfId="0" applyNumberFormat="1" applyFont="1" applyFill="1"/>
    <xf numFmtId="43" fontId="11" fillId="0" borderId="1" xfId="1" applyFont="1" applyBorder="1"/>
    <xf numFmtId="43" fontId="12" fillId="0" borderId="1" xfId="1" applyFont="1" applyBorder="1"/>
    <xf numFmtId="43" fontId="12" fillId="0" borderId="0" xfId="1" applyFont="1" applyBorder="1"/>
    <xf numFmtId="39" fontId="13" fillId="3" borderId="0" xfId="0" applyNumberFormat="1" applyFont="1" applyFill="1"/>
    <xf numFmtId="0" fontId="1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9" fontId="1" fillId="5" borderId="0" xfId="0" applyNumberFormat="1" applyFont="1" applyFill="1" applyAlignment="1">
      <alignment horizontal="center"/>
    </xf>
    <xf numFmtId="0" fontId="1" fillId="5" borderId="3" xfId="0" applyFont="1" applyFill="1" applyBorder="1"/>
    <xf numFmtId="0" fontId="4" fillId="4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3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4" fillId="6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7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7" formatCode="#,##0.00;\-#,##0.00"/>
    </dxf>
    <dxf>
      <numFmt numFmtId="7" formatCode="#,##0.00;\-#,##0.00"/>
    </dxf>
    <dxf>
      <numFmt numFmtId="35" formatCode="_-* #,##0.00_-;\-* #,##0.00_-;_-* &quot;-&quot;??_-;_-@_-"/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7" formatCode="#,##0.00;\-#,##0.00"/>
    </dxf>
    <dxf>
      <numFmt numFmtId="7" formatCode="#,##0.00;\-#,##0.00"/>
    </dxf>
    <dxf>
      <numFmt numFmtId="35" formatCode="_-* #,##0.00_-;\-* #,##0.00_-;_-* &quot;-&quot;??_-;_-@_-"/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#,##0.00\ _€;\-#,##0.00\ _€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 tint="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161191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5506E3-D09A-40E8-B14A-5777270FD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564" y="592660"/>
          <a:ext cx="5348067" cy="9554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161191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7D4D5C-E331-4935-8811-8A589BB6C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564" y="592660"/>
          <a:ext cx="5348067" cy="9554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161191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1442" y="480998"/>
          <a:ext cx="5143500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161191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9784" y="480265"/>
          <a:ext cx="5144232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9784" y="480265"/>
          <a:ext cx="5144232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084" y="480265"/>
          <a:ext cx="5144233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16</xdr:col>
      <xdr:colOff>161192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084" y="480265"/>
          <a:ext cx="5144233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27C5714-CBA3-4D72-993F-292600724619}" name="Tabla144" displayName="Tabla144" ref="B12:F58" totalsRowCount="1" headerRowDxfId="179" totalsRowDxfId="178">
  <autoFilter ref="B12:F57" xr:uid="{00000000-0009-0000-0100-000001000000}"/>
  <tableColumns count="5">
    <tableColumn id="1" xr3:uid="{4FD11DB0-1CA3-43CE-B9E5-16705E1BE39D}" name="COMISIONES" totalsRowFunction="sum" dataDxfId="177" totalsRowDxfId="120"/>
    <tableColumn id="2" xr3:uid="{4EA675C8-92BD-4E2D-A1D6-1A02F07AAD6A}" name="IVA 21" totalsRowFunction="sum" dataDxfId="176" totalsRowDxfId="119">
      <calculatedColumnFormula>Tabla144[[#This Row],[COMISIONES]]*0.21</calculatedColumnFormula>
    </tableColumn>
    <tableColumn id="3" xr3:uid="{8E6A085B-67B8-40D4-AEFA-A09CE99463A4}" name="IVA 10,5" totalsRowFunction="sum" dataDxfId="175" totalsRowDxfId="118"/>
    <tableColumn id="4" xr3:uid="{390F00A6-1D60-4152-8482-BBE87A765D46}" name="Ret IIBB Caba" totalsRowFunction="sum" dataDxfId="174" totalsRowDxfId="117"/>
    <tableColumn id="5" xr3:uid="{64C40E79-4F7E-4DDB-A07B-2D24EED4F0A0}" name="PERC IVA" totalsRowFunction="sum" totalsRowDxfId="1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FCF2E36-EBED-489A-A399-7F90E4EA6DEE}" name="Tabla345" displayName="Tabla345" ref="H12:L50" totalsRowCount="1" headerRowDxfId="173" dataDxfId="172" totalsRowDxfId="171" tableBorderDxfId="170" dataCellStyle="Millares">
  <autoFilter ref="H12:L49" xr:uid="{00000000-0009-0000-0100-000003000000}"/>
  <tableColumns count="5">
    <tableColumn id="1" xr3:uid="{FFCDDE05-ED2C-4FF7-815A-BA21C74221DE}" name="COMISIONES" totalsRowFunction="sum" dataDxfId="169" totalsRowDxfId="94" dataCellStyle="Millares"/>
    <tableColumn id="2" xr3:uid="{77391F30-9069-47B8-8D0A-18E249B57CD7}" name="IVA 21" totalsRowFunction="sum" dataDxfId="168" totalsRowDxfId="93" dataCellStyle="Millares">
      <calculatedColumnFormula>Tabla345[[#This Row],[COMISIONES]]*0.21</calculatedColumnFormula>
    </tableColumn>
    <tableColumn id="3" xr3:uid="{1ED191DA-F613-40CC-A88E-BD33E0F367EF}" name="IVA 10,5" totalsRowFunction="sum" dataDxfId="167" totalsRowDxfId="92" dataCellStyle="Millares"/>
    <tableColumn id="4" xr3:uid="{6F351528-42FF-488C-8374-58A3F0DF4648}" name="Ret IIBB Caba" totalsRowFunction="sum" dataDxfId="95" totalsRowDxfId="91" dataCellStyle="Millares">
      <calculatedColumnFormula>686.45+674.4</calculatedColumnFormula>
    </tableColumn>
    <tableColumn id="5" xr3:uid="{71291DF2-1E1D-4C8A-81CA-3B10B725547E}" name="PERC IVA" totalsRowFunction="sum" dataDxfId="166" totalsRowDxfId="90" dataCellStyle="Millar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C81C1AC-770C-4B3B-BFB5-20C646FF4AB5}" name="Tabla3546" displayName="Tabla3546" ref="N12:R132" totalsRowCount="1" headerRowDxfId="165" dataDxfId="164" totalsRowDxfId="163" tableBorderDxfId="162" dataCellStyle="Millares">
  <autoFilter ref="N12:R131" xr:uid="{00000000-0009-0000-0100-000004000000}"/>
  <tableColumns count="5">
    <tableColumn id="1" xr3:uid="{6F1A3B28-8BD7-4F54-B2F3-56EB602963C6}" name="COMISIONES" totalsRowFunction="sum" dataDxfId="161" totalsRowDxfId="135" dataCellStyle="Millares"/>
    <tableColumn id="2" xr3:uid="{B7B9F36D-97AB-4FAB-85EC-8C1E2B862008}" name="IVA 21" totalsRowFunction="sum" dataDxfId="160" totalsRowDxfId="134" dataCellStyle="Millares">
      <calculatedColumnFormula>Tabla3546[[#This Row],[COMISIONES]]*0.21</calculatedColumnFormula>
    </tableColumn>
    <tableColumn id="3" xr3:uid="{CF54181D-C355-4320-A3EE-3DDFBBCD2B62}" name="IVA 10,5" totalsRowFunction="sum" dataDxfId="159" totalsRowDxfId="133" dataCellStyle="Millares"/>
    <tableColumn id="4" xr3:uid="{3E908DB7-3294-402D-BE91-7D6DFB1DD747}" name="Ret IIBB Caba" totalsRowFunction="sum" dataDxfId="158" totalsRowDxfId="132" dataCellStyle="Millares"/>
    <tableColumn id="5" xr3:uid="{1D3E3461-24CB-42A3-8725-10FBF03C5EA3}" name="PERC IVA" totalsRowFunction="sum" dataDxfId="157" totalsRowDxfId="131" dataCellStyle="Millar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BEEB783-42EE-451C-89F8-50F964525279}" name="Tabla35647" displayName="Tabla35647" ref="T12:X28" totalsRowCount="1" headerRowDxfId="156" dataDxfId="155" totalsRowDxfId="154" tableBorderDxfId="153" dataCellStyle="Millares">
  <autoFilter ref="T12:X27" xr:uid="{00000000-0009-0000-0100-000005000000}"/>
  <tableColumns count="5">
    <tableColumn id="1" xr3:uid="{7814AAC6-A6CB-424F-A176-BC475B3E44CB}" name="COMISIONES" totalsRowFunction="sum" dataDxfId="152" totalsRowDxfId="130" dataCellStyle="Millares"/>
    <tableColumn id="2" xr3:uid="{6580DEBB-F613-4090-A656-CC7D2CEDE60B}" name="IVA 21" totalsRowFunction="sum" dataDxfId="151" totalsRowDxfId="129" dataCellStyle="Millares">
      <calculatedColumnFormula>Tabla35647[[#This Row],[COMISIONES]]*0.21</calculatedColumnFormula>
    </tableColumn>
    <tableColumn id="3" xr3:uid="{32315103-37C6-4C5A-97BF-CD364EF59528}" name="IVA 10,5" totalsRowFunction="sum" dataDxfId="150" totalsRowDxfId="128" dataCellStyle="Millares"/>
    <tableColumn id="4" xr3:uid="{3B2939AD-F2AE-44A8-9D1C-2ACF5DF97F6D}" name="Ret IIBB Caba" totalsRowFunction="sum" dataDxfId="149" totalsRowDxfId="127" dataCellStyle="Millares"/>
    <tableColumn id="5" xr3:uid="{7EA1B04D-D377-41FC-B30F-069C52BD8720}" name="PERC IVA" totalsRowFunction="sum" dataDxfId="148" totalsRowDxfId="126" dataCellStyle="Milla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DEE5AFA-C695-4E8E-8BCD-F06B0A7C350A}" name="Tabla648" displayName="Tabla648" ref="T30:X59" totalsRowCount="1" headerRowDxfId="147" totalsRowDxfId="146">
  <autoFilter ref="T30:X58" xr:uid="{00000000-0009-0000-0100-000006000000}"/>
  <tableColumns count="5">
    <tableColumn id="1" xr3:uid="{C118BDB6-CAF1-4124-8507-B75A17F20C66}" name="COMISIONES" totalsRowFunction="sum" totalsRowDxfId="114"/>
    <tableColumn id="2" xr3:uid="{1DE48656-0321-41DE-BC97-CD8F1BD5A288}" name="IVA 21" totalsRowFunction="sum" dataDxfId="145" totalsRowDxfId="113">
      <calculatedColumnFormula>Tabla648[[#This Row],[COMISIONES]]*0.21</calculatedColumnFormula>
    </tableColumn>
    <tableColumn id="3" xr3:uid="{616677F1-D360-4861-B428-DF2D37FB7ED0}" name="IVA 10,5" totalsRowFunction="sum" dataDxfId="115" totalsRowDxfId="112">
      <calculatedColumnFormula>Tabla648[[#This Row],[COMISIONES]]*0.105</calculatedColumnFormula>
    </tableColumn>
    <tableColumn id="4" xr3:uid="{0BABFB82-D356-4804-AA8F-F6B88BDECF1B}" name="Perc IIBB Caba" totalsRowFunction="sum" totalsRowDxfId="111"/>
    <tableColumn id="5" xr3:uid="{6F603C93-03CB-4208-9876-199514965324}" name="PERC IVA" totalsRowFunction="sum" totalsRowDxfId="11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A111192-1770-48BF-8400-5FAA75A5B26C}" name="Tabla356849" displayName="Tabla356849" ref="Z12:AD34" totalsRowCount="1" headerRowDxfId="144" dataDxfId="143" totalsRowDxfId="142" tableBorderDxfId="141" dataCellStyle="Millares">
  <autoFilter ref="Z12:AD33" xr:uid="{00000000-0009-0000-0100-000007000000}"/>
  <tableColumns count="5">
    <tableColumn id="1" xr3:uid="{540E0F5C-03B3-497E-8A15-98FCDF00ACA5}" name="COMISIONES" totalsRowFunction="sum" dataDxfId="140" totalsRowDxfId="125" dataCellStyle="Millares"/>
    <tableColumn id="2" xr3:uid="{6B1E7D9E-FE9C-4A1C-AB6F-FCADE8636FA8}" name="IVA 21" totalsRowFunction="sum" dataDxfId="139" totalsRowDxfId="124" dataCellStyle="Millares">
      <calculatedColumnFormula>Tabla356849[[#This Row],[COMISIONES]]*0.21</calculatedColumnFormula>
    </tableColumn>
    <tableColumn id="3" xr3:uid="{A6CE66B5-8A88-457C-AFDD-8CC54079F80E}" name="IVA 10,5" totalsRowFunction="sum" dataDxfId="138" totalsRowDxfId="123" dataCellStyle="Millares"/>
    <tableColumn id="4" xr3:uid="{C534E560-4679-4F8F-A79F-80C1A6807813}" name="Ret IIBB Caba" totalsRowFunction="sum" dataDxfId="137" totalsRowDxfId="122" dataCellStyle="Millares"/>
    <tableColumn id="5" xr3:uid="{22844434-3E18-4464-BECD-B6870D361D29}" name="PERC IVA" totalsRowFunction="sum" dataDxfId="136" totalsRowDxfId="121" dataCellStyle="Millare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E1428DD-70C7-4568-9D58-6719ADF7DEFB}" name="Tabla34550" displayName="Tabla34550" ref="H53:L91" totalsRowCount="1" headerRowDxfId="109" dataDxfId="108" totalsRowDxfId="107" tableBorderDxfId="106" dataCellStyle="Millares">
  <autoFilter ref="H53:L90" xr:uid="{EE1428DD-70C7-4568-9D58-6719ADF7DEFB}"/>
  <tableColumns count="5">
    <tableColumn id="1" xr3:uid="{185EFAC8-1459-49D3-AE26-E500BCC31FE6}" name="COMISIONES" totalsRowFunction="sum" dataDxfId="105" totalsRowDxfId="100" dataCellStyle="Millares"/>
    <tableColumn id="2" xr3:uid="{2DFCA6A9-776E-48D1-9AAF-1FB33DD1CBC0}" name="IVA 21" totalsRowFunction="sum" dataDxfId="104" totalsRowDxfId="99" dataCellStyle="Millares">
      <calculatedColumnFormula>Tabla34550[[#This Row],[COMISIONES]]*0.21</calculatedColumnFormula>
    </tableColumn>
    <tableColumn id="3" xr3:uid="{FCBEB955-2870-448D-82DC-04108A73660D}" name="IVA 10,5" totalsRowFunction="sum" dataDxfId="101" totalsRowDxfId="98" dataCellStyle="Millares">
      <calculatedColumnFormula>Tabla34550[[#This Row],[COMISIONES]]*0.105</calculatedColumnFormula>
    </tableColumn>
    <tableColumn id="4" xr3:uid="{8A6742F9-5815-4068-9666-FB6C6F668F82}" name="Ret IIBB Caba" totalsRowFunction="sum" dataDxfId="103" totalsRowDxfId="97" dataCellStyle="Millares"/>
    <tableColumn id="5" xr3:uid="{1CDC982B-89AA-4764-9F2B-3CC28FC50553}" name="PERC IVA" totalsRowFunction="sum" dataDxfId="102" totalsRowDxfId="96" dataCellStyle="Millare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8D9A71A-2BCA-46E6-8B12-D08DD0C112C3}" name="Tabla14451" displayName="Tabla14451" ref="B12:F58" totalsRowCount="1" headerRowDxfId="89" totalsRowDxfId="88">
  <autoFilter ref="B12:F57" xr:uid="{00000000-0009-0000-0100-000001000000}"/>
  <tableColumns count="5">
    <tableColumn id="1" xr3:uid="{14BA5DD4-CF36-425A-9FB9-5CD0E062557A}" name="COMISIONES" totalsRowFunction="sum" dataDxfId="87" totalsRowDxfId="30"/>
    <tableColumn id="2" xr3:uid="{B246BCF9-0F42-4B80-8EF6-F7EA8FC8092A}" name="IVA 21" totalsRowFunction="sum" dataDxfId="86" totalsRowDxfId="29">
      <calculatedColumnFormula>Tabla14451[[#This Row],[COMISIONES]]*0.21</calculatedColumnFormula>
    </tableColumn>
    <tableColumn id="3" xr3:uid="{1CA393E0-DD52-4941-B316-B94833978F87}" name="IVA 10,5" totalsRowFunction="sum" dataDxfId="85" totalsRowDxfId="28"/>
    <tableColumn id="4" xr3:uid="{442CF763-131A-4EA7-99C0-003391862758}" name="Ret IIBB Caba" totalsRowFunction="sum" dataDxfId="84" totalsRowDxfId="27"/>
    <tableColumn id="5" xr3:uid="{12974AE1-79FF-42E3-B882-607C746EB4E5}" name="PERC IVA" totalsRowFunction="sum" totalsRowDxfId="26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8A45EA7-DFEA-4867-9EA3-91D560006E72}" name="Tabla34552" displayName="Tabla34552" ref="H12:L50" totalsRowCount="1" headerRowDxfId="83" dataDxfId="82" totalsRowDxfId="81" tableBorderDxfId="80" dataCellStyle="Millares">
  <autoFilter ref="H12:L49" xr:uid="{00000000-0009-0000-0100-000003000000}"/>
  <tableColumns count="5">
    <tableColumn id="1" xr3:uid="{BB24E32E-2F43-4C5B-8159-A319C0AA5619}" name="COMISIONES" totalsRowFunction="sum" dataDxfId="79" totalsRowDxfId="25" dataCellStyle="Millares"/>
    <tableColumn id="2" xr3:uid="{CE97BA03-6532-42F0-8B16-10F583FD537A}" name="IVA 21" totalsRowFunction="sum" dataDxfId="78" totalsRowDxfId="24" dataCellStyle="Millares">
      <calculatedColumnFormula>Tabla34552[[#This Row],[COMISIONES]]*0.21</calculatedColumnFormula>
    </tableColumn>
    <tableColumn id="3" xr3:uid="{2A91D266-3DBF-4264-83B0-D4788B76B135}" name="IVA 10,5" totalsRowFunction="sum" dataDxfId="77" totalsRowDxfId="23" dataCellStyle="Millares"/>
    <tableColumn id="4" xr3:uid="{F6A12D24-74D3-4181-AE4D-BB1109F5CF03}" name="Ret IIBB Caba" totalsRowFunction="sum" dataDxfId="76" totalsRowDxfId="22" dataCellStyle="Millares">
      <calculatedColumnFormula>686.45+674.4</calculatedColumnFormula>
    </tableColumn>
    <tableColumn id="5" xr3:uid="{89B596CC-D1BB-4B7F-9B5F-97791384CEFC}" name="PERC IVA" totalsRowFunction="sum" dataDxfId="75" totalsRowDxfId="21" dataCellStyle="Millares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B2AD7CF-D2D0-4E32-93D2-9CBF19B4870B}" name="Tabla354653" displayName="Tabla354653" ref="N12:R132" totalsRowCount="1" headerRowDxfId="74" dataDxfId="73" totalsRowDxfId="72" tableBorderDxfId="71" dataCellStyle="Millares">
  <autoFilter ref="N12:R131" xr:uid="{00000000-0009-0000-0100-000004000000}"/>
  <tableColumns count="5">
    <tableColumn id="1" xr3:uid="{432FB409-1105-4CB4-872F-6CB0BB9B777D}" name="COMISIONES" totalsRowFunction="sum" dataDxfId="70" totalsRowDxfId="4" dataCellStyle="Millares"/>
    <tableColumn id="2" xr3:uid="{C524BEFA-467A-438A-8450-7133D0E622F7}" name="IVA 21" totalsRowFunction="sum" dataDxfId="69" totalsRowDxfId="3" dataCellStyle="Millares">
      <calculatedColumnFormula>Tabla354653[[#This Row],[COMISIONES]]*0.21</calculatedColumnFormula>
    </tableColumn>
    <tableColumn id="3" xr3:uid="{7D97114D-AB38-4D65-AA06-10D28208A76B}" name="IVA 10,5" totalsRowFunction="sum" dataDxfId="68" totalsRowDxfId="2" dataCellStyle="Millares"/>
    <tableColumn id="4" xr3:uid="{815932F5-3906-4559-97E1-BE424478FDEC}" name="Ret IIBB Caba" totalsRowFunction="sum" dataDxfId="67" totalsRowDxfId="1" dataCellStyle="Millares"/>
    <tableColumn id="5" xr3:uid="{7BEAA42A-CB1A-451C-A543-C0E71EE39E4C}" name="PERC IVA" totalsRowFunction="sum" dataDxfId="5" totalsRowDxfId="0" dataCellStyle="Millares">
      <calculatedColumnFormula>106.37+25.72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03F238D-4925-44B5-9D17-51CBF011B19C}" name="Tabla3564754" displayName="Tabla3564754" ref="T12:X28" totalsRowCount="1" headerRowDxfId="66" dataDxfId="65" totalsRowDxfId="64" tableBorderDxfId="63" dataCellStyle="Millares">
  <autoFilter ref="T12:X27" xr:uid="{00000000-0009-0000-0100-000005000000}"/>
  <tableColumns count="5">
    <tableColumn id="1" xr3:uid="{E9C45259-0A5E-4738-BFB1-323A1709CB77}" name="COMISIONES" totalsRowFunction="sum" dataDxfId="61" totalsRowDxfId="62" dataCellStyle="Millares"/>
    <tableColumn id="2" xr3:uid="{BEA1D1BC-8AD0-49E1-B6AA-C4BB7C8D7D9E}" name="IVA 21" totalsRowFunction="sum" dataDxfId="59" totalsRowDxfId="60" dataCellStyle="Millares">
      <calculatedColumnFormula>Tabla3564754[[#This Row],[COMISIONES]]*0.21</calculatedColumnFormula>
    </tableColumn>
    <tableColumn id="3" xr3:uid="{ED69D1D3-1581-42F9-B0B9-F2EC729C563A}" name="IVA 10,5" totalsRowFunction="sum" dataDxfId="57" totalsRowDxfId="58" dataCellStyle="Millares"/>
    <tableColumn id="4" xr3:uid="{D4A6108C-84EF-40B4-8F37-1D194CDB87B8}" name="Ret IIBB Caba" totalsRowFunction="sum" dataDxfId="55" totalsRowDxfId="56" dataCellStyle="Millares"/>
    <tableColumn id="5" xr3:uid="{56B09265-0481-49EB-804C-BC23A5CFCA0C}" name="PERC IVA" totalsRowFunction="sum" dataDxfId="53" totalsRowDxfId="54" dataCellStyle="Millares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5FFDF19-DC50-4132-A3E0-F47DD57E86D0}" name="Tabla64855" displayName="Tabla64855" ref="T30:X59" totalsRowCount="1" headerRowDxfId="52" totalsRowDxfId="51">
  <autoFilter ref="T30:X58" xr:uid="{00000000-0009-0000-0100-000006000000}"/>
  <tableColumns count="5">
    <tableColumn id="1" xr3:uid="{35A398EB-9EB4-47F0-8DF6-9576A31DDE30}" name="COMISIONES" totalsRowFunction="sum" totalsRowDxfId="20"/>
    <tableColumn id="2" xr3:uid="{22F88E95-64F4-48FD-8CC8-02729D59347C}" name="IVA 21" totalsRowFunction="sum" dataDxfId="50" totalsRowDxfId="19">
      <calculatedColumnFormula>Tabla64855[[#This Row],[COMISIONES]]*0.21</calculatedColumnFormula>
    </tableColumn>
    <tableColumn id="3" xr3:uid="{AFAFE8E0-4EEB-4B80-9D10-E02B403E6BF6}" name="IVA 10,5" totalsRowFunction="sum" dataDxfId="49" totalsRowDxfId="18">
      <calculatedColumnFormula>Tabla64855[[#This Row],[COMISIONES]]*0.105</calculatedColumnFormula>
    </tableColumn>
    <tableColumn id="4" xr3:uid="{92983521-0E82-4EFB-ADF0-6B2A667BA01D}" name="Perc IIBB Caba" totalsRowFunction="sum" totalsRowDxfId="17"/>
    <tableColumn id="5" xr3:uid="{6A2FCAF5-F449-49E1-840F-B31113657386}" name="PERC IVA" totalsRowFunction="sum" totalsRowDxfId="16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B79797E-DA56-4E2A-9508-76E6BAAB74C8}" name="Tabla35684956" displayName="Tabla35684956" ref="Z12:AD34" totalsRowCount="1" headerRowDxfId="48" dataDxfId="47" totalsRowDxfId="46" tableBorderDxfId="45" dataCellStyle="Millares">
  <autoFilter ref="Z12:AD33" xr:uid="{00000000-0009-0000-0100-000007000000}"/>
  <tableColumns count="5">
    <tableColumn id="1" xr3:uid="{44080DA8-F540-4F6A-8732-914096F5DF0F}" name="COMISIONES" totalsRowFunction="sum" dataDxfId="44" totalsRowDxfId="10" dataCellStyle="Millares"/>
    <tableColumn id="2" xr3:uid="{22A21D99-3A78-4A08-90F2-61AFCC0405A2}" name="IVA 21" totalsRowFunction="sum" dataDxfId="43" totalsRowDxfId="9" dataCellStyle="Millares">
      <calculatedColumnFormula>Tabla35684956[[#This Row],[COMISIONES]]*0.21</calculatedColumnFormula>
    </tableColumn>
    <tableColumn id="3" xr3:uid="{E9155BB3-2006-4470-AE83-8CF18648E005}" name="IVA 10,5" totalsRowFunction="sum" dataDxfId="42" totalsRowDxfId="8" dataCellStyle="Millares"/>
    <tableColumn id="4" xr3:uid="{8CC8085B-5F97-4796-85FD-8C8A279C4907}" name="Ret IIBB Caba" totalsRowFunction="sum" dataDxfId="41" totalsRowDxfId="7" dataCellStyle="Millares"/>
    <tableColumn id="5" xr3:uid="{9589FD12-1AA0-46E4-A5CD-902691829C1A}" name="PERC IVA" totalsRowFunction="sum" dataDxfId="40" totalsRowDxfId="6" dataCellStyle="Millare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0ED5B13-8344-43C1-BB8B-0B2571BADDD2}" name="Tabla3455057" displayName="Tabla3455057" ref="H53:L91" totalsRowCount="1" headerRowDxfId="39" dataDxfId="38" totalsRowDxfId="37" tableBorderDxfId="36" dataCellStyle="Millares">
  <autoFilter ref="H53:L90" xr:uid="{EE1428DD-70C7-4568-9D58-6719ADF7DEFB}"/>
  <tableColumns count="5">
    <tableColumn id="1" xr3:uid="{54BA0531-247A-4457-878A-A48A5C061AC0}" name="COMISIONES" totalsRowFunction="sum" dataDxfId="35" totalsRowDxfId="15" dataCellStyle="Millares"/>
    <tableColumn id="2" xr3:uid="{F3DD3E3C-384E-4044-A108-41AA6250809D}" name="IVA 21" totalsRowFunction="sum" dataDxfId="34" totalsRowDxfId="14" dataCellStyle="Millares">
      <calculatedColumnFormula>Tabla3455057[[#This Row],[COMISIONES]]*0.21</calculatedColumnFormula>
    </tableColumn>
    <tableColumn id="3" xr3:uid="{FB1417E6-6829-49DB-84D0-3CBA831E15F3}" name="IVA 10,5" totalsRowFunction="sum" dataDxfId="33" totalsRowDxfId="13" dataCellStyle="Millares">
      <calculatedColumnFormula>Tabla3455057[[#This Row],[COMISIONES]]*0.105</calculatedColumnFormula>
    </tableColumn>
    <tableColumn id="4" xr3:uid="{DEADC9B1-7332-4144-A815-16597E298BCD}" name="Ret IIBB Caba" totalsRowFunction="sum" dataDxfId="32" totalsRowDxfId="12" dataCellStyle="Millares"/>
    <tableColumn id="5" xr3:uid="{B9C5E14E-ECAC-4B00-95BD-46BBA77CA5A3}" name="PERC IVA" totalsRowFunction="sum" dataDxfId="31" totalsRowDxfId="11" dataCellStyle="Millare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11:F57" totalsRowCount="1" headerRowDxfId="710" totalsRowDxfId="709">
  <autoFilter ref="B11:F56" xr:uid="{00000000-0009-0000-0100-000001000000}"/>
  <tableColumns count="5">
    <tableColumn id="1" xr3:uid="{00000000-0010-0000-0000-000001000000}" name="COMISIONES" totalsRowFunction="sum" dataDxfId="708" totalsRowDxfId="707"/>
    <tableColumn id="2" xr3:uid="{00000000-0010-0000-0000-000002000000}" name="IVA 21" totalsRowFunction="sum" dataDxfId="706" totalsRowDxfId="705">
      <calculatedColumnFormula>Tabla1[[#This Row],[COMISIONES]]*0.21</calculatedColumnFormula>
    </tableColumn>
    <tableColumn id="3" xr3:uid="{00000000-0010-0000-0000-000003000000}" name="IVA 10,5" totalsRowFunction="sum" dataDxfId="704" totalsRowDxfId="703"/>
    <tableColumn id="4" xr3:uid="{00000000-0010-0000-0000-000004000000}" name="Ret IIBB Caba" totalsRowFunction="sum" dataDxfId="702" totalsRowDxfId="701"/>
    <tableColumn id="5" xr3:uid="{00000000-0010-0000-0000-000005000000}" name="PERC IVA" totalsRowFunction="sum" totalsRowDxfId="700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H11:L49" totalsRowCount="1" headerRowDxfId="699" dataDxfId="698" totalsRowDxfId="696" tableBorderDxfId="697" dataCellStyle="Millares">
  <autoFilter ref="H11:L48" xr:uid="{00000000-0009-0000-0100-000003000000}"/>
  <tableColumns count="5">
    <tableColumn id="1" xr3:uid="{00000000-0010-0000-0100-000001000000}" name="COMISIONES" totalsRowFunction="sum" dataDxfId="695" totalsRowDxfId="694" dataCellStyle="Millares"/>
    <tableColumn id="2" xr3:uid="{00000000-0010-0000-0100-000002000000}" name="IVA 21" totalsRowFunction="sum" dataDxfId="693" totalsRowDxfId="692" dataCellStyle="Millares">
      <calculatedColumnFormula>Tabla3[[#This Row],[COMISIONES]]*0.21</calculatedColumnFormula>
    </tableColumn>
    <tableColumn id="3" xr3:uid="{00000000-0010-0000-0100-000003000000}" name="IVA 10,5" totalsRowFunction="sum" dataDxfId="691" totalsRowDxfId="690" dataCellStyle="Millares"/>
    <tableColumn id="4" xr3:uid="{00000000-0010-0000-0100-000004000000}" name="Ret IIBB Caba" totalsRowFunction="sum" dataDxfId="689" totalsRowDxfId="688" dataCellStyle="Millares"/>
    <tableColumn id="5" xr3:uid="{00000000-0010-0000-0100-000005000000}" name="PERC IVA" totalsRowFunction="sum" dataDxfId="687" totalsRowDxfId="686" dataCellStyle="Millare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35" displayName="Tabla35" ref="N11:R131" totalsRowCount="1" headerRowDxfId="685" dataDxfId="684" totalsRowDxfId="682" tableBorderDxfId="683" dataCellStyle="Millares">
  <autoFilter ref="N11:R130" xr:uid="{00000000-0009-0000-0100-000004000000}"/>
  <tableColumns count="5">
    <tableColumn id="1" xr3:uid="{00000000-0010-0000-0200-000001000000}" name="COMISIONES" totalsRowFunction="sum" dataDxfId="681" totalsRowDxfId="680" dataCellStyle="Millares"/>
    <tableColumn id="2" xr3:uid="{00000000-0010-0000-0200-000002000000}" name="IVA 21" totalsRowFunction="sum" dataDxfId="679" totalsRowDxfId="678" dataCellStyle="Millares">
      <calculatedColumnFormula>Tabla35[[#This Row],[COMISIONES]]*0.21</calculatedColumnFormula>
    </tableColumn>
    <tableColumn id="3" xr3:uid="{00000000-0010-0000-0200-000003000000}" name="IVA 10,5" totalsRowFunction="sum" dataDxfId="677" totalsRowDxfId="676" dataCellStyle="Millares"/>
    <tableColumn id="4" xr3:uid="{00000000-0010-0000-0200-000004000000}" name="Ret IIBB Caba" totalsRowFunction="sum" dataDxfId="675" totalsRowDxfId="674" dataCellStyle="Millares"/>
    <tableColumn id="5" xr3:uid="{00000000-0010-0000-0200-000005000000}" name="PERC IVA" totalsRowFunction="sum" dataDxfId="673" totalsRowDxfId="672" dataCellStyle="Millares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a356" displayName="Tabla356" ref="T11:X27" totalsRowCount="1" headerRowDxfId="671" dataDxfId="670" totalsRowDxfId="668" tableBorderDxfId="669" dataCellStyle="Millares">
  <autoFilter ref="T11:X26" xr:uid="{00000000-0009-0000-0100-000005000000}"/>
  <tableColumns count="5">
    <tableColumn id="1" xr3:uid="{00000000-0010-0000-0300-000001000000}" name="COMISIONES" totalsRowFunction="sum" dataDxfId="667" totalsRowDxfId="666" dataCellStyle="Millares"/>
    <tableColumn id="2" xr3:uid="{00000000-0010-0000-0300-000002000000}" name="IVA 21" totalsRowFunction="sum" dataDxfId="665" totalsRowDxfId="664" dataCellStyle="Millares">
      <calculatedColumnFormula>Tabla356[[#This Row],[COMISIONES]]*0.21</calculatedColumnFormula>
    </tableColumn>
    <tableColumn id="3" xr3:uid="{00000000-0010-0000-0300-000003000000}" name="IVA 10,5" totalsRowFunction="sum" dataDxfId="663" totalsRowDxfId="662" dataCellStyle="Millares"/>
    <tableColumn id="4" xr3:uid="{00000000-0010-0000-0300-000004000000}" name="Ret IIBB Caba" totalsRowFunction="sum" dataDxfId="661" totalsRowDxfId="660" dataCellStyle="Millares"/>
    <tableColumn id="5" xr3:uid="{00000000-0010-0000-0300-000005000000}" name="PERC IVA" totalsRowFunction="sum" dataDxfId="659" totalsRowDxfId="658" dataCellStyle="Millares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a6" displayName="Tabla6" ref="T29:X58" totalsRowCount="1" headerRowDxfId="657" totalsRowDxfId="656">
  <autoFilter ref="T29:X57" xr:uid="{00000000-0009-0000-0100-000006000000}"/>
  <tableColumns count="5">
    <tableColumn id="1" xr3:uid="{00000000-0010-0000-0400-000001000000}" name="COMISIONES" totalsRowFunction="sum" totalsRowDxfId="655"/>
    <tableColumn id="2" xr3:uid="{00000000-0010-0000-0400-000002000000}" name="IVA 21" totalsRowFunction="sum" dataDxfId="654" totalsRowDxfId="653">
      <calculatedColumnFormula>Tabla6[[#This Row],[COMISIONES]]*0.21</calculatedColumnFormula>
    </tableColumn>
    <tableColumn id="3" xr3:uid="{00000000-0010-0000-0400-000003000000}" name="IVA 10,5" totalsRowFunction="sum" totalsRowDxfId="652"/>
    <tableColumn id="4" xr3:uid="{00000000-0010-0000-0400-000004000000}" name="Ret IIBB Caba" totalsRowFunction="sum" totalsRowDxfId="651"/>
    <tableColumn id="5" xr3:uid="{00000000-0010-0000-0400-000005000000}" name="PERC IVA" totalsRowFunction="sum" totalsRowDxfId="650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3568" displayName="Tabla3568" ref="Z11:AD33" totalsRowCount="1" headerRowDxfId="649" dataDxfId="648" totalsRowDxfId="646" tableBorderDxfId="647" dataCellStyle="Millares">
  <autoFilter ref="Z11:AD32" xr:uid="{00000000-0009-0000-0100-000007000000}"/>
  <tableColumns count="5">
    <tableColumn id="1" xr3:uid="{00000000-0010-0000-0500-000001000000}" name="COMISIONES" totalsRowFunction="sum" dataDxfId="645" totalsRowDxfId="644" dataCellStyle="Millares"/>
    <tableColumn id="2" xr3:uid="{00000000-0010-0000-0500-000002000000}" name="IVA 21" totalsRowFunction="sum" dataDxfId="643" totalsRowDxfId="642" dataCellStyle="Millares">
      <calculatedColumnFormula>Tabla3568[[#This Row],[COMISIONES]]*0.21</calculatedColumnFormula>
    </tableColumn>
    <tableColumn id="3" xr3:uid="{00000000-0010-0000-0500-000003000000}" name="IVA 10,5" totalsRowFunction="sum" dataDxfId="641" totalsRowDxfId="640" dataCellStyle="Millares"/>
    <tableColumn id="4" xr3:uid="{00000000-0010-0000-0500-000004000000}" name="Ret IIBB Caba" totalsRowFunction="sum" dataDxfId="639" totalsRowDxfId="638" dataCellStyle="Millares"/>
    <tableColumn id="5" xr3:uid="{00000000-0010-0000-0500-000005000000}" name="PERC IVA" totalsRowFunction="sum" dataDxfId="637" totalsRowDxfId="636" dataCellStyle="Millares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a13" displayName="Tabla13" ref="B11:F57" totalsRowCount="1" headerRowDxfId="635" totalsRowDxfId="634">
  <autoFilter ref="B11:F56" xr:uid="{00000000-0009-0000-0100-000002000000}"/>
  <tableColumns count="5">
    <tableColumn id="1" xr3:uid="{00000000-0010-0000-0600-000001000000}" name="COMISIONES" totalsRowFunction="sum" dataDxfId="633" totalsRowDxfId="632"/>
    <tableColumn id="2" xr3:uid="{00000000-0010-0000-0600-000002000000}" name="IVA 21" totalsRowFunction="sum" dataDxfId="631" totalsRowDxfId="630">
      <calculatedColumnFormula>Tabla13[[#This Row],[COMISIONES]]*0.21</calculatedColumnFormula>
    </tableColumn>
    <tableColumn id="3" xr3:uid="{00000000-0010-0000-0600-000003000000}" name="IVA 10,5" totalsRowFunction="sum" dataDxfId="629" totalsRowDxfId="628"/>
    <tableColumn id="4" xr3:uid="{00000000-0010-0000-0600-000004000000}" name="Ret IIBB Caba" totalsRowFunction="sum" dataDxfId="627" totalsRowDxfId="626"/>
    <tableColumn id="5" xr3:uid="{00000000-0010-0000-0600-000005000000}" name="PERC IVA" totalsRowFunction="sum" totalsRowDxfId="625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39" displayName="Tabla39" ref="H11:L49" totalsRowCount="1" headerRowDxfId="624" dataDxfId="623" totalsRowDxfId="621" tableBorderDxfId="622" dataCellStyle="Millares">
  <autoFilter ref="H11:L48" xr:uid="{00000000-0009-0000-0100-000008000000}"/>
  <tableColumns count="5">
    <tableColumn id="1" xr3:uid="{00000000-0010-0000-0700-000001000000}" name="COMISIONES" totalsRowFunction="sum" dataDxfId="620" totalsRowDxfId="619" dataCellStyle="Millares"/>
    <tableColumn id="2" xr3:uid="{00000000-0010-0000-0700-000002000000}" name="IVA 21" totalsRowFunction="sum" dataDxfId="618" totalsRowDxfId="617" dataCellStyle="Millares">
      <calculatedColumnFormula>Tabla39[[#This Row],[COMISIONES]]*0.21</calculatedColumnFormula>
    </tableColumn>
    <tableColumn id="3" xr3:uid="{00000000-0010-0000-0700-000003000000}" name="IVA 10,5" totalsRowFunction="sum" dataDxfId="616" totalsRowDxfId="615" dataCellStyle="Millares"/>
    <tableColumn id="4" xr3:uid="{00000000-0010-0000-0700-000004000000}" name="Ret IIBB Caba" totalsRowFunction="sum" dataDxfId="614" totalsRowDxfId="613" dataCellStyle="Millares"/>
    <tableColumn id="5" xr3:uid="{00000000-0010-0000-0700-000005000000}" name="PERC IVA" totalsRowFunction="sum" dataDxfId="612" totalsRowDxfId="611" dataCellStyle="Millares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3510" displayName="Tabla3510" ref="N11:R131" totalsRowCount="1" headerRowDxfId="610" dataDxfId="609" totalsRowDxfId="607" tableBorderDxfId="608" dataCellStyle="Millares">
  <autoFilter ref="N11:R130" xr:uid="{00000000-0009-0000-0100-000009000000}"/>
  <tableColumns count="5">
    <tableColumn id="1" xr3:uid="{00000000-0010-0000-0800-000001000000}" name="COMISIONES" totalsRowFunction="sum" dataDxfId="606" totalsRowDxfId="605" dataCellStyle="Millares"/>
    <tableColumn id="2" xr3:uid="{00000000-0010-0000-0800-000002000000}" name="IVA 21" totalsRowFunction="sum" dataDxfId="604" totalsRowDxfId="603" dataCellStyle="Millares">
      <calculatedColumnFormula>Tabla3510[[#This Row],[COMISIONES]]*0.21</calculatedColumnFormula>
    </tableColumn>
    <tableColumn id="3" xr3:uid="{00000000-0010-0000-0800-000003000000}" name="IVA 10,5" totalsRowFunction="sum" dataDxfId="602" totalsRowDxfId="601" dataCellStyle="Millares"/>
    <tableColumn id="4" xr3:uid="{00000000-0010-0000-0800-000004000000}" name="Ret IIBB Caba" totalsRowFunction="sum" dataDxfId="600" totalsRowDxfId="599" dataCellStyle="Millares"/>
    <tableColumn id="5" xr3:uid="{00000000-0010-0000-0800-000005000000}" name="PERC IVA" totalsRowFunction="sum" dataDxfId="598" totalsRowDxfId="597" dataCellStyle="Millares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35611" displayName="Tabla35611" ref="T11:X27" totalsRowCount="1" headerRowDxfId="596" dataDxfId="595" totalsRowDxfId="593" tableBorderDxfId="594" dataCellStyle="Millares">
  <autoFilter ref="T11:X26" xr:uid="{00000000-0009-0000-0100-00000A000000}"/>
  <tableColumns count="5">
    <tableColumn id="1" xr3:uid="{00000000-0010-0000-0900-000001000000}" name="COMISIONES" totalsRowFunction="sum" dataDxfId="592" totalsRowDxfId="591" dataCellStyle="Millares"/>
    <tableColumn id="2" xr3:uid="{00000000-0010-0000-0900-000002000000}" name="IVA 21" totalsRowFunction="sum" dataDxfId="590" totalsRowDxfId="589" dataCellStyle="Millares">
      <calculatedColumnFormula>Tabla35611[[#This Row],[COMISIONES]]*0.21</calculatedColumnFormula>
    </tableColumn>
    <tableColumn id="3" xr3:uid="{00000000-0010-0000-0900-000003000000}" name="IVA 10,5" totalsRowFunction="sum" dataDxfId="588" totalsRowDxfId="587" dataCellStyle="Millares"/>
    <tableColumn id="4" xr3:uid="{00000000-0010-0000-0900-000004000000}" name="Ret IIBB Caba" totalsRowFunction="sum" dataDxfId="586" totalsRowDxfId="585" dataCellStyle="Millares"/>
    <tableColumn id="5" xr3:uid="{00000000-0010-0000-0900-000005000000}" name="PERC IVA" totalsRowFunction="sum" dataDxfId="584" totalsRowDxfId="583" dataCellStyle="Millares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612" displayName="Tabla612" ref="T29:X58" totalsRowCount="1" headerRowDxfId="582" totalsRowDxfId="581">
  <autoFilter ref="T29:X57" xr:uid="{00000000-0009-0000-0100-00000B000000}"/>
  <tableColumns count="5">
    <tableColumn id="1" xr3:uid="{00000000-0010-0000-0A00-000001000000}" name="COMISIONES" totalsRowFunction="sum" totalsRowDxfId="580"/>
    <tableColumn id="2" xr3:uid="{00000000-0010-0000-0A00-000002000000}" name="IVA 21" totalsRowFunction="sum" dataDxfId="579" totalsRowDxfId="578">
      <calculatedColumnFormula>Tabla612[[#This Row],[COMISIONES]]*0.21</calculatedColumnFormula>
    </tableColumn>
    <tableColumn id="3" xr3:uid="{00000000-0010-0000-0A00-000003000000}" name="IVA 10,5" totalsRowFunction="sum" totalsRowDxfId="577"/>
    <tableColumn id="4" xr3:uid="{00000000-0010-0000-0A00-000004000000}" name="Ret IIBB Caba" totalsRowFunction="sum" totalsRowDxfId="576"/>
    <tableColumn id="5" xr3:uid="{00000000-0010-0000-0A00-000005000000}" name="PERC IVA" totalsRowFunction="sum" totalsRowDxfId="575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356813" displayName="Tabla356813" ref="Z11:AD167" totalsRowCount="1" headerRowDxfId="574" dataDxfId="573" totalsRowDxfId="571" tableBorderDxfId="572" dataCellStyle="Millares">
  <autoFilter ref="Z11:AD166" xr:uid="{00000000-0009-0000-0100-00000C000000}"/>
  <tableColumns count="5">
    <tableColumn id="1" xr3:uid="{00000000-0010-0000-0B00-000001000000}" name="COMISIONES" totalsRowFunction="sum" dataDxfId="570" totalsRowDxfId="569" dataCellStyle="Millares"/>
    <tableColumn id="2" xr3:uid="{00000000-0010-0000-0B00-000002000000}" name="IVA 21" totalsRowFunction="sum" dataDxfId="568" totalsRowDxfId="567" dataCellStyle="Millares">
      <calculatedColumnFormula>Tabla356813[[#This Row],[COMISIONES]]*0.21</calculatedColumnFormula>
    </tableColumn>
    <tableColumn id="3" xr3:uid="{00000000-0010-0000-0B00-000003000000}" name="IVA 10,5" totalsRowFunction="sum" dataDxfId="566" totalsRowDxfId="565" dataCellStyle="Millares"/>
    <tableColumn id="4" xr3:uid="{00000000-0010-0000-0B00-000004000000}" name="Ret IIBB Caba" totalsRowFunction="sum" dataDxfId="564" totalsRowDxfId="563" dataCellStyle="Millares"/>
    <tableColumn id="5" xr3:uid="{00000000-0010-0000-0B00-000005000000}" name="PERC IVA" totalsRowFunction="sum" dataDxfId="562" totalsRowDxfId="561" dataCellStyle="Millares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35681314" displayName="Tabla35681314" ref="AE11:AI33" totalsRowCount="1" headerRowDxfId="560" dataDxfId="559" totalsRowDxfId="557" tableBorderDxfId="558" dataCellStyle="Millares">
  <autoFilter ref="AE11:AI32" xr:uid="{00000000-0009-0000-0100-00000D000000}"/>
  <tableColumns count="5">
    <tableColumn id="1" xr3:uid="{00000000-0010-0000-0C00-000001000000}" name="COMISIONES" totalsRowFunction="sum" dataDxfId="556" totalsRowDxfId="555" dataCellStyle="Millares"/>
    <tableColumn id="2" xr3:uid="{00000000-0010-0000-0C00-000002000000}" name="IVA 21" totalsRowFunction="sum" dataDxfId="554" totalsRowDxfId="553" dataCellStyle="Millares">
      <calculatedColumnFormula>Tabla35681314[[#This Row],[COMISIONES]]*0.21</calculatedColumnFormula>
    </tableColumn>
    <tableColumn id="3" xr3:uid="{00000000-0010-0000-0C00-000003000000}" name="IVA 10,5" totalsRowFunction="sum" dataDxfId="552" totalsRowDxfId="551" dataCellStyle="Millares"/>
    <tableColumn id="4" xr3:uid="{00000000-0010-0000-0C00-000004000000}" name="Ret IIBB Caba" totalsRowFunction="sum" dataDxfId="550" totalsRowDxfId="549" dataCellStyle="Millares"/>
    <tableColumn id="5" xr3:uid="{00000000-0010-0000-0C00-000005000000}" name="PERC IVA" totalsRowFunction="sum" dataDxfId="548" totalsRowDxfId="547" dataCellStyle="Millares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3915" displayName="Tabla3915" ref="H51:L98" totalsRowCount="1" headerRowDxfId="546" dataDxfId="545" totalsRowDxfId="543" tableBorderDxfId="544" dataCellStyle="Millares">
  <autoFilter ref="H51:L97" xr:uid="{00000000-0009-0000-0100-00000E000000}"/>
  <tableColumns count="5">
    <tableColumn id="1" xr3:uid="{00000000-0010-0000-0D00-000001000000}" name="COMISIONES" totalsRowFunction="sum" dataDxfId="542" totalsRowDxfId="541" dataCellStyle="Millares"/>
    <tableColumn id="2" xr3:uid="{00000000-0010-0000-0D00-000002000000}" name="IVA 21" totalsRowFunction="sum" dataDxfId="540" totalsRowDxfId="539" dataCellStyle="Millares">
      <calculatedColumnFormula>Tabla3915[[#This Row],[COMISIONES]]*0.21</calculatedColumnFormula>
    </tableColumn>
    <tableColumn id="3" xr3:uid="{00000000-0010-0000-0D00-000003000000}" name="IVA 10,5" totalsRowFunction="sum" dataDxfId="538" totalsRowDxfId="537" dataCellStyle="Millares"/>
    <tableColumn id="4" xr3:uid="{00000000-0010-0000-0D00-000004000000}" name="Ret IIBB Caba" totalsRowFunction="sum" dataDxfId="536" totalsRowDxfId="535" dataCellStyle="Millares"/>
    <tableColumn id="5" xr3:uid="{00000000-0010-0000-0D00-000005000000}" name="PERC IVA" totalsRowFunction="sum" dataDxfId="534" totalsRowDxfId="533" dataCellStyle="Millares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1316" displayName="Tabla1316" ref="B11:F57" totalsRowCount="1" headerRowDxfId="532" totalsRowDxfId="531">
  <autoFilter ref="B11:F56" xr:uid="{00000000-0009-0000-0100-00000F000000}"/>
  <tableColumns count="5">
    <tableColumn id="1" xr3:uid="{00000000-0010-0000-0E00-000001000000}" name="COMISIONES" totalsRowFunction="sum" dataDxfId="530" totalsRowDxfId="529"/>
    <tableColumn id="2" xr3:uid="{00000000-0010-0000-0E00-000002000000}" name="IVA 21" totalsRowFunction="sum" dataDxfId="528" totalsRowDxfId="527">
      <calculatedColumnFormula>Tabla1316[[#This Row],[COMISIONES]]*0.21</calculatedColumnFormula>
    </tableColumn>
    <tableColumn id="3" xr3:uid="{00000000-0010-0000-0E00-000003000000}" name="IVA 10,5" totalsRowFunction="sum" dataDxfId="526" totalsRowDxfId="525"/>
    <tableColumn id="4" xr3:uid="{00000000-0010-0000-0E00-000004000000}" name="Ret IIBB Caba" totalsRowFunction="sum" dataDxfId="524" totalsRowDxfId="523"/>
    <tableColumn id="5" xr3:uid="{00000000-0010-0000-0E00-000005000000}" name="PERC IVA" totalsRowFunction="sum" totalsRowDxfId="522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3917" displayName="Tabla3917" ref="H11:L49" totalsRowCount="1" headerRowDxfId="521" dataDxfId="520" totalsRowDxfId="518" tableBorderDxfId="519" dataCellStyle="Millares">
  <autoFilter ref="H11:L48" xr:uid="{00000000-0009-0000-0100-000010000000}"/>
  <tableColumns count="5">
    <tableColumn id="1" xr3:uid="{00000000-0010-0000-0F00-000001000000}" name="COMISIONES" totalsRowFunction="sum" dataDxfId="517" totalsRowDxfId="516" dataCellStyle="Millares"/>
    <tableColumn id="2" xr3:uid="{00000000-0010-0000-0F00-000002000000}" name="IVA 21" totalsRowFunction="sum" dataDxfId="515" totalsRowDxfId="514" dataCellStyle="Millares">
      <calculatedColumnFormula>Tabla3917[[#This Row],[COMISIONES]]*0.21</calculatedColumnFormula>
    </tableColumn>
    <tableColumn id="3" xr3:uid="{00000000-0010-0000-0F00-000003000000}" name="IVA 10,5" totalsRowFunction="sum" dataDxfId="513" totalsRowDxfId="512" dataCellStyle="Millares"/>
    <tableColumn id="4" xr3:uid="{00000000-0010-0000-0F00-000004000000}" name="Ret IIBB Caba" totalsRowFunction="sum" dataDxfId="511" totalsRowDxfId="510" dataCellStyle="Millares"/>
    <tableColumn id="5" xr3:uid="{00000000-0010-0000-0F00-000005000000}" name="PERC IVA" totalsRowFunction="sum" dataDxfId="509" totalsRowDxfId="508" dataCellStyle="Millares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a351018" displayName="Tabla351018" ref="N11:R131" totalsRowCount="1" headerRowDxfId="507" dataDxfId="506" totalsRowDxfId="504" tableBorderDxfId="505" dataCellStyle="Millares">
  <autoFilter ref="N11:R130" xr:uid="{00000000-0009-0000-0100-000011000000}"/>
  <tableColumns count="5">
    <tableColumn id="1" xr3:uid="{00000000-0010-0000-1000-000001000000}" name="COMISIONES" totalsRowFunction="sum" dataDxfId="503" totalsRowDxfId="502" dataCellStyle="Millares"/>
    <tableColumn id="2" xr3:uid="{00000000-0010-0000-1000-000002000000}" name="IVA 21" totalsRowFunction="sum" dataDxfId="501" totalsRowDxfId="500" dataCellStyle="Millares">
      <calculatedColumnFormula>Tabla351018[[#This Row],[COMISIONES]]*0.21</calculatedColumnFormula>
    </tableColumn>
    <tableColumn id="3" xr3:uid="{00000000-0010-0000-1000-000003000000}" name="IVA 10,5" totalsRowFunction="sum" dataDxfId="499" totalsRowDxfId="498" dataCellStyle="Millares"/>
    <tableColumn id="4" xr3:uid="{00000000-0010-0000-1000-000004000000}" name="Ret IIBB Caba" totalsRowFunction="sum" dataDxfId="497" totalsRowDxfId="496" dataCellStyle="Millares"/>
    <tableColumn id="5" xr3:uid="{00000000-0010-0000-1000-000005000000}" name="PERC IVA" totalsRowFunction="sum" dataDxfId="495" totalsRowDxfId="494" dataCellStyle="Millares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a3561119" displayName="Tabla3561119" ref="T11:X27" totalsRowCount="1" headerRowDxfId="493" dataDxfId="492" totalsRowDxfId="490" tableBorderDxfId="491" dataCellStyle="Millares">
  <autoFilter ref="T11:X26" xr:uid="{00000000-0009-0000-0100-000012000000}"/>
  <tableColumns count="5">
    <tableColumn id="1" xr3:uid="{00000000-0010-0000-1100-000001000000}" name="COMISIONES" totalsRowFunction="sum" dataDxfId="489" totalsRowDxfId="488" dataCellStyle="Millares"/>
    <tableColumn id="2" xr3:uid="{00000000-0010-0000-1100-000002000000}" name="IVA 21" totalsRowFunction="sum" dataDxfId="487" totalsRowDxfId="486" dataCellStyle="Millares">
      <calculatedColumnFormula>Tabla3561119[[#This Row],[COMISIONES]]*0.21</calculatedColumnFormula>
    </tableColumn>
    <tableColumn id="3" xr3:uid="{00000000-0010-0000-1100-000003000000}" name="IVA 10,5" totalsRowFunction="sum" dataDxfId="485" totalsRowDxfId="484" dataCellStyle="Millares"/>
    <tableColumn id="4" xr3:uid="{00000000-0010-0000-1100-000004000000}" name="Ret IIBB Caba" totalsRowFunction="sum" dataDxfId="483" totalsRowDxfId="482" dataCellStyle="Millares"/>
    <tableColumn id="5" xr3:uid="{00000000-0010-0000-1100-000005000000}" name="PERC IVA" totalsRowFunction="sum" dataDxfId="481" totalsRowDxfId="480" dataCellStyle="Millares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61220" displayName="Tabla61220" ref="T29:X58" totalsRowCount="1" headerRowDxfId="479" totalsRowDxfId="478">
  <autoFilter ref="T29:X57" xr:uid="{00000000-0009-0000-0100-000013000000}"/>
  <tableColumns count="5">
    <tableColumn id="1" xr3:uid="{00000000-0010-0000-1200-000001000000}" name="COMISIONES" totalsRowFunction="sum" totalsRowDxfId="477"/>
    <tableColumn id="2" xr3:uid="{00000000-0010-0000-1200-000002000000}" name="IVA 21" totalsRowFunction="sum" dataDxfId="476" totalsRowDxfId="475">
      <calculatedColumnFormula>Tabla61220[[#This Row],[COMISIONES]]*0.21</calculatedColumnFormula>
    </tableColumn>
    <tableColumn id="3" xr3:uid="{00000000-0010-0000-1200-000003000000}" name="IVA 10,5" totalsRowFunction="sum" totalsRowDxfId="474"/>
    <tableColumn id="4" xr3:uid="{00000000-0010-0000-1200-000004000000}" name="Ret IIBB Caba" totalsRowFunction="sum" totalsRowDxfId="473"/>
    <tableColumn id="5" xr3:uid="{00000000-0010-0000-1200-000005000000}" name="PERC IVA" totalsRowFunction="sum" totalsRowDxfId="472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35681321" displayName="Tabla35681321" ref="Z11:AD165" totalsRowCount="1" headerRowDxfId="471" dataDxfId="470" totalsRowDxfId="468" tableBorderDxfId="469" dataCellStyle="Millares">
  <autoFilter ref="Z11:AD164" xr:uid="{00000000-0009-0000-0100-000014000000}"/>
  <tableColumns count="5">
    <tableColumn id="1" xr3:uid="{00000000-0010-0000-1300-000001000000}" name="COMISIONES" totalsRowFunction="sum" dataDxfId="467" totalsRowDxfId="466" dataCellStyle="Millares"/>
    <tableColumn id="2" xr3:uid="{00000000-0010-0000-1300-000002000000}" name="IVA 21" totalsRowFunction="sum" dataDxfId="465" totalsRowDxfId="464" dataCellStyle="Millares">
      <calculatedColumnFormula>Tabla35681321[[#This Row],[COMISIONES]]*0.21</calculatedColumnFormula>
    </tableColumn>
    <tableColumn id="3" xr3:uid="{00000000-0010-0000-1300-000003000000}" name="IVA 10,5" totalsRowFunction="sum" dataDxfId="463" totalsRowDxfId="462" dataCellStyle="Millares"/>
    <tableColumn id="4" xr3:uid="{00000000-0010-0000-1300-000004000000}" name="Ret IIBB Caba" totalsRowFunction="sum" dataDxfId="461" totalsRowDxfId="460" dataCellStyle="Millares"/>
    <tableColumn id="5" xr3:uid="{00000000-0010-0000-1300-000005000000}" name="PERC IVA" totalsRowFunction="sum" dataDxfId="459" totalsRowDxfId="458" dataCellStyle="Millares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3568131422" displayName="Tabla3568131422" ref="AE11:AI148" totalsRowCount="1" headerRowDxfId="457" dataDxfId="456" totalsRowDxfId="454" tableBorderDxfId="455" dataCellStyle="Millares">
  <autoFilter ref="AE11:AI147" xr:uid="{00000000-0009-0000-0100-000015000000}"/>
  <tableColumns count="5">
    <tableColumn id="1" xr3:uid="{00000000-0010-0000-1400-000001000000}" name="COMISIONES" totalsRowFunction="sum" dataDxfId="453" totalsRowDxfId="452" dataCellStyle="Millares"/>
    <tableColumn id="2" xr3:uid="{00000000-0010-0000-1400-000002000000}" name="IVA 21" totalsRowFunction="sum" dataDxfId="451" totalsRowDxfId="450" dataCellStyle="Millares">
      <calculatedColumnFormula>Tabla3568131422[[#This Row],[COMISIONES]]*0.21</calculatedColumnFormula>
    </tableColumn>
    <tableColumn id="3" xr3:uid="{00000000-0010-0000-1400-000003000000}" name="IVA 10,5" totalsRowFunction="sum" dataDxfId="449" totalsRowDxfId="448" dataCellStyle="Millares"/>
    <tableColumn id="4" xr3:uid="{00000000-0010-0000-1400-000004000000}" name="Ret IIBB Caba" totalsRowFunction="sum" dataDxfId="447" totalsRowDxfId="446" dataCellStyle="Millares"/>
    <tableColumn id="5" xr3:uid="{00000000-0010-0000-1400-000005000000}" name="PERC IVA" totalsRowFunction="sum" dataDxfId="445" totalsRowDxfId="444" dataCellStyle="Millares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391523" displayName="Tabla391523" ref="H51:L98" totalsRowCount="1" headerRowDxfId="443" dataDxfId="442" totalsRowDxfId="440" tableBorderDxfId="441" dataCellStyle="Millares">
  <autoFilter ref="H51:L97" xr:uid="{00000000-0009-0000-0100-000016000000}"/>
  <tableColumns count="5">
    <tableColumn id="1" xr3:uid="{00000000-0010-0000-1500-000001000000}" name="COMISIONES" totalsRowFunction="sum" dataDxfId="439" totalsRowDxfId="438" dataCellStyle="Millares"/>
    <tableColumn id="2" xr3:uid="{00000000-0010-0000-1500-000002000000}" name="IVA 21" totalsRowFunction="sum" dataDxfId="437" totalsRowDxfId="436" dataCellStyle="Millares">
      <calculatedColumnFormula>Tabla391523[[#This Row],[COMISIONES]]*0.21</calculatedColumnFormula>
    </tableColumn>
    <tableColumn id="3" xr3:uid="{00000000-0010-0000-1500-000003000000}" name="IVA 10,5" totalsRowFunction="sum" dataDxfId="435" totalsRowDxfId="434" dataCellStyle="Millares"/>
    <tableColumn id="4" xr3:uid="{00000000-0010-0000-1500-000004000000}" name="Ret IIBB Caba" totalsRowFunction="sum" dataDxfId="433" totalsRowDxfId="432" dataCellStyle="Millares"/>
    <tableColumn id="5" xr3:uid="{00000000-0010-0000-1500-000005000000}" name="PERC IVA" totalsRowFunction="sum" dataDxfId="431" totalsRowDxfId="430" dataCellStyle="Millares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131624" displayName="Tabla131624" ref="B11:F57" totalsRowCount="1" headerRowDxfId="429" totalsRowDxfId="428">
  <autoFilter ref="B11:F56" xr:uid="{00000000-0009-0000-0100-000017000000}"/>
  <tableColumns count="5">
    <tableColumn id="1" xr3:uid="{00000000-0010-0000-1600-000001000000}" name="COMISIONES" totalsRowFunction="sum" dataDxfId="427" totalsRowDxfId="426"/>
    <tableColumn id="2" xr3:uid="{00000000-0010-0000-1600-000002000000}" name="IVA 21" totalsRowFunction="sum" dataDxfId="425" totalsRowDxfId="424">
      <calculatedColumnFormula>Tabla131624[[#This Row],[COMISIONES]]*0.21</calculatedColumnFormula>
    </tableColumn>
    <tableColumn id="3" xr3:uid="{00000000-0010-0000-1600-000003000000}" name="IVA 10,5" totalsRowFunction="sum" dataDxfId="423" totalsRowDxfId="422"/>
    <tableColumn id="4" xr3:uid="{00000000-0010-0000-1600-000004000000}" name="Ret IIBB Caba" totalsRowFunction="sum" dataDxfId="421" totalsRowDxfId="420"/>
    <tableColumn id="5" xr3:uid="{00000000-0010-0000-1600-000005000000}" name="PERC IVA" totalsRowFunction="sum" totalsRowDxfId="419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391725" displayName="Tabla391725" ref="H11:L49" totalsRowCount="1" headerRowDxfId="418" dataDxfId="417" totalsRowDxfId="415" tableBorderDxfId="416" dataCellStyle="Millares">
  <autoFilter ref="H11:L48" xr:uid="{00000000-0009-0000-0100-000018000000}"/>
  <tableColumns count="5">
    <tableColumn id="1" xr3:uid="{00000000-0010-0000-1700-000001000000}" name="COMISIONES" totalsRowFunction="sum" dataDxfId="414" totalsRowDxfId="413" dataCellStyle="Millares"/>
    <tableColumn id="2" xr3:uid="{00000000-0010-0000-1700-000002000000}" name="IVA 21" totalsRowFunction="sum" dataDxfId="412" totalsRowDxfId="411" dataCellStyle="Millares">
      <calculatedColumnFormula>Tabla391725[[#This Row],[COMISIONES]]*0.21</calculatedColumnFormula>
    </tableColumn>
    <tableColumn id="3" xr3:uid="{00000000-0010-0000-1700-000003000000}" name="IVA 10,5" totalsRowFunction="sum" dataDxfId="410" totalsRowDxfId="409" dataCellStyle="Millares"/>
    <tableColumn id="4" xr3:uid="{00000000-0010-0000-1700-000004000000}" name="Ret IIBB Caba" totalsRowFunction="sum" dataDxfId="408" totalsRowDxfId="407" dataCellStyle="Millares"/>
    <tableColumn id="5" xr3:uid="{00000000-0010-0000-1700-000005000000}" name="PERC IVA" totalsRowFunction="sum" dataDxfId="406" totalsRowDxfId="405" dataCellStyle="Millares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35101826" displayName="Tabla35101826" ref="N11:R131" totalsRowCount="1" headerRowDxfId="404" dataDxfId="403" totalsRowDxfId="401" tableBorderDxfId="402" dataCellStyle="Millares">
  <autoFilter ref="N11:R130" xr:uid="{00000000-0009-0000-0100-000019000000}"/>
  <tableColumns count="5">
    <tableColumn id="1" xr3:uid="{00000000-0010-0000-1800-000001000000}" name="COMISIONES" totalsRowFunction="sum" dataDxfId="400" totalsRowDxfId="399" dataCellStyle="Millares"/>
    <tableColumn id="2" xr3:uid="{00000000-0010-0000-1800-000002000000}" name="IVA 21" totalsRowFunction="sum" dataDxfId="398" totalsRowDxfId="397" dataCellStyle="Millares">
      <calculatedColumnFormula>Tabla35101826[[#This Row],[COMISIONES]]*0.21</calculatedColumnFormula>
    </tableColumn>
    <tableColumn id="3" xr3:uid="{00000000-0010-0000-1800-000003000000}" name="IVA 10,5" totalsRowFunction="sum" dataDxfId="396" totalsRowDxfId="395" dataCellStyle="Millares"/>
    <tableColumn id="4" xr3:uid="{00000000-0010-0000-1800-000004000000}" name="Ret IIBB Caba" totalsRowFunction="sum" dataDxfId="394" totalsRowDxfId="393" dataCellStyle="Millares"/>
    <tableColumn id="5" xr3:uid="{00000000-0010-0000-1800-000005000000}" name="PERC IVA" totalsRowFunction="sum" dataDxfId="392" totalsRowDxfId="391" dataCellStyle="Millares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a356111927" displayName="Tabla356111927" ref="T11:X27" totalsRowCount="1" headerRowDxfId="390" dataDxfId="389" totalsRowDxfId="387" tableBorderDxfId="388" dataCellStyle="Millares">
  <autoFilter ref="T11:X26" xr:uid="{00000000-0009-0000-0100-00001A000000}"/>
  <tableColumns count="5">
    <tableColumn id="1" xr3:uid="{00000000-0010-0000-1900-000001000000}" name="COMISIONES" totalsRowFunction="sum" dataDxfId="386" totalsRowDxfId="385" dataCellStyle="Millares"/>
    <tableColumn id="2" xr3:uid="{00000000-0010-0000-1900-000002000000}" name="IVA 21" totalsRowFunction="sum" dataDxfId="384" totalsRowDxfId="383" dataCellStyle="Millares">
      <calculatedColumnFormula>Tabla356111927[[#This Row],[COMISIONES]]*0.21</calculatedColumnFormula>
    </tableColumn>
    <tableColumn id="3" xr3:uid="{00000000-0010-0000-1900-000003000000}" name="IVA 10,5" totalsRowFunction="sum" dataDxfId="382" totalsRowDxfId="381" dataCellStyle="Millares"/>
    <tableColumn id="4" xr3:uid="{00000000-0010-0000-1900-000004000000}" name="Ret IIBB Caba" totalsRowFunction="sum" dataDxfId="380" totalsRowDxfId="379" dataCellStyle="Millares"/>
    <tableColumn id="5" xr3:uid="{00000000-0010-0000-1900-000005000000}" name="PERC IVA" totalsRowFunction="sum" dataDxfId="378" totalsRowDxfId="377" dataCellStyle="Millares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a6122028" displayName="Tabla6122028" ref="T29:X58" totalsRowCount="1" headerRowDxfId="376" totalsRowDxfId="375">
  <autoFilter ref="T29:X57" xr:uid="{00000000-0009-0000-0100-00001B000000}"/>
  <tableColumns count="5">
    <tableColumn id="1" xr3:uid="{00000000-0010-0000-1A00-000001000000}" name="COMISIONES" totalsRowFunction="sum" totalsRowDxfId="374"/>
    <tableColumn id="2" xr3:uid="{00000000-0010-0000-1A00-000002000000}" name="IVA 21" totalsRowFunction="sum" dataDxfId="373" totalsRowDxfId="372">
      <calculatedColumnFormula>Tabla6122028[[#This Row],[COMISIONES]]*0.21</calculatedColumnFormula>
    </tableColumn>
    <tableColumn id="3" xr3:uid="{00000000-0010-0000-1A00-000003000000}" name="IVA 10,5" totalsRowFunction="sum" totalsRowDxfId="371"/>
    <tableColumn id="4" xr3:uid="{00000000-0010-0000-1A00-000004000000}" name="Ret IIBB Caba" totalsRowFunction="sum" totalsRowDxfId="370"/>
    <tableColumn id="5" xr3:uid="{00000000-0010-0000-1A00-000005000000}" name="PERC IVA" totalsRowFunction="sum" totalsRowDxfId="369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a3568132129" displayName="Tabla3568132129" ref="Z11:AD165" totalsRowCount="1" headerRowDxfId="368" dataDxfId="367" totalsRowDxfId="365" tableBorderDxfId="366" dataCellStyle="Millares">
  <autoFilter ref="Z11:AD164" xr:uid="{00000000-0009-0000-0100-00001C000000}"/>
  <tableColumns count="5">
    <tableColumn id="1" xr3:uid="{00000000-0010-0000-1B00-000001000000}" name="COMISIONES" totalsRowFunction="sum" dataDxfId="364" totalsRowDxfId="363" dataCellStyle="Millares"/>
    <tableColumn id="2" xr3:uid="{00000000-0010-0000-1B00-000002000000}" name="IVA 21" totalsRowFunction="sum" dataDxfId="362" totalsRowDxfId="361" dataCellStyle="Millares">
      <calculatedColumnFormula>Tabla3568132129[[#This Row],[COMISIONES]]*0.21</calculatedColumnFormula>
    </tableColumn>
    <tableColumn id="3" xr3:uid="{00000000-0010-0000-1B00-000003000000}" name="IVA 10,5" totalsRowFunction="sum" dataDxfId="360" totalsRowDxfId="359" dataCellStyle="Millares"/>
    <tableColumn id="4" xr3:uid="{00000000-0010-0000-1B00-000004000000}" name="Ret IIBB Caba" totalsRowFunction="sum" dataDxfId="358" totalsRowDxfId="357" dataCellStyle="Millares"/>
    <tableColumn id="5" xr3:uid="{00000000-0010-0000-1B00-000005000000}" name="PERC IVA" totalsRowFunction="sum" dataDxfId="356" totalsRowDxfId="355" dataCellStyle="Millares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a356813142230" displayName="Tabla356813142230" ref="AE11:AI148" totalsRowCount="1" headerRowDxfId="354" dataDxfId="353" totalsRowDxfId="351" tableBorderDxfId="352" dataCellStyle="Millares">
  <autoFilter ref="AE11:AI147" xr:uid="{00000000-0009-0000-0100-00001D000000}"/>
  <tableColumns count="5">
    <tableColumn id="1" xr3:uid="{00000000-0010-0000-1C00-000001000000}" name="COMISIONES" totalsRowFunction="sum" dataDxfId="350" totalsRowDxfId="349" dataCellStyle="Millares"/>
    <tableColumn id="2" xr3:uid="{00000000-0010-0000-1C00-000002000000}" name="IVA 21" totalsRowFunction="sum" dataDxfId="348" totalsRowDxfId="347" dataCellStyle="Millares">
      <calculatedColumnFormula>Tabla356813142230[[#This Row],[COMISIONES]]*0.21</calculatedColumnFormula>
    </tableColumn>
    <tableColumn id="3" xr3:uid="{00000000-0010-0000-1C00-000003000000}" name="IVA 10,5" totalsRowFunction="sum" dataDxfId="346" totalsRowDxfId="345" dataCellStyle="Millares"/>
    <tableColumn id="4" xr3:uid="{00000000-0010-0000-1C00-000004000000}" name="Ret IIBB Caba" totalsRowFunction="sum" dataDxfId="344" totalsRowDxfId="343" dataCellStyle="Millares"/>
    <tableColumn id="5" xr3:uid="{00000000-0010-0000-1C00-000005000000}" name="PERC IVA" totalsRowFunction="sum" dataDxfId="342" totalsRowDxfId="341" dataCellStyle="Millares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a39152331" displayName="Tabla39152331" ref="H51:L98" totalsRowCount="1" headerRowDxfId="340" dataDxfId="339" totalsRowDxfId="337" tableBorderDxfId="338" dataCellStyle="Millares">
  <autoFilter ref="H51:L97" xr:uid="{00000000-0009-0000-0100-00001E000000}"/>
  <tableColumns count="5">
    <tableColumn id="1" xr3:uid="{00000000-0010-0000-1D00-000001000000}" name="COMISIONES" totalsRowFunction="sum" dataDxfId="336" totalsRowDxfId="335" dataCellStyle="Millares"/>
    <tableColumn id="2" xr3:uid="{00000000-0010-0000-1D00-000002000000}" name="IVA 21" totalsRowFunction="sum" dataDxfId="334" totalsRowDxfId="333" dataCellStyle="Millares">
      <calculatedColumnFormula>Tabla39152331[[#This Row],[COMISIONES]]*0.21</calculatedColumnFormula>
    </tableColumn>
    <tableColumn id="3" xr3:uid="{00000000-0010-0000-1D00-000003000000}" name="IVA 10,5" totalsRowFunction="sum" dataDxfId="332" totalsRowDxfId="331" dataCellStyle="Millares"/>
    <tableColumn id="4" xr3:uid="{00000000-0010-0000-1D00-000004000000}" name="Ret IIBB Caba" totalsRowFunction="sum" dataDxfId="330" totalsRowDxfId="329" dataCellStyle="Millares"/>
    <tableColumn id="5" xr3:uid="{00000000-0010-0000-1D00-000005000000}" name="PERC IVA" totalsRowFunction="sum" dataDxfId="328" totalsRowDxfId="327" dataCellStyle="Millares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Tabla612202833" displayName="Tabla612202833" ref="T61:X90" totalsRowCount="1" headerRowDxfId="326" totalsRowDxfId="325">
  <autoFilter ref="T61:X89" xr:uid="{00000000-0009-0000-0100-000020000000}"/>
  <tableColumns count="5">
    <tableColumn id="1" xr3:uid="{00000000-0010-0000-1E00-000001000000}" name="COMISIONES" totalsRowFunction="sum" totalsRowDxfId="324"/>
    <tableColumn id="2" xr3:uid="{00000000-0010-0000-1E00-000002000000}" name="IVA 21" totalsRowFunction="sum" dataDxfId="323" totalsRowDxfId="322">
      <calculatedColumnFormula>Tabla612202833[[#This Row],[COMISIONES]]*0.21</calculatedColumnFormula>
    </tableColumn>
    <tableColumn id="3" xr3:uid="{00000000-0010-0000-1E00-000003000000}" name="IVA 10,5" totalsRowFunction="sum" totalsRowDxfId="321"/>
    <tableColumn id="4" xr3:uid="{00000000-0010-0000-1E00-000004000000}" name="Ret IIBB Caba" totalsRowFunction="sum" totalsRowDxfId="320"/>
    <tableColumn id="5" xr3:uid="{00000000-0010-0000-1E00-000005000000}" name="PERC IVA" totalsRowFunction="sum" totalsRowDxfId="319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F000000}" name="Tabla35611192734" displayName="Tabla35611192734" ref="AJ11:AN27" totalsRowCount="1" headerRowDxfId="318" dataDxfId="317" totalsRowDxfId="315" tableBorderDxfId="316" dataCellStyle="Millares">
  <autoFilter ref="AJ11:AN26" xr:uid="{00000000-0009-0000-0100-000021000000}"/>
  <tableColumns count="5">
    <tableColumn id="1" xr3:uid="{00000000-0010-0000-1F00-000001000000}" name="COMISIONES" totalsRowFunction="sum" dataDxfId="314" totalsRowDxfId="313" dataCellStyle="Millares"/>
    <tableColumn id="2" xr3:uid="{00000000-0010-0000-1F00-000002000000}" name="IVA 21" totalsRowFunction="sum" dataDxfId="312" totalsRowDxfId="311" dataCellStyle="Millares">
      <calculatedColumnFormula>Tabla35611192734[[#This Row],[COMISIONES]]*0.21</calculatedColumnFormula>
    </tableColumn>
    <tableColumn id="3" xr3:uid="{00000000-0010-0000-1F00-000003000000}" name="IVA 10,5" totalsRowFunction="sum" dataDxfId="310" totalsRowDxfId="309" dataCellStyle="Millares"/>
    <tableColumn id="4" xr3:uid="{00000000-0010-0000-1F00-000004000000}" name="Ret IIBB Caba" totalsRowFunction="sum" dataDxfId="308" totalsRowDxfId="307" dataCellStyle="Millares"/>
    <tableColumn id="5" xr3:uid="{00000000-0010-0000-1F00-000005000000}" name="PERC IVA" totalsRowFunction="sum" dataDxfId="306" totalsRowDxfId="305" dataCellStyle="Millares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0000000}" name="Tabla13162432" displayName="Tabla13162432" ref="B14:F60" totalsRowCount="1" headerRowDxfId="304" totalsRowDxfId="303">
  <autoFilter ref="B14:F59" xr:uid="{00000000-0009-0000-0100-00001F000000}"/>
  <tableColumns count="5">
    <tableColumn id="1" xr3:uid="{00000000-0010-0000-2000-000001000000}" name="COMISIONES" totalsRowFunction="sum" dataDxfId="302" totalsRowDxfId="301"/>
    <tableColumn id="2" xr3:uid="{00000000-0010-0000-2000-000002000000}" name="IVA 21" totalsRowFunction="sum" dataDxfId="300" totalsRowDxfId="299">
      <calculatedColumnFormula>Tabla13162432[[#This Row],[COMISIONES]]*0.21</calculatedColumnFormula>
    </tableColumn>
    <tableColumn id="3" xr3:uid="{00000000-0010-0000-2000-000003000000}" name="IVA 10,5" totalsRowFunction="sum" dataDxfId="298" totalsRowDxfId="297"/>
    <tableColumn id="4" xr3:uid="{00000000-0010-0000-2000-000004000000}" name="Ret IIBB Caba" totalsRowFunction="sum" dataDxfId="296" totalsRowDxfId="295"/>
    <tableColumn id="5" xr3:uid="{00000000-0010-0000-2000-000005000000}" name="PERC IVA" totalsRowFunction="sum" totalsRowDxfId="294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a39172535" displayName="Tabla39172535" ref="H14:L52" totalsRowCount="1" headerRowDxfId="293" dataDxfId="292" totalsRowDxfId="290" tableBorderDxfId="291" dataCellStyle="Millares">
  <autoFilter ref="H14:L51" xr:uid="{00000000-0009-0000-0100-000022000000}"/>
  <tableColumns count="5">
    <tableColumn id="1" xr3:uid="{00000000-0010-0000-2100-000001000000}" name="COMISIONES" totalsRowFunction="sum" dataDxfId="289" totalsRowDxfId="288" dataCellStyle="Millares"/>
    <tableColumn id="2" xr3:uid="{00000000-0010-0000-2100-000002000000}" name="IVA 21" totalsRowFunction="sum" dataDxfId="287" totalsRowDxfId="286" dataCellStyle="Millares">
      <calculatedColumnFormula>Tabla39172535[[#This Row],[COMISIONES]]*0.21</calculatedColumnFormula>
    </tableColumn>
    <tableColumn id="3" xr3:uid="{00000000-0010-0000-2100-000003000000}" name="IVA 10,5" totalsRowFunction="sum" dataDxfId="285" totalsRowDxfId="284" dataCellStyle="Millares"/>
    <tableColumn id="4" xr3:uid="{00000000-0010-0000-2100-000004000000}" name="Ret IIBB Caba" totalsRowFunction="sum" dataDxfId="283" totalsRowDxfId="282" dataCellStyle="Millares"/>
    <tableColumn id="5" xr3:uid="{00000000-0010-0000-2100-000005000000}" name="PERC IVA" totalsRowFunction="sum" dataDxfId="281" totalsRowDxfId="280" dataCellStyle="Millares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a3510182636" displayName="Tabla3510182636" ref="N14:R134" totalsRowCount="1" headerRowDxfId="279" dataDxfId="278" totalsRowDxfId="276" tableBorderDxfId="277" dataCellStyle="Millares">
  <autoFilter ref="N14:R133" xr:uid="{00000000-0009-0000-0100-000023000000}"/>
  <tableColumns count="5">
    <tableColumn id="1" xr3:uid="{00000000-0010-0000-2200-000001000000}" name="COMISIONES" totalsRowFunction="sum" dataDxfId="275" totalsRowDxfId="274" dataCellStyle="Millares"/>
    <tableColumn id="2" xr3:uid="{00000000-0010-0000-2200-000002000000}" name="IVA 21" totalsRowFunction="sum" dataDxfId="273" totalsRowDxfId="272" dataCellStyle="Millares">
      <calculatedColumnFormula>Tabla3510182636[[#This Row],[COMISIONES]]*0.21</calculatedColumnFormula>
    </tableColumn>
    <tableColumn id="3" xr3:uid="{00000000-0010-0000-2200-000003000000}" name="IVA 10,5" totalsRowFunction="sum" dataDxfId="271" totalsRowDxfId="270" dataCellStyle="Millares"/>
    <tableColumn id="4" xr3:uid="{00000000-0010-0000-2200-000004000000}" name="Ret IIBB Caba" totalsRowFunction="sum" dataDxfId="269" totalsRowDxfId="268" dataCellStyle="Millares"/>
    <tableColumn id="5" xr3:uid="{00000000-0010-0000-2200-000005000000}" name="PERC IVA" totalsRowFunction="sum" dataDxfId="267" totalsRowDxfId="266" dataCellStyle="Millares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a35611192737" displayName="Tabla35611192737" ref="T14:X30" totalsRowCount="1" headerRowDxfId="265" dataDxfId="264" totalsRowDxfId="262" tableBorderDxfId="263" dataCellStyle="Millares">
  <autoFilter ref="T14:X29" xr:uid="{00000000-0009-0000-0100-000024000000}"/>
  <tableColumns count="5">
    <tableColumn id="1" xr3:uid="{00000000-0010-0000-2300-000001000000}" name="COMISIONES" totalsRowFunction="sum" dataDxfId="261" totalsRowDxfId="260" dataCellStyle="Millares"/>
    <tableColumn id="2" xr3:uid="{00000000-0010-0000-2300-000002000000}" name="IVA 21" totalsRowFunction="sum" dataDxfId="259" totalsRowDxfId="258" dataCellStyle="Millares">
      <calculatedColumnFormula>Tabla35611192737[[#This Row],[COMISIONES]]*0.21</calculatedColumnFormula>
    </tableColumn>
    <tableColumn id="3" xr3:uid="{00000000-0010-0000-2300-000003000000}" name="IVA 10,5" totalsRowFunction="sum" dataDxfId="257" totalsRowDxfId="256" dataCellStyle="Millares"/>
    <tableColumn id="4" xr3:uid="{00000000-0010-0000-2300-000004000000}" name="Ret IIBB Caba" totalsRowFunction="sum" dataDxfId="255" totalsRowDxfId="254" dataCellStyle="Millares"/>
    <tableColumn id="5" xr3:uid="{00000000-0010-0000-2300-000005000000}" name="PERC IVA" totalsRowFunction="sum" dataDxfId="253" totalsRowDxfId="252" dataCellStyle="Millares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a612202838" displayName="Tabla612202838" ref="T32:X61" totalsRowCount="1" headerRowDxfId="251" totalsRowDxfId="250">
  <autoFilter ref="T32:X60" xr:uid="{00000000-0009-0000-0100-000025000000}"/>
  <tableColumns count="5">
    <tableColumn id="1" xr3:uid="{00000000-0010-0000-2400-000001000000}" name="COMISIONES" totalsRowFunction="sum" totalsRowDxfId="249"/>
    <tableColumn id="2" xr3:uid="{00000000-0010-0000-2400-000002000000}" name="IVA 21" totalsRowFunction="sum" dataDxfId="248" totalsRowDxfId="247">
      <calculatedColumnFormula>Tabla612202838[[#This Row],[COMISIONES]]*0.21</calculatedColumnFormula>
    </tableColumn>
    <tableColumn id="3" xr3:uid="{00000000-0010-0000-2400-000003000000}" name="IVA 10,5" totalsRowFunction="sum" totalsRowDxfId="246"/>
    <tableColumn id="4" xr3:uid="{00000000-0010-0000-2400-000004000000}" name="Ret IIBB Caba" totalsRowFunction="sum" totalsRowDxfId="245"/>
    <tableColumn id="5" xr3:uid="{00000000-0010-0000-2400-000005000000}" name="PERC IVA" totalsRowFunction="sum" totalsRowDxfId="244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a356813212939" displayName="Tabla356813212939" ref="Z14:AD168" totalsRowCount="1" headerRowDxfId="243" dataDxfId="242" totalsRowDxfId="240" tableBorderDxfId="241" dataCellStyle="Millares">
  <autoFilter ref="Z14:AD167" xr:uid="{00000000-0009-0000-0100-000026000000}"/>
  <tableColumns count="5">
    <tableColumn id="1" xr3:uid="{00000000-0010-0000-2500-000001000000}" name="COMISIONES" totalsRowFunction="sum" dataDxfId="239" totalsRowDxfId="238" dataCellStyle="Millares"/>
    <tableColumn id="2" xr3:uid="{00000000-0010-0000-2500-000002000000}" name="IVA 21" totalsRowFunction="sum" dataDxfId="237" totalsRowDxfId="236" dataCellStyle="Millares">
      <calculatedColumnFormula>Tabla356813212939[[#This Row],[COMISIONES]]*0.21</calculatedColumnFormula>
    </tableColumn>
    <tableColumn id="3" xr3:uid="{00000000-0010-0000-2500-000003000000}" name="IVA 10,5" totalsRowFunction="sum" dataDxfId="235" totalsRowDxfId="234" dataCellStyle="Millares"/>
    <tableColumn id="4" xr3:uid="{00000000-0010-0000-2500-000004000000}" name="Ret IIBB Caba" totalsRowFunction="sum" dataDxfId="233" totalsRowDxfId="232" dataCellStyle="Millares"/>
    <tableColumn id="5" xr3:uid="{00000000-0010-0000-2500-000005000000}" name="PERC IVA" totalsRowFunction="sum" dataDxfId="231" totalsRowDxfId="230" dataCellStyle="Millares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a35681314223040" displayName="Tabla35681314223040" ref="AF14:AJ25" totalsRowCount="1" headerRowDxfId="229" dataDxfId="228" totalsRowDxfId="226" tableBorderDxfId="227" dataCellStyle="Millares">
  <autoFilter ref="AF14:AJ24" xr:uid="{00000000-0009-0000-0100-000027000000}"/>
  <tableColumns count="5">
    <tableColumn id="1" xr3:uid="{00000000-0010-0000-2600-000001000000}" name="COMISIONES" totalsRowFunction="sum" dataDxfId="225" totalsRowDxfId="224" dataCellStyle="Millares"/>
    <tableColumn id="2" xr3:uid="{00000000-0010-0000-2600-000002000000}" name="IVA 21" totalsRowFunction="sum" dataDxfId="223" totalsRowDxfId="222" dataCellStyle="Millares">
      <calculatedColumnFormula>Tabla35681314223040[[#This Row],[COMISIONES]]*0.21</calculatedColumnFormula>
    </tableColumn>
    <tableColumn id="3" xr3:uid="{00000000-0010-0000-2600-000003000000}" name="IVA 10,5" totalsRowFunction="sum" dataDxfId="221" totalsRowDxfId="220" dataCellStyle="Millares"/>
    <tableColumn id="4" xr3:uid="{00000000-0010-0000-2600-000004000000}" name="Ret IIBB Caba" totalsRowFunction="sum" dataDxfId="219" totalsRowDxfId="218" dataCellStyle="Millares"/>
    <tableColumn id="5" xr3:uid="{00000000-0010-0000-2600-000005000000}" name="PERC IVA" totalsRowFunction="sum" dataDxfId="217" totalsRowDxfId="216" dataCellStyle="Millares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a3915233141" displayName="Tabla3915233141" ref="H54:L101" totalsRowCount="1" headerRowDxfId="215" dataDxfId="214" totalsRowDxfId="212" tableBorderDxfId="213" dataCellStyle="Millares">
  <autoFilter ref="H54:L100" xr:uid="{00000000-0009-0000-0100-000028000000}"/>
  <tableColumns count="5">
    <tableColumn id="1" xr3:uid="{00000000-0010-0000-2700-000001000000}" name="COMISIONES" totalsRowFunction="sum" dataDxfId="211" totalsRowDxfId="210" dataCellStyle="Millares"/>
    <tableColumn id="2" xr3:uid="{00000000-0010-0000-2700-000002000000}" name="IVA 21" totalsRowFunction="sum" dataDxfId="209" totalsRowDxfId="208" dataCellStyle="Millares">
      <calculatedColumnFormula>Tabla3915233141[[#This Row],[COMISIONES]]*0.21</calculatedColumnFormula>
    </tableColumn>
    <tableColumn id="3" xr3:uid="{00000000-0010-0000-2700-000003000000}" name="IVA 10,5" totalsRowFunction="sum" dataDxfId="207" totalsRowDxfId="206" dataCellStyle="Millares"/>
    <tableColumn id="4" xr3:uid="{00000000-0010-0000-2700-000004000000}" name="Ret IIBB Caba" totalsRowFunction="sum" dataDxfId="205" totalsRowDxfId="204" dataCellStyle="Millares"/>
    <tableColumn id="5" xr3:uid="{00000000-0010-0000-2700-000005000000}" name="PERC IVA" totalsRowFunction="sum" dataDxfId="203" totalsRowDxfId="202" dataCellStyle="Millares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a61220283342" displayName="Tabla61220283342" ref="T64:X93" totalsRowCount="1" headerRowDxfId="201" totalsRowDxfId="200">
  <autoFilter ref="T64:X92" xr:uid="{00000000-0009-0000-0100-000029000000}"/>
  <tableColumns count="5">
    <tableColumn id="1" xr3:uid="{00000000-0010-0000-2800-000001000000}" name="COMISIONES" totalsRowFunction="sum" totalsRowDxfId="199"/>
    <tableColumn id="2" xr3:uid="{00000000-0010-0000-2800-000002000000}" name="IVA 21" totalsRowFunction="sum" dataDxfId="198" totalsRowDxfId="197">
      <calculatedColumnFormula>Tabla61220283342[[#This Row],[COMISIONES]]*0.21</calculatedColumnFormula>
    </tableColumn>
    <tableColumn id="3" xr3:uid="{00000000-0010-0000-2800-000003000000}" name="IVA 10,5" totalsRowFunction="sum" totalsRowDxfId="196"/>
    <tableColumn id="4" xr3:uid="{00000000-0010-0000-2800-000004000000}" name="Ret IIBB Caba" totalsRowFunction="sum" totalsRowDxfId="195"/>
    <tableColumn id="5" xr3:uid="{00000000-0010-0000-2800-000005000000}" name="PERC IVA" totalsRowFunction="sum" totalsRowDxfId="194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a3561119273443" displayName="Tabla3561119273443" ref="AK14:AO30" totalsRowCount="1" headerRowDxfId="193" dataDxfId="192" totalsRowDxfId="190" tableBorderDxfId="191" dataCellStyle="Millares">
  <autoFilter ref="AK14:AO29" xr:uid="{00000000-0009-0000-0100-00002A000000}"/>
  <tableColumns count="5">
    <tableColumn id="1" xr3:uid="{00000000-0010-0000-2900-000001000000}" name="COMISIONES" totalsRowFunction="sum" dataDxfId="189" totalsRowDxfId="188" dataCellStyle="Millares"/>
    <tableColumn id="2" xr3:uid="{00000000-0010-0000-2900-000002000000}" name="IVA 21" totalsRowFunction="sum" dataDxfId="187" totalsRowDxfId="186" dataCellStyle="Millares">
      <calculatedColumnFormula>Tabla3561119273443[[#This Row],[COMISIONES]]*0.21</calculatedColumnFormula>
    </tableColumn>
    <tableColumn id="3" xr3:uid="{00000000-0010-0000-2900-000003000000}" name="IVA 10,5" totalsRowFunction="sum" dataDxfId="185" totalsRowDxfId="184" dataCellStyle="Millares"/>
    <tableColumn id="4" xr3:uid="{00000000-0010-0000-2900-000004000000}" name="Ret IIBB Caba" totalsRowFunction="sum" dataDxfId="183" totalsRowDxfId="182" dataCellStyle="Millares"/>
    <tableColumn id="5" xr3:uid="{00000000-0010-0000-2900-000005000000}" name="PERC IVA" totalsRowFunction="sum" dataDxfId="181" totalsRowDxfId="18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10" Type="http://schemas.openxmlformats.org/officeDocument/2006/relationships/table" Target="../tables/table36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12" Type="http://schemas.openxmlformats.org/officeDocument/2006/relationships/table" Target="../tables/table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0" Type="http://schemas.openxmlformats.org/officeDocument/2006/relationships/table" Target="../tables/table44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2.xml"/><Relationship Id="rId3" Type="http://schemas.openxmlformats.org/officeDocument/2006/relationships/table" Target="../tables/table47.xml"/><Relationship Id="rId7" Type="http://schemas.openxmlformats.org/officeDocument/2006/relationships/table" Target="../tables/table51.xml"/><Relationship Id="rId12" Type="http://schemas.openxmlformats.org/officeDocument/2006/relationships/table" Target="../tables/table5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0.xml"/><Relationship Id="rId11" Type="http://schemas.openxmlformats.org/officeDocument/2006/relationships/table" Target="../tables/table55.xml"/><Relationship Id="rId5" Type="http://schemas.openxmlformats.org/officeDocument/2006/relationships/table" Target="../tables/table49.xml"/><Relationship Id="rId10" Type="http://schemas.openxmlformats.org/officeDocument/2006/relationships/table" Target="../tables/table54.xml"/><Relationship Id="rId4" Type="http://schemas.openxmlformats.org/officeDocument/2006/relationships/table" Target="../tables/table48.xml"/><Relationship Id="rId9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0D15-C6D4-4A77-A0C0-0CDD1C48C4D6}">
  <dimension ref="A1:AD132"/>
  <sheetViews>
    <sheetView showGridLines="0" zoomScale="70" zoomScaleNormal="70" workbookViewId="0">
      <selection activeCell="A11" sqref="A11"/>
    </sheetView>
  </sheetViews>
  <sheetFormatPr baseColWidth="10" defaultRowHeight="14.4" x14ac:dyDescent="0.3"/>
  <cols>
    <col min="1" max="1" width="4.5546875" customWidth="1"/>
    <col min="2" max="2" width="16.88671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30" ht="6" customHeight="1" x14ac:dyDescent="0.3">
      <c r="G1"/>
      <c r="M1"/>
    </row>
    <row r="2" spans="1:30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44927</v>
      </c>
      <c r="K2" s="35"/>
      <c r="M2"/>
    </row>
    <row r="3" spans="1:30" x14ac:dyDescent="0.3">
      <c r="A3" s="17" t="s">
        <v>45</v>
      </c>
      <c r="B3" s="17"/>
      <c r="C3" s="14">
        <f>Tabla144[[#Totals],[COMISIONES]]</f>
        <v>496</v>
      </c>
      <c r="D3" s="14">
        <f>Tabla144[[#Totals],[IVA 21]]</f>
        <v>104.16</v>
      </c>
      <c r="E3" s="14">
        <f>Tabla144[[#Totals],[IVA 10,5]]</f>
        <v>0</v>
      </c>
      <c r="F3" s="14">
        <f>Tabla144[[#Totals],[Ret IIBB Caba]]</f>
        <v>0</v>
      </c>
      <c r="G3" s="33">
        <f>Tabla144[[#Totals],[PERC IVA]]</f>
        <v>0</v>
      </c>
      <c r="H3" s="34"/>
      <c r="J3" s="2"/>
      <c r="K3" s="3"/>
      <c r="M3"/>
      <c r="N3" t="s">
        <v>12</v>
      </c>
    </row>
    <row r="4" spans="1:30" x14ac:dyDescent="0.3">
      <c r="A4" s="17" t="s">
        <v>46</v>
      </c>
      <c r="B4" s="17"/>
      <c r="C4" s="14">
        <f>Tabla345[[#Totals],[COMISIONES]]</f>
        <v>500</v>
      </c>
      <c r="D4" s="14">
        <f>Tabla345[[#Totals],[IVA 21]]</f>
        <v>105</v>
      </c>
      <c r="E4" s="14">
        <f>Tabla345[[#Totals],[IVA 10,5]]</f>
        <v>0</v>
      </c>
      <c r="F4" s="14">
        <f>Tabla345[[#Totals],[Ret IIBB Caba]]</f>
        <v>1360.85</v>
      </c>
      <c r="G4" s="33">
        <f>Tabla345[[#Totals],[PERC IVA]]</f>
        <v>0</v>
      </c>
      <c r="H4" s="34"/>
      <c r="J4" s="2"/>
      <c r="K4" s="3"/>
      <c r="M4"/>
    </row>
    <row r="5" spans="1:30" x14ac:dyDescent="0.3">
      <c r="A5" s="17" t="s">
        <v>8</v>
      </c>
      <c r="B5" s="17"/>
      <c r="C5" s="14">
        <f>Tabla3546[[#Totals],[COMISIONES]]</f>
        <v>0</v>
      </c>
      <c r="D5" s="14">
        <f>Tabla3546[[#Totals],[IVA 21]]</f>
        <v>0</v>
      </c>
      <c r="E5" s="14">
        <f>Tabla3546[[#Totals],[IVA 10,5]]</f>
        <v>0</v>
      </c>
      <c r="F5" s="14">
        <f>Tabla3546[[#Totals],[Ret IIBB Caba]]</f>
        <v>0</v>
      </c>
      <c r="G5" s="33">
        <f>Tabla3546[[#Totals],[PERC IVA]]</f>
        <v>0</v>
      </c>
      <c r="H5" s="34"/>
      <c r="M5"/>
    </row>
    <row r="6" spans="1:30" x14ac:dyDescent="0.3">
      <c r="A6" s="17" t="s">
        <v>9</v>
      </c>
      <c r="B6" s="17"/>
      <c r="C6" s="14">
        <f>Tabla35647[[#Totals],[COMISIONES]]</f>
        <v>0</v>
      </c>
      <c r="D6" s="14">
        <f>Tabla35647[[#Totals],[IVA 21]]</f>
        <v>0</v>
      </c>
      <c r="E6" s="14">
        <f>Tabla35647[[#Totals],[IVA 10,5]]</f>
        <v>0</v>
      </c>
      <c r="F6" s="14">
        <f>Tabla35647[[#Totals],[Ret IIBB Caba]]</f>
        <v>0</v>
      </c>
      <c r="G6" s="33">
        <f>Tabla35647[[#Totals],[PERC IVA]]</f>
        <v>0</v>
      </c>
      <c r="H6" s="34"/>
      <c r="M6"/>
    </row>
    <row r="7" spans="1:30" x14ac:dyDescent="0.3">
      <c r="A7" s="17" t="s">
        <v>10</v>
      </c>
      <c r="B7" s="17"/>
      <c r="C7" s="14">
        <f>Tabla356849[[#Totals],[COMISIONES]]</f>
        <v>0</v>
      </c>
      <c r="D7" s="14">
        <f>Tabla356849[[#Totals],[IVA 21]]</f>
        <v>0</v>
      </c>
      <c r="E7" s="14">
        <f>Tabla356849[[#Totals],[IVA 10,5]]</f>
        <v>0</v>
      </c>
      <c r="F7" s="14">
        <f>Tabla356849[[#Totals],[Ret IIBB Caba]]</f>
        <v>0</v>
      </c>
      <c r="G7" s="33">
        <f>Tabla356849[[#Totals],[PERC IVA]]</f>
        <v>0</v>
      </c>
      <c r="H7" s="34"/>
      <c r="M7"/>
    </row>
    <row r="8" spans="1:30" x14ac:dyDescent="0.3">
      <c r="A8" s="17" t="s">
        <v>43</v>
      </c>
      <c r="B8" s="17"/>
      <c r="C8" s="14">
        <f>Tabla648[[#Totals],[COMISIONES]]</f>
        <v>16065.4</v>
      </c>
      <c r="D8" s="14">
        <f>Tabla648[[#Totals],[IVA 21]]</f>
        <v>3325.35</v>
      </c>
      <c r="E8" s="14">
        <f>Tabla648[[#Totals],[IVA 10,5]]</f>
        <v>24.192</v>
      </c>
      <c r="F8" s="14">
        <f>Tabla648[[#Totals],[Perc IIBB Caba]]</f>
        <v>836.1</v>
      </c>
      <c r="G8" s="33">
        <f>Tabla648[[#Totals],[PERC IVA]]</f>
        <v>397.05</v>
      </c>
      <c r="H8" s="34"/>
      <c r="M8"/>
    </row>
    <row r="9" spans="1:30" x14ac:dyDescent="0.3">
      <c r="A9" s="17" t="s">
        <v>44</v>
      </c>
      <c r="B9" s="17"/>
      <c r="C9" s="14">
        <f>Tabla34550[[#Totals],[COMISIONES]]</f>
        <v>6054.98</v>
      </c>
      <c r="D9" s="14">
        <f>Tabla34550[[#Totals],[IVA 21]]</f>
        <v>1181.25</v>
      </c>
      <c r="E9" s="14">
        <f>Tabla34550[[#Totals],[IVA 10,5]]</f>
        <v>45.1479</v>
      </c>
      <c r="F9" s="14">
        <f>Tabla34550[[#Totals],[Ret IIBB Caba]]</f>
        <v>337.5</v>
      </c>
      <c r="G9" s="33">
        <f>Tabla34550[[#Totals],[PERC IVA]]</f>
        <v>168.75</v>
      </c>
      <c r="H9" s="34"/>
      <c r="M9"/>
    </row>
    <row r="10" spans="1:30" ht="15.6" customHeight="1" x14ac:dyDescent="0.3">
      <c r="G10"/>
      <c r="M10"/>
    </row>
    <row r="11" spans="1:30" ht="16.5" customHeight="1" x14ac:dyDescent="0.35">
      <c r="B11" s="30" t="s">
        <v>16</v>
      </c>
      <c r="C11" s="30"/>
      <c r="D11" s="30"/>
      <c r="E11" s="30"/>
      <c r="F11" s="30"/>
      <c r="H11" s="30" t="s">
        <v>47</v>
      </c>
      <c r="I11" s="30"/>
      <c r="J11" s="30"/>
      <c r="K11" s="30"/>
      <c r="L11" s="30"/>
      <c r="N11" s="30" t="s">
        <v>5</v>
      </c>
      <c r="O11" s="30"/>
      <c r="P11" s="30"/>
      <c r="Q11" s="30"/>
      <c r="R11" s="30"/>
      <c r="T11" s="30" t="s">
        <v>17</v>
      </c>
      <c r="U11" s="30"/>
      <c r="V11" s="30"/>
      <c r="W11" s="30"/>
      <c r="X11" s="30"/>
      <c r="Y11" s="6"/>
      <c r="Z11" s="30" t="s">
        <v>15</v>
      </c>
      <c r="AA11" s="30"/>
      <c r="AB11" s="30"/>
      <c r="AC11" s="30"/>
      <c r="AD11" s="30"/>
    </row>
    <row r="12" spans="1:30" s="5" customFormat="1" x14ac:dyDescent="0.3">
      <c r="B12" s="10" t="s">
        <v>2</v>
      </c>
      <c r="C12" s="9" t="s">
        <v>0</v>
      </c>
      <c r="D12" s="9" t="s">
        <v>1</v>
      </c>
      <c r="E12" s="9" t="s">
        <v>3</v>
      </c>
      <c r="F12" s="9" t="s">
        <v>4</v>
      </c>
      <c r="G12" s="7"/>
      <c r="H12" s="12" t="s">
        <v>2</v>
      </c>
      <c r="I12" s="13" t="s">
        <v>0</v>
      </c>
      <c r="J12" s="13" t="s">
        <v>1</v>
      </c>
      <c r="K12" s="13" t="s">
        <v>3</v>
      </c>
      <c r="L12" s="13" t="s">
        <v>4</v>
      </c>
      <c r="M12" s="7"/>
      <c r="N12" s="12" t="s">
        <v>2</v>
      </c>
      <c r="O12" s="13" t="s">
        <v>0</v>
      </c>
      <c r="P12" s="13" t="s">
        <v>1</v>
      </c>
      <c r="Q12" s="13" t="s">
        <v>3</v>
      </c>
      <c r="R12" s="13" t="s">
        <v>4</v>
      </c>
      <c r="S12" s="7"/>
      <c r="T12" s="12" t="s">
        <v>2</v>
      </c>
      <c r="U12" s="13" t="s">
        <v>0</v>
      </c>
      <c r="V12" s="13" t="s">
        <v>1</v>
      </c>
      <c r="W12" s="13" t="s">
        <v>3</v>
      </c>
      <c r="X12" s="13" t="s">
        <v>4</v>
      </c>
      <c r="Y12" s="7"/>
      <c r="Z12" s="12" t="s">
        <v>2</v>
      </c>
      <c r="AA12" s="13" t="s">
        <v>0</v>
      </c>
      <c r="AB12" s="13" t="s">
        <v>1</v>
      </c>
      <c r="AC12" s="13" t="s">
        <v>3</v>
      </c>
      <c r="AD12" s="13" t="s">
        <v>4</v>
      </c>
    </row>
    <row r="13" spans="1:30" x14ac:dyDescent="0.3">
      <c r="B13" s="2">
        <v>496</v>
      </c>
      <c r="C13" s="2">
        <f>Tabla144[[#This Row],[COMISIONES]]*0.21</f>
        <v>104.16</v>
      </c>
      <c r="D13" s="3"/>
      <c r="E13" s="3"/>
      <c r="G13" s="8"/>
      <c r="H13" s="3">
        <v>500</v>
      </c>
      <c r="I13" s="11">
        <f>Tabla345[[#This Row],[COMISIONES]]*0.21</f>
        <v>105</v>
      </c>
      <c r="J13" s="11"/>
      <c r="K13" s="11">
        <f t="shared" ref="K13:K49" si="0">686.45+674.4</f>
        <v>1360.85</v>
      </c>
      <c r="L13" s="3"/>
      <c r="M13" s="8"/>
      <c r="N13" s="11"/>
      <c r="O13" s="11">
        <f>Tabla3546[[#This Row],[COMISIONES]]*0.21</f>
        <v>0</v>
      </c>
      <c r="P13" s="11"/>
      <c r="Q13" s="11"/>
      <c r="R13" s="11"/>
      <c r="S13" s="8"/>
      <c r="T13" s="11"/>
      <c r="U13" s="11">
        <f>Tabla35647[[#This Row],[COMISIONES]]*0.21</f>
        <v>0</v>
      </c>
      <c r="V13" s="11"/>
      <c r="W13" s="11"/>
      <c r="X13" s="11"/>
      <c r="Y13" s="8"/>
      <c r="Z13" s="11"/>
      <c r="AA13" s="11">
        <f>Tabla356849[[#This Row],[COMISIONES]]*0.21</f>
        <v>0</v>
      </c>
      <c r="AB13" s="11"/>
      <c r="AC13" s="11"/>
      <c r="AD13" s="11"/>
    </row>
    <row r="14" spans="1:30" x14ac:dyDescent="0.3">
      <c r="B14" s="3"/>
      <c r="C14" s="2">
        <f>Tabla144[[#This Row],[COMISIONES]]*0.21</f>
        <v>0</v>
      </c>
      <c r="D14" s="3"/>
      <c r="E14" s="3"/>
      <c r="F14" s="3"/>
      <c r="G14" s="8"/>
      <c r="H14" s="11"/>
      <c r="I14" s="11">
        <f>Tabla345[[#This Row],[COMISIONES]]*0.21</f>
        <v>0</v>
      </c>
      <c r="J14" s="11"/>
      <c r="K14" s="11"/>
      <c r="L14" s="11"/>
      <c r="M14" s="8"/>
      <c r="N14" s="11"/>
      <c r="O14" s="11">
        <f>Tabla3546[[#This Row],[COMISIONES]]*0.21</f>
        <v>0</v>
      </c>
      <c r="P14" s="11"/>
      <c r="Q14" s="11"/>
      <c r="R14" s="11"/>
      <c r="S14" s="8"/>
      <c r="T14" s="11"/>
      <c r="U14" s="11">
        <f>Tabla35647[[#This Row],[COMISIONES]]*0.21</f>
        <v>0</v>
      </c>
      <c r="V14" s="11"/>
      <c r="W14" s="11"/>
      <c r="X14" s="11"/>
      <c r="Y14" s="8"/>
      <c r="Z14" s="11"/>
      <c r="AA14" s="11">
        <f>Tabla356849[[#This Row],[COMISIONES]]*0.21</f>
        <v>0</v>
      </c>
      <c r="AB14" s="11"/>
      <c r="AC14" s="11"/>
      <c r="AD14" s="11"/>
    </row>
    <row r="15" spans="1:30" x14ac:dyDescent="0.3">
      <c r="B15" s="3"/>
      <c r="C15" s="2">
        <f>Tabla144[[#This Row],[COMISIONES]]*0.21</f>
        <v>0</v>
      </c>
      <c r="D15" s="3"/>
      <c r="E15" s="3"/>
      <c r="F15" s="3"/>
      <c r="H15" s="11"/>
      <c r="I15" s="11">
        <f>Tabla345[[#This Row],[COMISIONES]]*0.21</f>
        <v>0</v>
      </c>
      <c r="J15" s="11"/>
      <c r="K15" s="11"/>
      <c r="L15" s="11"/>
      <c r="N15" s="11"/>
      <c r="O15" s="11">
        <f>Tabla3546[[#This Row],[COMISIONES]]*0.21</f>
        <v>0</v>
      </c>
      <c r="P15" s="11"/>
      <c r="Q15" s="11"/>
      <c r="R15" s="11"/>
      <c r="T15" s="11"/>
      <c r="U15" s="11">
        <f>Tabla35647[[#This Row],[COMISIONES]]*0.21</f>
        <v>0</v>
      </c>
      <c r="V15" s="11"/>
      <c r="W15" s="11"/>
      <c r="X15" s="11"/>
      <c r="Y15" s="6"/>
      <c r="Z15" s="11"/>
      <c r="AA15" s="11">
        <f>Tabla356849[[#This Row],[COMISIONES]]*0.21</f>
        <v>0</v>
      </c>
      <c r="AB15" s="11"/>
      <c r="AC15" s="11"/>
      <c r="AD15" s="11"/>
    </row>
    <row r="16" spans="1:30" x14ac:dyDescent="0.3">
      <c r="B16" s="3"/>
      <c r="C16" s="2">
        <f>Tabla144[[#This Row],[COMISIONES]]*0.21</f>
        <v>0</v>
      </c>
      <c r="D16" s="3"/>
      <c r="E16" s="3"/>
      <c r="F16" s="3"/>
      <c r="G16" s="8"/>
      <c r="H16" s="11"/>
      <c r="I16" s="11">
        <f>Tabla345[[#This Row],[COMISIONES]]*0.21</f>
        <v>0</v>
      </c>
      <c r="J16" s="11"/>
      <c r="K16" s="11"/>
      <c r="L16" s="11"/>
      <c r="M16" s="8"/>
      <c r="N16" s="11"/>
      <c r="O16" s="11">
        <f>Tabla3546[[#This Row],[COMISIONES]]*0.21</f>
        <v>0</v>
      </c>
      <c r="P16" s="11"/>
      <c r="Q16" s="11"/>
      <c r="R16" s="11"/>
      <c r="S16" s="8"/>
      <c r="T16" s="11"/>
      <c r="U16" s="11">
        <f>Tabla35647[[#This Row],[COMISIONES]]*0.21</f>
        <v>0</v>
      </c>
      <c r="V16" s="11"/>
      <c r="W16" s="11"/>
      <c r="X16" s="11"/>
      <c r="Y16" s="8"/>
      <c r="Z16" s="11"/>
      <c r="AA16" s="11">
        <f>Tabla356849[[#This Row],[COMISIONES]]*0.21</f>
        <v>0</v>
      </c>
      <c r="AB16" s="11"/>
      <c r="AC16" s="11"/>
      <c r="AD16" s="11"/>
    </row>
    <row r="17" spans="2:30" x14ac:dyDescent="0.3">
      <c r="B17" s="3"/>
      <c r="C17" s="2">
        <f>Tabla144[[#This Row],[COMISIONES]]*0.21</f>
        <v>0</v>
      </c>
      <c r="D17" s="3"/>
      <c r="E17" s="3"/>
      <c r="F17" s="3"/>
      <c r="H17" s="11"/>
      <c r="I17" s="11">
        <f>Tabla345[[#This Row],[COMISIONES]]*0.21</f>
        <v>0</v>
      </c>
      <c r="J17" s="11"/>
      <c r="K17" s="11"/>
      <c r="L17" s="11"/>
      <c r="N17" s="11"/>
      <c r="O17" s="11">
        <f>Tabla3546[[#This Row],[COMISIONES]]*0.21</f>
        <v>0</v>
      </c>
      <c r="P17" s="11"/>
      <c r="Q17" s="11"/>
      <c r="R17" s="11"/>
      <c r="T17" s="11"/>
      <c r="U17" s="11">
        <f>Tabla35647[[#This Row],[COMISIONES]]*0.21</f>
        <v>0</v>
      </c>
      <c r="V17" s="11"/>
      <c r="W17" s="11"/>
      <c r="X17" s="11"/>
      <c r="Y17" s="6"/>
      <c r="Z17" s="11"/>
      <c r="AA17" s="11">
        <f>Tabla356849[[#This Row],[COMISIONES]]*0.21</f>
        <v>0</v>
      </c>
      <c r="AB17" s="11"/>
      <c r="AC17" s="11"/>
      <c r="AD17" s="11"/>
    </row>
    <row r="18" spans="2:30" x14ac:dyDescent="0.3">
      <c r="B18" s="3"/>
      <c r="C18" s="2">
        <f>Tabla144[[#This Row],[COMISIONES]]*0.21</f>
        <v>0</v>
      </c>
      <c r="D18" s="3"/>
      <c r="E18" s="3"/>
      <c r="F18" s="3"/>
      <c r="H18" s="11"/>
      <c r="I18" s="11">
        <f>Tabla345[[#This Row],[COMISIONES]]*0.21</f>
        <v>0</v>
      </c>
      <c r="J18" s="11"/>
      <c r="K18" s="11"/>
      <c r="L18" s="11"/>
      <c r="N18" s="11"/>
      <c r="O18" s="11">
        <f>Tabla3546[[#This Row],[COMISIONES]]*0.21</f>
        <v>0</v>
      </c>
      <c r="P18" s="11"/>
      <c r="Q18" s="11"/>
      <c r="R18" s="11"/>
      <c r="T18" s="11"/>
      <c r="U18" s="11">
        <f>Tabla35647[[#This Row],[COMISIONES]]*0.21</f>
        <v>0</v>
      </c>
      <c r="V18" s="11"/>
      <c r="W18" s="11"/>
      <c r="X18" s="11"/>
      <c r="Y18" s="6"/>
      <c r="Z18" s="11"/>
      <c r="AA18" s="11">
        <f>Tabla356849[[#This Row],[COMISIONES]]*0.21</f>
        <v>0</v>
      </c>
      <c r="AB18" s="11"/>
      <c r="AC18" s="11"/>
      <c r="AD18" s="11"/>
    </row>
    <row r="19" spans="2:30" x14ac:dyDescent="0.3">
      <c r="B19" s="3"/>
      <c r="C19" s="2">
        <f>Tabla144[[#This Row],[COMISIONES]]*0.21</f>
        <v>0</v>
      </c>
      <c r="D19" s="3"/>
      <c r="E19" s="3"/>
      <c r="F19" s="3"/>
      <c r="H19" s="11"/>
      <c r="I19" s="11">
        <f>Tabla345[[#This Row],[COMISIONES]]*0.21</f>
        <v>0</v>
      </c>
      <c r="J19" s="11"/>
      <c r="K19" s="11"/>
      <c r="L19" s="11"/>
      <c r="N19" s="11"/>
      <c r="O19" s="11">
        <f>Tabla3546[[#This Row],[COMISIONES]]*0.21</f>
        <v>0</v>
      </c>
      <c r="P19" s="11"/>
      <c r="Q19" s="11"/>
      <c r="R19" s="11"/>
      <c r="T19" s="11"/>
      <c r="U19" s="11">
        <f>Tabla35647[[#This Row],[COMISIONES]]*0.21</f>
        <v>0</v>
      </c>
      <c r="V19" s="11"/>
      <c r="W19" s="11"/>
      <c r="X19" s="11"/>
      <c r="Y19" s="6"/>
      <c r="Z19" s="11"/>
      <c r="AA19" s="11">
        <f>Tabla356849[[#This Row],[COMISIONES]]*0.21</f>
        <v>0</v>
      </c>
      <c r="AB19" s="11"/>
      <c r="AC19" s="11"/>
      <c r="AD19" s="11"/>
    </row>
    <row r="20" spans="2:30" x14ac:dyDescent="0.3">
      <c r="B20" s="3"/>
      <c r="C20" s="2">
        <f>Tabla144[[#This Row],[COMISIONES]]*0.21</f>
        <v>0</v>
      </c>
      <c r="D20" s="3"/>
      <c r="E20" s="3"/>
      <c r="F20" s="3"/>
      <c r="H20" s="11"/>
      <c r="I20" s="11">
        <f>Tabla345[[#This Row],[COMISIONES]]*0.21</f>
        <v>0</v>
      </c>
      <c r="J20" s="11"/>
      <c r="K20" s="11"/>
      <c r="L20" s="11"/>
      <c r="N20" s="11"/>
      <c r="O20" s="11">
        <f>Tabla3546[[#This Row],[COMISIONES]]*0.21</f>
        <v>0</v>
      </c>
      <c r="P20" s="11"/>
      <c r="Q20" s="11"/>
      <c r="R20" s="11"/>
      <c r="T20" s="11"/>
      <c r="U20" s="11">
        <f>Tabla35647[[#This Row],[COMISIONES]]*0.21</f>
        <v>0</v>
      </c>
      <c r="V20" s="11"/>
      <c r="W20" s="11"/>
      <c r="X20" s="11"/>
      <c r="Y20" s="6"/>
      <c r="Z20" s="11"/>
      <c r="AA20" s="11">
        <f>Tabla356849[[#This Row],[COMISIONES]]*0.21</f>
        <v>0</v>
      </c>
      <c r="AB20" s="11"/>
      <c r="AC20" s="11"/>
      <c r="AD20" s="11"/>
    </row>
    <row r="21" spans="2:30" x14ac:dyDescent="0.3">
      <c r="B21" s="3"/>
      <c r="C21" s="2">
        <f>Tabla144[[#This Row],[COMISIONES]]*0.21</f>
        <v>0</v>
      </c>
      <c r="D21" s="3"/>
      <c r="E21" s="3"/>
      <c r="F21" s="3"/>
      <c r="H21" s="11"/>
      <c r="I21" s="11">
        <f>Tabla345[[#This Row],[COMISIONES]]*0.21</f>
        <v>0</v>
      </c>
      <c r="J21" s="11"/>
      <c r="K21" s="11"/>
      <c r="L21" s="11"/>
      <c r="N21" s="11"/>
      <c r="O21" s="11">
        <f>Tabla3546[[#This Row],[COMISIONES]]*0.21</f>
        <v>0</v>
      </c>
      <c r="P21" s="11"/>
      <c r="Q21" s="11"/>
      <c r="R21" s="11"/>
      <c r="T21" s="11"/>
      <c r="U21" s="11">
        <f>Tabla35647[[#This Row],[COMISIONES]]*0.21</f>
        <v>0</v>
      </c>
      <c r="V21" s="11"/>
      <c r="W21" s="11"/>
      <c r="X21" s="11"/>
      <c r="Y21" s="6"/>
      <c r="Z21" s="11"/>
      <c r="AA21" s="11">
        <f>Tabla356849[[#This Row],[COMISIONES]]*0.21</f>
        <v>0</v>
      </c>
      <c r="AB21" s="11"/>
      <c r="AC21" s="11"/>
      <c r="AD21" s="11"/>
    </row>
    <row r="22" spans="2:30" x14ac:dyDescent="0.3">
      <c r="B22" s="3"/>
      <c r="C22" s="2">
        <f>Tabla144[[#This Row],[COMISIONES]]*0.21</f>
        <v>0</v>
      </c>
      <c r="D22" s="3"/>
      <c r="E22" s="3"/>
      <c r="F22" s="3"/>
      <c r="H22" s="11"/>
      <c r="I22" s="11">
        <f>Tabla345[[#This Row],[COMISIONES]]*0.21</f>
        <v>0</v>
      </c>
      <c r="J22" s="11"/>
      <c r="K22" s="11"/>
      <c r="L22" s="11"/>
      <c r="N22" s="11"/>
      <c r="O22" s="11">
        <f>Tabla3546[[#This Row],[COMISIONES]]*0.21</f>
        <v>0</v>
      </c>
      <c r="P22" s="11"/>
      <c r="Q22" s="11"/>
      <c r="R22" s="11"/>
      <c r="T22" s="11"/>
      <c r="U22" s="11">
        <f>Tabla35647[[#This Row],[COMISIONES]]*0.21</f>
        <v>0</v>
      </c>
      <c r="V22" s="11"/>
      <c r="W22" s="11"/>
      <c r="X22" s="11"/>
      <c r="Y22" s="6"/>
      <c r="Z22" s="11"/>
      <c r="AA22" s="11">
        <f>Tabla356849[[#This Row],[COMISIONES]]*0.21</f>
        <v>0</v>
      </c>
      <c r="AB22" s="11"/>
      <c r="AC22" s="11"/>
      <c r="AD22" s="11"/>
    </row>
    <row r="23" spans="2:30" x14ac:dyDescent="0.3">
      <c r="B23" s="3"/>
      <c r="C23" s="2">
        <f>Tabla144[[#This Row],[COMISIONES]]*0.21</f>
        <v>0</v>
      </c>
      <c r="D23" s="3"/>
      <c r="E23" s="3"/>
      <c r="F23" s="3"/>
      <c r="H23" s="11"/>
      <c r="I23" s="11">
        <f>Tabla345[[#This Row],[COMISIONES]]*0.21</f>
        <v>0</v>
      </c>
      <c r="J23" s="11"/>
      <c r="K23" s="11"/>
      <c r="L23" s="11"/>
      <c r="N23" s="11"/>
      <c r="O23" s="11">
        <f>Tabla3546[[#This Row],[COMISIONES]]*0.21</f>
        <v>0</v>
      </c>
      <c r="P23" s="11"/>
      <c r="Q23" s="11"/>
      <c r="R23" s="11"/>
      <c r="T23" s="11"/>
      <c r="U23" s="11">
        <f>Tabla35647[[#This Row],[COMISIONES]]*0.21</f>
        <v>0</v>
      </c>
      <c r="V23" s="11"/>
      <c r="W23" s="11"/>
      <c r="X23" s="11"/>
      <c r="Y23" s="6"/>
      <c r="Z23" s="11"/>
      <c r="AA23" s="11">
        <f>Tabla356849[[#This Row],[COMISIONES]]*0.21</f>
        <v>0</v>
      </c>
      <c r="AB23" s="11"/>
      <c r="AC23" s="11"/>
      <c r="AD23" s="11"/>
    </row>
    <row r="24" spans="2:30" x14ac:dyDescent="0.3">
      <c r="B24" s="3"/>
      <c r="C24" s="2">
        <f>Tabla144[[#This Row],[COMISIONES]]*0.21</f>
        <v>0</v>
      </c>
      <c r="D24" s="3"/>
      <c r="E24" s="3"/>
      <c r="F24" s="3"/>
      <c r="H24" s="11"/>
      <c r="I24" s="11">
        <f>Tabla345[[#This Row],[COMISIONES]]*0.21</f>
        <v>0</v>
      </c>
      <c r="J24" s="11"/>
      <c r="K24" s="11"/>
      <c r="L24" s="11"/>
      <c r="N24" s="11"/>
      <c r="O24" s="11">
        <f>Tabla3546[[#This Row],[COMISIONES]]*0.21</f>
        <v>0</v>
      </c>
      <c r="P24" s="11"/>
      <c r="Q24" s="11"/>
      <c r="R24" s="11"/>
      <c r="T24" s="11"/>
      <c r="U24" s="11">
        <f>Tabla35647[[#This Row],[COMISIONES]]*0.21</f>
        <v>0</v>
      </c>
      <c r="V24" s="11"/>
      <c r="W24" s="11"/>
      <c r="X24" s="11"/>
      <c r="Y24" s="6"/>
      <c r="Z24" s="11"/>
      <c r="AA24" s="11">
        <f>Tabla356849[[#This Row],[COMISIONES]]*0.21</f>
        <v>0</v>
      </c>
      <c r="AB24" s="11"/>
      <c r="AC24" s="11"/>
      <c r="AD24" s="11"/>
    </row>
    <row r="25" spans="2:30" x14ac:dyDescent="0.3">
      <c r="B25" s="3"/>
      <c r="C25" s="2">
        <f>Tabla144[[#This Row],[COMISIONES]]*0.21</f>
        <v>0</v>
      </c>
      <c r="D25" s="3"/>
      <c r="E25" s="3"/>
      <c r="F25" s="3"/>
      <c r="H25" s="11"/>
      <c r="I25" s="11">
        <f>Tabla345[[#This Row],[COMISIONES]]*0.21</f>
        <v>0</v>
      </c>
      <c r="J25" s="11"/>
      <c r="K25" s="11"/>
      <c r="L25" s="11"/>
      <c r="N25" s="11"/>
      <c r="O25" s="11">
        <f>Tabla3546[[#This Row],[COMISIONES]]*0.21</f>
        <v>0</v>
      </c>
      <c r="P25" s="11"/>
      <c r="Q25" s="11"/>
      <c r="R25" s="11"/>
      <c r="T25" s="11"/>
      <c r="U25" s="11">
        <f>Tabla35647[[#This Row],[COMISIONES]]*0.21</f>
        <v>0</v>
      </c>
      <c r="V25" s="11"/>
      <c r="W25" s="11"/>
      <c r="X25" s="11"/>
      <c r="Y25" s="6"/>
      <c r="Z25" s="11"/>
      <c r="AA25" s="11">
        <f>Tabla356849[[#This Row],[COMISIONES]]*0.21</f>
        <v>0</v>
      </c>
      <c r="AB25" s="11"/>
      <c r="AC25" s="11"/>
      <c r="AD25" s="11"/>
    </row>
    <row r="26" spans="2:30" x14ac:dyDescent="0.3">
      <c r="B26" s="3"/>
      <c r="C26" s="2">
        <f>Tabla144[[#This Row],[COMISIONES]]*0.21</f>
        <v>0</v>
      </c>
      <c r="D26" s="3"/>
      <c r="E26" s="3"/>
      <c r="F26" s="3"/>
      <c r="H26" s="11"/>
      <c r="I26" s="11">
        <f>Tabla345[[#This Row],[COMISIONES]]*0.21</f>
        <v>0</v>
      </c>
      <c r="J26" s="11"/>
      <c r="K26" s="11"/>
      <c r="L26" s="11"/>
      <c r="N26" s="11"/>
      <c r="O26" s="11">
        <f>Tabla3546[[#This Row],[COMISIONES]]*0.21</f>
        <v>0</v>
      </c>
      <c r="P26" s="11"/>
      <c r="Q26" s="11"/>
      <c r="R26" s="11"/>
      <c r="T26" s="19"/>
      <c r="U26" s="19">
        <f>Tabla35647[[#This Row],[COMISIONES]]*0.21</f>
        <v>0</v>
      </c>
      <c r="V26" s="19"/>
      <c r="W26" s="19"/>
      <c r="X26" s="19"/>
      <c r="Y26" s="6"/>
      <c r="Z26" s="11"/>
      <c r="AA26" s="11">
        <f>Tabla356849[[#This Row],[COMISIONES]]*0.21</f>
        <v>0</v>
      </c>
      <c r="AB26" s="11"/>
      <c r="AC26" s="11"/>
      <c r="AD26" s="11"/>
    </row>
    <row r="27" spans="2:30" x14ac:dyDescent="0.3">
      <c r="B27" s="3"/>
      <c r="C27" s="2">
        <f>Tabla144[[#This Row],[COMISIONES]]*0.21</f>
        <v>0</v>
      </c>
      <c r="D27" s="3"/>
      <c r="E27" s="3"/>
      <c r="F27" s="3"/>
      <c r="H27" s="11"/>
      <c r="I27" s="11">
        <f>Tabla345[[#This Row],[COMISIONES]]*0.21</f>
        <v>0</v>
      </c>
      <c r="J27" s="11"/>
      <c r="K27" s="11"/>
      <c r="L27" s="11"/>
      <c r="N27" s="11"/>
      <c r="O27" s="11">
        <f>Tabla3546[[#This Row],[COMISIONES]]*0.21</f>
        <v>0</v>
      </c>
      <c r="P27" s="11"/>
      <c r="Q27" s="11"/>
      <c r="R27" s="11"/>
      <c r="T27" s="19"/>
      <c r="U27" s="19">
        <f>Tabla35647[[#This Row],[COMISIONES]]*0.21</f>
        <v>0</v>
      </c>
      <c r="V27" s="19"/>
      <c r="W27" s="19"/>
      <c r="X27" s="19"/>
      <c r="Z27" s="11"/>
      <c r="AA27" s="11">
        <f>Tabla356849[[#This Row],[COMISIONES]]*0.21</f>
        <v>0</v>
      </c>
      <c r="AB27" s="11"/>
      <c r="AC27" s="11"/>
      <c r="AD27" s="11"/>
    </row>
    <row r="28" spans="2:30" x14ac:dyDescent="0.3">
      <c r="B28" s="3"/>
      <c r="C28" s="2">
        <f>Tabla144[[#This Row],[COMISIONES]]*0.21</f>
        <v>0</v>
      </c>
      <c r="D28" s="3"/>
      <c r="E28" s="1"/>
      <c r="F28" s="3"/>
      <c r="H28" s="11"/>
      <c r="I28" s="11">
        <f>Tabla345[[#This Row],[COMISIONES]]*0.21</f>
        <v>0</v>
      </c>
      <c r="J28" s="11"/>
      <c r="K28" s="11"/>
      <c r="L28" s="11"/>
      <c r="N28" s="11"/>
      <c r="O28" s="11">
        <f>Tabla3546[[#This Row],[COMISIONES]]*0.21</f>
        <v>0</v>
      </c>
      <c r="P28" s="11"/>
      <c r="Q28" s="11"/>
      <c r="R28" s="11"/>
      <c r="T28" s="18">
        <f>SUBTOTAL(109,Tabla35647[COMISIONES])</f>
        <v>0</v>
      </c>
      <c r="U28" s="18">
        <f>SUBTOTAL(109,Tabla35647[IVA 21])</f>
        <v>0</v>
      </c>
      <c r="V28" s="18">
        <f>SUBTOTAL(109,Tabla35647[IVA 10,5])</f>
        <v>0</v>
      </c>
      <c r="W28" s="18">
        <f>SUBTOTAL(109,Tabla35647[Ret IIBB Caba])</f>
        <v>0</v>
      </c>
      <c r="X28" s="18">
        <f>SUBTOTAL(109,Tabla35647[PERC IVA])</f>
        <v>0</v>
      </c>
      <c r="Z28" s="11"/>
      <c r="AA28" s="11">
        <f>Tabla356849[[#This Row],[COMISIONES]]*0.21</f>
        <v>0</v>
      </c>
      <c r="AB28" s="11"/>
      <c r="AC28" s="11"/>
      <c r="AD28" s="11"/>
    </row>
    <row r="29" spans="2:30" ht="18" x14ac:dyDescent="0.35">
      <c r="B29" s="3"/>
      <c r="C29" s="2">
        <f>Tabla144[[#This Row],[COMISIONES]]*0.21</f>
        <v>0</v>
      </c>
      <c r="D29" s="3"/>
      <c r="E29" s="3"/>
      <c r="F29" s="3"/>
      <c r="H29" s="11"/>
      <c r="I29" s="11">
        <f>Tabla345[[#This Row],[COMISIONES]]*0.21</f>
        <v>0</v>
      </c>
      <c r="J29" s="11"/>
      <c r="K29" s="11"/>
      <c r="L29" s="11"/>
      <c r="N29" s="11"/>
      <c r="O29" s="11">
        <f>Tabla3546[[#This Row],[COMISIONES]]*0.21</f>
        <v>0</v>
      </c>
      <c r="P29" s="11"/>
      <c r="Q29" s="11"/>
      <c r="R29" s="11"/>
      <c r="T29" s="30" t="s">
        <v>13</v>
      </c>
      <c r="U29" s="30"/>
      <c r="V29" s="30"/>
      <c r="W29" s="30"/>
      <c r="X29" s="30"/>
      <c r="Z29" s="11"/>
      <c r="AA29" s="11">
        <f>Tabla356849[[#This Row],[COMISIONES]]*0.21</f>
        <v>0</v>
      </c>
      <c r="AB29" s="11"/>
      <c r="AC29" s="11"/>
      <c r="AD29" s="11"/>
    </row>
    <row r="30" spans="2:30" x14ac:dyDescent="0.3">
      <c r="B30" s="3"/>
      <c r="C30" s="2">
        <f>Tabla144[[#This Row],[COMISIONES]]*0.21</f>
        <v>0</v>
      </c>
      <c r="D30" s="3"/>
      <c r="E30" s="3"/>
      <c r="F30" s="3"/>
      <c r="H30" s="11"/>
      <c r="I30" s="11">
        <f>Tabla345[[#This Row],[COMISIONES]]*0.21</f>
        <v>0</v>
      </c>
      <c r="J30" s="11"/>
      <c r="K30" s="11"/>
      <c r="L30" s="11"/>
      <c r="N30" s="11"/>
      <c r="O30" s="11">
        <f>Tabla3546[[#This Row],[COMISIONES]]*0.21</f>
        <v>0</v>
      </c>
      <c r="P30" s="11"/>
      <c r="Q30" s="11"/>
      <c r="R30" s="11"/>
      <c r="T30" s="12" t="s">
        <v>2</v>
      </c>
      <c r="U30" s="13" t="s">
        <v>0</v>
      </c>
      <c r="V30" s="13" t="s">
        <v>1</v>
      </c>
      <c r="W30" s="13" t="s">
        <v>42</v>
      </c>
      <c r="X30" s="13" t="s">
        <v>4</v>
      </c>
      <c r="Z30" s="11"/>
      <c r="AA30" s="11">
        <f>Tabla356849[[#This Row],[COMISIONES]]*0.21</f>
        <v>0</v>
      </c>
      <c r="AB30" s="11"/>
      <c r="AC30" s="11"/>
      <c r="AD30" s="11"/>
    </row>
    <row r="31" spans="2:30" x14ac:dyDescent="0.3">
      <c r="B31" s="3"/>
      <c r="C31" s="2">
        <f>Tabla144[[#This Row],[COMISIONES]]*0.21</f>
        <v>0</v>
      </c>
      <c r="D31" s="3"/>
      <c r="E31" s="3"/>
      <c r="F31" s="3"/>
      <c r="H31" s="11"/>
      <c r="I31" s="11">
        <f>Tabla345[[#This Row],[COMISIONES]]*0.21</f>
        <v>0</v>
      </c>
      <c r="J31" s="11"/>
      <c r="K31" s="11"/>
      <c r="L31" s="11"/>
      <c r="N31" s="11"/>
      <c r="O31" s="11">
        <f>Tabla3546[[#This Row],[COMISIONES]]*0.21</f>
        <v>0</v>
      </c>
      <c r="P31" s="11"/>
      <c r="Q31" s="11"/>
      <c r="R31" s="11"/>
      <c r="T31" s="11">
        <v>230.4</v>
      </c>
      <c r="U31" s="11"/>
      <c r="V31" s="11">
        <f>Tabla648[[#This Row],[COMISIONES]]*0.105</f>
        <v>24.192</v>
      </c>
      <c r="W31" s="11">
        <v>42</v>
      </c>
      <c r="X31" s="11">
        <v>135</v>
      </c>
      <c r="Z31" s="11"/>
      <c r="AA31" s="11">
        <f>Tabla356849[[#This Row],[COMISIONES]]*0.21</f>
        <v>0</v>
      </c>
      <c r="AB31" s="11"/>
      <c r="AC31" s="11"/>
      <c r="AD31" s="11"/>
    </row>
    <row r="32" spans="2:30" x14ac:dyDescent="0.3">
      <c r="B32" s="3"/>
      <c r="C32" s="2">
        <f>Tabla144[[#This Row],[COMISIONES]]*0.21</f>
        <v>0</v>
      </c>
      <c r="D32" s="3"/>
      <c r="E32" s="3"/>
      <c r="F32" s="3"/>
      <c r="H32" s="11"/>
      <c r="I32" s="11">
        <f>Tabla345[[#This Row],[COMISIONES]]*0.21</f>
        <v>0</v>
      </c>
      <c r="J32" s="11"/>
      <c r="K32" s="11"/>
      <c r="L32" s="11"/>
      <c r="N32" s="11"/>
      <c r="O32" s="11">
        <f>Tabla3546[[#This Row],[COMISIONES]]*0.21</f>
        <v>0</v>
      </c>
      <c r="P32" s="11"/>
      <c r="Q32" s="11"/>
      <c r="R32" s="11"/>
      <c r="T32" s="11">
        <v>4500</v>
      </c>
      <c r="U32" s="11">
        <f>Tabla648[[#This Row],[COMISIONES]]*0.21</f>
        <v>945</v>
      </c>
      <c r="V32" s="11"/>
      <c r="W32" s="11">
        <v>270</v>
      </c>
      <c r="X32" s="11">
        <v>157.05000000000001</v>
      </c>
      <c r="Z32" s="11"/>
      <c r="AA32" s="11">
        <f>Tabla356849[[#This Row],[COMISIONES]]*0.21</f>
        <v>0</v>
      </c>
      <c r="AB32" s="11"/>
      <c r="AC32" s="11"/>
      <c r="AD32" s="11"/>
    </row>
    <row r="33" spans="2:30" x14ac:dyDescent="0.3">
      <c r="B33" s="3"/>
      <c r="C33" s="2">
        <f>Tabla144[[#This Row],[COMISIONES]]*0.21</f>
        <v>0</v>
      </c>
      <c r="D33" s="3"/>
      <c r="E33" s="3"/>
      <c r="F33" s="3"/>
      <c r="H33" s="11"/>
      <c r="I33" s="11">
        <f>Tabla345[[#This Row],[COMISIONES]]*0.21</f>
        <v>0</v>
      </c>
      <c r="J33" s="11"/>
      <c r="K33" s="11"/>
      <c r="L33" s="11"/>
      <c r="N33" s="11"/>
      <c r="O33" s="11">
        <f>Tabla3546[[#This Row],[COMISIONES]]*0.21</f>
        <v>0</v>
      </c>
      <c r="P33" s="11"/>
      <c r="Q33" s="11"/>
      <c r="R33" s="11"/>
      <c r="T33" s="11">
        <v>5235</v>
      </c>
      <c r="U33" s="20">
        <f>Tabla648[[#This Row],[COMISIONES]]*0.21</f>
        <v>1099.3499999999999</v>
      </c>
      <c r="V33" s="20"/>
      <c r="W33" s="11">
        <v>314.10000000000002</v>
      </c>
      <c r="X33" s="11">
        <v>105</v>
      </c>
      <c r="Z33" s="11"/>
      <c r="AA33" s="11">
        <f>Tabla356849[[#This Row],[COMISIONES]]*0.21</f>
        <v>0</v>
      </c>
      <c r="AB33" s="11"/>
      <c r="AC33" s="11"/>
      <c r="AD33" s="11"/>
    </row>
    <row r="34" spans="2:30" x14ac:dyDescent="0.3">
      <c r="B34" s="3"/>
      <c r="C34" s="2">
        <f>Tabla144[[#This Row],[COMISIONES]]*0.21</f>
        <v>0</v>
      </c>
      <c r="D34" s="3"/>
      <c r="E34" s="3"/>
      <c r="F34" s="3"/>
      <c r="H34" s="11"/>
      <c r="I34" s="11">
        <f>Tabla345[[#This Row],[COMISIONES]]*0.21</f>
        <v>0</v>
      </c>
      <c r="J34" s="11"/>
      <c r="K34" s="11"/>
      <c r="L34" s="11"/>
      <c r="N34" s="11"/>
      <c r="O34" s="11">
        <f>Tabla3546[[#This Row],[COMISIONES]]*0.21</f>
        <v>0</v>
      </c>
      <c r="P34" s="11"/>
      <c r="Q34" s="11"/>
      <c r="R34" s="11"/>
      <c r="T34" s="11">
        <v>300</v>
      </c>
      <c r="U34" s="20">
        <f>Tabla648[[#This Row],[COMISIONES]]*0.21</f>
        <v>63</v>
      </c>
      <c r="V34" s="20"/>
      <c r="W34" s="11">
        <v>210</v>
      </c>
      <c r="Z34" s="4">
        <f>SUBTOTAL(109,Tabla356849[COMISIONES])</f>
        <v>0</v>
      </c>
      <c r="AA34" s="4">
        <f>SUBTOTAL(109,Tabla356849[IVA 21])</f>
        <v>0</v>
      </c>
      <c r="AB34" s="4">
        <f>SUBTOTAL(109,Tabla356849[IVA 10,5])</f>
        <v>0</v>
      </c>
      <c r="AC34" s="4">
        <f>SUBTOTAL(109,Tabla356849[Ret IIBB Caba])</f>
        <v>0</v>
      </c>
      <c r="AD34" s="4">
        <f>SUBTOTAL(109,Tabla356849[PERC IVA])</f>
        <v>0</v>
      </c>
    </row>
    <row r="35" spans="2:30" x14ac:dyDescent="0.3">
      <c r="B35" s="3"/>
      <c r="C35" s="2">
        <f>Tabla144[[#This Row],[COMISIONES]]*0.21</f>
        <v>0</v>
      </c>
      <c r="D35" s="3"/>
      <c r="E35" s="3"/>
      <c r="F35" s="3"/>
      <c r="H35" s="11"/>
      <c r="I35" s="11">
        <f>Tabla345[[#This Row],[COMISIONES]]*0.21</f>
        <v>0</v>
      </c>
      <c r="J35" s="11"/>
      <c r="K35" s="11"/>
      <c r="L35" s="11"/>
      <c r="N35" s="11"/>
      <c r="O35" s="11">
        <f>Tabla3546[[#This Row],[COMISIONES]]*0.21</f>
        <v>0</v>
      </c>
      <c r="P35" s="11"/>
      <c r="Q35" s="11"/>
      <c r="R35" s="11"/>
      <c r="T35" s="11">
        <v>700</v>
      </c>
      <c r="U35" s="20">
        <f>Tabla648[[#This Row],[COMISIONES]]*0.21</f>
        <v>147</v>
      </c>
      <c r="V35" s="20"/>
      <c r="W35" s="11"/>
    </row>
    <row r="36" spans="2:30" x14ac:dyDescent="0.3">
      <c r="B36" s="3"/>
      <c r="C36" s="2">
        <f>Tabla144[[#This Row],[COMISIONES]]*0.21</f>
        <v>0</v>
      </c>
      <c r="D36" s="3"/>
      <c r="E36" s="3"/>
      <c r="F36" s="3"/>
      <c r="H36" s="11"/>
      <c r="I36" s="11">
        <f>Tabla345[[#This Row],[COMISIONES]]*0.21</f>
        <v>0</v>
      </c>
      <c r="J36" s="11"/>
      <c r="K36" s="11"/>
      <c r="L36" s="11"/>
      <c r="N36" s="11"/>
      <c r="O36" s="11">
        <f>Tabla3546[[#This Row],[COMISIONES]]*0.21</f>
        <v>0</v>
      </c>
      <c r="P36" s="11"/>
      <c r="Q36" s="11"/>
      <c r="R36" s="11"/>
      <c r="T36" s="11">
        <v>100</v>
      </c>
      <c r="U36" s="20">
        <f>Tabla648[[#This Row],[COMISIONES]]*0.21</f>
        <v>21</v>
      </c>
      <c r="V36" s="20"/>
    </row>
    <row r="37" spans="2:30" x14ac:dyDescent="0.3">
      <c r="B37" s="3"/>
      <c r="C37" s="2">
        <f>Tabla144[[#This Row],[COMISIONES]]*0.21</f>
        <v>0</v>
      </c>
      <c r="D37" s="3"/>
      <c r="E37" s="3"/>
      <c r="F37" s="3"/>
      <c r="H37" s="11"/>
      <c r="I37" s="11">
        <f>Tabla345[[#This Row],[COMISIONES]]*0.21</f>
        <v>0</v>
      </c>
      <c r="J37" s="11"/>
      <c r="K37" s="11"/>
      <c r="L37" s="11"/>
      <c r="N37" s="11"/>
      <c r="O37" s="11">
        <f>Tabla3546[[#This Row],[COMISIONES]]*0.21</f>
        <v>0</v>
      </c>
      <c r="P37" s="11"/>
      <c r="Q37" s="11"/>
      <c r="R37" s="11"/>
      <c r="T37" s="11">
        <v>300</v>
      </c>
      <c r="U37" s="20">
        <f>Tabla648[[#This Row],[COMISIONES]]*0.21</f>
        <v>63</v>
      </c>
      <c r="V37" s="20"/>
    </row>
    <row r="38" spans="2:30" x14ac:dyDescent="0.3">
      <c r="B38" s="3"/>
      <c r="C38" s="2">
        <f>Tabla144[[#This Row],[COMISIONES]]*0.21</f>
        <v>0</v>
      </c>
      <c r="D38" s="3"/>
      <c r="E38" s="3"/>
      <c r="F38" s="3"/>
      <c r="H38" s="19"/>
      <c r="I38" s="19">
        <f>Tabla345[[#This Row],[COMISIONES]]*0.21</f>
        <v>0</v>
      </c>
      <c r="J38" s="19"/>
      <c r="K38" s="19"/>
      <c r="L38" s="19"/>
      <c r="N38" s="11"/>
      <c r="O38" s="11">
        <f>Tabla3546[[#This Row],[COMISIONES]]*0.21</f>
        <v>0</v>
      </c>
      <c r="P38" s="11"/>
      <c r="Q38" s="11"/>
      <c r="R38" s="11"/>
      <c r="T38" s="11">
        <v>700</v>
      </c>
      <c r="U38" s="20">
        <f>Tabla648[[#This Row],[COMISIONES]]*0.21</f>
        <v>147</v>
      </c>
      <c r="V38" s="20"/>
    </row>
    <row r="39" spans="2:30" x14ac:dyDescent="0.3">
      <c r="B39" s="3"/>
      <c r="C39" s="2">
        <f>Tabla144[[#This Row],[COMISIONES]]*0.21</f>
        <v>0</v>
      </c>
      <c r="D39" s="3"/>
      <c r="E39" s="3"/>
      <c r="F39" s="3"/>
      <c r="H39" s="19"/>
      <c r="I39" s="19">
        <f>Tabla345[[#This Row],[COMISIONES]]*0.21</f>
        <v>0</v>
      </c>
      <c r="J39" s="19"/>
      <c r="K39" s="19"/>
      <c r="L39" s="19"/>
      <c r="N39" s="11"/>
      <c r="O39" s="11">
        <f>Tabla3546[[#This Row],[COMISIONES]]*0.21</f>
        <v>0</v>
      </c>
      <c r="P39" s="11"/>
      <c r="Q39" s="11"/>
      <c r="R39" s="11"/>
      <c r="T39" s="11">
        <v>100</v>
      </c>
      <c r="U39" s="20">
        <f>Tabla648[[#This Row],[COMISIONES]]*0.21</f>
        <v>21</v>
      </c>
      <c r="V39" s="20"/>
    </row>
    <row r="40" spans="2:30" x14ac:dyDescent="0.3">
      <c r="B40" s="3"/>
      <c r="C40" s="2">
        <f>Tabla144[[#This Row],[COMISIONES]]*0.21</f>
        <v>0</v>
      </c>
      <c r="D40" s="3"/>
      <c r="E40" s="3"/>
      <c r="F40" s="3"/>
      <c r="G40" s="8"/>
      <c r="H40" s="19"/>
      <c r="I40" s="19">
        <f>Tabla345[[#This Row],[COMISIONES]]*0.21</f>
        <v>0</v>
      </c>
      <c r="J40" s="19"/>
      <c r="K40" s="19"/>
      <c r="L40" s="19"/>
      <c r="M40" s="8"/>
      <c r="N40" s="11"/>
      <c r="O40" s="11">
        <f>Tabla3546[[#This Row],[COMISIONES]]*0.21</f>
        <v>0</v>
      </c>
      <c r="P40" s="11"/>
      <c r="Q40" s="11"/>
      <c r="R40" s="11"/>
      <c r="S40" s="8"/>
      <c r="T40" s="11">
        <v>3500</v>
      </c>
      <c r="U40" s="20">
        <f>Tabla648[[#This Row],[COMISIONES]]*0.21</f>
        <v>735</v>
      </c>
      <c r="V40" s="20"/>
    </row>
    <row r="41" spans="2:30" x14ac:dyDescent="0.3">
      <c r="B41" s="3"/>
      <c r="C41" s="2">
        <f>Tabla144[[#This Row],[COMISIONES]]*0.21</f>
        <v>0</v>
      </c>
      <c r="D41" s="3"/>
      <c r="E41" s="3"/>
      <c r="F41" s="3"/>
      <c r="H41" s="19"/>
      <c r="I41" s="19">
        <f>Tabla345[[#This Row],[COMISIONES]]*0.21</f>
        <v>0</v>
      </c>
      <c r="J41" s="19"/>
      <c r="K41" s="19"/>
      <c r="L41" s="19"/>
      <c r="N41" s="11"/>
      <c r="O41" s="11">
        <f>Tabla3546[[#This Row],[COMISIONES]]*0.21</f>
        <v>0</v>
      </c>
      <c r="P41" s="11"/>
      <c r="Q41" s="11"/>
      <c r="R41" s="11"/>
      <c r="T41" s="11">
        <v>100</v>
      </c>
      <c r="U41" s="20">
        <f>Tabla648[[#This Row],[COMISIONES]]*0.21</f>
        <v>21</v>
      </c>
      <c r="V41" s="20"/>
    </row>
    <row r="42" spans="2:30" x14ac:dyDescent="0.3">
      <c r="B42" s="3"/>
      <c r="C42" s="2">
        <f>Tabla144[[#This Row],[COMISIONES]]*0.21</f>
        <v>0</v>
      </c>
      <c r="D42" s="3"/>
      <c r="E42" s="3"/>
      <c r="F42" s="3"/>
      <c r="H42" s="19"/>
      <c r="I42" s="19">
        <f>Tabla345[[#This Row],[COMISIONES]]*0.21</f>
        <v>0</v>
      </c>
      <c r="J42" s="19"/>
      <c r="K42" s="19"/>
      <c r="L42" s="19"/>
      <c r="N42" s="11"/>
      <c r="O42" s="11">
        <f>Tabla3546[[#This Row],[COMISIONES]]*0.21</f>
        <v>0</v>
      </c>
      <c r="P42" s="11"/>
      <c r="Q42" s="11"/>
      <c r="R42" s="11"/>
      <c r="T42" s="11">
        <v>300</v>
      </c>
      <c r="U42" s="20">
        <f>Tabla648[[#This Row],[COMISIONES]]*0.21</f>
        <v>63</v>
      </c>
      <c r="V42" s="20"/>
    </row>
    <row r="43" spans="2:30" x14ac:dyDescent="0.3">
      <c r="B43" s="3"/>
      <c r="C43" s="2">
        <f>Tabla144[[#This Row],[COMISIONES]]*0.21</f>
        <v>0</v>
      </c>
      <c r="D43" s="3"/>
      <c r="E43" s="3"/>
      <c r="F43" s="3"/>
      <c r="H43" s="19"/>
      <c r="I43" s="19">
        <f>Tabla345[[#This Row],[COMISIONES]]*0.21</f>
        <v>0</v>
      </c>
      <c r="J43" s="19"/>
      <c r="K43" s="19"/>
      <c r="L43" s="19"/>
      <c r="N43" s="11"/>
      <c r="O43" s="11">
        <f>Tabla3546[[#This Row],[COMISIONES]]*0.21</f>
        <v>0</v>
      </c>
      <c r="P43" s="11"/>
      <c r="Q43" s="11"/>
      <c r="R43" s="11"/>
      <c r="U43" s="20">
        <f>Tabla648[[#This Row],[COMISIONES]]*0.21</f>
        <v>0</v>
      </c>
      <c r="V43" s="20"/>
    </row>
    <row r="44" spans="2:30" x14ac:dyDescent="0.3">
      <c r="B44" s="3"/>
      <c r="C44" s="2">
        <f>Tabla144[[#This Row],[COMISIONES]]*0.21</f>
        <v>0</v>
      </c>
      <c r="D44" s="3"/>
      <c r="E44" s="3"/>
      <c r="F44" s="3"/>
      <c r="H44" s="19"/>
      <c r="I44" s="19">
        <f>Tabla345[[#This Row],[COMISIONES]]*0.21</f>
        <v>0</v>
      </c>
      <c r="J44" s="19"/>
      <c r="K44" s="19"/>
      <c r="L44" s="19"/>
      <c r="N44" s="11"/>
      <c r="O44" s="11">
        <f>Tabla3546[[#This Row],[COMISIONES]]*0.21</f>
        <v>0</v>
      </c>
      <c r="P44" s="11"/>
      <c r="Q44" s="11"/>
      <c r="R44" s="11"/>
      <c r="U44" s="20">
        <f>Tabla648[[#This Row],[COMISIONES]]*0.21</f>
        <v>0</v>
      </c>
      <c r="V44" s="20"/>
    </row>
    <row r="45" spans="2:30" x14ac:dyDescent="0.3">
      <c r="B45" s="3"/>
      <c r="C45" s="2">
        <f>Tabla144[[#This Row],[COMISIONES]]*0.21</f>
        <v>0</v>
      </c>
      <c r="D45" s="3"/>
      <c r="E45" s="3"/>
      <c r="F45" s="3"/>
      <c r="H45" s="19"/>
      <c r="I45" s="19">
        <f>Tabla345[[#This Row],[COMISIONES]]*0.21</f>
        <v>0</v>
      </c>
      <c r="J45" s="19"/>
      <c r="K45" s="19"/>
      <c r="L45" s="19"/>
      <c r="N45" s="11"/>
      <c r="O45" s="11">
        <f>Tabla3546[[#This Row],[COMISIONES]]*0.21</f>
        <v>0</v>
      </c>
      <c r="P45" s="11"/>
      <c r="Q45" s="11"/>
      <c r="R45" s="11"/>
      <c r="U45" s="20">
        <f>Tabla648[[#This Row],[COMISIONES]]*0.21</f>
        <v>0</v>
      </c>
      <c r="V45" s="20"/>
    </row>
    <row r="46" spans="2:30" x14ac:dyDescent="0.3">
      <c r="B46" s="3"/>
      <c r="C46" s="2">
        <f>Tabla144[[#This Row],[COMISIONES]]*0.21</f>
        <v>0</v>
      </c>
      <c r="D46" s="3"/>
      <c r="E46" s="3"/>
      <c r="F46" s="3"/>
      <c r="H46" s="19"/>
      <c r="I46" s="19">
        <f>Tabla345[[#This Row],[COMISIONES]]*0.21</f>
        <v>0</v>
      </c>
      <c r="J46" s="19"/>
      <c r="K46" s="19"/>
      <c r="L46" s="19"/>
      <c r="N46" s="11"/>
      <c r="O46" s="11">
        <f>Tabla3546[[#This Row],[COMISIONES]]*0.21</f>
        <v>0</v>
      </c>
      <c r="P46" s="11"/>
      <c r="Q46" s="11"/>
      <c r="R46" s="11"/>
      <c r="U46" s="20">
        <f>Tabla648[[#This Row],[COMISIONES]]*0.21</f>
        <v>0</v>
      </c>
      <c r="V46" s="20"/>
    </row>
    <row r="47" spans="2:30" x14ac:dyDescent="0.3">
      <c r="B47" s="3"/>
      <c r="C47" s="2">
        <f>Tabla144[[#This Row],[COMISIONES]]*0.21</f>
        <v>0</v>
      </c>
      <c r="D47" s="3"/>
      <c r="E47" s="3"/>
      <c r="F47" s="3"/>
      <c r="H47" s="19"/>
      <c r="I47" s="19">
        <f>Tabla345[[#This Row],[COMISIONES]]*0.21</f>
        <v>0</v>
      </c>
      <c r="J47" s="19"/>
      <c r="K47" s="19"/>
      <c r="L47" s="19"/>
      <c r="N47" s="11"/>
      <c r="O47" s="11">
        <f>Tabla3546[[#This Row],[COMISIONES]]*0.21</f>
        <v>0</v>
      </c>
      <c r="P47" s="11"/>
      <c r="Q47" s="11"/>
      <c r="R47" s="11"/>
      <c r="U47" s="20">
        <f>Tabla648[[#This Row],[COMISIONES]]*0.21</f>
        <v>0</v>
      </c>
      <c r="V47" s="20"/>
    </row>
    <row r="48" spans="2:30" x14ac:dyDescent="0.3">
      <c r="B48" s="2"/>
      <c r="C48" s="2">
        <f>Tabla144[[#This Row],[COMISIONES]]*0.21</f>
        <v>0</v>
      </c>
      <c r="D48" s="2"/>
      <c r="E48" s="2"/>
      <c r="H48" s="19"/>
      <c r="I48" s="19">
        <f>Tabla345[[#This Row],[COMISIONES]]*0.21</f>
        <v>0</v>
      </c>
      <c r="J48" s="19"/>
      <c r="K48" s="19"/>
      <c r="L48" s="19"/>
      <c r="N48" s="11"/>
      <c r="O48" s="11">
        <f>Tabla3546[[#This Row],[COMISIONES]]*0.21</f>
        <v>0</v>
      </c>
      <c r="P48" s="11"/>
      <c r="Q48" s="11"/>
      <c r="R48" s="11"/>
      <c r="U48" s="20">
        <f>Tabla648[[#This Row],[COMISIONES]]*0.21</f>
        <v>0</v>
      </c>
      <c r="V48" s="20"/>
    </row>
    <row r="49" spans="2:24" x14ac:dyDescent="0.3">
      <c r="B49" s="2"/>
      <c r="C49" s="2">
        <f>Tabla144[[#This Row],[COMISIONES]]*0.21</f>
        <v>0</v>
      </c>
      <c r="D49" s="2"/>
      <c r="E49" s="2"/>
      <c r="H49" s="19"/>
      <c r="I49" s="19">
        <f>Tabla345[[#This Row],[COMISIONES]]*0.21</f>
        <v>0</v>
      </c>
      <c r="J49" s="19"/>
      <c r="K49" s="19"/>
      <c r="L49" s="19"/>
      <c r="N49" s="11"/>
      <c r="O49" s="11">
        <f>Tabla3546[[#This Row],[COMISIONES]]*0.21</f>
        <v>0</v>
      </c>
      <c r="P49" s="11"/>
      <c r="Q49" s="11"/>
      <c r="R49" s="11"/>
      <c r="U49" s="20">
        <f>Tabla648[[#This Row],[COMISIONES]]*0.21</f>
        <v>0</v>
      </c>
      <c r="V49" s="20"/>
    </row>
    <row r="50" spans="2:24" x14ac:dyDescent="0.3">
      <c r="B50" s="2"/>
      <c r="C50" s="2">
        <f>Tabla144[[#This Row],[COMISIONES]]*0.21</f>
        <v>0</v>
      </c>
      <c r="D50" s="2"/>
      <c r="E50" s="2"/>
      <c r="H50" s="18">
        <f>SUBTOTAL(109,Tabla345[COMISIONES])</f>
        <v>500</v>
      </c>
      <c r="I50" s="18">
        <f>SUBTOTAL(109,Tabla345[IVA 21])</f>
        <v>105</v>
      </c>
      <c r="J50" s="18">
        <f>SUBTOTAL(109,Tabla345[IVA 10,5])</f>
        <v>0</v>
      </c>
      <c r="K50" s="18">
        <f>SUBTOTAL(109,Tabla345[Ret IIBB Caba])</f>
        <v>1360.85</v>
      </c>
      <c r="L50" s="18">
        <f>SUBTOTAL(109,Tabla345[PERC IVA])</f>
        <v>0</v>
      </c>
      <c r="N50" s="11"/>
      <c r="O50" s="11">
        <f>Tabla3546[[#This Row],[COMISIONES]]*0.21</f>
        <v>0</v>
      </c>
      <c r="P50" s="11"/>
      <c r="Q50" s="11"/>
      <c r="R50" s="11"/>
      <c r="U50" s="20">
        <f>Tabla648[[#This Row],[COMISIONES]]*0.21</f>
        <v>0</v>
      </c>
      <c r="V50" s="20"/>
    </row>
    <row r="51" spans="2:24" x14ac:dyDescent="0.3">
      <c r="B51" s="2"/>
      <c r="C51" s="2">
        <f>Tabla144[[#This Row],[COMISIONES]]*0.21</f>
        <v>0</v>
      </c>
      <c r="D51" s="2"/>
      <c r="E51" s="2"/>
      <c r="N51" s="11"/>
      <c r="O51" s="11">
        <f>Tabla3546[[#This Row],[COMISIONES]]*0.21</f>
        <v>0</v>
      </c>
      <c r="P51" s="11"/>
      <c r="Q51" s="11"/>
      <c r="R51" s="11"/>
      <c r="U51" s="20">
        <f>Tabla648[[#This Row],[COMISIONES]]*0.21</f>
        <v>0</v>
      </c>
      <c r="V51" s="20"/>
    </row>
    <row r="52" spans="2:24" ht="18" x14ac:dyDescent="0.35">
      <c r="B52" s="2"/>
      <c r="C52" s="2">
        <f>Tabla144[[#This Row],[COMISIONES]]*0.21</f>
        <v>0</v>
      </c>
      <c r="D52" s="2"/>
      <c r="E52" s="2"/>
      <c r="H52" s="30" t="s">
        <v>44</v>
      </c>
      <c r="I52" s="30"/>
      <c r="J52" s="30"/>
      <c r="K52" s="30"/>
      <c r="L52" s="30"/>
      <c r="N52" s="11"/>
      <c r="O52" s="11">
        <f>Tabla3546[[#This Row],[COMISIONES]]*0.21</f>
        <v>0</v>
      </c>
      <c r="P52" s="11"/>
      <c r="Q52" s="11"/>
      <c r="R52" s="11"/>
      <c r="U52" s="20">
        <f>Tabla648[[#This Row],[COMISIONES]]*0.21</f>
        <v>0</v>
      </c>
      <c r="V52" s="20"/>
    </row>
    <row r="53" spans="2:24" x14ac:dyDescent="0.3">
      <c r="B53" s="2"/>
      <c r="C53" s="2">
        <f>Tabla144[[#This Row],[COMISIONES]]*0.21</f>
        <v>0</v>
      </c>
      <c r="D53" s="2"/>
      <c r="E53" s="2"/>
      <c r="H53" s="12" t="s">
        <v>2</v>
      </c>
      <c r="I53" s="13" t="s">
        <v>0</v>
      </c>
      <c r="J53" s="13" t="s">
        <v>1</v>
      </c>
      <c r="K53" s="13" t="s">
        <v>3</v>
      </c>
      <c r="L53" s="13" t="s">
        <v>4</v>
      </c>
      <c r="N53" s="11"/>
      <c r="O53" s="11">
        <f>Tabla3546[[#This Row],[COMISIONES]]*0.21</f>
        <v>0</v>
      </c>
      <c r="P53" s="11"/>
      <c r="Q53" s="11"/>
      <c r="R53" s="11"/>
      <c r="U53" s="20">
        <f>Tabla648[[#This Row],[COMISIONES]]*0.21</f>
        <v>0</v>
      </c>
      <c r="V53" s="20"/>
    </row>
    <row r="54" spans="2:24" x14ac:dyDescent="0.3">
      <c r="B54" s="2"/>
      <c r="C54" s="2">
        <f>Tabla144[[#This Row],[COMISIONES]]*0.21</f>
        <v>0</v>
      </c>
      <c r="D54" s="2"/>
      <c r="E54" s="2"/>
      <c r="H54" s="3">
        <v>5625</v>
      </c>
      <c r="I54" s="11">
        <f>Tabla34550[[#This Row],[COMISIONES]]*0.21</f>
        <v>1181.25</v>
      </c>
      <c r="J54" s="11"/>
      <c r="K54" s="11">
        <v>337.5</v>
      </c>
      <c r="L54" s="3">
        <v>168.75</v>
      </c>
      <c r="N54" s="11"/>
      <c r="O54" s="11">
        <f>Tabla3546[[#This Row],[COMISIONES]]*0.21</f>
        <v>0</v>
      </c>
      <c r="P54" s="11"/>
      <c r="Q54" s="11"/>
      <c r="R54" s="11"/>
      <c r="U54" s="20">
        <f>Tabla648[[#This Row],[COMISIONES]]*0.21</f>
        <v>0</v>
      </c>
      <c r="V54" s="20"/>
    </row>
    <row r="55" spans="2:24" x14ac:dyDescent="0.3">
      <c r="B55" s="2"/>
      <c r="C55" s="2">
        <f>Tabla144[[#This Row],[COMISIONES]]*0.21</f>
        <v>0</v>
      </c>
      <c r="D55" s="1"/>
      <c r="E55" s="2"/>
      <c r="H55" s="11">
        <v>429.98</v>
      </c>
      <c r="I55" s="11"/>
      <c r="J55" s="11">
        <f>Tabla34550[[#This Row],[COMISIONES]]*0.105</f>
        <v>45.1479</v>
      </c>
      <c r="K55" s="11"/>
      <c r="L55" s="11"/>
      <c r="N55" s="11"/>
      <c r="O55" s="11">
        <f>Tabla3546[[#This Row],[COMISIONES]]*0.21</f>
        <v>0</v>
      </c>
      <c r="P55" s="11"/>
      <c r="Q55" s="11"/>
      <c r="R55" s="11"/>
      <c r="U55" s="20">
        <f>Tabla648[[#This Row],[COMISIONES]]*0.21</f>
        <v>0</v>
      </c>
      <c r="V55" s="20"/>
    </row>
    <row r="56" spans="2:24" x14ac:dyDescent="0.3">
      <c r="B56" s="2"/>
      <c r="C56" s="2">
        <f>Tabla144[[#This Row],[COMISIONES]]*0.21</f>
        <v>0</v>
      </c>
      <c r="D56" s="2"/>
      <c r="E56" s="2"/>
      <c r="H56" s="11"/>
      <c r="I56" s="11">
        <f>Tabla34550[[#This Row],[COMISIONES]]*0.21</f>
        <v>0</v>
      </c>
      <c r="J56" s="11"/>
      <c r="K56" s="11"/>
      <c r="L56" s="11"/>
      <c r="N56" s="11"/>
      <c r="O56" s="11">
        <f>Tabla3546[[#This Row],[COMISIONES]]*0.21</f>
        <v>0</v>
      </c>
      <c r="P56" s="11"/>
      <c r="Q56" s="11"/>
      <c r="R56" s="11"/>
      <c r="U56" s="20">
        <f>Tabla648[[#This Row],[COMISIONES]]*0.21</f>
        <v>0</v>
      </c>
      <c r="V56" s="20"/>
    </row>
    <row r="57" spans="2:24" x14ac:dyDescent="0.3">
      <c r="B57" s="2"/>
      <c r="C57" s="2">
        <f>Tabla144[[#This Row],[COMISIONES]]*0.21</f>
        <v>0</v>
      </c>
      <c r="D57" s="2"/>
      <c r="E57" s="2"/>
      <c r="H57" s="11"/>
      <c r="I57" s="11">
        <f>Tabla34550[[#This Row],[COMISIONES]]*0.21</f>
        <v>0</v>
      </c>
      <c r="J57" s="11"/>
      <c r="K57" s="11"/>
      <c r="L57" s="11"/>
      <c r="N57" s="11"/>
      <c r="O57" s="11">
        <f>Tabla3546[[#This Row],[COMISIONES]]*0.21</f>
        <v>0</v>
      </c>
      <c r="P57" s="11"/>
      <c r="Q57" s="11"/>
      <c r="R57" s="11"/>
      <c r="U57" s="20">
        <f>Tabla648[[#This Row],[COMISIONES]]*0.21</f>
        <v>0</v>
      </c>
      <c r="V57" s="20"/>
    </row>
    <row r="58" spans="2:24" x14ac:dyDescent="0.3">
      <c r="B58" s="18">
        <f>SUBTOTAL(109,Tabla144[COMISIONES])</f>
        <v>496</v>
      </c>
      <c r="C58" s="18">
        <f>SUBTOTAL(109,Tabla144[IVA 21])</f>
        <v>104.16</v>
      </c>
      <c r="D58" s="18">
        <f>SUBTOTAL(109,Tabla144[IVA 10,5])</f>
        <v>0</v>
      </c>
      <c r="E58" s="18">
        <f>SUBTOTAL(109,Tabla144[Ret IIBB Caba])</f>
        <v>0</v>
      </c>
      <c r="F58" s="18">
        <f>SUBTOTAL(109,Tabla144[PERC IVA])</f>
        <v>0</v>
      </c>
      <c r="H58" s="11"/>
      <c r="I58" s="11">
        <f>Tabla34550[[#This Row],[COMISIONES]]*0.21</f>
        <v>0</v>
      </c>
      <c r="J58" s="11"/>
      <c r="K58" s="11"/>
      <c r="L58" s="11"/>
      <c r="N58" s="11"/>
      <c r="O58" s="11">
        <f>Tabla3546[[#This Row],[COMISIONES]]*0.21</f>
        <v>0</v>
      </c>
      <c r="P58" s="11"/>
      <c r="Q58" s="11"/>
      <c r="R58" s="11"/>
      <c r="U58" s="20">
        <f>Tabla648[[#This Row],[COMISIONES]]*0.21</f>
        <v>0</v>
      </c>
      <c r="V58" s="20"/>
    </row>
    <row r="59" spans="2:24" x14ac:dyDescent="0.3">
      <c r="H59" s="11"/>
      <c r="I59" s="11">
        <f>Tabla34550[[#This Row],[COMISIONES]]*0.21</f>
        <v>0</v>
      </c>
      <c r="J59" s="11"/>
      <c r="K59" s="11"/>
      <c r="L59" s="11"/>
      <c r="N59" s="11"/>
      <c r="O59" s="11">
        <f>Tabla3546[[#This Row],[COMISIONES]]*0.21</f>
        <v>0</v>
      </c>
      <c r="P59" s="11"/>
      <c r="Q59" s="11"/>
      <c r="R59" s="11"/>
      <c r="T59" s="18">
        <f>SUBTOTAL(109,Tabla648[COMISIONES])</f>
        <v>16065.4</v>
      </c>
      <c r="U59" s="18">
        <f>SUBTOTAL(109,Tabla648[IVA 21])</f>
        <v>3325.35</v>
      </c>
      <c r="V59" s="18">
        <f>SUBTOTAL(109,Tabla648[IVA 10,5])</f>
        <v>24.192</v>
      </c>
      <c r="W59" s="18">
        <f>SUBTOTAL(109,Tabla648[Perc IIBB Caba])</f>
        <v>836.1</v>
      </c>
      <c r="X59" s="18">
        <f>SUBTOTAL(109,Tabla648[PERC IVA])</f>
        <v>397.05</v>
      </c>
    </row>
    <row r="60" spans="2:24" x14ac:dyDescent="0.3">
      <c r="H60" s="11"/>
      <c r="I60" s="11">
        <f>Tabla34550[[#This Row],[COMISIONES]]*0.21</f>
        <v>0</v>
      </c>
      <c r="J60" s="11"/>
      <c r="K60" s="11"/>
      <c r="L60" s="11"/>
      <c r="N60" s="11"/>
      <c r="O60" s="11">
        <f>Tabla3546[[#This Row],[COMISIONES]]*0.21</f>
        <v>0</v>
      </c>
      <c r="P60" s="11"/>
      <c r="Q60" s="11"/>
      <c r="R60" s="11"/>
    </row>
    <row r="61" spans="2:24" x14ac:dyDescent="0.3">
      <c r="H61" s="11"/>
      <c r="I61" s="11">
        <f>Tabla34550[[#This Row],[COMISIONES]]*0.21</f>
        <v>0</v>
      </c>
      <c r="J61" s="11"/>
      <c r="K61" s="11"/>
      <c r="L61" s="11"/>
      <c r="N61" s="11"/>
      <c r="O61" s="11">
        <f>Tabla3546[[#This Row],[COMISIONES]]*0.21</f>
        <v>0</v>
      </c>
      <c r="P61" s="11"/>
      <c r="Q61" s="11"/>
      <c r="R61" s="11"/>
    </row>
    <row r="62" spans="2:24" x14ac:dyDescent="0.3">
      <c r="H62" s="11"/>
      <c r="I62" s="11">
        <f>Tabla34550[[#This Row],[COMISIONES]]*0.21</f>
        <v>0</v>
      </c>
      <c r="J62" s="11"/>
      <c r="K62" s="11"/>
      <c r="L62" s="11"/>
      <c r="N62" s="11"/>
      <c r="O62" s="11">
        <f>Tabla3546[[#This Row],[COMISIONES]]*0.21</f>
        <v>0</v>
      </c>
      <c r="P62" s="11"/>
      <c r="Q62" s="11"/>
      <c r="R62" s="11"/>
    </row>
    <row r="63" spans="2:24" x14ac:dyDescent="0.3">
      <c r="H63" s="11"/>
      <c r="I63" s="11">
        <f>Tabla34550[[#This Row],[COMISIONES]]*0.21</f>
        <v>0</v>
      </c>
      <c r="J63" s="11"/>
      <c r="K63" s="11"/>
      <c r="L63" s="11"/>
      <c r="N63" s="11"/>
      <c r="O63" s="11">
        <f>Tabla3546[[#This Row],[COMISIONES]]*0.21</f>
        <v>0</v>
      </c>
      <c r="P63" s="11"/>
      <c r="Q63" s="11"/>
      <c r="R63" s="11"/>
    </row>
    <row r="64" spans="2:24" x14ac:dyDescent="0.3">
      <c r="H64" s="11"/>
      <c r="I64" s="11">
        <f>Tabla34550[[#This Row],[COMISIONES]]*0.21</f>
        <v>0</v>
      </c>
      <c r="J64" s="11"/>
      <c r="K64" s="11"/>
      <c r="L64" s="11"/>
      <c r="N64" s="19"/>
      <c r="O64" s="19">
        <f>Tabla3546[[#This Row],[COMISIONES]]*0.21</f>
        <v>0</v>
      </c>
      <c r="P64" s="19"/>
      <c r="Q64" s="19"/>
      <c r="R64" s="19"/>
    </row>
    <row r="65" spans="1:30" x14ac:dyDescent="0.3">
      <c r="H65" s="11"/>
      <c r="I65" s="11">
        <f>Tabla34550[[#This Row],[COMISIONES]]*0.21</f>
        <v>0</v>
      </c>
      <c r="J65" s="11"/>
      <c r="K65" s="11"/>
      <c r="L65" s="11"/>
      <c r="N65" s="19"/>
      <c r="O65" s="19">
        <f>Tabla3546[[#This Row],[COMISIONES]]*0.21</f>
        <v>0</v>
      </c>
      <c r="P65" s="19"/>
      <c r="Q65" s="19"/>
      <c r="R65" s="19"/>
    </row>
    <row r="66" spans="1:30" s="6" customFormat="1" x14ac:dyDescent="0.3">
      <c r="A66"/>
      <c r="B66"/>
      <c r="C66"/>
      <c r="D66"/>
      <c r="E66"/>
      <c r="F66"/>
      <c r="H66" s="11"/>
      <c r="I66" s="11">
        <f>Tabla34550[[#This Row],[COMISIONES]]*0.21</f>
        <v>0</v>
      </c>
      <c r="J66" s="11"/>
      <c r="K66" s="11"/>
      <c r="L66" s="11"/>
      <c r="N66" s="19"/>
      <c r="O66" s="19">
        <f>Tabla3546[[#This Row],[COMISIONES]]*0.21</f>
        <v>0</v>
      </c>
      <c r="P66" s="19"/>
      <c r="Q66" s="19"/>
      <c r="R66" s="19"/>
      <c r="T66"/>
      <c r="U66"/>
      <c r="V66"/>
      <c r="W66"/>
      <c r="X66"/>
      <c r="Y66"/>
      <c r="Z66"/>
      <c r="AA66"/>
      <c r="AB66"/>
      <c r="AC66"/>
      <c r="AD66"/>
    </row>
    <row r="67" spans="1:30" s="6" customFormat="1" x14ac:dyDescent="0.3">
      <c r="A67"/>
      <c r="B67"/>
      <c r="C67"/>
      <c r="D67"/>
      <c r="E67"/>
      <c r="F67"/>
      <c r="H67" s="11"/>
      <c r="I67" s="11">
        <f>Tabla34550[[#This Row],[COMISIONES]]*0.21</f>
        <v>0</v>
      </c>
      <c r="J67" s="11"/>
      <c r="K67" s="11"/>
      <c r="L67" s="11"/>
      <c r="N67" s="19"/>
      <c r="O67" s="19">
        <f>Tabla3546[[#This Row],[COMISIONES]]*0.21</f>
        <v>0</v>
      </c>
      <c r="P67" s="19"/>
      <c r="Q67" s="19"/>
      <c r="R67" s="19"/>
      <c r="T67"/>
      <c r="U67"/>
      <c r="V67"/>
      <c r="W67"/>
      <c r="X67"/>
      <c r="Y67"/>
      <c r="Z67"/>
      <c r="AA67"/>
      <c r="AB67"/>
      <c r="AC67"/>
      <c r="AD67"/>
    </row>
    <row r="68" spans="1:30" s="6" customFormat="1" x14ac:dyDescent="0.3">
      <c r="A68"/>
      <c r="B68"/>
      <c r="C68"/>
      <c r="D68"/>
      <c r="E68"/>
      <c r="F68"/>
      <c r="H68" s="11"/>
      <c r="I68" s="11">
        <f>Tabla34550[[#This Row],[COMISIONES]]*0.21</f>
        <v>0</v>
      </c>
      <c r="J68" s="11"/>
      <c r="K68" s="11"/>
      <c r="L68" s="11"/>
      <c r="N68" s="19"/>
      <c r="O68" s="19">
        <f>Tabla3546[[#This Row],[COMISIONES]]*0.21</f>
        <v>0</v>
      </c>
      <c r="P68" s="19"/>
      <c r="Q68" s="19"/>
      <c r="R68" s="19"/>
      <c r="T68"/>
      <c r="U68"/>
      <c r="V68"/>
      <c r="W68"/>
      <c r="X68"/>
      <c r="Y68"/>
      <c r="Z68"/>
      <c r="AA68"/>
      <c r="AB68"/>
      <c r="AC68"/>
      <c r="AD68"/>
    </row>
    <row r="69" spans="1:30" s="6" customFormat="1" x14ac:dyDescent="0.3">
      <c r="A69"/>
      <c r="B69"/>
      <c r="C69"/>
      <c r="D69"/>
      <c r="E69"/>
      <c r="F69"/>
      <c r="H69" s="11"/>
      <c r="I69" s="11">
        <f>Tabla34550[[#This Row],[COMISIONES]]*0.21</f>
        <v>0</v>
      </c>
      <c r="J69" s="11"/>
      <c r="K69" s="11"/>
      <c r="L69" s="11"/>
      <c r="N69" s="19"/>
      <c r="O69" s="19">
        <f>Tabla3546[[#This Row],[COMISIONES]]*0.21</f>
        <v>0</v>
      </c>
      <c r="P69" s="19"/>
      <c r="Q69" s="19"/>
      <c r="R69" s="19"/>
      <c r="T69"/>
      <c r="U69"/>
      <c r="V69"/>
      <c r="W69"/>
      <c r="X69"/>
      <c r="Y69"/>
      <c r="Z69"/>
      <c r="AA69"/>
      <c r="AB69"/>
      <c r="AC69"/>
      <c r="AD69"/>
    </row>
    <row r="70" spans="1:30" s="6" customFormat="1" x14ac:dyDescent="0.3">
      <c r="A70"/>
      <c r="B70"/>
      <c r="C70"/>
      <c r="D70"/>
      <c r="E70"/>
      <c r="F70"/>
      <c r="H70" s="11"/>
      <c r="I70" s="11">
        <f>Tabla34550[[#This Row],[COMISIONES]]*0.21</f>
        <v>0</v>
      </c>
      <c r="J70" s="11"/>
      <c r="K70" s="11"/>
      <c r="L70" s="11"/>
      <c r="N70" s="19"/>
      <c r="O70" s="19">
        <f>Tabla3546[[#This Row],[COMISIONES]]*0.21</f>
        <v>0</v>
      </c>
      <c r="P70" s="19"/>
      <c r="Q70" s="19"/>
      <c r="R70" s="19"/>
      <c r="T70"/>
      <c r="U70"/>
      <c r="V70"/>
      <c r="W70"/>
      <c r="X70"/>
      <c r="Y70"/>
      <c r="Z70"/>
      <c r="AA70"/>
      <c r="AB70"/>
      <c r="AC70"/>
      <c r="AD70"/>
    </row>
    <row r="71" spans="1:30" s="6" customFormat="1" x14ac:dyDescent="0.3">
      <c r="A71"/>
      <c r="B71"/>
      <c r="C71"/>
      <c r="D71"/>
      <c r="E71"/>
      <c r="F71"/>
      <c r="H71" s="11"/>
      <c r="I71" s="11">
        <f>Tabla34550[[#This Row],[COMISIONES]]*0.21</f>
        <v>0</v>
      </c>
      <c r="J71" s="11"/>
      <c r="K71" s="11"/>
      <c r="L71" s="11"/>
      <c r="N71" s="19"/>
      <c r="O71" s="19">
        <f>Tabla3546[[#This Row],[COMISIONES]]*0.21</f>
        <v>0</v>
      </c>
      <c r="P71" s="19"/>
      <c r="Q71" s="19"/>
      <c r="R71" s="19"/>
      <c r="T71"/>
      <c r="U71"/>
      <c r="V71"/>
      <c r="W71"/>
      <c r="X71"/>
      <c r="Y71"/>
      <c r="Z71"/>
      <c r="AA71"/>
      <c r="AB71"/>
      <c r="AC71"/>
      <c r="AD71"/>
    </row>
    <row r="72" spans="1:30" s="6" customFormat="1" x14ac:dyDescent="0.3">
      <c r="A72"/>
      <c r="B72"/>
      <c r="C72"/>
      <c r="D72"/>
      <c r="E72"/>
      <c r="F72"/>
      <c r="H72" s="11"/>
      <c r="I72" s="11">
        <f>Tabla34550[[#This Row],[COMISIONES]]*0.21</f>
        <v>0</v>
      </c>
      <c r="J72" s="11"/>
      <c r="K72" s="11"/>
      <c r="L72" s="11"/>
      <c r="N72" s="19"/>
      <c r="O72" s="19">
        <f>Tabla3546[[#This Row],[COMISIONES]]*0.21</f>
        <v>0</v>
      </c>
      <c r="P72" s="19"/>
      <c r="Q72" s="19"/>
      <c r="R72" s="19"/>
      <c r="T72"/>
      <c r="U72"/>
      <c r="V72"/>
      <c r="W72"/>
      <c r="X72"/>
      <c r="Y72"/>
      <c r="Z72"/>
      <c r="AA72"/>
      <c r="AB72"/>
      <c r="AC72"/>
      <c r="AD72"/>
    </row>
    <row r="73" spans="1:30" s="6" customFormat="1" x14ac:dyDescent="0.3">
      <c r="A73"/>
      <c r="B73"/>
      <c r="C73"/>
      <c r="D73"/>
      <c r="E73"/>
      <c r="F73"/>
      <c r="H73" s="11"/>
      <c r="I73" s="11">
        <f>Tabla34550[[#This Row],[COMISIONES]]*0.21</f>
        <v>0</v>
      </c>
      <c r="J73" s="11"/>
      <c r="K73" s="11"/>
      <c r="L73" s="11"/>
      <c r="N73" s="19"/>
      <c r="O73" s="19">
        <f>Tabla3546[[#This Row],[COMISIONES]]*0.21</f>
        <v>0</v>
      </c>
      <c r="P73" s="19"/>
      <c r="Q73" s="19"/>
      <c r="R73" s="19"/>
      <c r="T73"/>
      <c r="U73"/>
      <c r="V73"/>
      <c r="W73"/>
      <c r="X73"/>
      <c r="Y73"/>
      <c r="Z73"/>
      <c r="AA73"/>
      <c r="AB73"/>
      <c r="AC73"/>
      <c r="AD73"/>
    </row>
    <row r="74" spans="1:30" s="6" customFormat="1" x14ac:dyDescent="0.3">
      <c r="A74"/>
      <c r="B74"/>
      <c r="C74"/>
      <c r="D74"/>
      <c r="E74"/>
      <c r="F74"/>
      <c r="H74" s="11"/>
      <c r="I74" s="11">
        <f>Tabla34550[[#This Row],[COMISIONES]]*0.21</f>
        <v>0</v>
      </c>
      <c r="J74" s="11"/>
      <c r="K74" s="11"/>
      <c r="L74" s="11"/>
      <c r="N74" s="19"/>
      <c r="O74" s="19">
        <f>Tabla3546[[#This Row],[COMISIONES]]*0.21</f>
        <v>0</v>
      </c>
      <c r="P74" s="19"/>
      <c r="Q74" s="19"/>
      <c r="R74" s="19"/>
      <c r="T74"/>
      <c r="U74"/>
      <c r="V74"/>
      <c r="W74"/>
      <c r="X74"/>
      <c r="Y74"/>
      <c r="Z74"/>
      <c r="AA74"/>
      <c r="AB74"/>
      <c r="AC74"/>
      <c r="AD74"/>
    </row>
    <row r="75" spans="1:30" s="6" customFormat="1" x14ac:dyDescent="0.3">
      <c r="A75"/>
      <c r="B75"/>
      <c r="C75"/>
      <c r="D75"/>
      <c r="E75"/>
      <c r="F75"/>
      <c r="H75" s="11"/>
      <c r="I75" s="11">
        <f>Tabla34550[[#This Row],[COMISIONES]]*0.21</f>
        <v>0</v>
      </c>
      <c r="J75" s="11"/>
      <c r="K75" s="11"/>
      <c r="L75" s="11"/>
      <c r="N75" s="19"/>
      <c r="O75" s="19">
        <f>Tabla3546[[#This Row],[COMISIONES]]*0.21</f>
        <v>0</v>
      </c>
      <c r="P75" s="19"/>
      <c r="Q75" s="19"/>
      <c r="R75" s="19"/>
      <c r="T75"/>
      <c r="U75"/>
      <c r="V75"/>
      <c r="W75"/>
      <c r="X75"/>
      <c r="Y75"/>
      <c r="Z75"/>
      <c r="AA75"/>
      <c r="AB75"/>
      <c r="AC75"/>
      <c r="AD75"/>
    </row>
    <row r="76" spans="1:30" s="6" customFormat="1" x14ac:dyDescent="0.3">
      <c r="A76"/>
      <c r="B76"/>
      <c r="C76"/>
      <c r="D76"/>
      <c r="E76"/>
      <c r="F76"/>
      <c r="H76" s="11"/>
      <c r="I76" s="11">
        <f>Tabla34550[[#This Row],[COMISIONES]]*0.21</f>
        <v>0</v>
      </c>
      <c r="J76" s="11"/>
      <c r="K76" s="11"/>
      <c r="L76" s="11"/>
      <c r="N76" s="19"/>
      <c r="O76" s="19">
        <f>Tabla3546[[#This Row],[COMISIONES]]*0.21</f>
        <v>0</v>
      </c>
      <c r="P76" s="19"/>
      <c r="Q76" s="19"/>
      <c r="R76" s="19"/>
      <c r="T76"/>
      <c r="U76"/>
      <c r="V76"/>
      <c r="W76"/>
      <c r="X76"/>
      <c r="Y76"/>
      <c r="Z76"/>
      <c r="AA76"/>
      <c r="AB76"/>
      <c r="AC76"/>
      <c r="AD76"/>
    </row>
    <row r="77" spans="1:30" s="6" customFormat="1" x14ac:dyDescent="0.3">
      <c r="A77"/>
      <c r="B77"/>
      <c r="C77"/>
      <c r="D77"/>
      <c r="E77"/>
      <c r="F77"/>
      <c r="H77" s="11"/>
      <c r="I77" s="11">
        <f>Tabla34550[[#This Row],[COMISIONES]]*0.21</f>
        <v>0</v>
      </c>
      <c r="J77" s="11"/>
      <c r="K77" s="11"/>
      <c r="L77" s="11"/>
      <c r="N77" s="19"/>
      <c r="O77" s="19">
        <f>Tabla3546[[#This Row],[COMISIONES]]*0.21</f>
        <v>0</v>
      </c>
      <c r="P77" s="19"/>
      <c r="Q77" s="19"/>
      <c r="R77" s="19"/>
      <c r="T77"/>
      <c r="U77"/>
      <c r="V77"/>
      <c r="W77"/>
      <c r="X77"/>
      <c r="Y77"/>
      <c r="Z77"/>
      <c r="AA77"/>
      <c r="AB77"/>
      <c r="AC77"/>
      <c r="AD77"/>
    </row>
    <row r="78" spans="1:30" s="6" customFormat="1" x14ac:dyDescent="0.3">
      <c r="A78"/>
      <c r="B78"/>
      <c r="C78"/>
      <c r="D78"/>
      <c r="E78"/>
      <c r="F78"/>
      <c r="H78" s="11"/>
      <c r="I78" s="11">
        <f>Tabla34550[[#This Row],[COMISIONES]]*0.21</f>
        <v>0</v>
      </c>
      <c r="J78" s="11"/>
      <c r="K78" s="11"/>
      <c r="L78" s="11"/>
      <c r="N78" s="19"/>
      <c r="O78" s="19">
        <f>Tabla3546[[#This Row],[COMISIONES]]*0.21</f>
        <v>0</v>
      </c>
      <c r="P78" s="19"/>
      <c r="Q78" s="19"/>
      <c r="R78" s="19"/>
      <c r="T78"/>
      <c r="U78"/>
      <c r="V78"/>
      <c r="W78"/>
      <c r="X78"/>
      <c r="Y78"/>
      <c r="Z78"/>
      <c r="AA78"/>
      <c r="AB78"/>
      <c r="AC78"/>
      <c r="AD78"/>
    </row>
    <row r="79" spans="1:30" s="6" customFormat="1" x14ac:dyDescent="0.3">
      <c r="A79"/>
      <c r="B79"/>
      <c r="C79"/>
      <c r="D79"/>
      <c r="E79"/>
      <c r="F79"/>
      <c r="H79" s="19"/>
      <c r="I79" s="19">
        <f>Tabla34550[[#This Row],[COMISIONES]]*0.21</f>
        <v>0</v>
      </c>
      <c r="J79" s="19"/>
      <c r="K79" s="19"/>
      <c r="L79" s="19"/>
      <c r="N79" s="19"/>
      <c r="O79" s="19">
        <f>Tabla3546[[#This Row],[COMISIONES]]*0.21</f>
        <v>0</v>
      </c>
      <c r="P79" s="19"/>
      <c r="Q79" s="19"/>
      <c r="R79" s="19"/>
      <c r="T79"/>
      <c r="U79"/>
      <c r="V79"/>
      <c r="W79"/>
      <c r="X79"/>
      <c r="Y79"/>
      <c r="Z79"/>
      <c r="AA79"/>
      <c r="AB79"/>
      <c r="AC79"/>
      <c r="AD79"/>
    </row>
    <row r="80" spans="1:30" s="6" customFormat="1" x14ac:dyDescent="0.3">
      <c r="A80"/>
      <c r="B80"/>
      <c r="C80"/>
      <c r="D80"/>
      <c r="E80"/>
      <c r="F80"/>
      <c r="H80" s="19"/>
      <c r="I80" s="19">
        <f>Tabla34550[[#This Row],[COMISIONES]]*0.21</f>
        <v>0</v>
      </c>
      <c r="J80" s="19"/>
      <c r="K80" s="19"/>
      <c r="L80" s="19"/>
      <c r="N80" s="19"/>
      <c r="O80" s="19">
        <f>Tabla3546[[#This Row],[COMISIONES]]*0.21</f>
        <v>0</v>
      </c>
      <c r="P80" s="19"/>
      <c r="Q80" s="19"/>
      <c r="R80" s="19"/>
      <c r="T80"/>
      <c r="U80"/>
      <c r="V80"/>
      <c r="W80"/>
      <c r="X80"/>
      <c r="Y80"/>
      <c r="Z80"/>
      <c r="AA80"/>
      <c r="AB80"/>
      <c r="AC80"/>
      <c r="AD80"/>
    </row>
    <row r="81" spans="1:30" s="6" customFormat="1" x14ac:dyDescent="0.3">
      <c r="A81"/>
      <c r="B81"/>
      <c r="C81"/>
      <c r="D81"/>
      <c r="E81"/>
      <c r="F81"/>
      <c r="H81" s="19"/>
      <c r="I81" s="19">
        <f>Tabla34550[[#This Row],[COMISIONES]]*0.21</f>
        <v>0</v>
      </c>
      <c r="J81" s="19"/>
      <c r="K81" s="19"/>
      <c r="L81" s="19"/>
      <c r="N81" s="19"/>
      <c r="O81" s="19">
        <f>Tabla3546[[#This Row],[COMISIONES]]*0.21</f>
        <v>0</v>
      </c>
      <c r="P81" s="19"/>
      <c r="Q81" s="19"/>
      <c r="R81" s="19"/>
      <c r="T81"/>
      <c r="U81"/>
      <c r="V81"/>
      <c r="W81"/>
      <c r="X81"/>
      <c r="Y81"/>
      <c r="Z81"/>
      <c r="AA81"/>
      <c r="AB81"/>
      <c r="AC81"/>
      <c r="AD81"/>
    </row>
    <row r="82" spans="1:30" s="6" customFormat="1" x14ac:dyDescent="0.3">
      <c r="A82"/>
      <c r="B82"/>
      <c r="C82"/>
      <c r="D82"/>
      <c r="E82"/>
      <c r="F82"/>
      <c r="H82" s="19"/>
      <c r="I82" s="19">
        <f>Tabla34550[[#This Row],[COMISIONES]]*0.21</f>
        <v>0</v>
      </c>
      <c r="J82" s="19"/>
      <c r="K82" s="19"/>
      <c r="L82" s="19"/>
      <c r="N82" s="19"/>
      <c r="O82" s="19">
        <f>Tabla3546[[#This Row],[COMISIONES]]*0.21</f>
        <v>0</v>
      </c>
      <c r="P82" s="19"/>
      <c r="Q82" s="19"/>
      <c r="R82" s="19"/>
      <c r="T82"/>
      <c r="U82"/>
      <c r="V82"/>
      <c r="W82"/>
      <c r="X82"/>
      <c r="Y82"/>
      <c r="Z82"/>
      <c r="AA82"/>
      <c r="AB82"/>
      <c r="AC82"/>
      <c r="AD82"/>
    </row>
    <row r="83" spans="1:30" s="6" customFormat="1" x14ac:dyDescent="0.3">
      <c r="A83"/>
      <c r="B83"/>
      <c r="C83"/>
      <c r="D83"/>
      <c r="E83"/>
      <c r="F83"/>
      <c r="H83" s="19"/>
      <c r="I83" s="19">
        <f>Tabla34550[[#This Row],[COMISIONES]]*0.21</f>
        <v>0</v>
      </c>
      <c r="J83" s="19"/>
      <c r="K83" s="19"/>
      <c r="L83" s="19"/>
      <c r="N83" s="19"/>
      <c r="O83" s="19">
        <f>Tabla3546[[#This Row],[COMISIONES]]*0.21</f>
        <v>0</v>
      </c>
      <c r="P83" s="19"/>
      <c r="Q83" s="19"/>
      <c r="R83" s="19"/>
      <c r="T83"/>
      <c r="U83"/>
      <c r="V83"/>
      <c r="W83"/>
      <c r="X83"/>
      <c r="Y83"/>
      <c r="Z83"/>
      <c r="AA83"/>
      <c r="AB83"/>
      <c r="AC83"/>
      <c r="AD83"/>
    </row>
    <row r="84" spans="1:30" s="6" customFormat="1" x14ac:dyDescent="0.3">
      <c r="A84"/>
      <c r="B84"/>
      <c r="C84"/>
      <c r="D84"/>
      <c r="E84"/>
      <c r="F84"/>
      <c r="H84" s="19"/>
      <c r="I84" s="19">
        <f>Tabla34550[[#This Row],[COMISIONES]]*0.21</f>
        <v>0</v>
      </c>
      <c r="J84" s="19"/>
      <c r="K84" s="19"/>
      <c r="L84" s="19"/>
      <c r="N84" s="19"/>
      <c r="O84" s="19">
        <f>Tabla3546[[#This Row],[COMISIONES]]*0.21</f>
        <v>0</v>
      </c>
      <c r="P84" s="19"/>
      <c r="Q84" s="19"/>
      <c r="R84" s="19"/>
      <c r="T84"/>
      <c r="U84"/>
      <c r="V84"/>
      <c r="W84"/>
      <c r="X84"/>
      <c r="Y84"/>
      <c r="Z84"/>
      <c r="AA84"/>
      <c r="AB84"/>
      <c r="AC84"/>
      <c r="AD84"/>
    </row>
    <row r="85" spans="1:30" s="6" customFormat="1" x14ac:dyDescent="0.3">
      <c r="A85"/>
      <c r="B85"/>
      <c r="C85"/>
      <c r="D85"/>
      <c r="E85"/>
      <c r="F85"/>
      <c r="H85" s="19"/>
      <c r="I85" s="19">
        <f>Tabla34550[[#This Row],[COMISIONES]]*0.21</f>
        <v>0</v>
      </c>
      <c r="J85" s="19"/>
      <c r="K85" s="19"/>
      <c r="L85" s="19"/>
      <c r="N85" s="19"/>
      <c r="O85" s="19">
        <f>Tabla3546[[#This Row],[COMISIONES]]*0.21</f>
        <v>0</v>
      </c>
      <c r="P85" s="19"/>
      <c r="Q85" s="19"/>
      <c r="R85" s="19"/>
      <c r="T85"/>
      <c r="U85"/>
      <c r="V85"/>
      <c r="W85"/>
      <c r="X85"/>
      <c r="Y85"/>
      <c r="Z85"/>
      <c r="AA85"/>
      <c r="AB85"/>
      <c r="AC85"/>
      <c r="AD85"/>
    </row>
    <row r="86" spans="1:30" s="6" customFormat="1" x14ac:dyDescent="0.3">
      <c r="A86"/>
      <c r="B86"/>
      <c r="C86"/>
      <c r="D86"/>
      <c r="E86"/>
      <c r="F86"/>
      <c r="H86" s="19"/>
      <c r="I86" s="19">
        <f>Tabla34550[[#This Row],[COMISIONES]]*0.21</f>
        <v>0</v>
      </c>
      <c r="J86" s="19"/>
      <c r="K86" s="19"/>
      <c r="L86" s="19"/>
      <c r="N86" s="19"/>
      <c r="O86" s="19">
        <f>Tabla3546[[#This Row],[COMISIONES]]*0.21</f>
        <v>0</v>
      </c>
      <c r="P86" s="19"/>
      <c r="Q86" s="19"/>
      <c r="R86" s="19"/>
      <c r="T86"/>
      <c r="U86"/>
      <c r="V86"/>
      <c r="W86"/>
      <c r="X86"/>
      <c r="Y86"/>
      <c r="Z86"/>
      <c r="AA86"/>
      <c r="AB86"/>
      <c r="AC86"/>
      <c r="AD86"/>
    </row>
    <row r="87" spans="1:30" s="6" customFormat="1" x14ac:dyDescent="0.3">
      <c r="A87"/>
      <c r="B87"/>
      <c r="C87"/>
      <c r="D87"/>
      <c r="E87"/>
      <c r="F87"/>
      <c r="H87" s="19"/>
      <c r="I87" s="19">
        <f>Tabla34550[[#This Row],[COMISIONES]]*0.21</f>
        <v>0</v>
      </c>
      <c r="J87" s="19"/>
      <c r="K87" s="19"/>
      <c r="L87" s="19"/>
      <c r="N87" s="19"/>
      <c r="O87" s="19">
        <f>Tabla3546[[#This Row],[COMISIONES]]*0.21</f>
        <v>0</v>
      </c>
      <c r="P87" s="19"/>
      <c r="Q87" s="19"/>
      <c r="R87" s="19"/>
      <c r="T87"/>
      <c r="U87"/>
      <c r="V87"/>
      <c r="W87"/>
      <c r="X87"/>
      <c r="Y87"/>
      <c r="Z87"/>
      <c r="AA87"/>
      <c r="AB87"/>
      <c r="AC87"/>
      <c r="AD87"/>
    </row>
    <row r="88" spans="1:30" s="6" customFormat="1" x14ac:dyDescent="0.3">
      <c r="A88"/>
      <c r="B88"/>
      <c r="C88"/>
      <c r="D88"/>
      <c r="E88"/>
      <c r="F88"/>
      <c r="H88" s="19"/>
      <c r="I88" s="19">
        <f>Tabla34550[[#This Row],[COMISIONES]]*0.21</f>
        <v>0</v>
      </c>
      <c r="J88" s="19"/>
      <c r="K88" s="19"/>
      <c r="L88" s="19"/>
      <c r="N88" s="19"/>
      <c r="O88" s="19">
        <f>Tabla3546[[#This Row],[COMISIONES]]*0.21</f>
        <v>0</v>
      </c>
      <c r="P88" s="19"/>
      <c r="Q88" s="19"/>
      <c r="R88" s="19"/>
      <c r="T88"/>
      <c r="U88"/>
      <c r="V88"/>
      <c r="W88"/>
      <c r="X88"/>
      <c r="Y88"/>
      <c r="Z88"/>
      <c r="AA88"/>
      <c r="AB88"/>
      <c r="AC88"/>
      <c r="AD88"/>
    </row>
    <row r="89" spans="1:30" s="6" customFormat="1" x14ac:dyDescent="0.3">
      <c r="A89"/>
      <c r="B89"/>
      <c r="C89"/>
      <c r="D89"/>
      <c r="E89"/>
      <c r="F89"/>
      <c r="H89" s="19"/>
      <c r="I89" s="19">
        <f>Tabla34550[[#This Row],[COMISIONES]]*0.21</f>
        <v>0</v>
      </c>
      <c r="J89" s="19"/>
      <c r="K89" s="19"/>
      <c r="L89" s="19"/>
      <c r="N89" s="19"/>
      <c r="O89" s="19">
        <f>Tabla3546[[#This Row],[COMISIONES]]*0.21</f>
        <v>0</v>
      </c>
      <c r="P89" s="19"/>
      <c r="Q89" s="19"/>
      <c r="R89" s="19"/>
      <c r="T89"/>
      <c r="U89"/>
      <c r="V89"/>
      <c r="W89"/>
      <c r="X89"/>
      <c r="Y89"/>
      <c r="Z89"/>
      <c r="AA89"/>
      <c r="AB89"/>
      <c r="AC89"/>
      <c r="AD89"/>
    </row>
    <row r="90" spans="1:30" s="6" customFormat="1" x14ac:dyDescent="0.3">
      <c r="A90"/>
      <c r="B90"/>
      <c r="C90"/>
      <c r="D90"/>
      <c r="E90"/>
      <c r="F90"/>
      <c r="H90" s="19"/>
      <c r="I90" s="19">
        <f>Tabla34550[[#This Row],[COMISIONES]]*0.21</f>
        <v>0</v>
      </c>
      <c r="J90" s="19"/>
      <c r="K90" s="19"/>
      <c r="L90" s="19"/>
      <c r="N90" s="19"/>
      <c r="O90" s="19">
        <f>Tabla3546[[#This Row],[COMISIONES]]*0.21</f>
        <v>0</v>
      </c>
      <c r="P90" s="19"/>
      <c r="Q90" s="19"/>
      <c r="R90" s="19"/>
      <c r="T90"/>
      <c r="U90"/>
      <c r="V90"/>
      <c r="W90"/>
      <c r="X90"/>
      <c r="Y90"/>
      <c r="Z90"/>
      <c r="AA90"/>
      <c r="AB90"/>
      <c r="AC90"/>
      <c r="AD90"/>
    </row>
    <row r="91" spans="1:30" s="6" customFormat="1" x14ac:dyDescent="0.3">
      <c r="A91"/>
      <c r="B91"/>
      <c r="C91"/>
      <c r="D91"/>
      <c r="E91"/>
      <c r="F91"/>
      <c r="H91" s="18">
        <f>SUBTOTAL(109,Tabla34550[COMISIONES])</f>
        <v>6054.98</v>
      </c>
      <c r="I91" s="18">
        <f>SUBTOTAL(109,Tabla34550[IVA 21])</f>
        <v>1181.25</v>
      </c>
      <c r="J91" s="18">
        <f>SUBTOTAL(109,Tabla34550[IVA 10,5])</f>
        <v>45.1479</v>
      </c>
      <c r="K91" s="18">
        <f>SUBTOTAL(109,Tabla34550[Ret IIBB Caba])</f>
        <v>337.5</v>
      </c>
      <c r="L91" s="18">
        <f>SUBTOTAL(109,Tabla34550[PERC IVA])</f>
        <v>168.75</v>
      </c>
      <c r="N91" s="19"/>
      <c r="O91" s="19">
        <f>Tabla3546[[#This Row],[COMISIONES]]*0.21</f>
        <v>0</v>
      </c>
      <c r="P91" s="19"/>
      <c r="Q91" s="19"/>
      <c r="R91" s="19"/>
      <c r="T91"/>
      <c r="U91"/>
      <c r="V91"/>
      <c r="W91"/>
      <c r="X91"/>
      <c r="Y91"/>
      <c r="Z91"/>
      <c r="AA91"/>
      <c r="AB91"/>
      <c r="AC91"/>
      <c r="AD91"/>
    </row>
    <row r="92" spans="1:30" s="6" customFormat="1" x14ac:dyDescent="0.3">
      <c r="A92"/>
      <c r="B92"/>
      <c r="C92"/>
      <c r="D92"/>
      <c r="E92"/>
      <c r="F92"/>
      <c r="H92"/>
      <c r="I92"/>
      <c r="J92"/>
      <c r="K92"/>
      <c r="L92"/>
      <c r="N92" s="19"/>
      <c r="O92" s="19">
        <f>Tabla3546[[#This Row],[COMISIONES]]*0.21</f>
        <v>0</v>
      </c>
      <c r="P92" s="19"/>
      <c r="Q92" s="19"/>
      <c r="R92" s="19"/>
      <c r="T92"/>
      <c r="U92"/>
      <c r="V92"/>
      <c r="W92"/>
      <c r="X92"/>
      <c r="Y92"/>
      <c r="Z92"/>
      <c r="AA92"/>
      <c r="AB92"/>
      <c r="AC92"/>
      <c r="AD92"/>
    </row>
    <row r="93" spans="1:30" s="6" customFormat="1" x14ac:dyDescent="0.3">
      <c r="A93"/>
      <c r="B93"/>
      <c r="C93"/>
      <c r="D93"/>
      <c r="E93"/>
      <c r="F93"/>
      <c r="H93"/>
      <c r="I93"/>
      <c r="J93"/>
      <c r="K93"/>
      <c r="L93"/>
      <c r="N93" s="19"/>
      <c r="O93" s="19">
        <f>Tabla3546[[#This Row],[COMISIONES]]*0.21</f>
        <v>0</v>
      </c>
      <c r="P93" s="19"/>
      <c r="Q93" s="19"/>
      <c r="R93" s="19"/>
      <c r="T93"/>
      <c r="U93"/>
      <c r="V93"/>
      <c r="W93"/>
      <c r="X93"/>
      <c r="Y93"/>
      <c r="Z93"/>
      <c r="AA93"/>
      <c r="AB93"/>
      <c r="AC93"/>
      <c r="AD93"/>
    </row>
    <row r="94" spans="1:30" s="6" customFormat="1" x14ac:dyDescent="0.3">
      <c r="A94"/>
      <c r="B94"/>
      <c r="C94"/>
      <c r="D94"/>
      <c r="E94"/>
      <c r="F94"/>
      <c r="H94"/>
      <c r="I94"/>
      <c r="J94"/>
      <c r="K94"/>
      <c r="L94"/>
      <c r="N94" s="19"/>
      <c r="O94" s="19">
        <f>Tabla3546[[#This Row],[COMISIONES]]*0.21</f>
        <v>0</v>
      </c>
      <c r="P94" s="19"/>
      <c r="Q94" s="19"/>
      <c r="R94" s="19"/>
      <c r="T94"/>
      <c r="U94"/>
      <c r="V94"/>
      <c r="W94"/>
      <c r="X94"/>
      <c r="Y94"/>
      <c r="Z94"/>
      <c r="AA94"/>
      <c r="AB94"/>
      <c r="AC94"/>
      <c r="AD94"/>
    </row>
    <row r="95" spans="1:30" s="6" customFormat="1" x14ac:dyDescent="0.3">
      <c r="A95"/>
      <c r="B95"/>
      <c r="C95"/>
      <c r="D95"/>
      <c r="E95"/>
      <c r="F95"/>
      <c r="H95"/>
      <c r="I95"/>
      <c r="J95"/>
      <c r="K95"/>
      <c r="L95"/>
      <c r="N95" s="19"/>
      <c r="O95" s="19">
        <f>Tabla3546[[#This Row],[COMISIONES]]*0.21</f>
        <v>0</v>
      </c>
      <c r="P95" s="19"/>
      <c r="Q95" s="19"/>
      <c r="R95" s="19"/>
      <c r="T95"/>
      <c r="U95"/>
      <c r="V95"/>
      <c r="W95"/>
      <c r="X95"/>
      <c r="Y95"/>
      <c r="Z95"/>
      <c r="AA95"/>
      <c r="AB95"/>
      <c r="AC95"/>
      <c r="AD95"/>
    </row>
    <row r="96" spans="1:30" s="6" customFormat="1" x14ac:dyDescent="0.3">
      <c r="A96"/>
      <c r="B96"/>
      <c r="C96"/>
      <c r="D96"/>
      <c r="E96"/>
      <c r="F96"/>
      <c r="H96"/>
      <c r="I96"/>
      <c r="J96"/>
      <c r="K96"/>
      <c r="L96"/>
      <c r="N96" s="19"/>
      <c r="O96" s="19">
        <f>Tabla3546[[#This Row],[COMISIONES]]*0.21</f>
        <v>0</v>
      </c>
      <c r="P96" s="19"/>
      <c r="Q96" s="19"/>
      <c r="R96" s="19"/>
      <c r="T96"/>
      <c r="U96"/>
      <c r="V96"/>
      <c r="W96"/>
      <c r="X96"/>
      <c r="Y96"/>
      <c r="Z96"/>
      <c r="AA96"/>
      <c r="AB96"/>
      <c r="AC96"/>
      <c r="AD96"/>
    </row>
    <row r="97" spans="1:30" s="6" customFormat="1" x14ac:dyDescent="0.3">
      <c r="A97"/>
      <c r="B97"/>
      <c r="C97"/>
      <c r="D97"/>
      <c r="E97"/>
      <c r="F97"/>
      <c r="H97"/>
      <c r="I97"/>
      <c r="J97"/>
      <c r="K97"/>
      <c r="L97"/>
      <c r="N97" s="19"/>
      <c r="O97" s="19">
        <f>Tabla3546[[#This Row],[COMISIONES]]*0.21</f>
        <v>0</v>
      </c>
      <c r="P97" s="19"/>
      <c r="Q97" s="19"/>
      <c r="R97" s="19"/>
      <c r="T97"/>
      <c r="U97"/>
      <c r="V97"/>
      <c r="W97"/>
      <c r="X97"/>
      <c r="Y97"/>
      <c r="Z97"/>
      <c r="AA97"/>
      <c r="AB97"/>
      <c r="AC97"/>
      <c r="AD97"/>
    </row>
    <row r="98" spans="1:30" s="6" customFormat="1" x14ac:dyDescent="0.3">
      <c r="A98"/>
      <c r="B98"/>
      <c r="C98"/>
      <c r="D98"/>
      <c r="E98"/>
      <c r="F98"/>
      <c r="H98"/>
      <c r="I98"/>
      <c r="J98"/>
      <c r="K98"/>
      <c r="L98"/>
      <c r="N98" s="19"/>
      <c r="O98" s="19">
        <f>Tabla3546[[#This Row],[COMISIONES]]*0.21</f>
        <v>0</v>
      </c>
      <c r="P98" s="19"/>
      <c r="Q98" s="19"/>
      <c r="R98" s="19"/>
      <c r="T98"/>
      <c r="U98"/>
      <c r="V98"/>
      <c r="W98"/>
      <c r="X98"/>
      <c r="Y98"/>
      <c r="Z98"/>
      <c r="AA98"/>
      <c r="AB98"/>
      <c r="AC98"/>
      <c r="AD98"/>
    </row>
    <row r="99" spans="1:30" s="6" customFormat="1" x14ac:dyDescent="0.3">
      <c r="A99"/>
      <c r="B99"/>
      <c r="C99"/>
      <c r="D99"/>
      <c r="E99"/>
      <c r="F99"/>
      <c r="H99"/>
      <c r="I99"/>
      <c r="J99"/>
      <c r="K99"/>
      <c r="L99"/>
      <c r="N99" s="19"/>
      <c r="O99" s="19">
        <f>Tabla3546[[#This Row],[COMISIONES]]*0.21</f>
        <v>0</v>
      </c>
      <c r="P99" s="19"/>
      <c r="Q99" s="19"/>
      <c r="R99" s="19"/>
      <c r="T99"/>
      <c r="U99"/>
      <c r="V99"/>
      <c r="W99"/>
      <c r="X99"/>
      <c r="Y99"/>
      <c r="Z99"/>
      <c r="AA99"/>
      <c r="AB99"/>
      <c r="AC99"/>
      <c r="AD99"/>
    </row>
    <row r="100" spans="1:30" s="6" customFormat="1" x14ac:dyDescent="0.3">
      <c r="A100"/>
      <c r="B100"/>
      <c r="C100"/>
      <c r="D100"/>
      <c r="E100"/>
      <c r="F100"/>
      <c r="H100"/>
      <c r="I100"/>
      <c r="J100"/>
      <c r="K100"/>
      <c r="L100"/>
      <c r="N100" s="19"/>
      <c r="O100" s="19">
        <f>Tabla3546[[#This Row],[COMISIONES]]*0.21</f>
        <v>0</v>
      </c>
      <c r="P100" s="19"/>
      <c r="Q100" s="19"/>
      <c r="R100" s="19"/>
      <c r="T100"/>
      <c r="U100"/>
      <c r="V100"/>
      <c r="W100"/>
      <c r="X100"/>
      <c r="Y100"/>
      <c r="Z100"/>
      <c r="AA100"/>
      <c r="AB100"/>
      <c r="AC100"/>
      <c r="AD100"/>
    </row>
    <row r="101" spans="1:30" s="6" customFormat="1" x14ac:dyDescent="0.3">
      <c r="A101"/>
      <c r="B101"/>
      <c r="C101"/>
      <c r="D101"/>
      <c r="E101"/>
      <c r="F101"/>
      <c r="H101"/>
      <c r="I101"/>
      <c r="J101"/>
      <c r="K101"/>
      <c r="L101"/>
      <c r="N101" s="19"/>
      <c r="O101" s="19">
        <f>Tabla3546[[#This Row],[COMISIONES]]*0.21</f>
        <v>0</v>
      </c>
      <c r="P101" s="19"/>
      <c r="Q101" s="19"/>
      <c r="R101" s="19"/>
      <c r="T101"/>
      <c r="U101"/>
      <c r="V101"/>
      <c r="W101"/>
      <c r="X101"/>
      <c r="Y101"/>
      <c r="Z101"/>
      <c r="AA101"/>
      <c r="AB101"/>
      <c r="AC101"/>
      <c r="AD101"/>
    </row>
    <row r="102" spans="1:30" s="6" customFormat="1" x14ac:dyDescent="0.3">
      <c r="A102"/>
      <c r="B102"/>
      <c r="C102"/>
      <c r="D102"/>
      <c r="E102"/>
      <c r="F102"/>
      <c r="H102"/>
      <c r="I102"/>
      <c r="J102"/>
      <c r="K102"/>
      <c r="L102"/>
      <c r="N102" s="19"/>
      <c r="O102" s="19">
        <f>Tabla3546[[#This Row],[COMISIONES]]*0.21</f>
        <v>0</v>
      </c>
      <c r="P102" s="19"/>
      <c r="Q102" s="19"/>
      <c r="R102" s="19"/>
      <c r="T102"/>
      <c r="U102"/>
      <c r="V102"/>
      <c r="W102"/>
      <c r="X102"/>
      <c r="Y102"/>
      <c r="Z102"/>
      <c r="AA102"/>
      <c r="AB102"/>
      <c r="AC102"/>
      <c r="AD102"/>
    </row>
    <row r="103" spans="1:30" s="6" customFormat="1" x14ac:dyDescent="0.3">
      <c r="A103"/>
      <c r="B103"/>
      <c r="C103"/>
      <c r="D103"/>
      <c r="E103"/>
      <c r="F103"/>
      <c r="H103"/>
      <c r="I103"/>
      <c r="J103"/>
      <c r="K103"/>
      <c r="L103"/>
      <c r="N103" s="19"/>
      <c r="O103" s="19">
        <f>Tabla3546[[#This Row],[COMISIONES]]*0.21</f>
        <v>0</v>
      </c>
      <c r="P103" s="19"/>
      <c r="Q103" s="19"/>
      <c r="R103" s="19"/>
      <c r="T103"/>
      <c r="U103"/>
      <c r="V103"/>
      <c r="W103"/>
      <c r="X103"/>
      <c r="Y103"/>
      <c r="Z103"/>
      <c r="AA103"/>
      <c r="AB103"/>
      <c r="AC103"/>
      <c r="AD103"/>
    </row>
    <row r="104" spans="1:30" s="6" customFormat="1" x14ac:dyDescent="0.3">
      <c r="A104"/>
      <c r="B104"/>
      <c r="C104"/>
      <c r="D104"/>
      <c r="E104"/>
      <c r="F104"/>
      <c r="H104"/>
      <c r="I104"/>
      <c r="J104"/>
      <c r="K104"/>
      <c r="L104"/>
      <c r="N104" s="19"/>
      <c r="O104" s="19">
        <f>Tabla3546[[#This Row],[COMISIONES]]*0.21</f>
        <v>0</v>
      </c>
      <c r="P104" s="19"/>
      <c r="Q104" s="19"/>
      <c r="R104" s="19"/>
      <c r="T104"/>
      <c r="U104"/>
      <c r="V104"/>
      <c r="W104"/>
      <c r="X104"/>
      <c r="Y104"/>
      <c r="Z104"/>
      <c r="AA104"/>
      <c r="AB104"/>
      <c r="AC104"/>
      <c r="AD104"/>
    </row>
    <row r="105" spans="1:30" s="6" customFormat="1" x14ac:dyDescent="0.3">
      <c r="A105"/>
      <c r="B105"/>
      <c r="C105"/>
      <c r="D105"/>
      <c r="E105"/>
      <c r="F105"/>
      <c r="H105"/>
      <c r="I105"/>
      <c r="J105"/>
      <c r="K105"/>
      <c r="L105"/>
      <c r="N105" s="19"/>
      <c r="O105" s="19">
        <f>Tabla3546[[#This Row],[COMISIONES]]*0.21</f>
        <v>0</v>
      </c>
      <c r="P105" s="19"/>
      <c r="Q105" s="19"/>
      <c r="R105" s="19"/>
      <c r="T105"/>
      <c r="U105"/>
      <c r="V105"/>
      <c r="W105"/>
      <c r="X105"/>
      <c r="Y105"/>
      <c r="Z105"/>
      <c r="AA105"/>
      <c r="AB105"/>
      <c r="AC105"/>
      <c r="AD105"/>
    </row>
    <row r="106" spans="1:30" s="6" customFormat="1" x14ac:dyDescent="0.3">
      <c r="A106"/>
      <c r="B106"/>
      <c r="C106"/>
      <c r="D106"/>
      <c r="E106"/>
      <c r="F106"/>
      <c r="H106"/>
      <c r="I106"/>
      <c r="J106"/>
      <c r="K106"/>
      <c r="L106"/>
      <c r="N106" s="19"/>
      <c r="O106" s="19">
        <f>Tabla3546[[#This Row],[COMISIONES]]*0.21</f>
        <v>0</v>
      </c>
      <c r="P106" s="19"/>
      <c r="Q106" s="19"/>
      <c r="R106" s="19"/>
      <c r="T106"/>
      <c r="U106"/>
      <c r="V106"/>
      <c r="W106"/>
      <c r="X106"/>
      <c r="Y106"/>
      <c r="Z106"/>
      <c r="AA106"/>
      <c r="AB106"/>
      <c r="AC106"/>
      <c r="AD106"/>
    </row>
    <row r="107" spans="1:30" s="6" customFormat="1" x14ac:dyDescent="0.3">
      <c r="A107"/>
      <c r="B107"/>
      <c r="C107"/>
      <c r="D107"/>
      <c r="E107"/>
      <c r="F107"/>
      <c r="H107"/>
      <c r="I107"/>
      <c r="J107"/>
      <c r="K107"/>
      <c r="L107"/>
      <c r="N107" s="19"/>
      <c r="O107" s="19">
        <f>Tabla3546[[#This Row],[COMISIONES]]*0.21</f>
        <v>0</v>
      </c>
      <c r="P107" s="19"/>
      <c r="Q107" s="19"/>
      <c r="R107" s="19"/>
      <c r="T107"/>
      <c r="U107"/>
      <c r="V107"/>
      <c r="W107"/>
      <c r="X107"/>
      <c r="Y107"/>
      <c r="Z107"/>
      <c r="AA107"/>
      <c r="AB107"/>
      <c r="AC107"/>
      <c r="AD107"/>
    </row>
    <row r="108" spans="1:30" s="6" customFormat="1" x14ac:dyDescent="0.3">
      <c r="A108"/>
      <c r="B108"/>
      <c r="C108"/>
      <c r="D108"/>
      <c r="E108"/>
      <c r="F108"/>
      <c r="H108"/>
      <c r="I108"/>
      <c r="J108"/>
      <c r="K108"/>
      <c r="L108"/>
      <c r="N108" s="19"/>
      <c r="O108" s="19">
        <f>Tabla3546[[#This Row],[COMISIONES]]*0.21</f>
        <v>0</v>
      </c>
      <c r="P108" s="19"/>
      <c r="Q108" s="19"/>
      <c r="R108" s="19"/>
      <c r="T108"/>
      <c r="U108"/>
      <c r="V108"/>
      <c r="W108"/>
      <c r="X108"/>
      <c r="Y108"/>
      <c r="Z108"/>
      <c r="AA108"/>
      <c r="AB108"/>
      <c r="AC108"/>
      <c r="AD108"/>
    </row>
    <row r="109" spans="1:30" s="6" customFormat="1" x14ac:dyDescent="0.3">
      <c r="A109"/>
      <c r="B109"/>
      <c r="C109"/>
      <c r="D109"/>
      <c r="E109"/>
      <c r="F109"/>
      <c r="H109"/>
      <c r="I109"/>
      <c r="J109"/>
      <c r="K109"/>
      <c r="L109"/>
      <c r="N109" s="19"/>
      <c r="O109" s="19">
        <f>Tabla3546[[#This Row],[COMISIONES]]*0.21</f>
        <v>0</v>
      </c>
      <c r="P109" s="19"/>
      <c r="Q109" s="19"/>
      <c r="R109" s="19"/>
      <c r="T109"/>
      <c r="U109"/>
      <c r="V109"/>
      <c r="W109"/>
      <c r="X109"/>
      <c r="Y109"/>
      <c r="Z109"/>
      <c r="AA109"/>
      <c r="AB109"/>
      <c r="AC109"/>
      <c r="AD109"/>
    </row>
    <row r="110" spans="1:30" s="6" customFormat="1" x14ac:dyDescent="0.3">
      <c r="A110"/>
      <c r="B110"/>
      <c r="C110"/>
      <c r="D110"/>
      <c r="E110"/>
      <c r="F110"/>
      <c r="H110"/>
      <c r="I110"/>
      <c r="J110"/>
      <c r="K110"/>
      <c r="L110"/>
      <c r="N110" s="19"/>
      <c r="O110" s="19">
        <f>Tabla3546[[#This Row],[COMISIONES]]*0.21</f>
        <v>0</v>
      </c>
      <c r="P110" s="19"/>
      <c r="Q110" s="19"/>
      <c r="R110" s="19"/>
      <c r="T110"/>
      <c r="U110"/>
      <c r="V110"/>
      <c r="W110"/>
      <c r="X110"/>
      <c r="Y110"/>
      <c r="Z110"/>
      <c r="AA110"/>
      <c r="AB110"/>
      <c r="AC110"/>
      <c r="AD110"/>
    </row>
    <row r="111" spans="1:30" s="6" customFormat="1" x14ac:dyDescent="0.3">
      <c r="A111"/>
      <c r="B111"/>
      <c r="C111"/>
      <c r="D111"/>
      <c r="E111"/>
      <c r="F111"/>
      <c r="H111"/>
      <c r="I111"/>
      <c r="J111"/>
      <c r="K111"/>
      <c r="L111"/>
      <c r="N111" s="19"/>
      <c r="O111" s="19">
        <f>Tabla3546[[#This Row],[COMISIONES]]*0.21</f>
        <v>0</v>
      </c>
      <c r="P111" s="19"/>
      <c r="Q111" s="19"/>
      <c r="R111" s="19"/>
      <c r="T111"/>
      <c r="U111"/>
      <c r="V111"/>
      <c r="W111"/>
      <c r="X111"/>
      <c r="Y111"/>
      <c r="Z111"/>
      <c r="AA111"/>
      <c r="AB111"/>
      <c r="AC111"/>
      <c r="AD111"/>
    </row>
    <row r="112" spans="1:30" s="6" customFormat="1" x14ac:dyDescent="0.3">
      <c r="A112"/>
      <c r="B112"/>
      <c r="C112"/>
      <c r="D112"/>
      <c r="E112"/>
      <c r="F112"/>
      <c r="H112"/>
      <c r="I112"/>
      <c r="J112"/>
      <c r="K112"/>
      <c r="L112"/>
      <c r="N112" s="19"/>
      <c r="O112" s="19">
        <f>Tabla3546[[#This Row],[COMISIONES]]*0.21</f>
        <v>0</v>
      </c>
      <c r="P112" s="19"/>
      <c r="Q112" s="19"/>
      <c r="R112" s="19"/>
      <c r="T112"/>
      <c r="U112"/>
      <c r="V112"/>
      <c r="W112"/>
      <c r="X112"/>
      <c r="Y112"/>
      <c r="Z112"/>
      <c r="AA112"/>
      <c r="AB112"/>
      <c r="AC112"/>
      <c r="AD112"/>
    </row>
    <row r="113" spans="1:30" s="6" customFormat="1" x14ac:dyDescent="0.3">
      <c r="A113"/>
      <c r="B113"/>
      <c r="C113"/>
      <c r="D113"/>
      <c r="E113"/>
      <c r="F113"/>
      <c r="H113"/>
      <c r="I113"/>
      <c r="J113"/>
      <c r="K113"/>
      <c r="L113"/>
      <c r="N113" s="19"/>
      <c r="O113" s="19">
        <f>Tabla3546[[#This Row],[COMISIONES]]*0.21</f>
        <v>0</v>
      </c>
      <c r="P113" s="19"/>
      <c r="Q113" s="19"/>
      <c r="R113" s="19"/>
      <c r="T113"/>
      <c r="U113"/>
      <c r="V113"/>
      <c r="W113"/>
      <c r="X113"/>
      <c r="Y113"/>
      <c r="Z113"/>
      <c r="AA113"/>
      <c r="AB113"/>
      <c r="AC113"/>
      <c r="AD113"/>
    </row>
    <row r="114" spans="1:30" s="6" customFormat="1" x14ac:dyDescent="0.3">
      <c r="A114"/>
      <c r="B114"/>
      <c r="C114"/>
      <c r="D114"/>
      <c r="E114"/>
      <c r="F114"/>
      <c r="H114"/>
      <c r="I114"/>
      <c r="J114"/>
      <c r="K114"/>
      <c r="L114"/>
      <c r="N114" s="19"/>
      <c r="O114" s="19">
        <f>Tabla3546[[#This Row],[COMISIONES]]*0.21</f>
        <v>0</v>
      </c>
      <c r="P114" s="19"/>
      <c r="Q114" s="19"/>
      <c r="R114" s="19"/>
      <c r="T114"/>
      <c r="U114"/>
      <c r="V114"/>
      <c r="W114"/>
      <c r="X114"/>
      <c r="Y114"/>
      <c r="Z114"/>
      <c r="AA114"/>
      <c r="AB114"/>
      <c r="AC114"/>
      <c r="AD114"/>
    </row>
    <row r="115" spans="1:30" s="6" customFormat="1" x14ac:dyDescent="0.3">
      <c r="A115"/>
      <c r="B115"/>
      <c r="C115"/>
      <c r="D115"/>
      <c r="E115"/>
      <c r="F115"/>
      <c r="H115"/>
      <c r="I115"/>
      <c r="J115"/>
      <c r="K115"/>
      <c r="L115"/>
      <c r="N115" s="19"/>
      <c r="O115" s="19">
        <f>Tabla3546[[#This Row],[COMISIONES]]*0.21</f>
        <v>0</v>
      </c>
      <c r="P115" s="19"/>
      <c r="Q115" s="19"/>
      <c r="R115" s="19"/>
      <c r="T115"/>
      <c r="U115"/>
      <c r="V115"/>
      <c r="W115"/>
      <c r="X115"/>
      <c r="Y115"/>
      <c r="Z115"/>
      <c r="AA115"/>
      <c r="AB115"/>
      <c r="AC115"/>
      <c r="AD115"/>
    </row>
    <row r="116" spans="1:30" s="6" customFormat="1" x14ac:dyDescent="0.3">
      <c r="A116"/>
      <c r="B116"/>
      <c r="C116"/>
      <c r="D116"/>
      <c r="E116"/>
      <c r="F116"/>
      <c r="H116"/>
      <c r="I116"/>
      <c r="J116"/>
      <c r="K116"/>
      <c r="L116"/>
      <c r="N116" s="19"/>
      <c r="O116" s="19">
        <f>Tabla3546[[#This Row],[COMISIONES]]*0.21</f>
        <v>0</v>
      </c>
      <c r="P116" s="19"/>
      <c r="Q116" s="19"/>
      <c r="R116" s="19"/>
      <c r="T116"/>
      <c r="U116"/>
      <c r="V116"/>
      <c r="W116"/>
      <c r="X116"/>
      <c r="Y116"/>
      <c r="Z116"/>
      <c r="AA116"/>
      <c r="AB116"/>
      <c r="AC116"/>
      <c r="AD116"/>
    </row>
    <row r="117" spans="1:30" s="6" customFormat="1" x14ac:dyDescent="0.3">
      <c r="A117"/>
      <c r="B117"/>
      <c r="C117"/>
      <c r="D117"/>
      <c r="E117"/>
      <c r="F117"/>
      <c r="H117"/>
      <c r="I117"/>
      <c r="J117"/>
      <c r="K117"/>
      <c r="L117"/>
      <c r="N117" s="19"/>
      <c r="O117" s="19">
        <f>Tabla3546[[#This Row],[COMISIONES]]*0.21</f>
        <v>0</v>
      </c>
      <c r="P117" s="19"/>
      <c r="Q117" s="19"/>
      <c r="R117" s="19"/>
      <c r="T117"/>
      <c r="U117"/>
      <c r="V117"/>
      <c r="W117"/>
      <c r="X117"/>
      <c r="Y117"/>
      <c r="Z117"/>
      <c r="AA117"/>
      <c r="AB117"/>
      <c r="AC117"/>
      <c r="AD117"/>
    </row>
    <row r="118" spans="1:30" s="6" customFormat="1" x14ac:dyDescent="0.3">
      <c r="A118"/>
      <c r="B118"/>
      <c r="C118"/>
      <c r="D118"/>
      <c r="E118"/>
      <c r="F118"/>
      <c r="H118"/>
      <c r="I118"/>
      <c r="J118"/>
      <c r="K118"/>
      <c r="L118"/>
      <c r="N118" s="19"/>
      <c r="O118" s="19">
        <f>Tabla3546[[#This Row],[COMISIONES]]*0.21</f>
        <v>0</v>
      </c>
      <c r="P118" s="19"/>
      <c r="Q118" s="19"/>
      <c r="R118" s="19"/>
      <c r="T118"/>
      <c r="U118"/>
      <c r="V118"/>
      <c r="W118"/>
      <c r="X118"/>
      <c r="Y118"/>
      <c r="Z118"/>
      <c r="AA118"/>
      <c r="AB118"/>
      <c r="AC118"/>
      <c r="AD118"/>
    </row>
    <row r="119" spans="1:30" s="6" customFormat="1" x14ac:dyDescent="0.3">
      <c r="A119"/>
      <c r="B119"/>
      <c r="C119"/>
      <c r="D119"/>
      <c r="E119"/>
      <c r="F119"/>
      <c r="H119"/>
      <c r="I119"/>
      <c r="J119"/>
      <c r="K119"/>
      <c r="L119"/>
      <c r="N119" s="19"/>
      <c r="O119" s="19">
        <f>Tabla3546[[#This Row],[COMISIONES]]*0.21</f>
        <v>0</v>
      </c>
      <c r="P119" s="19"/>
      <c r="Q119" s="19"/>
      <c r="R119" s="19"/>
      <c r="T119"/>
      <c r="U119"/>
      <c r="V119"/>
      <c r="W119"/>
      <c r="X119"/>
      <c r="Y119"/>
      <c r="Z119"/>
      <c r="AA119"/>
      <c r="AB119"/>
      <c r="AC119"/>
      <c r="AD119"/>
    </row>
    <row r="120" spans="1:30" s="6" customFormat="1" x14ac:dyDescent="0.3">
      <c r="A120"/>
      <c r="B120"/>
      <c r="C120"/>
      <c r="D120"/>
      <c r="E120"/>
      <c r="F120"/>
      <c r="H120"/>
      <c r="I120"/>
      <c r="J120"/>
      <c r="K120"/>
      <c r="L120"/>
      <c r="N120" s="19"/>
      <c r="O120" s="19">
        <f>Tabla3546[[#This Row],[COMISIONES]]*0.21</f>
        <v>0</v>
      </c>
      <c r="P120" s="19"/>
      <c r="Q120" s="19"/>
      <c r="R120" s="19"/>
      <c r="T120"/>
      <c r="U120"/>
      <c r="V120"/>
      <c r="W120"/>
      <c r="X120"/>
      <c r="Y120"/>
      <c r="Z120"/>
      <c r="AA120"/>
      <c r="AB120"/>
      <c r="AC120"/>
      <c r="AD120"/>
    </row>
    <row r="121" spans="1:30" s="6" customFormat="1" x14ac:dyDescent="0.3">
      <c r="A121"/>
      <c r="B121"/>
      <c r="C121"/>
      <c r="D121"/>
      <c r="E121"/>
      <c r="F121"/>
      <c r="H121"/>
      <c r="I121"/>
      <c r="J121"/>
      <c r="K121"/>
      <c r="L121"/>
      <c r="N121" s="19"/>
      <c r="O121" s="19">
        <f>Tabla3546[[#This Row],[COMISIONES]]*0.21</f>
        <v>0</v>
      </c>
      <c r="P121" s="19"/>
      <c r="Q121" s="19"/>
      <c r="R121" s="19"/>
      <c r="T121"/>
      <c r="U121"/>
      <c r="V121"/>
      <c r="W121"/>
      <c r="X121"/>
      <c r="Y121"/>
      <c r="Z121"/>
      <c r="AA121"/>
      <c r="AB121"/>
      <c r="AC121"/>
      <c r="AD121"/>
    </row>
    <row r="122" spans="1:30" s="6" customFormat="1" x14ac:dyDescent="0.3">
      <c r="A122"/>
      <c r="B122"/>
      <c r="C122"/>
      <c r="D122"/>
      <c r="E122"/>
      <c r="F122"/>
      <c r="H122"/>
      <c r="I122"/>
      <c r="J122"/>
      <c r="K122"/>
      <c r="L122"/>
      <c r="N122" s="19"/>
      <c r="O122" s="19">
        <f>Tabla3546[[#This Row],[COMISIONES]]*0.21</f>
        <v>0</v>
      </c>
      <c r="P122" s="19"/>
      <c r="Q122" s="19"/>
      <c r="R122" s="19"/>
      <c r="T122"/>
      <c r="U122"/>
      <c r="V122"/>
      <c r="W122"/>
      <c r="X122"/>
      <c r="Y122"/>
      <c r="Z122"/>
      <c r="AA122"/>
      <c r="AB122"/>
      <c r="AC122"/>
      <c r="AD122"/>
    </row>
    <row r="123" spans="1:30" s="6" customFormat="1" x14ac:dyDescent="0.3">
      <c r="A123"/>
      <c r="B123"/>
      <c r="C123"/>
      <c r="D123"/>
      <c r="E123"/>
      <c r="F123"/>
      <c r="H123"/>
      <c r="I123"/>
      <c r="J123"/>
      <c r="K123"/>
      <c r="L123"/>
      <c r="N123" s="19"/>
      <c r="O123" s="19">
        <f>Tabla3546[[#This Row],[COMISIONES]]*0.21</f>
        <v>0</v>
      </c>
      <c r="P123" s="19"/>
      <c r="Q123" s="19"/>
      <c r="R123" s="19"/>
      <c r="T123"/>
      <c r="U123"/>
      <c r="V123"/>
      <c r="W123"/>
      <c r="X123"/>
      <c r="Y123"/>
      <c r="Z123"/>
      <c r="AA123"/>
      <c r="AB123"/>
      <c r="AC123"/>
      <c r="AD123"/>
    </row>
    <row r="124" spans="1:30" s="6" customFormat="1" x14ac:dyDescent="0.3">
      <c r="A124"/>
      <c r="B124"/>
      <c r="C124"/>
      <c r="D124"/>
      <c r="E124"/>
      <c r="F124"/>
      <c r="H124"/>
      <c r="I124"/>
      <c r="J124"/>
      <c r="K124"/>
      <c r="L124"/>
      <c r="N124" s="19"/>
      <c r="O124" s="19">
        <f>Tabla3546[[#This Row],[COMISIONES]]*0.21</f>
        <v>0</v>
      </c>
      <c r="P124" s="19"/>
      <c r="Q124" s="19"/>
      <c r="R124" s="19"/>
      <c r="T124"/>
      <c r="U124"/>
      <c r="V124"/>
      <c r="W124"/>
      <c r="X124"/>
      <c r="Y124"/>
      <c r="Z124"/>
      <c r="AA124"/>
      <c r="AB124"/>
      <c r="AC124"/>
      <c r="AD124"/>
    </row>
    <row r="125" spans="1:30" s="6" customFormat="1" x14ac:dyDescent="0.3">
      <c r="A125"/>
      <c r="B125"/>
      <c r="C125"/>
      <c r="D125"/>
      <c r="E125"/>
      <c r="F125"/>
      <c r="H125"/>
      <c r="I125"/>
      <c r="J125"/>
      <c r="K125"/>
      <c r="L125"/>
      <c r="N125" s="19"/>
      <c r="O125" s="19">
        <f>Tabla3546[[#This Row],[COMISIONES]]*0.21</f>
        <v>0</v>
      </c>
      <c r="P125" s="19"/>
      <c r="Q125" s="19"/>
      <c r="R125" s="19"/>
      <c r="T125"/>
      <c r="U125"/>
      <c r="V125"/>
      <c r="W125"/>
      <c r="X125"/>
      <c r="Y125"/>
      <c r="Z125"/>
      <c r="AA125"/>
      <c r="AB125"/>
      <c r="AC125"/>
      <c r="AD125"/>
    </row>
    <row r="126" spans="1:30" s="6" customFormat="1" x14ac:dyDescent="0.3">
      <c r="A126"/>
      <c r="B126"/>
      <c r="C126"/>
      <c r="D126"/>
      <c r="E126"/>
      <c r="F126"/>
      <c r="H126"/>
      <c r="I126"/>
      <c r="J126"/>
      <c r="K126"/>
      <c r="L126"/>
      <c r="N126" s="19"/>
      <c r="O126" s="19">
        <f>Tabla3546[[#This Row],[COMISIONES]]*0.21</f>
        <v>0</v>
      </c>
      <c r="P126" s="19"/>
      <c r="Q126" s="19"/>
      <c r="R126" s="19"/>
      <c r="T126"/>
      <c r="U126"/>
      <c r="V126"/>
      <c r="W126"/>
      <c r="X126"/>
      <c r="Y126"/>
      <c r="Z126"/>
      <c r="AA126"/>
      <c r="AB126"/>
      <c r="AC126"/>
      <c r="AD126"/>
    </row>
    <row r="127" spans="1:30" s="6" customFormat="1" x14ac:dyDescent="0.3">
      <c r="A127"/>
      <c r="B127"/>
      <c r="C127"/>
      <c r="D127"/>
      <c r="E127"/>
      <c r="F127"/>
      <c r="H127"/>
      <c r="I127"/>
      <c r="J127"/>
      <c r="K127"/>
      <c r="L127"/>
      <c r="N127" s="19"/>
      <c r="O127" s="19">
        <f>Tabla3546[[#This Row],[COMISIONES]]*0.21</f>
        <v>0</v>
      </c>
      <c r="P127" s="19"/>
      <c r="Q127" s="19"/>
      <c r="R127" s="19"/>
      <c r="T127"/>
      <c r="U127"/>
      <c r="V127"/>
      <c r="W127"/>
      <c r="X127"/>
      <c r="Y127"/>
      <c r="Z127"/>
      <c r="AA127"/>
      <c r="AB127"/>
      <c r="AC127"/>
      <c r="AD127"/>
    </row>
    <row r="128" spans="1:30" s="6" customFormat="1" x14ac:dyDescent="0.3">
      <c r="A128"/>
      <c r="B128"/>
      <c r="C128"/>
      <c r="D128"/>
      <c r="E128"/>
      <c r="F128"/>
      <c r="H128"/>
      <c r="I128"/>
      <c r="J128"/>
      <c r="K128"/>
      <c r="L128"/>
      <c r="N128" s="19"/>
      <c r="O128" s="19">
        <f>Tabla3546[[#This Row],[COMISIONES]]*0.21</f>
        <v>0</v>
      </c>
      <c r="P128" s="19"/>
      <c r="Q128" s="19"/>
      <c r="R128" s="19"/>
      <c r="T128"/>
      <c r="U128"/>
      <c r="V128"/>
      <c r="W128"/>
      <c r="X128"/>
      <c r="Y128"/>
      <c r="Z128"/>
      <c r="AA128"/>
      <c r="AB128"/>
      <c r="AC128"/>
      <c r="AD128"/>
    </row>
    <row r="129" spans="1:30" s="6" customFormat="1" x14ac:dyDescent="0.3">
      <c r="A129"/>
      <c r="B129"/>
      <c r="C129"/>
      <c r="D129"/>
      <c r="E129"/>
      <c r="F129"/>
      <c r="H129"/>
      <c r="I129"/>
      <c r="J129"/>
      <c r="K129"/>
      <c r="L129"/>
      <c r="N129" s="19"/>
      <c r="O129" s="19">
        <f>Tabla3546[[#This Row],[COMISIONES]]*0.21</f>
        <v>0</v>
      </c>
      <c r="P129" s="19"/>
      <c r="Q129" s="19"/>
      <c r="R129" s="19"/>
      <c r="T129"/>
      <c r="U129"/>
      <c r="V129"/>
      <c r="W129"/>
      <c r="X129"/>
      <c r="Y129"/>
      <c r="Z129"/>
      <c r="AA129"/>
      <c r="AB129"/>
      <c r="AC129"/>
      <c r="AD129"/>
    </row>
    <row r="130" spans="1:30" s="6" customFormat="1" x14ac:dyDescent="0.3">
      <c r="A130"/>
      <c r="B130"/>
      <c r="C130"/>
      <c r="D130"/>
      <c r="E130"/>
      <c r="F130"/>
      <c r="H130"/>
      <c r="I130"/>
      <c r="J130"/>
      <c r="K130"/>
      <c r="L130"/>
      <c r="N130" s="19"/>
      <c r="O130" s="19">
        <f>Tabla3546[[#This Row],[COMISIONES]]*0.21</f>
        <v>0</v>
      </c>
      <c r="P130" s="19"/>
      <c r="Q130" s="19"/>
      <c r="R130" s="19"/>
      <c r="T130"/>
      <c r="U130"/>
      <c r="V130"/>
      <c r="W130"/>
      <c r="X130"/>
      <c r="Y130"/>
      <c r="Z130"/>
      <c r="AA130"/>
      <c r="AB130"/>
      <c r="AC130"/>
      <c r="AD130"/>
    </row>
    <row r="131" spans="1:30" s="6" customFormat="1" x14ac:dyDescent="0.3">
      <c r="A131"/>
      <c r="B131"/>
      <c r="C131"/>
      <c r="D131"/>
      <c r="E131"/>
      <c r="F131"/>
      <c r="H131"/>
      <c r="I131"/>
      <c r="J131"/>
      <c r="K131"/>
      <c r="L131"/>
      <c r="N131" s="19"/>
      <c r="O131" s="19">
        <f>Tabla3546[[#This Row],[COMISIONES]]*0.21</f>
        <v>0</v>
      </c>
      <c r="P131" s="19"/>
      <c r="Q131" s="19"/>
      <c r="R131" s="19"/>
      <c r="T131"/>
      <c r="U131"/>
      <c r="V131"/>
      <c r="W131"/>
      <c r="X131"/>
      <c r="Y131"/>
      <c r="Z131"/>
      <c r="AA131"/>
      <c r="AB131"/>
      <c r="AC131"/>
      <c r="AD131"/>
    </row>
    <row r="132" spans="1:30" s="6" customFormat="1" x14ac:dyDescent="0.3">
      <c r="A132"/>
      <c r="B132"/>
      <c r="C132"/>
      <c r="D132"/>
      <c r="E132"/>
      <c r="F132"/>
      <c r="H132"/>
      <c r="I132"/>
      <c r="J132"/>
      <c r="K132"/>
      <c r="L132"/>
      <c r="N132" s="18">
        <f>SUBTOTAL(109,Tabla3546[COMISIONES])</f>
        <v>0</v>
      </c>
      <c r="O132" s="18">
        <f>SUBTOTAL(109,Tabla3546[IVA 21])</f>
        <v>0</v>
      </c>
      <c r="P132" s="18">
        <f>SUBTOTAL(109,Tabla3546[IVA 10,5])</f>
        <v>0</v>
      </c>
      <c r="Q132" s="18">
        <f>SUBTOTAL(109,Tabla3546[Ret IIBB Caba])</f>
        <v>0</v>
      </c>
      <c r="R132" s="18">
        <f>SUBTOTAL(109,Tabla3546[PERC IVA])</f>
        <v>0</v>
      </c>
      <c r="T132"/>
      <c r="U132"/>
      <c r="V132"/>
      <c r="W132"/>
      <c r="X132"/>
      <c r="Y132"/>
      <c r="Z132"/>
      <c r="AA132"/>
      <c r="AB132"/>
      <c r="AC132"/>
      <c r="AD132"/>
    </row>
  </sheetData>
  <mergeCells count="16">
    <mergeCell ref="Z11:AD11"/>
    <mergeCell ref="T29:X29"/>
    <mergeCell ref="G9:H9"/>
    <mergeCell ref="H52:L52"/>
    <mergeCell ref="G7:H7"/>
    <mergeCell ref="G8:H8"/>
    <mergeCell ref="B11:F11"/>
    <mergeCell ref="H11:L11"/>
    <mergeCell ref="N11:R11"/>
    <mergeCell ref="T11:X11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14F0-B28D-4A03-B93E-B387C89FF089}">
  <dimension ref="A1:AD132"/>
  <sheetViews>
    <sheetView showGridLines="0" tabSelected="1" topLeftCell="G10" zoomScale="70" zoomScaleNormal="70" workbookViewId="0">
      <selection activeCell="N20" sqref="N20"/>
    </sheetView>
  </sheetViews>
  <sheetFormatPr baseColWidth="10" defaultRowHeight="14.4" x14ac:dyDescent="0.3"/>
  <cols>
    <col min="1" max="1" width="4.5546875" customWidth="1"/>
    <col min="2" max="2" width="16.88671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30" ht="6" customHeight="1" x14ac:dyDescent="0.3">
      <c r="G1"/>
      <c r="M1"/>
    </row>
    <row r="2" spans="1:30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44958</v>
      </c>
      <c r="K2" s="35"/>
      <c r="M2"/>
    </row>
    <row r="3" spans="1:30" x14ac:dyDescent="0.3">
      <c r="A3" s="17" t="s">
        <v>45</v>
      </c>
      <c r="B3" s="17"/>
      <c r="C3" s="14">
        <f>Tabla14451[[#Totals],[COMISIONES]]</f>
        <v>0</v>
      </c>
      <c r="D3" s="14">
        <f>Tabla14451[[#Totals],[IVA 21]]</f>
        <v>0</v>
      </c>
      <c r="E3" s="14">
        <f>Tabla14451[[#Totals],[IVA 10,5]]</f>
        <v>0</v>
      </c>
      <c r="F3" s="14">
        <f>Tabla14451[[#Totals],[Ret IIBB Caba]]</f>
        <v>0</v>
      </c>
      <c r="G3" s="33">
        <f>Tabla14451[[#Totals],[PERC IVA]]</f>
        <v>0</v>
      </c>
      <c r="H3" s="34"/>
      <c r="J3" s="2"/>
      <c r="K3" s="3"/>
      <c r="M3"/>
      <c r="N3" t="s">
        <v>12</v>
      </c>
    </row>
    <row r="4" spans="1:30" x14ac:dyDescent="0.3">
      <c r="A4" s="17" t="s">
        <v>46</v>
      </c>
      <c r="B4" s="17"/>
      <c r="C4" s="14">
        <f>Tabla34552[[#Totals],[COMISIONES]]</f>
        <v>0</v>
      </c>
      <c r="D4" s="14">
        <f>Tabla34552[[#Totals],[IVA 21]]</f>
        <v>0</v>
      </c>
      <c r="E4" s="14">
        <f>Tabla34552[[#Totals],[IVA 10,5]]</f>
        <v>0</v>
      </c>
      <c r="F4" s="14">
        <f>Tabla34552[[#Totals],[Ret IIBB Caba]]</f>
        <v>0</v>
      </c>
      <c r="G4" s="33">
        <f>Tabla34552[[#Totals],[PERC IVA]]</f>
        <v>0</v>
      </c>
      <c r="H4" s="34"/>
      <c r="J4" s="2"/>
      <c r="K4" s="3"/>
      <c r="M4"/>
    </row>
    <row r="5" spans="1:30" x14ac:dyDescent="0.3">
      <c r="A5" s="17" t="s">
        <v>8</v>
      </c>
      <c r="B5" s="17"/>
      <c r="C5" s="14">
        <f>Tabla354653[[#Totals],[COMISIONES]]</f>
        <v>9224.5499999999993</v>
      </c>
      <c r="D5" s="14">
        <f>Tabla354653[[#Totals],[IVA 21]]</f>
        <v>447.9615</v>
      </c>
      <c r="E5" s="14">
        <f>Tabla354653[[#Totals],[IVA 10,5]]</f>
        <v>744.6</v>
      </c>
      <c r="F5" s="14">
        <f>Tabla354653[[#Totals],[Ret IIBB Caba]]</f>
        <v>2382.4899999999998</v>
      </c>
      <c r="G5" s="33">
        <f>Tabla354653[[#Totals],[PERC IVA]]</f>
        <v>132.09</v>
      </c>
      <c r="H5" s="34"/>
      <c r="M5"/>
    </row>
    <row r="6" spans="1:30" x14ac:dyDescent="0.3">
      <c r="A6" s="17" t="s">
        <v>9</v>
      </c>
      <c r="B6" s="17"/>
      <c r="C6" s="14">
        <f>Tabla3564754[[#Totals],[COMISIONES]]</f>
        <v>0</v>
      </c>
      <c r="D6" s="14">
        <f>Tabla3564754[[#Totals],[IVA 21]]</f>
        <v>0</v>
      </c>
      <c r="E6" s="14">
        <f>Tabla3564754[[#Totals],[IVA 10,5]]</f>
        <v>0</v>
      </c>
      <c r="F6" s="14">
        <f>Tabla3564754[[#Totals],[Ret IIBB Caba]]</f>
        <v>0</v>
      </c>
      <c r="G6" s="33">
        <f>Tabla3564754[[#Totals],[PERC IVA]]</f>
        <v>0</v>
      </c>
      <c r="H6" s="34"/>
      <c r="M6"/>
    </row>
    <row r="7" spans="1:30" x14ac:dyDescent="0.3">
      <c r="A7" s="17" t="s">
        <v>10</v>
      </c>
      <c r="B7" s="17"/>
      <c r="C7" s="14">
        <f>Tabla35684956[[#Totals],[COMISIONES]]</f>
        <v>791.03999999999985</v>
      </c>
      <c r="D7" s="14">
        <f>Tabla35684956[[#Totals],[IVA 21]]</f>
        <v>166.11839999999998</v>
      </c>
      <c r="E7" s="14">
        <f>Tabla35684956[[#Totals],[IVA 10,5]]</f>
        <v>0</v>
      </c>
      <c r="F7" s="14">
        <f>Tabla35684956[[#Totals],[Ret IIBB Caba]]</f>
        <v>4413.99</v>
      </c>
      <c r="G7" s="33">
        <f>Tabla35684956[[#Totals],[PERC IVA]]</f>
        <v>0</v>
      </c>
      <c r="H7" s="34"/>
      <c r="M7"/>
    </row>
    <row r="8" spans="1:30" x14ac:dyDescent="0.3">
      <c r="A8" s="17" t="s">
        <v>43</v>
      </c>
      <c r="B8" s="17"/>
      <c r="C8" s="14">
        <f>Tabla64855[[#Totals],[COMISIONES]]</f>
        <v>17120.129999999997</v>
      </c>
      <c r="D8" s="14">
        <f>Tabla64855[[#Totals],[IVA 21]]</f>
        <v>3595.2272999999996</v>
      </c>
      <c r="E8" s="14">
        <f>Tabla64855[[#Totals],[IVA 10,5]]</f>
        <v>0</v>
      </c>
      <c r="F8" s="14">
        <f>Tabla64855[[#Totals],[Perc IIBB Caba]]</f>
        <v>519.6</v>
      </c>
      <c r="G8" s="33">
        <f>Tabla64855[[#Totals],[PERC IVA]]</f>
        <v>259.8</v>
      </c>
      <c r="H8" s="34"/>
      <c r="M8"/>
    </row>
    <row r="9" spans="1:30" x14ac:dyDescent="0.3">
      <c r="A9" s="17" t="s">
        <v>44</v>
      </c>
      <c r="B9" s="17"/>
      <c r="C9" s="14">
        <f>Tabla3455057[[#Totals],[COMISIONES]]</f>
        <v>5625</v>
      </c>
      <c r="D9" s="14">
        <f>Tabla3455057[[#Totals],[IVA 21]]</f>
        <v>1181.25</v>
      </c>
      <c r="E9" s="14">
        <f>Tabla3455057[[#Totals],[IVA 10,5]]</f>
        <v>0</v>
      </c>
      <c r="F9" s="14">
        <f>Tabla3455057[[#Totals],[Ret IIBB Caba]]</f>
        <v>337.5</v>
      </c>
      <c r="G9" s="33">
        <f>Tabla3455057[[#Totals],[PERC IVA]]</f>
        <v>168.75</v>
      </c>
      <c r="H9" s="34"/>
      <c r="M9"/>
    </row>
    <row r="10" spans="1:30" ht="15.6" customHeight="1" x14ac:dyDescent="0.3">
      <c r="G10"/>
      <c r="M10"/>
    </row>
    <row r="11" spans="1:30" ht="16.5" customHeight="1" x14ac:dyDescent="0.35">
      <c r="B11" s="30" t="s">
        <v>16</v>
      </c>
      <c r="C11" s="30"/>
      <c r="D11" s="30"/>
      <c r="E11" s="30"/>
      <c r="F11" s="30"/>
      <c r="H11" s="30" t="s">
        <v>47</v>
      </c>
      <c r="I11" s="30"/>
      <c r="J11" s="30"/>
      <c r="K11" s="30"/>
      <c r="L11" s="30"/>
      <c r="N11" s="30" t="s">
        <v>5</v>
      </c>
      <c r="O11" s="30"/>
      <c r="P11" s="30"/>
      <c r="Q11" s="30"/>
      <c r="R11" s="30"/>
      <c r="T11" s="30" t="s">
        <v>17</v>
      </c>
      <c r="U11" s="30"/>
      <c r="V11" s="30"/>
      <c r="W11" s="30"/>
      <c r="X11" s="30"/>
      <c r="Y11" s="6"/>
      <c r="Z11" s="30" t="s">
        <v>15</v>
      </c>
      <c r="AA11" s="30"/>
      <c r="AB11" s="30"/>
      <c r="AC11" s="30"/>
      <c r="AD11" s="30"/>
    </row>
    <row r="12" spans="1:30" s="5" customFormat="1" x14ac:dyDescent="0.3">
      <c r="B12" s="10" t="s">
        <v>2</v>
      </c>
      <c r="C12" s="9" t="s">
        <v>0</v>
      </c>
      <c r="D12" s="9" t="s">
        <v>1</v>
      </c>
      <c r="E12" s="9" t="s">
        <v>3</v>
      </c>
      <c r="F12" s="9" t="s">
        <v>4</v>
      </c>
      <c r="G12" s="7"/>
      <c r="H12" s="12" t="s">
        <v>2</v>
      </c>
      <c r="I12" s="13" t="s">
        <v>0</v>
      </c>
      <c r="J12" s="13" t="s">
        <v>1</v>
      </c>
      <c r="K12" s="13" t="s">
        <v>3</v>
      </c>
      <c r="L12" s="13" t="s">
        <v>4</v>
      </c>
      <c r="M12" s="7"/>
      <c r="N12" s="12" t="s">
        <v>2</v>
      </c>
      <c r="O12" s="13" t="s">
        <v>0</v>
      </c>
      <c r="P12" s="13" t="s">
        <v>1</v>
      </c>
      <c r="Q12" s="13" t="s">
        <v>3</v>
      </c>
      <c r="R12" s="13" t="s">
        <v>4</v>
      </c>
      <c r="S12" s="7"/>
      <c r="T12" s="12" t="s">
        <v>2</v>
      </c>
      <c r="U12" s="13" t="s">
        <v>0</v>
      </c>
      <c r="V12" s="13" t="s">
        <v>1</v>
      </c>
      <c r="W12" s="13" t="s">
        <v>3</v>
      </c>
      <c r="X12" s="13" t="s">
        <v>4</v>
      </c>
      <c r="Y12" s="7"/>
      <c r="Z12" s="12" t="s">
        <v>2</v>
      </c>
      <c r="AA12" s="13" t="s">
        <v>0</v>
      </c>
      <c r="AB12" s="13" t="s">
        <v>1</v>
      </c>
      <c r="AC12" s="13" t="s">
        <v>3</v>
      </c>
      <c r="AD12" s="13" t="s">
        <v>4</v>
      </c>
    </row>
    <row r="13" spans="1:30" x14ac:dyDescent="0.3">
      <c r="B13" s="2"/>
      <c r="C13" s="2">
        <f>Tabla14451[[#This Row],[COMISIONES]]*0.21</f>
        <v>0</v>
      </c>
      <c r="D13" s="3"/>
      <c r="E13" s="3"/>
      <c r="G13" s="8"/>
      <c r="H13" s="3"/>
      <c r="I13" s="11">
        <f>Tabla34552[[#This Row],[COMISIONES]]*0.21</f>
        <v>0</v>
      </c>
      <c r="J13" s="11"/>
      <c r="K13" s="11"/>
      <c r="L13" s="3"/>
      <c r="M13" s="8"/>
      <c r="N13" s="11">
        <v>242.83</v>
      </c>
      <c r="O13" s="11">
        <f>Tabla354653[[#This Row],[COMISIONES]]*0.21</f>
        <v>50.994300000000003</v>
      </c>
      <c r="P13" s="11"/>
      <c r="Q13" s="11">
        <v>596.15</v>
      </c>
      <c r="R13" s="11"/>
      <c r="S13" s="8"/>
      <c r="T13" s="11"/>
      <c r="U13" s="11">
        <f>Tabla3564754[[#This Row],[COMISIONES]]*0.21</f>
        <v>0</v>
      </c>
      <c r="V13" s="11"/>
      <c r="W13" s="11"/>
      <c r="X13" s="11"/>
      <c r="Y13" s="8"/>
      <c r="Z13" s="11">
        <v>28</v>
      </c>
      <c r="AA13" s="11">
        <f>Tabla35684956[[#This Row],[COMISIONES]]*0.21</f>
        <v>5.88</v>
      </c>
      <c r="AB13" s="11"/>
      <c r="AC13" s="11">
        <v>156.24</v>
      </c>
      <c r="AD13" s="11"/>
    </row>
    <row r="14" spans="1:30" x14ac:dyDescent="0.3">
      <c r="B14" s="3"/>
      <c r="C14" s="2">
        <f>Tabla14451[[#This Row],[COMISIONES]]*0.21</f>
        <v>0</v>
      </c>
      <c r="D14" s="3"/>
      <c r="E14" s="3"/>
      <c r="F14" s="3"/>
      <c r="G14" s="8"/>
      <c r="H14" s="11"/>
      <c r="I14" s="11">
        <f>Tabla34552[[#This Row],[COMISIONES]]*0.21</f>
        <v>0</v>
      </c>
      <c r="J14" s="11"/>
      <c r="K14" s="11"/>
      <c r="L14" s="11"/>
      <c r="M14" s="8"/>
      <c r="N14" s="11">
        <v>212.94</v>
      </c>
      <c r="O14" s="11">
        <f>Tabla354653[[#This Row],[COMISIONES]]*0.21</f>
        <v>44.717399999999998</v>
      </c>
      <c r="P14" s="11"/>
      <c r="Q14" s="11"/>
      <c r="R14" s="11"/>
      <c r="S14" s="8"/>
      <c r="T14" s="11"/>
      <c r="U14" s="11">
        <f>Tabla3564754[[#This Row],[COMISIONES]]*0.21</f>
        <v>0</v>
      </c>
      <c r="V14" s="11"/>
      <c r="W14" s="11"/>
      <c r="X14" s="11"/>
      <c r="Y14" s="8"/>
      <c r="Z14" s="11">
        <v>82.56</v>
      </c>
      <c r="AA14" s="11">
        <f>Tabla35684956[[#This Row],[COMISIONES]]*0.21</f>
        <v>17.337599999999998</v>
      </c>
      <c r="AB14" s="11"/>
      <c r="AC14" s="11">
        <v>460.68</v>
      </c>
      <c r="AD14" s="11"/>
    </row>
    <row r="15" spans="1:30" x14ac:dyDescent="0.3">
      <c r="B15" s="3"/>
      <c r="C15" s="2">
        <f>Tabla14451[[#This Row],[COMISIONES]]*0.21</f>
        <v>0</v>
      </c>
      <c r="D15" s="3"/>
      <c r="E15" s="3"/>
      <c r="F15" s="3"/>
      <c r="H15" s="11"/>
      <c r="I15" s="11">
        <f>Tabla34552[[#This Row],[COMISIONES]]*0.21</f>
        <v>0</v>
      </c>
      <c r="J15" s="11"/>
      <c r="K15" s="11"/>
      <c r="L15" s="11"/>
      <c r="N15" s="11">
        <v>857.62</v>
      </c>
      <c r="O15" s="11">
        <f>Tabla354653[[#This Row],[COMISIONES]]*0.21</f>
        <v>180.1002</v>
      </c>
      <c r="P15" s="11"/>
      <c r="Q15" s="11"/>
      <c r="R15" s="11"/>
      <c r="T15" s="11"/>
      <c r="U15" s="11">
        <f>Tabla3564754[[#This Row],[COMISIONES]]*0.21</f>
        <v>0</v>
      </c>
      <c r="V15" s="11"/>
      <c r="W15" s="11"/>
      <c r="X15" s="11"/>
      <c r="Y15" s="6"/>
      <c r="Z15" s="11">
        <v>168.8</v>
      </c>
      <c r="AA15" s="11">
        <f>Tabla35684956[[#This Row],[COMISIONES]]*0.21</f>
        <v>35.448</v>
      </c>
      <c r="AB15" s="11"/>
      <c r="AC15" s="11">
        <v>941.91</v>
      </c>
      <c r="AD15" s="11"/>
    </row>
    <row r="16" spans="1:30" x14ac:dyDescent="0.3">
      <c r="B16" s="3"/>
      <c r="C16" s="2">
        <f>Tabla14451[[#This Row],[COMISIONES]]*0.21</f>
        <v>0</v>
      </c>
      <c r="D16" s="3"/>
      <c r="E16" s="3"/>
      <c r="F16" s="3"/>
      <c r="G16" s="8"/>
      <c r="H16" s="11"/>
      <c r="I16" s="11">
        <f>Tabla34552[[#This Row],[COMISIONES]]*0.21</f>
        <v>0</v>
      </c>
      <c r="J16" s="11"/>
      <c r="K16" s="11"/>
      <c r="L16" s="11"/>
      <c r="M16" s="8"/>
      <c r="N16" s="11">
        <v>7091.4</v>
      </c>
      <c r="O16" s="11"/>
      <c r="P16" s="11">
        <v>744.6</v>
      </c>
      <c r="Q16" s="11">
        <v>1786.34</v>
      </c>
      <c r="R16" s="11">
        <f t="shared" ref="R13:R44" si="0">106.37+25.72</f>
        <v>132.09</v>
      </c>
      <c r="S16" s="8"/>
      <c r="T16" s="11"/>
      <c r="U16" s="11">
        <f>Tabla3564754[[#This Row],[COMISIONES]]*0.21</f>
        <v>0</v>
      </c>
      <c r="V16" s="11"/>
      <c r="W16" s="11"/>
      <c r="X16" s="11"/>
      <c r="Y16" s="8"/>
      <c r="Z16" s="11">
        <v>48</v>
      </c>
      <c r="AA16" s="11">
        <f>Tabla35684956[[#This Row],[COMISIONES]]*0.21</f>
        <v>10.08</v>
      </c>
      <c r="AB16" s="11"/>
      <c r="AC16" s="11">
        <v>267.83999999999997</v>
      </c>
      <c r="AD16" s="11"/>
    </row>
    <row r="17" spans="2:30" x14ac:dyDescent="0.3">
      <c r="B17" s="3"/>
      <c r="C17" s="2">
        <f>Tabla14451[[#This Row],[COMISIONES]]*0.21</f>
        <v>0</v>
      </c>
      <c r="D17" s="3"/>
      <c r="E17" s="3"/>
      <c r="F17" s="3"/>
      <c r="H17" s="11"/>
      <c r="I17" s="11">
        <f>Tabla34552[[#This Row],[COMISIONES]]*0.21</f>
        <v>0</v>
      </c>
      <c r="J17" s="11"/>
      <c r="K17" s="11"/>
      <c r="L17" s="11"/>
      <c r="N17" s="11">
        <v>305.64</v>
      </c>
      <c r="O17" s="11">
        <f>Tabla354653[[#This Row],[COMISIONES]]*0.21</f>
        <v>64.184399999999997</v>
      </c>
      <c r="P17" s="11"/>
      <c r="Q17" s="11"/>
      <c r="R17" s="11"/>
      <c r="T17" s="11"/>
      <c r="U17" s="11">
        <f>Tabla3564754[[#This Row],[COMISIONES]]*0.21</f>
        <v>0</v>
      </c>
      <c r="V17" s="11"/>
      <c r="W17" s="11"/>
      <c r="X17" s="11"/>
      <c r="Y17" s="6"/>
      <c r="Z17" s="11">
        <v>172.64</v>
      </c>
      <c r="AA17" s="11">
        <f>Tabla35684956[[#This Row],[COMISIONES]]*0.21</f>
        <v>36.254399999999997</v>
      </c>
      <c r="AB17" s="11"/>
      <c r="AC17" s="11">
        <v>963.33</v>
      </c>
      <c r="AD17" s="11"/>
    </row>
    <row r="18" spans="2:30" x14ac:dyDescent="0.3">
      <c r="B18" s="3"/>
      <c r="C18" s="2">
        <f>Tabla14451[[#This Row],[COMISIONES]]*0.21</f>
        <v>0</v>
      </c>
      <c r="D18" s="3"/>
      <c r="E18" s="3"/>
      <c r="F18" s="3"/>
      <c r="H18" s="11"/>
      <c r="I18" s="11">
        <f>Tabla34552[[#This Row],[COMISIONES]]*0.21</f>
        <v>0</v>
      </c>
      <c r="J18" s="11"/>
      <c r="K18" s="11"/>
      <c r="L18" s="11"/>
      <c r="N18" s="11">
        <v>342.09</v>
      </c>
      <c r="O18" s="11">
        <f>Tabla354653[[#This Row],[COMISIONES]]*0.21</f>
        <v>71.838899999999995</v>
      </c>
      <c r="P18" s="11"/>
      <c r="Q18" s="11"/>
      <c r="R18" s="11"/>
      <c r="T18" s="11"/>
      <c r="U18" s="11">
        <f>Tabla3564754[[#This Row],[COMISIONES]]*0.21</f>
        <v>0</v>
      </c>
      <c r="V18" s="11"/>
      <c r="W18" s="11"/>
      <c r="X18" s="11"/>
      <c r="Y18" s="6"/>
      <c r="Z18" s="11">
        <v>33.28</v>
      </c>
      <c r="AA18" s="11">
        <f>Tabla35684956[[#This Row],[COMISIONES]]*0.21</f>
        <v>6.9888000000000003</v>
      </c>
      <c r="AB18" s="11"/>
      <c r="AC18" s="11">
        <v>185.7</v>
      </c>
      <c r="AD18" s="11"/>
    </row>
    <row r="19" spans="2:30" x14ac:dyDescent="0.3">
      <c r="B19" s="3"/>
      <c r="C19" s="2">
        <f>Tabla14451[[#This Row],[COMISIONES]]*0.21</f>
        <v>0</v>
      </c>
      <c r="D19" s="3"/>
      <c r="E19" s="3"/>
      <c r="F19" s="3"/>
      <c r="H19" s="11"/>
      <c r="I19" s="11">
        <f>Tabla34552[[#This Row],[COMISIONES]]*0.21</f>
        <v>0</v>
      </c>
      <c r="J19" s="11"/>
      <c r="K19" s="11"/>
      <c r="L19" s="11"/>
      <c r="N19" s="11">
        <v>172.03</v>
      </c>
      <c r="O19" s="11">
        <f>Tabla354653[[#This Row],[COMISIONES]]*0.21</f>
        <v>36.126300000000001</v>
      </c>
      <c r="P19" s="11"/>
      <c r="Q19" s="11"/>
      <c r="R19" s="11"/>
      <c r="T19" s="11"/>
      <c r="U19" s="11">
        <f>Tabla3564754[[#This Row],[COMISIONES]]*0.21</f>
        <v>0</v>
      </c>
      <c r="V19" s="11"/>
      <c r="W19" s="11"/>
      <c r="X19" s="11"/>
      <c r="Y19" s="6"/>
      <c r="Z19" s="11">
        <v>33.6</v>
      </c>
      <c r="AA19" s="11">
        <f>Tabla35684956[[#This Row],[COMISIONES]]*0.21</f>
        <v>7.056</v>
      </c>
      <c r="AB19" s="11"/>
      <c r="AC19" s="11">
        <v>187.49</v>
      </c>
      <c r="AD19" s="11"/>
    </row>
    <row r="20" spans="2:30" x14ac:dyDescent="0.3">
      <c r="B20" s="3"/>
      <c r="C20" s="2">
        <f>Tabla14451[[#This Row],[COMISIONES]]*0.21</f>
        <v>0</v>
      </c>
      <c r="D20" s="3"/>
      <c r="E20" s="3"/>
      <c r="F20" s="3"/>
      <c r="H20" s="11"/>
      <c r="I20" s="11">
        <f>Tabla34552[[#This Row],[COMISIONES]]*0.21</f>
        <v>0</v>
      </c>
      <c r="J20" s="11"/>
      <c r="K20" s="11"/>
      <c r="L20" s="11"/>
      <c r="N20" s="11"/>
      <c r="O20" s="11">
        <f>Tabla354653[[#This Row],[COMISIONES]]*0.21</f>
        <v>0</v>
      </c>
      <c r="P20" s="11"/>
      <c r="Q20" s="11"/>
      <c r="R20" s="11"/>
      <c r="T20" s="11"/>
      <c r="U20" s="11">
        <f>Tabla3564754[[#This Row],[COMISIONES]]*0.21</f>
        <v>0</v>
      </c>
      <c r="V20" s="11"/>
      <c r="W20" s="11"/>
      <c r="X20" s="11"/>
      <c r="Y20" s="6"/>
      <c r="Z20" s="11">
        <v>44.8</v>
      </c>
      <c r="AA20" s="11">
        <f>Tabla35684956[[#This Row],[COMISIONES]]*0.21</f>
        <v>9.4079999999999995</v>
      </c>
      <c r="AB20" s="11"/>
      <c r="AC20" s="11">
        <v>249.98</v>
      </c>
      <c r="AD20" s="11"/>
    </row>
    <row r="21" spans="2:30" x14ac:dyDescent="0.3">
      <c r="B21" s="3"/>
      <c r="C21" s="2">
        <f>Tabla14451[[#This Row],[COMISIONES]]*0.21</f>
        <v>0</v>
      </c>
      <c r="D21" s="3"/>
      <c r="E21" s="3"/>
      <c r="F21" s="3"/>
      <c r="H21" s="11"/>
      <c r="I21" s="11">
        <f>Tabla34552[[#This Row],[COMISIONES]]*0.21</f>
        <v>0</v>
      </c>
      <c r="J21" s="11"/>
      <c r="K21" s="11"/>
      <c r="L21" s="11"/>
      <c r="N21" s="11"/>
      <c r="O21" s="11">
        <f>Tabla354653[[#This Row],[COMISIONES]]*0.21</f>
        <v>0</v>
      </c>
      <c r="P21" s="11"/>
      <c r="Q21" s="11"/>
      <c r="R21" s="11"/>
      <c r="T21" s="11"/>
      <c r="U21" s="11">
        <f>Tabla3564754[[#This Row],[COMISIONES]]*0.21</f>
        <v>0</v>
      </c>
      <c r="V21" s="11"/>
      <c r="W21" s="11"/>
      <c r="X21" s="11"/>
      <c r="Y21" s="6"/>
      <c r="Z21" s="11">
        <v>7.04</v>
      </c>
      <c r="AA21" s="11">
        <f>Tabla35684956[[#This Row],[COMISIONES]]*0.21</f>
        <v>1.4783999999999999</v>
      </c>
      <c r="AB21" s="11"/>
      <c r="AC21" s="11">
        <v>39.28</v>
      </c>
      <c r="AD21" s="11"/>
    </row>
    <row r="22" spans="2:30" x14ac:dyDescent="0.3">
      <c r="B22" s="3"/>
      <c r="C22" s="2">
        <f>Tabla14451[[#This Row],[COMISIONES]]*0.21</f>
        <v>0</v>
      </c>
      <c r="D22" s="3"/>
      <c r="E22" s="3"/>
      <c r="F22" s="3"/>
      <c r="H22" s="11"/>
      <c r="I22" s="11">
        <f>Tabla34552[[#This Row],[COMISIONES]]*0.21</f>
        <v>0</v>
      </c>
      <c r="J22" s="11"/>
      <c r="K22" s="11"/>
      <c r="L22" s="11"/>
      <c r="N22" s="11"/>
      <c r="O22" s="11">
        <f>Tabla354653[[#This Row],[COMISIONES]]*0.21</f>
        <v>0</v>
      </c>
      <c r="P22" s="11"/>
      <c r="Q22" s="11"/>
      <c r="R22" s="11"/>
      <c r="T22" s="11"/>
      <c r="U22" s="11">
        <f>Tabla3564754[[#This Row],[COMISIONES]]*0.21</f>
        <v>0</v>
      </c>
      <c r="V22" s="11"/>
      <c r="W22" s="11"/>
      <c r="X22" s="11"/>
      <c r="Y22" s="6"/>
      <c r="Z22" s="11">
        <v>146.4</v>
      </c>
      <c r="AA22" s="11">
        <f>Tabla35684956[[#This Row],[COMISIONES]]*0.21</f>
        <v>30.744</v>
      </c>
      <c r="AB22" s="11"/>
      <c r="AC22" s="11">
        <v>816.91</v>
      </c>
      <c r="AD22" s="11"/>
    </row>
    <row r="23" spans="2:30" x14ac:dyDescent="0.3">
      <c r="B23" s="3"/>
      <c r="C23" s="2">
        <f>Tabla14451[[#This Row],[COMISIONES]]*0.21</f>
        <v>0</v>
      </c>
      <c r="D23" s="3"/>
      <c r="E23" s="3"/>
      <c r="F23" s="3"/>
      <c r="H23" s="11"/>
      <c r="I23" s="11">
        <f>Tabla34552[[#This Row],[COMISIONES]]*0.21</f>
        <v>0</v>
      </c>
      <c r="J23" s="11"/>
      <c r="K23" s="11"/>
      <c r="L23" s="11"/>
      <c r="N23" s="11"/>
      <c r="O23" s="11">
        <f>Tabla354653[[#This Row],[COMISIONES]]*0.21</f>
        <v>0</v>
      </c>
      <c r="P23" s="11"/>
      <c r="Q23" s="11"/>
      <c r="R23" s="11"/>
      <c r="T23" s="11"/>
      <c r="U23" s="11">
        <f>Tabla3564754[[#This Row],[COMISIONES]]*0.21</f>
        <v>0</v>
      </c>
      <c r="V23" s="11"/>
      <c r="W23" s="11"/>
      <c r="X23" s="11"/>
      <c r="Y23" s="6"/>
      <c r="Z23" s="11">
        <v>25.92</v>
      </c>
      <c r="AA23" s="11">
        <f>Tabla35684956[[#This Row],[COMISIONES]]*0.21</f>
        <v>5.4432</v>
      </c>
      <c r="AB23" s="11"/>
      <c r="AC23" s="11">
        <v>144.63</v>
      </c>
      <c r="AD23" s="11"/>
    </row>
    <row r="24" spans="2:30" x14ac:dyDescent="0.3">
      <c r="B24" s="3"/>
      <c r="C24" s="2">
        <f>Tabla14451[[#This Row],[COMISIONES]]*0.21</f>
        <v>0</v>
      </c>
      <c r="D24" s="3"/>
      <c r="E24" s="3"/>
      <c r="F24" s="3"/>
      <c r="H24" s="11"/>
      <c r="I24" s="11">
        <f>Tabla34552[[#This Row],[COMISIONES]]*0.21</f>
        <v>0</v>
      </c>
      <c r="J24" s="11"/>
      <c r="K24" s="11"/>
      <c r="L24" s="11"/>
      <c r="N24" s="11"/>
      <c r="O24" s="11">
        <f>Tabla354653[[#This Row],[COMISIONES]]*0.21</f>
        <v>0</v>
      </c>
      <c r="P24" s="11"/>
      <c r="Q24" s="11"/>
      <c r="R24" s="11"/>
      <c r="T24" s="11"/>
      <c r="U24" s="11">
        <f>Tabla3564754[[#This Row],[COMISIONES]]*0.21</f>
        <v>0</v>
      </c>
      <c r="V24" s="11"/>
      <c r="W24" s="11"/>
      <c r="X24" s="11"/>
      <c r="Y24" s="6"/>
      <c r="Z24" s="11"/>
      <c r="AA24" s="11">
        <f>Tabla35684956[[#This Row],[COMISIONES]]*0.21</f>
        <v>0</v>
      </c>
      <c r="AB24" s="11"/>
      <c r="AC24" s="11"/>
      <c r="AD24" s="11"/>
    </row>
    <row r="25" spans="2:30" x14ac:dyDescent="0.3">
      <c r="B25" s="3"/>
      <c r="C25" s="2">
        <f>Tabla14451[[#This Row],[COMISIONES]]*0.21</f>
        <v>0</v>
      </c>
      <c r="D25" s="3"/>
      <c r="E25" s="3"/>
      <c r="F25" s="3"/>
      <c r="H25" s="11"/>
      <c r="I25" s="11">
        <f>Tabla34552[[#This Row],[COMISIONES]]*0.21</f>
        <v>0</v>
      </c>
      <c r="J25" s="11"/>
      <c r="K25" s="11"/>
      <c r="L25" s="11"/>
      <c r="N25" s="11"/>
      <c r="O25" s="11">
        <f>Tabla354653[[#This Row],[COMISIONES]]*0.21</f>
        <v>0</v>
      </c>
      <c r="P25" s="11"/>
      <c r="Q25" s="11"/>
      <c r="R25" s="11"/>
      <c r="T25" s="11"/>
      <c r="U25" s="11">
        <f>Tabla3564754[[#This Row],[COMISIONES]]*0.21</f>
        <v>0</v>
      </c>
      <c r="V25" s="11"/>
      <c r="W25" s="11"/>
      <c r="X25" s="11"/>
      <c r="Y25" s="6"/>
      <c r="Z25" s="11"/>
      <c r="AA25" s="11">
        <f>Tabla35684956[[#This Row],[COMISIONES]]*0.21</f>
        <v>0</v>
      </c>
      <c r="AB25" s="11"/>
      <c r="AC25" s="11"/>
      <c r="AD25" s="11"/>
    </row>
    <row r="26" spans="2:30" x14ac:dyDescent="0.3">
      <c r="B26" s="3"/>
      <c r="C26" s="2">
        <f>Tabla14451[[#This Row],[COMISIONES]]*0.21</f>
        <v>0</v>
      </c>
      <c r="D26" s="3"/>
      <c r="E26" s="3"/>
      <c r="F26" s="3"/>
      <c r="H26" s="11"/>
      <c r="I26" s="11">
        <f>Tabla34552[[#This Row],[COMISIONES]]*0.21</f>
        <v>0</v>
      </c>
      <c r="J26" s="11"/>
      <c r="K26" s="11"/>
      <c r="L26" s="11"/>
      <c r="N26" s="11"/>
      <c r="O26" s="11">
        <f>Tabla354653[[#This Row],[COMISIONES]]*0.21</f>
        <v>0</v>
      </c>
      <c r="P26" s="11"/>
      <c r="Q26" s="11"/>
      <c r="R26" s="11"/>
      <c r="T26" s="19"/>
      <c r="U26" s="19">
        <f>Tabla3564754[[#This Row],[COMISIONES]]*0.21</f>
        <v>0</v>
      </c>
      <c r="V26" s="19"/>
      <c r="W26" s="19"/>
      <c r="X26" s="19"/>
      <c r="Y26" s="6"/>
      <c r="Z26" s="11"/>
      <c r="AA26" s="11">
        <f>Tabla35684956[[#This Row],[COMISIONES]]*0.21</f>
        <v>0</v>
      </c>
      <c r="AB26" s="11"/>
      <c r="AC26" s="11"/>
      <c r="AD26" s="11"/>
    </row>
    <row r="27" spans="2:30" x14ac:dyDescent="0.3">
      <c r="B27" s="3"/>
      <c r="C27" s="2">
        <f>Tabla14451[[#This Row],[COMISIONES]]*0.21</f>
        <v>0</v>
      </c>
      <c r="D27" s="3"/>
      <c r="E27" s="3"/>
      <c r="F27" s="3"/>
      <c r="H27" s="11"/>
      <c r="I27" s="11">
        <f>Tabla34552[[#This Row],[COMISIONES]]*0.21</f>
        <v>0</v>
      </c>
      <c r="J27" s="11"/>
      <c r="K27" s="11"/>
      <c r="L27" s="11"/>
      <c r="N27" s="11"/>
      <c r="O27" s="11">
        <f>Tabla354653[[#This Row],[COMISIONES]]*0.21</f>
        <v>0</v>
      </c>
      <c r="P27" s="11"/>
      <c r="Q27" s="11"/>
      <c r="R27" s="11"/>
      <c r="T27" s="19"/>
      <c r="U27" s="19">
        <f>Tabla3564754[[#This Row],[COMISIONES]]*0.21</f>
        <v>0</v>
      </c>
      <c r="V27" s="19"/>
      <c r="W27" s="19"/>
      <c r="X27" s="19"/>
      <c r="Z27" s="11"/>
      <c r="AA27" s="11">
        <f>Tabla35684956[[#This Row],[COMISIONES]]*0.21</f>
        <v>0</v>
      </c>
      <c r="AB27" s="11"/>
      <c r="AC27" s="11"/>
      <c r="AD27" s="11"/>
    </row>
    <row r="28" spans="2:30" x14ac:dyDescent="0.3">
      <c r="B28" s="3"/>
      <c r="C28" s="2">
        <f>Tabla14451[[#This Row],[COMISIONES]]*0.21</f>
        <v>0</v>
      </c>
      <c r="D28" s="3"/>
      <c r="E28" s="1"/>
      <c r="F28" s="3"/>
      <c r="H28" s="11"/>
      <c r="I28" s="11">
        <f>Tabla34552[[#This Row],[COMISIONES]]*0.21</f>
        <v>0</v>
      </c>
      <c r="J28" s="11"/>
      <c r="K28" s="11"/>
      <c r="L28" s="11"/>
      <c r="N28" s="11"/>
      <c r="O28" s="11">
        <f>Tabla354653[[#This Row],[COMISIONES]]*0.21</f>
        <v>0</v>
      </c>
      <c r="P28" s="11"/>
      <c r="Q28" s="11"/>
      <c r="R28" s="11"/>
      <c r="T28" s="18">
        <f>SUBTOTAL(109,Tabla3564754[COMISIONES])</f>
        <v>0</v>
      </c>
      <c r="U28" s="18">
        <f>SUBTOTAL(109,Tabla3564754[IVA 21])</f>
        <v>0</v>
      </c>
      <c r="V28" s="18">
        <f>SUBTOTAL(109,Tabla3564754[IVA 10,5])</f>
        <v>0</v>
      </c>
      <c r="W28" s="18">
        <f>SUBTOTAL(109,Tabla3564754[Ret IIBB Caba])</f>
        <v>0</v>
      </c>
      <c r="X28" s="18">
        <f>SUBTOTAL(109,Tabla3564754[PERC IVA])</f>
        <v>0</v>
      </c>
      <c r="Z28" s="11"/>
      <c r="AA28" s="11">
        <f>Tabla35684956[[#This Row],[COMISIONES]]*0.21</f>
        <v>0</v>
      </c>
      <c r="AB28" s="11"/>
      <c r="AC28" s="11"/>
      <c r="AD28" s="11"/>
    </row>
    <row r="29" spans="2:30" ht="18" x14ac:dyDescent="0.35">
      <c r="B29" s="3"/>
      <c r="C29" s="2">
        <f>Tabla14451[[#This Row],[COMISIONES]]*0.21</f>
        <v>0</v>
      </c>
      <c r="D29" s="3"/>
      <c r="E29" s="3"/>
      <c r="F29" s="3"/>
      <c r="H29" s="11"/>
      <c r="I29" s="11">
        <f>Tabla34552[[#This Row],[COMISIONES]]*0.21</f>
        <v>0</v>
      </c>
      <c r="J29" s="11"/>
      <c r="K29" s="11"/>
      <c r="L29" s="11"/>
      <c r="N29" s="11"/>
      <c r="O29" s="11">
        <f>Tabla354653[[#This Row],[COMISIONES]]*0.21</f>
        <v>0</v>
      </c>
      <c r="P29" s="11"/>
      <c r="Q29" s="11"/>
      <c r="R29" s="11"/>
      <c r="T29" s="30" t="s">
        <v>13</v>
      </c>
      <c r="U29" s="30"/>
      <c r="V29" s="30"/>
      <c r="W29" s="30"/>
      <c r="X29" s="30"/>
      <c r="Z29" s="11"/>
      <c r="AA29" s="11">
        <f>Tabla35684956[[#This Row],[COMISIONES]]*0.21</f>
        <v>0</v>
      </c>
      <c r="AB29" s="11"/>
      <c r="AC29" s="11"/>
      <c r="AD29" s="11"/>
    </row>
    <row r="30" spans="2:30" x14ac:dyDescent="0.3">
      <c r="B30" s="3"/>
      <c r="C30" s="2">
        <f>Tabla14451[[#This Row],[COMISIONES]]*0.21</f>
        <v>0</v>
      </c>
      <c r="D30" s="3"/>
      <c r="E30" s="3"/>
      <c r="F30" s="3"/>
      <c r="H30" s="11"/>
      <c r="I30" s="11">
        <f>Tabla34552[[#This Row],[COMISIONES]]*0.21</f>
        <v>0</v>
      </c>
      <c r="J30" s="11"/>
      <c r="K30" s="11"/>
      <c r="L30" s="11"/>
      <c r="N30" s="11"/>
      <c r="O30" s="11">
        <f>Tabla354653[[#This Row],[COMISIONES]]*0.21</f>
        <v>0</v>
      </c>
      <c r="P30" s="11"/>
      <c r="Q30" s="11"/>
      <c r="R30" s="11"/>
      <c r="T30" s="12" t="s">
        <v>2</v>
      </c>
      <c r="U30" s="13" t="s">
        <v>0</v>
      </c>
      <c r="V30" s="13" t="s">
        <v>1</v>
      </c>
      <c r="W30" s="13" t="s">
        <v>42</v>
      </c>
      <c r="X30" s="13" t="s">
        <v>4</v>
      </c>
      <c r="Z30" s="11"/>
      <c r="AA30" s="11">
        <f>Tabla35684956[[#This Row],[COMISIONES]]*0.21</f>
        <v>0</v>
      </c>
      <c r="AB30" s="11"/>
      <c r="AC30" s="11"/>
      <c r="AD30" s="11"/>
    </row>
    <row r="31" spans="2:30" x14ac:dyDescent="0.3">
      <c r="B31" s="3"/>
      <c r="C31" s="2">
        <f>Tabla14451[[#This Row],[COMISIONES]]*0.21</f>
        <v>0</v>
      </c>
      <c r="D31" s="3"/>
      <c r="E31" s="3"/>
      <c r="F31" s="3"/>
      <c r="H31" s="11"/>
      <c r="I31" s="11">
        <f>Tabla34552[[#This Row],[COMISIONES]]*0.21</f>
        <v>0</v>
      </c>
      <c r="J31" s="11"/>
      <c r="K31" s="11"/>
      <c r="L31" s="11"/>
      <c r="N31" s="11"/>
      <c r="O31" s="11">
        <f>Tabla354653[[#This Row],[COMISIONES]]*0.21</f>
        <v>0</v>
      </c>
      <c r="P31" s="11"/>
      <c r="Q31" s="11"/>
      <c r="R31" s="11"/>
      <c r="T31" s="11">
        <v>300</v>
      </c>
      <c r="U31" s="11">
        <f>Tabla64855[[#This Row],[COMISIONES]]*0.21</f>
        <v>63</v>
      </c>
      <c r="V31" s="11"/>
      <c r="W31" s="11">
        <v>249.6</v>
      </c>
      <c r="X31" s="11">
        <v>124.8</v>
      </c>
      <c r="Z31" s="11"/>
      <c r="AA31" s="11">
        <f>Tabla35684956[[#This Row],[COMISIONES]]*0.21</f>
        <v>0</v>
      </c>
      <c r="AB31" s="11"/>
      <c r="AC31" s="11"/>
      <c r="AD31" s="11"/>
    </row>
    <row r="32" spans="2:30" x14ac:dyDescent="0.3">
      <c r="B32" s="3"/>
      <c r="C32" s="2">
        <f>Tabla14451[[#This Row],[COMISIONES]]*0.21</f>
        <v>0</v>
      </c>
      <c r="D32" s="3"/>
      <c r="E32" s="3"/>
      <c r="F32" s="3"/>
      <c r="H32" s="11"/>
      <c r="I32" s="11">
        <f>Tabla34552[[#This Row],[COMISIONES]]*0.21</f>
        <v>0</v>
      </c>
      <c r="J32" s="11"/>
      <c r="K32" s="11"/>
      <c r="L32" s="11"/>
      <c r="N32" s="11"/>
      <c r="O32" s="11">
        <f>Tabla354653[[#This Row],[COMISIONES]]*0.21</f>
        <v>0</v>
      </c>
      <c r="P32" s="11"/>
      <c r="Q32" s="11"/>
      <c r="R32" s="11"/>
      <c r="T32" s="11">
        <v>4160</v>
      </c>
      <c r="U32" s="11">
        <f>Tabla64855[[#This Row],[COMISIONES]]*0.21</f>
        <v>873.6</v>
      </c>
      <c r="V32" s="11"/>
      <c r="W32" s="11">
        <v>270</v>
      </c>
      <c r="X32" s="11">
        <v>135</v>
      </c>
      <c r="Z32" s="11"/>
      <c r="AA32" s="11">
        <f>Tabla35684956[[#This Row],[COMISIONES]]*0.21</f>
        <v>0</v>
      </c>
      <c r="AB32" s="11"/>
      <c r="AC32" s="11"/>
      <c r="AD32" s="11"/>
    </row>
    <row r="33" spans="2:30" x14ac:dyDescent="0.3">
      <c r="B33" s="3"/>
      <c r="C33" s="2">
        <f>Tabla14451[[#This Row],[COMISIONES]]*0.21</f>
        <v>0</v>
      </c>
      <c r="D33" s="3"/>
      <c r="E33" s="3"/>
      <c r="F33" s="3"/>
      <c r="H33" s="11"/>
      <c r="I33" s="11">
        <f>Tabla34552[[#This Row],[COMISIONES]]*0.21</f>
        <v>0</v>
      </c>
      <c r="J33" s="11"/>
      <c r="K33" s="11"/>
      <c r="L33" s="11"/>
      <c r="N33" s="11"/>
      <c r="O33" s="11">
        <f>Tabla354653[[#This Row],[COMISIONES]]*0.21</f>
        <v>0</v>
      </c>
      <c r="P33" s="11"/>
      <c r="Q33" s="11"/>
      <c r="R33" s="11"/>
      <c r="T33" s="11">
        <v>4500</v>
      </c>
      <c r="U33" s="20">
        <f>Tabla64855[[#This Row],[COMISIONES]]*0.21</f>
        <v>945</v>
      </c>
      <c r="V33" s="20"/>
      <c r="W33" s="11"/>
      <c r="X33" s="11"/>
      <c r="Z33" s="11"/>
      <c r="AA33" s="11">
        <f>Tabla35684956[[#This Row],[COMISIONES]]*0.21</f>
        <v>0</v>
      </c>
      <c r="AB33" s="11"/>
      <c r="AC33" s="11"/>
      <c r="AD33" s="11"/>
    </row>
    <row r="34" spans="2:30" x14ac:dyDescent="0.3">
      <c r="B34" s="3"/>
      <c r="C34" s="2">
        <f>Tabla14451[[#This Row],[COMISIONES]]*0.21</f>
        <v>0</v>
      </c>
      <c r="D34" s="3"/>
      <c r="E34" s="3"/>
      <c r="F34" s="3"/>
      <c r="H34" s="11"/>
      <c r="I34" s="11">
        <f>Tabla34552[[#This Row],[COMISIONES]]*0.21</f>
        <v>0</v>
      </c>
      <c r="J34" s="11"/>
      <c r="K34" s="11"/>
      <c r="L34" s="11"/>
      <c r="N34" s="11"/>
      <c r="O34" s="11">
        <f>Tabla354653[[#This Row],[COMISIONES]]*0.21</f>
        <v>0</v>
      </c>
      <c r="P34" s="11"/>
      <c r="Q34" s="11"/>
      <c r="R34" s="11"/>
      <c r="T34" s="11">
        <v>300</v>
      </c>
      <c r="U34" s="20">
        <f>Tabla64855[[#This Row],[COMISIONES]]*0.21</f>
        <v>63</v>
      </c>
      <c r="V34" s="20"/>
      <c r="W34" s="11"/>
      <c r="Z34" s="4">
        <f>SUBTOTAL(109,Tabla35684956[COMISIONES])</f>
        <v>791.03999999999985</v>
      </c>
      <c r="AA34" s="4">
        <f>SUBTOTAL(109,Tabla35684956[IVA 21])</f>
        <v>166.11839999999998</v>
      </c>
      <c r="AB34" s="4">
        <f>SUBTOTAL(109,Tabla35684956[IVA 10,5])</f>
        <v>0</v>
      </c>
      <c r="AC34" s="4">
        <f>SUBTOTAL(109,Tabla35684956[Ret IIBB Caba])</f>
        <v>4413.99</v>
      </c>
      <c r="AD34" s="4">
        <f>SUBTOTAL(109,Tabla35684956[PERC IVA])</f>
        <v>0</v>
      </c>
    </row>
    <row r="35" spans="2:30" x14ac:dyDescent="0.3">
      <c r="B35" s="3"/>
      <c r="C35" s="2">
        <f>Tabla14451[[#This Row],[COMISIONES]]*0.21</f>
        <v>0</v>
      </c>
      <c r="D35" s="3"/>
      <c r="E35" s="3"/>
      <c r="F35" s="3"/>
      <c r="H35" s="11"/>
      <c r="I35" s="11">
        <f>Tabla34552[[#This Row],[COMISIONES]]*0.21</f>
        <v>0</v>
      </c>
      <c r="J35" s="11"/>
      <c r="K35" s="11"/>
      <c r="L35" s="11"/>
      <c r="N35" s="11"/>
      <c r="O35" s="11">
        <f>Tabla354653[[#This Row],[COMISIONES]]*0.21</f>
        <v>0</v>
      </c>
      <c r="P35" s="11"/>
      <c r="Q35" s="11"/>
      <c r="R35" s="11"/>
      <c r="T35" s="11">
        <v>300</v>
      </c>
      <c r="U35" s="20">
        <f>Tabla64855[[#This Row],[COMISIONES]]*0.21</f>
        <v>63</v>
      </c>
      <c r="V35" s="20"/>
      <c r="W35" s="11"/>
    </row>
    <row r="36" spans="2:30" x14ac:dyDescent="0.3">
      <c r="B36" s="3"/>
      <c r="C36" s="2">
        <f>Tabla14451[[#This Row],[COMISIONES]]*0.21</f>
        <v>0</v>
      </c>
      <c r="D36" s="3"/>
      <c r="E36" s="3"/>
      <c r="F36" s="3"/>
      <c r="H36" s="11"/>
      <c r="I36" s="11">
        <f>Tabla34552[[#This Row],[COMISIONES]]*0.21</f>
        <v>0</v>
      </c>
      <c r="J36" s="11"/>
      <c r="K36" s="11"/>
      <c r="L36" s="11"/>
      <c r="N36" s="11"/>
      <c r="O36" s="11">
        <f>Tabla354653[[#This Row],[COMISIONES]]*0.21</f>
        <v>0</v>
      </c>
      <c r="P36" s="11"/>
      <c r="Q36" s="11"/>
      <c r="R36" s="11"/>
      <c r="T36" s="11">
        <v>300</v>
      </c>
      <c r="U36" s="20">
        <f>Tabla64855[[#This Row],[COMISIONES]]*0.21</f>
        <v>63</v>
      </c>
      <c r="V36" s="20"/>
    </row>
    <row r="37" spans="2:30" x14ac:dyDescent="0.3">
      <c r="B37" s="3"/>
      <c r="C37" s="2">
        <f>Tabla14451[[#This Row],[COMISIONES]]*0.21</f>
        <v>0</v>
      </c>
      <c r="D37" s="3"/>
      <c r="E37" s="3"/>
      <c r="F37" s="3"/>
      <c r="H37" s="11"/>
      <c r="I37" s="11">
        <f>Tabla34552[[#This Row],[COMISIONES]]*0.21</f>
        <v>0</v>
      </c>
      <c r="J37" s="11"/>
      <c r="K37" s="11"/>
      <c r="L37" s="11"/>
      <c r="N37" s="11"/>
      <c r="O37" s="11">
        <f>Tabla354653[[#This Row],[COMISIONES]]*0.21</f>
        <v>0</v>
      </c>
      <c r="P37" s="11"/>
      <c r="Q37" s="11"/>
      <c r="R37" s="11"/>
      <c r="T37" s="11">
        <v>300</v>
      </c>
      <c r="U37" s="20">
        <f>Tabla64855[[#This Row],[COMISIONES]]*0.21</f>
        <v>63</v>
      </c>
      <c r="V37" s="20"/>
    </row>
    <row r="38" spans="2:30" x14ac:dyDescent="0.3">
      <c r="B38" s="3"/>
      <c r="C38" s="2">
        <f>Tabla14451[[#This Row],[COMISIONES]]*0.21</f>
        <v>0</v>
      </c>
      <c r="D38" s="3"/>
      <c r="E38" s="3"/>
      <c r="F38" s="3"/>
      <c r="H38" s="19"/>
      <c r="I38" s="19">
        <f>Tabla34552[[#This Row],[COMISIONES]]*0.21</f>
        <v>0</v>
      </c>
      <c r="J38" s="19"/>
      <c r="K38" s="19"/>
      <c r="L38" s="19"/>
      <c r="N38" s="11"/>
      <c r="O38" s="11">
        <f>Tabla354653[[#This Row],[COMISIONES]]*0.21</f>
        <v>0</v>
      </c>
      <c r="P38" s="11"/>
      <c r="Q38" s="11"/>
      <c r="R38" s="11"/>
      <c r="T38" s="11">
        <v>300</v>
      </c>
      <c r="U38" s="20">
        <f>Tabla64855[[#This Row],[COMISIONES]]*0.21</f>
        <v>63</v>
      </c>
      <c r="V38" s="20"/>
    </row>
    <row r="39" spans="2:30" x14ac:dyDescent="0.3">
      <c r="B39" s="3"/>
      <c r="C39" s="2">
        <f>Tabla14451[[#This Row],[COMISIONES]]*0.21</f>
        <v>0</v>
      </c>
      <c r="D39" s="3"/>
      <c r="E39" s="3"/>
      <c r="F39" s="3"/>
      <c r="H39" s="19"/>
      <c r="I39" s="19">
        <f>Tabla34552[[#This Row],[COMISIONES]]*0.21</f>
        <v>0</v>
      </c>
      <c r="J39" s="19"/>
      <c r="K39" s="19"/>
      <c r="L39" s="19"/>
      <c r="N39" s="11"/>
      <c r="O39" s="11">
        <f>Tabla354653[[#This Row],[COMISIONES]]*0.21</f>
        <v>0</v>
      </c>
      <c r="P39" s="11"/>
      <c r="Q39" s="11"/>
      <c r="R39" s="11"/>
      <c r="T39" s="11">
        <v>700</v>
      </c>
      <c r="U39" s="20">
        <f>Tabla64855[[#This Row],[COMISIONES]]*0.21</f>
        <v>147</v>
      </c>
      <c r="V39" s="20"/>
    </row>
    <row r="40" spans="2:30" x14ac:dyDescent="0.3">
      <c r="B40" s="3"/>
      <c r="C40" s="2">
        <f>Tabla14451[[#This Row],[COMISIONES]]*0.21</f>
        <v>0</v>
      </c>
      <c r="D40" s="3"/>
      <c r="E40" s="3"/>
      <c r="F40" s="3"/>
      <c r="G40" s="8"/>
      <c r="H40" s="19"/>
      <c r="I40" s="19">
        <f>Tabla34552[[#This Row],[COMISIONES]]*0.21</f>
        <v>0</v>
      </c>
      <c r="J40" s="19"/>
      <c r="K40" s="19"/>
      <c r="L40" s="19"/>
      <c r="M40" s="8"/>
      <c r="N40" s="11"/>
      <c r="O40" s="11">
        <f>Tabla354653[[#This Row],[COMISIONES]]*0.21</f>
        <v>0</v>
      </c>
      <c r="P40" s="11"/>
      <c r="Q40" s="11"/>
      <c r="R40" s="11"/>
      <c r="S40" s="8"/>
      <c r="T40" s="11">
        <v>650.13</v>
      </c>
      <c r="U40" s="20">
        <f>Tabla64855[[#This Row],[COMISIONES]]*0.21</f>
        <v>136.5273</v>
      </c>
      <c r="V40" s="20"/>
    </row>
    <row r="41" spans="2:30" x14ac:dyDescent="0.3">
      <c r="B41" s="3"/>
      <c r="C41" s="2">
        <f>Tabla14451[[#This Row],[COMISIONES]]*0.21</f>
        <v>0</v>
      </c>
      <c r="D41" s="3"/>
      <c r="E41" s="3"/>
      <c r="F41" s="3"/>
      <c r="H41" s="19"/>
      <c r="I41" s="19">
        <f>Tabla34552[[#This Row],[COMISIONES]]*0.21</f>
        <v>0</v>
      </c>
      <c r="J41" s="19"/>
      <c r="K41" s="19"/>
      <c r="L41" s="19"/>
      <c r="N41" s="11"/>
      <c r="O41" s="11">
        <f>Tabla354653[[#This Row],[COMISIONES]]*0.21</f>
        <v>0</v>
      </c>
      <c r="P41" s="11"/>
      <c r="Q41" s="11"/>
      <c r="R41" s="11"/>
      <c r="T41" s="11">
        <v>170</v>
      </c>
      <c r="U41" s="20">
        <f>Tabla64855[[#This Row],[COMISIONES]]*0.21</f>
        <v>35.699999999999996</v>
      </c>
      <c r="V41" s="20"/>
    </row>
    <row r="42" spans="2:30" x14ac:dyDescent="0.3">
      <c r="B42" s="3"/>
      <c r="C42" s="2">
        <f>Tabla14451[[#This Row],[COMISIONES]]*0.21</f>
        <v>0</v>
      </c>
      <c r="D42" s="3"/>
      <c r="E42" s="3"/>
      <c r="F42" s="3"/>
      <c r="H42" s="19"/>
      <c r="I42" s="19">
        <f>Tabla34552[[#This Row],[COMISIONES]]*0.21</f>
        <v>0</v>
      </c>
      <c r="J42" s="19"/>
      <c r="K42" s="19"/>
      <c r="L42" s="19"/>
      <c r="N42" s="11"/>
      <c r="O42" s="11">
        <f>Tabla354653[[#This Row],[COMISIONES]]*0.21</f>
        <v>0</v>
      </c>
      <c r="P42" s="11"/>
      <c r="Q42" s="11"/>
      <c r="R42" s="11"/>
      <c r="T42" s="11">
        <v>300</v>
      </c>
      <c r="U42" s="20">
        <f>Tabla64855[[#This Row],[COMISIONES]]*0.21</f>
        <v>63</v>
      </c>
      <c r="V42" s="20"/>
    </row>
    <row r="43" spans="2:30" x14ac:dyDescent="0.3">
      <c r="B43" s="3"/>
      <c r="C43" s="2">
        <f>Tabla14451[[#This Row],[COMISIONES]]*0.21</f>
        <v>0</v>
      </c>
      <c r="D43" s="3"/>
      <c r="E43" s="3"/>
      <c r="F43" s="3"/>
      <c r="H43" s="19"/>
      <c r="I43" s="19">
        <f>Tabla34552[[#This Row],[COMISIONES]]*0.21</f>
        <v>0</v>
      </c>
      <c r="J43" s="19"/>
      <c r="K43" s="19"/>
      <c r="L43" s="19"/>
      <c r="N43" s="11"/>
      <c r="O43" s="11">
        <f>Tabla354653[[#This Row],[COMISIONES]]*0.21</f>
        <v>0</v>
      </c>
      <c r="P43" s="11"/>
      <c r="Q43" s="11"/>
      <c r="R43" s="11"/>
      <c r="T43" s="11">
        <v>300</v>
      </c>
      <c r="U43" s="20">
        <f>Tabla64855[[#This Row],[COMISIONES]]*0.21</f>
        <v>63</v>
      </c>
      <c r="V43" s="20"/>
    </row>
    <row r="44" spans="2:30" x14ac:dyDescent="0.3">
      <c r="B44" s="3"/>
      <c r="C44" s="2">
        <f>Tabla14451[[#This Row],[COMISIONES]]*0.21</f>
        <v>0</v>
      </c>
      <c r="D44" s="3"/>
      <c r="E44" s="3"/>
      <c r="F44" s="3"/>
      <c r="H44" s="19"/>
      <c r="I44" s="19">
        <f>Tabla34552[[#This Row],[COMISIONES]]*0.21</f>
        <v>0</v>
      </c>
      <c r="J44" s="19"/>
      <c r="K44" s="19"/>
      <c r="L44" s="19"/>
      <c r="N44" s="11"/>
      <c r="O44" s="11">
        <f>Tabla354653[[#This Row],[COMISIONES]]*0.21</f>
        <v>0</v>
      </c>
      <c r="P44" s="11"/>
      <c r="Q44" s="11"/>
      <c r="R44" s="11"/>
      <c r="T44" s="11">
        <v>300</v>
      </c>
      <c r="U44" s="20">
        <f>Tabla64855[[#This Row],[COMISIONES]]*0.21</f>
        <v>63</v>
      </c>
      <c r="V44" s="20"/>
    </row>
    <row r="45" spans="2:30" x14ac:dyDescent="0.3">
      <c r="B45" s="3"/>
      <c r="C45" s="2">
        <f>Tabla14451[[#This Row],[COMISIONES]]*0.21</f>
        <v>0</v>
      </c>
      <c r="D45" s="3"/>
      <c r="E45" s="3"/>
      <c r="F45" s="3"/>
      <c r="H45" s="19"/>
      <c r="I45" s="19">
        <f>Tabla34552[[#This Row],[COMISIONES]]*0.21</f>
        <v>0</v>
      </c>
      <c r="J45" s="19"/>
      <c r="K45" s="19"/>
      <c r="L45" s="19"/>
      <c r="N45" s="11"/>
      <c r="O45" s="11">
        <f>Tabla354653[[#This Row],[COMISIONES]]*0.21</f>
        <v>0</v>
      </c>
      <c r="P45" s="11"/>
      <c r="Q45" s="11"/>
      <c r="R45" s="11"/>
      <c r="T45" s="11">
        <v>170</v>
      </c>
      <c r="U45" s="20">
        <f>Tabla64855[[#This Row],[COMISIONES]]*0.21</f>
        <v>35.699999999999996</v>
      </c>
      <c r="V45" s="20"/>
    </row>
    <row r="46" spans="2:30" x14ac:dyDescent="0.3">
      <c r="B46" s="3"/>
      <c r="C46" s="2">
        <f>Tabla14451[[#This Row],[COMISIONES]]*0.21</f>
        <v>0</v>
      </c>
      <c r="D46" s="3"/>
      <c r="E46" s="3"/>
      <c r="F46" s="3"/>
      <c r="H46" s="19"/>
      <c r="I46" s="19">
        <f>Tabla34552[[#This Row],[COMISIONES]]*0.21</f>
        <v>0</v>
      </c>
      <c r="J46" s="19"/>
      <c r="K46" s="19"/>
      <c r="L46" s="19"/>
      <c r="N46" s="11"/>
      <c r="O46" s="11">
        <f>Tabla354653[[#This Row],[COMISIONES]]*0.21</f>
        <v>0</v>
      </c>
      <c r="P46" s="11"/>
      <c r="Q46" s="11"/>
      <c r="R46" s="11"/>
      <c r="T46" s="11">
        <v>300</v>
      </c>
      <c r="U46" s="20">
        <f>Tabla64855[[#This Row],[COMISIONES]]*0.21</f>
        <v>63</v>
      </c>
      <c r="V46" s="20"/>
    </row>
    <row r="47" spans="2:30" x14ac:dyDescent="0.3">
      <c r="B47" s="3"/>
      <c r="C47" s="2">
        <f>Tabla14451[[#This Row],[COMISIONES]]*0.21</f>
        <v>0</v>
      </c>
      <c r="D47" s="3"/>
      <c r="E47" s="3"/>
      <c r="F47" s="3"/>
      <c r="H47" s="19"/>
      <c r="I47" s="19">
        <f>Tabla34552[[#This Row],[COMISIONES]]*0.21</f>
        <v>0</v>
      </c>
      <c r="J47" s="19"/>
      <c r="K47" s="19"/>
      <c r="L47" s="19"/>
      <c r="N47" s="11"/>
      <c r="O47" s="11">
        <f>Tabla354653[[#This Row],[COMISIONES]]*0.21</f>
        <v>0</v>
      </c>
      <c r="P47" s="11"/>
      <c r="Q47" s="11"/>
      <c r="R47" s="11"/>
      <c r="T47" s="11">
        <v>300</v>
      </c>
      <c r="U47" s="20">
        <f>Tabla64855[[#This Row],[COMISIONES]]*0.21</f>
        <v>63</v>
      </c>
      <c r="V47" s="20"/>
    </row>
    <row r="48" spans="2:30" x14ac:dyDescent="0.3">
      <c r="B48" s="2"/>
      <c r="C48" s="2">
        <f>Tabla14451[[#This Row],[COMISIONES]]*0.21</f>
        <v>0</v>
      </c>
      <c r="D48" s="2"/>
      <c r="E48" s="2"/>
      <c r="H48" s="19"/>
      <c r="I48" s="19">
        <f>Tabla34552[[#This Row],[COMISIONES]]*0.21</f>
        <v>0</v>
      </c>
      <c r="J48" s="19"/>
      <c r="K48" s="19"/>
      <c r="L48" s="19"/>
      <c r="N48" s="11"/>
      <c r="O48" s="11">
        <f>Tabla354653[[#This Row],[COMISIONES]]*0.21</f>
        <v>0</v>
      </c>
      <c r="P48" s="11"/>
      <c r="Q48" s="11"/>
      <c r="R48" s="11"/>
      <c r="T48" s="11">
        <v>1050</v>
      </c>
      <c r="U48" s="20">
        <f>Tabla64855[[#This Row],[COMISIONES]]*0.21</f>
        <v>220.5</v>
      </c>
      <c r="V48" s="20"/>
    </row>
    <row r="49" spans="2:24" x14ac:dyDescent="0.3">
      <c r="B49" s="2"/>
      <c r="C49" s="2">
        <f>Tabla14451[[#This Row],[COMISIONES]]*0.21</f>
        <v>0</v>
      </c>
      <c r="D49" s="2"/>
      <c r="E49" s="2"/>
      <c r="H49" s="19"/>
      <c r="I49" s="19">
        <f>Tabla34552[[#This Row],[COMISIONES]]*0.21</f>
        <v>0</v>
      </c>
      <c r="J49" s="19"/>
      <c r="K49" s="19"/>
      <c r="L49" s="19"/>
      <c r="N49" s="11"/>
      <c r="O49" s="11">
        <f>Tabla354653[[#This Row],[COMISIONES]]*0.21</f>
        <v>0</v>
      </c>
      <c r="P49" s="11"/>
      <c r="Q49" s="11"/>
      <c r="R49" s="11"/>
      <c r="T49" s="11">
        <v>300</v>
      </c>
      <c r="U49" s="20">
        <f>Tabla64855[[#This Row],[COMISIONES]]*0.21</f>
        <v>63</v>
      </c>
      <c r="V49" s="20"/>
    </row>
    <row r="50" spans="2:24" x14ac:dyDescent="0.3">
      <c r="B50" s="2"/>
      <c r="C50" s="2">
        <f>Tabla14451[[#This Row],[COMISIONES]]*0.21</f>
        <v>0</v>
      </c>
      <c r="D50" s="2"/>
      <c r="E50" s="2"/>
      <c r="H50" s="18">
        <f>SUBTOTAL(109,Tabla34552[COMISIONES])</f>
        <v>0</v>
      </c>
      <c r="I50" s="18">
        <f>SUBTOTAL(109,Tabla34552[IVA 21])</f>
        <v>0</v>
      </c>
      <c r="J50" s="18">
        <f>SUBTOTAL(109,Tabla34552[IVA 10,5])</f>
        <v>0</v>
      </c>
      <c r="K50" s="18">
        <f>SUBTOTAL(109,Tabla34552[Ret IIBB Caba])</f>
        <v>0</v>
      </c>
      <c r="L50" s="18">
        <f>SUBTOTAL(109,Tabla34552[PERC IVA])</f>
        <v>0</v>
      </c>
      <c r="N50" s="11"/>
      <c r="O50" s="11">
        <f>Tabla354653[[#This Row],[COMISIONES]]*0.21</f>
        <v>0</v>
      </c>
      <c r="P50" s="11"/>
      <c r="Q50" s="11"/>
      <c r="R50" s="11"/>
      <c r="T50" s="11">
        <v>300</v>
      </c>
      <c r="U50" s="20">
        <f>Tabla64855[[#This Row],[COMISIONES]]*0.21</f>
        <v>63</v>
      </c>
      <c r="V50" s="20"/>
    </row>
    <row r="51" spans="2:24" x14ac:dyDescent="0.3">
      <c r="B51" s="2"/>
      <c r="C51" s="2">
        <f>Tabla14451[[#This Row],[COMISIONES]]*0.21</f>
        <v>0</v>
      </c>
      <c r="D51" s="2"/>
      <c r="E51" s="2"/>
      <c r="N51" s="11"/>
      <c r="O51" s="11">
        <f>Tabla354653[[#This Row],[COMISIONES]]*0.21</f>
        <v>0</v>
      </c>
      <c r="P51" s="11"/>
      <c r="Q51" s="11"/>
      <c r="R51" s="11"/>
      <c r="T51" s="11">
        <v>1050</v>
      </c>
      <c r="U51" s="20">
        <f>Tabla64855[[#This Row],[COMISIONES]]*0.21</f>
        <v>220.5</v>
      </c>
      <c r="V51" s="20"/>
    </row>
    <row r="52" spans="2:24" ht="18" x14ac:dyDescent="0.35">
      <c r="B52" s="2"/>
      <c r="C52" s="2">
        <f>Tabla14451[[#This Row],[COMISIONES]]*0.21</f>
        <v>0</v>
      </c>
      <c r="D52" s="2"/>
      <c r="E52" s="2"/>
      <c r="H52" s="30" t="s">
        <v>44</v>
      </c>
      <c r="I52" s="30"/>
      <c r="J52" s="30"/>
      <c r="K52" s="30"/>
      <c r="L52" s="30"/>
      <c r="N52" s="11"/>
      <c r="O52" s="11">
        <f>Tabla354653[[#This Row],[COMISIONES]]*0.21</f>
        <v>0</v>
      </c>
      <c r="P52" s="11"/>
      <c r="Q52" s="11"/>
      <c r="R52" s="11"/>
      <c r="T52" s="11">
        <v>300</v>
      </c>
      <c r="U52" s="20">
        <f>Tabla64855[[#This Row],[COMISIONES]]*0.21</f>
        <v>63</v>
      </c>
      <c r="V52" s="20"/>
    </row>
    <row r="53" spans="2:24" x14ac:dyDescent="0.3">
      <c r="B53" s="2"/>
      <c r="C53" s="2">
        <f>Tabla14451[[#This Row],[COMISIONES]]*0.21</f>
        <v>0</v>
      </c>
      <c r="D53" s="2"/>
      <c r="E53" s="2"/>
      <c r="H53" s="12" t="s">
        <v>2</v>
      </c>
      <c r="I53" s="13" t="s">
        <v>0</v>
      </c>
      <c r="J53" s="13" t="s">
        <v>1</v>
      </c>
      <c r="K53" s="13" t="s">
        <v>3</v>
      </c>
      <c r="L53" s="13" t="s">
        <v>4</v>
      </c>
      <c r="N53" s="11"/>
      <c r="O53" s="11">
        <f>Tabla354653[[#This Row],[COMISIONES]]*0.21</f>
        <v>0</v>
      </c>
      <c r="P53" s="11"/>
      <c r="Q53" s="11"/>
      <c r="R53" s="11"/>
      <c r="T53" s="11">
        <v>170</v>
      </c>
      <c r="U53" s="20">
        <f>Tabla64855[[#This Row],[COMISIONES]]*0.21</f>
        <v>35.699999999999996</v>
      </c>
      <c r="V53" s="20"/>
    </row>
    <row r="54" spans="2:24" x14ac:dyDescent="0.3">
      <c r="B54" s="2"/>
      <c r="C54" s="2">
        <f>Tabla14451[[#This Row],[COMISIONES]]*0.21</f>
        <v>0</v>
      </c>
      <c r="D54" s="2"/>
      <c r="E54" s="2"/>
      <c r="H54" s="3">
        <v>5625</v>
      </c>
      <c r="I54" s="11">
        <f>Tabla3455057[[#This Row],[COMISIONES]]*0.21</f>
        <v>1181.25</v>
      </c>
      <c r="J54" s="11"/>
      <c r="K54" s="11">
        <v>337.5</v>
      </c>
      <c r="L54" s="3">
        <v>168.75</v>
      </c>
      <c r="N54" s="11"/>
      <c r="O54" s="11">
        <f>Tabla354653[[#This Row],[COMISIONES]]*0.21</f>
        <v>0</v>
      </c>
      <c r="P54" s="11"/>
      <c r="Q54" s="11"/>
      <c r="R54" s="11"/>
      <c r="T54" s="11">
        <v>300</v>
      </c>
      <c r="U54" s="20">
        <f>Tabla64855[[#This Row],[COMISIONES]]*0.21</f>
        <v>63</v>
      </c>
      <c r="V54" s="20"/>
    </row>
    <row r="55" spans="2:24" x14ac:dyDescent="0.3">
      <c r="B55" s="2"/>
      <c r="C55" s="2">
        <f>Tabla14451[[#This Row],[COMISIONES]]*0.21</f>
        <v>0</v>
      </c>
      <c r="D55" s="1"/>
      <c r="E55" s="2"/>
      <c r="H55" s="11"/>
      <c r="I55" s="11"/>
      <c r="J55" s="11">
        <f>Tabla3455057[[#This Row],[COMISIONES]]*0.105</f>
        <v>0</v>
      </c>
      <c r="K55" s="11"/>
      <c r="L55" s="11"/>
      <c r="N55" s="11"/>
      <c r="O55" s="11">
        <f>Tabla354653[[#This Row],[COMISIONES]]*0.21</f>
        <v>0</v>
      </c>
      <c r="P55" s="11"/>
      <c r="Q55" s="11"/>
      <c r="R55" s="11"/>
      <c r="U55" s="20">
        <f>Tabla64855[[#This Row],[COMISIONES]]*0.21</f>
        <v>0</v>
      </c>
      <c r="V55" s="20"/>
    </row>
    <row r="56" spans="2:24" x14ac:dyDescent="0.3">
      <c r="B56" s="2"/>
      <c r="C56" s="2">
        <f>Tabla14451[[#This Row],[COMISIONES]]*0.21</f>
        <v>0</v>
      </c>
      <c r="D56" s="2"/>
      <c r="E56" s="2"/>
      <c r="H56" s="11"/>
      <c r="I56" s="11">
        <f>Tabla3455057[[#This Row],[COMISIONES]]*0.21</f>
        <v>0</v>
      </c>
      <c r="J56" s="11"/>
      <c r="K56" s="11"/>
      <c r="L56" s="11"/>
      <c r="N56" s="11"/>
      <c r="O56" s="11">
        <f>Tabla354653[[#This Row],[COMISIONES]]*0.21</f>
        <v>0</v>
      </c>
      <c r="P56" s="11"/>
      <c r="Q56" s="11"/>
      <c r="R56" s="11"/>
      <c r="U56" s="20">
        <f>Tabla64855[[#This Row],[COMISIONES]]*0.21</f>
        <v>0</v>
      </c>
      <c r="V56" s="20"/>
    </row>
    <row r="57" spans="2:24" x14ac:dyDescent="0.3">
      <c r="B57" s="2"/>
      <c r="C57" s="2">
        <f>Tabla14451[[#This Row],[COMISIONES]]*0.21</f>
        <v>0</v>
      </c>
      <c r="D57" s="2"/>
      <c r="E57" s="2"/>
      <c r="H57" s="11"/>
      <c r="I57" s="11">
        <f>Tabla3455057[[#This Row],[COMISIONES]]*0.21</f>
        <v>0</v>
      </c>
      <c r="J57" s="11"/>
      <c r="K57" s="11"/>
      <c r="L57" s="11"/>
      <c r="N57" s="11"/>
      <c r="O57" s="11">
        <f>Tabla354653[[#This Row],[COMISIONES]]*0.21</f>
        <v>0</v>
      </c>
      <c r="P57" s="11"/>
      <c r="Q57" s="11"/>
      <c r="R57" s="11"/>
      <c r="U57" s="20">
        <f>Tabla64855[[#This Row],[COMISIONES]]*0.21</f>
        <v>0</v>
      </c>
      <c r="V57" s="20"/>
    </row>
    <row r="58" spans="2:24" x14ac:dyDescent="0.3">
      <c r="B58" s="18">
        <f>SUBTOTAL(109,Tabla14451[COMISIONES])</f>
        <v>0</v>
      </c>
      <c r="C58" s="18">
        <f>SUBTOTAL(109,Tabla14451[IVA 21])</f>
        <v>0</v>
      </c>
      <c r="D58" s="18">
        <f>SUBTOTAL(109,Tabla14451[IVA 10,5])</f>
        <v>0</v>
      </c>
      <c r="E58" s="18">
        <f>SUBTOTAL(109,Tabla14451[Ret IIBB Caba])</f>
        <v>0</v>
      </c>
      <c r="F58" s="18">
        <f>SUBTOTAL(109,Tabla14451[PERC IVA])</f>
        <v>0</v>
      </c>
      <c r="H58" s="11"/>
      <c r="I58" s="11">
        <f>Tabla3455057[[#This Row],[COMISIONES]]*0.21</f>
        <v>0</v>
      </c>
      <c r="J58" s="11"/>
      <c r="K58" s="11"/>
      <c r="L58" s="11"/>
      <c r="N58" s="11"/>
      <c r="O58" s="11">
        <f>Tabla354653[[#This Row],[COMISIONES]]*0.21</f>
        <v>0</v>
      </c>
      <c r="P58" s="11"/>
      <c r="Q58" s="11"/>
      <c r="R58" s="11"/>
      <c r="U58" s="20">
        <f>Tabla64855[[#This Row],[COMISIONES]]*0.21</f>
        <v>0</v>
      </c>
      <c r="V58" s="20"/>
    </row>
    <row r="59" spans="2:24" x14ac:dyDescent="0.3">
      <c r="H59" s="11"/>
      <c r="I59" s="11">
        <f>Tabla3455057[[#This Row],[COMISIONES]]*0.21</f>
        <v>0</v>
      </c>
      <c r="J59" s="11"/>
      <c r="K59" s="11"/>
      <c r="L59" s="11"/>
      <c r="N59" s="11"/>
      <c r="O59" s="11">
        <f>Tabla354653[[#This Row],[COMISIONES]]*0.21</f>
        <v>0</v>
      </c>
      <c r="P59" s="11"/>
      <c r="Q59" s="11"/>
      <c r="R59" s="11"/>
      <c r="T59" s="4">
        <f>SUBTOTAL(109,Tabla64855[COMISIONES])</f>
        <v>17120.129999999997</v>
      </c>
      <c r="U59" s="4">
        <f>SUBTOTAL(109,Tabla64855[IVA 21])</f>
        <v>3595.2272999999996</v>
      </c>
      <c r="V59" s="4">
        <f>SUBTOTAL(109,Tabla64855[IVA 10,5])</f>
        <v>0</v>
      </c>
      <c r="W59" s="4">
        <f>SUBTOTAL(109,Tabla64855[Perc IIBB Caba])</f>
        <v>519.6</v>
      </c>
      <c r="X59" s="4">
        <f>SUBTOTAL(109,Tabla64855[PERC IVA])</f>
        <v>259.8</v>
      </c>
    </row>
    <row r="60" spans="2:24" x14ac:dyDescent="0.3">
      <c r="H60" s="11"/>
      <c r="I60" s="11">
        <f>Tabla3455057[[#This Row],[COMISIONES]]*0.21</f>
        <v>0</v>
      </c>
      <c r="J60" s="11"/>
      <c r="K60" s="11"/>
      <c r="L60" s="11"/>
      <c r="N60" s="11"/>
      <c r="O60" s="11">
        <f>Tabla354653[[#This Row],[COMISIONES]]*0.21</f>
        <v>0</v>
      </c>
      <c r="P60" s="11"/>
      <c r="Q60" s="11"/>
      <c r="R60" s="11"/>
    </row>
    <row r="61" spans="2:24" x14ac:dyDescent="0.3">
      <c r="H61" s="11"/>
      <c r="I61" s="11">
        <f>Tabla3455057[[#This Row],[COMISIONES]]*0.21</f>
        <v>0</v>
      </c>
      <c r="J61" s="11"/>
      <c r="K61" s="11"/>
      <c r="L61" s="11"/>
      <c r="N61" s="11"/>
      <c r="O61" s="11">
        <f>Tabla354653[[#This Row],[COMISIONES]]*0.21</f>
        <v>0</v>
      </c>
      <c r="P61" s="11"/>
      <c r="Q61" s="11"/>
      <c r="R61" s="11"/>
    </row>
    <row r="62" spans="2:24" x14ac:dyDescent="0.3">
      <c r="H62" s="11"/>
      <c r="I62" s="11">
        <f>Tabla3455057[[#This Row],[COMISIONES]]*0.21</f>
        <v>0</v>
      </c>
      <c r="J62" s="11"/>
      <c r="K62" s="11"/>
      <c r="L62" s="11"/>
      <c r="N62" s="11"/>
      <c r="O62" s="11">
        <f>Tabla354653[[#This Row],[COMISIONES]]*0.21</f>
        <v>0</v>
      </c>
      <c r="P62" s="11"/>
      <c r="Q62" s="11"/>
      <c r="R62" s="11"/>
    </row>
    <row r="63" spans="2:24" x14ac:dyDescent="0.3">
      <c r="H63" s="11"/>
      <c r="I63" s="11">
        <f>Tabla3455057[[#This Row],[COMISIONES]]*0.21</f>
        <v>0</v>
      </c>
      <c r="J63" s="11"/>
      <c r="K63" s="11"/>
      <c r="L63" s="11"/>
      <c r="N63" s="11"/>
      <c r="O63" s="11">
        <f>Tabla354653[[#This Row],[COMISIONES]]*0.21</f>
        <v>0</v>
      </c>
      <c r="P63" s="11"/>
      <c r="Q63" s="11"/>
      <c r="R63" s="11"/>
    </row>
    <row r="64" spans="2:24" x14ac:dyDescent="0.3">
      <c r="H64" s="11"/>
      <c r="I64" s="11">
        <f>Tabla3455057[[#This Row],[COMISIONES]]*0.21</f>
        <v>0</v>
      </c>
      <c r="J64" s="11"/>
      <c r="K64" s="11"/>
      <c r="L64" s="11"/>
      <c r="N64" s="19"/>
      <c r="O64" s="19">
        <f>Tabla354653[[#This Row],[COMISIONES]]*0.21</f>
        <v>0</v>
      </c>
      <c r="P64" s="19"/>
      <c r="Q64" s="19"/>
      <c r="R64" s="19"/>
    </row>
    <row r="65" spans="1:30" x14ac:dyDescent="0.3">
      <c r="H65" s="11"/>
      <c r="I65" s="11">
        <f>Tabla3455057[[#This Row],[COMISIONES]]*0.21</f>
        <v>0</v>
      </c>
      <c r="J65" s="11"/>
      <c r="K65" s="11"/>
      <c r="L65" s="11"/>
      <c r="N65" s="19"/>
      <c r="O65" s="19">
        <f>Tabla354653[[#This Row],[COMISIONES]]*0.21</f>
        <v>0</v>
      </c>
      <c r="P65" s="19"/>
      <c r="Q65" s="19"/>
      <c r="R65" s="19"/>
    </row>
    <row r="66" spans="1:30" s="6" customFormat="1" x14ac:dyDescent="0.3">
      <c r="A66"/>
      <c r="B66"/>
      <c r="C66"/>
      <c r="D66"/>
      <c r="E66"/>
      <c r="F66"/>
      <c r="H66" s="11"/>
      <c r="I66" s="11">
        <f>Tabla3455057[[#This Row],[COMISIONES]]*0.21</f>
        <v>0</v>
      </c>
      <c r="J66" s="11"/>
      <c r="K66" s="11"/>
      <c r="L66" s="11"/>
      <c r="N66" s="19"/>
      <c r="O66" s="19">
        <f>Tabla354653[[#This Row],[COMISIONES]]*0.21</f>
        <v>0</v>
      </c>
      <c r="P66" s="19"/>
      <c r="Q66" s="19"/>
      <c r="R66" s="19"/>
      <c r="T66"/>
      <c r="U66"/>
      <c r="V66"/>
      <c r="W66"/>
      <c r="X66"/>
      <c r="Y66"/>
      <c r="Z66"/>
      <c r="AA66"/>
      <c r="AB66"/>
      <c r="AC66"/>
      <c r="AD66"/>
    </row>
    <row r="67" spans="1:30" s="6" customFormat="1" x14ac:dyDescent="0.3">
      <c r="A67"/>
      <c r="B67"/>
      <c r="C67"/>
      <c r="D67"/>
      <c r="E67"/>
      <c r="F67"/>
      <c r="H67" s="11"/>
      <c r="I67" s="11">
        <f>Tabla3455057[[#This Row],[COMISIONES]]*0.21</f>
        <v>0</v>
      </c>
      <c r="J67" s="11"/>
      <c r="K67" s="11"/>
      <c r="L67" s="11"/>
      <c r="N67" s="19"/>
      <c r="O67" s="19">
        <f>Tabla354653[[#This Row],[COMISIONES]]*0.21</f>
        <v>0</v>
      </c>
      <c r="P67" s="19"/>
      <c r="Q67" s="19"/>
      <c r="R67" s="19"/>
      <c r="T67"/>
      <c r="U67"/>
      <c r="V67"/>
      <c r="W67"/>
      <c r="X67"/>
      <c r="Y67"/>
      <c r="Z67"/>
      <c r="AA67"/>
      <c r="AB67"/>
      <c r="AC67"/>
      <c r="AD67"/>
    </row>
    <row r="68" spans="1:30" s="6" customFormat="1" x14ac:dyDescent="0.3">
      <c r="A68"/>
      <c r="B68"/>
      <c r="C68"/>
      <c r="D68"/>
      <c r="E68"/>
      <c r="F68"/>
      <c r="H68" s="11"/>
      <c r="I68" s="11">
        <f>Tabla3455057[[#This Row],[COMISIONES]]*0.21</f>
        <v>0</v>
      </c>
      <c r="J68" s="11"/>
      <c r="K68" s="11"/>
      <c r="L68" s="11"/>
      <c r="N68" s="19"/>
      <c r="O68" s="19">
        <f>Tabla354653[[#This Row],[COMISIONES]]*0.21</f>
        <v>0</v>
      </c>
      <c r="P68" s="19"/>
      <c r="Q68" s="19"/>
      <c r="R68" s="19"/>
      <c r="T68"/>
      <c r="U68"/>
      <c r="V68"/>
      <c r="W68"/>
      <c r="X68"/>
      <c r="Y68"/>
      <c r="Z68"/>
      <c r="AA68"/>
      <c r="AB68"/>
      <c r="AC68"/>
      <c r="AD68"/>
    </row>
    <row r="69" spans="1:30" s="6" customFormat="1" x14ac:dyDescent="0.3">
      <c r="A69"/>
      <c r="B69"/>
      <c r="C69"/>
      <c r="D69"/>
      <c r="E69"/>
      <c r="F69"/>
      <c r="H69" s="11"/>
      <c r="I69" s="11">
        <f>Tabla3455057[[#This Row],[COMISIONES]]*0.21</f>
        <v>0</v>
      </c>
      <c r="J69" s="11"/>
      <c r="K69" s="11"/>
      <c r="L69" s="11"/>
      <c r="N69" s="19"/>
      <c r="O69" s="19">
        <f>Tabla354653[[#This Row],[COMISIONES]]*0.21</f>
        <v>0</v>
      </c>
      <c r="P69" s="19"/>
      <c r="Q69" s="19"/>
      <c r="R69" s="19"/>
      <c r="T69"/>
      <c r="U69"/>
      <c r="V69"/>
      <c r="W69"/>
      <c r="X69"/>
      <c r="Y69"/>
      <c r="Z69"/>
      <c r="AA69"/>
      <c r="AB69"/>
      <c r="AC69"/>
      <c r="AD69"/>
    </row>
    <row r="70" spans="1:30" s="6" customFormat="1" x14ac:dyDescent="0.3">
      <c r="A70"/>
      <c r="B70"/>
      <c r="C70"/>
      <c r="D70"/>
      <c r="E70"/>
      <c r="F70"/>
      <c r="H70" s="11"/>
      <c r="I70" s="11">
        <f>Tabla3455057[[#This Row],[COMISIONES]]*0.21</f>
        <v>0</v>
      </c>
      <c r="J70" s="11"/>
      <c r="K70" s="11"/>
      <c r="L70" s="11"/>
      <c r="N70" s="19"/>
      <c r="O70" s="19">
        <f>Tabla354653[[#This Row],[COMISIONES]]*0.21</f>
        <v>0</v>
      </c>
      <c r="P70" s="19"/>
      <c r="Q70" s="19"/>
      <c r="R70" s="19"/>
      <c r="T70"/>
      <c r="U70"/>
      <c r="V70"/>
      <c r="W70"/>
      <c r="X70"/>
      <c r="Y70"/>
      <c r="Z70"/>
      <c r="AA70"/>
      <c r="AB70"/>
      <c r="AC70"/>
      <c r="AD70"/>
    </row>
    <row r="71" spans="1:30" s="6" customFormat="1" x14ac:dyDescent="0.3">
      <c r="A71"/>
      <c r="B71"/>
      <c r="C71"/>
      <c r="D71"/>
      <c r="E71"/>
      <c r="F71"/>
      <c r="H71" s="11"/>
      <c r="I71" s="11">
        <f>Tabla3455057[[#This Row],[COMISIONES]]*0.21</f>
        <v>0</v>
      </c>
      <c r="J71" s="11"/>
      <c r="K71" s="11"/>
      <c r="L71" s="11"/>
      <c r="N71" s="19"/>
      <c r="O71" s="19">
        <f>Tabla354653[[#This Row],[COMISIONES]]*0.21</f>
        <v>0</v>
      </c>
      <c r="P71" s="19"/>
      <c r="Q71" s="19"/>
      <c r="R71" s="19"/>
      <c r="T71"/>
      <c r="U71"/>
      <c r="V71"/>
      <c r="W71"/>
      <c r="X71"/>
      <c r="Y71"/>
      <c r="Z71"/>
      <c r="AA71"/>
      <c r="AB71"/>
      <c r="AC71"/>
      <c r="AD71"/>
    </row>
    <row r="72" spans="1:30" s="6" customFormat="1" x14ac:dyDescent="0.3">
      <c r="A72"/>
      <c r="B72"/>
      <c r="C72"/>
      <c r="D72"/>
      <c r="E72"/>
      <c r="F72"/>
      <c r="H72" s="11"/>
      <c r="I72" s="11">
        <f>Tabla3455057[[#This Row],[COMISIONES]]*0.21</f>
        <v>0</v>
      </c>
      <c r="J72" s="11"/>
      <c r="K72" s="11"/>
      <c r="L72" s="11"/>
      <c r="N72" s="19"/>
      <c r="O72" s="19">
        <f>Tabla354653[[#This Row],[COMISIONES]]*0.21</f>
        <v>0</v>
      </c>
      <c r="P72" s="19"/>
      <c r="Q72" s="19"/>
      <c r="R72" s="19"/>
      <c r="T72"/>
      <c r="U72"/>
      <c r="V72"/>
      <c r="W72"/>
      <c r="X72"/>
      <c r="Y72"/>
      <c r="Z72"/>
      <c r="AA72"/>
      <c r="AB72"/>
      <c r="AC72"/>
      <c r="AD72"/>
    </row>
    <row r="73" spans="1:30" s="6" customFormat="1" x14ac:dyDescent="0.3">
      <c r="A73"/>
      <c r="B73"/>
      <c r="C73"/>
      <c r="D73"/>
      <c r="E73"/>
      <c r="F73"/>
      <c r="H73" s="11"/>
      <c r="I73" s="11">
        <f>Tabla3455057[[#This Row],[COMISIONES]]*0.21</f>
        <v>0</v>
      </c>
      <c r="J73" s="11"/>
      <c r="K73" s="11"/>
      <c r="L73" s="11"/>
      <c r="N73" s="19"/>
      <c r="O73" s="19">
        <f>Tabla354653[[#This Row],[COMISIONES]]*0.21</f>
        <v>0</v>
      </c>
      <c r="P73" s="19"/>
      <c r="Q73" s="19"/>
      <c r="R73" s="19"/>
      <c r="T73"/>
      <c r="U73"/>
      <c r="V73"/>
      <c r="W73"/>
      <c r="X73"/>
      <c r="Y73"/>
      <c r="Z73"/>
      <c r="AA73"/>
      <c r="AB73"/>
      <c r="AC73"/>
      <c r="AD73"/>
    </row>
    <row r="74" spans="1:30" s="6" customFormat="1" x14ac:dyDescent="0.3">
      <c r="A74"/>
      <c r="B74"/>
      <c r="C74"/>
      <c r="D74"/>
      <c r="E74"/>
      <c r="F74"/>
      <c r="H74" s="11"/>
      <c r="I74" s="11">
        <f>Tabla3455057[[#This Row],[COMISIONES]]*0.21</f>
        <v>0</v>
      </c>
      <c r="J74" s="11"/>
      <c r="K74" s="11"/>
      <c r="L74" s="11"/>
      <c r="N74" s="19"/>
      <c r="O74" s="19">
        <f>Tabla354653[[#This Row],[COMISIONES]]*0.21</f>
        <v>0</v>
      </c>
      <c r="P74" s="19"/>
      <c r="Q74" s="19"/>
      <c r="R74" s="19"/>
      <c r="T74"/>
      <c r="U74"/>
      <c r="V74"/>
      <c r="W74"/>
      <c r="X74"/>
      <c r="Y74"/>
      <c r="Z74"/>
      <c r="AA74"/>
      <c r="AB74"/>
      <c r="AC74"/>
      <c r="AD74"/>
    </row>
    <row r="75" spans="1:30" s="6" customFormat="1" x14ac:dyDescent="0.3">
      <c r="A75"/>
      <c r="B75"/>
      <c r="C75"/>
      <c r="D75"/>
      <c r="E75"/>
      <c r="F75"/>
      <c r="H75" s="11"/>
      <c r="I75" s="11">
        <f>Tabla3455057[[#This Row],[COMISIONES]]*0.21</f>
        <v>0</v>
      </c>
      <c r="J75" s="11"/>
      <c r="K75" s="11"/>
      <c r="L75" s="11"/>
      <c r="N75" s="19"/>
      <c r="O75" s="19">
        <f>Tabla354653[[#This Row],[COMISIONES]]*0.21</f>
        <v>0</v>
      </c>
      <c r="P75" s="19"/>
      <c r="Q75" s="19"/>
      <c r="R75" s="19"/>
      <c r="T75"/>
      <c r="U75"/>
      <c r="V75"/>
      <c r="W75"/>
      <c r="X75"/>
      <c r="Y75"/>
      <c r="Z75"/>
      <c r="AA75"/>
      <c r="AB75"/>
      <c r="AC75"/>
      <c r="AD75"/>
    </row>
    <row r="76" spans="1:30" s="6" customFormat="1" x14ac:dyDescent="0.3">
      <c r="A76"/>
      <c r="B76"/>
      <c r="C76"/>
      <c r="D76"/>
      <c r="E76"/>
      <c r="F76"/>
      <c r="H76" s="11"/>
      <c r="I76" s="11">
        <f>Tabla3455057[[#This Row],[COMISIONES]]*0.21</f>
        <v>0</v>
      </c>
      <c r="J76" s="11"/>
      <c r="K76" s="11"/>
      <c r="L76" s="11"/>
      <c r="N76" s="19"/>
      <c r="O76" s="19">
        <f>Tabla354653[[#This Row],[COMISIONES]]*0.21</f>
        <v>0</v>
      </c>
      <c r="P76" s="19"/>
      <c r="Q76" s="19"/>
      <c r="R76" s="19"/>
      <c r="T76"/>
      <c r="U76"/>
      <c r="V76"/>
      <c r="W76"/>
      <c r="X76"/>
      <c r="Y76"/>
      <c r="Z76"/>
      <c r="AA76"/>
      <c r="AB76"/>
      <c r="AC76"/>
      <c r="AD76"/>
    </row>
    <row r="77" spans="1:30" s="6" customFormat="1" x14ac:dyDescent="0.3">
      <c r="A77"/>
      <c r="B77"/>
      <c r="C77"/>
      <c r="D77"/>
      <c r="E77"/>
      <c r="F77"/>
      <c r="H77" s="11"/>
      <c r="I77" s="11">
        <f>Tabla3455057[[#This Row],[COMISIONES]]*0.21</f>
        <v>0</v>
      </c>
      <c r="J77" s="11"/>
      <c r="K77" s="11"/>
      <c r="L77" s="11"/>
      <c r="N77" s="19"/>
      <c r="O77" s="19">
        <f>Tabla354653[[#This Row],[COMISIONES]]*0.21</f>
        <v>0</v>
      </c>
      <c r="P77" s="19"/>
      <c r="Q77" s="19"/>
      <c r="R77" s="19"/>
      <c r="T77"/>
      <c r="U77"/>
      <c r="V77"/>
      <c r="W77"/>
      <c r="X77"/>
      <c r="Y77"/>
      <c r="Z77"/>
      <c r="AA77"/>
      <c r="AB77"/>
      <c r="AC77"/>
      <c r="AD77"/>
    </row>
    <row r="78" spans="1:30" s="6" customFormat="1" x14ac:dyDescent="0.3">
      <c r="A78"/>
      <c r="B78"/>
      <c r="C78"/>
      <c r="D78"/>
      <c r="E78"/>
      <c r="F78"/>
      <c r="H78" s="11"/>
      <c r="I78" s="11">
        <f>Tabla3455057[[#This Row],[COMISIONES]]*0.21</f>
        <v>0</v>
      </c>
      <c r="J78" s="11"/>
      <c r="K78" s="11"/>
      <c r="L78" s="11"/>
      <c r="N78" s="19"/>
      <c r="O78" s="19">
        <f>Tabla354653[[#This Row],[COMISIONES]]*0.21</f>
        <v>0</v>
      </c>
      <c r="P78" s="19"/>
      <c r="Q78" s="19"/>
      <c r="R78" s="19"/>
      <c r="T78"/>
      <c r="U78"/>
      <c r="V78"/>
      <c r="W78"/>
      <c r="X78"/>
      <c r="Y78"/>
      <c r="Z78"/>
      <c r="AA78"/>
      <c r="AB78"/>
      <c r="AC78"/>
      <c r="AD78"/>
    </row>
    <row r="79" spans="1:30" s="6" customFormat="1" x14ac:dyDescent="0.3">
      <c r="A79"/>
      <c r="B79"/>
      <c r="C79"/>
      <c r="D79"/>
      <c r="E79"/>
      <c r="F79"/>
      <c r="H79" s="19"/>
      <c r="I79" s="19">
        <f>Tabla3455057[[#This Row],[COMISIONES]]*0.21</f>
        <v>0</v>
      </c>
      <c r="J79" s="19"/>
      <c r="K79" s="19"/>
      <c r="L79" s="19"/>
      <c r="N79" s="19"/>
      <c r="O79" s="19">
        <f>Tabla354653[[#This Row],[COMISIONES]]*0.21</f>
        <v>0</v>
      </c>
      <c r="P79" s="19"/>
      <c r="Q79" s="19"/>
      <c r="R79" s="19"/>
      <c r="T79"/>
      <c r="U79"/>
      <c r="V79"/>
      <c r="W79"/>
      <c r="X79"/>
      <c r="Y79"/>
      <c r="Z79"/>
      <c r="AA79"/>
      <c r="AB79"/>
      <c r="AC79"/>
      <c r="AD79"/>
    </row>
    <row r="80" spans="1:30" s="6" customFormat="1" x14ac:dyDescent="0.3">
      <c r="A80"/>
      <c r="B80"/>
      <c r="C80"/>
      <c r="D80"/>
      <c r="E80"/>
      <c r="F80"/>
      <c r="H80" s="19"/>
      <c r="I80" s="19">
        <f>Tabla3455057[[#This Row],[COMISIONES]]*0.21</f>
        <v>0</v>
      </c>
      <c r="J80" s="19"/>
      <c r="K80" s="19"/>
      <c r="L80" s="19"/>
      <c r="N80" s="19"/>
      <c r="O80" s="19">
        <f>Tabla354653[[#This Row],[COMISIONES]]*0.21</f>
        <v>0</v>
      </c>
      <c r="P80" s="19"/>
      <c r="Q80" s="19"/>
      <c r="R80" s="19"/>
      <c r="T80"/>
      <c r="U80"/>
      <c r="V80"/>
      <c r="W80"/>
      <c r="X80"/>
      <c r="Y80"/>
      <c r="Z80"/>
      <c r="AA80"/>
      <c r="AB80"/>
      <c r="AC80"/>
      <c r="AD80"/>
    </row>
    <row r="81" spans="1:30" s="6" customFormat="1" x14ac:dyDescent="0.3">
      <c r="A81"/>
      <c r="B81"/>
      <c r="C81"/>
      <c r="D81"/>
      <c r="E81"/>
      <c r="F81"/>
      <c r="H81" s="19"/>
      <c r="I81" s="19">
        <f>Tabla3455057[[#This Row],[COMISIONES]]*0.21</f>
        <v>0</v>
      </c>
      <c r="J81" s="19"/>
      <c r="K81" s="19"/>
      <c r="L81" s="19"/>
      <c r="N81" s="19"/>
      <c r="O81" s="19">
        <f>Tabla354653[[#This Row],[COMISIONES]]*0.21</f>
        <v>0</v>
      </c>
      <c r="P81" s="19"/>
      <c r="Q81" s="19"/>
      <c r="R81" s="19"/>
      <c r="T81"/>
      <c r="U81"/>
      <c r="V81"/>
      <c r="W81"/>
      <c r="X81"/>
      <c r="Y81"/>
      <c r="Z81"/>
      <c r="AA81"/>
      <c r="AB81"/>
      <c r="AC81"/>
      <c r="AD81"/>
    </row>
    <row r="82" spans="1:30" s="6" customFormat="1" x14ac:dyDescent="0.3">
      <c r="A82"/>
      <c r="B82"/>
      <c r="C82"/>
      <c r="D82"/>
      <c r="E82"/>
      <c r="F82"/>
      <c r="H82" s="19"/>
      <c r="I82" s="19">
        <f>Tabla3455057[[#This Row],[COMISIONES]]*0.21</f>
        <v>0</v>
      </c>
      <c r="J82" s="19"/>
      <c r="K82" s="19"/>
      <c r="L82" s="19"/>
      <c r="N82" s="19"/>
      <c r="O82" s="19">
        <f>Tabla354653[[#This Row],[COMISIONES]]*0.21</f>
        <v>0</v>
      </c>
      <c r="P82" s="19"/>
      <c r="Q82" s="19"/>
      <c r="R82" s="19"/>
      <c r="T82"/>
      <c r="U82"/>
      <c r="V82"/>
      <c r="W82"/>
      <c r="X82"/>
      <c r="Y82"/>
      <c r="Z82"/>
      <c r="AA82"/>
      <c r="AB82"/>
      <c r="AC82"/>
      <c r="AD82"/>
    </row>
    <row r="83" spans="1:30" s="6" customFormat="1" x14ac:dyDescent="0.3">
      <c r="A83"/>
      <c r="B83"/>
      <c r="C83"/>
      <c r="D83"/>
      <c r="E83"/>
      <c r="F83"/>
      <c r="H83" s="19"/>
      <c r="I83" s="19">
        <f>Tabla3455057[[#This Row],[COMISIONES]]*0.21</f>
        <v>0</v>
      </c>
      <c r="J83" s="19"/>
      <c r="K83" s="19"/>
      <c r="L83" s="19"/>
      <c r="N83" s="19"/>
      <c r="O83" s="19">
        <f>Tabla354653[[#This Row],[COMISIONES]]*0.21</f>
        <v>0</v>
      </c>
      <c r="P83" s="19"/>
      <c r="Q83" s="19"/>
      <c r="R83" s="19"/>
      <c r="T83"/>
      <c r="U83"/>
      <c r="V83"/>
      <c r="W83"/>
      <c r="X83"/>
      <c r="Y83"/>
      <c r="Z83"/>
      <c r="AA83"/>
      <c r="AB83"/>
      <c r="AC83"/>
      <c r="AD83"/>
    </row>
    <row r="84" spans="1:30" s="6" customFormat="1" x14ac:dyDescent="0.3">
      <c r="A84"/>
      <c r="B84"/>
      <c r="C84"/>
      <c r="D84"/>
      <c r="E84"/>
      <c r="F84"/>
      <c r="H84" s="19"/>
      <c r="I84" s="19">
        <f>Tabla3455057[[#This Row],[COMISIONES]]*0.21</f>
        <v>0</v>
      </c>
      <c r="J84" s="19"/>
      <c r="K84" s="19"/>
      <c r="L84" s="19"/>
      <c r="N84" s="19"/>
      <c r="O84" s="19">
        <f>Tabla354653[[#This Row],[COMISIONES]]*0.21</f>
        <v>0</v>
      </c>
      <c r="P84" s="19"/>
      <c r="Q84" s="19"/>
      <c r="R84" s="19"/>
      <c r="T84"/>
      <c r="U84"/>
      <c r="V84"/>
      <c r="W84"/>
      <c r="X84"/>
      <c r="Y84"/>
      <c r="Z84"/>
      <c r="AA84"/>
      <c r="AB84"/>
      <c r="AC84"/>
      <c r="AD84"/>
    </row>
    <row r="85" spans="1:30" s="6" customFormat="1" x14ac:dyDescent="0.3">
      <c r="A85"/>
      <c r="B85"/>
      <c r="C85"/>
      <c r="D85"/>
      <c r="E85"/>
      <c r="F85"/>
      <c r="H85" s="19"/>
      <c r="I85" s="19">
        <f>Tabla3455057[[#This Row],[COMISIONES]]*0.21</f>
        <v>0</v>
      </c>
      <c r="J85" s="19"/>
      <c r="K85" s="19"/>
      <c r="L85" s="19"/>
      <c r="N85" s="19"/>
      <c r="O85" s="19">
        <f>Tabla354653[[#This Row],[COMISIONES]]*0.21</f>
        <v>0</v>
      </c>
      <c r="P85" s="19"/>
      <c r="Q85" s="19"/>
      <c r="R85" s="19"/>
      <c r="T85"/>
      <c r="U85"/>
      <c r="V85"/>
      <c r="W85"/>
      <c r="X85"/>
      <c r="Y85"/>
      <c r="Z85"/>
      <c r="AA85"/>
      <c r="AB85"/>
      <c r="AC85"/>
      <c r="AD85"/>
    </row>
    <row r="86" spans="1:30" s="6" customFormat="1" x14ac:dyDescent="0.3">
      <c r="A86"/>
      <c r="B86"/>
      <c r="C86"/>
      <c r="D86"/>
      <c r="E86"/>
      <c r="F86"/>
      <c r="H86" s="19"/>
      <c r="I86" s="19">
        <f>Tabla3455057[[#This Row],[COMISIONES]]*0.21</f>
        <v>0</v>
      </c>
      <c r="J86" s="19"/>
      <c r="K86" s="19"/>
      <c r="L86" s="19"/>
      <c r="N86" s="19"/>
      <c r="O86" s="19">
        <f>Tabla354653[[#This Row],[COMISIONES]]*0.21</f>
        <v>0</v>
      </c>
      <c r="P86" s="19"/>
      <c r="Q86" s="19"/>
      <c r="R86" s="19"/>
      <c r="T86"/>
      <c r="U86"/>
      <c r="V86"/>
      <c r="W86"/>
      <c r="X86"/>
      <c r="Y86"/>
      <c r="Z86"/>
      <c r="AA86"/>
      <c r="AB86"/>
      <c r="AC86"/>
      <c r="AD86"/>
    </row>
    <row r="87" spans="1:30" s="6" customFormat="1" x14ac:dyDescent="0.3">
      <c r="A87"/>
      <c r="B87"/>
      <c r="C87"/>
      <c r="D87"/>
      <c r="E87"/>
      <c r="F87"/>
      <c r="H87" s="19"/>
      <c r="I87" s="19">
        <f>Tabla3455057[[#This Row],[COMISIONES]]*0.21</f>
        <v>0</v>
      </c>
      <c r="J87" s="19"/>
      <c r="K87" s="19"/>
      <c r="L87" s="19"/>
      <c r="N87" s="19"/>
      <c r="O87" s="19">
        <f>Tabla354653[[#This Row],[COMISIONES]]*0.21</f>
        <v>0</v>
      </c>
      <c r="P87" s="19"/>
      <c r="Q87" s="19"/>
      <c r="R87" s="19"/>
      <c r="T87"/>
      <c r="U87"/>
      <c r="V87"/>
      <c r="W87"/>
      <c r="X87"/>
      <c r="Y87"/>
      <c r="Z87"/>
      <c r="AA87"/>
      <c r="AB87"/>
      <c r="AC87"/>
      <c r="AD87"/>
    </row>
    <row r="88" spans="1:30" s="6" customFormat="1" x14ac:dyDescent="0.3">
      <c r="A88"/>
      <c r="B88"/>
      <c r="C88"/>
      <c r="D88"/>
      <c r="E88"/>
      <c r="F88"/>
      <c r="H88" s="19"/>
      <c r="I88" s="19">
        <f>Tabla3455057[[#This Row],[COMISIONES]]*0.21</f>
        <v>0</v>
      </c>
      <c r="J88" s="19"/>
      <c r="K88" s="19"/>
      <c r="L88" s="19"/>
      <c r="N88" s="19"/>
      <c r="O88" s="19">
        <f>Tabla354653[[#This Row],[COMISIONES]]*0.21</f>
        <v>0</v>
      </c>
      <c r="P88" s="19"/>
      <c r="Q88" s="19"/>
      <c r="R88" s="19"/>
      <c r="T88"/>
      <c r="U88"/>
      <c r="V88"/>
      <c r="W88"/>
      <c r="X88"/>
      <c r="Y88"/>
      <c r="Z88"/>
      <c r="AA88"/>
      <c r="AB88"/>
      <c r="AC88"/>
      <c r="AD88"/>
    </row>
    <row r="89" spans="1:30" s="6" customFormat="1" x14ac:dyDescent="0.3">
      <c r="A89"/>
      <c r="B89"/>
      <c r="C89"/>
      <c r="D89"/>
      <c r="E89"/>
      <c r="F89"/>
      <c r="H89" s="19"/>
      <c r="I89" s="19">
        <f>Tabla3455057[[#This Row],[COMISIONES]]*0.21</f>
        <v>0</v>
      </c>
      <c r="J89" s="19"/>
      <c r="K89" s="19"/>
      <c r="L89" s="19"/>
      <c r="N89" s="19"/>
      <c r="O89" s="19">
        <f>Tabla354653[[#This Row],[COMISIONES]]*0.21</f>
        <v>0</v>
      </c>
      <c r="P89" s="19"/>
      <c r="Q89" s="19"/>
      <c r="R89" s="19"/>
      <c r="T89"/>
      <c r="U89"/>
      <c r="V89"/>
      <c r="W89"/>
      <c r="X89"/>
      <c r="Y89"/>
      <c r="Z89"/>
      <c r="AA89"/>
      <c r="AB89"/>
      <c r="AC89"/>
      <c r="AD89"/>
    </row>
    <row r="90" spans="1:30" s="6" customFormat="1" x14ac:dyDescent="0.3">
      <c r="A90"/>
      <c r="B90"/>
      <c r="C90"/>
      <c r="D90"/>
      <c r="E90"/>
      <c r="F90"/>
      <c r="H90" s="19"/>
      <c r="I90" s="19">
        <f>Tabla3455057[[#This Row],[COMISIONES]]*0.21</f>
        <v>0</v>
      </c>
      <c r="J90" s="19"/>
      <c r="K90" s="19"/>
      <c r="L90" s="19"/>
      <c r="N90" s="19"/>
      <c r="O90" s="19">
        <f>Tabla354653[[#This Row],[COMISIONES]]*0.21</f>
        <v>0</v>
      </c>
      <c r="P90" s="19"/>
      <c r="Q90" s="19"/>
      <c r="R90" s="19"/>
      <c r="T90"/>
      <c r="U90"/>
      <c r="V90"/>
      <c r="W90"/>
      <c r="X90"/>
      <c r="Y90"/>
      <c r="Z90"/>
      <c r="AA90"/>
      <c r="AB90"/>
      <c r="AC90"/>
      <c r="AD90"/>
    </row>
    <row r="91" spans="1:30" s="6" customFormat="1" x14ac:dyDescent="0.3">
      <c r="A91"/>
      <c r="B91"/>
      <c r="C91"/>
      <c r="D91"/>
      <c r="E91"/>
      <c r="F91"/>
      <c r="H91" s="18">
        <f>SUBTOTAL(109,Tabla3455057[COMISIONES])</f>
        <v>5625</v>
      </c>
      <c r="I91" s="18">
        <f>SUBTOTAL(109,Tabla3455057[IVA 21])</f>
        <v>1181.25</v>
      </c>
      <c r="J91" s="18">
        <f>SUBTOTAL(109,Tabla3455057[IVA 10,5])</f>
        <v>0</v>
      </c>
      <c r="K91" s="18">
        <f>SUBTOTAL(109,Tabla3455057[Ret IIBB Caba])</f>
        <v>337.5</v>
      </c>
      <c r="L91" s="18">
        <f>SUBTOTAL(109,Tabla3455057[PERC IVA])</f>
        <v>168.75</v>
      </c>
      <c r="N91" s="19"/>
      <c r="O91" s="19">
        <f>Tabla354653[[#This Row],[COMISIONES]]*0.21</f>
        <v>0</v>
      </c>
      <c r="P91" s="19"/>
      <c r="Q91" s="19"/>
      <c r="R91" s="19"/>
      <c r="T91"/>
      <c r="U91"/>
      <c r="V91"/>
      <c r="W91"/>
      <c r="X91"/>
      <c r="Y91"/>
      <c r="Z91"/>
      <c r="AA91"/>
      <c r="AB91"/>
      <c r="AC91"/>
      <c r="AD91"/>
    </row>
    <row r="92" spans="1:30" s="6" customFormat="1" x14ac:dyDescent="0.3">
      <c r="A92"/>
      <c r="B92"/>
      <c r="C92"/>
      <c r="D92"/>
      <c r="E92"/>
      <c r="F92"/>
      <c r="H92"/>
      <c r="I92"/>
      <c r="J92"/>
      <c r="K92"/>
      <c r="L92"/>
      <c r="N92" s="19"/>
      <c r="O92" s="19">
        <f>Tabla354653[[#This Row],[COMISIONES]]*0.21</f>
        <v>0</v>
      </c>
      <c r="P92" s="19"/>
      <c r="Q92" s="19"/>
      <c r="R92" s="19"/>
      <c r="T92"/>
      <c r="U92"/>
      <c r="V92"/>
      <c r="W92"/>
      <c r="X92"/>
      <c r="Y92"/>
      <c r="Z92"/>
      <c r="AA92"/>
      <c r="AB92"/>
      <c r="AC92"/>
      <c r="AD92"/>
    </row>
    <row r="93" spans="1:30" s="6" customFormat="1" x14ac:dyDescent="0.3">
      <c r="A93"/>
      <c r="B93"/>
      <c r="C93"/>
      <c r="D93"/>
      <c r="E93"/>
      <c r="F93"/>
      <c r="H93"/>
      <c r="I93"/>
      <c r="J93"/>
      <c r="K93"/>
      <c r="L93"/>
      <c r="N93" s="19"/>
      <c r="O93" s="19">
        <f>Tabla354653[[#This Row],[COMISIONES]]*0.21</f>
        <v>0</v>
      </c>
      <c r="P93" s="19"/>
      <c r="Q93" s="19"/>
      <c r="R93" s="19"/>
      <c r="T93"/>
      <c r="U93"/>
      <c r="V93"/>
      <c r="W93"/>
      <c r="X93"/>
      <c r="Y93"/>
      <c r="Z93"/>
      <c r="AA93"/>
      <c r="AB93"/>
      <c r="AC93"/>
      <c r="AD93"/>
    </row>
    <row r="94" spans="1:30" s="6" customFormat="1" x14ac:dyDescent="0.3">
      <c r="A94"/>
      <c r="B94"/>
      <c r="C94"/>
      <c r="D94"/>
      <c r="E94"/>
      <c r="F94"/>
      <c r="H94"/>
      <c r="I94"/>
      <c r="J94"/>
      <c r="K94"/>
      <c r="L94"/>
      <c r="N94" s="19"/>
      <c r="O94" s="19">
        <f>Tabla354653[[#This Row],[COMISIONES]]*0.21</f>
        <v>0</v>
      </c>
      <c r="P94" s="19"/>
      <c r="Q94" s="19"/>
      <c r="R94" s="19"/>
      <c r="T94"/>
      <c r="U94"/>
      <c r="V94"/>
      <c r="W94"/>
      <c r="X94"/>
      <c r="Y94"/>
      <c r="Z94"/>
      <c r="AA94"/>
      <c r="AB94"/>
      <c r="AC94"/>
      <c r="AD94"/>
    </row>
    <row r="95" spans="1:30" s="6" customFormat="1" x14ac:dyDescent="0.3">
      <c r="A95"/>
      <c r="B95"/>
      <c r="C95"/>
      <c r="D95"/>
      <c r="E95"/>
      <c r="F95"/>
      <c r="H95"/>
      <c r="I95"/>
      <c r="J95"/>
      <c r="K95"/>
      <c r="L95"/>
      <c r="N95" s="19"/>
      <c r="O95" s="19">
        <f>Tabla354653[[#This Row],[COMISIONES]]*0.21</f>
        <v>0</v>
      </c>
      <c r="P95" s="19"/>
      <c r="Q95" s="19"/>
      <c r="R95" s="19"/>
      <c r="T95"/>
      <c r="U95"/>
      <c r="V95"/>
      <c r="W95"/>
      <c r="X95"/>
      <c r="Y95"/>
      <c r="Z95"/>
      <c r="AA95"/>
      <c r="AB95"/>
      <c r="AC95"/>
      <c r="AD95"/>
    </row>
    <row r="96" spans="1:30" s="6" customFormat="1" x14ac:dyDescent="0.3">
      <c r="A96"/>
      <c r="B96"/>
      <c r="C96"/>
      <c r="D96"/>
      <c r="E96"/>
      <c r="F96"/>
      <c r="H96"/>
      <c r="I96"/>
      <c r="J96"/>
      <c r="K96"/>
      <c r="L96"/>
      <c r="N96" s="19"/>
      <c r="O96" s="19">
        <f>Tabla354653[[#This Row],[COMISIONES]]*0.21</f>
        <v>0</v>
      </c>
      <c r="P96" s="19"/>
      <c r="Q96" s="19"/>
      <c r="R96" s="19"/>
      <c r="T96"/>
      <c r="U96"/>
      <c r="V96"/>
      <c r="W96"/>
      <c r="X96"/>
      <c r="Y96"/>
      <c r="Z96"/>
      <c r="AA96"/>
      <c r="AB96"/>
      <c r="AC96"/>
      <c r="AD96"/>
    </row>
    <row r="97" spans="1:30" s="6" customFormat="1" x14ac:dyDescent="0.3">
      <c r="A97"/>
      <c r="B97"/>
      <c r="C97"/>
      <c r="D97"/>
      <c r="E97"/>
      <c r="F97"/>
      <c r="H97"/>
      <c r="I97"/>
      <c r="J97"/>
      <c r="K97"/>
      <c r="L97"/>
      <c r="N97" s="19"/>
      <c r="O97" s="19">
        <f>Tabla354653[[#This Row],[COMISIONES]]*0.21</f>
        <v>0</v>
      </c>
      <c r="P97" s="19"/>
      <c r="Q97" s="19"/>
      <c r="R97" s="19"/>
      <c r="T97"/>
      <c r="U97"/>
      <c r="V97"/>
      <c r="W97"/>
      <c r="X97"/>
      <c r="Y97"/>
      <c r="Z97"/>
      <c r="AA97"/>
      <c r="AB97"/>
      <c r="AC97"/>
      <c r="AD97"/>
    </row>
    <row r="98" spans="1:30" s="6" customFormat="1" x14ac:dyDescent="0.3">
      <c r="A98"/>
      <c r="B98"/>
      <c r="C98"/>
      <c r="D98"/>
      <c r="E98"/>
      <c r="F98"/>
      <c r="H98"/>
      <c r="I98"/>
      <c r="J98"/>
      <c r="K98"/>
      <c r="L98"/>
      <c r="N98" s="19"/>
      <c r="O98" s="19">
        <f>Tabla354653[[#This Row],[COMISIONES]]*0.21</f>
        <v>0</v>
      </c>
      <c r="P98" s="19"/>
      <c r="Q98" s="19"/>
      <c r="R98" s="19"/>
      <c r="T98"/>
      <c r="U98"/>
      <c r="V98"/>
      <c r="W98"/>
      <c r="X98"/>
      <c r="Y98"/>
      <c r="Z98"/>
      <c r="AA98"/>
      <c r="AB98"/>
      <c r="AC98"/>
      <c r="AD98"/>
    </row>
    <row r="99" spans="1:30" s="6" customFormat="1" x14ac:dyDescent="0.3">
      <c r="A99"/>
      <c r="B99"/>
      <c r="C99"/>
      <c r="D99"/>
      <c r="E99"/>
      <c r="F99"/>
      <c r="H99"/>
      <c r="I99"/>
      <c r="J99"/>
      <c r="K99"/>
      <c r="L99"/>
      <c r="N99" s="19"/>
      <c r="O99" s="19">
        <f>Tabla354653[[#This Row],[COMISIONES]]*0.21</f>
        <v>0</v>
      </c>
      <c r="P99" s="19"/>
      <c r="Q99" s="19"/>
      <c r="R99" s="19"/>
      <c r="T99"/>
      <c r="U99"/>
      <c r="V99"/>
      <c r="W99"/>
      <c r="X99"/>
      <c r="Y99"/>
      <c r="Z99"/>
      <c r="AA99"/>
      <c r="AB99"/>
      <c r="AC99"/>
      <c r="AD99"/>
    </row>
    <row r="100" spans="1:30" s="6" customFormat="1" x14ac:dyDescent="0.3">
      <c r="A100"/>
      <c r="B100"/>
      <c r="C100"/>
      <c r="D100"/>
      <c r="E100"/>
      <c r="F100"/>
      <c r="H100"/>
      <c r="I100"/>
      <c r="J100"/>
      <c r="K100"/>
      <c r="L100"/>
      <c r="N100" s="19"/>
      <c r="O100" s="19">
        <f>Tabla354653[[#This Row],[COMISIONES]]*0.21</f>
        <v>0</v>
      </c>
      <c r="P100" s="19"/>
      <c r="Q100" s="19"/>
      <c r="R100" s="19"/>
      <c r="T100"/>
      <c r="U100"/>
      <c r="V100"/>
      <c r="W100"/>
      <c r="X100"/>
      <c r="Y100"/>
      <c r="Z100"/>
      <c r="AA100"/>
      <c r="AB100"/>
      <c r="AC100"/>
      <c r="AD100"/>
    </row>
    <row r="101" spans="1:30" s="6" customFormat="1" x14ac:dyDescent="0.3">
      <c r="A101"/>
      <c r="B101"/>
      <c r="C101"/>
      <c r="D101"/>
      <c r="E101"/>
      <c r="F101"/>
      <c r="H101"/>
      <c r="I101"/>
      <c r="J101"/>
      <c r="K101"/>
      <c r="L101"/>
      <c r="N101" s="19"/>
      <c r="O101" s="19">
        <f>Tabla354653[[#This Row],[COMISIONES]]*0.21</f>
        <v>0</v>
      </c>
      <c r="P101" s="19"/>
      <c r="Q101" s="19"/>
      <c r="R101" s="19"/>
      <c r="T101"/>
      <c r="U101"/>
      <c r="V101"/>
      <c r="W101"/>
      <c r="X101"/>
      <c r="Y101"/>
      <c r="Z101"/>
      <c r="AA101"/>
      <c r="AB101"/>
      <c r="AC101"/>
      <c r="AD101"/>
    </row>
    <row r="102" spans="1:30" s="6" customFormat="1" x14ac:dyDescent="0.3">
      <c r="A102"/>
      <c r="B102"/>
      <c r="C102"/>
      <c r="D102"/>
      <c r="E102"/>
      <c r="F102"/>
      <c r="H102"/>
      <c r="I102"/>
      <c r="J102"/>
      <c r="K102"/>
      <c r="L102"/>
      <c r="N102" s="19"/>
      <c r="O102" s="19">
        <f>Tabla354653[[#This Row],[COMISIONES]]*0.21</f>
        <v>0</v>
      </c>
      <c r="P102" s="19"/>
      <c r="Q102" s="19"/>
      <c r="R102" s="19"/>
      <c r="T102"/>
      <c r="U102"/>
      <c r="V102"/>
      <c r="W102"/>
      <c r="X102"/>
      <c r="Y102"/>
      <c r="Z102"/>
      <c r="AA102"/>
      <c r="AB102"/>
      <c r="AC102"/>
      <c r="AD102"/>
    </row>
    <row r="103" spans="1:30" s="6" customFormat="1" x14ac:dyDescent="0.3">
      <c r="A103"/>
      <c r="B103"/>
      <c r="C103"/>
      <c r="D103"/>
      <c r="E103"/>
      <c r="F103"/>
      <c r="H103"/>
      <c r="I103"/>
      <c r="J103"/>
      <c r="K103"/>
      <c r="L103"/>
      <c r="N103" s="19"/>
      <c r="O103" s="19">
        <f>Tabla354653[[#This Row],[COMISIONES]]*0.21</f>
        <v>0</v>
      </c>
      <c r="P103" s="19"/>
      <c r="Q103" s="19"/>
      <c r="R103" s="19"/>
      <c r="T103"/>
      <c r="U103"/>
      <c r="V103"/>
      <c r="W103"/>
      <c r="X103"/>
      <c r="Y103"/>
      <c r="Z103"/>
      <c r="AA103"/>
      <c r="AB103"/>
      <c r="AC103"/>
      <c r="AD103"/>
    </row>
    <row r="104" spans="1:30" s="6" customFormat="1" x14ac:dyDescent="0.3">
      <c r="A104"/>
      <c r="B104"/>
      <c r="C104"/>
      <c r="D104"/>
      <c r="E104"/>
      <c r="F104"/>
      <c r="H104"/>
      <c r="I104"/>
      <c r="J104"/>
      <c r="K104"/>
      <c r="L104"/>
      <c r="N104" s="19"/>
      <c r="O104" s="19">
        <f>Tabla354653[[#This Row],[COMISIONES]]*0.21</f>
        <v>0</v>
      </c>
      <c r="P104" s="19"/>
      <c r="Q104" s="19"/>
      <c r="R104" s="19"/>
      <c r="T104"/>
      <c r="U104"/>
      <c r="V104"/>
      <c r="W104"/>
      <c r="X104"/>
      <c r="Y104"/>
      <c r="Z104"/>
      <c r="AA104"/>
      <c r="AB104"/>
      <c r="AC104"/>
      <c r="AD104"/>
    </row>
    <row r="105" spans="1:30" s="6" customFormat="1" x14ac:dyDescent="0.3">
      <c r="A105"/>
      <c r="B105"/>
      <c r="C105"/>
      <c r="D105"/>
      <c r="E105"/>
      <c r="F105"/>
      <c r="H105"/>
      <c r="I105"/>
      <c r="J105"/>
      <c r="K105"/>
      <c r="L105"/>
      <c r="N105" s="19"/>
      <c r="O105" s="19">
        <f>Tabla354653[[#This Row],[COMISIONES]]*0.21</f>
        <v>0</v>
      </c>
      <c r="P105" s="19"/>
      <c r="Q105" s="19"/>
      <c r="R105" s="19"/>
      <c r="T105"/>
      <c r="U105"/>
      <c r="V105"/>
      <c r="W105"/>
      <c r="X105"/>
      <c r="Y105"/>
      <c r="Z105"/>
      <c r="AA105"/>
      <c r="AB105"/>
      <c r="AC105"/>
      <c r="AD105"/>
    </row>
    <row r="106" spans="1:30" s="6" customFormat="1" x14ac:dyDescent="0.3">
      <c r="A106"/>
      <c r="B106"/>
      <c r="C106"/>
      <c r="D106"/>
      <c r="E106"/>
      <c r="F106"/>
      <c r="H106"/>
      <c r="I106"/>
      <c r="J106"/>
      <c r="K106"/>
      <c r="L106"/>
      <c r="N106" s="19"/>
      <c r="O106" s="19">
        <f>Tabla354653[[#This Row],[COMISIONES]]*0.21</f>
        <v>0</v>
      </c>
      <c r="P106" s="19"/>
      <c r="Q106" s="19"/>
      <c r="R106" s="19"/>
      <c r="T106"/>
      <c r="U106"/>
      <c r="V106"/>
      <c r="W106"/>
      <c r="X106"/>
      <c r="Y106"/>
      <c r="Z106"/>
      <c r="AA106"/>
      <c r="AB106"/>
      <c r="AC106"/>
      <c r="AD106"/>
    </row>
    <row r="107" spans="1:30" s="6" customFormat="1" x14ac:dyDescent="0.3">
      <c r="A107"/>
      <c r="B107"/>
      <c r="C107"/>
      <c r="D107"/>
      <c r="E107"/>
      <c r="F107"/>
      <c r="H107"/>
      <c r="I107"/>
      <c r="J107"/>
      <c r="K107"/>
      <c r="L107"/>
      <c r="N107" s="19"/>
      <c r="O107" s="19">
        <f>Tabla354653[[#This Row],[COMISIONES]]*0.21</f>
        <v>0</v>
      </c>
      <c r="P107" s="19"/>
      <c r="Q107" s="19"/>
      <c r="R107" s="19"/>
      <c r="T107"/>
      <c r="U107"/>
      <c r="V107"/>
      <c r="W107"/>
      <c r="X107"/>
      <c r="Y107"/>
      <c r="Z107"/>
      <c r="AA107"/>
      <c r="AB107"/>
      <c r="AC107"/>
      <c r="AD107"/>
    </row>
    <row r="108" spans="1:30" s="6" customFormat="1" x14ac:dyDescent="0.3">
      <c r="A108"/>
      <c r="B108"/>
      <c r="C108"/>
      <c r="D108"/>
      <c r="E108"/>
      <c r="F108"/>
      <c r="H108"/>
      <c r="I108"/>
      <c r="J108"/>
      <c r="K108"/>
      <c r="L108"/>
      <c r="N108" s="19"/>
      <c r="O108" s="19">
        <f>Tabla354653[[#This Row],[COMISIONES]]*0.21</f>
        <v>0</v>
      </c>
      <c r="P108" s="19"/>
      <c r="Q108" s="19"/>
      <c r="R108" s="19"/>
      <c r="T108"/>
      <c r="U108"/>
      <c r="V108"/>
      <c r="W108"/>
      <c r="X108"/>
      <c r="Y108"/>
      <c r="Z108"/>
      <c r="AA108"/>
      <c r="AB108"/>
      <c r="AC108"/>
      <c r="AD108"/>
    </row>
    <row r="109" spans="1:30" s="6" customFormat="1" x14ac:dyDescent="0.3">
      <c r="A109"/>
      <c r="B109"/>
      <c r="C109"/>
      <c r="D109"/>
      <c r="E109"/>
      <c r="F109"/>
      <c r="H109"/>
      <c r="I109"/>
      <c r="J109"/>
      <c r="K109"/>
      <c r="L109"/>
      <c r="N109" s="19"/>
      <c r="O109" s="19">
        <f>Tabla354653[[#This Row],[COMISIONES]]*0.21</f>
        <v>0</v>
      </c>
      <c r="P109" s="19"/>
      <c r="Q109" s="19"/>
      <c r="R109" s="19"/>
      <c r="T109"/>
      <c r="U109"/>
      <c r="V109"/>
      <c r="W109"/>
      <c r="X109"/>
      <c r="Y109"/>
      <c r="Z109"/>
      <c r="AA109"/>
      <c r="AB109"/>
      <c r="AC109"/>
      <c r="AD109"/>
    </row>
    <row r="110" spans="1:30" s="6" customFormat="1" x14ac:dyDescent="0.3">
      <c r="A110"/>
      <c r="B110"/>
      <c r="C110"/>
      <c r="D110"/>
      <c r="E110"/>
      <c r="F110"/>
      <c r="H110"/>
      <c r="I110"/>
      <c r="J110"/>
      <c r="K110"/>
      <c r="L110"/>
      <c r="N110" s="19"/>
      <c r="O110" s="19">
        <f>Tabla354653[[#This Row],[COMISIONES]]*0.21</f>
        <v>0</v>
      </c>
      <c r="P110" s="19"/>
      <c r="Q110" s="19"/>
      <c r="R110" s="19"/>
      <c r="T110"/>
      <c r="U110"/>
      <c r="V110"/>
      <c r="W110"/>
      <c r="X110"/>
      <c r="Y110"/>
      <c r="Z110"/>
      <c r="AA110"/>
      <c r="AB110"/>
      <c r="AC110"/>
      <c r="AD110"/>
    </row>
    <row r="111" spans="1:30" s="6" customFormat="1" x14ac:dyDescent="0.3">
      <c r="A111"/>
      <c r="B111"/>
      <c r="C111"/>
      <c r="D111"/>
      <c r="E111"/>
      <c r="F111"/>
      <c r="H111"/>
      <c r="I111"/>
      <c r="J111"/>
      <c r="K111"/>
      <c r="L111"/>
      <c r="N111" s="19"/>
      <c r="O111" s="19">
        <f>Tabla354653[[#This Row],[COMISIONES]]*0.21</f>
        <v>0</v>
      </c>
      <c r="P111" s="19"/>
      <c r="Q111" s="19"/>
      <c r="R111" s="19"/>
      <c r="T111"/>
      <c r="U111"/>
      <c r="V111"/>
      <c r="W111"/>
      <c r="X111"/>
      <c r="Y111"/>
      <c r="Z111"/>
      <c r="AA111"/>
      <c r="AB111"/>
      <c r="AC111"/>
      <c r="AD111"/>
    </row>
    <row r="112" spans="1:30" s="6" customFormat="1" x14ac:dyDescent="0.3">
      <c r="A112"/>
      <c r="B112"/>
      <c r="C112"/>
      <c r="D112"/>
      <c r="E112"/>
      <c r="F112"/>
      <c r="H112"/>
      <c r="I112"/>
      <c r="J112"/>
      <c r="K112"/>
      <c r="L112"/>
      <c r="N112" s="19"/>
      <c r="O112" s="19">
        <f>Tabla354653[[#This Row],[COMISIONES]]*0.21</f>
        <v>0</v>
      </c>
      <c r="P112" s="19"/>
      <c r="Q112" s="19"/>
      <c r="R112" s="19"/>
      <c r="T112"/>
      <c r="U112"/>
      <c r="V112"/>
      <c r="W112"/>
      <c r="X112"/>
      <c r="Y112"/>
      <c r="Z112"/>
      <c r="AA112"/>
      <c r="AB112"/>
      <c r="AC112"/>
      <c r="AD112"/>
    </row>
    <row r="113" spans="1:30" s="6" customFormat="1" x14ac:dyDescent="0.3">
      <c r="A113"/>
      <c r="B113"/>
      <c r="C113"/>
      <c r="D113"/>
      <c r="E113"/>
      <c r="F113"/>
      <c r="H113"/>
      <c r="I113"/>
      <c r="J113"/>
      <c r="K113"/>
      <c r="L113"/>
      <c r="N113" s="19"/>
      <c r="O113" s="19">
        <f>Tabla354653[[#This Row],[COMISIONES]]*0.21</f>
        <v>0</v>
      </c>
      <c r="P113" s="19"/>
      <c r="Q113" s="19"/>
      <c r="R113" s="19"/>
      <c r="T113"/>
      <c r="U113"/>
      <c r="V113"/>
      <c r="W113"/>
      <c r="X113"/>
      <c r="Y113"/>
      <c r="Z113"/>
      <c r="AA113"/>
      <c r="AB113"/>
      <c r="AC113"/>
      <c r="AD113"/>
    </row>
    <row r="114" spans="1:30" s="6" customFormat="1" x14ac:dyDescent="0.3">
      <c r="A114"/>
      <c r="B114"/>
      <c r="C114"/>
      <c r="D114"/>
      <c r="E114"/>
      <c r="F114"/>
      <c r="H114"/>
      <c r="I114"/>
      <c r="J114"/>
      <c r="K114"/>
      <c r="L114"/>
      <c r="N114" s="19"/>
      <c r="O114" s="19">
        <f>Tabla354653[[#This Row],[COMISIONES]]*0.21</f>
        <v>0</v>
      </c>
      <c r="P114" s="19"/>
      <c r="Q114" s="19"/>
      <c r="R114" s="19"/>
      <c r="T114"/>
      <c r="U114"/>
      <c r="V114"/>
      <c r="W114"/>
      <c r="X114"/>
      <c r="Y114"/>
      <c r="Z114"/>
      <c r="AA114"/>
      <c r="AB114"/>
      <c r="AC114"/>
      <c r="AD114"/>
    </row>
    <row r="115" spans="1:30" s="6" customFormat="1" x14ac:dyDescent="0.3">
      <c r="A115"/>
      <c r="B115"/>
      <c r="C115"/>
      <c r="D115"/>
      <c r="E115"/>
      <c r="F115"/>
      <c r="H115"/>
      <c r="I115"/>
      <c r="J115"/>
      <c r="K115"/>
      <c r="L115"/>
      <c r="N115" s="19"/>
      <c r="O115" s="19">
        <f>Tabla354653[[#This Row],[COMISIONES]]*0.21</f>
        <v>0</v>
      </c>
      <c r="P115" s="19"/>
      <c r="Q115" s="19"/>
      <c r="R115" s="19"/>
      <c r="T115"/>
      <c r="U115"/>
      <c r="V115"/>
      <c r="W115"/>
      <c r="X115"/>
      <c r="Y115"/>
      <c r="Z115"/>
      <c r="AA115"/>
      <c r="AB115"/>
      <c r="AC115"/>
      <c r="AD115"/>
    </row>
    <row r="116" spans="1:30" s="6" customFormat="1" x14ac:dyDescent="0.3">
      <c r="A116"/>
      <c r="B116"/>
      <c r="C116"/>
      <c r="D116"/>
      <c r="E116"/>
      <c r="F116"/>
      <c r="H116"/>
      <c r="I116"/>
      <c r="J116"/>
      <c r="K116"/>
      <c r="L116"/>
      <c r="N116" s="19"/>
      <c r="O116" s="19">
        <f>Tabla354653[[#This Row],[COMISIONES]]*0.21</f>
        <v>0</v>
      </c>
      <c r="P116" s="19"/>
      <c r="Q116" s="19"/>
      <c r="R116" s="19"/>
      <c r="T116"/>
      <c r="U116"/>
      <c r="V116"/>
      <c r="W116"/>
      <c r="X116"/>
      <c r="Y116"/>
      <c r="Z116"/>
      <c r="AA116"/>
      <c r="AB116"/>
      <c r="AC116"/>
      <c r="AD116"/>
    </row>
    <row r="117" spans="1:30" s="6" customFormat="1" x14ac:dyDescent="0.3">
      <c r="A117"/>
      <c r="B117"/>
      <c r="C117"/>
      <c r="D117"/>
      <c r="E117"/>
      <c r="F117"/>
      <c r="H117"/>
      <c r="I117"/>
      <c r="J117"/>
      <c r="K117"/>
      <c r="L117"/>
      <c r="N117" s="19"/>
      <c r="O117" s="19">
        <f>Tabla354653[[#This Row],[COMISIONES]]*0.21</f>
        <v>0</v>
      </c>
      <c r="P117" s="19"/>
      <c r="Q117" s="19"/>
      <c r="R117" s="19"/>
      <c r="T117"/>
      <c r="U117"/>
      <c r="V117"/>
      <c r="W117"/>
      <c r="X117"/>
      <c r="Y117"/>
      <c r="Z117"/>
      <c r="AA117"/>
      <c r="AB117"/>
      <c r="AC117"/>
      <c r="AD117"/>
    </row>
    <row r="118" spans="1:30" s="6" customFormat="1" x14ac:dyDescent="0.3">
      <c r="A118"/>
      <c r="B118"/>
      <c r="C118"/>
      <c r="D118"/>
      <c r="E118"/>
      <c r="F118"/>
      <c r="H118"/>
      <c r="I118"/>
      <c r="J118"/>
      <c r="K118"/>
      <c r="L118"/>
      <c r="N118" s="19"/>
      <c r="O118" s="19">
        <f>Tabla354653[[#This Row],[COMISIONES]]*0.21</f>
        <v>0</v>
      </c>
      <c r="P118" s="19"/>
      <c r="Q118" s="19"/>
      <c r="R118" s="19"/>
      <c r="T118"/>
      <c r="U118"/>
      <c r="V118"/>
      <c r="W118"/>
      <c r="X118"/>
      <c r="Y118"/>
      <c r="Z118"/>
      <c r="AA118"/>
      <c r="AB118"/>
      <c r="AC118"/>
      <c r="AD118"/>
    </row>
    <row r="119" spans="1:30" s="6" customFormat="1" x14ac:dyDescent="0.3">
      <c r="A119"/>
      <c r="B119"/>
      <c r="C119"/>
      <c r="D119"/>
      <c r="E119"/>
      <c r="F119"/>
      <c r="H119"/>
      <c r="I119"/>
      <c r="J119"/>
      <c r="K119"/>
      <c r="L119"/>
      <c r="N119" s="19"/>
      <c r="O119" s="19">
        <f>Tabla354653[[#This Row],[COMISIONES]]*0.21</f>
        <v>0</v>
      </c>
      <c r="P119" s="19"/>
      <c r="Q119" s="19"/>
      <c r="R119" s="19"/>
      <c r="T119"/>
      <c r="U119"/>
      <c r="V119"/>
      <c r="W119"/>
      <c r="X119"/>
      <c r="Y119"/>
      <c r="Z119"/>
      <c r="AA119"/>
      <c r="AB119"/>
      <c r="AC119"/>
      <c r="AD119"/>
    </row>
    <row r="120" spans="1:30" s="6" customFormat="1" x14ac:dyDescent="0.3">
      <c r="A120"/>
      <c r="B120"/>
      <c r="C120"/>
      <c r="D120"/>
      <c r="E120"/>
      <c r="F120"/>
      <c r="H120"/>
      <c r="I120"/>
      <c r="J120"/>
      <c r="K120"/>
      <c r="L120"/>
      <c r="N120" s="19"/>
      <c r="O120" s="19">
        <f>Tabla354653[[#This Row],[COMISIONES]]*0.21</f>
        <v>0</v>
      </c>
      <c r="P120" s="19"/>
      <c r="Q120" s="19"/>
      <c r="R120" s="19"/>
      <c r="T120"/>
      <c r="U120"/>
      <c r="V120"/>
      <c r="W120"/>
      <c r="X120"/>
      <c r="Y120"/>
      <c r="Z120"/>
      <c r="AA120"/>
      <c r="AB120"/>
      <c r="AC120"/>
      <c r="AD120"/>
    </row>
    <row r="121" spans="1:30" s="6" customFormat="1" x14ac:dyDescent="0.3">
      <c r="A121"/>
      <c r="B121"/>
      <c r="C121"/>
      <c r="D121"/>
      <c r="E121"/>
      <c r="F121"/>
      <c r="H121"/>
      <c r="I121"/>
      <c r="J121"/>
      <c r="K121"/>
      <c r="L121"/>
      <c r="N121" s="19"/>
      <c r="O121" s="19">
        <f>Tabla354653[[#This Row],[COMISIONES]]*0.21</f>
        <v>0</v>
      </c>
      <c r="P121" s="19"/>
      <c r="Q121" s="19"/>
      <c r="R121" s="19"/>
      <c r="T121"/>
      <c r="U121"/>
      <c r="V121"/>
      <c r="W121"/>
      <c r="X121"/>
      <c r="Y121"/>
      <c r="Z121"/>
      <c r="AA121"/>
      <c r="AB121"/>
      <c r="AC121"/>
      <c r="AD121"/>
    </row>
    <row r="122" spans="1:30" s="6" customFormat="1" x14ac:dyDescent="0.3">
      <c r="A122"/>
      <c r="B122"/>
      <c r="C122"/>
      <c r="D122"/>
      <c r="E122"/>
      <c r="F122"/>
      <c r="H122"/>
      <c r="I122"/>
      <c r="J122"/>
      <c r="K122"/>
      <c r="L122"/>
      <c r="N122" s="19"/>
      <c r="O122" s="19">
        <f>Tabla354653[[#This Row],[COMISIONES]]*0.21</f>
        <v>0</v>
      </c>
      <c r="P122" s="19"/>
      <c r="Q122" s="19"/>
      <c r="R122" s="19"/>
      <c r="T122"/>
      <c r="U122"/>
      <c r="V122"/>
      <c r="W122"/>
      <c r="X122"/>
      <c r="Y122"/>
      <c r="Z122"/>
      <c r="AA122"/>
      <c r="AB122"/>
      <c r="AC122"/>
      <c r="AD122"/>
    </row>
    <row r="123" spans="1:30" s="6" customFormat="1" x14ac:dyDescent="0.3">
      <c r="A123"/>
      <c r="B123"/>
      <c r="C123"/>
      <c r="D123"/>
      <c r="E123"/>
      <c r="F123"/>
      <c r="H123"/>
      <c r="I123"/>
      <c r="J123"/>
      <c r="K123"/>
      <c r="L123"/>
      <c r="N123" s="19"/>
      <c r="O123" s="19">
        <f>Tabla354653[[#This Row],[COMISIONES]]*0.21</f>
        <v>0</v>
      </c>
      <c r="P123" s="19"/>
      <c r="Q123" s="19"/>
      <c r="R123" s="19"/>
      <c r="T123"/>
      <c r="U123"/>
      <c r="V123"/>
      <c r="W123"/>
      <c r="X123"/>
      <c r="Y123"/>
      <c r="Z123"/>
      <c r="AA123"/>
      <c r="AB123"/>
      <c r="AC123"/>
      <c r="AD123"/>
    </row>
    <row r="124" spans="1:30" s="6" customFormat="1" x14ac:dyDescent="0.3">
      <c r="A124"/>
      <c r="B124"/>
      <c r="C124"/>
      <c r="D124"/>
      <c r="E124"/>
      <c r="F124"/>
      <c r="H124"/>
      <c r="I124"/>
      <c r="J124"/>
      <c r="K124"/>
      <c r="L124"/>
      <c r="N124" s="19"/>
      <c r="O124" s="19">
        <f>Tabla354653[[#This Row],[COMISIONES]]*0.21</f>
        <v>0</v>
      </c>
      <c r="P124" s="19"/>
      <c r="Q124" s="19"/>
      <c r="R124" s="19"/>
      <c r="T124"/>
      <c r="U124"/>
      <c r="V124"/>
      <c r="W124"/>
      <c r="X124"/>
      <c r="Y124"/>
      <c r="Z124"/>
      <c r="AA124"/>
      <c r="AB124"/>
      <c r="AC124"/>
      <c r="AD124"/>
    </row>
    <row r="125" spans="1:30" s="6" customFormat="1" x14ac:dyDescent="0.3">
      <c r="A125"/>
      <c r="B125"/>
      <c r="C125"/>
      <c r="D125"/>
      <c r="E125"/>
      <c r="F125"/>
      <c r="H125"/>
      <c r="I125"/>
      <c r="J125"/>
      <c r="K125"/>
      <c r="L125"/>
      <c r="N125" s="19"/>
      <c r="O125" s="19">
        <f>Tabla354653[[#This Row],[COMISIONES]]*0.21</f>
        <v>0</v>
      </c>
      <c r="P125" s="19"/>
      <c r="Q125" s="19"/>
      <c r="R125" s="19"/>
      <c r="T125"/>
      <c r="U125"/>
      <c r="V125"/>
      <c r="W125"/>
      <c r="X125"/>
      <c r="Y125"/>
      <c r="Z125"/>
      <c r="AA125"/>
      <c r="AB125"/>
      <c r="AC125"/>
      <c r="AD125"/>
    </row>
    <row r="126" spans="1:30" s="6" customFormat="1" x14ac:dyDescent="0.3">
      <c r="A126"/>
      <c r="B126"/>
      <c r="C126"/>
      <c r="D126"/>
      <c r="E126"/>
      <c r="F126"/>
      <c r="H126"/>
      <c r="I126"/>
      <c r="J126"/>
      <c r="K126"/>
      <c r="L126"/>
      <c r="N126" s="19"/>
      <c r="O126" s="19">
        <f>Tabla354653[[#This Row],[COMISIONES]]*0.21</f>
        <v>0</v>
      </c>
      <c r="P126" s="19"/>
      <c r="Q126" s="19"/>
      <c r="R126" s="19"/>
      <c r="T126"/>
      <c r="U126"/>
      <c r="V126"/>
      <c r="W126"/>
      <c r="X126"/>
      <c r="Y126"/>
      <c r="Z126"/>
      <c r="AA126"/>
      <c r="AB126"/>
      <c r="AC126"/>
      <c r="AD126"/>
    </row>
    <row r="127" spans="1:30" s="6" customFormat="1" x14ac:dyDescent="0.3">
      <c r="A127"/>
      <c r="B127"/>
      <c r="C127"/>
      <c r="D127"/>
      <c r="E127"/>
      <c r="F127"/>
      <c r="H127"/>
      <c r="I127"/>
      <c r="J127"/>
      <c r="K127"/>
      <c r="L127"/>
      <c r="N127" s="19"/>
      <c r="O127" s="19">
        <f>Tabla354653[[#This Row],[COMISIONES]]*0.21</f>
        <v>0</v>
      </c>
      <c r="P127" s="19"/>
      <c r="Q127" s="19"/>
      <c r="R127" s="19"/>
      <c r="T127"/>
      <c r="U127"/>
      <c r="V127"/>
      <c r="W127"/>
      <c r="X127"/>
      <c r="Y127"/>
      <c r="Z127"/>
      <c r="AA127"/>
      <c r="AB127"/>
      <c r="AC127"/>
      <c r="AD127"/>
    </row>
    <row r="128" spans="1:30" s="6" customFormat="1" x14ac:dyDescent="0.3">
      <c r="A128"/>
      <c r="B128"/>
      <c r="C128"/>
      <c r="D128"/>
      <c r="E128"/>
      <c r="F128"/>
      <c r="H128"/>
      <c r="I128"/>
      <c r="J128"/>
      <c r="K128"/>
      <c r="L128"/>
      <c r="N128" s="19"/>
      <c r="O128" s="19">
        <f>Tabla354653[[#This Row],[COMISIONES]]*0.21</f>
        <v>0</v>
      </c>
      <c r="P128" s="19"/>
      <c r="Q128" s="19"/>
      <c r="R128" s="19"/>
      <c r="T128"/>
      <c r="U128"/>
      <c r="V128"/>
      <c r="W128"/>
      <c r="X128"/>
      <c r="Y128"/>
      <c r="Z128"/>
      <c r="AA128"/>
      <c r="AB128"/>
      <c r="AC128"/>
      <c r="AD128"/>
    </row>
    <row r="129" spans="1:30" s="6" customFormat="1" x14ac:dyDescent="0.3">
      <c r="A129"/>
      <c r="B129"/>
      <c r="C129"/>
      <c r="D129"/>
      <c r="E129"/>
      <c r="F129"/>
      <c r="H129"/>
      <c r="I129"/>
      <c r="J129"/>
      <c r="K129"/>
      <c r="L129"/>
      <c r="N129" s="19"/>
      <c r="O129" s="19">
        <f>Tabla354653[[#This Row],[COMISIONES]]*0.21</f>
        <v>0</v>
      </c>
      <c r="P129" s="19"/>
      <c r="Q129" s="19"/>
      <c r="R129" s="19"/>
      <c r="T129"/>
      <c r="U129"/>
      <c r="V129"/>
      <c r="W129"/>
      <c r="X129"/>
      <c r="Y129"/>
      <c r="Z129"/>
      <c r="AA129"/>
      <c r="AB129"/>
      <c r="AC129"/>
      <c r="AD129"/>
    </row>
    <row r="130" spans="1:30" s="6" customFormat="1" x14ac:dyDescent="0.3">
      <c r="A130"/>
      <c r="B130"/>
      <c r="C130"/>
      <c r="D130"/>
      <c r="E130"/>
      <c r="F130"/>
      <c r="H130"/>
      <c r="I130"/>
      <c r="J130"/>
      <c r="K130"/>
      <c r="L130"/>
      <c r="N130" s="19"/>
      <c r="O130" s="19">
        <f>Tabla354653[[#This Row],[COMISIONES]]*0.21</f>
        <v>0</v>
      </c>
      <c r="P130" s="19"/>
      <c r="Q130" s="19"/>
      <c r="R130" s="19"/>
      <c r="T130"/>
      <c r="U130"/>
      <c r="V130"/>
      <c r="W130"/>
      <c r="X130"/>
      <c r="Y130"/>
      <c r="Z130"/>
      <c r="AA130"/>
      <c r="AB130"/>
      <c r="AC130"/>
      <c r="AD130"/>
    </row>
    <row r="131" spans="1:30" s="6" customFormat="1" x14ac:dyDescent="0.3">
      <c r="A131"/>
      <c r="B131"/>
      <c r="C131"/>
      <c r="D131"/>
      <c r="E131"/>
      <c r="F131"/>
      <c r="H131"/>
      <c r="I131"/>
      <c r="J131"/>
      <c r="K131"/>
      <c r="L131"/>
      <c r="N131" s="19"/>
      <c r="O131" s="19">
        <f>Tabla354653[[#This Row],[COMISIONES]]*0.21</f>
        <v>0</v>
      </c>
      <c r="P131" s="19"/>
      <c r="Q131" s="19"/>
      <c r="R131" s="19"/>
      <c r="T131"/>
      <c r="U131"/>
      <c r="V131"/>
      <c r="W131"/>
      <c r="X131"/>
      <c r="Y131"/>
      <c r="Z131"/>
      <c r="AA131"/>
      <c r="AB131"/>
      <c r="AC131"/>
      <c r="AD131"/>
    </row>
    <row r="132" spans="1:30" s="6" customFormat="1" x14ac:dyDescent="0.3">
      <c r="A132"/>
      <c r="B132"/>
      <c r="C132"/>
      <c r="D132"/>
      <c r="E132"/>
      <c r="F132"/>
      <c r="H132"/>
      <c r="I132"/>
      <c r="J132"/>
      <c r="K132"/>
      <c r="L132"/>
      <c r="N132" s="18">
        <f>SUBTOTAL(109,Tabla354653[COMISIONES])</f>
        <v>9224.5499999999993</v>
      </c>
      <c r="O132" s="18">
        <f>SUBTOTAL(109,Tabla354653[IVA 21])</f>
        <v>447.9615</v>
      </c>
      <c r="P132" s="18">
        <f>SUBTOTAL(109,Tabla354653[IVA 10,5])</f>
        <v>744.6</v>
      </c>
      <c r="Q132" s="18">
        <f>SUBTOTAL(109,Tabla354653[Ret IIBB Caba])</f>
        <v>2382.4899999999998</v>
      </c>
      <c r="R132" s="18">
        <f>SUBTOTAL(109,Tabla354653[PERC IVA])</f>
        <v>132.09</v>
      </c>
      <c r="T132"/>
      <c r="U132"/>
      <c r="V132"/>
      <c r="W132"/>
      <c r="X132"/>
      <c r="Y132"/>
      <c r="Z132"/>
      <c r="AA132"/>
      <c r="AB132"/>
      <c r="AC132"/>
      <c r="AD132"/>
    </row>
  </sheetData>
  <mergeCells count="16">
    <mergeCell ref="T11:X11"/>
    <mergeCell ref="Z11:AD11"/>
    <mergeCell ref="T29:X29"/>
    <mergeCell ref="H52:L52"/>
    <mergeCell ref="G7:H7"/>
    <mergeCell ref="G8:H8"/>
    <mergeCell ref="G9:H9"/>
    <mergeCell ref="B11:F11"/>
    <mergeCell ref="H11:L11"/>
    <mergeCell ref="N11:R11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1"/>
  <sheetViews>
    <sheetView showGridLines="0" topLeftCell="Q6" zoomScale="80" zoomScaleNormal="80" workbookViewId="0">
      <selection activeCell="E18" sqref="E18"/>
    </sheetView>
  </sheetViews>
  <sheetFormatPr baseColWidth="10" defaultRowHeight="14.4" x14ac:dyDescent="0.3"/>
  <cols>
    <col min="1" max="1" width="4.5546875" customWidth="1"/>
    <col min="2" max="2" width="16.88671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30" ht="6" customHeight="1" x14ac:dyDescent="0.3">
      <c r="G1"/>
      <c r="M1"/>
    </row>
    <row r="2" spans="1:30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44986</v>
      </c>
      <c r="K2" s="35"/>
      <c r="M2"/>
    </row>
    <row r="3" spans="1:30" x14ac:dyDescent="0.3">
      <c r="A3" s="17" t="s">
        <v>6</v>
      </c>
      <c r="B3" s="17"/>
      <c r="C3" s="14">
        <f>Tabla1[[#Totals],[COMISIONES]]</f>
        <v>850</v>
      </c>
      <c r="D3" s="14">
        <f>Tabla1[[#Totals],[IVA 21]]</f>
        <v>178.5</v>
      </c>
      <c r="E3" s="14">
        <f>Tabla1[[#Totals],[IVA 10,5]]</f>
        <v>0</v>
      </c>
      <c r="F3" s="14">
        <f>Tabla1[[#Totals],[Ret IIBB Caba]]</f>
        <v>0</v>
      </c>
      <c r="G3" s="33">
        <f>Tabla1[[#Totals],[PERC IVA]]</f>
        <v>0</v>
      </c>
      <c r="H3" s="34"/>
      <c r="J3" s="2"/>
      <c r="K3" s="3"/>
      <c r="M3"/>
      <c r="N3" t="s">
        <v>12</v>
      </c>
    </row>
    <row r="4" spans="1:30" x14ac:dyDescent="0.3">
      <c r="A4" s="17" t="s">
        <v>7</v>
      </c>
      <c r="B4" s="17"/>
      <c r="C4" s="14">
        <f>Tabla3[[#Totals],[COMISIONES]]</f>
        <v>24995</v>
      </c>
      <c r="D4" s="14">
        <f>Tabla3[[#Totals],[IVA 21]]</f>
        <v>5248.95</v>
      </c>
      <c r="E4" s="14">
        <f>Tabla3[[#Totals],[IVA 10,5]]</f>
        <v>0</v>
      </c>
      <c r="F4" s="14">
        <f>Tabla3[[#Totals],[Ret IIBB Caba]]</f>
        <v>0</v>
      </c>
      <c r="G4" s="33">
        <f>Tabla3[[#Totals],[PERC IVA]]</f>
        <v>749.85</v>
      </c>
      <c r="H4" s="34"/>
      <c r="J4" s="2"/>
      <c r="K4" s="3"/>
      <c r="M4"/>
    </row>
    <row r="5" spans="1:30" x14ac:dyDescent="0.3">
      <c r="A5" s="17" t="s">
        <v>8</v>
      </c>
      <c r="B5" s="17"/>
      <c r="C5" s="14">
        <f>Tabla35[[#Totals],[COMISIONES]]</f>
        <v>115959.62999999999</v>
      </c>
      <c r="D5" s="14">
        <f>Tabla35[[#Totals],[IVA 21]]</f>
        <v>24351.522300000008</v>
      </c>
      <c r="E5" s="14">
        <f>Tabla35[[#Totals],[IVA 10,5]]</f>
        <v>28629.160000000003</v>
      </c>
      <c r="F5" s="14">
        <f>Tabla35[[#Totals],[Ret IIBB Caba]]</f>
        <v>365310.32000000018</v>
      </c>
      <c r="G5" s="33">
        <f>Tabla35[[#Totals],[PERC IVA]]</f>
        <v>6582.92</v>
      </c>
      <c r="H5" s="34"/>
      <c r="M5"/>
    </row>
    <row r="6" spans="1:30" x14ac:dyDescent="0.3">
      <c r="A6" s="17" t="s">
        <v>9</v>
      </c>
      <c r="B6" s="17"/>
      <c r="C6" s="14">
        <f>Tabla356[[#Totals],[COMISIONES]]</f>
        <v>8814.2900000000009</v>
      </c>
      <c r="D6" s="14">
        <f>Tabla356[[#Totals],[IVA 21]]</f>
        <v>1851.0009</v>
      </c>
      <c r="E6" s="14">
        <f>Tabla356[[#Totals],[IVA 10,5]]</f>
        <v>0</v>
      </c>
      <c r="F6" s="14">
        <f>Tabla356[[#Totals],[Ret IIBB Caba]]</f>
        <v>525</v>
      </c>
      <c r="G6" s="33">
        <f>Tabla356[[#Totals],[PERC IVA]]</f>
        <v>262.5</v>
      </c>
      <c r="H6" s="34"/>
      <c r="M6"/>
    </row>
    <row r="7" spans="1:30" x14ac:dyDescent="0.3">
      <c r="A7" s="17" t="s">
        <v>10</v>
      </c>
      <c r="B7" s="17"/>
      <c r="C7" s="14">
        <f>Tabla3568[[#Totals],[COMISIONES]]</f>
        <v>1020.1999999999999</v>
      </c>
      <c r="D7" s="14">
        <f>Tabla3568[[#Totals],[IVA 21]]</f>
        <v>214.24200000000002</v>
      </c>
      <c r="E7" s="14">
        <f>Tabla3568[[#Totals],[IVA 10,5]]</f>
        <v>0</v>
      </c>
      <c r="F7" s="14">
        <f>Tabla3568[[#Totals],[Ret IIBB Caba]]</f>
        <v>5692.6799999999994</v>
      </c>
      <c r="G7" s="33">
        <f>Tabla3568[[#Totals],[PERC IVA]]</f>
        <v>0</v>
      </c>
      <c r="H7" s="34"/>
      <c r="M7"/>
    </row>
    <row r="8" spans="1:30" x14ac:dyDescent="0.3">
      <c r="A8" s="17" t="s">
        <v>11</v>
      </c>
      <c r="B8" s="17"/>
      <c r="C8" s="14">
        <f>Tabla6[[#Totals],[COMISIONES]]</f>
        <v>12750</v>
      </c>
      <c r="D8" s="14">
        <f>Tabla6[[#Totals],[IVA 21]]</f>
        <v>2677.5</v>
      </c>
      <c r="E8" s="14">
        <f>Tabla6[[#Totals],[IVA 10,5]]</f>
        <v>0</v>
      </c>
      <c r="F8" s="14">
        <f>Tabla6[[#Totals],[Ret IIBB Caba]]</f>
        <v>638.4</v>
      </c>
      <c r="G8" s="33">
        <f>Tabla6[[#Totals],[PERC IVA]]</f>
        <v>319.2</v>
      </c>
      <c r="H8" s="34"/>
      <c r="M8"/>
    </row>
    <row r="9" spans="1:30" ht="6" customHeight="1" x14ac:dyDescent="0.3">
      <c r="G9"/>
      <c r="M9"/>
    </row>
    <row r="10" spans="1:30" ht="16.5" customHeight="1" x14ac:dyDescent="0.35">
      <c r="B10" s="30" t="s">
        <v>16</v>
      </c>
      <c r="C10" s="30"/>
      <c r="D10" s="30"/>
      <c r="E10" s="30"/>
      <c r="F10" s="30"/>
      <c r="H10" s="30" t="s">
        <v>14</v>
      </c>
      <c r="I10" s="30"/>
      <c r="J10" s="30"/>
      <c r="K10" s="30"/>
      <c r="L10" s="30"/>
      <c r="N10" s="30" t="s">
        <v>5</v>
      </c>
      <c r="O10" s="30"/>
      <c r="P10" s="30"/>
      <c r="Q10" s="30"/>
      <c r="R10" s="30"/>
      <c r="T10" s="30" t="s">
        <v>17</v>
      </c>
      <c r="U10" s="30"/>
      <c r="V10" s="30"/>
      <c r="W10" s="30"/>
      <c r="X10" s="30"/>
      <c r="Y10" s="6"/>
      <c r="Z10" s="30" t="s">
        <v>15</v>
      </c>
      <c r="AA10" s="30"/>
      <c r="AB10" s="30"/>
      <c r="AC10" s="30"/>
      <c r="AD10" s="30"/>
    </row>
    <row r="11" spans="1:30" s="5" customFormat="1" x14ac:dyDescent="0.3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7"/>
      <c r="H11" s="12" t="s">
        <v>2</v>
      </c>
      <c r="I11" s="13" t="s">
        <v>0</v>
      </c>
      <c r="J11" s="13" t="s">
        <v>1</v>
      </c>
      <c r="K11" s="13" t="s">
        <v>3</v>
      </c>
      <c r="L11" s="13" t="s">
        <v>4</v>
      </c>
      <c r="M11" s="7"/>
      <c r="N11" s="12" t="s">
        <v>2</v>
      </c>
      <c r="O11" s="13" t="s">
        <v>0</v>
      </c>
      <c r="P11" s="13" t="s">
        <v>1</v>
      </c>
      <c r="Q11" s="13" t="s">
        <v>3</v>
      </c>
      <c r="R11" s="13" t="s">
        <v>4</v>
      </c>
      <c r="S11" s="7"/>
      <c r="T11" s="12" t="s">
        <v>2</v>
      </c>
      <c r="U11" s="13" t="s">
        <v>0</v>
      </c>
      <c r="V11" s="13" t="s">
        <v>1</v>
      </c>
      <c r="W11" s="13" t="s">
        <v>3</v>
      </c>
      <c r="X11" s="13" t="s">
        <v>4</v>
      </c>
      <c r="Y11" s="7"/>
      <c r="Z11" s="12" t="s">
        <v>2</v>
      </c>
      <c r="AA11" s="13" t="s">
        <v>0</v>
      </c>
      <c r="AB11" s="13" t="s">
        <v>1</v>
      </c>
      <c r="AC11" s="13" t="s">
        <v>3</v>
      </c>
      <c r="AD11" s="13" t="s">
        <v>4</v>
      </c>
    </row>
    <row r="12" spans="1:30" x14ac:dyDescent="0.3">
      <c r="B12" s="2">
        <v>850</v>
      </c>
      <c r="C12" s="2">
        <f>Tabla1[[#This Row],[COMISIONES]]*0.21</f>
        <v>178.5</v>
      </c>
      <c r="D12" s="3"/>
      <c r="E12" s="3"/>
      <c r="G12" s="8"/>
      <c r="H12" s="3">
        <v>24995</v>
      </c>
      <c r="I12" s="11">
        <f>Tabla3[[#This Row],[COMISIONES]]*0.21</f>
        <v>5248.95</v>
      </c>
      <c r="J12" s="11"/>
      <c r="K12" s="11"/>
      <c r="L12" s="3">
        <v>749.85</v>
      </c>
      <c r="M12" s="8"/>
      <c r="N12" s="11">
        <v>42.08</v>
      </c>
      <c r="O12" s="11">
        <f>Tabla35[[#This Row],[COMISIONES]]*0.21</f>
        <v>8.8367999999999984</v>
      </c>
      <c r="P12" s="11">
        <v>375.39</v>
      </c>
      <c r="Q12" s="11">
        <v>103.29</v>
      </c>
      <c r="R12" s="11">
        <v>12.97</v>
      </c>
      <c r="S12" s="8"/>
      <c r="T12" s="11">
        <v>8750</v>
      </c>
      <c r="U12" s="11">
        <f>Tabla356[[#This Row],[COMISIONES]]*0.21</f>
        <v>1837.5</v>
      </c>
      <c r="V12" s="11"/>
      <c r="W12" s="11">
        <v>525</v>
      </c>
      <c r="X12" s="11">
        <v>262.5</v>
      </c>
      <c r="Y12" s="8"/>
      <c r="Z12" s="11">
        <v>108.46</v>
      </c>
      <c r="AA12" s="11">
        <f>Tabla3568[[#This Row],[COMISIONES]]*0.21</f>
        <v>22.776599999999998</v>
      </c>
      <c r="AB12" s="11"/>
      <c r="AC12" s="11">
        <v>605.17999999999995</v>
      </c>
      <c r="AD12" s="11"/>
    </row>
    <row r="13" spans="1:30" x14ac:dyDescent="0.3">
      <c r="B13" s="3"/>
      <c r="C13" s="2">
        <f>Tabla1[[#This Row],[COMISIONES]]*0.21</f>
        <v>0</v>
      </c>
      <c r="D13" s="3"/>
      <c r="E13" s="3"/>
      <c r="F13" s="3"/>
      <c r="G13" s="8"/>
      <c r="H13" s="11"/>
      <c r="I13" s="11">
        <f>Tabla3[[#This Row],[COMISIONES]]*0.21</f>
        <v>0</v>
      </c>
      <c r="J13" s="11"/>
      <c r="K13" s="11"/>
      <c r="L13" s="11"/>
      <c r="M13" s="8"/>
      <c r="N13" s="11">
        <v>529.83000000000004</v>
      </c>
      <c r="O13" s="11">
        <f>Tabla35[[#This Row],[COMISIONES]]*0.21</f>
        <v>111.26430000000001</v>
      </c>
      <c r="P13" s="11"/>
      <c r="Q13" s="11">
        <v>1300.73</v>
      </c>
      <c r="R13" s="11">
        <v>53.63</v>
      </c>
      <c r="S13" s="8"/>
      <c r="T13" s="11">
        <v>64.290000000000006</v>
      </c>
      <c r="U13" s="11">
        <f>Tabla356[[#This Row],[COMISIONES]]*0.21</f>
        <v>13.500900000000001</v>
      </c>
      <c r="V13" s="11"/>
      <c r="W13" s="11"/>
      <c r="X13" s="11"/>
      <c r="Y13" s="8"/>
      <c r="Z13" s="11">
        <v>38.659999999999997</v>
      </c>
      <c r="AA13" s="11">
        <f>Tabla3568[[#This Row],[COMISIONES]]*0.21</f>
        <v>8.1185999999999989</v>
      </c>
      <c r="AB13" s="11"/>
      <c r="AC13" s="11">
        <v>215.72</v>
      </c>
      <c r="AD13" s="11"/>
    </row>
    <row r="14" spans="1:30" x14ac:dyDescent="0.3">
      <c r="B14" s="3"/>
      <c r="C14" s="2">
        <f>Tabla1[[#This Row],[COMISIONES]]*0.21</f>
        <v>0</v>
      </c>
      <c r="D14" s="3"/>
      <c r="E14" s="3"/>
      <c r="F14" s="3"/>
      <c r="H14" s="11"/>
      <c r="I14" s="11">
        <f>Tabla3[[#This Row],[COMISIONES]]*0.21</f>
        <v>0</v>
      </c>
      <c r="J14" s="11"/>
      <c r="K14" s="11"/>
      <c r="L14" s="11"/>
      <c r="N14" s="11">
        <v>112</v>
      </c>
      <c r="O14" s="11">
        <f>Tabla35[[#This Row],[COMISIONES]]*0.21</f>
        <v>23.52</v>
      </c>
      <c r="P14" s="11"/>
      <c r="Q14" s="11">
        <v>229</v>
      </c>
      <c r="R14" s="11"/>
      <c r="T14" s="11"/>
      <c r="U14" s="11">
        <f>Tabla356[[#This Row],[COMISIONES]]*0.21</f>
        <v>0</v>
      </c>
      <c r="V14" s="11"/>
      <c r="W14" s="11"/>
      <c r="X14" s="11"/>
      <c r="Y14" s="6"/>
      <c r="Z14" s="11">
        <v>191.88</v>
      </c>
      <c r="AA14" s="11">
        <f>Tabla3568[[#This Row],[COMISIONES]]*0.21</f>
        <v>40.294799999999995</v>
      </c>
      <c r="AB14" s="11"/>
      <c r="AC14" s="11">
        <v>1070.69</v>
      </c>
      <c r="AD14" s="11"/>
    </row>
    <row r="15" spans="1:30" x14ac:dyDescent="0.3">
      <c r="B15" s="3"/>
      <c r="C15" s="2">
        <f>Tabla1[[#This Row],[COMISIONES]]*0.21</f>
        <v>0</v>
      </c>
      <c r="D15" s="3"/>
      <c r="E15" s="3"/>
      <c r="F15" s="3"/>
      <c r="G15" s="8"/>
      <c r="H15" s="11"/>
      <c r="I15" s="11">
        <f>Tabla3[[#This Row],[COMISIONES]]*0.21</f>
        <v>0</v>
      </c>
      <c r="J15" s="11"/>
      <c r="K15" s="11"/>
      <c r="L15" s="11"/>
      <c r="M15" s="8"/>
      <c r="N15" s="11">
        <v>263.33999999999997</v>
      </c>
      <c r="O15" s="11">
        <f>Tabla35[[#This Row],[COMISIONES]]*0.21</f>
        <v>55.301399999999994</v>
      </c>
      <c r="P15" s="11">
        <v>175.47</v>
      </c>
      <c r="Q15" s="11">
        <v>646.5</v>
      </c>
      <c r="R15" s="11"/>
      <c r="S15" s="8"/>
      <c r="T15" s="11"/>
      <c r="U15" s="11">
        <f>Tabla356[[#This Row],[COMISIONES]]*0.21</f>
        <v>0</v>
      </c>
      <c r="V15" s="11"/>
      <c r="W15" s="11"/>
      <c r="X15" s="11"/>
      <c r="Y15" s="8"/>
      <c r="Z15" s="11">
        <v>31.6</v>
      </c>
      <c r="AA15" s="11">
        <f>Tabla3568[[#This Row],[COMISIONES]]*0.21</f>
        <v>6.6360000000000001</v>
      </c>
      <c r="AB15" s="11"/>
      <c r="AC15" s="11">
        <v>176.33</v>
      </c>
      <c r="AD15" s="11"/>
    </row>
    <row r="16" spans="1:30" x14ac:dyDescent="0.3">
      <c r="B16" s="3"/>
      <c r="C16" s="2">
        <f>Tabla1[[#This Row],[COMISIONES]]*0.21</f>
        <v>0</v>
      </c>
      <c r="D16" s="3"/>
      <c r="E16" s="3"/>
      <c r="F16" s="3"/>
      <c r="H16" s="11"/>
      <c r="I16" s="11">
        <f>Tabla3[[#This Row],[COMISIONES]]*0.21</f>
        <v>0</v>
      </c>
      <c r="J16" s="11"/>
      <c r="K16" s="11"/>
      <c r="L16" s="11"/>
      <c r="N16" s="11">
        <v>115.2</v>
      </c>
      <c r="O16" s="11">
        <f>Tabla35[[#This Row],[COMISIONES]]*0.21</f>
        <v>24.192</v>
      </c>
      <c r="P16" s="11"/>
      <c r="Q16" s="11">
        <v>282.82</v>
      </c>
      <c r="R16" s="11"/>
      <c r="T16" s="11"/>
      <c r="U16" s="11">
        <f>Tabla356[[#This Row],[COMISIONES]]*0.21</f>
        <v>0</v>
      </c>
      <c r="V16" s="11"/>
      <c r="W16" s="11"/>
      <c r="X16" s="11"/>
      <c r="Y16" s="6"/>
      <c r="Z16" s="11">
        <v>142</v>
      </c>
      <c r="AA16" s="11">
        <f>Tabla3568[[#This Row],[COMISIONES]]*0.21</f>
        <v>29.82</v>
      </c>
      <c r="AB16" s="11"/>
      <c r="AC16" s="11">
        <v>792.36</v>
      </c>
      <c r="AD16" s="11"/>
    </row>
    <row r="17" spans="2:30" x14ac:dyDescent="0.3">
      <c r="B17" s="3"/>
      <c r="C17" s="2">
        <f>Tabla1[[#This Row],[COMISIONES]]*0.21</f>
        <v>0</v>
      </c>
      <c r="D17" s="3"/>
      <c r="E17" s="3"/>
      <c r="F17" s="3"/>
      <c r="H17" s="11"/>
      <c r="I17" s="11">
        <f>Tabla3[[#This Row],[COMISIONES]]*0.21</f>
        <v>0</v>
      </c>
      <c r="J17" s="11"/>
      <c r="K17" s="11"/>
      <c r="L17" s="11"/>
      <c r="N17" s="11">
        <v>262.8</v>
      </c>
      <c r="O17" s="11">
        <f>Tabla35[[#This Row],[COMISIONES]]*0.21</f>
        <v>55.188000000000002</v>
      </c>
      <c r="P17" s="11"/>
      <c r="Q17" s="11">
        <v>645.16999999999996</v>
      </c>
      <c r="R17" s="11"/>
      <c r="T17" s="11"/>
      <c r="U17" s="11">
        <f>Tabla356[[#This Row],[COMISIONES]]*0.21</f>
        <v>0</v>
      </c>
      <c r="V17" s="11"/>
      <c r="W17" s="11"/>
      <c r="X17" s="11"/>
      <c r="Y17" s="6"/>
      <c r="Z17" s="11">
        <v>128.18</v>
      </c>
      <c r="AA17" s="11">
        <f>Tabla3568[[#This Row],[COMISIONES]]*0.21</f>
        <v>26.9178</v>
      </c>
      <c r="AB17" s="11"/>
      <c r="AC17" s="11">
        <v>715.24</v>
      </c>
      <c r="AD17" s="11"/>
    </row>
    <row r="18" spans="2:30" x14ac:dyDescent="0.3">
      <c r="B18" s="3"/>
      <c r="C18" s="2">
        <f>Tabla1[[#This Row],[COMISIONES]]*0.21</f>
        <v>0</v>
      </c>
      <c r="D18" s="3"/>
      <c r="E18" s="3"/>
      <c r="F18" s="3"/>
      <c r="H18" s="11"/>
      <c r="I18" s="11">
        <f>Tabla3[[#This Row],[COMISIONES]]*0.21</f>
        <v>0</v>
      </c>
      <c r="J18" s="11"/>
      <c r="K18" s="11"/>
      <c r="L18" s="11"/>
      <c r="N18" s="11">
        <v>432.37</v>
      </c>
      <c r="O18" s="11">
        <f>Tabla35[[#This Row],[COMISIONES]]*0.21</f>
        <v>90.797699999999992</v>
      </c>
      <c r="P18" s="11"/>
      <c r="Q18" s="11">
        <v>900.6</v>
      </c>
      <c r="R18" s="11"/>
      <c r="T18" s="11"/>
      <c r="U18" s="11">
        <f>Tabla356[[#This Row],[COMISIONES]]*0.21</f>
        <v>0</v>
      </c>
      <c r="V18" s="11"/>
      <c r="W18" s="11"/>
      <c r="X18" s="11"/>
      <c r="Y18" s="6"/>
      <c r="Z18" s="11">
        <v>55.42</v>
      </c>
      <c r="AA18" s="11">
        <f>Tabla3568[[#This Row],[COMISIONES]]*0.21</f>
        <v>11.638199999999999</v>
      </c>
      <c r="AB18" s="11"/>
      <c r="AC18" s="11">
        <v>309.24</v>
      </c>
      <c r="AD18" s="11"/>
    </row>
    <row r="19" spans="2:30" x14ac:dyDescent="0.3">
      <c r="B19" s="3"/>
      <c r="C19" s="2">
        <f>Tabla1[[#This Row],[COMISIONES]]*0.21</f>
        <v>0</v>
      </c>
      <c r="D19" s="3"/>
      <c r="E19" s="3"/>
      <c r="F19" s="3"/>
      <c r="H19" s="11"/>
      <c r="I19" s="11">
        <f>Tabla3[[#This Row],[COMISIONES]]*0.21</f>
        <v>0</v>
      </c>
      <c r="J19" s="11"/>
      <c r="K19" s="11"/>
      <c r="L19" s="11"/>
      <c r="N19" s="11">
        <v>448.56</v>
      </c>
      <c r="O19" s="11">
        <f>Tabla35[[#This Row],[COMISIONES]]*0.21</f>
        <v>94.197599999999994</v>
      </c>
      <c r="P19" s="11">
        <v>593.49</v>
      </c>
      <c r="Q19" s="11">
        <v>1101.21</v>
      </c>
      <c r="R19" s="11">
        <v>84.79</v>
      </c>
      <c r="T19" s="11"/>
      <c r="U19" s="11">
        <f>Tabla356[[#This Row],[COMISIONES]]*0.21</f>
        <v>0</v>
      </c>
      <c r="V19" s="11"/>
      <c r="W19" s="11"/>
      <c r="X19" s="11"/>
      <c r="Y19" s="6"/>
      <c r="Z19" s="11">
        <v>20.8</v>
      </c>
      <c r="AA19" s="11">
        <f>Tabla3568[[#This Row],[COMISIONES]]*0.21</f>
        <v>4.3680000000000003</v>
      </c>
      <c r="AB19" s="11"/>
      <c r="AC19" s="11">
        <v>116.06</v>
      </c>
      <c r="AD19" s="11"/>
    </row>
    <row r="20" spans="2:30" x14ac:dyDescent="0.3">
      <c r="B20" s="3"/>
      <c r="C20" s="2">
        <f>Tabla1[[#This Row],[COMISIONES]]*0.21</f>
        <v>0</v>
      </c>
      <c r="D20" s="3"/>
      <c r="E20" s="3"/>
      <c r="F20" s="3"/>
      <c r="H20" s="11"/>
      <c r="I20" s="11">
        <f>Tabla3[[#This Row],[COMISIONES]]*0.21</f>
        <v>0</v>
      </c>
      <c r="J20" s="11"/>
      <c r="K20" s="11"/>
      <c r="L20" s="11"/>
      <c r="N20" s="11">
        <v>1867.08</v>
      </c>
      <c r="O20" s="11">
        <f>Tabla35[[#This Row],[COMISIONES]]*0.21</f>
        <v>392.08679999999998</v>
      </c>
      <c r="P20" s="11"/>
      <c r="Q20" s="11">
        <v>4583.6499999999996</v>
      </c>
      <c r="R20" s="11">
        <v>18.93</v>
      </c>
      <c r="T20" s="11"/>
      <c r="U20" s="11">
        <f>Tabla356[[#This Row],[COMISIONES]]*0.21</f>
        <v>0</v>
      </c>
      <c r="V20" s="11"/>
      <c r="W20" s="11"/>
      <c r="X20" s="11"/>
      <c r="Y20" s="6"/>
      <c r="Z20" s="11">
        <v>121.2</v>
      </c>
      <c r="AA20" s="11">
        <f>Tabla3568[[#This Row],[COMISIONES]]*0.21</f>
        <v>25.451999999999998</v>
      </c>
      <c r="AB20" s="11"/>
      <c r="AC20" s="11">
        <v>676.3</v>
      </c>
      <c r="AD20" s="11"/>
    </row>
    <row r="21" spans="2:30" x14ac:dyDescent="0.3">
      <c r="B21" s="3"/>
      <c r="C21" s="2">
        <f>Tabla1[[#This Row],[COMISIONES]]*0.21</f>
        <v>0</v>
      </c>
      <c r="D21" s="3"/>
      <c r="E21" s="3"/>
      <c r="F21" s="3"/>
      <c r="H21" s="11"/>
      <c r="I21" s="11">
        <f>Tabla3[[#This Row],[COMISIONES]]*0.21</f>
        <v>0</v>
      </c>
      <c r="J21" s="11"/>
      <c r="K21" s="11"/>
      <c r="L21" s="11"/>
      <c r="N21" s="11">
        <v>202.1</v>
      </c>
      <c r="O21" s="11">
        <f>Tabla35[[#This Row],[COMISIONES]]*0.21</f>
        <v>42.440999999999995</v>
      </c>
      <c r="P21" s="11"/>
      <c r="Q21" s="11">
        <v>420.95</v>
      </c>
      <c r="R21" s="11"/>
      <c r="T21" s="11"/>
      <c r="U21" s="11">
        <f>Tabla356[[#This Row],[COMISIONES]]*0.21</f>
        <v>0</v>
      </c>
      <c r="V21" s="11"/>
      <c r="W21" s="11"/>
      <c r="X21" s="11"/>
      <c r="Y21" s="6"/>
      <c r="Z21" s="11">
        <v>72.8</v>
      </c>
      <c r="AA21" s="11">
        <f>Tabla3568[[#This Row],[COMISIONES]]*0.21</f>
        <v>15.287999999999998</v>
      </c>
      <c r="AB21" s="11"/>
      <c r="AC21" s="11">
        <v>406.22</v>
      </c>
      <c r="AD21" s="11"/>
    </row>
    <row r="22" spans="2:30" x14ac:dyDescent="0.3">
      <c r="B22" s="3"/>
      <c r="C22" s="2">
        <f>Tabla1[[#This Row],[COMISIONES]]*0.21</f>
        <v>0</v>
      </c>
      <c r="D22" s="3"/>
      <c r="E22" s="3"/>
      <c r="F22" s="3"/>
      <c r="H22" s="11"/>
      <c r="I22" s="11">
        <f>Tabla3[[#This Row],[COMISIONES]]*0.21</f>
        <v>0</v>
      </c>
      <c r="J22" s="11"/>
      <c r="K22" s="11"/>
      <c r="L22" s="11"/>
      <c r="N22" s="11">
        <v>114.3</v>
      </c>
      <c r="O22" s="11">
        <f>Tabla35[[#This Row],[COMISIONES]]*0.21</f>
        <v>24.003</v>
      </c>
      <c r="P22" s="11"/>
      <c r="Q22" s="11">
        <v>280.61</v>
      </c>
      <c r="R22" s="11"/>
      <c r="T22" s="11"/>
      <c r="U22" s="11">
        <f>Tabla356[[#This Row],[COMISIONES]]*0.21</f>
        <v>0</v>
      </c>
      <c r="V22" s="11"/>
      <c r="W22" s="11"/>
      <c r="X22" s="11"/>
      <c r="Y22" s="6"/>
      <c r="Z22" s="11">
        <v>61.6</v>
      </c>
      <c r="AA22" s="11">
        <f>Tabla3568[[#This Row],[COMISIONES]]*0.21</f>
        <v>12.936</v>
      </c>
      <c r="AB22" s="11"/>
      <c r="AC22" s="11">
        <v>343.73</v>
      </c>
      <c r="AD22" s="11"/>
    </row>
    <row r="23" spans="2:30" x14ac:dyDescent="0.3">
      <c r="B23" s="3"/>
      <c r="C23" s="2">
        <f>Tabla1[[#This Row],[COMISIONES]]*0.21</f>
        <v>0</v>
      </c>
      <c r="D23" s="3"/>
      <c r="E23" s="3"/>
      <c r="F23" s="3"/>
      <c r="H23" s="11"/>
      <c r="I23" s="11">
        <f>Tabla3[[#This Row],[COMISIONES]]*0.21</f>
        <v>0</v>
      </c>
      <c r="J23" s="11"/>
      <c r="K23" s="11"/>
      <c r="L23" s="11"/>
      <c r="N23" s="11">
        <v>305.64</v>
      </c>
      <c r="O23" s="11">
        <f>Tabla35[[#This Row],[COMISIONES]]*0.21</f>
        <v>64.184399999999997</v>
      </c>
      <c r="P23" s="11">
        <v>207.95</v>
      </c>
      <c r="Q23" s="11">
        <v>750.35</v>
      </c>
      <c r="R23" s="11"/>
      <c r="T23" s="11"/>
      <c r="U23" s="11">
        <f>Tabla356[[#This Row],[COMISIONES]]*0.21</f>
        <v>0</v>
      </c>
      <c r="V23" s="11"/>
      <c r="W23" s="11"/>
      <c r="X23" s="11"/>
      <c r="Y23" s="6"/>
      <c r="Z23" s="11">
        <v>47.6</v>
      </c>
      <c r="AA23" s="11">
        <f>Tabla3568[[#This Row],[COMISIONES]]*0.21</f>
        <v>9.9960000000000004</v>
      </c>
      <c r="AB23" s="11"/>
      <c r="AC23" s="11">
        <v>265.61</v>
      </c>
      <c r="AD23" s="11"/>
    </row>
    <row r="24" spans="2:30" x14ac:dyDescent="0.3">
      <c r="B24" s="3"/>
      <c r="C24" s="2">
        <f>Tabla1[[#This Row],[COMISIONES]]*0.21</f>
        <v>0</v>
      </c>
      <c r="D24" s="3"/>
      <c r="E24" s="3"/>
      <c r="F24" s="3"/>
      <c r="H24" s="11"/>
      <c r="I24" s="11">
        <f>Tabla3[[#This Row],[COMISIONES]]*0.21</f>
        <v>0</v>
      </c>
      <c r="J24" s="11"/>
      <c r="K24" s="11"/>
      <c r="L24" s="11"/>
      <c r="N24" s="11">
        <v>630.82000000000005</v>
      </c>
      <c r="O24" s="11">
        <f>Tabla35[[#This Row],[COMISIONES]]*0.21</f>
        <v>132.47220000000002</v>
      </c>
      <c r="P24" s="11"/>
      <c r="Q24" s="11">
        <v>1294.33</v>
      </c>
      <c r="R24" s="11"/>
      <c r="T24" s="11"/>
      <c r="U24" s="11">
        <f>Tabla356[[#This Row],[COMISIONES]]*0.21</f>
        <v>0</v>
      </c>
      <c r="V24" s="11"/>
      <c r="W24" s="11"/>
      <c r="X24" s="11"/>
      <c r="Y24" s="6"/>
      <c r="Z24" s="11"/>
      <c r="AA24" s="11">
        <f>Tabla3568[[#This Row],[COMISIONES]]*0.21</f>
        <v>0</v>
      </c>
      <c r="AB24" s="11"/>
      <c r="AC24" s="11"/>
      <c r="AD24" s="11"/>
    </row>
    <row r="25" spans="2:30" x14ac:dyDescent="0.3">
      <c r="B25" s="3"/>
      <c r="C25" s="2">
        <f>Tabla1[[#This Row],[COMISIONES]]*0.21</f>
        <v>0</v>
      </c>
      <c r="D25" s="3"/>
      <c r="E25" s="3"/>
      <c r="F25" s="3"/>
      <c r="H25" s="11"/>
      <c r="I25" s="11">
        <f>Tabla3[[#This Row],[COMISIONES]]*0.21</f>
        <v>0</v>
      </c>
      <c r="J25" s="11"/>
      <c r="K25" s="11"/>
      <c r="L25" s="11"/>
      <c r="N25" s="11">
        <v>385.97</v>
      </c>
      <c r="O25" s="11">
        <f>Tabla35[[#This Row],[COMISIONES]]*0.21</f>
        <v>81.053700000000006</v>
      </c>
      <c r="P25" s="11"/>
      <c r="Q25" s="11">
        <v>947.54</v>
      </c>
      <c r="R25" s="11">
        <v>187.24</v>
      </c>
      <c r="T25" s="19"/>
      <c r="U25" s="19">
        <f>Tabla356[[#This Row],[COMISIONES]]*0.21</f>
        <v>0</v>
      </c>
      <c r="V25" s="19"/>
      <c r="W25" s="19"/>
      <c r="X25" s="19"/>
      <c r="Y25" s="6"/>
      <c r="Z25" s="11"/>
      <c r="AA25" s="11">
        <f>Tabla3568[[#This Row],[COMISIONES]]*0.21</f>
        <v>0</v>
      </c>
      <c r="AB25" s="11"/>
      <c r="AC25" s="11"/>
      <c r="AD25" s="11"/>
    </row>
    <row r="26" spans="2:30" x14ac:dyDescent="0.3">
      <c r="B26" s="3"/>
      <c r="C26" s="2">
        <f>Tabla1[[#This Row],[COMISIONES]]*0.21</f>
        <v>0</v>
      </c>
      <c r="D26" s="3"/>
      <c r="E26" s="3"/>
      <c r="F26" s="3"/>
      <c r="H26" s="11"/>
      <c r="I26" s="11">
        <f>Tabla3[[#This Row],[COMISIONES]]*0.21</f>
        <v>0</v>
      </c>
      <c r="J26" s="11"/>
      <c r="K26" s="11"/>
      <c r="L26" s="11"/>
      <c r="N26" s="11">
        <v>56.7</v>
      </c>
      <c r="O26" s="11">
        <f>Tabla35[[#This Row],[COMISIONES]]*0.21</f>
        <v>11.907</v>
      </c>
      <c r="P26" s="11"/>
      <c r="Q26" s="11">
        <v>139.19999999999999</v>
      </c>
      <c r="R26" s="11"/>
      <c r="T26" s="19"/>
      <c r="U26" s="19">
        <f>Tabla356[[#This Row],[COMISIONES]]*0.21</f>
        <v>0</v>
      </c>
      <c r="V26" s="19"/>
      <c r="W26" s="19"/>
      <c r="X26" s="19"/>
      <c r="Z26" s="11"/>
      <c r="AA26" s="11">
        <f>Tabla3568[[#This Row],[COMISIONES]]*0.21</f>
        <v>0</v>
      </c>
      <c r="AB26" s="11"/>
      <c r="AC26" s="11"/>
      <c r="AD26" s="11"/>
    </row>
    <row r="27" spans="2:30" x14ac:dyDescent="0.3">
      <c r="B27" s="3"/>
      <c r="C27" s="2">
        <f>Tabla1[[#This Row],[COMISIONES]]*0.21</f>
        <v>0</v>
      </c>
      <c r="D27" s="3"/>
      <c r="E27" s="1"/>
      <c r="F27" s="3"/>
      <c r="H27" s="11"/>
      <c r="I27" s="11">
        <f>Tabla3[[#This Row],[COMISIONES]]*0.21</f>
        <v>0</v>
      </c>
      <c r="J27" s="11"/>
      <c r="K27" s="11"/>
      <c r="L27" s="11"/>
      <c r="N27" s="11">
        <v>212.65</v>
      </c>
      <c r="O27" s="11">
        <f>Tabla35[[#This Row],[COMISIONES]]*0.21</f>
        <v>44.656500000000001</v>
      </c>
      <c r="P27" s="11">
        <v>259.94</v>
      </c>
      <c r="Q27" s="11">
        <v>432.94</v>
      </c>
      <c r="R27" s="11"/>
      <c r="T27" s="18">
        <f>SUBTOTAL(109,Tabla356[COMISIONES])</f>
        <v>8814.2900000000009</v>
      </c>
      <c r="U27" s="18">
        <f>SUBTOTAL(109,Tabla356[IVA 21])</f>
        <v>1851.0009</v>
      </c>
      <c r="V27" s="18">
        <f>SUBTOTAL(109,Tabla356[IVA 10,5])</f>
        <v>0</v>
      </c>
      <c r="W27" s="18">
        <f>SUBTOTAL(109,Tabla356[Ret IIBB Caba])</f>
        <v>525</v>
      </c>
      <c r="X27" s="18">
        <f>SUBTOTAL(109,Tabla356[PERC IVA])</f>
        <v>262.5</v>
      </c>
      <c r="Z27" s="11"/>
      <c r="AA27" s="11">
        <f>Tabla3568[[#This Row],[COMISIONES]]*0.21</f>
        <v>0</v>
      </c>
      <c r="AB27" s="11"/>
      <c r="AC27" s="11"/>
      <c r="AD27" s="11"/>
    </row>
    <row r="28" spans="2:30" ht="18" x14ac:dyDescent="0.35">
      <c r="B28" s="3"/>
      <c r="C28" s="2">
        <f>Tabla1[[#This Row],[COMISIONES]]*0.21</f>
        <v>0</v>
      </c>
      <c r="D28" s="3"/>
      <c r="E28" s="3"/>
      <c r="F28" s="3"/>
      <c r="H28" s="11"/>
      <c r="I28" s="11">
        <f>Tabla3[[#This Row],[COMISIONES]]*0.21</f>
        <v>0</v>
      </c>
      <c r="J28" s="11"/>
      <c r="K28" s="11"/>
      <c r="L28" s="11"/>
      <c r="N28" s="11">
        <v>166.95</v>
      </c>
      <c r="O28" s="11">
        <f>Tabla35[[#This Row],[COMISIONES]]*0.21</f>
        <v>35.059499999999993</v>
      </c>
      <c r="P28" s="11"/>
      <c r="Q28" s="11">
        <v>409.86</v>
      </c>
      <c r="R28" s="11">
        <v>18.48</v>
      </c>
      <c r="T28" s="30" t="s">
        <v>13</v>
      </c>
      <c r="U28" s="30"/>
      <c r="V28" s="30"/>
      <c r="W28" s="30"/>
      <c r="X28" s="30"/>
      <c r="Z28" s="11"/>
      <c r="AA28" s="11">
        <f>Tabla3568[[#This Row],[COMISIONES]]*0.21</f>
        <v>0</v>
      </c>
      <c r="AB28" s="11"/>
      <c r="AC28" s="11"/>
      <c r="AD28" s="11"/>
    </row>
    <row r="29" spans="2:30" x14ac:dyDescent="0.3">
      <c r="B29" s="3"/>
      <c r="C29" s="2">
        <f>Tabla1[[#This Row],[COMISIONES]]*0.21</f>
        <v>0</v>
      </c>
      <c r="D29" s="3"/>
      <c r="E29" s="3"/>
      <c r="F29" s="3"/>
      <c r="H29" s="11"/>
      <c r="I29" s="11">
        <f>Tabla3[[#This Row],[COMISIONES]]*0.21</f>
        <v>0</v>
      </c>
      <c r="J29" s="11"/>
      <c r="K29" s="11"/>
      <c r="L29" s="11"/>
      <c r="N29" s="11">
        <v>923.76</v>
      </c>
      <c r="O29" s="11">
        <f>Tabla35[[#This Row],[COMISIONES]]*0.21</f>
        <v>193.9896</v>
      </c>
      <c r="P29" s="11"/>
      <c r="Q29" s="11">
        <v>2267.81</v>
      </c>
      <c r="R29" s="11"/>
      <c r="T29" s="12" t="s">
        <v>2</v>
      </c>
      <c r="U29" s="13" t="s">
        <v>0</v>
      </c>
      <c r="V29" s="13" t="s">
        <v>1</v>
      </c>
      <c r="W29" s="13" t="s">
        <v>3</v>
      </c>
      <c r="X29" s="13" t="s">
        <v>4</v>
      </c>
      <c r="Z29" s="11"/>
      <c r="AA29" s="11">
        <f>Tabla3568[[#This Row],[COMISIONES]]*0.21</f>
        <v>0</v>
      </c>
      <c r="AB29" s="11"/>
      <c r="AC29" s="11"/>
      <c r="AD29" s="11"/>
    </row>
    <row r="30" spans="2:30" x14ac:dyDescent="0.3">
      <c r="B30" s="3"/>
      <c r="C30" s="2">
        <f>Tabla1[[#This Row],[COMISIONES]]*0.21</f>
        <v>0</v>
      </c>
      <c r="D30" s="3"/>
      <c r="E30" s="3"/>
      <c r="F30" s="3"/>
      <c r="H30" s="11"/>
      <c r="I30" s="11">
        <f>Tabla3[[#This Row],[COMISIONES]]*0.21</f>
        <v>0</v>
      </c>
      <c r="J30" s="11"/>
      <c r="K30" s="11"/>
      <c r="L30" s="11"/>
      <c r="N30" s="11">
        <v>265.82</v>
      </c>
      <c r="O30" s="11">
        <f>Tabla35[[#This Row],[COMISIONES]]*0.21</f>
        <v>55.822199999999995</v>
      </c>
      <c r="P30" s="11"/>
      <c r="Q30" s="11">
        <v>541.16999999999996</v>
      </c>
      <c r="R30" s="11"/>
      <c r="T30" s="11">
        <v>10</v>
      </c>
      <c r="U30" s="11">
        <f>Tabla6[[#This Row],[COMISIONES]]*0.21</f>
        <v>2.1</v>
      </c>
      <c r="V30" s="11"/>
      <c r="W30" s="11"/>
      <c r="X30" s="11"/>
      <c r="Z30" s="11"/>
      <c r="AA30" s="11">
        <f>Tabla3568[[#This Row],[COMISIONES]]*0.21</f>
        <v>0</v>
      </c>
      <c r="AB30" s="11"/>
      <c r="AC30" s="11"/>
      <c r="AD30" s="11"/>
    </row>
    <row r="31" spans="2:30" x14ac:dyDescent="0.3">
      <c r="B31" s="3"/>
      <c r="C31" s="2">
        <f>Tabla1[[#This Row],[COMISIONES]]*0.21</f>
        <v>0</v>
      </c>
      <c r="D31" s="3"/>
      <c r="E31" s="3"/>
      <c r="F31" s="3"/>
      <c r="H31" s="11"/>
      <c r="I31" s="11">
        <f>Tabla3[[#This Row],[COMISIONES]]*0.21</f>
        <v>0</v>
      </c>
      <c r="J31" s="11"/>
      <c r="K31" s="11"/>
      <c r="L31" s="11"/>
      <c r="N31" s="11">
        <v>1328</v>
      </c>
      <c r="O31" s="11">
        <f>Tabla35[[#This Row],[COMISIONES]]*0.21</f>
        <v>278.88</v>
      </c>
      <c r="P31" s="11"/>
      <c r="Q31" s="11">
        <v>3260.25</v>
      </c>
      <c r="R31" s="11">
        <v>53.06</v>
      </c>
      <c r="T31" s="11">
        <v>4140</v>
      </c>
      <c r="U31" s="11">
        <f>Tabla6[[#This Row],[COMISIONES]]*0.21</f>
        <v>869.4</v>
      </c>
      <c r="V31" s="11"/>
      <c r="W31" s="11">
        <v>390</v>
      </c>
      <c r="X31" s="11">
        <v>124.2</v>
      </c>
      <c r="Z31" s="11"/>
      <c r="AA31" s="11">
        <f>Tabla3568[[#This Row],[COMISIONES]]*0.21</f>
        <v>0</v>
      </c>
      <c r="AB31" s="11"/>
      <c r="AC31" s="11"/>
      <c r="AD31" s="11"/>
    </row>
    <row r="32" spans="2:30" x14ac:dyDescent="0.3">
      <c r="B32" s="3"/>
      <c r="C32" s="2">
        <f>Tabla1[[#This Row],[COMISIONES]]*0.21</f>
        <v>0</v>
      </c>
      <c r="D32" s="3"/>
      <c r="E32" s="3"/>
      <c r="F32" s="3"/>
      <c r="H32" s="11"/>
      <c r="I32" s="11">
        <f>Tabla3[[#This Row],[COMISIONES]]*0.21</f>
        <v>0</v>
      </c>
      <c r="J32" s="11"/>
      <c r="K32" s="11"/>
      <c r="L32" s="11"/>
      <c r="N32" s="11">
        <v>1112.26</v>
      </c>
      <c r="O32" s="11">
        <f>Tabla35[[#This Row],[COMISIONES]]*0.21</f>
        <v>233.57459999999998</v>
      </c>
      <c r="P32" s="11"/>
      <c r="Q32" s="11">
        <v>2730.59</v>
      </c>
      <c r="R32" s="11"/>
      <c r="T32" s="11">
        <v>6500</v>
      </c>
      <c r="U32" s="20">
        <f>Tabla6[[#This Row],[COMISIONES]]*0.21</f>
        <v>1365</v>
      </c>
      <c r="W32">
        <v>248.4</v>
      </c>
      <c r="X32">
        <v>195</v>
      </c>
      <c r="Z32" s="11"/>
      <c r="AA32" s="11">
        <f>Tabla3568[[#This Row],[COMISIONES]]*0.21</f>
        <v>0</v>
      </c>
      <c r="AB32" s="11"/>
      <c r="AC32" s="11"/>
      <c r="AD32" s="11"/>
    </row>
    <row r="33" spans="2:30" x14ac:dyDescent="0.3">
      <c r="B33" s="3"/>
      <c r="C33" s="2">
        <f>Tabla1[[#This Row],[COMISIONES]]*0.21</f>
        <v>0</v>
      </c>
      <c r="D33" s="3"/>
      <c r="E33" s="3"/>
      <c r="F33" s="3"/>
      <c r="H33" s="11"/>
      <c r="I33" s="11">
        <f>Tabla3[[#This Row],[COMISIONES]]*0.21</f>
        <v>0</v>
      </c>
      <c r="J33" s="11"/>
      <c r="K33" s="11"/>
      <c r="L33" s="11"/>
      <c r="N33" s="11">
        <v>615.96</v>
      </c>
      <c r="O33" s="11">
        <f>Tabla35[[#This Row],[COMISIONES]]*0.21</f>
        <v>129.35159999999999</v>
      </c>
      <c r="P33" s="11">
        <v>371.41</v>
      </c>
      <c r="Q33" s="11">
        <v>1231.31</v>
      </c>
      <c r="R33" s="11">
        <v>11.39</v>
      </c>
      <c r="T33" s="11">
        <v>300</v>
      </c>
      <c r="U33" s="20">
        <f>Tabla6[[#This Row],[COMISIONES]]*0.21</f>
        <v>63</v>
      </c>
      <c r="Z33" s="4">
        <f>SUBTOTAL(109,Tabla3568[COMISIONES])</f>
        <v>1020.1999999999999</v>
      </c>
      <c r="AA33" s="4">
        <f>SUBTOTAL(109,Tabla3568[IVA 21])</f>
        <v>214.24200000000002</v>
      </c>
      <c r="AB33" s="4">
        <f>SUBTOTAL(109,Tabla3568[IVA 10,5])</f>
        <v>0</v>
      </c>
      <c r="AC33" s="4">
        <f>SUBTOTAL(109,Tabla3568[Ret IIBB Caba])</f>
        <v>5692.6799999999994</v>
      </c>
      <c r="AD33" s="4">
        <f>SUBTOTAL(109,Tabla3568[PERC IVA])</f>
        <v>0</v>
      </c>
    </row>
    <row r="34" spans="2:30" x14ac:dyDescent="0.3">
      <c r="B34" s="3"/>
      <c r="C34" s="2">
        <f>Tabla1[[#This Row],[COMISIONES]]*0.21</f>
        <v>0</v>
      </c>
      <c r="D34" s="3"/>
      <c r="E34" s="3"/>
      <c r="F34" s="3"/>
      <c r="H34" s="11"/>
      <c r="I34" s="11">
        <f>Tabla3[[#This Row],[COMISIONES]]*0.21</f>
        <v>0</v>
      </c>
      <c r="J34" s="11"/>
      <c r="K34" s="11"/>
      <c r="L34" s="11"/>
      <c r="N34" s="11">
        <v>271.8</v>
      </c>
      <c r="O34" s="11">
        <f>Tabla35[[#This Row],[COMISIONES]]*0.21</f>
        <v>57.078000000000003</v>
      </c>
      <c r="P34" s="11"/>
      <c r="Q34" s="11">
        <v>667.27</v>
      </c>
      <c r="R34" s="11">
        <v>252.64</v>
      </c>
      <c r="T34" s="11">
        <v>300</v>
      </c>
      <c r="U34" s="20">
        <f>Tabla6[[#This Row],[COMISIONES]]*0.21</f>
        <v>63</v>
      </c>
    </row>
    <row r="35" spans="2:30" x14ac:dyDescent="0.3">
      <c r="B35" s="3"/>
      <c r="C35" s="2">
        <f>Tabla1[[#This Row],[COMISIONES]]*0.21</f>
        <v>0</v>
      </c>
      <c r="D35" s="3"/>
      <c r="E35" s="3"/>
      <c r="F35" s="3"/>
      <c r="H35" s="11"/>
      <c r="I35" s="11">
        <f>Tabla3[[#This Row],[COMISIONES]]*0.21</f>
        <v>0</v>
      </c>
      <c r="J35" s="11"/>
      <c r="K35" s="11"/>
      <c r="L35" s="11"/>
      <c r="N35" s="11">
        <v>959.31</v>
      </c>
      <c r="O35" s="11">
        <f>Tabla35[[#This Row],[COMISIONES]]*0.21</f>
        <v>201.45509999999999</v>
      </c>
      <c r="P35" s="11"/>
      <c r="Q35" s="11">
        <v>2355.11</v>
      </c>
      <c r="R35" s="11">
        <v>24.93</v>
      </c>
      <c r="T35" s="11">
        <v>300</v>
      </c>
      <c r="U35" s="20">
        <f>Tabla6[[#This Row],[COMISIONES]]*0.21</f>
        <v>63</v>
      </c>
    </row>
    <row r="36" spans="2:30" x14ac:dyDescent="0.3">
      <c r="B36" s="3"/>
      <c r="C36" s="2">
        <f>Tabla1[[#This Row],[COMISIONES]]*0.21</f>
        <v>0</v>
      </c>
      <c r="D36" s="3"/>
      <c r="E36" s="3"/>
      <c r="F36" s="3"/>
      <c r="H36" s="11"/>
      <c r="I36" s="11">
        <f>Tabla3[[#This Row],[COMISIONES]]*0.21</f>
        <v>0</v>
      </c>
      <c r="J36" s="11"/>
      <c r="K36" s="11"/>
      <c r="L36" s="11"/>
      <c r="N36" s="11">
        <v>379.81</v>
      </c>
      <c r="O36" s="11">
        <f>Tabla35[[#This Row],[COMISIONES]]*0.21</f>
        <v>79.760099999999994</v>
      </c>
      <c r="P36" s="11"/>
      <c r="Q36" s="11">
        <v>773.25</v>
      </c>
      <c r="R36" s="11"/>
      <c r="T36" s="11">
        <v>300</v>
      </c>
      <c r="U36" s="20">
        <f>Tabla6[[#This Row],[COMISIONES]]*0.21</f>
        <v>63</v>
      </c>
    </row>
    <row r="37" spans="2:30" x14ac:dyDescent="0.3">
      <c r="B37" s="3"/>
      <c r="C37" s="2">
        <f>Tabla1[[#This Row],[COMISIONES]]*0.21</f>
        <v>0</v>
      </c>
      <c r="D37" s="3"/>
      <c r="E37" s="3"/>
      <c r="F37" s="3"/>
      <c r="H37" s="19"/>
      <c r="I37" s="19">
        <f>Tabla3[[#This Row],[COMISIONES]]*0.21</f>
        <v>0</v>
      </c>
      <c r="J37" s="19"/>
      <c r="K37" s="19"/>
      <c r="L37" s="19"/>
      <c r="N37" s="11">
        <v>196.38</v>
      </c>
      <c r="O37" s="11">
        <f>Tabla35[[#This Row],[COMISIONES]]*0.21</f>
        <v>41.239799999999995</v>
      </c>
      <c r="P37" s="11"/>
      <c r="Q37" s="11">
        <v>482.11</v>
      </c>
      <c r="R37" s="11"/>
      <c r="T37" s="11">
        <v>300</v>
      </c>
      <c r="U37" s="20">
        <f>Tabla6[[#This Row],[COMISIONES]]*0.21</f>
        <v>63</v>
      </c>
    </row>
    <row r="38" spans="2:30" x14ac:dyDescent="0.3">
      <c r="B38" s="3"/>
      <c r="C38" s="2">
        <f>Tabla1[[#This Row],[COMISIONES]]*0.21</f>
        <v>0</v>
      </c>
      <c r="D38" s="3"/>
      <c r="E38" s="3"/>
      <c r="F38" s="3"/>
      <c r="H38" s="19"/>
      <c r="I38" s="19">
        <f>Tabla3[[#This Row],[COMISIONES]]*0.21</f>
        <v>0</v>
      </c>
      <c r="J38" s="19"/>
      <c r="K38" s="19"/>
      <c r="L38" s="19"/>
      <c r="N38" s="11">
        <v>831.1</v>
      </c>
      <c r="O38" s="11">
        <f>Tabla35[[#This Row],[COMISIONES]]*0.21</f>
        <v>174.53100000000001</v>
      </c>
      <c r="P38" s="11">
        <v>145.06</v>
      </c>
      <c r="Q38" s="11">
        <v>1661.39</v>
      </c>
      <c r="R38" s="11"/>
      <c r="T38" s="11">
        <v>300</v>
      </c>
      <c r="U38" s="20">
        <f>Tabla6[[#This Row],[COMISIONES]]*0.21</f>
        <v>63</v>
      </c>
    </row>
    <row r="39" spans="2:30" x14ac:dyDescent="0.3">
      <c r="B39" s="3"/>
      <c r="C39" s="2">
        <f>Tabla1[[#This Row],[COMISIONES]]*0.21</f>
        <v>0</v>
      </c>
      <c r="D39" s="3"/>
      <c r="E39" s="3"/>
      <c r="F39" s="3"/>
      <c r="G39" s="8"/>
      <c r="H39" s="19"/>
      <c r="I39" s="19">
        <f>Tabla3[[#This Row],[COMISIONES]]*0.21</f>
        <v>0</v>
      </c>
      <c r="J39" s="19"/>
      <c r="K39" s="19"/>
      <c r="L39" s="19"/>
      <c r="M39" s="8"/>
      <c r="N39" s="11">
        <v>385.11</v>
      </c>
      <c r="O39" s="11">
        <f>Tabla35[[#This Row],[COMISIONES]]*0.21</f>
        <v>80.873099999999994</v>
      </c>
      <c r="P39" s="11"/>
      <c r="Q39" s="11">
        <v>945.45</v>
      </c>
      <c r="R39" s="11"/>
      <c r="S39" s="8"/>
      <c r="T39" s="11">
        <v>300</v>
      </c>
      <c r="U39" s="20">
        <f>Tabla6[[#This Row],[COMISIONES]]*0.21</f>
        <v>63</v>
      </c>
    </row>
    <row r="40" spans="2:30" x14ac:dyDescent="0.3">
      <c r="B40" s="3"/>
      <c r="C40" s="2">
        <f>Tabla1[[#This Row],[COMISIONES]]*0.21</f>
        <v>0</v>
      </c>
      <c r="D40" s="3"/>
      <c r="E40" s="3"/>
      <c r="F40" s="3"/>
      <c r="H40" s="19"/>
      <c r="I40" s="19">
        <f>Tabla3[[#This Row],[COMISIONES]]*0.21</f>
        <v>0</v>
      </c>
      <c r="J40" s="19"/>
      <c r="K40" s="19"/>
      <c r="L40" s="19"/>
      <c r="N40" s="11">
        <v>148.34</v>
      </c>
      <c r="O40" s="11">
        <f>Tabla35[[#This Row],[COMISIONES]]*0.21</f>
        <v>31.151399999999999</v>
      </c>
      <c r="P40" s="11"/>
      <c r="Q40" s="11">
        <v>302</v>
      </c>
      <c r="R40" s="11">
        <v>55.3</v>
      </c>
      <c r="U40" s="20">
        <f>Tabla6[[#This Row],[COMISIONES]]*0.21</f>
        <v>0</v>
      </c>
    </row>
    <row r="41" spans="2:30" x14ac:dyDescent="0.3">
      <c r="B41" s="3"/>
      <c r="C41" s="2">
        <f>Tabla1[[#This Row],[COMISIONES]]*0.21</f>
        <v>0</v>
      </c>
      <c r="D41" s="3"/>
      <c r="E41" s="3"/>
      <c r="F41" s="3"/>
      <c r="H41" s="19"/>
      <c r="I41" s="19">
        <f>Tabla3[[#This Row],[COMISIONES]]*0.21</f>
        <v>0</v>
      </c>
      <c r="J41" s="19"/>
      <c r="K41" s="19"/>
      <c r="L41" s="19"/>
      <c r="N41" s="11">
        <v>1558</v>
      </c>
      <c r="O41" s="11">
        <f>Tabla35[[#This Row],[COMISIONES]]*0.21</f>
        <v>327.18</v>
      </c>
      <c r="P41" s="11">
        <v>387.08</v>
      </c>
      <c r="Q41" s="11">
        <v>3824.87</v>
      </c>
      <c r="R41" s="11">
        <v>15.51</v>
      </c>
      <c r="U41" s="20">
        <f>Tabla6[[#This Row],[COMISIONES]]*0.21</f>
        <v>0</v>
      </c>
    </row>
    <row r="42" spans="2:30" x14ac:dyDescent="0.3">
      <c r="B42" s="3"/>
      <c r="C42" s="2">
        <f>Tabla1[[#This Row],[COMISIONES]]*0.21</f>
        <v>0</v>
      </c>
      <c r="D42" s="3"/>
      <c r="E42" s="3"/>
      <c r="F42" s="3"/>
      <c r="H42" s="19"/>
      <c r="I42" s="19">
        <f>Tabla3[[#This Row],[COMISIONES]]*0.21</f>
        <v>0</v>
      </c>
      <c r="J42" s="19"/>
      <c r="K42" s="19"/>
      <c r="L42" s="19"/>
      <c r="N42" s="11">
        <v>374.85</v>
      </c>
      <c r="O42" s="11">
        <f>Tabla35[[#This Row],[COMISIONES]]*0.21</f>
        <v>78.718500000000006</v>
      </c>
      <c r="P42" s="11"/>
      <c r="Q42" s="11">
        <v>920.26</v>
      </c>
      <c r="R42" s="11"/>
      <c r="U42" s="20">
        <f>Tabla6[[#This Row],[COMISIONES]]*0.21</f>
        <v>0</v>
      </c>
    </row>
    <row r="43" spans="2:30" x14ac:dyDescent="0.3">
      <c r="B43" s="3"/>
      <c r="C43" s="2">
        <f>Tabla1[[#This Row],[COMISIONES]]*0.21</f>
        <v>0</v>
      </c>
      <c r="D43" s="3"/>
      <c r="E43" s="3"/>
      <c r="F43" s="3"/>
      <c r="H43" s="19"/>
      <c r="I43" s="19">
        <f>Tabla3[[#This Row],[COMISIONES]]*0.21</f>
        <v>0</v>
      </c>
      <c r="J43" s="19"/>
      <c r="K43" s="19"/>
      <c r="L43" s="19"/>
      <c r="N43" s="11">
        <v>1181.18</v>
      </c>
      <c r="O43" s="11">
        <f>Tabla35[[#This Row],[COMISIONES]]*0.21</f>
        <v>248.0478</v>
      </c>
      <c r="P43" s="11"/>
      <c r="Q43" s="11">
        <v>2899.78</v>
      </c>
      <c r="R43" s="11"/>
      <c r="U43" s="20">
        <f>Tabla6[[#This Row],[COMISIONES]]*0.21</f>
        <v>0</v>
      </c>
    </row>
    <row r="44" spans="2:30" x14ac:dyDescent="0.3">
      <c r="B44" s="3"/>
      <c r="C44" s="2">
        <f>Tabla1[[#This Row],[COMISIONES]]*0.21</f>
        <v>0</v>
      </c>
      <c r="D44" s="3"/>
      <c r="E44" s="3"/>
      <c r="F44" s="3"/>
      <c r="H44" s="19"/>
      <c r="I44" s="19">
        <f>Tabla3[[#This Row],[COMISIONES]]*0.21</f>
        <v>0</v>
      </c>
      <c r="J44" s="19"/>
      <c r="K44" s="19"/>
      <c r="L44" s="19"/>
      <c r="N44" s="11">
        <v>34.200000000000003</v>
      </c>
      <c r="O44" s="11">
        <f>Tabla35[[#This Row],[COMISIONES]]*0.21</f>
        <v>7.1820000000000004</v>
      </c>
      <c r="P44" s="11"/>
      <c r="Q44" s="11">
        <v>83.96</v>
      </c>
      <c r="R44" s="11"/>
      <c r="U44" s="20">
        <f>Tabla6[[#This Row],[COMISIONES]]*0.21</f>
        <v>0</v>
      </c>
    </row>
    <row r="45" spans="2:30" x14ac:dyDescent="0.3">
      <c r="B45" s="3"/>
      <c r="C45" s="2">
        <f>Tabla1[[#This Row],[COMISIONES]]*0.21</f>
        <v>0</v>
      </c>
      <c r="D45" s="3"/>
      <c r="E45" s="3"/>
      <c r="F45" s="3"/>
      <c r="H45" s="19"/>
      <c r="I45" s="19">
        <f>Tabla3[[#This Row],[COMISIONES]]*0.21</f>
        <v>0</v>
      </c>
      <c r="J45" s="19"/>
      <c r="K45" s="19"/>
      <c r="L45" s="19"/>
      <c r="N45" s="11">
        <v>1277.8800000000001</v>
      </c>
      <c r="O45" s="11">
        <f>Tabla35[[#This Row],[COMISIONES]]*0.21</f>
        <v>268.35480000000001</v>
      </c>
      <c r="P45" s="11"/>
      <c r="Q45" s="11">
        <v>3137.18</v>
      </c>
      <c r="R45" s="11"/>
      <c r="U45" s="20">
        <f>Tabla6[[#This Row],[COMISIONES]]*0.21</f>
        <v>0</v>
      </c>
    </row>
    <row r="46" spans="2:30" x14ac:dyDescent="0.3">
      <c r="B46" s="3"/>
      <c r="C46" s="2">
        <f>Tabla1[[#This Row],[COMISIONES]]*0.21</f>
        <v>0</v>
      </c>
      <c r="D46" s="3"/>
      <c r="E46" s="3"/>
      <c r="F46" s="3"/>
      <c r="H46" s="19"/>
      <c r="I46" s="19">
        <f>Tabla3[[#This Row],[COMISIONES]]*0.21</f>
        <v>0</v>
      </c>
      <c r="J46" s="19"/>
      <c r="K46" s="19"/>
      <c r="L46" s="19"/>
      <c r="N46" s="11">
        <v>517.13</v>
      </c>
      <c r="O46" s="11">
        <f>Tabla35[[#This Row],[COMISIONES]]*0.21</f>
        <v>108.59729999999999</v>
      </c>
      <c r="P46" s="11">
        <v>822.71</v>
      </c>
      <c r="Q46" s="11">
        <v>1103.6600000000001</v>
      </c>
      <c r="R46" s="11">
        <v>117.53</v>
      </c>
      <c r="U46" s="20">
        <f>Tabla6[[#This Row],[COMISIONES]]*0.21</f>
        <v>0</v>
      </c>
    </row>
    <row r="47" spans="2:30" x14ac:dyDescent="0.3">
      <c r="B47" s="2"/>
      <c r="C47" s="2">
        <f>Tabla1[[#This Row],[COMISIONES]]*0.21</f>
        <v>0</v>
      </c>
      <c r="D47" s="2"/>
      <c r="E47" s="2"/>
      <c r="H47" s="19"/>
      <c r="I47" s="19">
        <f>Tabla3[[#This Row],[COMISIONES]]*0.21</f>
        <v>0</v>
      </c>
      <c r="J47" s="19"/>
      <c r="K47" s="19"/>
      <c r="L47" s="19"/>
      <c r="N47" s="11">
        <v>543.6</v>
      </c>
      <c r="O47" s="11">
        <f>Tabla35[[#This Row],[COMISIONES]]*0.21</f>
        <v>114.15600000000001</v>
      </c>
      <c r="P47" s="11">
        <v>550.25</v>
      </c>
      <c r="Q47" s="11">
        <v>1334.54</v>
      </c>
      <c r="R47" s="11">
        <v>14.85</v>
      </c>
      <c r="U47" s="20">
        <f>Tabla6[[#This Row],[COMISIONES]]*0.21</f>
        <v>0</v>
      </c>
    </row>
    <row r="48" spans="2:30" x14ac:dyDescent="0.3">
      <c r="B48" s="2"/>
      <c r="C48" s="2">
        <f>Tabla1[[#This Row],[COMISIONES]]*0.21</f>
        <v>0</v>
      </c>
      <c r="D48" s="2"/>
      <c r="E48" s="2"/>
      <c r="H48" s="19"/>
      <c r="I48" s="19">
        <f>Tabla3[[#This Row],[COMISIONES]]*0.21</f>
        <v>0</v>
      </c>
      <c r="J48" s="19"/>
      <c r="K48" s="19"/>
      <c r="L48" s="19"/>
      <c r="N48" s="11">
        <v>494.87</v>
      </c>
      <c r="O48" s="11">
        <f>Tabla35[[#This Row],[COMISIONES]]*0.21</f>
        <v>103.92269999999999</v>
      </c>
      <c r="P48" s="11"/>
      <c r="Q48" s="11">
        <v>862.31</v>
      </c>
      <c r="R48" s="11"/>
      <c r="U48" s="20">
        <f>Tabla6[[#This Row],[COMISIONES]]*0.21</f>
        <v>0</v>
      </c>
    </row>
    <row r="49" spans="2:24" x14ac:dyDescent="0.3">
      <c r="B49" s="2"/>
      <c r="C49" s="2">
        <f>Tabla1[[#This Row],[COMISIONES]]*0.21</f>
        <v>0</v>
      </c>
      <c r="D49" s="2"/>
      <c r="E49" s="2"/>
      <c r="H49" s="18">
        <f>SUBTOTAL(109,Tabla3[COMISIONES])</f>
        <v>24995</v>
      </c>
      <c r="I49" s="18">
        <f>SUBTOTAL(109,Tabla3[IVA 21])</f>
        <v>5248.95</v>
      </c>
      <c r="J49" s="18">
        <f>SUBTOTAL(109,Tabla3[IVA 10,5])</f>
        <v>0</v>
      </c>
      <c r="K49" s="18">
        <f>SUBTOTAL(109,Tabla3[Ret IIBB Caba])</f>
        <v>0</v>
      </c>
      <c r="L49" s="18">
        <f>SUBTOTAL(109,Tabla3[PERC IVA])</f>
        <v>749.85</v>
      </c>
      <c r="N49" s="11">
        <v>254.52</v>
      </c>
      <c r="O49" s="11">
        <f>Tabla35[[#This Row],[COMISIONES]]*0.21</f>
        <v>53.449199999999998</v>
      </c>
      <c r="P49" s="11"/>
      <c r="Q49" s="11">
        <v>624.85</v>
      </c>
      <c r="R49" s="11">
        <v>78.61</v>
      </c>
      <c r="U49" s="20">
        <f>Tabla6[[#This Row],[COMISIONES]]*0.21</f>
        <v>0</v>
      </c>
    </row>
    <row r="50" spans="2:24" x14ac:dyDescent="0.3">
      <c r="B50" s="2"/>
      <c r="C50" s="2">
        <f>Tabla1[[#This Row],[COMISIONES]]*0.21</f>
        <v>0</v>
      </c>
      <c r="D50" s="2"/>
      <c r="E50" s="2"/>
      <c r="N50" s="11">
        <v>533.62</v>
      </c>
      <c r="O50" s="11">
        <f>Tabla35[[#This Row],[COMISIONES]]*0.21</f>
        <v>112.06019999999999</v>
      </c>
      <c r="P50" s="11">
        <v>1036.0999999999999</v>
      </c>
      <c r="Q50" s="11">
        <v>1074.22</v>
      </c>
      <c r="R50" s="11">
        <v>16.010000000000002</v>
      </c>
      <c r="U50" s="20">
        <f>Tabla6[[#This Row],[COMISIONES]]*0.21</f>
        <v>0</v>
      </c>
    </row>
    <row r="51" spans="2:24" x14ac:dyDescent="0.3">
      <c r="B51" s="2"/>
      <c r="C51" s="2">
        <f>Tabla1[[#This Row],[COMISIONES]]*0.21</f>
        <v>0</v>
      </c>
      <c r="D51" s="2"/>
      <c r="E51" s="2"/>
      <c r="N51" s="11">
        <v>57.51</v>
      </c>
      <c r="O51" s="11">
        <f>Tabla35[[#This Row],[COMISIONES]]*0.21</f>
        <v>12.0771</v>
      </c>
      <c r="P51" s="11"/>
      <c r="Q51" s="11">
        <v>141.19</v>
      </c>
      <c r="R51" s="11">
        <v>148.01</v>
      </c>
      <c r="U51" s="20">
        <f>Tabla6[[#This Row],[COMISIONES]]*0.21</f>
        <v>0</v>
      </c>
    </row>
    <row r="52" spans="2:24" x14ac:dyDescent="0.3">
      <c r="B52" s="2"/>
      <c r="C52" s="2">
        <f>Tabla1[[#This Row],[COMISIONES]]*0.21</f>
        <v>0</v>
      </c>
      <c r="D52" s="2"/>
      <c r="E52" s="2"/>
      <c r="N52" s="11">
        <v>844.75</v>
      </c>
      <c r="O52" s="11">
        <f>Tabla35[[#This Row],[COMISIONES]]*0.21</f>
        <v>177.39749999999998</v>
      </c>
      <c r="P52" s="11"/>
      <c r="Q52" s="11">
        <v>2073.84</v>
      </c>
      <c r="R52" s="11">
        <v>36.57</v>
      </c>
      <c r="U52" s="20">
        <f>Tabla6[[#This Row],[COMISIONES]]*0.21</f>
        <v>0</v>
      </c>
    </row>
    <row r="53" spans="2:24" x14ac:dyDescent="0.3">
      <c r="B53" s="2"/>
      <c r="C53" s="2">
        <f>Tabla1[[#This Row],[COMISIONES]]*0.21</f>
        <v>0</v>
      </c>
      <c r="D53" s="2"/>
      <c r="E53" s="2"/>
      <c r="N53" s="11">
        <v>150.97999999999999</v>
      </c>
      <c r="O53" s="11">
        <f>Tabla35[[#This Row],[COMISIONES]]*0.21</f>
        <v>31.705799999999996</v>
      </c>
      <c r="P53" s="11"/>
      <c r="Q53" s="11">
        <v>370.64</v>
      </c>
      <c r="R53" s="11"/>
      <c r="U53" s="20">
        <f>Tabla6[[#This Row],[COMISIONES]]*0.21</f>
        <v>0</v>
      </c>
    </row>
    <row r="54" spans="2:24" x14ac:dyDescent="0.3">
      <c r="B54" s="2"/>
      <c r="C54" s="2">
        <f>Tabla1[[#This Row],[COMISIONES]]*0.21</f>
        <v>0</v>
      </c>
      <c r="D54" s="1"/>
      <c r="E54" s="2"/>
      <c r="N54" s="11">
        <v>171.9</v>
      </c>
      <c r="O54" s="11">
        <f>Tabla35[[#This Row],[COMISIONES]]*0.21</f>
        <v>36.098999999999997</v>
      </c>
      <c r="P54" s="11"/>
      <c r="Q54" s="11">
        <v>422.01</v>
      </c>
      <c r="R54" s="11"/>
      <c r="U54" s="20">
        <f>Tabla6[[#This Row],[COMISIONES]]*0.21</f>
        <v>0</v>
      </c>
    </row>
    <row r="55" spans="2:24" x14ac:dyDescent="0.3">
      <c r="B55" s="2"/>
      <c r="C55" s="2">
        <f>Tabla1[[#This Row],[COMISIONES]]*0.21</f>
        <v>0</v>
      </c>
      <c r="D55" s="2"/>
      <c r="E55" s="2"/>
      <c r="N55" s="11">
        <v>1218.97</v>
      </c>
      <c r="O55" s="11">
        <f>Tabla35[[#This Row],[COMISIONES]]*0.21</f>
        <v>255.9837</v>
      </c>
      <c r="P55" s="11"/>
      <c r="Q55" s="11">
        <v>2548.54</v>
      </c>
      <c r="R55" s="11"/>
      <c r="U55" s="20">
        <f>Tabla6[[#This Row],[COMISIONES]]*0.21</f>
        <v>0</v>
      </c>
    </row>
    <row r="56" spans="2:24" x14ac:dyDescent="0.3">
      <c r="B56" s="2"/>
      <c r="C56" s="2">
        <f>Tabla1[[#This Row],[COMISIONES]]*0.21</f>
        <v>0</v>
      </c>
      <c r="D56" s="2"/>
      <c r="E56" s="2"/>
      <c r="N56" s="11">
        <v>71.400000000000006</v>
      </c>
      <c r="O56" s="11">
        <f>Tabla35[[#This Row],[COMISIONES]]*0.21</f>
        <v>14.994</v>
      </c>
      <c r="P56" s="11"/>
      <c r="Q56" s="11">
        <v>398.41</v>
      </c>
      <c r="R56" s="11"/>
      <c r="U56" s="20">
        <f>Tabla6[[#This Row],[COMISIONES]]*0.21</f>
        <v>0</v>
      </c>
    </row>
    <row r="57" spans="2:24" x14ac:dyDescent="0.3">
      <c r="B57" s="18">
        <f>SUBTOTAL(109,Tabla1[COMISIONES])</f>
        <v>850</v>
      </c>
      <c r="C57" s="18">
        <f>SUBTOTAL(109,Tabla1[IVA 21])</f>
        <v>178.5</v>
      </c>
      <c r="D57" s="18">
        <f>SUBTOTAL(109,Tabla1[IVA 10,5])</f>
        <v>0</v>
      </c>
      <c r="E57" s="18">
        <f>SUBTOTAL(109,Tabla1[Ret IIBB Caba])</f>
        <v>0</v>
      </c>
      <c r="F57" s="18">
        <f>SUBTOTAL(109,Tabla1[PERC IVA])</f>
        <v>0</v>
      </c>
      <c r="N57" s="11">
        <v>22.96</v>
      </c>
      <c r="O57" s="11">
        <f>Tabla35[[#This Row],[COMISIONES]]*0.21</f>
        <v>4.8216000000000001</v>
      </c>
      <c r="P57" s="11"/>
      <c r="Q57" s="11">
        <v>128.12</v>
      </c>
      <c r="R57" s="11"/>
      <c r="U57" s="20">
        <f>Tabla6[[#This Row],[COMISIONES]]*0.21</f>
        <v>0</v>
      </c>
    </row>
    <row r="58" spans="2:24" x14ac:dyDescent="0.3">
      <c r="N58" s="11">
        <v>13.32</v>
      </c>
      <c r="O58" s="11">
        <f>Tabla35[[#This Row],[COMISIONES]]*0.21</f>
        <v>2.7972000000000001</v>
      </c>
      <c r="P58" s="11"/>
      <c r="Q58" s="11">
        <v>74.33</v>
      </c>
      <c r="R58" s="11"/>
      <c r="T58" s="18">
        <f>SUBTOTAL(109,Tabla6[COMISIONES])</f>
        <v>12750</v>
      </c>
      <c r="U58" s="18">
        <f>SUBTOTAL(109,Tabla6[IVA 21])</f>
        <v>2677.5</v>
      </c>
      <c r="V58" s="18">
        <f>SUBTOTAL(109,Tabla6[IVA 10,5])</f>
        <v>0</v>
      </c>
      <c r="W58" s="18">
        <f>SUBTOTAL(109,Tabla6[Ret IIBB Caba])</f>
        <v>638.4</v>
      </c>
      <c r="X58" s="18">
        <f>SUBTOTAL(109,Tabla6[PERC IVA])</f>
        <v>319.2</v>
      </c>
    </row>
    <row r="59" spans="2:24" x14ac:dyDescent="0.3">
      <c r="N59" s="11">
        <v>237.92</v>
      </c>
      <c r="O59" s="11">
        <f>Tabla35[[#This Row],[COMISIONES]]*0.21</f>
        <v>49.963199999999993</v>
      </c>
      <c r="P59" s="11"/>
      <c r="Q59" s="11">
        <v>1327.59</v>
      </c>
      <c r="R59" s="11"/>
    </row>
    <row r="60" spans="2:24" x14ac:dyDescent="0.3">
      <c r="N60" s="11">
        <v>426.42</v>
      </c>
      <c r="O60" s="11">
        <f>Tabla35[[#This Row],[COMISIONES]]*0.21</f>
        <v>89.548199999999994</v>
      </c>
      <c r="P60" s="11"/>
      <c r="Q60" s="11">
        <v>2379.42</v>
      </c>
      <c r="R60" s="11"/>
    </row>
    <row r="61" spans="2:24" x14ac:dyDescent="0.3">
      <c r="N61" s="11">
        <v>4.8</v>
      </c>
      <c r="O61" s="11">
        <f>Tabla35[[#This Row],[COMISIONES]]*0.21</f>
        <v>1.008</v>
      </c>
      <c r="P61" s="11"/>
      <c r="Q61" s="11">
        <v>26.78</v>
      </c>
      <c r="R61" s="11"/>
    </row>
    <row r="62" spans="2:24" x14ac:dyDescent="0.3">
      <c r="N62" s="11">
        <v>177.92</v>
      </c>
      <c r="O62" s="11">
        <f>Tabla35[[#This Row],[COMISIONES]]*0.21</f>
        <v>37.363199999999999</v>
      </c>
      <c r="P62" s="11"/>
      <c r="Q62" s="11">
        <v>992.79</v>
      </c>
      <c r="R62" s="11"/>
    </row>
    <row r="63" spans="2:24" x14ac:dyDescent="0.3">
      <c r="N63" s="19">
        <v>280.24</v>
      </c>
      <c r="O63" s="19">
        <f>Tabla35[[#This Row],[COMISIONES]]*0.21</f>
        <v>58.8504</v>
      </c>
      <c r="P63" s="19"/>
      <c r="Q63" s="19">
        <v>1563.74</v>
      </c>
      <c r="R63" s="19"/>
    </row>
    <row r="64" spans="2:24" x14ac:dyDescent="0.3">
      <c r="N64" s="19">
        <v>66.8</v>
      </c>
      <c r="O64" s="19">
        <f>Tabla35[[#This Row],[COMISIONES]]*0.21</f>
        <v>14.027999999999999</v>
      </c>
      <c r="P64" s="19"/>
      <c r="Q64" s="19">
        <v>372.74</v>
      </c>
      <c r="R64" s="19"/>
    </row>
    <row r="65" spans="14:18" x14ac:dyDescent="0.3">
      <c r="N65" s="19">
        <v>49.36</v>
      </c>
      <c r="O65" s="19">
        <f>Tabla35[[#This Row],[COMISIONES]]*0.21</f>
        <v>10.365599999999999</v>
      </c>
      <c r="P65" s="19"/>
      <c r="Q65" s="19">
        <v>275.43</v>
      </c>
      <c r="R65" s="19"/>
    </row>
    <row r="66" spans="14:18" x14ac:dyDescent="0.3">
      <c r="N66" s="19">
        <v>202.54</v>
      </c>
      <c r="O66" s="19">
        <f>Tabla35[[#This Row],[COMISIONES]]*0.21</f>
        <v>42.533399999999993</v>
      </c>
      <c r="P66" s="19">
        <v>67.73</v>
      </c>
      <c r="Q66" s="19">
        <v>1130.17</v>
      </c>
      <c r="R66" s="19"/>
    </row>
    <row r="67" spans="14:18" x14ac:dyDescent="0.3">
      <c r="N67" s="19">
        <v>248.14</v>
      </c>
      <c r="O67" s="19">
        <f>Tabla35[[#This Row],[COMISIONES]]*0.21</f>
        <v>52.109399999999994</v>
      </c>
      <c r="P67" s="19"/>
      <c r="Q67" s="19">
        <v>1384.62</v>
      </c>
      <c r="R67" s="19"/>
    </row>
    <row r="68" spans="14:18" x14ac:dyDescent="0.3">
      <c r="N68" s="19">
        <v>421.2</v>
      </c>
      <c r="O68" s="19">
        <f>Tabla35[[#This Row],[COMISIONES]]*0.21</f>
        <v>88.451999999999998</v>
      </c>
      <c r="P68" s="19"/>
      <c r="Q68" s="19">
        <v>1034.05</v>
      </c>
      <c r="R68" s="19"/>
    </row>
    <row r="69" spans="14:18" x14ac:dyDescent="0.3">
      <c r="N69" s="19">
        <v>824.04</v>
      </c>
      <c r="O69" s="19">
        <f>Tabla35[[#This Row],[COMISIONES]]*0.21</f>
        <v>173.04839999999999</v>
      </c>
      <c r="P69" s="19">
        <v>259.82</v>
      </c>
      <c r="Q69" s="19">
        <v>2023.02</v>
      </c>
      <c r="R69" s="19"/>
    </row>
    <row r="70" spans="14:18" x14ac:dyDescent="0.3">
      <c r="N70" s="19">
        <v>102.31</v>
      </c>
      <c r="O70" s="19">
        <f>Tabla35[[#This Row],[COMISIONES]]*0.21</f>
        <v>21.485099999999999</v>
      </c>
      <c r="P70" s="19"/>
      <c r="Q70" s="19">
        <v>222.14</v>
      </c>
      <c r="R70" s="19"/>
    </row>
    <row r="71" spans="14:18" x14ac:dyDescent="0.3">
      <c r="N71" s="19">
        <v>1942.56</v>
      </c>
      <c r="O71" s="19">
        <f>Tabla35[[#This Row],[COMISIONES]]*0.21</f>
        <v>407.93759999999997</v>
      </c>
      <c r="P71" s="19"/>
      <c r="Q71" s="19">
        <v>4768.9799999999996</v>
      </c>
      <c r="R71" s="19">
        <v>199.3</v>
      </c>
    </row>
    <row r="72" spans="14:18" x14ac:dyDescent="0.3">
      <c r="N72" s="19">
        <v>299.26</v>
      </c>
      <c r="O72" s="19">
        <f>Tabla35[[#This Row],[COMISIONES]]*0.21</f>
        <v>62.844599999999993</v>
      </c>
      <c r="P72" s="19"/>
      <c r="Q72" s="19">
        <v>623.34</v>
      </c>
      <c r="R72" s="19">
        <v>44.45</v>
      </c>
    </row>
    <row r="73" spans="14:18" x14ac:dyDescent="0.3">
      <c r="N73" s="19">
        <v>569.70000000000005</v>
      </c>
      <c r="O73" s="19">
        <f>Tabla35[[#This Row],[COMISIONES]]*0.21</f>
        <v>119.637</v>
      </c>
      <c r="P73" s="19"/>
      <c r="Q73" s="19">
        <v>1398.61</v>
      </c>
      <c r="R73" s="19">
        <v>101.21</v>
      </c>
    </row>
    <row r="74" spans="14:18" x14ac:dyDescent="0.3">
      <c r="N74" s="19">
        <v>1482.09</v>
      </c>
      <c r="O74" s="19">
        <f>Tabla35[[#This Row],[COMISIONES]]*0.21</f>
        <v>311.23889999999994</v>
      </c>
      <c r="P74" s="19"/>
      <c r="Q74" s="19">
        <v>1395.1</v>
      </c>
      <c r="R74" s="19"/>
    </row>
    <row r="75" spans="14:18" x14ac:dyDescent="0.3">
      <c r="N75" s="19">
        <v>269.68</v>
      </c>
      <c r="O75" s="19">
        <f>Tabla35[[#This Row],[COMISIONES]]*0.21</f>
        <v>56.632799999999996</v>
      </c>
      <c r="P75" s="19">
        <v>498.81</v>
      </c>
      <c r="Q75" s="19">
        <v>662.05</v>
      </c>
      <c r="R75" s="19">
        <v>71.260000000000005</v>
      </c>
    </row>
    <row r="76" spans="14:18" x14ac:dyDescent="0.3">
      <c r="N76" s="19">
        <v>3373.3</v>
      </c>
      <c r="O76" s="19">
        <f>Tabla35[[#This Row],[COMISIONES]]*0.21</f>
        <v>708.39300000000003</v>
      </c>
      <c r="P76" s="19"/>
      <c r="Q76" s="19">
        <v>8281.43</v>
      </c>
      <c r="R76" s="19">
        <v>17.57</v>
      </c>
    </row>
    <row r="77" spans="14:18" x14ac:dyDescent="0.3">
      <c r="N77" s="19">
        <v>1980.04</v>
      </c>
      <c r="O77" s="19">
        <f>Tabla35[[#This Row],[COMISIONES]]*0.21</f>
        <v>415.80839999999995</v>
      </c>
      <c r="P77" s="19"/>
      <c r="Q77" s="19">
        <v>4860.9399999999996</v>
      </c>
      <c r="R77" s="19"/>
    </row>
    <row r="78" spans="14:18" x14ac:dyDescent="0.3">
      <c r="N78" s="19">
        <v>162.9</v>
      </c>
      <c r="O78" s="19">
        <f>Tabla35[[#This Row],[COMISIONES]]*0.21</f>
        <v>34.209000000000003</v>
      </c>
      <c r="P78" s="19"/>
      <c r="Q78" s="19">
        <v>399.92</v>
      </c>
      <c r="R78" s="19">
        <v>63.13</v>
      </c>
    </row>
    <row r="79" spans="14:18" x14ac:dyDescent="0.3">
      <c r="N79" s="19">
        <v>1901.43</v>
      </c>
      <c r="O79" s="19">
        <f>Tabla35[[#This Row],[COMISIONES]]*0.21</f>
        <v>399.30029999999999</v>
      </c>
      <c r="P79" s="19"/>
      <c r="Q79" s="19">
        <v>4668.01</v>
      </c>
      <c r="R79" s="19">
        <v>213.56</v>
      </c>
    </row>
    <row r="80" spans="14:18" x14ac:dyDescent="0.3">
      <c r="N80" s="19">
        <v>585.42999999999995</v>
      </c>
      <c r="O80" s="19">
        <f>Tabla35[[#This Row],[COMISIONES]]*0.21</f>
        <v>122.94029999999998</v>
      </c>
      <c r="P80" s="19">
        <v>1494.9</v>
      </c>
      <c r="Q80" s="19">
        <v>1223.46</v>
      </c>
      <c r="R80" s="19">
        <v>45.87</v>
      </c>
    </row>
    <row r="81" spans="14:18" x14ac:dyDescent="0.3">
      <c r="N81" s="19">
        <v>2104.09</v>
      </c>
      <c r="O81" s="19">
        <f>Tabla35[[#This Row],[COMISIONES]]*0.21</f>
        <v>441.85890000000001</v>
      </c>
      <c r="P81" s="19"/>
      <c r="Q81" s="19">
        <v>5165.49</v>
      </c>
      <c r="R81" s="19">
        <v>158.15</v>
      </c>
    </row>
    <row r="82" spans="14:18" x14ac:dyDescent="0.3">
      <c r="N82" s="19">
        <v>1528.69</v>
      </c>
      <c r="O82" s="19">
        <f>Tabla35[[#This Row],[COMISIONES]]*0.21</f>
        <v>321.0249</v>
      </c>
      <c r="P82" s="19">
        <v>529.61</v>
      </c>
      <c r="Q82" s="19">
        <v>3112.26</v>
      </c>
      <c r="R82" s="19">
        <v>75.66</v>
      </c>
    </row>
    <row r="83" spans="14:18" x14ac:dyDescent="0.3">
      <c r="N83" s="19">
        <v>5271.64</v>
      </c>
      <c r="O83" s="19">
        <f>Tabla35[[#This Row],[COMISIONES]]*0.21</f>
        <v>1107.0444</v>
      </c>
      <c r="P83" s="19"/>
      <c r="Q83" s="19">
        <v>12941.82</v>
      </c>
      <c r="R83" s="19">
        <v>16.239999999999998</v>
      </c>
    </row>
    <row r="84" spans="14:18" x14ac:dyDescent="0.3">
      <c r="N84" s="19">
        <v>541.59</v>
      </c>
      <c r="O84" s="19">
        <f>Tabla35[[#This Row],[COMISIONES]]*0.21</f>
        <v>113.73390000000001</v>
      </c>
      <c r="P84" s="19">
        <v>2692.51</v>
      </c>
      <c r="Q84" s="19">
        <v>1102.6199999999999</v>
      </c>
      <c r="R84" s="19">
        <v>105.59</v>
      </c>
    </row>
    <row r="85" spans="14:18" x14ac:dyDescent="0.3">
      <c r="N85" s="19">
        <v>159.75</v>
      </c>
      <c r="O85" s="19">
        <f>Tabla35[[#This Row],[COMISIONES]]*0.21</f>
        <v>33.547499999999999</v>
      </c>
      <c r="P85" s="19"/>
      <c r="Q85" s="19">
        <v>392.19</v>
      </c>
      <c r="R85" s="19">
        <v>384.65</v>
      </c>
    </row>
    <row r="86" spans="14:18" x14ac:dyDescent="0.3">
      <c r="N86" s="19">
        <v>3519.7</v>
      </c>
      <c r="O86" s="19">
        <f>Tabla35[[#This Row],[COMISIONES]]*0.21</f>
        <v>739.13699999999994</v>
      </c>
      <c r="P86" s="19">
        <v>1762.78</v>
      </c>
      <c r="Q86" s="19">
        <v>8640.82</v>
      </c>
      <c r="R86" s="19">
        <v>63.37</v>
      </c>
    </row>
    <row r="87" spans="14:18" x14ac:dyDescent="0.3">
      <c r="N87" s="19">
        <v>2112.54</v>
      </c>
      <c r="O87" s="19">
        <f>Tabla35[[#This Row],[COMISIONES]]*0.21</f>
        <v>443.63339999999999</v>
      </c>
      <c r="P87" s="19"/>
      <c r="Q87" s="19">
        <v>4032.33</v>
      </c>
      <c r="R87" s="19">
        <v>60.37</v>
      </c>
    </row>
    <row r="88" spans="14:18" x14ac:dyDescent="0.3">
      <c r="N88" s="19">
        <v>2012.05</v>
      </c>
      <c r="O88" s="19">
        <f>Tabla35[[#This Row],[COMISIONES]]*0.21</f>
        <v>422.53049999999996</v>
      </c>
      <c r="P88" s="19">
        <v>1595.94</v>
      </c>
      <c r="Q88" s="19">
        <v>4939.58</v>
      </c>
      <c r="R88" s="19">
        <v>251.83</v>
      </c>
    </row>
    <row r="89" spans="14:18" x14ac:dyDescent="0.3">
      <c r="N89" s="19">
        <v>1802.62</v>
      </c>
      <c r="O89" s="19">
        <f>Tabla35[[#This Row],[COMISIONES]]*0.21</f>
        <v>378.55019999999996</v>
      </c>
      <c r="P89" s="19"/>
      <c r="Q89" s="19">
        <v>3669.97</v>
      </c>
      <c r="R89" s="19">
        <v>54.08</v>
      </c>
    </row>
    <row r="90" spans="14:18" x14ac:dyDescent="0.3">
      <c r="N90" s="19">
        <v>1528.88</v>
      </c>
      <c r="O90" s="19">
        <f>Tabla35[[#This Row],[COMISIONES]]*0.21</f>
        <v>321.06479999999999</v>
      </c>
      <c r="P90" s="19">
        <v>1038.72</v>
      </c>
      <c r="Q90" s="19">
        <v>3753.39</v>
      </c>
      <c r="R90" s="19">
        <v>227.99</v>
      </c>
    </row>
    <row r="91" spans="14:18" x14ac:dyDescent="0.3">
      <c r="N91" s="19">
        <v>109.76</v>
      </c>
      <c r="O91" s="19">
        <f>Tabla35[[#This Row],[COMISIONES]]*0.21</f>
        <v>23.049600000000002</v>
      </c>
      <c r="P91" s="19"/>
      <c r="Q91" s="19">
        <v>269.45</v>
      </c>
      <c r="R91" s="19">
        <v>48.97</v>
      </c>
    </row>
    <row r="92" spans="14:18" x14ac:dyDescent="0.3">
      <c r="N92" s="19">
        <v>1422.18</v>
      </c>
      <c r="O92" s="19">
        <f>Tabla35[[#This Row],[COMISIONES]]*0.21</f>
        <v>298.65780000000001</v>
      </c>
      <c r="P92" s="19"/>
      <c r="Q92" s="19">
        <v>3491.45</v>
      </c>
      <c r="R92" s="19">
        <v>74.62</v>
      </c>
    </row>
    <row r="93" spans="14:18" x14ac:dyDescent="0.3">
      <c r="N93" s="19">
        <v>1632.01</v>
      </c>
      <c r="O93" s="19">
        <f>Tabla35[[#This Row],[COMISIONES]]*0.21</f>
        <v>342.72210000000001</v>
      </c>
      <c r="P93" s="19"/>
      <c r="Q93" s="19">
        <v>3322.64</v>
      </c>
      <c r="R93" s="19">
        <v>51.13</v>
      </c>
    </row>
    <row r="94" spans="14:18" x14ac:dyDescent="0.3">
      <c r="N94" s="19">
        <v>2486.73</v>
      </c>
      <c r="O94" s="19">
        <f>Tabla35[[#This Row],[COMISIONES]]*0.21</f>
        <v>522.2133</v>
      </c>
      <c r="P94" s="19">
        <v>187.7</v>
      </c>
      <c r="Q94" s="19">
        <v>6104.91</v>
      </c>
      <c r="R94" s="19">
        <v>352.58</v>
      </c>
    </row>
    <row r="95" spans="14:18" x14ac:dyDescent="0.3">
      <c r="N95" s="19">
        <v>1704.37</v>
      </c>
      <c r="O95" s="19">
        <f>Tabla35[[#This Row],[COMISIONES]]*0.21</f>
        <v>357.91769999999997</v>
      </c>
      <c r="P95" s="19"/>
      <c r="Q95" s="19">
        <v>3126.47</v>
      </c>
      <c r="R95" s="19"/>
    </row>
    <row r="96" spans="14:18" x14ac:dyDescent="0.3">
      <c r="N96" s="19">
        <v>640.99</v>
      </c>
      <c r="O96" s="19">
        <f>Tabla35[[#This Row],[COMISIONES]]*0.21</f>
        <v>134.6079</v>
      </c>
      <c r="P96" s="19"/>
      <c r="Q96" s="19">
        <v>1573.61</v>
      </c>
      <c r="R96" s="19">
        <v>448.28</v>
      </c>
    </row>
    <row r="97" spans="14:18" x14ac:dyDescent="0.3">
      <c r="N97" s="19">
        <v>213.57</v>
      </c>
      <c r="O97" s="19">
        <f>Tabla35[[#This Row],[COMISIONES]]*0.21</f>
        <v>44.849699999999999</v>
      </c>
      <c r="P97" s="19">
        <v>3137.93</v>
      </c>
      <c r="Q97" s="19">
        <v>524.30999999999995</v>
      </c>
      <c r="R97" s="19">
        <v>79.739999999999995</v>
      </c>
    </row>
    <row r="98" spans="14:18" x14ac:dyDescent="0.3">
      <c r="N98" s="19">
        <v>1890.37</v>
      </c>
      <c r="O98" s="19">
        <f>Tabla35[[#This Row],[COMISIONES]]*0.21</f>
        <v>396.97769999999997</v>
      </c>
      <c r="P98" s="19"/>
      <c r="Q98" s="19">
        <v>4640.83</v>
      </c>
      <c r="R98" s="19">
        <v>102.92</v>
      </c>
    </row>
    <row r="99" spans="14:18" x14ac:dyDescent="0.3">
      <c r="N99" s="19">
        <v>250.77</v>
      </c>
      <c r="O99" s="19">
        <f>Tabla35[[#This Row],[COMISIONES]]*0.21</f>
        <v>52.661700000000003</v>
      </c>
      <c r="P99" s="19">
        <v>3801.89</v>
      </c>
      <c r="Q99" s="19">
        <v>535.17999999999995</v>
      </c>
      <c r="R99" s="19">
        <v>543.13</v>
      </c>
    </row>
    <row r="100" spans="14:18" x14ac:dyDescent="0.3">
      <c r="N100" s="19">
        <v>1142.1600000000001</v>
      </c>
      <c r="O100" s="19">
        <f>Tabla35[[#This Row],[COMISIONES]]*0.21</f>
        <v>239.8536</v>
      </c>
      <c r="P100" s="19"/>
      <c r="Q100" s="19">
        <v>2803.99</v>
      </c>
      <c r="R100" s="19">
        <v>106.03</v>
      </c>
    </row>
    <row r="101" spans="14:18" x14ac:dyDescent="0.3">
      <c r="N101" s="19">
        <v>2657.98</v>
      </c>
      <c r="O101" s="19">
        <f>Tabla35[[#This Row],[COMISIONES]]*0.21</f>
        <v>558.17579999999998</v>
      </c>
      <c r="P101" s="19"/>
      <c r="Q101" s="19">
        <v>5180.51</v>
      </c>
      <c r="R101" s="19">
        <v>13.87</v>
      </c>
    </row>
    <row r="102" spans="14:18" x14ac:dyDescent="0.3">
      <c r="N102" s="19">
        <v>3430.59</v>
      </c>
      <c r="O102" s="19">
        <f>Tabla35[[#This Row],[COMISIONES]]*0.21</f>
        <v>720.4239</v>
      </c>
      <c r="P102" s="19">
        <v>742.22</v>
      </c>
      <c r="Q102" s="19">
        <v>6792.71</v>
      </c>
      <c r="R102" s="19"/>
    </row>
    <row r="103" spans="14:18" x14ac:dyDescent="0.3">
      <c r="N103" s="19">
        <v>204.25</v>
      </c>
      <c r="O103" s="19">
        <f>Tabla35[[#This Row],[COMISIONES]]*0.21</f>
        <v>42.892499999999998</v>
      </c>
      <c r="P103" s="19"/>
      <c r="Q103" s="19">
        <v>501.42</v>
      </c>
      <c r="R103" s="19">
        <v>189.7</v>
      </c>
    </row>
    <row r="104" spans="14:18" x14ac:dyDescent="0.3">
      <c r="N104" s="19">
        <v>1246.68</v>
      </c>
      <c r="O104" s="19">
        <f>Tabla35[[#This Row],[COMISIONES]]*0.21</f>
        <v>261.80279999999999</v>
      </c>
      <c r="P104" s="19">
        <v>1327.92</v>
      </c>
      <c r="Q104" s="19">
        <v>3060.6</v>
      </c>
      <c r="R104" s="19">
        <v>39.549999999999997</v>
      </c>
    </row>
    <row r="105" spans="14:18" x14ac:dyDescent="0.3">
      <c r="N105" s="19">
        <v>462.45</v>
      </c>
      <c r="O105" s="19">
        <f>Tabla35[[#This Row],[COMISIONES]]*0.21</f>
        <v>97.114499999999992</v>
      </c>
      <c r="P105" s="19"/>
      <c r="Q105" s="19">
        <v>817.21</v>
      </c>
      <c r="R105" s="19">
        <v>873.35</v>
      </c>
    </row>
    <row r="106" spans="14:18" x14ac:dyDescent="0.3">
      <c r="N106" s="19">
        <v>1090.76</v>
      </c>
      <c r="O106" s="19">
        <f>Tabla35[[#This Row],[COMISIONES]]*0.21</f>
        <v>229.05959999999999</v>
      </c>
      <c r="P106" s="19"/>
      <c r="Q106" s="19">
        <v>2677.8</v>
      </c>
      <c r="R106" s="19">
        <v>144.09</v>
      </c>
    </row>
    <row r="107" spans="14:18" x14ac:dyDescent="0.3">
      <c r="N107" s="19">
        <v>1318.29</v>
      </c>
      <c r="O107" s="19">
        <f>Tabla35[[#This Row],[COMISIONES]]*0.21</f>
        <v>276.84089999999998</v>
      </c>
      <c r="P107" s="19">
        <v>4565.83</v>
      </c>
      <c r="Q107" s="19">
        <v>2667.29</v>
      </c>
      <c r="R107" s="19"/>
    </row>
    <row r="108" spans="14:18" x14ac:dyDescent="0.3">
      <c r="N108" s="19">
        <v>897.21</v>
      </c>
      <c r="O108" s="19">
        <f>Tabla35[[#This Row],[COMISIONES]]*0.21</f>
        <v>188.41409999999999</v>
      </c>
      <c r="P108" s="19"/>
      <c r="Q108" s="19">
        <v>2202.65</v>
      </c>
      <c r="R108" s="19">
        <v>73.34</v>
      </c>
    </row>
    <row r="109" spans="14:18" x14ac:dyDescent="0.3">
      <c r="N109" s="19">
        <v>4803.12</v>
      </c>
      <c r="O109" s="19">
        <f>Tabla35[[#This Row],[COMISIONES]]*0.21</f>
        <v>1008.6551999999999</v>
      </c>
      <c r="P109" s="19"/>
      <c r="Q109" s="19">
        <v>9171.6299999999992</v>
      </c>
      <c r="R109" s="19"/>
    </row>
    <row r="110" spans="14:18" x14ac:dyDescent="0.3">
      <c r="N110" s="19">
        <v>1994.12</v>
      </c>
      <c r="O110" s="19">
        <f>Tabla35[[#This Row],[COMISIONES]]*0.21</f>
        <v>418.76519999999994</v>
      </c>
      <c r="P110" s="19"/>
      <c r="Q110" s="19">
        <v>11127.19</v>
      </c>
      <c r="R110" s="19"/>
    </row>
    <row r="111" spans="14:18" x14ac:dyDescent="0.3">
      <c r="N111" s="19">
        <v>2444.6999999999998</v>
      </c>
      <c r="O111" s="19">
        <f>Tabla35[[#This Row],[COMISIONES]]*0.21</f>
        <v>513.38699999999994</v>
      </c>
      <c r="P111" s="19"/>
      <c r="Q111" s="19">
        <v>13641.38</v>
      </c>
      <c r="R111" s="19"/>
    </row>
    <row r="112" spans="14:18" x14ac:dyDescent="0.3">
      <c r="N112" s="19">
        <v>1733.46</v>
      </c>
      <c r="O112" s="19">
        <f>Tabla35[[#This Row],[COMISIONES]]*0.21</f>
        <v>364.02659999999997</v>
      </c>
      <c r="P112" s="19"/>
      <c r="Q112" s="19">
        <v>9672.73</v>
      </c>
      <c r="R112" s="19"/>
    </row>
    <row r="113" spans="14:18" x14ac:dyDescent="0.3">
      <c r="N113" s="19">
        <v>1193.52</v>
      </c>
      <c r="O113" s="19">
        <f>Tabla35[[#This Row],[COMISIONES]]*0.21</f>
        <v>250.63919999999999</v>
      </c>
      <c r="P113" s="19"/>
      <c r="Q113" s="19">
        <v>6659.82</v>
      </c>
      <c r="R113" s="19"/>
    </row>
    <row r="114" spans="14:18" x14ac:dyDescent="0.3">
      <c r="N114" s="19">
        <v>1172.74</v>
      </c>
      <c r="O114" s="19">
        <f>Tabla35[[#This Row],[COMISIONES]]*0.21</f>
        <v>246.27539999999999</v>
      </c>
      <c r="P114" s="19"/>
      <c r="Q114" s="19">
        <v>6543.9</v>
      </c>
      <c r="R114" s="19"/>
    </row>
    <row r="115" spans="14:18" x14ac:dyDescent="0.3">
      <c r="N115" s="19">
        <v>1871.73</v>
      </c>
      <c r="O115" s="19">
        <f>Tabla35[[#This Row],[COMISIONES]]*0.21</f>
        <v>393.06329999999997</v>
      </c>
      <c r="P115" s="19"/>
      <c r="Q115" s="19">
        <v>10444.280000000001</v>
      </c>
      <c r="R115" s="19"/>
    </row>
    <row r="116" spans="14:18" x14ac:dyDescent="0.3">
      <c r="N116" s="19">
        <v>1209.1400000000001</v>
      </c>
      <c r="O116" s="19">
        <f>Tabla35[[#This Row],[COMISIONES]]*0.21</f>
        <v>253.91940000000002</v>
      </c>
      <c r="P116" s="19"/>
      <c r="Q116" s="19">
        <v>6747.02</v>
      </c>
      <c r="R116" s="19"/>
    </row>
    <row r="117" spans="14:18" x14ac:dyDescent="0.3">
      <c r="N117" s="19">
        <v>809.98</v>
      </c>
      <c r="O117" s="19">
        <f>Tabla35[[#This Row],[COMISIONES]]*0.21</f>
        <v>170.0958</v>
      </c>
      <c r="P117" s="19"/>
      <c r="Q117" s="19">
        <v>4519.67</v>
      </c>
      <c r="R117" s="19"/>
    </row>
    <row r="118" spans="14:18" x14ac:dyDescent="0.3">
      <c r="N118" s="19">
        <v>1321.16</v>
      </c>
      <c r="O118" s="19">
        <f>Tabla35[[#This Row],[COMISIONES]]*0.21</f>
        <v>277.4436</v>
      </c>
      <c r="P118" s="19"/>
      <c r="Q118" s="19">
        <v>7372.07</v>
      </c>
      <c r="R118" s="19">
        <v>86.89</v>
      </c>
    </row>
    <row r="119" spans="14:18" x14ac:dyDescent="0.3">
      <c r="N119" s="19">
        <v>1975.11</v>
      </c>
      <c r="O119" s="19">
        <f>Tabla35[[#This Row],[COMISIONES]]*0.21</f>
        <v>414.77309999999994</v>
      </c>
      <c r="P119" s="19"/>
      <c r="Q119" s="19">
        <v>11021.13</v>
      </c>
      <c r="R119" s="19"/>
    </row>
    <row r="120" spans="14:18" x14ac:dyDescent="0.3">
      <c r="N120" s="19">
        <v>2897.04</v>
      </c>
      <c r="O120" s="19">
        <f>Tabla35[[#This Row],[COMISIONES]]*0.21</f>
        <v>608.37839999999994</v>
      </c>
      <c r="P120" s="19"/>
      <c r="Q120" s="19">
        <v>16165.46</v>
      </c>
      <c r="R120" s="19"/>
    </row>
    <row r="121" spans="14:18" x14ac:dyDescent="0.3">
      <c r="N121" s="19">
        <v>621.79999999999995</v>
      </c>
      <c r="O121" s="19">
        <f>Tabla35[[#This Row],[COMISIONES]]*0.21</f>
        <v>130.57799999999997</v>
      </c>
      <c r="P121" s="19"/>
      <c r="Q121" s="19">
        <v>3469.64</v>
      </c>
      <c r="R121" s="19"/>
    </row>
    <row r="122" spans="14:18" x14ac:dyDescent="0.3">
      <c r="N122" s="19">
        <v>1402.76</v>
      </c>
      <c r="O122" s="19">
        <f>Tabla35[[#This Row],[COMISIONES]]*0.21</f>
        <v>294.57959999999997</v>
      </c>
      <c r="P122" s="19"/>
      <c r="Q122" s="19">
        <v>7827.4</v>
      </c>
      <c r="R122" s="19"/>
    </row>
    <row r="123" spans="14:18" x14ac:dyDescent="0.3">
      <c r="N123" s="19">
        <v>1043.06</v>
      </c>
      <c r="O123" s="19">
        <f>Tabla35[[#This Row],[COMISIONES]]*0.21</f>
        <v>219.04259999999999</v>
      </c>
      <c r="P123" s="19"/>
      <c r="Q123" s="19">
        <v>5820.27</v>
      </c>
      <c r="R123" s="19"/>
    </row>
    <row r="124" spans="14:18" x14ac:dyDescent="0.3">
      <c r="N124" s="19">
        <v>1247.45</v>
      </c>
      <c r="O124" s="19">
        <f>Tabla35[[#This Row],[COMISIONES]]*0.21</f>
        <v>261.96449999999999</v>
      </c>
      <c r="P124" s="19"/>
      <c r="Q124" s="19">
        <v>6960.78</v>
      </c>
      <c r="R124" s="19"/>
    </row>
    <row r="125" spans="14:18" x14ac:dyDescent="0.3">
      <c r="N125" s="19">
        <v>909.28</v>
      </c>
      <c r="O125" s="19">
        <f>Tabla35[[#This Row],[COMISIONES]]*0.21</f>
        <v>190.94879999999998</v>
      </c>
      <c r="P125" s="19"/>
      <c r="Q125" s="19">
        <v>5073.78</v>
      </c>
      <c r="R125" s="19"/>
    </row>
    <row r="126" spans="14:18" x14ac:dyDescent="0.3">
      <c r="N126" s="19">
        <v>1511.77</v>
      </c>
      <c r="O126" s="19">
        <f>Tabla35[[#This Row],[COMISIONES]]*0.21</f>
        <v>317.4717</v>
      </c>
      <c r="P126" s="19"/>
      <c r="Q126" s="19">
        <v>8435.69</v>
      </c>
      <c r="R126" s="19"/>
    </row>
    <row r="127" spans="14:18" x14ac:dyDescent="0.3">
      <c r="N127" s="19">
        <v>1576.72</v>
      </c>
      <c r="O127" s="19">
        <f>Tabla35[[#This Row],[COMISIONES]]*0.21</f>
        <v>331.1112</v>
      </c>
      <c r="P127" s="19"/>
      <c r="Q127" s="19">
        <v>8798.1</v>
      </c>
      <c r="R127" s="19"/>
    </row>
    <row r="128" spans="14:18" x14ac:dyDescent="0.3">
      <c r="N128" s="19">
        <v>1763.06</v>
      </c>
      <c r="O128" s="19">
        <f>Tabla35[[#This Row],[COMISIONES]]*0.21</f>
        <v>370.24259999999998</v>
      </c>
      <c r="P128" s="19"/>
      <c r="Q128" s="19">
        <v>9837.8799999999992</v>
      </c>
      <c r="R128" s="19"/>
    </row>
    <row r="129" spans="14:18" x14ac:dyDescent="0.3">
      <c r="N129" s="19">
        <v>579.48</v>
      </c>
      <c r="O129" s="19">
        <f>Tabla35[[#This Row],[COMISIONES]]*0.21</f>
        <v>121.6908</v>
      </c>
      <c r="P129" s="19"/>
      <c r="Q129" s="19">
        <v>3233.5</v>
      </c>
      <c r="R129" s="19"/>
    </row>
    <row r="130" spans="14:18" x14ac:dyDescent="0.3">
      <c r="N130" s="19"/>
      <c r="O130" s="19">
        <f>Tabla35[[#This Row],[COMISIONES]]*0.21</f>
        <v>0</v>
      </c>
      <c r="P130" s="19"/>
      <c r="Q130" s="19"/>
      <c r="R130" s="19"/>
    </row>
    <row r="131" spans="14:18" x14ac:dyDescent="0.3">
      <c r="N131" s="18">
        <f>SUBTOTAL(109,Tabla35[COMISIONES])</f>
        <v>115959.62999999999</v>
      </c>
      <c r="O131" s="18">
        <f>SUBTOTAL(109,Tabla35[IVA 21])</f>
        <v>24351.522300000008</v>
      </c>
      <c r="P131" s="18">
        <f>SUBTOTAL(109,Tabla35[IVA 10,5])</f>
        <v>28629.160000000003</v>
      </c>
      <c r="Q131" s="18">
        <f>SUBTOTAL(109,Tabla35[Ret IIBB Caba])</f>
        <v>365310.32000000018</v>
      </c>
      <c r="R131" s="18">
        <f>SUBTOTAL(109,Tabla35[PERC IVA])</f>
        <v>6582.92</v>
      </c>
    </row>
  </sheetData>
  <mergeCells count="14">
    <mergeCell ref="Z10:AD10"/>
    <mergeCell ref="G2:H2"/>
    <mergeCell ref="G3:H3"/>
    <mergeCell ref="G4:H4"/>
    <mergeCell ref="G5:H5"/>
    <mergeCell ref="G6:H6"/>
    <mergeCell ref="G7:H7"/>
    <mergeCell ref="G8:H8"/>
    <mergeCell ref="J2:K2"/>
    <mergeCell ref="B10:F10"/>
    <mergeCell ref="H10:L10"/>
    <mergeCell ref="N10:R10"/>
    <mergeCell ref="T10:X10"/>
    <mergeCell ref="T28:X28"/>
  </mergeCells>
  <pageMargins left="0.7" right="0.7" top="0.75" bottom="0.75" header="0.3" footer="0.3"/>
  <pageSetup paperSize="9" orientation="portrait" horizontalDpi="30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67"/>
  <sheetViews>
    <sheetView showGridLines="0" zoomScale="80" zoomScaleNormal="80" workbookViewId="0">
      <selection activeCell="B10" sqref="B10:F10"/>
    </sheetView>
  </sheetViews>
  <sheetFormatPr baseColWidth="10" defaultRowHeight="14.4" x14ac:dyDescent="0.3"/>
  <cols>
    <col min="1" max="1" width="4.5546875" customWidth="1"/>
    <col min="2" max="2" width="16.88671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35" ht="6" customHeight="1" x14ac:dyDescent="0.3">
      <c r="G1"/>
      <c r="M1"/>
    </row>
    <row r="2" spans="1:35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45078</v>
      </c>
      <c r="K2" s="35"/>
      <c r="M2"/>
    </row>
    <row r="3" spans="1:35" x14ac:dyDescent="0.3">
      <c r="A3" s="17" t="s">
        <v>6</v>
      </c>
      <c r="B3" s="17"/>
      <c r="C3" s="14">
        <f>Tabla13[[#Totals],[COMISIONES]]</f>
        <v>850</v>
      </c>
      <c r="D3" s="14">
        <f>Tabla13[[#Totals],[IVA 21]]</f>
        <v>178.5</v>
      </c>
      <c r="E3" s="14">
        <f>Tabla13[[#Totals],[IVA 10,5]]</f>
        <v>0</v>
      </c>
      <c r="F3" s="14">
        <f>Tabla13[[#Totals],[Ret IIBB Caba]]</f>
        <v>51.11</v>
      </c>
      <c r="G3" s="33">
        <f>Tabla13[[#Totals],[PERC IVA]]</f>
        <v>0</v>
      </c>
      <c r="H3" s="34"/>
      <c r="J3" s="2"/>
      <c r="K3" s="3"/>
      <c r="M3"/>
      <c r="N3" t="s">
        <v>12</v>
      </c>
    </row>
    <row r="4" spans="1:35" x14ac:dyDescent="0.3">
      <c r="A4" s="17" t="s">
        <v>7</v>
      </c>
      <c r="B4" s="17"/>
      <c r="C4" s="14">
        <f>Tabla39[[#Totals],[COMISIONES]]</f>
        <v>1400</v>
      </c>
      <c r="D4" s="14">
        <f>Tabla39[[#Totals],[IVA 21]]</f>
        <v>294</v>
      </c>
      <c r="E4" s="14">
        <f>Tabla39[[#Totals],[IVA 10,5]]</f>
        <v>0</v>
      </c>
      <c r="F4" s="14">
        <f>Tabla39[[#Totals],[Ret IIBB Caba]]</f>
        <v>1749.36</v>
      </c>
      <c r="G4" s="33">
        <f>Tabla39[[#Totals],[PERC IVA]]</f>
        <v>0</v>
      </c>
      <c r="H4" s="34"/>
      <c r="J4" s="2"/>
      <c r="K4" s="3"/>
      <c r="M4"/>
    </row>
    <row r="5" spans="1:35" x14ac:dyDescent="0.3">
      <c r="A5" s="17" t="s">
        <v>8</v>
      </c>
      <c r="B5" s="17"/>
      <c r="C5" s="14">
        <f>Tabla3510[[#Totals],[COMISIONES]]</f>
        <v>0</v>
      </c>
      <c r="D5" s="14">
        <f>Tabla3510[[#Totals],[IVA 21]]</f>
        <v>0</v>
      </c>
      <c r="E5" s="14">
        <f>Tabla3510[[#Totals],[IVA 10,5]]</f>
        <v>0</v>
      </c>
      <c r="F5" s="14">
        <f>Tabla3510[[#Totals],[Ret IIBB Caba]]</f>
        <v>0</v>
      </c>
      <c r="G5" s="33">
        <f>Tabla3510[[#Totals],[PERC IVA]]</f>
        <v>0</v>
      </c>
      <c r="H5" s="34"/>
      <c r="M5"/>
    </row>
    <row r="6" spans="1:35" x14ac:dyDescent="0.3">
      <c r="A6" s="17" t="s">
        <v>9</v>
      </c>
      <c r="B6" s="17"/>
      <c r="C6" s="14">
        <f>Tabla35611[[#Totals],[COMISIONES]]</f>
        <v>792.5</v>
      </c>
      <c r="D6" s="14">
        <f>Tabla35611[[#Totals],[IVA 21]]</f>
        <v>166.42499999999998</v>
      </c>
      <c r="E6" s="14">
        <f>Tabla35611[[#Totals],[IVA 10,5]]</f>
        <v>0</v>
      </c>
      <c r="F6" s="14">
        <f>Tabla35611[[#Totals],[Ret IIBB Caba]]</f>
        <v>4422.13</v>
      </c>
      <c r="G6" s="33">
        <f>Tabla35611[[#Totals],[PERC IVA]]</f>
        <v>0</v>
      </c>
      <c r="H6" s="34"/>
      <c r="M6"/>
    </row>
    <row r="7" spans="1:35" x14ac:dyDescent="0.3">
      <c r="A7" s="17" t="s">
        <v>10</v>
      </c>
      <c r="B7" s="17"/>
      <c r="C7" s="14">
        <f>Tabla356813[[#Totals],[COMISIONES]]</f>
        <v>130770.14</v>
      </c>
      <c r="D7" s="14">
        <f>Tabla356813[[#Totals],[IVA 21]]</f>
        <v>27461.729399999993</v>
      </c>
      <c r="E7" s="14">
        <f>Tabla356813[[#Totals],[IVA 10,5]]</f>
        <v>43168.82</v>
      </c>
      <c r="F7" s="14">
        <f>Tabla356813[[#Totals],[Ret IIBB Caba]]</f>
        <v>383492.2</v>
      </c>
      <c r="G7" s="33">
        <f>Tabla356813[[#Totals],[PERC IVA]]</f>
        <v>2478.52</v>
      </c>
      <c r="H7" s="34"/>
      <c r="M7"/>
    </row>
    <row r="8" spans="1:35" x14ac:dyDescent="0.3">
      <c r="A8" s="17" t="s">
        <v>11</v>
      </c>
      <c r="B8" s="17"/>
      <c r="C8" s="14">
        <f>Tabla612[[#Totals],[COMISIONES]]</f>
        <v>17647</v>
      </c>
      <c r="D8" s="14">
        <f>Tabla612[[#Totals],[IVA 21]]</f>
        <v>3705.87</v>
      </c>
      <c r="E8" s="14">
        <f>Tabla612[[#Totals],[IVA 10,5]]</f>
        <v>0</v>
      </c>
      <c r="F8" s="14">
        <f>Tabla612[[#Totals],[Ret IIBB Caba]]</f>
        <v>845.4</v>
      </c>
      <c r="G8" s="33">
        <f>Tabla612[[#Totals],[PERC IVA]]</f>
        <v>422.7</v>
      </c>
      <c r="H8" s="34"/>
      <c r="M8"/>
    </row>
    <row r="9" spans="1:35" ht="6" customHeight="1" x14ac:dyDescent="0.3">
      <c r="G9"/>
      <c r="M9"/>
    </row>
    <row r="10" spans="1:35" ht="16.5" customHeight="1" x14ac:dyDescent="0.35">
      <c r="B10" s="30" t="s">
        <v>16</v>
      </c>
      <c r="C10" s="30"/>
      <c r="D10" s="30"/>
      <c r="E10" s="30"/>
      <c r="F10" s="30"/>
      <c r="H10" s="30" t="s">
        <v>19</v>
      </c>
      <c r="I10" s="30"/>
      <c r="J10" s="30"/>
      <c r="K10" s="30"/>
      <c r="L10" s="30"/>
      <c r="N10" s="30" t="s">
        <v>5</v>
      </c>
      <c r="O10" s="30"/>
      <c r="P10" s="30"/>
      <c r="Q10" s="30"/>
      <c r="R10" s="30"/>
      <c r="T10" s="30" t="s">
        <v>21</v>
      </c>
      <c r="U10" s="30"/>
      <c r="V10" s="30"/>
      <c r="W10" s="30"/>
      <c r="X10" s="30"/>
      <c r="Y10" s="6"/>
      <c r="Z10" s="30" t="s">
        <v>15</v>
      </c>
      <c r="AA10" s="30"/>
      <c r="AB10" s="30"/>
      <c r="AC10" s="30"/>
      <c r="AD10" s="30"/>
      <c r="AE10" s="30" t="s">
        <v>18</v>
      </c>
      <c r="AF10" s="30"/>
      <c r="AG10" s="30"/>
      <c r="AH10" s="30"/>
      <c r="AI10" s="30"/>
    </row>
    <row r="11" spans="1:35" s="5" customFormat="1" x14ac:dyDescent="0.3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7"/>
      <c r="H11" s="12" t="s">
        <v>2</v>
      </c>
      <c r="I11" s="13" t="s">
        <v>0</v>
      </c>
      <c r="J11" s="13" t="s">
        <v>1</v>
      </c>
      <c r="K11" s="13" t="s">
        <v>3</v>
      </c>
      <c r="L11" s="13" t="s">
        <v>4</v>
      </c>
      <c r="M11" s="7"/>
      <c r="N11" s="12" t="s">
        <v>2</v>
      </c>
      <c r="O11" s="13" t="s">
        <v>0</v>
      </c>
      <c r="P11" s="13" t="s">
        <v>1</v>
      </c>
      <c r="Q11" s="13" t="s">
        <v>3</v>
      </c>
      <c r="R11" s="13" t="s">
        <v>4</v>
      </c>
      <c r="S11" s="7"/>
      <c r="T11" s="12" t="s">
        <v>2</v>
      </c>
      <c r="U11" s="13" t="s">
        <v>0</v>
      </c>
      <c r="V11" s="13" t="s">
        <v>1</v>
      </c>
      <c r="W11" s="13" t="s">
        <v>3</v>
      </c>
      <c r="X11" s="13" t="s">
        <v>4</v>
      </c>
      <c r="Y11" s="7"/>
      <c r="Z11" s="12" t="s">
        <v>2</v>
      </c>
      <c r="AA11" s="13" t="s">
        <v>0</v>
      </c>
      <c r="AB11" s="13" t="s">
        <v>1</v>
      </c>
      <c r="AC11" s="13" t="s">
        <v>3</v>
      </c>
      <c r="AD11" s="13" t="s">
        <v>4</v>
      </c>
      <c r="AE11" s="12" t="s">
        <v>2</v>
      </c>
      <c r="AF11" s="13" t="s">
        <v>0</v>
      </c>
      <c r="AG11" s="13" t="s">
        <v>1</v>
      </c>
      <c r="AH11" s="13" t="s">
        <v>3</v>
      </c>
      <c r="AI11" s="13" t="s">
        <v>4</v>
      </c>
    </row>
    <row r="12" spans="1:35" x14ac:dyDescent="0.3">
      <c r="B12" s="2">
        <v>850</v>
      </c>
      <c r="C12" s="2">
        <f>Tabla13[[#This Row],[COMISIONES]]*0.21</f>
        <v>178.5</v>
      </c>
      <c r="D12" s="3"/>
      <c r="E12" s="3">
        <v>51.11</v>
      </c>
      <c r="G12" s="8"/>
      <c r="H12" s="3">
        <v>700</v>
      </c>
      <c r="I12" s="11">
        <f>Tabla39[[#This Row],[COMISIONES]]*0.21</f>
        <v>147</v>
      </c>
      <c r="J12" s="11"/>
      <c r="K12" s="11">
        <v>497.34</v>
      </c>
      <c r="L12" s="3"/>
      <c r="M12" s="8"/>
      <c r="N12" s="11"/>
      <c r="O12" s="11"/>
      <c r="P12" s="11"/>
      <c r="Q12" s="11"/>
      <c r="R12" s="11"/>
      <c r="S12" s="8"/>
      <c r="T12" s="11">
        <v>30.8</v>
      </c>
      <c r="U12" s="11">
        <f>Tabla35611[[#This Row],[COMISIONES]]*0.21</f>
        <v>6.468</v>
      </c>
      <c r="V12" s="11"/>
      <c r="W12" s="11">
        <v>171.86</v>
      </c>
      <c r="X12" s="11"/>
      <c r="Y12" s="8"/>
      <c r="Z12" s="11">
        <v>249.3</v>
      </c>
      <c r="AA12" s="11">
        <f>Tabla356813[[#This Row],[COMISIONES]]*0.21</f>
        <v>52.353000000000002</v>
      </c>
      <c r="AB12" s="11">
        <v>1056.3599999999999</v>
      </c>
      <c r="AC12" s="11">
        <v>612.03</v>
      </c>
      <c r="AD12" s="11">
        <v>30.73</v>
      </c>
      <c r="AE12" s="11">
        <v>8750</v>
      </c>
      <c r="AF12" s="11">
        <f>Tabla35681314[[#This Row],[COMISIONES]]*0.21</f>
        <v>1837.5</v>
      </c>
      <c r="AG12" s="11"/>
      <c r="AH12" s="11">
        <v>525</v>
      </c>
      <c r="AI12" s="11">
        <v>262.5</v>
      </c>
    </row>
    <row r="13" spans="1:35" x14ac:dyDescent="0.3">
      <c r="B13" s="3"/>
      <c r="C13" s="2">
        <f>Tabla13[[#This Row],[COMISIONES]]*0.21</f>
        <v>0</v>
      </c>
      <c r="D13" s="3"/>
      <c r="E13" s="3"/>
      <c r="F13" s="3"/>
      <c r="G13" s="8"/>
      <c r="H13" s="11">
        <v>700</v>
      </c>
      <c r="I13" s="11">
        <f>Tabla39[[#This Row],[COMISIONES]]*0.21</f>
        <v>147</v>
      </c>
      <c r="J13" s="11"/>
      <c r="K13" s="11">
        <v>377.34</v>
      </c>
      <c r="L13" s="11"/>
      <c r="M13" s="8"/>
      <c r="N13" s="11"/>
      <c r="O13" s="11"/>
      <c r="P13" s="11"/>
      <c r="Q13" s="11"/>
      <c r="R13" s="11"/>
      <c r="S13" s="8"/>
      <c r="T13" s="11">
        <v>102.8</v>
      </c>
      <c r="U13" s="11">
        <f>Tabla35611[[#This Row],[COMISIONES]]*0.21</f>
        <v>21.587999999999997</v>
      </c>
      <c r="V13" s="11"/>
      <c r="W13" s="11">
        <v>573.62</v>
      </c>
      <c r="X13" s="11"/>
      <c r="Y13" s="8"/>
      <c r="Z13" s="11">
        <v>144</v>
      </c>
      <c r="AA13" s="11">
        <f>Tabla356813[[#This Row],[COMISIONES]]*0.21</f>
        <v>30.24</v>
      </c>
      <c r="AB13" s="11">
        <v>94.43</v>
      </c>
      <c r="AC13" s="11">
        <v>353.52</v>
      </c>
      <c r="AD13" s="11">
        <v>12.8</v>
      </c>
      <c r="AE13" s="11"/>
      <c r="AF13" s="11">
        <f>Tabla35681314[[#This Row],[COMISIONES]]*0.21</f>
        <v>0</v>
      </c>
      <c r="AG13" s="11"/>
      <c r="AH13" s="11"/>
      <c r="AI13" s="11"/>
    </row>
    <row r="14" spans="1:35" x14ac:dyDescent="0.3">
      <c r="B14" s="3"/>
      <c r="C14" s="2">
        <f>Tabla13[[#This Row],[COMISIONES]]*0.21</f>
        <v>0</v>
      </c>
      <c r="D14" s="3"/>
      <c r="E14" s="3"/>
      <c r="F14" s="3"/>
      <c r="H14" s="11"/>
      <c r="I14" s="11">
        <f>Tabla39[[#This Row],[COMISIONES]]*0.21</f>
        <v>0</v>
      </c>
      <c r="J14" s="11"/>
      <c r="K14" s="11">
        <v>497.34</v>
      </c>
      <c r="L14" s="11"/>
      <c r="N14" s="11"/>
      <c r="O14" s="11"/>
      <c r="P14" s="11"/>
      <c r="Q14" s="11"/>
      <c r="R14" s="11"/>
      <c r="T14" s="11">
        <v>52.44</v>
      </c>
      <c r="U14" s="11">
        <f>Tabla35611[[#This Row],[COMISIONES]]*0.21</f>
        <v>11.0124</v>
      </c>
      <c r="V14" s="11"/>
      <c r="W14" s="11">
        <v>292.62</v>
      </c>
      <c r="X14" s="11"/>
      <c r="Y14" s="6"/>
      <c r="Z14" s="11">
        <v>1024.44</v>
      </c>
      <c r="AA14" s="11">
        <f>Tabla356813[[#This Row],[COMISIONES]]*0.21</f>
        <v>215.13239999999999</v>
      </c>
      <c r="AB14" s="11">
        <v>116.51</v>
      </c>
      <c r="AC14" s="11">
        <v>2062.27</v>
      </c>
      <c r="AD14" s="11"/>
      <c r="AE14" s="11"/>
      <c r="AF14" s="11">
        <f>Tabla35681314[[#This Row],[COMISIONES]]*0.21</f>
        <v>0</v>
      </c>
      <c r="AG14" s="11"/>
      <c r="AH14" s="11"/>
      <c r="AI14" s="11"/>
    </row>
    <row r="15" spans="1:35" x14ac:dyDescent="0.3">
      <c r="B15" s="3"/>
      <c r="C15" s="2">
        <f>Tabla13[[#This Row],[COMISIONES]]*0.21</f>
        <v>0</v>
      </c>
      <c r="D15" s="3"/>
      <c r="E15" s="3"/>
      <c r="F15" s="3"/>
      <c r="G15" s="8"/>
      <c r="H15" s="11"/>
      <c r="I15" s="11">
        <f>Tabla39[[#This Row],[COMISIONES]]*0.21</f>
        <v>0</v>
      </c>
      <c r="J15" s="11"/>
      <c r="K15" s="11">
        <v>377.34</v>
      </c>
      <c r="L15" s="11"/>
      <c r="M15" s="8"/>
      <c r="N15" s="11"/>
      <c r="O15" s="11"/>
      <c r="P15" s="11"/>
      <c r="Q15" s="11"/>
      <c r="R15" s="11"/>
      <c r="S15" s="8"/>
      <c r="T15" s="11">
        <v>101.6</v>
      </c>
      <c r="U15" s="11">
        <f>Tabla35611[[#This Row],[COMISIONES]]*0.21</f>
        <v>21.335999999999999</v>
      </c>
      <c r="V15" s="11"/>
      <c r="W15" s="11">
        <v>566.92999999999995</v>
      </c>
      <c r="X15" s="11"/>
      <c r="Y15" s="8"/>
      <c r="Z15" s="11">
        <v>596.52</v>
      </c>
      <c r="AA15" s="11">
        <f>Tabla356813[[#This Row],[COMISIONES]]*0.21</f>
        <v>125.2692</v>
      </c>
      <c r="AB15" s="11"/>
      <c r="AC15" s="11">
        <v>150.91</v>
      </c>
      <c r="AD15" s="11">
        <v>89.53</v>
      </c>
      <c r="AE15" s="11"/>
      <c r="AF15" s="11">
        <f>Tabla35681314[[#This Row],[COMISIONES]]*0.21</f>
        <v>0</v>
      </c>
      <c r="AG15" s="11"/>
      <c r="AH15" s="11"/>
      <c r="AI15" s="11"/>
    </row>
    <row r="16" spans="1:35" x14ac:dyDescent="0.3">
      <c r="B16" s="3"/>
      <c r="C16" s="2">
        <f>Tabla13[[#This Row],[COMISIONES]]*0.21</f>
        <v>0</v>
      </c>
      <c r="D16" s="3"/>
      <c r="E16" s="3"/>
      <c r="F16" s="3"/>
      <c r="H16" s="11"/>
      <c r="I16" s="11">
        <f>Tabla39[[#This Row],[COMISIONES]]*0.21</f>
        <v>0</v>
      </c>
      <c r="J16" s="11"/>
      <c r="K16" s="11"/>
      <c r="L16" s="11"/>
      <c r="N16" s="11"/>
      <c r="O16" s="11"/>
      <c r="P16" s="11"/>
      <c r="Q16" s="11"/>
      <c r="R16" s="11"/>
      <c r="T16" s="11">
        <v>117.6</v>
      </c>
      <c r="U16" s="11">
        <f>Tabla35611[[#This Row],[COMISIONES]]*0.21</f>
        <v>24.695999999999998</v>
      </c>
      <c r="V16" s="11"/>
      <c r="W16" s="11">
        <v>656.21</v>
      </c>
      <c r="X16" s="11"/>
      <c r="Y16" s="6"/>
      <c r="Z16" s="11">
        <v>378</v>
      </c>
      <c r="AA16" s="11">
        <f>Tabla356813[[#This Row],[COMISIONES]]*0.21</f>
        <v>79.38</v>
      </c>
      <c r="AB16" s="11"/>
      <c r="AC16" s="11">
        <v>1464.46</v>
      </c>
      <c r="AD16" s="11">
        <v>23.09</v>
      </c>
      <c r="AE16" s="11"/>
      <c r="AF16" s="11">
        <f>Tabla35681314[[#This Row],[COMISIONES]]*0.21</f>
        <v>0</v>
      </c>
      <c r="AG16" s="11"/>
      <c r="AH16" s="11"/>
      <c r="AI16" s="11"/>
    </row>
    <row r="17" spans="2:35" x14ac:dyDescent="0.3">
      <c r="B17" s="3"/>
      <c r="C17" s="2">
        <f>Tabla13[[#This Row],[COMISIONES]]*0.21</f>
        <v>0</v>
      </c>
      <c r="D17" s="3"/>
      <c r="E17" s="3"/>
      <c r="F17" s="3"/>
      <c r="H17" s="11"/>
      <c r="I17" s="11">
        <f>Tabla39[[#This Row],[COMISIONES]]*0.21</f>
        <v>0</v>
      </c>
      <c r="J17" s="11"/>
      <c r="K17" s="11"/>
      <c r="L17" s="11"/>
      <c r="N17" s="11"/>
      <c r="O17" s="11"/>
      <c r="P17" s="11"/>
      <c r="Q17" s="11"/>
      <c r="R17" s="11"/>
      <c r="T17" s="11">
        <v>19.72</v>
      </c>
      <c r="U17" s="11">
        <f>Tabla35611[[#This Row],[COMISIONES]]*0.21</f>
        <v>4.1411999999999995</v>
      </c>
      <c r="V17" s="11"/>
      <c r="W17" s="11">
        <v>110.04</v>
      </c>
      <c r="X17" s="11"/>
      <c r="Y17" s="6"/>
      <c r="Z17" s="11">
        <v>116.64</v>
      </c>
      <c r="AA17" s="11">
        <f>Tabla356813[[#This Row],[COMISIONES]]*0.21</f>
        <v>24.494399999999999</v>
      </c>
      <c r="AB17" s="11"/>
      <c r="AC17" s="11">
        <v>927.99</v>
      </c>
      <c r="AD17" s="11"/>
      <c r="AE17" s="11"/>
      <c r="AF17" s="11">
        <f>Tabla35681314[[#This Row],[COMISIONES]]*0.21</f>
        <v>0</v>
      </c>
      <c r="AG17" s="11"/>
      <c r="AH17" s="11"/>
      <c r="AI17" s="11"/>
    </row>
    <row r="18" spans="2:35" x14ac:dyDescent="0.3">
      <c r="B18" s="3"/>
      <c r="C18" s="2">
        <f>Tabla13[[#This Row],[COMISIONES]]*0.21</f>
        <v>0</v>
      </c>
      <c r="D18" s="3"/>
      <c r="E18" s="3"/>
      <c r="F18" s="3"/>
      <c r="H18" s="11"/>
      <c r="I18" s="11">
        <f>Tabla39[[#This Row],[COMISIONES]]*0.21</f>
        <v>0</v>
      </c>
      <c r="J18" s="11"/>
      <c r="K18" s="11"/>
      <c r="L18" s="11"/>
      <c r="N18" s="11"/>
      <c r="O18" s="11"/>
      <c r="P18" s="11"/>
      <c r="Q18" s="11"/>
      <c r="R18" s="11"/>
      <c r="T18" s="11">
        <v>59.16</v>
      </c>
      <c r="U18" s="11">
        <f>Tabla35611[[#This Row],[COMISIONES]]*0.21</f>
        <v>12.423599999999999</v>
      </c>
      <c r="V18" s="11"/>
      <c r="W18" s="11">
        <v>330.11</v>
      </c>
      <c r="X18" s="11"/>
      <c r="Y18" s="6"/>
      <c r="Z18" s="11">
        <v>139.77000000000001</v>
      </c>
      <c r="AA18" s="11">
        <f>Tabla356813[[#This Row],[COMISIONES]]*0.21</f>
        <v>29.351700000000001</v>
      </c>
      <c r="AB18" s="11"/>
      <c r="AC18" s="11">
        <v>286.35000000000002</v>
      </c>
      <c r="AD18" s="11"/>
      <c r="AE18" s="11"/>
      <c r="AF18" s="11">
        <f>Tabla35681314[[#This Row],[COMISIONES]]*0.21</f>
        <v>0</v>
      </c>
      <c r="AG18" s="11"/>
      <c r="AH18" s="11"/>
      <c r="AI18" s="11"/>
    </row>
    <row r="19" spans="2:35" x14ac:dyDescent="0.3">
      <c r="B19" s="3"/>
      <c r="C19" s="2">
        <f>Tabla13[[#This Row],[COMISIONES]]*0.21</f>
        <v>0</v>
      </c>
      <c r="D19" s="3"/>
      <c r="E19" s="3"/>
      <c r="F19" s="3"/>
      <c r="H19" s="11"/>
      <c r="I19" s="11">
        <f>Tabla39[[#This Row],[COMISIONES]]*0.21</f>
        <v>0</v>
      </c>
      <c r="J19" s="11"/>
      <c r="K19" s="11"/>
      <c r="L19" s="11"/>
      <c r="N19" s="11"/>
      <c r="O19" s="11"/>
      <c r="P19" s="11"/>
      <c r="Q19" s="11"/>
      <c r="R19" s="11"/>
      <c r="T19" s="11">
        <v>308.38</v>
      </c>
      <c r="U19" s="11">
        <f>Tabla35611[[#This Row],[COMISIONES]]*0.21</f>
        <v>64.759799999999998</v>
      </c>
      <c r="V19" s="11"/>
      <c r="W19" s="11">
        <v>1720.74</v>
      </c>
      <c r="X19" s="11"/>
      <c r="Y19" s="6"/>
      <c r="Z19" s="11">
        <v>832.5</v>
      </c>
      <c r="AA19" s="11">
        <f>Tabla356813[[#This Row],[COMISIONES]]*0.21</f>
        <v>174.82499999999999</v>
      </c>
      <c r="AB19" s="11"/>
      <c r="AC19" s="11">
        <v>343.14</v>
      </c>
      <c r="AD19" s="11"/>
      <c r="AE19" s="11"/>
      <c r="AF19" s="11">
        <f>Tabla35681314[[#This Row],[COMISIONES]]*0.21</f>
        <v>0</v>
      </c>
      <c r="AG19" s="11"/>
      <c r="AH19" s="11"/>
      <c r="AI19" s="11"/>
    </row>
    <row r="20" spans="2:35" x14ac:dyDescent="0.3">
      <c r="B20" s="3"/>
      <c r="C20" s="2">
        <f>Tabla13[[#This Row],[COMISIONES]]*0.21</f>
        <v>0</v>
      </c>
      <c r="D20" s="3"/>
      <c r="E20" s="3"/>
      <c r="F20" s="3"/>
      <c r="H20" s="11"/>
      <c r="I20" s="11">
        <f>Tabla39[[#This Row],[COMISIONES]]*0.21</f>
        <v>0</v>
      </c>
      <c r="J20" s="11"/>
      <c r="K20" s="11"/>
      <c r="L20" s="11"/>
      <c r="N20" s="11"/>
      <c r="O20" s="11"/>
      <c r="P20" s="11"/>
      <c r="Q20" s="11"/>
      <c r="R20" s="11"/>
      <c r="T20" s="11"/>
      <c r="U20" s="11">
        <f>Tabla35611[[#This Row],[COMISIONES]]*0.21</f>
        <v>0</v>
      </c>
      <c r="V20" s="11"/>
      <c r="W20" s="11"/>
      <c r="X20" s="11"/>
      <c r="Y20" s="6"/>
      <c r="Z20" s="11">
        <v>415.04</v>
      </c>
      <c r="AA20" s="11">
        <f>Tabla356813[[#This Row],[COMISIONES]]*0.21</f>
        <v>87.1584</v>
      </c>
      <c r="AB20" s="11"/>
      <c r="AC20" s="11">
        <v>2043.79</v>
      </c>
      <c r="AD20" s="11"/>
      <c r="AE20" s="11"/>
      <c r="AF20" s="11">
        <f>Tabla35681314[[#This Row],[COMISIONES]]*0.21</f>
        <v>0</v>
      </c>
      <c r="AG20" s="11"/>
      <c r="AH20" s="11"/>
      <c r="AI20" s="11"/>
    </row>
    <row r="21" spans="2:35" x14ac:dyDescent="0.3">
      <c r="B21" s="3"/>
      <c r="C21" s="2">
        <f>Tabla13[[#This Row],[COMISIONES]]*0.21</f>
        <v>0</v>
      </c>
      <c r="D21" s="3"/>
      <c r="E21" s="3"/>
      <c r="F21" s="3"/>
      <c r="H21" s="11"/>
      <c r="I21" s="11">
        <f>Tabla39[[#This Row],[COMISIONES]]*0.21</f>
        <v>0</v>
      </c>
      <c r="J21" s="11"/>
      <c r="K21" s="11"/>
      <c r="L21" s="11"/>
      <c r="N21" s="11"/>
      <c r="O21" s="11"/>
      <c r="P21" s="11"/>
      <c r="Q21" s="11"/>
      <c r="R21" s="11"/>
      <c r="T21" s="11"/>
      <c r="U21" s="11">
        <f>Tabla35611[[#This Row],[COMISIONES]]*0.21</f>
        <v>0</v>
      </c>
      <c r="V21" s="11"/>
      <c r="W21" s="11"/>
      <c r="X21" s="11"/>
      <c r="Y21" s="6"/>
      <c r="Z21" s="11">
        <v>89.51</v>
      </c>
      <c r="AA21" s="11">
        <f>Tabla356813[[#This Row],[COMISIONES]]*0.21</f>
        <v>18.7971</v>
      </c>
      <c r="AB21" s="11"/>
      <c r="AC21" s="11">
        <v>820.5</v>
      </c>
      <c r="AD21" s="11"/>
      <c r="AE21" s="11"/>
      <c r="AF21" s="11">
        <f>Tabla35681314[[#This Row],[COMISIONES]]*0.21</f>
        <v>0</v>
      </c>
      <c r="AG21" s="11"/>
      <c r="AH21" s="11"/>
      <c r="AI21" s="11"/>
    </row>
    <row r="22" spans="2:35" x14ac:dyDescent="0.3">
      <c r="B22" s="3"/>
      <c r="C22" s="2">
        <f>Tabla13[[#This Row],[COMISIONES]]*0.21</f>
        <v>0</v>
      </c>
      <c r="D22" s="3"/>
      <c r="E22" s="3"/>
      <c r="F22" s="3"/>
      <c r="H22" s="11"/>
      <c r="I22" s="11">
        <f>Tabla39[[#This Row],[COMISIONES]]*0.21</f>
        <v>0</v>
      </c>
      <c r="J22" s="11"/>
      <c r="K22" s="11"/>
      <c r="L22" s="11"/>
      <c r="N22" s="11"/>
      <c r="O22" s="11"/>
      <c r="P22" s="11"/>
      <c r="Q22" s="11"/>
      <c r="R22" s="11"/>
      <c r="T22" s="11"/>
      <c r="U22" s="11">
        <f>Tabla35611[[#This Row],[COMISIONES]]*0.21</f>
        <v>0</v>
      </c>
      <c r="V22" s="11"/>
      <c r="W22" s="11"/>
      <c r="X22" s="11"/>
      <c r="Y22" s="6"/>
      <c r="Z22" s="11">
        <v>119.41</v>
      </c>
      <c r="AA22" s="11">
        <f>Tabla356813[[#This Row],[COMISIONES]]*0.21</f>
        <v>25.076099999999997</v>
      </c>
      <c r="AB22" s="11"/>
      <c r="AC22" s="11">
        <v>132.29</v>
      </c>
      <c r="AD22" s="11"/>
      <c r="AE22" s="11"/>
      <c r="AF22" s="11">
        <f>Tabla35681314[[#This Row],[COMISIONES]]*0.21</f>
        <v>0</v>
      </c>
      <c r="AG22" s="11"/>
      <c r="AH22" s="11"/>
      <c r="AI22" s="11"/>
    </row>
    <row r="23" spans="2:35" x14ac:dyDescent="0.3">
      <c r="B23" s="3"/>
      <c r="C23" s="2">
        <f>Tabla13[[#This Row],[COMISIONES]]*0.21</f>
        <v>0</v>
      </c>
      <c r="D23" s="3"/>
      <c r="E23" s="3"/>
      <c r="F23" s="3"/>
      <c r="H23" s="11"/>
      <c r="I23" s="11">
        <f>Tabla39[[#This Row],[COMISIONES]]*0.21</f>
        <v>0</v>
      </c>
      <c r="J23" s="11"/>
      <c r="K23" s="11"/>
      <c r="L23" s="11"/>
      <c r="N23" s="11"/>
      <c r="O23" s="11"/>
      <c r="P23" s="11"/>
      <c r="Q23" s="11"/>
      <c r="R23" s="11"/>
      <c r="T23" s="11"/>
      <c r="U23" s="11">
        <f>Tabla35611[[#This Row],[COMISIONES]]*0.21</f>
        <v>0</v>
      </c>
      <c r="V23" s="11"/>
      <c r="W23" s="11"/>
      <c r="X23" s="11"/>
      <c r="Y23" s="6"/>
      <c r="Z23" s="11">
        <v>21.6</v>
      </c>
      <c r="AA23" s="11">
        <f>Tabla356813[[#This Row],[COMISIONES]]*0.21</f>
        <v>4.5360000000000005</v>
      </c>
      <c r="AB23" s="11">
        <v>1769.12</v>
      </c>
      <c r="AC23" s="11">
        <v>219.74</v>
      </c>
      <c r="AD23" s="11"/>
      <c r="AE23" s="11"/>
      <c r="AF23" s="11">
        <f>Tabla35681314[[#This Row],[COMISIONES]]*0.21</f>
        <v>0</v>
      </c>
      <c r="AG23" s="11"/>
      <c r="AH23" s="11"/>
      <c r="AI23" s="11"/>
    </row>
    <row r="24" spans="2:35" x14ac:dyDescent="0.3">
      <c r="B24" s="3"/>
      <c r="C24" s="2">
        <f>Tabla13[[#This Row],[COMISIONES]]*0.21</f>
        <v>0</v>
      </c>
      <c r="D24" s="3"/>
      <c r="E24" s="3"/>
      <c r="F24" s="3"/>
      <c r="H24" s="11"/>
      <c r="I24" s="11">
        <f>Tabla39[[#This Row],[COMISIONES]]*0.21</f>
        <v>0</v>
      </c>
      <c r="J24" s="11"/>
      <c r="K24" s="11"/>
      <c r="L24" s="11"/>
      <c r="N24" s="11"/>
      <c r="O24" s="11"/>
      <c r="P24" s="11"/>
      <c r="Q24" s="11"/>
      <c r="R24" s="11"/>
      <c r="T24" s="11"/>
      <c r="U24" s="11">
        <f>Tabla35611[[#This Row],[COMISIONES]]*0.21</f>
        <v>0</v>
      </c>
      <c r="V24" s="11"/>
      <c r="W24" s="11"/>
      <c r="X24" s="11"/>
      <c r="Y24" s="6"/>
      <c r="Z24" s="11">
        <v>970.25</v>
      </c>
      <c r="AA24" s="11">
        <f>Tabla356813[[#This Row],[COMISIONES]]*0.21</f>
        <v>203.7525</v>
      </c>
      <c r="AB24" s="11"/>
      <c r="AC24" s="11">
        <v>252.69</v>
      </c>
      <c r="AD24" s="11"/>
      <c r="AE24" s="11"/>
      <c r="AF24" s="11">
        <f>Tabla35681314[[#This Row],[COMISIONES]]*0.21</f>
        <v>0</v>
      </c>
      <c r="AG24" s="11"/>
      <c r="AH24" s="11"/>
      <c r="AI24" s="11"/>
    </row>
    <row r="25" spans="2:35" x14ac:dyDescent="0.3">
      <c r="B25" s="3"/>
      <c r="C25" s="2">
        <f>Tabla13[[#This Row],[COMISIONES]]*0.21</f>
        <v>0</v>
      </c>
      <c r="D25" s="3"/>
      <c r="E25" s="3"/>
      <c r="F25" s="3"/>
      <c r="H25" s="11"/>
      <c r="I25" s="11">
        <f>Tabla39[[#This Row],[COMISIONES]]*0.21</f>
        <v>0</v>
      </c>
      <c r="J25" s="11"/>
      <c r="K25" s="11"/>
      <c r="L25" s="11"/>
      <c r="N25" s="11"/>
      <c r="O25" s="11"/>
      <c r="P25" s="11"/>
      <c r="Q25" s="11"/>
      <c r="R25" s="11"/>
      <c r="T25" s="19"/>
      <c r="U25" s="19">
        <f>Tabla35611[[#This Row],[COMISIONES]]*0.21</f>
        <v>0</v>
      </c>
      <c r="V25" s="19"/>
      <c r="W25" s="19"/>
      <c r="X25" s="19"/>
      <c r="Y25" s="6"/>
      <c r="Z25" s="11">
        <v>116.28</v>
      </c>
      <c r="AA25" s="11">
        <f>Tabla356813[[#This Row],[COMISIONES]]*0.21</f>
        <v>24.418800000000001</v>
      </c>
      <c r="AB25" s="11"/>
      <c r="AC25" s="11">
        <v>53.03</v>
      </c>
      <c r="AD25" s="11"/>
      <c r="AE25" s="11"/>
      <c r="AF25" s="11">
        <f>Tabla35681314[[#This Row],[COMISIONES]]*0.21</f>
        <v>0</v>
      </c>
      <c r="AG25" s="11"/>
      <c r="AH25" s="11"/>
      <c r="AI25" s="11"/>
    </row>
    <row r="26" spans="2:35" x14ac:dyDescent="0.3">
      <c r="B26" s="3"/>
      <c r="C26" s="2">
        <f>Tabla13[[#This Row],[COMISIONES]]*0.21</f>
        <v>0</v>
      </c>
      <c r="D26" s="3"/>
      <c r="E26" s="3"/>
      <c r="F26" s="3"/>
      <c r="H26" s="11"/>
      <c r="I26" s="11">
        <f>Tabla39[[#This Row],[COMISIONES]]*0.21</f>
        <v>0</v>
      </c>
      <c r="J26" s="11"/>
      <c r="K26" s="11"/>
      <c r="L26" s="11"/>
      <c r="N26" s="11"/>
      <c r="O26" s="11"/>
      <c r="P26" s="11"/>
      <c r="Q26" s="11"/>
      <c r="R26" s="11"/>
      <c r="T26" s="19"/>
      <c r="U26" s="19">
        <f>Tabla35611[[#This Row],[COMISIONES]]*0.21</f>
        <v>0</v>
      </c>
      <c r="V26" s="19"/>
      <c r="W26" s="19"/>
      <c r="X26" s="19"/>
      <c r="Z26" s="11">
        <v>123.93</v>
      </c>
      <c r="AA26" s="11">
        <f>Tabla356813[[#This Row],[COMISIONES]]*0.21</f>
        <v>26.025300000000001</v>
      </c>
      <c r="AB26" s="11"/>
      <c r="AC26" s="11">
        <v>2381.9499999999998</v>
      </c>
      <c r="AD26" s="11">
        <v>52.42</v>
      </c>
      <c r="AE26" s="11"/>
      <c r="AF26" s="11">
        <f>Tabla35681314[[#This Row],[COMISIONES]]*0.21</f>
        <v>0</v>
      </c>
      <c r="AG26" s="11"/>
      <c r="AH26" s="11"/>
      <c r="AI26" s="11"/>
    </row>
    <row r="27" spans="2:35" x14ac:dyDescent="0.3">
      <c r="B27" s="3"/>
      <c r="C27" s="2">
        <f>Tabla13[[#This Row],[COMISIONES]]*0.21</f>
        <v>0</v>
      </c>
      <c r="D27" s="3"/>
      <c r="E27" s="1"/>
      <c r="F27" s="3"/>
      <c r="H27" s="11"/>
      <c r="I27" s="11">
        <f>Tabla39[[#This Row],[COMISIONES]]*0.21</f>
        <v>0</v>
      </c>
      <c r="J27" s="11"/>
      <c r="K27" s="11"/>
      <c r="L27" s="11"/>
      <c r="N27" s="11"/>
      <c r="O27" s="11"/>
      <c r="P27" s="11"/>
      <c r="Q27" s="11"/>
      <c r="R27" s="11"/>
      <c r="T27" s="18">
        <f>SUBTOTAL(109,Tabla35611[COMISIONES])</f>
        <v>792.5</v>
      </c>
      <c r="U27" s="18">
        <f>SUBTOTAL(109,Tabla35611[IVA 21])</f>
        <v>166.42499999999998</v>
      </c>
      <c r="V27" s="18">
        <f>SUBTOTAL(109,Tabla35611[IVA 10,5])</f>
        <v>0</v>
      </c>
      <c r="W27" s="18">
        <f>SUBTOTAL(109,Tabla35611[Ret IIBB Caba])</f>
        <v>4422.13</v>
      </c>
      <c r="X27" s="18">
        <f>SUBTOTAL(109,Tabla35611[PERC IVA])</f>
        <v>0</v>
      </c>
      <c r="Z27" s="11">
        <v>2984.31</v>
      </c>
      <c r="AA27" s="11">
        <f>Tabla356813[[#This Row],[COMISIONES]]*0.21</f>
        <v>626.70510000000002</v>
      </c>
      <c r="AB27" s="11"/>
      <c r="AC27" s="11">
        <v>229.87</v>
      </c>
      <c r="AD27" s="11">
        <v>14.93</v>
      </c>
      <c r="AE27" s="11"/>
      <c r="AF27" s="11">
        <f>Tabla35681314[[#This Row],[COMISIONES]]*0.21</f>
        <v>0</v>
      </c>
      <c r="AG27" s="11"/>
      <c r="AH27" s="11"/>
      <c r="AI27" s="11"/>
    </row>
    <row r="28" spans="2:35" ht="18" x14ac:dyDescent="0.35">
      <c r="B28" s="3"/>
      <c r="C28" s="2">
        <f>Tabla13[[#This Row],[COMISIONES]]*0.21</f>
        <v>0</v>
      </c>
      <c r="D28" s="3"/>
      <c r="E28" s="3"/>
      <c r="F28" s="3"/>
      <c r="H28" s="11"/>
      <c r="I28" s="11">
        <f>Tabla39[[#This Row],[COMISIONES]]*0.21</f>
        <v>0</v>
      </c>
      <c r="J28" s="11"/>
      <c r="K28" s="11"/>
      <c r="L28" s="11"/>
      <c r="N28" s="11"/>
      <c r="O28" s="11"/>
      <c r="P28" s="11"/>
      <c r="Q28" s="11"/>
      <c r="R28" s="11"/>
      <c r="T28" s="30" t="s">
        <v>13</v>
      </c>
      <c r="U28" s="30"/>
      <c r="V28" s="30"/>
      <c r="W28" s="30"/>
      <c r="X28" s="30"/>
      <c r="Z28" s="11">
        <v>769.79</v>
      </c>
      <c r="AA28" s="11">
        <f>Tabla356813[[#This Row],[COMISIONES]]*0.21</f>
        <v>161.65589999999997</v>
      </c>
      <c r="AB28" s="11"/>
      <c r="AC28" s="11">
        <v>304.25</v>
      </c>
      <c r="AD28" s="11">
        <v>36.39</v>
      </c>
      <c r="AE28" s="11"/>
      <c r="AF28" s="11">
        <f>Tabla35681314[[#This Row],[COMISIONES]]*0.21</f>
        <v>0</v>
      </c>
      <c r="AG28" s="11"/>
      <c r="AH28" s="11"/>
      <c r="AI28" s="11"/>
    </row>
    <row r="29" spans="2:35" x14ac:dyDescent="0.3">
      <c r="B29" s="3"/>
      <c r="C29" s="2">
        <f>Tabla13[[#This Row],[COMISIONES]]*0.21</f>
        <v>0</v>
      </c>
      <c r="D29" s="3"/>
      <c r="E29" s="3"/>
      <c r="F29" s="3"/>
      <c r="H29" s="11"/>
      <c r="I29" s="11">
        <f>Tabla39[[#This Row],[COMISIONES]]*0.21</f>
        <v>0</v>
      </c>
      <c r="J29" s="11"/>
      <c r="K29" s="11"/>
      <c r="L29" s="11"/>
      <c r="N29" s="11"/>
      <c r="O29" s="11"/>
      <c r="P29" s="11"/>
      <c r="Q29" s="11"/>
      <c r="R29" s="11"/>
      <c r="T29" s="12" t="s">
        <v>2</v>
      </c>
      <c r="U29" s="13" t="s">
        <v>0</v>
      </c>
      <c r="V29" s="13" t="s">
        <v>1</v>
      </c>
      <c r="W29" s="13" t="s">
        <v>3</v>
      </c>
      <c r="X29" s="13" t="s">
        <v>4</v>
      </c>
      <c r="Z29" s="11">
        <v>802.49</v>
      </c>
      <c r="AA29" s="11">
        <f>Tabla356813[[#This Row],[COMISIONES]]*0.21</f>
        <v>168.52289999999999</v>
      </c>
      <c r="AB29" s="11"/>
      <c r="AC29" s="11">
        <v>7326.48</v>
      </c>
      <c r="AD29" s="11"/>
      <c r="AE29" s="11"/>
      <c r="AF29" s="11">
        <f>Tabla35681314[[#This Row],[COMISIONES]]*0.21</f>
        <v>0</v>
      </c>
      <c r="AG29" s="11"/>
      <c r="AH29" s="11"/>
      <c r="AI29" s="11"/>
    </row>
    <row r="30" spans="2:35" x14ac:dyDescent="0.3">
      <c r="B30" s="3"/>
      <c r="C30" s="2">
        <f>Tabla13[[#This Row],[COMISIONES]]*0.21</f>
        <v>0</v>
      </c>
      <c r="D30" s="3"/>
      <c r="E30" s="3"/>
      <c r="F30" s="3"/>
      <c r="H30" s="11"/>
      <c r="I30" s="11">
        <f>Tabla39[[#This Row],[COMISIONES]]*0.21</f>
        <v>0</v>
      </c>
      <c r="J30" s="11"/>
      <c r="K30" s="11"/>
      <c r="L30" s="11"/>
      <c r="N30" s="11"/>
      <c r="O30" s="11"/>
      <c r="P30" s="11"/>
      <c r="Q30" s="11"/>
      <c r="R30" s="11"/>
      <c r="T30" s="11">
        <v>10</v>
      </c>
      <c r="U30" s="11">
        <f>Tabla612[[#This Row],[COMISIONES]]*0.21</f>
        <v>2.1</v>
      </c>
      <c r="V30" s="11"/>
      <c r="W30" s="11">
        <v>390</v>
      </c>
      <c r="X30" s="11">
        <v>195</v>
      </c>
      <c r="Z30" s="11">
        <v>136.80000000000001</v>
      </c>
      <c r="AA30" s="11">
        <f>Tabla356813[[#This Row],[COMISIONES]]*0.21</f>
        <v>28.728000000000002</v>
      </c>
      <c r="AB30" s="11"/>
      <c r="AC30" s="11">
        <v>1301.29</v>
      </c>
      <c r="AD30" s="11"/>
      <c r="AE30" s="11"/>
      <c r="AF30" s="11">
        <f>Tabla35681314[[#This Row],[COMISIONES]]*0.21</f>
        <v>0</v>
      </c>
      <c r="AG30" s="11"/>
      <c r="AH30" s="11"/>
      <c r="AI30" s="11"/>
    </row>
    <row r="31" spans="2:35" x14ac:dyDescent="0.3">
      <c r="B31" s="3"/>
      <c r="C31" s="2">
        <f>Tabla13[[#This Row],[COMISIONES]]*0.21</f>
        <v>0</v>
      </c>
      <c r="D31" s="3"/>
      <c r="E31" s="3"/>
      <c r="F31" s="3"/>
      <c r="H31" s="11"/>
      <c r="I31" s="11">
        <f>Tabla39[[#This Row],[COMISIONES]]*0.21</f>
        <v>0</v>
      </c>
      <c r="J31" s="11"/>
      <c r="K31" s="11"/>
      <c r="L31" s="11"/>
      <c r="N31" s="11"/>
      <c r="O31" s="11"/>
      <c r="P31" s="11"/>
      <c r="Q31" s="11"/>
      <c r="R31" s="11"/>
      <c r="T31" s="11">
        <v>6500</v>
      </c>
      <c r="U31" s="11">
        <f>Tabla612[[#This Row],[COMISIONES]]*0.21</f>
        <v>1365</v>
      </c>
      <c r="V31" s="11"/>
      <c r="W31" s="11">
        <v>455.4</v>
      </c>
      <c r="X31" s="11">
        <v>227.7</v>
      </c>
      <c r="Z31" s="11">
        <v>147.34</v>
      </c>
      <c r="AA31" s="11">
        <f>Tabla356813[[#This Row],[COMISIONES]]*0.21</f>
        <v>30.941399999999998</v>
      </c>
      <c r="AB31" s="11"/>
      <c r="AC31" s="11">
        <v>392.37</v>
      </c>
      <c r="AD31" s="11"/>
      <c r="AE31" s="11"/>
      <c r="AF31" s="11">
        <f>Tabla35681314[[#This Row],[COMISIONES]]*0.21</f>
        <v>0</v>
      </c>
      <c r="AG31" s="11"/>
      <c r="AH31" s="11"/>
      <c r="AI31" s="11"/>
    </row>
    <row r="32" spans="2:35" x14ac:dyDescent="0.3">
      <c r="B32" s="3"/>
      <c r="C32" s="2">
        <f>Tabla13[[#This Row],[COMISIONES]]*0.21</f>
        <v>0</v>
      </c>
      <c r="D32" s="3"/>
      <c r="E32" s="3"/>
      <c r="F32" s="3"/>
      <c r="H32" s="11"/>
      <c r="I32" s="11">
        <f>Tabla39[[#This Row],[COMISIONES]]*0.21</f>
        <v>0</v>
      </c>
      <c r="J32" s="11"/>
      <c r="K32" s="11"/>
      <c r="L32" s="11"/>
      <c r="N32" s="11"/>
      <c r="O32" s="11"/>
      <c r="P32" s="11"/>
      <c r="Q32" s="11"/>
      <c r="R32" s="11"/>
      <c r="T32" s="11">
        <v>7590</v>
      </c>
      <c r="U32" s="20">
        <f>Tabla612[[#This Row],[COMISIONES]]*0.21</f>
        <v>1593.8999999999999</v>
      </c>
      <c r="Z32" s="11">
        <v>540.45000000000005</v>
      </c>
      <c r="AA32" s="11">
        <f>Tabla356813[[#This Row],[COMISIONES]]*0.21</f>
        <v>113.4945</v>
      </c>
      <c r="AB32" s="11"/>
      <c r="AC32" s="11">
        <v>1970.1</v>
      </c>
      <c r="AD32" s="11"/>
      <c r="AE32" s="11"/>
      <c r="AF32" s="11">
        <f>Tabla35681314[[#This Row],[COMISIONES]]*0.21</f>
        <v>0</v>
      </c>
      <c r="AG32" s="11"/>
      <c r="AH32" s="11"/>
      <c r="AI32" s="11"/>
    </row>
    <row r="33" spans="2:35" x14ac:dyDescent="0.3">
      <c r="B33" s="3"/>
      <c r="C33" s="2">
        <f>Tabla13[[#This Row],[COMISIONES]]*0.21</f>
        <v>0</v>
      </c>
      <c r="D33" s="3"/>
      <c r="E33" s="3"/>
      <c r="F33" s="3"/>
      <c r="H33" s="11"/>
      <c r="I33" s="11">
        <f>Tabla39[[#This Row],[COMISIONES]]*0.21</f>
        <v>0</v>
      </c>
      <c r="J33" s="11"/>
      <c r="K33" s="11"/>
      <c r="L33" s="11"/>
      <c r="N33" s="11"/>
      <c r="O33" s="11"/>
      <c r="P33" s="11"/>
      <c r="Q33" s="11"/>
      <c r="R33" s="11"/>
      <c r="T33" s="11">
        <v>300</v>
      </c>
      <c r="U33" s="20">
        <f>Tabla612[[#This Row],[COMISIONES]]*0.21</f>
        <v>63</v>
      </c>
      <c r="Z33" s="22">
        <v>1747.38</v>
      </c>
      <c r="AA33" s="22">
        <f>Tabla356813[[#This Row],[COMISIONES]]*0.21</f>
        <v>366.94979999999998</v>
      </c>
      <c r="AB33" s="22">
        <v>148.49</v>
      </c>
      <c r="AC33" s="22">
        <v>335.84</v>
      </c>
      <c r="AD33" s="22"/>
      <c r="AE33" s="21">
        <f>SUBTOTAL(109,Tabla35681314[COMISIONES])</f>
        <v>8750</v>
      </c>
      <c r="AF33" s="21">
        <f>SUBTOTAL(109,Tabla35681314[IVA 21])</f>
        <v>1837.5</v>
      </c>
      <c r="AG33" s="21">
        <f>SUBTOTAL(109,Tabla35681314[IVA 10,5])</f>
        <v>0</v>
      </c>
      <c r="AH33" s="21">
        <f>SUBTOTAL(109,Tabla35681314[Ret IIBB Caba])</f>
        <v>525</v>
      </c>
      <c r="AI33" s="21">
        <f>SUBTOTAL(109,Tabla35681314[PERC IVA])</f>
        <v>262.5</v>
      </c>
    </row>
    <row r="34" spans="2:35" x14ac:dyDescent="0.3">
      <c r="B34" s="3"/>
      <c r="C34" s="2">
        <f>Tabla13[[#This Row],[COMISIONES]]*0.21</f>
        <v>0</v>
      </c>
      <c r="D34" s="3"/>
      <c r="E34" s="3"/>
      <c r="F34" s="3"/>
      <c r="H34" s="11"/>
      <c r="I34" s="11">
        <f>Tabla39[[#This Row],[COMISIONES]]*0.21</f>
        <v>0</v>
      </c>
      <c r="J34" s="11"/>
      <c r="K34" s="11"/>
      <c r="L34" s="11"/>
      <c r="N34" s="11"/>
      <c r="O34" s="11"/>
      <c r="P34" s="11"/>
      <c r="Q34" s="11"/>
      <c r="R34" s="11"/>
      <c r="T34" s="11">
        <v>300</v>
      </c>
      <c r="U34" s="20">
        <f>Tabla612[[#This Row],[COMISIONES]]*0.21</f>
        <v>63</v>
      </c>
      <c r="Z34" s="22">
        <v>130.5</v>
      </c>
      <c r="AA34" s="22">
        <f>Tabla356813[[#This Row],[COMISIONES]]*0.21</f>
        <v>27.404999999999998</v>
      </c>
      <c r="AB34" s="22"/>
      <c r="AC34" s="22">
        <v>311.77999999999997</v>
      </c>
      <c r="AD34" s="22"/>
    </row>
    <row r="35" spans="2:35" x14ac:dyDescent="0.3">
      <c r="B35" s="3"/>
      <c r="C35" s="2">
        <f>Tabla13[[#This Row],[COMISIONES]]*0.21</f>
        <v>0</v>
      </c>
      <c r="D35" s="3"/>
      <c r="E35" s="3"/>
      <c r="F35" s="3"/>
      <c r="H35" s="11"/>
      <c r="I35" s="11">
        <f>Tabla39[[#This Row],[COMISIONES]]*0.21</f>
        <v>0</v>
      </c>
      <c r="J35" s="11"/>
      <c r="K35" s="11"/>
      <c r="L35" s="11"/>
      <c r="N35" s="11"/>
      <c r="O35" s="11"/>
      <c r="P35" s="11"/>
      <c r="Q35" s="11"/>
      <c r="R35" s="11"/>
      <c r="T35" s="11">
        <v>300</v>
      </c>
      <c r="U35" s="20">
        <f>Tabla612[[#This Row],[COMISIONES]]*0.21</f>
        <v>63</v>
      </c>
      <c r="Z35" s="22">
        <v>1626.52</v>
      </c>
      <c r="AA35" s="22">
        <f>Tabla356813[[#This Row],[COMISIONES]]*0.21</f>
        <v>341.56919999999997</v>
      </c>
      <c r="AB35" s="22"/>
      <c r="AC35" s="22">
        <v>1326.8</v>
      </c>
      <c r="AD35" s="22"/>
    </row>
    <row r="36" spans="2:35" x14ac:dyDescent="0.3">
      <c r="B36" s="3"/>
      <c r="C36" s="2">
        <f>Tabla13[[#This Row],[COMISIONES]]*0.21</f>
        <v>0</v>
      </c>
      <c r="D36" s="3"/>
      <c r="E36" s="3"/>
      <c r="F36" s="3"/>
      <c r="H36" s="11"/>
      <c r="I36" s="11">
        <f>Tabla39[[#This Row],[COMISIONES]]*0.21</f>
        <v>0</v>
      </c>
      <c r="J36" s="11"/>
      <c r="K36" s="11"/>
      <c r="L36" s="11"/>
      <c r="N36" s="11"/>
      <c r="O36" s="11"/>
      <c r="P36" s="11"/>
      <c r="Q36" s="11"/>
      <c r="R36" s="11"/>
      <c r="T36" s="11">
        <v>300</v>
      </c>
      <c r="U36" s="20">
        <f>Tabla612[[#This Row],[COMISIONES]]*0.21</f>
        <v>63</v>
      </c>
      <c r="Z36" s="22">
        <v>1373.31</v>
      </c>
      <c r="AA36" s="22">
        <f>Tabla356813[[#This Row],[COMISIONES]]*0.21</f>
        <v>288.39509999999996</v>
      </c>
      <c r="AB36" s="22">
        <v>1582.49</v>
      </c>
      <c r="AC36" s="22">
        <v>3531.63</v>
      </c>
      <c r="AD36" s="22">
        <v>16.13</v>
      </c>
    </row>
    <row r="37" spans="2:35" x14ac:dyDescent="0.3">
      <c r="B37" s="3"/>
      <c r="C37" s="2">
        <f>Tabla13[[#This Row],[COMISIONES]]*0.21</f>
        <v>0</v>
      </c>
      <c r="D37" s="3"/>
      <c r="E37" s="3"/>
      <c r="F37" s="3"/>
      <c r="H37" s="19"/>
      <c r="I37" s="19">
        <f>Tabla39[[#This Row],[COMISIONES]]*0.21</f>
        <v>0</v>
      </c>
      <c r="J37" s="19"/>
      <c r="K37" s="19"/>
      <c r="L37" s="19"/>
      <c r="N37" s="11"/>
      <c r="O37" s="11"/>
      <c r="P37" s="11"/>
      <c r="Q37" s="11"/>
      <c r="R37" s="11"/>
      <c r="T37" s="11">
        <v>300</v>
      </c>
      <c r="U37" s="20">
        <f>Tabla612[[#This Row],[COMISIONES]]*0.21</f>
        <v>63</v>
      </c>
      <c r="Z37" s="22">
        <v>497.78</v>
      </c>
      <c r="AA37" s="22">
        <f>Tabla356813[[#This Row],[COMISIONES]]*0.21</f>
        <v>104.53379999999999</v>
      </c>
      <c r="AB37" s="22"/>
      <c r="AC37" s="22">
        <v>252.74</v>
      </c>
      <c r="AD37" s="22"/>
    </row>
    <row r="38" spans="2:35" x14ac:dyDescent="0.3">
      <c r="B38" s="3"/>
      <c r="C38" s="2">
        <f>Tabla13[[#This Row],[COMISIONES]]*0.21</f>
        <v>0</v>
      </c>
      <c r="D38" s="3"/>
      <c r="E38" s="3"/>
      <c r="F38" s="3"/>
      <c r="H38" s="19"/>
      <c r="I38" s="19">
        <f>Tabla39[[#This Row],[COMISIONES]]*0.21</f>
        <v>0</v>
      </c>
      <c r="J38" s="19"/>
      <c r="K38" s="19"/>
      <c r="L38" s="19"/>
      <c r="N38" s="11"/>
      <c r="O38" s="11"/>
      <c r="P38" s="11"/>
      <c r="Q38" s="11"/>
      <c r="R38" s="11"/>
      <c r="T38" s="11">
        <v>300</v>
      </c>
      <c r="U38" s="20">
        <f>Tabla612[[#This Row],[COMISIONES]]*0.21</f>
        <v>63</v>
      </c>
      <c r="Z38" s="22">
        <v>513.29999999999995</v>
      </c>
      <c r="AA38" s="22">
        <f>Tabla356813[[#This Row],[COMISIONES]]*0.21</f>
        <v>107.79299999999999</v>
      </c>
      <c r="AB38" s="22"/>
      <c r="AC38" s="22">
        <v>320.38</v>
      </c>
      <c r="AD38" s="22"/>
    </row>
    <row r="39" spans="2:35" x14ac:dyDescent="0.3">
      <c r="B39" s="3"/>
      <c r="C39" s="2">
        <f>Tabla13[[#This Row],[COMISIONES]]*0.21</f>
        <v>0</v>
      </c>
      <c r="D39" s="3"/>
      <c r="E39" s="3"/>
      <c r="F39" s="3"/>
      <c r="G39" s="8"/>
      <c r="H39" s="19"/>
      <c r="I39" s="19">
        <f>Tabla39[[#This Row],[COMISIONES]]*0.21</f>
        <v>0</v>
      </c>
      <c r="J39" s="19"/>
      <c r="K39" s="19"/>
      <c r="L39" s="19"/>
      <c r="M39" s="8"/>
      <c r="N39" s="11"/>
      <c r="O39" s="11"/>
      <c r="P39" s="11"/>
      <c r="Q39" s="11"/>
      <c r="R39" s="11"/>
      <c r="S39" s="8"/>
      <c r="T39" s="11">
        <v>300</v>
      </c>
      <c r="U39" s="20">
        <f>Tabla612[[#This Row],[COMISIONES]]*0.21</f>
        <v>63</v>
      </c>
      <c r="Z39" s="22">
        <v>60.3</v>
      </c>
      <c r="AA39" s="22">
        <f>Tabla356813[[#This Row],[COMISIONES]]*0.21</f>
        <v>12.662999999999998</v>
      </c>
      <c r="AB39" s="22">
        <v>894.05</v>
      </c>
      <c r="AC39" s="22">
        <v>3993.12</v>
      </c>
      <c r="AD39" s="22"/>
    </row>
    <row r="40" spans="2:35" x14ac:dyDescent="0.3">
      <c r="B40" s="3"/>
      <c r="C40" s="2">
        <f>Tabla13[[#This Row],[COMISIONES]]*0.21</f>
        <v>0</v>
      </c>
      <c r="D40" s="3"/>
      <c r="E40" s="3"/>
      <c r="F40" s="3"/>
      <c r="H40" s="19"/>
      <c r="I40" s="19">
        <f>Tabla39[[#This Row],[COMISIONES]]*0.21</f>
        <v>0</v>
      </c>
      <c r="J40" s="19"/>
      <c r="K40" s="19"/>
      <c r="L40" s="19"/>
      <c r="N40" s="11"/>
      <c r="O40" s="11"/>
      <c r="P40" s="11"/>
      <c r="Q40" s="11"/>
      <c r="R40" s="11"/>
      <c r="T40">
        <v>847</v>
      </c>
      <c r="U40" s="20">
        <f>Tabla612[[#This Row],[COMISIONES]]*0.21</f>
        <v>177.87</v>
      </c>
      <c r="Z40" s="22">
        <v>144</v>
      </c>
      <c r="AA40" s="22">
        <f>Tabla356813[[#This Row],[COMISIONES]]*0.21</f>
        <v>30.24</v>
      </c>
      <c r="AB40" s="22"/>
      <c r="AC40" s="22">
        <v>3371.48</v>
      </c>
      <c r="AD40" s="22"/>
    </row>
    <row r="41" spans="2:35" x14ac:dyDescent="0.3">
      <c r="B41" s="3"/>
      <c r="C41" s="2">
        <f>Tabla13[[#This Row],[COMISIONES]]*0.21</f>
        <v>0</v>
      </c>
      <c r="D41" s="3"/>
      <c r="E41" s="3"/>
      <c r="F41" s="3"/>
      <c r="H41" s="19"/>
      <c r="I41" s="19">
        <f>Tabla39[[#This Row],[COMISIONES]]*0.21</f>
        <v>0</v>
      </c>
      <c r="J41" s="19"/>
      <c r="K41" s="19"/>
      <c r="L41" s="19"/>
      <c r="N41" s="11"/>
      <c r="O41" s="11"/>
      <c r="P41" s="11"/>
      <c r="Q41" s="11"/>
      <c r="R41" s="11"/>
      <c r="T41">
        <v>300</v>
      </c>
      <c r="U41" s="20">
        <f>Tabla612[[#This Row],[COMISIONES]]*0.21</f>
        <v>63</v>
      </c>
      <c r="Z41" s="22">
        <v>110.52</v>
      </c>
      <c r="AA41" s="22">
        <f>Tabla356813[[#This Row],[COMISIONES]]*0.21</f>
        <v>23.209199999999999</v>
      </c>
      <c r="AB41" s="22"/>
      <c r="AC41" s="22">
        <v>1002.07</v>
      </c>
      <c r="AD41" s="22"/>
    </row>
    <row r="42" spans="2:35" x14ac:dyDescent="0.3">
      <c r="B42" s="3"/>
      <c r="C42" s="2">
        <f>Tabla13[[#This Row],[COMISIONES]]*0.21</f>
        <v>0</v>
      </c>
      <c r="D42" s="3"/>
      <c r="E42" s="3"/>
      <c r="F42" s="3"/>
      <c r="H42" s="19"/>
      <c r="I42" s="19">
        <f>Tabla39[[#This Row],[COMISIONES]]*0.21</f>
        <v>0</v>
      </c>
      <c r="J42" s="19"/>
      <c r="K42" s="19"/>
      <c r="L42" s="19"/>
      <c r="N42" s="11"/>
      <c r="O42" s="11"/>
      <c r="P42" s="11"/>
      <c r="Q42" s="11"/>
      <c r="R42" s="11"/>
      <c r="T42">
        <v>300</v>
      </c>
      <c r="U42" s="20">
        <f>Tabla612[[#This Row],[COMISIONES]]*0.21</f>
        <v>63</v>
      </c>
      <c r="Z42" s="22">
        <v>85.5</v>
      </c>
      <c r="AA42" s="22">
        <f>Tabla356813[[#This Row],[COMISIONES]]*0.21</f>
        <v>17.954999999999998</v>
      </c>
      <c r="AB42" s="22">
        <v>782.06</v>
      </c>
      <c r="AC42" s="22">
        <v>73.33</v>
      </c>
      <c r="AD42" s="22">
        <v>22.75</v>
      </c>
    </row>
    <row r="43" spans="2:35" x14ac:dyDescent="0.3">
      <c r="B43" s="3"/>
      <c r="C43" s="2">
        <f>Tabla13[[#This Row],[COMISIONES]]*0.21</f>
        <v>0</v>
      </c>
      <c r="D43" s="3"/>
      <c r="E43" s="3"/>
      <c r="F43" s="3"/>
      <c r="H43" s="19"/>
      <c r="I43" s="19">
        <f>Tabla39[[#This Row],[COMISIONES]]*0.21</f>
        <v>0</v>
      </c>
      <c r="J43" s="19"/>
      <c r="K43" s="19"/>
      <c r="L43" s="19"/>
      <c r="N43" s="11"/>
      <c r="O43" s="11"/>
      <c r="P43" s="11"/>
      <c r="Q43" s="11"/>
      <c r="R43" s="11"/>
      <c r="U43" s="20">
        <f>Tabla612[[#This Row],[COMISIONES]]*0.21</f>
        <v>0</v>
      </c>
      <c r="Z43" s="22">
        <v>72</v>
      </c>
      <c r="AA43" s="22">
        <f>Tabla356813[[#This Row],[COMISIONES]]*0.21</f>
        <v>15.12</v>
      </c>
      <c r="AB43" s="22"/>
      <c r="AC43" s="22">
        <v>148.04</v>
      </c>
      <c r="AD43" s="22"/>
    </row>
    <row r="44" spans="2:35" x14ac:dyDescent="0.3">
      <c r="B44" s="3"/>
      <c r="C44" s="2">
        <f>Tabla13[[#This Row],[COMISIONES]]*0.21</f>
        <v>0</v>
      </c>
      <c r="D44" s="3"/>
      <c r="E44" s="3"/>
      <c r="F44" s="3"/>
      <c r="H44" s="19"/>
      <c r="I44" s="19">
        <f>Tabla39[[#This Row],[COMISIONES]]*0.21</f>
        <v>0</v>
      </c>
      <c r="J44" s="19"/>
      <c r="K44" s="19"/>
      <c r="L44" s="19"/>
      <c r="N44" s="11"/>
      <c r="O44" s="11"/>
      <c r="P44" s="11"/>
      <c r="Q44" s="11"/>
      <c r="R44" s="11"/>
      <c r="U44" s="20">
        <f>Tabla612[[#This Row],[COMISIONES]]*0.21</f>
        <v>0</v>
      </c>
      <c r="Z44" s="22">
        <v>1212.9100000000001</v>
      </c>
      <c r="AA44" s="22">
        <f>Tabla356813[[#This Row],[COMISIONES]]*0.21</f>
        <v>254.71110000000002</v>
      </c>
      <c r="AB44" s="22"/>
      <c r="AC44" s="22">
        <v>289.88</v>
      </c>
      <c r="AD44" s="22"/>
    </row>
    <row r="45" spans="2:35" x14ac:dyDescent="0.3">
      <c r="B45" s="3"/>
      <c r="C45" s="2">
        <f>Tabla13[[#This Row],[COMISIONES]]*0.21</f>
        <v>0</v>
      </c>
      <c r="D45" s="3"/>
      <c r="E45" s="3"/>
      <c r="F45" s="3"/>
      <c r="H45" s="19"/>
      <c r="I45" s="19">
        <f>Tabla39[[#This Row],[COMISIONES]]*0.21</f>
        <v>0</v>
      </c>
      <c r="J45" s="19"/>
      <c r="K45" s="19"/>
      <c r="L45" s="19"/>
      <c r="N45" s="11"/>
      <c r="O45" s="11"/>
      <c r="P45" s="11"/>
      <c r="Q45" s="11"/>
      <c r="R45" s="11"/>
      <c r="U45" s="20">
        <f>Tabla612[[#This Row],[COMISIONES]]*0.21</f>
        <v>0</v>
      </c>
      <c r="Z45" s="22">
        <v>112.59</v>
      </c>
      <c r="AA45" s="22">
        <f>Tabla356813[[#This Row],[COMISIONES]]*0.21</f>
        <v>23.643899999999999</v>
      </c>
      <c r="AB45" s="22"/>
      <c r="AC45" s="22">
        <v>271.33</v>
      </c>
      <c r="AD45" s="22"/>
    </row>
    <row r="46" spans="2:35" x14ac:dyDescent="0.3">
      <c r="B46" s="3"/>
      <c r="C46" s="2">
        <f>Tabla13[[#This Row],[COMISIONES]]*0.21</f>
        <v>0</v>
      </c>
      <c r="D46" s="3"/>
      <c r="E46" s="3"/>
      <c r="F46" s="3"/>
      <c r="H46" s="19"/>
      <c r="I46" s="19">
        <f>Tabla39[[#This Row],[COMISIONES]]*0.21</f>
        <v>0</v>
      </c>
      <c r="J46" s="19"/>
      <c r="K46" s="19"/>
      <c r="L46" s="19"/>
      <c r="N46" s="11"/>
      <c r="O46" s="11"/>
      <c r="P46" s="11"/>
      <c r="Q46" s="11"/>
      <c r="R46" s="11"/>
      <c r="U46" s="20">
        <f>Tabla612[[#This Row],[COMISIONES]]*0.21</f>
        <v>0</v>
      </c>
      <c r="Z46" s="22">
        <v>776.61</v>
      </c>
      <c r="AA46" s="22">
        <f>Tabla356813[[#This Row],[COMISIONES]]*0.21</f>
        <v>163.0881</v>
      </c>
      <c r="AB46" s="22"/>
      <c r="AC46" s="22">
        <v>209.9</v>
      </c>
      <c r="AD46" s="22"/>
    </row>
    <row r="47" spans="2:35" x14ac:dyDescent="0.3">
      <c r="B47" s="2"/>
      <c r="C47" s="2">
        <f>Tabla13[[#This Row],[COMISIONES]]*0.21</f>
        <v>0</v>
      </c>
      <c r="D47" s="2"/>
      <c r="E47" s="2"/>
      <c r="H47" s="19"/>
      <c r="I47" s="19">
        <f>Tabla39[[#This Row],[COMISIONES]]*0.21</f>
        <v>0</v>
      </c>
      <c r="J47" s="19"/>
      <c r="K47" s="19"/>
      <c r="L47" s="19"/>
      <c r="N47" s="11"/>
      <c r="O47" s="11"/>
      <c r="P47" s="11"/>
      <c r="Q47" s="11"/>
      <c r="R47" s="11"/>
      <c r="U47" s="20">
        <f>Tabla612[[#This Row],[COMISIONES]]*0.21</f>
        <v>0</v>
      </c>
      <c r="Z47" s="22">
        <v>537.78</v>
      </c>
      <c r="AA47" s="22">
        <f>Tabla356813[[#This Row],[COMISIONES]]*0.21</f>
        <v>112.93379999999999</v>
      </c>
      <c r="AB47" s="22"/>
      <c r="AC47" s="22">
        <v>176.76</v>
      </c>
      <c r="AD47" s="22"/>
    </row>
    <row r="48" spans="2:35" x14ac:dyDescent="0.3">
      <c r="B48" s="2"/>
      <c r="C48" s="2">
        <f>Tabla13[[#This Row],[COMISIONES]]*0.21</f>
        <v>0</v>
      </c>
      <c r="D48" s="2"/>
      <c r="E48" s="2"/>
      <c r="H48" s="19"/>
      <c r="I48" s="19">
        <f>Tabla39[[#This Row],[COMISIONES]]*0.21</f>
        <v>0</v>
      </c>
      <c r="J48" s="19"/>
      <c r="K48" s="19"/>
      <c r="L48" s="19"/>
      <c r="N48" s="11"/>
      <c r="O48" s="11"/>
      <c r="P48" s="11"/>
      <c r="Q48" s="11"/>
      <c r="R48" s="11"/>
      <c r="U48" s="20">
        <f>Tabla612[[#This Row],[COMISIONES]]*0.21</f>
        <v>0</v>
      </c>
      <c r="Z48" s="22">
        <v>180</v>
      </c>
      <c r="AA48" s="22">
        <f>Tabla356813[[#This Row],[COMISIONES]]*0.21</f>
        <v>37.799999999999997</v>
      </c>
      <c r="AB48" s="22"/>
      <c r="AC48" s="22">
        <v>2229.2600000000002</v>
      </c>
      <c r="AD48" s="22"/>
    </row>
    <row r="49" spans="2:30" x14ac:dyDescent="0.3">
      <c r="B49" s="2"/>
      <c r="C49" s="2">
        <f>Tabla13[[#This Row],[COMISIONES]]*0.21</f>
        <v>0</v>
      </c>
      <c r="D49" s="2"/>
      <c r="E49" s="2"/>
      <c r="H49" s="18">
        <f>SUBTOTAL(109,Tabla39[COMISIONES])</f>
        <v>1400</v>
      </c>
      <c r="I49" s="18">
        <f>SUBTOTAL(109,Tabla39[IVA 21])</f>
        <v>294</v>
      </c>
      <c r="J49" s="18">
        <f>SUBTOTAL(109,Tabla39[IVA 10,5])</f>
        <v>0</v>
      </c>
      <c r="K49" s="18">
        <f>SUBTOTAL(109,Tabla39[Ret IIBB Caba])</f>
        <v>1749.36</v>
      </c>
      <c r="L49" s="18">
        <f>SUBTOTAL(109,Tabla39[PERC IVA])</f>
        <v>0</v>
      </c>
      <c r="N49" s="11"/>
      <c r="O49" s="11"/>
      <c r="P49" s="11"/>
      <c r="Q49" s="11"/>
      <c r="R49" s="11"/>
      <c r="U49" s="20">
        <f>Tabla612[[#This Row],[COMISIONES]]*0.21</f>
        <v>0</v>
      </c>
      <c r="Z49" s="22">
        <v>435.6</v>
      </c>
      <c r="AA49" s="22">
        <f>Tabla356813[[#This Row],[COMISIONES]]*0.21</f>
        <v>91.475999999999999</v>
      </c>
      <c r="AB49" s="22"/>
      <c r="AC49" s="22">
        <v>272.88</v>
      </c>
      <c r="AD49" s="22"/>
    </row>
    <row r="50" spans="2:30" ht="18" x14ac:dyDescent="0.35">
      <c r="B50" s="2"/>
      <c r="C50" s="2">
        <f>Tabla13[[#This Row],[COMISIONES]]*0.21</f>
        <v>0</v>
      </c>
      <c r="D50" s="2"/>
      <c r="E50" s="2"/>
      <c r="H50" s="30" t="s">
        <v>20</v>
      </c>
      <c r="I50" s="30"/>
      <c r="J50" s="30"/>
      <c r="K50" s="30"/>
      <c r="L50" s="30"/>
      <c r="N50" s="11"/>
      <c r="O50" s="11"/>
      <c r="P50" s="11"/>
      <c r="Q50" s="11"/>
      <c r="R50" s="11"/>
      <c r="U50" s="20">
        <f>Tabla612[[#This Row],[COMISIONES]]*0.21</f>
        <v>0</v>
      </c>
      <c r="Z50" s="22">
        <v>758.42</v>
      </c>
      <c r="AA50" s="22">
        <f>Tabla356813[[#This Row],[COMISIONES]]*0.21</f>
        <v>159.26819999999998</v>
      </c>
      <c r="AB50" s="22">
        <v>125.66</v>
      </c>
      <c r="AC50" s="22">
        <v>276.41000000000003</v>
      </c>
      <c r="AD50" s="22"/>
    </row>
    <row r="51" spans="2:30" x14ac:dyDescent="0.3">
      <c r="B51" s="2"/>
      <c r="C51" s="2">
        <f>Tabla13[[#This Row],[COMISIONES]]*0.21</f>
        <v>0</v>
      </c>
      <c r="D51" s="2"/>
      <c r="E51" s="2"/>
      <c r="H51" s="12" t="s">
        <v>2</v>
      </c>
      <c r="I51" s="13" t="s">
        <v>0</v>
      </c>
      <c r="J51" s="13" t="s">
        <v>1</v>
      </c>
      <c r="K51" s="13" t="s">
        <v>3</v>
      </c>
      <c r="L51" s="13" t="s">
        <v>4</v>
      </c>
      <c r="N51" s="11"/>
      <c r="O51" s="11"/>
      <c r="P51" s="11"/>
      <c r="Q51" s="11"/>
      <c r="R51" s="11"/>
      <c r="U51" s="20">
        <f>Tabla612[[#This Row],[COMISIONES]]*0.21</f>
        <v>0</v>
      </c>
      <c r="Z51" s="22">
        <v>316.08</v>
      </c>
      <c r="AA51" s="22">
        <f>Tabla356813[[#This Row],[COMISIONES]]*0.21</f>
        <v>66.376799999999989</v>
      </c>
      <c r="AB51" s="22"/>
      <c r="AC51" s="22">
        <v>1906.58</v>
      </c>
      <c r="AD51" s="22"/>
    </row>
    <row r="52" spans="2:30" x14ac:dyDescent="0.3">
      <c r="B52" s="2"/>
      <c r="C52" s="2">
        <f>Tabla13[[#This Row],[COMISIONES]]*0.21</f>
        <v>0</v>
      </c>
      <c r="D52" s="2"/>
      <c r="E52" s="2"/>
      <c r="H52" s="3">
        <v>24995</v>
      </c>
      <c r="I52" s="11">
        <f>Tabla3915[[#This Row],[COMISIONES]]*0.21</f>
        <v>5248.95</v>
      </c>
      <c r="J52" s="11"/>
      <c r="K52" s="11"/>
      <c r="L52" s="11">
        <v>749.85</v>
      </c>
      <c r="N52" s="11"/>
      <c r="O52" s="11"/>
      <c r="P52" s="11"/>
      <c r="Q52" s="11"/>
      <c r="R52" s="11"/>
      <c r="U52" s="20">
        <f>Tabla612[[#This Row],[COMISIONES]]*0.21</f>
        <v>0</v>
      </c>
      <c r="Z52" s="22">
        <v>240.08</v>
      </c>
      <c r="AA52" s="22">
        <f>Tabla356813[[#This Row],[COMISIONES]]*0.21</f>
        <v>50.416800000000002</v>
      </c>
      <c r="AB52" s="22">
        <v>620.36</v>
      </c>
      <c r="AC52" s="22">
        <v>937.08</v>
      </c>
      <c r="AD52" s="22"/>
    </row>
    <row r="53" spans="2:30" x14ac:dyDescent="0.3">
      <c r="B53" s="2"/>
      <c r="C53" s="2">
        <f>Tabla13[[#This Row],[COMISIONES]]*0.21</f>
        <v>0</v>
      </c>
      <c r="D53" s="2"/>
      <c r="E53" s="2"/>
      <c r="H53" s="11"/>
      <c r="I53" s="11">
        <f>Tabla3915[[#This Row],[COMISIONES]]*0.21</f>
        <v>0</v>
      </c>
      <c r="J53" s="11"/>
      <c r="K53" s="11"/>
      <c r="L53" s="22"/>
      <c r="N53" s="11"/>
      <c r="O53" s="11"/>
      <c r="P53" s="11"/>
      <c r="Q53" s="11"/>
      <c r="R53" s="11"/>
      <c r="U53" s="20">
        <f>Tabla612[[#This Row],[COMISIONES]]*0.21</f>
        <v>0</v>
      </c>
      <c r="Z53" s="22">
        <v>540.55999999999995</v>
      </c>
      <c r="AA53" s="22">
        <f>Tabla356813[[#This Row],[COMISIONES]]*0.21</f>
        <v>113.51759999999999</v>
      </c>
      <c r="AB53" s="22"/>
      <c r="AC53" s="22">
        <v>127.72</v>
      </c>
      <c r="AD53" s="22">
        <v>16.22</v>
      </c>
    </row>
    <row r="54" spans="2:30" x14ac:dyDescent="0.3">
      <c r="B54" s="2"/>
      <c r="C54" s="2">
        <f>Tabla13[[#This Row],[COMISIONES]]*0.21</f>
        <v>0</v>
      </c>
      <c r="D54" s="1"/>
      <c r="E54" s="2"/>
      <c r="H54" s="11"/>
      <c r="I54" s="11">
        <f>Tabla3915[[#This Row],[COMISIONES]]*0.21</f>
        <v>0</v>
      </c>
      <c r="J54" s="11"/>
      <c r="K54" s="11"/>
      <c r="L54" s="11"/>
      <c r="N54" s="11"/>
      <c r="O54" s="11"/>
      <c r="P54" s="11"/>
      <c r="Q54" s="11"/>
      <c r="R54" s="11"/>
      <c r="U54" s="20">
        <f>Tabla612[[#This Row],[COMISIONES]]*0.21</f>
        <v>0</v>
      </c>
      <c r="Z54" s="22">
        <v>1096.7</v>
      </c>
      <c r="AA54" s="22">
        <f>Tabla356813[[#This Row],[COMISIONES]]*0.21</f>
        <v>230.30699999999999</v>
      </c>
      <c r="AB54" s="22"/>
      <c r="AC54" s="22">
        <v>441.9</v>
      </c>
      <c r="AD54" s="22"/>
    </row>
    <row r="55" spans="2:30" x14ac:dyDescent="0.3">
      <c r="B55" s="2"/>
      <c r="C55" s="2">
        <f>Tabla13[[#This Row],[COMISIONES]]*0.21</f>
        <v>0</v>
      </c>
      <c r="D55" s="2"/>
      <c r="E55" s="2"/>
      <c r="H55" s="11"/>
      <c r="I55" s="11">
        <f>Tabla3915[[#This Row],[COMISIONES]]*0.21</f>
        <v>0</v>
      </c>
      <c r="J55" s="11"/>
      <c r="K55" s="11"/>
      <c r="L55" s="11"/>
      <c r="N55" s="11"/>
      <c r="O55" s="11"/>
      <c r="P55" s="11"/>
      <c r="Q55" s="11"/>
      <c r="R55" s="11"/>
      <c r="U55" s="20">
        <f>Tabla612[[#This Row],[COMISIONES]]*0.21</f>
        <v>0</v>
      </c>
      <c r="Z55" s="22">
        <v>485.1</v>
      </c>
      <c r="AA55" s="22">
        <f>Tabla356813[[#This Row],[COMISIONES]]*0.21</f>
        <v>101.871</v>
      </c>
      <c r="AB55" s="22"/>
      <c r="AC55" s="22">
        <v>1069.4000000000001</v>
      </c>
      <c r="AD55" s="22"/>
    </row>
    <row r="56" spans="2:30" x14ac:dyDescent="0.3">
      <c r="B56" s="2"/>
      <c r="C56" s="2">
        <f>Tabla13[[#This Row],[COMISIONES]]*0.21</f>
        <v>0</v>
      </c>
      <c r="D56" s="2"/>
      <c r="E56" s="2"/>
      <c r="H56" s="11"/>
      <c r="I56" s="11">
        <f>Tabla3915[[#This Row],[COMISIONES]]*0.21</f>
        <v>0</v>
      </c>
      <c r="J56" s="11"/>
      <c r="K56" s="11"/>
      <c r="L56" s="11"/>
      <c r="N56" s="11"/>
      <c r="O56" s="11"/>
      <c r="P56" s="11"/>
      <c r="Q56" s="11"/>
      <c r="R56" s="11"/>
      <c r="U56" s="20">
        <f>Tabla612[[#This Row],[COMISIONES]]*0.21</f>
        <v>0</v>
      </c>
      <c r="Z56" s="22">
        <v>373.15</v>
      </c>
      <c r="AA56" s="22">
        <f>Tabla356813[[#This Row],[COMISIONES]]*0.21</f>
        <v>78.361499999999992</v>
      </c>
      <c r="AB56" s="22"/>
      <c r="AC56" s="22">
        <v>1526.76</v>
      </c>
      <c r="AD56" s="22"/>
    </row>
    <row r="57" spans="2:30" x14ac:dyDescent="0.3">
      <c r="B57" s="18">
        <f>SUBTOTAL(109,Tabla13[COMISIONES])</f>
        <v>850</v>
      </c>
      <c r="C57" s="18">
        <f>SUBTOTAL(109,Tabla13[IVA 21])</f>
        <v>178.5</v>
      </c>
      <c r="D57" s="18">
        <f>SUBTOTAL(109,Tabla13[IVA 10,5])</f>
        <v>0</v>
      </c>
      <c r="E57" s="18">
        <f>SUBTOTAL(109,Tabla13[Ret IIBB Caba])</f>
        <v>51.11</v>
      </c>
      <c r="F57" s="18">
        <f>SUBTOTAL(109,Tabla13[PERC IVA])</f>
        <v>0</v>
      </c>
      <c r="H57" s="11"/>
      <c r="I57" s="11">
        <f>Tabla3915[[#This Row],[COMISIONES]]*0.21</f>
        <v>0</v>
      </c>
      <c r="J57" s="11"/>
      <c r="K57" s="11"/>
      <c r="L57" s="11"/>
      <c r="N57" s="11"/>
      <c r="O57" s="11"/>
      <c r="P57" s="11"/>
      <c r="Q57" s="11"/>
      <c r="R57" s="11"/>
      <c r="U57" s="20">
        <f>Tabla612[[#This Row],[COMISIONES]]*0.21</f>
        <v>0</v>
      </c>
      <c r="Z57" s="22">
        <v>214.04</v>
      </c>
      <c r="AA57" s="22">
        <f>Tabla356813[[#This Row],[COMISIONES]]*0.21</f>
        <v>44.948399999999999</v>
      </c>
      <c r="AB57" s="22"/>
      <c r="AC57" s="22">
        <v>111.72</v>
      </c>
      <c r="AD57" s="22"/>
    </row>
    <row r="58" spans="2:30" x14ac:dyDescent="0.3">
      <c r="H58" s="11"/>
      <c r="I58" s="11">
        <f>Tabla3915[[#This Row],[COMISIONES]]*0.21</f>
        <v>0</v>
      </c>
      <c r="J58" s="11"/>
      <c r="K58" s="11"/>
      <c r="L58" s="11"/>
      <c r="N58" s="11"/>
      <c r="O58" s="11"/>
      <c r="P58" s="11"/>
      <c r="Q58" s="11"/>
      <c r="R58" s="11"/>
      <c r="T58" s="18">
        <f>SUBTOTAL(109,Tabla612[COMISIONES])</f>
        <v>17647</v>
      </c>
      <c r="U58" s="18">
        <f>SUBTOTAL(109,Tabla612[IVA 21])</f>
        <v>3705.87</v>
      </c>
      <c r="V58" s="18">
        <f>SUBTOTAL(109,Tabla612[IVA 10,5])</f>
        <v>0</v>
      </c>
      <c r="W58" s="18">
        <f>SUBTOTAL(109,Tabla612[Ret IIBB Caba])</f>
        <v>845.4</v>
      </c>
      <c r="X58" s="18">
        <f>SUBTOTAL(109,Tabla612[PERC IVA])</f>
        <v>422.7</v>
      </c>
      <c r="Z58" s="22">
        <v>257.60000000000002</v>
      </c>
      <c r="AA58" s="22">
        <f>Tabla356813[[#This Row],[COMISIONES]]*0.21</f>
        <v>54.096000000000004</v>
      </c>
      <c r="AB58" s="22"/>
      <c r="AC58" s="22">
        <v>775.98</v>
      </c>
      <c r="AD58" s="22">
        <v>14.55</v>
      </c>
    </row>
    <row r="59" spans="2:30" x14ac:dyDescent="0.3">
      <c r="H59" s="11"/>
      <c r="I59" s="11">
        <f>Tabla3915[[#This Row],[COMISIONES]]*0.21</f>
        <v>0</v>
      </c>
      <c r="J59" s="11"/>
      <c r="K59" s="11"/>
      <c r="L59" s="11"/>
      <c r="N59" s="11"/>
      <c r="O59" s="11"/>
      <c r="P59" s="11"/>
      <c r="Q59" s="11"/>
      <c r="R59" s="11"/>
      <c r="Z59" s="22">
        <v>40.4</v>
      </c>
      <c r="AA59" s="22">
        <f>Tabla356813[[#This Row],[COMISIONES]]*0.21</f>
        <v>8.484</v>
      </c>
      <c r="AB59" s="22"/>
      <c r="AC59" s="22">
        <v>589.38</v>
      </c>
      <c r="AD59" s="22"/>
    </row>
    <row r="60" spans="2:30" x14ac:dyDescent="0.3">
      <c r="H60" s="11"/>
      <c r="I60" s="11">
        <f>Tabla3915[[#This Row],[COMISIONES]]*0.21</f>
        <v>0</v>
      </c>
      <c r="J60" s="11"/>
      <c r="K60" s="11"/>
      <c r="L60" s="11"/>
      <c r="N60" s="11"/>
      <c r="O60" s="11"/>
      <c r="P60" s="11"/>
      <c r="Q60" s="11"/>
      <c r="R60" s="11"/>
      <c r="Z60" s="22">
        <v>179.28</v>
      </c>
      <c r="AA60" s="22">
        <f>Tabla356813[[#This Row],[COMISIONES]]*0.21</f>
        <v>37.648800000000001</v>
      </c>
      <c r="AB60" s="22"/>
      <c r="AC60" s="22">
        <v>953.1</v>
      </c>
      <c r="AD60" s="22">
        <v>11.19</v>
      </c>
    </row>
    <row r="61" spans="2:30" x14ac:dyDescent="0.3">
      <c r="H61" s="11"/>
      <c r="I61" s="11">
        <f>Tabla3915[[#This Row],[COMISIONES]]*0.21</f>
        <v>0</v>
      </c>
      <c r="J61" s="11"/>
      <c r="K61" s="11"/>
      <c r="L61" s="11"/>
      <c r="N61" s="11"/>
      <c r="O61" s="11"/>
      <c r="P61" s="11"/>
      <c r="Q61" s="11"/>
      <c r="R61" s="11"/>
      <c r="Z61" s="22">
        <v>28</v>
      </c>
      <c r="AA61" s="22">
        <f>Tabla356813[[#This Row],[COMISIONES]]*0.21</f>
        <v>5.88</v>
      </c>
      <c r="AB61" s="22"/>
      <c r="AC61" s="22">
        <v>231.36</v>
      </c>
      <c r="AD61" s="22"/>
    </row>
    <row r="62" spans="2:30" x14ac:dyDescent="0.3">
      <c r="H62" s="11"/>
      <c r="I62" s="11">
        <f>Tabla3915[[#This Row],[COMISIONES]]*0.21</f>
        <v>0</v>
      </c>
      <c r="J62" s="11"/>
      <c r="K62" s="11"/>
      <c r="L62" s="11"/>
      <c r="N62" s="11"/>
      <c r="O62" s="11"/>
      <c r="P62" s="11"/>
      <c r="Q62" s="11"/>
      <c r="R62" s="11"/>
      <c r="Z62" s="22">
        <v>29.52</v>
      </c>
      <c r="AA62" s="22">
        <f>Tabla356813[[#This Row],[COMISIONES]]*0.21</f>
        <v>6.1991999999999994</v>
      </c>
      <c r="AB62" s="22"/>
      <c r="AC62" s="22">
        <v>2692.39</v>
      </c>
      <c r="AD62" s="22"/>
    </row>
    <row r="63" spans="2:30" x14ac:dyDescent="0.3">
      <c r="H63" s="11"/>
      <c r="I63" s="11">
        <f>Tabla3915[[#This Row],[COMISIONES]]*0.21</f>
        <v>0</v>
      </c>
      <c r="J63" s="11"/>
      <c r="K63" s="11"/>
      <c r="L63" s="11"/>
      <c r="N63" s="19"/>
      <c r="O63" s="19"/>
      <c r="P63" s="19"/>
      <c r="Q63" s="19"/>
      <c r="R63" s="19"/>
      <c r="Z63" s="22">
        <v>436.88</v>
      </c>
      <c r="AA63" s="22">
        <f>Tabla356813[[#This Row],[COMISIONES]]*0.21</f>
        <v>91.744799999999998</v>
      </c>
      <c r="AB63" s="22"/>
      <c r="AC63" s="22">
        <v>820.03</v>
      </c>
      <c r="AD63" s="22"/>
    </row>
    <row r="64" spans="2:30" x14ac:dyDescent="0.3">
      <c r="H64" s="11"/>
      <c r="I64" s="11">
        <f>Tabla3915[[#This Row],[COMISIONES]]*0.21</f>
        <v>0</v>
      </c>
      <c r="J64" s="11"/>
      <c r="K64" s="11"/>
      <c r="L64" s="11"/>
      <c r="N64" s="19"/>
      <c r="O64" s="19"/>
      <c r="P64" s="19"/>
      <c r="Q64" s="19"/>
      <c r="R64" s="19"/>
      <c r="Z64" s="22">
        <v>29.92</v>
      </c>
      <c r="AA64" s="22">
        <f>Tabla356813[[#This Row],[COMISIONES]]*0.21</f>
        <v>6.2831999999999999</v>
      </c>
      <c r="AB64" s="22"/>
      <c r="AC64" s="22">
        <v>247.26</v>
      </c>
      <c r="AD64" s="22"/>
    </row>
    <row r="65" spans="8:30" x14ac:dyDescent="0.3">
      <c r="H65" s="11"/>
      <c r="I65" s="11">
        <f>Tabla3915[[#This Row],[COMISIONES]]*0.21</f>
        <v>0</v>
      </c>
      <c r="J65" s="11"/>
      <c r="K65" s="11"/>
      <c r="L65" s="11"/>
      <c r="N65" s="19"/>
      <c r="O65" s="19"/>
      <c r="P65" s="19"/>
      <c r="Q65" s="19"/>
      <c r="R65" s="19"/>
      <c r="Z65" s="22">
        <v>314.88</v>
      </c>
      <c r="AA65" s="22">
        <f>Tabla356813[[#This Row],[COMISIONES]]*0.21</f>
        <v>66.124799999999993</v>
      </c>
      <c r="AB65" s="22">
        <v>3015.4</v>
      </c>
      <c r="AC65" s="22">
        <v>650.22</v>
      </c>
      <c r="AD65" s="22">
        <v>90.26</v>
      </c>
    </row>
    <row r="66" spans="8:30" x14ac:dyDescent="0.3">
      <c r="H66" s="11"/>
      <c r="I66" s="11">
        <f>Tabla3915[[#This Row],[COMISIONES]]*0.21</f>
        <v>0</v>
      </c>
      <c r="J66" s="11"/>
      <c r="K66" s="11"/>
      <c r="L66" s="11"/>
      <c r="N66" s="19"/>
      <c r="O66" s="19"/>
      <c r="P66" s="19"/>
      <c r="Q66" s="19"/>
      <c r="R66" s="19"/>
      <c r="Z66" s="22">
        <v>46.8</v>
      </c>
      <c r="AA66" s="22">
        <f>Tabla356813[[#This Row],[COMISIONES]]*0.21</f>
        <v>9.8279999999999994</v>
      </c>
      <c r="AB66" s="22"/>
      <c r="AC66" s="22">
        <v>88.62</v>
      </c>
      <c r="AD66" s="22"/>
    </row>
    <row r="67" spans="8:30" x14ac:dyDescent="0.3">
      <c r="H67" s="11"/>
      <c r="I67" s="11">
        <f>Tabla3915[[#This Row],[COMISIONES]]*0.21</f>
        <v>0</v>
      </c>
      <c r="J67" s="11"/>
      <c r="K67" s="11"/>
      <c r="L67" s="11"/>
      <c r="N67" s="19"/>
      <c r="O67" s="19"/>
      <c r="P67" s="19"/>
      <c r="Q67" s="19"/>
      <c r="R67" s="19"/>
      <c r="Z67" s="22">
        <v>540.20000000000005</v>
      </c>
      <c r="AA67" s="22">
        <f>Tabla356813[[#This Row],[COMISIONES]]*0.21</f>
        <v>113.44200000000001</v>
      </c>
      <c r="AB67" s="22"/>
      <c r="AC67" s="22">
        <v>1194.3399999999999</v>
      </c>
      <c r="AD67" s="22"/>
    </row>
    <row r="68" spans="8:30" x14ac:dyDescent="0.3">
      <c r="H68" s="11"/>
      <c r="I68" s="11">
        <f>Tabla3915[[#This Row],[COMISIONES]]*0.21</f>
        <v>0</v>
      </c>
      <c r="J68" s="11"/>
      <c r="K68" s="11"/>
      <c r="L68" s="11"/>
      <c r="N68" s="19"/>
      <c r="O68" s="19"/>
      <c r="P68" s="19"/>
      <c r="Q68" s="19"/>
      <c r="R68" s="19"/>
      <c r="Z68" s="22">
        <v>19.72</v>
      </c>
      <c r="AA68" s="22">
        <f>Tabla356813[[#This Row],[COMISIONES]]*0.21</f>
        <v>4.1411999999999995</v>
      </c>
      <c r="AB68" s="22"/>
      <c r="AC68" s="22">
        <v>1437.41</v>
      </c>
      <c r="AD68" s="22"/>
    </row>
    <row r="69" spans="8:30" x14ac:dyDescent="0.3">
      <c r="H69" s="11"/>
      <c r="I69" s="11">
        <f>Tabla3915[[#This Row],[COMISIONES]]*0.21</f>
        <v>0</v>
      </c>
      <c r="J69" s="11"/>
      <c r="K69" s="11"/>
      <c r="L69" s="11"/>
      <c r="N69" s="19"/>
      <c r="O69" s="19"/>
      <c r="P69" s="19"/>
      <c r="Q69" s="19"/>
      <c r="R69" s="19"/>
      <c r="Z69" s="22">
        <v>56.72</v>
      </c>
      <c r="AA69" s="22">
        <f>Tabla356813[[#This Row],[COMISIONES]]*0.21</f>
        <v>11.911199999999999</v>
      </c>
      <c r="AB69" s="22"/>
      <c r="AC69" s="22">
        <v>225.43</v>
      </c>
      <c r="AD69" s="22">
        <v>75.56</v>
      </c>
    </row>
    <row r="70" spans="8:30" x14ac:dyDescent="0.3">
      <c r="H70" s="11"/>
      <c r="I70" s="11">
        <f>Tabla3915[[#This Row],[COMISIONES]]*0.21</f>
        <v>0</v>
      </c>
      <c r="J70" s="11"/>
      <c r="K70" s="11"/>
      <c r="L70" s="11"/>
      <c r="N70" s="19"/>
      <c r="O70" s="19"/>
      <c r="P70" s="19"/>
      <c r="Q70" s="19"/>
      <c r="R70" s="19"/>
      <c r="Z70" s="22">
        <v>1761.49</v>
      </c>
      <c r="AA70" s="22">
        <f>Tabla356813[[#This Row],[COMISIONES]]*0.21</f>
        <v>369.91289999999998</v>
      </c>
      <c r="AB70" s="22"/>
      <c r="AC70" s="22">
        <v>1000.38</v>
      </c>
      <c r="AD70" s="22"/>
    </row>
    <row r="71" spans="8:30" x14ac:dyDescent="0.3">
      <c r="H71" s="11"/>
      <c r="I71" s="11">
        <f>Tabla3915[[#This Row],[COMISIONES]]*0.21</f>
        <v>0</v>
      </c>
      <c r="J71" s="11"/>
      <c r="K71" s="11"/>
      <c r="L71" s="11"/>
      <c r="N71" s="19"/>
      <c r="O71" s="19"/>
      <c r="P71" s="19"/>
      <c r="Q71" s="19"/>
      <c r="R71" s="19"/>
      <c r="Z71" s="22">
        <v>3008.79</v>
      </c>
      <c r="AA71" s="22">
        <f>Tabla356813[[#This Row],[COMISIONES]]*0.21</f>
        <v>631.84589999999992</v>
      </c>
      <c r="AB71" s="22">
        <v>306.95</v>
      </c>
      <c r="AC71" s="22">
        <v>156.24</v>
      </c>
      <c r="AD71" s="22"/>
    </row>
    <row r="72" spans="8:30" x14ac:dyDescent="0.3">
      <c r="H72" s="11"/>
      <c r="I72" s="11">
        <f>Tabla3915[[#This Row],[COMISIONES]]*0.21</f>
        <v>0</v>
      </c>
      <c r="J72" s="11"/>
      <c r="K72" s="11"/>
      <c r="L72" s="11"/>
      <c r="N72" s="19"/>
      <c r="O72" s="19"/>
      <c r="P72" s="19"/>
      <c r="Q72" s="19"/>
      <c r="R72" s="19"/>
      <c r="Z72" s="22">
        <v>203.94</v>
      </c>
      <c r="AA72" s="22">
        <f>Tabla356813[[#This Row],[COMISIONES]]*0.21</f>
        <v>42.827399999999997</v>
      </c>
      <c r="AB72" s="22"/>
      <c r="AC72" s="22">
        <v>2437.79</v>
      </c>
      <c r="AD72" s="22"/>
    </row>
    <row r="73" spans="8:30" x14ac:dyDescent="0.3">
      <c r="H73" s="11"/>
      <c r="I73" s="11">
        <f>Tabla3915[[#This Row],[COMISIONES]]*0.21</f>
        <v>0</v>
      </c>
      <c r="J73" s="11"/>
      <c r="K73" s="11"/>
      <c r="L73" s="11"/>
      <c r="N73" s="19"/>
      <c r="O73" s="19"/>
      <c r="P73" s="19"/>
      <c r="Q73" s="19"/>
      <c r="R73" s="19"/>
      <c r="Z73" s="22">
        <v>1314.54</v>
      </c>
      <c r="AA73" s="22">
        <f>Tabla356813[[#This Row],[COMISIONES]]*0.21</f>
        <v>276.05340000000001</v>
      </c>
      <c r="AB73" s="22">
        <v>2552</v>
      </c>
      <c r="AC73" s="22">
        <v>164.72</v>
      </c>
      <c r="AD73" s="22"/>
    </row>
    <row r="74" spans="8:30" x14ac:dyDescent="0.3">
      <c r="H74" s="11"/>
      <c r="I74" s="11">
        <f>Tabla3915[[#This Row],[COMISIONES]]*0.21</f>
        <v>0</v>
      </c>
      <c r="J74" s="11"/>
      <c r="K74" s="11"/>
      <c r="L74" s="11"/>
      <c r="N74" s="19"/>
      <c r="O74" s="19"/>
      <c r="P74" s="19"/>
      <c r="Q74" s="19"/>
      <c r="R74" s="19"/>
      <c r="Z74" s="22">
        <v>2518.92</v>
      </c>
      <c r="AA74" s="22">
        <f>Tabla356813[[#This Row],[COMISIONES]]*0.21</f>
        <v>528.97320000000002</v>
      </c>
      <c r="AB74" s="22"/>
      <c r="AC74" s="22">
        <v>166.95</v>
      </c>
      <c r="AD74" s="22">
        <v>23.42</v>
      </c>
    </row>
    <row r="75" spans="8:30" x14ac:dyDescent="0.3">
      <c r="H75" s="11"/>
      <c r="I75" s="11">
        <f>Tabla3915[[#This Row],[COMISIONES]]*0.21</f>
        <v>0</v>
      </c>
      <c r="J75" s="11"/>
      <c r="K75" s="11"/>
      <c r="L75" s="11"/>
      <c r="N75" s="19"/>
      <c r="O75" s="19"/>
      <c r="P75" s="19"/>
      <c r="Q75" s="19"/>
      <c r="R75" s="19"/>
      <c r="Z75" s="22">
        <v>780.53</v>
      </c>
      <c r="AA75" s="22">
        <f>Tabla356813[[#This Row],[COMISIONES]]*0.21</f>
        <v>163.91129999999998</v>
      </c>
      <c r="AB75" s="22"/>
      <c r="AC75" s="22">
        <v>1757.03</v>
      </c>
      <c r="AD75" s="22"/>
    </row>
    <row r="76" spans="8:30" x14ac:dyDescent="0.3">
      <c r="H76" s="11"/>
      <c r="I76" s="11">
        <f>Tabla3915[[#This Row],[COMISIONES]]*0.21</f>
        <v>0</v>
      </c>
      <c r="J76" s="11"/>
      <c r="K76" s="11"/>
      <c r="L76" s="11"/>
      <c r="N76" s="19"/>
      <c r="O76" s="19"/>
      <c r="P76" s="19"/>
      <c r="Q76" s="19"/>
      <c r="R76" s="19"/>
      <c r="Z76" s="22">
        <v>938.66</v>
      </c>
      <c r="AA76" s="22">
        <f>Tabla356813[[#This Row],[COMISIONES]]*0.21</f>
        <v>197.11859999999999</v>
      </c>
      <c r="AB76" s="22"/>
      <c r="AC76" s="22">
        <v>261.14</v>
      </c>
      <c r="AD76" s="22">
        <v>72.08</v>
      </c>
    </row>
    <row r="77" spans="8:30" x14ac:dyDescent="0.3">
      <c r="H77" s="19"/>
      <c r="I77" s="19">
        <f>Tabla3915[[#This Row],[COMISIONES]]*0.21</f>
        <v>0</v>
      </c>
      <c r="J77" s="19"/>
      <c r="K77" s="19"/>
      <c r="L77" s="19"/>
      <c r="N77" s="19"/>
      <c r="O77" s="19"/>
      <c r="P77" s="19"/>
      <c r="Q77" s="19"/>
      <c r="R77" s="19"/>
      <c r="Z77" s="22">
        <v>2402.54</v>
      </c>
      <c r="AA77" s="22">
        <f>Tabla356813[[#This Row],[COMISIONES]]*0.21</f>
        <v>504.53339999999997</v>
      </c>
      <c r="AB77" s="22"/>
      <c r="AC77" s="22">
        <v>3014.32</v>
      </c>
      <c r="AD77" s="22"/>
    </row>
    <row r="78" spans="8:30" x14ac:dyDescent="0.3">
      <c r="H78" s="19"/>
      <c r="I78" s="19">
        <f>Tabla3915[[#This Row],[COMISIONES]]*0.21</f>
        <v>0</v>
      </c>
      <c r="J78" s="19"/>
      <c r="K78" s="19"/>
      <c r="L78" s="19"/>
      <c r="N78" s="19"/>
      <c r="O78" s="19"/>
      <c r="P78" s="19"/>
      <c r="Q78" s="19"/>
      <c r="R78" s="19"/>
      <c r="Z78" s="22">
        <v>3192.35</v>
      </c>
      <c r="AA78" s="22">
        <f>Tabla356813[[#This Row],[COMISIONES]]*0.21</f>
        <v>670.3934999999999</v>
      </c>
      <c r="AB78" s="22">
        <v>1514.54</v>
      </c>
      <c r="AC78" s="22">
        <v>110.04</v>
      </c>
      <c r="AD78" s="22">
        <v>95.76</v>
      </c>
    </row>
    <row r="79" spans="8:30" x14ac:dyDescent="0.3">
      <c r="H79" s="19"/>
      <c r="I79" s="19">
        <f>Tabla3915[[#This Row],[COMISIONES]]*0.21</f>
        <v>0</v>
      </c>
      <c r="J79" s="19"/>
      <c r="K79" s="19"/>
      <c r="L79" s="19"/>
      <c r="N79" s="19"/>
      <c r="O79" s="19"/>
      <c r="P79" s="19"/>
      <c r="Q79" s="19"/>
      <c r="R79" s="19"/>
      <c r="Z79" s="22">
        <v>1469.73</v>
      </c>
      <c r="AA79" s="22">
        <f>Tabla356813[[#This Row],[COMISIONES]]*0.21</f>
        <v>308.64330000000001</v>
      </c>
      <c r="AB79" s="22"/>
      <c r="AC79" s="22">
        <v>316.5</v>
      </c>
      <c r="AD79" s="22"/>
    </row>
    <row r="80" spans="8:30" x14ac:dyDescent="0.3">
      <c r="H80" s="19"/>
      <c r="I80" s="19">
        <f>Tabla3915[[#This Row],[COMISIONES]]*0.21</f>
        <v>0</v>
      </c>
      <c r="J80" s="19"/>
      <c r="K80" s="19"/>
      <c r="L80" s="19"/>
      <c r="N80" s="19"/>
      <c r="O80" s="19"/>
      <c r="P80" s="19"/>
      <c r="Q80" s="19"/>
      <c r="R80" s="19"/>
      <c r="Z80" s="22">
        <v>561.78</v>
      </c>
      <c r="AA80" s="22">
        <f>Tabla356813[[#This Row],[COMISIONES]]*0.21</f>
        <v>117.97379999999998</v>
      </c>
      <c r="AB80" s="22"/>
      <c r="AC80" s="22">
        <v>4324.46</v>
      </c>
      <c r="AD80" s="22">
        <v>44.1</v>
      </c>
    </row>
    <row r="81" spans="8:30" x14ac:dyDescent="0.3">
      <c r="H81" s="19"/>
      <c r="I81" s="19">
        <f>Tabla3915[[#This Row],[COMISIONES]]*0.21</f>
        <v>0</v>
      </c>
      <c r="J81" s="19"/>
      <c r="K81" s="19"/>
      <c r="L81" s="19"/>
      <c r="N81" s="19"/>
      <c r="O81" s="19"/>
      <c r="P81" s="19"/>
      <c r="Q81" s="19"/>
      <c r="R81" s="19"/>
      <c r="Z81" s="22">
        <v>3827.92</v>
      </c>
      <c r="AA81" s="22">
        <f>Tabla356813[[#This Row],[COMISIONES]]*0.21</f>
        <v>803.86320000000001</v>
      </c>
      <c r="AB81" s="22">
        <v>2286.14</v>
      </c>
      <c r="AC81" s="22">
        <v>5874.3</v>
      </c>
      <c r="AD81" s="22">
        <v>114.85</v>
      </c>
    </row>
    <row r="82" spans="8:30" x14ac:dyDescent="0.3">
      <c r="H82" s="19"/>
      <c r="I82" s="19">
        <f>Tabla3915[[#This Row],[COMISIONES]]*0.21</f>
        <v>0</v>
      </c>
      <c r="J82" s="19"/>
      <c r="K82" s="19"/>
      <c r="L82" s="19"/>
      <c r="N82" s="19"/>
      <c r="O82" s="19"/>
      <c r="P82" s="19"/>
      <c r="Q82" s="19"/>
      <c r="R82" s="19"/>
      <c r="Z82" s="22">
        <v>1412.95</v>
      </c>
      <c r="AA82" s="22">
        <f>Tabla356813[[#This Row],[COMISIONES]]*0.21</f>
        <v>296.71949999999998</v>
      </c>
      <c r="AB82" s="22">
        <v>581.85</v>
      </c>
      <c r="AC82" s="22">
        <v>504.11</v>
      </c>
      <c r="AD82" s="22"/>
    </row>
    <row r="83" spans="8:30" x14ac:dyDescent="0.3">
      <c r="H83" s="19"/>
      <c r="I83" s="19">
        <f>Tabla3915[[#This Row],[COMISIONES]]*0.21</f>
        <v>0</v>
      </c>
      <c r="J83" s="19"/>
      <c r="K83" s="19"/>
      <c r="L83" s="19"/>
      <c r="N83" s="19"/>
      <c r="O83" s="19"/>
      <c r="P83" s="19"/>
      <c r="Q83" s="19"/>
      <c r="R83" s="19"/>
      <c r="Z83" s="22">
        <v>237.01</v>
      </c>
      <c r="AA83" s="22">
        <f>Tabla356813[[#This Row],[COMISIONES]]*0.21</f>
        <v>49.772099999999995</v>
      </c>
      <c r="AB83" s="22">
        <v>3945.34</v>
      </c>
      <c r="AC83" s="22">
        <v>500.67</v>
      </c>
      <c r="AD83" s="22">
        <v>42.39</v>
      </c>
    </row>
    <row r="84" spans="8:30" x14ac:dyDescent="0.3">
      <c r="H84" s="19"/>
      <c r="I84" s="19">
        <f>Tabla3915[[#This Row],[COMISIONES]]*0.21</f>
        <v>0</v>
      </c>
      <c r="J84" s="19"/>
      <c r="K84" s="19"/>
      <c r="L84" s="19"/>
      <c r="N84" s="19"/>
      <c r="O84" s="19"/>
      <c r="P84" s="19"/>
      <c r="Q84" s="19"/>
      <c r="R84" s="19"/>
      <c r="Z84" s="22">
        <v>2884.77</v>
      </c>
      <c r="AA84" s="22">
        <f>Tabla356813[[#This Row],[COMISIONES]]*0.21</f>
        <v>605.80169999999998</v>
      </c>
      <c r="AB84" s="22"/>
      <c r="AC84" s="22">
        <v>3227.19</v>
      </c>
      <c r="AD84" s="22"/>
    </row>
    <row r="85" spans="8:30" x14ac:dyDescent="0.3">
      <c r="H85" s="19"/>
      <c r="I85" s="19">
        <f>Tabla3915[[#This Row],[COMISIONES]]*0.21</f>
        <v>0</v>
      </c>
      <c r="J85" s="19"/>
      <c r="K85" s="19"/>
      <c r="L85" s="19"/>
      <c r="N85" s="19"/>
      <c r="O85" s="19"/>
      <c r="P85" s="19"/>
      <c r="Q85" s="19"/>
      <c r="R85" s="19"/>
      <c r="Z85" s="22">
        <v>2703.1</v>
      </c>
      <c r="AA85" s="22">
        <f>Tabla356813[[#This Row],[COMISIONES]]*0.21</f>
        <v>567.65099999999995</v>
      </c>
      <c r="AB85" s="22">
        <v>2383.6999999999998</v>
      </c>
      <c r="AC85" s="22">
        <v>6183.94</v>
      </c>
      <c r="AD85" s="22">
        <v>86.54</v>
      </c>
    </row>
    <row r="86" spans="8:30" x14ac:dyDescent="0.3">
      <c r="H86" s="19"/>
      <c r="I86" s="19">
        <f>Tabla3915[[#This Row],[COMISIONES]]*0.21</f>
        <v>0</v>
      </c>
      <c r="J86" s="19"/>
      <c r="K86" s="19"/>
      <c r="L86" s="19"/>
      <c r="N86" s="19"/>
      <c r="O86" s="19"/>
      <c r="P86" s="19"/>
      <c r="Q86" s="19"/>
      <c r="R86" s="19"/>
      <c r="Z86" s="22">
        <v>1112.67</v>
      </c>
      <c r="AA86" s="22">
        <f>Tabla356813[[#This Row],[COMISIONES]]*0.21</f>
        <v>233.66070000000002</v>
      </c>
      <c r="AB86" s="22"/>
      <c r="AC86" s="22">
        <v>1571.27</v>
      </c>
      <c r="AD86" s="22">
        <v>81.09</v>
      </c>
    </row>
    <row r="87" spans="8:30" x14ac:dyDescent="0.3">
      <c r="H87" s="19"/>
      <c r="I87" s="19">
        <f>Tabla3915[[#This Row],[COMISIONES]]*0.21</f>
        <v>0</v>
      </c>
      <c r="J87" s="19"/>
      <c r="K87" s="19"/>
      <c r="L87" s="19"/>
      <c r="N87" s="19"/>
      <c r="O87" s="19"/>
      <c r="P87" s="19"/>
      <c r="Q87" s="19"/>
      <c r="R87" s="19"/>
      <c r="Z87" s="22">
        <v>2513.58</v>
      </c>
      <c r="AA87" s="22">
        <f>Tabla356813[[#This Row],[COMISIONES]]*0.21</f>
        <v>527.85179999999991</v>
      </c>
      <c r="AB87" s="22"/>
      <c r="AC87" s="22">
        <v>114.98</v>
      </c>
      <c r="AD87" s="22">
        <v>75.41</v>
      </c>
    </row>
    <row r="88" spans="8:30" x14ac:dyDescent="0.3">
      <c r="H88" s="19"/>
      <c r="I88" s="19">
        <f>Tabla3915[[#This Row],[COMISIONES]]*0.21</f>
        <v>0</v>
      </c>
      <c r="J88" s="19"/>
      <c r="K88" s="19"/>
      <c r="L88" s="19"/>
      <c r="N88" s="19"/>
      <c r="O88" s="19"/>
      <c r="P88" s="19"/>
      <c r="Q88" s="19"/>
      <c r="R88" s="19"/>
      <c r="Z88" s="22">
        <v>3007.22</v>
      </c>
      <c r="AA88" s="22">
        <f>Tabla356813[[#This Row],[COMISIONES]]*0.21</f>
        <v>631.51619999999991</v>
      </c>
      <c r="AB88" s="22">
        <v>1184.33</v>
      </c>
      <c r="AC88" s="22">
        <v>2304.42</v>
      </c>
      <c r="AD88" s="22">
        <v>90.21</v>
      </c>
    </row>
    <row r="89" spans="8:30" x14ac:dyDescent="0.3">
      <c r="H89" s="22"/>
      <c r="I89" s="22">
        <f>Tabla3915[[#This Row],[COMISIONES]]*0.21</f>
        <v>0</v>
      </c>
      <c r="J89" s="22"/>
      <c r="K89" s="22"/>
      <c r="L89" s="22"/>
      <c r="N89" s="19"/>
      <c r="O89" s="19"/>
      <c r="P89" s="19"/>
      <c r="Q89" s="19"/>
      <c r="R89" s="19"/>
      <c r="Z89" s="22">
        <v>757</v>
      </c>
      <c r="AA89" s="22">
        <f>Tabla356813[[#This Row],[COMISIONES]]*0.21</f>
        <v>158.97</v>
      </c>
      <c r="AB89" s="22">
        <v>2986.28</v>
      </c>
      <c r="AC89" s="22">
        <v>4804.49</v>
      </c>
      <c r="AD89" s="22">
        <v>22.71</v>
      </c>
    </row>
    <row r="90" spans="8:30" x14ac:dyDescent="0.3">
      <c r="H90" s="22"/>
      <c r="I90" s="22">
        <f>Tabla3915[[#This Row],[COMISIONES]]*0.21</f>
        <v>0</v>
      </c>
      <c r="J90" s="22"/>
      <c r="K90" s="22"/>
      <c r="L90" s="22"/>
      <c r="N90" s="19"/>
      <c r="O90" s="19"/>
      <c r="P90" s="19"/>
      <c r="Q90" s="19"/>
      <c r="R90" s="19"/>
      <c r="Z90" s="22">
        <v>1729.35</v>
      </c>
      <c r="AA90" s="22">
        <f>Tabla356813[[#This Row],[COMISIONES]]*0.21</f>
        <v>363.16349999999994</v>
      </c>
      <c r="AB90" s="22">
        <v>240.22</v>
      </c>
      <c r="AC90" s="22">
        <v>364.57</v>
      </c>
      <c r="AD90" s="22">
        <v>90.33</v>
      </c>
    </row>
    <row r="91" spans="8:30" x14ac:dyDescent="0.3">
      <c r="H91" s="22"/>
      <c r="I91" s="22">
        <f>Tabla3915[[#This Row],[COMISIONES]]*0.21</f>
        <v>0</v>
      </c>
      <c r="J91" s="22"/>
      <c r="K91" s="22"/>
      <c r="L91" s="22"/>
      <c r="N91" s="19"/>
      <c r="O91" s="19"/>
      <c r="P91" s="19"/>
      <c r="Q91" s="19"/>
      <c r="R91" s="19"/>
      <c r="Z91" s="22">
        <v>3010.78</v>
      </c>
      <c r="AA91" s="22">
        <f>Tabla356813[[#This Row],[COMISIONES]]*0.21</f>
        <v>632.26380000000006</v>
      </c>
      <c r="AB91" s="22">
        <v>432.3</v>
      </c>
      <c r="AC91" s="22">
        <v>7837.23</v>
      </c>
      <c r="AD91" s="22">
        <v>132.41</v>
      </c>
    </row>
    <row r="92" spans="8:30" x14ac:dyDescent="0.3">
      <c r="H92" s="22"/>
      <c r="I92" s="22">
        <f>Tabla3915[[#This Row],[COMISIONES]]*0.21</f>
        <v>0</v>
      </c>
      <c r="J92" s="22"/>
      <c r="K92" s="22"/>
      <c r="L92" s="22"/>
      <c r="N92" s="19"/>
      <c r="O92" s="19"/>
      <c r="P92" s="19"/>
      <c r="Q92" s="19"/>
      <c r="R92" s="19"/>
      <c r="Z92" s="22">
        <v>4414.18</v>
      </c>
      <c r="AA92" s="22">
        <f>Tabla356813[[#This Row],[COMISIONES]]*0.21</f>
        <v>926.9778</v>
      </c>
      <c r="AB92" s="22">
        <v>1807.81</v>
      </c>
      <c r="AC92" s="22">
        <v>216.37</v>
      </c>
      <c r="AD92" s="22">
        <v>97.54</v>
      </c>
    </row>
    <row r="93" spans="8:30" x14ac:dyDescent="0.3">
      <c r="H93" s="22"/>
      <c r="I93" s="22">
        <f>Tabla3915[[#This Row],[COMISIONES]]*0.21</f>
        <v>0</v>
      </c>
      <c r="J93" s="22"/>
      <c r="K93" s="22"/>
      <c r="L93" s="22"/>
      <c r="N93" s="19"/>
      <c r="O93" s="19"/>
      <c r="P93" s="19"/>
      <c r="Q93" s="19"/>
      <c r="R93" s="19"/>
      <c r="Z93" s="22">
        <v>232.96</v>
      </c>
      <c r="AA93" s="22">
        <f>Tabla356813[[#This Row],[COMISIONES]]*0.21</f>
        <v>48.921599999999998</v>
      </c>
      <c r="AB93" s="22">
        <v>798.55</v>
      </c>
      <c r="AC93" s="22">
        <v>1379.17</v>
      </c>
      <c r="AD93" s="22">
        <v>12.57</v>
      </c>
    </row>
    <row r="94" spans="8:30" x14ac:dyDescent="0.3">
      <c r="H94" s="22"/>
      <c r="I94" s="22">
        <f>Tabla3915[[#This Row],[COMISIONES]]*0.21</f>
        <v>0</v>
      </c>
      <c r="J94" s="22"/>
      <c r="K94" s="22"/>
      <c r="L94" s="22"/>
      <c r="N94" s="19"/>
      <c r="O94" s="19"/>
      <c r="P94" s="19"/>
      <c r="Q94" s="19"/>
      <c r="R94" s="19"/>
      <c r="Z94" s="22">
        <v>3251.54</v>
      </c>
      <c r="AA94" s="22">
        <f>Tabla356813[[#This Row],[COMISIONES]]*0.21</f>
        <v>682.82339999999999</v>
      </c>
      <c r="AB94" s="22">
        <v>666.4</v>
      </c>
      <c r="AC94" s="22">
        <v>9397.5300000000007</v>
      </c>
      <c r="AD94" s="22">
        <v>40.94</v>
      </c>
    </row>
    <row r="95" spans="8:30" x14ac:dyDescent="0.3">
      <c r="H95" s="22"/>
      <c r="I95" s="22">
        <f>Tabla3915[[#This Row],[COMISIONES]]*0.21</f>
        <v>0</v>
      </c>
      <c r="J95" s="22"/>
      <c r="K95" s="22"/>
      <c r="L95" s="22"/>
      <c r="N95" s="19"/>
      <c r="O95" s="19"/>
      <c r="P95" s="19"/>
      <c r="Q95" s="19"/>
      <c r="R95" s="19"/>
      <c r="Z95" s="22">
        <v>419.23</v>
      </c>
      <c r="AA95" s="22">
        <f>Tabla356813[[#This Row],[COMISIONES]]*0.21</f>
        <v>88.038300000000007</v>
      </c>
      <c r="AB95" s="22">
        <v>901.65</v>
      </c>
      <c r="AC95" s="22">
        <v>326.60000000000002</v>
      </c>
      <c r="AD95" s="22">
        <v>69.3</v>
      </c>
    </row>
    <row r="96" spans="8:30" x14ac:dyDescent="0.3">
      <c r="H96" s="22"/>
      <c r="I96" s="22">
        <f>Tabla3915[[#This Row],[COMISIONES]]*0.21</f>
        <v>0</v>
      </c>
      <c r="J96" s="22"/>
      <c r="K96" s="22"/>
      <c r="L96" s="22"/>
      <c r="N96" s="19"/>
      <c r="O96" s="19"/>
      <c r="P96" s="19"/>
      <c r="Q96" s="19"/>
      <c r="R96" s="19"/>
      <c r="Z96" s="22">
        <v>1031.58</v>
      </c>
      <c r="AA96" s="22">
        <f>Tabla356813[[#This Row],[COMISIONES]]*0.21</f>
        <v>216.63179999999997</v>
      </c>
      <c r="AB96" s="22"/>
      <c r="AC96" s="22">
        <v>7082.11</v>
      </c>
      <c r="AD96" s="22">
        <v>17.95</v>
      </c>
    </row>
    <row r="97" spans="8:30" x14ac:dyDescent="0.3">
      <c r="H97" s="22"/>
      <c r="I97" s="22">
        <f>Tabla3915[[#This Row],[COMISIONES]]*0.21</f>
        <v>0</v>
      </c>
      <c r="J97" s="22"/>
      <c r="K97" s="22"/>
      <c r="L97" s="22"/>
      <c r="N97" s="19"/>
      <c r="O97" s="19"/>
      <c r="P97" s="19"/>
      <c r="Q97" s="19"/>
      <c r="R97" s="19"/>
      <c r="Z97" s="22">
        <v>1365.12</v>
      </c>
      <c r="AA97" s="22">
        <f>Tabla356813[[#This Row],[COMISIONES]]*0.21</f>
        <v>286.67519999999996</v>
      </c>
      <c r="AB97" s="22"/>
      <c r="AC97" s="22">
        <v>563.63</v>
      </c>
      <c r="AD97">
        <v>42.01</v>
      </c>
    </row>
    <row r="98" spans="8:30" x14ac:dyDescent="0.3">
      <c r="H98" s="21">
        <f>SUBTOTAL(109,Tabla3915[COMISIONES])</f>
        <v>24995</v>
      </c>
      <c r="I98" s="21">
        <f>SUBTOTAL(109,Tabla3915[IVA 21])</f>
        <v>5248.95</v>
      </c>
      <c r="J98" s="21">
        <f>SUBTOTAL(109,Tabla3915[IVA 10,5])</f>
        <v>0</v>
      </c>
      <c r="K98" s="21">
        <f>SUBTOTAL(109,Tabla3915[Ret IIBB Caba])</f>
        <v>0</v>
      </c>
      <c r="L98" s="21">
        <f>SUBTOTAL(109,Tabla3915[PERC IVA])</f>
        <v>749.85</v>
      </c>
      <c r="N98" s="19"/>
      <c r="O98" s="19"/>
      <c r="P98" s="19"/>
      <c r="Q98" s="19"/>
      <c r="R98" s="19"/>
      <c r="Z98" s="22">
        <v>2309.36</v>
      </c>
      <c r="AA98" s="22">
        <f>Tabla356813[[#This Row],[COMISIONES]]*0.21</f>
        <v>484.96559999999999</v>
      </c>
      <c r="AB98" s="22">
        <v>2129.11</v>
      </c>
      <c r="AC98" s="22">
        <v>2731.6</v>
      </c>
      <c r="AD98" s="22">
        <v>180.25</v>
      </c>
    </row>
    <row r="99" spans="8:30" x14ac:dyDescent="0.3">
      <c r="N99" s="19"/>
      <c r="O99" s="19"/>
      <c r="P99" s="19"/>
      <c r="Q99" s="19"/>
      <c r="R99" s="19"/>
      <c r="Z99" s="22">
        <v>598.49</v>
      </c>
      <c r="AA99" s="22">
        <f>Tabla356813[[#This Row],[COMISIONES]]*0.21</f>
        <v>125.6829</v>
      </c>
      <c r="AB99" s="22"/>
      <c r="AC99" s="22">
        <v>5149.22</v>
      </c>
      <c r="AD99" s="22">
        <v>19.37</v>
      </c>
    </row>
    <row r="100" spans="8:30" x14ac:dyDescent="0.3">
      <c r="N100" s="19"/>
      <c r="O100" s="19"/>
      <c r="P100" s="19"/>
      <c r="Q100" s="19"/>
      <c r="R100" s="19"/>
      <c r="Z100" s="22">
        <v>1722.56</v>
      </c>
      <c r="AA100" s="22">
        <f>Tabla356813[[#This Row],[COMISIONES]]*0.21</f>
        <v>361.73759999999999</v>
      </c>
      <c r="AB100" s="22"/>
      <c r="AC100" s="22">
        <v>340.53</v>
      </c>
      <c r="AD100" s="22">
        <v>86.44</v>
      </c>
    </row>
    <row r="101" spans="8:30" x14ac:dyDescent="0.3">
      <c r="N101" s="19"/>
      <c r="O101" s="19"/>
      <c r="P101" s="19"/>
      <c r="Q101" s="19"/>
      <c r="R101" s="19"/>
      <c r="Z101" s="22">
        <v>1400.64</v>
      </c>
      <c r="AA101" s="22">
        <f>Tabla356813[[#This Row],[COMISIONES]]*0.21</f>
        <v>294.13440000000003</v>
      </c>
      <c r="AB101" s="22"/>
      <c r="AC101" s="22">
        <v>7382.71</v>
      </c>
      <c r="AD101" s="22">
        <v>57.07</v>
      </c>
    </row>
    <row r="102" spans="8:30" x14ac:dyDescent="0.3">
      <c r="N102" s="19"/>
      <c r="O102" s="19"/>
      <c r="P102" s="19"/>
      <c r="Q102" s="19"/>
      <c r="R102" s="19"/>
      <c r="Z102" s="22">
        <v>6008.85</v>
      </c>
      <c r="AA102" s="22">
        <f>Tabla356813[[#This Row],[COMISIONES]]*0.21</f>
        <v>1261.8585</v>
      </c>
      <c r="AB102" s="22"/>
      <c r="AC102" s="22">
        <v>1350.85</v>
      </c>
      <c r="AD102" s="22"/>
    </row>
    <row r="103" spans="8:30" x14ac:dyDescent="0.3">
      <c r="N103" s="19"/>
      <c r="O103" s="19"/>
      <c r="P103" s="19"/>
      <c r="Q103" s="19"/>
      <c r="R103" s="19"/>
      <c r="Z103" s="22">
        <v>645.92999999999995</v>
      </c>
      <c r="AA103" s="22">
        <f>Tabla356813[[#This Row],[COMISIONES]]*0.21</f>
        <v>135.64529999999999</v>
      </c>
      <c r="AB103" s="22"/>
      <c r="AC103" s="22">
        <v>169.19</v>
      </c>
      <c r="AD103" s="22"/>
    </row>
    <row r="104" spans="8:30" x14ac:dyDescent="0.3">
      <c r="N104" s="19"/>
      <c r="O104" s="19"/>
      <c r="P104" s="19"/>
      <c r="Q104" s="19"/>
      <c r="R104" s="19"/>
      <c r="Z104" s="22">
        <v>236.7</v>
      </c>
      <c r="AA104" s="22">
        <f>Tabla356813[[#This Row],[COMISIONES]]*0.21</f>
        <v>49.706999999999994</v>
      </c>
      <c r="AB104" s="22"/>
      <c r="AC104" s="22">
        <v>4245.55</v>
      </c>
      <c r="AD104" s="22"/>
    </row>
    <row r="105" spans="8:30" x14ac:dyDescent="0.3">
      <c r="N105" s="19"/>
      <c r="O105" s="19"/>
      <c r="P105" s="19"/>
      <c r="Q105" s="19"/>
      <c r="R105" s="19"/>
      <c r="Z105" s="22">
        <v>2881.62</v>
      </c>
      <c r="AA105" s="22">
        <f>Tabla356813[[#This Row],[COMISIONES]]*0.21</f>
        <v>605.14019999999994</v>
      </c>
      <c r="AB105" s="22"/>
      <c r="AC105" s="22">
        <v>6111.68</v>
      </c>
      <c r="AD105" s="22"/>
    </row>
    <row r="106" spans="8:30" x14ac:dyDescent="0.3">
      <c r="N106" s="19"/>
      <c r="O106" s="19"/>
      <c r="P106" s="19"/>
      <c r="Q106" s="19"/>
      <c r="R106" s="19"/>
      <c r="Z106" s="22">
        <v>1902.33</v>
      </c>
      <c r="AA106" s="22">
        <f>Tabla356813[[#This Row],[COMISIONES]]*0.21</f>
        <v>399.48929999999996</v>
      </c>
      <c r="AB106" s="22"/>
      <c r="AC106" s="22">
        <v>426.6</v>
      </c>
      <c r="AD106" s="22"/>
    </row>
    <row r="107" spans="8:30" x14ac:dyDescent="0.3">
      <c r="N107" s="19"/>
      <c r="O107" s="19"/>
      <c r="P107" s="19"/>
      <c r="Q107" s="19"/>
      <c r="R107" s="19"/>
      <c r="Z107" s="22">
        <v>1062.73</v>
      </c>
      <c r="AA107" s="22">
        <f>Tabla356813[[#This Row],[COMISIONES]]*0.21</f>
        <v>223.17329999999998</v>
      </c>
      <c r="AB107" s="22">
        <v>4926.93</v>
      </c>
      <c r="AC107" s="22">
        <v>10836.8</v>
      </c>
      <c r="AD107" s="22"/>
    </row>
    <row r="108" spans="8:30" x14ac:dyDescent="0.3">
      <c r="N108" s="19"/>
      <c r="O108" s="19"/>
      <c r="P108" s="19"/>
      <c r="Q108" s="19"/>
      <c r="R108" s="19"/>
      <c r="Z108" s="22">
        <v>4318.1499999999996</v>
      </c>
      <c r="AA108" s="22">
        <f>Tabla356813[[#This Row],[COMISIONES]]*0.21</f>
        <v>906.81149999999991</v>
      </c>
      <c r="AB108" s="22">
        <v>2648.12</v>
      </c>
      <c r="AC108" s="22">
        <v>468.97</v>
      </c>
      <c r="AD108" s="22"/>
    </row>
    <row r="109" spans="8:30" x14ac:dyDescent="0.3">
      <c r="N109" s="19"/>
      <c r="O109" s="19"/>
      <c r="P109" s="19"/>
      <c r="Q109" s="19"/>
      <c r="R109" s="19"/>
      <c r="Z109" s="22">
        <v>1151.8599999999999</v>
      </c>
      <c r="AA109" s="22">
        <f>Tabla356813[[#This Row],[COMISIONES]]*0.21</f>
        <v>241.89059999999998</v>
      </c>
      <c r="AB109" s="22">
        <v>671.67</v>
      </c>
      <c r="AC109" s="22">
        <v>7982.53</v>
      </c>
      <c r="AD109" s="22"/>
    </row>
    <row r="110" spans="8:30" x14ac:dyDescent="0.3">
      <c r="N110" s="19"/>
      <c r="O110" s="19"/>
      <c r="P110" s="19"/>
      <c r="Q110" s="19"/>
      <c r="R110" s="19"/>
      <c r="Z110" s="22">
        <v>2262.38</v>
      </c>
      <c r="AA110" s="22">
        <f>Tabla356813[[#This Row],[COMISIONES]]*0.21</f>
        <v>475.09980000000002</v>
      </c>
      <c r="AB110" s="22"/>
      <c r="AC110" s="22">
        <v>843.94</v>
      </c>
      <c r="AD110" s="22"/>
    </row>
    <row r="111" spans="8:30" x14ac:dyDescent="0.3">
      <c r="N111" s="19"/>
      <c r="O111" s="19"/>
      <c r="P111" s="19"/>
      <c r="Q111" s="19"/>
      <c r="R111" s="19"/>
      <c r="Z111" s="22">
        <v>1999.39</v>
      </c>
      <c r="AA111" s="22">
        <f>Tabla356813[[#This Row],[COMISIONES]]*0.21</f>
        <v>419.87189999999998</v>
      </c>
      <c r="AB111" s="22"/>
      <c r="AC111" s="22">
        <v>61.76</v>
      </c>
      <c r="AD111" s="22"/>
    </row>
    <row r="112" spans="8:30" x14ac:dyDescent="0.3">
      <c r="N112" s="19"/>
      <c r="O112" s="19"/>
      <c r="P112" s="19"/>
      <c r="Q112" s="19"/>
      <c r="R112" s="19"/>
      <c r="Z112" s="22">
        <v>802.72</v>
      </c>
      <c r="AA112" s="22">
        <f>Tabla356813[[#This Row],[COMISIONES]]*0.21</f>
        <v>168.5712</v>
      </c>
      <c r="AB112" s="22"/>
      <c r="AC112" s="22">
        <v>2532.5300000000002</v>
      </c>
      <c r="AD112" s="22"/>
    </row>
    <row r="113" spans="14:30" x14ac:dyDescent="0.3">
      <c r="N113" s="19"/>
      <c r="O113" s="19"/>
      <c r="P113" s="19"/>
      <c r="Q113" s="19"/>
      <c r="R113" s="19"/>
      <c r="Z113" s="22">
        <v>1337.96</v>
      </c>
      <c r="AA113" s="22">
        <f>Tabla356813[[#This Row],[COMISIONES]]*0.21</f>
        <v>280.97160000000002</v>
      </c>
      <c r="AB113" s="22"/>
      <c r="AC113" s="22">
        <v>258.25</v>
      </c>
      <c r="AD113" s="22"/>
    </row>
    <row r="114" spans="14:30" x14ac:dyDescent="0.3">
      <c r="N114" s="19"/>
      <c r="O114" s="19"/>
      <c r="P114" s="19"/>
      <c r="Q114" s="19"/>
      <c r="R114" s="19"/>
      <c r="Z114" s="22">
        <v>1068.8800000000001</v>
      </c>
      <c r="AA114" s="22">
        <f>Tabla356813[[#This Row],[COMISIONES]]*0.21</f>
        <v>224.46480000000003</v>
      </c>
      <c r="AB114" s="22"/>
      <c r="AC114" s="22">
        <v>5669.47</v>
      </c>
      <c r="AD114" s="22"/>
    </row>
    <row r="115" spans="14:30" x14ac:dyDescent="0.3">
      <c r="N115" s="19"/>
      <c r="O115" s="19"/>
      <c r="P115" s="19"/>
      <c r="Q115" s="19"/>
      <c r="R115" s="19"/>
      <c r="Z115" s="22">
        <v>1822.5</v>
      </c>
      <c r="AA115" s="22">
        <f>Tabla356813[[#This Row],[COMISIONES]]*0.21</f>
        <v>382.72499999999997</v>
      </c>
      <c r="AB115" s="22"/>
      <c r="AC115" s="22">
        <v>1127.07</v>
      </c>
      <c r="AD115" s="22"/>
    </row>
    <row r="116" spans="14:30" x14ac:dyDescent="0.3">
      <c r="N116" s="19"/>
      <c r="O116" s="19"/>
      <c r="P116" s="19"/>
      <c r="Q116" s="19"/>
      <c r="R116" s="19"/>
      <c r="Z116" s="22">
        <v>3068.99</v>
      </c>
      <c r="AA116" s="22">
        <f>Tabla356813[[#This Row],[COMISIONES]]*0.21</f>
        <v>644.48789999999997</v>
      </c>
      <c r="AB116" s="22"/>
      <c r="AC116" s="22">
        <v>4228.87</v>
      </c>
      <c r="AD116" s="22"/>
    </row>
    <row r="117" spans="14:30" x14ac:dyDescent="0.3">
      <c r="N117" s="19"/>
      <c r="O117" s="19"/>
      <c r="P117" s="19"/>
      <c r="Q117" s="19"/>
      <c r="R117" s="19"/>
      <c r="Z117" s="22">
        <v>510.74</v>
      </c>
      <c r="AA117" s="22">
        <f>Tabla356813[[#This Row],[COMISIONES]]*0.21</f>
        <v>107.25539999999999</v>
      </c>
      <c r="AB117" s="22"/>
      <c r="AC117" s="22">
        <v>2669.16</v>
      </c>
      <c r="AD117" s="22"/>
    </row>
    <row r="118" spans="14:30" x14ac:dyDescent="0.3">
      <c r="N118" s="19"/>
      <c r="O118" s="19"/>
      <c r="P118" s="19"/>
      <c r="Q118" s="19"/>
      <c r="R118" s="19"/>
      <c r="Z118" s="22">
        <v>898.37</v>
      </c>
      <c r="AA118" s="22">
        <f>Tabla356813[[#This Row],[COMISIONES]]*0.21</f>
        <v>188.65770000000001</v>
      </c>
      <c r="AB118" s="22"/>
      <c r="AC118" s="22">
        <v>256.47000000000003</v>
      </c>
      <c r="AD118" s="22">
        <v>129.55000000000001</v>
      </c>
    </row>
    <row r="119" spans="14:30" x14ac:dyDescent="0.3">
      <c r="N119" s="19"/>
      <c r="O119" s="19"/>
      <c r="P119" s="19"/>
      <c r="Q119" s="19"/>
      <c r="R119" s="19"/>
      <c r="Z119" s="22">
        <v>755.2</v>
      </c>
      <c r="AA119" s="22">
        <f>Tabla356813[[#This Row],[COMISIONES]]*0.21</f>
        <v>158.59200000000001</v>
      </c>
      <c r="AB119" s="22"/>
      <c r="AC119" s="22">
        <v>14751.73</v>
      </c>
      <c r="AD119" s="22">
        <v>67.87</v>
      </c>
    </row>
    <row r="120" spans="14:30" x14ac:dyDescent="0.3">
      <c r="N120" s="19"/>
      <c r="O120" s="19"/>
      <c r="P120" s="19"/>
      <c r="Q120" s="19"/>
      <c r="R120" s="19"/>
      <c r="Z120" s="22">
        <v>1744.62</v>
      </c>
      <c r="AA120" s="22">
        <f>Tabla356813[[#This Row],[COMISIONES]]*0.21</f>
        <v>366.37019999999995</v>
      </c>
      <c r="AB120" s="22"/>
      <c r="AC120" s="22">
        <v>1199.3599999999999</v>
      </c>
      <c r="AD120" s="22">
        <v>24.07</v>
      </c>
    </row>
    <row r="121" spans="14:30" x14ac:dyDescent="0.3">
      <c r="N121" s="19"/>
      <c r="O121" s="19"/>
      <c r="P121" s="19"/>
      <c r="Q121" s="19"/>
      <c r="R121" s="19"/>
      <c r="Z121" s="22">
        <v>2121.2600000000002</v>
      </c>
      <c r="AA121" s="22">
        <f>Tabla356813[[#This Row],[COMISIONES]]*0.21</f>
        <v>445.46460000000002</v>
      </c>
      <c r="AB121" s="22"/>
      <c r="AC121" s="22">
        <v>128.80000000000001</v>
      </c>
      <c r="AD121" s="22">
        <v>92.1</v>
      </c>
    </row>
    <row r="122" spans="14:30" x14ac:dyDescent="0.3">
      <c r="N122" s="19"/>
      <c r="O122" s="19"/>
      <c r="P122" s="19"/>
      <c r="Q122" s="19"/>
      <c r="R122" s="19"/>
      <c r="Z122" s="22">
        <v>1180.8800000000001</v>
      </c>
      <c r="AA122" s="22">
        <f>Tabla356813[[#This Row],[COMISIONES]]*0.21</f>
        <v>247.98480000000001</v>
      </c>
      <c r="AB122" s="22"/>
      <c r="AC122" s="22">
        <v>581.1</v>
      </c>
      <c r="AD122" s="22">
        <v>63.64</v>
      </c>
    </row>
    <row r="123" spans="14:30" x14ac:dyDescent="0.3">
      <c r="N123" s="19"/>
      <c r="O123" s="19"/>
      <c r="P123" s="19"/>
      <c r="Q123" s="19"/>
      <c r="R123" s="19"/>
      <c r="Z123" s="22">
        <v>691.94</v>
      </c>
      <c r="AA123" s="22">
        <f>Tabla356813[[#This Row],[COMISIONES]]*0.21</f>
        <v>145.3074</v>
      </c>
      <c r="AB123" s="22"/>
      <c r="AC123" s="22">
        <v>7074.38</v>
      </c>
      <c r="AD123" s="22"/>
    </row>
    <row r="124" spans="14:30" x14ac:dyDescent="0.3">
      <c r="N124" s="19"/>
      <c r="O124" s="19"/>
      <c r="P124" s="19"/>
      <c r="Q124" s="19"/>
      <c r="R124" s="19"/>
      <c r="Z124" s="22">
        <v>380.64</v>
      </c>
      <c r="AA124" s="22">
        <f>Tabla356813[[#This Row],[COMISIONES]]*0.21</f>
        <v>79.934399999999997</v>
      </c>
      <c r="AB124" s="22"/>
      <c r="AC124" s="22">
        <v>3757.75</v>
      </c>
      <c r="AD124" s="22"/>
    </row>
    <row r="125" spans="14:30" x14ac:dyDescent="0.3">
      <c r="N125" s="19"/>
      <c r="O125" s="19"/>
      <c r="P125" s="19"/>
      <c r="Q125" s="19"/>
      <c r="R125" s="19"/>
      <c r="Z125" s="22">
        <v>165.84</v>
      </c>
      <c r="AA125" s="22">
        <f>Tabla356813[[#This Row],[COMISIONES]]*0.21</f>
        <v>34.8264</v>
      </c>
      <c r="AB125" s="22"/>
      <c r="AC125" s="22">
        <v>2608.98</v>
      </c>
      <c r="AD125" s="22"/>
    </row>
    <row r="126" spans="14:30" x14ac:dyDescent="0.3">
      <c r="N126" s="19"/>
      <c r="O126" s="19"/>
      <c r="P126" s="19"/>
      <c r="Q126" s="19"/>
      <c r="R126" s="19"/>
      <c r="Z126" s="22">
        <v>993.48</v>
      </c>
      <c r="AA126" s="22">
        <f>Tabla356813[[#This Row],[COMISIONES]]*0.21</f>
        <v>208.63079999999999</v>
      </c>
      <c r="AB126" s="22"/>
      <c r="AC126" s="22">
        <v>8348.17</v>
      </c>
      <c r="AD126" s="22"/>
    </row>
    <row r="127" spans="14:30" x14ac:dyDescent="0.3">
      <c r="N127" s="19"/>
      <c r="O127" s="19"/>
      <c r="P127" s="19"/>
      <c r="Q127" s="19"/>
      <c r="R127" s="19"/>
      <c r="Z127" s="22">
        <v>2253.2399999999998</v>
      </c>
      <c r="AA127" s="22">
        <f>Tabla356813[[#This Row],[COMISIONES]]*0.21</f>
        <v>473.18039999999996</v>
      </c>
      <c r="AB127" s="22"/>
      <c r="AC127" s="22">
        <v>750.96</v>
      </c>
      <c r="AD127" s="22"/>
    </row>
    <row r="128" spans="14:30" x14ac:dyDescent="0.3">
      <c r="N128" s="19"/>
      <c r="O128" s="19"/>
      <c r="P128" s="19"/>
      <c r="Q128" s="19"/>
      <c r="R128" s="19"/>
      <c r="Z128" s="22">
        <v>1235.6400000000001</v>
      </c>
      <c r="AA128" s="22">
        <f>Tabla356813[[#This Row],[COMISIONES]]*0.21</f>
        <v>259.48439999999999</v>
      </c>
      <c r="AB128" s="22"/>
      <c r="AC128" s="22">
        <v>2827.81</v>
      </c>
      <c r="AD128" s="22"/>
    </row>
    <row r="129" spans="14:30" x14ac:dyDescent="0.3">
      <c r="N129" s="19"/>
      <c r="O129" s="19"/>
      <c r="P129" s="19"/>
      <c r="Q129" s="19"/>
      <c r="R129" s="19"/>
      <c r="Z129" s="22">
        <v>936.78</v>
      </c>
      <c r="AA129" s="22">
        <f>Tabla356813[[#This Row],[COMISIONES]]*0.21</f>
        <v>196.72379999999998</v>
      </c>
      <c r="AB129" s="22"/>
      <c r="AC129" s="22">
        <v>4370.6000000000004</v>
      </c>
      <c r="AD129" s="22"/>
    </row>
    <row r="130" spans="14:30" x14ac:dyDescent="0.3">
      <c r="N130" s="19"/>
      <c r="O130" s="19">
        <f>Tabla3510[[#This Row],[COMISIONES]]*0.21</f>
        <v>0</v>
      </c>
      <c r="P130" s="19"/>
      <c r="Q130" s="19"/>
      <c r="R130" s="19"/>
      <c r="Z130" s="22">
        <v>1896.22</v>
      </c>
      <c r="AA130" s="22">
        <f>Tabla356813[[#This Row],[COMISIONES]]*0.21</f>
        <v>398.20619999999997</v>
      </c>
      <c r="AB130" s="22"/>
      <c r="AC130" s="22">
        <v>394.52</v>
      </c>
      <c r="AD130" s="22"/>
    </row>
    <row r="131" spans="14:30" x14ac:dyDescent="0.3">
      <c r="N131" s="18">
        <f>SUBTOTAL(109,Tabla3510[COMISIONES])</f>
        <v>0</v>
      </c>
      <c r="O131" s="18">
        <f>SUBTOTAL(109,Tabla3510[IVA 21])</f>
        <v>0</v>
      </c>
      <c r="P131" s="18">
        <f>SUBTOTAL(109,Tabla3510[IVA 10,5])</f>
        <v>0</v>
      </c>
      <c r="Q131" s="18">
        <f>SUBTOTAL(109,Tabla3510[Ret IIBB Caba])</f>
        <v>0</v>
      </c>
      <c r="R131" s="18">
        <f>SUBTOTAL(109,Tabla3510[PERC IVA])</f>
        <v>0</v>
      </c>
      <c r="Z131" s="22"/>
      <c r="AA131" s="22">
        <f>Tabla356813[[#This Row],[COMISIONES]]*0.21</f>
        <v>0</v>
      </c>
      <c r="AB131" s="22"/>
      <c r="AC131" s="22">
        <v>4908.49</v>
      </c>
      <c r="AD131" s="22"/>
    </row>
    <row r="132" spans="14:30" x14ac:dyDescent="0.3">
      <c r="Z132" s="22"/>
      <c r="AA132" s="22">
        <f>Tabla356813[[#This Row],[COMISIONES]]*0.21</f>
        <v>0</v>
      </c>
      <c r="AB132" s="22"/>
      <c r="AC132" s="22">
        <v>1514.97</v>
      </c>
      <c r="AD132" s="22"/>
    </row>
    <row r="133" spans="14:30" x14ac:dyDescent="0.3">
      <c r="Z133" s="22"/>
      <c r="AA133" s="22">
        <f>Tabla356813[[#This Row],[COMISIONES]]*0.21</f>
        <v>0</v>
      </c>
      <c r="AB133" s="22"/>
      <c r="AC133" s="22">
        <v>151.9</v>
      </c>
      <c r="AD133" s="22"/>
    </row>
    <row r="134" spans="14:30" x14ac:dyDescent="0.3">
      <c r="Z134" s="22"/>
      <c r="AA134" s="22">
        <f>Tabla356813[[#This Row],[COMISIONES]]*0.21</f>
        <v>0</v>
      </c>
      <c r="AB134" s="22"/>
      <c r="AC134" s="22">
        <v>7465.82</v>
      </c>
      <c r="AD134" s="22"/>
    </row>
    <row r="135" spans="14:30" x14ac:dyDescent="0.3">
      <c r="Z135" s="22"/>
      <c r="AA135" s="22">
        <f>Tabla356813[[#This Row],[COMISIONES]]*0.21</f>
        <v>0</v>
      </c>
      <c r="AB135" s="22"/>
      <c r="AC135" s="22">
        <v>5964.35</v>
      </c>
      <c r="AD135" s="22"/>
    </row>
    <row r="136" spans="14:30" x14ac:dyDescent="0.3">
      <c r="Z136" s="22"/>
      <c r="AA136" s="22">
        <f>Tabla356813[[#This Row],[COMISIONES]]*0.21</f>
        <v>0</v>
      </c>
      <c r="AB136" s="22"/>
      <c r="AC136" s="22">
        <v>10169.549999999999</v>
      </c>
      <c r="AD136" s="22"/>
    </row>
    <row r="137" spans="14:30" x14ac:dyDescent="0.3">
      <c r="Z137" s="22"/>
      <c r="AA137" s="22">
        <f>Tabla356813[[#This Row],[COMISIONES]]*0.21</f>
        <v>0</v>
      </c>
      <c r="AB137" s="22"/>
      <c r="AC137" s="1">
        <v>17124.98</v>
      </c>
      <c r="AD137" s="22"/>
    </row>
    <row r="138" spans="14:30" x14ac:dyDescent="0.3">
      <c r="Z138" s="22"/>
      <c r="AA138" s="22">
        <f>Tabla356813[[#This Row],[COMISIONES]]*0.21</f>
        <v>0</v>
      </c>
      <c r="AB138" s="22"/>
      <c r="AC138" s="22">
        <v>2849.95</v>
      </c>
      <c r="AD138" s="22"/>
    </row>
    <row r="139" spans="14:30" x14ac:dyDescent="0.3">
      <c r="Z139" s="22"/>
      <c r="AA139" s="22">
        <f>Tabla356813[[#This Row],[COMISIONES]]*0.21</f>
        <v>0</v>
      </c>
      <c r="AB139" s="22"/>
      <c r="AC139" s="22">
        <v>5012.8900000000003</v>
      </c>
      <c r="AD139" s="22"/>
    </row>
    <row r="140" spans="14:30" x14ac:dyDescent="0.3">
      <c r="Z140" s="22"/>
      <c r="AA140" s="22">
        <f>Tabla356813[[#This Row],[COMISIONES]]*0.21</f>
        <v>0</v>
      </c>
      <c r="AB140" s="22"/>
      <c r="AC140" s="22">
        <v>4214.0200000000004</v>
      </c>
      <c r="AD140" s="22"/>
    </row>
    <row r="141" spans="14:30" x14ac:dyDescent="0.3">
      <c r="Z141" s="22"/>
      <c r="AA141" s="22">
        <f>Tabla356813[[#This Row],[COMISIONES]]*0.21</f>
        <v>0</v>
      </c>
      <c r="AB141" s="22"/>
      <c r="AC141" s="22">
        <v>9734.98</v>
      </c>
      <c r="AD141" s="22"/>
    </row>
    <row r="142" spans="14:30" x14ac:dyDescent="0.3">
      <c r="Z142" s="22"/>
      <c r="AA142" s="22">
        <f>Tabla356813[[#This Row],[COMISIONES]]*0.21</f>
        <v>0</v>
      </c>
      <c r="AB142" s="22"/>
      <c r="AC142" s="22">
        <v>11836.63</v>
      </c>
      <c r="AD142" s="22"/>
    </row>
    <row r="143" spans="14:30" x14ac:dyDescent="0.3">
      <c r="Z143" s="22"/>
      <c r="AA143" s="22">
        <f>Tabla356813[[#This Row],[COMISIONES]]*0.21</f>
        <v>0</v>
      </c>
      <c r="AB143" s="22"/>
      <c r="AC143" s="22">
        <v>6589.31</v>
      </c>
      <c r="AD143" s="22"/>
    </row>
    <row r="144" spans="14:30" x14ac:dyDescent="0.3">
      <c r="Z144" s="22"/>
      <c r="AA144" s="22">
        <f>Tabla356813[[#This Row],[COMISIONES]]*0.21</f>
        <v>0</v>
      </c>
      <c r="AB144" s="22"/>
      <c r="AC144" s="22">
        <v>3861</v>
      </c>
      <c r="AD144" s="22"/>
    </row>
    <row r="145" spans="26:30" x14ac:dyDescent="0.3">
      <c r="Z145" s="22"/>
      <c r="AA145" s="22">
        <f>Tabla356813[[#This Row],[COMISIONES]]*0.21</f>
        <v>0</v>
      </c>
      <c r="AB145" s="22"/>
      <c r="AC145" s="22">
        <v>2123.9699999999998</v>
      </c>
      <c r="AD145" s="22"/>
    </row>
    <row r="146" spans="26:30" x14ac:dyDescent="0.3">
      <c r="Z146" s="22"/>
      <c r="AA146" s="22">
        <f>Tabla356813[[#This Row],[COMISIONES]]*0.21</f>
        <v>0</v>
      </c>
      <c r="AB146" s="22"/>
      <c r="AC146" s="22">
        <v>925.39</v>
      </c>
      <c r="AD146" s="22"/>
    </row>
    <row r="147" spans="26:30" x14ac:dyDescent="0.3">
      <c r="Z147" s="22"/>
      <c r="AA147" s="22">
        <f>Tabla356813[[#This Row],[COMISIONES]]*0.21</f>
        <v>0</v>
      </c>
      <c r="AB147" s="22"/>
      <c r="AC147" s="22">
        <v>6869.43</v>
      </c>
      <c r="AD147" s="22"/>
    </row>
    <row r="148" spans="26:30" x14ac:dyDescent="0.3">
      <c r="Z148" s="22"/>
      <c r="AA148" s="22">
        <f>Tabla356813[[#This Row],[COMISIONES]]*0.21</f>
        <v>0</v>
      </c>
      <c r="AB148" s="22"/>
      <c r="AC148" s="22">
        <v>5705.53</v>
      </c>
      <c r="AD148" s="22"/>
    </row>
    <row r="149" spans="26:30" x14ac:dyDescent="0.3">
      <c r="Z149" s="22"/>
      <c r="AA149" s="22">
        <f>Tabla356813[[#This Row],[COMISIONES]]*0.21</f>
        <v>0</v>
      </c>
      <c r="AB149" s="22"/>
      <c r="AC149" s="22">
        <v>5543.62</v>
      </c>
      <c r="AD149" s="22"/>
    </row>
    <row r="150" spans="26:30" x14ac:dyDescent="0.3">
      <c r="Z150" s="22"/>
      <c r="AA150" s="22">
        <f>Tabla356813[[#This Row],[COMISIONES]]*0.21</f>
        <v>0</v>
      </c>
      <c r="AB150" s="22"/>
      <c r="AC150" s="22">
        <v>12573.04</v>
      </c>
      <c r="AD150" s="22"/>
    </row>
    <row r="151" spans="26:30" x14ac:dyDescent="0.3">
      <c r="Z151" s="22"/>
      <c r="AA151" s="22">
        <f>Tabla356813[[#This Row],[COMISIONES]]*0.21</f>
        <v>0</v>
      </c>
      <c r="AB151" s="22"/>
      <c r="AC151" s="22">
        <v>6894.87</v>
      </c>
      <c r="AD151" s="22"/>
    </row>
    <row r="152" spans="26:30" x14ac:dyDescent="0.3">
      <c r="Z152" s="22"/>
      <c r="AA152" s="22">
        <f>Tabla356813[[#This Row],[COMISIONES]]*0.21</f>
        <v>0</v>
      </c>
      <c r="AB152" s="22"/>
      <c r="AC152" s="22">
        <v>5227.21</v>
      </c>
      <c r="AD152" s="22"/>
    </row>
    <row r="153" spans="26:30" x14ac:dyDescent="0.3">
      <c r="Z153" s="22"/>
      <c r="AA153" s="22">
        <f>Tabla356813[[#This Row],[COMISIONES]]*0.21</f>
        <v>0</v>
      </c>
      <c r="AB153" s="22"/>
      <c r="AC153" s="22">
        <v>10580.91</v>
      </c>
      <c r="AD153" s="22"/>
    </row>
    <row r="154" spans="26:30" x14ac:dyDescent="0.3">
      <c r="Z154" s="22"/>
      <c r="AA154" s="22">
        <f>Tabla356813[[#This Row],[COMISIONES]]*0.21</f>
        <v>0</v>
      </c>
      <c r="AB154" s="22"/>
      <c r="AC154" s="22"/>
      <c r="AD154" s="22"/>
    </row>
    <row r="155" spans="26:30" x14ac:dyDescent="0.3">
      <c r="Z155" s="22"/>
      <c r="AA155" s="22">
        <f>Tabla356813[[#This Row],[COMISIONES]]*0.21</f>
        <v>0</v>
      </c>
      <c r="AB155" s="22"/>
      <c r="AC155" s="22"/>
      <c r="AD155" s="22"/>
    </row>
    <row r="156" spans="26:30" x14ac:dyDescent="0.3">
      <c r="Z156" s="22"/>
      <c r="AA156" s="22">
        <f>Tabla356813[[#This Row],[COMISIONES]]*0.21</f>
        <v>0</v>
      </c>
      <c r="AB156" s="22"/>
      <c r="AC156" s="22"/>
      <c r="AD156" s="22"/>
    </row>
    <row r="157" spans="26:30" x14ac:dyDescent="0.3">
      <c r="Z157" s="22"/>
      <c r="AA157" s="22">
        <f>Tabla356813[[#This Row],[COMISIONES]]*0.21</f>
        <v>0</v>
      </c>
      <c r="AB157" s="22"/>
      <c r="AC157" s="22"/>
      <c r="AD157" s="22"/>
    </row>
    <row r="158" spans="26:30" x14ac:dyDescent="0.3">
      <c r="Z158" s="22"/>
      <c r="AA158" s="22">
        <f>Tabla356813[[#This Row],[COMISIONES]]*0.21</f>
        <v>0</v>
      </c>
      <c r="AB158" s="22"/>
      <c r="AC158" s="22"/>
      <c r="AD158" s="22"/>
    </row>
    <row r="159" spans="26:30" x14ac:dyDescent="0.3">
      <c r="Z159" s="22"/>
      <c r="AA159" s="22">
        <f>Tabla356813[[#This Row],[COMISIONES]]*0.21</f>
        <v>0</v>
      </c>
      <c r="AB159" s="22"/>
      <c r="AC159" s="22"/>
      <c r="AD159" s="22"/>
    </row>
    <row r="160" spans="26:30" x14ac:dyDescent="0.3">
      <c r="Z160" s="22"/>
      <c r="AA160" s="22">
        <f>Tabla356813[[#This Row],[COMISIONES]]*0.21</f>
        <v>0</v>
      </c>
      <c r="AB160" s="22"/>
      <c r="AC160" s="22"/>
      <c r="AD160" s="22"/>
    </row>
    <row r="161" spans="26:30" x14ac:dyDescent="0.3">
      <c r="Z161" s="22"/>
      <c r="AA161" s="22">
        <f>Tabla356813[[#This Row],[COMISIONES]]*0.21</f>
        <v>0</v>
      </c>
      <c r="AB161" s="22"/>
      <c r="AC161" s="22"/>
      <c r="AD161" s="22"/>
    </row>
    <row r="162" spans="26:30" x14ac:dyDescent="0.3">
      <c r="Z162" s="22"/>
      <c r="AA162" s="22">
        <f>Tabla356813[[#This Row],[COMISIONES]]*0.21</f>
        <v>0</v>
      </c>
      <c r="AB162" s="22"/>
      <c r="AC162" s="22"/>
      <c r="AD162" s="22"/>
    </row>
    <row r="163" spans="26:30" x14ac:dyDescent="0.3">
      <c r="Z163" s="22"/>
      <c r="AA163" s="22">
        <f>Tabla356813[[#This Row],[COMISIONES]]*0.21</f>
        <v>0</v>
      </c>
      <c r="AB163" s="22"/>
      <c r="AC163" s="22"/>
      <c r="AD163" s="22"/>
    </row>
    <row r="164" spans="26:30" x14ac:dyDescent="0.3">
      <c r="Z164" s="22"/>
      <c r="AA164" s="22">
        <f>Tabla356813[[#This Row],[COMISIONES]]*0.21</f>
        <v>0</v>
      </c>
      <c r="AB164" s="22"/>
      <c r="AC164" s="22"/>
      <c r="AD164" s="22"/>
    </row>
    <row r="165" spans="26:30" x14ac:dyDescent="0.3">
      <c r="Z165" s="22"/>
      <c r="AA165" s="22">
        <f>Tabla356813[[#This Row],[COMISIONES]]*0.21</f>
        <v>0</v>
      </c>
      <c r="AB165" s="22"/>
      <c r="AC165" s="22"/>
      <c r="AD165" s="22"/>
    </row>
    <row r="166" spans="26:30" x14ac:dyDescent="0.3">
      <c r="Z166" s="22"/>
      <c r="AA166" s="22">
        <f>Tabla356813[[#This Row],[COMISIONES]]*0.21</f>
        <v>0</v>
      </c>
      <c r="AB166" s="22"/>
      <c r="AC166" s="22"/>
      <c r="AD166" s="22"/>
    </row>
    <row r="167" spans="26:30" x14ac:dyDescent="0.3">
      <c r="Z167" s="21">
        <f>SUBTOTAL(109,Tabla356813[COMISIONES])</f>
        <v>130770.14</v>
      </c>
      <c r="AA167" s="21">
        <f>SUBTOTAL(109,Tabla356813[IVA 21])</f>
        <v>27461.729399999993</v>
      </c>
      <c r="AB167" s="21">
        <f>SUBTOTAL(109,Tabla356813[IVA 10,5])</f>
        <v>43168.82</v>
      </c>
      <c r="AC167" s="21">
        <f>SUBTOTAL(109,Tabla356813[Ret IIBB Caba])</f>
        <v>383492.2</v>
      </c>
      <c r="AD167" s="21">
        <f>SUBTOTAL(109,Tabla356813[PERC IVA])</f>
        <v>2478.52</v>
      </c>
    </row>
  </sheetData>
  <mergeCells count="16">
    <mergeCell ref="B10:F10"/>
    <mergeCell ref="H10:L10"/>
    <mergeCell ref="N10:R10"/>
    <mergeCell ref="T10:X10"/>
    <mergeCell ref="G6:H6"/>
    <mergeCell ref="AE10:AI10"/>
    <mergeCell ref="H50:L50"/>
    <mergeCell ref="G2:H2"/>
    <mergeCell ref="J2:K2"/>
    <mergeCell ref="G3:H3"/>
    <mergeCell ref="G4:H4"/>
    <mergeCell ref="G5:H5"/>
    <mergeCell ref="Z10:AD10"/>
    <mergeCell ref="T28:X28"/>
    <mergeCell ref="G7:H7"/>
    <mergeCell ref="G8:H8"/>
  </mergeCells>
  <pageMargins left="0.7" right="0.7" top="0.75" bottom="0.75" header="0.3" footer="0.3"/>
  <pageSetup paperSize="9" orientation="portrait" horizontalDpi="300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65"/>
  <sheetViews>
    <sheetView showGridLines="0" zoomScale="70" zoomScaleNormal="70" workbookViewId="0">
      <selection activeCell="AL13" sqref="AL13"/>
    </sheetView>
  </sheetViews>
  <sheetFormatPr baseColWidth="10" defaultRowHeight="14.4" x14ac:dyDescent="0.3"/>
  <cols>
    <col min="1" max="1" width="4.5546875" customWidth="1"/>
    <col min="2" max="2" width="18.5546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35" ht="6" customHeight="1" x14ac:dyDescent="0.3">
      <c r="G1"/>
      <c r="M1"/>
    </row>
    <row r="2" spans="1:35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45108</v>
      </c>
      <c r="K2" s="35"/>
      <c r="M2"/>
    </row>
    <row r="3" spans="1:35" x14ac:dyDescent="0.3">
      <c r="A3" s="17" t="s">
        <v>6</v>
      </c>
      <c r="B3" s="17"/>
      <c r="C3" s="14">
        <f>Tabla1316[[#Totals],[COMISIONES]]</f>
        <v>7900.04</v>
      </c>
      <c r="D3" s="14">
        <f>Tabla1316[[#Totals],[IVA 21]]</f>
        <v>1659.0083999999999</v>
      </c>
      <c r="E3" s="14">
        <f>Tabla1316[[#Totals],[IVA 10,5]]</f>
        <v>0</v>
      </c>
      <c r="F3" s="14">
        <f>Tabla1316[[#Totals],[Ret IIBB Caba]]</f>
        <v>7049.2699999999995</v>
      </c>
      <c r="G3" s="33">
        <f>Tabla1316[[#Totals],[PERC IVA]]</f>
        <v>67.98</v>
      </c>
      <c r="H3" s="34"/>
      <c r="J3" s="2"/>
      <c r="K3" s="3"/>
      <c r="M3"/>
      <c r="N3" t="s">
        <v>12</v>
      </c>
    </row>
    <row r="4" spans="1:35" x14ac:dyDescent="0.3">
      <c r="A4" s="17" t="s">
        <v>7</v>
      </c>
      <c r="B4" s="17"/>
      <c r="C4" s="14">
        <f>Tabla3917[[#Totals],[COMISIONES]]</f>
        <v>1187.2099999999998</v>
      </c>
      <c r="D4" s="14">
        <f>Tabla3917[[#Totals],[IVA 21]]</f>
        <v>249.31409999999997</v>
      </c>
      <c r="E4" s="14">
        <f>Tabla3917[[#Totals],[IVA 10,5]]</f>
        <v>0</v>
      </c>
      <c r="F4" s="14">
        <f>Tabla3917[[#Totals],[Ret IIBB Caba]]</f>
        <v>4848.92</v>
      </c>
      <c r="G4" s="33">
        <f>Tabla3917[[#Totals],[PERC IVA]]</f>
        <v>0</v>
      </c>
      <c r="H4" s="34"/>
      <c r="J4" s="2"/>
      <c r="K4" s="3"/>
      <c r="M4"/>
    </row>
    <row r="5" spans="1:35" x14ac:dyDescent="0.3">
      <c r="A5" s="17" t="s">
        <v>8</v>
      </c>
      <c r="B5" s="17"/>
      <c r="C5" s="14">
        <f>Tabla351018[[#Totals],[COMISIONES]]</f>
        <v>17918.169999999998</v>
      </c>
      <c r="D5" s="14">
        <f>Tabla351018[[#Totals],[IVA 21]]</f>
        <v>3762.8156999999997</v>
      </c>
      <c r="E5" s="14">
        <f>Tabla351018[[#Totals],[IVA 10,5]]</f>
        <v>0</v>
      </c>
      <c r="F5" s="14">
        <f>Tabla351018[[#Totals],[Ret IIBB Caba]]</f>
        <v>846</v>
      </c>
      <c r="G5" s="33">
        <f>Tabla351018[[#Totals],[PERC IVA]]</f>
        <v>495.04</v>
      </c>
      <c r="H5" s="34"/>
      <c r="M5"/>
    </row>
    <row r="6" spans="1:35" x14ac:dyDescent="0.3">
      <c r="A6" s="17" t="s">
        <v>9</v>
      </c>
      <c r="B6" s="17"/>
      <c r="C6" s="14">
        <f>Tabla3561119[[#Totals],[COMISIONES]]</f>
        <v>9003.85</v>
      </c>
      <c r="D6" s="14">
        <f>Tabla3561119[[#Totals],[IVA 21]]</f>
        <v>1890.8085000000001</v>
      </c>
      <c r="E6" s="14">
        <f>Tabla3561119[[#Totals],[IVA 10,5]]</f>
        <v>0</v>
      </c>
      <c r="F6" s="14">
        <f>Tabla3561119[[#Totals],[Ret IIBB Caba]]</f>
        <v>525</v>
      </c>
      <c r="G6" s="33">
        <f>Tabla3561119[[#Totals],[PERC IVA]]</f>
        <v>262.5</v>
      </c>
      <c r="H6" s="34"/>
      <c r="M6"/>
    </row>
    <row r="7" spans="1:35" x14ac:dyDescent="0.3">
      <c r="A7" s="17" t="s">
        <v>10</v>
      </c>
      <c r="B7" s="17"/>
      <c r="C7" s="14">
        <f>Tabla35681321[[#Totals],[COMISIONES]]</f>
        <v>1209.5</v>
      </c>
      <c r="D7" s="14">
        <f>Tabla35681321[[#Totals],[IVA 21]]</f>
        <v>253.995</v>
      </c>
      <c r="E7" s="14">
        <f>Tabla35681321[[#Totals],[IVA 10,5]]</f>
        <v>0</v>
      </c>
      <c r="F7" s="14">
        <f>Tabla35681321[[#Totals],[Ret IIBB Caba]]</f>
        <v>6749.04</v>
      </c>
      <c r="G7" s="33">
        <f>Tabla35681321[[#Totals],[PERC IVA]]</f>
        <v>0</v>
      </c>
      <c r="H7" s="34"/>
      <c r="M7"/>
    </row>
    <row r="8" spans="1:35" x14ac:dyDescent="0.3">
      <c r="A8" s="17" t="s">
        <v>11</v>
      </c>
      <c r="B8" s="17"/>
      <c r="C8" s="14">
        <f>Tabla61220[[#Totals],[COMISIONES]]</f>
        <v>800</v>
      </c>
      <c r="D8" s="14">
        <f>Tabla61220[[#Totals],[IVA 21]]</f>
        <v>168</v>
      </c>
      <c r="E8" s="14">
        <f>Tabla61220[[#Totals],[IVA 10,5]]</f>
        <v>0</v>
      </c>
      <c r="F8" s="14">
        <f>Tabla61220[[#Totals],[Ret IIBB Caba]]</f>
        <v>1148.97</v>
      </c>
      <c r="G8" s="33">
        <f>Tabla61220[[#Totals],[PERC IVA]]</f>
        <v>0</v>
      </c>
      <c r="H8" s="34"/>
      <c r="M8"/>
    </row>
    <row r="9" spans="1:35" ht="6" customHeight="1" x14ac:dyDescent="0.3">
      <c r="G9"/>
      <c r="M9"/>
    </row>
    <row r="10" spans="1:35" ht="16.5" customHeight="1" x14ac:dyDescent="0.35">
      <c r="B10" s="30" t="s">
        <v>22</v>
      </c>
      <c r="C10" s="30"/>
      <c r="D10" s="30"/>
      <c r="E10" s="30"/>
      <c r="F10" s="30"/>
      <c r="H10" s="30" t="s">
        <v>23</v>
      </c>
      <c r="I10" s="30"/>
      <c r="J10" s="30"/>
      <c r="K10" s="30"/>
      <c r="L10" s="30"/>
      <c r="N10" s="30" t="s">
        <v>24</v>
      </c>
      <c r="O10" s="30"/>
      <c r="P10" s="30"/>
      <c r="Q10" s="30"/>
      <c r="R10" s="30"/>
      <c r="T10" s="30" t="s">
        <v>25</v>
      </c>
      <c r="U10" s="30"/>
      <c r="V10" s="30"/>
      <c r="W10" s="30"/>
      <c r="X10" s="30"/>
      <c r="Y10" s="6"/>
      <c r="Z10" s="30" t="s">
        <v>26</v>
      </c>
      <c r="AA10" s="30"/>
      <c r="AB10" s="30"/>
      <c r="AC10" s="30"/>
      <c r="AD10" s="30"/>
      <c r="AE10" s="30" t="s">
        <v>27</v>
      </c>
      <c r="AF10" s="30"/>
      <c r="AG10" s="30"/>
      <c r="AH10" s="30"/>
      <c r="AI10" s="30"/>
    </row>
    <row r="11" spans="1:35" s="5" customFormat="1" x14ac:dyDescent="0.3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7"/>
      <c r="H11" s="12" t="s">
        <v>2</v>
      </c>
      <c r="I11" s="13" t="s">
        <v>0</v>
      </c>
      <c r="J11" s="13" t="s">
        <v>1</v>
      </c>
      <c r="K11" s="13" t="s">
        <v>3</v>
      </c>
      <c r="L11" s="13" t="s">
        <v>4</v>
      </c>
      <c r="M11" s="7"/>
      <c r="N11" s="12" t="s">
        <v>2</v>
      </c>
      <c r="O11" s="13" t="s">
        <v>0</v>
      </c>
      <c r="P11" s="13" t="s">
        <v>1</v>
      </c>
      <c r="Q11" s="13" t="s">
        <v>3</v>
      </c>
      <c r="R11" s="13" t="s">
        <v>4</v>
      </c>
      <c r="S11" s="7"/>
      <c r="T11" s="12" t="s">
        <v>2</v>
      </c>
      <c r="U11" s="13" t="s">
        <v>0</v>
      </c>
      <c r="V11" s="13" t="s">
        <v>1</v>
      </c>
      <c r="W11" s="13" t="s">
        <v>3</v>
      </c>
      <c r="X11" s="13" t="s">
        <v>4</v>
      </c>
      <c r="Y11" s="7"/>
      <c r="Z11" s="12" t="s">
        <v>2</v>
      </c>
      <c r="AA11" s="13" t="s">
        <v>0</v>
      </c>
      <c r="AB11" s="13" t="s">
        <v>1</v>
      </c>
      <c r="AC11" s="13" t="s">
        <v>3</v>
      </c>
      <c r="AD11" s="13" t="s">
        <v>4</v>
      </c>
      <c r="AE11" s="12" t="s">
        <v>2</v>
      </c>
      <c r="AF11" s="13" t="s">
        <v>0</v>
      </c>
      <c r="AG11" s="13" t="s">
        <v>1</v>
      </c>
      <c r="AH11" s="13" t="s">
        <v>3</v>
      </c>
      <c r="AI11" s="13" t="s">
        <v>4</v>
      </c>
    </row>
    <row r="12" spans="1:35" x14ac:dyDescent="0.3">
      <c r="B12" s="2">
        <v>931.25</v>
      </c>
      <c r="C12" s="2">
        <f>Tabla1316[[#This Row],[COMISIONES]]*0.21</f>
        <v>195.5625</v>
      </c>
      <c r="D12" s="3"/>
      <c r="E12" s="3">
        <v>425.45</v>
      </c>
      <c r="F12">
        <v>67.98</v>
      </c>
      <c r="G12" s="8"/>
      <c r="H12" s="3">
        <v>365.13</v>
      </c>
      <c r="I12" s="11">
        <f>Tabla3917[[#This Row],[COMISIONES]]*0.21</f>
        <v>76.677300000000002</v>
      </c>
      <c r="J12" s="11"/>
      <c r="K12" s="11">
        <v>892.94</v>
      </c>
      <c r="L12" s="3"/>
      <c r="M12" s="8"/>
      <c r="N12" s="11">
        <v>10</v>
      </c>
      <c r="O12" s="11">
        <f>Tabla351018[[#This Row],[COMISIONES]]*0.21</f>
        <v>2.1</v>
      </c>
      <c r="P12" s="11"/>
      <c r="Q12" s="11">
        <v>396</v>
      </c>
      <c r="R12" s="11">
        <v>198</v>
      </c>
      <c r="S12" s="8"/>
      <c r="T12" s="11">
        <v>8750</v>
      </c>
      <c r="U12" s="11">
        <f>Tabla3561119[[#This Row],[COMISIONES]]*0.21</f>
        <v>1837.5</v>
      </c>
      <c r="V12" s="11"/>
      <c r="W12" s="11">
        <v>525</v>
      </c>
      <c r="X12" s="11">
        <v>262.5</v>
      </c>
      <c r="Y12" s="8"/>
      <c r="Z12">
        <v>44.88</v>
      </c>
      <c r="AA12" s="11">
        <f>Tabla35681321[[#This Row],[COMISIONES]]*0.21</f>
        <v>9.4247999999999994</v>
      </c>
      <c r="AB12" s="11"/>
      <c r="AC12" s="11">
        <v>250.43</v>
      </c>
      <c r="AD12" s="11"/>
      <c r="AE12" s="11">
        <v>100.8</v>
      </c>
      <c r="AF12" s="11">
        <f>Tabla3568131422[[#This Row],[COMISIONES]]*0.21</f>
        <v>21.167999999999999</v>
      </c>
      <c r="AG12" s="11">
        <v>1631.49</v>
      </c>
      <c r="AH12" s="11">
        <v>247.46</v>
      </c>
      <c r="AI12" s="11">
        <v>37.380000000000003</v>
      </c>
    </row>
    <row r="13" spans="1:35" x14ac:dyDescent="0.3">
      <c r="B13" s="3">
        <v>1145.56</v>
      </c>
      <c r="C13" s="2">
        <f>Tabla1316[[#This Row],[COMISIONES]]*0.21</f>
        <v>240.56759999999997</v>
      </c>
      <c r="D13" s="3"/>
      <c r="E13" s="3">
        <v>1625.54</v>
      </c>
      <c r="F13" s="3"/>
      <c r="G13" s="8"/>
      <c r="H13" s="11">
        <v>199.2</v>
      </c>
      <c r="I13" s="11">
        <f>Tabla3917[[#This Row],[COMISIONES]]*0.21</f>
        <v>41.831999999999994</v>
      </c>
      <c r="J13" s="11"/>
      <c r="K13" s="11"/>
      <c r="L13" s="11"/>
      <c r="M13" s="8"/>
      <c r="N13" s="11">
        <v>6600</v>
      </c>
      <c r="O13" s="11">
        <f>Tabla351018[[#This Row],[COMISIONES]]*0.21</f>
        <v>1386</v>
      </c>
      <c r="P13" s="11"/>
      <c r="Q13" s="11">
        <v>450</v>
      </c>
      <c r="R13" s="11">
        <v>225</v>
      </c>
      <c r="S13" s="8"/>
      <c r="T13" s="11">
        <v>209.85</v>
      </c>
      <c r="U13" s="11">
        <f>Tabla3561119[[#This Row],[COMISIONES]]*0.21</f>
        <v>44.0685</v>
      </c>
      <c r="V13" s="11"/>
      <c r="W13" s="11"/>
      <c r="X13" s="11"/>
      <c r="Y13" s="8"/>
      <c r="Z13" s="11">
        <v>43.2</v>
      </c>
      <c r="AA13" s="11">
        <f>Tabla35681321[[#This Row],[COMISIONES]]*0.21</f>
        <v>9.072000000000001</v>
      </c>
      <c r="AB13" s="11"/>
      <c r="AC13" s="11">
        <v>241.06</v>
      </c>
      <c r="AD13" s="11"/>
      <c r="AE13" s="11">
        <v>1246.21</v>
      </c>
      <c r="AF13" s="11">
        <f>Tabla3568131422[[#This Row],[COMISIONES]]*0.21</f>
        <v>261.70409999999998</v>
      </c>
      <c r="AG13" s="11"/>
      <c r="AH13" s="11">
        <v>2360.25</v>
      </c>
      <c r="AI13" s="11">
        <v>15.89</v>
      </c>
    </row>
    <row r="14" spans="1:35" x14ac:dyDescent="0.3">
      <c r="B14" s="3">
        <v>235.5</v>
      </c>
      <c r="C14" s="2">
        <f>Tabla1316[[#This Row],[COMISIONES]]*0.21</f>
        <v>49.454999999999998</v>
      </c>
      <c r="D14" s="3"/>
      <c r="E14" s="3">
        <v>411.07</v>
      </c>
      <c r="F14" s="3"/>
      <c r="H14" s="11">
        <v>38.4</v>
      </c>
      <c r="I14" s="11">
        <f>Tabla3917[[#This Row],[COMISIONES]]*0.21</f>
        <v>8.0640000000000001</v>
      </c>
      <c r="J14" s="11"/>
      <c r="K14" s="11">
        <v>1109.6500000000001</v>
      </c>
      <c r="L14" s="11"/>
      <c r="N14" s="11">
        <v>7500</v>
      </c>
      <c r="O14" s="11">
        <f>Tabla351018[[#This Row],[COMISIONES]]*0.21</f>
        <v>1575</v>
      </c>
      <c r="P14" s="11"/>
      <c r="Q14" s="11"/>
      <c r="R14" s="11">
        <v>72.040000000000006</v>
      </c>
      <c r="T14" s="11">
        <v>44</v>
      </c>
      <c r="U14" s="11">
        <f>Tabla3561119[[#This Row],[COMISIONES]]*0.21</f>
        <v>9.24</v>
      </c>
      <c r="V14" s="11"/>
      <c r="W14" s="11"/>
      <c r="X14" s="11"/>
      <c r="Y14" s="6"/>
      <c r="Z14" s="11">
        <v>62.8</v>
      </c>
      <c r="AA14" s="11">
        <f>Tabla35681321[[#This Row],[COMISIONES]]*0.21</f>
        <v>13.187999999999999</v>
      </c>
      <c r="AB14" s="11"/>
      <c r="AC14" s="11">
        <v>350.42</v>
      </c>
      <c r="AD14" s="11"/>
      <c r="AE14" s="11">
        <v>694.62</v>
      </c>
      <c r="AF14" s="11">
        <f>Tabla3568131422[[#This Row],[COMISIONES]]*0.21</f>
        <v>145.87019999999998</v>
      </c>
      <c r="AG14" s="11">
        <v>514.61</v>
      </c>
      <c r="AH14" s="11">
        <v>1705.29</v>
      </c>
      <c r="AI14" s="11">
        <v>10.36</v>
      </c>
    </row>
    <row r="15" spans="1:35" x14ac:dyDescent="0.3">
      <c r="B15" s="3">
        <v>489.25</v>
      </c>
      <c r="C15" s="2">
        <f>Tabla1316[[#This Row],[COMISIONES]]*0.21</f>
        <v>102.74249999999999</v>
      </c>
      <c r="D15" s="3"/>
      <c r="E15" s="3">
        <v>854.01</v>
      </c>
      <c r="F15" s="3"/>
      <c r="G15" s="8"/>
      <c r="H15" s="11">
        <v>111.92</v>
      </c>
      <c r="I15" s="11">
        <f>Tabla3917[[#This Row],[COMISIONES]]*0.21</f>
        <v>23.5032</v>
      </c>
      <c r="J15" s="11"/>
      <c r="K15" s="11">
        <v>213.91</v>
      </c>
      <c r="L15" s="11"/>
      <c r="M15" s="8"/>
      <c r="N15" s="11">
        <v>288.17</v>
      </c>
      <c r="O15" s="11">
        <f>Tabla351018[[#This Row],[COMISIONES]]*0.21</f>
        <v>60.515700000000002</v>
      </c>
      <c r="P15" s="11"/>
      <c r="Q15" s="11"/>
      <c r="R15" s="11"/>
      <c r="S15" s="8"/>
      <c r="T15" s="11"/>
      <c r="U15" s="11">
        <f>Tabla3561119[[#This Row],[COMISIONES]]*0.21</f>
        <v>0</v>
      </c>
      <c r="V15" s="11"/>
      <c r="W15" s="11"/>
      <c r="X15" s="11"/>
      <c r="Y15" s="8"/>
      <c r="Z15" s="11">
        <v>24.82</v>
      </c>
      <c r="AA15" s="11">
        <f>Tabla35681321[[#This Row],[COMISIONES]]*0.21</f>
        <v>5.2122000000000002</v>
      </c>
      <c r="AB15" s="11"/>
      <c r="AC15">
        <v>138.52000000000001</v>
      </c>
      <c r="AD15" s="11"/>
      <c r="AE15" s="11">
        <v>529.38</v>
      </c>
      <c r="AF15" s="11">
        <f>Tabla3568131422[[#This Row],[COMISIONES]]*0.21</f>
        <v>111.1698</v>
      </c>
      <c r="AG15" s="11"/>
      <c r="AH15" s="11">
        <v>1079.07</v>
      </c>
      <c r="AI15" s="11"/>
    </row>
    <row r="16" spans="1:35" x14ac:dyDescent="0.3">
      <c r="B16" s="3">
        <v>260</v>
      </c>
      <c r="C16" s="2">
        <f>Tabla1316[[#This Row],[COMISIONES]]*0.21</f>
        <v>54.6</v>
      </c>
      <c r="D16" s="3"/>
      <c r="E16" s="3">
        <v>453.84</v>
      </c>
      <c r="F16" s="3"/>
      <c r="H16" s="11">
        <v>184.28</v>
      </c>
      <c r="I16" s="11">
        <f>Tabla3917[[#This Row],[COMISIONES]]*0.21</f>
        <v>38.698799999999999</v>
      </c>
      <c r="J16" s="11"/>
      <c r="K16" s="11">
        <v>1026.54</v>
      </c>
      <c r="L16" s="11"/>
      <c r="N16" s="11">
        <v>300</v>
      </c>
      <c r="O16" s="11">
        <f>Tabla351018[[#This Row],[COMISIONES]]*0.21</f>
        <v>63</v>
      </c>
      <c r="P16" s="11"/>
      <c r="Q16" s="11"/>
      <c r="R16" s="11"/>
      <c r="T16" s="11"/>
      <c r="U16" s="11">
        <f>Tabla3561119[[#This Row],[COMISIONES]]*0.21</f>
        <v>0</v>
      </c>
      <c r="V16" s="11"/>
      <c r="W16" s="11"/>
      <c r="X16" s="11"/>
      <c r="Y16" s="6"/>
      <c r="Z16" s="11">
        <v>35.840000000000003</v>
      </c>
      <c r="AA16" s="11">
        <f>Tabla35681321[[#This Row],[COMISIONES]]*0.21</f>
        <v>7.5264000000000006</v>
      </c>
      <c r="AB16" s="11"/>
      <c r="AC16" s="11">
        <v>199.99</v>
      </c>
      <c r="AD16" s="11"/>
      <c r="AE16" s="11">
        <v>108</v>
      </c>
      <c r="AF16" s="11">
        <f>Tabla3568131422[[#This Row],[COMISIONES]]*0.21</f>
        <v>22.68</v>
      </c>
      <c r="AG16" s="11"/>
      <c r="AH16" s="11">
        <v>265.14</v>
      </c>
      <c r="AI16" s="11">
        <v>46.6</v>
      </c>
    </row>
    <row r="17" spans="2:35" x14ac:dyDescent="0.3">
      <c r="B17" s="3">
        <v>342.5</v>
      </c>
      <c r="C17" s="2">
        <f>Tabla1316[[#This Row],[COMISIONES]]*0.21</f>
        <v>71.924999999999997</v>
      </c>
      <c r="D17" s="3"/>
      <c r="E17" s="3">
        <v>597.85</v>
      </c>
      <c r="F17" s="3"/>
      <c r="H17" s="11">
        <v>35.64</v>
      </c>
      <c r="I17" s="11">
        <f>Tabla3917[[#This Row],[COMISIONES]]*0.21</f>
        <v>7.4843999999999999</v>
      </c>
      <c r="J17" s="11"/>
      <c r="K17" s="11">
        <v>198.53</v>
      </c>
      <c r="L17" s="11"/>
      <c r="N17" s="11">
        <v>300</v>
      </c>
      <c r="O17" s="11">
        <f>Tabla351018[[#This Row],[COMISIONES]]*0.21</f>
        <v>63</v>
      </c>
      <c r="P17" s="11"/>
      <c r="Q17" s="11"/>
      <c r="R17" s="11"/>
      <c r="T17" s="11"/>
      <c r="U17" s="11">
        <f>Tabla3561119[[#This Row],[COMISIONES]]*0.21</f>
        <v>0</v>
      </c>
      <c r="V17" s="11"/>
      <c r="W17" s="11"/>
      <c r="X17" s="11"/>
      <c r="Y17" s="6"/>
      <c r="Z17" s="11">
        <v>55.2</v>
      </c>
      <c r="AA17" s="11">
        <f>Tabla35681321[[#This Row],[COMISIONES]]*0.21</f>
        <v>11.592000000000001</v>
      </c>
      <c r="AB17" s="11"/>
      <c r="AC17" s="11">
        <v>308.02</v>
      </c>
      <c r="AD17" s="11"/>
      <c r="AE17" s="11">
        <v>345.43</v>
      </c>
      <c r="AF17" s="11">
        <f>Tabla3568131422[[#This Row],[COMISIONES]]*0.21</f>
        <v>72.540300000000002</v>
      </c>
      <c r="AG17" s="11"/>
      <c r="AH17" s="11">
        <v>721</v>
      </c>
      <c r="AI17" s="11"/>
    </row>
    <row r="18" spans="2:35" x14ac:dyDescent="0.3">
      <c r="B18" s="3">
        <v>1389.11</v>
      </c>
      <c r="C18" s="2">
        <f>Tabla1316[[#This Row],[COMISIONES]]*0.21</f>
        <v>291.71309999999994</v>
      </c>
      <c r="D18" s="3"/>
      <c r="E18" s="3">
        <v>285.48</v>
      </c>
      <c r="F18" s="3"/>
      <c r="H18" s="11">
        <v>7.68</v>
      </c>
      <c r="I18" s="11">
        <f>Tabla3917[[#This Row],[COMISIONES]]*0.21</f>
        <v>1.6127999999999998</v>
      </c>
      <c r="J18" s="11"/>
      <c r="K18" s="11">
        <v>42.78</v>
      </c>
      <c r="L18" s="11"/>
      <c r="N18" s="11">
        <v>300</v>
      </c>
      <c r="O18" s="11">
        <f>Tabla351018[[#This Row],[COMISIONES]]*0.21</f>
        <v>63</v>
      </c>
      <c r="P18" s="11"/>
      <c r="Q18" s="11"/>
      <c r="R18" s="11"/>
      <c r="T18" s="11"/>
      <c r="U18" s="11">
        <f>Tabla3561119[[#This Row],[COMISIONES]]*0.21</f>
        <v>0</v>
      </c>
      <c r="V18" s="11"/>
      <c r="W18" s="11"/>
      <c r="X18" s="11"/>
      <c r="Y18" s="6"/>
      <c r="Z18" s="11">
        <v>349.52</v>
      </c>
      <c r="AA18" s="11">
        <f>Tabla35681321[[#This Row],[COMISIONES]]*0.21</f>
        <v>73.399199999999993</v>
      </c>
      <c r="AB18" s="11"/>
      <c r="AC18" s="11">
        <v>1950.32</v>
      </c>
      <c r="AD18" s="11"/>
      <c r="AE18" s="11">
        <v>39.6</v>
      </c>
      <c r="AF18" s="11">
        <f>Tabla3568131422[[#This Row],[COMISIONES]]*0.21</f>
        <v>8.3160000000000007</v>
      </c>
      <c r="AG18" s="11">
        <v>2015.22</v>
      </c>
      <c r="AH18" s="11">
        <v>97.22</v>
      </c>
      <c r="AI18" s="11"/>
    </row>
    <row r="19" spans="2:35" x14ac:dyDescent="0.3">
      <c r="B19" s="3">
        <v>840.75</v>
      </c>
      <c r="C19" s="2">
        <f>Tabla1316[[#This Row],[COMISIONES]]*0.21</f>
        <v>176.5575</v>
      </c>
      <c r="D19" s="3"/>
      <c r="E19" s="3">
        <v>1467.57</v>
      </c>
      <c r="F19" s="3"/>
      <c r="H19" s="11">
        <v>119</v>
      </c>
      <c r="I19" s="11">
        <f>Tabla3917[[#This Row],[COMISIONES]]*0.21</f>
        <v>24.99</v>
      </c>
      <c r="J19" s="11"/>
      <c r="K19" s="11">
        <v>662.9</v>
      </c>
      <c r="L19" s="11"/>
      <c r="N19" s="11">
        <v>300</v>
      </c>
      <c r="O19" s="11">
        <f>Tabla351018[[#This Row],[COMISIONES]]*0.21</f>
        <v>63</v>
      </c>
      <c r="P19" s="11"/>
      <c r="Q19" s="11"/>
      <c r="R19" s="11"/>
      <c r="T19" s="11"/>
      <c r="U19" s="11">
        <f>Tabla3561119[[#This Row],[COMISIONES]]*0.21</f>
        <v>0</v>
      </c>
      <c r="V19" s="11"/>
      <c r="W19" s="11"/>
      <c r="X19" s="11"/>
      <c r="Y19" s="6"/>
      <c r="Z19" s="11">
        <v>45.56</v>
      </c>
      <c r="AA19" s="11">
        <f>Tabla35681321[[#This Row],[COMISIONES]]*0.21</f>
        <v>9.5676000000000005</v>
      </c>
      <c r="AB19" s="11"/>
      <c r="AC19" s="11">
        <v>254.22</v>
      </c>
      <c r="AD19" s="11"/>
      <c r="AE19" s="11">
        <v>197.37</v>
      </c>
      <c r="AF19" s="11">
        <f>Tabla3568131422[[#This Row],[COMISIONES]]*0.21</f>
        <v>41.447699999999998</v>
      </c>
      <c r="AG19" s="11"/>
      <c r="AH19" s="11">
        <v>484.54</v>
      </c>
      <c r="AI19" s="11"/>
    </row>
    <row r="20" spans="2:35" x14ac:dyDescent="0.3">
      <c r="B20" s="3">
        <v>2266.12</v>
      </c>
      <c r="C20" s="2">
        <f>Tabla1316[[#This Row],[COMISIONES]]*0.21</f>
        <v>475.88519999999994</v>
      </c>
      <c r="D20" s="3"/>
      <c r="E20" s="3">
        <v>928.46</v>
      </c>
      <c r="F20" s="3"/>
      <c r="H20" s="11">
        <v>11.32</v>
      </c>
      <c r="I20" s="11">
        <f>Tabla3917[[#This Row],[COMISIONES]]*0.21</f>
        <v>2.3771999999999998</v>
      </c>
      <c r="J20" s="11"/>
      <c r="K20" s="11">
        <v>63.06</v>
      </c>
      <c r="L20" s="11"/>
      <c r="N20" s="11">
        <v>300</v>
      </c>
      <c r="O20" s="11">
        <f>Tabla351018[[#This Row],[COMISIONES]]*0.21</f>
        <v>63</v>
      </c>
      <c r="P20" s="11"/>
      <c r="Q20" s="11"/>
      <c r="R20" s="11"/>
      <c r="T20" s="11"/>
      <c r="U20" s="11">
        <f>Tabla3561119[[#This Row],[COMISIONES]]*0.21</f>
        <v>0</v>
      </c>
      <c r="V20" s="11"/>
      <c r="W20" s="11"/>
      <c r="X20" s="11"/>
      <c r="Y20" s="6"/>
      <c r="Z20" s="11">
        <v>100</v>
      </c>
      <c r="AA20" s="11">
        <f>Tabla35681321[[#This Row],[COMISIONES]]*0.21</f>
        <v>21</v>
      </c>
      <c r="AB20" s="11"/>
      <c r="AC20" s="11">
        <v>558</v>
      </c>
      <c r="AD20" s="11"/>
      <c r="AE20" s="11">
        <v>207</v>
      </c>
      <c r="AF20" s="11">
        <f>Tabla3568131422[[#This Row],[COMISIONES]]*0.21</f>
        <v>43.47</v>
      </c>
      <c r="AG20" s="11"/>
      <c r="AH20" s="11">
        <v>508.19</v>
      </c>
      <c r="AI20" s="11"/>
    </row>
    <row r="21" spans="2:35" x14ac:dyDescent="0.3">
      <c r="B21" s="3"/>
      <c r="C21" s="2">
        <f>Tabla1316[[#This Row],[COMISIONES]]*0.21</f>
        <v>0</v>
      </c>
      <c r="D21" s="3"/>
      <c r="E21" s="3"/>
      <c r="F21" s="3"/>
      <c r="H21" s="11">
        <v>114.64</v>
      </c>
      <c r="I21" s="11">
        <f>Tabla3917[[#This Row],[COMISIONES]]*0.21</f>
        <v>24.074400000000001</v>
      </c>
      <c r="J21" s="11"/>
      <c r="K21" s="11">
        <v>638.61</v>
      </c>
      <c r="L21" s="11"/>
      <c r="N21" s="11">
        <v>300</v>
      </c>
      <c r="O21" s="11">
        <f>Tabla351018[[#This Row],[COMISIONES]]*0.21</f>
        <v>63</v>
      </c>
      <c r="P21" s="11"/>
      <c r="Q21" s="11"/>
      <c r="R21" s="11"/>
      <c r="T21" s="11"/>
      <c r="U21" s="11">
        <f>Tabla3561119[[#This Row],[COMISIONES]]*0.21</f>
        <v>0</v>
      </c>
      <c r="V21" s="11"/>
      <c r="W21" s="11"/>
      <c r="X21" s="11"/>
      <c r="Y21" s="6"/>
      <c r="Z21" s="11">
        <v>15.84</v>
      </c>
      <c r="AA21" s="11">
        <f>Tabla35681321[[#This Row],[COMISIONES]]*0.21</f>
        <v>3.3264</v>
      </c>
      <c r="AB21" s="11"/>
      <c r="AC21" s="11">
        <v>88.39</v>
      </c>
      <c r="AD21" s="11"/>
      <c r="AE21" s="11">
        <v>1212.6199999999999</v>
      </c>
      <c r="AF21" s="11">
        <f>Tabla3568131422[[#This Row],[COMISIONES]]*0.21</f>
        <v>254.65019999999996</v>
      </c>
      <c r="AG21" s="11"/>
      <c r="AH21" s="11">
        <v>2976.97</v>
      </c>
      <c r="AI21" s="11"/>
    </row>
    <row r="22" spans="2:35" x14ac:dyDescent="0.3">
      <c r="B22" s="3"/>
      <c r="C22" s="2">
        <f>Tabla1316[[#This Row],[COMISIONES]]*0.21</f>
        <v>0</v>
      </c>
      <c r="D22" s="3"/>
      <c r="E22" s="3"/>
      <c r="F22" s="3"/>
      <c r="H22" s="11"/>
      <c r="I22" s="11">
        <f>Tabla3917[[#This Row],[COMISIONES]]*0.21</f>
        <v>0</v>
      </c>
      <c r="J22" s="11"/>
      <c r="K22" s="11"/>
      <c r="L22" s="11"/>
      <c r="N22" s="11">
        <v>300</v>
      </c>
      <c r="O22" s="11">
        <f>Tabla351018[[#This Row],[COMISIONES]]*0.21</f>
        <v>63</v>
      </c>
      <c r="P22" s="11"/>
      <c r="Q22" s="11"/>
      <c r="R22" s="11"/>
      <c r="T22" s="11"/>
      <c r="U22" s="11">
        <f>Tabla3561119[[#This Row],[COMISIONES]]*0.21</f>
        <v>0</v>
      </c>
      <c r="V22" s="11"/>
      <c r="W22" s="11"/>
      <c r="X22" s="11"/>
      <c r="Y22" s="6"/>
      <c r="Z22" s="11">
        <v>133.19999999999999</v>
      </c>
      <c r="AA22" s="11">
        <f>Tabla35681321[[#This Row],[COMISIONES]]*0.21</f>
        <v>27.971999999999998</v>
      </c>
      <c r="AB22" s="11"/>
      <c r="AC22" s="11">
        <v>743.26</v>
      </c>
      <c r="AD22" s="11"/>
      <c r="AE22" s="11">
        <v>1553.24</v>
      </c>
      <c r="AF22" s="11">
        <f>Tabla3568131422[[#This Row],[COMISIONES]]*0.21</f>
        <v>326.18039999999996</v>
      </c>
      <c r="AG22" s="11"/>
      <c r="AH22" s="11">
        <v>2949.54</v>
      </c>
      <c r="AI22" s="11"/>
    </row>
    <row r="23" spans="2:35" x14ac:dyDescent="0.3">
      <c r="B23" s="3"/>
      <c r="C23" s="2">
        <f>Tabla1316[[#This Row],[COMISIONES]]*0.21</f>
        <v>0</v>
      </c>
      <c r="D23" s="3"/>
      <c r="E23" s="3"/>
      <c r="F23" s="3"/>
      <c r="H23" s="11"/>
      <c r="I23" s="11">
        <f>Tabla3917[[#This Row],[COMISIONES]]*0.21</f>
        <v>0</v>
      </c>
      <c r="J23" s="11"/>
      <c r="K23" s="11"/>
      <c r="L23" s="11"/>
      <c r="N23" s="11">
        <v>300</v>
      </c>
      <c r="O23" s="11">
        <f>Tabla351018[[#This Row],[COMISIONES]]*0.21</f>
        <v>63</v>
      </c>
      <c r="P23" s="11"/>
      <c r="Q23" s="11"/>
      <c r="R23" s="11"/>
      <c r="T23" s="11"/>
      <c r="U23" s="11">
        <f>Tabla3561119[[#This Row],[COMISIONES]]*0.21</f>
        <v>0</v>
      </c>
      <c r="V23" s="11"/>
      <c r="W23" s="11"/>
      <c r="X23" s="11"/>
      <c r="Y23" s="6"/>
      <c r="Z23" s="11">
        <v>60</v>
      </c>
      <c r="AA23" s="11">
        <f>Tabla35681321[[#This Row],[COMISIONES]]*0.21</f>
        <v>12.6</v>
      </c>
      <c r="AB23" s="11"/>
      <c r="AC23" s="11">
        <v>334.8</v>
      </c>
      <c r="AD23" s="11"/>
      <c r="AE23" s="11">
        <v>1105.3800000000001</v>
      </c>
      <c r="AF23" s="11">
        <f>Tabla3568131422[[#This Row],[COMISIONES]]*0.21</f>
        <v>232.12980000000002</v>
      </c>
      <c r="AG23" s="11"/>
      <c r="AH23" s="11">
        <v>2713.71</v>
      </c>
      <c r="AI23" s="11"/>
    </row>
    <row r="24" spans="2:35" x14ac:dyDescent="0.3">
      <c r="B24" s="3"/>
      <c r="C24" s="2">
        <f>Tabla1316[[#This Row],[COMISIONES]]*0.21</f>
        <v>0</v>
      </c>
      <c r="D24" s="3"/>
      <c r="E24" s="3"/>
      <c r="F24" s="3"/>
      <c r="H24" s="11"/>
      <c r="I24" s="11">
        <f>Tabla3917[[#This Row],[COMISIONES]]*0.21</f>
        <v>0</v>
      </c>
      <c r="J24" s="11"/>
      <c r="K24" s="11"/>
      <c r="L24" s="11"/>
      <c r="N24" s="11">
        <v>300</v>
      </c>
      <c r="O24" s="11">
        <f>Tabla351018[[#This Row],[COMISIONES]]*0.21</f>
        <v>63</v>
      </c>
      <c r="P24" s="11"/>
      <c r="Q24" s="11"/>
      <c r="R24" s="11"/>
      <c r="T24" s="11"/>
      <c r="U24" s="11">
        <f>Tabla3561119[[#This Row],[COMISIONES]]*0.21</f>
        <v>0</v>
      </c>
      <c r="V24" s="11"/>
      <c r="W24" s="11"/>
      <c r="X24" s="11"/>
      <c r="Y24" s="6"/>
      <c r="Z24" s="11">
        <v>238.64</v>
      </c>
      <c r="AA24" s="11">
        <f>Tabla35681321[[#This Row],[COMISIONES]]*0.21</f>
        <v>50.114399999999996</v>
      </c>
      <c r="AB24" s="11"/>
      <c r="AC24" s="11">
        <v>1331.61</v>
      </c>
      <c r="AD24" s="11"/>
      <c r="AE24" s="11">
        <v>1747.44</v>
      </c>
      <c r="AF24" s="11">
        <f>Tabla3568131422[[#This Row],[COMISIONES]]*0.21</f>
        <v>366.9624</v>
      </c>
      <c r="AG24" s="11"/>
      <c r="AH24" s="11">
        <v>4289.97</v>
      </c>
      <c r="AI24" s="11"/>
    </row>
    <row r="25" spans="2:35" x14ac:dyDescent="0.3">
      <c r="B25" s="3"/>
      <c r="C25" s="2">
        <f>Tabla1316[[#This Row],[COMISIONES]]*0.21</f>
        <v>0</v>
      </c>
      <c r="D25" s="3"/>
      <c r="E25" s="3"/>
      <c r="F25" s="3"/>
      <c r="H25" s="11"/>
      <c r="I25" s="11">
        <f>Tabla3917[[#This Row],[COMISIONES]]*0.21</f>
        <v>0</v>
      </c>
      <c r="J25" s="11"/>
      <c r="K25" s="11"/>
      <c r="L25" s="11"/>
      <c r="N25" s="11">
        <v>300</v>
      </c>
      <c r="O25" s="11">
        <f>Tabla351018[[#This Row],[COMISIONES]]*0.21</f>
        <v>63</v>
      </c>
      <c r="P25" s="11"/>
      <c r="Q25" s="11"/>
      <c r="R25" s="11"/>
      <c r="T25" s="19"/>
      <c r="U25" s="19">
        <f>Tabla3561119[[#This Row],[COMISIONES]]*0.21</f>
        <v>0</v>
      </c>
      <c r="V25" s="19"/>
      <c r="W25" s="19"/>
      <c r="X25" s="19"/>
      <c r="Y25" s="6"/>
      <c r="Z25" s="11"/>
      <c r="AA25" s="11">
        <f>Tabla35681321[[#This Row],[COMISIONES]]*0.21</f>
        <v>0</v>
      </c>
      <c r="AB25" s="11"/>
      <c r="AC25" s="11"/>
      <c r="AD25" s="11"/>
      <c r="AE25" s="11">
        <v>353.52</v>
      </c>
      <c r="AF25" s="11">
        <f>Tabla3568131422[[#This Row],[COMISIONES]]*0.21</f>
        <v>74.239199999999997</v>
      </c>
      <c r="AG25" s="11"/>
      <c r="AH25" s="11">
        <v>867.89</v>
      </c>
      <c r="AI25" s="11"/>
    </row>
    <row r="26" spans="2:35" x14ac:dyDescent="0.3">
      <c r="B26" s="3"/>
      <c r="C26" s="2">
        <f>Tabla1316[[#This Row],[COMISIONES]]*0.21</f>
        <v>0</v>
      </c>
      <c r="D26" s="3"/>
      <c r="E26" s="3"/>
      <c r="F26" s="3"/>
      <c r="H26" s="11"/>
      <c r="I26" s="11">
        <f>Tabla3917[[#This Row],[COMISIONES]]*0.21</f>
        <v>0</v>
      </c>
      <c r="J26" s="11"/>
      <c r="K26" s="11"/>
      <c r="L26" s="11"/>
      <c r="N26" s="11">
        <v>220</v>
      </c>
      <c r="O26" s="11">
        <f>Tabla351018[[#This Row],[COMISIONES]]*0.21</f>
        <v>46.199999999999996</v>
      </c>
      <c r="P26" s="11"/>
      <c r="Q26" s="11"/>
      <c r="R26" s="11"/>
      <c r="T26" s="19"/>
      <c r="U26" s="19">
        <f>Tabla3561119[[#This Row],[COMISIONES]]*0.21</f>
        <v>0</v>
      </c>
      <c r="V26" s="19"/>
      <c r="W26" s="19"/>
      <c r="X26" s="19"/>
      <c r="Z26" s="11"/>
      <c r="AA26" s="11">
        <f>Tabla35681321[[#This Row],[COMISIONES]]*0.21</f>
        <v>0</v>
      </c>
      <c r="AB26" s="11"/>
      <c r="AC26" s="11"/>
      <c r="AD26" s="11"/>
      <c r="AE26" s="11">
        <v>611.01</v>
      </c>
      <c r="AF26" s="11">
        <f>Tabla3568131422[[#This Row],[COMISIONES]]*0.21</f>
        <v>128.31209999999999</v>
      </c>
      <c r="AG26" s="11">
        <v>150.02000000000001</v>
      </c>
      <c r="AH26" s="11">
        <v>1500.03</v>
      </c>
      <c r="AI26" s="11"/>
    </row>
    <row r="27" spans="2:35" x14ac:dyDescent="0.3">
      <c r="B27" s="3"/>
      <c r="C27" s="2">
        <f>Tabla1316[[#This Row],[COMISIONES]]*0.21</f>
        <v>0</v>
      </c>
      <c r="D27" s="3"/>
      <c r="E27" s="1"/>
      <c r="F27" s="3"/>
      <c r="H27" s="11"/>
      <c r="I27" s="11">
        <f>Tabla3917[[#This Row],[COMISIONES]]*0.21</f>
        <v>0</v>
      </c>
      <c r="J27" s="11"/>
      <c r="K27" s="11"/>
      <c r="L27" s="11"/>
      <c r="N27" s="11">
        <v>300</v>
      </c>
      <c r="O27" s="11">
        <f>Tabla351018[[#This Row],[COMISIONES]]*0.21</f>
        <v>63</v>
      </c>
      <c r="P27" s="11"/>
      <c r="Q27" s="11"/>
      <c r="R27" s="11"/>
      <c r="T27" s="18">
        <f>SUBTOTAL(109,Tabla3561119[COMISIONES])</f>
        <v>9003.85</v>
      </c>
      <c r="U27" s="18">
        <f>SUBTOTAL(109,Tabla3561119[IVA 21])</f>
        <v>1890.8085000000001</v>
      </c>
      <c r="V27" s="18">
        <f>SUBTOTAL(109,Tabla3561119[IVA 10,5])</f>
        <v>0</v>
      </c>
      <c r="W27" s="18">
        <f>SUBTOTAL(109,Tabla3561119[Ret IIBB Caba])</f>
        <v>525</v>
      </c>
      <c r="X27" s="18">
        <f>SUBTOTAL(109,Tabla3561119[PERC IVA])</f>
        <v>262.5</v>
      </c>
      <c r="Z27" s="11"/>
      <c r="AA27" s="11">
        <f>Tabla35681321[[#This Row],[COMISIONES]]*0.21</f>
        <v>0</v>
      </c>
      <c r="AB27" s="11"/>
      <c r="AC27" s="11"/>
      <c r="AD27" s="11"/>
      <c r="AE27" s="11">
        <v>1236.3499999999999</v>
      </c>
      <c r="AF27" s="11">
        <f>Tabla3568131422[[#This Row],[COMISIONES]]*0.21</f>
        <v>259.63349999999997</v>
      </c>
      <c r="AG27" s="11">
        <v>287.44</v>
      </c>
      <c r="AH27" s="11">
        <v>3035.23</v>
      </c>
      <c r="AI27" s="11"/>
    </row>
    <row r="28" spans="2:35" ht="18" x14ac:dyDescent="0.35">
      <c r="B28" s="3"/>
      <c r="C28" s="2">
        <f>Tabla1316[[#This Row],[COMISIONES]]*0.21</f>
        <v>0</v>
      </c>
      <c r="D28" s="3"/>
      <c r="E28" s="3"/>
      <c r="F28" s="3"/>
      <c r="H28" s="11"/>
      <c r="I28" s="11">
        <f>Tabla3917[[#This Row],[COMISIONES]]*0.21</f>
        <v>0</v>
      </c>
      <c r="J28" s="11"/>
      <c r="K28" s="11"/>
      <c r="L28" s="11"/>
      <c r="N28" s="11"/>
      <c r="O28" s="11">
        <f>Tabla351018[[#This Row],[COMISIONES]]*0.21</f>
        <v>0</v>
      </c>
      <c r="P28" s="11"/>
      <c r="Q28" s="11"/>
      <c r="R28" s="11"/>
      <c r="T28" s="30" t="s">
        <v>28</v>
      </c>
      <c r="U28" s="30"/>
      <c r="V28" s="30"/>
      <c r="W28" s="30"/>
      <c r="X28" s="30"/>
      <c r="Z28" s="11"/>
      <c r="AA28" s="11">
        <f>Tabla35681321[[#This Row],[COMISIONES]]*0.21</f>
        <v>0</v>
      </c>
      <c r="AB28" s="11"/>
      <c r="AC28" s="11"/>
      <c r="AD28" s="11"/>
      <c r="AE28" s="11">
        <v>11.5</v>
      </c>
      <c r="AF28" s="11">
        <f>Tabla3568131422[[#This Row],[COMISIONES]]*0.21</f>
        <v>2.415</v>
      </c>
      <c r="AG28" s="11"/>
      <c r="AH28" s="11">
        <v>401.47</v>
      </c>
      <c r="AI28" s="11"/>
    </row>
    <row r="29" spans="2:35" x14ac:dyDescent="0.3">
      <c r="B29" s="3"/>
      <c r="C29" s="2">
        <f>Tabla1316[[#This Row],[COMISIONES]]*0.21</f>
        <v>0</v>
      </c>
      <c r="D29" s="3"/>
      <c r="E29" s="3"/>
      <c r="F29" s="3"/>
      <c r="H29" s="11"/>
      <c r="I29" s="11">
        <f>Tabla3917[[#This Row],[COMISIONES]]*0.21</f>
        <v>0</v>
      </c>
      <c r="J29" s="11"/>
      <c r="K29" s="11"/>
      <c r="L29" s="11"/>
      <c r="N29" s="11"/>
      <c r="O29" s="11">
        <f>Tabla351018[[#This Row],[COMISIONES]]*0.21</f>
        <v>0</v>
      </c>
      <c r="P29" s="11"/>
      <c r="Q29" s="11"/>
      <c r="R29" s="11"/>
      <c r="T29" s="12" t="s">
        <v>2</v>
      </c>
      <c r="U29" s="13" t="s">
        <v>0</v>
      </c>
      <c r="V29" s="13" t="s">
        <v>1</v>
      </c>
      <c r="W29" s="13" t="s">
        <v>3</v>
      </c>
      <c r="X29" s="13" t="s">
        <v>4</v>
      </c>
      <c r="Z29" s="11"/>
      <c r="AA29" s="11">
        <f>Tabla35681321[[#This Row],[COMISIONES]]*0.21</f>
        <v>0</v>
      </c>
      <c r="AB29" s="11"/>
      <c r="AC29" s="11"/>
      <c r="AD29" s="11"/>
      <c r="AE29" s="11">
        <v>189.72</v>
      </c>
      <c r="AF29" s="11">
        <f>Tabla3568131422[[#This Row],[COMISIONES]]*0.21</f>
        <v>39.841200000000001</v>
      </c>
      <c r="AG29" s="11"/>
      <c r="AH29" s="11">
        <v>331.43</v>
      </c>
      <c r="AI29" s="11"/>
    </row>
    <row r="30" spans="2:35" x14ac:dyDescent="0.3">
      <c r="B30" s="3"/>
      <c r="C30" s="2">
        <f>Tabla1316[[#This Row],[COMISIONES]]*0.21</f>
        <v>0</v>
      </c>
      <c r="D30" s="3"/>
      <c r="E30" s="3"/>
      <c r="F30" s="3"/>
      <c r="H30" s="11"/>
      <c r="I30" s="11">
        <f>Tabla3917[[#This Row],[COMISIONES]]*0.21</f>
        <v>0</v>
      </c>
      <c r="J30" s="11"/>
      <c r="K30" s="11"/>
      <c r="L30" s="11"/>
      <c r="N30" s="11"/>
      <c r="O30" s="11">
        <f>Tabla351018[[#This Row],[COMISIONES]]*0.21</f>
        <v>0</v>
      </c>
      <c r="P30" s="11"/>
      <c r="Q30" s="11"/>
      <c r="R30" s="11"/>
      <c r="T30" s="11">
        <v>800</v>
      </c>
      <c r="U30" s="11">
        <f>Tabla61220[[#This Row],[COMISIONES]]*0.21</f>
        <v>168</v>
      </c>
      <c r="V30" s="11"/>
      <c r="W30" s="11">
        <v>998.97</v>
      </c>
      <c r="X30" s="11"/>
      <c r="Z30" s="11"/>
      <c r="AA30" s="11">
        <f>Tabla35681321[[#This Row],[COMISIONES]]*0.21</f>
        <v>0</v>
      </c>
      <c r="AB30" s="11"/>
      <c r="AC30" s="11"/>
      <c r="AD30" s="11"/>
      <c r="AE30" s="11">
        <v>135</v>
      </c>
      <c r="AF30" s="11">
        <f>Tabla3568131422[[#This Row],[COMISIONES]]*0.21</f>
        <v>28.349999999999998</v>
      </c>
      <c r="AG30" s="11"/>
      <c r="AH30" s="11">
        <v>3294.25</v>
      </c>
      <c r="AI30" s="11"/>
    </row>
    <row r="31" spans="2:35" x14ac:dyDescent="0.3">
      <c r="B31" s="3"/>
      <c r="C31" s="2">
        <f>Tabla1316[[#This Row],[COMISIONES]]*0.21</f>
        <v>0</v>
      </c>
      <c r="D31" s="3"/>
      <c r="E31" s="3"/>
      <c r="F31" s="3"/>
      <c r="H31" s="11"/>
      <c r="I31" s="11">
        <f>Tabla3917[[#This Row],[COMISIONES]]*0.21</f>
        <v>0</v>
      </c>
      <c r="J31" s="11"/>
      <c r="K31" s="11"/>
      <c r="L31" s="11"/>
      <c r="N31" s="11"/>
      <c r="O31" s="11">
        <f>Tabla351018[[#This Row],[COMISIONES]]*0.21</f>
        <v>0</v>
      </c>
      <c r="P31" s="11"/>
      <c r="Q31" s="11"/>
      <c r="R31" s="11"/>
      <c r="T31" s="11"/>
      <c r="U31" s="11">
        <f>Tabla61220[[#This Row],[COMISIONES]]*0.21</f>
        <v>0</v>
      </c>
      <c r="V31" s="11"/>
      <c r="W31" s="11">
        <v>150</v>
      </c>
      <c r="X31" s="11"/>
      <c r="Z31" s="11"/>
      <c r="AA31" s="11">
        <f>Tabla35681321[[#This Row],[COMISIONES]]*0.21</f>
        <v>0</v>
      </c>
      <c r="AB31" s="11"/>
      <c r="AC31" s="11"/>
      <c r="AD31" s="11"/>
      <c r="AE31" s="11">
        <v>1341.86</v>
      </c>
      <c r="AF31" s="11">
        <f>Tabla3568131422[[#This Row],[COMISIONES]]*0.21</f>
        <v>281.79059999999998</v>
      </c>
      <c r="AG31" s="11"/>
      <c r="AH31" s="11">
        <v>561.16</v>
      </c>
      <c r="AI31" s="11"/>
    </row>
    <row r="32" spans="2:35" x14ac:dyDescent="0.3">
      <c r="B32" s="3"/>
      <c r="C32" s="2">
        <f>Tabla1316[[#This Row],[COMISIONES]]*0.21</f>
        <v>0</v>
      </c>
      <c r="D32" s="3"/>
      <c r="E32" s="3"/>
      <c r="F32" s="3"/>
      <c r="H32" s="11"/>
      <c r="I32" s="11">
        <f>Tabla3917[[#This Row],[COMISIONES]]*0.21</f>
        <v>0</v>
      </c>
      <c r="J32" s="11"/>
      <c r="K32" s="11"/>
      <c r="L32" s="11"/>
      <c r="N32" s="11"/>
      <c r="O32" s="11">
        <f>Tabla351018[[#This Row],[COMISIONES]]*0.21</f>
        <v>0</v>
      </c>
      <c r="P32" s="11"/>
      <c r="Q32" s="11"/>
      <c r="R32" s="11"/>
      <c r="T32" s="11"/>
      <c r="U32" s="20">
        <f>Tabla61220[[#This Row],[COMISIONES]]*0.21</f>
        <v>0</v>
      </c>
      <c r="Z32" s="11"/>
      <c r="AA32" s="11">
        <f>Tabla35681321[[#This Row],[COMISIONES]]*0.21</f>
        <v>0</v>
      </c>
      <c r="AB32" s="11"/>
      <c r="AC32" s="11"/>
      <c r="AD32" s="11"/>
      <c r="AE32" s="11"/>
      <c r="AF32" s="11">
        <f>Tabla3568131422[[#This Row],[COMISIONES]]*0.21</f>
        <v>0</v>
      </c>
      <c r="AG32" s="11"/>
      <c r="AH32" s="11">
        <v>44.19</v>
      </c>
      <c r="AI32" s="11"/>
    </row>
    <row r="33" spans="2:35" x14ac:dyDescent="0.3">
      <c r="B33" s="3"/>
      <c r="C33" s="2">
        <f>Tabla1316[[#This Row],[COMISIONES]]*0.21</f>
        <v>0</v>
      </c>
      <c r="D33" s="3"/>
      <c r="E33" s="3"/>
      <c r="F33" s="3"/>
      <c r="H33" s="11"/>
      <c r="I33" s="11">
        <f>Tabla3917[[#This Row],[COMISIONES]]*0.21</f>
        <v>0</v>
      </c>
      <c r="J33" s="11"/>
      <c r="K33" s="11"/>
      <c r="L33" s="11"/>
      <c r="N33" s="11"/>
      <c r="O33" s="11">
        <f>Tabla351018[[#This Row],[COMISIONES]]*0.21</f>
        <v>0</v>
      </c>
      <c r="P33" s="11"/>
      <c r="Q33" s="11"/>
      <c r="R33" s="11"/>
      <c r="T33" s="11"/>
      <c r="U33" s="20">
        <f>Tabla61220[[#This Row],[COMISIONES]]*0.21</f>
        <v>0</v>
      </c>
      <c r="Z33" s="22"/>
      <c r="AA33" s="22">
        <f>Tabla35681321[[#This Row],[COMISIONES]]*0.21</f>
        <v>0</v>
      </c>
      <c r="AB33" s="22"/>
      <c r="AC33" s="22"/>
      <c r="AD33" s="22"/>
      <c r="AE33" s="11">
        <v>278.76</v>
      </c>
      <c r="AF33" s="11">
        <f>Tabla3568131422[[#This Row],[COMISIONES]]*0.21</f>
        <v>58.539599999999993</v>
      </c>
      <c r="AG33" s="11"/>
      <c r="AH33" s="11">
        <v>605.4</v>
      </c>
      <c r="AI33" s="11"/>
    </row>
    <row r="34" spans="2:35" x14ac:dyDescent="0.3">
      <c r="B34" s="3"/>
      <c r="C34" s="2">
        <f>Tabla1316[[#This Row],[COMISIONES]]*0.21</f>
        <v>0</v>
      </c>
      <c r="D34" s="3"/>
      <c r="E34" s="3"/>
      <c r="F34" s="3"/>
      <c r="H34" s="11"/>
      <c r="I34" s="11">
        <f>Tabla3917[[#This Row],[COMISIONES]]*0.21</f>
        <v>0</v>
      </c>
      <c r="J34" s="11"/>
      <c r="K34" s="11"/>
      <c r="L34" s="11"/>
      <c r="N34" s="11"/>
      <c r="O34" s="11">
        <f>Tabla351018[[#This Row],[COMISIONES]]*0.21</f>
        <v>0</v>
      </c>
      <c r="P34" s="11"/>
      <c r="Q34" s="11"/>
      <c r="R34" s="11"/>
      <c r="T34" s="11"/>
      <c r="U34" s="20">
        <f>Tabla61220[[#This Row],[COMISIONES]]*0.21</f>
        <v>0</v>
      </c>
      <c r="Z34" s="22"/>
      <c r="AA34" s="22">
        <f>Tabla35681321[[#This Row],[COMISIONES]]*0.21</f>
        <v>0</v>
      </c>
      <c r="AB34" s="22"/>
      <c r="AC34" s="22"/>
      <c r="AD34" s="22"/>
      <c r="AE34" s="11">
        <v>18</v>
      </c>
      <c r="AF34" s="11">
        <f>Tabla3568131422[[#This Row],[COMISIONES]]*0.21</f>
        <v>3.78</v>
      </c>
      <c r="AG34" s="11"/>
      <c r="AH34" s="11">
        <v>611.59</v>
      </c>
      <c r="AI34" s="11"/>
    </row>
    <row r="35" spans="2:35" x14ac:dyDescent="0.3">
      <c r="B35" s="3"/>
      <c r="C35" s="2">
        <f>Tabla1316[[#This Row],[COMISIONES]]*0.21</f>
        <v>0</v>
      </c>
      <c r="D35" s="3"/>
      <c r="E35" s="3"/>
      <c r="F35" s="3"/>
      <c r="H35" s="11"/>
      <c r="I35" s="11">
        <f>Tabla3917[[#This Row],[COMISIONES]]*0.21</f>
        <v>0</v>
      </c>
      <c r="J35" s="11"/>
      <c r="K35" s="11"/>
      <c r="L35" s="11"/>
      <c r="N35" s="11"/>
      <c r="O35" s="11">
        <f>Tabla351018[[#This Row],[COMISIONES]]*0.21</f>
        <v>0</v>
      </c>
      <c r="P35" s="11"/>
      <c r="Q35" s="11"/>
      <c r="R35" s="11"/>
      <c r="T35" s="11"/>
      <c r="U35" s="20">
        <f>Tabla61220[[#This Row],[COMISIONES]]*0.21</f>
        <v>0</v>
      </c>
      <c r="Z35" s="22"/>
      <c r="AA35" s="22">
        <f>Tabla35681321[[#This Row],[COMISIONES]]*0.21</f>
        <v>0</v>
      </c>
      <c r="AB35" s="22"/>
      <c r="AC35" s="22"/>
      <c r="AD35" s="22"/>
      <c r="AE35" s="11">
        <v>246.6</v>
      </c>
      <c r="AF35" s="11">
        <f>Tabla3568131422[[#This Row],[COMISIONES]]*0.21</f>
        <v>51.785999999999994</v>
      </c>
      <c r="AG35" s="11">
        <v>2069.08</v>
      </c>
      <c r="AH35" s="11">
        <v>3583.81</v>
      </c>
      <c r="AI35" s="11">
        <v>53.74</v>
      </c>
    </row>
    <row r="36" spans="2:35" x14ac:dyDescent="0.3">
      <c r="B36" s="3"/>
      <c r="C36" s="2">
        <f>Tabla1316[[#This Row],[COMISIONES]]*0.21</f>
        <v>0</v>
      </c>
      <c r="D36" s="3"/>
      <c r="E36" s="3"/>
      <c r="F36" s="3"/>
      <c r="H36" s="11"/>
      <c r="I36" s="11">
        <f>Tabla3917[[#This Row],[COMISIONES]]*0.21</f>
        <v>0</v>
      </c>
      <c r="J36" s="11"/>
      <c r="K36" s="11"/>
      <c r="L36" s="11"/>
      <c r="N36" s="11"/>
      <c r="O36" s="11">
        <f>Tabla351018[[#This Row],[COMISIONES]]*0.21</f>
        <v>0</v>
      </c>
      <c r="P36" s="11"/>
      <c r="Q36" s="11"/>
      <c r="R36" s="11"/>
      <c r="T36" s="11"/>
      <c r="U36" s="20">
        <f>Tabla61220[[#This Row],[COMISIONES]]*0.21</f>
        <v>0</v>
      </c>
      <c r="Z36" s="22"/>
      <c r="AA36" s="22">
        <f>Tabla35681321[[#This Row],[COMISIONES]]*0.21</f>
        <v>0</v>
      </c>
      <c r="AB36" s="22"/>
      <c r="AC36" s="22"/>
      <c r="AD36" s="22"/>
      <c r="AE36" s="11">
        <v>249.12</v>
      </c>
      <c r="AF36" s="11">
        <f>Tabla3568131422[[#This Row],[COMISIONES]]*0.21</f>
        <v>52.315199999999997</v>
      </c>
      <c r="AG36" s="11"/>
      <c r="AH36" s="11">
        <v>403.12</v>
      </c>
      <c r="AI36" s="11"/>
    </row>
    <row r="37" spans="2:35" x14ac:dyDescent="0.3">
      <c r="B37" s="3"/>
      <c r="C37" s="2">
        <f>Tabla1316[[#This Row],[COMISIONES]]*0.21</f>
        <v>0</v>
      </c>
      <c r="D37" s="3"/>
      <c r="E37" s="3"/>
      <c r="F37" s="3"/>
      <c r="H37" s="19"/>
      <c r="I37" s="19">
        <f>Tabla3917[[#This Row],[COMISIONES]]*0.21</f>
        <v>0</v>
      </c>
      <c r="J37" s="19"/>
      <c r="K37" s="19"/>
      <c r="L37" s="19"/>
      <c r="N37" s="11"/>
      <c r="O37" s="11">
        <f>Tabla351018[[#This Row],[COMISIONES]]*0.21</f>
        <v>0</v>
      </c>
      <c r="P37" s="11"/>
      <c r="Q37" s="11"/>
      <c r="R37" s="11"/>
      <c r="T37" s="11"/>
      <c r="U37" s="20">
        <f>Tabla61220[[#This Row],[COMISIONES]]*0.21</f>
        <v>0</v>
      </c>
      <c r="Z37" s="22"/>
      <c r="AA37" s="22">
        <f>Tabla35681321[[#This Row],[COMISIONES]]*0.21</f>
        <v>0</v>
      </c>
      <c r="AB37" s="22"/>
      <c r="AC37" s="22"/>
      <c r="AD37" s="22"/>
      <c r="AE37" s="11">
        <v>1459.8</v>
      </c>
      <c r="AF37" s="11">
        <f>Tabla3568131422[[#This Row],[COMISIONES]]*0.21</f>
        <v>306.55799999999999</v>
      </c>
      <c r="AG37" s="11"/>
      <c r="AH37" s="11">
        <v>3093.39</v>
      </c>
      <c r="AI37" s="11"/>
    </row>
    <row r="38" spans="2:35" x14ac:dyDescent="0.3">
      <c r="B38" s="3"/>
      <c r="C38" s="2">
        <f>Tabla1316[[#This Row],[COMISIONES]]*0.21</f>
        <v>0</v>
      </c>
      <c r="D38" s="3"/>
      <c r="E38" s="3"/>
      <c r="F38" s="3"/>
      <c r="H38" s="19"/>
      <c r="I38" s="19">
        <f>Tabla3917[[#This Row],[COMISIONES]]*0.21</f>
        <v>0</v>
      </c>
      <c r="J38" s="19"/>
      <c r="K38" s="19"/>
      <c r="L38" s="19"/>
      <c r="N38" s="11"/>
      <c r="O38" s="11">
        <f>Tabla351018[[#This Row],[COMISIONES]]*0.21</f>
        <v>0</v>
      </c>
      <c r="P38" s="11"/>
      <c r="Q38" s="11"/>
      <c r="R38" s="11"/>
      <c r="T38" s="11"/>
      <c r="U38" s="20">
        <f>Tabla61220[[#This Row],[COMISIONES]]*0.21</f>
        <v>0</v>
      </c>
      <c r="Z38" s="22"/>
      <c r="AA38" s="22">
        <f>Tabla35681321[[#This Row],[COMISIONES]]*0.21</f>
        <v>0</v>
      </c>
      <c r="AB38" s="22"/>
      <c r="AC38" s="22"/>
      <c r="AD38" s="22"/>
      <c r="AE38" s="11">
        <v>164.21</v>
      </c>
      <c r="AF38" s="11">
        <f>Tabla3568131422[[#This Row],[COMISIONES]]*0.21</f>
        <v>34.484099999999998</v>
      </c>
      <c r="AG38" s="11"/>
      <c r="AH38" s="11">
        <v>726.79</v>
      </c>
      <c r="AI38" s="11"/>
    </row>
    <row r="39" spans="2:35" x14ac:dyDescent="0.3">
      <c r="B39" s="3"/>
      <c r="C39" s="2">
        <f>Tabla1316[[#This Row],[COMISIONES]]*0.21</f>
        <v>0</v>
      </c>
      <c r="D39" s="3"/>
      <c r="E39" s="3"/>
      <c r="F39" s="3"/>
      <c r="G39" s="8"/>
      <c r="H39" s="19"/>
      <c r="I39" s="19">
        <f>Tabla3917[[#This Row],[COMISIONES]]*0.21</f>
        <v>0</v>
      </c>
      <c r="J39" s="19"/>
      <c r="K39" s="19"/>
      <c r="L39" s="19"/>
      <c r="M39" s="8"/>
      <c r="N39" s="11"/>
      <c r="O39" s="11">
        <f>Tabla351018[[#This Row],[COMISIONES]]*0.21</f>
        <v>0</v>
      </c>
      <c r="P39" s="11"/>
      <c r="Q39" s="11"/>
      <c r="R39" s="11"/>
      <c r="S39" s="8"/>
      <c r="T39" s="11"/>
      <c r="U39" s="20">
        <f>Tabla61220[[#This Row],[COMISIONES]]*0.21</f>
        <v>0</v>
      </c>
      <c r="Z39" s="22"/>
      <c r="AA39" s="22">
        <f>Tabla35681321[[#This Row],[COMISIONES]]*0.21</f>
        <v>0</v>
      </c>
      <c r="AB39" s="22"/>
      <c r="AC39" s="22"/>
      <c r="AD39" s="22"/>
      <c r="AE39" s="11">
        <v>1791.6</v>
      </c>
      <c r="AF39" s="11">
        <f>Tabla3568131422[[#This Row],[COMISIONES]]*0.21</f>
        <v>376.23599999999999</v>
      </c>
      <c r="AG39" s="11"/>
      <c r="AH39" s="11">
        <v>413.18</v>
      </c>
      <c r="AI39" s="11"/>
    </row>
    <row r="40" spans="2:35" x14ac:dyDescent="0.3">
      <c r="B40" s="3"/>
      <c r="C40" s="2">
        <f>Tabla1316[[#This Row],[COMISIONES]]*0.21</f>
        <v>0</v>
      </c>
      <c r="D40" s="3"/>
      <c r="E40" s="3"/>
      <c r="F40" s="3"/>
      <c r="H40" s="19"/>
      <c r="I40" s="19">
        <f>Tabla3917[[#This Row],[COMISIONES]]*0.21</f>
        <v>0</v>
      </c>
      <c r="J40" s="19"/>
      <c r="K40" s="19"/>
      <c r="L40" s="19"/>
      <c r="N40" s="11"/>
      <c r="O40" s="11">
        <f>Tabla351018[[#This Row],[COMISIONES]]*0.21</f>
        <v>0</v>
      </c>
      <c r="P40" s="11"/>
      <c r="Q40" s="11"/>
      <c r="R40" s="11"/>
      <c r="U40" s="20">
        <f>Tabla61220[[#This Row],[COMISIONES]]*0.21</f>
        <v>0</v>
      </c>
      <c r="Z40" s="22"/>
      <c r="AA40" s="22">
        <f>Tabla35681321[[#This Row],[COMISIONES]]*0.21</f>
        <v>0</v>
      </c>
      <c r="AB40" s="22"/>
      <c r="AC40" s="22"/>
      <c r="AD40" s="22"/>
      <c r="AE40" s="11">
        <v>296.05</v>
      </c>
      <c r="AF40" s="11">
        <f>Tabla3568131422[[#This Row],[COMISIONES]]*0.21</f>
        <v>62.170499999999997</v>
      </c>
      <c r="AG40" s="11"/>
      <c r="AH40" s="11">
        <v>942.79</v>
      </c>
      <c r="AI40" s="11"/>
    </row>
    <row r="41" spans="2:35" x14ac:dyDescent="0.3">
      <c r="B41" s="3"/>
      <c r="C41" s="2">
        <f>Tabla1316[[#This Row],[COMISIONES]]*0.21</f>
        <v>0</v>
      </c>
      <c r="D41" s="3"/>
      <c r="E41" s="3"/>
      <c r="F41" s="3"/>
      <c r="H41" s="19"/>
      <c r="I41" s="19">
        <f>Tabla3917[[#This Row],[COMISIONES]]*0.21</f>
        <v>0</v>
      </c>
      <c r="J41" s="19"/>
      <c r="K41" s="19"/>
      <c r="L41" s="19"/>
      <c r="N41" s="11"/>
      <c r="O41" s="11">
        <f>Tabla351018[[#This Row],[COMISIONES]]*0.21</f>
        <v>0</v>
      </c>
      <c r="P41" s="11"/>
      <c r="Q41" s="11"/>
      <c r="R41" s="11"/>
      <c r="U41" s="20">
        <f>Tabla61220[[#This Row],[COMISIONES]]*0.21</f>
        <v>0</v>
      </c>
      <c r="Z41" s="22"/>
      <c r="AA41" s="22">
        <f>Tabla35681321[[#This Row],[COMISIONES]]*0.21</f>
        <v>0</v>
      </c>
      <c r="AB41" s="22"/>
      <c r="AC41" s="22"/>
      <c r="AD41" s="22"/>
      <c r="AE41" s="11">
        <v>168.3</v>
      </c>
      <c r="AF41" s="11">
        <f>Tabla3568131422[[#This Row],[COMISIONES]]*0.21</f>
        <v>35.343000000000004</v>
      </c>
      <c r="AG41" s="11"/>
      <c r="AH41" s="11">
        <v>2290.52</v>
      </c>
      <c r="AI41" s="11"/>
    </row>
    <row r="42" spans="2:35" x14ac:dyDescent="0.3">
      <c r="B42" s="3"/>
      <c r="C42" s="2">
        <f>Tabla1316[[#This Row],[COMISIONES]]*0.21</f>
        <v>0</v>
      </c>
      <c r="D42" s="3"/>
      <c r="E42" s="3"/>
      <c r="F42" s="3"/>
      <c r="H42" s="19"/>
      <c r="I42" s="19">
        <f>Tabla3917[[#This Row],[COMISIONES]]*0.21</f>
        <v>0</v>
      </c>
      <c r="J42" s="19"/>
      <c r="K42" s="19"/>
      <c r="L42" s="19"/>
      <c r="N42" s="11"/>
      <c r="O42" s="11">
        <f>Tabla351018[[#This Row],[COMISIONES]]*0.21</f>
        <v>0</v>
      </c>
      <c r="P42" s="11"/>
      <c r="Q42" s="11"/>
      <c r="R42" s="11"/>
      <c r="U42" s="20">
        <f>Tabla61220[[#This Row],[COMISIONES]]*0.21</f>
        <v>0</v>
      </c>
      <c r="Z42" s="22"/>
      <c r="AA42" s="22">
        <f>Tabla35681321[[#This Row],[COMISIONES]]*0.21</f>
        <v>0</v>
      </c>
      <c r="AB42" s="22"/>
      <c r="AC42" s="22"/>
      <c r="AD42" s="22"/>
      <c r="AE42" s="11">
        <v>384.03</v>
      </c>
      <c r="AF42" s="11">
        <f>Tabla3568131422[[#This Row],[COMISIONES]]*0.21</f>
        <v>80.646299999999997</v>
      </c>
      <c r="AG42" s="11"/>
      <c r="AH42" s="11">
        <v>2050.64</v>
      </c>
      <c r="AI42" s="11">
        <v>15.84</v>
      </c>
    </row>
    <row r="43" spans="2:35" x14ac:dyDescent="0.3">
      <c r="B43" s="3"/>
      <c r="C43" s="2">
        <f>Tabla1316[[#This Row],[COMISIONES]]*0.21</f>
        <v>0</v>
      </c>
      <c r="D43" s="3"/>
      <c r="E43" s="3"/>
      <c r="F43" s="3"/>
      <c r="H43" s="19"/>
      <c r="I43" s="19">
        <f>Tabla3917[[#This Row],[COMISIONES]]*0.21</f>
        <v>0</v>
      </c>
      <c r="J43" s="19"/>
      <c r="K43" s="19"/>
      <c r="L43" s="19"/>
      <c r="N43" s="11"/>
      <c r="O43" s="11">
        <f>Tabla351018[[#This Row],[COMISIONES]]*0.21</f>
        <v>0</v>
      </c>
      <c r="P43" s="11"/>
      <c r="Q43" s="11"/>
      <c r="R43" s="11"/>
      <c r="U43" s="20">
        <f>Tabla61220[[#This Row],[COMISIONES]]*0.21</f>
        <v>0</v>
      </c>
      <c r="Z43" s="22"/>
      <c r="AA43" s="22">
        <f>Tabla35681321[[#This Row],[COMISIONES]]*0.21</f>
        <v>0</v>
      </c>
      <c r="AB43" s="22"/>
      <c r="AC43" s="22"/>
      <c r="AD43" s="22"/>
      <c r="AE43" s="11">
        <v>933</v>
      </c>
      <c r="AF43" s="11">
        <f>Tabla3568131422[[#This Row],[COMISIONES]]*0.21</f>
        <v>195.93</v>
      </c>
      <c r="AG43" s="11">
        <v>225.85</v>
      </c>
      <c r="AH43" s="11">
        <v>574.47</v>
      </c>
      <c r="AI43" s="11"/>
    </row>
    <row r="44" spans="2:35" x14ac:dyDescent="0.3">
      <c r="B44" s="3"/>
      <c r="C44" s="2">
        <f>Tabla1316[[#This Row],[COMISIONES]]*0.21</f>
        <v>0</v>
      </c>
      <c r="D44" s="3"/>
      <c r="E44" s="3"/>
      <c r="F44" s="3"/>
      <c r="H44" s="19"/>
      <c r="I44" s="19">
        <f>Tabla3917[[#This Row],[COMISIONES]]*0.21</f>
        <v>0</v>
      </c>
      <c r="J44" s="19"/>
      <c r="K44" s="19"/>
      <c r="L44" s="19"/>
      <c r="N44" s="11"/>
      <c r="O44" s="11">
        <f>Tabla351018[[#This Row],[COMISIONES]]*0.21</f>
        <v>0</v>
      </c>
      <c r="P44" s="11"/>
      <c r="Q44" s="11"/>
      <c r="R44" s="11"/>
      <c r="U44" s="20">
        <f>Tabla61220[[#This Row],[COMISIONES]]*0.21</f>
        <v>0</v>
      </c>
      <c r="Z44" s="22"/>
      <c r="AA44" s="22">
        <f>Tabla35681321[[#This Row],[COMISIONES]]*0.21</f>
        <v>0</v>
      </c>
      <c r="AB44" s="22"/>
      <c r="AC44" s="22"/>
      <c r="AD44" s="22"/>
      <c r="AE44" s="11">
        <v>180</v>
      </c>
      <c r="AF44" s="11">
        <f>Tabla3568131422[[#This Row],[COMISIONES]]*0.21</f>
        <v>37.799999999999997</v>
      </c>
      <c r="AG44" s="11"/>
      <c r="AH44" s="11">
        <v>441.9</v>
      </c>
      <c r="AI44" s="11"/>
    </row>
    <row r="45" spans="2:35" x14ac:dyDescent="0.3">
      <c r="B45" s="3"/>
      <c r="C45" s="2">
        <f>Tabla1316[[#This Row],[COMISIONES]]*0.21</f>
        <v>0</v>
      </c>
      <c r="D45" s="3"/>
      <c r="E45" s="3"/>
      <c r="F45" s="3"/>
      <c r="H45" s="19"/>
      <c r="I45" s="19">
        <f>Tabla3917[[#This Row],[COMISIONES]]*0.21</f>
        <v>0</v>
      </c>
      <c r="J45" s="19"/>
      <c r="K45" s="19"/>
      <c r="L45" s="19"/>
      <c r="N45" s="11"/>
      <c r="O45" s="11">
        <f>Tabla351018[[#This Row],[COMISIONES]]*0.21</f>
        <v>0</v>
      </c>
      <c r="P45" s="11"/>
      <c r="Q45" s="11"/>
      <c r="R45" s="11"/>
      <c r="U45" s="20">
        <f>Tabla61220[[#This Row],[COMISIONES]]*0.21</f>
        <v>0</v>
      </c>
      <c r="Z45" s="22"/>
      <c r="AA45" s="22">
        <f>Tabla35681321[[#This Row],[COMISIONES]]*0.21</f>
        <v>0</v>
      </c>
      <c r="AB45" s="22"/>
      <c r="AC45" s="22"/>
      <c r="AD45" s="22"/>
      <c r="AE45" s="11">
        <v>835.29</v>
      </c>
      <c r="AF45" s="11">
        <f>Tabla3568131422[[#This Row],[COMISIONES]]*0.21</f>
        <v>175.4109</v>
      </c>
      <c r="AG45" s="11"/>
      <c r="AH45" s="11">
        <v>401.91</v>
      </c>
      <c r="AI45" s="11"/>
    </row>
    <row r="46" spans="2:35" x14ac:dyDescent="0.3">
      <c r="B46" s="3"/>
      <c r="C46" s="2">
        <f>Tabla1316[[#This Row],[COMISIONES]]*0.21</f>
        <v>0</v>
      </c>
      <c r="D46" s="3"/>
      <c r="E46" s="3"/>
      <c r="F46" s="3"/>
      <c r="H46" s="19"/>
      <c r="I46" s="19">
        <f>Tabla3917[[#This Row],[COMISIONES]]*0.21</f>
        <v>0</v>
      </c>
      <c r="J46" s="19"/>
      <c r="K46" s="19"/>
      <c r="L46" s="19"/>
      <c r="N46" s="11"/>
      <c r="O46" s="11">
        <f>Tabla351018[[#This Row],[COMISIONES]]*0.21</f>
        <v>0</v>
      </c>
      <c r="P46" s="11"/>
      <c r="Q46" s="11"/>
      <c r="R46" s="11"/>
      <c r="U46" s="20">
        <f>Tabla61220[[#This Row],[COMISIONES]]*0.21</f>
        <v>0</v>
      </c>
      <c r="Z46" s="22"/>
      <c r="AA46" s="22">
        <f>Tabla35681321[[#This Row],[COMISIONES]]*0.21</f>
        <v>0</v>
      </c>
      <c r="AB46" s="22"/>
      <c r="AC46" s="22"/>
      <c r="AD46" s="22"/>
      <c r="AE46" s="11">
        <v>234</v>
      </c>
      <c r="AF46" s="11">
        <f>Tabla3568131422[[#This Row],[COMISIONES]]*0.21</f>
        <v>49.14</v>
      </c>
      <c r="AG46" s="11"/>
      <c r="AH46" s="11">
        <v>1787.93</v>
      </c>
      <c r="AI46" s="11"/>
    </row>
    <row r="47" spans="2:35" x14ac:dyDescent="0.3">
      <c r="B47" s="2"/>
      <c r="C47" s="2">
        <f>Tabla1316[[#This Row],[COMISIONES]]*0.21</f>
        <v>0</v>
      </c>
      <c r="D47" s="2"/>
      <c r="E47" s="2"/>
      <c r="H47" s="19"/>
      <c r="I47" s="19">
        <f>Tabla3917[[#This Row],[COMISIONES]]*0.21</f>
        <v>0</v>
      </c>
      <c r="J47" s="19"/>
      <c r="K47" s="19"/>
      <c r="L47" s="19"/>
      <c r="N47" s="11"/>
      <c r="O47" s="11">
        <f>Tabla351018[[#This Row],[COMISIONES]]*0.21</f>
        <v>0</v>
      </c>
      <c r="P47" s="11"/>
      <c r="Q47" s="11"/>
      <c r="R47" s="11"/>
      <c r="U47" s="20">
        <f>Tabla61220[[#This Row],[COMISIONES]]*0.21</f>
        <v>0</v>
      </c>
      <c r="Z47" s="22"/>
      <c r="AA47" s="22">
        <f>Tabla35681321[[#This Row],[COMISIONES]]*0.21</f>
        <v>0</v>
      </c>
      <c r="AB47" s="22"/>
      <c r="AC47" s="22"/>
      <c r="AD47" s="22"/>
      <c r="AE47" s="11">
        <v>163.71</v>
      </c>
      <c r="AF47" s="11">
        <f>Tabla3568131422[[#This Row],[COMISIONES]]*0.21</f>
        <v>34.379100000000001</v>
      </c>
      <c r="AG47" s="11"/>
      <c r="AH47" s="11">
        <v>696.88</v>
      </c>
      <c r="AI47" s="11"/>
    </row>
    <row r="48" spans="2:35" x14ac:dyDescent="0.3">
      <c r="B48" s="2"/>
      <c r="C48" s="2">
        <f>Tabla1316[[#This Row],[COMISIONES]]*0.21</f>
        <v>0</v>
      </c>
      <c r="D48" s="2"/>
      <c r="E48" s="2"/>
      <c r="H48" s="19"/>
      <c r="I48" s="19">
        <f>Tabla3917[[#This Row],[COMISIONES]]*0.21</f>
        <v>0</v>
      </c>
      <c r="J48" s="19"/>
      <c r="K48" s="19"/>
      <c r="L48" s="19"/>
      <c r="N48" s="11"/>
      <c r="O48" s="11">
        <f>Tabla351018[[#This Row],[COMISIONES]]*0.21</f>
        <v>0</v>
      </c>
      <c r="P48" s="11"/>
      <c r="Q48" s="11"/>
      <c r="R48" s="11"/>
      <c r="U48" s="20">
        <f>Tabla61220[[#This Row],[COMISIONES]]*0.21</f>
        <v>0</v>
      </c>
      <c r="Z48" s="22"/>
      <c r="AA48" s="22">
        <f>Tabla35681321[[#This Row],[COMISIONES]]*0.21</f>
        <v>0</v>
      </c>
      <c r="AB48" s="22"/>
      <c r="AC48" s="22"/>
      <c r="AD48" s="22"/>
      <c r="AE48" s="11">
        <v>728.28</v>
      </c>
      <c r="AF48" s="11">
        <f>Tabla3568131422[[#This Row],[COMISIONES]]*0.21</f>
        <v>152.93879999999999</v>
      </c>
      <c r="AG48" s="11">
        <v>244.33</v>
      </c>
      <c r="AH48" s="11">
        <v>318.17</v>
      </c>
      <c r="AI48" s="11"/>
    </row>
    <row r="49" spans="2:35" x14ac:dyDescent="0.3">
      <c r="B49" s="2"/>
      <c r="C49" s="2">
        <f>Tabla1316[[#This Row],[COMISIONES]]*0.21</f>
        <v>0</v>
      </c>
      <c r="D49" s="2"/>
      <c r="E49" s="2"/>
      <c r="H49" s="18">
        <f>SUBTOTAL(109,Tabla3917[COMISIONES])</f>
        <v>1187.2099999999998</v>
      </c>
      <c r="I49" s="18">
        <f>SUBTOTAL(109,Tabla3917[IVA 21])</f>
        <v>249.31409999999997</v>
      </c>
      <c r="J49" s="18">
        <f>SUBTOTAL(109,Tabla3917[IVA 10,5])</f>
        <v>0</v>
      </c>
      <c r="K49" s="18">
        <f>SUBTOTAL(109,Tabla3917[Ret IIBB Caba])</f>
        <v>4848.92</v>
      </c>
      <c r="L49" s="18">
        <f>SUBTOTAL(109,Tabla3917[PERC IVA])</f>
        <v>0</v>
      </c>
      <c r="N49" s="11"/>
      <c r="O49" s="11">
        <f>Tabla351018[[#This Row],[COMISIONES]]*0.21</f>
        <v>0</v>
      </c>
      <c r="P49" s="11"/>
      <c r="Q49" s="11"/>
      <c r="R49" s="11"/>
      <c r="U49" s="20">
        <f>Tabla61220[[#This Row],[COMISIONES]]*0.21</f>
        <v>0</v>
      </c>
      <c r="Z49" s="22"/>
      <c r="AA49" s="22">
        <f>Tabla35681321[[#This Row],[COMISIONES]]*0.21</f>
        <v>0</v>
      </c>
      <c r="AB49" s="22"/>
      <c r="AC49" s="22"/>
      <c r="AD49" s="22"/>
      <c r="AE49" s="11">
        <v>283.86</v>
      </c>
      <c r="AF49" s="11">
        <f>Tabla3568131422[[#This Row],[COMISIONES]]*0.21</f>
        <v>59.610599999999998</v>
      </c>
      <c r="AG49" s="11">
        <v>877.81</v>
      </c>
      <c r="AH49" s="11">
        <v>440.91</v>
      </c>
      <c r="AI49" s="11"/>
    </row>
    <row r="50" spans="2:35" ht="18" x14ac:dyDescent="0.35">
      <c r="B50" s="2"/>
      <c r="C50" s="2">
        <f>Tabla1316[[#This Row],[COMISIONES]]*0.21</f>
        <v>0</v>
      </c>
      <c r="D50" s="2"/>
      <c r="E50" s="2"/>
      <c r="H50" s="30" t="s">
        <v>20</v>
      </c>
      <c r="I50" s="30"/>
      <c r="J50" s="30"/>
      <c r="K50" s="30"/>
      <c r="L50" s="30"/>
      <c r="N50" s="11"/>
      <c r="O50" s="11">
        <f>Tabla351018[[#This Row],[COMISIONES]]*0.21</f>
        <v>0</v>
      </c>
      <c r="P50" s="11"/>
      <c r="Q50" s="11"/>
      <c r="R50" s="11"/>
      <c r="U50" s="20">
        <f>Tabla61220[[#This Row],[COMISIONES]]*0.21</f>
        <v>0</v>
      </c>
      <c r="Z50" s="22"/>
      <c r="AA50" s="22">
        <f>Tabla35681321[[#This Row],[COMISIONES]]*0.21</f>
        <v>0</v>
      </c>
      <c r="AB50" s="22"/>
      <c r="AC50" s="22"/>
      <c r="AD50" s="22"/>
      <c r="AE50" s="11">
        <v>129.6</v>
      </c>
      <c r="AF50" s="11">
        <f>Tabla3568131422[[#This Row],[COMISIONES]]*0.21</f>
        <v>27.215999999999998</v>
      </c>
      <c r="AG50" s="11"/>
      <c r="AH50" s="11">
        <v>458.25</v>
      </c>
      <c r="AI50" s="11"/>
    </row>
    <row r="51" spans="2:35" x14ac:dyDescent="0.3">
      <c r="B51" s="2"/>
      <c r="C51" s="2">
        <f>Tabla1316[[#This Row],[COMISIONES]]*0.21</f>
        <v>0</v>
      </c>
      <c r="D51" s="2"/>
      <c r="E51" s="2"/>
      <c r="H51" s="12" t="s">
        <v>2</v>
      </c>
      <c r="I51" s="13" t="s">
        <v>0</v>
      </c>
      <c r="J51" s="13" t="s">
        <v>1</v>
      </c>
      <c r="K51" s="13" t="s">
        <v>3</v>
      </c>
      <c r="L51" s="13" t="s">
        <v>4</v>
      </c>
      <c r="N51" s="11"/>
      <c r="O51" s="11">
        <f>Tabla351018[[#This Row],[COMISIONES]]*0.21</f>
        <v>0</v>
      </c>
      <c r="P51" s="11"/>
      <c r="Q51" s="11"/>
      <c r="R51" s="11"/>
      <c r="U51" s="20">
        <f>Tabla61220[[#This Row],[COMISIONES]]*0.21</f>
        <v>0</v>
      </c>
      <c r="Z51" s="22"/>
      <c r="AA51" s="22">
        <f>Tabla35681321[[#This Row],[COMISIONES]]*0.21</f>
        <v>0</v>
      </c>
      <c r="AB51" s="22"/>
      <c r="AC51" s="22"/>
      <c r="AD51" s="22"/>
      <c r="AE51" s="11">
        <v>219.02</v>
      </c>
      <c r="AF51" s="11">
        <f>Tabla3568131422[[#This Row],[COMISIONES]]*0.21</f>
        <v>45.994199999999999</v>
      </c>
      <c r="AG51" s="11"/>
      <c r="AH51" s="11">
        <v>780.17</v>
      </c>
      <c r="AI51" s="11"/>
    </row>
    <row r="52" spans="2:35" x14ac:dyDescent="0.3">
      <c r="B52" s="2"/>
      <c r="C52" s="2">
        <f>Tabla1316[[#This Row],[COMISIONES]]*0.21</f>
        <v>0</v>
      </c>
      <c r="D52" s="2"/>
      <c r="E52" s="2"/>
      <c r="H52" s="3"/>
      <c r="I52" s="11">
        <f>Tabla391523[[#This Row],[COMISIONES]]*0.21</f>
        <v>0</v>
      </c>
      <c r="J52" s="11"/>
      <c r="K52" s="11"/>
      <c r="L52" s="11"/>
      <c r="N52" s="11"/>
      <c r="O52" s="11">
        <f>Tabla351018[[#This Row],[COMISIONES]]*0.21</f>
        <v>0</v>
      </c>
      <c r="P52" s="11"/>
      <c r="Q52" s="11"/>
      <c r="R52" s="11"/>
      <c r="U52" s="20">
        <f>Tabla61220[[#This Row],[COMISIONES]]*0.21</f>
        <v>0</v>
      </c>
      <c r="Z52" s="22"/>
      <c r="AA52" s="22">
        <f>Tabla35681321[[#This Row],[COMISIONES]]*0.21</f>
        <v>0</v>
      </c>
      <c r="AB52" s="22"/>
      <c r="AC52" s="22"/>
      <c r="AD52" s="22"/>
      <c r="AE52" s="11">
        <v>186.66</v>
      </c>
      <c r="AF52" s="11">
        <f>Tabla3568131422[[#This Row],[COMISIONES]]*0.21</f>
        <v>39.198599999999999</v>
      </c>
      <c r="AG52" s="11"/>
      <c r="AH52" s="11">
        <v>476.99</v>
      </c>
      <c r="AI52" s="11"/>
    </row>
    <row r="53" spans="2:35" x14ac:dyDescent="0.3">
      <c r="B53" s="2"/>
      <c r="C53" s="2">
        <f>Tabla1316[[#This Row],[COMISIONES]]*0.21</f>
        <v>0</v>
      </c>
      <c r="D53" s="2"/>
      <c r="E53" s="2"/>
      <c r="H53" s="11"/>
      <c r="I53" s="11">
        <f>Tabla391523[[#This Row],[COMISIONES]]*0.21</f>
        <v>0</v>
      </c>
      <c r="J53" s="11"/>
      <c r="K53" s="11"/>
      <c r="L53" s="22"/>
      <c r="N53" s="11"/>
      <c r="O53" s="11">
        <f>Tabla351018[[#This Row],[COMISIONES]]*0.21</f>
        <v>0</v>
      </c>
      <c r="P53" s="11"/>
      <c r="Q53" s="11"/>
      <c r="R53" s="11"/>
      <c r="U53" s="20">
        <f>Tabla61220[[#This Row],[COMISIONES]]*0.21</f>
        <v>0</v>
      </c>
      <c r="Z53" s="22"/>
      <c r="AA53" s="22">
        <f>Tabla35681321[[#This Row],[COMISIONES]]*0.21</f>
        <v>0</v>
      </c>
      <c r="AB53" s="22"/>
      <c r="AC53" s="22"/>
      <c r="AD53" s="22"/>
      <c r="AE53" s="11">
        <v>317.79000000000002</v>
      </c>
      <c r="AF53" s="11">
        <f>Tabla3568131422[[#This Row],[COMISIONES]]*0.21</f>
        <v>66.735900000000001</v>
      </c>
      <c r="AG53" s="11"/>
      <c r="AH53" s="11">
        <v>920.06</v>
      </c>
      <c r="AI53" s="11"/>
    </row>
    <row r="54" spans="2:35" x14ac:dyDescent="0.3">
      <c r="B54" s="2"/>
      <c r="C54" s="2">
        <f>Tabla1316[[#This Row],[COMISIONES]]*0.21</f>
        <v>0</v>
      </c>
      <c r="D54" s="1"/>
      <c r="E54" s="2"/>
      <c r="H54" s="11"/>
      <c r="I54" s="11">
        <f>Tabla391523[[#This Row],[COMISIONES]]*0.21</f>
        <v>0</v>
      </c>
      <c r="J54" s="11"/>
      <c r="K54" s="11"/>
      <c r="L54" s="11"/>
      <c r="N54" s="11"/>
      <c r="O54" s="11">
        <f>Tabla351018[[#This Row],[COMISIONES]]*0.21</f>
        <v>0</v>
      </c>
      <c r="P54" s="11"/>
      <c r="Q54" s="11"/>
      <c r="R54" s="11"/>
      <c r="U54" s="20">
        <f>Tabla61220[[#This Row],[COMISIONES]]*0.21</f>
        <v>0</v>
      </c>
      <c r="Z54" s="22"/>
      <c r="AA54" s="22">
        <f>Tabla35681321[[#This Row],[COMISIONES]]*0.21</f>
        <v>0</v>
      </c>
      <c r="AB54" s="22"/>
      <c r="AC54" s="22"/>
      <c r="AD54" s="22"/>
      <c r="AE54" s="11">
        <v>236.94</v>
      </c>
      <c r="AF54" s="11">
        <f>Tabla3568131422[[#This Row],[COMISIONES]]*0.21</f>
        <v>49.757399999999997</v>
      </c>
      <c r="AG54" s="11"/>
      <c r="AH54" s="11">
        <v>1679</v>
      </c>
      <c r="AI54" s="11"/>
    </row>
    <row r="55" spans="2:35" x14ac:dyDescent="0.3">
      <c r="B55" s="2"/>
      <c r="C55" s="2">
        <f>Tabla1316[[#This Row],[COMISIONES]]*0.21</f>
        <v>0</v>
      </c>
      <c r="D55" s="2"/>
      <c r="E55" s="2"/>
      <c r="H55" s="11"/>
      <c r="I55" s="11">
        <f>Tabla391523[[#This Row],[COMISIONES]]*0.21</f>
        <v>0</v>
      </c>
      <c r="J55" s="11"/>
      <c r="K55" s="11"/>
      <c r="L55" s="11"/>
      <c r="N55" s="11"/>
      <c r="O55" s="11">
        <f>Tabla351018[[#This Row],[COMISIONES]]*0.21</f>
        <v>0</v>
      </c>
      <c r="P55" s="11"/>
      <c r="Q55" s="11"/>
      <c r="R55" s="11"/>
      <c r="U55" s="20">
        <f>Tabla61220[[#This Row],[COMISIONES]]*0.21</f>
        <v>0</v>
      </c>
      <c r="Z55" s="22"/>
      <c r="AA55" s="22">
        <f>Tabla35681321[[#This Row],[COMISIONES]]*0.21</f>
        <v>0</v>
      </c>
      <c r="AB55" s="22"/>
      <c r="AC55" s="22"/>
      <c r="AD55" s="22"/>
      <c r="AE55" s="11">
        <v>528.01</v>
      </c>
      <c r="AF55" s="11">
        <f>Tabla3568131422[[#This Row],[COMISIONES]]*0.21</f>
        <v>110.88209999999999</v>
      </c>
      <c r="AG55" s="11">
        <v>4523.1499999999996</v>
      </c>
      <c r="AH55" s="11">
        <v>4740.87</v>
      </c>
      <c r="AI55" s="11">
        <v>81.62</v>
      </c>
    </row>
    <row r="56" spans="2:35" x14ac:dyDescent="0.3">
      <c r="B56" s="2"/>
      <c r="C56" s="2">
        <f>Tabla1316[[#This Row],[COMISIONES]]*0.21</f>
        <v>0</v>
      </c>
      <c r="D56" s="2"/>
      <c r="E56" s="2"/>
      <c r="H56" s="11"/>
      <c r="I56" s="11">
        <f>Tabla391523[[#This Row],[COMISIONES]]*0.21</f>
        <v>0</v>
      </c>
      <c r="J56" s="11"/>
      <c r="K56" s="11"/>
      <c r="L56" s="11"/>
      <c r="N56" s="11"/>
      <c r="O56" s="11">
        <f>Tabla351018[[#This Row],[COMISIONES]]*0.21</f>
        <v>0</v>
      </c>
      <c r="P56" s="11"/>
      <c r="Q56" s="11"/>
      <c r="R56" s="11"/>
      <c r="U56" s="20">
        <f>Tabla61220[[#This Row],[COMISIONES]]*0.21</f>
        <v>0</v>
      </c>
      <c r="Z56" s="22"/>
      <c r="AA56" s="22">
        <f>Tabla35681321[[#This Row],[COMISIONES]]*0.21</f>
        <v>0</v>
      </c>
      <c r="AB56" s="22"/>
      <c r="AC56" s="22"/>
      <c r="AD56" s="22"/>
      <c r="AE56" s="11">
        <v>683.91</v>
      </c>
      <c r="AF56" s="11">
        <f>Tabla3568131422[[#This Row],[COMISIONES]]*0.21</f>
        <v>143.62109999999998</v>
      </c>
      <c r="AG56" s="11"/>
      <c r="AH56" s="11">
        <v>670.72</v>
      </c>
      <c r="AI56" s="11"/>
    </row>
    <row r="57" spans="2:35" x14ac:dyDescent="0.3">
      <c r="B57" s="18">
        <f>SUBTOTAL(109,Tabla1316[COMISIONES])</f>
        <v>7900.04</v>
      </c>
      <c r="C57" s="18">
        <f>SUBTOTAL(109,Tabla1316[IVA 21])</f>
        <v>1659.0083999999999</v>
      </c>
      <c r="D57" s="18">
        <f>SUBTOTAL(109,Tabla1316[IVA 10,5])</f>
        <v>0</v>
      </c>
      <c r="E57" s="18">
        <f>SUBTOTAL(109,Tabla1316[Ret IIBB Caba])</f>
        <v>7049.2699999999995</v>
      </c>
      <c r="F57" s="18">
        <f>SUBTOTAL(109,Tabla1316[PERC IVA])</f>
        <v>67.98</v>
      </c>
      <c r="H57" s="11"/>
      <c r="I57" s="11">
        <f>Tabla391523[[#This Row],[COMISIONES]]*0.21</f>
        <v>0</v>
      </c>
      <c r="J57" s="11"/>
      <c r="K57" s="11"/>
      <c r="L57" s="11"/>
      <c r="N57" s="11"/>
      <c r="O57" s="11">
        <f>Tabla351018[[#This Row],[COMISIONES]]*0.21</f>
        <v>0</v>
      </c>
      <c r="P57" s="11"/>
      <c r="Q57" s="11"/>
      <c r="R57" s="11"/>
      <c r="U57" s="20">
        <f>Tabla61220[[#This Row],[COMISIONES]]*0.21</f>
        <v>0</v>
      </c>
      <c r="Z57" s="22"/>
      <c r="AA57" s="22">
        <f>Tabla35681321[[#This Row],[COMISIONES]]*0.21</f>
        <v>0</v>
      </c>
      <c r="AB57" s="22"/>
      <c r="AC57" s="22"/>
      <c r="AD57" s="22"/>
      <c r="AE57" s="1">
        <v>2720.72</v>
      </c>
      <c r="AF57" s="11">
        <f>Tabla3568131422[[#This Row],[COMISIONES]]*0.21</f>
        <v>571.35119999999995</v>
      </c>
      <c r="AG57" s="11"/>
      <c r="AH57" s="11">
        <v>1368.66</v>
      </c>
      <c r="AI57" s="11"/>
    </row>
    <row r="58" spans="2:35" x14ac:dyDescent="0.3">
      <c r="H58" s="11"/>
      <c r="I58" s="11">
        <f>Tabla391523[[#This Row],[COMISIONES]]*0.21</f>
        <v>0</v>
      </c>
      <c r="J58" s="11"/>
      <c r="K58" s="11"/>
      <c r="L58" s="11"/>
      <c r="N58" s="11"/>
      <c r="O58" s="11">
        <f>Tabla351018[[#This Row],[COMISIONES]]*0.21</f>
        <v>0</v>
      </c>
      <c r="P58" s="11"/>
      <c r="Q58" s="11"/>
      <c r="R58" s="11"/>
      <c r="T58" s="18">
        <f>SUBTOTAL(109,Tabla61220[COMISIONES])</f>
        <v>800</v>
      </c>
      <c r="U58" s="18">
        <f>SUBTOTAL(109,Tabla61220[IVA 21])</f>
        <v>168</v>
      </c>
      <c r="V58" s="18">
        <f>SUBTOTAL(109,Tabla61220[IVA 10,5])</f>
        <v>0</v>
      </c>
      <c r="W58" s="18">
        <f>SUBTOTAL(109,Tabla61220[Ret IIBB Caba])</f>
        <v>1148.97</v>
      </c>
      <c r="X58" s="18">
        <f>SUBTOTAL(109,Tabla61220[PERC IVA])</f>
        <v>0</v>
      </c>
      <c r="Z58" s="22"/>
      <c r="AA58" s="22">
        <f>Tabla35681321[[#This Row],[COMISIONES]]*0.21</f>
        <v>0</v>
      </c>
      <c r="AB58" s="22"/>
      <c r="AC58" s="22"/>
      <c r="AD58" s="22"/>
      <c r="AE58" s="11">
        <v>120.2</v>
      </c>
      <c r="AF58" s="11">
        <f>Tabla3568131422[[#This Row],[COMISIONES]]*0.21</f>
        <v>25.242000000000001</v>
      </c>
      <c r="AG58" s="11"/>
      <c r="AH58" s="11">
        <v>448.63</v>
      </c>
      <c r="AI58" s="11"/>
    </row>
    <row r="59" spans="2:35" x14ac:dyDescent="0.3">
      <c r="H59" s="11"/>
      <c r="I59" s="11">
        <f>Tabla391523[[#This Row],[COMISIONES]]*0.21</f>
        <v>0</v>
      </c>
      <c r="J59" s="11"/>
      <c r="K59" s="11"/>
      <c r="L59" s="11"/>
      <c r="N59" s="11"/>
      <c r="O59" s="11">
        <f>Tabla351018[[#This Row],[COMISIONES]]*0.21</f>
        <v>0</v>
      </c>
      <c r="P59" s="11"/>
      <c r="Q59" s="11"/>
      <c r="R59" s="11"/>
      <c r="Z59" s="22"/>
      <c r="AA59" s="22">
        <f>Tabla35681321[[#This Row],[COMISIONES]]*0.21</f>
        <v>0</v>
      </c>
      <c r="AB59" s="22"/>
      <c r="AC59" s="22"/>
      <c r="AD59" s="22"/>
      <c r="AE59" s="11">
        <v>245.28</v>
      </c>
      <c r="AF59" s="11">
        <f>Tabla3568131422[[#This Row],[COMISIONES]]*0.21</f>
        <v>51.508800000000001</v>
      </c>
      <c r="AG59" s="11"/>
      <c r="AH59" s="11">
        <v>803.52</v>
      </c>
      <c r="AI59" s="11"/>
    </row>
    <row r="60" spans="2:35" x14ac:dyDescent="0.3">
      <c r="H60" s="11"/>
      <c r="I60" s="11">
        <f>Tabla391523[[#This Row],[COMISIONES]]*0.21</f>
        <v>0</v>
      </c>
      <c r="J60" s="11"/>
      <c r="K60" s="11"/>
      <c r="L60" s="11"/>
      <c r="N60" s="11"/>
      <c r="O60" s="11">
        <f>Tabla351018[[#This Row],[COMISIONES]]*0.21</f>
        <v>0</v>
      </c>
      <c r="P60" s="11"/>
      <c r="Q60" s="11"/>
      <c r="R60" s="11"/>
      <c r="Z60" s="22"/>
      <c r="AA60" s="22">
        <f>Tabla35681321[[#This Row],[COMISIONES]]*0.21</f>
        <v>0</v>
      </c>
      <c r="AB60" s="22"/>
      <c r="AC60" s="22"/>
      <c r="AD60" s="22"/>
      <c r="AE60" s="11">
        <v>80.400000000000006</v>
      </c>
      <c r="AF60" s="11">
        <f>Tabla3568131422[[#This Row],[COMISIONES]]*0.21</f>
        <v>16.884</v>
      </c>
      <c r="AG60" s="11"/>
      <c r="AH60" s="11">
        <v>849.95</v>
      </c>
      <c r="AI60" s="11"/>
    </row>
    <row r="61" spans="2:35" x14ac:dyDescent="0.3">
      <c r="H61" s="11"/>
      <c r="I61" s="11">
        <f>Tabla391523[[#This Row],[COMISIONES]]*0.21</f>
        <v>0</v>
      </c>
      <c r="J61" s="11"/>
      <c r="K61" s="11"/>
      <c r="L61" s="11"/>
      <c r="N61" s="11"/>
      <c r="O61" s="11">
        <f>Tabla351018[[#This Row],[COMISIONES]]*0.21</f>
        <v>0</v>
      </c>
      <c r="P61" s="11"/>
      <c r="Q61" s="11"/>
      <c r="R61" s="11"/>
      <c r="Z61" s="22"/>
      <c r="AA61" s="22">
        <f>Tabla35681321[[#This Row],[COMISIONES]]*0.21</f>
        <v>0</v>
      </c>
      <c r="AB61" s="22"/>
      <c r="AC61" s="22"/>
      <c r="AD61" s="22"/>
      <c r="AE61" s="11">
        <v>144</v>
      </c>
      <c r="AF61" s="11">
        <f>Tabla3568131422[[#This Row],[COMISIONES]]*0.21</f>
        <v>30.24</v>
      </c>
      <c r="AG61" s="11"/>
      <c r="AH61" s="11">
        <v>684.33</v>
      </c>
      <c r="AI61" s="11"/>
    </row>
    <row r="62" spans="2:35" x14ac:dyDescent="0.3">
      <c r="H62" s="11"/>
      <c r="I62" s="11">
        <f>Tabla391523[[#This Row],[COMISIONES]]*0.21</f>
        <v>0</v>
      </c>
      <c r="J62" s="11"/>
      <c r="K62" s="11"/>
      <c r="L62" s="11"/>
      <c r="N62" s="11"/>
      <c r="O62" s="11">
        <f>Tabla351018[[#This Row],[COMISIONES]]*0.21</f>
        <v>0</v>
      </c>
      <c r="P62" s="11"/>
      <c r="Q62" s="11"/>
      <c r="R62" s="11"/>
      <c r="Z62" s="22"/>
      <c r="AA62" s="22">
        <f>Tabla35681321[[#This Row],[COMISIONES]]*0.21</f>
        <v>0</v>
      </c>
      <c r="AB62" s="22"/>
      <c r="AC62" s="22"/>
      <c r="AD62" s="22"/>
      <c r="AE62" s="11">
        <v>152.32</v>
      </c>
      <c r="AF62" s="11">
        <f>Tabla3568131422[[#This Row],[COMISIONES]]*0.21</f>
        <v>31.987199999999998</v>
      </c>
      <c r="AG62" s="11"/>
      <c r="AH62" s="11">
        <v>977.62</v>
      </c>
      <c r="AI62" s="11"/>
    </row>
    <row r="63" spans="2:35" x14ac:dyDescent="0.3">
      <c r="H63" s="11"/>
      <c r="I63" s="11">
        <f>Tabla391523[[#This Row],[COMISIONES]]*0.21</f>
        <v>0</v>
      </c>
      <c r="J63" s="11"/>
      <c r="K63" s="11"/>
      <c r="L63" s="11"/>
      <c r="N63" s="19"/>
      <c r="O63" s="11">
        <f>Tabla351018[[#This Row],[COMISIONES]]*0.21</f>
        <v>0</v>
      </c>
      <c r="P63" s="19"/>
      <c r="Q63" s="19"/>
      <c r="R63" s="19"/>
      <c r="Z63" s="22"/>
      <c r="AA63" s="22">
        <f>Tabla35681321[[#This Row],[COMISIONES]]*0.21</f>
        <v>0</v>
      </c>
      <c r="AB63" s="22"/>
      <c r="AC63" s="22"/>
      <c r="AD63" s="22"/>
      <c r="AE63" s="11">
        <v>122.64</v>
      </c>
      <c r="AF63" s="11">
        <f>Tabla3568131422[[#This Row],[COMISIONES]]*0.21</f>
        <v>25.7544</v>
      </c>
      <c r="AG63" s="11"/>
      <c r="AH63" s="11">
        <v>160.69999999999999</v>
      </c>
      <c r="AI63" s="11"/>
    </row>
    <row r="64" spans="2:35" x14ac:dyDescent="0.3">
      <c r="H64" s="11"/>
      <c r="I64" s="11">
        <f>Tabla391523[[#This Row],[COMISIONES]]*0.21</f>
        <v>0</v>
      </c>
      <c r="J64" s="11"/>
      <c r="K64" s="11"/>
      <c r="L64" s="11"/>
      <c r="N64" s="19"/>
      <c r="O64" s="11">
        <f>Tabla351018[[#This Row],[COMISIONES]]*0.21</f>
        <v>0</v>
      </c>
      <c r="P64" s="19"/>
      <c r="Q64" s="19"/>
      <c r="R64" s="19"/>
      <c r="Z64" s="22"/>
      <c r="AA64" s="22">
        <f>Tabla35681321[[#This Row],[COMISIONES]]*0.21</f>
        <v>0</v>
      </c>
      <c r="AB64" s="22"/>
      <c r="AC64" s="22"/>
      <c r="AD64" s="22"/>
      <c r="AE64" s="11">
        <v>175.2</v>
      </c>
      <c r="AF64" s="11">
        <f>Tabla3568131422[[#This Row],[COMISIONES]]*0.21</f>
        <v>36.791999999999994</v>
      </c>
      <c r="AG64" s="11"/>
      <c r="AH64" s="11">
        <v>40.18</v>
      </c>
      <c r="AI64" s="11"/>
    </row>
    <row r="65" spans="8:35" x14ac:dyDescent="0.3">
      <c r="H65" s="11"/>
      <c r="I65" s="11">
        <f>Tabla391523[[#This Row],[COMISIONES]]*0.21</f>
        <v>0</v>
      </c>
      <c r="J65" s="11"/>
      <c r="K65" s="11"/>
      <c r="L65" s="11"/>
      <c r="N65" s="19"/>
      <c r="O65" s="11">
        <f>Tabla351018[[#This Row],[COMISIONES]]*0.21</f>
        <v>0</v>
      </c>
      <c r="P65" s="19"/>
      <c r="Q65" s="19"/>
      <c r="R65" s="19"/>
      <c r="Z65" s="22"/>
      <c r="AA65" s="22">
        <f>Tabla35681321[[#This Row],[COMISIONES]]*0.21</f>
        <v>0</v>
      </c>
      <c r="AB65" s="22"/>
      <c r="AC65" s="22"/>
      <c r="AD65" s="22"/>
      <c r="AE65" s="11">
        <v>28.8</v>
      </c>
      <c r="AF65" s="11">
        <f>Tabla3568131422[[#This Row],[COMISIONES]]*0.21</f>
        <v>6.048</v>
      </c>
      <c r="AG65" s="11"/>
      <c r="AH65" s="11">
        <v>107.14</v>
      </c>
      <c r="AI65" s="11"/>
    </row>
    <row r="66" spans="8:35" x14ac:dyDescent="0.3">
      <c r="H66" s="11"/>
      <c r="I66" s="11">
        <f>Tabla391523[[#This Row],[COMISIONES]]*0.21</f>
        <v>0</v>
      </c>
      <c r="J66" s="11"/>
      <c r="K66" s="11"/>
      <c r="L66" s="11"/>
      <c r="N66" s="19"/>
      <c r="O66" s="11">
        <f>Tabla351018[[#This Row],[COMISIONES]]*0.21</f>
        <v>0</v>
      </c>
      <c r="P66" s="19"/>
      <c r="Q66" s="19"/>
      <c r="R66" s="19"/>
      <c r="Z66" s="22"/>
      <c r="AA66" s="22">
        <f>Tabla35681321[[#This Row],[COMISIONES]]*0.21</f>
        <v>0</v>
      </c>
      <c r="AB66" s="22"/>
      <c r="AC66" s="22"/>
      <c r="AD66" s="22"/>
      <c r="AE66" s="11">
        <v>7.2</v>
      </c>
      <c r="AF66" s="11">
        <f>Tabla3568131422[[#This Row],[COMISIONES]]*0.21</f>
        <v>1.512</v>
      </c>
      <c r="AG66" s="11"/>
      <c r="AH66" s="11">
        <v>68.97</v>
      </c>
      <c r="AI66" s="11"/>
    </row>
    <row r="67" spans="8:35" x14ac:dyDescent="0.3">
      <c r="H67" s="11"/>
      <c r="I67" s="11">
        <f>Tabla391523[[#This Row],[COMISIONES]]*0.21</f>
        <v>0</v>
      </c>
      <c r="J67" s="11"/>
      <c r="K67" s="11"/>
      <c r="L67" s="11"/>
      <c r="N67" s="19"/>
      <c r="O67" s="11">
        <f>Tabla351018[[#This Row],[COMISIONES]]*0.21</f>
        <v>0</v>
      </c>
      <c r="P67" s="19"/>
      <c r="Q67" s="19"/>
      <c r="R67" s="19"/>
      <c r="Z67" s="22"/>
      <c r="AA67" s="22">
        <f>Tabla35681321[[#This Row],[COMISIONES]]*0.21</f>
        <v>0</v>
      </c>
      <c r="AB67" s="22"/>
      <c r="AC67" s="22"/>
      <c r="AD67" s="22"/>
      <c r="AE67" s="11">
        <v>19.2</v>
      </c>
      <c r="AF67" s="11">
        <f>Tabla3568131422[[#This Row],[COMISIONES]]*0.21</f>
        <v>4.032</v>
      </c>
      <c r="AG67" s="11"/>
      <c r="AH67" s="11">
        <v>388.37</v>
      </c>
      <c r="AI67" s="11"/>
    </row>
    <row r="68" spans="8:35" x14ac:dyDescent="0.3">
      <c r="H68" s="11"/>
      <c r="I68" s="11">
        <f>Tabla391523[[#This Row],[COMISIONES]]*0.21</f>
        <v>0</v>
      </c>
      <c r="J68" s="11"/>
      <c r="K68" s="11"/>
      <c r="L68" s="11"/>
      <c r="N68" s="19"/>
      <c r="O68" s="11">
        <f>Tabla351018[[#This Row],[COMISIONES]]*0.21</f>
        <v>0</v>
      </c>
      <c r="P68" s="19"/>
      <c r="Q68" s="19"/>
      <c r="R68" s="19"/>
      <c r="Z68" s="22"/>
      <c r="AA68" s="22">
        <f>Tabla35681321[[#This Row],[COMISIONES]]*0.21</f>
        <v>0</v>
      </c>
      <c r="AB68" s="22"/>
      <c r="AC68" s="22"/>
      <c r="AD68" s="22"/>
      <c r="AE68" s="11">
        <v>12.36</v>
      </c>
      <c r="AF68" s="11">
        <f>Tabla3568131422[[#This Row],[COMISIONES]]*0.21</f>
        <v>2.5955999999999997</v>
      </c>
      <c r="AG68" s="11"/>
      <c r="AH68" s="11">
        <v>1207.96</v>
      </c>
      <c r="AI68" s="11"/>
    </row>
    <row r="69" spans="8:35" x14ac:dyDescent="0.3">
      <c r="H69" s="11"/>
      <c r="I69" s="11">
        <f>Tabla391523[[#This Row],[COMISIONES]]*0.21</f>
        <v>0</v>
      </c>
      <c r="J69" s="11"/>
      <c r="K69" s="11"/>
      <c r="L69" s="11"/>
      <c r="N69" s="19"/>
      <c r="O69" s="11">
        <f>Tabla351018[[#This Row],[COMISIONES]]*0.21</f>
        <v>0</v>
      </c>
      <c r="P69" s="19"/>
      <c r="Q69" s="19"/>
      <c r="R69" s="19"/>
      <c r="Z69" s="22"/>
      <c r="AA69" s="22">
        <f>Tabla35681321[[#This Row],[COMISIONES]]*0.21</f>
        <v>0</v>
      </c>
      <c r="AB69" s="22"/>
      <c r="AC69" s="22"/>
      <c r="AD69" s="22"/>
      <c r="AE69" s="11">
        <v>69.599999999999994</v>
      </c>
      <c r="AF69" s="11">
        <f>Tabla3568131422[[#This Row],[COMISIONES]]*0.21</f>
        <v>14.615999999999998</v>
      </c>
      <c r="AG69" s="11"/>
      <c r="AH69" s="11">
        <v>285.25</v>
      </c>
      <c r="AI69" s="11"/>
    </row>
    <row r="70" spans="8:35" x14ac:dyDescent="0.3">
      <c r="H70" s="11"/>
      <c r="I70" s="11">
        <f>Tabla391523[[#This Row],[COMISIONES]]*0.21</f>
        <v>0</v>
      </c>
      <c r="J70" s="11"/>
      <c r="K70" s="11"/>
      <c r="L70" s="11"/>
      <c r="N70" s="19"/>
      <c r="O70" s="11">
        <f>Tabla351018[[#This Row],[COMISIONES]]*0.21</f>
        <v>0</v>
      </c>
      <c r="P70" s="19"/>
      <c r="Q70" s="19"/>
      <c r="R70" s="19"/>
      <c r="Z70" s="22"/>
      <c r="AA70" s="22">
        <f>Tabla35681321[[#This Row],[COMISIONES]]*0.21</f>
        <v>0</v>
      </c>
      <c r="AB70" s="22"/>
      <c r="AC70" s="22"/>
      <c r="AD70" s="22"/>
      <c r="AE70" s="11">
        <v>216.48</v>
      </c>
      <c r="AF70" s="11">
        <f>Tabla3568131422[[#This Row],[COMISIONES]]*0.21</f>
        <v>45.460799999999999</v>
      </c>
      <c r="AG70" s="11"/>
      <c r="AH70" s="11">
        <v>1355.27</v>
      </c>
      <c r="AI70" s="11">
        <v>16.32</v>
      </c>
    </row>
    <row r="71" spans="8:35" x14ac:dyDescent="0.3">
      <c r="H71" s="11"/>
      <c r="I71" s="11">
        <f>Tabla391523[[#This Row],[COMISIONES]]*0.21</f>
        <v>0</v>
      </c>
      <c r="J71" s="11"/>
      <c r="K71" s="11"/>
      <c r="L71" s="11"/>
      <c r="N71" s="19"/>
      <c r="O71" s="11">
        <f>Tabla351018[[#This Row],[COMISIONES]]*0.21</f>
        <v>0</v>
      </c>
      <c r="P71" s="19"/>
      <c r="Q71" s="19"/>
      <c r="R71" s="19"/>
      <c r="Z71" s="22"/>
      <c r="AA71" s="22">
        <f>Tabla35681321[[#This Row],[COMISIONES]]*0.21</f>
        <v>0</v>
      </c>
      <c r="AB71" s="22"/>
      <c r="AC71" s="22"/>
      <c r="AD71" s="22"/>
      <c r="AE71" s="11">
        <v>51.12</v>
      </c>
      <c r="AF71" s="11">
        <f>Tabla3568131422[[#This Row],[COMISIONES]]*0.21</f>
        <v>10.735199999999999</v>
      </c>
      <c r="AG71" s="11"/>
      <c r="AH71" s="11">
        <v>760.67</v>
      </c>
      <c r="AI71" s="11"/>
    </row>
    <row r="72" spans="8:35" x14ac:dyDescent="0.3">
      <c r="H72" s="11"/>
      <c r="I72" s="11">
        <f>Tabla391523[[#This Row],[COMISIONES]]*0.21</f>
        <v>0</v>
      </c>
      <c r="J72" s="11"/>
      <c r="K72" s="11"/>
      <c r="L72" s="11"/>
      <c r="N72" s="19"/>
      <c r="O72" s="11">
        <f>Tabla351018[[#This Row],[COMISIONES]]*0.21</f>
        <v>0</v>
      </c>
      <c r="P72" s="19"/>
      <c r="Q72" s="19"/>
      <c r="R72" s="19"/>
      <c r="Z72" s="22"/>
      <c r="AA72" s="22">
        <f>Tabla35681321[[#This Row],[COMISIONES]]*0.21</f>
        <v>0</v>
      </c>
      <c r="AB72" s="22"/>
      <c r="AC72" s="22"/>
      <c r="AD72" s="22"/>
      <c r="AE72" s="11">
        <v>242.88</v>
      </c>
      <c r="AF72" s="11">
        <f>Tabla3568131422[[#This Row],[COMISIONES]]*0.21</f>
        <v>51.004799999999996</v>
      </c>
      <c r="AG72" s="11"/>
      <c r="AH72" s="11">
        <v>165.17</v>
      </c>
      <c r="AI72" s="11"/>
    </row>
    <row r="73" spans="8:35" x14ac:dyDescent="0.3">
      <c r="H73" s="11"/>
      <c r="I73" s="11">
        <f>Tabla391523[[#This Row],[COMISIONES]]*0.21</f>
        <v>0</v>
      </c>
      <c r="J73" s="11"/>
      <c r="K73" s="11"/>
      <c r="L73" s="11"/>
      <c r="N73" s="19"/>
      <c r="O73" s="11">
        <f>Tabla351018[[#This Row],[COMISIONES]]*0.21</f>
        <v>0</v>
      </c>
      <c r="P73" s="19"/>
      <c r="Q73" s="19"/>
      <c r="R73" s="19"/>
      <c r="Z73" s="22"/>
      <c r="AA73" s="22">
        <f>Tabla35681321[[#This Row],[COMISIONES]]*0.21</f>
        <v>0</v>
      </c>
      <c r="AB73" s="22"/>
      <c r="AC73" s="22"/>
      <c r="AD73" s="22"/>
      <c r="AE73" s="11">
        <v>136.32</v>
      </c>
      <c r="AF73" s="11">
        <f>Tabla3568131422[[#This Row],[COMISIONES]]*0.21</f>
        <v>28.627199999999998</v>
      </c>
      <c r="AG73" s="11"/>
      <c r="AH73" s="11">
        <v>1136.31</v>
      </c>
      <c r="AI73" s="11"/>
    </row>
    <row r="74" spans="8:35" x14ac:dyDescent="0.3">
      <c r="H74" s="11"/>
      <c r="I74" s="11">
        <f>Tabla391523[[#This Row],[COMISIONES]]*0.21</f>
        <v>0</v>
      </c>
      <c r="J74" s="11"/>
      <c r="K74" s="11"/>
      <c r="L74" s="11"/>
      <c r="N74" s="19"/>
      <c r="O74" s="11">
        <f>Tabla351018[[#This Row],[COMISIONES]]*0.21</f>
        <v>0</v>
      </c>
      <c r="P74" s="19"/>
      <c r="Q74" s="19"/>
      <c r="R74" s="19"/>
      <c r="Z74" s="22"/>
      <c r="AA74" s="22">
        <f>Tabla35681321[[#This Row],[COMISIONES]]*0.21</f>
        <v>0</v>
      </c>
      <c r="AB74" s="22"/>
      <c r="AC74" s="22"/>
      <c r="AD74" s="22"/>
      <c r="AE74" s="11">
        <v>29.6</v>
      </c>
      <c r="AF74" s="11">
        <f>Tabla3568131422[[#This Row],[COMISIONES]]*0.21</f>
        <v>6.2160000000000002</v>
      </c>
      <c r="AG74" s="11">
        <v>430.08</v>
      </c>
      <c r="AH74" s="11">
        <v>3614.52</v>
      </c>
      <c r="AI74" s="11"/>
    </row>
    <row r="75" spans="8:35" x14ac:dyDescent="0.3">
      <c r="H75" s="11"/>
      <c r="I75" s="11">
        <f>Tabla391523[[#This Row],[COMISIONES]]*0.21</f>
        <v>0</v>
      </c>
      <c r="J75" s="11"/>
      <c r="K75" s="11"/>
      <c r="L75" s="11"/>
      <c r="N75" s="19"/>
      <c r="O75" s="11">
        <f>Tabla351018[[#This Row],[COMISIONES]]*0.21</f>
        <v>0</v>
      </c>
      <c r="P75" s="19"/>
      <c r="Q75" s="19"/>
      <c r="R75" s="19"/>
      <c r="Z75" s="22"/>
      <c r="AA75" s="22">
        <f>Tabla35681321[[#This Row],[COMISIONES]]*0.21</f>
        <v>0</v>
      </c>
      <c r="AB75" s="22"/>
      <c r="AC75" s="22"/>
      <c r="AD75" s="22"/>
      <c r="AE75" s="11">
        <v>203.64</v>
      </c>
      <c r="AF75" s="11">
        <f>Tabla3568131422[[#This Row],[COMISIONES]]*0.21</f>
        <v>42.764399999999995</v>
      </c>
      <c r="AG75" s="11">
        <v>4449.92</v>
      </c>
      <c r="AH75" s="11">
        <v>1150.9100000000001</v>
      </c>
      <c r="AI75" s="11">
        <v>98.39</v>
      </c>
    </row>
    <row r="76" spans="8:35" x14ac:dyDescent="0.3">
      <c r="H76" s="11"/>
      <c r="I76" s="11">
        <f>Tabla391523[[#This Row],[COMISIONES]]*0.21</f>
        <v>0</v>
      </c>
      <c r="J76" s="11"/>
      <c r="K76" s="11"/>
      <c r="L76" s="11"/>
      <c r="N76" s="19"/>
      <c r="O76" s="11">
        <f>Tabla351018[[#This Row],[COMISIONES]]*0.21</f>
        <v>0</v>
      </c>
      <c r="P76" s="19"/>
      <c r="Q76" s="19"/>
      <c r="R76" s="19"/>
      <c r="Z76" s="22"/>
      <c r="AA76" s="22">
        <f>Tabla35681321[[#This Row],[COMISIONES]]*0.21</f>
        <v>0</v>
      </c>
      <c r="AB76" s="22"/>
      <c r="AC76" s="22"/>
      <c r="AD76" s="22"/>
      <c r="AE76" s="11">
        <v>1472.31</v>
      </c>
      <c r="AF76" s="11">
        <f>Tabla3568131422[[#This Row],[COMISIONES]]*0.21</f>
        <v>309.18509999999998</v>
      </c>
      <c r="AG76" s="11"/>
      <c r="AH76" s="11">
        <v>6578.9</v>
      </c>
      <c r="AI76" s="11"/>
    </row>
    <row r="77" spans="8:35" x14ac:dyDescent="0.3">
      <c r="H77" s="19"/>
      <c r="I77" s="19">
        <f>Tabla391523[[#This Row],[COMISIONES]]*0.21</f>
        <v>0</v>
      </c>
      <c r="J77" s="19"/>
      <c r="K77" s="19"/>
      <c r="L77" s="19"/>
      <c r="N77" s="19"/>
      <c r="O77" s="11">
        <f>Tabla351018[[#This Row],[COMISIONES]]*0.21</f>
        <v>0</v>
      </c>
      <c r="P77" s="19"/>
      <c r="Q77" s="19"/>
      <c r="R77" s="19"/>
      <c r="Z77" s="22"/>
      <c r="AA77" s="22">
        <f>Tabla35681321[[#This Row],[COMISIONES]]*0.21</f>
        <v>0</v>
      </c>
      <c r="AB77" s="22"/>
      <c r="AC77" s="22"/>
      <c r="AD77" s="22"/>
      <c r="AE77" s="11">
        <v>543.88</v>
      </c>
      <c r="AF77" s="11">
        <f>Tabla3568131422[[#This Row],[COMISIONES]]*0.21</f>
        <v>114.2148</v>
      </c>
      <c r="AG77" s="11"/>
      <c r="AH77" s="11">
        <v>6144.59</v>
      </c>
      <c r="AI77" s="11">
        <v>23.24</v>
      </c>
    </row>
    <row r="78" spans="8:35" x14ac:dyDescent="0.3">
      <c r="H78" s="19"/>
      <c r="I78" s="19">
        <f>Tabla391523[[#This Row],[COMISIONES]]*0.21</f>
        <v>0</v>
      </c>
      <c r="J78" s="19"/>
      <c r="K78" s="19"/>
      <c r="L78" s="19"/>
      <c r="N78" s="19"/>
      <c r="O78" s="11">
        <f>Tabla351018[[#This Row],[COMISIONES]]*0.21</f>
        <v>0</v>
      </c>
      <c r="P78" s="19"/>
      <c r="Q78" s="19"/>
      <c r="R78" s="19"/>
      <c r="Z78" s="22"/>
      <c r="AA78" s="22">
        <f>Tabla35681321[[#This Row],[COMISIONES]]*0.21</f>
        <v>0</v>
      </c>
      <c r="AB78" s="22"/>
      <c r="AC78" s="22"/>
      <c r="AD78" s="22"/>
      <c r="AE78" s="11">
        <v>2679.8</v>
      </c>
      <c r="AF78" s="11">
        <f>Tabla3568131422[[#This Row],[COMISIONES]]*0.21</f>
        <v>562.75800000000004</v>
      </c>
      <c r="AG78" s="11"/>
      <c r="AH78" s="11">
        <v>4801.46</v>
      </c>
      <c r="AI78" s="11">
        <v>63.62</v>
      </c>
    </row>
    <row r="79" spans="8:35" x14ac:dyDescent="0.3">
      <c r="H79" s="19"/>
      <c r="I79" s="19">
        <f>Tabla391523[[#This Row],[COMISIONES]]*0.21</f>
        <v>0</v>
      </c>
      <c r="J79" s="19"/>
      <c r="K79" s="19"/>
      <c r="L79" s="19"/>
      <c r="N79" s="19"/>
      <c r="O79" s="11">
        <f>Tabla351018[[#This Row],[COMISIONES]]*0.21</f>
        <v>0</v>
      </c>
      <c r="P79" s="19"/>
      <c r="Q79" s="19"/>
      <c r="R79" s="19"/>
      <c r="Z79" s="22"/>
      <c r="AA79" s="22">
        <f>Tabla35681321[[#This Row],[COMISIONES]]*0.21</f>
        <v>0</v>
      </c>
      <c r="AB79" s="22"/>
      <c r="AC79" s="22"/>
      <c r="AD79" s="22"/>
      <c r="AE79" s="11">
        <v>3279.71</v>
      </c>
      <c r="AF79" s="11">
        <f>Tabla3568131422[[#This Row],[COMISIONES]]*0.21</f>
        <v>688.73910000000001</v>
      </c>
      <c r="AG79" s="11">
        <v>695.24</v>
      </c>
      <c r="AH79" s="11">
        <v>1604.2</v>
      </c>
      <c r="AI79" s="11"/>
    </row>
    <row r="80" spans="8:35" x14ac:dyDescent="0.3">
      <c r="H80" s="19"/>
      <c r="I80" s="19">
        <f>Tabla391523[[#This Row],[COMISIONES]]*0.21</f>
        <v>0</v>
      </c>
      <c r="J80" s="19"/>
      <c r="K80" s="19"/>
      <c r="L80" s="19"/>
      <c r="N80" s="19"/>
      <c r="O80" s="11">
        <f>Tabla351018[[#This Row],[COMISIONES]]*0.21</f>
        <v>0</v>
      </c>
      <c r="P80" s="19"/>
      <c r="Q80" s="19"/>
      <c r="R80" s="19"/>
      <c r="Z80" s="22"/>
      <c r="AA80" s="22">
        <f>Tabla35681321[[#This Row],[COMISIONES]]*0.21</f>
        <v>0</v>
      </c>
      <c r="AB80" s="22"/>
      <c r="AC80" s="22"/>
      <c r="AD80" s="22"/>
      <c r="AE80" s="11">
        <v>1955.79</v>
      </c>
      <c r="AF80" s="11">
        <f>Tabla3568131422[[#This Row],[COMISIONES]]*0.21</f>
        <v>410.71589999999998</v>
      </c>
      <c r="AG80" s="11">
        <v>2219.4499999999998</v>
      </c>
      <c r="AH80" s="11">
        <v>5204.59</v>
      </c>
      <c r="AI80" s="11">
        <v>64.569999999999993</v>
      </c>
    </row>
    <row r="81" spans="8:35" x14ac:dyDescent="0.3">
      <c r="H81" s="19"/>
      <c r="I81" s="19">
        <f>Tabla391523[[#This Row],[COMISIONES]]*0.21</f>
        <v>0</v>
      </c>
      <c r="J81" s="19"/>
      <c r="K81" s="19"/>
      <c r="L81" s="19"/>
      <c r="N81" s="19"/>
      <c r="O81" s="11">
        <f>Tabla351018[[#This Row],[COMISIONES]]*0.21</f>
        <v>0</v>
      </c>
      <c r="P81" s="19"/>
      <c r="Q81" s="19"/>
      <c r="R81" s="19"/>
      <c r="Z81" s="22"/>
      <c r="AA81" s="22">
        <f>Tabla35681321[[#This Row],[COMISIONES]]*0.21</f>
        <v>0</v>
      </c>
      <c r="AB81" s="22"/>
      <c r="AC81" s="22"/>
      <c r="AD81" s="22"/>
      <c r="AE81" s="11">
        <v>774.81</v>
      </c>
      <c r="AF81" s="11">
        <f>Tabla3568131422[[#This Row],[COMISIONES]]*0.21</f>
        <v>162.71009999999998</v>
      </c>
      <c r="AG81" s="11"/>
      <c r="AH81" s="11">
        <v>4332.88</v>
      </c>
      <c r="AI81" s="11">
        <v>578.80999999999995</v>
      </c>
    </row>
    <row r="82" spans="8:35" x14ac:dyDescent="0.3">
      <c r="H82" s="19"/>
      <c r="I82" s="19">
        <f>Tabla391523[[#This Row],[COMISIONES]]*0.21</f>
        <v>0</v>
      </c>
      <c r="J82" s="19"/>
      <c r="K82" s="19"/>
      <c r="L82" s="19"/>
      <c r="N82" s="19"/>
      <c r="O82" s="11">
        <f>Tabla351018[[#This Row],[COMISIONES]]*0.21</f>
        <v>0</v>
      </c>
      <c r="P82" s="19"/>
      <c r="Q82" s="19"/>
      <c r="R82" s="19"/>
      <c r="Z82" s="22"/>
      <c r="AA82" s="22">
        <f>Tabla35681321[[#This Row],[COMISIONES]]*0.21</f>
        <v>0</v>
      </c>
      <c r="AB82" s="22"/>
      <c r="AC82" s="22"/>
      <c r="AD82" s="22"/>
      <c r="AE82" s="11">
        <v>291.95999999999998</v>
      </c>
      <c r="AF82" s="11">
        <f>Tabla3568131422[[#This Row],[COMISIONES]]*0.21</f>
        <v>61.311599999999991</v>
      </c>
      <c r="AG82" s="11"/>
      <c r="AH82" s="11">
        <v>3465.82</v>
      </c>
      <c r="AI82" s="11">
        <v>94.99</v>
      </c>
    </row>
    <row r="83" spans="8:35" x14ac:dyDescent="0.3">
      <c r="H83" s="19"/>
      <c r="I83" s="19">
        <f>Tabla391523[[#This Row],[COMISIONES]]*0.21</f>
        <v>0</v>
      </c>
      <c r="J83" s="19"/>
      <c r="K83" s="19"/>
      <c r="L83" s="19"/>
      <c r="N83" s="19"/>
      <c r="O83" s="11">
        <f>Tabla351018[[#This Row],[COMISIONES]]*0.21</f>
        <v>0</v>
      </c>
      <c r="P83" s="19"/>
      <c r="Q83" s="19"/>
      <c r="R83" s="19"/>
      <c r="Z83" s="22"/>
      <c r="AA83" s="22">
        <f>Tabla35681321[[#This Row],[COMISIONES]]*0.21</f>
        <v>0</v>
      </c>
      <c r="AB83" s="22"/>
      <c r="AC83" s="22"/>
      <c r="AD83" s="22"/>
      <c r="AE83" s="11">
        <v>2119.9899999999998</v>
      </c>
      <c r="AF83" s="11">
        <f>Tabla3568131422[[#This Row],[COMISIONES]]*0.21</f>
        <v>445.19789999999995</v>
      </c>
      <c r="AG83" s="11">
        <v>578.80999999999995</v>
      </c>
      <c r="AH83" s="11">
        <v>7771.71</v>
      </c>
      <c r="AI83" s="11">
        <v>66.03</v>
      </c>
    </row>
    <row r="84" spans="8:35" x14ac:dyDescent="0.3">
      <c r="H84" s="19"/>
      <c r="I84" s="19">
        <f>Tabla391523[[#This Row],[COMISIONES]]*0.21</f>
        <v>0</v>
      </c>
      <c r="J84" s="19"/>
      <c r="K84" s="19"/>
      <c r="L84" s="19"/>
      <c r="N84" s="19"/>
      <c r="O84" s="11">
        <f>Tabla351018[[#This Row],[COMISIONES]]*0.21</f>
        <v>0</v>
      </c>
      <c r="P84" s="19"/>
      <c r="Q84" s="19"/>
      <c r="R84" s="19"/>
      <c r="Z84" s="22"/>
      <c r="AA84" s="22">
        <f>Tabla35681321[[#This Row],[COMISIONES]]*0.21</f>
        <v>0</v>
      </c>
      <c r="AB84" s="22"/>
      <c r="AC84" s="22"/>
      <c r="AD84" s="22"/>
      <c r="AE84" s="11">
        <v>2152.37</v>
      </c>
      <c r="AF84" s="11">
        <f>Tabla3568131422[[#This Row],[COMISIONES]]*0.21</f>
        <v>451.99769999999995</v>
      </c>
      <c r="AG84" s="11"/>
      <c r="AH84" s="11">
        <v>3893.74</v>
      </c>
      <c r="AI84" s="11"/>
    </row>
    <row r="85" spans="8:35" x14ac:dyDescent="0.3">
      <c r="H85" s="19"/>
      <c r="I85" s="19">
        <f>Tabla391523[[#This Row],[COMISIONES]]*0.21</f>
        <v>0</v>
      </c>
      <c r="J85" s="19"/>
      <c r="K85" s="19"/>
      <c r="L85" s="19"/>
      <c r="N85" s="19"/>
      <c r="O85" s="11">
        <f>Tabla351018[[#This Row],[COMISIONES]]*0.21</f>
        <v>0</v>
      </c>
      <c r="P85" s="19"/>
      <c r="Q85" s="19"/>
      <c r="R85" s="19"/>
      <c r="Z85" s="22"/>
      <c r="AA85" s="22">
        <f>Tabla35681321[[#This Row],[COMISIONES]]*0.21</f>
        <v>0</v>
      </c>
      <c r="AB85" s="22"/>
      <c r="AC85" s="22"/>
      <c r="AD85" s="22"/>
      <c r="AE85" s="11">
        <v>1411.74</v>
      </c>
      <c r="AF85" s="11">
        <f>Tabla3568131422[[#This Row],[COMISIONES]]*0.21</f>
        <v>296.46539999999999</v>
      </c>
      <c r="AG85" s="11"/>
      <c r="AH85" s="11">
        <v>3688.01</v>
      </c>
      <c r="AI85" s="11">
        <v>39.69</v>
      </c>
    </row>
    <row r="86" spans="8:35" x14ac:dyDescent="0.3">
      <c r="H86" s="19"/>
      <c r="I86" s="19">
        <f>Tabla391523[[#This Row],[COMISIONES]]*0.21</f>
        <v>0</v>
      </c>
      <c r="J86" s="19"/>
      <c r="K86" s="19"/>
      <c r="L86" s="19"/>
      <c r="N86" s="19"/>
      <c r="O86" s="11">
        <f>Tabla351018[[#This Row],[COMISIONES]]*0.21</f>
        <v>0</v>
      </c>
      <c r="P86" s="19"/>
      <c r="Q86" s="19"/>
      <c r="R86" s="19"/>
      <c r="Z86" s="22"/>
      <c r="AA86" s="22">
        <f>Tabla35681321[[#This Row],[COMISIONES]]*0.21</f>
        <v>0</v>
      </c>
      <c r="AB86" s="22"/>
      <c r="AC86" s="22"/>
      <c r="AD86" s="22"/>
      <c r="AE86" s="11">
        <v>731.96</v>
      </c>
      <c r="AF86" s="11">
        <f>Tabla3568131422[[#This Row],[COMISIONES]]*0.21</f>
        <v>153.7116</v>
      </c>
      <c r="AG86" s="11">
        <v>1333.24</v>
      </c>
      <c r="AH86" s="11">
        <v>2676.42</v>
      </c>
      <c r="AI86" s="11"/>
    </row>
    <row r="87" spans="8:35" x14ac:dyDescent="0.3">
      <c r="H87" s="19"/>
      <c r="I87" s="19">
        <f>Tabla391523[[#This Row],[COMISIONES]]*0.21</f>
        <v>0</v>
      </c>
      <c r="J87" s="19"/>
      <c r="K87" s="19"/>
      <c r="L87" s="19"/>
      <c r="N87" s="19"/>
      <c r="O87" s="11">
        <f>Tabla351018[[#This Row],[COMISIONES]]*0.21</f>
        <v>0</v>
      </c>
      <c r="P87" s="19"/>
      <c r="Q87" s="19"/>
      <c r="R87" s="19"/>
      <c r="Z87" s="22"/>
      <c r="AA87" s="22">
        <f>Tabla35681321[[#This Row],[COMISIONES]]*0.21</f>
        <v>0</v>
      </c>
      <c r="AB87" s="22"/>
      <c r="AC87" s="22"/>
      <c r="AD87" s="22"/>
      <c r="AE87" s="11">
        <v>3165.68</v>
      </c>
      <c r="AF87" s="11">
        <f>Tabla3568131422[[#This Row],[COMISIONES]]*0.21</f>
        <v>664.79279999999994</v>
      </c>
      <c r="AG87" s="11"/>
      <c r="AH87" s="11"/>
      <c r="AI87" s="11">
        <v>87.26</v>
      </c>
    </row>
    <row r="88" spans="8:35" x14ac:dyDescent="0.3">
      <c r="H88" s="19"/>
      <c r="I88" s="19">
        <f>Tabla391523[[#This Row],[COMISIONES]]*0.21</f>
        <v>0</v>
      </c>
      <c r="J88" s="19"/>
      <c r="K88" s="19"/>
      <c r="L88" s="19"/>
      <c r="N88" s="19"/>
      <c r="O88" s="11">
        <f>Tabla351018[[#This Row],[COMISIONES]]*0.21</f>
        <v>0</v>
      </c>
      <c r="P88" s="19"/>
      <c r="Q88" s="19"/>
      <c r="R88" s="19"/>
      <c r="Z88" s="22"/>
      <c r="AA88" s="22">
        <f>Tabla35681321[[#This Row],[COMISIONES]]*0.21</f>
        <v>0</v>
      </c>
      <c r="AB88" s="22"/>
      <c r="AC88" s="22"/>
      <c r="AD88" s="22"/>
      <c r="AE88" s="11">
        <v>2201.0700000000002</v>
      </c>
      <c r="AF88" s="11">
        <f>Tabla3568131422[[#This Row],[COMISIONES]]*0.21</f>
        <v>462.22470000000004</v>
      </c>
      <c r="AG88" s="11">
        <v>3015</v>
      </c>
      <c r="AH88" s="11">
        <v>2165.31</v>
      </c>
      <c r="AI88" s="11">
        <v>40</v>
      </c>
    </row>
    <row r="89" spans="8:35" x14ac:dyDescent="0.3">
      <c r="H89" s="22"/>
      <c r="I89" s="22">
        <f>Tabla391523[[#This Row],[COMISIONES]]*0.21</f>
        <v>0</v>
      </c>
      <c r="J89" s="22"/>
      <c r="K89" s="22"/>
      <c r="L89" s="22"/>
      <c r="N89" s="19"/>
      <c r="O89" s="11">
        <f>Tabla351018[[#This Row],[COMISIONES]]*0.21</f>
        <v>0</v>
      </c>
      <c r="P89" s="19"/>
      <c r="Q89" s="19"/>
      <c r="R89" s="19"/>
      <c r="Z89" s="22"/>
      <c r="AA89" s="22">
        <f>Tabla35681321[[#This Row],[COMISIONES]]*0.21</f>
        <v>0</v>
      </c>
      <c r="AB89" s="22"/>
      <c r="AC89" s="22"/>
      <c r="AD89" s="22"/>
      <c r="AE89" s="11">
        <v>3523.07</v>
      </c>
      <c r="AF89" s="11">
        <f>Tabla3568131422[[#This Row],[COMISIONES]]*0.21</f>
        <v>739.84469999999999</v>
      </c>
      <c r="AG89" s="11">
        <v>1971.59</v>
      </c>
      <c r="AH89" s="11"/>
      <c r="AI89" s="11">
        <v>99.2</v>
      </c>
    </row>
    <row r="90" spans="8:35" x14ac:dyDescent="0.3">
      <c r="H90" s="22"/>
      <c r="I90" s="22">
        <f>Tabla391523[[#This Row],[COMISIONES]]*0.21</f>
        <v>0</v>
      </c>
      <c r="J90" s="22"/>
      <c r="K90" s="22"/>
      <c r="L90" s="22"/>
      <c r="N90" s="19"/>
      <c r="O90" s="11">
        <f>Tabla351018[[#This Row],[COMISIONES]]*0.21</f>
        <v>0</v>
      </c>
      <c r="P90" s="19"/>
      <c r="Q90" s="19"/>
      <c r="R90" s="19"/>
      <c r="Z90" s="22"/>
      <c r="AA90" s="22">
        <f>Tabla35681321[[#This Row],[COMISIONES]]*0.21</f>
        <v>0</v>
      </c>
      <c r="AB90" s="22"/>
      <c r="AC90" s="22"/>
      <c r="AD90" s="22"/>
      <c r="AE90" s="11">
        <v>1502.24</v>
      </c>
      <c r="AF90" s="11">
        <f>Tabla3568131422[[#This Row],[COMISIONES]]*0.21</f>
        <v>315.47039999999998</v>
      </c>
      <c r="AG90" s="11"/>
      <c r="AH90" s="11">
        <v>1353.87</v>
      </c>
      <c r="AI90" s="11">
        <v>43.33</v>
      </c>
    </row>
    <row r="91" spans="8:35" x14ac:dyDescent="0.3">
      <c r="H91" s="22"/>
      <c r="I91" s="22">
        <f>Tabla391523[[#This Row],[COMISIONES]]*0.21</f>
        <v>0</v>
      </c>
      <c r="J91" s="22"/>
      <c r="K91" s="22"/>
      <c r="L91" s="22"/>
      <c r="N91" s="19"/>
      <c r="O91" s="11">
        <f>Tabla351018[[#This Row],[COMISIONES]]*0.21</f>
        <v>0</v>
      </c>
      <c r="P91" s="19"/>
      <c r="Q91" s="19"/>
      <c r="R91" s="19"/>
      <c r="Z91" s="22"/>
      <c r="AA91" s="22">
        <f>Tabla35681321[[#This Row],[COMISIONES]]*0.21</f>
        <v>0</v>
      </c>
      <c r="AB91" s="22"/>
      <c r="AC91" s="22"/>
      <c r="AD91" s="22"/>
      <c r="AE91" s="11">
        <v>1322.94</v>
      </c>
      <c r="AF91" s="11">
        <f>Tabla3568131422[[#This Row],[COMISIONES]]*0.21</f>
        <v>277.81740000000002</v>
      </c>
      <c r="AG91" s="11"/>
      <c r="AH91" s="11"/>
      <c r="AI91" s="11"/>
    </row>
    <row r="92" spans="8:35" x14ac:dyDescent="0.3">
      <c r="H92" s="22"/>
      <c r="I92" s="22">
        <f>Tabla391523[[#This Row],[COMISIONES]]*0.21</f>
        <v>0</v>
      </c>
      <c r="J92" s="22"/>
      <c r="K92" s="22"/>
      <c r="L92" s="22"/>
      <c r="N92" s="19"/>
      <c r="O92" s="11">
        <f>Tabla351018[[#This Row],[COMISIONES]]*0.21</f>
        <v>0</v>
      </c>
      <c r="P92" s="19"/>
      <c r="Q92" s="19"/>
      <c r="R92" s="19"/>
      <c r="Z92" s="22"/>
      <c r="AA92" s="22">
        <f>Tabla35681321[[#This Row],[COMISIONES]]*0.21</f>
        <v>0</v>
      </c>
      <c r="AB92" s="22"/>
      <c r="AC92" s="22"/>
      <c r="AD92" s="22"/>
      <c r="AE92" s="11">
        <v>4521.43</v>
      </c>
      <c r="AF92" s="11">
        <f>Tabla3568131422[[#This Row],[COMISIONES]]*0.21</f>
        <v>949.50030000000004</v>
      </c>
      <c r="AG92" s="11">
        <v>1962.99</v>
      </c>
      <c r="AH92" s="11">
        <v>671.69</v>
      </c>
      <c r="AI92" s="11"/>
    </row>
    <row r="93" spans="8:35" x14ac:dyDescent="0.3">
      <c r="H93" s="22"/>
      <c r="I93" s="22">
        <f>Tabla391523[[#This Row],[COMISIONES]]*0.21</f>
        <v>0</v>
      </c>
      <c r="J93" s="22"/>
      <c r="K93" s="22"/>
      <c r="L93" s="22"/>
      <c r="N93" s="19"/>
      <c r="O93" s="11">
        <f>Tabla351018[[#This Row],[COMISIONES]]*0.21</f>
        <v>0</v>
      </c>
      <c r="P93" s="19"/>
      <c r="Q93" s="19"/>
      <c r="R93" s="19"/>
      <c r="Z93" s="22"/>
      <c r="AA93" s="22">
        <f>Tabla35681321[[#This Row],[COMISIONES]]*0.21</f>
        <v>0</v>
      </c>
      <c r="AB93" s="22"/>
      <c r="AC93" s="22"/>
      <c r="AD93" s="22"/>
      <c r="AE93" s="11">
        <v>2908.61</v>
      </c>
      <c r="AF93" s="11">
        <f>Tabla3568131422[[#This Row],[COMISIONES]]*0.21</f>
        <v>610.80809999999997</v>
      </c>
      <c r="AG93" s="11">
        <v>635.15</v>
      </c>
      <c r="AH93" s="11"/>
      <c r="AI93" s="11"/>
    </row>
    <row r="94" spans="8:35" x14ac:dyDescent="0.3">
      <c r="H94" s="22"/>
      <c r="I94" s="22">
        <f>Tabla391523[[#This Row],[COMISIONES]]*0.21</f>
        <v>0</v>
      </c>
      <c r="J94" s="22"/>
      <c r="K94" s="22"/>
      <c r="L94" s="22"/>
      <c r="N94" s="19"/>
      <c r="O94" s="11">
        <f>Tabla351018[[#This Row],[COMISIONES]]*0.21</f>
        <v>0</v>
      </c>
      <c r="P94" s="19"/>
      <c r="Q94" s="19"/>
      <c r="R94" s="19"/>
      <c r="Z94" s="22"/>
      <c r="AA94" s="22">
        <f>Tabla35681321[[#This Row],[COMISIONES]]*0.21</f>
        <v>0</v>
      </c>
      <c r="AB94" s="22"/>
      <c r="AC94" s="22"/>
      <c r="AD94" s="22"/>
      <c r="AE94" s="11">
        <v>3306.15</v>
      </c>
      <c r="AF94" s="11">
        <f>Tabla3568131422[[#This Row],[COMISIONES]]*0.21</f>
        <v>694.29150000000004</v>
      </c>
      <c r="AG94" s="11"/>
      <c r="AH94" s="11"/>
      <c r="AI94" s="11">
        <v>18.48</v>
      </c>
    </row>
    <row r="95" spans="8:35" x14ac:dyDescent="0.3">
      <c r="H95" s="22"/>
      <c r="I95" s="22">
        <f>Tabla391523[[#This Row],[COMISIONES]]*0.21</f>
        <v>0</v>
      </c>
      <c r="J95" s="22"/>
      <c r="K95" s="22"/>
      <c r="L95" s="22"/>
      <c r="N95" s="19"/>
      <c r="O95" s="11">
        <f>Tabla351018[[#This Row],[COMISIONES]]*0.21</f>
        <v>0</v>
      </c>
      <c r="P95" s="19"/>
      <c r="Q95" s="19"/>
      <c r="R95" s="19"/>
      <c r="Z95" s="22"/>
      <c r="AA95" s="22">
        <f>Tabla35681321[[#This Row],[COMISIONES]]*0.21</f>
        <v>0</v>
      </c>
      <c r="AB95" s="22"/>
      <c r="AC95" s="22"/>
      <c r="AD95" s="22"/>
      <c r="AE95" s="11">
        <v>1333.38</v>
      </c>
      <c r="AF95" s="11">
        <f>Tabla3568131422[[#This Row],[COMISIONES]]*0.21</f>
        <v>280.00979999999998</v>
      </c>
      <c r="AG95" s="11">
        <v>3695.63</v>
      </c>
      <c r="AH95" s="11"/>
      <c r="AI95" s="11"/>
    </row>
    <row r="96" spans="8:35" x14ac:dyDescent="0.3">
      <c r="H96" s="22"/>
      <c r="I96" s="22">
        <f>Tabla391523[[#This Row],[COMISIONES]]*0.21</f>
        <v>0</v>
      </c>
      <c r="J96" s="22"/>
      <c r="K96" s="22"/>
      <c r="L96" s="22"/>
      <c r="N96" s="19"/>
      <c r="O96" s="11">
        <f>Tabla351018[[#This Row],[COMISIONES]]*0.21</f>
        <v>0</v>
      </c>
      <c r="P96" s="19"/>
      <c r="Q96" s="19"/>
      <c r="R96" s="19"/>
      <c r="Z96" s="22"/>
      <c r="AA96" s="22">
        <f>Tabla35681321[[#This Row],[COMISIONES]]*0.21</f>
        <v>0</v>
      </c>
      <c r="AB96" s="22"/>
      <c r="AC96" s="22"/>
      <c r="AD96" s="22"/>
      <c r="AE96" s="11">
        <v>882</v>
      </c>
      <c r="AF96" s="11">
        <f>Tabla3568131422[[#This Row],[COMISIONES]]*0.21</f>
        <v>185.22</v>
      </c>
      <c r="AG96" s="11"/>
      <c r="AH96" s="11"/>
      <c r="AI96" s="11"/>
    </row>
    <row r="97" spans="8:35" x14ac:dyDescent="0.3">
      <c r="H97" s="22"/>
      <c r="I97" s="22">
        <f>Tabla391523[[#This Row],[COMISIONES]]*0.21</f>
        <v>0</v>
      </c>
      <c r="J97" s="22"/>
      <c r="K97" s="22"/>
      <c r="L97" s="22"/>
      <c r="N97" s="19"/>
      <c r="O97" s="11">
        <f>Tabla351018[[#This Row],[COMISIONES]]*0.21</f>
        <v>0</v>
      </c>
      <c r="P97" s="19"/>
      <c r="Q97" s="19"/>
      <c r="R97" s="19"/>
      <c r="Z97" s="22"/>
      <c r="AA97" s="22">
        <f>Tabla35681321[[#This Row],[COMISIONES]]*0.21</f>
        <v>0</v>
      </c>
      <c r="AB97" s="22"/>
      <c r="AC97" s="22"/>
      <c r="AE97" s="11">
        <v>551.48</v>
      </c>
      <c r="AF97" s="11">
        <f>Tabla3568131422[[#This Row],[COMISIONES]]*0.21</f>
        <v>115.8108</v>
      </c>
      <c r="AG97" s="11"/>
      <c r="AH97" s="11">
        <v>1239.96</v>
      </c>
      <c r="AI97" s="11">
        <v>96.48</v>
      </c>
    </row>
    <row r="98" spans="8:35" x14ac:dyDescent="0.3">
      <c r="H98" s="21">
        <f>SUBTOTAL(109,Tabla391523[COMISIONES])</f>
        <v>0</v>
      </c>
      <c r="I98" s="21">
        <f>SUBTOTAL(109,Tabla391523[IVA 21])</f>
        <v>0</v>
      </c>
      <c r="J98" s="21">
        <f>SUBTOTAL(109,Tabla391523[IVA 10,5])</f>
        <v>0</v>
      </c>
      <c r="K98" s="21">
        <f>SUBTOTAL(109,Tabla391523[Ret IIBB Caba])</f>
        <v>0</v>
      </c>
      <c r="L98" s="21">
        <f>SUBTOTAL(109,Tabla391523[PERC IVA])</f>
        <v>0</v>
      </c>
      <c r="N98" s="19"/>
      <c r="O98" s="11">
        <f>Tabla351018[[#This Row],[COMISIONES]]*0.21</f>
        <v>0</v>
      </c>
      <c r="P98" s="19"/>
      <c r="Q98" s="19"/>
      <c r="R98" s="19"/>
      <c r="Z98" s="22"/>
      <c r="AA98" s="22">
        <f>Tabla35681321[[#This Row],[COMISIONES]]*0.21</f>
        <v>0</v>
      </c>
      <c r="AB98" s="22"/>
      <c r="AC98" s="22"/>
      <c r="AD98" s="22"/>
      <c r="AE98" s="11">
        <v>1444.54</v>
      </c>
      <c r="AF98" s="11">
        <f>Tabla3568131422[[#This Row],[COMISIONES]]*0.21</f>
        <v>303.35339999999997</v>
      </c>
      <c r="AG98" s="11"/>
      <c r="AH98" s="11">
        <v>6311.07</v>
      </c>
      <c r="AI98" s="11"/>
    </row>
    <row r="99" spans="8:35" x14ac:dyDescent="0.3">
      <c r="N99" s="19"/>
      <c r="O99" s="11">
        <f>Tabla351018[[#This Row],[COMISIONES]]*0.21</f>
        <v>0</v>
      </c>
      <c r="P99" s="19"/>
      <c r="Q99" s="19"/>
      <c r="R99" s="19"/>
      <c r="Z99" s="22"/>
      <c r="AA99" s="22">
        <f>Tabla35681321[[#This Row],[COMISIONES]]*0.21</f>
        <v>0</v>
      </c>
      <c r="AB99" s="22"/>
      <c r="AC99" s="22"/>
      <c r="AD99" s="22"/>
      <c r="AE99" s="11">
        <v>273.60000000000002</v>
      </c>
      <c r="AF99" s="11">
        <f>Tabla3568131422[[#This Row],[COMISIONES]]*0.21</f>
        <v>57.456000000000003</v>
      </c>
      <c r="AG99" s="11"/>
      <c r="AH99" s="11"/>
      <c r="AI99" s="11"/>
    </row>
    <row r="100" spans="8:35" x14ac:dyDescent="0.3">
      <c r="N100" s="19"/>
      <c r="O100" s="11">
        <f>Tabla351018[[#This Row],[COMISIONES]]*0.21</f>
        <v>0</v>
      </c>
      <c r="P100" s="19"/>
      <c r="Q100" s="19"/>
      <c r="R100" s="19"/>
      <c r="Z100" s="22"/>
      <c r="AA100" s="22">
        <f>Tabla35681321[[#This Row],[COMISIONES]]*0.21</f>
        <v>0</v>
      </c>
      <c r="AB100" s="22"/>
      <c r="AC100" s="22"/>
      <c r="AD100" s="22"/>
      <c r="AE100" s="11">
        <v>2464.73</v>
      </c>
      <c r="AF100" s="11">
        <f>Tabla3568131422[[#This Row],[COMISIONES]]*0.21</f>
        <v>517.5933</v>
      </c>
      <c r="AG100" s="11"/>
      <c r="AH100" s="11">
        <v>2489</v>
      </c>
      <c r="AI100" s="11"/>
    </row>
    <row r="101" spans="8:35" x14ac:dyDescent="0.3">
      <c r="N101" s="19"/>
      <c r="O101" s="11">
        <f>Tabla351018[[#This Row],[COMISIONES]]*0.21</f>
        <v>0</v>
      </c>
      <c r="P101" s="19"/>
      <c r="Q101" s="19"/>
      <c r="R101" s="19"/>
      <c r="Z101" s="22"/>
      <c r="AA101" s="22">
        <f>Tabla35681321[[#This Row],[COMISIONES]]*0.21</f>
        <v>0</v>
      </c>
      <c r="AB101" s="22"/>
      <c r="AC101" s="22"/>
      <c r="AD101" s="22"/>
      <c r="AE101" s="11">
        <v>615.96</v>
      </c>
      <c r="AF101" s="11">
        <f>Tabla3568131422[[#This Row],[COMISIONES]]*0.21</f>
        <v>129.35159999999999</v>
      </c>
      <c r="AG101" s="11">
        <v>1258.58</v>
      </c>
      <c r="AH101" s="11">
        <v>2109.66</v>
      </c>
      <c r="AI101" s="11">
        <v>33.54</v>
      </c>
    </row>
    <row r="102" spans="8:35" x14ac:dyDescent="0.3">
      <c r="N102" s="19"/>
      <c r="O102" s="11">
        <f>Tabla351018[[#This Row],[COMISIONES]]*0.21</f>
        <v>0</v>
      </c>
      <c r="P102" s="19"/>
      <c r="Q102" s="19"/>
      <c r="R102" s="19"/>
      <c r="Z102" s="22"/>
      <c r="AA102" s="22">
        <f>Tabla35681321[[#This Row],[COMISIONES]]*0.21</f>
        <v>0</v>
      </c>
      <c r="AB102" s="22"/>
      <c r="AC102" s="22"/>
      <c r="AD102" s="22"/>
      <c r="AE102" s="11">
        <v>3215.85</v>
      </c>
      <c r="AF102" s="11">
        <f>Tabla3568131422[[#This Row],[COMISIONES]]*0.21</f>
        <v>675.32849999999996</v>
      </c>
      <c r="AG102" s="11"/>
      <c r="AH102" s="11"/>
      <c r="AI102" s="11">
        <v>23.34</v>
      </c>
    </row>
    <row r="103" spans="8:35" x14ac:dyDescent="0.3">
      <c r="N103" s="19"/>
      <c r="O103" s="11">
        <f>Tabla351018[[#This Row],[COMISIONES]]*0.21</f>
        <v>0</v>
      </c>
      <c r="P103" s="19"/>
      <c r="Q103" s="19"/>
      <c r="R103" s="19"/>
      <c r="Z103" s="22"/>
      <c r="AA103" s="22">
        <f>Tabla35681321[[#This Row],[COMISIONES]]*0.21</f>
        <v>0</v>
      </c>
      <c r="AB103" s="22"/>
      <c r="AC103" s="22"/>
      <c r="AD103" s="22"/>
      <c r="AE103" s="11">
        <v>626.41</v>
      </c>
      <c r="AF103" s="11">
        <f>Tabla3568131422[[#This Row],[COMISIONES]]*0.21</f>
        <v>131.5461</v>
      </c>
      <c r="AG103" s="11">
        <v>802.38</v>
      </c>
      <c r="AH103" s="11"/>
      <c r="AI103" s="11"/>
    </row>
    <row r="104" spans="8:35" x14ac:dyDescent="0.3">
      <c r="N104" s="19"/>
      <c r="O104" s="11">
        <f>Tabla351018[[#This Row],[COMISIONES]]*0.21</f>
        <v>0</v>
      </c>
      <c r="P104" s="19"/>
      <c r="Q104" s="19"/>
      <c r="R104" s="19"/>
      <c r="Z104" s="22"/>
      <c r="AA104" s="22">
        <f>Tabla35681321[[#This Row],[COMISIONES]]*0.21</f>
        <v>0</v>
      </c>
      <c r="AB104" s="22"/>
      <c r="AC104" s="22"/>
      <c r="AD104" s="22"/>
      <c r="AE104" s="11">
        <v>1013.85</v>
      </c>
      <c r="AF104" s="11">
        <f>Tabla3568131422[[#This Row],[COMISIONES]]*0.21</f>
        <v>212.9085</v>
      </c>
      <c r="AG104" s="11">
        <v>2192.06</v>
      </c>
      <c r="AH104" s="11">
        <v>1566.44</v>
      </c>
      <c r="AI104" s="11"/>
    </row>
    <row r="105" spans="8:35" x14ac:dyDescent="0.3">
      <c r="N105" s="19"/>
      <c r="O105" s="11">
        <f>Tabla351018[[#This Row],[COMISIONES]]*0.21</f>
        <v>0</v>
      </c>
      <c r="P105" s="19"/>
      <c r="Q105" s="19"/>
      <c r="R105" s="19"/>
      <c r="Z105" s="22"/>
      <c r="AA105" s="22">
        <f>Tabla35681321[[#This Row],[COMISIONES]]*0.21</f>
        <v>0</v>
      </c>
      <c r="AB105" s="22"/>
      <c r="AC105" s="22"/>
      <c r="AD105" s="22"/>
      <c r="AE105" s="11">
        <v>1118.27</v>
      </c>
      <c r="AF105" s="11">
        <f>Tabla3568131422[[#This Row],[COMISIONES]]*0.21</f>
        <v>234.83669999999998</v>
      </c>
      <c r="AG105" s="11"/>
      <c r="AH105" s="11"/>
      <c r="AI105" s="11">
        <v>55.34</v>
      </c>
    </row>
    <row r="106" spans="8:35" x14ac:dyDescent="0.3">
      <c r="N106" s="19"/>
      <c r="O106" s="11">
        <f>Tabla351018[[#This Row],[COMISIONES]]*0.21</f>
        <v>0</v>
      </c>
      <c r="P106" s="19"/>
      <c r="Q106" s="19"/>
      <c r="R106" s="19"/>
      <c r="Z106" s="22"/>
      <c r="AA106" s="22">
        <f>Tabla35681321[[#This Row],[COMISIONES]]*0.21</f>
        <v>0</v>
      </c>
      <c r="AB106" s="22"/>
      <c r="AC106" s="22"/>
      <c r="AD106" s="22"/>
      <c r="AE106" s="11">
        <v>3349.27</v>
      </c>
      <c r="AF106" s="11">
        <f>Tabla3568131422[[#This Row],[COMISIONES]]*0.21</f>
        <v>703.34669999999994</v>
      </c>
      <c r="AG106" s="11"/>
      <c r="AH106" s="11"/>
      <c r="AI106" s="11"/>
    </row>
    <row r="107" spans="8:35" x14ac:dyDescent="0.3">
      <c r="N107" s="19"/>
      <c r="O107" s="11">
        <f>Tabla351018[[#This Row],[COMISIONES]]*0.21</f>
        <v>0</v>
      </c>
      <c r="P107" s="19"/>
      <c r="Q107" s="19"/>
      <c r="R107" s="19"/>
      <c r="Z107" s="22"/>
      <c r="AA107" s="22">
        <f>Tabla35681321[[#This Row],[COMISIONES]]*0.21</f>
        <v>0</v>
      </c>
      <c r="AB107" s="22"/>
      <c r="AC107" s="22"/>
      <c r="AD107" s="22"/>
      <c r="AE107" s="11">
        <v>778.13</v>
      </c>
      <c r="AF107" s="11">
        <f>Tabla3568131422[[#This Row],[COMISIONES]]*0.21</f>
        <v>163.40729999999999</v>
      </c>
      <c r="AG107" s="11"/>
      <c r="AH107" s="11"/>
      <c r="AI107" s="11"/>
    </row>
    <row r="108" spans="8:35" x14ac:dyDescent="0.3">
      <c r="N108" s="19"/>
      <c r="O108" s="11">
        <f>Tabla351018[[#This Row],[COMISIONES]]*0.21</f>
        <v>0</v>
      </c>
      <c r="P108" s="19"/>
      <c r="Q108" s="19"/>
      <c r="R108" s="19"/>
      <c r="Z108" s="22"/>
      <c r="AA108" s="22">
        <f>Tabla35681321[[#This Row],[COMISIONES]]*0.21</f>
        <v>0</v>
      </c>
      <c r="AB108" s="22"/>
      <c r="AC108" s="22"/>
      <c r="AD108" s="22"/>
      <c r="AE108" s="11">
        <v>754.2</v>
      </c>
      <c r="AF108" s="11">
        <f>Tabla3568131422[[#This Row],[COMISIONES]]*0.21</f>
        <v>158.38200000000001</v>
      </c>
      <c r="AG108" s="11"/>
      <c r="AH108" s="11">
        <v>3744.11</v>
      </c>
      <c r="AI108" s="11"/>
    </row>
    <row r="109" spans="8:35" x14ac:dyDescent="0.3">
      <c r="N109" s="19"/>
      <c r="O109" s="11">
        <f>Tabla351018[[#This Row],[COMISIONES]]*0.21</f>
        <v>0</v>
      </c>
      <c r="P109" s="19"/>
      <c r="Q109" s="19"/>
      <c r="R109" s="19"/>
      <c r="Z109" s="22"/>
      <c r="AA109" s="22">
        <f>Tabla35681321[[#This Row],[COMISIONES]]*0.21</f>
        <v>0</v>
      </c>
      <c r="AB109" s="22"/>
      <c r="AC109" s="22"/>
      <c r="AD109" s="22"/>
      <c r="AE109" s="11">
        <v>1844.64</v>
      </c>
      <c r="AF109" s="11">
        <f>Tabla3568131422[[#This Row],[COMISIONES]]*0.21</f>
        <v>387.37439999999998</v>
      </c>
      <c r="AG109" s="11"/>
      <c r="AH109" s="11"/>
      <c r="AI109" s="11"/>
    </row>
    <row r="110" spans="8:35" x14ac:dyDescent="0.3">
      <c r="N110" s="19"/>
      <c r="O110" s="11">
        <f>Tabla351018[[#This Row],[COMISIONES]]*0.21</f>
        <v>0</v>
      </c>
      <c r="P110" s="19"/>
      <c r="Q110" s="19"/>
      <c r="R110" s="19"/>
      <c r="Z110" s="22"/>
      <c r="AA110" s="22">
        <f>Tabla35681321[[#This Row],[COMISIONES]]*0.21</f>
        <v>0</v>
      </c>
      <c r="AB110" s="22"/>
      <c r="AC110" s="22"/>
      <c r="AD110" s="22"/>
      <c r="AE110" s="11">
        <v>1588.05</v>
      </c>
      <c r="AF110" s="11">
        <f>Tabla3568131422[[#This Row],[COMISIONES]]*0.21</f>
        <v>333.4905</v>
      </c>
      <c r="AG110" s="11">
        <v>4057.73</v>
      </c>
      <c r="AH110" s="11">
        <v>8755.59</v>
      </c>
      <c r="AI110" s="11"/>
    </row>
    <row r="111" spans="8:35" x14ac:dyDescent="0.3">
      <c r="N111" s="19"/>
      <c r="O111" s="11">
        <f>Tabla351018[[#This Row],[COMISIONES]]*0.21</f>
        <v>0</v>
      </c>
      <c r="P111" s="19"/>
      <c r="Q111" s="19"/>
      <c r="R111" s="19"/>
      <c r="Z111" s="22"/>
      <c r="AA111" s="22">
        <f>Tabla35681321[[#This Row],[COMISIONES]]*0.21</f>
        <v>0</v>
      </c>
      <c r="AB111" s="22"/>
      <c r="AC111" s="22"/>
      <c r="AD111" s="22"/>
      <c r="AE111" s="11">
        <v>366.75</v>
      </c>
      <c r="AF111" s="11">
        <f>Tabla3568131422[[#This Row],[COMISIONES]]*0.21</f>
        <v>77.017499999999998</v>
      </c>
      <c r="AG111" s="11"/>
      <c r="AH111" s="11">
        <v>6322.33</v>
      </c>
      <c r="AI111" s="11">
        <v>99.02</v>
      </c>
    </row>
    <row r="112" spans="8:35" x14ac:dyDescent="0.3">
      <c r="N112" s="19"/>
      <c r="O112" s="11">
        <f>Tabla351018[[#This Row],[COMISIONES]]*0.21</f>
        <v>0</v>
      </c>
      <c r="P112" s="19"/>
      <c r="Q112" s="19"/>
      <c r="R112" s="19"/>
      <c r="Z112" s="22"/>
      <c r="AA112" s="22">
        <f>Tabla35681321[[#This Row],[COMISIONES]]*0.21</f>
        <v>0</v>
      </c>
      <c r="AB112" s="22"/>
      <c r="AC112" s="22"/>
      <c r="AD112" s="22"/>
      <c r="AE112" s="11">
        <v>1525.09</v>
      </c>
      <c r="AF112" s="11">
        <f>Tabla3568131422[[#This Row],[COMISIONES]]*0.21</f>
        <v>320.26889999999997</v>
      </c>
      <c r="AG112" s="11"/>
      <c r="AH112" s="11"/>
      <c r="AI112" s="11"/>
    </row>
    <row r="113" spans="14:35" x14ac:dyDescent="0.3">
      <c r="N113" s="19"/>
      <c r="O113" s="11">
        <f>Tabla351018[[#This Row],[COMISIONES]]*0.21</f>
        <v>0</v>
      </c>
      <c r="P113" s="19"/>
      <c r="Q113" s="19"/>
      <c r="R113" s="19"/>
      <c r="Z113" s="22"/>
      <c r="AA113" s="22">
        <f>Tabla35681321[[#This Row],[COMISIONES]]*0.21</f>
        <v>0</v>
      </c>
      <c r="AB113" s="22"/>
      <c r="AC113" s="22"/>
      <c r="AD113" s="22"/>
      <c r="AE113" s="11">
        <v>3566.43</v>
      </c>
      <c r="AF113" s="11">
        <f>Tabla3568131422[[#This Row],[COMISIONES]]*0.21</f>
        <v>748.95029999999997</v>
      </c>
      <c r="AG113" s="11"/>
      <c r="AH113" s="11"/>
      <c r="AI113" s="11"/>
    </row>
    <row r="114" spans="14:35" x14ac:dyDescent="0.3">
      <c r="N114" s="19"/>
      <c r="O114" s="11">
        <f>Tabla351018[[#This Row],[COMISIONES]]*0.21</f>
        <v>0</v>
      </c>
      <c r="P114" s="19"/>
      <c r="Q114" s="19"/>
      <c r="R114" s="19"/>
      <c r="Z114" s="22"/>
      <c r="AA114" s="22">
        <f>Tabla35681321[[#This Row],[COMISIONES]]*0.21</f>
        <v>0</v>
      </c>
      <c r="AB114" s="22"/>
      <c r="AC114" s="22"/>
      <c r="AD114" s="22"/>
      <c r="AE114" s="11">
        <v>3300.8</v>
      </c>
      <c r="AF114" s="11">
        <f>Tabla3568131422[[#This Row],[COMISIONES]]*0.21</f>
        <v>693.16800000000001</v>
      </c>
      <c r="AG114" s="11"/>
      <c r="AH114" s="11"/>
      <c r="AI114" s="11"/>
    </row>
    <row r="115" spans="14:35" x14ac:dyDescent="0.3">
      <c r="N115" s="19"/>
      <c r="O115" s="11">
        <f>Tabla351018[[#This Row],[COMISIONES]]*0.21</f>
        <v>0</v>
      </c>
      <c r="P115" s="19"/>
      <c r="Q115" s="19"/>
      <c r="R115" s="19"/>
      <c r="Z115" s="22"/>
      <c r="AA115" s="22">
        <f>Tabla35681321[[#This Row],[COMISIONES]]*0.21</f>
        <v>0</v>
      </c>
      <c r="AB115" s="22"/>
      <c r="AC115" s="22"/>
      <c r="AD115" s="22"/>
      <c r="AE115" s="11">
        <v>384.8</v>
      </c>
      <c r="AF115" s="11">
        <f>Tabla3568131422[[#This Row],[COMISIONES]]*0.21</f>
        <v>80.807999999999993</v>
      </c>
      <c r="AG115" s="11"/>
      <c r="AH115" s="11">
        <v>3428.26</v>
      </c>
      <c r="AI115" s="11"/>
    </row>
    <row r="116" spans="14:35" x14ac:dyDescent="0.3">
      <c r="N116" s="19"/>
      <c r="O116" s="11">
        <f>Tabla351018[[#This Row],[COMISIONES]]*0.21</f>
        <v>0</v>
      </c>
      <c r="P116" s="19"/>
      <c r="Q116" s="19"/>
      <c r="R116" s="19"/>
      <c r="Z116" s="22"/>
      <c r="AA116" s="22">
        <f>Tabla35681321[[#This Row],[COMISIONES]]*0.21</f>
        <v>0</v>
      </c>
      <c r="AB116" s="22"/>
      <c r="AC116" s="22"/>
      <c r="AD116" s="22"/>
      <c r="AE116" s="11">
        <v>1369.8</v>
      </c>
      <c r="AF116" s="11">
        <f>Tabla3568131422[[#This Row],[COMISIONES]]*0.21</f>
        <v>287.65799999999996</v>
      </c>
      <c r="AG116" s="11">
        <v>1188.0999999999999</v>
      </c>
      <c r="AH116" s="11"/>
      <c r="AI116" s="11"/>
    </row>
    <row r="117" spans="14:35" x14ac:dyDescent="0.3">
      <c r="N117" s="19"/>
      <c r="O117" s="11">
        <f>Tabla351018[[#This Row],[COMISIONES]]*0.21</f>
        <v>0</v>
      </c>
      <c r="P117" s="19"/>
      <c r="Q117" s="19"/>
      <c r="R117" s="19"/>
      <c r="Z117" s="22"/>
      <c r="AA117" s="22">
        <f>Tabla35681321[[#This Row],[COMISIONES]]*0.21</f>
        <v>0</v>
      </c>
      <c r="AB117" s="22"/>
      <c r="AC117" s="22"/>
      <c r="AD117" s="22"/>
      <c r="AE117" s="11">
        <v>1072.9100000000001</v>
      </c>
      <c r="AF117" s="11">
        <f>Tabla3568131422[[#This Row],[COMISIONES]]*0.21</f>
        <v>225.31110000000001</v>
      </c>
      <c r="AG117" s="11"/>
      <c r="AH117" s="11"/>
      <c r="AI117" s="11">
        <v>31.42</v>
      </c>
    </row>
    <row r="118" spans="14:35" x14ac:dyDescent="0.3">
      <c r="N118" s="19"/>
      <c r="O118" s="11">
        <f>Tabla351018[[#This Row],[COMISIONES]]*0.21</f>
        <v>0</v>
      </c>
      <c r="P118" s="19"/>
      <c r="Q118" s="19"/>
      <c r="R118" s="19"/>
      <c r="Z118" s="22"/>
      <c r="AA118" s="22">
        <f>Tabla35681321[[#This Row],[COMISIONES]]*0.21</f>
        <v>0</v>
      </c>
      <c r="AB118" s="22"/>
      <c r="AC118" s="22"/>
      <c r="AD118" s="22"/>
      <c r="AE118" s="11">
        <v>1396.44</v>
      </c>
      <c r="AF118" s="11">
        <f>Tabla3568131422[[#This Row],[COMISIONES]]*0.21</f>
        <v>293.25240000000002</v>
      </c>
      <c r="AG118" s="11">
        <v>1079.97</v>
      </c>
      <c r="AH118" s="11">
        <v>2542.23</v>
      </c>
      <c r="AI118" s="11">
        <v>39.770000000000003</v>
      </c>
    </row>
    <row r="119" spans="14:35" x14ac:dyDescent="0.3">
      <c r="N119" s="19"/>
      <c r="O119" s="19"/>
      <c r="P119" s="19"/>
      <c r="Q119" s="19"/>
      <c r="R119" s="19"/>
      <c r="Z119" s="22"/>
      <c r="AA119" s="22">
        <f>Tabla35681321[[#This Row],[COMISIONES]]*0.21</f>
        <v>0</v>
      </c>
      <c r="AB119" s="22"/>
      <c r="AC119" s="22"/>
      <c r="AD119" s="22"/>
      <c r="AE119" s="11">
        <v>1047.33</v>
      </c>
      <c r="AF119" s="11">
        <f>Tabla3568131422[[#This Row],[COMISIONES]]*0.21</f>
        <v>219.93929999999997</v>
      </c>
      <c r="AG119" s="11">
        <v>1662.35</v>
      </c>
      <c r="AH119" s="11">
        <v>14034.61</v>
      </c>
      <c r="AI119" s="11"/>
    </row>
    <row r="120" spans="14:35" x14ac:dyDescent="0.3">
      <c r="N120" s="19"/>
      <c r="O120" s="19"/>
      <c r="P120" s="19"/>
      <c r="Q120" s="19"/>
      <c r="R120" s="19"/>
      <c r="Z120" s="22"/>
      <c r="AA120" s="22">
        <f>Tabla35681321[[#This Row],[COMISIONES]]*0.21</f>
        <v>0</v>
      </c>
      <c r="AB120" s="22"/>
      <c r="AC120" s="22"/>
      <c r="AD120" s="22"/>
      <c r="AE120" s="11">
        <v>1325.72</v>
      </c>
      <c r="AF120" s="11">
        <f>Tabla3568131422[[#This Row],[COMISIONES]]*0.21</f>
        <v>278.40120000000002</v>
      </c>
      <c r="AG120" s="11"/>
      <c r="AH120" s="11">
        <v>12216.52</v>
      </c>
      <c r="AI120" s="11">
        <v>65.67</v>
      </c>
    </row>
    <row r="121" spans="14:35" x14ac:dyDescent="0.3">
      <c r="N121" s="19"/>
      <c r="O121" s="19"/>
      <c r="P121" s="19"/>
      <c r="Q121" s="19"/>
      <c r="R121" s="19"/>
      <c r="Z121" s="22"/>
      <c r="AA121" s="22">
        <f>Tabla35681321[[#This Row],[COMISIONES]]*0.21</f>
        <v>0</v>
      </c>
      <c r="AB121" s="22"/>
      <c r="AC121" s="22"/>
      <c r="AD121" s="22"/>
      <c r="AE121" s="11">
        <v>2515.17</v>
      </c>
      <c r="AF121" s="11">
        <f>Tabla3568131422[[#This Row],[COMISIONES]]*0.21</f>
        <v>528.1857</v>
      </c>
      <c r="AG121" s="11"/>
      <c r="AH121" s="11"/>
      <c r="AI121" s="11"/>
    </row>
    <row r="122" spans="14:35" x14ac:dyDescent="0.3">
      <c r="N122" s="19"/>
      <c r="O122" s="19"/>
      <c r="P122" s="19"/>
      <c r="Q122" s="19"/>
      <c r="R122" s="19"/>
      <c r="Z122" s="22"/>
      <c r="AA122" s="22">
        <f>Tabla35681321[[#This Row],[COMISIONES]]*0.21</f>
        <v>0</v>
      </c>
      <c r="AB122" s="22"/>
      <c r="AC122" s="22"/>
      <c r="AD122" s="22"/>
      <c r="AE122" s="11">
        <v>2343.6</v>
      </c>
      <c r="AF122" s="11">
        <f>Tabla3568131422[[#This Row],[COMISIONES]]*0.21</f>
        <v>492.15599999999995</v>
      </c>
      <c r="AG122" s="11"/>
      <c r="AH122" s="11">
        <v>12086.61</v>
      </c>
      <c r="AI122" s="11">
        <v>64.97</v>
      </c>
    </row>
    <row r="123" spans="14:35" x14ac:dyDescent="0.3">
      <c r="N123" s="19"/>
      <c r="O123" s="19"/>
      <c r="P123" s="19"/>
      <c r="Q123" s="19"/>
      <c r="R123" s="19"/>
      <c r="Z123" s="22"/>
      <c r="AA123" s="22">
        <f>Tabla35681321[[#This Row],[COMISIONES]]*0.21</f>
        <v>0</v>
      </c>
      <c r="AB123" s="22"/>
      <c r="AC123" s="22"/>
      <c r="AD123" s="22"/>
      <c r="AE123" s="11">
        <v>1840.28</v>
      </c>
      <c r="AF123" s="11">
        <f>Tabla3568131422[[#This Row],[COMISIONES]]*0.21</f>
        <v>386.4588</v>
      </c>
      <c r="AG123" s="11"/>
      <c r="AH123" s="11"/>
      <c r="AI123" s="11"/>
    </row>
    <row r="124" spans="14:35" x14ac:dyDescent="0.3">
      <c r="N124" s="19"/>
      <c r="O124" s="19"/>
      <c r="P124" s="19"/>
      <c r="Q124" s="19"/>
      <c r="R124" s="19"/>
      <c r="Z124" s="22"/>
      <c r="AA124" s="22">
        <f>Tabla35681321[[#This Row],[COMISIONES]]*0.21</f>
        <v>0</v>
      </c>
      <c r="AB124" s="22"/>
      <c r="AC124" s="22"/>
      <c r="AD124" s="22"/>
      <c r="AE124" s="11">
        <v>2189.34</v>
      </c>
      <c r="AF124" s="11">
        <f>Tabla3568131422[[#This Row],[COMISIONES]]*0.21</f>
        <v>459.76140000000004</v>
      </c>
      <c r="AG124" s="11"/>
      <c r="AH124" s="11"/>
      <c r="AI124" s="11"/>
    </row>
    <row r="125" spans="14:35" x14ac:dyDescent="0.3">
      <c r="N125" s="19"/>
      <c r="O125" s="19"/>
      <c r="P125" s="19"/>
      <c r="Q125" s="19"/>
      <c r="R125" s="19"/>
      <c r="Z125" s="22"/>
      <c r="AA125" s="22">
        <f>Tabla35681321[[#This Row],[COMISIONES]]*0.21</f>
        <v>0</v>
      </c>
      <c r="AB125" s="22"/>
      <c r="AC125" s="22"/>
      <c r="AD125" s="22"/>
      <c r="AE125" s="11">
        <v>879.5</v>
      </c>
      <c r="AF125" s="11">
        <f>Tabla3568131422[[#This Row],[COMISIONES]]*0.21</f>
        <v>184.69499999999999</v>
      </c>
      <c r="AG125" s="11"/>
      <c r="AH125" s="11"/>
      <c r="AI125" s="11"/>
    </row>
    <row r="126" spans="14:35" x14ac:dyDescent="0.3">
      <c r="N126" s="19"/>
      <c r="O126" s="19"/>
      <c r="P126" s="19"/>
      <c r="Q126" s="19"/>
      <c r="R126" s="19"/>
      <c r="Z126" s="22"/>
      <c r="AA126" s="22">
        <f>Tabla35681321[[#This Row],[COMISIONES]]*0.21</f>
        <v>0</v>
      </c>
      <c r="AB126" s="22"/>
      <c r="AC126" s="22"/>
      <c r="AD126" s="22"/>
      <c r="AE126" s="11">
        <v>466</v>
      </c>
      <c r="AF126" s="11">
        <f>Tabla3568131422[[#This Row],[COMISIONES]]*0.21</f>
        <v>97.86</v>
      </c>
      <c r="AG126" s="11"/>
      <c r="AH126" s="11"/>
      <c r="AI126" s="11"/>
    </row>
    <row r="127" spans="14:35" x14ac:dyDescent="0.3">
      <c r="N127" s="19"/>
      <c r="O127" s="19"/>
      <c r="P127" s="19"/>
      <c r="Q127" s="19"/>
      <c r="R127" s="19"/>
      <c r="Z127" s="22"/>
      <c r="AA127" s="22">
        <f>Tabla35681321[[#This Row],[COMISIONES]]*0.21</f>
        <v>0</v>
      </c>
      <c r="AB127" s="22"/>
      <c r="AC127" s="22"/>
      <c r="AD127" s="22"/>
      <c r="AE127" s="11">
        <v>2166.06</v>
      </c>
      <c r="AF127" s="11">
        <f>Tabla3568131422[[#This Row],[COMISIONES]]*0.21</f>
        <v>454.87259999999998</v>
      </c>
      <c r="AG127" s="11"/>
      <c r="AH127" s="11">
        <v>12525.98</v>
      </c>
      <c r="AI127" s="11"/>
    </row>
    <row r="128" spans="14:35" x14ac:dyDescent="0.3">
      <c r="N128" s="19"/>
      <c r="O128" s="19"/>
      <c r="P128" s="19"/>
      <c r="Q128" s="19"/>
      <c r="R128" s="19"/>
      <c r="Z128" s="22"/>
      <c r="AA128" s="22">
        <f>Tabla35681321[[#This Row],[COMISIONES]]*0.21</f>
        <v>0</v>
      </c>
      <c r="AB128" s="22"/>
      <c r="AC128" s="22"/>
      <c r="AD128" s="22"/>
      <c r="AE128" s="11">
        <v>1475.88</v>
      </c>
      <c r="AF128" s="11">
        <f>Tabla3568131422[[#This Row],[COMISIONES]]*0.21</f>
        <v>309.9348</v>
      </c>
      <c r="AG128" s="11"/>
      <c r="AH128" s="11"/>
      <c r="AI128" s="11"/>
    </row>
    <row r="129" spans="14:35" x14ac:dyDescent="0.3">
      <c r="N129" s="19"/>
      <c r="O129" s="19"/>
      <c r="P129" s="19"/>
      <c r="Q129" s="19"/>
      <c r="R129" s="19"/>
      <c r="Z129" s="22"/>
      <c r="AA129" s="22">
        <f>Tabla35681321[[#This Row],[COMISIONES]]*0.21</f>
        <v>0</v>
      </c>
      <c r="AB129" s="22"/>
      <c r="AC129" s="22"/>
      <c r="AD129" s="22"/>
      <c r="AE129" s="11">
        <v>888.8</v>
      </c>
      <c r="AF129" s="11">
        <f>Tabla3568131422[[#This Row],[COMISIONES]]*0.21</f>
        <v>186.648</v>
      </c>
      <c r="AG129" s="11"/>
      <c r="AH129" s="11"/>
      <c r="AI129" s="11"/>
    </row>
    <row r="130" spans="14:35" x14ac:dyDescent="0.3">
      <c r="N130" s="19"/>
      <c r="O130" s="19">
        <f>Tabla351018[[#This Row],[COMISIONES]]*0.21</f>
        <v>0</v>
      </c>
      <c r="P130" s="19"/>
      <c r="Q130" s="19"/>
      <c r="R130" s="19"/>
      <c r="Z130" s="22"/>
      <c r="AA130" s="22">
        <f>Tabla35681321[[#This Row],[COMISIONES]]*0.21</f>
        <v>0</v>
      </c>
      <c r="AB130" s="22"/>
      <c r="AC130" s="22"/>
      <c r="AD130" s="22"/>
      <c r="AE130" s="11">
        <v>743.92</v>
      </c>
      <c r="AF130" s="11">
        <f>Tabla3568131422[[#This Row],[COMISIONES]]*0.21</f>
        <v>156.22319999999999</v>
      </c>
      <c r="AG130" s="11"/>
      <c r="AH130" s="11"/>
      <c r="AI130" s="11">
        <v>72.349999999999994</v>
      </c>
    </row>
    <row r="131" spans="14:35" x14ac:dyDescent="0.3">
      <c r="N131" s="4">
        <f>SUBTOTAL(109,Tabla351018[COMISIONES])</f>
        <v>17918.169999999998</v>
      </c>
      <c r="O131" s="4">
        <f>SUBTOTAL(109,Tabla351018[IVA 21])</f>
        <v>3762.8156999999997</v>
      </c>
      <c r="P131" s="4">
        <f>SUBTOTAL(109,Tabla351018[IVA 10,5])</f>
        <v>0</v>
      </c>
      <c r="Q131" s="4">
        <f>SUBTOTAL(109,Tabla351018[Ret IIBB Caba])</f>
        <v>846</v>
      </c>
      <c r="R131" s="4">
        <f>SUBTOTAL(109,Tabla351018[PERC IVA])</f>
        <v>495.04</v>
      </c>
      <c r="Z131" s="22"/>
      <c r="AA131" s="22">
        <f>Tabla35681321[[#This Row],[COMISIONES]]*0.21</f>
        <v>0</v>
      </c>
      <c r="AB131" s="22"/>
      <c r="AC131" s="22"/>
      <c r="AD131" s="22"/>
      <c r="AE131" s="11">
        <v>1778.37</v>
      </c>
      <c r="AF131" s="11">
        <f>Tabla3568131422[[#This Row],[COMISIONES]]*0.21</f>
        <v>373.45769999999999</v>
      </c>
      <c r="AG131" s="11"/>
      <c r="AH131" s="11"/>
      <c r="AI131" s="11"/>
    </row>
    <row r="132" spans="14:35" x14ac:dyDescent="0.3">
      <c r="Z132" s="22"/>
      <c r="AA132" s="22">
        <f>Tabla35681321[[#This Row],[COMISIONES]]*0.21</f>
        <v>0</v>
      </c>
      <c r="AB132" s="22"/>
      <c r="AC132" s="22"/>
      <c r="AD132" s="22"/>
      <c r="AE132" s="11">
        <v>1401.24</v>
      </c>
      <c r="AF132" s="11">
        <f>Tabla3568131422[[#This Row],[COMISIONES]]*0.21</f>
        <v>294.2604</v>
      </c>
      <c r="AG132" s="11"/>
      <c r="AH132" s="11"/>
      <c r="AI132" s="11"/>
    </row>
    <row r="133" spans="14:35" x14ac:dyDescent="0.3">
      <c r="Z133" s="22"/>
      <c r="AA133" s="22">
        <f>Tabla35681321[[#This Row],[COMISIONES]]*0.21</f>
        <v>0</v>
      </c>
      <c r="AB133" s="22"/>
      <c r="AC133" s="22"/>
      <c r="AD133" s="22"/>
      <c r="AE133" s="11">
        <v>1063.6600000000001</v>
      </c>
      <c r="AF133" s="11">
        <f>Tabla3568131422[[#This Row],[COMISIONES]]*0.21</f>
        <v>223.36860000000001</v>
      </c>
      <c r="AG133" s="11"/>
      <c r="AH133" s="11"/>
      <c r="AI133" s="11"/>
    </row>
    <row r="134" spans="14:35" x14ac:dyDescent="0.3">
      <c r="Z134" s="22"/>
      <c r="AA134" s="22">
        <f>Tabla35681321[[#This Row],[COMISIONES]]*0.21</f>
        <v>0</v>
      </c>
      <c r="AB134" s="22"/>
      <c r="AC134" s="22"/>
      <c r="AD134" s="22"/>
      <c r="AE134" s="11">
        <v>1123.56</v>
      </c>
      <c r="AF134" s="11">
        <f>Tabla3568131422[[#This Row],[COMISIONES]]*0.21</f>
        <v>235.94759999999997</v>
      </c>
      <c r="AG134" s="11"/>
      <c r="AH134" s="11"/>
      <c r="AI134" s="11"/>
    </row>
    <row r="135" spans="14:35" x14ac:dyDescent="0.3">
      <c r="Z135" s="22"/>
      <c r="AA135" s="22">
        <f>Tabla35681321[[#This Row],[COMISIONES]]*0.21</f>
        <v>0</v>
      </c>
      <c r="AB135" s="22"/>
      <c r="AC135" s="22"/>
      <c r="AD135" s="22"/>
      <c r="AE135" s="11">
        <v>742.78</v>
      </c>
      <c r="AF135" s="11">
        <f>Tabla3568131422[[#This Row],[COMISIONES]]*0.21</f>
        <v>155.9838</v>
      </c>
      <c r="AG135" s="11"/>
      <c r="AH135" s="11"/>
      <c r="AI135" s="11"/>
    </row>
    <row r="136" spans="14:35" x14ac:dyDescent="0.3">
      <c r="Z136" s="22"/>
      <c r="AA136" s="22">
        <f>Tabla35681321[[#This Row],[COMISIONES]]*0.21</f>
        <v>0</v>
      </c>
      <c r="AB136" s="22"/>
      <c r="AC136" s="22"/>
      <c r="AD136" s="22"/>
      <c r="AE136" s="11">
        <v>732.84</v>
      </c>
      <c r="AF136" s="11">
        <f>Tabla3568131422[[#This Row],[COMISIONES]]*0.21</f>
        <v>153.8964</v>
      </c>
      <c r="AG136" s="11"/>
      <c r="AH136" s="11"/>
      <c r="AI136" s="11"/>
    </row>
    <row r="137" spans="14:35" x14ac:dyDescent="0.3">
      <c r="Z137" s="22"/>
      <c r="AA137" s="22">
        <f>Tabla35681321[[#This Row],[COMISIONES]]*0.21</f>
        <v>0</v>
      </c>
      <c r="AB137" s="22"/>
      <c r="AC137" s="1"/>
      <c r="AD137" s="22"/>
      <c r="AE137" s="11">
        <v>2411.27</v>
      </c>
      <c r="AF137" s="11">
        <f>Tabla3568131422[[#This Row],[COMISIONES]]*0.21</f>
        <v>506.36669999999998</v>
      </c>
      <c r="AG137" s="11"/>
      <c r="AH137" s="11"/>
      <c r="AI137" s="11"/>
    </row>
    <row r="138" spans="14:35" x14ac:dyDescent="0.3">
      <c r="Z138" s="22"/>
      <c r="AA138" s="22">
        <f>Tabla35681321[[#This Row],[COMISIONES]]*0.21</f>
        <v>0</v>
      </c>
      <c r="AB138" s="22"/>
      <c r="AC138" s="22"/>
      <c r="AD138" s="22"/>
      <c r="AE138" s="11">
        <v>2244.8000000000002</v>
      </c>
      <c r="AF138" s="11">
        <f>Tabla3568131422[[#This Row],[COMISIONES]]*0.21</f>
        <v>471.40800000000002</v>
      </c>
      <c r="AG138" s="11"/>
      <c r="AH138" s="11">
        <v>6125.46</v>
      </c>
      <c r="AI138" s="11"/>
    </row>
    <row r="139" spans="14:35" x14ac:dyDescent="0.3">
      <c r="Z139" s="22"/>
      <c r="AA139" s="22">
        <f>Tabla35681321[[#This Row],[COMISIONES]]*0.21</f>
        <v>0</v>
      </c>
      <c r="AB139" s="22"/>
      <c r="AC139" s="22"/>
      <c r="AD139" s="22"/>
      <c r="AE139" s="11">
        <v>1178.8399999999999</v>
      </c>
      <c r="AF139" s="11">
        <f>Tabla3568131422[[#This Row],[COMISIONES]]*0.21</f>
        <v>247.55639999999997</v>
      </c>
      <c r="AG139" s="11"/>
      <c r="AH139" s="11">
        <v>6691.87</v>
      </c>
      <c r="AI139" s="11"/>
    </row>
    <row r="140" spans="14:35" x14ac:dyDescent="0.3">
      <c r="Z140" s="22"/>
      <c r="AA140" s="22">
        <f>Tabla35681321[[#This Row],[COMISIONES]]*0.21</f>
        <v>0</v>
      </c>
      <c r="AB140" s="22"/>
      <c r="AC140" s="22"/>
      <c r="AD140" s="22"/>
      <c r="AE140" s="11">
        <v>1097.75</v>
      </c>
      <c r="AF140" s="11">
        <f>Tabla3568131422[[#This Row],[COMISIONES]]*0.21</f>
        <v>230.5275</v>
      </c>
      <c r="AG140" s="11"/>
      <c r="AH140" s="11"/>
      <c r="AI140" s="11"/>
    </row>
    <row r="141" spans="14:35" x14ac:dyDescent="0.3">
      <c r="Z141" s="22"/>
      <c r="AA141" s="22">
        <f>Tabla35681321[[#This Row],[COMISIONES]]*0.21</f>
        <v>0</v>
      </c>
      <c r="AB141" s="22"/>
      <c r="AC141" s="22"/>
      <c r="AD141" s="22"/>
      <c r="AE141" s="11">
        <v>1199.26</v>
      </c>
      <c r="AF141" s="11">
        <f>Tabla3568131422[[#This Row],[COMISIONES]]*0.21</f>
        <v>251.84459999999999</v>
      </c>
      <c r="AG141" s="11"/>
      <c r="AH141" s="11"/>
      <c r="AI141" s="11"/>
    </row>
    <row r="142" spans="14:35" x14ac:dyDescent="0.3">
      <c r="Z142" s="22"/>
      <c r="AA142" s="22">
        <f>Tabla35681321[[#This Row],[COMISIONES]]*0.21</f>
        <v>0</v>
      </c>
      <c r="AB142" s="22"/>
      <c r="AC142" s="22"/>
      <c r="AD142" s="22"/>
      <c r="AE142" s="11"/>
      <c r="AF142" s="11">
        <f>Tabla3568131422[[#This Row],[COMISIONES]]*0.21</f>
        <v>0</v>
      </c>
      <c r="AG142" s="11"/>
      <c r="AH142" s="11"/>
      <c r="AI142" s="11"/>
    </row>
    <row r="143" spans="14:35" x14ac:dyDescent="0.3">
      <c r="Z143" s="22"/>
      <c r="AA143" s="22">
        <f>Tabla35681321[[#This Row],[COMISIONES]]*0.21</f>
        <v>0</v>
      </c>
      <c r="AB143" s="22"/>
      <c r="AC143" s="22"/>
      <c r="AD143" s="22"/>
      <c r="AE143" s="11"/>
      <c r="AF143" s="11">
        <f>Tabla3568131422[[#This Row],[COMISIONES]]*0.21</f>
        <v>0</v>
      </c>
      <c r="AG143" s="11"/>
      <c r="AH143" s="11"/>
      <c r="AI143" s="11"/>
    </row>
    <row r="144" spans="14:35" x14ac:dyDescent="0.3">
      <c r="Z144" s="22"/>
      <c r="AA144" s="22">
        <f>Tabla35681321[[#This Row],[COMISIONES]]*0.21</f>
        <v>0</v>
      </c>
      <c r="AB144" s="22"/>
      <c r="AC144" s="22"/>
      <c r="AD144" s="22"/>
      <c r="AE144" s="11"/>
      <c r="AF144" s="11">
        <f>Tabla3568131422[[#This Row],[COMISIONES]]*0.21</f>
        <v>0</v>
      </c>
      <c r="AG144" s="11"/>
      <c r="AH144" s="11"/>
      <c r="AI144" s="11"/>
    </row>
    <row r="145" spans="26:35" x14ac:dyDescent="0.3">
      <c r="Z145" s="22"/>
      <c r="AA145" s="22">
        <f>Tabla35681321[[#This Row],[COMISIONES]]*0.21</f>
        <v>0</v>
      </c>
      <c r="AB145" s="22"/>
      <c r="AC145" s="22"/>
      <c r="AD145" s="22"/>
      <c r="AE145" s="11"/>
      <c r="AF145" s="11">
        <f>Tabla3568131422[[#This Row],[COMISIONES]]*0.21</f>
        <v>0</v>
      </c>
      <c r="AG145" s="11"/>
      <c r="AH145" s="11"/>
      <c r="AI145" s="11"/>
    </row>
    <row r="146" spans="26:35" x14ac:dyDescent="0.3">
      <c r="Z146" s="22"/>
      <c r="AA146" s="22">
        <f>Tabla35681321[[#This Row],[COMISIONES]]*0.21</f>
        <v>0</v>
      </c>
      <c r="AB146" s="22"/>
      <c r="AC146" s="22"/>
      <c r="AD146" s="22"/>
      <c r="AE146" s="11"/>
      <c r="AF146" s="11">
        <f>Tabla3568131422[[#This Row],[COMISIONES]]*0.21</f>
        <v>0</v>
      </c>
      <c r="AG146" s="11"/>
      <c r="AH146" s="11"/>
      <c r="AI146" s="11"/>
    </row>
    <row r="147" spans="26:35" x14ac:dyDescent="0.3">
      <c r="Z147" s="22"/>
      <c r="AA147" s="22">
        <f>Tabla35681321[[#This Row],[COMISIONES]]*0.21</f>
        <v>0</v>
      </c>
      <c r="AB147" s="22"/>
      <c r="AC147" s="22"/>
      <c r="AD147" s="22"/>
      <c r="AE147" s="11"/>
      <c r="AF147" s="11">
        <f>Tabla3568131422[[#This Row],[COMISIONES]]*0.21</f>
        <v>0</v>
      </c>
      <c r="AG147" s="11"/>
      <c r="AH147" s="11"/>
      <c r="AI147" s="11"/>
    </row>
    <row r="148" spans="26:35" x14ac:dyDescent="0.3">
      <c r="Z148" s="22"/>
      <c r="AA148" s="22">
        <f>Tabla35681321[[#This Row],[COMISIONES]]*0.21</f>
        <v>0</v>
      </c>
      <c r="AB148" s="22"/>
      <c r="AC148" s="22"/>
      <c r="AD148" s="22"/>
      <c r="AE148" s="4">
        <f>SUBTOTAL(109,Tabla3568131422[COMISIONES])</f>
        <v>136019.41000000003</v>
      </c>
      <c r="AF148" s="4">
        <f>SUBTOTAL(109,Tabla3568131422[IVA 21])</f>
        <v>28564.076099999998</v>
      </c>
      <c r="AG148" s="4">
        <f>SUBTOTAL(109,Tabla3568131422[IVA 10,5])</f>
        <v>45767.270000000004</v>
      </c>
      <c r="AH148" s="4">
        <f>SUBTOTAL(109,Tabla3568131422[Ret IIBB Caba])</f>
        <v>231660.48000000004</v>
      </c>
      <c r="AI148" s="4">
        <f>SUBTOTAL(109,Tabla3568131422[PERC IVA])</f>
        <v>2177.2599999999998</v>
      </c>
    </row>
    <row r="149" spans="26:35" x14ac:dyDescent="0.3">
      <c r="Z149" s="22"/>
      <c r="AA149" s="22">
        <f>Tabla35681321[[#This Row],[COMISIONES]]*0.21</f>
        <v>0</v>
      </c>
      <c r="AB149" s="22"/>
      <c r="AC149" s="22"/>
      <c r="AD149" s="22"/>
    </row>
    <row r="150" spans="26:35" x14ac:dyDescent="0.3">
      <c r="Z150" s="22"/>
      <c r="AA150" s="22">
        <f>Tabla35681321[[#This Row],[COMISIONES]]*0.21</f>
        <v>0</v>
      </c>
      <c r="AB150" s="22"/>
      <c r="AC150" s="22"/>
      <c r="AD150" s="22"/>
    </row>
    <row r="151" spans="26:35" x14ac:dyDescent="0.3">
      <c r="Z151" s="22"/>
      <c r="AA151" s="22">
        <f>Tabla35681321[[#This Row],[COMISIONES]]*0.21</f>
        <v>0</v>
      </c>
      <c r="AB151" s="22"/>
      <c r="AC151" s="22"/>
      <c r="AD151" s="22"/>
    </row>
    <row r="152" spans="26:35" x14ac:dyDescent="0.3">
      <c r="Z152" s="22"/>
      <c r="AA152" s="22">
        <f>Tabla35681321[[#This Row],[COMISIONES]]*0.21</f>
        <v>0</v>
      </c>
      <c r="AB152" s="22"/>
      <c r="AC152" s="22"/>
      <c r="AD152" s="22"/>
    </row>
    <row r="153" spans="26:35" x14ac:dyDescent="0.3">
      <c r="Z153" s="22"/>
      <c r="AA153" s="22">
        <f>Tabla35681321[[#This Row],[COMISIONES]]*0.21</f>
        <v>0</v>
      </c>
      <c r="AB153" s="22"/>
      <c r="AC153" s="22"/>
      <c r="AD153" s="22"/>
    </row>
    <row r="154" spans="26:35" x14ac:dyDescent="0.3">
      <c r="Z154" s="22"/>
      <c r="AA154" s="22">
        <f>Tabla35681321[[#This Row],[COMISIONES]]*0.21</f>
        <v>0</v>
      </c>
      <c r="AB154" s="22"/>
      <c r="AC154" s="22"/>
      <c r="AD154" s="22"/>
    </row>
    <row r="155" spans="26:35" x14ac:dyDescent="0.3">
      <c r="Z155" s="22"/>
      <c r="AA155" s="22">
        <f>Tabla35681321[[#This Row],[COMISIONES]]*0.21</f>
        <v>0</v>
      </c>
      <c r="AB155" s="22"/>
      <c r="AC155" s="22"/>
      <c r="AD155" s="22"/>
    </row>
    <row r="156" spans="26:35" x14ac:dyDescent="0.3">
      <c r="Z156" s="22"/>
      <c r="AA156" s="22">
        <f>Tabla35681321[[#This Row],[COMISIONES]]*0.21</f>
        <v>0</v>
      </c>
      <c r="AB156" s="22"/>
      <c r="AC156" s="22"/>
      <c r="AD156" s="22"/>
    </row>
    <row r="157" spans="26:35" x14ac:dyDescent="0.3">
      <c r="Z157" s="22"/>
      <c r="AA157" s="22">
        <f>Tabla35681321[[#This Row],[COMISIONES]]*0.21</f>
        <v>0</v>
      </c>
      <c r="AB157" s="22"/>
      <c r="AC157" s="22"/>
      <c r="AD157" s="22"/>
    </row>
    <row r="158" spans="26:35" x14ac:dyDescent="0.3">
      <c r="Z158" s="22"/>
      <c r="AA158" s="22">
        <f>Tabla35681321[[#This Row],[COMISIONES]]*0.21</f>
        <v>0</v>
      </c>
      <c r="AB158" s="22"/>
      <c r="AC158" s="22"/>
      <c r="AD158" s="22"/>
    </row>
    <row r="159" spans="26:35" x14ac:dyDescent="0.3">
      <c r="Z159" s="22"/>
      <c r="AA159" s="22">
        <f>Tabla35681321[[#This Row],[COMISIONES]]*0.21</f>
        <v>0</v>
      </c>
      <c r="AB159" s="22"/>
      <c r="AC159" s="22"/>
      <c r="AD159" s="22"/>
    </row>
    <row r="160" spans="26:35" x14ac:dyDescent="0.3">
      <c r="Z160" s="22"/>
      <c r="AA160" s="22">
        <f>Tabla35681321[[#This Row],[COMISIONES]]*0.21</f>
        <v>0</v>
      </c>
      <c r="AB160" s="22"/>
      <c r="AC160" s="22"/>
      <c r="AD160" s="22"/>
    </row>
    <row r="161" spans="26:30" x14ac:dyDescent="0.3">
      <c r="Z161" s="22"/>
      <c r="AA161" s="22">
        <f>Tabla35681321[[#This Row],[COMISIONES]]*0.21</f>
        <v>0</v>
      </c>
      <c r="AB161" s="22"/>
      <c r="AC161" s="22"/>
      <c r="AD161" s="22"/>
    </row>
    <row r="162" spans="26:30" x14ac:dyDescent="0.3">
      <c r="Z162" s="22"/>
      <c r="AA162" s="22">
        <f>Tabla35681321[[#This Row],[COMISIONES]]*0.21</f>
        <v>0</v>
      </c>
      <c r="AB162" s="22"/>
      <c r="AC162" s="22"/>
      <c r="AD162" s="22"/>
    </row>
    <row r="163" spans="26:30" x14ac:dyDescent="0.3">
      <c r="Z163" s="22"/>
      <c r="AA163" s="22">
        <f>Tabla35681321[[#This Row],[COMISIONES]]*0.21</f>
        <v>0</v>
      </c>
      <c r="AB163" s="22"/>
      <c r="AC163" s="22"/>
      <c r="AD163" s="22"/>
    </row>
    <row r="164" spans="26:30" x14ac:dyDescent="0.3">
      <c r="Z164" s="22"/>
      <c r="AA164" s="22">
        <f>Tabla35681321[[#This Row],[COMISIONES]]*0.21</f>
        <v>0</v>
      </c>
      <c r="AB164" s="22"/>
      <c r="AC164" s="22"/>
      <c r="AD164" s="22"/>
    </row>
    <row r="165" spans="26:30" x14ac:dyDescent="0.3">
      <c r="Z165" s="21">
        <f>SUBTOTAL(109,Tabla35681321[COMISIONES])</f>
        <v>1209.5</v>
      </c>
      <c r="AA165" s="21">
        <f>SUBTOTAL(109,Tabla35681321[IVA 21])</f>
        <v>253.995</v>
      </c>
      <c r="AB165" s="21">
        <f>SUBTOTAL(109,Tabla35681321[IVA 10,5])</f>
        <v>0</v>
      </c>
      <c r="AC165" s="21">
        <f>SUBTOTAL(109,Tabla35681321[Ret IIBB Caba])</f>
        <v>6749.04</v>
      </c>
      <c r="AD165" s="21">
        <f>SUBTOTAL(109,Tabla35681321[PERC IVA])</f>
        <v>0</v>
      </c>
    </row>
  </sheetData>
  <mergeCells count="16">
    <mergeCell ref="Z10:AD10"/>
    <mergeCell ref="AE10:AI10"/>
    <mergeCell ref="T28:X28"/>
    <mergeCell ref="H50:L50"/>
    <mergeCell ref="G7:H7"/>
    <mergeCell ref="G8:H8"/>
    <mergeCell ref="B10:F10"/>
    <mergeCell ref="H10:L10"/>
    <mergeCell ref="N10:R10"/>
    <mergeCell ref="T10:X10"/>
    <mergeCell ref="G2:H2"/>
    <mergeCell ref="J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300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65"/>
  <sheetViews>
    <sheetView showGridLines="0" topLeftCell="S1" zoomScale="80" zoomScaleNormal="80" workbookViewId="0">
      <selection activeCell="AF21" sqref="AF21"/>
    </sheetView>
  </sheetViews>
  <sheetFormatPr baseColWidth="10" defaultRowHeight="14.4" x14ac:dyDescent="0.3"/>
  <cols>
    <col min="1" max="1" width="4.5546875" customWidth="1"/>
    <col min="2" max="2" width="18.554687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5" max="25" width="2.5546875" customWidth="1"/>
  </cols>
  <sheetData>
    <row r="1" spans="1:40" ht="6" customHeight="1" x14ac:dyDescent="0.3">
      <c r="G1"/>
      <c r="M1"/>
    </row>
    <row r="2" spans="1:40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45139</v>
      </c>
      <c r="K2" s="35"/>
      <c r="M2"/>
    </row>
    <row r="3" spans="1:40" x14ac:dyDescent="0.3">
      <c r="A3" s="17" t="s">
        <v>6</v>
      </c>
      <c r="B3" s="17"/>
      <c r="C3" s="14">
        <f>Tabla131624[[#Totals],[COMISIONES]]</f>
        <v>50810.262857142858</v>
      </c>
      <c r="D3" s="14">
        <f>Tabla131624[[#Totals],[IVA 21]]</f>
        <v>10670.155200000001</v>
      </c>
      <c r="E3" s="14">
        <f>Tabla131624[[#Totals],[IVA 10,5]]</f>
        <v>0</v>
      </c>
      <c r="F3" s="14">
        <f>Tabla131624[[#Totals],[Ret IIBB Caba]]</f>
        <v>17842.940000000002</v>
      </c>
      <c r="G3" s="33">
        <f>Tabla131624[[#Totals],[PERC IVA]]</f>
        <v>1309.94</v>
      </c>
      <c r="H3" s="34"/>
      <c r="J3" s="2"/>
      <c r="K3" s="3"/>
      <c r="M3"/>
      <c r="N3" t="s">
        <v>12</v>
      </c>
    </row>
    <row r="4" spans="1:40" x14ac:dyDescent="0.3">
      <c r="A4" s="17" t="s">
        <v>7</v>
      </c>
      <c r="B4" s="17"/>
      <c r="C4" s="14">
        <f>Tabla391725[[#Totals],[COMISIONES]]</f>
        <v>3687.2599999999998</v>
      </c>
      <c r="D4" s="14">
        <f>Tabla391725[[#Totals],[IVA 21]]</f>
        <v>774.32460000000026</v>
      </c>
      <c r="E4" s="14">
        <f>Tabla391725[[#Totals],[IVA 10,5]]</f>
        <v>0</v>
      </c>
      <c r="F4" s="14">
        <f>Tabla391725[[#Totals],[Ret IIBB Caba]]</f>
        <v>0</v>
      </c>
      <c r="G4" s="33">
        <f>Tabla391725[[#Totals],[PERC IVA]]</f>
        <v>0</v>
      </c>
      <c r="H4" s="34"/>
      <c r="J4" s="2"/>
      <c r="K4" s="3"/>
      <c r="M4"/>
    </row>
    <row r="5" spans="1:40" x14ac:dyDescent="0.3">
      <c r="A5" s="17" t="s">
        <v>8</v>
      </c>
      <c r="B5" s="17"/>
      <c r="C5" s="14">
        <f>Tabla35101826[[#Totals],[COMISIONES]]</f>
        <v>29147</v>
      </c>
      <c r="D5" s="14">
        <f>Tabla35101826[[#Totals],[IVA 21]]</f>
        <v>6120.87</v>
      </c>
      <c r="E5" s="14">
        <f>Tabla35101826[[#Totals],[IVA 10,5]]</f>
        <v>0</v>
      </c>
      <c r="F5" s="14">
        <f>Tabla35101826[[#Totals],[Ret IIBB Caba]]</f>
        <v>1859.04</v>
      </c>
      <c r="G5" s="33">
        <f>Tabla35101826[[#Totals],[PERC IVA]]</f>
        <v>714.51</v>
      </c>
      <c r="H5" s="34"/>
      <c r="M5"/>
    </row>
    <row r="6" spans="1:40" x14ac:dyDescent="0.3">
      <c r="A6" s="17" t="s">
        <v>9</v>
      </c>
      <c r="B6" s="17"/>
      <c r="C6" s="14">
        <f>Tabla356111927[[#Totals],[COMISIONES]]</f>
        <v>9055</v>
      </c>
      <c r="D6" s="14">
        <f>Tabla356111927[[#Totals],[IVA 21]]</f>
        <v>1901.55</v>
      </c>
      <c r="E6" s="14">
        <f>Tabla356111927[[#Totals],[IVA 10,5]]</f>
        <v>0</v>
      </c>
      <c r="F6" s="14">
        <f>Tabla356111927[[#Totals],[Ret IIBB Caba]]</f>
        <v>525</v>
      </c>
      <c r="G6" s="33">
        <f>Tabla356111927[[#Totals],[PERC IVA]]</f>
        <v>262.5</v>
      </c>
      <c r="H6" s="34"/>
      <c r="M6"/>
    </row>
    <row r="7" spans="1:40" x14ac:dyDescent="0.3">
      <c r="A7" s="17" t="s">
        <v>10</v>
      </c>
      <c r="B7" s="17"/>
      <c r="C7" s="14">
        <f>Tabla3568132129[[#Totals],[COMISIONES]]</f>
        <v>159911.72</v>
      </c>
      <c r="D7" s="14">
        <f>Tabla3568132129[[#Totals],[IVA 21]]</f>
        <v>33581.461200000005</v>
      </c>
      <c r="E7" s="14">
        <f>Tabla3568132129[[#Totals],[IVA 10,5]]</f>
        <v>50301.33</v>
      </c>
      <c r="F7" s="14">
        <f>Tabla3568132129[[#Totals],[Ret IIBB Caba]]</f>
        <v>480404.27000000014</v>
      </c>
      <c r="G7" s="33">
        <f>Tabla3568132129[[#Totals],[PERC IVA]]</f>
        <v>3594.2799999999993</v>
      </c>
      <c r="H7" s="34"/>
      <c r="M7"/>
    </row>
    <row r="8" spans="1:40" x14ac:dyDescent="0.3">
      <c r="A8" s="17" t="s">
        <v>11</v>
      </c>
      <c r="B8" s="17"/>
      <c r="C8" s="14">
        <f>Tabla6122028[[#Totals],[COMISIONES]]</f>
        <v>30500</v>
      </c>
      <c r="D8" s="14">
        <f>Tabla6122028[[#Totals],[IVA 21]]</f>
        <v>6405</v>
      </c>
      <c r="E8" s="14">
        <f>Tabla6122028[[#Totals],[IVA 10,5]]</f>
        <v>0</v>
      </c>
      <c r="F8" s="14">
        <f>Tabla6122028[[#Totals],[Ret IIBB Caba]]</f>
        <v>0</v>
      </c>
      <c r="G8" s="33">
        <f>Tabla6122028[[#Totals],[PERC IVA]]</f>
        <v>915</v>
      </c>
      <c r="H8" s="34"/>
      <c r="M8"/>
    </row>
    <row r="9" spans="1:40" ht="6" customHeight="1" x14ac:dyDescent="0.3">
      <c r="G9"/>
      <c r="M9"/>
    </row>
    <row r="10" spans="1:40" ht="16.5" customHeight="1" x14ac:dyDescent="0.35">
      <c r="B10" s="30" t="s">
        <v>22</v>
      </c>
      <c r="C10" s="30"/>
      <c r="D10" s="30"/>
      <c r="E10" s="30"/>
      <c r="F10" s="30"/>
      <c r="H10" s="30" t="s">
        <v>23</v>
      </c>
      <c r="I10" s="30"/>
      <c r="J10" s="30"/>
      <c r="K10" s="30"/>
      <c r="L10" s="30"/>
      <c r="N10" s="30" t="s">
        <v>29</v>
      </c>
      <c r="O10" s="30"/>
      <c r="P10" s="30"/>
      <c r="Q10" s="30"/>
      <c r="R10" s="30"/>
      <c r="T10" s="30" t="s">
        <v>35</v>
      </c>
      <c r="U10" s="30"/>
      <c r="V10" s="30"/>
      <c r="W10" s="30"/>
      <c r="X10" s="30"/>
      <c r="Y10" s="6"/>
      <c r="Z10" s="30" t="s">
        <v>31</v>
      </c>
      <c r="AA10" s="30"/>
      <c r="AB10" s="30"/>
      <c r="AC10" s="30"/>
      <c r="AD10" s="30"/>
      <c r="AE10" s="30" t="s">
        <v>30</v>
      </c>
      <c r="AF10" s="30"/>
      <c r="AG10" s="30"/>
      <c r="AH10" s="30"/>
      <c r="AI10" s="30"/>
      <c r="AJ10" s="30" t="s">
        <v>34</v>
      </c>
      <c r="AK10" s="30"/>
      <c r="AL10" s="30"/>
      <c r="AM10" s="30"/>
      <c r="AN10" s="30"/>
    </row>
    <row r="11" spans="1:40" s="5" customFormat="1" x14ac:dyDescent="0.3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7"/>
      <c r="H11" s="12" t="s">
        <v>2</v>
      </c>
      <c r="I11" s="13" t="s">
        <v>0</v>
      </c>
      <c r="J11" s="13" t="s">
        <v>1</v>
      </c>
      <c r="K11" s="13" t="s">
        <v>3</v>
      </c>
      <c r="L11" s="13" t="s">
        <v>4</v>
      </c>
      <c r="M11" s="7"/>
      <c r="N11" s="12" t="s">
        <v>2</v>
      </c>
      <c r="O11" s="13" t="s">
        <v>0</v>
      </c>
      <c r="P11" s="13" t="s">
        <v>1</v>
      </c>
      <c r="Q11" s="13" t="s">
        <v>3</v>
      </c>
      <c r="R11" s="13" t="s">
        <v>4</v>
      </c>
      <c r="S11" s="7"/>
      <c r="T11" s="12" t="s">
        <v>2</v>
      </c>
      <c r="U11" s="13" t="s">
        <v>0</v>
      </c>
      <c r="V11" s="13" t="s">
        <v>1</v>
      </c>
      <c r="W11" s="13" t="s">
        <v>3</v>
      </c>
      <c r="X11" s="13" t="s">
        <v>4</v>
      </c>
      <c r="Y11" s="7"/>
      <c r="Z11" s="12" t="s">
        <v>2</v>
      </c>
      <c r="AA11" s="13" t="s">
        <v>0</v>
      </c>
      <c r="AB11" s="13" t="s">
        <v>1</v>
      </c>
      <c r="AC11" s="13" t="s">
        <v>3</v>
      </c>
      <c r="AD11" s="13" t="s">
        <v>4</v>
      </c>
      <c r="AE11" s="12" t="s">
        <v>2</v>
      </c>
      <c r="AF11" s="13" t="s">
        <v>0</v>
      </c>
      <c r="AG11" s="13" t="s">
        <v>1</v>
      </c>
      <c r="AH11" s="13" t="s">
        <v>3</v>
      </c>
      <c r="AI11" s="13" t="s">
        <v>4</v>
      </c>
      <c r="AJ11" s="12" t="s">
        <v>2</v>
      </c>
      <c r="AK11" s="13" t="s">
        <v>0</v>
      </c>
      <c r="AL11" s="13" t="s">
        <v>1</v>
      </c>
      <c r="AM11" s="13" t="s">
        <v>3</v>
      </c>
      <c r="AN11" s="13" t="s">
        <v>4</v>
      </c>
    </row>
    <row r="12" spans="1:40" x14ac:dyDescent="0.3">
      <c r="B12" s="2">
        <v>14267.72</v>
      </c>
      <c r="C12" s="2">
        <f>Tabla131624[[#This Row],[COMISIONES]]*0.21</f>
        <v>2996.2212</v>
      </c>
      <c r="D12" s="3"/>
      <c r="E12" s="3">
        <v>2787.22</v>
      </c>
      <c r="F12">
        <v>428.03</v>
      </c>
      <c r="G12" s="8"/>
      <c r="H12" s="3">
        <v>224</v>
      </c>
      <c r="I12" s="11">
        <f>Tabla391725[[#This Row],[COMISIONES]]*0.21</f>
        <v>47.04</v>
      </c>
      <c r="J12" s="11"/>
      <c r="K12" s="11"/>
      <c r="L12" s="3"/>
      <c r="M12" s="8"/>
      <c r="N12" s="11">
        <v>10</v>
      </c>
      <c r="O12" s="11">
        <f>Tabla35101826[[#This Row],[COMISIONES]]*0.21</f>
        <v>2.1</v>
      </c>
      <c r="P12" s="11"/>
      <c r="Q12" s="11">
        <v>860.04</v>
      </c>
      <c r="R12" s="24">
        <v>215.01</v>
      </c>
      <c r="S12" s="8"/>
      <c r="T12" s="11">
        <v>8750</v>
      </c>
      <c r="U12" s="11">
        <f>Tabla356111927[[#This Row],[COMISIONES]]*0.21</f>
        <v>1837.5</v>
      </c>
      <c r="V12" s="11"/>
      <c r="W12" s="11">
        <v>525</v>
      </c>
      <c r="X12" s="11">
        <v>262.5</v>
      </c>
      <c r="Y12" s="8"/>
      <c r="Z12">
        <v>120.6</v>
      </c>
      <c r="AA12" s="11">
        <f>Tabla3568132129[[#This Row],[COMISIONES]]*0.21</f>
        <v>25.325999999999997</v>
      </c>
      <c r="AB12" s="11">
        <v>1895.17</v>
      </c>
      <c r="AC12" s="11">
        <v>296.07</v>
      </c>
      <c r="AD12" s="11">
        <v>58.84</v>
      </c>
      <c r="AE12" s="11">
        <v>122.52</v>
      </c>
      <c r="AF12" s="11">
        <f>Tabla356813142230[[#This Row],[COMISIONES]]*0.21</f>
        <v>25.729199999999999</v>
      </c>
      <c r="AG12" s="11"/>
      <c r="AH12" s="11">
        <v>683.66</v>
      </c>
      <c r="AI12" s="11"/>
      <c r="AJ12" s="11">
        <v>3810</v>
      </c>
      <c r="AK12" s="11">
        <f>Tabla35611192734[[#This Row],[COMISIONES]]*0.21</f>
        <v>800.1</v>
      </c>
      <c r="AL12" s="11"/>
      <c r="AM12" s="11">
        <v>69.930000000000007</v>
      </c>
      <c r="AN12" s="11">
        <v>114.3</v>
      </c>
    </row>
    <row r="13" spans="1:40" x14ac:dyDescent="0.3">
      <c r="B13" s="3">
        <v>2253.08</v>
      </c>
      <c r="C13" s="2">
        <f>Tabla131624[[#This Row],[COMISIONES]]*0.21</f>
        <v>473.14679999999998</v>
      </c>
      <c r="D13" s="3"/>
      <c r="E13" s="3">
        <v>471.33</v>
      </c>
      <c r="F13" s="3">
        <v>67.59</v>
      </c>
      <c r="G13" s="8"/>
      <c r="H13" s="11">
        <v>224</v>
      </c>
      <c r="I13" s="11">
        <f>Tabla391725[[#This Row],[COMISIONES]]*0.21</f>
        <v>47.04</v>
      </c>
      <c r="J13" s="11"/>
      <c r="K13" s="11"/>
      <c r="L13" s="11"/>
      <c r="M13" s="8"/>
      <c r="N13" s="11">
        <v>7167</v>
      </c>
      <c r="O13" s="11">
        <f>Tabla35101826[[#This Row],[COMISIONES]]*0.21</f>
        <v>1505.07</v>
      </c>
      <c r="P13" s="11"/>
      <c r="Q13" s="11">
        <v>450</v>
      </c>
      <c r="R13" s="24">
        <v>225</v>
      </c>
      <c r="S13" s="8"/>
      <c r="T13" s="11">
        <v>305</v>
      </c>
      <c r="U13" s="11">
        <f>Tabla356111927[[#This Row],[COMISIONES]]*0.21</f>
        <v>64.05</v>
      </c>
      <c r="V13" s="11"/>
      <c r="W13" s="11"/>
      <c r="X13" s="11"/>
      <c r="Y13" s="8"/>
      <c r="Z13" s="11">
        <v>102.06</v>
      </c>
      <c r="AA13" s="11">
        <f>Tabla3568132129[[#This Row],[COMISIONES]]*0.21</f>
        <v>21.432600000000001</v>
      </c>
      <c r="AB13" s="11">
        <v>539.99</v>
      </c>
      <c r="AC13" s="11">
        <v>250.56</v>
      </c>
      <c r="AD13" s="11"/>
      <c r="AE13" s="11">
        <v>100.8</v>
      </c>
      <c r="AF13" s="11">
        <f>Tabla356813142230[[#This Row],[COMISIONES]]*0.21</f>
        <v>21.167999999999999</v>
      </c>
      <c r="AG13" s="11"/>
      <c r="AH13" s="11">
        <v>562.46</v>
      </c>
      <c r="AI13" s="11"/>
      <c r="AJ13" s="11"/>
      <c r="AK13" s="11">
        <f>Tabla35611192734[[#This Row],[COMISIONES]]*0.21</f>
        <v>0</v>
      </c>
      <c r="AL13" s="11"/>
      <c r="AM13" s="11"/>
      <c r="AN13" s="11"/>
    </row>
    <row r="14" spans="1:40" x14ac:dyDescent="0.3">
      <c r="B14" s="3">
        <v>625</v>
      </c>
      <c r="C14" s="2">
        <f>Tabla131624[[#This Row],[COMISIONES]]*0.21</f>
        <v>131.25</v>
      </c>
      <c r="D14" s="3"/>
      <c r="E14" s="3">
        <v>1090.96</v>
      </c>
      <c r="F14" s="3">
        <v>159.35</v>
      </c>
      <c r="H14" s="11">
        <v>322.88</v>
      </c>
      <c r="I14" s="11">
        <f>Tabla391725[[#This Row],[COMISIONES]]*0.21</f>
        <v>67.8048</v>
      </c>
      <c r="J14" s="11"/>
      <c r="K14" s="11"/>
      <c r="L14" s="11"/>
      <c r="N14" s="11">
        <v>7500</v>
      </c>
      <c r="O14" s="11">
        <f>Tabla35101826[[#This Row],[COMISIONES]]*0.21</f>
        <v>1575</v>
      </c>
      <c r="P14" s="11"/>
      <c r="Q14" s="11">
        <v>549</v>
      </c>
      <c r="R14" s="24">
        <v>274.5</v>
      </c>
      <c r="T14" s="11"/>
      <c r="U14" s="11">
        <f>Tabla356111927[[#This Row],[COMISIONES]]*0.21</f>
        <v>0</v>
      </c>
      <c r="V14" s="11"/>
      <c r="W14" s="11"/>
      <c r="X14" s="11"/>
      <c r="Y14" s="6"/>
      <c r="Z14" s="11">
        <v>325.8</v>
      </c>
      <c r="AA14" s="11">
        <f>Tabla3568132129[[#This Row],[COMISIONES]]*0.21</f>
        <v>68.418000000000006</v>
      </c>
      <c r="AB14" s="11"/>
      <c r="AC14" s="11">
        <v>799.84</v>
      </c>
      <c r="AD14" s="11"/>
      <c r="AE14" s="11">
        <v>30.8</v>
      </c>
      <c r="AF14" s="11">
        <f>Tabla356813142230[[#This Row],[COMISIONES]]*0.21</f>
        <v>6.468</v>
      </c>
      <c r="AG14" s="11"/>
      <c r="AH14" s="11">
        <v>171.86</v>
      </c>
      <c r="AI14" s="11"/>
      <c r="AJ14" s="11"/>
      <c r="AK14" s="11">
        <f>Tabla35611192734[[#This Row],[COMISIONES]]*0.21</f>
        <v>0</v>
      </c>
      <c r="AL14" s="11"/>
      <c r="AM14" s="11"/>
      <c r="AN14" s="11"/>
    </row>
    <row r="15" spans="1:40" x14ac:dyDescent="0.3">
      <c r="B15" s="3">
        <v>5311.83</v>
      </c>
      <c r="C15" s="2">
        <f>Tabla131624[[#This Row],[COMISIONES]]*0.21</f>
        <v>1115.4842999999998</v>
      </c>
      <c r="D15" s="3"/>
      <c r="E15" s="3">
        <v>1460.09</v>
      </c>
      <c r="F15" s="3">
        <v>654.97</v>
      </c>
      <c r="G15" s="8"/>
      <c r="H15" s="11">
        <v>273.60000000000002</v>
      </c>
      <c r="I15" s="11">
        <f>Tabla391725[[#This Row],[COMISIONES]]*0.21</f>
        <v>57.456000000000003</v>
      </c>
      <c r="J15" s="11"/>
      <c r="K15" s="11"/>
      <c r="L15" s="11"/>
      <c r="M15" s="8"/>
      <c r="N15" s="11">
        <v>9150</v>
      </c>
      <c r="O15" s="11">
        <f>Tabla35101826[[#This Row],[COMISIONES]]*0.21</f>
        <v>1921.5</v>
      </c>
      <c r="P15" s="11"/>
      <c r="Q15" s="11"/>
      <c r="R15" s="24"/>
      <c r="S15" s="8"/>
      <c r="T15" s="11"/>
      <c r="U15" s="11">
        <f>Tabla356111927[[#This Row],[COMISIONES]]*0.21</f>
        <v>0</v>
      </c>
      <c r="V15" s="11"/>
      <c r="W15" s="11"/>
      <c r="X15" s="11"/>
      <c r="Y15" s="8"/>
      <c r="Z15" s="11">
        <v>1961.37</v>
      </c>
      <c r="AA15" s="11">
        <f>Tabla3568132129[[#This Row],[COMISIONES]]*0.21</f>
        <v>411.88769999999994</v>
      </c>
      <c r="AB15" s="11"/>
      <c r="AC15" s="1">
        <v>4002.95</v>
      </c>
      <c r="AD15" s="11">
        <v>15.71</v>
      </c>
      <c r="AE15" s="11">
        <v>199.24</v>
      </c>
      <c r="AF15" s="11">
        <f>Tabla356813142230[[#This Row],[COMISIONES]]*0.21</f>
        <v>41.840400000000002</v>
      </c>
      <c r="AG15" s="11"/>
      <c r="AH15" s="11">
        <v>1111.76</v>
      </c>
      <c r="AI15" s="11"/>
      <c r="AJ15" s="11"/>
      <c r="AK15" s="11">
        <f>Tabla35611192734[[#This Row],[COMISIONES]]*0.21</f>
        <v>0</v>
      </c>
      <c r="AL15" s="11"/>
      <c r="AM15" s="11"/>
      <c r="AN15" s="11"/>
    </row>
    <row r="16" spans="1:40" x14ac:dyDescent="0.3">
      <c r="B16" s="3">
        <v>341.13</v>
      </c>
      <c r="C16" s="2">
        <f>Tabla131624[[#This Row],[COMISIONES]]*0.21</f>
        <v>71.637299999999996</v>
      </c>
      <c r="D16" s="3"/>
      <c r="E16" s="3">
        <v>595.45000000000005</v>
      </c>
      <c r="F16" s="3"/>
      <c r="H16" s="11">
        <v>273.60000000000002</v>
      </c>
      <c r="I16" s="11">
        <f>Tabla391725[[#This Row],[COMISIONES]]*0.21</f>
        <v>57.456000000000003</v>
      </c>
      <c r="J16" s="11"/>
      <c r="K16" s="11"/>
      <c r="L16" s="11"/>
      <c r="N16" s="11">
        <v>300</v>
      </c>
      <c r="O16" s="11">
        <f>Tabla35101826[[#This Row],[COMISIONES]]*0.21</f>
        <v>63</v>
      </c>
      <c r="P16" s="11"/>
      <c r="Q16" s="11"/>
      <c r="R16" s="24"/>
      <c r="T16" s="11"/>
      <c r="U16" s="11">
        <f>Tabla356111927[[#This Row],[COMISIONES]]*0.21</f>
        <v>0</v>
      </c>
      <c r="V16" s="11"/>
      <c r="W16" s="11"/>
      <c r="X16" s="11"/>
      <c r="Y16" s="6"/>
      <c r="Z16" s="11">
        <v>175.86</v>
      </c>
      <c r="AA16" s="11">
        <f>Tabla3568132129[[#This Row],[COMISIONES]]*0.21</f>
        <v>36.930599999999998</v>
      </c>
      <c r="AB16" s="11"/>
      <c r="AC16" s="11">
        <v>431.74</v>
      </c>
      <c r="AD16" s="11">
        <v>71.8</v>
      </c>
      <c r="AE16" s="11">
        <v>62.4</v>
      </c>
      <c r="AF16" s="11">
        <f>Tabla356813142230[[#This Row],[COMISIONES]]*0.21</f>
        <v>13.103999999999999</v>
      </c>
      <c r="AG16" s="11"/>
      <c r="AH16" s="11">
        <v>348.19</v>
      </c>
      <c r="AI16" s="11"/>
      <c r="AJ16" s="11"/>
      <c r="AK16" s="11">
        <f>Tabla35611192734[[#This Row],[COMISIONES]]*0.21</f>
        <v>0</v>
      </c>
      <c r="AL16" s="11"/>
      <c r="AM16" s="11"/>
      <c r="AN16" s="11"/>
    </row>
    <row r="17" spans="2:40" x14ac:dyDescent="0.3">
      <c r="B17" s="3">
        <v>693.13</v>
      </c>
      <c r="C17" s="2">
        <f>Tabla131624[[#This Row],[COMISIONES]]*0.21</f>
        <v>145.5573</v>
      </c>
      <c r="D17" s="3"/>
      <c r="E17" s="3">
        <v>1209.8800000000001</v>
      </c>
      <c r="F17" s="3"/>
      <c r="H17" s="11">
        <v>190.24</v>
      </c>
      <c r="I17" s="11">
        <f>Tabla391725[[#This Row],[COMISIONES]]*0.21</f>
        <v>39.950400000000002</v>
      </c>
      <c r="J17" s="11"/>
      <c r="K17" s="11"/>
      <c r="L17" s="11"/>
      <c r="N17" s="11">
        <v>300</v>
      </c>
      <c r="O17" s="11">
        <f>Tabla35101826[[#This Row],[COMISIONES]]*0.21</f>
        <v>63</v>
      </c>
      <c r="P17" s="11"/>
      <c r="Q17" s="11"/>
      <c r="R17" s="11"/>
      <c r="T17" s="11"/>
      <c r="U17" s="11">
        <f>Tabla356111927[[#This Row],[COMISIONES]]*0.21</f>
        <v>0</v>
      </c>
      <c r="V17" s="11"/>
      <c r="W17" s="11"/>
      <c r="X17" s="11"/>
      <c r="Y17" s="6"/>
      <c r="Z17" s="11">
        <v>450.27</v>
      </c>
      <c r="AA17" s="11">
        <f>Tabla3568132129[[#This Row],[COMISIONES]]*0.21</f>
        <v>94.556699999999992</v>
      </c>
      <c r="AB17" s="11"/>
      <c r="AC17" s="11">
        <v>1105.4100000000001</v>
      </c>
      <c r="AD17" s="11"/>
      <c r="AE17" s="11">
        <v>25.6</v>
      </c>
      <c r="AF17" s="11">
        <f>Tabla356813142230[[#This Row],[COMISIONES]]*0.21</f>
        <v>5.3760000000000003</v>
      </c>
      <c r="AG17" s="11"/>
      <c r="AH17" s="11">
        <v>142.85</v>
      </c>
      <c r="AI17" s="11"/>
      <c r="AJ17" s="11"/>
      <c r="AK17" s="11">
        <f>Tabla35611192734[[#This Row],[COMISIONES]]*0.21</f>
        <v>0</v>
      </c>
      <c r="AL17" s="11"/>
      <c r="AM17" s="11"/>
      <c r="AN17" s="11"/>
    </row>
    <row r="18" spans="2:40" x14ac:dyDescent="0.3">
      <c r="B18" s="3">
        <v>496.13</v>
      </c>
      <c r="C18" s="2">
        <f>Tabla131624[[#This Row],[COMISIONES]]*0.21</f>
        <v>104.18729999999999</v>
      </c>
      <c r="D18" s="3"/>
      <c r="E18" s="3">
        <v>866.01</v>
      </c>
      <c r="F18" s="3"/>
      <c r="H18" s="11">
        <v>190.24</v>
      </c>
      <c r="I18" s="11">
        <f>Tabla391725[[#This Row],[COMISIONES]]*0.21</f>
        <v>39.950400000000002</v>
      </c>
      <c r="J18" s="11"/>
      <c r="K18" s="11"/>
      <c r="L18" s="11"/>
      <c r="N18" s="11">
        <v>300</v>
      </c>
      <c r="O18" s="11">
        <f>Tabla35101826[[#This Row],[COMISIONES]]*0.21</f>
        <v>63</v>
      </c>
      <c r="P18" s="11"/>
      <c r="Q18" s="11"/>
      <c r="R18" s="11"/>
      <c r="T18" s="11"/>
      <c r="U18" s="11">
        <f>Tabla356111927[[#This Row],[COMISIONES]]*0.21</f>
        <v>0</v>
      </c>
      <c r="V18" s="11"/>
      <c r="W18" s="11"/>
      <c r="X18" s="11"/>
      <c r="Y18" s="6"/>
      <c r="Z18" s="11">
        <v>244.8</v>
      </c>
      <c r="AA18" s="11">
        <f>Tabla3568132129[[#This Row],[COMISIONES]]*0.21</f>
        <v>51.408000000000001</v>
      </c>
      <c r="AB18" s="11"/>
      <c r="AC18" s="11">
        <v>600.98</v>
      </c>
      <c r="AD18" s="11"/>
      <c r="AE18" s="11">
        <v>164.8</v>
      </c>
      <c r="AF18" s="11">
        <f>Tabla356813142230[[#This Row],[COMISIONES]]*0.21</f>
        <v>34.608000000000004</v>
      </c>
      <c r="AG18" s="11"/>
      <c r="AH18" s="11">
        <v>919.58</v>
      </c>
      <c r="AI18" s="11"/>
      <c r="AJ18" s="11"/>
      <c r="AK18" s="11">
        <f>Tabla35611192734[[#This Row],[COMISIONES]]*0.21</f>
        <v>0</v>
      </c>
      <c r="AL18" s="11"/>
      <c r="AM18" s="11"/>
      <c r="AN18" s="11"/>
    </row>
    <row r="19" spans="2:40" x14ac:dyDescent="0.3">
      <c r="B19" s="3">
        <v>1417.1</v>
      </c>
      <c r="C19" s="2">
        <f>Tabla131624[[#This Row],[COMISIONES]]*0.21</f>
        <v>297.59099999999995</v>
      </c>
      <c r="D19" s="3"/>
      <c r="E19" s="3">
        <v>440.53</v>
      </c>
      <c r="F19" s="3"/>
      <c r="H19" s="11">
        <v>99.72</v>
      </c>
      <c r="I19" s="11">
        <f>Tabla391725[[#This Row],[COMISIONES]]*0.21</f>
        <v>20.941199999999998</v>
      </c>
      <c r="J19" s="11"/>
      <c r="K19" s="11"/>
      <c r="L19" s="11"/>
      <c r="N19" s="11">
        <v>300</v>
      </c>
      <c r="O19" s="11">
        <f>Tabla35101826[[#This Row],[COMISIONES]]*0.21</f>
        <v>63</v>
      </c>
      <c r="P19" s="11"/>
      <c r="Q19" s="11"/>
      <c r="R19" s="11"/>
      <c r="T19" s="11"/>
      <c r="U19" s="11">
        <f>Tabla356111927[[#This Row],[COMISIONES]]*0.21</f>
        <v>0</v>
      </c>
      <c r="V19" s="11"/>
      <c r="W19" s="11"/>
      <c r="X19" s="11"/>
      <c r="Y19" s="6"/>
      <c r="Z19" s="11">
        <v>345.6</v>
      </c>
      <c r="AA19" s="11">
        <f>Tabla3568132129[[#This Row],[COMISIONES]]*0.21</f>
        <v>72.576000000000008</v>
      </c>
      <c r="AB19" s="11"/>
      <c r="AC19" s="11">
        <v>848.45</v>
      </c>
      <c r="AD19" s="11"/>
      <c r="AE19" s="11">
        <v>149.6</v>
      </c>
      <c r="AF19" s="11">
        <f>Tabla356813142230[[#This Row],[COMISIONES]]*0.21</f>
        <v>31.415999999999997</v>
      </c>
      <c r="AG19" s="11"/>
      <c r="AH19" s="11">
        <v>834.77</v>
      </c>
      <c r="AI19" s="11"/>
      <c r="AJ19" s="11"/>
      <c r="AK19" s="11">
        <f>Tabla35611192734[[#This Row],[COMISIONES]]*0.21</f>
        <v>0</v>
      </c>
      <c r="AL19" s="11"/>
      <c r="AM19" s="11"/>
      <c r="AN19" s="11"/>
    </row>
    <row r="20" spans="2:40" x14ac:dyDescent="0.3">
      <c r="B20" s="3">
        <v>25405.142857142859</v>
      </c>
      <c r="C20" s="2">
        <f>Tabla131624[[#This Row],[COMISIONES]]*0.21</f>
        <v>5335.08</v>
      </c>
      <c r="D20" s="3"/>
      <c r="E20" s="3">
        <v>8921.4699999999993</v>
      </c>
      <c r="F20" s="3"/>
      <c r="H20" s="11">
        <v>99.72</v>
      </c>
      <c r="I20" s="11">
        <f>Tabla391725[[#This Row],[COMISIONES]]*0.21</f>
        <v>20.941199999999998</v>
      </c>
      <c r="J20" s="11"/>
      <c r="K20" s="11"/>
      <c r="L20" s="11"/>
      <c r="N20" s="11">
        <v>300</v>
      </c>
      <c r="O20" s="11">
        <f>Tabla35101826[[#This Row],[COMISIONES]]*0.21</f>
        <v>63</v>
      </c>
      <c r="P20" s="11"/>
      <c r="Q20" s="11"/>
      <c r="R20" s="11"/>
      <c r="T20" s="11"/>
      <c r="U20" s="11">
        <f>Tabla356111927[[#This Row],[COMISIONES]]*0.21</f>
        <v>0</v>
      </c>
      <c r="V20" s="11"/>
      <c r="W20" s="11"/>
      <c r="X20" s="11"/>
      <c r="Y20" s="6"/>
      <c r="Z20" s="11">
        <v>523.66999999999996</v>
      </c>
      <c r="AA20" s="11">
        <f>Tabla3568132129[[#This Row],[COMISIONES]]*0.21</f>
        <v>109.97069999999999</v>
      </c>
      <c r="AB20" s="11"/>
      <c r="AC20" s="11">
        <v>1054.18</v>
      </c>
      <c r="AD20" s="11"/>
      <c r="AE20" s="11">
        <v>42.48</v>
      </c>
      <c r="AF20" s="11">
        <f>Tabla356813142230[[#This Row],[COMISIONES]]*0.21</f>
        <v>8.9207999999999998</v>
      </c>
      <c r="AG20" s="11"/>
      <c r="AH20" s="11">
        <v>237.04</v>
      </c>
      <c r="AI20" s="11"/>
      <c r="AJ20" s="11"/>
      <c r="AK20" s="11">
        <f>Tabla35611192734[[#This Row],[COMISIONES]]*0.21</f>
        <v>0</v>
      </c>
      <c r="AL20" s="11"/>
      <c r="AM20" s="11"/>
      <c r="AN20" s="11"/>
    </row>
    <row r="21" spans="2:40" x14ac:dyDescent="0.3">
      <c r="B21" s="3"/>
      <c r="C21" s="2">
        <f>Tabla131624[[#This Row],[COMISIONES]]*0.21</f>
        <v>0</v>
      </c>
      <c r="D21" s="3"/>
      <c r="E21" s="3"/>
      <c r="F21" s="3"/>
      <c r="H21" s="11">
        <v>43.2</v>
      </c>
      <c r="I21" s="11">
        <f>Tabla391725[[#This Row],[COMISIONES]]*0.21</f>
        <v>9.072000000000001</v>
      </c>
      <c r="J21" s="11"/>
      <c r="K21" s="11"/>
      <c r="L21" s="11"/>
      <c r="N21" s="11">
        <v>300</v>
      </c>
      <c r="O21" s="11">
        <f>Tabla35101826[[#This Row],[COMISIONES]]*0.21</f>
        <v>63</v>
      </c>
      <c r="P21" s="11"/>
      <c r="Q21" s="11"/>
      <c r="R21" s="11"/>
      <c r="T21" s="11"/>
      <c r="U21" s="11">
        <f>Tabla356111927[[#This Row],[COMISIONES]]*0.21</f>
        <v>0</v>
      </c>
      <c r="V21" s="11"/>
      <c r="W21" s="11"/>
      <c r="X21" s="11"/>
      <c r="Y21" s="6"/>
      <c r="Z21" s="11">
        <v>11.5</v>
      </c>
      <c r="AA21" s="11">
        <f>Tabla3568132129[[#This Row],[COMISIONES]]*0.21</f>
        <v>2.415</v>
      </c>
      <c r="AB21" s="11"/>
      <c r="AC21" s="11">
        <v>458.91</v>
      </c>
      <c r="AD21" s="11"/>
      <c r="AE21" s="11">
        <v>88.8</v>
      </c>
      <c r="AF21" s="11">
        <f>Tabla356813142230[[#This Row],[COMISIONES]]*0.21</f>
        <v>18.648</v>
      </c>
      <c r="AG21" s="11"/>
      <c r="AH21" s="11">
        <v>495.5</v>
      </c>
      <c r="AI21" s="11"/>
      <c r="AJ21" s="11"/>
      <c r="AK21" s="11">
        <f>Tabla35611192734[[#This Row],[COMISIONES]]*0.21</f>
        <v>0</v>
      </c>
      <c r="AL21" s="11"/>
      <c r="AM21" s="11"/>
      <c r="AN21" s="11"/>
    </row>
    <row r="22" spans="2:40" x14ac:dyDescent="0.3">
      <c r="B22" s="3"/>
      <c r="C22" s="2">
        <f>Tabla131624[[#This Row],[COMISIONES]]*0.21</f>
        <v>0</v>
      </c>
      <c r="D22" s="3"/>
      <c r="E22" s="3"/>
      <c r="F22" s="3"/>
      <c r="H22" s="11">
        <v>43.2</v>
      </c>
      <c r="I22" s="11">
        <f>Tabla391725[[#This Row],[COMISIONES]]*0.21</f>
        <v>9.072000000000001</v>
      </c>
      <c r="J22" s="11"/>
      <c r="K22" s="11"/>
      <c r="L22" s="11"/>
      <c r="N22" s="11">
        <v>300</v>
      </c>
      <c r="O22" s="11">
        <f>Tabla35101826[[#This Row],[COMISIONES]]*0.21</f>
        <v>63</v>
      </c>
      <c r="P22" s="11"/>
      <c r="Q22" s="11"/>
      <c r="R22" s="11"/>
      <c r="T22" s="11"/>
      <c r="U22" s="11">
        <f>Tabla356111927[[#This Row],[COMISIONES]]*0.21</f>
        <v>0</v>
      </c>
      <c r="V22" s="11"/>
      <c r="W22" s="11"/>
      <c r="X22" s="11"/>
      <c r="Y22" s="6"/>
      <c r="Z22" s="11">
        <v>186.93</v>
      </c>
      <c r="AA22" s="11">
        <f>Tabla3568132129[[#This Row],[COMISIONES]]*0.21</f>
        <v>39.255299999999998</v>
      </c>
      <c r="AB22" s="11"/>
      <c r="AC22" s="11">
        <v>296.51</v>
      </c>
      <c r="AD22" s="11"/>
      <c r="AE22" s="11">
        <v>6.64</v>
      </c>
      <c r="AF22" s="11">
        <f>Tabla356813142230[[#This Row],[COMISIONES]]*0.21</f>
        <v>1.3943999999999999</v>
      </c>
      <c r="AG22" s="11"/>
      <c r="AH22" s="11">
        <v>37.049999999999997</v>
      </c>
      <c r="AI22" s="11"/>
      <c r="AJ22" s="11"/>
      <c r="AK22" s="11">
        <f>Tabla35611192734[[#This Row],[COMISIONES]]*0.21</f>
        <v>0</v>
      </c>
      <c r="AL22" s="11"/>
      <c r="AM22" s="11"/>
      <c r="AN22" s="11"/>
    </row>
    <row r="23" spans="2:40" x14ac:dyDescent="0.3">
      <c r="B23" s="3"/>
      <c r="C23" s="2">
        <f>Tabla131624[[#This Row],[COMISIONES]]*0.21</f>
        <v>0</v>
      </c>
      <c r="D23" s="3"/>
      <c r="E23" s="3"/>
      <c r="F23" s="3"/>
      <c r="H23" s="11">
        <v>65.88</v>
      </c>
      <c r="I23" s="11">
        <f>Tabla391725[[#This Row],[COMISIONES]]*0.21</f>
        <v>13.834799999999998</v>
      </c>
      <c r="J23" s="11"/>
      <c r="K23" s="11"/>
      <c r="L23" s="11"/>
      <c r="N23" s="11">
        <v>300</v>
      </c>
      <c r="O23" s="11">
        <f>Tabla35101826[[#This Row],[COMISIONES]]*0.21</f>
        <v>63</v>
      </c>
      <c r="P23" s="11"/>
      <c r="Q23" s="11"/>
      <c r="R23" s="11"/>
      <c r="T23" s="11"/>
      <c r="U23" s="11">
        <f>Tabla356111927[[#This Row],[COMISIONES]]*0.21</f>
        <v>0</v>
      </c>
      <c r="V23" s="11"/>
      <c r="W23" s="11"/>
      <c r="X23" s="11"/>
      <c r="Y23" s="6"/>
      <c r="Z23" s="11">
        <v>120.78</v>
      </c>
      <c r="AA23" s="11">
        <f>Tabla3568132129[[#This Row],[COMISIONES]]*0.21</f>
        <v>25.363799999999998</v>
      </c>
      <c r="AB23" s="11"/>
      <c r="AC23" s="11">
        <v>5876.83</v>
      </c>
      <c r="AD23" s="11"/>
      <c r="AE23" s="11">
        <v>108.64</v>
      </c>
      <c r="AF23" s="11">
        <f>Tabla356813142230[[#This Row],[COMISIONES]]*0.21</f>
        <v>22.814399999999999</v>
      </c>
      <c r="AG23" s="11"/>
      <c r="AH23" s="11">
        <v>606.21</v>
      </c>
      <c r="AI23" s="11"/>
      <c r="AJ23" s="11"/>
      <c r="AK23" s="11">
        <f>Tabla35611192734[[#This Row],[COMISIONES]]*0.21</f>
        <v>0</v>
      </c>
      <c r="AL23" s="11"/>
      <c r="AM23" s="11"/>
      <c r="AN23" s="11"/>
    </row>
    <row r="24" spans="2:40" x14ac:dyDescent="0.3">
      <c r="B24" s="3"/>
      <c r="C24" s="2">
        <f>Tabla131624[[#This Row],[COMISIONES]]*0.21</f>
        <v>0</v>
      </c>
      <c r="D24" s="3"/>
      <c r="E24" s="3"/>
      <c r="F24" s="3"/>
      <c r="H24" s="11">
        <v>311.76</v>
      </c>
      <c r="I24" s="11">
        <f>Tabla391725[[#This Row],[COMISIONES]]*0.21</f>
        <v>65.4696</v>
      </c>
      <c r="J24" s="11"/>
      <c r="K24" s="11"/>
      <c r="L24" s="11"/>
      <c r="N24" s="11">
        <v>300</v>
      </c>
      <c r="O24" s="11">
        <f>Tabla35101826[[#This Row],[COMISIONES]]*0.21</f>
        <v>63</v>
      </c>
      <c r="P24" s="11"/>
      <c r="Q24" s="11"/>
      <c r="R24" s="11"/>
      <c r="T24" s="11"/>
      <c r="U24" s="11">
        <f>Tabla356111927[[#This Row],[COMISIONES]]*0.21</f>
        <v>0</v>
      </c>
      <c r="V24" s="11"/>
      <c r="W24" s="11"/>
      <c r="X24" s="11"/>
      <c r="Y24" s="6"/>
      <c r="Z24" s="11">
        <v>2393.8200000000002</v>
      </c>
      <c r="AA24" s="11">
        <f>Tabla3568132129[[#This Row],[COMISIONES]]*0.21</f>
        <v>502.7022</v>
      </c>
      <c r="AB24" s="11"/>
      <c r="AC24" s="11">
        <v>954.5</v>
      </c>
      <c r="AD24" s="11"/>
      <c r="AE24" s="11"/>
      <c r="AF24" s="11">
        <f>Tabla356813142230[[#This Row],[COMISIONES]]*0.21</f>
        <v>0</v>
      </c>
      <c r="AG24" s="11"/>
      <c r="AH24" s="11"/>
      <c r="AI24" s="11"/>
      <c r="AJ24" s="11"/>
      <c r="AK24" s="11">
        <f>Tabla35611192734[[#This Row],[COMISIONES]]*0.21</f>
        <v>0</v>
      </c>
      <c r="AL24" s="11"/>
      <c r="AM24" s="11"/>
      <c r="AN24" s="11"/>
    </row>
    <row r="25" spans="2:40" x14ac:dyDescent="0.3">
      <c r="B25" s="3"/>
      <c r="C25" s="2">
        <f>Tabla131624[[#This Row],[COMISIONES]]*0.21</f>
        <v>0</v>
      </c>
      <c r="D25" s="3"/>
      <c r="E25" s="3"/>
      <c r="F25" s="3"/>
      <c r="H25" s="11">
        <v>377.64</v>
      </c>
      <c r="I25" s="11">
        <f>Tabla391725[[#This Row],[COMISIONES]]*0.21</f>
        <v>79.304400000000001</v>
      </c>
      <c r="J25" s="11"/>
      <c r="K25" s="11"/>
      <c r="L25" s="11"/>
      <c r="N25" s="11">
        <v>300</v>
      </c>
      <c r="O25" s="11">
        <f>Tabla35101826[[#This Row],[COMISIONES]]*0.21</f>
        <v>63</v>
      </c>
      <c r="P25" s="11"/>
      <c r="Q25" s="11"/>
      <c r="R25" s="11"/>
      <c r="T25" s="19"/>
      <c r="U25" s="19">
        <f>Tabla356111927[[#This Row],[COMISIONES]]*0.21</f>
        <v>0</v>
      </c>
      <c r="V25" s="19"/>
      <c r="W25" s="19"/>
      <c r="X25" s="19"/>
      <c r="Y25" s="6"/>
      <c r="Z25" s="11">
        <v>388.8</v>
      </c>
      <c r="AA25" s="11">
        <f>Tabla3568132129[[#This Row],[COMISIONES]]*0.21</f>
        <v>81.647999999999996</v>
      </c>
      <c r="AB25" s="11">
        <v>471.1</v>
      </c>
      <c r="AC25" s="11">
        <v>6146.61</v>
      </c>
      <c r="AD25" s="11">
        <v>75.13</v>
      </c>
      <c r="AE25" s="11"/>
      <c r="AF25" s="11">
        <f>Tabla356813142230[[#This Row],[COMISIONES]]*0.21</f>
        <v>0</v>
      </c>
      <c r="AG25" s="11"/>
      <c r="AH25" s="11"/>
      <c r="AI25" s="11"/>
      <c r="AJ25" s="19"/>
      <c r="AK25" s="19">
        <f>Tabla35611192734[[#This Row],[COMISIONES]]*0.21</f>
        <v>0</v>
      </c>
      <c r="AL25" s="19"/>
      <c r="AM25" s="19"/>
      <c r="AN25" s="19"/>
    </row>
    <row r="26" spans="2:40" x14ac:dyDescent="0.3">
      <c r="B26" s="3"/>
      <c r="C26" s="2">
        <f>Tabla131624[[#This Row],[COMISIONES]]*0.21</f>
        <v>0</v>
      </c>
      <c r="D26" s="3"/>
      <c r="E26" s="3"/>
      <c r="F26" s="3"/>
      <c r="H26" s="11">
        <v>51.84</v>
      </c>
      <c r="I26" s="11">
        <f>Tabla391725[[#This Row],[COMISIONES]]*0.21</f>
        <v>10.8864</v>
      </c>
      <c r="J26" s="11"/>
      <c r="K26" s="11"/>
      <c r="L26" s="11"/>
      <c r="N26" s="11">
        <v>300</v>
      </c>
      <c r="O26" s="11">
        <f>Tabla35101826[[#This Row],[COMISIONES]]*0.21</f>
        <v>63</v>
      </c>
      <c r="P26" s="11"/>
      <c r="Q26" s="11"/>
      <c r="R26" s="11"/>
      <c r="T26" s="19"/>
      <c r="U26" s="19">
        <f>Tabla356111927[[#This Row],[COMISIONES]]*0.21</f>
        <v>0</v>
      </c>
      <c r="V26" s="19"/>
      <c r="W26" s="19"/>
      <c r="X26" s="19"/>
      <c r="Z26" s="11">
        <v>2503.71</v>
      </c>
      <c r="AA26" s="11">
        <f>Tabla3568132129[[#This Row],[COMISIONES]]*0.21</f>
        <v>525.77909999999997</v>
      </c>
      <c r="AB26" s="11"/>
      <c r="AC26" s="11">
        <v>919.7</v>
      </c>
      <c r="AD26" s="11">
        <v>13.71</v>
      </c>
      <c r="AE26" s="11"/>
      <c r="AF26" s="11">
        <f>Tabla356813142230[[#This Row],[COMISIONES]]*0.21</f>
        <v>0</v>
      </c>
      <c r="AG26" s="11"/>
      <c r="AH26" s="11"/>
      <c r="AI26" s="11"/>
      <c r="AJ26" s="19"/>
      <c r="AK26" s="19">
        <f>Tabla35611192734[[#This Row],[COMISIONES]]*0.21</f>
        <v>0</v>
      </c>
      <c r="AL26" s="19"/>
      <c r="AM26" s="19"/>
      <c r="AN26" s="19"/>
    </row>
    <row r="27" spans="2:40" x14ac:dyDescent="0.3">
      <c r="B27" s="3"/>
      <c r="C27" s="2">
        <f>Tabla131624[[#This Row],[COMISIONES]]*0.21</f>
        <v>0</v>
      </c>
      <c r="D27" s="3"/>
      <c r="E27" s="1"/>
      <c r="F27" s="3"/>
      <c r="H27" s="11">
        <v>51.84</v>
      </c>
      <c r="I27" s="11">
        <f>Tabla391725[[#This Row],[COMISIONES]]*0.21</f>
        <v>10.8864</v>
      </c>
      <c r="J27" s="11"/>
      <c r="K27" s="11"/>
      <c r="L27" s="11"/>
      <c r="N27" s="11">
        <v>300</v>
      </c>
      <c r="O27" s="11">
        <f>Tabla35101826[[#This Row],[COMISIONES]]*0.21</f>
        <v>63</v>
      </c>
      <c r="P27" s="11"/>
      <c r="Q27" s="11"/>
      <c r="R27" s="11"/>
      <c r="T27" s="4">
        <f>SUBTOTAL(109,Tabla356111927[COMISIONES])</f>
        <v>9055</v>
      </c>
      <c r="U27" s="4">
        <f>SUBTOTAL(109,Tabla356111927[IVA 21])</f>
        <v>1901.55</v>
      </c>
      <c r="V27" s="4">
        <f>SUBTOTAL(109,Tabla356111927[IVA 10,5])</f>
        <v>0</v>
      </c>
      <c r="W27" s="4">
        <f>SUBTOTAL(109,Tabla356111927[Ret IIBB Caba])</f>
        <v>525</v>
      </c>
      <c r="X27" s="4">
        <f>SUBTOTAL(109,Tabla356111927[PERC IVA])</f>
        <v>262.5</v>
      </c>
      <c r="Z27" s="11">
        <v>456.86</v>
      </c>
      <c r="AA27" s="11">
        <f>Tabla3568132129[[#This Row],[COMISIONES]]*0.21</f>
        <v>95.940600000000003</v>
      </c>
      <c r="AB27" s="11">
        <v>1434.73</v>
      </c>
      <c r="AC27" s="11">
        <v>756.09</v>
      </c>
      <c r="AD27" s="11"/>
      <c r="AE27" s="11"/>
      <c r="AF27" s="11">
        <f>Tabla356813142230[[#This Row],[COMISIONES]]*0.21</f>
        <v>0</v>
      </c>
      <c r="AG27" s="11"/>
      <c r="AH27" s="11"/>
      <c r="AI27" s="11"/>
      <c r="AJ27" s="4">
        <f>SUBTOTAL(109,Tabla35611192734[COMISIONES])</f>
        <v>3810</v>
      </c>
      <c r="AK27" s="4">
        <f>SUBTOTAL(109,Tabla35611192734[IVA 21])</f>
        <v>800.1</v>
      </c>
      <c r="AL27" s="4">
        <f>SUBTOTAL(109,Tabla35611192734[IVA 10,5])</f>
        <v>0</v>
      </c>
      <c r="AM27" s="4">
        <f>SUBTOTAL(109,Tabla35611192734[Ret IIBB Caba])</f>
        <v>69.930000000000007</v>
      </c>
      <c r="AN27" s="4">
        <f>SUBTOTAL(109,Tabla35611192734[PERC IVA])</f>
        <v>114.3</v>
      </c>
    </row>
    <row r="28" spans="2:40" ht="18" x14ac:dyDescent="0.35">
      <c r="B28" s="3"/>
      <c r="C28" s="2">
        <f>Tabla131624[[#This Row],[COMISIONES]]*0.21</f>
        <v>0</v>
      </c>
      <c r="D28" s="3"/>
      <c r="E28" s="3"/>
      <c r="F28" s="3"/>
      <c r="H28" s="11">
        <v>80.959999999999994</v>
      </c>
      <c r="I28" s="11">
        <f>Tabla391725[[#This Row],[COMISIONES]]*0.21</f>
        <v>17.0016</v>
      </c>
      <c r="J28" s="11"/>
      <c r="K28" s="11"/>
      <c r="L28" s="11"/>
      <c r="N28" s="11">
        <v>300</v>
      </c>
      <c r="O28" s="11">
        <f>Tabla35101826[[#This Row],[COMISIONES]]*0.21</f>
        <v>63</v>
      </c>
      <c r="P28" s="11"/>
      <c r="Q28" s="11"/>
      <c r="R28" s="11"/>
      <c r="T28" s="30" t="s">
        <v>32</v>
      </c>
      <c r="U28" s="30"/>
      <c r="V28" s="30"/>
      <c r="W28" s="30"/>
      <c r="X28" s="30"/>
      <c r="Z28" s="11">
        <v>307.98</v>
      </c>
      <c r="AA28" s="11">
        <f>Tabla3568132129[[#This Row],[COMISIONES]]*0.21</f>
        <v>64.675799999999995</v>
      </c>
      <c r="AB28" s="11"/>
      <c r="AC28" s="11">
        <v>4568.8</v>
      </c>
      <c r="AD28" s="11">
        <v>32.47</v>
      </c>
      <c r="AE28" s="11"/>
      <c r="AF28" s="11">
        <f>Tabla356813142230[[#This Row],[COMISIONES]]*0.21</f>
        <v>0</v>
      </c>
      <c r="AG28" s="11"/>
      <c r="AH28" s="11"/>
      <c r="AI28" s="11"/>
    </row>
    <row r="29" spans="2:40" x14ac:dyDescent="0.3">
      <c r="B29" s="3"/>
      <c r="C29" s="2">
        <f>Tabla131624[[#This Row],[COMISIONES]]*0.21</f>
        <v>0</v>
      </c>
      <c r="D29" s="3"/>
      <c r="E29" s="3"/>
      <c r="F29" s="3"/>
      <c r="H29" s="11">
        <v>80.959999999999994</v>
      </c>
      <c r="I29" s="11">
        <f>Tabla391725[[#This Row],[COMISIONES]]*0.21</f>
        <v>17.0016</v>
      </c>
      <c r="J29" s="11"/>
      <c r="K29" s="11"/>
      <c r="L29" s="11"/>
      <c r="N29" s="11">
        <v>300</v>
      </c>
      <c r="O29" s="11">
        <f>Tabla35101826[[#This Row],[COMISIONES]]*0.21</f>
        <v>63</v>
      </c>
      <c r="P29" s="11"/>
      <c r="Q29" s="11"/>
      <c r="R29" s="11"/>
      <c r="T29" s="12" t="s">
        <v>2</v>
      </c>
      <c r="U29" s="13" t="s">
        <v>0</v>
      </c>
      <c r="V29" s="13" t="s">
        <v>1</v>
      </c>
      <c r="W29" s="13" t="s">
        <v>3</v>
      </c>
      <c r="X29" s="13" t="s">
        <v>4</v>
      </c>
      <c r="Z29" s="11">
        <v>1861.02</v>
      </c>
      <c r="AA29" s="11">
        <f>Tabla3568132129[[#This Row],[COMISIONES]]*0.21</f>
        <v>390.81419999999997</v>
      </c>
      <c r="AB29" s="11"/>
      <c r="AC29" s="11">
        <v>1540.73</v>
      </c>
      <c r="AD29" s="11">
        <v>540.02</v>
      </c>
      <c r="AE29" s="11"/>
      <c r="AF29" s="11">
        <f>Tabla356813142230[[#This Row],[COMISIONES]]*0.21</f>
        <v>0</v>
      </c>
      <c r="AG29" s="11"/>
      <c r="AH29" s="11"/>
      <c r="AI29" s="11"/>
    </row>
    <row r="30" spans="2:40" x14ac:dyDescent="0.3">
      <c r="B30" s="3"/>
      <c r="C30" s="2">
        <f>Tabla131624[[#This Row],[COMISIONES]]*0.21</f>
        <v>0</v>
      </c>
      <c r="D30" s="3"/>
      <c r="E30" s="3"/>
      <c r="F30" s="3"/>
      <c r="H30" s="11">
        <v>108.08</v>
      </c>
      <c r="I30" s="11">
        <f>Tabla391725[[#This Row],[COMISIONES]]*0.21</f>
        <v>22.6968</v>
      </c>
      <c r="J30" s="11"/>
      <c r="K30" s="11"/>
      <c r="L30" s="11"/>
      <c r="N30" s="11">
        <v>300</v>
      </c>
      <c r="O30" s="11">
        <f>Tabla35101826[[#This Row],[COMISIONES]]*0.21</f>
        <v>63</v>
      </c>
      <c r="P30" s="11"/>
      <c r="Q30" s="11"/>
      <c r="R30" s="11"/>
      <c r="T30" s="11">
        <v>30500</v>
      </c>
      <c r="U30" s="11">
        <f>Tabla6122028[[#This Row],[COMISIONES]]*0.21</f>
        <v>6405</v>
      </c>
      <c r="V30" s="11"/>
      <c r="W30" s="11"/>
      <c r="X30" s="11">
        <v>915</v>
      </c>
      <c r="Z30" s="11">
        <v>627.59</v>
      </c>
      <c r="AA30" s="11">
        <f>Tabla3568132129[[#This Row],[COMISIONES]]*0.21</f>
        <v>131.79390000000001</v>
      </c>
      <c r="AB30" s="11">
        <v>201.8</v>
      </c>
      <c r="AC30" s="11">
        <v>2042.12</v>
      </c>
      <c r="AD30" s="11">
        <v>29.41</v>
      </c>
      <c r="AE30" s="11"/>
      <c r="AF30" s="11">
        <f>Tabla356813142230[[#This Row],[COMISIONES]]*0.21</f>
        <v>0</v>
      </c>
      <c r="AG30" s="11"/>
      <c r="AH30" s="11"/>
      <c r="AI30" s="11"/>
    </row>
    <row r="31" spans="2:40" x14ac:dyDescent="0.3">
      <c r="B31" s="3"/>
      <c r="C31" s="2">
        <f>Tabla131624[[#This Row],[COMISIONES]]*0.21</f>
        <v>0</v>
      </c>
      <c r="D31" s="3"/>
      <c r="E31" s="3"/>
      <c r="F31" s="3"/>
      <c r="H31" s="11">
        <v>108.08</v>
      </c>
      <c r="I31" s="11">
        <f>Tabla391725[[#This Row],[COMISIONES]]*0.21</f>
        <v>22.6968</v>
      </c>
      <c r="J31" s="11"/>
      <c r="K31" s="11"/>
      <c r="L31" s="11"/>
      <c r="N31" s="11">
        <v>300</v>
      </c>
      <c r="O31" s="11">
        <f>Tabla35101826[[#This Row],[COMISIONES]]*0.21</f>
        <v>63</v>
      </c>
      <c r="P31" s="11"/>
      <c r="Q31" s="11"/>
      <c r="R31" s="11"/>
      <c r="T31" s="11"/>
      <c r="U31" s="11">
        <f>Tabla6122028[[#This Row],[COMISIONES]]*0.21</f>
        <v>0</v>
      </c>
      <c r="V31" s="11"/>
      <c r="W31" s="11"/>
      <c r="X31" s="11"/>
      <c r="Z31" s="11">
        <v>1082.28</v>
      </c>
      <c r="AA31" s="11">
        <f>Tabla3568132129[[#This Row],[COMISIONES]]*0.21</f>
        <v>227.27879999999999</v>
      </c>
      <c r="AB31" s="11"/>
      <c r="AC31" s="11">
        <v>1066.3</v>
      </c>
      <c r="AD31" s="11"/>
      <c r="AE31" s="11"/>
      <c r="AF31" s="11">
        <f>Tabla356813142230[[#This Row],[COMISIONES]]*0.21</f>
        <v>0</v>
      </c>
      <c r="AG31" s="11"/>
      <c r="AH31" s="11"/>
      <c r="AI31" s="11"/>
    </row>
    <row r="32" spans="2:40" x14ac:dyDescent="0.3">
      <c r="B32" s="3"/>
      <c r="C32" s="2">
        <f>Tabla131624[[#This Row],[COMISIONES]]*0.21</f>
        <v>0</v>
      </c>
      <c r="D32" s="3"/>
      <c r="E32" s="3"/>
      <c r="F32" s="3"/>
      <c r="H32" s="11">
        <v>232.91</v>
      </c>
      <c r="I32" s="11">
        <f>Tabla391725[[#This Row],[COMISIONES]]*0.21</f>
        <v>48.911099999999998</v>
      </c>
      <c r="J32" s="11"/>
      <c r="K32" s="11"/>
      <c r="L32" s="11"/>
      <c r="N32" s="11">
        <v>220</v>
      </c>
      <c r="O32" s="11">
        <f>Tabla35101826[[#This Row],[COMISIONES]]*0.21</f>
        <v>46.199999999999996</v>
      </c>
      <c r="P32" s="11"/>
      <c r="Q32" s="11"/>
      <c r="R32" s="11"/>
      <c r="T32" s="11"/>
      <c r="U32" s="20">
        <f>Tabla6122028[[#This Row],[COMISIONES]]*0.21</f>
        <v>0</v>
      </c>
      <c r="Z32" s="11">
        <v>434.34</v>
      </c>
      <c r="AA32" s="11">
        <f>Tabla3568132129[[#This Row],[COMISIONES]]*0.21</f>
        <v>91.211399999999998</v>
      </c>
      <c r="AB32" s="11">
        <v>269.99</v>
      </c>
      <c r="AC32" s="11">
        <v>2125.67</v>
      </c>
      <c r="AD32" s="11"/>
      <c r="AE32" s="11"/>
      <c r="AF32" s="11">
        <f>Tabla356813142230[[#This Row],[COMISIONES]]*0.21</f>
        <v>0</v>
      </c>
      <c r="AG32" s="11"/>
      <c r="AH32" s="11"/>
      <c r="AI32" s="11"/>
    </row>
    <row r="33" spans="2:35" x14ac:dyDescent="0.3">
      <c r="B33" s="3"/>
      <c r="C33" s="2">
        <f>Tabla131624[[#This Row],[COMISIONES]]*0.21</f>
        <v>0</v>
      </c>
      <c r="D33" s="3"/>
      <c r="E33" s="3"/>
      <c r="F33" s="3"/>
      <c r="H33" s="11">
        <v>232.91</v>
      </c>
      <c r="I33" s="11">
        <f>Tabla391725[[#This Row],[COMISIONES]]*0.21</f>
        <v>48.911099999999998</v>
      </c>
      <c r="J33" s="11"/>
      <c r="K33" s="11"/>
      <c r="L33" s="11"/>
      <c r="N33" s="11">
        <v>300</v>
      </c>
      <c r="O33" s="11">
        <f>Tabla35101826[[#This Row],[COMISIONES]]*0.21</f>
        <v>63</v>
      </c>
      <c r="P33" s="11"/>
      <c r="Q33" s="11"/>
      <c r="R33" s="11"/>
      <c r="T33" s="11"/>
      <c r="U33" s="20">
        <f>Tabla6122028[[#This Row],[COMISIONES]]*0.21</f>
        <v>0</v>
      </c>
      <c r="Z33" s="22">
        <v>865.85</v>
      </c>
      <c r="AA33" s="22">
        <f>Tabla3568132129[[#This Row],[COMISIONES]]*0.21</f>
        <v>181.82849999999999</v>
      </c>
      <c r="AB33" s="22"/>
      <c r="AC33" s="22">
        <v>2076.0500000000002</v>
      </c>
      <c r="AD33" s="23"/>
      <c r="AE33" s="11"/>
      <c r="AF33" s="11">
        <f>Tabla356813142230[[#This Row],[COMISIONES]]*0.21</f>
        <v>0</v>
      </c>
      <c r="AG33" s="11"/>
      <c r="AH33" s="11"/>
      <c r="AI33" s="11"/>
    </row>
    <row r="34" spans="2:35" x14ac:dyDescent="0.3">
      <c r="B34" s="3"/>
      <c r="C34" s="2">
        <f>Tabla131624[[#This Row],[COMISIONES]]*0.21</f>
        <v>0</v>
      </c>
      <c r="D34" s="3"/>
      <c r="E34" s="3"/>
      <c r="F34" s="3"/>
      <c r="H34" s="11"/>
      <c r="I34" s="11">
        <f>Tabla391725[[#This Row],[COMISIONES]]*0.21</f>
        <v>0</v>
      </c>
      <c r="J34" s="11"/>
      <c r="K34" s="11"/>
      <c r="L34" s="11"/>
      <c r="N34" s="11"/>
      <c r="O34" s="11">
        <f>Tabla35101826[[#This Row],[COMISIONES]]*0.21</f>
        <v>0</v>
      </c>
      <c r="P34" s="11"/>
      <c r="Q34" s="11"/>
      <c r="R34" s="11"/>
      <c r="T34" s="11"/>
      <c r="U34" s="20">
        <f>Tabla6122028[[#This Row],[COMISIONES]]*0.21</f>
        <v>0</v>
      </c>
      <c r="Z34" s="22">
        <v>255.2</v>
      </c>
      <c r="AA34" s="22">
        <f>Tabla3568132129[[#This Row],[COMISIONES]]*0.21</f>
        <v>53.591999999999999</v>
      </c>
      <c r="AB34" s="22">
        <v>281.27</v>
      </c>
      <c r="AC34" s="22">
        <v>1948.07</v>
      </c>
      <c r="AD34" s="22"/>
      <c r="AE34" s="11"/>
      <c r="AF34" s="11">
        <f>Tabla356813142230[[#This Row],[COMISIONES]]*0.21</f>
        <v>0</v>
      </c>
      <c r="AG34" s="11"/>
      <c r="AH34" s="11"/>
      <c r="AI34" s="11"/>
    </row>
    <row r="35" spans="2:35" x14ac:dyDescent="0.3">
      <c r="B35" s="3"/>
      <c r="C35" s="2">
        <f>Tabla131624[[#This Row],[COMISIONES]]*0.21</f>
        <v>0</v>
      </c>
      <c r="D35" s="3"/>
      <c r="E35" s="3"/>
      <c r="F35" s="3"/>
      <c r="H35" s="11"/>
      <c r="I35" s="11">
        <f>Tabla391725[[#This Row],[COMISIONES]]*0.21</f>
        <v>0</v>
      </c>
      <c r="J35" s="11"/>
      <c r="K35" s="11"/>
      <c r="L35" s="11"/>
      <c r="N35" s="11"/>
      <c r="O35" s="11">
        <f>Tabla35101826[[#This Row],[COMISIONES]]*0.21</f>
        <v>0</v>
      </c>
      <c r="P35" s="11"/>
      <c r="Q35" s="11"/>
      <c r="R35" s="11"/>
      <c r="T35" s="11"/>
      <c r="U35" s="20">
        <f>Tabla6122028[[#This Row],[COMISIONES]]*0.21</f>
        <v>0</v>
      </c>
      <c r="Z35" s="22">
        <v>845.64</v>
      </c>
      <c r="AA35" s="22">
        <f>Tabla3568132129[[#This Row],[COMISIONES]]*0.21</f>
        <v>177.58439999999999</v>
      </c>
      <c r="AB35" s="22"/>
      <c r="AC35" s="22">
        <v>3095.07</v>
      </c>
      <c r="AD35" s="22"/>
      <c r="AE35" s="11"/>
      <c r="AF35" s="11">
        <f>Tabla356813142230[[#This Row],[COMISIONES]]*0.21</f>
        <v>0</v>
      </c>
      <c r="AG35" s="11"/>
      <c r="AH35" s="11"/>
      <c r="AI35" s="11"/>
    </row>
    <row r="36" spans="2:35" x14ac:dyDescent="0.3">
      <c r="B36" s="3"/>
      <c r="C36" s="2">
        <f>Tabla131624[[#This Row],[COMISIONES]]*0.21</f>
        <v>0</v>
      </c>
      <c r="D36" s="3"/>
      <c r="E36" s="3"/>
      <c r="F36" s="3"/>
      <c r="H36" s="11"/>
      <c r="I36" s="11">
        <f>Tabla391725[[#This Row],[COMISIONES]]*0.21</f>
        <v>0</v>
      </c>
      <c r="J36" s="11"/>
      <c r="K36" s="11"/>
      <c r="L36" s="11"/>
      <c r="N36" s="11"/>
      <c r="O36" s="11">
        <f>Tabla35101826[[#This Row],[COMISIONES]]*0.21</f>
        <v>0</v>
      </c>
      <c r="P36" s="11"/>
      <c r="Q36" s="11"/>
      <c r="R36" s="11"/>
      <c r="T36" s="11"/>
      <c r="U36" s="20">
        <f>Tabla6122028[[#This Row],[COMISIONES]]*0.21</f>
        <v>0</v>
      </c>
      <c r="Z36" s="22">
        <v>980.63</v>
      </c>
      <c r="AA36" s="22">
        <f>Tabla3568132129[[#This Row],[COMISIONES]]*0.21</f>
        <v>205.9323</v>
      </c>
      <c r="AB36" s="22"/>
      <c r="AC36" s="22">
        <v>549.11</v>
      </c>
      <c r="AD36" s="22"/>
      <c r="AE36" s="11"/>
      <c r="AF36" s="11">
        <f>Tabla356813142230[[#This Row],[COMISIONES]]*0.21</f>
        <v>0</v>
      </c>
      <c r="AG36" s="11"/>
      <c r="AH36" s="11"/>
      <c r="AI36" s="11"/>
    </row>
    <row r="37" spans="2:35" x14ac:dyDescent="0.3">
      <c r="B37" s="3"/>
      <c r="C37" s="2">
        <f>Tabla131624[[#This Row],[COMISIONES]]*0.21</f>
        <v>0</v>
      </c>
      <c r="D37" s="3"/>
      <c r="E37" s="3"/>
      <c r="F37" s="3"/>
      <c r="H37" s="19"/>
      <c r="I37" s="19">
        <f>Tabla391725[[#This Row],[COMISIONES]]*0.21</f>
        <v>0</v>
      </c>
      <c r="J37" s="19"/>
      <c r="K37" s="19"/>
      <c r="L37" s="19"/>
      <c r="N37" s="11"/>
      <c r="O37" s="11">
        <f>Tabla35101826[[#This Row],[COMISIONES]]*0.21</f>
        <v>0</v>
      </c>
      <c r="P37" s="11"/>
      <c r="Q37" s="11"/>
      <c r="R37" s="11"/>
      <c r="T37" s="11"/>
      <c r="U37" s="20">
        <f>Tabla6122028[[#This Row],[COMISIONES]]*0.21</f>
        <v>0</v>
      </c>
      <c r="Z37" s="22">
        <v>1260.72</v>
      </c>
      <c r="AA37" s="22">
        <f>Tabla3568132129[[#This Row],[COMISIONES]]*0.21</f>
        <v>264.75119999999998</v>
      </c>
      <c r="AB37" s="22"/>
      <c r="AC37" s="22">
        <v>647.38</v>
      </c>
      <c r="AD37" s="22">
        <v>23.64</v>
      </c>
      <c r="AE37" s="11"/>
      <c r="AF37" s="11">
        <f>Tabla356813142230[[#This Row],[COMISIONES]]*0.21</f>
        <v>0</v>
      </c>
      <c r="AG37" s="11"/>
      <c r="AH37" s="11"/>
      <c r="AI37" s="11"/>
    </row>
    <row r="38" spans="2:35" x14ac:dyDescent="0.3">
      <c r="B38" s="3"/>
      <c r="C38" s="2">
        <f>Tabla131624[[#This Row],[COMISIONES]]*0.21</f>
        <v>0</v>
      </c>
      <c r="D38" s="3"/>
      <c r="E38" s="3"/>
      <c r="F38" s="3"/>
      <c r="H38" s="19"/>
      <c r="I38" s="19">
        <f>Tabla391725[[#This Row],[COMISIONES]]*0.21</f>
        <v>0</v>
      </c>
      <c r="J38" s="19"/>
      <c r="K38" s="19"/>
      <c r="L38" s="19"/>
      <c r="N38" s="11"/>
      <c r="O38" s="11">
        <f>Tabla35101826[[#This Row],[COMISIONES]]*0.21</f>
        <v>0</v>
      </c>
      <c r="P38" s="11"/>
      <c r="Q38" s="11"/>
      <c r="R38" s="11"/>
      <c r="T38" s="11"/>
      <c r="U38" s="20">
        <f>Tabla6122028[[#This Row],[COMISIONES]]*0.21</f>
        <v>0</v>
      </c>
      <c r="Z38" s="22">
        <v>272.77</v>
      </c>
      <c r="AA38" s="22">
        <f>Tabla3568132129[[#This Row],[COMISIONES]]*0.21</f>
        <v>57.281699999999994</v>
      </c>
      <c r="AB38" s="22"/>
      <c r="AC38" s="22">
        <v>6252</v>
      </c>
      <c r="AD38" s="22"/>
      <c r="AE38" s="11"/>
      <c r="AF38" s="11">
        <f>Tabla356813142230[[#This Row],[COMISIONES]]*0.21</f>
        <v>0</v>
      </c>
      <c r="AG38" s="11"/>
      <c r="AH38" s="11"/>
      <c r="AI38" s="11"/>
    </row>
    <row r="39" spans="2:35" x14ac:dyDescent="0.3">
      <c r="B39" s="3"/>
      <c r="C39" s="2">
        <f>Tabla131624[[#This Row],[COMISIONES]]*0.21</f>
        <v>0</v>
      </c>
      <c r="D39" s="3"/>
      <c r="E39" s="3"/>
      <c r="F39" s="3"/>
      <c r="G39" s="8"/>
      <c r="H39" s="19"/>
      <c r="I39" s="19">
        <f>Tabla391725[[#This Row],[COMISIONES]]*0.21</f>
        <v>0</v>
      </c>
      <c r="J39" s="19"/>
      <c r="K39" s="19"/>
      <c r="L39" s="19"/>
      <c r="M39" s="8"/>
      <c r="N39" s="11"/>
      <c r="O39" s="11">
        <f>Tabla35101826[[#This Row],[COMISIONES]]*0.21</f>
        <v>0</v>
      </c>
      <c r="P39" s="11"/>
      <c r="Q39" s="11"/>
      <c r="R39" s="11"/>
      <c r="S39" s="8"/>
      <c r="T39" s="11"/>
      <c r="U39" s="20">
        <f>Tabla6122028[[#This Row],[COMISIONES]]*0.21</f>
        <v>0</v>
      </c>
      <c r="Z39" s="22">
        <v>263.7</v>
      </c>
      <c r="AA39" s="22">
        <f>Tabla3568132129[[#This Row],[COMISIONES]]*0.21</f>
        <v>55.376999999999995</v>
      </c>
      <c r="AB39" s="22"/>
      <c r="AC39" s="22">
        <v>212.11</v>
      </c>
      <c r="AD39" s="22"/>
      <c r="AE39" s="11"/>
      <c r="AF39" s="11">
        <f>Tabla356813142230[[#This Row],[COMISIONES]]*0.21</f>
        <v>0</v>
      </c>
      <c r="AG39" s="11"/>
      <c r="AH39" s="11"/>
      <c r="AI39" s="11"/>
    </row>
    <row r="40" spans="2:35" x14ac:dyDescent="0.3">
      <c r="B40" s="3"/>
      <c r="C40" s="2">
        <f>Tabla131624[[#This Row],[COMISIONES]]*0.21</f>
        <v>0</v>
      </c>
      <c r="D40" s="3"/>
      <c r="E40" s="3"/>
      <c r="F40" s="3"/>
      <c r="H40" s="19"/>
      <c r="I40" s="19">
        <f>Tabla391725[[#This Row],[COMISIONES]]*0.21</f>
        <v>0</v>
      </c>
      <c r="J40" s="19"/>
      <c r="K40" s="19"/>
      <c r="L40" s="19"/>
      <c r="N40" s="11"/>
      <c r="O40" s="11">
        <f>Tabla35101826[[#This Row],[COMISIONES]]*0.21</f>
        <v>0</v>
      </c>
      <c r="P40" s="11"/>
      <c r="Q40" s="11"/>
      <c r="R40" s="11"/>
      <c r="U40" s="20">
        <f>Tabla6122028[[#This Row],[COMISIONES]]*0.21</f>
        <v>0</v>
      </c>
      <c r="Z40" s="22">
        <v>2546.64</v>
      </c>
      <c r="AA40" s="22">
        <f>Tabla3568132129[[#This Row],[COMISIONES]]*0.21</f>
        <v>534.7944</v>
      </c>
      <c r="AB40" s="22"/>
      <c r="AC40" s="22">
        <v>349.1</v>
      </c>
      <c r="AD40" s="22"/>
      <c r="AE40" s="11"/>
      <c r="AF40" s="11">
        <f>Tabla356813142230[[#This Row],[COMISIONES]]*0.21</f>
        <v>0</v>
      </c>
      <c r="AG40" s="11"/>
      <c r="AH40" s="11"/>
      <c r="AI40" s="11"/>
    </row>
    <row r="41" spans="2:35" x14ac:dyDescent="0.3">
      <c r="B41" s="3"/>
      <c r="C41" s="2">
        <f>Tabla131624[[#This Row],[COMISIONES]]*0.21</f>
        <v>0</v>
      </c>
      <c r="D41" s="3"/>
      <c r="E41" s="3"/>
      <c r="F41" s="3"/>
      <c r="H41" s="19"/>
      <c r="I41" s="19">
        <f>Tabla391725[[#This Row],[COMISIONES]]*0.21</f>
        <v>0</v>
      </c>
      <c r="J41" s="19"/>
      <c r="K41" s="19"/>
      <c r="L41" s="19"/>
      <c r="N41" s="11"/>
      <c r="O41" s="11">
        <f>Tabla35101826[[#This Row],[COMISIONES]]*0.21</f>
        <v>0</v>
      </c>
      <c r="P41" s="11"/>
      <c r="Q41" s="11"/>
      <c r="R41" s="11"/>
      <c r="U41" s="20">
        <f>Tabla6122028[[#This Row],[COMISIONES]]*0.21</f>
        <v>0</v>
      </c>
      <c r="Z41" s="22">
        <v>86.4</v>
      </c>
      <c r="AA41" s="22">
        <f>Tabla3568132129[[#This Row],[COMISIONES]]*0.21</f>
        <v>18.144000000000002</v>
      </c>
      <c r="AB41" s="22"/>
      <c r="AC41" s="22">
        <v>1608.52</v>
      </c>
      <c r="AD41" s="22"/>
      <c r="AE41" s="11"/>
      <c r="AF41" s="11">
        <f>Tabla356813142230[[#This Row],[COMISIONES]]*0.21</f>
        <v>0</v>
      </c>
      <c r="AG41" s="11"/>
      <c r="AH41" s="11"/>
      <c r="AI41" s="11"/>
    </row>
    <row r="42" spans="2:35" x14ac:dyDescent="0.3">
      <c r="B42" s="3"/>
      <c r="C42" s="2">
        <f>Tabla131624[[#This Row],[COMISIONES]]*0.21</f>
        <v>0</v>
      </c>
      <c r="D42" s="3"/>
      <c r="E42" s="3"/>
      <c r="F42" s="3"/>
      <c r="H42" s="19"/>
      <c r="I42" s="19">
        <f>Tabla391725[[#This Row],[COMISIONES]]*0.21</f>
        <v>0</v>
      </c>
      <c r="J42" s="19"/>
      <c r="K42" s="19"/>
      <c r="L42" s="19"/>
      <c r="N42" s="11"/>
      <c r="O42" s="11">
        <f>Tabla35101826[[#This Row],[COMISIONES]]*0.21</f>
        <v>0</v>
      </c>
      <c r="P42" s="11"/>
      <c r="Q42" s="11"/>
      <c r="R42" s="11"/>
      <c r="U42" s="20">
        <f>Tabla6122028[[#This Row],[COMISIONES]]*0.21</f>
        <v>0</v>
      </c>
      <c r="Z42" s="22">
        <v>142.19999999999999</v>
      </c>
      <c r="AA42" s="22">
        <f>Tabla3568132129[[#This Row],[COMISIONES]]*0.21</f>
        <v>29.861999999999995</v>
      </c>
      <c r="AB42" s="22">
        <v>159.15</v>
      </c>
      <c r="AC42" s="22">
        <v>2610.75</v>
      </c>
      <c r="AD42" s="22"/>
      <c r="AE42" s="11"/>
      <c r="AF42" s="11">
        <f>Tabla356813142230[[#This Row],[COMISIONES]]*0.21</f>
        <v>0</v>
      </c>
      <c r="AG42" s="11"/>
      <c r="AH42" s="11"/>
      <c r="AI42" s="11"/>
    </row>
    <row r="43" spans="2:35" x14ac:dyDescent="0.3">
      <c r="B43" s="3"/>
      <c r="C43" s="2">
        <f>Tabla131624[[#This Row],[COMISIONES]]*0.21</f>
        <v>0</v>
      </c>
      <c r="D43" s="3"/>
      <c r="E43" s="3"/>
      <c r="F43" s="3"/>
      <c r="H43" s="19"/>
      <c r="I43" s="19">
        <f>Tabla391725[[#This Row],[COMISIONES]]*0.21</f>
        <v>0</v>
      </c>
      <c r="J43" s="19"/>
      <c r="K43" s="19"/>
      <c r="L43" s="19"/>
      <c r="N43" s="11"/>
      <c r="O43" s="11">
        <f>Tabla35101826[[#This Row],[COMISIONES]]*0.21</f>
        <v>0</v>
      </c>
      <c r="P43" s="11"/>
      <c r="Q43" s="11"/>
      <c r="R43" s="11"/>
      <c r="U43" s="20">
        <f>Tabla6122028[[#This Row],[COMISIONES]]*0.21</f>
        <v>0</v>
      </c>
      <c r="Z43" s="22">
        <v>655.20000000000005</v>
      </c>
      <c r="AA43" s="22">
        <f>Tabla3568132129[[#This Row],[COMISIONES]]*0.21</f>
        <v>137.59200000000001</v>
      </c>
      <c r="AB43" s="22"/>
      <c r="AC43" s="22">
        <v>1416.07</v>
      </c>
      <c r="AD43" s="22"/>
      <c r="AE43" s="11"/>
      <c r="AF43" s="11">
        <f>Tabla356813142230[[#This Row],[COMISIONES]]*0.21</f>
        <v>0</v>
      </c>
      <c r="AG43" s="11"/>
      <c r="AH43" s="11"/>
      <c r="AI43" s="11"/>
    </row>
    <row r="44" spans="2:35" x14ac:dyDescent="0.3">
      <c r="B44" s="3"/>
      <c r="C44" s="2">
        <f>Tabla131624[[#This Row],[COMISIONES]]*0.21</f>
        <v>0</v>
      </c>
      <c r="D44" s="3"/>
      <c r="E44" s="3"/>
      <c r="F44" s="3"/>
      <c r="H44" s="19"/>
      <c r="I44" s="19">
        <f>Tabla391725[[#This Row],[COMISIONES]]*0.21</f>
        <v>0</v>
      </c>
      <c r="J44" s="19"/>
      <c r="K44" s="19"/>
      <c r="L44" s="19"/>
      <c r="N44" s="11"/>
      <c r="O44" s="11">
        <f>Tabla35101826[[#This Row],[COMISIONES]]*0.21</f>
        <v>0</v>
      </c>
      <c r="P44" s="11"/>
      <c r="Q44" s="11"/>
      <c r="R44" s="11"/>
      <c r="U44" s="20">
        <f>Tabla6122028[[#This Row],[COMISIONES]]*0.21</f>
        <v>0</v>
      </c>
      <c r="Z44" s="22">
        <v>1063.44</v>
      </c>
      <c r="AA44" s="22">
        <f>Tabla3568132129[[#This Row],[COMISIONES]]*0.21</f>
        <v>223.32240000000002</v>
      </c>
      <c r="AB44" s="22"/>
      <c r="AC44" s="22">
        <v>425.9</v>
      </c>
      <c r="AD44" s="22"/>
      <c r="AE44" s="11"/>
      <c r="AF44" s="11">
        <f>Tabla356813142230[[#This Row],[COMISIONES]]*0.21</f>
        <v>0</v>
      </c>
      <c r="AG44" s="11"/>
      <c r="AH44" s="11"/>
      <c r="AI44" s="11"/>
    </row>
    <row r="45" spans="2:35" x14ac:dyDescent="0.3">
      <c r="B45" s="3"/>
      <c r="C45" s="2">
        <f>Tabla131624[[#This Row],[COMISIONES]]*0.21</f>
        <v>0</v>
      </c>
      <c r="D45" s="3"/>
      <c r="E45" s="3"/>
      <c r="F45" s="3"/>
      <c r="H45" s="19"/>
      <c r="I45" s="19">
        <f>Tabla391725[[#This Row],[COMISIONES]]*0.21</f>
        <v>0</v>
      </c>
      <c r="J45" s="19"/>
      <c r="K45" s="19"/>
      <c r="L45" s="19"/>
      <c r="N45" s="11"/>
      <c r="O45" s="11">
        <f>Tabla35101826[[#This Row],[COMISIONES]]*0.21</f>
        <v>0</v>
      </c>
      <c r="P45" s="11"/>
      <c r="Q45" s="11"/>
      <c r="R45" s="11"/>
      <c r="U45" s="20">
        <f>Tabla6122028[[#This Row],[COMISIONES]]*0.21</f>
        <v>0</v>
      </c>
      <c r="Z45" s="22">
        <v>576.80999999999995</v>
      </c>
      <c r="AA45" s="22">
        <f>Tabla3568132129[[#This Row],[COMISIONES]]*0.21</f>
        <v>121.13009999999998</v>
      </c>
      <c r="AB45" s="22">
        <v>1310.05</v>
      </c>
      <c r="AC45" s="22">
        <v>273.98</v>
      </c>
      <c r="AD45" s="22"/>
      <c r="AE45" s="11"/>
      <c r="AF45" s="11">
        <f>Tabla356813142230[[#This Row],[COMISIONES]]*0.21</f>
        <v>0</v>
      </c>
      <c r="AG45" s="11"/>
      <c r="AH45" s="11"/>
      <c r="AI45" s="11"/>
    </row>
    <row r="46" spans="2:35" x14ac:dyDescent="0.3">
      <c r="B46" s="3"/>
      <c r="C46" s="2">
        <f>Tabla131624[[#This Row],[COMISIONES]]*0.21</f>
        <v>0</v>
      </c>
      <c r="D46" s="3"/>
      <c r="E46" s="3"/>
      <c r="F46" s="3"/>
      <c r="H46" s="19"/>
      <c r="I46" s="19">
        <f>Tabla391725[[#This Row],[COMISIONES]]*0.21</f>
        <v>0</v>
      </c>
      <c r="J46" s="19"/>
      <c r="K46" s="19"/>
      <c r="L46" s="19"/>
      <c r="N46" s="11"/>
      <c r="O46" s="11">
        <f>Tabla35101826[[#This Row],[COMISIONES]]*0.21</f>
        <v>0</v>
      </c>
      <c r="P46" s="11"/>
      <c r="Q46" s="11"/>
      <c r="R46" s="11"/>
      <c r="U46" s="20">
        <f>Tabla6122028[[#This Row],[COMISIONES]]*0.21</f>
        <v>0</v>
      </c>
      <c r="Z46" s="22">
        <v>201.27</v>
      </c>
      <c r="AA46" s="22">
        <f>Tabla3568132129[[#This Row],[COMISIONES]]*0.21</f>
        <v>42.2667</v>
      </c>
      <c r="AB46" s="22"/>
      <c r="AC46" s="22">
        <v>1373.11</v>
      </c>
      <c r="AD46" s="22"/>
      <c r="AE46" s="11"/>
      <c r="AF46" s="11">
        <f>Tabla356813142230[[#This Row],[COMISIONES]]*0.21</f>
        <v>0</v>
      </c>
      <c r="AG46" s="11"/>
      <c r="AH46" s="11"/>
      <c r="AI46" s="11"/>
    </row>
    <row r="47" spans="2:35" x14ac:dyDescent="0.3">
      <c r="B47" s="2"/>
      <c r="C47" s="2">
        <f>Tabla131624[[#This Row],[COMISIONES]]*0.21</f>
        <v>0</v>
      </c>
      <c r="D47" s="2"/>
      <c r="E47" s="2"/>
      <c r="H47" s="19"/>
      <c r="I47" s="19">
        <f>Tabla391725[[#This Row],[COMISIONES]]*0.21</f>
        <v>0</v>
      </c>
      <c r="J47" s="19"/>
      <c r="K47" s="19"/>
      <c r="L47" s="19"/>
      <c r="N47" s="11"/>
      <c r="O47" s="11">
        <f>Tabla35101826[[#This Row],[COMISIONES]]*0.21</f>
        <v>0</v>
      </c>
      <c r="P47" s="11"/>
      <c r="Q47" s="11"/>
      <c r="R47" s="11"/>
      <c r="U47" s="20">
        <f>Tabla6122028[[#This Row],[COMISIONES]]*0.21</f>
        <v>0</v>
      </c>
      <c r="Z47" s="22">
        <v>111.6</v>
      </c>
      <c r="AA47" s="22">
        <f>Tabla3568132129[[#This Row],[COMISIONES]]*0.21</f>
        <v>23.435999999999996</v>
      </c>
      <c r="AB47" s="22"/>
      <c r="AC47" s="22">
        <v>369.87</v>
      </c>
      <c r="AD47" s="22"/>
      <c r="AE47" s="11"/>
      <c r="AF47" s="11">
        <f>Tabla356813142230[[#This Row],[COMISIONES]]*0.21</f>
        <v>0</v>
      </c>
      <c r="AG47" s="11"/>
      <c r="AH47" s="11"/>
      <c r="AI47" s="11"/>
    </row>
    <row r="48" spans="2:35" x14ac:dyDescent="0.3">
      <c r="B48" s="2"/>
      <c r="C48" s="2">
        <f>Tabla131624[[#This Row],[COMISIONES]]*0.21</f>
        <v>0</v>
      </c>
      <c r="D48" s="2"/>
      <c r="E48" s="2"/>
      <c r="H48" s="19"/>
      <c r="I48" s="19">
        <f>Tabla391725[[#This Row],[COMISIONES]]*0.21</f>
        <v>0</v>
      </c>
      <c r="J48" s="19"/>
      <c r="K48" s="19"/>
      <c r="L48" s="19"/>
      <c r="N48" s="11"/>
      <c r="O48" s="11">
        <f>Tabla35101826[[#This Row],[COMISIONES]]*0.21</f>
        <v>0</v>
      </c>
      <c r="P48" s="11"/>
      <c r="Q48" s="11"/>
      <c r="R48" s="11"/>
      <c r="U48" s="20">
        <f>Tabla6122028[[#This Row],[COMISIONES]]*0.21</f>
        <v>0</v>
      </c>
      <c r="Z48" s="22">
        <v>788.01</v>
      </c>
      <c r="AA48" s="22">
        <f>Tabla3568132129[[#This Row],[COMISIONES]]*0.21</f>
        <v>165.4821</v>
      </c>
      <c r="AB48" s="22"/>
      <c r="AC48" s="22">
        <v>2646.98</v>
      </c>
      <c r="AD48" s="22"/>
      <c r="AE48" s="11"/>
      <c r="AF48" s="11">
        <f>Tabla356813142230[[#This Row],[COMISIONES]]*0.21</f>
        <v>0</v>
      </c>
      <c r="AG48" s="11"/>
      <c r="AH48" s="11"/>
      <c r="AI48" s="11"/>
    </row>
    <row r="49" spans="2:35" x14ac:dyDescent="0.3">
      <c r="B49" s="2"/>
      <c r="C49" s="2">
        <f>Tabla131624[[#This Row],[COMISIONES]]*0.21</f>
        <v>0</v>
      </c>
      <c r="D49" s="2"/>
      <c r="E49" s="2"/>
      <c r="H49" s="18">
        <f>SUBTOTAL(109,Tabla391725[COMISIONES])</f>
        <v>3687.2599999999998</v>
      </c>
      <c r="I49" s="18">
        <f>SUBTOTAL(109,Tabla391725[IVA 21])</f>
        <v>774.32460000000026</v>
      </c>
      <c r="J49" s="18">
        <f>SUBTOTAL(109,Tabla391725[IVA 10,5])</f>
        <v>0</v>
      </c>
      <c r="K49" s="18">
        <f>SUBTOTAL(109,Tabla391725[Ret IIBB Caba])</f>
        <v>0</v>
      </c>
      <c r="L49" s="18">
        <f>SUBTOTAL(109,Tabla391725[PERC IVA])</f>
        <v>0</v>
      </c>
      <c r="N49" s="11"/>
      <c r="O49" s="11">
        <f>Tabla35101826[[#This Row],[COMISIONES]]*0.21</f>
        <v>0</v>
      </c>
      <c r="P49" s="11"/>
      <c r="Q49" s="11"/>
      <c r="R49" s="11"/>
      <c r="U49" s="20">
        <f>Tabla6122028[[#This Row],[COMISIONES]]*0.21</f>
        <v>0</v>
      </c>
      <c r="Z49" s="22">
        <v>150.66</v>
      </c>
      <c r="AA49" s="22">
        <f>Tabla3568132129[[#This Row],[COMISIONES]]*0.21</f>
        <v>31.638599999999997</v>
      </c>
      <c r="AB49" s="22"/>
      <c r="AC49" s="22">
        <v>1380.94</v>
      </c>
      <c r="AD49" s="22"/>
      <c r="AE49" s="11"/>
      <c r="AF49" s="11">
        <f>Tabla356813142230[[#This Row],[COMISIONES]]*0.21</f>
        <v>0</v>
      </c>
      <c r="AG49" s="11"/>
      <c r="AH49" s="11"/>
      <c r="AI49" s="11"/>
    </row>
    <row r="50" spans="2:35" ht="18" x14ac:dyDescent="0.35">
      <c r="B50" s="2"/>
      <c r="C50" s="2">
        <f>Tabla131624[[#This Row],[COMISIONES]]*0.21</f>
        <v>0</v>
      </c>
      <c r="D50" s="2"/>
      <c r="E50" s="2"/>
      <c r="H50" s="30" t="s">
        <v>20</v>
      </c>
      <c r="I50" s="30"/>
      <c r="J50" s="30"/>
      <c r="K50" s="30"/>
      <c r="L50" s="30"/>
      <c r="N50" s="11"/>
      <c r="O50" s="11">
        <f>Tabla35101826[[#This Row],[COMISIONES]]*0.21</f>
        <v>0</v>
      </c>
      <c r="P50" s="11"/>
      <c r="Q50" s="11"/>
      <c r="R50" s="11"/>
      <c r="U50" s="20">
        <f>Tabla6122028[[#This Row],[COMISIONES]]*0.21</f>
        <v>0</v>
      </c>
      <c r="Z50" s="22">
        <v>1078.2</v>
      </c>
      <c r="AA50" s="22">
        <f>Tabla3568132129[[#This Row],[COMISIONES]]*0.21</f>
        <v>226.422</v>
      </c>
      <c r="AB50" s="22">
        <v>2001.08</v>
      </c>
      <c r="AC50" s="22">
        <v>1106.3</v>
      </c>
      <c r="AD50" s="22">
        <v>52.71</v>
      </c>
      <c r="AE50" s="11"/>
      <c r="AF50" s="11">
        <f>Tabla356813142230[[#This Row],[COMISIONES]]*0.21</f>
        <v>0</v>
      </c>
      <c r="AG50" s="11"/>
      <c r="AH50" s="11"/>
      <c r="AI50" s="11"/>
    </row>
    <row r="51" spans="2:35" x14ac:dyDescent="0.3">
      <c r="B51" s="2"/>
      <c r="C51" s="2">
        <f>Tabla131624[[#This Row],[COMISIONES]]*0.21</f>
        <v>0</v>
      </c>
      <c r="D51" s="2"/>
      <c r="E51" s="2"/>
      <c r="H51" s="12" t="s">
        <v>2</v>
      </c>
      <c r="I51" s="13" t="s">
        <v>0</v>
      </c>
      <c r="J51" s="13" t="s">
        <v>1</v>
      </c>
      <c r="K51" s="13" t="s">
        <v>3</v>
      </c>
      <c r="L51" s="13" t="s">
        <v>4</v>
      </c>
      <c r="N51" s="11"/>
      <c r="O51" s="11">
        <f>Tabla35101826[[#This Row],[COMISIONES]]*0.21</f>
        <v>0</v>
      </c>
      <c r="P51" s="11"/>
      <c r="Q51" s="11"/>
      <c r="R51" s="11"/>
      <c r="U51" s="20">
        <f>Tabla6122028[[#This Row],[COMISIONES]]*0.21</f>
        <v>0</v>
      </c>
      <c r="Z51" s="22">
        <v>562.5</v>
      </c>
      <c r="AA51" s="22">
        <f>Tabla3568132129[[#This Row],[COMISIONES]]*0.21</f>
        <v>118.125</v>
      </c>
      <c r="AB51" s="22">
        <v>1384.3</v>
      </c>
      <c r="AC51" s="22">
        <v>1368.56</v>
      </c>
      <c r="AD51" s="22">
        <v>21.57</v>
      </c>
      <c r="AE51" s="11"/>
      <c r="AF51" s="11">
        <f>Tabla356813142230[[#This Row],[COMISIONES]]*0.21</f>
        <v>0</v>
      </c>
      <c r="AG51" s="11"/>
      <c r="AH51" s="11"/>
      <c r="AI51" s="11"/>
    </row>
    <row r="52" spans="2:35" x14ac:dyDescent="0.3">
      <c r="B52" s="2"/>
      <c r="C52" s="2">
        <f>Tabla131624[[#This Row],[COMISIONES]]*0.21</f>
        <v>0</v>
      </c>
      <c r="D52" s="2"/>
      <c r="E52" s="2"/>
      <c r="H52" s="3"/>
      <c r="I52" s="11">
        <f>Tabla39152331[[#This Row],[COMISIONES]]*0.21</f>
        <v>0</v>
      </c>
      <c r="J52" s="11"/>
      <c r="K52" s="11"/>
      <c r="L52" s="11"/>
      <c r="N52" s="11"/>
      <c r="O52" s="11">
        <f>Tabla35101826[[#This Row],[COMISIONES]]*0.21</f>
        <v>0</v>
      </c>
      <c r="P52" s="11"/>
      <c r="Q52" s="11"/>
      <c r="R52" s="11"/>
      <c r="U52" s="20">
        <f>Tabla6122028[[#This Row],[COMISIONES]]*0.21</f>
        <v>0</v>
      </c>
      <c r="Z52" s="22">
        <v>450.63</v>
      </c>
      <c r="AA52" s="22">
        <f>Tabla3568132129[[#This Row],[COMISIONES]]*0.21</f>
        <v>94.632300000000001</v>
      </c>
      <c r="AB52" s="22"/>
      <c r="AC52" s="22">
        <v>3455.39</v>
      </c>
      <c r="AD52" s="22"/>
      <c r="AE52" s="11"/>
      <c r="AF52" s="11">
        <f>Tabla356813142230[[#This Row],[COMISIONES]]*0.21</f>
        <v>0</v>
      </c>
      <c r="AG52" s="11"/>
      <c r="AH52" s="11"/>
      <c r="AI52" s="11"/>
    </row>
    <row r="53" spans="2:35" x14ac:dyDescent="0.3">
      <c r="B53" s="2"/>
      <c r="C53" s="2">
        <f>Tabla131624[[#This Row],[COMISIONES]]*0.21</f>
        <v>0</v>
      </c>
      <c r="D53" s="2"/>
      <c r="E53" s="2"/>
      <c r="H53" s="11"/>
      <c r="I53" s="11">
        <f>Tabla39152331[[#This Row],[COMISIONES]]*0.21</f>
        <v>0</v>
      </c>
      <c r="J53" s="11"/>
      <c r="K53" s="11"/>
      <c r="L53" s="22"/>
      <c r="N53" s="11"/>
      <c r="O53" s="11">
        <f>Tabla35101826[[#This Row],[COMISIONES]]*0.21</f>
        <v>0</v>
      </c>
      <c r="P53" s="11"/>
      <c r="Q53" s="11"/>
      <c r="R53" s="11"/>
      <c r="U53" s="20">
        <f>Tabla6122028[[#This Row],[COMISIONES]]*0.21</f>
        <v>0</v>
      </c>
      <c r="Z53" s="22">
        <v>557.46</v>
      </c>
      <c r="AA53" s="22">
        <f>Tabla3568132129[[#This Row],[COMISIONES]]*0.21</f>
        <v>117.06660000000001</v>
      </c>
      <c r="AB53" s="22"/>
      <c r="AC53" s="22">
        <v>1171.55</v>
      </c>
      <c r="AD53" s="22"/>
      <c r="AE53" s="11"/>
      <c r="AF53" s="11">
        <f>Tabla356813142230[[#This Row],[COMISIONES]]*0.21</f>
        <v>0</v>
      </c>
      <c r="AG53" s="11"/>
      <c r="AH53" s="11"/>
      <c r="AI53" s="11"/>
    </row>
    <row r="54" spans="2:35" x14ac:dyDescent="0.3">
      <c r="B54" s="2"/>
      <c r="C54" s="2">
        <f>Tabla131624[[#This Row],[COMISIONES]]*0.21</f>
        <v>0</v>
      </c>
      <c r="D54" s="1"/>
      <c r="E54" s="2"/>
      <c r="H54" s="11"/>
      <c r="I54" s="11">
        <f>Tabla39152331[[#This Row],[COMISIONES]]*0.21</f>
        <v>0</v>
      </c>
      <c r="J54" s="11"/>
      <c r="K54" s="11"/>
      <c r="L54" s="11"/>
      <c r="N54" s="11"/>
      <c r="O54" s="11">
        <f>Tabla35101826[[#This Row],[COMISIONES]]*0.21</f>
        <v>0</v>
      </c>
      <c r="P54" s="11"/>
      <c r="Q54" s="11"/>
      <c r="R54" s="11"/>
      <c r="U54" s="20">
        <f>Tabla6122028[[#This Row],[COMISIONES]]*0.21</f>
        <v>0</v>
      </c>
      <c r="Z54" s="22">
        <v>1756.82</v>
      </c>
      <c r="AA54" s="22">
        <f>Tabla3568132129[[#This Row],[COMISIONES]]*0.21</f>
        <v>368.93219999999997</v>
      </c>
      <c r="AB54" s="22"/>
      <c r="AC54" s="22">
        <v>673.9</v>
      </c>
      <c r="AD54" s="22"/>
      <c r="AE54" s="11"/>
      <c r="AF54" s="11">
        <f>Tabla356813142230[[#This Row],[COMISIONES]]*0.21</f>
        <v>0</v>
      </c>
      <c r="AG54" s="11"/>
      <c r="AH54" s="11"/>
      <c r="AI54" s="11"/>
    </row>
    <row r="55" spans="2:35" x14ac:dyDescent="0.3">
      <c r="B55" s="2"/>
      <c r="C55" s="2">
        <f>Tabla131624[[#This Row],[COMISIONES]]*0.21</f>
        <v>0</v>
      </c>
      <c r="D55" s="2"/>
      <c r="E55" s="2"/>
      <c r="H55" s="11"/>
      <c r="I55" s="11">
        <f>Tabla39152331[[#This Row],[COMISIONES]]*0.21</f>
        <v>0</v>
      </c>
      <c r="J55" s="11"/>
      <c r="K55" s="11"/>
      <c r="L55" s="11"/>
      <c r="N55" s="11"/>
      <c r="O55" s="11">
        <f>Tabla35101826[[#This Row],[COMISIONES]]*0.21</f>
        <v>0</v>
      </c>
      <c r="P55" s="11"/>
      <c r="Q55" s="11"/>
      <c r="R55" s="11"/>
      <c r="U55" s="20">
        <f>Tabla6122028[[#This Row],[COMISIONES]]*0.21</f>
        <v>0</v>
      </c>
      <c r="Z55" s="22">
        <v>718.87</v>
      </c>
      <c r="AA55" s="22">
        <f>Tabla3568132129[[#This Row],[COMISIONES]]*0.21</f>
        <v>150.96269999999998</v>
      </c>
      <c r="AB55" s="22">
        <v>293.75</v>
      </c>
      <c r="AC55" s="22">
        <v>902.36</v>
      </c>
      <c r="AD55" s="22"/>
      <c r="AE55" s="11"/>
      <c r="AF55" s="11">
        <f>Tabla356813142230[[#This Row],[COMISIONES]]*0.21</f>
        <v>0</v>
      </c>
      <c r="AG55" s="11"/>
      <c r="AH55" s="11"/>
      <c r="AI55" s="11"/>
    </row>
    <row r="56" spans="2:35" x14ac:dyDescent="0.3">
      <c r="B56" s="2"/>
      <c r="C56" s="2">
        <f>Tabla131624[[#This Row],[COMISIONES]]*0.21</f>
        <v>0</v>
      </c>
      <c r="D56" s="2"/>
      <c r="E56" s="2"/>
      <c r="H56" s="11"/>
      <c r="I56" s="11">
        <f>Tabla39152331[[#This Row],[COMISIONES]]*0.21</f>
        <v>0</v>
      </c>
      <c r="J56" s="11"/>
      <c r="K56" s="11"/>
      <c r="L56" s="11"/>
      <c r="N56" s="11"/>
      <c r="O56" s="11">
        <f>Tabla35101826[[#This Row],[COMISIONES]]*0.21</f>
        <v>0</v>
      </c>
      <c r="P56" s="11"/>
      <c r="Q56" s="11"/>
      <c r="R56" s="11"/>
      <c r="U56" s="20">
        <f>Tabla6122028[[#This Row],[COMISIONES]]*0.21</f>
        <v>0</v>
      </c>
      <c r="Z56" s="22">
        <v>274.5</v>
      </c>
      <c r="AA56" s="22">
        <f>Tabla3568132129[[#This Row],[COMISIONES]]*0.21</f>
        <v>57.644999999999996</v>
      </c>
      <c r="AB56" s="22"/>
      <c r="AC56" s="22">
        <v>642.44000000000005</v>
      </c>
      <c r="AD56" s="22"/>
      <c r="AE56" s="11"/>
      <c r="AF56" s="11">
        <f>Tabla356813142230[[#This Row],[COMISIONES]]*0.21</f>
        <v>0</v>
      </c>
      <c r="AG56" s="11"/>
      <c r="AH56" s="11"/>
      <c r="AI56" s="11"/>
    </row>
    <row r="57" spans="2:35" x14ac:dyDescent="0.3">
      <c r="B57" s="4">
        <f>SUBTOTAL(109,Tabla131624[COMISIONES])</f>
        <v>50810.262857142858</v>
      </c>
      <c r="C57" s="4">
        <f>SUBTOTAL(109,Tabla131624[IVA 21])</f>
        <v>10670.155200000001</v>
      </c>
      <c r="D57" s="4">
        <f>SUBTOTAL(109,Tabla131624[IVA 10,5])</f>
        <v>0</v>
      </c>
      <c r="E57" s="4">
        <f>SUBTOTAL(109,Tabla131624[Ret IIBB Caba])</f>
        <v>17842.940000000002</v>
      </c>
      <c r="F57" s="4">
        <f>SUBTOTAL(109,Tabla131624[PERC IVA])</f>
        <v>1309.94</v>
      </c>
      <c r="H57" s="11"/>
      <c r="I57" s="11">
        <f>Tabla39152331[[#This Row],[COMISIONES]]*0.21</f>
        <v>0</v>
      </c>
      <c r="J57" s="11"/>
      <c r="K57" s="11"/>
      <c r="L57" s="11"/>
      <c r="N57" s="11"/>
      <c r="O57" s="11">
        <f>Tabla35101826[[#This Row],[COMISIONES]]*0.21</f>
        <v>0</v>
      </c>
      <c r="P57" s="11"/>
      <c r="Q57" s="11"/>
      <c r="R57" s="11"/>
      <c r="U57" s="20">
        <f>Tabla6122028[[#This Row],[COMISIONES]]*0.21</f>
        <v>0</v>
      </c>
      <c r="Z57" s="22">
        <v>367.56</v>
      </c>
      <c r="AA57" s="22">
        <f>Tabla3568132129[[#This Row],[COMISIONES]]*0.21</f>
        <v>77.187600000000003</v>
      </c>
      <c r="AB57" s="22"/>
      <c r="AC57" s="22">
        <v>2147.63</v>
      </c>
      <c r="AD57" s="22"/>
      <c r="AE57" s="1"/>
      <c r="AF57" s="11">
        <f>Tabla356813142230[[#This Row],[COMISIONES]]*0.21</f>
        <v>0</v>
      </c>
      <c r="AG57" s="11"/>
      <c r="AH57" s="11"/>
      <c r="AI57" s="11"/>
    </row>
    <row r="58" spans="2:35" x14ac:dyDescent="0.3">
      <c r="H58" s="11"/>
      <c r="I58" s="11">
        <f>Tabla39152331[[#This Row],[COMISIONES]]*0.21</f>
        <v>0</v>
      </c>
      <c r="J58" s="11"/>
      <c r="K58" s="11"/>
      <c r="L58" s="11"/>
      <c r="N58" s="11"/>
      <c r="O58" s="11">
        <f>Tabla35101826[[#This Row],[COMISIONES]]*0.21</f>
        <v>0</v>
      </c>
      <c r="P58" s="11"/>
      <c r="Q58" s="11"/>
      <c r="R58" s="11"/>
      <c r="T58" s="18">
        <f>SUBTOTAL(109,Tabla6122028[COMISIONES])</f>
        <v>30500</v>
      </c>
      <c r="U58" s="18">
        <f>SUBTOTAL(109,Tabla6122028[IVA 21])</f>
        <v>6405</v>
      </c>
      <c r="V58" s="18">
        <f>SUBTOTAL(109,Tabla6122028[IVA 10,5])</f>
        <v>0</v>
      </c>
      <c r="W58" s="18">
        <f>SUBTOTAL(109,Tabla6122028[Ret IIBB Caba])</f>
        <v>0</v>
      </c>
      <c r="X58" s="18">
        <f>SUBTOTAL(109,Tabla6122028[PERC IVA])</f>
        <v>915</v>
      </c>
      <c r="Z58" s="22">
        <v>312.97000000000003</v>
      </c>
      <c r="AA58" s="22">
        <f>Tabla3568132129[[#This Row],[COMISIONES]]*0.21</f>
        <v>65.723700000000008</v>
      </c>
      <c r="AB58" s="22"/>
      <c r="AC58" s="22">
        <v>424.08</v>
      </c>
      <c r="AD58" s="22"/>
      <c r="AE58" s="11"/>
      <c r="AF58" s="11">
        <f>Tabla356813142230[[#This Row],[COMISIONES]]*0.21</f>
        <v>0</v>
      </c>
      <c r="AG58" s="11"/>
      <c r="AH58" s="11"/>
      <c r="AI58" s="11"/>
    </row>
    <row r="59" spans="2:35" x14ac:dyDescent="0.3">
      <c r="H59" s="11"/>
      <c r="I59" s="11">
        <f>Tabla39152331[[#This Row],[COMISIONES]]*0.21</f>
        <v>0</v>
      </c>
      <c r="J59" s="11"/>
      <c r="K59" s="11"/>
      <c r="L59" s="11"/>
      <c r="N59" s="11"/>
      <c r="O59" s="11">
        <f>Tabla35101826[[#This Row],[COMISIONES]]*0.21</f>
        <v>0</v>
      </c>
      <c r="P59" s="11"/>
      <c r="Q59" s="11"/>
      <c r="R59" s="11"/>
      <c r="Z59" s="22">
        <v>384.88</v>
      </c>
      <c r="AA59" s="22">
        <f>Tabla3568132129[[#This Row],[COMISIONES]]*0.21</f>
        <v>80.824799999999996</v>
      </c>
      <c r="AB59" s="22"/>
      <c r="AC59" s="22">
        <v>1007.75</v>
      </c>
      <c r="AD59" s="22"/>
      <c r="AE59" s="11"/>
      <c r="AF59" s="11">
        <f>Tabla356813142230[[#This Row],[COMISIONES]]*0.21</f>
        <v>0</v>
      </c>
      <c r="AG59" s="11"/>
      <c r="AH59" s="11"/>
      <c r="AI59" s="11"/>
    </row>
    <row r="60" spans="2:35" ht="18" x14ac:dyDescent="0.35">
      <c r="H60" s="11"/>
      <c r="I60" s="11">
        <f>Tabla39152331[[#This Row],[COMISIONES]]*0.21</f>
        <v>0</v>
      </c>
      <c r="J60" s="11"/>
      <c r="K60" s="11"/>
      <c r="L60" s="11"/>
      <c r="N60" s="11"/>
      <c r="O60" s="11">
        <f>Tabla35101826[[#This Row],[COMISIONES]]*0.21</f>
        <v>0</v>
      </c>
      <c r="P60" s="11"/>
      <c r="Q60" s="11"/>
      <c r="R60" s="11"/>
      <c r="T60" s="30" t="s">
        <v>33</v>
      </c>
      <c r="U60" s="30"/>
      <c r="V60" s="30"/>
      <c r="W60" s="30"/>
      <c r="X60" s="30"/>
      <c r="Z60" s="22">
        <v>76</v>
      </c>
      <c r="AA60" s="22">
        <f>Tabla3568132129[[#This Row],[COMISIONES]]*0.21</f>
        <v>15.959999999999999</v>
      </c>
      <c r="AB60" s="22"/>
      <c r="AC60" s="22">
        <v>4247.8999999999996</v>
      </c>
      <c r="AD60" s="22"/>
      <c r="AE60" s="11"/>
      <c r="AF60" s="11">
        <f>Tabla356813142230[[#This Row],[COMISIONES]]*0.21</f>
        <v>0</v>
      </c>
      <c r="AG60" s="11"/>
      <c r="AH60" s="11"/>
      <c r="AI60" s="11"/>
    </row>
    <row r="61" spans="2:35" x14ac:dyDescent="0.3">
      <c r="H61" s="11"/>
      <c r="I61" s="11">
        <f>Tabla39152331[[#This Row],[COMISIONES]]*0.21</f>
        <v>0</v>
      </c>
      <c r="J61" s="11"/>
      <c r="K61" s="11"/>
      <c r="L61" s="11"/>
      <c r="N61" s="11"/>
      <c r="O61" s="11">
        <f>Tabla35101826[[#This Row],[COMISIONES]]*0.21</f>
        <v>0</v>
      </c>
      <c r="P61" s="11"/>
      <c r="Q61" s="11"/>
      <c r="R61" s="11"/>
      <c r="T61" s="12" t="s">
        <v>2</v>
      </c>
      <c r="U61" s="13" t="s">
        <v>0</v>
      </c>
      <c r="V61" s="13" t="s">
        <v>1</v>
      </c>
      <c r="W61" s="13" t="s">
        <v>3</v>
      </c>
      <c r="X61" s="13" t="s">
        <v>4</v>
      </c>
      <c r="Z61" s="22">
        <v>180.6</v>
      </c>
      <c r="AA61" s="22">
        <f>Tabla3568132129[[#This Row],[COMISIONES]]*0.21</f>
        <v>37.925999999999995</v>
      </c>
      <c r="AB61" s="22"/>
      <c r="AC61" s="22">
        <v>124.99</v>
      </c>
      <c r="AD61" s="22"/>
      <c r="AE61" s="11"/>
      <c r="AF61" s="11">
        <f>Tabla356813142230[[#This Row],[COMISIONES]]*0.21</f>
        <v>0</v>
      </c>
      <c r="AG61" s="11"/>
      <c r="AH61" s="11"/>
      <c r="AI61" s="11"/>
    </row>
    <row r="62" spans="2:35" x14ac:dyDescent="0.3">
      <c r="H62" s="11"/>
      <c r="I62" s="11">
        <f>Tabla39152331[[#This Row],[COMISIONES]]*0.21</f>
        <v>0</v>
      </c>
      <c r="J62" s="11"/>
      <c r="K62" s="11"/>
      <c r="L62" s="11"/>
      <c r="N62" s="11"/>
      <c r="O62" s="11">
        <f>Tabla35101826[[#This Row],[COMISIONES]]*0.21</f>
        <v>0</v>
      </c>
      <c r="P62" s="11"/>
      <c r="Q62" s="11"/>
      <c r="R62" s="11"/>
      <c r="T62" s="11">
        <v>800</v>
      </c>
      <c r="U62" s="11">
        <f>Tabla612202833[[#This Row],[COMISIONES]]*0.21</f>
        <v>168</v>
      </c>
      <c r="V62" s="11"/>
      <c r="W62" s="11">
        <v>300</v>
      </c>
      <c r="X62" s="11"/>
      <c r="Z62" s="22">
        <v>761.27</v>
      </c>
      <c r="AA62" s="22">
        <f>Tabla3568132129[[#This Row],[COMISIONES]]*0.21</f>
        <v>159.86669999999998</v>
      </c>
      <c r="AB62" s="22"/>
      <c r="AC62" s="22">
        <v>1295.68</v>
      </c>
      <c r="AD62" s="22"/>
      <c r="AE62" s="11"/>
      <c r="AF62" s="11">
        <f>Tabla356813142230[[#This Row],[COMISIONES]]*0.21</f>
        <v>0</v>
      </c>
      <c r="AG62" s="11"/>
      <c r="AH62" s="11"/>
      <c r="AI62" s="11"/>
    </row>
    <row r="63" spans="2:35" x14ac:dyDescent="0.3">
      <c r="H63" s="11"/>
      <c r="I63" s="11">
        <f>Tabla39152331[[#This Row],[COMISIONES]]*0.21</f>
        <v>0</v>
      </c>
      <c r="J63" s="11"/>
      <c r="K63" s="11"/>
      <c r="L63" s="11"/>
      <c r="N63" s="19"/>
      <c r="O63" s="11">
        <f>Tabla35101826[[#This Row],[COMISIONES]]*0.21</f>
        <v>0</v>
      </c>
      <c r="P63" s="19"/>
      <c r="Q63" s="19"/>
      <c r="R63" s="19"/>
      <c r="T63" s="11"/>
      <c r="U63" s="11">
        <f>Tabla612202833[[#This Row],[COMISIONES]]*0.21</f>
        <v>0</v>
      </c>
      <c r="V63" s="11"/>
      <c r="W63" s="11">
        <v>2075.37</v>
      </c>
      <c r="X63" s="11"/>
      <c r="Z63" s="22">
        <v>22.4</v>
      </c>
      <c r="AA63" s="22">
        <f>Tabla3568132129[[#This Row],[COMISIONES]]*0.21</f>
        <v>4.7039999999999997</v>
      </c>
      <c r="AB63" s="22"/>
      <c r="AC63" s="22">
        <v>205.34</v>
      </c>
      <c r="AD63" s="22"/>
      <c r="AE63" s="11"/>
      <c r="AF63" s="11">
        <f>Tabla356813142230[[#This Row],[COMISIONES]]*0.21</f>
        <v>0</v>
      </c>
      <c r="AG63" s="11"/>
      <c r="AH63" s="11"/>
      <c r="AI63" s="11"/>
    </row>
    <row r="64" spans="2:35" x14ac:dyDescent="0.3">
      <c r="H64" s="11"/>
      <c r="I64" s="11">
        <f>Tabla39152331[[#This Row],[COMISIONES]]*0.21</f>
        <v>0</v>
      </c>
      <c r="J64" s="11"/>
      <c r="K64" s="11"/>
      <c r="L64" s="11"/>
      <c r="N64" s="19"/>
      <c r="O64" s="11">
        <f>Tabla35101826[[#This Row],[COMISIONES]]*0.21</f>
        <v>0</v>
      </c>
      <c r="P64" s="19"/>
      <c r="Q64" s="19"/>
      <c r="R64" s="19"/>
      <c r="T64" s="11"/>
      <c r="U64" s="20">
        <f>Tabla612202833[[#This Row],[COMISIONES]]*0.21</f>
        <v>0</v>
      </c>
      <c r="W64" s="1"/>
      <c r="Z64" s="22">
        <v>232.2</v>
      </c>
      <c r="AA64" s="22">
        <f>Tabla3568132129[[#This Row],[COMISIONES]]*0.21</f>
        <v>48.761999999999993</v>
      </c>
      <c r="AB64" s="22"/>
      <c r="AC64" s="22">
        <v>2417.25</v>
      </c>
      <c r="AD64" s="22"/>
      <c r="AE64" s="11"/>
      <c r="AF64" s="11">
        <f>Tabla356813142230[[#This Row],[COMISIONES]]*0.21</f>
        <v>0</v>
      </c>
      <c r="AG64" s="11"/>
      <c r="AH64" s="11"/>
      <c r="AI64" s="11"/>
    </row>
    <row r="65" spans="8:35" x14ac:dyDescent="0.3">
      <c r="H65" s="11"/>
      <c r="I65" s="11">
        <f>Tabla39152331[[#This Row],[COMISIONES]]*0.21</f>
        <v>0</v>
      </c>
      <c r="J65" s="11"/>
      <c r="K65" s="11"/>
      <c r="L65" s="11"/>
      <c r="N65" s="19"/>
      <c r="O65" s="11">
        <f>Tabla35101826[[#This Row],[COMISIONES]]*0.21</f>
        <v>0</v>
      </c>
      <c r="P65" s="19"/>
      <c r="Q65" s="19"/>
      <c r="R65" s="19"/>
      <c r="T65" s="11"/>
      <c r="U65" s="20">
        <f>Tabla612202833[[#This Row],[COMISIONES]]*0.21</f>
        <v>0</v>
      </c>
      <c r="Z65" s="22">
        <v>36.799999999999997</v>
      </c>
      <c r="AA65" s="22">
        <f>Tabla3568132129[[#This Row],[COMISIONES]]*0.21</f>
        <v>7.7279999999999989</v>
      </c>
      <c r="AB65" s="22"/>
      <c r="AC65" s="22">
        <v>191.95</v>
      </c>
      <c r="AD65" s="22"/>
      <c r="AE65" s="11"/>
      <c r="AF65" s="11">
        <f>Tabla356813142230[[#This Row],[COMISIONES]]*0.21</f>
        <v>0</v>
      </c>
      <c r="AG65" s="11"/>
      <c r="AH65" s="11"/>
      <c r="AI65" s="11"/>
    </row>
    <row r="66" spans="8:35" x14ac:dyDescent="0.3">
      <c r="H66" s="11"/>
      <c r="I66" s="11">
        <f>Tabla39152331[[#This Row],[COMISIONES]]*0.21</f>
        <v>0</v>
      </c>
      <c r="J66" s="11"/>
      <c r="K66" s="11"/>
      <c r="L66" s="11"/>
      <c r="N66" s="19"/>
      <c r="O66" s="11">
        <f>Tabla35101826[[#This Row],[COMISIONES]]*0.21</f>
        <v>0</v>
      </c>
      <c r="P66" s="19"/>
      <c r="Q66" s="19"/>
      <c r="R66" s="19"/>
      <c r="T66" s="11"/>
      <c r="U66" s="20">
        <f>Tabla612202833[[#This Row],[COMISIONES]]*0.21</f>
        <v>0</v>
      </c>
      <c r="Z66" s="22">
        <v>433.2</v>
      </c>
      <c r="AA66" s="22">
        <f>Tabla3568132129[[#This Row],[COMISIONES]]*0.21</f>
        <v>90.971999999999994</v>
      </c>
      <c r="AB66" s="22"/>
      <c r="AC66" s="22">
        <v>1893.41</v>
      </c>
      <c r="AD66" s="22"/>
      <c r="AE66" s="11"/>
      <c r="AF66" s="11">
        <f>Tabla356813142230[[#This Row],[COMISIONES]]*0.21</f>
        <v>0</v>
      </c>
      <c r="AG66" s="11"/>
      <c r="AH66" s="11"/>
      <c r="AI66" s="11"/>
    </row>
    <row r="67" spans="8:35" x14ac:dyDescent="0.3">
      <c r="H67" s="11"/>
      <c r="I67" s="11">
        <f>Tabla39152331[[#This Row],[COMISIONES]]*0.21</f>
        <v>0</v>
      </c>
      <c r="J67" s="11"/>
      <c r="K67" s="11"/>
      <c r="L67" s="11"/>
      <c r="N67" s="19"/>
      <c r="O67" s="11">
        <f>Tabla35101826[[#This Row],[COMISIONES]]*0.21</f>
        <v>0</v>
      </c>
      <c r="P67" s="19"/>
      <c r="Q67" s="19"/>
      <c r="R67" s="19"/>
      <c r="T67" s="11"/>
      <c r="U67" s="20">
        <f>Tabla612202833[[#This Row],[COMISIONES]]*0.21</f>
        <v>0</v>
      </c>
      <c r="Z67" s="22">
        <v>34.4</v>
      </c>
      <c r="AA67" s="22">
        <f>Tabla3568132129[[#This Row],[COMISIONES]]*0.21</f>
        <v>7.2239999999999993</v>
      </c>
      <c r="AB67" s="22"/>
      <c r="AC67" s="22">
        <v>1113.77</v>
      </c>
      <c r="AD67" s="22"/>
      <c r="AE67" s="11"/>
      <c r="AF67" s="11">
        <f>Tabla356813142230[[#This Row],[COMISIONES]]*0.21</f>
        <v>0</v>
      </c>
      <c r="AG67" s="11"/>
      <c r="AH67" s="11"/>
      <c r="AI67" s="11"/>
    </row>
    <row r="68" spans="8:35" x14ac:dyDescent="0.3">
      <c r="H68" s="11"/>
      <c r="I68" s="11">
        <f>Tabla39152331[[#This Row],[COMISIONES]]*0.21</f>
        <v>0</v>
      </c>
      <c r="J68" s="11"/>
      <c r="K68" s="11"/>
      <c r="L68" s="11"/>
      <c r="N68" s="19"/>
      <c r="O68" s="11">
        <f>Tabla35101826[[#This Row],[COMISIONES]]*0.21</f>
        <v>0</v>
      </c>
      <c r="P68" s="19"/>
      <c r="Q68" s="19"/>
      <c r="R68" s="19"/>
      <c r="T68" s="11"/>
      <c r="U68" s="20">
        <f>Tabla612202833[[#This Row],[COMISIONES]]*0.21</f>
        <v>0</v>
      </c>
      <c r="Z68" s="22">
        <v>339.32</v>
      </c>
      <c r="AA68" s="22">
        <f>Tabla3568132129[[#This Row],[COMISIONES]]*0.21</f>
        <v>71.257199999999997</v>
      </c>
      <c r="AB68" s="22"/>
      <c r="AC68" s="22">
        <v>466.04</v>
      </c>
      <c r="AD68" s="22"/>
      <c r="AE68" s="11"/>
      <c r="AF68" s="11">
        <f>Tabla356813142230[[#This Row],[COMISIONES]]*0.21</f>
        <v>0</v>
      </c>
      <c r="AG68" s="11"/>
      <c r="AH68" s="11"/>
      <c r="AI68" s="11"/>
    </row>
    <row r="69" spans="8:35" x14ac:dyDescent="0.3">
      <c r="H69" s="11"/>
      <c r="I69" s="11">
        <f>Tabla39152331[[#This Row],[COMISIONES]]*0.21</f>
        <v>0</v>
      </c>
      <c r="J69" s="11"/>
      <c r="K69" s="11"/>
      <c r="L69" s="11"/>
      <c r="N69" s="19"/>
      <c r="O69" s="11">
        <f>Tabla35101826[[#This Row],[COMISIONES]]*0.21</f>
        <v>0</v>
      </c>
      <c r="P69" s="19"/>
      <c r="Q69" s="19"/>
      <c r="R69" s="19"/>
      <c r="T69" s="11"/>
      <c r="U69" s="20">
        <f>Tabla612202833[[#This Row],[COMISIONES]]*0.21</f>
        <v>0</v>
      </c>
      <c r="Z69" s="22">
        <v>199.6</v>
      </c>
      <c r="AA69" s="22">
        <f>Tabla3568132129[[#This Row],[COMISIONES]]*0.21</f>
        <v>41.915999999999997</v>
      </c>
      <c r="AB69" s="22"/>
      <c r="AC69" s="22">
        <v>624.96</v>
      </c>
      <c r="AD69" s="22"/>
      <c r="AE69" s="11"/>
      <c r="AF69" s="11">
        <f>Tabla356813142230[[#This Row],[COMISIONES]]*0.21</f>
        <v>0</v>
      </c>
      <c r="AG69" s="11"/>
      <c r="AH69" s="11"/>
      <c r="AI69" s="11"/>
    </row>
    <row r="70" spans="8:35" x14ac:dyDescent="0.3">
      <c r="H70" s="11"/>
      <c r="I70" s="11">
        <f>Tabla39152331[[#This Row],[COMISIONES]]*0.21</f>
        <v>0</v>
      </c>
      <c r="J70" s="11"/>
      <c r="K70" s="11"/>
      <c r="L70" s="11"/>
      <c r="N70" s="19"/>
      <c r="O70" s="11">
        <f>Tabla35101826[[#This Row],[COMISIONES]]*0.21</f>
        <v>0</v>
      </c>
      <c r="P70" s="19"/>
      <c r="Q70" s="19"/>
      <c r="R70" s="19"/>
      <c r="T70" s="11"/>
      <c r="U70" s="20">
        <f>Tabla612202833[[#This Row],[COMISIONES]]*0.21</f>
        <v>0</v>
      </c>
      <c r="Z70" s="22">
        <v>83.52</v>
      </c>
      <c r="AA70" s="22">
        <f>Tabla3568132129[[#This Row],[COMISIONES]]*0.21</f>
        <v>17.539199999999997</v>
      </c>
      <c r="AB70" s="22"/>
      <c r="AC70" s="22">
        <v>1223.1400000000001</v>
      </c>
      <c r="AD70" s="22"/>
      <c r="AE70" s="11"/>
      <c r="AF70" s="11">
        <f>Tabla356813142230[[#This Row],[COMISIONES]]*0.21</f>
        <v>0</v>
      </c>
      <c r="AG70" s="11"/>
      <c r="AH70" s="11"/>
      <c r="AI70" s="11"/>
    </row>
    <row r="71" spans="8:35" x14ac:dyDescent="0.3">
      <c r="H71" s="11"/>
      <c r="I71" s="11">
        <f>Tabla39152331[[#This Row],[COMISIONES]]*0.21</f>
        <v>0</v>
      </c>
      <c r="J71" s="11"/>
      <c r="K71" s="11"/>
      <c r="L71" s="11"/>
      <c r="N71" s="19"/>
      <c r="O71" s="11">
        <f>Tabla35101826[[#This Row],[COMISIONES]]*0.21</f>
        <v>0</v>
      </c>
      <c r="P71" s="19"/>
      <c r="Q71" s="19"/>
      <c r="R71" s="19"/>
      <c r="T71" s="11"/>
      <c r="U71" s="20">
        <f>Tabla612202833[[#This Row],[COMISIONES]]*0.21</f>
        <v>0</v>
      </c>
      <c r="Z71" s="22">
        <v>112</v>
      </c>
      <c r="AA71" s="22">
        <f>Tabla3568132129[[#This Row],[COMISIONES]]*0.21</f>
        <v>23.52</v>
      </c>
      <c r="AB71" s="22">
        <v>1124.67</v>
      </c>
      <c r="AC71" s="22">
        <v>2384.9299999999998</v>
      </c>
      <c r="AD71" s="22">
        <v>33.74</v>
      </c>
      <c r="AE71" s="11"/>
      <c r="AF71" s="11">
        <f>Tabla356813142230[[#This Row],[COMISIONES]]*0.21</f>
        <v>0</v>
      </c>
      <c r="AG71" s="11"/>
      <c r="AH71" s="11"/>
      <c r="AI71" s="11"/>
    </row>
    <row r="72" spans="8:35" x14ac:dyDescent="0.3">
      <c r="H72" s="11"/>
      <c r="I72" s="11">
        <f>Tabla39152331[[#This Row],[COMISIONES]]*0.21</f>
        <v>0</v>
      </c>
      <c r="J72" s="11"/>
      <c r="K72" s="11"/>
      <c r="L72" s="11"/>
      <c r="N72" s="19"/>
      <c r="O72" s="11">
        <f>Tabla35101826[[#This Row],[COMISIONES]]*0.21</f>
        <v>0</v>
      </c>
      <c r="P72" s="19"/>
      <c r="Q72" s="19"/>
      <c r="R72" s="19"/>
      <c r="U72" s="20">
        <f>Tabla612202833[[#This Row],[COMISIONES]]*0.21</f>
        <v>0</v>
      </c>
      <c r="Z72" s="22">
        <v>219.2</v>
      </c>
      <c r="AA72" s="22">
        <f>Tabla3568132129[[#This Row],[COMISIONES]]*0.21</f>
        <v>46.031999999999996</v>
      </c>
      <c r="AB72" s="22">
        <v>9458.8799999999992</v>
      </c>
      <c r="AC72" s="22">
        <v>2264.0500000000002</v>
      </c>
      <c r="AD72" s="22">
        <v>275.77</v>
      </c>
      <c r="AE72" s="11"/>
      <c r="AF72" s="11">
        <f>Tabla356813142230[[#This Row],[COMISIONES]]*0.21</f>
        <v>0</v>
      </c>
      <c r="AG72" s="11"/>
      <c r="AH72" s="11"/>
      <c r="AI72" s="11"/>
    </row>
    <row r="73" spans="8:35" x14ac:dyDescent="0.3">
      <c r="H73" s="11"/>
      <c r="I73" s="11">
        <f>Tabla39152331[[#This Row],[COMISIONES]]*0.21</f>
        <v>0</v>
      </c>
      <c r="J73" s="11"/>
      <c r="K73" s="11"/>
      <c r="L73" s="11"/>
      <c r="N73" s="19"/>
      <c r="O73" s="11">
        <f>Tabla35101826[[#This Row],[COMISIONES]]*0.21</f>
        <v>0</v>
      </c>
      <c r="P73" s="19"/>
      <c r="Q73" s="19"/>
      <c r="R73" s="19"/>
      <c r="U73" s="20">
        <f>Tabla612202833[[#This Row],[COMISIONES]]*0.21</f>
        <v>0</v>
      </c>
      <c r="Z73" s="22">
        <v>971.46</v>
      </c>
      <c r="AA73" s="22">
        <f>Tabla3568132129[[#This Row],[COMISIONES]]*0.21</f>
        <v>204.00659999999999</v>
      </c>
      <c r="AB73" s="22"/>
      <c r="AC73" s="22">
        <v>1540.15</v>
      </c>
      <c r="AD73" s="22">
        <v>52.76</v>
      </c>
      <c r="AE73" s="11"/>
      <c r="AF73" s="11">
        <f>Tabla356813142230[[#This Row],[COMISIONES]]*0.21</f>
        <v>0</v>
      </c>
      <c r="AG73" s="11"/>
      <c r="AH73" s="11"/>
      <c r="AI73" s="11"/>
    </row>
    <row r="74" spans="8:35" x14ac:dyDescent="0.3">
      <c r="H74" s="11"/>
      <c r="I74" s="11">
        <f>Tabla39152331[[#This Row],[COMISIONES]]*0.21</f>
        <v>0</v>
      </c>
      <c r="J74" s="11"/>
      <c r="K74" s="11"/>
      <c r="L74" s="11"/>
      <c r="N74" s="19"/>
      <c r="O74" s="11">
        <f>Tabla35101826[[#This Row],[COMISIONES]]*0.21</f>
        <v>0</v>
      </c>
      <c r="P74" s="19"/>
      <c r="Q74" s="19"/>
      <c r="R74" s="19"/>
      <c r="U74" s="20">
        <f>Tabla612202833[[#This Row],[COMISIONES]]*0.21</f>
        <v>0</v>
      </c>
      <c r="Z74" s="22">
        <v>1124.67</v>
      </c>
      <c r="AA74" s="22">
        <f>Tabla3568132129[[#This Row],[COMISIONES]]*0.21</f>
        <v>236.1807</v>
      </c>
      <c r="AB74" s="22">
        <v>1774.57</v>
      </c>
      <c r="AC74" s="22">
        <v>18513.05</v>
      </c>
      <c r="AD74" s="22"/>
      <c r="AE74" s="11"/>
      <c r="AF74" s="11">
        <f>Tabla356813142230[[#This Row],[COMISIONES]]*0.21</f>
        <v>0</v>
      </c>
      <c r="AG74" s="11"/>
      <c r="AH74" s="11"/>
      <c r="AI74" s="11"/>
    </row>
    <row r="75" spans="8:35" x14ac:dyDescent="0.3">
      <c r="H75" s="11"/>
      <c r="I75" s="11">
        <f>Tabla39152331[[#This Row],[COMISIONES]]*0.21</f>
        <v>0</v>
      </c>
      <c r="J75" s="11"/>
      <c r="K75" s="11"/>
      <c r="L75" s="11"/>
      <c r="N75" s="19"/>
      <c r="O75" s="11">
        <f>Tabla35101826[[#This Row],[COMISIONES]]*0.21</f>
        <v>0</v>
      </c>
      <c r="P75" s="19"/>
      <c r="Q75" s="19"/>
      <c r="R75" s="19"/>
      <c r="U75" s="20">
        <f>Tabla612202833[[#This Row],[COMISIONES]]*0.21</f>
        <v>0</v>
      </c>
      <c r="Z75" s="22">
        <v>627.35</v>
      </c>
      <c r="AA75" s="22">
        <f>Tabla3568132129[[#This Row],[COMISIONES]]*0.21</f>
        <v>131.74350000000001</v>
      </c>
      <c r="AB75" s="22"/>
      <c r="AC75" s="22">
        <v>262.05</v>
      </c>
      <c r="AD75" s="22"/>
      <c r="AE75" s="11"/>
      <c r="AF75" s="11">
        <f>Tabla356813142230[[#This Row],[COMISIONES]]*0.21</f>
        <v>0</v>
      </c>
      <c r="AG75" s="11"/>
      <c r="AH75" s="11"/>
      <c r="AI75" s="11"/>
    </row>
    <row r="76" spans="8:35" x14ac:dyDescent="0.3">
      <c r="H76" s="11"/>
      <c r="I76" s="11">
        <f>Tabla39152331[[#This Row],[COMISIONES]]*0.21</f>
        <v>0</v>
      </c>
      <c r="J76" s="11"/>
      <c r="K76" s="11"/>
      <c r="L76" s="11"/>
      <c r="N76" s="19"/>
      <c r="O76" s="11">
        <f>Tabla35101826[[#This Row],[COMISIONES]]*0.21</f>
        <v>0</v>
      </c>
      <c r="P76" s="19"/>
      <c r="Q76" s="19"/>
      <c r="R76" s="19"/>
      <c r="U76" s="20">
        <f>Tabla612202833[[#This Row],[COMISIONES]]*0.21</f>
        <v>0</v>
      </c>
      <c r="Z76" s="22">
        <v>9192.2099999999991</v>
      </c>
      <c r="AA76" s="22">
        <f>Tabla3568132129[[#This Row],[COMISIONES]]*0.21</f>
        <v>1930.3640999999998</v>
      </c>
      <c r="AB76" s="22"/>
      <c r="AC76" s="22">
        <v>3998.31</v>
      </c>
      <c r="AD76" s="22"/>
      <c r="AE76" s="11"/>
      <c r="AF76" s="11">
        <f>Tabla356813142230[[#This Row],[COMISIONES]]*0.21</f>
        <v>0</v>
      </c>
      <c r="AG76" s="11"/>
      <c r="AH76" s="11"/>
      <c r="AI76" s="11"/>
    </row>
    <row r="77" spans="8:35" x14ac:dyDescent="0.3">
      <c r="H77" s="19"/>
      <c r="I77" s="19">
        <f>Tabla39152331[[#This Row],[COMISIONES]]*0.21</f>
        <v>0</v>
      </c>
      <c r="J77" s="19"/>
      <c r="K77" s="19"/>
      <c r="L77" s="19"/>
      <c r="N77" s="19"/>
      <c r="O77" s="11">
        <f>Tabla35101826[[#This Row],[COMISIONES]]*0.21</f>
        <v>0</v>
      </c>
      <c r="P77" s="19"/>
      <c r="Q77" s="19"/>
      <c r="R77" s="19"/>
      <c r="U77" s="20">
        <f>Tabla612202833[[#This Row],[COMISIONES]]*0.21</f>
        <v>0</v>
      </c>
      <c r="Z77" s="22">
        <v>106.74</v>
      </c>
      <c r="AA77" s="22">
        <f>Tabla3568132129[[#This Row],[COMISIONES]]*0.21</f>
        <v>22.415399999999998</v>
      </c>
      <c r="AB77" s="22"/>
      <c r="AC77" s="22">
        <v>3556.98</v>
      </c>
      <c r="AD77" s="22"/>
      <c r="AE77" s="11"/>
      <c r="AF77" s="11">
        <f>Tabla356813142230[[#This Row],[COMISIONES]]*0.21</f>
        <v>0</v>
      </c>
      <c r="AG77" s="11"/>
      <c r="AH77" s="11"/>
      <c r="AI77" s="11"/>
    </row>
    <row r="78" spans="8:35" x14ac:dyDescent="0.3">
      <c r="H78" s="19"/>
      <c r="I78" s="19">
        <f>Tabla39152331[[#This Row],[COMISIONES]]*0.21</f>
        <v>0</v>
      </c>
      <c r="J78" s="19"/>
      <c r="K78" s="19"/>
      <c r="L78" s="19"/>
      <c r="N78" s="19"/>
      <c r="O78" s="11">
        <f>Tabla35101826[[#This Row],[COMISIONES]]*0.21</f>
        <v>0</v>
      </c>
      <c r="P78" s="19"/>
      <c r="Q78" s="19"/>
      <c r="R78" s="19"/>
      <c r="U78" s="20">
        <f>Tabla612202833[[#This Row],[COMISIONES]]*0.21</f>
        <v>0</v>
      </c>
      <c r="Z78" s="22">
        <v>1628.64</v>
      </c>
      <c r="AA78" s="22">
        <f>Tabla3568132129[[#This Row],[COMISIONES]]*0.21</f>
        <v>342.01440000000002</v>
      </c>
      <c r="AB78" s="22">
        <v>937.4</v>
      </c>
      <c r="AC78" s="22">
        <v>1313.77</v>
      </c>
      <c r="AD78" s="22"/>
      <c r="AE78" s="11"/>
      <c r="AF78" s="11">
        <f>Tabla356813142230[[#This Row],[COMISIONES]]*0.21</f>
        <v>0</v>
      </c>
      <c r="AG78" s="11"/>
      <c r="AH78" s="11"/>
      <c r="AI78" s="11"/>
    </row>
    <row r="79" spans="8:35" x14ac:dyDescent="0.3">
      <c r="H79" s="19"/>
      <c r="I79" s="19">
        <f>Tabla39152331[[#This Row],[COMISIONES]]*0.21</f>
        <v>0</v>
      </c>
      <c r="J79" s="19"/>
      <c r="K79" s="19"/>
      <c r="L79" s="19"/>
      <c r="N79" s="19"/>
      <c r="O79" s="11">
        <f>Tabla35101826[[#This Row],[COMISIONES]]*0.21</f>
        <v>0</v>
      </c>
      <c r="P79" s="19"/>
      <c r="Q79" s="19"/>
      <c r="R79" s="19"/>
      <c r="U79" s="20">
        <f>Tabla612202833[[#This Row],[COMISIONES]]*0.21</f>
        <v>0</v>
      </c>
      <c r="Z79" s="22">
        <v>1758.65</v>
      </c>
      <c r="AA79" s="22">
        <f>Tabla3568132129[[#This Row],[COMISIONES]]*0.21</f>
        <v>369.31650000000002</v>
      </c>
      <c r="AB79" s="22"/>
      <c r="AC79" s="22">
        <v>1912.69</v>
      </c>
      <c r="AD79" s="22">
        <v>28.28</v>
      </c>
      <c r="AE79" s="11"/>
      <c r="AF79" s="11">
        <f>Tabla356813142230[[#This Row],[COMISIONES]]*0.21</f>
        <v>0</v>
      </c>
      <c r="AG79" s="11"/>
      <c r="AH79" s="11"/>
      <c r="AI79" s="11"/>
    </row>
    <row r="80" spans="8:35" x14ac:dyDescent="0.3">
      <c r="H80" s="19"/>
      <c r="I80" s="19">
        <f>Tabla39152331[[#This Row],[COMISIONES]]*0.21</f>
        <v>0</v>
      </c>
      <c r="J80" s="19"/>
      <c r="K80" s="19"/>
      <c r="L80" s="19"/>
      <c r="N80" s="19"/>
      <c r="O80" s="11">
        <f>Tabla35101826[[#This Row],[COMISIONES]]*0.21</f>
        <v>0</v>
      </c>
      <c r="P80" s="19"/>
      <c r="Q80" s="19"/>
      <c r="R80" s="19"/>
      <c r="U80" s="20">
        <f>Tabla612202833[[#This Row],[COMISIONES]]*0.21</f>
        <v>0</v>
      </c>
      <c r="Z80" s="22">
        <v>535.14</v>
      </c>
      <c r="AA80" s="22">
        <f>Tabla3568132129[[#This Row],[COMISIONES]]*0.21</f>
        <v>112.37939999999999</v>
      </c>
      <c r="AB80" s="22"/>
      <c r="AC80" s="22">
        <v>1679.88</v>
      </c>
      <c r="AD80" s="22"/>
      <c r="AE80" s="11"/>
      <c r="AF80" s="11">
        <f>Tabla356813142230[[#This Row],[COMISIONES]]*0.21</f>
        <v>0</v>
      </c>
      <c r="AG80" s="11"/>
      <c r="AH80" s="11"/>
      <c r="AI80" s="11"/>
    </row>
    <row r="81" spans="8:35" x14ac:dyDescent="0.3">
      <c r="H81" s="19"/>
      <c r="I81" s="19">
        <f>Tabla39152331[[#This Row],[COMISIONES]]*0.21</f>
        <v>0</v>
      </c>
      <c r="J81" s="19"/>
      <c r="K81" s="19"/>
      <c r="L81" s="19"/>
      <c r="N81" s="19"/>
      <c r="O81" s="11">
        <f>Tabla35101826[[#This Row],[COMISIONES]]*0.21</f>
        <v>0</v>
      </c>
      <c r="P81" s="19"/>
      <c r="Q81" s="19"/>
      <c r="R81" s="19"/>
      <c r="U81" s="20">
        <f>Tabla612202833[[#This Row],[COMISIONES]]*0.21</f>
        <v>0</v>
      </c>
      <c r="Z81" s="22">
        <v>942.74</v>
      </c>
      <c r="AA81" s="22">
        <f>Tabla3568132129[[#This Row],[COMISIONES]]*0.21</f>
        <v>197.97540000000001</v>
      </c>
      <c r="AB81" s="22">
        <v>8480.08</v>
      </c>
      <c r="AC81" s="22">
        <v>2340.52</v>
      </c>
      <c r="AD81" s="22">
        <v>64.91</v>
      </c>
      <c r="AE81" s="11"/>
      <c r="AF81" s="11">
        <f>Tabla356813142230[[#This Row],[COMISIONES]]*0.21</f>
        <v>0</v>
      </c>
      <c r="AG81" s="11"/>
      <c r="AH81" s="11"/>
      <c r="AI81" s="11"/>
    </row>
    <row r="82" spans="8:35" x14ac:dyDescent="0.3">
      <c r="H82" s="19"/>
      <c r="I82" s="19">
        <f>Tabla39152331[[#This Row],[COMISIONES]]*0.21</f>
        <v>0</v>
      </c>
      <c r="J82" s="19"/>
      <c r="K82" s="19"/>
      <c r="L82" s="19"/>
      <c r="N82" s="19"/>
      <c r="O82" s="11">
        <f>Tabla35101826[[#This Row],[COMISIONES]]*0.21</f>
        <v>0</v>
      </c>
      <c r="P82" s="19"/>
      <c r="Q82" s="19"/>
      <c r="R82" s="19"/>
      <c r="U82" s="20">
        <f>Tabla612202833[[#This Row],[COMISIONES]]*0.21</f>
        <v>0</v>
      </c>
      <c r="Z82" s="22">
        <v>684.27</v>
      </c>
      <c r="AA82" s="22">
        <f>Tabla3568132129[[#This Row],[COMISIONES]]*0.21</f>
        <v>143.69669999999999</v>
      </c>
      <c r="AB82" s="22"/>
      <c r="AC82" s="22">
        <v>4377.78</v>
      </c>
      <c r="AD82" s="22">
        <v>259.37</v>
      </c>
      <c r="AE82" s="11"/>
      <c r="AF82" s="11">
        <f>Tabla356813142230[[#This Row],[COMISIONES]]*0.21</f>
        <v>0</v>
      </c>
      <c r="AG82" s="11"/>
      <c r="AH82" s="11"/>
      <c r="AI82" s="11"/>
    </row>
    <row r="83" spans="8:35" x14ac:dyDescent="0.3">
      <c r="H83" s="19"/>
      <c r="I83" s="19">
        <f>Tabla39152331[[#This Row],[COMISIONES]]*0.21</f>
        <v>0</v>
      </c>
      <c r="J83" s="19"/>
      <c r="K83" s="19"/>
      <c r="L83" s="19"/>
      <c r="N83" s="19"/>
      <c r="O83" s="11">
        <f>Tabla35101826[[#This Row],[COMISIONES]]*0.21</f>
        <v>0</v>
      </c>
      <c r="P83" s="19"/>
      <c r="Q83" s="19"/>
      <c r="R83" s="19"/>
      <c r="U83" s="20">
        <f>Tabla612202833[[#This Row],[COMISIONES]]*0.21</f>
        <v>0</v>
      </c>
      <c r="Z83" s="22">
        <v>953.37</v>
      </c>
      <c r="AA83" s="22">
        <f>Tabla3568132129[[#This Row],[COMISIONES]]*0.21</f>
        <v>200.20769999999999</v>
      </c>
      <c r="AB83" s="22"/>
      <c r="AC83" s="22">
        <v>967.98</v>
      </c>
      <c r="AD83" s="22">
        <v>117.71</v>
      </c>
      <c r="AE83" s="11"/>
      <c r="AF83" s="11">
        <f>Tabla356813142230[[#This Row],[COMISIONES]]*0.21</f>
        <v>0</v>
      </c>
      <c r="AG83" s="11"/>
      <c r="AH83" s="11"/>
      <c r="AI83" s="11"/>
    </row>
    <row r="84" spans="8:35" x14ac:dyDescent="0.3">
      <c r="H84" s="19"/>
      <c r="I84" s="19">
        <f>Tabla39152331[[#This Row],[COMISIONES]]*0.21</f>
        <v>0</v>
      </c>
      <c r="J84" s="19"/>
      <c r="K84" s="19"/>
      <c r="L84" s="19"/>
      <c r="N84" s="19"/>
      <c r="O84" s="11">
        <f>Tabla35101826[[#This Row],[COMISIONES]]*0.21</f>
        <v>0</v>
      </c>
      <c r="P84" s="19"/>
      <c r="Q84" s="19"/>
      <c r="R84" s="19"/>
      <c r="U84" s="20">
        <f>Tabla612202833[[#This Row],[COMISIONES]]*0.21</f>
        <v>0</v>
      </c>
      <c r="Z84" s="22">
        <v>2163.8000000000002</v>
      </c>
      <c r="AA84" s="22">
        <f>Tabla3568132129[[#This Row],[COMISIONES]]*0.21</f>
        <v>454.39800000000002</v>
      </c>
      <c r="AB84" s="22"/>
      <c r="AC84" s="22">
        <v>2511.3200000000002</v>
      </c>
      <c r="AD84" s="22">
        <v>127.68</v>
      </c>
      <c r="AE84" s="11"/>
      <c r="AF84" s="11">
        <f>Tabla356813142230[[#This Row],[COMISIONES]]*0.21</f>
        <v>0</v>
      </c>
      <c r="AG84" s="11"/>
      <c r="AH84" s="11"/>
      <c r="AI84" s="11"/>
    </row>
    <row r="85" spans="8:35" x14ac:dyDescent="0.3">
      <c r="H85" s="19"/>
      <c r="I85" s="19">
        <f>Tabla39152331[[#This Row],[COMISIONES]]*0.21</f>
        <v>0</v>
      </c>
      <c r="J85" s="19"/>
      <c r="K85" s="19"/>
      <c r="L85" s="19"/>
      <c r="N85" s="19"/>
      <c r="O85" s="11">
        <f>Tabla35101826[[#This Row],[COMISIONES]]*0.21</f>
        <v>0</v>
      </c>
      <c r="P85" s="19"/>
      <c r="Q85" s="19"/>
      <c r="R85" s="19"/>
      <c r="U85" s="20">
        <f>Tabla612202833[[#This Row],[COMISIONES]]*0.21</f>
        <v>0</v>
      </c>
      <c r="Z85" s="22">
        <v>2180.19</v>
      </c>
      <c r="AA85" s="22">
        <f>Tabla3568132129[[#This Row],[COMISIONES]]*0.21</f>
        <v>457.8399</v>
      </c>
      <c r="AB85" s="22">
        <v>2912.9</v>
      </c>
      <c r="AC85" s="22">
        <v>16936.28</v>
      </c>
      <c r="AD85" s="22">
        <v>93.08</v>
      </c>
      <c r="AE85" s="11"/>
      <c r="AF85" s="11">
        <f>Tabla356813142230[[#This Row],[COMISIONES]]*0.21</f>
        <v>0</v>
      </c>
      <c r="AG85" s="11"/>
      <c r="AH85" s="11"/>
      <c r="AI85" s="11"/>
    </row>
    <row r="86" spans="8:35" x14ac:dyDescent="0.3">
      <c r="H86" s="19"/>
      <c r="I86" s="19">
        <f>Tabla39152331[[#This Row],[COMISIONES]]*0.21</f>
        <v>0</v>
      </c>
      <c r="J86" s="19"/>
      <c r="K86" s="19"/>
      <c r="L86" s="19"/>
      <c r="N86" s="19"/>
      <c r="O86" s="11">
        <f>Tabla35101826[[#This Row],[COMISIONES]]*0.21</f>
        <v>0</v>
      </c>
      <c r="P86" s="19"/>
      <c r="Q86" s="19"/>
      <c r="R86" s="19"/>
      <c r="U86" s="20">
        <f>Tabla612202833[[#This Row],[COMISIONES]]*0.21</f>
        <v>0</v>
      </c>
      <c r="Z86" s="22">
        <v>394.29</v>
      </c>
      <c r="AA86" s="22">
        <f>Tabla3568132129[[#This Row],[COMISIONES]]*0.21</f>
        <v>82.800899999999999</v>
      </c>
      <c r="AB86" s="22">
        <v>1529</v>
      </c>
      <c r="AC86" s="22">
        <v>9630.8799999999992</v>
      </c>
      <c r="AD86" s="22">
        <v>162.56</v>
      </c>
      <c r="AE86" s="11"/>
      <c r="AF86" s="11">
        <f>Tabla356813142230[[#This Row],[COMISIONES]]*0.21</f>
        <v>0</v>
      </c>
      <c r="AG86" s="11"/>
      <c r="AH86" s="11"/>
      <c r="AI86" s="11"/>
    </row>
    <row r="87" spans="8:35" x14ac:dyDescent="0.3">
      <c r="H87" s="19"/>
      <c r="I87" s="19">
        <f>Tabla39152331[[#This Row],[COMISIONES]]*0.21</f>
        <v>0</v>
      </c>
      <c r="J87" s="19"/>
      <c r="K87" s="19"/>
      <c r="L87" s="19"/>
      <c r="N87" s="19"/>
      <c r="O87" s="11">
        <f>Tabla35101826[[#This Row],[COMISIONES]]*0.21</f>
        <v>0</v>
      </c>
      <c r="P87" s="19"/>
      <c r="Q87" s="19"/>
      <c r="R87" s="19"/>
      <c r="U87" s="20">
        <f>Tabla612202833[[#This Row],[COMISIONES]]*0.21</f>
        <v>0</v>
      </c>
      <c r="Z87" s="22">
        <v>1022.94</v>
      </c>
      <c r="AA87" s="22">
        <f>Tabla3568132129[[#This Row],[COMISIONES]]*0.21</f>
        <v>214.81739999999999</v>
      </c>
      <c r="AB87" s="22"/>
      <c r="AC87" s="22">
        <v>10447.49</v>
      </c>
      <c r="AD87" s="22">
        <v>27.59</v>
      </c>
      <c r="AE87" s="11"/>
      <c r="AF87" s="11">
        <f>Tabla356813142230[[#This Row],[COMISIONES]]*0.21</f>
        <v>0</v>
      </c>
      <c r="AG87" s="11"/>
      <c r="AH87" s="11"/>
      <c r="AI87" s="11"/>
    </row>
    <row r="88" spans="8:35" x14ac:dyDescent="0.3">
      <c r="H88" s="19"/>
      <c r="I88" s="19">
        <f>Tabla39152331[[#This Row],[COMISIONES]]*0.21</f>
        <v>0</v>
      </c>
      <c r="J88" s="19"/>
      <c r="K88" s="19"/>
      <c r="L88" s="19"/>
      <c r="N88" s="19"/>
      <c r="O88" s="11">
        <f>Tabla35101826[[#This Row],[COMISIONES]]*0.21</f>
        <v>0</v>
      </c>
      <c r="P88" s="19"/>
      <c r="Q88" s="19"/>
      <c r="R88" s="19"/>
      <c r="U88" s="20">
        <f>Tabla612202833[[#This Row],[COMISIONES]]*0.21</f>
        <v>0</v>
      </c>
      <c r="Z88" s="22">
        <v>8645.9699999999993</v>
      </c>
      <c r="AA88" s="22">
        <f>Tabla3568132129[[#This Row],[COMISIONES]]*0.21</f>
        <v>1815.6536999999998</v>
      </c>
      <c r="AB88" s="22"/>
      <c r="AC88" s="22">
        <v>6368.09</v>
      </c>
      <c r="AD88" s="22">
        <v>39.450000000000003</v>
      </c>
      <c r="AE88" s="11"/>
      <c r="AF88" s="11">
        <f>Tabla356813142230[[#This Row],[COMISIONES]]*0.21</f>
        <v>0</v>
      </c>
      <c r="AG88" s="11"/>
      <c r="AH88" s="11"/>
      <c r="AI88" s="11"/>
    </row>
    <row r="89" spans="8:35" x14ac:dyDescent="0.3">
      <c r="H89" s="22"/>
      <c r="I89" s="22">
        <f>Tabla39152331[[#This Row],[COMISIONES]]*0.21</f>
        <v>0</v>
      </c>
      <c r="J89" s="22"/>
      <c r="K89" s="22"/>
      <c r="L89" s="22"/>
      <c r="N89" s="19"/>
      <c r="O89" s="11">
        <f>Tabla35101826[[#This Row],[COMISIONES]]*0.21</f>
        <v>0</v>
      </c>
      <c r="P89" s="19"/>
      <c r="Q89" s="19"/>
      <c r="R89" s="19"/>
      <c r="U89" s="20">
        <f>Tabla612202833[[#This Row],[COMISIONES]]*0.21</f>
        <v>0</v>
      </c>
      <c r="Z89" s="22">
        <v>3922.97</v>
      </c>
      <c r="AA89" s="22">
        <f>Tabla3568132129[[#This Row],[COMISIONES]]*0.21</f>
        <v>823.82369999999992</v>
      </c>
      <c r="AB89" s="22">
        <v>961.94</v>
      </c>
      <c r="AC89" s="22">
        <v>798.96</v>
      </c>
      <c r="AD89" s="22">
        <v>63.08</v>
      </c>
      <c r="AE89" s="11"/>
      <c r="AF89" s="11">
        <f>Tabla356813142230[[#This Row],[COMISIONES]]*0.21</f>
        <v>0</v>
      </c>
      <c r="AG89" s="11"/>
      <c r="AH89" s="11"/>
      <c r="AI89" s="11"/>
    </row>
    <row r="90" spans="8:35" x14ac:dyDescent="0.3">
      <c r="H90" s="22"/>
      <c r="I90" s="22">
        <f>Tabla39152331[[#This Row],[COMISIONES]]*0.21</f>
        <v>0</v>
      </c>
      <c r="J90" s="22"/>
      <c r="K90" s="22"/>
      <c r="L90" s="22"/>
      <c r="N90" s="19"/>
      <c r="O90" s="11">
        <f>Tabla35101826[[#This Row],[COMISIONES]]*0.21</f>
        <v>0</v>
      </c>
      <c r="P90" s="19"/>
      <c r="Q90" s="19"/>
      <c r="R90" s="19"/>
      <c r="T90" s="18">
        <f>SUBTOTAL(109,Tabla612202833[COMISIONES])</f>
        <v>800</v>
      </c>
      <c r="U90" s="18">
        <f>SUBTOTAL(109,Tabla612202833[IVA 21])</f>
        <v>168</v>
      </c>
      <c r="V90" s="18">
        <f>SUBTOTAL(109,Tabla612202833[IVA 10,5])</f>
        <v>0</v>
      </c>
      <c r="W90" s="18">
        <f>SUBTOTAL(109,Tabla612202833[Ret IIBB Caba])</f>
        <v>2375.37</v>
      </c>
      <c r="X90" s="18">
        <f>SUBTOTAL(109,Tabla612202833[PERC IVA])</f>
        <v>0</v>
      </c>
      <c r="Z90" s="22">
        <v>4255.6000000000004</v>
      </c>
      <c r="AA90" s="22">
        <f>Tabla3568132129[[#This Row],[COMISIONES]]*0.21</f>
        <v>893.67600000000004</v>
      </c>
      <c r="AB90" s="22"/>
      <c r="AC90" s="22">
        <v>13301.36</v>
      </c>
      <c r="AD90" s="22"/>
      <c r="AE90" s="11"/>
      <c r="AF90" s="11">
        <f>Tabla356813142230[[#This Row],[COMISIONES]]*0.21</f>
        <v>0</v>
      </c>
      <c r="AG90" s="11"/>
      <c r="AH90" s="11"/>
      <c r="AI90" s="11"/>
    </row>
    <row r="91" spans="8:35" x14ac:dyDescent="0.3">
      <c r="H91" s="22"/>
      <c r="I91" s="22">
        <f>Tabla39152331[[#This Row],[COMISIONES]]*0.21</f>
        <v>0</v>
      </c>
      <c r="J91" s="22"/>
      <c r="K91" s="22"/>
      <c r="L91" s="22"/>
      <c r="N91" s="19"/>
      <c r="O91" s="11">
        <f>Tabla35101826[[#This Row],[COMISIONES]]*0.21</f>
        <v>0</v>
      </c>
      <c r="P91" s="19"/>
      <c r="Q91" s="19"/>
      <c r="R91" s="19"/>
      <c r="Z91" s="22">
        <v>3102.44</v>
      </c>
      <c r="AA91" s="22">
        <f>Tabla3568132129[[#This Row],[COMISIONES]]*0.21</f>
        <v>651.51239999999996</v>
      </c>
      <c r="AB91" s="22"/>
      <c r="AC91" s="22">
        <v>1602.6</v>
      </c>
      <c r="AD91" s="22"/>
      <c r="AE91" s="11"/>
      <c r="AF91" s="11">
        <f>Tabla356813142230[[#This Row],[COMISIONES]]*0.21</f>
        <v>0</v>
      </c>
      <c r="AG91" s="11"/>
      <c r="AH91" s="11"/>
      <c r="AI91" s="11"/>
    </row>
    <row r="92" spans="8:35" x14ac:dyDescent="0.3">
      <c r="H92" s="22"/>
      <c r="I92" s="22">
        <f>Tabla39152331[[#This Row],[COMISIONES]]*0.21</f>
        <v>0</v>
      </c>
      <c r="J92" s="22"/>
      <c r="K92" s="22"/>
      <c r="L92" s="22"/>
      <c r="N92" s="19"/>
      <c r="O92" s="11">
        <f>Tabla35101826[[#This Row],[COMISIONES]]*0.21</f>
        <v>0</v>
      </c>
      <c r="P92" s="19"/>
      <c r="Q92" s="19"/>
      <c r="R92" s="19"/>
      <c r="Z92" s="22">
        <v>325.44</v>
      </c>
      <c r="AA92" s="22">
        <f>Tabla3568132129[[#This Row],[COMISIONES]]*0.21</f>
        <v>68.342399999999998</v>
      </c>
      <c r="AB92" s="22"/>
      <c r="AC92" s="22">
        <v>4210.2</v>
      </c>
      <c r="AD92" s="22"/>
      <c r="AE92" s="11"/>
      <c r="AF92" s="11">
        <f>Tabla356813142230[[#This Row],[COMISIONES]]*0.21</f>
        <v>0</v>
      </c>
      <c r="AG92" s="11"/>
      <c r="AH92" s="11"/>
      <c r="AI92" s="11"/>
    </row>
    <row r="93" spans="8:35" x14ac:dyDescent="0.3">
      <c r="H93" s="22"/>
      <c r="I93" s="22">
        <f>Tabla39152331[[#This Row],[COMISIONES]]*0.21</f>
        <v>0</v>
      </c>
      <c r="J93" s="22"/>
      <c r="K93" s="22"/>
      <c r="L93" s="22"/>
      <c r="N93" s="19"/>
      <c r="O93" s="11">
        <f>Tabla35101826[[#This Row],[COMISIONES]]*0.21</f>
        <v>0</v>
      </c>
      <c r="P93" s="19"/>
      <c r="Q93" s="19"/>
      <c r="R93" s="19"/>
      <c r="Z93" s="22">
        <v>5418.08</v>
      </c>
      <c r="AA93" s="22">
        <f>Tabla3568132129[[#This Row],[COMISIONES]]*0.21</f>
        <v>1137.7967999999998</v>
      </c>
      <c r="AB93" s="22">
        <v>2761.77</v>
      </c>
      <c r="AC93" s="22">
        <v>2592.12</v>
      </c>
      <c r="AD93" s="22"/>
      <c r="AE93" s="11"/>
      <c r="AF93" s="11">
        <f>Tabla356813142230[[#This Row],[COMISIONES]]*0.21</f>
        <v>0</v>
      </c>
      <c r="AG93" s="11"/>
      <c r="AH93" s="11"/>
      <c r="AI93" s="11"/>
    </row>
    <row r="94" spans="8:35" x14ac:dyDescent="0.3">
      <c r="H94" s="22"/>
      <c r="I94" s="22">
        <f>Tabla39152331[[#This Row],[COMISIONES]]*0.21</f>
        <v>0</v>
      </c>
      <c r="J94" s="22"/>
      <c r="K94" s="22"/>
      <c r="L94" s="22"/>
      <c r="N94" s="19"/>
      <c r="O94" s="11">
        <f>Tabla35101826[[#This Row],[COMISIONES]]*0.21</f>
        <v>0</v>
      </c>
      <c r="P94" s="19"/>
      <c r="Q94" s="19"/>
      <c r="R94" s="19"/>
      <c r="Z94" s="22">
        <v>919.71</v>
      </c>
      <c r="AA94" s="22">
        <f>Tabla3568132129[[#This Row],[COMISIONES]]*0.21</f>
        <v>193.13910000000001</v>
      </c>
      <c r="AB94" s="22"/>
      <c r="AC94" s="22">
        <v>5161.9399999999996</v>
      </c>
      <c r="AD94" s="22"/>
      <c r="AE94" s="11"/>
      <c r="AF94" s="11">
        <f>Tabla356813142230[[#This Row],[COMISIONES]]*0.21</f>
        <v>0</v>
      </c>
      <c r="AG94" s="11"/>
      <c r="AH94" s="11"/>
      <c r="AI94" s="11"/>
    </row>
    <row r="95" spans="8:35" x14ac:dyDescent="0.3">
      <c r="H95" s="22"/>
      <c r="I95" s="22">
        <f>Tabla39152331[[#This Row],[COMISIONES]]*0.21</f>
        <v>0</v>
      </c>
      <c r="J95" s="22"/>
      <c r="K95" s="22"/>
      <c r="L95" s="22"/>
      <c r="N95" s="19"/>
      <c r="O95" s="11">
        <f>Tabla35101826[[#This Row],[COMISIONES]]*0.21</f>
        <v>0</v>
      </c>
      <c r="P95" s="19"/>
      <c r="Q95" s="19"/>
      <c r="R95" s="19"/>
      <c r="Z95" s="22">
        <v>1714.95</v>
      </c>
      <c r="AA95" s="22">
        <f>Tabla3568132129[[#This Row],[COMISIONES]]*0.21</f>
        <v>360.1395</v>
      </c>
      <c r="AB95" s="22">
        <v>339.41</v>
      </c>
      <c r="AC95" s="22">
        <v>4302.88</v>
      </c>
      <c r="AD95" s="22">
        <v>67.040000000000006</v>
      </c>
      <c r="AE95" s="11"/>
      <c r="AF95" s="11">
        <f>Tabla356813142230[[#This Row],[COMISIONES]]*0.21</f>
        <v>0</v>
      </c>
      <c r="AG95" s="11"/>
      <c r="AH95" s="11"/>
      <c r="AI95" s="11"/>
    </row>
    <row r="96" spans="8:35" x14ac:dyDescent="0.3">
      <c r="H96" s="22"/>
      <c r="I96" s="22">
        <f>Tabla39152331[[#This Row],[COMISIONES]]*0.21</f>
        <v>0</v>
      </c>
      <c r="J96" s="22"/>
      <c r="K96" s="22"/>
      <c r="L96" s="22"/>
      <c r="N96" s="19"/>
      <c r="O96" s="11">
        <f>Tabla35101826[[#This Row],[COMISIONES]]*0.21</f>
        <v>0</v>
      </c>
      <c r="P96" s="19"/>
      <c r="Q96" s="19"/>
      <c r="R96" s="19"/>
      <c r="Z96" s="22">
        <v>1314.78</v>
      </c>
      <c r="AA96" s="22">
        <f>Tabla3568132129[[#This Row],[COMISIONES]]*0.21</f>
        <v>276.10379999999998</v>
      </c>
      <c r="AB96" s="22">
        <v>879.98</v>
      </c>
      <c r="AC96" s="22">
        <v>7806.16</v>
      </c>
      <c r="AD96" s="22">
        <v>95.39</v>
      </c>
      <c r="AE96" s="11"/>
      <c r="AF96" s="11">
        <f>Tabla356813142230[[#This Row],[COMISIONES]]*0.21</f>
        <v>0</v>
      </c>
      <c r="AG96" s="11"/>
      <c r="AH96" s="11"/>
      <c r="AI96" s="11"/>
    </row>
    <row r="97" spans="8:35" x14ac:dyDescent="0.3">
      <c r="H97" s="22"/>
      <c r="I97" s="22">
        <f>Tabla39152331[[#This Row],[COMISIONES]]*0.21</f>
        <v>0</v>
      </c>
      <c r="J97" s="22"/>
      <c r="K97" s="22"/>
      <c r="L97" s="22"/>
      <c r="N97" s="19"/>
      <c r="O97" s="11">
        <f>Tabla35101826[[#This Row],[COMISIONES]]*0.21</f>
        <v>0</v>
      </c>
      <c r="P97" s="19"/>
      <c r="Q97" s="19"/>
      <c r="R97" s="19"/>
      <c r="Z97" s="22">
        <v>2102.63</v>
      </c>
      <c r="AA97" s="22">
        <f>Tabla3568132129[[#This Row],[COMISIONES]]*0.21</f>
        <v>441.5523</v>
      </c>
      <c r="AB97" s="22">
        <v>1518.16</v>
      </c>
      <c r="AC97" s="22">
        <v>748.16</v>
      </c>
      <c r="AD97">
        <v>31.39</v>
      </c>
      <c r="AE97" s="11"/>
      <c r="AF97" s="11">
        <f>Tabla356813142230[[#This Row],[COMISIONES]]*0.21</f>
        <v>0</v>
      </c>
      <c r="AG97" s="11"/>
      <c r="AH97" s="11"/>
      <c r="AI97" s="11"/>
    </row>
    <row r="98" spans="8:35" x14ac:dyDescent="0.3">
      <c r="H98" s="21">
        <f>SUBTOTAL(109,Tabla39152331[COMISIONES])</f>
        <v>0</v>
      </c>
      <c r="I98" s="21">
        <f>SUBTOTAL(109,Tabla39152331[IVA 21])</f>
        <v>0</v>
      </c>
      <c r="J98" s="21">
        <f>SUBTOTAL(109,Tabla39152331[IVA 10,5])</f>
        <v>0</v>
      </c>
      <c r="K98" s="21">
        <f>SUBTOTAL(109,Tabla39152331[Ret IIBB Caba])</f>
        <v>0</v>
      </c>
      <c r="L98" s="21">
        <f>SUBTOTAL(109,Tabla39152331[PERC IVA])</f>
        <v>0</v>
      </c>
      <c r="N98" s="19"/>
      <c r="O98" s="11">
        <f>Tabla35101826[[#This Row],[COMISIONES]]*0.21</f>
        <v>0</v>
      </c>
      <c r="P98" s="19"/>
      <c r="Q98" s="19"/>
      <c r="R98" s="19"/>
      <c r="Z98" s="22">
        <v>2234.83</v>
      </c>
      <c r="AA98" s="22">
        <f>Tabla3568132129[[#This Row],[COMISIONES]]*0.21</f>
        <v>469.31429999999995</v>
      </c>
      <c r="AB98" s="22"/>
      <c r="AC98" s="22">
        <v>2587.3200000000002</v>
      </c>
      <c r="AD98" s="22">
        <v>72.47</v>
      </c>
      <c r="AE98" s="11"/>
      <c r="AF98" s="11">
        <f>Tabla356813142230[[#This Row],[COMISIONES]]*0.21</f>
        <v>0</v>
      </c>
      <c r="AG98" s="11"/>
      <c r="AH98" s="11"/>
      <c r="AI98" s="11"/>
    </row>
    <row r="99" spans="8:35" x14ac:dyDescent="0.3">
      <c r="N99" s="19"/>
      <c r="O99" s="11">
        <f>Tabla35101826[[#This Row],[COMISIONES]]*0.21</f>
        <v>0</v>
      </c>
      <c r="P99" s="19"/>
      <c r="Q99" s="19"/>
      <c r="R99" s="19"/>
      <c r="Z99" s="22">
        <v>3179.7</v>
      </c>
      <c r="AA99" s="22">
        <f>Tabla3568132129[[#This Row],[COMISIONES]]*0.21</f>
        <v>667.73699999999997</v>
      </c>
      <c r="AB99" s="22">
        <v>3026.84</v>
      </c>
      <c r="AC99" s="22">
        <v>2191.39</v>
      </c>
      <c r="AD99" s="22">
        <v>28.85</v>
      </c>
      <c r="AE99" s="11"/>
      <c r="AF99" s="11">
        <f>Tabla356813142230[[#This Row],[COMISIONES]]*0.21</f>
        <v>0</v>
      </c>
      <c r="AG99" s="11"/>
      <c r="AH99" s="11"/>
      <c r="AI99" s="11"/>
    </row>
    <row r="100" spans="8:35" x14ac:dyDescent="0.3">
      <c r="N100" s="19"/>
      <c r="O100" s="11">
        <f>Tabla35101826[[#This Row],[COMISIONES]]*0.21</f>
        <v>0</v>
      </c>
      <c r="P100" s="19"/>
      <c r="Q100" s="19"/>
      <c r="R100" s="19"/>
      <c r="Z100" s="22">
        <v>364</v>
      </c>
      <c r="AA100" s="22">
        <f>Tabla3568132129[[#This Row],[COMISIONES]]*0.21</f>
        <v>76.44</v>
      </c>
      <c r="AB100" s="22">
        <v>226.85</v>
      </c>
      <c r="AC100" s="22">
        <v>5929.99</v>
      </c>
      <c r="AD100" s="22">
        <v>72.099999999999994</v>
      </c>
      <c r="AE100" s="11"/>
      <c r="AF100" s="11">
        <f>Tabla356813142230[[#This Row],[COMISIONES]]*0.21</f>
        <v>0</v>
      </c>
      <c r="AG100" s="11"/>
      <c r="AH100" s="11"/>
      <c r="AI100" s="11"/>
    </row>
    <row r="101" spans="8:35" x14ac:dyDescent="0.3">
      <c r="N101" s="19"/>
      <c r="O101" s="11">
        <f>Tabla35101826[[#This Row],[COMISIONES]]*0.21</f>
        <v>0</v>
      </c>
      <c r="P101" s="19"/>
      <c r="Q101" s="19"/>
      <c r="R101" s="19"/>
      <c r="Z101" s="22">
        <v>1053.9000000000001</v>
      </c>
      <c r="AA101" s="22">
        <f>Tabla3568132129[[#This Row],[COMISIONES]]*0.21</f>
        <v>221.31900000000002</v>
      </c>
      <c r="AB101" s="22"/>
      <c r="AC101" s="22">
        <v>1710.25</v>
      </c>
      <c r="AD101" s="22">
        <v>83.71</v>
      </c>
      <c r="AE101" s="11"/>
      <c r="AF101" s="11">
        <f>Tabla356813142230[[#This Row],[COMISIONES]]*0.21</f>
        <v>0</v>
      </c>
      <c r="AG101" s="11"/>
      <c r="AH101" s="11"/>
      <c r="AI101" s="11"/>
    </row>
    <row r="102" spans="8:35" x14ac:dyDescent="0.3">
      <c r="N102" s="19"/>
      <c r="O102" s="11">
        <f>Tabla35101826[[#This Row],[COMISIONES]]*0.21</f>
        <v>0</v>
      </c>
      <c r="P102" s="19"/>
      <c r="Q102" s="19"/>
      <c r="R102" s="19"/>
      <c r="Z102" s="22">
        <v>1046.24</v>
      </c>
      <c r="AA102" s="22">
        <f>Tabla3568132129[[#This Row],[COMISIONES]]*0.21</f>
        <v>219.71039999999999</v>
      </c>
      <c r="AB102" s="22">
        <v>1227.5999999999999</v>
      </c>
      <c r="AC102" s="22">
        <v>4112.32</v>
      </c>
      <c r="AD102" s="22">
        <v>116.97</v>
      </c>
      <c r="AE102" s="11"/>
      <c r="AF102" s="11">
        <f>Tabla356813142230[[#This Row],[COMISIONES]]*0.21</f>
        <v>0</v>
      </c>
      <c r="AG102" s="11"/>
      <c r="AH102" s="11"/>
      <c r="AI102" s="11"/>
    </row>
    <row r="103" spans="8:35" x14ac:dyDescent="0.3">
      <c r="N103" s="19"/>
      <c r="O103" s="11">
        <f>Tabla35101826[[#This Row],[COMISIONES]]*0.21</f>
        <v>0</v>
      </c>
      <c r="P103" s="19"/>
      <c r="Q103" s="19"/>
      <c r="R103" s="19"/>
      <c r="Z103" s="22">
        <v>2415.4699999999998</v>
      </c>
      <c r="AA103" s="22">
        <f>Tabla3568132129[[#This Row],[COMISIONES]]*0.21</f>
        <v>507.24869999999993</v>
      </c>
      <c r="AB103" s="22">
        <v>2142.31</v>
      </c>
      <c r="AC103" s="22">
        <v>4602.62</v>
      </c>
      <c r="AD103" s="22">
        <v>66.12</v>
      </c>
      <c r="AE103" s="11"/>
      <c r="AF103" s="11">
        <f>Tabla356813142230[[#This Row],[COMISIONES]]*0.21</f>
        <v>0</v>
      </c>
      <c r="AG103" s="11"/>
      <c r="AH103" s="11"/>
      <c r="AI103" s="11"/>
    </row>
    <row r="104" spans="8:35" x14ac:dyDescent="0.3">
      <c r="N104" s="19"/>
      <c r="O104" s="11">
        <f>Tabla35101826[[#This Row],[COMISIONES]]*0.21</f>
        <v>0</v>
      </c>
      <c r="P104" s="19"/>
      <c r="Q104" s="19"/>
      <c r="R104" s="19"/>
      <c r="Z104" s="22">
        <v>961.67</v>
      </c>
      <c r="AA104" s="22">
        <f>Tabla3568132129[[#This Row],[COMISIONES]]*0.21</f>
        <v>201.95069999999998</v>
      </c>
      <c r="AB104" s="22">
        <v>245.14</v>
      </c>
      <c r="AC104" s="22">
        <v>6851.22</v>
      </c>
      <c r="AD104" s="22">
        <v>33.51</v>
      </c>
      <c r="AE104" s="11"/>
      <c r="AF104" s="11">
        <f>Tabla356813142230[[#This Row],[COMISIONES]]*0.21</f>
        <v>0</v>
      </c>
      <c r="AG104" s="11"/>
      <c r="AH104" s="11"/>
      <c r="AI104" s="11"/>
    </row>
    <row r="105" spans="8:35" x14ac:dyDescent="0.3">
      <c r="N105" s="19"/>
      <c r="O105" s="11">
        <f>Tabla35101826[[#This Row],[COMISIONES]]*0.21</f>
        <v>0</v>
      </c>
      <c r="P105" s="19"/>
      <c r="Q105" s="19"/>
      <c r="R105" s="19"/>
      <c r="Z105" s="22">
        <v>1675.08</v>
      </c>
      <c r="AA105" s="22">
        <f>Tabla3568132129[[#This Row],[COMISIONES]]*0.21</f>
        <v>351.76679999999999</v>
      </c>
      <c r="AB105" s="22"/>
      <c r="AC105" s="22">
        <v>473.27</v>
      </c>
      <c r="AD105" s="22">
        <v>57.08</v>
      </c>
      <c r="AE105" s="11"/>
      <c r="AF105" s="11">
        <f>Tabla356813142230[[#This Row],[COMISIONES]]*0.21</f>
        <v>0</v>
      </c>
      <c r="AG105" s="11"/>
      <c r="AH105" s="11"/>
      <c r="AI105" s="11"/>
    </row>
    <row r="106" spans="8:35" x14ac:dyDescent="0.3">
      <c r="N106" s="19"/>
      <c r="O106" s="11">
        <f>Tabla35101826[[#This Row],[COMISIONES]]*0.21</f>
        <v>0</v>
      </c>
      <c r="P106" s="19"/>
      <c r="Q106" s="19"/>
      <c r="R106" s="19"/>
      <c r="Z106" s="22">
        <v>2403.19</v>
      </c>
      <c r="AA106" s="22">
        <f>Tabla3568132129[[#This Row],[COMISIONES]]*0.21</f>
        <v>504.66989999999998</v>
      </c>
      <c r="AB106" s="22"/>
      <c r="AC106" s="22">
        <v>607.05999999999995</v>
      </c>
      <c r="AD106" s="22">
        <v>28.02</v>
      </c>
      <c r="AE106" s="11"/>
      <c r="AF106" s="11">
        <f>Tabla356813142230[[#This Row],[COMISIONES]]*0.21</f>
        <v>0</v>
      </c>
      <c r="AG106" s="11"/>
      <c r="AH106" s="11"/>
      <c r="AI106" s="11"/>
    </row>
    <row r="107" spans="8:35" x14ac:dyDescent="0.3">
      <c r="N107" s="19"/>
      <c r="O107" s="11">
        <f>Tabla35101826[[#This Row],[COMISIONES]]*0.21</f>
        <v>0</v>
      </c>
      <c r="P107" s="19"/>
      <c r="Q107" s="19"/>
      <c r="R107" s="19"/>
      <c r="Z107" s="22">
        <v>2790.72</v>
      </c>
      <c r="AA107" s="22">
        <f>Tabla3568132129[[#This Row],[COMISIONES]]*0.21</f>
        <v>586.05119999999988</v>
      </c>
      <c r="AB107" s="22"/>
      <c r="AC107" s="22">
        <v>9572.8799999999992</v>
      </c>
      <c r="AD107" s="22">
        <v>70</v>
      </c>
      <c r="AE107" s="11"/>
      <c r="AF107" s="11">
        <f>Tabla356813142230[[#This Row],[COMISIONES]]*0.21</f>
        <v>0</v>
      </c>
      <c r="AG107" s="11"/>
      <c r="AH107" s="11"/>
      <c r="AI107" s="11"/>
    </row>
    <row r="108" spans="8:35" x14ac:dyDescent="0.3">
      <c r="N108" s="19"/>
      <c r="O108" s="11">
        <f>Tabla35101826[[#This Row],[COMISIONES]]*0.21</f>
        <v>0</v>
      </c>
      <c r="P108" s="19"/>
      <c r="Q108" s="19"/>
      <c r="R108" s="19"/>
      <c r="Z108" s="22">
        <v>286.88</v>
      </c>
      <c r="AA108" s="22">
        <f>Tabla3568132129[[#This Row],[COMISIONES]]*0.21</f>
        <v>60.244799999999998</v>
      </c>
      <c r="AB108" s="22"/>
      <c r="AC108" s="22">
        <v>5410.4</v>
      </c>
      <c r="AD108" s="22"/>
      <c r="AE108" s="11"/>
      <c r="AF108" s="11">
        <f>Tabla356813142230[[#This Row],[COMISIONES]]*0.21</f>
        <v>0</v>
      </c>
      <c r="AG108" s="11"/>
      <c r="AH108" s="11"/>
      <c r="AI108" s="11"/>
    </row>
    <row r="109" spans="8:35" x14ac:dyDescent="0.3">
      <c r="N109" s="19"/>
      <c r="O109" s="11">
        <f>Tabla35101826[[#This Row],[COMISIONES]]*0.21</f>
        <v>0</v>
      </c>
      <c r="P109" s="19"/>
      <c r="Q109" s="19"/>
      <c r="R109" s="19"/>
      <c r="Z109" s="22">
        <v>192.78</v>
      </c>
      <c r="AA109" s="22">
        <f>Tabla3568132129[[#This Row],[COMISIONES]]*0.21</f>
        <v>40.483800000000002</v>
      </c>
      <c r="AB109" s="22"/>
      <c r="AC109" s="22">
        <v>2215.54</v>
      </c>
      <c r="AD109" s="22"/>
      <c r="AE109" s="11"/>
      <c r="AF109" s="11">
        <f>Tabla356813142230[[#This Row],[COMISIONES]]*0.21</f>
        <v>0</v>
      </c>
      <c r="AG109" s="11"/>
      <c r="AH109" s="11"/>
      <c r="AI109" s="11"/>
    </row>
    <row r="110" spans="8:35" x14ac:dyDescent="0.3">
      <c r="N110" s="19"/>
      <c r="O110" s="11">
        <f>Tabla35101826[[#This Row],[COMISIONES]]*0.21</f>
        <v>0</v>
      </c>
      <c r="P110" s="19"/>
      <c r="Q110" s="19"/>
      <c r="R110" s="19"/>
      <c r="Z110" s="22">
        <v>3899.34</v>
      </c>
      <c r="AA110" s="22">
        <f>Tabla3568132129[[#This Row],[COMISIONES]]*0.21</f>
        <v>818.8614</v>
      </c>
      <c r="AB110" s="22"/>
      <c r="AC110" s="22">
        <v>3328.39</v>
      </c>
      <c r="AD110" s="22"/>
      <c r="AE110" s="11"/>
      <c r="AF110" s="11">
        <f>Tabla356813142230[[#This Row],[COMISIONES]]*0.21</f>
        <v>0</v>
      </c>
      <c r="AG110" s="11"/>
      <c r="AH110" s="11"/>
      <c r="AI110" s="11"/>
    </row>
    <row r="111" spans="8:35" x14ac:dyDescent="0.3">
      <c r="N111" s="19"/>
      <c r="O111" s="11">
        <f>Tabla35101826[[#This Row],[COMISIONES]]*0.21</f>
        <v>0</v>
      </c>
      <c r="P111" s="19"/>
      <c r="Q111" s="19"/>
      <c r="R111" s="19"/>
      <c r="Z111" s="22">
        <v>2203.83</v>
      </c>
      <c r="AA111" s="22">
        <f>Tabla3568132129[[#This Row],[COMISIONES]]*0.21</f>
        <v>462.80429999999996</v>
      </c>
      <c r="AB111" s="22">
        <v>511.45</v>
      </c>
      <c r="AC111" s="22">
        <v>3753.89</v>
      </c>
      <c r="AD111" s="22">
        <v>48.24</v>
      </c>
      <c r="AE111" s="11"/>
      <c r="AF111" s="11">
        <f>Tabla356813142230[[#This Row],[COMISIONES]]*0.21</f>
        <v>0</v>
      </c>
      <c r="AG111" s="11"/>
      <c r="AH111" s="11"/>
      <c r="AI111" s="11"/>
    </row>
    <row r="112" spans="8:35" x14ac:dyDescent="0.3">
      <c r="N112" s="19"/>
      <c r="O112" s="11">
        <f>Tabla35101826[[#This Row],[COMISIONES]]*0.21</f>
        <v>0</v>
      </c>
      <c r="P112" s="19"/>
      <c r="Q112" s="19"/>
      <c r="R112" s="19"/>
      <c r="Z112" s="22">
        <v>1116.76</v>
      </c>
      <c r="AA112" s="22">
        <f>Tabla3568132129[[#This Row],[COMISIONES]]*0.21</f>
        <v>234.5196</v>
      </c>
      <c r="AB112" s="22"/>
      <c r="AC112" s="22">
        <v>436.6</v>
      </c>
      <c r="AD112" s="22">
        <v>74.44</v>
      </c>
      <c r="AE112" s="11"/>
      <c r="AF112" s="11">
        <f>Tabla356813142230[[#This Row],[COMISIONES]]*0.21</f>
        <v>0</v>
      </c>
      <c r="AG112" s="11"/>
      <c r="AH112" s="11"/>
      <c r="AI112" s="11"/>
    </row>
    <row r="113" spans="14:35" x14ac:dyDescent="0.3">
      <c r="N113" s="19"/>
      <c r="O113" s="11">
        <f>Tabla35101826[[#This Row],[COMISIONES]]*0.21</f>
        <v>0</v>
      </c>
      <c r="P113" s="19"/>
      <c r="Q113" s="19"/>
      <c r="R113" s="19"/>
      <c r="Z113" s="22">
        <v>1355.76</v>
      </c>
      <c r="AA113" s="22">
        <f>Tabla3568132129[[#This Row],[COMISIONES]]*0.21</f>
        <v>284.70959999999997</v>
      </c>
      <c r="AB113" s="22"/>
      <c r="AC113" s="22">
        <v>1624.86</v>
      </c>
      <c r="AD113" s="22">
        <v>81.36</v>
      </c>
      <c r="AE113" s="11"/>
      <c r="AF113" s="11">
        <f>Tabla356813142230[[#This Row],[COMISIONES]]*0.21</f>
        <v>0</v>
      </c>
      <c r="AG113" s="11"/>
      <c r="AH113" s="11"/>
      <c r="AI113" s="11"/>
    </row>
    <row r="114" spans="14:35" x14ac:dyDescent="0.3">
      <c r="N114" s="19"/>
      <c r="O114" s="11">
        <f>Tabla35101826[[#This Row],[COMISIONES]]*0.21</f>
        <v>0</v>
      </c>
      <c r="P114" s="19"/>
      <c r="Q114" s="19"/>
      <c r="R114" s="19"/>
      <c r="Z114" s="22">
        <v>1903.07</v>
      </c>
      <c r="AA114" s="22">
        <f>Tabla3568132129[[#This Row],[COMISIONES]]*0.21</f>
        <v>399.64469999999994</v>
      </c>
      <c r="AB114" s="22"/>
      <c r="AC114" s="22">
        <v>5728.13</v>
      </c>
      <c r="AD114" s="22"/>
      <c r="AE114" s="11"/>
      <c r="AF114" s="11">
        <f>Tabla356813142230[[#This Row],[COMISIONES]]*0.21</f>
        <v>0</v>
      </c>
      <c r="AG114" s="11"/>
      <c r="AH114" s="11"/>
      <c r="AI114" s="11"/>
    </row>
    <row r="115" spans="14:35" x14ac:dyDescent="0.3">
      <c r="N115" s="19"/>
      <c r="O115" s="11">
        <f>Tabla35101826[[#This Row],[COMISIONES]]*0.21</f>
        <v>0</v>
      </c>
      <c r="P115" s="19"/>
      <c r="Q115" s="19"/>
      <c r="R115" s="19"/>
      <c r="Z115" s="22">
        <v>177.84</v>
      </c>
      <c r="AA115" s="22">
        <f>Tabla3568132129[[#This Row],[COMISIONES]]*0.21</f>
        <v>37.346400000000003</v>
      </c>
      <c r="AB115" s="22"/>
      <c r="AC115" s="22">
        <v>3028.53</v>
      </c>
      <c r="AD115" s="22"/>
      <c r="AE115" s="11"/>
      <c r="AF115" s="11">
        <f>Tabla356813142230[[#This Row],[COMISIONES]]*0.21</f>
        <v>0</v>
      </c>
      <c r="AG115" s="11"/>
      <c r="AH115" s="11"/>
      <c r="AI115" s="11"/>
    </row>
    <row r="116" spans="14:35" x14ac:dyDescent="0.3">
      <c r="N116" s="19"/>
      <c r="O116" s="11">
        <f>Tabla35101826[[#This Row],[COMISIONES]]*0.21</f>
        <v>0</v>
      </c>
      <c r="P116" s="19"/>
      <c r="Q116" s="19"/>
      <c r="R116" s="19"/>
      <c r="Z116" s="22">
        <v>933.94</v>
      </c>
      <c r="AA116" s="22">
        <f>Tabla3568132129[[#This Row],[COMISIONES]]*0.21</f>
        <v>196.12739999999999</v>
      </c>
      <c r="AB116" s="22"/>
      <c r="AC116" s="22">
        <v>13844.76</v>
      </c>
      <c r="AD116" s="22"/>
      <c r="AE116" s="11"/>
      <c r="AF116" s="11">
        <f>Tabla356813142230[[#This Row],[COMISIONES]]*0.21</f>
        <v>0</v>
      </c>
      <c r="AG116" s="11"/>
      <c r="AH116" s="11"/>
      <c r="AI116" s="11"/>
    </row>
    <row r="117" spans="14:35" x14ac:dyDescent="0.3">
      <c r="N117" s="19"/>
      <c r="O117" s="11">
        <f>Tabla35101826[[#This Row],[COMISIONES]]*0.21</f>
        <v>0</v>
      </c>
      <c r="P117" s="19"/>
      <c r="Q117" s="19"/>
      <c r="R117" s="19"/>
      <c r="Z117" s="22">
        <v>2333.25</v>
      </c>
      <c r="AA117" s="22">
        <f>Tabla3568132129[[#This Row],[COMISIONES]]*0.21</f>
        <v>489.98249999999996</v>
      </c>
      <c r="AB117" s="22"/>
      <c r="AC117" s="22">
        <v>7817.58</v>
      </c>
      <c r="AD117" s="22"/>
      <c r="AE117" s="11"/>
      <c r="AF117" s="11">
        <f>Tabla356813142230[[#This Row],[COMISIONES]]*0.21</f>
        <v>0</v>
      </c>
      <c r="AG117" s="11"/>
      <c r="AH117" s="11"/>
      <c r="AI117" s="11"/>
    </row>
    <row r="118" spans="14:35" x14ac:dyDescent="0.3">
      <c r="N118" s="19"/>
      <c r="O118" s="11">
        <f>Tabla35101826[[#This Row],[COMISIONES]]*0.21</f>
        <v>0</v>
      </c>
      <c r="P118" s="19"/>
      <c r="Q118" s="19"/>
      <c r="R118" s="19"/>
      <c r="Z118" s="22">
        <v>1607.82</v>
      </c>
      <c r="AA118" s="22">
        <f>Tabla3568132129[[#This Row],[COMISIONES]]*0.21</f>
        <v>337.6422</v>
      </c>
      <c r="AB118" s="22"/>
      <c r="AC118" s="22">
        <v>6140.23</v>
      </c>
      <c r="AD118" s="22"/>
      <c r="AE118" s="11"/>
      <c r="AF118" s="11">
        <f>Tabla356813142230[[#This Row],[COMISIONES]]*0.21</f>
        <v>0</v>
      </c>
      <c r="AG118" s="11"/>
      <c r="AH118" s="11"/>
      <c r="AI118" s="11"/>
    </row>
    <row r="119" spans="14:35" x14ac:dyDescent="0.3">
      <c r="N119" s="19"/>
      <c r="O119" s="19"/>
      <c r="P119" s="19"/>
      <c r="Q119" s="19"/>
      <c r="R119" s="19"/>
      <c r="Z119" s="22">
        <v>2481.14</v>
      </c>
      <c r="AA119" s="22">
        <f>Tabla3568132129[[#This Row],[COMISIONES]]*0.21</f>
        <v>521.0394</v>
      </c>
      <c r="AB119" s="22"/>
      <c r="AC119" s="22">
        <v>7245.52</v>
      </c>
      <c r="AD119" s="22"/>
      <c r="AE119" s="11"/>
      <c r="AF119" s="11">
        <f>Tabla356813142230[[#This Row],[COMISIONES]]*0.21</f>
        <v>0</v>
      </c>
      <c r="AG119" s="11"/>
      <c r="AH119" s="11"/>
      <c r="AI119" s="11"/>
    </row>
    <row r="120" spans="14:35" x14ac:dyDescent="0.3">
      <c r="N120" s="19"/>
      <c r="O120" s="19"/>
      <c r="P120" s="19"/>
      <c r="Q120" s="19"/>
      <c r="R120" s="19"/>
      <c r="Z120" s="22">
        <v>1401</v>
      </c>
      <c r="AA120" s="22">
        <f>Tabla3568132129[[#This Row],[COMISIONES]]*0.21</f>
        <v>294.20999999999998</v>
      </c>
      <c r="AB120" s="22"/>
      <c r="AC120" s="22">
        <v>9840.2199999999993</v>
      </c>
      <c r="AD120" s="22"/>
      <c r="AE120" s="11"/>
      <c r="AF120" s="11">
        <f>Tabla356813142230[[#This Row],[COMISIONES]]*0.21</f>
        <v>0</v>
      </c>
      <c r="AG120" s="11"/>
      <c r="AH120" s="11"/>
      <c r="AI120" s="11"/>
    </row>
    <row r="121" spans="14:35" x14ac:dyDescent="0.3">
      <c r="N121" s="19"/>
      <c r="O121" s="19"/>
      <c r="P121" s="19"/>
      <c r="Q121" s="19"/>
      <c r="R121" s="19"/>
      <c r="Z121" s="22">
        <v>1100.4000000000001</v>
      </c>
      <c r="AA121" s="22">
        <f>Tabla3568132129[[#This Row],[COMISIONES]]*0.21</f>
        <v>231.084</v>
      </c>
      <c r="AB121" s="22"/>
      <c r="AC121" s="22">
        <v>15138.76</v>
      </c>
      <c r="AD121" s="22"/>
      <c r="AE121" s="11"/>
      <c r="AF121" s="11">
        <f>Tabla356813142230[[#This Row],[COMISIONES]]*0.21</f>
        <v>0</v>
      </c>
      <c r="AG121" s="11"/>
      <c r="AH121" s="11"/>
      <c r="AI121" s="11"/>
    </row>
    <row r="122" spans="14:35" x14ac:dyDescent="0.3">
      <c r="N122" s="19"/>
      <c r="O122" s="19"/>
      <c r="P122" s="19"/>
      <c r="Q122" s="19"/>
      <c r="R122" s="19"/>
      <c r="Z122" s="22">
        <v>1298.48</v>
      </c>
      <c r="AA122" s="22">
        <f>Tabla3568132129[[#This Row],[COMISIONES]]*0.21</f>
        <v>272.68079999999998</v>
      </c>
      <c r="AB122" s="22"/>
      <c r="AC122" s="22">
        <v>5888.91</v>
      </c>
      <c r="AD122" s="22"/>
      <c r="AE122" s="11"/>
      <c r="AF122" s="11">
        <f>Tabla356813142230[[#This Row],[COMISIONES]]*0.21</f>
        <v>0</v>
      </c>
      <c r="AG122" s="11"/>
      <c r="AH122" s="11"/>
      <c r="AI122" s="11"/>
    </row>
    <row r="123" spans="14:35" x14ac:dyDescent="0.3">
      <c r="N123" s="19"/>
      <c r="O123" s="19"/>
      <c r="P123" s="19"/>
      <c r="Q123" s="19"/>
      <c r="R123" s="19"/>
      <c r="Z123" s="22">
        <v>1763.48</v>
      </c>
      <c r="AA123" s="22">
        <f>Tabla3568132129[[#This Row],[COMISIONES]]*0.21</f>
        <v>370.33080000000001</v>
      </c>
      <c r="AB123" s="22"/>
      <c r="AC123" s="22">
        <v>6322.48</v>
      </c>
      <c r="AD123" s="22">
        <v>64.14</v>
      </c>
      <c r="AE123" s="11"/>
      <c r="AF123" s="11">
        <f>Tabla356813142230[[#This Row],[COMISIONES]]*0.21</f>
        <v>0</v>
      </c>
      <c r="AG123" s="11"/>
      <c r="AH123" s="11"/>
      <c r="AI123" s="11"/>
    </row>
    <row r="124" spans="14:35" x14ac:dyDescent="0.3">
      <c r="N124" s="19"/>
      <c r="O124" s="19"/>
      <c r="P124" s="19"/>
      <c r="Q124" s="19"/>
      <c r="R124" s="19"/>
      <c r="Z124" s="22">
        <v>2713.04</v>
      </c>
      <c r="AA124" s="22">
        <f>Tabla3568132129[[#This Row],[COMISIONES]]*0.21</f>
        <v>569.73839999999996</v>
      </c>
      <c r="AB124" s="22"/>
      <c r="AC124" s="22">
        <v>7037.7</v>
      </c>
      <c r="AD124" s="22">
        <v>89.8</v>
      </c>
      <c r="AE124" s="11"/>
      <c r="AF124" s="11">
        <f>Tabla356813142230[[#This Row],[COMISIONES]]*0.21</f>
        <v>0</v>
      </c>
      <c r="AG124" s="11"/>
      <c r="AH124" s="11"/>
      <c r="AI124" s="11"/>
    </row>
    <row r="125" spans="14:35" x14ac:dyDescent="0.3">
      <c r="N125" s="19"/>
      <c r="O125" s="19"/>
      <c r="P125" s="19"/>
      <c r="Q125" s="19"/>
      <c r="R125" s="19"/>
      <c r="Z125" s="22">
        <v>1055.3599999999999</v>
      </c>
      <c r="AA125" s="22">
        <f>Tabla3568132129[[#This Row],[COMISIONES]]*0.21</f>
        <v>221.62559999999996</v>
      </c>
      <c r="AB125" s="22"/>
      <c r="AC125" s="22">
        <v>5568.84</v>
      </c>
      <c r="AD125" s="22"/>
      <c r="AE125" s="11"/>
      <c r="AF125" s="11">
        <f>Tabla356813142230[[#This Row],[COMISIONES]]*0.21</f>
        <v>0</v>
      </c>
      <c r="AG125" s="11"/>
      <c r="AH125" s="11"/>
      <c r="AI125" s="11"/>
    </row>
    <row r="126" spans="14:35" x14ac:dyDescent="0.3">
      <c r="N126" s="19"/>
      <c r="O126" s="19"/>
      <c r="P126" s="19"/>
      <c r="Q126" s="19"/>
      <c r="R126" s="19"/>
      <c r="Z126" s="22">
        <v>1133.06</v>
      </c>
      <c r="AA126" s="22">
        <f>Tabla3568132129[[#This Row],[COMISIONES]]*0.21</f>
        <v>237.94259999999997</v>
      </c>
      <c r="AB126" s="22"/>
      <c r="AC126" s="22">
        <v>11925.8</v>
      </c>
      <c r="AD126" s="22"/>
      <c r="AE126" s="11"/>
      <c r="AF126" s="11">
        <f>Tabla356813142230[[#This Row],[COMISIONES]]*0.21</f>
        <v>0</v>
      </c>
      <c r="AG126" s="11"/>
      <c r="AH126" s="11"/>
      <c r="AI126" s="11"/>
    </row>
    <row r="127" spans="14:35" x14ac:dyDescent="0.3">
      <c r="N127" s="19"/>
      <c r="O127" s="19"/>
      <c r="P127" s="19"/>
      <c r="Q127" s="19"/>
      <c r="R127" s="19"/>
      <c r="Z127" s="22">
        <v>1261.24</v>
      </c>
      <c r="AA127" s="22">
        <f>Tabla3568132129[[#This Row],[COMISIONES]]*0.21</f>
        <v>264.86039999999997</v>
      </c>
      <c r="AB127" s="22"/>
      <c r="AC127" s="22">
        <v>7768.92</v>
      </c>
      <c r="AD127" s="22"/>
      <c r="AE127" s="11"/>
      <c r="AF127" s="11">
        <f>Tabla356813142230[[#This Row],[COMISIONES]]*0.21</f>
        <v>0</v>
      </c>
      <c r="AG127" s="11"/>
      <c r="AH127" s="11"/>
      <c r="AI127" s="11"/>
    </row>
    <row r="128" spans="14:35" x14ac:dyDescent="0.3">
      <c r="N128" s="19"/>
      <c r="O128" s="19"/>
      <c r="P128" s="19"/>
      <c r="Q128" s="19"/>
      <c r="R128" s="19"/>
      <c r="Z128" s="22">
        <v>998</v>
      </c>
      <c r="AA128" s="22">
        <f>Tabla3568132129[[#This Row],[COMISIONES]]*0.21</f>
        <v>209.57999999999998</v>
      </c>
      <c r="AB128" s="22"/>
      <c r="AC128" s="22">
        <v>7436.58</v>
      </c>
      <c r="AD128" s="22"/>
      <c r="AE128" s="11"/>
      <c r="AF128" s="11">
        <f>Tabla356813142230[[#This Row],[COMISIONES]]*0.21</f>
        <v>0</v>
      </c>
      <c r="AG128" s="11"/>
      <c r="AH128" s="11"/>
      <c r="AI128" s="11"/>
    </row>
    <row r="129" spans="14:35" x14ac:dyDescent="0.3">
      <c r="N129" s="19"/>
      <c r="O129" s="19"/>
      <c r="P129" s="19"/>
      <c r="Q129" s="19"/>
      <c r="R129" s="19"/>
      <c r="Z129" s="22">
        <v>2137.2399999999998</v>
      </c>
      <c r="AA129" s="22">
        <f>Tabla3568132129[[#This Row],[COMISIONES]]*0.21</f>
        <v>448.82039999999995</v>
      </c>
      <c r="AB129" s="22"/>
      <c r="AC129" s="22">
        <v>3043</v>
      </c>
      <c r="AD129" s="22"/>
      <c r="AE129" s="11"/>
      <c r="AF129" s="11">
        <f>Tabla356813142230[[#This Row],[COMISIONES]]*0.21</f>
        <v>0</v>
      </c>
      <c r="AG129" s="11"/>
      <c r="AH129" s="11"/>
      <c r="AI129" s="11"/>
    </row>
    <row r="130" spans="14:35" x14ac:dyDescent="0.3">
      <c r="N130" s="19"/>
      <c r="O130" s="19">
        <f>Tabla35101826[[#This Row],[COMISIONES]]*0.21</f>
        <v>0</v>
      </c>
      <c r="P130" s="19"/>
      <c r="Q130" s="19"/>
      <c r="R130" s="19"/>
      <c r="Z130" s="22">
        <v>1392.28</v>
      </c>
      <c r="AA130" s="22">
        <f>Tabla3568132129[[#This Row],[COMISIONES]]*0.21</f>
        <v>292.37879999999996</v>
      </c>
      <c r="AB130" s="22"/>
      <c r="AC130" s="22">
        <v>8499.4599999999991</v>
      </c>
      <c r="AD130" s="22"/>
      <c r="AE130" s="11"/>
      <c r="AF130" s="11">
        <f>Tabla356813142230[[#This Row],[COMISIONES]]*0.21</f>
        <v>0</v>
      </c>
      <c r="AG130" s="11"/>
      <c r="AH130" s="11"/>
      <c r="AI130" s="11"/>
    </row>
    <row r="131" spans="14:35" x14ac:dyDescent="0.3">
      <c r="N131" s="4">
        <f>SUBTOTAL(109,Tabla35101826[COMISIONES])</f>
        <v>29147</v>
      </c>
      <c r="O131" s="4">
        <f>SUBTOTAL(109,Tabla35101826[IVA 21])</f>
        <v>6120.87</v>
      </c>
      <c r="P131" s="4">
        <f>SUBTOTAL(109,Tabla35101826[IVA 10,5])</f>
        <v>0</v>
      </c>
      <c r="Q131" s="4">
        <f>SUBTOTAL(109,Tabla35101826[Ret IIBB Caba])</f>
        <v>1859.04</v>
      </c>
      <c r="R131" s="4">
        <f>SUBTOTAL(109,Tabla35101826[PERC IVA])</f>
        <v>714.51</v>
      </c>
      <c r="Z131" s="22">
        <v>1332.72</v>
      </c>
      <c r="AA131" s="22">
        <f>Tabla3568132129[[#This Row],[COMISIONES]]*0.21</f>
        <v>279.87119999999999</v>
      </c>
      <c r="AB131" s="22"/>
      <c r="AC131" s="22">
        <v>16702.32</v>
      </c>
      <c r="AD131" s="22"/>
      <c r="AE131" s="11"/>
      <c r="AF131" s="11">
        <f>Tabla356813142230[[#This Row],[COMISIONES]]*0.21</f>
        <v>0</v>
      </c>
      <c r="AG131" s="11"/>
      <c r="AH131" s="11"/>
      <c r="AI131" s="11"/>
    </row>
    <row r="132" spans="14:35" x14ac:dyDescent="0.3">
      <c r="Z132" s="22">
        <v>545.34</v>
      </c>
      <c r="AA132" s="22">
        <f>Tabla3568132129[[#This Row],[COMISIONES]]*0.21</f>
        <v>114.5214</v>
      </c>
      <c r="AB132" s="22"/>
      <c r="AC132" s="22">
        <v>8111.09</v>
      </c>
      <c r="AD132" s="22">
        <v>65.81</v>
      </c>
      <c r="AE132" s="11"/>
      <c r="AF132" s="11">
        <f>Tabla356813142230[[#This Row],[COMISIONES]]*0.21</f>
        <v>0</v>
      </c>
      <c r="AG132" s="11"/>
      <c r="AH132" s="11"/>
      <c r="AI132" s="11"/>
    </row>
    <row r="133" spans="14:35" x14ac:dyDescent="0.3">
      <c r="Z133" s="22">
        <v>1523.2</v>
      </c>
      <c r="AA133" s="22">
        <f>Tabla3568132129[[#This Row],[COMISIONES]]*0.21</f>
        <v>319.87200000000001</v>
      </c>
      <c r="AB133" s="22"/>
      <c r="AC133" s="22">
        <v>6841.75</v>
      </c>
      <c r="AD133" s="22">
        <v>66.849999999999994</v>
      </c>
      <c r="AE133" s="11"/>
      <c r="AF133" s="11">
        <f>Tabla356813142230[[#This Row],[COMISIONES]]*0.21</f>
        <v>0</v>
      </c>
      <c r="AG133" s="11"/>
      <c r="AH133" s="11"/>
      <c r="AI133" s="11"/>
    </row>
    <row r="134" spans="14:35" x14ac:dyDescent="0.3">
      <c r="Z134" s="22">
        <v>2993.25</v>
      </c>
      <c r="AA134" s="22">
        <f>Tabla3568132129[[#This Row],[COMISIONES]]*0.21</f>
        <v>628.58249999999998</v>
      </c>
      <c r="AB134" s="22"/>
      <c r="AC134" s="22">
        <v>6441.55</v>
      </c>
      <c r="AD134" s="22"/>
      <c r="AE134" s="11"/>
      <c r="AF134" s="11">
        <f>Tabla356813142230[[#This Row],[COMISIONES]]*0.21</f>
        <v>0</v>
      </c>
      <c r="AG134" s="11"/>
      <c r="AH134" s="11"/>
      <c r="AI134" s="11"/>
    </row>
    <row r="135" spans="14:35" x14ac:dyDescent="0.3">
      <c r="Z135" s="22">
        <v>1453.6</v>
      </c>
      <c r="AA135" s="22">
        <f>Tabla3568132129[[#This Row],[COMISIONES]]*0.21</f>
        <v>305.25599999999997</v>
      </c>
      <c r="AB135" s="22"/>
      <c r="AC135" s="22">
        <v>12240.67</v>
      </c>
      <c r="AD135" s="22"/>
      <c r="AE135" s="11"/>
      <c r="AF135" s="11">
        <f>Tabla356813142230[[#This Row],[COMISIONES]]*0.21</f>
        <v>0</v>
      </c>
      <c r="AG135" s="11"/>
      <c r="AH135" s="11"/>
      <c r="AI135" s="11"/>
    </row>
    <row r="136" spans="14:35" x14ac:dyDescent="0.3">
      <c r="Z136" s="22">
        <v>1226.1199999999999</v>
      </c>
      <c r="AA136" s="22">
        <f>Tabla3568132129[[#This Row],[COMISIONES]]*0.21</f>
        <v>257.48519999999996</v>
      </c>
      <c r="AB136" s="22"/>
      <c r="AC136" s="22">
        <v>8333.84</v>
      </c>
      <c r="AD136" s="22"/>
      <c r="AE136" s="11"/>
      <c r="AF136" s="11">
        <f>Tabla356813142230[[#This Row],[COMISIONES]]*0.21</f>
        <v>0</v>
      </c>
      <c r="AG136" s="11"/>
      <c r="AH136" s="11"/>
      <c r="AI136" s="11"/>
    </row>
    <row r="137" spans="14:35" x14ac:dyDescent="0.3">
      <c r="Z137" s="22">
        <v>1154.4000000000001</v>
      </c>
      <c r="AA137" s="22">
        <f>Tabla3568132129[[#This Row],[COMISIONES]]*0.21</f>
        <v>242.42400000000001</v>
      </c>
      <c r="AB137" s="22"/>
      <c r="AC137" s="1">
        <v>12436.7</v>
      </c>
      <c r="AD137" s="22"/>
      <c r="AE137" s="11"/>
      <c r="AF137" s="11">
        <f>Tabla356813142230[[#This Row],[COMISIONES]]*0.21</f>
        <v>0</v>
      </c>
      <c r="AG137" s="11"/>
      <c r="AH137" s="11"/>
      <c r="AI137" s="11"/>
    </row>
    <row r="138" spans="14:35" x14ac:dyDescent="0.3">
      <c r="Z138" s="22">
        <v>2193.67</v>
      </c>
      <c r="AA138" s="22">
        <f>Tabla3568132129[[#This Row],[COMISIONES]]*0.21</f>
        <v>460.67070000000001</v>
      </c>
      <c r="AB138" s="22"/>
      <c r="AC138" s="22"/>
      <c r="AD138" s="22"/>
      <c r="AE138" s="11"/>
      <c r="AF138" s="11">
        <f>Tabla356813142230[[#This Row],[COMISIONES]]*0.21</f>
        <v>0</v>
      </c>
      <c r="AG138" s="11"/>
      <c r="AH138" s="11"/>
      <c r="AI138" s="11"/>
    </row>
    <row r="139" spans="14:35" x14ac:dyDescent="0.3">
      <c r="Z139" s="22">
        <v>1493.52</v>
      </c>
      <c r="AA139" s="22">
        <f>Tabla3568132129[[#This Row],[COMISIONES]]*0.21</f>
        <v>313.63919999999996</v>
      </c>
      <c r="AB139" s="22"/>
      <c r="AC139" s="22"/>
      <c r="AD139" s="22"/>
      <c r="AE139" s="11"/>
      <c r="AF139" s="11">
        <f>Tabla356813142230[[#This Row],[COMISIONES]]*0.21</f>
        <v>0</v>
      </c>
      <c r="AG139" s="11"/>
      <c r="AH139" s="11"/>
      <c r="AI139" s="11"/>
    </row>
    <row r="140" spans="14:35" x14ac:dyDescent="0.3">
      <c r="Z140" s="22">
        <v>2228.8000000000002</v>
      </c>
      <c r="AA140" s="22">
        <f>Tabla3568132129[[#This Row],[COMISIONES]]*0.21</f>
        <v>468.048</v>
      </c>
      <c r="AB140" s="22"/>
      <c r="AC140" s="22"/>
      <c r="AD140" s="22"/>
      <c r="AE140" s="11"/>
      <c r="AF140" s="11">
        <f>Tabla356813142230[[#This Row],[COMISIONES]]*0.21</f>
        <v>0</v>
      </c>
      <c r="AG140" s="11"/>
      <c r="AH140" s="11"/>
      <c r="AI140" s="11"/>
    </row>
    <row r="141" spans="14:35" x14ac:dyDescent="0.3">
      <c r="Z141" s="22"/>
      <c r="AA141" s="22">
        <f>Tabla3568132129[[#This Row],[COMISIONES]]*0.21</f>
        <v>0</v>
      </c>
      <c r="AB141" s="22"/>
      <c r="AC141" s="22"/>
      <c r="AD141" s="22"/>
      <c r="AE141" s="11"/>
      <c r="AF141" s="11">
        <f>Tabla356813142230[[#This Row],[COMISIONES]]*0.21</f>
        <v>0</v>
      </c>
      <c r="AG141" s="11"/>
      <c r="AH141" s="11"/>
      <c r="AI141" s="11"/>
    </row>
    <row r="142" spans="14:35" x14ac:dyDescent="0.3">
      <c r="Z142" s="22"/>
      <c r="AA142" s="22">
        <f>Tabla3568132129[[#This Row],[COMISIONES]]*0.21</f>
        <v>0</v>
      </c>
      <c r="AB142" s="22"/>
      <c r="AC142" s="22"/>
      <c r="AD142" s="22"/>
      <c r="AE142" s="11"/>
      <c r="AF142" s="11">
        <f>Tabla356813142230[[#This Row],[COMISIONES]]*0.21</f>
        <v>0</v>
      </c>
      <c r="AG142" s="11"/>
      <c r="AH142" s="11"/>
      <c r="AI142" s="11"/>
    </row>
    <row r="143" spans="14:35" x14ac:dyDescent="0.3">
      <c r="Z143" s="22"/>
      <c r="AA143" s="22">
        <f>Tabla3568132129[[#This Row],[COMISIONES]]*0.21</f>
        <v>0</v>
      </c>
      <c r="AB143" s="22"/>
      <c r="AC143" s="22"/>
      <c r="AD143" s="22"/>
      <c r="AE143" s="11"/>
      <c r="AF143" s="11">
        <f>Tabla356813142230[[#This Row],[COMISIONES]]*0.21</f>
        <v>0</v>
      </c>
      <c r="AG143" s="11"/>
      <c r="AH143" s="11"/>
      <c r="AI143" s="11"/>
    </row>
    <row r="144" spans="14:35" x14ac:dyDescent="0.3">
      <c r="Z144" s="22"/>
      <c r="AA144" s="22">
        <f>Tabla3568132129[[#This Row],[COMISIONES]]*0.21</f>
        <v>0</v>
      </c>
      <c r="AB144" s="22"/>
      <c r="AC144" s="22"/>
      <c r="AD144" s="22"/>
      <c r="AE144" s="11"/>
      <c r="AF144" s="11">
        <f>Tabla356813142230[[#This Row],[COMISIONES]]*0.21</f>
        <v>0</v>
      </c>
      <c r="AG144" s="11"/>
      <c r="AH144" s="11"/>
      <c r="AI144" s="11"/>
    </row>
    <row r="145" spans="26:35" x14ac:dyDescent="0.3">
      <c r="Z145" s="22"/>
      <c r="AA145" s="22">
        <f>Tabla3568132129[[#This Row],[COMISIONES]]*0.21</f>
        <v>0</v>
      </c>
      <c r="AB145" s="22"/>
      <c r="AC145" s="22"/>
      <c r="AD145" s="22"/>
      <c r="AE145" s="11"/>
      <c r="AF145" s="11">
        <f>Tabla356813142230[[#This Row],[COMISIONES]]*0.21</f>
        <v>0</v>
      </c>
      <c r="AG145" s="11"/>
      <c r="AH145" s="11"/>
      <c r="AI145" s="11"/>
    </row>
    <row r="146" spans="26:35" x14ac:dyDescent="0.3">
      <c r="Z146" s="22"/>
      <c r="AA146" s="22">
        <f>Tabla3568132129[[#This Row],[COMISIONES]]*0.21</f>
        <v>0</v>
      </c>
      <c r="AB146" s="22"/>
      <c r="AC146" s="22"/>
      <c r="AD146" s="22"/>
      <c r="AE146" s="11"/>
      <c r="AF146" s="11">
        <f>Tabla356813142230[[#This Row],[COMISIONES]]*0.21</f>
        <v>0</v>
      </c>
      <c r="AG146" s="11"/>
      <c r="AH146" s="11"/>
      <c r="AI146" s="11"/>
    </row>
    <row r="147" spans="26:35" x14ac:dyDescent="0.3">
      <c r="Z147" s="22"/>
      <c r="AA147" s="22">
        <f>Tabla3568132129[[#This Row],[COMISIONES]]*0.21</f>
        <v>0</v>
      </c>
      <c r="AB147" s="22"/>
      <c r="AC147" s="22"/>
      <c r="AD147" s="22"/>
      <c r="AE147" s="11"/>
      <c r="AF147" s="11">
        <f>Tabla356813142230[[#This Row],[COMISIONES]]*0.21</f>
        <v>0</v>
      </c>
      <c r="AG147" s="11"/>
      <c r="AH147" s="11"/>
      <c r="AI147" s="11"/>
    </row>
    <row r="148" spans="26:35" x14ac:dyDescent="0.3">
      <c r="Z148" s="22"/>
      <c r="AA148" s="22">
        <f>Tabla3568132129[[#This Row],[COMISIONES]]*0.21</f>
        <v>0</v>
      </c>
      <c r="AB148" s="22"/>
      <c r="AC148" s="22"/>
      <c r="AD148" s="22"/>
      <c r="AE148" s="4">
        <f>SUBTOTAL(109,Tabla356813142230[COMISIONES])</f>
        <v>1102.3200000000002</v>
      </c>
      <c r="AF148" s="4">
        <f>SUBTOTAL(109,Tabla356813142230[IVA 21])</f>
        <v>231.4872</v>
      </c>
      <c r="AG148" s="4">
        <f>SUBTOTAL(109,Tabla356813142230[IVA 10,5])</f>
        <v>0</v>
      </c>
      <c r="AH148" s="4">
        <f>SUBTOTAL(109,Tabla356813142230[Ret IIBB Caba])</f>
        <v>6150.9299999999994</v>
      </c>
      <c r="AI148" s="4">
        <f>SUBTOTAL(109,Tabla356813142230[PERC IVA])</f>
        <v>0</v>
      </c>
    </row>
    <row r="149" spans="26:35" x14ac:dyDescent="0.3">
      <c r="Z149" s="22"/>
      <c r="AA149" s="22">
        <f>Tabla3568132129[[#This Row],[COMISIONES]]*0.21</f>
        <v>0</v>
      </c>
      <c r="AB149" s="22"/>
      <c r="AC149" s="22"/>
      <c r="AD149" s="22"/>
    </row>
    <row r="150" spans="26:35" x14ac:dyDescent="0.3">
      <c r="Z150" s="22"/>
      <c r="AA150" s="22">
        <f>Tabla3568132129[[#This Row],[COMISIONES]]*0.21</f>
        <v>0</v>
      </c>
      <c r="AB150" s="22"/>
      <c r="AC150" s="22"/>
      <c r="AD150" s="22"/>
    </row>
    <row r="151" spans="26:35" x14ac:dyDescent="0.3">
      <c r="Z151" s="22"/>
      <c r="AA151" s="22">
        <f>Tabla3568132129[[#This Row],[COMISIONES]]*0.21</f>
        <v>0</v>
      </c>
      <c r="AB151" s="22"/>
      <c r="AC151" s="22"/>
      <c r="AD151" s="22"/>
    </row>
    <row r="152" spans="26:35" x14ac:dyDescent="0.3">
      <c r="Z152" s="22"/>
      <c r="AA152" s="22">
        <f>Tabla3568132129[[#This Row],[COMISIONES]]*0.21</f>
        <v>0</v>
      </c>
      <c r="AB152" s="22"/>
      <c r="AC152" s="22"/>
      <c r="AD152" s="22"/>
    </row>
    <row r="153" spans="26:35" x14ac:dyDescent="0.3">
      <c r="Z153" s="22"/>
      <c r="AA153" s="22">
        <f>Tabla3568132129[[#This Row],[COMISIONES]]*0.21</f>
        <v>0</v>
      </c>
      <c r="AB153" s="22"/>
      <c r="AC153" s="22"/>
      <c r="AD153" s="22"/>
    </row>
    <row r="154" spans="26:35" x14ac:dyDescent="0.3">
      <c r="Z154" s="22"/>
      <c r="AA154" s="22">
        <f>Tabla3568132129[[#This Row],[COMISIONES]]*0.21</f>
        <v>0</v>
      </c>
      <c r="AB154" s="22"/>
      <c r="AC154" s="22"/>
      <c r="AD154" s="22"/>
    </row>
    <row r="155" spans="26:35" x14ac:dyDescent="0.3">
      <c r="Z155" s="22"/>
      <c r="AA155" s="22">
        <f>Tabla3568132129[[#This Row],[COMISIONES]]*0.21</f>
        <v>0</v>
      </c>
      <c r="AB155" s="22"/>
      <c r="AC155" s="22"/>
      <c r="AD155" s="22"/>
    </row>
    <row r="156" spans="26:35" x14ac:dyDescent="0.3">
      <c r="Z156" s="22"/>
      <c r="AA156" s="22">
        <f>Tabla3568132129[[#This Row],[COMISIONES]]*0.21</f>
        <v>0</v>
      </c>
      <c r="AB156" s="22"/>
      <c r="AC156" s="22"/>
      <c r="AD156" s="22"/>
    </row>
    <row r="157" spans="26:35" x14ac:dyDescent="0.3">
      <c r="Z157" s="22"/>
      <c r="AA157" s="22">
        <f>Tabla3568132129[[#This Row],[COMISIONES]]*0.21</f>
        <v>0</v>
      </c>
      <c r="AB157" s="22"/>
      <c r="AC157" s="22"/>
      <c r="AD157" s="22"/>
    </row>
    <row r="158" spans="26:35" x14ac:dyDescent="0.3">
      <c r="Z158" s="22"/>
      <c r="AA158" s="22">
        <f>Tabla3568132129[[#This Row],[COMISIONES]]*0.21</f>
        <v>0</v>
      </c>
      <c r="AB158" s="22"/>
      <c r="AC158" s="22"/>
      <c r="AD158" s="22"/>
    </row>
    <row r="159" spans="26:35" x14ac:dyDescent="0.3">
      <c r="Z159" s="22"/>
      <c r="AA159" s="22">
        <f>Tabla3568132129[[#This Row],[COMISIONES]]*0.21</f>
        <v>0</v>
      </c>
      <c r="AB159" s="22"/>
      <c r="AC159" s="22"/>
      <c r="AD159" s="22"/>
    </row>
    <row r="160" spans="26:35" x14ac:dyDescent="0.3">
      <c r="Z160" s="22"/>
      <c r="AA160" s="22">
        <f>Tabla3568132129[[#This Row],[COMISIONES]]*0.21</f>
        <v>0</v>
      </c>
      <c r="AB160" s="22"/>
      <c r="AC160" s="22"/>
      <c r="AD160" s="22"/>
    </row>
    <row r="161" spans="26:30" x14ac:dyDescent="0.3">
      <c r="Z161" s="22"/>
      <c r="AA161" s="22">
        <f>Tabla3568132129[[#This Row],[COMISIONES]]*0.21</f>
        <v>0</v>
      </c>
      <c r="AB161" s="22"/>
      <c r="AC161" s="22"/>
      <c r="AD161" s="22"/>
    </row>
    <row r="162" spans="26:30" x14ac:dyDescent="0.3">
      <c r="Z162" s="22"/>
      <c r="AA162" s="22">
        <f>Tabla3568132129[[#This Row],[COMISIONES]]*0.21</f>
        <v>0</v>
      </c>
      <c r="AB162" s="22"/>
      <c r="AC162" s="22"/>
      <c r="AD162" s="22"/>
    </row>
    <row r="163" spans="26:30" x14ac:dyDescent="0.3">
      <c r="Z163" s="22"/>
      <c r="AA163" s="22">
        <f>Tabla3568132129[[#This Row],[COMISIONES]]*0.21</f>
        <v>0</v>
      </c>
      <c r="AB163" s="22"/>
      <c r="AC163" s="22"/>
      <c r="AD163" s="22"/>
    </row>
    <row r="164" spans="26:30" x14ac:dyDescent="0.3">
      <c r="Z164" s="22"/>
      <c r="AA164" s="22">
        <f>Tabla3568132129[[#This Row],[COMISIONES]]*0.21</f>
        <v>0</v>
      </c>
      <c r="AB164" s="22"/>
      <c r="AC164" s="22"/>
      <c r="AD164" s="22"/>
    </row>
    <row r="165" spans="26:30" x14ac:dyDescent="0.3">
      <c r="Z165" s="4">
        <f>SUBTOTAL(109,Tabla3568132129[COMISIONES])</f>
        <v>159911.72</v>
      </c>
      <c r="AA165" s="4">
        <f>SUBTOTAL(109,Tabla3568132129[IVA 21])</f>
        <v>33581.461200000005</v>
      </c>
      <c r="AB165" s="4">
        <f>SUBTOTAL(109,Tabla3568132129[IVA 10,5])</f>
        <v>50301.33</v>
      </c>
      <c r="AC165" s="4">
        <f>SUBTOTAL(109,Tabla3568132129[Ret IIBB Caba])</f>
        <v>480404.27000000014</v>
      </c>
      <c r="AD165" s="4">
        <f>SUBTOTAL(109,Tabla3568132129[PERC IVA])</f>
        <v>3594.2799999999993</v>
      </c>
    </row>
  </sheetData>
  <mergeCells count="18">
    <mergeCell ref="G6:H6"/>
    <mergeCell ref="G2:H2"/>
    <mergeCell ref="J2:K2"/>
    <mergeCell ref="G3:H3"/>
    <mergeCell ref="G4:H4"/>
    <mergeCell ref="G5:H5"/>
    <mergeCell ref="B10:F10"/>
    <mergeCell ref="H10:L10"/>
    <mergeCell ref="N10:R10"/>
    <mergeCell ref="T10:X10"/>
    <mergeCell ref="Z10:AD10"/>
    <mergeCell ref="T28:X28"/>
    <mergeCell ref="H50:L50"/>
    <mergeCell ref="T60:X60"/>
    <mergeCell ref="AJ10:AN10"/>
    <mergeCell ref="G7:H7"/>
    <mergeCell ref="G8:H8"/>
    <mergeCell ref="AE10:AI10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68"/>
  <sheetViews>
    <sheetView showGridLines="0" topLeftCell="A6" zoomScale="70" zoomScaleNormal="70" workbookViewId="0">
      <selection activeCell="G8" sqref="G8:H8"/>
    </sheetView>
  </sheetViews>
  <sheetFormatPr baseColWidth="10" defaultRowHeight="14.4" x14ac:dyDescent="0.3"/>
  <cols>
    <col min="1" max="1" width="4.5546875" customWidth="1"/>
    <col min="2" max="2" width="26.44140625" customWidth="1"/>
    <col min="3" max="3" width="11.109375" bestFit="1" customWidth="1"/>
    <col min="4" max="4" width="10.6640625" customWidth="1"/>
    <col min="5" max="5" width="11.5546875" customWidth="1"/>
    <col min="6" max="6" width="12.109375" customWidth="1"/>
    <col min="7" max="7" width="2.5546875" style="6" customWidth="1"/>
    <col min="8" max="8" width="12.6640625" customWidth="1"/>
    <col min="11" max="11" width="12.88671875" customWidth="1"/>
    <col min="13" max="13" width="2.5546875" style="6" customWidth="1"/>
    <col min="14" max="14" width="12.6640625" customWidth="1"/>
    <col min="17" max="17" width="12.88671875" customWidth="1"/>
    <col min="19" max="19" width="2.5546875" style="6" customWidth="1"/>
    <col min="20" max="20" width="12.6640625" customWidth="1"/>
    <col min="23" max="23" width="12.88671875" customWidth="1"/>
    <col min="24" max="24" width="13.5546875" customWidth="1"/>
    <col min="25" max="25" width="2.5546875" style="6" customWidth="1"/>
    <col min="31" max="31" width="2.5546875" style="6" customWidth="1"/>
  </cols>
  <sheetData>
    <row r="1" spans="1:41" ht="6" customHeight="1" x14ac:dyDescent="0.3">
      <c r="G1"/>
      <c r="M1"/>
    </row>
    <row r="2" spans="1:41" ht="27.6" x14ac:dyDescent="0.3">
      <c r="C2" s="15" t="s">
        <v>2</v>
      </c>
      <c r="D2" s="16" t="s">
        <v>0</v>
      </c>
      <c r="E2" s="16" t="s">
        <v>1</v>
      </c>
      <c r="F2" s="16" t="s">
        <v>3</v>
      </c>
      <c r="G2" s="31" t="s">
        <v>4</v>
      </c>
      <c r="H2" s="32"/>
      <c r="J2" s="35">
        <v>45170</v>
      </c>
      <c r="K2" s="35"/>
      <c r="M2"/>
      <c r="S2"/>
      <c r="Y2"/>
      <c r="AE2"/>
    </row>
    <row r="3" spans="1:41" x14ac:dyDescent="0.3">
      <c r="B3" s="26" t="str">
        <f>+B13</f>
        <v>Liquidacion amex Credito</v>
      </c>
      <c r="C3" s="14">
        <f>Tabla13162432[[#Totals],[COMISIONES]]</f>
        <v>74966.679999999993</v>
      </c>
      <c r="D3" s="14">
        <f>Tabla13162432[[#Totals],[IVA 21]]</f>
        <v>15743.002800000002</v>
      </c>
      <c r="E3" s="14">
        <f>Tabla13162432[[#Totals],[IVA 10,5]]</f>
        <v>0</v>
      </c>
      <c r="F3" s="14">
        <f>Tabla13162432[[#Totals],[Ret IIBB Caba]]</f>
        <v>24363.739999999998</v>
      </c>
      <c r="G3" s="33">
        <f>Tabla13162432[[#Totals],[PERC IVA]]</f>
        <v>1995.67</v>
      </c>
      <c r="H3" s="34"/>
      <c r="J3" s="2"/>
      <c r="K3" s="3"/>
      <c r="M3"/>
      <c r="N3" t="s">
        <v>12</v>
      </c>
      <c r="S3"/>
      <c r="Y3"/>
      <c r="AE3"/>
    </row>
    <row r="4" spans="1:41" x14ac:dyDescent="0.3">
      <c r="B4" s="26" t="str">
        <f>+H13</f>
        <v>CABAL</v>
      </c>
      <c r="C4" s="14">
        <f>Tabla39172535[[#Totals],[COMISIONES]]</f>
        <v>3997.22</v>
      </c>
      <c r="D4" s="14">
        <f>Tabla39172535[[#Totals],[IVA 21]]</f>
        <v>839.41619999999989</v>
      </c>
      <c r="E4" s="14">
        <f>Tabla39172535[[#Totals],[IVA 10,5]]</f>
        <v>0</v>
      </c>
      <c r="F4" s="14">
        <f>Tabla39172535[[#Totals],[Ret IIBB Caba]]</f>
        <v>0</v>
      </c>
      <c r="G4" s="33">
        <f>Tabla39172535[[#Totals],[PERC IVA]]</f>
        <v>0</v>
      </c>
      <c r="H4" s="34"/>
      <c r="J4" s="2"/>
      <c r="K4" s="3"/>
      <c r="M4"/>
      <c r="S4"/>
      <c r="Y4"/>
      <c r="AE4"/>
    </row>
    <row r="5" spans="1:41" x14ac:dyDescent="0.3">
      <c r="B5" s="26" t="str">
        <f>+N13</f>
        <v>FRANCES RESUMEN (31/09)</v>
      </c>
      <c r="C5" s="14">
        <f>Tabla3510182636[[#Totals],[COMISIONES]]</f>
        <v>22628.09</v>
      </c>
      <c r="D5" s="14">
        <f>Tabla3510182636[[#Totals],[IVA 21]]</f>
        <v>4751.8988999999992</v>
      </c>
      <c r="E5" s="14">
        <f>Tabla3510182636[[#Totals],[IVA 10,5]]</f>
        <v>0</v>
      </c>
      <c r="F5" s="14">
        <f>Tabla3510182636[[#Totals],[Ret IIBB Caba]]</f>
        <v>1259.47</v>
      </c>
      <c r="G5" s="33">
        <f>Tabla3510182636[[#Totals],[PERC IVA]]</f>
        <v>542.11</v>
      </c>
      <c r="H5" s="34"/>
      <c r="M5"/>
      <c r="S5"/>
      <c r="Y5"/>
      <c r="AE5"/>
    </row>
    <row r="6" spans="1:41" x14ac:dyDescent="0.3">
      <c r="B6" s="26" t="str">
        <f>+T13</f>
        <v>GALICIA EXTRACTO (31/09)</v>
      </c>
      <c r="C6" s="14">
        <f>Tabla35611192737[[#Totals],[COMISIONES]]</f>
        <v>13169</v>
      </c>
      <c r="D6" s="14">
        <f>Tabla35611192737[[#Totals],[IVA 21]]</f>
        <v>2765.49</v>
      </c>
      <c r="E6" s="14">
        <f>Tabla35611192737[[#Totals],[IVA 10,5]]</f>
        <v>0</v>
      </c>
      <c r="F6" s="14">
        <f>Tabla35611192737[[#Totals],[Ret IIBB Caba]]</f>
        <v>787.5</v>
      </c>
      <c r="G6" s="33">
        <f>Tabla35611192737[[#Totals],[PERC IVA]]</f>
        <v>393.75</v>
      </c>
      <c r="H6" s="34"/>
      <c r="M6"/>
      <c r="S6"/>
      <c r="Y6"/>
      <c r="AE6"/>
    </row>
    <row r="7" spans="1:41" x14ac:dyDescent="0.3">
      <c r="B7" s="26" t="str">
        <f>+Z13</f>
        <v>BBVA MASTERCARD CRED(31/09)</v>
      </c>
      <c r="C7" s="14">
        <f>Tabla356813212939[[#Totals],[COMISIONES]]</f>
        <v>211857.01000000007</v>
      </c>
      <c r="D7" s="14">
        <f>Tabla356813212939[[#Totals],[IVA 21]]</f>
        <v>44489.972099999992</v>
      </c>
      <c r="E7" s="14">
        <f>Tabla356813212939[[#Totals],[IVA 10,5]]</f>
        <v>79178.429999999993</v>
      </c>
      <c r="F7" s="14">
        <f>Tabla356813212939[[#Totals],[Ret IIBB Caba]]</f>
        <v>626921.46000000008</v>
      </c>
      <c r="G7" s="33">
        <f>Tabla356813212939[[#Totals],[PERC IVA]]</f>
        <v>18225.64</v>
      </c>
      <c r="H7" s="34"/>
      <c r="M7"/>
      <c r="S7"/>
      <c r="Y7"/>
      <c r="AE7"/>
    </row>
    <row r="8" spans="1:41" x14ac:dyDescent="0.3">
      <c r="B8" s="26" t="str">
        <f>+T31</f>
        <v>RESUM BCO BBVA VISA 31/09(Nº RESUMEN 000017206766)</v>
      </c>
      <c r="C8" s="14">
        <f>Tabla612202838[[#Totals],[COMISIONES]]</f>
        <v>36600</v>
      </c>
      <c r="D8" s="14">
        <f>Tabla612202838[[#Totals],[IVA 21]]</f>
        <v>7686</v>
      </c>
      <c r="E8" s="14">
        <f>Tabla612202838[[#Totals],[IVA 10,5]]</f>
        <v>0</v>
      </c>
      <c r="F8" s="14">
        <f>Tabla612202838[[#Totals],[Ret IIBB Caba]]</f>
        <v>0</v>
      </c>
      <c r="G8" s="33">
        <f>Tabla612202838[[#Totals],[PERC IVA]]</f>
        <v>1098</v>
      </c>
      <c r="H8" s="34"/>
      <c r="M8"/>
      <c r="S8"/>
      <c r="Y8"/>
      <c r="AE8"/>
    </row>
    <row r="9" spans="1:41" x14ac:dyDescent="0.3">
      <c r="B9" s="29" t="str">
        <f>+AF13</f>
        <v>BBVA - LIQ DEBITO (31/09)</v>
      </c>
      <c r="C9" s="14">
        <f>+Tabla35681314223040[[#Totals],[COMISIONES]]</f>
        <v>1709.8399999999997</v>
      </c>
      <c r="D9" s="14">
        <f>+Tabla35681314223040[[#Totals],[IVA 21]]</f>
        <v>359.06640000000004</v>
      </c>
      <c r="E9" s="14">
        <f>+Tabla35681314223040[[#Totals],[IVA 10,5]]</f>
        <v>0</v>
      </c>
      <c r="F9" s="14">
        <f>+Tabla35681314223040[[#Totals],[Ret IIBB Caba]]</f>
        <v>9540.9100000000017</v>
      </c>
      <c r="G9" s="33">
        <f>+Tabla35681314223040[[#Totals],[PERC IVA]]</f>
        <v>0</v>
      </c>
      <c r="H9" s="34"/>
      <c r="M9"/>
      <c r="S9"/>
      <c r="Y9"/>
      <c r="AE9"/>
    </row>
    <row r="10" spans="1:41" x14ac:dyDescent="0.3">
      <c r="B10" s="29" t="str">
        <f>+AK13</f>
        <v>GALICIA CREDITO (31/09)</v>
      </c>
      <c r="C10" s="14">
        <f>+Tabla3561119273443[[#Totals],[COMISIONES]]</f>
        <v>850</v>
      </c>
      <c r="D10" s="14">
        <f>+Tabla3561119273443[[#Totals],[IVA 21]]</f>
        <v>178.5</v>
      </c>
      <c r="E10" s="14">
        <f>+Tabla3561119273443[[#Totals],[IVA 10,5]]</f>
        <v>0</v>
      </c>
      <c r="F10" s="14"/>
      <c r="G10" s="33"/>
      <c r="H10" s="34"/>
      <c r="M10"/>
      <c r="S10"/>
      <c r="Y10"/>
      <c r="AE10"/>
    </row>
    <row r="11" spans="1:41" x14ac:dyDescent="0.3">
      <c r="A11" s="27"/>
      <c r="B11" s="27"/>
      <c r="C11" s="28">
        <f>SUM(C3:C10)</f>
        <v>365777.84000000008</v>
      </c>
      <c r="D11" s="28">
        <f t="shared" ref="D11:H11" si="0">SUM(D3:D10)</f>
        <v>76813.346399999995</v>
      </c>
      <c r="E11" s="28">
        <f t="shared" si="0"/>
        <v>79178.429999999993</v>
      </c>
      <c r="F11" s="28">
        <f t="shared" si="0"/>
        <v>662873.08000000007</v>
      </c>
      <c r="G11" s="28"/>
      <c r="H11" s="28">
        <f t="shared" si="0"/>
        <v>0</v>
      </c>
      <c r="M11"/>
      <c r="S11"/>
      <c r="Y11"/>
      <c r="AE11"/>
    </row>
    <row r="12" spans="1:41" x14ac:dyDescent="0.3">
      <c r="A12" s="27"/>
      <c r="B12" s="27"/>
      <c r="G12"/>
      <c r="M12"/>
      <c r="S12"/>
      <c r="Y12"/>
      <c r="AE12"/>
    </row>
    <row r="13" spans="1:41" ht="16.5" customHeight="1" x14ac:dyDescent="0.35">
      <c r="B13" s="30" t="s">
        <v>22</v>
      </c>
      <c r="C13" s="30"/>
      <c r="D13" s="30"/>
      <c r="E13" s="30"/>
      <c r="F13" s="30"/>
      <c r="H13" s="30" t="s">
        <v>23</v>
      </c>
      <c r="I13" s="30"/>
      <c r="J13" s="30"/>
      <c r="K13" s="30"/>
      <c r="L13" s="30"/>
      <c r="N13" s="30" t="s">
        <v>36</v>
      </c>
      <c r="O13" s="30"/>
      <c r="P13" s="30"/>
      <c r="Q13" s="30"/>
      <c r="R13" s="30"/>
      <c r="T13" s="30" t="s">
        <v>37</v>
      </c>
      <c r="U13" s="30"/>
      <c r="V13" s="30"/>
      <c r="W13" s="30"/>
      <c r="X13" s="30"/>
      <c r="Z13" s="30" t="s">
        <v>38</v>
      </c>
      <c r="AA13" s="30"/>
      <c r="AB13" s="30"/>
      <c r="AC13" s="30"/>
      <c r="AD13" s="30"/>
      <c r="AF13" s="30" t="s">
        <v>39</v>
      </c>
      <c r="AG13" s="30"/>
      <c r="AH13" s="30"/>
      <c r="AI13" s="30"/>
      <c r="AJ13" s="30"/>
      <c r="AK13" s="30" t="s">
        <v>40</v>
      </c>
      <c r="AL13" s="30"/>
      <c r="AM13" s="30"/>
      <c r="AN13" s="30"/>
      <c r="AO13" s="30"/>
    </row>
    <row r="14" spans="1:41" s="5" customFormat="1" x14ac:dyDescent="0.3">
      <c r="B14" s="10" t="s">
        <v>2</v>
      </c>
      <c r="C14" s="9" t="s">
        <v>0</v>
      </c>
      <c r="D14" s="9" t="s">
        <v>1</v>
      </c>
      <c r="E14" s="9" t="s">
        <v>3</v>
      </c>
      <c r="F14" s="9" t="s">
        <v>4</v>
      </c>
      <c r="G14" s="7"/>
      <c r="H14" s="12" t="s">
        <v>2</v>
      </c>
      <c r="I14" s="13" t="s">
        <v>0</v>
      </c>
      <c r="J14" s="13" t="s">
        <v>1</v>
      </c>
      <c r="K14" s="13" t="s">
        <v>3</v>
      </c>
      <c r="L14" s="13" t="s">
        <v>4</v>
      </c>
      <c r="M14" s="7"/>
      <c r="N14" s="12" t="s">
        <v>2</v>
      </c>
      <c r="O14" s="13" t="s">
        <v>0</v>
      </c>
      <c r="P14" s="13" t="s">
        <v>1</v>
      </c>
      <c r="Q14" s="13" t="s">
        <v>3</v>
      </c>
      <c r="R14" s="13" t="s">
        <v>4</v>
      </c>
      <c r="S14" s="7"/>
      <c r="T14" s="12" t="s">
        <v>2</v>
      </c>
      <c r="U14" s="13" t="s">
        <v>0</v>
      </c>
      <c r="V14" s="13" t="s">
        <v>1</v>
      </c>
      <c r="W14" s="13" t="s">
        <v>3</v>
      </c>
      <c r="X14" s="13" t="s">
        <v>4</v>
      </c>
      <c r="Y14" s="7"/>
      <c r="Z14" s="12" t="s">
        <v>2</v>
      </c>
      <c r="AA14" s="13" t="s">
        <v>0</v>
      </c>
      <c r="AB14" s="13" t="s">
        <v>1</v>
      </c>
      <c r="AC14" s="13" t="s">
        <v>3</v>
      </c>
      <c r="AD14" s="13" t="s">
        <v>4</v>
      </c>
      <c r="AE14" s="7"/>
      <c r="AF14" s="12" t="s">
        <v>2</v>
      </c>
      <c r="AG14" s="13" t="s">
        <v>0</v>
      </c>
      <c r="AH14" s="13" t="s">
        <v>1</v>
      </c>
      <c r="AI14" s="13" t="s">
        <v>3</v>
      </c>
      <c r="AJ14" s="13" t="s">
        <v>4</v>
      </c>
      <c r="AK14" s="12" t="s">
        <v>2</v>
      </c>
      <c r="AL14" s="13" t="s">
        <v>0</v>
      </c>
      <c r="AM14" s="13" t="s">
        <v>1</v>
      </c>
      <c r="AN14" s="13" t="s">
        <v>3</v>
      </c>
      <c r="AO14" s="13" t="s">
        <v>4</v>
      </c>
    </row>
    <row r="15" spans="1:41" x14ac:dyDescent="0.3">
      <c r="B15" s="2">
        <v>4532.0600000000004</v>
      </c>
      <c r="C15" s="2">
        <f>Tabla13162432[[#This Row],[COMISIONES]]*0.21</f>
        <v>951.73260000000005</v>
      </c>
      <c r="D15" s="3"/>
      <c r="E15" s="3">
        <v>789.31</v>
      </c>
      <c r="F15">
        <v>135.96</v>
      </c>
      <c r="G15" s="8"/>
      <c r="H15" s="3">
        <v>181.44</v>
      </c>
      <c r="I15" s="11">
        <f>Tabla39172535[[#This Row],[COMISIONES]]*0.21</f>
        <v>38.102399999999996</v>
      </c>
      <c r="J15" s="11"/>
      <c r="K15" s="11"/>
      <c r="L15" s="3"/>
      <c r="M15" s="8"/>
      <c r="N15" s="11">
        <v>2920.59</v>
      </c>
      <c r="O15" s="11">
        <f>Tabla3510182636[[#This Row],[COMISIONES]]*0.21</f>
        <v>613.32389999999998</v>
      </c>
      <c r="P15" s="11"/>
      <c r="Q15" s="11">
        <v>350.47</v>
      </c>
      <c r="R15" s="24">
        <v>87.61</v>
      </c>
      <c r="S15" s="8"/>
      <c r="T15" s="11">
        <v>13125</v>
      </c>
      <c r="U15" s="11">
        <f>Tabla35611192737[[#This Row],[COMISIONES]]*0.21</f>
        <v>2756.25</v>
      </c>
      <c r="V15" s="11"/>
      <c r="W15" s="11">
        <v>787.5</v>
      </c>
      <c r="X15" s="11">
        <v>393.75</v>
      </c>
      <c r="Y15" s="8"/>
      <c r="Z15">
        <v>193.95</v>
      </c>
      <c r="AA15" s="11">
        <f>Tabla356813212939[[#This Row],[COMISIONES]]*0.21</f>
        <v>40.729499999999994</v>
      </c>
      <c r="AB15" s="11"/>
      <c r="AC15" s="11">
        <v>476.15</v>
      </c>
      <c r="AD15" s="11"/>
      <c r="AE15" s="8"/>
      <c r="AF15" s="11">
        <v>37.6</v>
      </c>
      <c r="AG15" s="11">
        <f>Tabla35681314223040[[#This Row],[COMISIONES]]*0.21</f>
        <v>7.8959999999999999</v>
      </c>
      <c r="AH15" s="11"/>
      <c r="AI15" s="11">
        <v>209.81</v>
      </c>
      <c r="AJ15" s="11"/>
      <c r="AK15" s="11">
        <v>850</v>
      </c>
      <c r="AL15" s="11">
        <f>Tabla3561119273443[[#This Row],[COMISIONES]]*0.21</f>
        <v>178.5</v>
      </c>
      <c r="AM15" s="11"/>
      <c r="AN15" s="11"/>
      <c r="AO15" s="11"/>
    </row>
    <row r="16" spans="1:41" x14ac:dyDescent="0.3">
      <c r="B16" s="3">
        <v>1091.1300000000001</v>
      </c>
      <c r="C16" s="2">
        <f>Tabla13162432[[#This Row],[COMISIONES]]*0.21</f>
        <v>229.13730000000001</v>
      </c>
      <c r="D16" s="3"/>
      <c r="E16" s="3">
        <v>1904.61</v>
      </c>
      <c r="F16" s="3"/>
      <c r="G16" s="8"/>
      <c r="H16" s="11">
        <v>531.76</v>
      </c>
      <c r="I16" s="11">
        <f>Tabla39172535[[#This Row],[COMISIONES]]*0.21</f>
        <v>111.66959999999999</v>
      </c>
      <c r="J16" s="11"/>
      <c r="K16" s="11"/>
      <c r="L16" s="11"/>
      <c r="M16" s="8"/>
      <c r="N16" s="11">
        <v>7500</v>
      </c>
      <c r="O16" s="11">
        <f>Tabla3510182636[[#This Row],[COMISIONES]]*0.21</f>
        <v>1575</v>
      </c>
      <c r="P16" s="11"/>
      <c r="Q16" s="11">
        <v>450</v>
      </c>
      <c r="R16" s="24">
        <v>225</v>
      </c>
      <c r="S16" s="8"/>
      <c r="T16" s="11">
        <v>44</v>
      </c>
      <c r="U16" s="11">
        <f>Tabla35611192737[[#This Row],[COMISIONES]]*0.21</f>
        <v>9.24</v>
      </c>
      <c r="V16" s="11"/>
      <c r="W16" s="11"/>
      <c r="X16" s="11"/>
      <c r="Y16" s="8"/>
      <c r="Z16" s="11">
        <v>1341.54</v>
      </c>
      <c r="AA16" s="11">
        <f>Tabla356813212939[[#This Row],[COMISIONES]]*0.21</f>
        <v>281.72339999999997</v>
      </c>
      <c r="AB16" s="11"/>
      <c r="AC16" s="11">
        <v>3293.48</v>
      </c>
      <c r="AD16" s="11"/>
      <c r="AE16" s="8"/>
      <c r="AF16" s="11">
        <v>300.04000000000002</v>
      </c>
      <c r="AG16" s="11">
        <f>Tabla35681314223040[[#This Row],[COMISIONES]]*0.21</f>
        <v>63.008400000000002</v>
      </c>
      <c r="AH16" s="11"/>
      <c r="AI16" s="11">
        <v>1674.22</v>
      </c>
      <c r="AJ16" s="11"/>
      <c r="AK16" s="11"/>
      <c r="AL16" s="11">
        <f>Tabla3561119273443[[#This Row],[COMISIONES]]*0.21</f>
        <v>0</v>
      </c>
      <c r="AM16" s="11"/>
      <c r="AN16" s="11"/>
      <c r="AO16" s="11"/>
    </row>
    <row r="17" spans="2:41" x14ac:dyDescent="0.3">
      <c r="B17" s="3">
        <v>2398.4299999999998</v>
      </c>
      <c r="C17" s="2">
        <f>Tabla13162432[[#This Row],[COMISIONES]]*0.21</f>
        <v>503.67029999999994</v>
      </c>
      <c r="D17" s="3"/>
      <c r="E17" s="3">
        <v>730.79</v>
      </c>
      <c r="F17" s="3">
        <v>71.95</v>
      </c>
      <c r="H17" s="11">
        <v>749.56</v>
      </c>
      <c r="I17" s="11">
        <f>Tabla39172535[[#This Row],[COMISIONES]]*0.21</f>
        <v>157.40759999999997</v>
      </c>
      <c r="J17" s="11"/>
      <c r="K17" s="11"/>
      <c r="L17" s="11"/>
      <c r="N17" s="11">
        <v>7650</v>
      </c>
      <c r="O17" s="11">
        <f>Tabla3510182636[[#This Row],[COMISIONES]]*0.21</f>
        <v>1606.5</v>
      </c>
      <c r="P17" s="11"/>
      <c r="Q17" s="11">
        <v>459</v>
      </c>
      <c r="R17" s="24">
        <v>229.5</v>
      </c>
      <c r="T17" s="11"/>
      <c r="U17" s="11">
        <f>Tabla35611192737[[#This Row],[COMISIONES]]*0.21</f>
        <v>0</v>
      </c>
      <c r="V17" s="11"/>
      <c r="W17" s="11"/>
      <c r="X17" s="11"/>
      <c r="Z17" s="11">
        <v>498.58</v>
      </c>
      <c r="AA17" s="11">
        <f>Tabla356813212939[[#This Row],[COMISIONES]]*0.21</f>
        <v>104.70179999999999</v>
      </c>
      <c r="AB17" s="11">
        <v>606.25</v>
      </c>
      <c r="AC17" s="11">
        <v>964.19</v>
      </c>
      <c r="AD17" s="11">
        <f>86.61+14.96</f>
        <v>101.57</v>
      </c>
      <c r="AF17" s="11">
        <v>95.2</v>
      </c>
      <c r="AG17" s="11">
        <f>Tabla35681314223040[[#This Row],[COMISIONES]]*0.21</f>
        <v>19.992000000000001</v>
      </c>
      <c r="AH17" s="11"/>
      <c r="AI17" s="11">
        <v>531.22</v>
      </c>
      <c r="AJ17" s="11"/>
      <c r="AK17" s="11"/>
      <c r="AL17" s="11">
        <f>Tabla3561119273443[[#This Row],[COMISIONES]]*0.21</f>
        <v>0</v>
      </c>
      <c r="AM17" s="11"/>
      <c r="AN17" s="11"/>
      <c r="AO17" s="11"/>
    </row>
    <row r="18" spans="2:41" x14ac:dyDescent="0.3">
      <c r="B18" s="3">
        <v>327.25</v>
      </c>
      <c r="C18" s="2">
        <f>Tabla13162432[[#This Row],[COMISIONES]]*0.21</f>
        <v>68.722499999999997</v>
      </c>
      <c r="D18" s="3"/>
      <c r="E18" s="3">
        <v>571.23</v>
      </c>
      <c r="F18" s="3"/>
      <c r="G18" s="8"/>
      <c r="H18" s="11">
        <v>64.8</v>
      </c>
      <c r="I18" s="11">
        <f>Tabla39172535[[#This Row],[COMISIONES]]*0.21</f>
        <v>13.607999999999999</v>
      </c>
      <c r="J18" s="11"/>
      <c r="K18" s="11"/>
      <c r="L18" s="11"/>
      <c r="M18" s="8"/>
      <c r="N18" s="11">
        <v>300</v>
      </c>
      <c r="O18" s="11">
        <f>Tabla3510182636[[#This Row],[COMISIONES]]*0.21</f>
        <v>63</v>
      </c>
      <c r="P18" s="11"/>
      <c r="Q18" s="11"/>
      <c r="R18" s="24"/>
      <c r="S18" s="8"/>
      <c r="T18" s="11"/>
      <c r="U18" s="11">
        <f>Tabla35611192737[[#This Row],[COMISIONES]]*0.21</f>
        <v>0</v>
      </c>
      <c r="V18" s="11"/>
      <c r="W18" s="11"/>
      <c r="X18" s="11"/>
      <c r="Y18" s="8"/>
      <c r="Z18" s="11">
        <v>452.88</v>
      </c>
      <c r="AA18" s="11">
        <f>Tabla356813212939[[#This Row],[COMISIONES]]*0.21</f>
        <v>95.104799999999997</v>
      </c>
      <c r="AB18" s="11"/>
      <c r="AC18" s="1">
        <v>1111.82</v>
      </c>
      <c r="AD18" s="11"/>
      <c r="AE18" s="8"/>
      <c r="AF18" s="11">
        <v>379.76</v>
      </c>
      <c r="AG18" s="11">
        <f>Tabla35681314223040[[#This Row],[COMISIONES]]*0.21</f>
        <v>79.749600000000001</v>
      </c>
      <c r="AH18" s="11"/>
      <c r="AI18" s="11">
        <v>2119.06</v>
      </c>
      <c r="AJ18" s="11"/>
      <c r="AK18" s="11"/>
      <c r="AL18" s="11">
        <f>Tabla3561119273443[[#This Row],[COMISIONES]]*0.21</f>
        <v>0</v>
      </c>
      <c r="AM18" s="11"/>
      <c r="AN18" s="11"/>
      <c r="AO18" s="11"/>
    </row>
    <row r="19" spans="2:41" x14ac:dyDescent="0.3">
      <c r="B19" s="3">
        <v>1628.29</v>
      </c>
      <c r="C19" s="2">
        <f>Tabla13162432[[#This Row],[COMISIONES]]*0.21</f>
        <v>341.9409</v>
      </c>
      <c r="D19" s="3"/>
      <c r="E19" s="3">
        <v>506.18</v>
      </c>
      <c r="F19" s="3"/>
      <c r="H19" s="11">
        <v>85.68</v>
      </c>
      <c r="I19" s="11">
        <f>Tabla39172535[[#This Row],[COMISIONES]]*0.21</f>
        <v>17.992799999999999</v>
      </c>
      <c r="J19" s="11"/>
      <c r="K19" s="11"/>
      <c r="L19" s="11"/>
      <c r="N19" s="11">
        <v>300</v>
      </c>
      <c r="O19" s="11">
        <f>Tabla3510182636[[#This Row],[COMISIONES]]*0.21</f>
        <v>63</v>
      </c>
      <c r="P19" s="11"/>
      <c r="Q19" s="11"/>
      <c r="R19" s="24"/>
      <c r="T19" s="11"/>
      <c r="U19" s="11">
        <f>Tabla35611192737[[#This Row],[COMISIONES]]*0.21</f>
        <v>0</v>
      </c>
      <c r="V19" s="11"/>
      <c r="W19" s="11"/>
      <c r="X19" s="11"/>
      <c r="Z19" s="11">
        <v>318.77999999999997</v>
      </c>
      <c r="AA19" s="11">
        <f>Tabla356813212939[[#This Row],[COMISIONES]]*0.21</f>
        <v>66.943799999999996</v>
      </c>
      <c r="AB19" s="11"/>
      <c r="AC19" s="11">
        <v>782.6</v>
      </c>
      <c r="AD19" s="11"/>
      <c r="AF19" s="11">
        <v>119.2</v>
      </c>
      <c r="AG19" s="11">
        <f>Tabla35681314223040[[#This Row],[COMISIONES]]*0.21</f>
        <v>25.032</v>
      </c>
      <c r="AH19" s="11"/>
      <c r="AI19" s="11">
        <v>665.14</v>
      </c>
      <c r="AJ19" s="11"/>
      <c r="AK19" s="11"/>
      <c r="AL19" s="11">
        <f>Tabla3561119273443[[#This Row],[COMISIONES]]*0.21</f>
        <v>0</v>
      </c>
      <c r="AM19" s="11"/>
      <c r="AN19" s="11"/>
      <c r="AO19" s="11"/>
    </row>
    <row r="20" spans="2:41" x14ac:dyDescent="0.3">
      <c r="B20" s="3">
        <v>980.26</v>
      </c>
      <c r="C20" s="2">
        <f>Tabla13162432[[#This Row],[COMISIONES]]*0.21</f>
        <v>205.85459999999998</v>
      </c>
      <c r="D20" s="3"/>
      <c r="E20" s="3">
        <v>1711.07</v>
      </c>
      <c r="F20" s="3"/>
      <c r="H20" s="11">
        <v>335.32</v>
      </c>
      <c r="I20" s="11">
        <f>Tabla39172535[[#This Row],[COMISIONES]]*0.21</f>
        <v>70.417199999999994</v>
      </c>
      <c r="J20" s="11"/>
      <c r="K20" s="11"/>
      <c r="L20" s="11"/>
      <c r="N20" s="11">
        <v>300</v>
      </c>
      <c r="O20" s="11">
        <f>Tabla3510182636[[#This Row],[COMISIONES]]*0.21</f>
        <v>63</v>
      </c>
      <c r="P20" s="11"/>
      <c r="Q20" s="11"/>
      <c r="R20" s="11"/>
      <c r="T20" s="11"/>
      <c r="U20" s="11">
        <f>Tabla35611192737[[#This Row],[COMISIONES]]*0.21</f>
        <v>0</v>
      </c>
      <c r="V20" s="11"/>
      <c r="W20" s="11"/>
      <c r="X20" s="11"/>
      <c r="Z20" s="11">
        <v>206.1</v>
      </c>
      <c r="AA20" s="11">
        <f>Tabla356813212939[[#This Row],[COMISIONES]]*0.21</f>
        <v>43.280999999999999</v>
      </c>
      <c r="AB20" s="11"/>
      <c r="AC20" s="11">
        <v>505.98</v>
      </c>
      <c r="AD20" s="11"/>
      <c r="AF20" s="11">
        <v>56</v>
      </c>
      <c r="AG20" s="11">
        <f>Tabla35681314223040[[#This Row],[COMISIONES]]*0.21</f>
        <v>11.76</v>
      </c>
      <c r="AH20" s="11"/>
      <c r="AI20" s="11">
        <v>312.48</v>
      </c>
      <c r="AJ20" s="11"/>
      <c r="AK20" s="11"/>
      <c r="AL20" s="11">
        <f>Tabla3561119273443[[#This Row],[COMISIONES]]*0.21</f>
        <v>0</v>
      </c>
      <c r="AM20" s="11"/>
      <c r="AN20" s="11"/>
      <c r="AO20" s="11"/>
    </row>
    <row r="21" spans="2:41" x14ac:dyDescent="0.3">
      <c r="B21" s="3">
        <v>26233.18</v>
      </c>
      <c r="C21" s="2">
        <f>Tabla13162432[[#This Row],[COMISIONES]]*0.21</f>
        <v>5508.9677999999994</v>
      </c>
      <c r="D21" s="3"/>
      <c r="E21" s="3">
        <v>5457.67</v>
      </c>
      <c r="F21" s="3">
        <v>787</v>
      </c>
      <c r="H21" s="11">
        <v>147.41999999999999</v>
      </c>
      <c r="I21" s="11">
        <f>Tabla39172535[[#This Row],[COMISIONES]]*0.21</f>
        <v>30.958199999999998</v>
      </c>
      <c r="J21" s="11"/>
      <c r="K21" s="11"/>
      <c r="L21" s="11"/>
      <c r="N21" s="11">
        <v>300</v>
      </c>
      <c r="O21" s="11">
        <f>Tabla3510182636[[#This Row],[COMISIONES]]*0.21</f>
        <v>63</v>
      </c>
      <c r="P21" s="11"/>
      <c r="Q21" s="11"/>
      <c r="R21" s="11"/>
      <c r="T21" s="11"/>
      <c r="U21" s="11">
        <f>Tabla35611192737[[#This Row],[COMISIONES]]*0.21</f>
        <v>0</v>
      </c>
      <c r="V21" s="11"/>
      <c r="W21" s="11"/>
      <c r="X21" s="11"/>
      <c r="Z21" s="11">
        <v>2533.59</v>
      </c>
      <c r="AA21" s="11">
        <f>Tabla356813212939[[#This Row],[COMISIONES]]*0.21</f>
        <v>532.0539</v>
      </c>
      <c r="AB21" s="11">
        <v>3916.52</v>
      </c>
      <c r="AC21" s="11">
        <v>4541.45</v>
      </c>
      <c r="AD21" s="11">
        <f>559.51+76.01</f>
        <v>635.52</v>
      </c>
      <c r="AF21" s="11">
        <v>237.76</v>
      </c>
      <c r="AG21" s="11">
        <f>Tabla35681314223040[[#This Row],[COMISIONES]]*0.21</f>
        <v>49.929599999999994</v>
      </c>
      <c r="AH21" s="11"/>
      <c r="AI21" s="11">
        <v>1326.7</v>
      </c>
      <c r="AJ21" s="11"/>
      <c r="AK21" s="11"/>
      <c r="AL21" s="11">
        <f>Tabla3561119273443[[#This Row],[COMISIONES]]*0.21</f>
        <v>0</v>
      </c>
      <c r="AM21" s="11"/>
      <c r="AN21" s="11"/>
      <c r="AO21" s="11"/>
    </row>
    <row r="22" spans="2:41" x14ac:dyDescent="0.3">
      <c r="B22" s="3">
        <v>37483.33</v>
      </c>
      <c r="C22" s="2">
        <f>Tabla13162432[[#This Row],[COMISIONES]]*0.21</f>
        <v>7871.4993000000004</v>
      </c>
      <c r="D22" s="3"/>
      <c r="E22" s="3">
        <v>12181.88</v>
      </c>
      <c r="F22" s="3">
        <v>994.91</v>
      </c>
      <c r="H22" s="11">
        <v>1786.04</v>
      </c>
      <c r="I22" s="11">
        <f>Tabla39172535[[#This Row],[COMISIONES]]*0.21</f>
        <v>375.0684</v>
      </c>
      <c r="J22" s="11"/>
      <c r="K22" s="11"/>
      <c r="L22" s="11"/>
      <c r="N22" s="11">
        <v>300</v>
      </c>
      <c r="O22" s="11">
        <f>Tabla3510182636[[#This Row],[COMISIONES]]*0.21</f>
        <v>63</v>
      </c>
      <c r="P22" s="11"/>
      <c r="Q22" s="11"/>
      <c r="R22" s="11"/>
      <c r="T22" s="11"/>
      <c r="U22" s="11">
        <f>Tabla35611192737[[#This Row],[COMISIONES]]*0.21</f>
        <v>0</v>
      </c>
      <c r="V22" s="11"/>
      <c r="W22" s="11"/>
      <c r="X22" s="11"/>
      <c r="Z22" s="11">
        <v>334.8</v>
      </c>
      <c r="AA22" s="11">
        <f>Tabla356813212939[[#This Row],[COMISIONES]]*0.21</f>
        <v>70.307999999999993</v>
      </c>
      <c r="AB22" s="11"/>
      <c r="AC22" s="11">
        <v>821.93</v>
      </c>
      <c r="AD22" s="11"/>
      <c r="AF22" s="11">
        <v>241.52</v>
      </c>
      <c r="AG22" s="11">
        <f>Tabla35681314223040[[#This Row],[COMISIONES]]*0.21</f>
        <v>50.719200000000001</v>
      </c>
      <c r="AH22" s="11"/>
      <c r="AI22" s="11">
        <v>1347.68</v>
      </c>
      <c r="AJ22" s="11"/>
      <c r="AK22" s="11"/>
      <c r="AL22" s="11">
        <f>Tabla3561119273443[[#This Row],[COMISIONES]]*0.21</f>
        <v>0</v>
      </c>
      <c r="AM22" s="11"/>
      <c r="AN22" s="11"/>
      <c r="AO22" s="11"/>
    </row>
    <row r="23" spans="2:41" x14ac:dyDescent="0.3">
      <c r="B23" s="3">
        <v>292.75</v>
      </c>
      <c r="C23" s="2">
        <f>Tabla13162432[[#This Row],[COMISIONES]]*0.21</f>
        <v>61.477499999999999</v>
      </c>
      <c r="D23" s="3"/>
      <c r="E23" s="3">
        <v>511</v>
      </c>
      <c r="F23" s="3">
        <v>5.85</v>
      </c>
      <c r="H23" s="11">
        <v>115.2</v>
      </c>
      <c r="I23" s="11">
        <f>Tabla39172535[[#This Row],[COMISIONES]]*0.21</f>
        <v>24.192</v>
      </c>
      <c r="J23" s="11"/>
      <c r="K23" s="11"/>
      <c r="L23" s="11"/>
      <c r="N23" s="11">
        <v>300</v>
      </c>
      <c r="O23" s="11">
        <f>Tabla3510182636[[#This Row],[COMISIONES]]*0.21</f>
        <v>63</v>
      </c>
      <c r="P23" s="11"/>
      <c r="Q23" s="11"/>
      <c r="R23" s="11"/>
      <c r="T23" s="11"/>
      <c r="U23" s="11">
        <f>Tabla35611192737[[#This Row],[COMISIONES]]*0.21</f>
        <v>0</v>
      </c>
      <c r="V23" s="11"/>
      <c r="W23" s="11"/>
      <c r="X23" s="11"/>
      <c r="Z23" s="11">
        <v>555.34</v>
      </c>
      <c r="AA23" s="11">
        <f>Tabla356813212939[[#This Row],[COMISIONES]]*0.21</f>
        <v>116.62140000000001</v>
      </c>
      <c r="AB23" s="11">
        <v>1069.4000000000001</v>
      </c>
      <c r="AC23" s="11">
        <v>905.04</v>
      </c>
      <c r="AD23" s="11">
        <f>16.66+11.5</f>
        <v>28.16</v>
      </c>
      <c r="AF23" s="11">
        <v>202.64</v>
      </c>
      <c r="AG23" s="11">
        <f>Tabla35681314223040[[#This Row],[COMISIONES]]*0.21</f>
        <v>42.554399999999994</v>
      </c>
      <c r="AH23" s="11"/>
      <c r="AI23" s="11">
        <v>1130.73</v>
      </c>
      <c r="AJ23" s="11"/>
      <c r="AK23" s="11"/>
      <c r="AL23" s="11">
        <f>Tabla3561119273443[[#This Row],[COMISIONES]]*0.21</f>
        <v>0</v>
      </c>
      <c r="AM23" s="11"/>
      <c r="AN23" s="11"/>
      <c r="AO23" s="11"/>
    </row>
    <row r="24" spans="2:41" x14ac:dyDescent="0.3">
      <c r="B24" s="3"/>
      <c r="C24" s="2">
        <f>Tabla13162432[[#This Row],[COMISIONES]]*0.21</f>
        <v>0</v>
      </c>
      <c r="D24" s="3"/>
      <c r="E24" s="3"/>
      <c r="F24" s="3"/>
      <c r="H24" s="11"/>
      <c r="I24" s="11">
        <f>Tabla39172535[[#This Row],[COMISIONES]]*0.21</f>
        <v>0</v>
      </c>
      <c r="J24" s="11"/>
      <c r="K24" s="11"/>
      <c r="L24" s="11"/>
      <c r="N24" s="11">
        <v>300</v>
      </c>
      <c r="O24" s="11">
        <f>Tabla3510182636[[#This Row],[COMISIONES]]*0.21</f>
        <v>63</v>
      </c>
      <c r="P24" s="11"/>
      <c r="Q24" s="11"/>
      <c r="R24" s="11"/>
      <c r="T24" s="11"/>
      <c r="U24" s="11">
        <f>Tabla35611192737[[#This Row],[COMISIONES]]*0.21</f>
        <v>0</v>
      </c>
      <c r="V24" s="11"/>
      <c r="W24" s="11"/>
      <c r="X24" s="11"/>
      <c r="Z24" s="11">
        <v>355.5</v>
      </c>
      <c r="AA24" s="11">
        <f>Tabla356813212939[[#This Row],[COMISIONES]]*0.21</f>
        <v>74.655000000000001</v>
      </c>
      <c r="AB24" s="11"/>
      <c r="AC24" s="11">
        <v>872.75</v>
      </c>
      <c r="AD24" s="11"/>
      <c r="AF24" s="11">
        <v>40.119999999999997</v>
      </c>
      <c r="AG24" s="11">
        <f>Tabla35681314223040[[#This Row],[COMISIONES]]*0.21</f>
        <v>8.4251999999999985</v>
      </c>
      <c r="AH24" s="11"/>
      <c r="AI24" s="11">
        <v>223.87</v>
      </c>
      <c r="AJ24" s="11"/>
      <c r="AK24" s="11"/>
      <c r="AL24" s="11">
        <f>Tabla3561119273443[[#This Row],[COMISIONES]]*0.21</f>
        <v>0</v>
      </c>
      <c r="AM24" s="11"/>
      <c r="AN24" s="11"/>
      <c r="AO24" s="11"/>
    </row>
    <row r="25" spans="2:41" x14ac:dyDescent="0.3">
      <c r="B25" s="3"/>
      <c r="C25" s="2">
        <f>Tabla13162432[[#This Row],[COMISIONES]]*0.21</f>
        <v>0</v>
      </c>
      <c r="D25" s="3"/>
      <c r="E25" s="3"/>
      <c r="F25" s="3"/>
      <c r="H25" s="11"/>
      <c r="I25" s="11">
        <f>Tabla39172535[[#This Row],[COMISIONES]]*0.21</f>
        <v>0</v>
      </c>
      <c r="J25" s="11"/>
      <c r="K25" s="11"/>
      <c r="L25" s="11"/>
      <c r="N25" s="11">
        <v>300</v>
      </c>
      <c r="O25" s="11">
        <f>Tabla3510182636[[#This Row],[COMISIONES]]*0.21</f>
        <v>63</v>
      </c>
      <c r="P25" s="11"/>
      <c r="Q25" s="11"/>
      <c r="R25" s="11"/>
      <c r="T25" s="11"/>
      <c r="U25" s="11">
        <f>Tabla35611192737[[#This Row],[COMISIONES]]*0.21</f>
        <v>0</v>
      </c>
      <c r="V25" s="11"/>
      <c r="W25" s="11"/>
      <c r="X25" s="11"/>
      <c r="Z25" s="11">
        <v>161.28</v>
      </c>
      <c r="AA25" s="11">
        <f>Tabla356813212939[[#This Row],[COMISIONES]]*0.21</f>
        <v>33.8688</v>
      </c>
      <c r="AB25" s="11"/>
      <c r="AC25" s="11">
        <v>395.94</v>
      </c>
      <c r="AD25" s="11"/>
      <c r="AF25" s="4">
        <f>SUBTOTAL(109,Tabla35681314223040[COMISIONES])</f>
        <v>1709.8399999999997</v>
      </c>
      <c r="AG25" s="4">
        <f>SUBTOTAL(109,Tabla35681314223040[IVA 21])</f>
        <v>359.06640000000004</v>
      </c>
      <c r="AH25" s="4">
        <f>SUBTOTAL(109,Tabla35681314223040[IVA 10,5])</f>
        <v>0</v>
      </c>
      <c r="AI25" s="4">
        <f>SUBTOTAL(109,Tabla35681314223040[Ret IIBB Caba])</f>
        <v>9540.9100000000017</v>
      </c>
      <c r="AJ25" s="4">
        <f>SUBTOTAL(109,Tabla35681314223040[PERC IVA])</f>
        <v>0</v>
      </c>
      <c r="AK25" s="11"/>
      <c r="AL25" s="11">
        <f>Tabla3561119273443[[#This Row],[COMISIONES]]*0.21</f>
        <v>0</v>
      </c>
      <c r="AM25" s="11"/>
      <c r="AN25" s="11"/>
      <c r="AO25" s="11"/>
    </row>
    <row r="26" spans="2:41" x14ac:dyDescent="0.3">
      <c r="B26" s="3"/>
      <c r="C26" s="2">
        <f>Tabla13162432[[#This Row],[COMISIONES]]*0.21</f>
        <v>0</v>
      </c>
      <c r="D26" s="3"/>
      <c r="E26" s="3"/>
      <c r="F26" s="3"/>
      <c r="H26" s="11"/>
      <c r="I26" s="11">
        <f>Tabla39172535[[#This Row],[COMISIONES]]*0.21</f>
        <v>0</v>
      </c>
      <c r="J26" s="11"/>
      <c r="K26" s="11"/>
      <c r="L26" s="11"/>
      <c r="N26" s="11">
        <v>300</v>
      </c>
      <c r="O26" s="11">
        <f>Tabla3510182636[[#This Row],[COMISIONES]]*0.21</f>
        <v>63</v>
      </c>
      <c r="P26" s="11"/>
      <c r="Q26" s="11"/>
      <c r="R26" s="11"/>
      <c r="T26" s="11"/>
      <c r="U26" s="11">
        <f>Tabla35611192737[[#This Row],[COMISIONES]]*0.21</f>
        <v>0</v>
      </c>
      <c r="V26" s="11"/>
      <c r="W26" s="11"/>
      <c r="X26" s="11"/>
      <c r="Z26" s="11">
        <v>270.79000000000002</v>
      </c>
      <c r="AA26" s="11">
        <f>Tabla356813212939[[#This Row],[COMISIONES]]*0.21</f>
        <v>56.865900000000003</v>
      </c>
      <c r="AB26" s="11">
        <v>329.28</v>
      </c>
      <c r="AC26" s="11">
        <v>523.67999999999995</v>
      </c>
      <c r="AD26" s="11"/>
      <c r="AK26" s="11"/>
      <c r="AL26" s="11">
        <f>Tabla3561119273443[[#This Row],[COMISIONES]]*0.21</f>
        <v>0</v>
      </c>
      <c r="AM26" s="11"/>
      <c r="AN26" s="11"/>
      <c r="AO26" s="11"/>
    </row>
    <row r="27" spans="2:41" x14ac:dyDescent="0.3">
      <c r="B27" s="3"/>
      <c r="C27" s="2">
        <f>Tabla13162432[[#This Row],[COMISIONES]]*0.21</f>
        <v>0</v>
      </c>
      <c r="D27" s="3"/>
      <c r="E27" s="3"/>
      <c r="F27" s="3"/>
      <c r="H27" s="11"/>
      <c r="I27" s="11">
        <f>Tabla39172535[[#This Row],[COMISIONES]]*0.21</f>
        <v>0</v>
      </c>
      <c r="J27" s="11"/>
      <c r="K27" s="11"/>
      <c r="L27" s="11"/>
      <c r="N27" s="11">
        <v>357.5</v>
      </c>
      <c r="O27" s="11">
        <f>Tabla3510182636[[#This Row],[COMISIONES]]*0.21</f>
        <v>75.075000000000003</v>
      </c>
      <c r="P27" s="11"/>
      <c r="Q27" s="11"/>
      <c r="R27" s="11"/>
      <c r="T27" s="11"/>
      <c r="U27" s="11">
        <f>Tabla35611192737[[#This Row],[COMISIONES]]*0.21</f>
        <v>0</v>
      </c>
      <c r="V27" s="11"/>
      <c r="W27" s="11"/>
      <c r="X27" s="11"/>
      <c r="Z27" s="11">
        <v>135.9</v>
      </c>
      <c r="AA27" s="11">
        <f>Tabla356813212939[[#This Row],[COMISIONES]]*0.21</f>
        <v>28.539000000000001</v>
      </c>
      <c r="AB27" s="11"/>
      <c r="AC27" s="11">
        <v>333.63</v>
      </c>
      <c r="AD27" s="11"/>
      <c r="AK27" s="11"/>
      <c r="AL27" s="11">
        <f>Tabla3561119273443[[#This Row],[COMISIONES]]*0.21</f>
        <v>0</v>
      </c>
      <c r="AM27" s="11"/>
      <c r="AN27" s="11"/>
      <c r="AO27" s="11"/>
    </row>
    <row r="28" spans="2:41" x14ac:dyDescent="0.3">
      <c r="B28" s="3"/>
      <c r="C28" s="2">
        <f>Tabla13162432[[#This Row],[COMISIONES]]*0.21</f>
        <v>0</v>
      </c>
      <c r="D28" s="3"/>
      <c r="E28" s="3"/>
      <c r="F28" s="3"/>
      <c r="H28" s="11"/>
      <c r="I28" s="11">
        <f>Tabla39172535[[#This Row],[COMISIONES]]*0.21</f>
        <v>0</v>
      </c>
      <c r="J28" s="11"/>
      <c r="K28" s="11"/>
      <c r="L28" s="11"/>
      <c r="N28" s="11">
        <v>300</v>
      </c>
      <c r="O28" s="11">
        <f>Tabla3510182636[[#This Row],[COMISIONES]]*0.21</f>
        <v>63</v>
      </c>
      <c r="P28" s="11"/>
      <c r="Q28" s="11"/>
      <c r="R28" s="11"/>
      <c r="T28" s="19"/>
      <c r="U28" s="19">
        <f>Tabla35611192737[[#This Row],[COMISIONES]]*0.21</f>
        <v>0</v>
      </c>
      <c r="V28" s="19"/>
      <c r="W28" s="19"/>
      <c r="X28" s="19"/>
      <c r="Z28" s="11">
        <v>146.88</v>
      </c>
      <c r="AA28" s="11">
        <f>Tabla356813212939[[#This Row],[COMISIONES]]*0.21</f>
        <v>30.844799999999999</v>
      </c>
      <c r="AB28" s="11"/>
      <c r="AC28" s="11">
        <v>360.59</v>
      </c>
      <c r="AD28" s="11"/>
      <c r="AK28" s="19"/>
      <c r="AL28" s="19">
        <f>Tabla3561119273443[[#This Row],[COMISIONES]]*0.21</f>
        <v>0</v>
      </c>
      <c r="AM28" s="19"/>
      <c r="AN28" s="19"/>
      <c r="AO28" s="19"/>
    </row>
    <row r="29" spans="2:41" x14ac:dyDescent="0.3">
      <c r="B29" s="3"/>
      <c r="C29" s="2">
        <f>Tabla13162432[[#This Row],[COMISIONES]]*0.21</f>
        <v>0</v>
      </c>
      <c r="D29" s="3"/>
      <c r="E29" s="3"/>
      <c r="F29" s="3"/>
      <c r="H29" s="11"/>
      <c r="I29" s="11">
        <f>Tabla39172535[[#This Row],[COMISIONES]]*0.21</f>
        <v>0</v>
      </c>
      <c r="J29" s="11"/>
      <c r="K29" s="11"/>
      <c r="L29" s="11"/>
      <c r="N29" s="11">
        <v>300</v>
      </c>
      <c r="O29" s="11">
        <f>Tabla3510182636[[#This Row],[COMISIONES]]*0.21</f>
        <v>63</v>
      </c>
      <c r="P29" s="11"/>
      <c r="Q29" s="11"/>
      <c r="R29" s="11"/>
      <c r="T29" s="19"/>
      <c r="U29" s="19">
        <f>Tabla35611192737[[#This Row],[COMISIONES]]*0.21</f>
        <v>0</v>
      </c>
      <c r="V29" s="19"/>
      <c r="W29" s="19"/>
      <c r="X29" s="19"/>
      <c r="Z29" s="11">
        <v>1307.6300000000001</v>
      </c>
      <c r="AA29" s="11">
        <f>Tabla356813212939[[#This Row],[COMISIONES]]*0.21</f>
        <v>274.60230000000001</v>
      </c>
      <c r="AB29" s="11">
        <v>2113.9299999999998</v>
      </c>
      <c r="AC29" s="11">
        <v>2304.27</v>
      </c>
      <c r="AD29" s="11">
        <f>301.99+39.23</f>
        <v>341.22</v>
      </c>
      <c r="AK29" s="19"/>
      <c r="AL29" s="19">
        <f>Tabla3561119273443[[#This Row],[COMISIONES]]*0.21</f>
        <v>0</v>
      </c>
      <c r="AM29" s="19"/>
      <c r="AN29" s="19"/>
      <c r="AO29" s="19"/>
    </row>
    <row r="30" spans="2:41" x14ac:dyDescent="0.3">
      <c r="B30" s="3"/>
      <c r="C30" s="2">
        <f>Tabla13162432[[#This Row],[COMISIONES]]*0.21</f>
        <v>0</v>
      </c>
      <c r="D30" s="3"/>
      <c r="E30" s="1"/>
      <c r="F30" s="3"/>
      <c r="H30" s="11"/>
      <c r="I30" s="11">
        <f>Tabla39172535[[#This Row],[COMISIONES]]*0.21</f>
        <v>0</v>
      </c>
      <c r="J30" s="11"/>
      <c r="K30" s="11"/>
      <c r="L30" s="11"/>
      <c r="N30" s="11">
        <v>300</v>
      </c>
      <c r="O30" s="11">
        <f>Tabla3510182636[[#This Row],[COMISIONES]]*0.21</f>
        <v>63</v>
      </c>
      <c r="P30" s="11"/>
      <c r="Q30" s="11"/>
      <c r="R30" s="11"/>
      <c r="T30" s="4">
        <f>SUBTOTAL(109,Tabla35611192737[COMISIONES])</f>
        <v>13169</v>
      </c>
      <c r="U30" s="4">
        <f>SUBTOTAL(109,Tabla35611192737[IVA 21])</f>
        <v>2765.49</v>
      </c>
      <c r="V30" s="4">
        <f>SUBTOTAL(109,Tabla35611192737[IVA 10,5])</f>
        <v>0</v>
      </c>
      <c r="W30" s="4">
        <f>SUBTOTAL(109,Tabla35611192737[Ret IIBB Caba])</f>
        <v>787.5</v>
      </c>
      <c r="X30" s="4">
        <f>SUBTOTAL(109,Tabla35611192737[PERC IVA])</f>
        <v>393.75</v>
      </c>
      <c r="Z30" s="11">
        <v>1218.33</v>
      </c>
      <c r="AA30" s="11">
        <f>Tabla356813212939[[#This Row],[COMISIONES]]*0.21</f>
        <v>255.84929999999997</v>
      </c>
      <c r="AB30" s="11"/>
      <c r="AC30" s="11">
        <v>2991</v>
      </c>
      <c r="AD30" s="11"/>
      <c r="AK30" s="4">
        <f>SUBTOTAL(109,Tabla3561119273443[COMISIONES])</f>
        <v>850</v>
      </c>
      <c r="AL30" s="4">
        <f>SUBTOTAL(109,Tabla3561119273443[IVA 21])</f>
        <v>178.5</v>
      </c>
      <c r="AM30" s="4">
        <f>SUBTOTAL(109,Tabla3561119273443[IVA 10,5])</f>
        <v>0</v>
      </c>
      <c r="AN30" s="4">
        <f>SUBTOTAL(109,Tabla3561119273443[Ret IIBB Caba])</f>
        <v>0</v>
      </c>
      <c r="AO30" s="4">
        <f>SUBTOTAL(109,Tabla3561119273443[PERC IVA])</f>
        <v>0</v>
      </c>
    </row>
    <row r="31" spans="2:41" ht="18" x14ac:dyDescent="0.35">
      <c r="B31" s="3"/>
      <c r="C31" s="2">
        <f>Tabla13162432[[#This Row],[COMISIONES]]*0.21</f>
        <v>0</v>
      </c>
      <c r="D31" s="3"/>
      <c r="E31" s="3"/>
      <c r="F31" s="3"/>
      <c r="H31" s="11"/>
      <c r="I31" s="11">
        <f>Tabla39172535[[#This Row],[COMISIONES]]*0.21</f>
        <v>0</v>
      </c>
      <c r="J31" s="11"/>
      <c r="K31" s="11"/>
      <c r="L31" s="11"/>
      <c r="N31" s="11">
        <v>300</v>
      </c>
      <c r="O31" s="11">
        <f>Tabla3510182636[[#This Row],[COMISIONES]]*0.21</f>
        <v>63</v>
      </c>
      <c r="P31" s="11"/>
      <c r="Q31" s="11"/>
      <c r="R31" s="11"/>
      <c r="T31" s="36" t="s">
        <v>41</v>
      </c>
      <c r="U31" s="36"/>
      <c r="V31" s="36"/>
      <c r="W31" s="36"/>
      <c r="X31" s="36"/>
      <c r="Z31" s="11">
        <v>2020.32</v>
      </c>
      <c r="AA31" s="11">
        <f>Tabla356813212939[[#This Row],[COMISIONES]]*0.21</f>
        <v>424.26719999999995</v>
      </c>
      <c r="AB31" s="11">
        <v>3428.24</v>
      </c>
      <c r="AC31" s="11">
        <v>3490.65</v>
      </c>
      <c r="AD31" s="11">
        <f>489.75+60.61</f>
        <v>550.36</v>
      </c>
    </row>
    <row r="32" spans="2:41" x14ac:dyDescent="0.3">
      <c r="B32" s="3"/>
      <c r="C32" s="2">
        <f>Tabla13162432[[#This Row],[COMISIONES]]*0.21</f>
        <v>0</v>
      </c>
      <c r="D32" s="3"/>
      <c r="E32" s="3"/>
      <c r="F32" s="3"/>
      <c r="H32" s="11"/>
      <c r="I32" s="11">
        <f>Tabla39172535[[#This Row],[COMISIONES]]*0.21</f>
        <v>0</v>
      </c>
      <c r="J32" s="11"/>
      <c r="K32" s="11"/>
      <c r="L32" s="11"/>
      <c r="N32" s="11">
        <v>300</v>
      </c>
      <c r="O32" s="11">
        <f>Tabla3510182636[[#This Row],[COMISIONES]]*0.21</f>
        <v>63</v>
      </c>
      <c r="P32" s="11"/>
      <c r="Q32" s="11"/>
      <c r="R32" s="11"/>
      <c r="T32" s="12" t="s">
        <v>2</v>
      </c>
      <c r="U32" s="13" t="s">
        <v>0</v>
      </c>
      <c r="V32" s="13" t="s">
        <v>1</v>
      </c>
      <c r="W32" s="13" t="s">
        <v>3</v>
      </c>
      <c r="X32" s="13" t="s">
        <v>4</v>
      </c>
      <c r="Z32" s="11">
        <v>583.20000000000005</v>
      </c>
      <c r="AA32" s="11">
        <f>Tabla356813212939[[#This Row],[COMISIONES]]*0.21</f>
        <v>122.47200000000001</v>
      </c>
      <c r="AB32" s="11"/>
      <c r="AC32" s="11">
        <v>1431.76</v>
      </c>
      <c r="AD32" s="11"/>
    </row>
    <row r="33" spans="2:31" x14ac:dyDescent="0.3">
      <c r="B33" s="3"/>
      <c r="C33" s="2">
        <f>Tabla13162432[[#This Row],[COMISIONES]]*0.21</f>
        <v>0</v>
      </c>
      <c r="D33" s="3"/>
      <c r="E33" s="3"/>
      <c r="F33" s="3"/>
      <c r="H33" s="11"/>
      <c r="I33" s="11">
        <f>Tabla39172535[[#This Row],[COMISIONES]]*0.21</f>
        <v>0</v>
      </c>
      <c r="J33" s="11"/>
      <c r="K33" s="11"/>
      <c r="L33" s="11"/>
      <c r="N33" s="11"/>
      <c r="O33" s="11">
        <f>Tabla3510182636[[#This Row],[COMISIONES]]*0.21</f>
        <v>0</v>
      </c>
      <c r="P33" s="11"/>
      <c r="Q33" s="11"/>
      <c r="R33" s="11"/>
      <c r="T33" s="11">
        <v>36600</v>
      </c>
      <c r="U33" s="11">
        <f>Tabla612202838[[#This Row],[COMISIONES]]*0.21</f>
        <v>7686</v>
      </c>
      <c r="V33" s="11"/>
      <c r="W33" s="11"/>
      <c r="X33" s="11">
        <v>1098</v>
      </c>
      <c r="Z33" s="11">
        <v>32.04</v>
      </c>
      <c r="AA33" s="11">
        <f>Tabla356813212939[[#This Row],[COMISIONES]]*0.21</f>
        <v>6.7283999999999997</v>
      </c>
      <c r="AB33" s="11"/>
      <c r="AC33" s="11">
        <v>78.66</v>
      </c>
      <c r="AD33" s="11"/>
    </row>
    <row r="34" spans="2:31" x14ac:dyDescent="0.3">
      <c r="B34" s="3"/>
      <c r="C34" s="2">
        <f>Tabla13162432[[#This Row],[COMISIONES]]*0.21</f>
        <v>0</v>
      </c>
      <c r="D34" s="3"/>
      <c r="E34" s="3"/>
      <c r="F34" s="3"/>
      <c r="H34" s="11"/>
      <c r="I34" s="11">
        <f>Tabla39172535[[#This Row],[COMISIONES]]*0.21</f>
        <v>0</v>
      </c>
      <c r="J34" s="11"/>
      <c r="K34" s="11"/>
      <c r="L34" s="11"/>
      <c r="N34" s="11"/>
      <c r="O34" s="11">
        <f>Tabla3510182636[[#This Row],[COMISIONES]]*0.21</f>
        <v>0</v>
      </c>
      <c r="P34" s="11"/>
      <c r="Q34" s="11"/>
      <c r="R34" s="11"/>
      <c r="T34" s="11"/>
      <c r="U34" s="11">
        <f>Tabla612202838[[#This Row],[COMISIONES]]*0.21</f>
        <v>0</v>
      </c>
      <c r="V34" s="11"/>
      <c r="W34" s="11"/>
      <c r="X34" s="11"/>
      <c r="Z34" s="11">
        <v>3047.47</v>
      </c>
      <c r="AA34" s="11">
        <f>Tabla356813212939[[#This Row],[COMISIONES]]*0.21</f>
        <v>639.9686999999999</v>
      </c>
      <c r="AB34" s="11"/>
      <c r="AC34" s="11">
        <v>7481.54</v>
      </c>
      <c r="AD34" s="11">
        <v>91.43</v>
      </c>
    </row>
    <row r="35" spans="2:31" x14ac:dyDescent="0.3">
      <c r="B35" s="3"/>
      <c r="C35" s="2">
        <f>Tabla13162432[[#This Row],[COMISIONES]]*0.21</f>
        <v>0</v>
      </c>
      <c r="D35" s="3"/>
      <c r="E35" s="3"/>
      <c r="F35" s="3"/>
      <c r="H35" s="11"/>
      <c r="I35" s="11">
        <f>Tabla39172535[[#This Row],[COMISIONES]]*0.21</f>
        <v>0</v>
      </c>
      <c r="J35" s="11"/>
      <c r="K35" s="11"/>
      <c r="L35" s="11"/>
      <c r="N35" s="11"/>
      <c r="O35" s="11">
        <f>Tabla3510182636[[#This Row],[COMISIONES]]*0.21</f>
        <v>0</v>
      </c>
      <c r="P35" s="11"/>
      <c r="Q35" s="11"/>
      <c r="R35" s="11"/>
      <c r="T35" s="11"/>
      <c r="U35" s="20">
        <f>Tabla612202838[[#This Row],[COMISIONES]]*0.21</f>
        <v>0</v>
      </c>
      <c r="Z35" s="11">
        <v>252</v>
      </c>
      <c r="AA35" s="11">
        <f>Tabla356813212939[[#This Row],[COMISIONES]]*0.21</f>
        <v>52.919999999999995</v>
      </c>
      <c r="AB35" s="11"/>
      <c r="AC35" s="11">
        <v>618.66</v>
      </c>
      <c r="AD35" s="11"/>
    </row>
    <row r="36" spans="2:31" x14ac:dyDescent="0.3">
      <c r="B36" s="3"/>
      <c r="C36" s="2">
        <f>Tabla13162432[[#This Row],[COMISIONES]]*0.21</f>
        <v>0</v>
      </c>
      <c r="D36" s="3"/>
      <c r="E36" s="3"/>
      <c r="F36" s="3"/>
      <c r="H36" s="11"/>
      <c r="I36" s="11">
        <f>Tabla39172535[[#This Row],[COMISIONES]]*0.21</f>
        <v>0</v>
      </c>
      <c r="J36" s="11"/>
      <c r="K36" s="11"/>
      <c r="L36" s="11"/>
      <c r="N36" s="11"/>
      <c r="O36" s="11">
        <f>Tabla3510182636[[#This Row],[COMISIONES]]*0.21</f>
        <v>0</v>
      </c>
      <c r="P36" s="11"/>
      <c r="Q36" s="11"/>
      <c r="R36" s="11"/>
      <c r="T36" s="11"/>
      <c r="U36" s="20">
        <f>Tabla612202838[[#This Row],[COMISIONES]]*0.21</f>
        <v>0</v>
      </c>
      <c r="Z36" s="22">
        <v>664.56</v>
      </c>
      <c r="AA36" s="22">
        <f>Tabla356813212939[[#This Row],[COMISIONES]]*0.21</f>
        <v>139.55759999999998</v>
      </c>
      <c r="AB36" s="22"/>
      <c r="AC36" s="22">
        <v>1631.5</v>
      </c>
      <c r="AD36" s="23"/>
    </row>
    <row r="37" spans="2:31" x14ac:dyDescent="0.3">
      <c r="B37" s="3"/>
      <c r="C37" s="2">
        <f>Tabla13162432[[#This Row],[COMISIONES]]*0.21</f>
        <v>0</v>
      </c>
      <c r="D37" s="3"/>
      <c r="E37" s="3"/>
      <c r="F37" s="3"/>
      <c r="H37" s="11"/>
      <c r="I37" s="11">
        <f>Tabla39172535[[#This Row],[COMISIONES]]*0.21</f>
        <v>0</v>
      </c>
      <c r="J37" s="11"/>
      <c r="K37" s="11"/>
      <c r="L37" s="11"/>
      <c r="N37" s="11"/>
      <c r="O37" s="11">
        <f>Tabla3510182636[[#This Row],[COMISIONES]]*0.21</f>
        <v>0</v>
      </c>
      <c r="P37" s="11"/>
      <c r="Q37" s="11"/>
      <c r="R37" s="11"/>
      <c r="T37" s="11"/>
      <c r="U37" s="20">
        <f>Tabla612202838[[#This Row],[COMISIONES]]*0.21</f>
        <v>0</v>
      </c>
      <c r="Z37" s="22">
        <v>3611.41</v>
      </c>
      <c r="AA37" s="22">
        <f>Tabla356813212939[[#This Row],[COMISIONES]]*0.21</f>
        <v>758.39609999999993</v>
      </c>
      <c r="AB37" s="22">
        <v>4391.3500000000004</v>
      </c>
      <c r="AC37" s="22">
        <v>6984.01</v>
      </c>
      <c r="AD37" s="22">
        <f>627.34+108.34</f>
        <v>735.68000000000006</v>
      </c>
    </row>
    <row r="38" spans="2:31" x14ac:dyDescent="0.3">
      <c r="B38" s="3"/>
      <c r="C38" s="2">
        <f>Tabla13162432[[#This Row],[COMISIONES]]*0.21</f>
        <v>0</v>
      </c>
      <c r="D38" s="3"/>
      <c r="E38" s="3"/>
      <c r="F38" s="3"/>
      <c r="H38" s="11"/>
      <c r="I38" s="11">
        <f>Tabla39172535[[#This Row],[COMISIONES]]*0.21</f>
        <v>0</v>
      </c>
      <c r="J38" s="11"/>
      <c r="K38" s="11"/>
      <c r="L38" s="11"/>
      <c r="N38" s="11"/>
      <c r="O38" s="11">
        <f>Tabla3510182636[[#This Row],[COMISIONES]]*0.21</f>
        <v>0</v>
      </c>
      <c r="P38" s="11"/>
      <c r="Q38" s="11"/>
      <c r="R38" s="11"/>
      <c r="T38" s="11"/>
      <c r="U38" s="20">
        <f>Tabla612202838[[#This Row],[COMISIONES]]*0.21</f>
        <v>0</v>
      </c>
      <c r="Z38" s="22">
        <v>1029.1500000000001</v>
      </c>
      <c r="AA38" s="22">
        <f>Tabla356813212939[[#This Row],[COMISIONES]]*0.21</f>
        <v>216.1215</v>
      </c>
      <c r="AB38" s="22"/>
      <c r="AC38" s="22">
        <v>2526.56</v>
      </c>
      <c r="AD38" s="22"/>
    </row>
    <row r="39" spans="2:31" x14ac:dyDescent="0.3">
      <c r="B39" s="3"/>
      <c r="C39" s="2">
        <f>Tabla13162432[[#This Row],[COMISIONES]]*0.21</f>
        <v>0</v>
      </c>
      <c r="D39" s="3"/>
      <c r="E39" s="3"/>
      <c r="F39" s="3"/>
      <c r="H39" s="11"/>
      <c r="I39" s="11">
        <f>Tabla39172535[[#This Row],[COMISIONES]]*0.21</f>
        <v>0</v>
      </c>
      <c r="J39" s="11"/>
      <c r="K39" s="11"/>
      <c r="L39" s="11"/>
      <c r="N39" s="11"/>
      <c r="O39" s="11">
        <f>Tabla3510182636[[#This Row],[COMISIONES]]*0.21</f>
        <v>0</v>
      </c>
      <c r="P39" s="11"/>
      <c r="Q39" s="11"/>
      <c r="R39" s="11"/>
      <c r="T39" s="11"/>
      <c r="U39" s="20">
        <f>Tabla612202838[[#This Row],[COMISIONES]]*0.21</f>
        <v>0</v>
      </c>
      <c r="Z39" s="22">
        <v>823.83</v>
      </c>
      <c r="AA39" s="22">
        <f>Tabla356813212939[[#This Row],[COMISIONES]]*0.21</f>
        <v>173.0043</v>
      </c>
      <c r="AB39" s="22"/>
      <c r="AC39" s="22">
        <v>1565.35</v>
      </c>
      <c r="AD39" s="22">
        <f>304.77+24.71</f>
        <v>329.47999999999996</v>
      </c>
    </row>
    <row r="40" spans="2:31" x14ac:dyDescent="0.3">
      <c r="B40" s="3"/>
      <c r="C40" s="2">
        <f>Tabla13162432[[#This Row],[COMISIONES]]*0.21</f>
        <v>0</v>
      </c>
      <c r="D40" s="3"/>
      <c r="E40" s="3"/>
      <c r="F40" s="3"/>
      <c r="H40" s="19"/>
      <c r="I40" s="19">
        <f>Tabla39172535[[#This Row],[COMISIONES]]*0.21</f>
        <v>0</v>
      </c>
      <c r="J40" s="19"/>
      <c r="K40" s="19"/>
      <c r="L40" s="19"/>
      <c r="N40" s="11"/>
      <c r="O40" s="11">
        <f>Tabla3510182636[[#This Row],[COMISIONES]]*0.21</f>
        <v>0</v>
      </c>
      <c r="P40" s="11"/>
      <c r="Q40" s="11"/>
      <c r="R40" s="11"/>
      <c r="T40" s="11"/>
      <c r="U40" s="20">
        <f>Tabla612202838[[#This Row],[COMISIONES]]*0.21</f>
        <v>0</v>
      </c>
      <c r="Z40" s="22">
        <v>635.4</v>
      </c>
      <c r="AA40" s="22">
        <f>Tabla356813212939[[#This Row],[COMISIONES]]*0.21</f>
        <v>133.434</v>
      </c>
      <c r="AB40" s="22"/>
      <c r="AC40" s="22">
        <v>1559.91</v>
      </c>
      <c r="AD40" s="22"/>
    </row>
    <row r="41" spans="2:31" x14ac:dyDescent="0.3">
      <c r="B41" s="3"/>
      <c r="C41" s="2">
        <f>Tabla13162432[[#This Row],[COMISIONES]]*0.21</f>
        <v>0</v>
      </c>
      <c r="D41" s="3"/>
      <c r="E41" s="3"/>
      <c r="F41" s="3"/>
      <c r="H41" s="19"/>
      <c r="I41" s="19">
        <f>Tabla39172535[[#This Row],[COMISIONES]]*0.21</f>
        <v>0</v>
      </c>
      <c r="J41" s="19"/>
      <c r="K41" s="19"/>
      <c r="L41" s="19"/>
      <c r="N41" s="11"/>
      <c r="O41" s="11">
        <f>Tabla3510182636[[#This Row],[COMISIONES]]*0.21</f>
        <v>0</v>
      </c>
      <c r="P41" s="11"/>
      <c r="Q41" s="11"/>
      <c r="R41" s="11"/>
      <c r="T41" s="11"/>
      <c r="U41" s="20">
        <f>Tabla612202838[[#This Row],[COMISIONES]]*0.21</f>
        <v>0</v>
      </c>
      <c r="Z41" s="22">
        <v>1048.33</v>
      </c>
      <c r="AA41" s="22">
        <f>Tabla356813212939[[#This Row],[COMISIONES]]*0.21</f>
        <v>220.14929999999998</v>
      </c>
      <c r="AB41" s="22">
        <v>1274.73</v>
      </c>
      <c r="AC41" s="22">
        <v>2027.34</v>
      </c>
      <c r="AD41" s="22">
        <f>182.1+31.45</f>
        <v>213.54999999999998</v>
      </c>
    </row>
    <row r="42" spans="2:31" x14ac:dyDescent="0.3">
      <c r="B42" s="3"/>
      <c r="C42" s="2">
        <f>Tabla13162432[[#This Row],[COMISIONES]]*0.21</f>
        <v>0</v>
      </c>
      <c r="D42" s="3"/>
      <c r="E42" s="3"/>
      <c r="F42" s="3"/>
      <c r="G42" s="8"/>
      <c r="H42" s="19"/>
      <c r="I42" s="19">
        <f>Tabla39172535[[#This Row],[COMISIONES]]*0.21</f>
        <v>0</v>
      </c>
      <c r="J42" s="19"/>
      <c r="K42" s="19"/>
      <c r="L42" s="19"/>
      <c r="M42" s="8"/>
      <c r="N42" s="11"/>
      <c r="O42" s="11">
        <f>Tabla3510182636[[#This Row],[COMISIONES]]*0.21</f>
        <v>0</v>
      </c>
      <c r="P42" s="11"/>
      <c r="Q42" s="11"/>
      <c r="R42" s="11"/>
      <c r="S42" s="8"/>
      <c r="T42" s="11"/>
      <c r="U42" s="20">
        <f>Tabla612202838[[#This Row],[COMISIONES]]*0.21</f>
        <v>0</v>
      </c>
      <c r="Y42" s="8"/>
      <c r="Z42" s="22">
        <v>710.1</v>
      </c>
      <c r="AA42" s="22">
        <f>Tabla356813212939[[#This Row],[COMISIONES]]*0.21</f>
        <v>149.12100000000001</v>
      </c>
      <c r="AB42" s="22"/>
      <c r="AC42" s="22">
        <v>1743.3</v>
      </c>
      <c r="AD42" s="22"/>
      <c r="AE42" s="8"/>
    </row>
    <row r="43" spans="2:31" x14ac:dyDescent="0.3">
      <c r="B43" s="3"/>
      <c r="C43" s="2">
        <f>Tabla13162432[[#This Row],[COMISIONES]]*0.21</f>
        <v>0</v>
      </c>
      <c r="D43" s="3"/>
      <c r="E43" s="3"/>
      <c r="F43" s="3"/>
      <c r="H43" s="19"/>
      <c r="I43" s="19">
        <f>Tabla39172535[[#This Row],[COMISIONES]]*0.21</f>
        <v>0</v>
      </c>
      <c r="J43" s="19"/>
      <c r="K43" s="19"/>
      <c r="L43" s="19"/>
      <c r="N43" s="11"/>
      <c r="O43" s="11">
        <f>Tabla3510182636[[#This Row],[COMISIONES]]*0.21</f>
        <v>0</v>
      </c>
      <c r="P43" s="11"/>
      <c r="Q43" s="11"/>
      <c r="R43" s="11"/>
      <c r="U43" s="20">
        <f>Tabla612202838[[#This Row],[COMISIONES]]*0.21</f>
        <v>0</v>
      </c>
      <c r="Z43" s="22">
        <v>385.2</v>
      </c>
      <c r="AA43" s="22">
        <f>Tabla356813212939[[#This Row],[COMISIONES]]*0.21</f>
        <v>80.891999999999996</v>
      </c>
      <c r="AB43" s="22">
        <v>361.55</v>
      </c>
      <c r="AC43" s="22">
        <v>790.72</v>
      </c>
      <c r="AD43" s="22">
        <f>51.65+11.56</f>
        <v>63.21</v>
      </c>
    </row>
    <row r="44" spans="2:31" x14ac:dyDescent="0.3">
      <c r="B44" s="3"/>
      <c r="C44" s="2">
        <f>Tabla13162432[[#This Row],[COMISIONES]]*0.21</f>
        <v>0</v>
      </c>
      <c r="D44" s="3"/>
      <c r="E44" s="3"/>
      <c r="F44" s="3"/>
      <c r="H44" s="19"/>
      <c r="I44" s="19">
        <f>Tabla39172535[[#This Row],[COMISIONES]]*0.21</f>
        <v>0</v>
      </c>
      <c r="J44" s="19"/>
      <c r="K44" s="19"/>
      <c r="L44" s="19"/>
      <c r="N44" s="11"/>
      <c r="O44" s="11">
        <f>Tabla3510182636[[#This Row],[COMISIONES]]*0.21</f>
        <v>0</v>
      </c>
      <c r="P44" s="11"/>
      <c r="Q44" s="11"/>
      <c r="R44" s="11"/>
      <c r="U44" s="20">
        <f>Tabla612202838[[#This Row],[COMISIONES]]*0.21</f>
        <v>0</v>
      </c>
      <c r="Z44" s="22">
        <v>2237.4</v>
      </c>
      <c r="AA44" s="22">
        <f>Tabla356813212939[[#This Row],[COMISIONES]]*0.21</f>
        <v>469.85399999999998</v>
      </c>
      <c r="AB44" s="22"/>
      <c r="AC44" s="22">
        <v>5492.82</v>
      </c>
      <c r="AD44" s="22">
        <v>67.12</v>
      </c>
    </row>
    <row r="45" spans="2:31" x14ac:dyDescent="0.3">
      <c r="B45" s="3"/>
      <c r="C45" s="2">
        <f>Tabla13162432[[#This Row],[COMISIONES]]*0.21</f>
        <v>0</v>
      </c>
      <c r="D45" s="3"/>
      <c r="E45" s="3"/>
      <c r="F45" s="3"/>
      <c r="H45" s="19"/>
      <c r="I45" s="19">
        <f>Tabla39172535[[#This Row],[COMISIONES]]*0.21</f>
        <v>0</v>
      </c>
      <c r="J45" s="19"/>
      <c r="K45" s="19"/>
      <c r="L45" s="19"/>
      <c r="N45" s="11"/>
      <c r="O45" s="11">
        <f>Tabla3510182636[[#This Row],[COMISIONES]]*0.21</f>
        <v>0</v>
      </c>
      <c r="P45" s="11"/>
      <c r="Q45" s="11"/>
      <c r="R45" s="11"/>
      <c r="U45" s="20">
        <f>Tabla612202838[[#This Row],[COMISIONES]]*0.21</f>
        <v>0</v>
      </c>
      <c r="Z45" s="22">
        <v>979.02</v>
      </c>
      <c r="AA45" s="22">
        <f>Tabla356813212939[[#This Row],[COMISIONES]]*0.21</f>
        <v>205.5942</v>
      </c>
      <c r="AB45" s="22"/>
      <c r="AC45" s="22">
        <v>2403.4899999999998</v>
      </c>
      <c r="AD45" s="22"/>
    </row>
    <row r="46" spans="2:31" x14ac:dyDescent="0.3">
      <c r="B46" s="3"/>
      <c r="C46" s="2">
        <f>Tabla13162432[[#This Row],[COMISIONES]]*0.21</f>
        <v>0</v>
      </c>
      <c r="D46" s="3"/>
      <c r="E46" s="3"/>
      <c r="F46" s="3"/>
      <c r="H46" s="19"/>
      <c r="I46" s="19">
        <f>Tabla39172535[[#This Row],[COMISIONES]]*0.21</f>
        <v>0</v>
      </c>
      <c r="J46" s="19"/>
      <c r="K46" s="19"/>
      <c r="L46" s="19"/>
      <c r="N46" s="11"/>
      <c r="O46" s="11">
        <f>Tabla3510182636[[#This Row],[COMISIONES]]*0.21</f>
        <v>0</v>
      </c>
      <c r="P46" s="11"/>
      <c r="Q46" s="11"/>
      <c r="R46" s="11"/>
      <c r="U46" s="20">
        <f>Tabla612202838[[#This Row],[COMISIONES]]*0.21</f>
        <v>0</v>
      </c>
      <c r="Z46" s="22">
        <v>136.80000000000001</v>
      </c>
      <c r="AA46" s="22">
        <f>Tabla356813212939[[#This Row],[COMISIONES]]*0.21</f>
        <v>28.728000000000002</v>
      </c>
      <c r="AB46" s="22"/>
      <c r="AC46" s="22">
        <v>335.84</v>
      </c>
      <c r="AD46" s="22"/>
    </row>
    <row r="47" spans="2:31" x14ac:dyDescent="0.3">
      <c r="B47" s="3"/>
      <c r="C47" s="2">
        <f>Tabla13162432[[#This Row],[COMISIONES]]*0.21</f>
        <v>0</v>
      </c>
      <c r="D47" s="3"/>
      <c r="E47" s="3"/>
      <c r="F47" s="3"/>
      <c r="H47" s="19"/>
      <c r="I47" s="19">
        <f>Tabla39172535[[#This Row],[COMISIONES]]*0.21</f>
        <v>0</v>
      </c>
      <c r="J47" s="19"/>
      <c r="K47" s="19"/>
      <c r="L47" s="19"/>
      <c r="N47" s="11"/>
      <c r="O47" s="11">
        <f>Tabla3510182636[[#This Row],[COMISIONES]]*0.21</f>
        <v>0</v>
      </c>
      <c r="P47" s="11"/>
      <c r="Q47" s="11"/>
      <c r="R47" s="11"/>
      <c r="U47" s="20">
        <f>Tabla612202838[[#This Row],[COMISIONES]]*0.21</f>
        <v>0</v>
      </c>
      <c r="Z47" s="22">
        <v>1124.3499999999999</v>
      </c>
      <c r="AA47" s="22">
        <f>Tabla356813212939[[#This Row],[COMISIONES]]*0.21</f>
        <v>236.11349999999996</v>
      </c>
      <c r="AB47" s="22">
        <v>1162.73</v>
      </c>
      <c r="AC47" s="22">
        <v>2159.1799999999998</v>
      </c>
      <c r="AD47" s="22">
        <f>283.41+33.73</f>
        <v>317.14000000000004</v>
      </c>
    </row>
    <row r="48" spans="2:31" x14ac:dyDescent="0.3">
      <c r="B48" s="3"/>
      <c r="C48" s="2">
        <f>Tabla13162432[[#This Row],[COMISIONES]]*0.21</f>
        <v>0</v>
      </c>
      <c r="D48" s="3"/>
      <c r="E48" s="3"/>
      <c r="F48" s="3"/>
      <c r="H48" s="19"/>
      <c r="I48" s="19">
        <f>Tabla39172535[[#This Row],[COMISIONES]]*0.21</f>
        <v>0</v>
      </c>
      <c r="J48" s="19"/>
      <c r="K48" s="19"/>
      <c r="L48" s="19"/>
      <c r="N48" s="11"/>
      <c r="O48" s="11">
        <f>Tabla3510182636[[#This Row],[COMISIONES]]*0.21</f>
        <v>0</v>
      </c>
      <c r="P48" s="11"/>
      <c r="Q48" s="11"/>
      <c r="R48" s="11"/>
      <c r="U48" s="20">
        <f>Tabla612202838[[#This Row],[COMISIONES]]*0.21</f>
        <v>0</v>
      </c>
      <c r="Z48" s="22">
        <v>72</v>
      </c>
      <c r="AA48" s="22">
        <f>Tabla356813212939[[#This Row],[COMISIONES]]*0.21</f>
        <v>15.12</v>
      </c>
      <c r="AB48" s="22"/>
      <c r="AC48" s="22">
        <v>176.76</v>
      </c>
      <c r="AD48" s="22"/>
    </row>
    <row r="49" spans="2:30" x14ac:dyDescent="0.3">
      <c r="B49" s="3"/>
      <c r="C49" s="2">
        <f>Tabla13162432[[#This Row],[COMISIONES]]*0.21</f>
        <v>0</v>
      </c>
      <c r="D49" s="3"/>
      <c r="E49" s="3"/>
      <c r="F49" s="3"/>
      <c r="H49" s="19"/>
      <c r="I49" s="19">
        <f>Tabla39172535[[#This Row],[COMISIONES]]*0.21</f>
        <v>0</v>
      </c>
      <c r="J49" s="19"/>
      <c r="K49" s="19"/>
      <c r="L49" s="19"/>
      <c r="N49" s="11"/>
      <c r="O49" s="11">
        <f>Tabla3510182636[[#This Row],[COMISIONES]]*0.21</f>
        <v>0</v>
      </c>
      <c r="P49" s="11"/>
      <c r="Q49" s="11"/>
      <c r="R49" s="11"/>
      <c r="U49" s="20">
        <f>Tabla612202838[[#This Row],[COMISIONES]]*0.21</f>
        <v>0</v>
      </c>
      <c r="Z49" s="22">
        <v>1272.24</v>
      </c>
      <c r="AA49" s="22">
        <f>Tabla356813212939[[#This Row],[COMISIONES]]*0.21</f>
        <v>267.17039999999997</v>
      </c>
      <c r="AB49" s="22"/>
      <c r="AC49" s="22">
        <v>3123.35</v>
      </c>
      <c r="AD49" s="22"/>
    </row>
    <row r="50" spans="2:30" x14ac:dyDescent="0.3">
      <c r="B50" s="2"/>
      <c r="C50" s="2">
        <f>Tabla13162432[[#This Row],[COMISIONES]]*0.21</f>
        <v>0</v>
      </c>
      <c r="D50" s="2"/>
      <c r="E50" s="2"/>
      <c r="H50" s="19"/>
      <c r="I50" s="19">
        <f>Tabla39172535[[#This Row],[COMISIONES]]*0.21</f>
        <v>0</v>
      </c>
      <c r="J50" s="19"/>
      <c r="K50" s="19"/>
      <c r="L50" s="19"/>
      <c r="N50" s="11"/>
      <c r="O50" s="11">
        <f>Tabla3510182636[[#This Row],[COMISIONES]]*0.21</f>
        <v>0</v>
      </c>
      <c r="P50" s="11"/>
      <c r="Q50" s="11"/>
      <c r="R50" s="11"/>
      <c r="U50" s="20">
        <f>Tabla612202838[[#This Row],[COMISIONES]]*0.21</f>
        <v>0</v>
      </c>
      <c r="Z50" s="22">
        <v>271.8</v>
      </c>
      <c r="AA50" s="22">
        <f>Tabla356813212939[[#This Row],[COMISIONES]]*0.21</f>
        <v>57.078000000000003</v>
      </c>
      <c r="AB50" s="22"/>
      <c r="AC50" s="22">
        <v>667.27</v>
      </c>
      <c r="AD50" s="22"/>
    </row>
    <row r="51" spans="2:30" x14ac:dyDescent="0.3">
      <c r="B51" s="2"/>
      <c r="C51" s="2">
        <f>Tabla13162432[[#This Row],[COMISIONES]]*0.21</f>
        <v>0</v>
      </c>
      <c r="D51" s="2"/>
      <c r="E51" s="2"/>
      <c r="H51" s="19"/>
      <c r="I51" s="19">
        <f>Tabla39172535[[#This Row],[COMISIONES]]*0.21</f>
        <v>0</v>
      </c>
      <c r="J51" s="19"/>
      <c r="K51" s="19"/>
      <c r="L51" s="19"/>
      <c r="N51" s="11"/>
      <c r="O51" s="11">
        <f>Tabla3510182636[[#This Row],[COMISIONES]]*0.21</f>
        <v>0</v>
      </c>
      <c r="P51" s="11"/>
      <c r="Q51" s="11"/>
      <c r="R51" s="11"/>
      <c r="U51" s="20">
        <f>Tabla612202838[[#This Row],[COMISIONES]]*0.21</f>
        <v>0</v>
      </c>
      <c r="Z51" s="22">
        <v>248.4</v>
      </c>
      <c r="AA51" s="22">
        <f>Tabla356813212939[[#This Row],[COMISIONES]]*0.21</f>
        <v>52.164000000000001</v>
      </c>
      <c r="AB51" s="22"/>
      <c r="AC51" s="22">
        <v>609.82000000000005</v>
      </c>
      <c r="AD51" s="22"/>
    </row>
    <row r="52" spans="2:30" x14ac:dyDescent="0.3">
      <c r="B52" s="2"/>
      <c r="C52" s="2">
        <f>Tabla13162432[[#This Row],[COMISIONES]]*0.21</f>
        <v>0</v>
      </c>
      <c r="D52" s="2"/>
      <c r="E52" s="2"/>
      <c r="H52" s="25">
        <f>SUBTOTAL(109,Tabla39172535[COMISIONES])</f>
        <v>3997.22</v>
      </c>
      <c r="I52" s="25">
        <f>SUBTOTAL(109,Tabla39172535[IVA 21])</f>
        <v>839.41619999999989</v>
      </c>
      <c r="J52" s="25">
        <f>SUBTOTAL(109,Tabla39172535[IVA 10,5])</f>
        <v>0</v>
      </c>
      <c r="K52" s="25">
        <f>SUBTOTAL(109,Tabla39172535[Ret IIBB Caba])</f>
        <v>0</v>
      </c>
      <c r="L52" s="25">
        <f>SUBTOTAL(109,Tabla39172535[PERC IVA])</f>
        <v>0</v>
      </c>
      <c r="N52" s="11"/>
      <c r="O52" s="11">
        <f>Tabla3510182636[[#This Row],[COMISIONES]]*0.21</f>
        <v>0</v>
      </c>
      <c r="P52" s="11"/>
      <c r="Q52" s="11"/>
      <c r="R52" s="11"/>
      <c r="U52" s="20">
        <f>Tabla612202838[[#This Row],[COMISIONES]]*0.21</f>
        <v>0</v>
      </c>
      <c r="Z52" s="22">
        <v>1748.29</v>
      </c>
      <c r="AA52" s="22">
        <f>Tabla356813212939[[#This Row],[COMISIONES]]*0.21</f>
        <v>367.14089999999999</v>
      </c>
      <c r="AB52" s="22">
        <v>3049.96</v>
      </c>
      <c r="AC52" s="22">
        <v>2984.94</v>
      </c>
      <c r="AD52" s="22">
        <f>435.71+52.45</f>
        <v>488.15999999999997</v>
      </c>
    </row>
    <row r="53" spans="2:30" ht="18" x14ac:dyDescent="0.35">
      <c r="B53" s="2"/>
      <c r="C53" s="2">
        <f>Tabla13162432[[#This Row],[COMISIONES]]*0.21</f>
        <v>0</v>
      </c>
      <c r="D53" s="2"/>
      <c r="E53" s="2"/>
      <c r="H53" s="30" t="s">
        <v>20</v>
      </c>
      <c r="I53" s="30"/>
      <c r="J53" s="30"/>
      <c r="K53" s="30"/>
      <c r="L53" s="30"/>
      <c r="N53" s="11"/>
      <c r="O53" s="11">
        <f>Tabla3510182636[[#This Row],[COMISIONES]]*0.21</f>
        <v>0</v>
      </c>
      <c r="P53" s="11"/>
      <c r="Q53" s="11"/>
      <c r="R53" s="11"/>
      <c r="U53" s="20">
        <f>Tabla612202838[[#This Row],[COMISIONES]]*0.21</f>
        <v>0</v>
      </c>
      <c r="Z53" s="22">
        <v>236.7</v>
      </c>
      <c r="AA53" s="22">
        <f>Tabla356813212939[[#This Row],[COMISIONES]]*0.21</f>
        <v>49.706999999999994</v>
      </c>
      <c r="AB53" s="22"/>
      <c r="AC53" s="22">
        <v>581.1</v>
      </c>
      <c r="AD53" s="22"/>
    </row>
    <row r="54" spans="2:30" x14ac:dyDescent="0.3">
      <c r="B54" s="2"/>
      <c r="C54" s="2">
        <f>Tabla13162432[[#This Row],[COMISIONES]]*0.21</f>
        <v>0</v>
      </c>
      <c r="D54" s="2"/>
      <c r="E54" s="2"/>
      <c r="H54" s="12" t="s">
        <v>2</v>
      </c>
      <c r="I54" s="13" t="s">
        <v>0</v>
      </c>
      <c r="J54" s="13" t="s">
        <v>1</v>
      </c>
      <c r="K54" s="13" t="s">
        <v>3</v>
      </c>
      <c r="L54" s="13" t="s">
        <v>4</v>
      </c>
      <c r="N54" s="11"/>
      <c r="O54" s="11">
        <f>Tabla3510182636[[#This Row],[COMISIONES]]*0.21</f>
        <v>0</v>
      </c>
      <c r="P54" s="11"/>
      <c r="Q54" s="11"/>
      <c r="R54" s="11"/>
      <c r="U54" s="20">
        <f>Tabla612202838[[#This Row],[COMISIONES]]*0.21</f>
        <v>0</v>
      </c>
      <c r="Z54" s="22">
        <v>201.6</v>
      </c>
      <c r="AA54" s="22">
        <f>Tabla356813212939[[#This Row],[COMISIONES]]*0.21</f>
        <v>42.335999999999999</v>
      </c>
      <c r="AB54" s="22"/>
      <c r="AC54" s="22">
        <v>494.93</v>
      </c>
      <c r="AD54" s="22"/>
    </row>
    <row r="55" spans="2:30" x14ac:dyDescent="0.3">
      <c r="B55" s="2"/>
      <c r="C55" s="2">
        <f>Tabla13162432[[#This Row],[COMISIONES]]*0.21</f>
        <v>0</v>
      </c>
      <c r="D55" s="2"/>
      <c r="E55" s="2"/>
      <c r="H55" s="3"/>
      <c r="I55" s="11">
        <f>Tabla3915233141[[#This Row],[COMISIONES]]*0.21</f>
        <v>0</v>
      </c>
      <c r="J55" s="11"/>
      <c r="K55" s="11"/>
      <c r="L55" s="11"/>
      <c r="N55" s="11"/>
      <c r="O55" s="11">
        <f>Tabla3510182636[[#This Row],[COMISIONES]]*0.21</f>
        <v>0</v>
      </c>
      <c r="P55" s="11"/>
      <c r="Q55" s="11"/>
      <c r="R55" s="11"/>
      <c r="U55" s="20">
        <f>Tabla612202838[[#This Row],[COMISIONES]]*0.21</f>
        <v>0</v>
      </c>
      <c r="Z55" s="22">
        <v>1418.64</v>
      </c>
      <c r="AA55" s="22">
        <f>Tabla356813212939[[#This Row],[COMISIONES]]*0.21</f>
        <v>297.9144</v>
      </c>
      <c r="AB55" s="22">
        <v>2574.69</v>
      </c>
      <c r="AC55" s="22">
        <v>2379.33</v>
      </c>
      <c r="AD55" s="22">
        <f>367.81+42.56</f>
        <v>410.37</v>
      </c>
    </row>
    <row r="56" spans="2:30" x14ac:dyDescent="0.3">
      <c r="B56" s="2"/>
      <c r="C56" s="2">
        <f>Tabla13162432[[#This Row],[COMISIONES]]*0.21</f>
        <v>0</v>
      </c>
      <c r="D56" s="2"/>
      <c r="E56" s="2"/>
      <c r="H56" s="11"/>
      <c r="I56" s="11">
        <f>Tabla3915233141[[#This Row],[COMISIONES]]*0.21</f>
        <v>0</v>
      </c>
      <c r="J56" s="11"/>
      <c r="K56" s="11"/>
      <c r="L56" s="22"/>
      <c r="N56" s="11"/>
      <c r="O56" s="11">
        <f>Tabla3510182636[[#This Row],[COMISIONES]]*0.21</f>
        <v>0</v>
      </c>
      <c r="P56" s="11"/>
      <c r="Q56" s="11"/>
      <c r="R56" s="11"/>
      <c r="U56" s="20">
        <f>Tabla612202838[[#This Row],[COMISIONES]]*0.21</f>
        <v>0</v>
      </c>
      <c r="Z56" s="22">
        <v>1256.4000000000001</v>
      </c>
      <c r="AA56" s="22">
        <f>Tabla356813212939[[#This Row],[COMISIONES]]*0.21</f>
        <v>263.84399999999999</v>
      </c>
      <c r="AB56" s="22"/>
      <c r="AC56" s="22">
        <v>3084.46</v>
      </c>
      <c r="AD56" s="22"/>
    </row>
    <row r="57" spans="2:30" x14ac:dyDescent="0.3">
      <c r="B57" s="2"/>
      <c r="C57" s="2">
        <f>Tabla13162432[[#This Row],[COMISIONES]]*0.21</f>
        <v>0</v>
      </c>
      <c r="D57" s="1"/>
      <c r="E57" s="2"/>
      <c r="H57" s="11"/>
      <c r="I57" s="11">
        <f>Tabla3915233141[[#This Row],[COMISIONES]]*0.21</f>
        <v>0</v>
      </c>
      <c r="J57" s="11"/>
      <c r="K57" s="11"/>
      <c r="L57" s="11"/>
      <c r="N57" s="11"/>
      <c r="O57" s="11">
        <f>Tabla3510182636[[#This Row],[COMISIONES]]*0.21</f>
        <v>0</v>
      </c>
      <c r="P57" s="11"/>
      <c r="Q57" s="11"/>
      <c r="R57" s="11"/>
      <c r="U57" s="20">
        <f>Tabla612202838[[#This Row],[COMISIONES]]*0.21</f>
        <v>0</v>
      </c>
      <c r="Z57" s="22">
        <v>503.76</v>
      </c>
      <c r="AA57" s="22">
        <f>Tabla356813212939[[#This Row],[COMISIONES]]*0.21</f>
        <v>105.78959999999999</v>
      </c>
      <c r="AB57" s="22">
        <v>637.13</v>
      </c>
      <c r="AC57" s="22">
        <v>963.66</v>
      </c>
      <c r="AD57" s="22">
        <f>91.02+15.11</f>
        <v>106.13</v>
      </c>
    </row>
    <row r="58" spans="2:30" x14ac:dyDescent="0.3">
      <c r="B58" s="2"/>
      <c r="C58" s="2">
        <f>Tabla13162432[[#This Row],[COMISIONES]]*0.21</f>
        <v>0</v>
      </c>
      <c r="D58" s="2"/>
      <c r="E58" s="2"/>
      <c r="H58" s="11"/>
      <c r="I58" s="11">
        <f>Tabla3915233141[[#This Row],[COMISIONES]]*0.21</f>
        <v>0</v>
      </c>
      <c r="J58" s="11"/>
      <c r="K58" s="11"/>
      <c r="L58" s="11"/>
      <c r="N58" s="11"/>
      <c r="O58" s="11">
        <f>Tabla3510182636[[#This Row],[COMISIONES]]*0.21</f>
        <v>0</v>
      </c>
      <c r="P58" s="11"/>
      <c r="Q58" s="11"/>
      <c r="R58" s="11"/>
      <c r="U58" s="20">
        <f>Tabla612202838[[#This Row],[COMISIONES]]*0.21</f>
        <v>0</v>
      </c>
      <c r="Z58" s="22">
        <v>100.8</v>
      </c>
      <c r="AA58" s="22">
        <f>Tabla356813212939[[#This Row],[COMISIONES]]*0.21</f>
        <v>21.167999999999999</v>
      </c>
      <c r="AB58" s="22"/>
      <c r="AC58" s="22">
        <v>247.46</v>
      </c>
      <c r="AD58" s="22"/>
    </row>
    <row r="59" spans="2:30" x14ac:dyDescent="0.3">
      <c r="B59" s="2"/>
      <c r="C59" s="2">
        <f>Tabla13162432[[#This Row],[COMISIONES]]*0.21</f>
        <v>0</v>
      </c>
      <c r="D59" s="2"/>
      <c r="E59" s="2"/>
      <c r="H59" s="11"/>
      <c r="I59" s="11">
        <f>Tabla3915233141[[#This Row],[COMISIONES]]*0.21</f>
        <v>0</v>
      </c>
      <c r="J59" s="11"/>
      <c r="K59" s="11"/>
      <c r="L59" s="11"/>
      <c r="N59" s="11"/>
      <c r="O59" s="11">
        <f>Tabla3510182636[[#This Row],[COMISIONES]]*0.21</f>
        <v>0</v>
      </c>
      <c r="P59" s="11"/>
      <c r="Q59" s="11"/>
      <c r="R59" s="11"/>
      <c r="U59" s="20">
        <f>Tabla612202838[[#This Row],[COMISIONES]]*0.21</f>
        <v>0</v>
      </c>
      <c r="Z59" s="22">
        <v>2188.89</v>
      </c>
      <c r="AA59" s="22">
        <f>Tabla356813212939[[#This Row],[COMISIONES]]*0.21</f>
        <v>459.66689999999994</v>
      </c>
      <c r="AB59" s="22"/>
      <c r="AC59" s="22">
        <v>5373.72</v>
      </c>
      <c r="AD59" s="22">
        <v>65.67</v>
      </c>
    </row>
    <row r="60" spans="2:30" x14ac:dyDescent="0.3">
      <c r="B60" s="4">
        <f>SUBTOTAL(109,Tabla13162432[COMISIONES])</f>
        <v>74966.679999999993</v>
      </c>
      <c r="C60" s="4">
        <f>SUBTOTAL(109,Tabla13162432[IVA 21])</f>
        <v>15743.002800000002</v>
      </c>
      <c r="D60" s="4">
        <f>SUBTOTAL(109,Tabla13162432[IVA 10,5])</f>
        <v>0</v>
      </c>
      <c r="E60" s="4">
        <f>SUBTOTAL(109,Tabla13162432[Ret IIBB Caba])</f>
        <v>24363.739999999998</v>
      </c>
      <c r="F60" s="4">
        <f>SUBTOTAL(109,Tabla13162432[PERC IVA])</f>
        <v>1995.67</v>
      </c>
      <c r="H60" s="11"/>
      <c r="I60" s="11">
        <f>Tabla3915233141[[#This Row],[COMISIONES]]*0.21</f>
        <v>0</v>
      </c>
      <c r="J60" s="11"/>
      <c r="K60" s="11"/>
      <c r="L60" s="11"/>
      <c r="N60" s="11"/>
      <c r="O60" s="11">
        <f>Tabla3510182636[[#This Row],[COMISIONES]]*0.21</f>
        <v>0</v>
      </c>
      <c r="P60" s="11"/>
      <c r="Q60" s="11"/>
      <c r="R60" s="11"/>
      <c r="U60" s="20">
        <f>Tabla612202838[[#This Row],[COMISIONES]]*0.21</f>
        <v>0</v>
      </c>
      <c r="Z60" s="22">
        <v>429.6</v>
      </c>
      <c r="AA60" s="22">
        <f>Tabla356813212939[[#This Row],[COMISIONES]]*0.21</f>
        <v>90.216000000000008</v>
      </c>
      <c r="AB60" s="22"/>
      <c r="AC60" s="22">
        <v>2397.17</v>
      </c>
      <c r="AD60" s="22"/>
    </row>
    <row r="61" spans="2:30" x14ac:dyDescent="0.3">
      <c r="H61" s="11"/>
      <c r="I61" s="11">
        <f>Tabla3915233141[[#This Row],[COMISIONES]]*0.21</f>
        <v>0</v>
      </c>
      <c r="J61" s="11"/>
      <c r="K61" s="11"/>
      <c r="L61" s="11"/>
      <c r="N61" s="11"/>
      <c r="O61" s="11">
        <f>Tabla3510182636[[#This Row],[COMISIONES]]*0.21</f>
        <v>0</v>
      </c>
      <c r="P61" s="11"/>
      <c r="Q61" s="11"/>
      <c r="R61" s="11"/>
      <c r="T61" s="18">
        <f>SUBTOTAL(109,Tabla612202838[COMISIONES])</f>
        <v>36600</v>
      </c>
      <c r="U61" s="18">
        <f>SUBTOTAL(109,Tabla612202838[IVA 21])</f>
        <v>7686</v>
      </c>
      <c r="V61" s="18">
        <f>SUBTOTAL(109,Tabla612202838[IVA 10,5])</f>
        <v>0</v>
      </c>
      <c r="W61" s="18">
        <f>SUBTOTAL(109,Tabla612202838[Ret IIBB Caba])</f>
        <v>0</v>
      </c>
      <c r="X61" s="18">
        <f>SUBTOTAL(109,Tabla612202838[PERC IVA])</f>
        <v>1098</v>
      </c>
      <c r="Z61" s="22">
        <v>449.6</v>
      </c>
      <c r="AA61" s="22">
        <f>Tabla356813212939[[#This Row],[COMISIONES]]*0.21</f>
        <v>94.415999999999997</v>
      </c>
      <c r="AB61" s="22"/>
      <c r="AC61" s="22">
        <v>2508.77</v>
      </c>
      <c r="AD61" s="22"/>
    </row>
    <row r="62" spans="2:30" x14ac:dyDescent="0.3">
      <c r="H62" s="11"/>
      <c r="I62" s="11">
        <f>Tabla3915233141[[#This Row],[COMISIONES]]*0.21</f>
        <v>0</v>
      </c>
      <c r="J62" s="11"/>
      <c r="K62" s="11"/>
      <c r="L62" s="11"/>
      <c r="N62" s="11"/>
      <c r="O62" s="11">
        <f>Tabla3510182636[[#This Row],[COMISIONES]]*0.21</f>
        <v>0</v>
      </c>
      <c r="P62" s="11"/>
      <c r="Q62" s="11"/>
      <c r="R62" s="11"/>
      <c r="Z62" s="22">
        <v>40.799999999999997</v>
      </c>
      <c r="AA62" s="22">
        <f>Tabla356813212939[[#This Row],[COMISIONES]]*0.21</f>
        <v>8.5679999999999996</v>
      </c>
      <c r="AB62" s="22"/>
      <c r="AC62" s="22">
        <v>227.66</v>
      </c>
      <c r="AD62" s="22"/>
    </row>
    <row r="63" spans="2:30" ht="18" x14ac:dyDescent="0.35">
      <c r="H63" s="11"/>
      <c r="I63" s="11">
        <f>Tabla3915233141[[#This Row],[COMISIONES]]*0.21</f>
        <v>0</v>
      </c>
      <c r="J63" s="11"/>
      <c r="K63" s="11"/>
      <c r="L63" s="11"/>
      <c r="N63" s="11"/>
      <c r="O63" s="11">
        <f>Tabla3510182636[[#This Row],[COMISIONES]]*0.21</f>
        <v>0</v>
      </c>
      <c r="P63" s="11"/>
      <c r="Q63" s="11"/>
      <c r="R63" s="11"/>
      <c r="T63" s="30" t="s">
        <v>33</v>
      </c>
      <c r="U63" s="30"/>
      <c r="V63" s="30"/>
      <c r="W63" s="30"/>
      <c r="X63" s="30"/>
      <c r="Z63" s="22">
        <v>98.28</v>
      </c>
      <c r="AA63" s="22">
        <f>Tabla356813212939[[#This Row],[COMISIONES]]*0.21</f>
        <v>20.6388</v>
      </c>
      <c r="AB63" s="22"/>
      <c r="AC63" s="22">
        <v>548.4</v>
      </c>
      <c r="AD63" s="22"/>
    </row>
    <row r="64" spans="2:30" x14ac:dyDescent="0.3">
      <c r="H64" s="11"/>
      <c r="I64" s="11">
        <f>Tabla3915233141[[#This Row],[COMISIONES]]*0.21</f>
        <v>0</v>
      </c>
      <c r="J64" s="11"/>
      <c r="K64" s="11"/>
      <c r="L64" s="11"/>
      <c r="N64" s="11"/>
      <c r="O64" s="11">
        <f>Tabla3510182636[[#This Row],[COMISIONES]]*0.21</f>
        <v>0</v>
      </c>
      <c r="P64" s="11"/>
      <c r="Q64" s="11"/>
      <c r="R64" s="11"/>
      <c r="T64" s="12" t="s">
        <v>2</v>
      </c>
      <c r="U64" s="13" t="s">
        <v>0</v>
      </c>
      <c r="V64" s="13" t="s">
        <v>1</v>
      </c>
      <c r="W64" s="13" t="s">
        <v>3</v>
      </c>
      <c r="X64" s="13" t="s">
        <v>4</v>
      </c>
      <c r="Z64" s="22">
        <v>33.6</v>
      </c>
      <c r="AA64" s="22">
        <f>Tabla356813212939[[#This Row],[COMISIONES]]*0.21</f>
        <v>7.056</v>
      </c>
      <c r="AB64" s="22"/>
      <c r="AC64" s="22">
        <v>187.49</v>
      </c>
      <c r="AD64" s="22"/>
    </row>
    <row r="65" spans="8:30" x14ac:dyDescent="0.3">
      <c r="H65" s="11"/>
      <c r="I65" s="11">
        <f>Tabla3915233141[[#This Row],[COMISIONES]]*0.21</f>
        <v>0</v>
      </c>
      <c r="J65" s="11"/>
      <c r="K65" s="11"/>
      <c r="L65" s="11"/>
      <c r="N65" s="11"/>
      <c r="O65" s="11">
        <f>Tabla3510182636[[#This Row],[COMISIONES]]*0.21</f>
        <v>0</v>
      </c>
      <c r="P65" s="11"/>
      <c r="Q65" s="11"/>
      <c r="R65" s="11"/>
      <c r="T65" s="11">
        <v>1100</v>
      </c>
      <c r="U65" s="11">
        <f>Tabla61220283342[[#This Row],[COMISIONES]]*0.21</f>
        <v>231</v>
      </c>
      <c r="V65" s="11"/>
      <c r="W65" s="11">
        <v>1068.1500000000001</v>
      </c>
      <c r="X65" s="11"/>
      <c r="Z65" s="22">
        <v>71.599999999999994</v>
      </c>
      <c r="AA65" s="22">
        <f>Tabla356813212939[[#This Row],[COMISIONES]]*0.21</f>
        <v>15.035999999999998</v>
      </c>
      <c r="AB65" s="22"/>
      <c r="AC65" s="22">
        <v>399.53</v>
      </c>
      <c r="AD65" s="22"/>
    </row>
    <row r="66" spans="8:30" x14ac:dyDescent="0.3">
      <c r="H66" s="11"/>
      <c r="I66" s="11">
        <f>Tabla3915233141[[#This Row],[COMISIONES]]*0.21</f>
        <v>0</v>
      </c>
      <c r="J66" s="11"/>
      <c r="K66" s="11"/>
      <c r="L66" s="11"/>
      <c r="N66" s="19"/>
      <c r="O66" s="11">
        <f>Tabla3510182636[[#This Row],[COMISIONES]]*0.21</f>
        <v>0</v>
      </c>
      <c r="P66" s="19"/>
      <c r="Q66" s="19"/>
      <c r="R66" s="19"/>
      <c r="T66" s="11"/>
      <c r="U66" s="11">
        <f>Tabla61220283342[[#This Row],[COMISIONES]]*0.21</f>
        <v>0</v>
      </c>
      <c r="V66" s="11"/>
      <c r="W66" s="11"/>
      <c r="X66" s="11"/>
      <c r="Z66" s="22">
        <v>127.28</v>
      </c>
      <c r="AA66" s="22">
        <f>Tabla356813212939[[#This Row],[COMISIONES]]*0.21</f>
        <v>26.7288</v>
      </c>
      <c r="AB66" s="22"/>
      <c r="AC66" s="22">
        <v>710.22</v>
      </c>
      <c r="AD66" s="22"/>
    </row>
    <row r="67" spans="8:30" x14ac:dyDescent="0.3">
      <c r="H67" s="11"/>
      <c r="I67" s="11">
        <f>Tabla3915233141[[#This Row],[COMISIONES]]*0.21</f>
        <v>0</v>
      </c>
      <c r="J67" s="11"/>
      <c r="K67" s="11"/>
      <c r="L67" s="11"/>
      <c r="N67" s="19"/>
      <c r="O67" s="11">
        <f>Tabla3510182636[[#This Row],[COMISIONES]]*0.21</f>
        <v>0</v>
      </c>
      <c r="P67" s="19"/>
      <c r="Q67" s="19"/>
      <c r="R67" s="19"/>
      <c r="T67" s="11"/>
      <c r="U67" s="20">
        <f>Tabla61220283342[[#This Row],[COMISIONES]]*0.21</f>
        <v>0</v>
      </c>
      <c r="W67" s="1"/>
      <c r="Z67" s="22">
        <v>60.8</v>
      </c>
      <c r="AA67" s="22">
        <f>Tabla356813212939[[#This Row],[COMISIONES]]*0.21</f>
        <v>12.767999999999999</v>
      </c>
      <c r="AB67" s="22"/>
      <c r="AC67" s="22">
        <v>339.26</v>
      </c>
      <c r="AD67" s="22"/>
    </row>
    <row r="68" spans="8:30" x14ac:dyDescent="0.3">
      <c r="H68" s="11"/>
      <c r="I68" s="11">
        <f>Tabla3915233141[[#This Row],[COMISIONES]]*0.21</f>
        <v>0</v>
      </c>
      <c r="J68" s="11"/>
      <c r="K68" s="11"/>
      <c r="L68" s="11"/>
      <c r="N68" s="19"/>
      <c r="O68" s="11">
        <f>Tabla3510182636[[#This Row],[COMISIONES]]*0.21</f>
        <v>0</v>
      </c>
      <c r="P68" s="19"/>
      <c r="Q68" s="19"/>
      <c r="R68" s="19"/>
      <c r="T68" s="11"/>
      <c r="U68" s="20">
        <f>Tabla61220283342[[#This Row],[COMISIONES]]*0.21</f>
        <v>0</v>
      </c>
      <c r="Z68" s="22">
        <v>212.36</v>
      </c>
      <c r="AA68" s="22">
        <f>Tabla356813212939[[#This Row],[COMISIONES]]*0.21</f>
        <v>44.595600000000005</v>
      </c>
      <c r="AB68" s="22"/>
      <c r="AC68" s="22">
        <v>1184.97</v>
      </c>
      <c r="AD68" s="22"/>
    </row>
    <row r="69" spans="8:30" x14ac:dyDescent="0.3">
      <c r="H69" s="11"/>
      <c r="I69" s="11">
        <f>Tabla3915233141[[#This Row],[COMISIONES]]*0.21</f>
        <v>0</v>
      </c>
      <c r="J69" s="11"/>
      <c r="K69" s="11"/>
      <c r="L69" s="11"/>
      <c r="N69" s="19"/>
      <c r="O69" s="11">
        <f>Tabla3510182636[[#This Row],[COMISIONES]]*0.21</f>
        <v>0</v>
      </c>
      <c r="P69" s="19"/>
      <c r="Q69" s="19"/>
      <c r="R69" s="19"/>
      <c r="T69" s="11"/>
      <c r="U69" s="20">
        <f>Tabla61220283342[[#This Row],[COMISIONES]]*0.21</f>
        <v>0</v>
      </c>
      <c r="Z69" s="22">
        <v>190.4</v>
      </c>
      <c r="AA69" s="22">
        <f>Tabla356813212939[[#This Row],[COMISIONES]]*0.21</f>
        <v>39.984000000000002</v>
      </c>
      <c r="AB69" s="22"/>
      <c r="AC69" s="22">
        <v>1062.43</v>
      </c>
      <c r="AD69" s="22"/>
    </row>
    <row r="70" spans="8:30" x14ac:dyDescent="0.3">
      <c r="H70" s="11"/>
      <c r="I70" s="11">
        <f>Tabla3915233141[[#This Row],[COMISIONES]]*0.21</f>
        <v>0</v>
      </c>
      <c r="J70" s="11"/>
      <c r="K70" s="11"/>
      <c r="L70" s="11"/>
      <c r="N70" s="19"/>
      <c r="O70" s="11">
        <f>Tabla3510182636[[#This Row],[COMISIONES]]*0.21</f>
        <v>0</v>
      </c>
      <c r="P70" s="19"/>
      <c r="Q70" s="19"/>
      <c r="R70" s="19"/>
      <c r="T70" s="11"/>
      <c r="U70" s="20">
        <f>Tabla61220283342[[#This Row],[COMISIONES]]*0.21</f>
        <v>0</v>
      </c>
      <c r="Z70" s="22">
        <v>51.16</v>
      </c>
      <c r="AA70" s="22">
        <f>Tabla356813212939[[#This Row],[COMISIONES]]*0.21</f>
        <v>10.743599999999999</v>
      </c>
      <c r="AB70" s="22"/>
      <c r="AC70" s="22">
        <v>285.47000000000003</v>
      </c>
      <c r="AD70" s="22"/>
    </row>
    <row r="71" spans="8:30" x14ac:dyDescent="0.3">
      <c r="H71" s="11"/>
      <c r="I71" s="11">
        <f>Tabla3915233141[[#This Row],[COMISIONES]]*0.21</f>
        <v>0</v>
      </c>
      <c r="J71" s="11"/>
      <c r="K71" s="11"/>
      <c r="L71" s="11"/>
      <c r="N71" s="19"/>
      <c r="O71" s="11">
        <f>Tabla3510182636[[#This Row],[COMISIONES]]*0.21</f>
        <v>0</v>
      </c>
      <c r="P71" s="19"/>
      <c r="Q71" s="19"/>
      <c r="R71" s="19"/>
      <c r="T71" s="11"/>
      <c r="U71" s="20">
        <f>Tabla61220283342[[#This Row],[COMISIONES]]*0.21</f>
        <v>0</v>
      </c>
      <c r="Z71" s="22">
        <v>54.82</v>
      </c>
      <c r="AA71" s="22">
        <f>Tabla356813212939[[#This Row],[COMISIONES]]*0.21</f>
        <v>11.5122</v>
      </c>
      <c r="AB71" s="22"/>
      <c r="AC71" s="22">
        <v>305.89999999999998</v>
      </c>
      <c r="AD71" s="22"/>
    </row>
    <row r="72" spans="8:30" x14ac:dyDescent="0.3">
      <c r="H72" s="11"/>
      <c r="I72" s="11">
        <f>Tabla3915233141[[#This Row],[COMISIONES]]*0.21</f>
        <v>0</v>
      </c>
      <c r="J72" s="11"/>
      <c r="K72" s="11"/>
      <c r="L72" s="11"/>
      <c r="N72" s="19"/>
      <c r="O72" s="11">
        <f>Tabla3510182636[[#This Row],[COMISIONES]]*0.21</f>
        <v>0</v>
      </c>
      <c r="P72" s="19"/>
      <c r="Q72" s="19"/>
      <c r="R72" s="19"/>
      <c r="T72" s="11"/>
      <c r="U72" s="20">
        <f>Tabla61220283342[[#This Row],[COMISIONES]]*0.21</f>
        <v>0</v>
      </c>
      <c r="Z72" s="22">
        <v>383.91</v>
      </c>
      <c r="AA72" s="22">
        <f>Tabla356813212939[[#This Row],[COMISIONES]]*0.21</f>
        <v>80.621099999999998</v>
      </c>
      <c r="AB72" s="22"/>
      <c r="AC72" s="22">
        <v>2142.2199999999998</v>
      </c>
      <c r="AD72" s="22"/>
    </row>
    <row r="73" spans="8:30" x14ac:dyDescent="0.3">
      <c r="H73" s="11"/>
      <c r="I73" s="11">
        <f>Tabla3915233141[[#This Row],[COMISIONES]]*0.21</f>
        <v>0</v>
      </c>
      <c r="J73" s="11"/>
      <c r="K73" s="11"/>
      <c r="L73" s="11"/>
      <c r="N73" s="19"/>
      <c r="O73" s="11">
        <f>Tabla3510182636[[#This Row],[COMISIONES]]*0.21</f>
        <v>0</v>
      </c>
      <c r="P73" s="19"/>
      <c r="Q73" s="19"/>
      <c r="R73" s="19"/>
      <c r="T73" s="11"/>
      <c r="U73" s="20">
        <f>Tabla61220283342[[#This Row],[COMISIONES]]*0.21</f>
        <v>0</v>
      </c>
      <c r="Z73" s="22">
        <v>222.56</v>
      </c>
      <c r="AA73" s="22">
        <f>Tabla356813212939[[#This Row],[COMISIONES]]*0.21</f>
        <v>46.7376</v>
      </c>
      <c r="AB73" s="22"/>
      <c r="AC73" s="22">
        <v>1241.8800000000001</v>
      </c>
      <c r="AD73" s="22"/>
    </row>
    <row r="74" spans="8:30" x14ac:dyDescent="0.3">
      <c r="H74" s="11"/>
      <c r="I74" s="11">
        <f>Tabla3915233141[[#This Row],[COMISIONES]]*0.21</f>
        <v>0</v>
      </c>
      <c r="J74" s="11"/>
      <c r="K74" s="11"/>
      <c r="L74" s="11"/>
      <c r="N74" s="19"/>
      <c r="O74" s="11">
        <f>Tabla3510182636[[#This Row],[COMISIONES]]*0.21</f>
        <v>0</v>
      </c>
      <c r="P74" s="19"/>
      <c r="Q74" s="19"/>
      <c r="R74" s="19"/>
      <c r="T74" s="11"/>
      <c r="U74" s="20">
        <f>Tabla61220283342[[#This Row],[COMISIONES]]*0.21</f>
        <v>0</v>
      </c>
      <c r="Z74" s="22">
        <v>265.2</v>
      </c>
      <c r="AA74" s="22">
        <f>Tabla356813212939[[#This Row],[COMISIONES]]*0.21</f>
        <v>55.691999999999993</v>
      </c>
      <c r="AB74" s="22"/>
      <c r="AC74" s="22">
        <v>1479.82</v>
      </c>
      <c r="AD74" s="22"/>
    </row>
    <row r="75" spans="8:30" x14ac:dyDescent="0.3">
      <c r="H75" s="11"/>
      <c r="I75" s="11">
        <f>Tabla3915233141[[#This Row],[COMISIONES]]*0.21</f>
        <v>0</v>
      </c>
      <c r="J75" s="11"/>
      <c r="K75" s="11"/>
      <c r="L75" s="11"/>
      <c r="N75" s="19"/>
      <c r="O75" s="11">
        <f>Tabla3510182636[[#This Row],[COMISIONES]]*0.21</f>
        <v>0</v>
      </c>
      <c r="P75" s="19"/>
      <c r="Q75" s="19"/>
      <c r="R75" s="19"/>
      <c r="U75" s="20">
        <f>Tabla61220283342[[#This Row],[COMISIONES]]*0.21</f>
        <v>0</v>
      </c>
      <c r="Z75" s="22">
        <v>180.56</v>
      </c>
      <c r="AA75" s="22">
        <f>Tabla356813212939[[#This Row],[COMISIONES]]*0.21</f>
        <v>37.9176</v>
      </c>
      <c r="AB75" s="22"/>
      <c r="AC75" s="22">
        <v>1007.52</v>
      </c>
      <c r="AD75" s="22"/>
    </row>
    <row r="76" spans="8:30" x14ac:dyDescent="0.3">
      <c r="H76" s="11"/>
      <c r="I76" s="11">
        <f>Tabla3915233141[[#This Row],[COMISIONES]]*0.21</f>
        <v>0</v>
      </c>
      <c r="J76" s="11"/>
      <c r="K76" s="11"/>
      <c r="L76" s="11"/>
      <c r="N76" s="19"/>
      <c r="O76" s="11">
        <f>Tabla3510182636[[#This Row],[COMISIONES]]*0.21</f>
        <v>0</v>
      </c>
      <c r="P76" s="19"/>
      <c r="Q76" s="19"/>
      <c r="R76" s="19"/>
      <c r="U76" s="20">
        <f>Tabla61220283342[[#This Row],[COMISIONES]]*0.21</f>
        <v>0</v>
      </c>
      <c r="Z76" s="22">
        <v>440.34</v>
      </c>
      <c r="AA76" s="22">
        <f>Tabla356813212939[[#This Row],[COMISIONES]]*0.21</f>
        <v>92.471399999999988</v>
      </c>
      <c r="AB76" s="22"/>
      <c r="AC76" s="22">
        <v>2457.11</v>
      </c>
      <c r="AD76" s="22"/>
    </row>
    <row r="77" spans="8:30" x14ac:dyDescent="0.3">
      <c r="H77" s="11"/>
      <c r="I77" s="11">
        <f>Tabla3915233141[[#This Row],[COMISIONES]]*0.21</f>
        <v>0</v>
      </c>
      <c r="J77" s="11"/>
      <c r="K77" s="11"/>
      <c r="L77" s="11"/>
      <c r="N77" s="19"/>
      <c r="O77" s="11">
        <f>Tabla3510182636[[#This Row],[COMISIONES]]*0.21</f>
        <v>0</v>
      </c>
      <c r="P77" s="19"/>
      <c r="Q77" s="19"/>
      <c r="R77" s="19"/>
      <c r="U77" s="20">
        <f>Tabla61220283342[[#This Row],[COMISIONES]]*0.21</f>
        <v>0</v>
      </c>
      <c r="Z77" s="22">
        <v>1648.8</v>
      </c>
      <c r="AA77" s="22">
        <f>Tabla356813212939[[#This Row],[COMISIONES]]*0.21</f>
        <v>346.24799999999999</v>
      </c>
      <c r="AB77" s="22"/>
      <c r="AC77" s="22">
        <v>4047.8</v>
      </c>
      <c r="AD77" s="22"/>
    </row>
    <row r="78" spans="8:30" x14ac:dyDescent="0.3">
      <c r="H78" s="11"/>
      <c r="I78" s="11">
        <f>Tabla3915233141[[#This Row],[COMISIONES]]*0.21</f>
        <v>0</v>
      </c>
      <c r="J78" s="11"/>
      <c r="K78" s="11"/>
      <c r="L78" s="11"/>
      <c r="N78" s="19"/>
      <c r="O78" s="11">
        <f>Tabla3510182636[[#This Row],[COMISIONES]]*0.21</f>
        <v>0</v>
      </c>
      <c r="P78" s="19"/>
      <c r="Q78" s="19"/>
      <c r="R78" s="19"/>
      <c r="U78" s="20">
        <f>Tabla61220283342[[#This Row],[COMISIONES]]*0.21</f>
        <v>0</v>
      </c>
      <c r="Z78" s="22">
        <v>4545.1899999999996</v>
      </c>
      <c r="AA78" s="22">
        <f>Tabla356813212939[[#This Row],[COMISIONES]]*0.21</f>
        <v>954.48989999999992</v>
      </c>
      <c r="AB78" s="22"/>
      <c r="AC78" s="22">
        <v>11158.43</v>
      </c>
      <c r="AD78" s="22">
        <v>136.35</v>
      </c>
    </row>
    <row r="79" spans="8:30" x14ac:dyDescent="0.3">
      <c r="H79" s="11"/>
      <c r="I79" s="11">
        <f>Tabla3915233141[[#This Row],[COMISIONES]]*0.21</f>
        <v>0</v>
      </c>
      <c r="J79" s="11"/>
      <c r="K79" s="11"/>
      <c r="L79" s="11"/>
      <c r="N79" s="19"/>
      <c r="O79" s="11">
        <f>Tabla3510182636[[#This Row],[COMISIONES]]*0.21</f>
        <v>0</v>
      </c>
      <c r="P79" s="19"/>
      <c r="Q79" s="19"/>
      <c r="R79" s="19"/>
      <c r="U79" s="20">
        <f>Tabla61220283342[[#This Row],[COMISIONES]]*0.21</f>
        <v>0</v>
      </c>
      <c r="Z79" s="22">
        <v>3110.96</v>
      </c>
      <c r="AA79" s="22">
        <f>Tabla356813212939[[#This Row],[COMISIONES]]*0.21</f>
        <v>653.30160000000001</v>
      </c>
      <c r="AB79" s="22"/>
      <c r="AC79" s="22">
        <v>5006.41</v>
      </c>
      <c r="AD79" s="22">
        <f>715.2+93.33</f>
        <v>808.53000000000009</v>
      </c>
    </row>
    <row r="80" spans="8:30" x14ac:dyDescent="0.3">
      <c r="H80" s="19"/>
      <c r="I80" s="19">
        <f>Tabla3915233141[[#This Row],[COMISIONES]]*0.21</f>
        <v>0</v>
      </c>
      <c r="J80" s="19"/>
      <c r="K80" s="19"/>
      <c r="L80" s="19"/>
      <c r="N80" s="19"/>
      <c r="O80" s="11">
        <f>Tabla3510182636[[#This Row],[COMISIONES]]*0.21</f>
        <v>0</v>
      </c>
      <c r="P80" s="19"/>
      <c r="Q80" s="19"/>
      <c r="R80" s="19"/>
      <c r="U80" s="20">
        <f>Tabla61220283342[[#This Row],[COMISIONES]]*0.21</f>
        <v>0</v>
      </c>
      <c r="Z80" s="22">
        <v>1163.97</v>
      </c>
      <c r="AA80" s="22">
        <f>Tabla356813212939[[#This Row],[COMISIONES]]*0.21</f>
        <v>244.43369999999999</v>
      </c>
      <c r="AB80" s="22"/>
      <c r="AC80" s="22">
        <v>2857.55</v>
      </c>
      <c r="AD80" s="22"/>
    </row>
    <row r="81" spans="8:30" x14ac:dyDescent="0.3">
      <c r="H81" s="19"/>
      <c r="I81" s="19">
        <f>Tabla3915233141[[#This Row],[COMISIONES]]*0.21</f>
        <v>0</v>
      </c>
      <c r="J81" s="19"/>
      <c r="K81" s="19"/>
      <c r="L81" s="19"/>
      <c r="N81" s="19"/>
      <c r="O81" s="11">
        <f>Tabla3510182636[[#This Row],[COMISIONES]]*0.21</f>
        <v>0</v>
      </c>
      <c r="P81" s="19"/>
      <c r="Q81" s="19"/>
      <c r="R81" s="19"/>
      <c r="U81" s="20">
        <f>Tabla61220283342[[#This Row],[COMISIONES]]*0.21</f>
        <v>0</v>
      </c>
      <c r="Z81" s="22">
        <v>270.60000000000002</v>
      </c>
      <c r="AA81" s="22">
        <f>Tabla356813212939[[#This Row],[COMISIONES]]*0.21</f>
        <v>56.826000000000001</v>
      </c>
      <c r="AB81" s="22">
        <v>253.99</v>
      </c>
      <c r="AC81" s="22">
        <v>555.48</v>
      </c>
      <c r="AD81" s="22"/>
    </row>
    <row r="82" spans="8:30" x14ac:dyDescent="0.3">
      <c r="H82" s="19"/>
      <c r="I82" s="19">
        <f>Tabla3915233141[[#This Row],[COMISIONES]]*0.21</f>
        <v>0</v>
      </c>
      <c r="J82" s="19"/>
      <c r="K82" s="19"/>
      <c r="L82" s="19"/>
      <c r="N82" s="19"/>
      <c r="O82" s="11">
        <f>Tabla3510182636[[#This Row],[COMISIONES]]*0.21</f>
        <v>0</v>
      </c>
      <c r="P82" s="19"/>
      <c r="Q82" s="19"/>
      <c r="R82" s="19"/>
      <c r="U82" s="20">
        <f>Tabla61220283342[[#This Row],[COMISIONES]]*0.21</f>
        <v>0</v>
      </c>
      <c r="Z82" s="22">
        <v>3203.49</v>
      </c>
      <c r="AA82" s="22">
        <f>Tabla356813212939[[#This Row],[COMISIONES]]*0.21</f>
        <v>672.73289999999997</v>
      </c>
      <c r="AB82" s="22"/>
      <c r="AC82" s="22">
        <v>7864.56</v>
      </c>
      <c r="AD82" s="22">
        <v>96.1</v>
      </c>
    </row>
    <row r="83" spans="8:30" x14ac:dyDescent="0.3">
      <c r="H83" s="19"/>
      <c r="I83" s="19">
        <f>Tabla3915233141[[#This Row],[COMISIONES]]*0.21</f>
        <v>0</v>
      </c>
      <c r="J83" s="19"/>
      <c r="K83" s="19"/>
      <c r="L83" s="19"/>
      <c r="N83" s="19"/>
      <c r="O83" s="11">
        <f>Tabla3510182636[[#This Row],[COMISIONES]]*0.21</f>
        <v>0</v>
      </c>
      <c r="P83" s="19"/>
      <c r="Q83" s="19"/>
      <c r="R83" s="19"/>
      <c r="U83" s="20">
        <f>Tabla61220283342[[#This Row],[COMISIONES]]*0.21</f>
        <v>0</v>
      </c>
      <c r="Z83" s="22">
        <v>5656.44</v>
      </c>
      <c r="AA83" s="22">
        <f>Tabla356813212939[[#This Row],[COMISIONES]]*0.21</f>
        <v>1187.8523999999998</v>
      </c>
      <c r="AB83" s="22">
        <v>6940.91</v>
      </c>
      <c r="AC83" s="22">
        <v>10911.91</v>
      </c>
      <c r="AD83" s="22">
        <f>991.56+169.69</f>
        <v>1161.25</v>
      </c>
    </row>
    <row r="84" spans="8:30" x14ac:dyDescent="0.3">
      <c r="H84" s="19"/>
      <c r="I84" s="19">
        <f>Tabla3915233141[[#This Row],[COMISIONES]]*0.21</f>
        <v>0</v>
      </c>
      <c r="J84" s="19"/>
      <c r="K84" s="19"/>
      <c r="L84" s="19"/>
      <c r="N84" s="19"/>
      <c r="O84" s="11">
        <f>Tabla3510182636[[#This Row],[COMISIONES]]*0.21</f>
        <v>0</v>
      </c>
      <c r="P84" s="19"/>
      <c r="Q84" s="19"/>
      <c r="R84" s="19"/>
      <c r="U84" s="20">
        <f>Tabla61220283342[[#This Row],[COMISIONES]]*0.21</f>
        <v>0</v>
      </c>
      <c r="Z84" s="22">
        <v>2848.77</v>
      </c>
      <c r="AA84" s="22">
        <f>Tabla356813212939[[#This Row],[COMISIONES]]*0.21</f>
        <v>598.24169999999992</v>
      </c>
      <c r="AB84" s="22"/>
      <c r="AC84" s="22">
        <v>6993.73</v>
      </c>
      <c r="AD84" s="22">
        <v>85.47</v>
      </c>
    </row>
    <row r="85" spans="8:30" x14ac:dyDescent="0.3">
      <c r="H85" s="19"/>
      <c r="I85" s="19">
        <f>Tabla3915233141[[#This Row],[COMISIONES]]*0.21</f>
        <v>0</v>
      </c>
      <c r="J85" s="19"/>
      <c r="K85" s="19"/>
      <c r="L85" s="19"/>
      <c r="N85" s="19"/>
      <c r="O85" s="11">
        <f>Tabla3510182636[[#This Row],[COMISIONES]]*0.21</f>
        <v>0</v>
      </c>
      <c r="P85" s="19"/>
      <c r="Q85" s="19"/>
      <c r="R85" s="19"/>
      <c r="U85" s="20">
        <f>Tabla61220283342[[#This Row],[COMISIONES]]*0.21</f>
        <v>0</v>
      </c>
      <c r="Z85" s="22">
        <v>3173</v>
      </c>
      <c r="AA85" s="22">
        <f>Tabla356813212939[[#This Row],[COMISIONES]]*0.21</f>
        <v>666.32999999999993</v>
      </c>
      <c r="AB85" s="22">
        <v>5261.22</v>
      </c>
      <c r="AC85" s="22">
        <v>5534.91</v>
      </c>
      <c r="AD85" s="22">
        <f>751.61+95.19</f>
        <v>846.8</v>
      </c>
    </row>
    <row r="86" spans="8:30" x14ac:dyDescent="0.3">
      <c r="H86" s="19"/>
      <c r="I86" s="19">
        <f>Tabla3915233141[[#This Row],[COMISIONES]]*0.21</f>
        <v>0</v>
      </c>
      <c r="J86" s="19"/>
      <c r="K86" s="19"/>
      <c r="L86" s="19"/>
      <c r="N86" s="19"/>
      <c r="O86" s="11">
        <f>Tabla3510182636[[#This Row],[COMISIONES]]*0.21</f>
        <v>0</v>
      </c>
      <c r="P86" s="19"/>
      <c r="Q86" s="19"/>
      <c r="R86" s="19"/>
      <c r="U86" s="20">
        <f>Tabla61220283342[[#This Row],[COMISIONES]]*0.21</f>
        <v>0</v>
      </c>
      <c r="Z86" s="22">
        <v>2974.95</v>
      </c>
      <c r="AA86" s="22">
        <f>Tabla356813212939[[#This Row],[COMISIONES]]*0.21</f>
        <v>624.73949999999991</v>
      </c>
      <c r="AB86" s="22"/>
      <c r="AC86" s="22">
        <v>7303.5</v>
      </c>
      <c r="AD86" s="22">
        <v>89.24</v>
      </c>
    </row>
    <row r="87" spans="8:30" x14ac:dyDescent="0.3">
      <c r="H87" s="19"/>
      <c r="I87" s="19">
        <f>Tabla3915233141[[#This Row],[COMISIONES]]*0.21</f>
        <v>0</v>
      </c>
      <c r="J87" s="19"/>
      <c r="K87" s="19"/>
      <c r="L87" s="19"/>
      <c r="N87" s="19"/>
      <c r="O87" s="11">
        <f>Tabla3510182636[[#This Row],[COMISIONES]]*0.21</f>
        <v>0</v>
      </c>
      <c r="P87" s="19"/>
      <c r="Q87" s="19"/>
      <c r="R87" s="19"/>
      <c r="U87" s="20">
        <f>Tabla61220283342[[#This Row],[COMISIONES]]*0.21</f>
        <v>0</v>
      </c>
      <c r="Z87" s="22">
        <v>1365.61</v>
      </c>
      <c r="AA87" s="22">
        <f>Tabla356813212939[[#This Row],[COMISIONES]]*0.21</f>
        <v>286.77809999999999</v>
      </c>
      <c r="AB87" s="22">
        <v>1543.7</v>
      </c>
      <c r="AC87" s="22">
        <v>2690.98</v>
      </c>
      <c r="AD87" s="22">
        <f>220.53+40.97</f>
        <v>261.5</v>
      </c>
    </row>
    <row r="88" spans="8:30" x14ac:dyDescent="0.3">
      <c r="H88" s="19"/>
      <c r="I88" s="19">
        <f>Tabla3915233141[[#This Row],[COMISIONES]]*0.21</f>
        <v>0</v>
      </c>
      <c r="J88" s="19"/>
      <c r="K88" s="19"/>
      <c r="L88" s="19"/>
      <c r="N88" s="19"/>
      <c r="O88" s="11">
        <f>Tabla3510182636[[#This Row],[COMISIONES]]*0.21</f>
        <v>0</v>
      </c>
      <c r="P88" s="19"/>
      <c r="Q88" s="19"/>
      <c r="R88" s="19"/>
      <c r="U88" s="20">
        <f>Tabla61220283342[[#This Row],[COMISIONES]]*0.21</f>
        <v>0</v>
      </c>
      <c r="Z88" s="22">
        <v>2425.77</v>
      </c>
      <c r="AA88" s="22">
        <f>Tabla356813212939[[#This Row],[COMISIONES]]*0.21</f>
        <v>509.4117</v>
      </c>
      <c r="AB88" s="22"/>
      <c r="AC88" s="22">
        <v>5955.27</v>
      </c>
      <c r="AD88" s="22">
        <v>72.78</v>
      </c>
    </row>
    <row r="89" spans="8:30" x14ac:dyDescent="0.3">
      <c r="H89" s="19"/>
      <c r="I89" s="19">
        <f>Tabla3915233141[[#This Row],[COMISIONES]]*0.21</f>
        <v>0</v>
      </c>
      <c r="J89" s="19"/>
      <c r="K89" s="19"/>
      <c r="L89" s="19"/>
      <c r="N89" s="19"/>
      <c r="O89" s="11">
        <f>Tabla3510182636[[#This Row],[COMISIONES]]*0.21</f>
        <v>0</v>
      </c>
      <c r="P89" s="19"/>
      <c r="Q89" s="19"/>
      <c r="R89" s="19"/>
      <c r="U89" s="20">
        <f>Tabla61220283342[[#This Row],[COMISIONES]]*0.21</f>
        <v>0</v>
      </c>
      <c r="Z89" s="22">
        <v>572.05999999999995</v>
      </c>
      <c r="AA89" s="22">
        <f>Tabla356813212939[[#This Row],[COMISIONES]]*0.21</f>
        <v>120.13259999999998</v>
      </c>
      <c r="AB89" s="22">
        <v>695.59</v>
      </c>
      <c r="AC89" s="22">
        <v>1106.28</v>
      </c>
      <c r="AD89" s="22">
        <f>99.37+17.16</f>
        <v>116.53</v>
      </c>
    </row>
    <row r="90" spans="8:30" x14ac:dyDescent="0.3">
      <c r="H90" s="19"/>
      <c r="I90" s="19">
        <f>Tabla3915233141[[#This Row],[COMISIONES]]*0.21</f>
        <v>0</v>
      </c>
      <c r="J90" s="19"/>
      <c r="K90" s="19"/>
      <c r="L90" s="19"/>
      <c r="N90" s="19"/>
      <c r="O90" s="11">
        <f>Tabla3510182636[[#This Row],[COMISIONES]]*0.21</f>
        <v>0</v>
      </c>
      <c r="P90" s="19"/>
      <c r="Q90" s="19"/>
      <c r="R90" s="19"/>
      <c r="U90" s="20">
        <f>Tabla61220283342[[#This Row],[COMISIONES]]*0.21</f>
        <v>0</v>
      </c>
      <c r="Z90" s="22">
        <v>2291.58</v>
      </c>
      <c r="AA90" s="22">
        <f>Tabla356813212939[[#This Row],[COMISIONES]]*0.21</f>
        <v>481.23179999999996</v>
      </c>
      <c r="AB90" s="22"/>
      <c r="AC90" s="22">
        <v>5625.83</v>
      </c>
      <c r="AD90" s="22">
        <v>68.739999999999995</v>
      </c>
    </row>
    <row r="91" spans="8:30" x14ac:dyDescent="0.3">
      <c r="H91" s="19"/>
      <c r="I91" s="19">
        <f>Tabla3915233141[[#This Row],[COMISIONES]]*0.21</f>
        <v>0</v>
      </c>
      <c r="J91" s="19"/>
      <c r="K91" s="19"/>
      <c r="L91" s="19"/>
      <c r="N91" s="19"/>
      <c r="O91" s="11">
        <f>Tabla3510182636[[#This Row],[COMISIONES]]*0.21</f>
        <v>0</v>
      </c>
      <c r="P91" s="19"/>
      <c r="Q91" s="19"/>
      <c r="R91" s="19"/>
      <c r="U91" s="20">
        <f>Tabla61220283342[[#This Row],[COMISIONES]]*0.21</f>
        <v>0</v>
      </c>
      <c r="Z91" s="22">
        <v>252.87</v>
      </c>
      <c r="AA91" s="22">
        <f>Tabla356813212939[[#This Row],[COMISIONES]]*0.21</f>
        <v>53.102699999999999</v>
      </c>
      <c r="AB91" s="22"/>
      <c r="AC91" s="22">
        <v>489.03</v>
      </c>
      <c r="AD91" s="22"/>
    </row>
    <row r="92" spans="8:30" x14ac:dyDescent="0.3">
      <c r="H92" s="22"/>
      <c r="I92" s="22">
        <f>Tabla3915233141[[#This Row],[COMISIONES]]*0.21</f>
        <v>0</v>
      </c>
      <c r="J92" s="22"/>
      <c r="K92" s="22"/>
      <c r="L92" s="22"/>
      <c r="N92" s="19"/>
      <c r="O92" s="11">
        <f>Tabla3510182636[[#This Row],[COMISIONES]]*0.21</f>
        <v>0</v>
      </c>
      <c r="P92" s="19"/>
      <c r="Q92" s="19"/>
      <c r="R92" s="19"/>
      <c r="U92" s="20">
        <f>Tabla61220283342[[#This Row],[COMISIONES]]*0.21</f>
        <v>0</v>
      </c>
      <c r="Z92" s="22">
        <v>4932</v>
      </c>
      <c r="AA92" s="22">
        <f>Tabla356813212939[[#This Row],[COMISIONES]]*0.21</f>
        <v>1035.72</v>
      </c>
      <c r="AB92" s="22"/>
      <c r="AC92" s="22">
        <v>12108.06</v>
      </c>
      <c r="AD92" s="22">
        <v>147.97</v>
      </c>
    </row>
    <row r="93" spans="8:30" x14ac:dyDescent="0.3">
      <c r="H93" s="22"/>
      <c r="I93" s="22">
        <f>Tabla3915233141[[#This Row],[COMISIONES]]*0.21</f>
        <v>0</v>
      </c>
      <c r="J93" s="22"/>
      <c r="K93" s="22"/>
      <c r="L93" s="22"/>
      <c r="N93" s="19"/>
      <c r="O93" s="11">
        <f>Tabla3510182636[[#This Row],[COMISIONES]]*0.21</f>
        <v>0</v>
      </c>
      <c r="P93" s="19"/>
      <c r="Q93" s="19"/>
      <c r="R93" s="19"/>
      <c r="T93" s="18">
        <f>SUBTOTAL(109,Tabla61220283342[COMISIONES])</f>
        <v>1100</v>
      </c>
      <c r="U93" s="18">
        <f>SUBTOTAL(109,Tabla61220283342[IVA 21])</f>
        <v>231</v>
      </c>
      <c r="V93" s="18">
        <f>SUBTOTAL(109,Tabla61220283342[IVA 10,5])</f>
        <v>0</v>
      </c>
      <c r="W93" s="18">
        <f>SUBTOTAL(109,Tabla61220283342[Ret IIBB Caba])</f>
        <v>1068.1500000000001</v>
      </c>
      <c r="X93" s="18">
        <f>SUBTOTAL(109,Tabla61220283342[PERC IVA])</f>
        <v>0</v>
      </c>
      <c r="Z93" s="22">
        <v>1642.86</v>
      </c>
      <c r="AA93" s="22">
        <f>Tabla356813212939[[#This Row],[COMISIONES]]*0.21</f>
        <v>345.00059999999996</v>
      </c>
      <c r="AB93" s="22">
        <v>2533.8000000000002</v>
      </c>
      <c r="AC93" s="22">
        <v>2947.31</v>
      </c>
      <c r="AD93" s="22">
        <f>361.98+49.28</f>
        <v>411.26</v>
      </c>
    </row>
    <row r="94" spans="8:30" x14ac:dyDescent="0.3">
      <c r="H94" s="22"/>
      <c r="I94" s="22">
        <f>Tabla3915233141[[#This Row],[COMISIONES]]*0.21</f>
        <v>0</v>
      </c>
      <c r="J94" s="22"/>
      <c r="K94" s="22"/>
      <c r="L94" s="22"/>
      <c r="N94" s="19"/>
      <c r="O94" s="11">
        <f>Tabla3510182636[[#This Row],[COMISIONES]]*0.21</f>
        <v>0</v>
      </c>
      <c r="P94" s="19"/>
      <c r="Q94" s="19"/>
      <c r="R94" s="19"/>
      <c r="Z94" s="22">
        <v>8126.26</v>
      </c>
      <c r="AA94" s="22">
        <f>Tabla356813212939[[#This Row],[COMISIONES]]*0.21</f>
        <v>1706.5146</v>
      </c>
      <c r="AB94" s="22"/>
      <c r="AC94" s="22">
        <v>19949.97</v>
      </c>
      <c r="AD94" s="22">
        <v>243.78</v>
      </c>
    </row>
    <row r="95" spans="8:30" x14ac:dyDescent="0.3">
      <c r="H95" s="22"/>
      <c r="I95" s="22">
        <f>Tabla3915233141[[#This Row],[COMISIONES]]*0.21</f>
        <v>0</v>
      </c>
      <c r="J95" s="22"/>
      <c r="K95" s="22"/>
      <c r="L95" s="22"/>
      <c r="N95" s="19"/>
      <c r="O95" s="11">
        <f>Tabla3510182636[[#This Row],[COMISIONES]]*0.21</f>
        <v>0</v>
      </c>
      <c r="P95" s="19"/>
      <c r="Q95" s="19"/>
      <c r="R95" s="19"/>
      <c r="Z95" s="22">
        <v>859.08</v>
      </c>
      <c r="AA95" s="22">
        <f>Tabla356813212939[[#This Row],[COMISIONES]]*0.21</f>
        <v>180.4068</v>
      </c>
      <c r="AB95" s="22">
        <v>1458.49</v>
      </c>
      <c r="AC95" s="22">
        <v>1483.97</v>
      </c>
      <c r="AD95" s="22">
        <f>208.36+25.77</f>
        <v>234.13000000000002</v>
      </c>
    </row>
    <row r="96" spans="8:30" x14ac:dyDescent="0.3">
      <c r="H96" s="22"/>
      <c r="I96" s="22">
        <f>Tabla3915233141[[#This Row],[COMISIONES]]*0.21</f>
        <v>0</v>
      </c>
      <c r="J96" s="22"/>
      <c r="K96" s="22"/>
      <c r="L96" s="22"/>
      <c r="N96" s="19"/>
      <c r="O96" s="11">
        <f>Tabla3510182636[[#This Row],[COMISIONES]]*0.21</f>
        <v>0</v>
      </c>
      <c r="P96" s="19"/>
      <c r="Q96" s="19"/>
      <c r="R96" s="19"/>
      <c r="Z96" s="22">
        <v>10163.86</v>
      </c>
      <c r="AA96" s="22">
        <f>Tabla356813212939[[#This Row],[COMISIONES]]*0.21</f>
        <v>2134.4106000000002</v>
      </c>
      <c r="AB96" s="22"/>
      <c r="AC96" s="22">
        <v>24952.26</v>
      </c>
      <c r="AD96" s="22">
        <v>304.92</v>
      </c>
    </row>
    <row r="97" spans="8:30" x14ac:dyDescent="0.3">
      <c r="H97" s="22"/>
      <c r="I97" s="22">
        <f>Tabla3915233141[[#This Row],[COMISIONES]]*0.21</f>
        <v>0</v>
      </c>
      <c r="J97" s="22"/>
      <c r="K97" s="22"/>
      <c r="L97" s="22"/>
      <c r="N97" s="19"/>
      <c r="O97" s="11">
        <f>Tabla3510182636[[#This Row],[COMISIONES]]*0.21</f>
        <v>0</v>
      </c>
      <c r="P97" s="19"/>
      <c r="Q97" s="19"/>
      <c r="R97" s="19"/>
      <c r="Z97" s="22">
        <v>3828.05</v>
      </c>
      <c r="AA97" s="22">
        <f>Tabla356813212939[[#This Row],[COMISIONES]]*0.21</f>
        <v>803.89049999999997</v>
      </c>
      <c r="AB97" s="22">
        <v>4603.9399999999996</v>
      </c>
      <c r="AC97" s="22">
        <v>7424.75</v>
      </c>
      <c r="AD97" s="22">
        <f>657.71+114.84</f>
        <v>772.55000000000007</v>
      </c>
    </row>
    <row r="98" spans="8:30" x14ac:dyDescent="0.3">
      <c r="H98" s="22"/>
      <c r="I98" s="22">
        <f>Tabla3915233141[[#This Row],[COMISIONES]]*0.21</f>
        <v>0</v>
      </c>
      <c r="J98" s="22"/>
      <c r="K98" s="22"/>
      <c r="L98" s="22"/>
      <c r="N98" s="19"/>
      <c r="O98" s="11">
        <f>Tabla3510182636[[#This Row],[COMISIONES]]*0.21</f>
        <v>0</v>
      </c>
      <c r="P98" s="19"/>
      <c r="Q98" s="19"/>
      <c r="R98" s="19"/>
      <c r="Z98" s="22">
        <v>3974.4</v>
      </c>
      <c r="AA98" s="22">
        <f>Tabla356813212939[[#This Row],[COMISIONES]]*0.21</f>
        <v>834.62400000000002</v>
      </c>
      <c r="AB98" s="22"/>
      <c r="AC98" s="22">
        <v>9757.15</v>
      </c>
      <c r="AD98" s="22">
        <v>119.24</v>
      </c>
    </row>
    <row r="99" spans="8:30" x14ac:dyDescent="0.3">
      <c r="H99" s="22"/>
      <c r="I99" s="22">
        <f>Tabla3915233141[[#This Row],[COMISIONES]]*0.21</f>
        <v>0</v>
      </c>
      <c r="J99" s="22"/>
      <c r="K99" s="22"/>
      <c r="L99" s="22"/>
      <c r="N99" s="19"/>
      <c r="O99" s="11">
        <f>Tabla3510182636[[#This Row],[COMISIONES]]*0.21</f>
        <v>0</v>
      </c>
      <c r="P99" s="19"/>
      <c r="Q99" s="19"/>
      <c r="R99" s="19"/>
      <c r="Z99" s="22">
        <v>1376.18</v>
      </c>
      <c r="AA99" s="22">
        <f>Tabla356813212939[[#This Row],[COMISIONES]]*0.21</f>
        <v>288.99779999999998</v>
      </c>
      <c r="AB99" s="22">
        <v>1387.74</v>
      </c>
      <c r="AC99" s="22">
        <v>2689.3</v>
      </c>
      <c r="AD99" s="22">
        <f>229.74+41.29</f>
        <v>271.03000000000003</v>
      </c>
    </row>
    <row r="100" spans="8:30" x14ac:dyDescent="0.3">
      <c r="H100" s="22"/>
      <c r="I100" s="22">
        <f>Tabla3915233141[[#This Row],[COMISIONES]]*0.21</f>
        <v>0</v>
      </c>
      <c r="J100" s="22"/>
      <c r="K100" s="22"/>
      <c r="L100" s="22"/>
      <c r="N100" s="19"/>
      <c r="O100" s="11">
        <f>Tabla3510182636[[#This Row],[COMISIONES]]*0.21</f>
        <v>0</v>
      </c>
      <c r="P100" s="19"/>
      <c r="Q100" s="19"/>
      <c r="R100" s="19"/>
      <c r="Z100" s="22">
        <v>3344.32</v>
      </c>
      <c r="AA100" s="22">
        <f>Tabla356813212939[[#This Row],[COMISIONES]]*0.21</f>
        <v>702.30719999999997</v>
      </c>
      <c r="AB100" s="22"/>
      <c r="AC100" s="22">
        <v>8210.2800000000007</v>
      </c>
      <c r="AD100" s="22">
        <v>100.34</v>
      </c>
    </row>
    <row r="101" spans="8:30" x14ac:dyDescent="0.3">
      <c r="H101" s="21">
        <f>SUBTOTAL(109,Tabla3915233141[COMISIONES])</f>
        <v>0</v>
      </c>
      <c r="I101" s="21">
        <f>SUBTOTAL(109,Tabla3915233141[IVA 21])</f>
        <v>0</v>
      </c>
      <c r="J101" s="21">
        <f>SUBTOTAL(109,Tabla3915233141[IVA 10,5])</f>
        <v>0</v>
      </c>
      <c r="K101" s="21">
        <f>SUBTOTAL(109,Tabla3915233141[Ret IIBB Caba])</f>
        <v>0</v>
      </c>
      <c r="L101" s="21">
        <f>SUBTOTAL(109,Tabla3915233141[PERC IVA])</f>
        <v>0</v>
      </c>
      <c r="N101" s="19"/>
      <c r="O101" s="11">
        <f>Tabla3510182636[[#This Row],[COMISIONES]]*0.21</f>
        <v>0</v>
      </c>
      <c r="P101" s="19"/>
      <c r="Q101" s="19"/>
      <c r="R101" s="19"/>
      <c r="Z101" s="22">
        <v>2037.94</v>
      </c>
      <c r="AA101" s="22">
        <f>Tabla356813212939[[#This Row],[COMISIONES]]*0.21</f>
        <v>427.9674</v>
      </c>
      <c r="AB101" s="22">
        <v>1120.72</v>
      </c>
      <c r="AC101" s="22">
        <v>3707.65</v>
      </c>
      <c r="AD101" s="22">
        <f>431.84+61.13</f>
        <v>492.96999999999997</v>
      </c>
    </row>
    <row r="102" spans="8:30" x14ac:dyDescent="0.3">
      <c r="N102" s="19"/>
      <c r="O102" s="11">
        <f>Tabla3510182636[[#This Row],[COMISIONES]]*0.21</f>
        <v>0</v>
      </c>
      <c r="P102" s="19"/>
      <c r="Q102" s="19"/>
      <c r="R102" s="19"/>
      <c r="Z102" s="22">
        <v>3423.91</v>
      </c>
      <c r="AA102" s="22">
        <f>Tabla356813212939[[#This Row],[COMISIONES]]*0.21</f>
        <v>719.02109999999993</v>
      </c>
      <c r="AB102" s="22"/>
      <c r="AC102" s="22">
        <v>8405.7099999999991</v>
      </c>
      <c r="AD102" s="22">
        <v>102.72</v>
      </c>
    </row>
    <row r="103" spans="8:30" x14ac:dyDescent="0.3">
      <c r="N103" s="19"/>
      <c r="O103" s="11">
        <f>Tabla3510182636[[#This Row],[COMISIONES]]*0.21</f>
        <v>0</v>
      </c>
      <c r="P103" s="19"/>
      <c r="Q103" s="19"/>
      <c r="R103" s="19"/>
      <c r="Z103" s="22">
        <v>3071.85</v>
      </c>
      <c r="AA103" s="22">
        <f>Tabla356813212939[[#This Row],[COMISIONES]]*0.21</f>
        <v>645.08849999999995</v>
      </c>
      <c r="AB103" s="22">
        <v>3323.32</v>
      </c>
      <c r="AC103" s="22">
        <v>6117.13</v>
      </c>
      <c r="AD103" s="22">
        <f>474.76+92.15</f>
        <v>566.91</v>
      </c>
    </row>
    <row r="104" spans="8:30" x14ac:dyDescent="0.3">
      <c r="N104" s="19"/>
      <c r="O104" s="11">
        <f>Tabla3510182636[[#This Row],[COMISIONES]]*0.21</f>
        <v>0</v>
      </c>
      <c r="P104" s="19"/>
      <c r="Q104" s="19"/>
      <c r="R104" s="19"/>
      <c r="Z104" s="22">
        <v>147.6</v>
      </c>
      <c r="AA104" s="22">
        <f>Tabla356813212939[[#This Row],[COMISIONES]]*0.21</f>
        <v>30.995999999999999</v>
      </c>
      <c r="AB104" s="22"/>
      <c r="AC104" s="22">
        <v>362.36</v>
      </c>
      <c r="AD104" s="22"/>
    </row>
    <row r="105" spans="8:30" x14ac:dyDescent="0.3">
      <c r="N105" s="19"/>
      <c r="O105" s="11">
        <f>Tabla3510182636[[#This Row],[COMISIONES]]*0.21</f>
        <v>0</v>
      </c>
      <c r="P105" s="19"/>
      <c r="Q105" s="19"/>
      <c r="R105" s="19"/>
      <c r="Z105" s="22">
        <v>1246.5</v>
      </c>
      <c r="AA105" s="22">
        <f>Tabla356813212939[[#This Row],[COMISIONES]]*0.21</f>
        <v>261.76499999999999</v>
      </c>
      <c r="AB105" s="22"/>
      <c r="AC105" s="22">
        <v>3060.16</v>
      </c>
      <c r="AD105" s="22"/>
    </row>
    <row r="106" spans="8:30" x14ac:dyDescent="0.3">
      <c r="N106" s="19"/>
      <c r="O106" s="11">
        <f>Tabla3510182636[[#This Row],[COMISIONES]]*0.21</f>
        <v>0</v>
      </c>
      <c r="P106" s="19"/>
      <c r="Q106" s="19"/>
      <c r="R106" s="19"/>
      <c r="Z106" s="22">
        <v>2108.88</v>
      </c>
      <c r="AA106" s="22">
        <f>Tabla356813212939[[#This Row],[COMISIONES]]*0.21</f>
        <v>442.8648</v>
      </c>
      <c r="AB106" s="22">
        <v>1525.08</v>
      </c>
      <c r="AC106" s="22">
        <v>3982.05</v>
      </c>
      <c r="AD106" s="22">
        <f>398.42+63.27</f>
        <v>461.69</v>
      </c>
    </row>
    <row r="107" spans="8:30" x14ac:dyDescent="0.3">
      <c r="N107" s="19"/>
      <c r="O107" s="11">
        <f>Tabla3510182636[[#This Row],[COMISIONES]]*0.21</f>
        <v>0</v>
      </c>
      <c r="P107" s="19"/>
      <c r="Q107" s="19"/>
      <c r="R107" s="19"/>
      <c r="Z107" s="22">
        <v>5679.9</v>
      </c>
      <c r="AA107" s="22">
        <f>Tabla356813212939[[#This Row],[COMISIONES]]*0.21</f>
        <v>1192.7789999999998</v>
      </c>
      <c r="AB107" s="22"/>
      <c r="AC107" s="22">
        <v>13944.15</v>
      </c>
      <c r="AD107" s="22">
        <v>170.43</v>
      </c>
    </row>
    <row r="108" spans="8:30" x14ac:dyDescent="0.3">
      <c r="N108" s="19"/>
      <c r="O108" s="11">
        <f>Tabla3510182636[[#This Row],[COMISIONES]]*0.21</f>
        <v>0</v>
      </c>
      <c r="P108" s="19"/>
      <c r="Q108" s="19"/>
      <c r="R108" s="19"/>
      <c r="Z108" s="22">
        <v>1204.69</v>
      </c>
      <c r="AA108" s="22">
        <f>Tabla356813212939[[#This Row],[COMISIONES]]*0.21</f>
        <v>252.98490000000001</v>
      </c>
      <c r="AB108" s="22">
        <v>1464.85</v>
      </c>
      <c r="AC108" s="22">
        <v>2329.6999999999998</v>
      </c>
      <c r="AD108" s="22">
        <f>209.26+36.14</f>
        <v>245.39999999999998</v>
      </c>
    </row>
    <row r="109" spans="8:30" x14ac:dyDescent="0.3">
      <c r="N109" s="19"/>
      <c r="O109" s="11">
        <f>Tabla3510182636[[#This Row],[COMISIONES]]*0.21</f>
        <v>0</v>
      </c>
      <c r="P109" s="19"/>
      <c r="Q109" s="19"/>
      <c r="R109" s="19"/>
      <c r="Z109" s="22">
        <v>75.599999999999994</v>
      </c>
      <c r="AA109" s="22">
        <f>Tabla356813212939[[#This Row],[COMISIONES]]*0.21</f>
        <v>15.875999999999998</v>
      </c>
      <c r="AB109" s="22"/>
      <c r="AC109" s="22">
        <v>185.6</v>
      </c>
      <c r="AD109" s="22"/>
    </row>
    <row r="110" spans="8:30" x14ac:dyDescent="0.3">
      <c r="N110" s="19"/>
      <c r="O110" s="11">
        <f>Tabla3510182636[[#This Row],[COMISIONES]]*0.21</f>
        <v>0</v>
      </c>
      <c r="P110" s="19"/>
      <c r="Q110" s="19"/>
      <c r="R110" s="19"/>
      <c r="Z110" s="22">
        <v>889.02</v>
      </c>
      <c r="AA110" s="22">
        <f>Tabla356813212939[[#This Row],[COMISIONES]]*0.21</f>
        <v>186.6942</v>
      </c>
      <c r="AB110" s="22"/>
      <c r="AC110" s="22">
        <v>2182.54</v>
      </c>
      <c r="AD110" s="22"/>
    </row>
    <row r="111" spans="8:30" x14ac:dyDescent="0.3">
      <c r="N111" s="19"/>
      <c r="O111" s="11">
        <f>Tabla3510182636[[#This Row],[COMISIONES]]*0.21</f>
        <v>0</v>
      </c>
      <c r="P111" s="19"/>
      <c r="Q111" s="19"/>
      <c r="R111" s="19"/>
      <c r="Z111" s="22">
        <v>732.79</v>
      </c>
      <c r="AA111" s="22">
        <f>Tabla356813212939[[#This Row],[COMISIONES]]*0.21</f>
        <v>153.88589999999999</v>
      </c>
      <c r="AB111" s="22">
        <v>1163.1099999999999</v>
      </c>
      <c r="AC111" s="22">
        <v>1300.52</v>
      </c>
      <c r="AD111" s="22">
        <f>166.16+21.98</f>
        <v>188.14</v>
      </c>
    </row>
    <row r="112" spans="8:30" x14ac:dyDescent="0.3">
      <c r="N112" s="19"/>
      <c r="O112" s="11">
        <f>Tabla3510182636[[#This Row],[COMISIONES]]*0.21</f>
        <v>0</v>
      </c>
      <c r="P112" s="19"/>
      <c r="Q112" s="19"/>
      <c r="R112" s="19"/>
      <c r="Z112" s="22">
        <v>742.86</v>
      </c>
      <c r="AA112" s="22">
        <f>Tabla356813212939[[#This Row],[COMISIONES]]*0.21</f>
        <v>156.00059999999999</v>
      </c>
      <c r="AB112" s="22"/>
      <c r="AC112" s="22">
        <v>1823.72</v>
      </c>
      <c r="AD112" s="22"/>
    </row>
    <row r="113" spans="14:30" x14ac:dyDescent="0.3">
      <c r="N113" s="19"/>
      <c r="O113" s="11">
        <f>Tabla3510182636[[#This Row],[COMISIONES]]*0.21</f>
        <v>0</v>
      </c>
      <c r="P113" s="19"/>
      <c r="Q113" s="19"/>
      <c r="R113" s="19"/>
      <c r="Z113" s="22">
        <v>1429.78</v>
      </c>
      <c r="AA113" s="22">
        <f>Tabla356813212939[[#This Row],[COMISIONES]]*0.21</f>
        <v>300.25379999999996</v>
      </c>
      <c r="AB113" s="22"/>
      <c r="AC113" s="22">
        <v>3510.1</v>
      </c>
      <c r="AD113" s="22"/>
    </row>
    <row r="114" spans="14:30" x14ac:dyDescent="0.3">
      <c r="N114" s="19"/>
      <c r="O114" s="11">
        <f>Tabla3510182636[[#This Row],[COMISIONES]]*0.21</f>
        <v>0</v>
      </c>
      <c r="P114" s="19"/>
      <c r="Q114" s="19"/>
      <c r="R114" s="19"/>
      <c r="Z114" s="22">
        <v>431.08</v>
      </c>
      <c r="AA114" s="22">
        <f>Tabla356813212939[[#This Row],[COMISIONES]]*0.21</f>
        <v>90.526799999999994</v>
      </c>
      <c r="AB114" s="22">
        <v>524.16999999999996</v>
      </c>
      <c r="AC114" s="22">
        <v>833.65</v>
      </c>
      <c r="AD114" s="22">
        <f>74.88+12.93</f>
        <v>87.81</v>
      </c>
    </row>
    <row r="115" spans="14:30" x14ac:dyDescent="0.3">
      <c r="N115" s="19"/>
      <c r="O115" s="11">
        <f>Tabla3510182636[[#This Row],[COMISIONES]]*0.21</f>
        <v>0</v>
      </c>
      <c r="P115" s="19"/>
      <c r="Q115" s="19"/>
      <c r="R115" s="19"/>
      <c r="Z115" s="22">
        <v>1061.9100000000001</v>
      </c>
      <c r="AA115" s="22">
        <f>Tabla356813212939[[#This Row],[COMISIONES]]*0.21</f>
        <v>223.00110000000001</v>
      </c>
      <c r="AB115" s="22"/>
      <c r="AC115" s="22">
        <v>2606.9899999999998</v>
      </c>
      <c r="AD115" s="22"/>
    </row>
    <row r="116" spans="14:30" x14ac:dyDescent="0.3">
      <c r="N116" s="19"/>
      <c r="O116" s="11">
        <f>Tabla3510182636[[#This Row],[COMISIONES]]*0.21</f>
        <v>0</v>
      </c>
      <c r="P116" s="19"/>
      <c r="Q116" s="19"/>
      <c r="R116" s="19"/>
      <c r="Z116" s="22">
        <v>3122.3</v>
      </c>
      <c r="AA116" s="22">
        <f>Tabla356813212939[[#This Row],[COMISIONES]]*0.21</f>
        <v>655.68299999999999</v>
      </c>
      <c r="AB116" s="22">
        <v>3796.6</v>
      </c>
      <c r="AC116" s="22">
        <v>6038.11</v>
      </c>
      <c r="AD116" s="22">
        <f>542.37+93.67</f>
        <v>636.04</v>
      </c>
    </row>
    <row r="117" spans="14:30" x14ac:dyDescent="0.3">
      <c r="N117" s="19"/>
      <c r="O117" s="11">
        <f>Tabla3510182636[[#This Row],[COMISIONES]]*0.21</f>
        <v>0</v>
      </c>
      <c r="P117" s="19"/>
      <c r="Q117" s="19"/>
      <c r="R117" s="19"/>
      <c r="Z117" s="22">
        <v>4096.3900000000003</v>
      </c>
      <c r="AA117" s="22">
        <f>Tabla356813212939[[#This Row],[COMISIONES]]*0.21</f>
        <v>860.24189999999999</v>
      </c>
      <c r="AB117" s="22"/>
      <c r="AC117" s="22">
        <v>10056.620000000001</v>
      </c>
      <c r="AD117" s="22">
        <v>122.88</v>
      </c>
    </row>
    <row r="118" spans="14:30" x14ac:dyDescent="0.3">
      <c r="N118" s="19"/>
      <c r="O118" s="11">
        <f>Tabla3510182636[[#This Row],[COMISIONES]]*0.21</f>
        <v>0</v>
      </c>
      <c r="P118" s="19"/>
      <c r="Q118" s="19"/>
      <c r="R118" s="19"/>
      <c r="Z118" s="22">
        <v>1783.53</v>
      </c>
      <c r="AA118" s="22">
        <f>Tabla356813212939[[#This Row],[COMISIONES]]*0.21</f>
        <v>374.54129999999998</v>
      </c>
      <c r="AB118" s="22">
        <v>2910.5</v>
      </c>
      <c r="AC118" s="22">
        <v>3131.2</v>
      </c>
      <c r="AD118" s="22">
        <f>415.79+53.5</f>
        <v>469.29</v>
      </c>
    </row>
    <row r="119" spans="14:30" x14ac:dyDescent="0.3">
      <c r="N119" s="19"/>
      <c r="O119" s="11">
        <f>Tabla3510182636[[#This Row],[COMISIONES]]*0.21</f>
        <v>0</v>
      </c>
      <c r="P119" s="19"/>
      <c r="Q119" s="19"/>
      <c r="R119" s="19"/>
      <c r="Z119" s="22">
        <v>331.2</v>
      </c>
      <c r="AA119" s="22">
        <f>Tabla356813212939[[#This Row],[COMISIONES]]*0.21</f>
        <v>69.551999999999992</v>
      </c>
      <c r="AB119" s="22"/>
      <c r="AC119" s="22">
        <v>813.1</v>
      </c>
      <c r="AD119" s="22"/>
    </row>
    <row r="120" spans="14:30" x14ac:dyDescent="0.3">
      <c r="N120" s="19"/>
      <c r="O120" s="11">
        <f>Tabla3510182636[[#This Row],[COMISIONES]]*0.21</f>
        <v>0</v>
      </c>
      <c r="P120" s="19"/>
      <c r="Q120" s="19"/>
      <c r="R120" s="19"/>
      <c r="Z120" s="22">
        <v>4189.7299999999996</v>
      </c>
      <c r="AA120" s="22">
        <f>Tabla356813212939[[#This Row],[COMISIONES]]*0.21</f>
        <v>879.84329999999989</v>
      </c>
      <c r="AB120" s="22"/>
      <c r="AC120" s="22">
        <v>10285.77</v>
      </c>
      <c r="AD120" s="22">
        <v>125.69</v>
      </c>
    </row>
    <row r="121" spans="14:30" x14ac:dyDescent="0.3">
      <c r="N121" s="19"/>
      <c r="O121" s="11">
        <f>Tabla3510182636[[#This Row],[COMISIONES]]*0.21</f>
        <v>0</v>
      </c>
      <c r="P121" s="19"/>
      <c r="Q121" s="19"/>
      <c r="R121" s="19"/>
      <c r="Z121" s="22">
        <v>5275.08</v>
      </c>
      <c r="AA121" s="22">
        <f>Tabla356813212939[[#This Row],[COMISIONES]]*0.21</f>
        <v>1107.7667999999999</v>
      </c>
      <c r="AB121" s="22">
        <v>6532.61</v>
      </c>
      <c r="AC121" s="22">
        <v>8965.44</v>
      </c>
      <c r="AD121" s="22">
        <f>1328.28+158.26</f>
        <v>1486.54</v>
      </c>
    </row>
    <row r="122" spans="14:30" x14ac:dyDescent="0.3">
      <c r="N122" s="19"/>
      <c r="O122" s="19"/>
      <c r="P122" s="19"/>
      <c r="Q122" s="19"/>
      <c r="R122" s="19"/>
      <c r="Z122" s="22">
        <v>3495.24</v>
      </c>
      <c r="AA122" s="22">
        <f>Tabla356813212939[[#This Row],[COMISIONES]]*0.21</f>
        <v>734.0003999999999</v>
      </c>
      <c r="AB122" s="22"/>
      <c r="AC122" s="22">
        <v>8580.81</v>
      </c>
      <c r="AD122" s="22">
        <v>104.86</v>
      </c>
    </row>
    <row r="123" spans="14:30" x14ac:dyDescent="0.3">
      <c r="N123" s="19"/>
      <c r="O123" s="19"/>
      <c r="P123" s="19"/>
      <c r="Q123" s="19"/>
      <c r="R123" s="19"/>
      <c r="Z123" s="22">
        <v>5710.42</v>
      </c>
      <c r="AA123" s="22">
        <f>Tabla356813212939[[#This Row],[COMISIONES]]*0.21</f>
        <v>1199.1882000000001</v>
      </c>
      <c r="AB123" s="22">
        <v>7222.33</v>
      </c>
      <c r="AC123" s="22">
        <v>10923.8</v>
      </c>
      <c r="AD123" s="22">
        <f>1031.76+171.31</f>
        <v>1203.07</v>
      </c>
    </row>
    <row r="124" spans="14:30" x14ac:dyDescent="0.3">
      <c r="N124" s="19"/>
      <c r="O124" s="19"/>
      <c r="P124" s="19"/>
      <c r="Q124" s="19"/>
      <c r="R124" s="19"/>
      <c r="Z124" s="22">
        <v>2902.98</v>
      </c>
      <c r="AA124" s="22">
        <f>Tabla356813212939[[#This Row],[COMISIONES]]*0.21</f>
        <v>609.62580000000003</v>
      </c>
      <c r="AB124" s="22"/>
      <c r="AC124" s="22">
        <v>16198.63</v>
      </c>
      <c r="AD124" s="22">
        <v>87.08</v>
      </c>
    </row>
    <row r="125" spans="14:30" x14ac:dyDescent="0.3">
      <c r="N125" s="19"/>
      <c r="O125" s="19"/>
      <c r="P125" s="19"/>
      <c r="Q125" s="19"/>
      <c r="R125" s="19"/>
      <c r="Z125" s="22">
        <v>2993.92</v>
      </c>
      <c r="AA125" s="22">
        <f>Tabla356813212939[[#This Row],[COMISIONES]]*0.21</f>
        <v>628.72320000000002</v>
      </c>
      <c r="AB125" s="22"/>
      <c r="AC125" s="22">
        <v>16706.07</v>
      </c>
      <c r="AD125" s="22">
        <v>89.83</v>
      </c>
    </row>
    <row r="126" spans="14:30" x14ac:dyDescent="0.3">
      <c r="N126" s="19"/>
      <c r="O126" s="19"/>
      <c r="P126" s="19"/>
      <c r="Q126" s="19"/>
      <c r="R126" s="19"/>
      <c r="Z126" s="22">
        <v>6112.64</v>
      </c>
      <c r="AA126" s="22">
        <f>Tabla356813212939[[#This Row],[COMISIONES]]*0.21</f>
        <v>1283.6544000000001</v>
      </c>
      <c r="AB126" s="22"/>
      <c r="AC126" s="22">
        <v>34108.53</v>
      </c>
      <c r="AD126" s="22">
        <v>183.39</v>
      </c>
    </row>
    <row r="127" spans="14:30" x14ac:dyDescent="0.3">
      <c r="N127" s="19"/>
      <c r="O127" s="19"/>
      <c r="P127" s="19"/>
      <c r="Q127" s="19"/>
      <c r="R127" s="19"/>
      <c r="Z127" s="22">
        <v>1397.26</v>
      </c>
      <c r="AA127" s="22">
        <f>Tabla356813212939[[#This Row],[COMISIONES]]*0.21</f>
        <v>293.4246</v>
      </c>
      <c r="AB127" s="22"/>
      <c r="AC127" s="22">
        <v>7796.71</v>
      </c>
      <c r="AD127" s="22"/>
    </row>
    <row r="128" spans="14:30" x14ac:dyDescent="0.3">
      <c r="N128" s="19"/>
      <c r="O128" s="19"/>
      <c r="P128" s="19"/>
      <c r="Q128" s="19"/>
      <c r="R128" s="19"/>
      <c r="Z128" s="22">
        <v>2178.56</v>
      </c>
      <c r="AA128" s="22">
        <f>Tabla356813212939[[#This Row],[COMISIONES]]*0.21</f>
        <v>457.49759999999998</v>
      </c>
      <c r="AB128" s="22"/>
      <c r="AC128" s="22">
        <v>12156.36</v>
      </c>
      <c r="AD128" s="22">
        <v>65.349999999999994</v>
      </c>
    </row>
    <row r="129" spans="14:30" x14ac:dyDescent="0.3">
      <c r="N129" s="19"/>
      <c r="O129" s="19"/>
      <c r="P129" s="19"/>
      <c r="Q129" s="19"/>
      <c r="R129" s="19"/>
      <c r="Z129" s="22">
        <v>1432.7</v>
      </c>
      <c r="AA129" s="22">
        <f>Tabla356813212939[[#This Row],[COMISIONES]]*0.21</f>
        <v>300.86700000000002</v>
      </c>
      <c r="AB129" s="22"/>
      <c r="AC129" s="22">
        <v>7994.47</v>
      </c>
      <c r="AD129" s="22"/>
    </row>
    <row r="130" spans="14:30" x14ac:dyDescent="0.3">
      <c r="N130" s="19"/>
      <c r="O130" s="19"/>
      <c r="P130" s="19"/>
      <c r="Q130" s="19"/>
      <c r="R130" s="19"/>
      <c r="Z130" s="22">
        <v>1565.48</v>
      </c>
      <c r="AA130" s="22">
        <f>Tabla356813212939[[#This Row],[COMISIONES]]*0.21</f>
        <v>328.75079999999997</v>
      </c>
      <c r="AB130" s="22"/>
      <c r="AC130" s="22">
        <v>8735.3799999999992</v>
      </c>
      <c r="AD130" s="22"/>
    </row>
    <row r="131" spans="14:30" x14ac:dyDescent="0.3">
      <c r="N131" s="19"/>
      <c r="O131" s="19"/>
      <c r="P131" s="19"/>
      <c r="Q131" s="19"/>
      <c r="R131" s="19"/>
      <c r="Z131" s="22">
        <v>2208.8200000000002</v>
      </c>
      <c r="AA131" s="22">
        <f>Tabla356813212939[[#This Row],[COMISIONES]]*0.21</f>
        <v>463.85220000000004</v>
      </c>
      <c r="AB131" s="22"/>
      <c r="AC131" s="22">
        <v>12325.19</v>
      </c>
      <c r="AD131" s="22">
        <v>66.25</v>
      </c>
    </row>
    <row r="132" spans="14:30" x14ac:dyDescent="0.3">
      <c r="N132" s="19"/>
      <c r="O132" s="19"/>
      <c r="P132" s="19"/>
      <c r="Q132" s="19"/>
      <c r="R132" s="19"/>
      <c r="Z132" s="22">
        <v>2231.48</v>
      </c>
      <c r="AA132" s="22">
        <f>Tabla356813212939[[#This Row],[COMISIONES]]*0.21</f>
        <v>468.61079999999998</v>
      </c>
      <c r="AB132" s="22"/>
      <c r="AC132" s="22">
        <v>12451.66</v>
      </c>
      <c r="AD132" s="22">
        <v>66.94</v>
      </c>
    </row>
    <row r="133" spans="14:30" x14ac:dyDescent="0.3">
      <c r="N133" s="19"/>
      <c r="O133" s="19">
        <f>Tabla3510182636[[#This Row],[COMISIONES]]*0.21</f>
        <v>0</v>
      </c>
      <c r="P133" s="19"/>
      <c r="Q133" s="19"/>
      <c r="R133" s="19"/>
      <c r="Z133" s="22">
        <v>1682.56</v>
      </c>
      <c r="AA133" s="22">
        <f>Tabla356813212939[[#This Row],[COMISIONES]]*0.21</f>
        <v>353.33759999999995</v>
      </c>
      <c r="AB133" s="22"/>
      <c r="AC133" s="22">
        <v>9388.68</v>
      </c>
      <c r="AD133" s="22"/>
    </row>
    <row r="134" spans="14:30" x14ac:dyDescent="0.3">
      <c r="N134" s="25">
        <f>SUBTOTAL(109,Tabla3510182636[COMISIONES])</f>
        <v>22628.09</v>
      </c>
      <c r="O134" s="25">
        <f>SUBTOTAL(109,Tabla3510182636[IVA 21])</f>
        <v>4751.8988999999992</v>
      </c>
      <c r="P134" s="25">
        <f>SUBTOTAL(109,Tabla3510182636[IVA 10,5])</f>
        <v>0</v>
      </c>
      <c r="Q134" s="25">
        <f>SUBTOTAL(109,Tabla3510182636[Ret IIBB Caba])</f>
        <v>1259.47</v>
      </c>
      <c r="R134" s="25">
        <f>SUBTOTAL(109,Tabla3510182636[PERC IVA])</f>
        <v>542.11</v>
      </c>
      <c r="Z134" s="22">
        <v>540.08000000000004</v>
      </c>
      <c r="AA134" s="22">
        <f>Tabla356813212939[[#This Row],[COMISIONES]]*0.21</f>
        <v>113.41680000000001</v>
      </c>
      <c r="AB134" s="22"/>
      <c r="AC134" s="22">
        <v>3013.65</v>
      </c>
      <c r="AD134" s="22"/>
    </row>
    <row r="135" spans="14:30" x14ac:dyDescent="0.3">
      <c r="Z135" s="22">
        <v>1680.88</v>
      </c>
      <c r="AA135" s="22">
        <f>Tabla356813212939[[#This Row],[COMISIONES]]*0.21</f>
        <v>352.98480000000001</v>
      </c>
      <c r="AB135" s="22"/>
      <c r="AC135" s="22">
        <v>9379.31</v>
      </c>
      <c r="AD135" s="22"/>
    </row>
    <row r="136" spans="14:30" x14ac:dyDescent="0.3">
      <c r="Z136" s="22">
        <v>3048.12</v>
      </c>
      <c r="AA136" s="22">
        <f>Tabla356813212939[[#This Row],[COMISIONES]]*0.21</f>
        <v>640.10519999999997</v>
      </c>
      <c r="AB136" s="22"/>
      <c r="AC136" s="22">
        <v>17008.490000000002</v>
      </c>
      <c r="AD136" s="22">
        <v>91.46</v>
      </c>
    </row>
    <row r="137" spans="14:30" x14ac:dyDescent="0.3">
      <c r="Z137" s="22">
        <v>1214.44</v>
      </c>
      <c r="AA137" s="22">
        <f>Tabla356813212939[[#This Row],[COMISIONES]]*0.21</f>
        <v>255.0324</v>
      </c>
      <c r="AB137" s="22"/>
      <c r="AC137" s="22">
        <v>6776.57</v>
      </c>
      <c r="AD137" s="22"/>
    </row>
    <row r="138" spans="14:30" x14ac:dyDescent="0.3">
      <c r="Z138" s="22">
        <v>983.08</v>
      </c>
      <c r="AA138" s="22">
        <f>Tabla356813212939[[#This Row],[COMISIONES]]*0.21</f>
        <v>206.4468</v>
      </c>
      <c r="AB138" s="22"/>
      <c r="AC138" s="22">
        <v>5485.58</v>
      </c>
      <c r="AD138" s="22"/>
    </row>
    <row r="139" spans="14:30" x14ac:dyDescent="0.3">
      <c r="Z139" s="22">
        <v>2125.23</v>
      </c>
      <c r="AA139" s="22">
        <f>Tabla356813212939[[#This Row],[COMISIONES]]*0.21</f>
        <v>446.29829999999998</v>
      </c>
      <c r="AB139" s="22"/>
      <c r="AC139" s="22">
        <v>11858.79</v>
      </c>
      <c r="AD139" s="22">
        <v>63.76</v>
      </c>
    </row>
    <row r="140" spans="14:30" x14ac:dyDescent="0.3">
      <c r="Z140" s="22">
        <v>2175.1</v>
      </c>
      <c r="AA140" s="22">
        <f>Tabla356813212939[[#This Row],[COMISIONES]]*0.21</f>
        <v>456.77099999999996</v>
      </c>
      <c r="AB140" s="22"/>
      <c r="AC140" s="22">
        <v>12137.06</v>
      </c>
      <c r="AD140" s="22">
        <v>65.25</v>
      </c>
    </row>
    <row r="141" spans="14:30" x14ac:dyDescent="0.3">
      <c r="Z141" s="22">
        <v>1740.07</v>
      </c>
      <c r="AA141" s="22">
        <f>Tabla356813212939[[#This Row],[COMISIONES]]*0.21</f>
        <v>365.41469999999998</v>
      </c>
      <c r="AB141" s="22"/>
      <c r="AC141" s="22">
        <v>9709.56</v>
      </c>
      <c r="AD141" s="22"/>
    </row>
    <row r="142" spans="14:30" x14ac:dyDescent="0.3">
      <c r="Z142" s="22">
        <v>1209.46</v>
      </c>
      <c r="AA142" s="22">
        <f>Tabla356813212939[[#This Row],[COMISIONES]]*0.21</f>
        <v>253.98660000000001</v>
      </c>
      <c r="AB142" s="22"/>
      <c r="AC142" s="22">
        <v>6748.76</v>
      </c>
      <c r="AD142" s="22"/>
    </row>
    <row r="143" spans="14:30" x14ac:dyDescent="0.3">
      <c r="Z143" s="22">
        <v>1256.74</v>
      </c>
      <c r="AA143" s="22">
        <f>Tabla356813212939[[#This Row],[COMISIONES]]*0.21</f>
        <v>263.91539999999998</v>
      </c>
      <c r="AB143" s="22"/>
      <c r="AC143" s="22">
        <v>7012.59</v>
      </c>
      <c r="AD143" s="22"/>
    </row>
    <row r="144" spans="14:30" x14ac:dyDescent="0.3">
      <c r="Z144" s="22">
        <v>2953.3</v>
      </c>
      <c r="AA144" s="22">
        <f>Tabla356813212939[[#This Row],[COMISIONES]]*0.21</f>
        <v>620.19299999999998</v>
      </c>
      <c r="AB144" s="22"/>
      <c r="AC144" s="22">
        <v>16479.41</v>
      </c>
      <c r="AD144" s="22">
        <v>88.61</v>
      </c>
    </row>
    <row r="145" spans="26:30" x14ac:dyDescent="0.3">
      <c r="Z145" s="22"/>
      <c r="AA145" s="22">
        <f>Tabla356813212939[[#This Row],[COMISIONES]]*0.21</f>
        <v>0</v>
      </c>
      <c r="AB145" s="22"/>
      <c r="AC145" s="22"/>
      <c r="AD145" s="22"/>
    </row>
    <row r="146" spans="26:30" x14ac:dyDescent="0.3">
      <c r="Z146" s="22"/>
      <c r="AA146" s="22">
        <f>Tabla356813212939[[#This Row],[COMISIONES]]*0.21</f>
        <v>0</v>
      </c>
      <c r="AB146" s="22"/>
      <c r="AC146" s="22"/>
      <c r="AD146" s="22"/>
    </row>
    <row r="147" spans="26:30" x14ac:dyDescent="0.3">
      <c r="Z147" s="22"/>
      <c r="AA147" s="22">
        <f>Tabla356813212939[[#This Row],[COMISIONES]]*0.21</f>
        <v>0</v>
      </c>
      <c r="AB147" s="22"/>
      <c r="AC147" s="22"/>
      <c r="AD147" s="22"/>
    </row>
    <row r="148" spans="26:30" x14ac:dyDescent="0.3">
      <c r="Z148" s="22"/>
      <c r="AA148" s="22">
        <f>Tabla356813212939[[#This Row],[COMISIONES]]*0.21</f>
        <v>0</v>
      </c>
      <c r="AB148" s="22"/>
      <c r="AC148" s="22"/>
      <c r="AD148" s="22"/>
    </row>
    <row r="149" spans="26:30" x14ac:dyDescent="0.3">
      <c r="Z149" s="22"/>
      <c r="AA149" s="22">
        <f>Tabla356813212939[[#This Row],[COMISIONES]]*0.21</f>
        <v>0</v>
      </c>
      <c r="AB149" s="22"/>
      <c r="AC149" s="22"/>
      <c r="AD149" s="22"/>
    </row>
    <row r="150" spans="26:30" x14ac:dyDescent="0.3">
      <c r="Z150" s="22"/>
      <c r="AA150" s="22">
        <f>Tabla356813212939[[#This Row],[COMISIONES]]*0.21</f>
        <v>0</v>
      </c>
      <c r="AB150" s="22"/>
      <c r="AC150" s="22"/>
      <c r="AD150" s="22"/>
    </row>
    <row r="151" spans="26:30" x14ac:dyDescent="0.3">
      <c r="Z151" s="22"/>
      <c r="AA151" s="22">
        <f>Tabla356813212939[[#This Row],[COMISIONES]]*0.21</f>
        <v>0</v>
      </c>
      <c r="AB151" s="22"/>
      <c r="AC151" s="22"/>
      <c r="AD151" s="22"/>
    </row>
    <row r="152" spans="26:30" x14ac:dyDescent="0.3">
      <c r="Z152" s="22"/>
      <c r="AA152" s="22">
        <f>Tabla356813212939[[#This Row],[COMISIONES]]*0.21</f>
        <v>0</v>
      </c>
      <c r="AB152" s="22"/>
      <c r="AC152" s="22"/>
      <c r="AD152" s="22"/>
    </row>
    <row r="153" spans="26:30" x14ac:dyDescent="0.3">
      <c r="Z153" s="22"/>
      <c r="AA153" s="22">
        <f>Tabla356813212939[[#This Row],[COMISIONES]]*0.21</f>
        <v>0</v>
      </c>
      <c r="AB153" s="22"/>
      <c r="AC153" s="22"/>
      <c r="AD153" s="22"/>
    </row>
    <row r="154" spans="26:30" x14ac:dyDescent="0.3">
      <c r="Z154" s="22"/>
      <c r="AA154" s="22">
        <f>Tabla356813212939[[#This Row],[COMISIONES]]*0.21</f>
        <v>0</v>
      </c>
      <c r="AB154" s="22"/>
      <c r="AC154" s="22"/>
      <c r="AD154" s="22"/>
    </row>
    <row r="155" spans="26:30" x14ac:dyDescent="0.3">
      <c r="Z155" s="22"/>
      <c r="AA155" s="22">
        <f>Tabla356813212939[[#This Row],[COMISIONES]]*0.21</f>
        <v>0</v>
      </c>
      <c r="AB155" s="22"/>
      <c r="AC155" s="22"/>
      <c r="AD155" s="22"/>
    </row>
    <row r="156" spans="26:30" x14ac:dyDescent="0.3">
      <c r="Z156" s="22"/>
      <c r="AA156" s="22">
        <f>Tabla356813212939[[#This Row],[COMISIONES]]*0.21</f>
        <v>0</v>
      </c>
      <c r="AB156" s="22"/>
      <c r="AC156" s="22"/>
      <c r="AD156" s="22"/>
    </row>
    <row r="157" spans="26:30" x14ac:dyDescent="0.3">
      <c r="Z157" s="22"/>
      <c r="AA157" s="22">
        <f>Tabla356813212939[[#This Row],[COMISIONES]]*0.21</f>
        <v>0</v>
      </c>
      <c r="AB157" s="22"/>
      <c r="AC157" s="22"/>
      <c r="AD157" s="22"/>
    </row>
    <row r="158" spans="26:30" x14ac:dyDescent="0.3">
      <c r="Z158" s="22"/>
      <c r="AA158" s="22">
        <f>Tabla356813212939[[#This Row],[COMISIONES]]*0.21</f>
        <v>0</v>
      </c>
      <c r="AB158" s="22"/>
      <c r="AC158" s="22"/>
      <c r="AD158" s="22"/>
    </row>
    <row r="159" spans="26:30" x14ac:dyDescent="0.3">
      <c r="Z159" s="22"/>
      <c r="AA159" s="22">
        <f>Tabla356813212939[[#This Row],[COMISIONES]]*0.21</f>
        <v>0</v>
      </c>
      <c r="AB159" s="22"/>
      <c r="AC159" s="22"/>
      <c r="AD159" s="22"/>
    </row>
    <row r="160" spans="26:30" x14ac:dyDescent="0.3">
      <c r="Z160" s="22"/>
      <c r="AA160" s="22">
        <f>Tabla356813212939[[#This Row],[COMISIONES]]*0.21</f>
        <v>0</v>
      </c>
      <c r="AB160" s="22"/>
      <c r="AC160" s="22"/>
      <c r="AD160" s="22"/>
    </row>
    <row r="161" spans="26:30" x14ac:dyDescent="0.3">
      <c r="Z161" s="22"/>
      <c r="AA161" s="22">
        <f>Tabla356813212939[[#This Row],[COMISIONES]]*0.21</f>
        <v>0</v>
      </c>
      <c r="AB161" s="22"/>
      <c r="AC161" s="22"/>
      <c r="AD161" s="22"/>
    </row>
    <row r="162" spans="26:30" x14ac:dyDescent="0.3">
      <c r="Z162" s="22"/>
      <c r="AA162" s="22">
        <f>Tabla356813212939[[#This Row],[COMISIONES]]*0.21</f>
        <v>0</v>
      </c>
      <c r="AB162" s="22"/>
      <c r="AC162" s="22"/>
      <c r="AD162" s="22"/>
    </row>
    <row r="163" spans="26:30" x14ac:dyDescent="0.3">
      <c r="Z163" s="22"/>
      <c r="AA163" s="22">
        <f>Tabla356813212939[[#This Row],[COMISIONES]]*0.21</f>
        <v>0</v>
      </c>
      <c r="AB163" s="22"/>
      <c r="AC163" s="22"/>
      <c r="AD163" s="22"/>
    </row>
    <row r="164" spans="26:30" x14ac:dyDescent="0.3">
      <c r="Z164" s="22"/>
      <c r="AA164" s="22">
        <f>Tabla356813212939[[#This Row],[COMISIONES]]*0.21</f>
        <v>0</v>
      </c>
      <c r="AB164" s="22"/>
      <c r="AC164" s="22"/>
      <c r="AD164" s="22"/>
    </row>
    <row r="165" spans="26:30" x14ac:dyDescent="0.3">
      <c r="Z165" s="22"/>
      <c r="AA165" s="22">
        <f>Tabla356813212939[[#This Row],[COMISIONES]]*0.21</f>
        <v>0</v>
      </c>
      <c r="AB165" s="22"/>
      <c r="AC165" s="22"/>
      <c r="AD165" s="22"/>
    </row>
    <row r="166" spans="26:30" x14ac:dyDescent="0.3">
      <c r="Z166" s="22"/>
      <c r="AA166" s="22">
        <f>Tabla356813212939[[#This Row],[COMISIONES]]*0.21</f>
        <v>0</v>
      </c>
      <c r="AB166" s="22"/>
      <c r="AC166" s="22"/>
      <c r="AD166" s="22"/>
    </row>
    <row r="167" spans="26:30" x14ac:dyDescent="0.3">
      <c r="Z167" s="22"/>
      <c r="AA167" s="22">
        <f>Tabla356813212939[[#This Row],[COMISIONES]]*0.21</f>
        <v>0</v>
      </c>
      <c r="AB167" s="22"/>
      <c r="AC167" s="22"/>
      <c r="AD167" s="22"/>
    </row>
    <row r="168" spans="26:30" x14ac:dyDescent="0.3">
      <c r="Z168" s="4">
        <f>SUBTOTAL(109,Tabla356813212939[COMISIONES])</f>
        <v>211857.01000000007</v>
      </c>
      <c r="AA168" s="4">
        <f>SUBTOTAL(109,Tabla356813212939[IVA 21])</f>
        <v>44489.972099999992</v>
      </c>
      <c r="AB168" s="4">
        <f>SUBTOTAL(109,Tabla356813212939[IVA 10,5])</f>
        <v>79178.429999999993</v>
      </c>
      <c r="AC168" s="4">
        <f>SUBTOTAL(109,Tabla356813212939[Ret IIBB Caba])</f>
        <v>626921.46000000008</v>
      </c>
      <c r="AD168" s="4">
        <f>SUBTOTAL(109,Tabla356813212939[PERC IVA])</f>
        <v>18225.64</v>
      </c>
    </row>
  </sheetData>
  <mergeCells count="20">
    <mergeCell ref="G6:H6"/>
    <mergeCell ref="G2:H2"/>
    <mergeCell ref="J2:K2"/>
    <mergeCell ref="G3:H3"/>
    <mergeCell ref="G4:H4"/>
    <mergeCell ref="G5:H5"/>
    <mergeCell ref="T63:X63"/>
    <mergeCell ref="G7:H7"/>
    <mergeCell ref="G8:H8"/>
    <mergeCell ref="B13:F13"/>
    <mergeCell ref="H13:L13"/>
    <mergeCell ref="N13:R13"/>
    <mergeCell ref="T13:X13"/>
    <mergeCell ref="G9:H9"/>
    <mergeCell ref="G10:H10"/>
    <mergeCell ref="Z13:AD13"/>
    <mergeCell ref="AF13:AJ13"/>
    <mergeCell ref="AK13:AO13"/>
    <mergeCell ref="T31:X31"/>
    <mergeCell ref="H53:L53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01-2023</vt:lpstr>
      <vt:lpstr>02-2023</vt:lpstr>
      <vt:lpstr>03-2023</vt:lpstr>
      <vt:lpstr>06-2023</vt:lpstr>
      <vt:lpstr>07-2023</vt:lpstr>
      <vt:lpstr>08-2023 </vt:lpstr>
      <vt:lpstr>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Gaspar Gullo</cp:lastModifiedBy>
  <dcterms:created xsi:type="dcterms:W3CDTF">2019-12-17T14:01:30Z</dcterms:created>
  <dcterms:modified xsi:type="dcterms:W3CDTF">2024-05-17T16:13:31Z</dcterms:modified>
</cp:coreProperties>
</file>